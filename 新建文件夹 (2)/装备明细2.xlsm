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item" sheetId="1" r:id="rId1"/>
    <sheet name="element" sheetId="2" r:id="rId2"/>
  </sheets>
  <functionGroups builtInGroupCount="18"/>
  <externalReferences>
    <externalReference r:id="rId3"/>
  </externalReferences>
  <definedNames>
    <definedName name="test">element!$O$6:$Q$29</definedName>
    <definedName name="test1">element!$O$38:$Q$46</definedName>
  </definedNames>
  <calcPr calcId="152511" calcMode="manual"/>
</workbook>
</file>

<file path=xl/calcChain.xml><?xml version="1.0" encoding="utf-8"?>
<calcChain xmlns="http://schemas.openxmlformats.org/spreadsheetml/2006/main">
  <c r="O445" i="1" l="1"/>
  <c r="N445" i="1"/>
  <c r="L445" i="1"/>
  <c r="K445" i="1"/>
  <c r="J445" i="1"/>
  <c r="C445" i="1"/>
  <c r="O444" i="1"/>
  <c r="N444" i="1"/>
  <c r="L444" i="1"/>
  <c r="K444" i="1"/>
  <c r="J444" i="1"/>
  <c r="C444" i="1"/>
  <c r="O443" i="1"/>
  <c r="N443" i="1"/>
  <c r="L443" i="1"/>
  <c r="K443" i="1"/>
  <c r="J443" i="1"/>
  <c r="C443" i="1"/>
  <c r="O442" i="1"/>
  <c r="N442" i="1"/>
  <c r="L442" i="1"/>
  <c r="K442" i="1"/>
  <c r="J442" i="1"/>
  <c r="C442" i="1"/>
  <c r="O441" i="1"/>
  <c r="N441" i="1"/>
  <c r="L441" i="1"/>
  <c r="K441" i="1"/>
  <c r="J441" i="1"/>
  <c r="C441" i="1"/>
  <c r="O440" i="1"/>
  <c r="N440" i="1"/>
  <c r="L440" i="1"/>
  <c r="K440" i="1"/>
  <c r="J440" i="1"/>
  <c r="C440" i="1"/>
  <c r="O439" i="1"/>
  <c r="N439" i="1"/>
  <c r="L439" i="1"/>
  <c r="K439" i="1"/>
  <c r="J439" i="1"/>
  <c r="C439" i="1"/>
  <c r="O438" i="1"/>
  <c r="N438" i="1"/>
  <c r="L438" i="1"/>
  <c r="K438" i="1"/>
  <c r="J438" i="1"/>
  <c r="C438" i="1"/>
  <c r="O437" i="1"/>
  <c r="N437" i="1"/>
  <c r="L437" i="1"/>
  <c r="K437" i="1"/>
  <c r="J437" i="1"/>
  <c r="C437" i="1"/>
  <c r="O436" i="1"/>
  <c r="N436" i="1"/>
  <c r="L436" i="1"/>
  <c r="K436" i="1"/>
  <c r="J436" i="1"/>
  <c r="C436" i="1"/>
  <c r="O435" i="1"/>
  <c r="N435" i="1"/>
  <c r="L435" i="1"/>
  <c r="K435" i="1"/>
  <c r="J435" i="1"/>
  <c r="C435" i="1"/>
  <c r="O434" i="1"/>
  <c r="N434" i="1"/>
  <c r="L434" i="1"/>
  <c r="K434" i="1"/>
  <c r="J434" i="1"/>
  <c r="C434" i="1"/>
  <c r="O433" i="1"/>
  <c r="N433" i="1"/>
  <c r="L433" i="1"/>
  <c r="K433" i="1"/>
  <c r="J433" i="1"/>
  <c r="C433" i="1"/>
  <c r="O432" i="1"/>
  <c r="N432" i="1"/>
  <c r="L432" i="1"/>
  <c r="K432" i="1"/>
  <c r="J432" i="1"/>
  <c r="C432" i="1"/>
  <c r="O431" i="1"/>
  <c r="N431" i="1"/>
  <c r="L431" i="1"/>
  <c r="K431" i="1"/>
  <c r="J431" i="1"/>
  <c r="C431" i="1"/>
  <c r="O430" i="1"/>
  <c r="N430" i="1"/>
  <c r="L430" i="1"/>
  <c r="K430" i="1"/>
  <c r="J430" i="1"/>
  <c r="C430" i="1"/>
  <c r="O429" i="1"/>
  <c r="N429" i="1"/>
  <c r="L429" i="1"/>
  <c r="K429" i="1"/>
  <c r="J429" i="1"/>
  <c r="C429" i="1"/>
  <c r="O428" i="1"/>
  <c r="N428" i="1"/>
  <c r="L428" i="1"/>
  <c r="K428" i="1"/>
  <c r="J428" i="1"/>
  <c r="C428" i="1"/>
  <c r="O427" i="1"/>
  <c r="N427" i="1"/>
  <c r="L427" i="1"/>
  <c r="K427" i="1"/>
  <c r="J427" i="1"/>
  <c r="C427" i="1"/>
  <c r="O426" i="1"/>
  <c r="N426" i="1"/>
  <c r="L426" i="1"/>
  <c r="K426" i="1"/>
  <c r="J426" i="1"/>
  <c r="C426" i="1"/>
  <c r="O425" i="1"/>
  <c r="N425" i="1"/>
  <c r="L425" i="1"/>
  <c r="K425" i="1"/>
  <c r="J425" i="1"/>
  <c r="C425" i="1"/>
  <c r="O424" i="1"/>
  <c r="N424" i="1"/>
  <c r="L424" i="1"/>
  <c r="K424" i="1"/>
  <c r="J424" i="1"/>
  <c r="C424" i="1"/>
  <c r="O423" i="1"/>
  <c r="N423" i="1"/>
  <c r="L423" i="1"/>
  <c r="K423" i="1"/>
  <c r="J423" i="1"/>
  <c r="C423" i="1"/>
  <c r="O422" i="1"/>
  <c r="N422" i="1"/>
  <c r="L422" i="1"/>
  <c r="K422" i="1"/>
  <c r="J422" i="1"/>
  <c r="C422" i="1"/>
  <c r="O421" i="1"/>
  <c r="N421" i="1"/>
  <c r="L421" i="1"/>
  <c r="K421" i="1"/>
  <c r="J421" i="1"/>
  <c r="C421" i="1"/>
  <c r="O420" i="1"/>
  <c r="N420" i="1"/>
  <c r="L420" i="1"/>
  <c r="K420" i="1"/>
  <c r="J420" i="1"/>
  <c r="C420" i="1"/>
  <c r="O419" i="1"/>
  <c r="N419" i="1"/>
  <c r="L419" i="1"/>
  <c r="K419" i="1"/>
  <c r="J419" i="1"/>
  <c r="C419" i="1"/>
  <c r="O418" i="1"/>
  <c r="N418" i="1"/>
  <c r="L418" i="1"/>
  <c r="K418" i="1"/>
  <c r="J418" i="1"/>
  <c r="C418" i="1"/>
  <c r="O417" i="1"/>
  <c r="N417" i="1"/>
  <c r="L417" i="1"/>
  <c r="K417" i="1"/>
  <c r="J417" i="1"/>
  <c r="C417" i="1"/>
  <c r="O416" i="1"/>
  <c r="N416" i="1"/>
  <c r="L416" i="1"/>
  <c r="K416" i="1"/>
  <c r="J416" i="1"/>
  <c r="C416" i="1"/>
  <c r="O415" i="1"/>
  <c r="N415" i="1"/>
  <c r="L415" i="1"/>
  <c r="K415" i="1"/>
  <c r="J415" i="1"/>
  <c r="C415" i="1"/>
  <c r="O414" i="1"/>
  <c r="N414" i="1"/>
  <c r="L414" i="1"/>
  <c r="K414" i="1"/>
  <c r="J414" i="1"/>
  <c r="C414" i="1"/>
  <c r="O413" i="1"/>
  <c r="N413" i="1"/>
  <c r="L413" i="1"/>
  <c r="K413" i="1"/>
  <c r="J413" i="1"/>
  <c r="C413" i="1"/>
  <c r="O412" i="1"/>
  <c r="N412" i="1"/>
  <c r="L412" i="1"/>
  <c r="K412" i="1"/>
  <c r="J412" i="1"/>
  <c r="C412" i="1"/>
  <c r="O411" i="1"/>
  <c r="N411" i="1"/>
  <c r="L411" i="1"/>
  <c r="K411" i="1"/>
  <c r="J411" i="1"/>
  <c r="C411" i="1"/>
  <c r="O410" i="1"/>
  <c r="N410" i="1"/>
  <c r="L410" i="1"/>
  <c r="K410" i="1"/>
  <c r="J410" i="1"/>
  <c r="C410" i="1"/>
  <c r="O409" i="1"/>
  <c r="N409" i="1"/>
  <c r="L409" i="1"/>
  <c r="K409" i="1"/>
  <c r="J409" i="1"/>
  <c r="C409" i="1"/>
  <c r="O408" i="1"/>
  <c r="N408" i="1"/>
  <c r="L408" i="1"/>
  <c r="K408" i="1"/>
  <c r="J408" i="1"/>
  <c r="C408" i="1"/>
  <c r="O407" i="1"/>
  <c r="N407" i="1"/>
  <c r="L407" i="1"/>
  <c r="K407" i="1"/>
  <c r="J407" i="1"/>
  <c r="C407" i="1"/>
  <c r="O406" i="1"/>
  <c r="N406" i="1"/>
  <c r="L406" i="1"/>
  <c r="K406" i="1"/>
  <c r="J406" i="1"/>
  <c r="C406" i="1"/>
  <c r="O405" i="1"/>
  <c r="N405" i="1"/>
  <c r="L405" i="1"/>
  <c r="K405" i="1"/>
  <c r="J405" i="1"/>
  <c r="C405" i="1"/>
  <c r="O404" i="1"/>
  <c r="N404" i="1"/>
  <c r="L404" i="1"/>
  <c r="K404" i="1"/>
  <c r="J404" i="1"/>
  <c r="C404" i="1"/>
  <c r="O403" i="1"/>
  <c r="N403" i="1"/>
  <c r="L403" i="1"/>
  <c r="K403" i="1"/>
  <c r="J403" i="1"/>
  <c r="C403" i="1"/>
  <c r="O402" i="1"/>
  <c r="N402" i="1"/>
  <c r="L402" i="1"/>
  <c r="K402" i="1"/>
  <c r="J402" i="1"/>
  <c r="C402" i="1"/>
  <c r="O401" i="1"/>
  <c r="N401" i="1"/>
  <c r="L401" i="1"/>
  <c r="K401" i="1"/>
  <c r="J401" i="1"/>
  <c r="C401" i="1"/>
  <c r="O400" i="1"/>
  <c r="N400" i="1"/>
  <c r="L400" i="1"/>
  <c r="K400" i="1"/>
  <c r="J400" i="1"/>
  <c r="C400" i="1"/>
  <c r="O399" i="1"/>
  <c r="N399" i="1"/>
  <c r="L399" i="1"/>
  <c r="K399" i="1"/>
  <c r="J399" i="1"/>
  <c r="C399" i="1"/>
  <c r="O398" i="1"/>
  <c r="N398" i="1"/>
  <c r="L398" i="1"/>
  <c r="K398" i="1"/>
  <c r="J398" i="1"/>
  <c r="C398" i="1"/>
  <c r="O397" i="1"/>
  <c r="N397" i="1"/>
  <c r="L397" i="1"/>
  <c r="K397" i="1"/>
  <c r="J397" i="1"/>
  <c r="C397" i="1"/>
  <c r="O396" i="1"/>
  <c r="N396" i="1"/>
  <c r="L396" i="1"/>
  <c r="K396" i="1"/>
  <c r="J396" i="1"/>
  <c r="C396" i="1"/>
  <c r="O395" i="1"/>
  <c r="N395" i="1"/>
  <c r="L395" i="1"/>
  <c r="K395" i="1"/>
  <c r="J395" i="1"/>
  <c r="C395" i="1"/>
  <c r="O394" i="1"/>
  <c r="N394" i="1"/>
  <c r="L394" i="1"/>
  <c r="K394" i="1"/>
  <c r="J394" i="1"/>
  <c r="C394" i="1"/>
  <c r="O393" i="1"/>
  <c r="N393" i="1"/>
  <c r="L393" i="1"/>
  <c r="K393" i="1"/>
  <c r="J393" i="1"/>
  <c r="C393" i="1"/>
  <c r="O392" i="1"/>
  <c r="N392" i="1"/>
  <c r="L392" i="1"/>
  <c r="K392" i="1"/>
  <c r="J392" i="1"/>
  <c r="C392" i="1"/>
  <c r="O391" i="1"/>
  <c r="N391" i="1"/>
  <c r="L391" i="1"/>
  <c r="K391" i="1"/>
  <c r="J391" i="1"/>
  <c r="C391" i="1"/>
  <c r="O390" i="1"/>
  <c r="N390" i="1"/>
  <c r="L390" i="1"/>
  <c r="K390" i="1"/>
  <c r="J390" i="1"/>
  <c r="C390" i="1"/>
  <c r="O389" i="1"/>
  <c r="N389" i="1"/>
  <c r="L389" i="1"/>
  <c r="K389" i="1"/>
  <c r="J389" i="1"/>
  <c r="C389" i="1"/>
  <c r="O388" i="1"/>
  <c r="N388" i="1"/>
  <c r="L388" i="1"/>
  <c r="K388" i="1"/>
  <c r="J388" i="1"/>
  <c r="C388" i="1"/>
  <c r="O387" i="1"/>
  <c r="N387" i="1"/>
  <c r="L387" i="1"/>
  <c r="K387" i="1"/>
  <c r="J387" i="1"/>
  <c r="C387" i="1"/>
  <c r="O386" i="1"/>
  <c r="N386" i="1"/>
  <c r="L386" i="1"/>
  <c r="K386" i="1"/>
  <c r="J386" i="1"/>
  <c r="C386" i="1"/>
  <c r="O385" i="1"/>
  <c r="N385" i="1"/>
  <c r="L385" i="1"/>
  <c r="K385" i="1"/>
  <c r="J385" i="1"/>
  <c r="C385" i="1"/>
  <c r="O384" i="1"/>
  <c r="N384" i="1"/>
  <c r="L384" i="1"/>
  <c r="K384" i="1"/>
  <c r="J384" i="1"/>
  <c r="C384" i="1"/>
  <c r="O383" i="1"/>
  <c r="N383" i="1"/>
  <c r="L383" i="1"/>
  <c r="K383" i="1"/>
  <c r="J383" i="1"/>
  <c r="C383" i="1"/>
  <c r="O382" i="1"/>
  <c r="N382" i="1"/>
  <c r="L382" i="1"/>
  <c r="K382" i="1"/>
  <c r="J382" i="1"/>
  <c r="C382" i="1"/>
  <c r="O381" i="1"/>
  <c r="N381" i="1"/>
  <c r="L381" i="1"/>
  <c r="K381" i="1"/>
  <c r="J381" i="1"/>
  <c r="C381" i="1"/>
  <c r="O380" i="1"/>
  <c r="N380" i="1"/>
  <c r="L380" i="1"/>
  <c r="K380" i="1"/>
  <c r="J380" i="1"/>
  <c r="C380" i="1"/>
  <c r="O379" i="1"/>
  <c r="N379" i="1"/>
  <c r="L379" i="1"/>
  <c r="K379" i="1"/>
  <c r="J379" i="1"/>
  <c r="C379" i="1"/>
  <c r="O378" i="1"/>
  <c r="N378" i="1"/>
  <c r="L378" i="1"/>
  <c r="K378" i="1"/>
  <c r="J378" i="1"/>
  <c r="C378" i="1"/>
  <c r="O377" i="1"/>
  <c r="N377" i="1"/>
  <c r="L377" i="1"/>
  <c r="K377" i="1"/>
  <c r="J377" i="1"/>
  <c r="C377" i="1"/>
  <c r="O376" i="1"/>
  <c r="N376" i="1"/>
  <c r="L376" i="1"/>
  <c r="K376" i="1"/>
  <c r="J376" i="1"/>
  <c r="C376" i="1"/>
  <c r="O375" i="1"/>
  <c r="N375" i="1"/>
  <c r="L375" i="1"/>
  <c r="K375" i="1"/>
  <c r="J375" i="1"/>
  <c r="C375" i="1"/>
  <c r="O374" i="1"/>
  <c r="N374" i="1"/>
  <c r="L374" i="1"/>
  <c r="K374" i="1"/>
  <c r="J374" i="1"/>
  <c r="C374" i="1"/>
  <c r="O373" i="1"/>
  <c r="N373" i="1"/>
  <c r="L373" i="1"/>
  <c r="K373" i="1"/>
  <c r="J373" i="1"/>
  <c r="C373" i="1"/>
  <c r="O372" i="1"/>
  <c r="N372" i="1"/>
  <c r="L372" i="1"/>
  <c r="K372" i="1"/>
  <c r="J372" i="1"/>
  <c r="C372" i="1"/>
  <c r="O371" i="1"/>
  <c r="N371" i="1"/>
  <c r="L371" i="1"/>
  <c r="K371" i="1"/>
  <c r="J371" i="1"/>
  <c r="C371" i="1"/>
  <c r="O370" i="1"/>
  <c r="N370" i="1"/>
  <c r="L370" i="1"/>
  <c r="K370" i="1"/>
  <c r="J370" i="1"/>
  <c r="C370" i="1"/>
  <c r="O369" i="1"/>
  <c r="N369" i="1"/>
  <c r="L369" i="1"/>
  <c r="K369" i="1"/>
  <c r="J369" i="1"/>
  <c r="C369" i="1"/>
  <c r="O368" i="1"/>
  <c r="N368" i="1"/>
  <c r="L368" i="1"/>
  <c r="K368" i="1"/>
  <c r="J368" i="1"/>
  <c r="C368" i="1"/>
  <c r="O367" i="1"/>
  <c r="N367" i="1"/>
  <c r="L367" i="1"/>
  <c r="K367" i="1"/>
  <c r="J367" i="1"/>
  <c r="C367" i="1"/>
  <c r="O366" i="1"/>
  <c r="N366" i="1"/>
  <c r="L366" i="1"/>
  <c r="K366" i="1"/>
  <c r="J366" i="1"/>
  <c r="C366" i="1"/>
  <c r="O365" i="1"/>
  <c r="N365" i="1"/>
  <c r="L365" i="1"/>
  <c r="K365" i="1"/>
  <c r="J365" i="1"/>
  <c r="C365" i="1"/>
  <c r="O364" i="1"/>
  <c r="N364" i="1"/>
  <c r="L364" i="1"/>
  <c r="K364" i="1"/>
  <c r="J364" i="1"/>
  <c r="C364" i="1"/>
  <c r="O363" i="1"/>
  <c r="N363" i="1"/>
  <c r="L363" i="1"/>
  <c r="K363" i="1"/>
  <c r="J363" i="1"/>
  <c r="C363" i="1"/>
  <c r="O362" i="1"/>
  <c r="N362" i="1"/>
  <c r="L362" i="1"/>
  <c r="K362" i="1"/>
  <c r="J362" i="1"/>
  <c r="C362" i="1"/>
  <c r="O361" i="1"/>
  <c r="N361" i="1"/>
  <c r="L361" i="1"/>
  <c r="K361" i="1"/>
  <c r="J361" i="1"/>
  <c r="C361" i="1"/>
  <c r="O360" i="1"/>
  <c r="N360" i="1"/>
  <c r="L360" i="1"/>
  <c r="K360" i="1"/>
  <c r="J360" i="1"/>
  <c r="C360" i="1"/>
  <c r="O359" i="1"/>
  <c r="N359" i="1"/>
  <c r="L359" i="1"/>
  <c r="K359" i="1"/>
  <c r="J359" i="1"/>
  <c r="C359" i="1"/>
  <c r="O358" i="1"/>
  <c r="N358" i="1"/>
  <c r="L358" i="1"/>
  <c r="K358" i="1"/>
  <c r="J358" i="1"/>
  <c r="C358" i="1"/>
  <c r="O357" i="1"/>
  <c r="N357" i="1"/>
  <c r="L357" i="1"/>
  <c r="K357" i="1"/>
  <c r="J357" i="1"/>
  <c r="C357" i="1"/>
  <c r="O356" i="1"/>
  <c r="N356" i="1"/>
  <c r="L356" i="1"/>
  <c r="K356" i="1"/>
  <c r="J356" i="1"/>
  <c r="C356" i="1"/>
  <c r="O355" i="1"/>
  <c r="N355" i="1"/>
  <c r="L355" i="1"/>
  <c r="K355" i="1"/>
  <c r="J355" i="1"/>
  <c r="C355" i="1"/>
  <c r="O354" i="1"/>
  <c r="N354" i="1"/>
  <c r="L354" i="1"/>
  <c r="K354" i="1"/>
  <c r="J354" i="1"/>
  <c r="C354" i="1"/>
  <c r="O353" i="1"/>
  <c r="N353" i="1"/>
  <c r="L353" i="1"/>
  <c r="K353" i="1"/>
  <c r="J353" i="1"/>
  <c r="C353" i="1"/>
  <c r="O352" i="1"/>
  <c r="N352" i="1"/>
  <c r="L352" i="1"/>
  <c r="K352" i="1"/>
  <c r="J352" i="1"/>
  <c r="C352" i="1"/>
  <c r="O351" i="1"/>
  <c r="N351" i="1"/>
  <c r="L351" i="1"/>
  <c r="K351" i="1"/>
  <c r="J351" i="1"/>
  <c r="C351" i="1"/>
  <c r="O350" i="1"/>
  <c r="N350" i="1"/>
  <c r="L350" i="1"/>
  <c r="K350" i="1"/>
  <c r="J350" i="1"/>
  <c r="C350" i="1"/>
  <c r="O349" i="1"/>
  <c r="N349" i="1"/>
  <c r="L349" i="1"/>
  <c r="K349" i="1"/>
  <c r="J349" i="1"/>
  <c r="C349" i="1"/>
  <c r="O348" i="1"/>
  <c r="N348" i="1"/>
  <c r="L348" i="1"/>
  <c r="K348" i="1"/>
  <c r="J348" i="1"/>
  <c r="C348" i="1"/>
  <c r="O347" i="1"/>
  <c r="N347" i="1"/>
  <c r="L347" i="1"/>
  <c r="K347" i="1"/>
  <c r="J347" i="1"/>
  <c r="C347" i="1"/>
  <c r="O346" i="1"/>
  <c r="N346" i="1"/>
  <c r="L346" i="1"/>
  <c r="K346" i="1"/>
  <c r="J346" i="1"/>
  <c r="C346" i="1"/>
  <c r="O345" i="1"/>
  <c r="N345" i="1"/>
  <c r="L345" i="1"/>
  <c r="K345" i="1"/>
  <c r="J345" i="1"/>
  <c r="C345" i="1"/>
  <c r="O344" i="1"/>
  <c r="N344" i="1"/>
  <c r="L344" i="1"/>
  <c r="K344" i="1"/>
  <c r="J344" i="1"/>
  <c r="C344" i="1"/>
  <c r="O343" i="1"/>
  <c r="N343" i="1"/>
  <c r="L343" i="1"/>
  <c r="K343" i="1"/>
  <c r="J343" i="1"/>
  <c r="C343" i="1"/>
  <c r="O342" i="1"/>
  <c r="N342" i="1"/>
  <c r="L342" i="1"/>
  <c r="K342" i="1"/>
  <c r="J342" i="1"/>
  <c r="C342" i="1"/>
  <c r="O341" i="1"/>
  <c r="N341" i="1"/>
  <c r="L341" i="1"/>
  <c r="K341" i="1"/>
  <c r="J341" i="1"/>
  <c r="C341" i="1"/>
  <c r="O340" i="1"/>
  <c r="N340" i="1"/>
  <c r="L340" i="1"/>
  <c r="K340" i="1"/>
  <c r="J340" i="1"/>
  <c r="C340" i="1"/>
  <c r="O339" i="1"/>
  <c r="N339" i="1"/>
  <c r="L339" i="1"/>
  <c r="K339" i="1"/>
  <c r="J339" i="1"/>
  <c r="C339" i="1"/>
  <c r="O338" i="1"/>
  <c r="N338" i="1"/>
  <c r="L338" i="1"/>
  <c r="K338" i="1"/>
  <c r="J338" i="1"/>
  <c r="C338" i="1"/>
  <c r="O337" i="1"/>
  <c r="N337" i="1"/>
  <c r="L337" i="1"/>
  <c r="K337" i="1"/>
  <c r="J337" i="1"/>
  <c r="C337" i="1"/>
  <c r="O336" i="1"/>
  <c r="N336" i="1"/>
  <c r="L336" i="1"/>
  <c r="K336" i="1"/>
  <c r="J336" i="1"/>
  <c r="C336" i="1"/>
  <c r="O335" i="1"/>
  <c r="N335" i="1"/>
  <c r="L335" i="1"/>
  <c r="K335" i="1"/>
  <c r="J335" i="1"/>
  <c r="C335" i="1"/>
  <c r="O334" i="1"/>
  <c r="N334" i="1"/>
  <c r="L334" i="1"/>
  <c r="K334" i="1"/>
  <c r="J334" i="1"/>
  <c r="C334" i="1"/>
  <c r="O333" i="1"/>
  <c r="N333" i="1"/>
  <c r="L333" i="1"/>
  <c r="K333" i="1"/>
  <c r="J333" i="1"/>
  <c r="C333" i="1"/>
  <c r="O332" i="1"/>
  <c r="N332" i="1"/>
  <c r="L332" i="1"/>
  <c r="K332" i="1"/>
  <c r="J332" i="1"/>
  <c r="C332" i="1"/>
  <c r="O331" i="1"/>
  <c r="N331" i="1"/>
  <c r="L331" i="1"/>
  <c r="K331" i="1"/>
  <c r="J331" i="1"/>
  <c r="C331" i="1"/>
  <c r="O330" i="1"/>
  <c r="N330" i="1"/>
  <c r="L330" i="1"/>
  <c r="K330" i="1"/>
  <c r="J330" i="1"/>
  <c r="C330" i="1"/>
  <c r="O329" i="1"/>
  <c r="N329" i="1"/>
  <c r="L329" i="1"/>
  <c r="K329" i="1"/>
  <c r="J329" i="1"/>
  <c r="C329" i="1"/>
  <c r="O328" i="1"/>
  <c r="N328" i="1"/>
  <c r="L328" i="1"/>
  <c r="K328" i="1"/>
  <c r="J328" i="1"/>
  <c r="C328" i="1"/>
  <c r="O327" i="1"/>
  <c r="N327" i="1"/>
  <c r="L327" i="1"/>
  <c r="K327" i="1"/>
  <c r="J327" i="1"/>
  <c r="C327" i="1"/>
  <c r="O326" i="1"/>
  <c r="N326" i="1"/>
  <c r="L326" i="1"/>
  <c r="K326" i="1"/>
  <c r="J326" i="1"/>
  <c r="C326" i="1"/>
  <c r="O325" i="1"/>
  <c r="N325" i="1"/>
  <c r="L325" i="1"/>
  <c r="K325" i="1"/>
  <c r="J325" i="1"/>
  <c r="C325" i="1"/>
  <c r="O324" i="1"/>
  <c r="N324" i="1"/>
  <c r="L324" i="1"/>
  <c r="K324" i="1"/>
  <c r="J324" i="1"/>
  <c r="C324" i="1"/>
  <c r="O323" i="1"/>
  <c r="N323" i="1"/>
  <c r="L323" i="1"/>
  <c r="K323" i="1"/>
  <c r="J323" i="1"/>
  <c r="C323" i="1"/>
  <c r="O322" i="1"/>
  <c r="N322" i="1"/>
  <c r="L322" i="1"/>
  <c r="K322" i="1"/>
  <c r="J322" i="1"/>
  <c r="C322" i="1"/>
  <c r="O321" i="1"/>
  <c r="N321" i="1"/>
  <c r="L321" i="1"/>
  <c r="K321" i="1"/>
  <c r="J321" i="1"/>
  <c r="C321" i="1"/>
  <c r="O320" i="1"/>
  <c r="N320" i="1"/>
  <c r="L320" i="1"/>
  <c r="K320" i="1"/>
  <c r="J320" i="1"/>
  <c r="C320" i="1"/>
  <c r="O319" i="1"/>
  <c r="N319" i="1"/>
  <c r="L319" i="1"/>
  <c r="K319" i="1"/>
  <c r="J319" i="1"/>
  <c r="C319" i="1"/>
  <c r="O318" i="1"/>
  <c r="N318" i="1"/>
  <c r="L318" i="1"/>
  <c r="K318" i="1"/>
  <c r="J318" i="1"/>
  <c r="C318" i="1"/>
  <c r="O317" i="1"/>
  <c r="N317" i="1"/>
  <c r="L317" i="1"/>
  <c r="K317" i="1"/>
  <c r="J317" i="1"/>
  <c r="C317" i="1"/>
  <c r="O316" i="1"/>
  <c r="N316" i="1"/>
  <c r="L316" i="1"/>
  <c r="K316" i="1"/>
  <c r="J316" i="1"/>
  <c r="C316" i="1"/>
  <c r="O315" i="1"/>
  <c r="N315" i="1"/>
  <c r="L315" i="1"/>
  <c r="K315" i="1"/>
  <c r="J315" i="1"/>
  <c r="C315" i="1"/>
  <c r="O314" i="1"/>
  <c r="N314" i="1"/>
  <c r="L314" i="1"/>
  <c r="K314" i="1"/>
  <c r="J314" i="1"/>
  <c r="C314" i="1"/>
  <c r="O313" i="1"/>
  <c r="N313" i="1"/>
  <c r="L313" i="1"/>
  <c r="K313" i="1"/>
  <c r="J313" i="1"/>
  <c r="C313" i="1"/>
  <c r="O312" i="1"/>
  <c r="N312" i="1"/>
  <c r="L312" i="1"/>
  <c r="K312" i="1"/>
  <c r="J312" i="1"/>
  <c r="C312" i="1"/>
  <c r="O311" i="1"/>
  <c r="N311" i="1"/>
  <c r="L311" i="1"/>
  <c r="K311" i="1"/>
  <c r="J311" i="1"/>
  <c r="C311" i="1"/>
  <c r="O310" i="1"/>
  <c r="N310" i="1"/>
  <c r="L310" i="1"/>
  <c r="K310" i="1"/>
  <c r="J310" i="1"/>
  <c r="C310" i="1"/>
  <c r="O309" i="1"/>
  <c r="N309" i="1"/>
  <c r="L309" i="1"/>
  <c r="K309" i="1"/>
  <c r="J309" i="1"/>
  <c r="C309" i="1"/>
  <c r="O308" i="1"/>
  <c r="N308" i="1"/>
  <c r="L308" i="1"/>
  <c r="K308" i="1"/>
  <c r="J308" i="1"/>
  <c r="C308" i="1"/>
  <c r="O307" i="1"/>
  <c r="N307" i="1"/>
  <c r="L307" i="1"/>
  <c r="K307" i="1"/>
  <c r="J307" i="1"/>
  <c r="C307" i="1"/>
  <c r="O306" i="1"/>
  <c r="N306" i="1"/>
  <c r="L306" i="1"/>
  <c r="K306" i="1"/>
  <c r="J306" i="1"/>
  <c r="C306" i="1"/>
  <c r="O305" i="1"/>
  <c r="N305" i="1"/>
  <c r="L305" i="1"/>
  <c r="K305" i="1"/>
  <c r="J305" i="1"/>
  <c r="C305" i="1"/>
  <c r="O304" i="1"/>
  <c r="N304" i="1"/>
  <c r="L304" i="1"/>
  <c r="K304" i="1"/>
  <c r="J304" i="1"/>
  <c r="C304" i="1"/>
  <c r="O303" i="1"/>
  <c r="N303" i="1"/>
  <c r="L303" i="1"/>
  <c r="K303" i="1"/>
  <c r="J303" i="1"/>
  <c r="C303" i="1"/>
  <c r="O302" i="1"/>
  <c r="N302" i="1"/>
  <c r="L302" i="1"/>
  <c r="K302" i="1"/>
  <c r="J302" i="1"/>
  <c r="C302" i="1"/>
  <c r="O301" i="1"/>
  <c r="N301" i="1"/>
  <c r="L301" i="1"/>
  <c r="K301" i="1"/>
  <c r="J301" i="1"/>
  <c r="C301" i="1"/>
  <c r="O300" i="1"/>
  <c r="N300" i="1"/>
  <c r="L300" i="1"/>
  <c r="K300" i="1"/>
  <c r="J300" i="1"/>
  <c r="C300" i="1"/>
  <c r="O299" i="1"/>
  <c r="N299" i="1"/>
  <c r="L299" i="1"/>
  <c r="K299" i="1"/>
  <c r="J299" i="1"/>
  <c r="C299" i="1"/>
  <c r="O298" i="1"/>
  <c r="N298" i="1"/>
  <c r="L298" i="1"/>
  <c r="K298" i="1"/>
  <c r="J298" i="1"/>
  <c r="C298" i="1"/>
  <c r="O297" i="1"/>
  <c r="N297" i="1"/>
  <c r="L297" i="1"/>
  <c r="K297" i="1"/>
  <c r="J297" i="1"/>
  <c r="C297" i="1"/>
  <c r="O296" i="1"/>
  <c r="N296" i="1"/>
  <c r="L296" i="1"/>
  <c r="K296" i="1"/>
  <c r="J296" i="1"/>
  <c r="C296" i="1"/>
  <c r="O295" i="1"/>
  <c r="N295" i="1"/>
  <c r="L295" i="1"/>
  <c r="K295" i="1"/>
  <c r="J295" i="1"/>
  <c r="C295" i="1"/>
  <c r="O294" i="1"/>
  <c r="N294" i="1"/>
  <c r="L294" i="1"/>
  <c r="K294" i="1"/>
  <c r="J294" i="1"/>
  <c r="C294" i="1"/>
  <c r="O293" i="1"/>
  <c r="N293" i="1"/>
  <c r="L293" i="1"/>
  <c r="K293" i="1"/>
  <c r="J293" i="1"/>
  <c r="C293" i="1"/>
  <c r="O292" i="1"/>
  <c r="N292" i="1"/>
  <c r="L292" i="1"/>
  <c r="K292" i="1"/>
  <c r="J292" i="1"/>
  <c r="C292" i="1"/>
  <c r="O291" i="1"/>
  <c r="N291" i="1"/>
  <c r="L291" i="1"/>
  <c r="K291" i="1"/>
  <c r="J291" i="1"/>
  <c r="C291" i="1"/>
  <c r="O290" i="1"/>
  <c r="N290" i="1"/>
  <c r="L290" i="1"/>
  <c r="K290" i="1"/>
  <c r="J290" i="1"/>
  <c r="C290" i="1"/>
  <c r="O289" i="1"/>
  <c r="N289" i="1"/>
  <c r="L289" i="1"/>
  <c r="K289" i="1"/>
  <c r="J289" i="1"/>
  <c r="C289" i="1"/>
  <c r="O288" i="1"/>
  <c r="N288" i="1"/>
  <c r="L288" i="1"/>
  <c r="K288" i="1"/>
  <c r="J288" i="1"/>
  <c r="C288" i="1"/>
  <c r="O287" i="1"/>
  <c r="N287" i="1"/>
  <c r="L287" i="1"/>
  <c r="K287" i="1"/>
  <c r="J287" i="1"/>
  <c r="C287" i="1"/>
  <c r="O286" i="1"/>
  <c r="N286" i="1"/>
  <c r="L286" i="1"/>
  <c r="K286" i="1"/>
  <c r="J286" i="1"/>
  <c r="C286" i="1"/>
  <c r="O285" i="1"/>
  <c r="N285" i="1"/>
  <c r="L285" i="1"/>
  <c r="K285" i="1"/>
  <c r="J285" i="1"/>
  <c r="C285" i="1"/>
  <c r="O284" i="1"/>
  <c r="N284" i="1"/>
  <c r="L284" i="1"/>
  <c r="K284" i="1"/>
  <c r="J284" i="1"/>
  <c r="C284" i="1"/>
  <c r="O283" i="1"/>
  <c r="N283" i="1"/>
  <c r="L283" i="1"/>
  <c r="K283" i="1"/>
  <c r="J283" i="1"/>
  <c r="C283" i="1"/>
  <c r="O282" i="1"/>
  <c r="N282" i="1"/>
  <c r="L282" i="1"/>
  <c r="K282" i="1"/>
  <c r="J282" i="1"/>
  <c r="C282" i="1"/>
  <c r="O281" i="1"/>
  <c r="N281" i="1"/>
  <c r="L281" i="1"/>
  <c r="K281" i="1"/>
  <c r="J281" i="1"/>
  <c r="C281" i="1"/>
  <c r="O280" i="1"/>
  <c r="N280" i="1"/>
  <c r="L280" i="1"/>
  <c r="K280" i="1"/>
  <c r="J280" i="1"/>
  <c r="C280" i="1"/>
  <c r="O279" i="1"/>
  <c r="N279" i="1"/>
  <c r="L279" i="1"/>
  <c r="K279" i="1"/>
  <c r="J279" i="1"/>
  <c r="C279" i="1"/>
  <c r="O278" i="1"/>
  <c r="N278" i="1"/>
  <c r="L278" i="1"/>
  <c r="K278" i="1"/>
  <c r="J278" i="1"/>
  <c r="C278" i="1"/>
  <c r="O277" i="1"/>
  <c r="N277" i="1"/>
  <c r="L277" i="1"/>
  <c r="K277" i="1"/>
  <c r="J277" i="1"/>
  <c r="C277" i="1"/>
  <c r="O276" i="1"/>
  <c r="N276" i="1"/>
  <c r="L276" i="1"/>
  <c r="K276" i="1"/>
  <c r="J276" i="1"/>
  <c r="C276" i="1"/>
  <c r="O275" i="1"/>
  <c r="N275" i="1"/>
  <c r="L275" i="1"/>
  <c r="K275" i="1"/>
  <c r="J275" i="1"/>
  <c r="C275" i="1"/>
  <c r="O274" i="1"/>
  <c r="N274" i="1"/>
  <c r="L274" i="1"/>
  <c r="K274" i="1"/>
  <c r="J274" i="1"/>
  <c r="C274" i="1"/>
  <c r="O273" i="1"/>
  <c r="N273" i="1"/>
  <c r="L273" i="1"/>
  <c r="K273" i="1"/>
  <c r="J273" i="1"/>
  <c r="C273" i="1"/>
  <c r="O272" i="1"/>
  <c r="N272" i="1"/>
  <c r="L272" i="1"/>
  <c r="K272" i="1"/>
  <c r="J272" i="1"/>
  <c r="C272" i="1"/>
  <c r="O271" i="1"/>
  <c r="N271" i="1"/>
  <c r="L271" i="1"/>
  <c r="K271" i="1"/>
  <c r="J271" i="1"/>
  <c r="C271" i="1"/>
  <c r="O270" i="1"/>
  <c r="N270" i="1"/>
  <c r="L270" i="1"/>
  <c r="K270" i="1"/>
  <c r="J270" i="1"/>
  <c r="C270" i="1"/>
  <c r="O269" i="1"/>
  <c r="N269" i="1"/>
  <c r="L269" i="1"/>
  <c r="K269" i="1"/>
  <c r="J269" i="1"/>
  <c r="C269" i="1"/>
  <c r="O268" i="1"/>
  <c r="N268" i="1"/>
  <c r="L268" i="1"/>
  <c r="K268" i="1"/>
  <c r="J268" i="1"/>
  <c r="C268" i="1"/>
  <c r="O267" i="1"/>
  <c r="N267" i="1"/>
  <c r="L267" i="1"/>
  <c r="K267" i="1"/>
  <c r="J267" i="1"/>
  <c r="C267" i="1"/>
  <c r="O266" i="1"/>
  <c r="N266" i="1"/>
  <c r="L266" i="1"/>
  <c r="K266" i="1"/>
  <c r="J266" i="1"/>
  <c r="C266" i="1"/>
  <c r="O265" i="1"/>
  <c r="N265" i="1"/>
  <c r="L265" i="1"/>
  <c r="K265" i="1"/>
  <c r="J265" i="1"/>
  <c r="C265" i="1"/>
  <c r="O264" i="1"/>
  <c r="N264" i="1"/>
  <c r="L264" i="1"/>
  <c r="K264" i="1"/>
  <c r="J264" i="1"/>
  <c r="C264" i="1"/>
  <c r="O263" i="1"/>
  <c r="N263" i="1"/>
  <c r="L263" i="1"/>
  <c r="K263" i="1"/>
  <c r="J263" i="1"/>
  <c r="C263" i="1"/>
  <c r="O262" i="1"/>
  <c r="N262" i="1"/>
  <c r="L262" i="1"/>
  <c r="K262" i="1"/>
  <c r="J262" i="1"/>
  <c r="C262" i="1"/>
  <c r="O261" i="1"/>
  <c r="N261" i="1"/>
  <c r="L261" i="1"/>
  <c r="K261" i="1"/>
  <c r="J261" i="1"/>
  <c r="C261" i="1"/>
  <c r="O260" i="1"/>
  <c r="N260" i="1"/>
  <c r="L260" i="1"/>
  <c r="K260" i="1"/>
  <c r="J260" i="1"/>
  <c r="C260" i="1"/>
  <c r="O259" i="1"/>
  <c r="N259" i="1"/>
  <c r="L259" i="1"/>
  <c r="K259" i="1"/>
  <c r="J259" i="1"/>
  <c r="C259" i="1"/>
  <c r="O258" i="1"/>
  <c r="N258" i="1"/>
  <c r="L258" i="1"/>
  <c r="K258" i="1"/>
  <c r="J258" i="1"/>
  <c r="C258" i="1"/>
  <c r="O257" i="1"/>
  <c r="N257" i="1"/>
  <c r="L257" i="1"/>
  <c r="K257" i="1"/>
  <c r="J257" i="1"/>
  <c r="C257" i="1"/>
  <c r="O256" i="1"/>
  <c r="N256" i="1"/>
  <c r="L256" i="1"/>
  <c r="K256" i="1"/>
  <c r="J256" i="1"/>
  <c r="C256" i="1"/>
  <c r="O255" i="1"/>
  <c r="N255" i="1"/>
  <c r="L255" i="1"/>
  <c r="K255" i="1"/>
  <c r="J255" i="1"/>
  <c r="C255" i="1"/>
  <c r="O254" i="1"/>
  <c r="N254" i="1"/>
  <c r="L254" i="1"/>
  <c r="K254" i="1"/>
  <c r="J254" i="1"/>
  <c r="C254" i="1"/>
  <c r="O253" i="1"/>
  <c r="N253" i="1"/>
  <c r="L253" i="1"/>
  <c r="K253" i="1"/>
  <c r="J253" i="1"/>
  <c r="C253" i="1"/>
  <c r="O252" i="1"/>
  <c r="N252" i="1"/>
  <c r="L252" i="1"/>
  <c r="K252" i="1"/>
  <c r="J252" i="1"/>
  <c r="C252" i="1"/>
  <c r="O251" i="1"/>
  <c r="N251" i="1"/>
  <c r="L251" i="1"/>
  <c r="K251" i="1"/>
  <c r="J251" i="1"/>
  <c r="C251" i="1"/>
  <c r="O250" i="1"/>
  <c r="N250" i="1"/>
  <c r="L250" i="1"/>
  <c r="K250" i="1"/>
  <c r="J250" i="1"/>
  <c r="C250" i="1"/>
  <c r="O249" i="1"/>
  <c r="N249" i="1"/>
  <c r="L249" i="1"/>
  <c r="K249" i="1"/>
  <c r="J249" i="1"/>
  <c r="C249" i="1"/>
  <c r="O248" i="1"/>
  <c r="N248" i="1"/>
  <c r="L248" i="1"/>
  <c r="K248" i="1"/>
  <c r="J248" i="1"/>
  <c r="C248" i="1"/>
  <c r="O247" i="1"/>
  <c r="N247" i="1"/>
  <c r="L247" i="1"/>
  <c r="K247" i="1"/>
  <c r="J247" i="1"/>
  <c r="C247" i="1"/>
  <c r="O246" i="1"/>
  <c r="N246" i="1"/>
  <c r="L246" i="1"/>
  <c r="K246" i="1"/>
  <c r="J246" i="1"/>
  <c r="C246" i="1"/>
  <c r="O245" i="1"/>
  <c r="N245" i="1"/>
  <c r="L245" i="1"/>
  <c r="K245" i="1"/>
  <c r="J245" i="1"/>
  <c r="C245" i="1"/>
  <c r="O244" i="1"/>
  <c r="N244" i="1"/>
  <c r="L244" i="1"/>
  <c r="K244" i="1"/>
  <c r="J244" i="1"/>
  <c r="C244" i="1"/>
  <c r="O243" i="1"/>
  <c r="N243" i="1"/>
  <c r="L243" i="1"/>
  <c r="K243" i="1"/>
  <c r="J243" i="1"/>
  <c r="C243" i="1"/>
  <c r="O242" i="1"/>
  <c r="N242" i="1"/>
  <c r="L242" i="1"/>
  <c r="K242" i="1"/>
  <c r="J242" i="1"/>
  <c r="C242" i="1"/>
  <c r="O241" i="1"/>
  <c r="N241" i="1"/>
  <c r="L241" i="1"/>
  <c r="K241" i="1"/>
  <c r="J241" i="1"/>
  <c r="C241" i="1"/>
  <c r="O240" i="1"/>
  <c r="N240" i="1"/>
  <c r="L240" i="1"/>
  <c r="K240" i="1"/>
  <c r="J240" i="1"/>
  <c r="C240" i="1"/>
  <c r="O239" i="1"/>
  <c r="N239" i="1"/>
  <c r="L239" i="1"/>
  <c r="K239" i="1"/>
  <c r="J239" i="1"/>
  <c r="C239" i="1"/>
  <c r="O238" i="1"/>
  <c r="N238" i="1"/>
  <c r="L238" i="1"/>
  <c r="K238" i="1"/>
  <c r="J238" i="1"/>
  <c r="C238" i="1"/>
  <c r="O237" i="1"/>
  <c r="N237" i="1"/>
  <c r="L237" i="1"/>
  <c r="K237" i="1"/>
  <c r="J237" i="1"/>
  <c r="C237" i="1"/>
  <c r="O236" i="1"/>
  <c r="N236" i="1"/>
  <c r="L236" i="1"/>
  <c r="K236" i="1"/>
  <c r="J236" i="1"/>
  <c r="C236" i="1"/>
  <c r="O235" i="1"/>
  <c r="N235" i="1"/>
  <c r="L235" i="1"/>
  <c r="K235" i="1"/>
  <c r="J235" i="1"/>
  <c r="C235" i="1"/>
  <c r="O234" i="1"/>
  <c r="N234" i="1"/>
  <c r="L234" i="1"/>
  <c r="K234" i="1"/>
  <c r="J234" i="1"/>
  <c r="C234" i="1"/>
  <c r="O233" i="1"/>
  <c r="N233" i="1"/>
  <c r="L233" i="1"/>
  <c r="K233" i="1"/>
  <c r="J233" i="1"/>
  <c r="C233" i="1"/>
  <c r="O232" i="1"/>
  <c r="N232" i="1"/>
  <c r="L232" i="1"/>
  <c r="K232" i="1"/>
  <c r="J232" i="1"/>
  <c r="C232" i="1"/>
  <c r="O231" i="1"/>
  <c r="N231" i="1"/>
  <c r="L231" i="1"/>
  <c r="K231" i="1"/>
  <c r="J231" i="1"/>
  <c r="C231" i="1"/>
  <c r="O230" i="1"/>
  <c r="N230" i="1"/>
  <c r="L230" i="1"/>
  <c r="K230" i="1"/>
  <c r="J230" i="1"/>
  <c r="C230" i="1"/>
  <c r="O229" i="1"/>
  <c r="N229" i="1"/>
  <c r="L229" i="1"/>
  <c r="K229" i="1"/>
  <c r="J229" i="1"/>
  <c r="C229" i="1"/>
  <c r="O228" i="1"/>
  <c r="N228" i="1"/>
  <c r="L228" i="1"/>
  <c r="K228" i="1"/>
  <c r="J228" i="1"/>
  <c r="C228" i="1"/>
  <c r="O227" i="1"/>
  <c r="N227" i="1"/>
  <c r="L227" i="1"/>
  <c r="K227" i="1"/>
  <c r="J227" i="1"/>
  <c r="C227" i="1"/>
  <c r="O226" i="1"/>
  <c r="N226" i="1"/>
  <c r="L226" i="1"/>
  <c r="K226" i="1"/>
  <c r="J226" i="1"/>
  <c r="C226" i="1"/>
  <c r="O225" i="1"/>
  <c r="N225" i="1"/>
  <c r="L225" i="1"/>
  <c r="K225" i="1"/>
  <c r="J225" i="1"/>
  <c r="C225" i="1"/>
  <c r="O224" i="1"/>
  <c r="N224" i="1"/>
  <c r="L224" i="1"/>
  <c r="K224" i="1"/>
  <c r="J224" i="1"/>
  <c r="C224" i="1"/>
  <c r="O223" i="1"/>
  <c r="N223" i="1"/>
  <c r="L223" i="1"/>
  <c r="K223" i="1"/>
  <c r="J223" i="1"/>
  <c r="C223" i="1"/>
  <c r="O222" i="1"/>
  <c r="N222" i="1"/>
  <c r="L222" i="1"/>
  <c r="K222" i="1"/>
  <c r="J222" i="1"/>
  <c r="C222" i="1"/>
  <c r="O221" i="1"/>
  <c r="N221" i="1"/>
  <c r="L221" i="1"/>
  <c r="K221" i="1"/>
  <c r="J221" i="1"/>
  <c r="C221" i="1"/>
  <c r="O220" i="1"/>
  <c r="N220" i="1"/>
  <c r="L220" i="1"/>
  <c r="K220" i="1"/>
  <c r="J220" i="1"/>
  <c r="C220" i="1"/>
  <c r="O219" i="1"/>
  <c r="N219" i="1"/>
  <c r="L219" i="1"/>
  <c r="K219" i="1"/>
  <c r="J219" i="1"/>
  <c r="C219" i="1"/>
  <c r="O218" i="1"/>
  <c r="N218" i="1"/>
  <c r="L218" i="1"/>
  <c r="K218" i="1"/>
  <c r="J218" i="1"/>
  <c r="C218" i="1"/>
  <c r="O217" i="1"/>
  <c r="N217" i="1"/>
  <c r="L217" i="1"/>
  <c r="K217" i="1"/>
  <c r="J217" i="1"/>
  <c r="C217" i="1"/>
  <c r="O216" i="1"/>
  <c r="N216" i="1"/>
  <c r="L216" i="1"/>
  <c r="K216" i="1"/>
  <c r="J216" i="1"/>
  <c r="C216" i="1"/>
  <c r="O215" i="1"/>
  <c r="N215" i="1"/>
  <c r="L215" i="1"/>
  <c r="K215" i="1"/>
  <c r="J215" i="1"/>
  <c r="C215" i="1"/>
  <c r="O214" i="1"/>
  <c r="N214" i="1"/>
  <c r="L214" i="1"/>
  <c r="K214" i="1"/>
  <c r="J214" i="1"/>
  <c r="C214" i="1"/>
  <c r="O213" i="1"/>
  <c r="N213" i="1"/>
  <c r="L213" i="1"/>
  <c r="K213" i="1"/>
  <c r="J213" i="1"/>
  <c r="C213" i="1"/>
  <c r="O212" i="1"/>
  <c r="N212" i="1"/>
  <c r="L212" i="1"/>
  <c r="K212" i="1"/>
  <c r="J212" i="1"/>
  <c r="C212" i="1"/>
  <c r="O211" i="1"/>
  <c r="N211" i="1"/>
  <c r="L211" i="1"/>
  <c r="K211" i="1"/>
  <c r="J211" i="1"/>
  <c r="C211" i="1"/>
  <c r="O210" i="1"/>
  <c r="N210" i="1"/>
  <c r="L210" i="1"/>
  <c r="K210" i="1"/>
  <c r="J210" i="1"/>
  <c r="C210" i="1"/>
  <c r="O209" i="1"/>
  <c r="N209" i="1"/>
  <c r="L209" i="1"/>
  <c r="K209" i="1"/>
  <c r="J209" i="1"/>
  <c r="C209" i="1"/>
  <c r="O208" i="1"/>
  <c r="N208" i="1"/>
  <c r="L208" i="1"/>
  <c r="K208" i="1"/>
  <c r="J208" i="1"/>
  <c r="C208" i="1"/>
  <c r="O207" i="1"/>
  <c r="N207" i="1"/>
  <c r="L207" i="1"/>
  <c r="K207" i="1"/>
  <c r="J207" i="1"/>
  <c r="C207" i="1"/>
  <c r="O206" i="1"/>
  <c r="N206" i="1"/>
  <c r="L206" i="1"/>
  <c r="K206" i="1"/>
  <c r="J206" i="1"/>
  <c r="C206" i="1"/>
  <c r="O205" i="1"/>
  <c r="N205" i="1"/>
  <c r="L205" i="1"/>
  <c r="K205" i="1"/>
  <c r="J205" i="1"/>
  <c r="C205" i="1"/>
  <c r="O204" i="1"/>
  <c r="N204" i="1"/>
  <c r="L204" i="1"/>
  <c r="K204" i="1"/>
  <c r="J204" i="1"/>
  <c r="C204" i="1"/>
  <c r="O203" i="1"/>
  <c r="N203" i="1"/>
  <c r="L203" i="1"/>
  <c r="K203" i="1"/>
  <c r="J203" i="1"/>
  <c r="C203" i="1"/>
  <c r="O202" i="1"/>
  <c r="N202" i="1"/>
  <c r="L202" i="1"/>
  <c r="K202" i="1"/>
  <c r="J202" i="1"/>
  <c r="C202" i="1"/>
  <c r="O201" i="1"/>
  <c r="N201" i="1"/>
  <c r="L201" i="1"/>
  <c r="K201" i="1"/>
  <c r="J201" i="1"/>
  <c r="C201" i="1"/>
  <c r="O200" i="1"/>
  <c r="N200" i="1"/>
  <c r="L200" i="1"/>
  <c r="K200" i="1"/>
  <c r="J200" i="1"/>
  <c r="C200" i="1"/>
  <c r="O199" i="1"/>
  <c r="N199" i="1"/>
  <c r="L199" i="1"/>
  <c r="K199" i="1"/>
  <c r="J199" i="1"/>
  <c r="C199" i="1"/>
  <c r="O198" i="1"/>
  <c r="N198" i="1"/>
  <c r="L198" i="1"/>
  <c r="K198" i="1"/>
  <c r="J198" i="1"/>
  <c r="C198" i="1"/>
  <c r="O197" i="1"/>
  <c r="N197" i="1"/>
  <c r="L197" i="1"/>
  <c r="K197" i="1"/>
  <c r="J197" i="1"/>
  <c r="C197" i="1"/>
  <c r="O196" i="1"/>
  <c r="N196" i="1"/>
  <c r="L196" i="1"/>
  <c r="K196" i="1"/>
  <c r="J196" i="1"/>
  <c r="C196" i="1"/>
  <c r="O195" i="1"/>
  <c r="N195" i="1"/>
  <c r="L195" i="1"/>
  <c r="K195" i="1"/>
  <c r="J195" i="1"/>
  <c r="C195" i="1"/>
  <c r="O194" i="1"/>
  <c r="N194" i="1"/>
  <c r="L194" i="1"/>
  <c r="K194" i="1"/>
  <c r="J194" i="1"/>
  <c r="C194" i="1"/>
  <c r="O193" i="1"/>
  <c r="N193" i="1"/>
  <c r="L193" i="1"/>
  <c r="K193" i="1"/>
  <c r="J193" i="1"/>
  <c r="C193" i="1"/>
  <c r="O192" i="1"/>
  <c r="N192" i="1"/>
  <c r="L192" i="1"/>
  <c r="K192" i="1"/>
  <c r="J192" i="1"/>
  <c r="C192" i="1"/>
  <c r="O191" i="1"/>
  <c r="N191" i="1"/>
  <c r="L191" i="1"/>
  <c r="K191" i="1"/>
  <c r="J191" i="1"/>
  <c r="C191" i="1"/>
  <c r="O190" i="1"/>
  <c r="N190" i="1"/>
  <c r="L190" i="1"/>
  <c r="K190" i="1"/>
  <c r="J190" i="1"/>
  <c r="C190" i="1"/>
  <c r="O189" i="1"/>
  <c r="N189" i="1"/>
  <c r="L189" i="1"/>
  <c r="K189" i="1"/>
  <c r="J189" i="1"/>
  <c r="C189" i="1"/>
  <c r="O188" i="1"/>
  <c r="N188" i="1"/>
  <c r="L188" i="1"/>
  <c r="K188" i="1"/>
  <c r="J188" i="1"/>
  <c r="C188" i="1"/>
  <c r="O187" i="1"/>
  <c r="N187" i="1"/>
  <c r="L187" i="1"/>
  <c r="K187" i="1"/>
  <c r="J187" i="1"/>
  <c r="C187" i="1"/>
  <c r="O186" i="1"/>
  <c r="N186" i="1"/>
  <c r="L186" i="1"/>
  <c r="K186" i="1"/>
  <c r="J186" i="1"/>
  <c r="C186" i="1"/>
  <c r="O185" i="1"/>
  <c r="N185" i="1"/>
  <c r="L185" i="1"/>
  <c r="K185" i="1"/>
  <c r="J185" i="1"/>
  <c r="C185" i="1"/>
  <c r="O184" i="1"/>
  <c r="N184" i="1"/>
  <c r="L184" i="1"/>
  <c r="K184" i="1"/>
  <c r="J184" i="1"/>
  <c r="C184" i="1"/>
  <c r="O183" i="1"/>
  <c r="N183" i="1"/>
  <c r="L183" i="1"/>
  <c r="K183" i="1"/>
  <c r="J183" i="1"/>
  <c r="C183" i="1"/>
  <c r="O182" i="1"/>
  <c r="N182" i="1"/>
  <c r="L182" i="1"/>
  <c r="K182" i="1"/>
  <c r="J182" i="1"/>
  <c r="C182" i="1"/>
  <c r="O181" i="1"/>
  <c r="N181" i="1"/>
  <c r="L181" i="1"/>
  <c r="K181" i="1"/>
  <c r="J181" i="1"/>
  <c r="C181" i="1"/>
  <c r="O180" i="1"/>
  <c r="N180" i="1"/>
  <c r="L180" i="1"/>
  <c r="K180" i="1"/>
  <c r="J180" i="1"/>
  <c r="C180" i="1"/>
  <c r="O179" i="1"/>
  <c r="N179" i="1"/>
  <c r="L179" i="1"/>
  <c r="K179" i="1"/>
  <c r="J179" i="1"/>
  <c r="C179" i="1"/>
  <c r="O178" i="1"/>
  <c r="N178" i="1"/>
  <c r="L178" i="1"/>
  <c r="K178" i="1"/>
  <c r="J178" i="1"/>
  <c r="C178" i="1"/>
  <c r="O177" i="1"/>
  <c r="N177" i="1"/>
  <c r="L177" i="1"/>
  <c r="K177" i="1"/>
  <c r="J177" i="1"/>
  <c r="C177" i="1"/>
  <c r="O176" i="1"/>
  <c r="N176" i="1"/>
  <c r="L176" i="1"/>
  <c r="K176" i="1"/>
  <c r="J176" i="1"/>
  <c r="C176" i="1"/>
  <c r="O175" i="1"/>
  <c r="N175" i="1"/>
  <c r="L175" i="1"/>
  <c r="K175" i="1"/>
  <c r="J175" i="1"/>
  <c r="C175" i="1"/>
  <c r="O174" i="1"/>
  <c r="N174" i="1"/>
  <c r="L174" i="1"/>
  <c r="K174" i="1"/>
  <c r="J174" i="1"/>
  <c r="C174" i="1"/>
  <c r="O173" i="1"/>
  <c r="N173" i="1"/>
  <c r="L173" i="1"/>
  <c r="K173" i="1"/>
  <c r="J173" i="1"/>
  <c r="C173" i="1"/>
  <c r="O172" i="1"/>
  <c r="N172" i="1"/>
  <c r="L172" i="1"/>
  <c r="K172" i="1"/>
  <c r="J172" i="1"/>
  <c r="C172" i="1"/>
  <c r="O171" i="1"/>
  <c r="N171" i="1"/>
  <c r="L171" i="1"/>
  <c r="K171" i="1"/>
  <c r="J171" i="1"/>
  <c r="C171" i="1"/>
  <c r="O170" i="1"/>
  <c r="N170" i="1"/>
  <c r="L170" i="1"/>
  <c r="K170" i="1"/>
  <c r="J170" i="1"/>
  <c r="C170" i="1"/>
  <c r="O169" i="1"/>
  <c r="N169" i="1"/>
  <c r="L169" i="1"/>
  <c r="K169" i="1"/>
  <c r="J169" i="1"/>
  <c r="C169" i="1"/>
  <c r="O168" i="1"/>
  <c r="N168" i="1"/>
  <c r="L168" i="1"/>
  <c r="K168" i="1"/>
  <c r="J168" i="1"/>
  <c r="C168" i="1"/>
  <c r="O167" i="1"/>
  <c r="N167" i="1"/>
  <c r="L167" i="1"/>
  <c r="K167" i="1"/>
  <c r="J167" i="1"/>
  <c r="C167" i="1"/>
  <c r="O166" i="1"/>
  <c r="N166" i="1"/>
  <c r="L166" i="1"/>
  <c r="K166" i="1"/>
  <c r="J166" i="1"/>
  <c r="C166" i="1"/>
  <c r="O165" i="1"/>
  <c r="N165" i="1"/>
  <c r="L165" i="1"/>
  <c r="K165" i="1"/>
  <c r="J165" i="1"/>
  <c r="C165" i="1"/>
  <c r="O164" i="1"/>
  <c r="N164" i="1"/>
  <c r="L164" i="1"/>
  <c r="K164" i="1"/>
  <c r="J164" i="1"/>
  <c r="C164" i="1"/>
  <c r="O163" i="1"/>
  <c r="N163" i="1"/>
  <c r="L163" i="1"/>
  <c r="K163" i="1"/>
  <c r="J163" i="1"/>
  <c r="C163" i="1"/>
  <c r="O162" i="1"/>
  <c r="N162" i="1"/>
  <c r="L162" i="1"/>
  <c r="K162" i="1"/>
  <c r="J162" i="1"/>
  <c r="C162" i="1"/>
  <c r="O161" i="1"/>
  <c r="N161" i="1"/>
  <c r="L161" i="1"/>
  <c r="K161" i="1"/>
  <c r="J161" i="1"/>
  <c r="C161" i="1"/>
  <c r="O160" i="1"/>
  <c r="N160" i="1"/>
  <c r="L160" i="1"/>
  <c r="K160" i="1"/>
  <c r="J160" i="1"/>
  <c r="C160" i="1"/>
  <c r="O159" i="1"/>
  <c r="N159" i="1"/>
  <c r="L159" i="1"/>
  <c r="K159" i="1"/>
  <c r="J159" i="1"/>
  <c r="C159" i="1"/>
  <c r="O158" i="1"/>
  <c r="N158" i="1"/>
  <c r="L158" i="1"/>
  <c r="K158" i="1"/>
  <c r="J158" i="1"/>
  <c r="C158" i="1"/>
  <c r="O157" i="1"/>
  <c r="N157" i="1"/>
  <c r="L157" i="1"/>
  <c r="K157" i="1"/>
  <c r="J157" i="1"/>
  <c r="C157" i="1"/>
  <c r="O156" i="1"/>
  <c r="N156" i="1"/>
  <c r="L156" i="1"/>
  <c r="K156" i="1"/>
  <c r="J156" i="1"/>
  <c r="C156" i="1"/>
  <c r="O155" i="1"/>
  <c r="N155" i="1"/>
  <c r="L155" i="1"/>
  <c r="K155" i="1"/>
  <c r="J155" i="1"/>
  <c r="C155" i="1"/>
  <c r="O154" i="1"/>
  <c r="N154" i="1"/>
  <c r="L154" i="1"/>
  <c r="K154" i="1"/>
  <c r="J154" i="1"/>
  <c r="C154" i="1"/>
  <c r="O153" i="1"/>
  <c r="N153" i="1"/>
  <c r="L153" i="1"/>
  <c r="K153" i="1"/>
  <c r="J153" i="1"/>
  <c r="C153" i="1"/>
  <c r="O152" i="1"/>
  <c r="N152" i="1"/>
  <c r="L152" i="1"/>
  <c r="K152" i="1"/>
  <c r="J152" i="1"/>
  <c r="C152" i="1"/>
  <c r="O151" i="1"/>
  <c r="N151" i="1"/>
  <c r="L151" i="1"/>
  <c r="K151" i="1"/>
  <c r="J151" i="1"/>
  <c r="C151" i="1"/>
  <c r="O150" i="1"/>
  <c r="N150" i="1"/>
  <c r="L150" i="1"/>
  <c r="K150" i="1"/>
  <c r="J150" i="1"/>
  <c r="C150" i="1"/>
  <c r="O149" i="1"/>
  <c r="N149" i="1"/>
  <c r="L149" i="1"/>
  <c r="K149" i="1"/>
  <c r="J149" i="1"/>
  <c r="C149" i="1"/>
  <c r="O148" i="1"/>
  <c r="N148" i="1"/>
  <c r="L148" i="1"/>
  <c r="K148" i="1"/>
  <c r="J148" i="1"/>
  <c r="C148" i="1"/>
  <c r="O147" i="1"/>
  <c r="N147" i="1"/>
  <c r="L147" i="1"/>
  <c r="K147" i="1"/>
  <c r="J147" i="1"/>
  <c r="C147" i="1"/>
  <c r="O146" i="1"/>
  <c r="N146" i="1"/>
  <c r="L146" i="1"/>
  <c r="K146" i="1"/>
  <c r="J146" i="1"/>
  <c r="C146" i="1"/>
  <c r="O145" i="1"/>
  <c r="N145" i="1"/>
  <c r="L145" i="1"/>
  <c r="K145" i="1"/>
  <c r="J145" i="1"/>
  <c r="C145" i="1"/>
  <c r="O144" i="1"/>
  <c r="N144" i="1"/>
  <c r="L144" i="1"/>
  <c r="K144" i="1"/>
  <c r="J144" i="1"/>
  <c r="C144" i="1"/>
  <c r="O143" i="1"/>
  <c r="N143" i="1"/>
  <c r="L143" i="1"/>
  <c r="K143" i="1"/>
  <c r="J143" i="1"/>
  <c r="C143" i="1"/>
  <c r="O142" i="1"/>
  <c r="N142" i="1"/>
  <c r="L142" i="1"/>
  <c r="K142" i="1"/>
  <c r="J142" i="1"/>
  <c r="C142" i="1"/>
  <c r="O141" i="1"/>
  <c r="N141" i="1"/>
  <c r="L141" i="1"/>
  <c r="K141" i="1"/>
  <c r="J141" i="1"/>
  <c r="C141" i="1"/>
  <c r="O140" i="1"/>
  <c r="N140" i="1"/>
  <c r="L140" i="1"/>
  <c r="K140" i="1"/>
  <c r="J140" i="1"/>
  <c r="C140" i="1"/>
  <c r="O139" i="1"/>
  <c r="N139" i="1"/>
  <c r="L139" i="1"/>
  <c r="K139" i="1"/>
  <c r="J139" i="1"/>
  <c r="C139" i="1"/>
  <c r="O138" i="1"/>
  <c r="N138" i="1"/>
  <c r="L138" i="1"/>
  <c r="K138" i="1"/>
  <c r="J138" i="1"/>
  <c r="C138" i="1"/>
  <c r="O137" i="1"/>
  <c r="N137" i="1"/>
  <c r="L137" i="1"/>
  <c r="K137" i="1"/>
  <c r="J137" i="1"/>
  <c r="C137" i="1"/>
  <c r="O136" i="1"/>
  <c r="N136" i="1"/>
  <c r="L136" i="1"/>
  <c r="K136" i="1"/>
  <c r="J136" i="1"/>
  <c r="C136" i="1"/>
  <c r="O135" i="1"/>
  <c r="N135" i="1"/>
  <c r="L135" i="1"/>
  <c r="K135" i="1"/>
  <c r="J135" i="1"/>
  <c r="C135" i="1"/>
  <c r="O134" i="1"/>
  <c r="N134" i="1"/>
  <c r="L134" i="1"/>
  <c r="K134" i="1"/>
  <c r="J134" i="1"/>
  <c r="C134" i="1"/>
  <c r="O133" i="1"/>
  <c r="N133" i="1"/>
  <c r="L133" i="1"/>
  <c r="K133" i="1"/>
  <c r="J133" i="1"/>
  <c r="C133" i="1"/>
  <c r="O132" i="1"/>
  <c r="N132" i="1"/>
  <c r="L132" i="1"/>
  <c r="K132" i="1"/>
  <c r="J132" i="1"/>
  <c r="C132" i="1"/>
  <c r="O131" i="1"/>
  <c r="N131" i="1"/>
  <c r="L131" i="1"/>
  <c r="K131" i="1"/>
  <c r="J131" i="1"/>
  <c r="C131" i="1"/>
  <c r="O130" i="1"/>
  <c r="N130" i="1"/>
  <c r="L130" i="1"/>
  <c r="K130" i="1"/>
  <c r="J130" i="1"/>
  <c r="C130" i="1"/>
  <c r="O129" i="1"/>
  <c r="N129" i="1"/>
  <c r="L129" i="1"/>
  <c r="K129" i="1"/>
  <c r="J129" i="1"/>
  <c r="C129" i="1"/>
  <c r="O128" i="1"/>
  <c r="N128" i="1"/>
  <c r="L128" i="1"/>
  <c r="K128" i="1"/>
  <c r="J128" i="1"/>
  <c r="C128" i="1"/>
  <c r="O127" i="1"/>
  <c r="N127" i="1"/>
  <c r="L127" i="1"/>
  <c r="K127" i="1"/>
  <c r="J127" i="1"/>
  <c r="C127" i="1"/>
  <c r="O126" i="1"/>
  <c r="N126" i="1"/>
  <c r="L126" i="1"/>
  <c r="K126" i="1"/>
  <c r="J126" i="1"/>
  <c r="C126" i="1"/>
  <c r="O125" i="1"/>
  <c r="N125" i="1"/>
  <c r="L125" i="1"/>
  <c r="K125" i="1"/>
  <c r="J125" i="1"/>
  <c r="C125" i="1"/>
  <c r="O124" i="1"/>
  <c r="N124" i="1"/>
  <c r="L124" i="1"/>
  <c r="K124" i="1"/>
  <c r="J124" i="1"/>
  <c r="C124" i="1"/>
  <c r="O123" i="1"/>
  <c r="N123" i="1"/>
  <c r="L123" i="1"/>
  <c r="K123" i="1"/>
  <c r="J123" i="1"/>
  <c r="C123" i="1"/>
  <c r="O122" i="1"/>
  <c r="N122" i="1"/>
  <c r="L122" i="1"/>
  <c r="K122" i="1"/>
  <c r="J122" i="1"/>
  <c r="C122" i="1"/>
  <c r="O121" i="1"/>
  <c r="N121" i="1"/>
  <c r="L121" i="1"/>
  <c r="K121" i="1"/>
  <c r="J121" i="1"/>
  <c r="C121" i="1"/>
  <c r="O120" i="1"/>
  <c r="N120" i="1"/>
  <c r="L120" i="1"/>
  <c r="K120" i="1"/>
  <c r="J120" i="1"/>
  <c r="C120" i="1"/>
  <c r="O119" i="1"/>
  <c r="N119" i="1"/>
  <c r="L119" i="1"/>
  <c r="K119" i="1"/>
  <c r="J119" i="1"/>
  <c r="C119" i="1"/>
  <c r="O118" i="1"/>
  <c r="N118" i="1"/>
  <c r="L118" i="1"/>
  <c r="K118" i="1"/>
  <c r="J118" i="1"/>
  <c r="C118" i="1"/>
  <c r="O117" i="1"/>
  <c r="N117" i="1"/>
  <c r="L117" i="1"/>
  <c r="K117" i="1"/>
  <c r="J117" i="1"/>
  <c r="C117" i="1"/>
  <c r="O116" i="1"/>
  <c r="N116" i="1"/>
  <c r="L116" i="1"/>
  <c r="K116" i="1"/>
  <c r="J116" i="1"/>
  <c r="C116" i="1"/>
  <c r="O115" i="1"/>
  <c r="N115" i="1"/>
  <c r="L115" i="1"/>
  <c r="K115" i="1"/>
  <c r="J115" i="1"/>
  <c r="C115" i="1"/>
  <c r="O114" i="1"/>
  <c r="N114" i="1"/>
  <c r="L114" i="1"/>
  <c r="K114" i="1"/>
  <c r="J114" i="1"/>
  <c r="C114" i="1"/>
  <c r="O113" i="1"/>
  <c r="N113" i="1"/>
  <c r="L113" i="1"/>
  <c r="K113" i="1"/>
  <c r="J113" i="1"/>
  <c r="C113" i="1"/>
  <c r="O112" i="1"/>
  <c r="N112" i="1"/>
  <c r="L112" i="1"/>
  <c r="K112" i="1"/>
  <c r="J112" i="1"/>
  <c r="C112" i="1"/>
  <c r="O111" i="1"/>
  <c r="N111" i="1"/>
  <c r="L111" i="1"/>
  <c r="K111" i="1"/>
  <c r="J111" i="1"/>
  <c r="C111" i="1"/>
  <c r="O110" i="1"/>
  <c r="N110" i="1"/>
  <c r="L110" i="1"/>
  <c r="K110" i="1"/>
  <c r="J110" i="1"/>
  <c r="C110" i="1"/>
  <c r="O109" i="1"/>
  <c r="N109" i="1"/>
  <c r="L109" i="1"/>
  <c r="K109" i="1"/>
  <c r="J109" i="1"/>
  <c r="C109" i="1"/>
  <c r="O108" i="1"/>
  <c r="N108" i="1"/>
  <c r="L108" i="1"/>
  <c r="K108" i="1"/>
  <c r="J108" i="1"/>
  <c r="C108" i="1"/>
  <c r="O107" i="1"/>
  <c r="N107" i="1"/>
  <c r="L107" i="1"/>
  <c r="K107" i="1"/>
  <c r="J107" i="1"/>
  <c r="C107" i="1"/>
  <c r="O106" i="1"/>
  <c r="N106" i="1"/>
  <c r="L106" i="1"/>
  <c r="K106" i="1"/>
  <c r="J106" i="1"/>
  <c r="C106" i="1"/>
  <c r="O105" i="1"/>
  <c r="N105" i="1"/>
  <c r="L105" i="1"/>
  <c r="K105" i="1"/>
  <c r="J105" i="1"/>
  <c r="C105" i="1"/>
  <c r="O104" i="1"/>
  <c r="N104" i="1"/>
  <c r="L104" i="1"/>
  <c r="K104" i="1"/>
  <c r="J104" i="1"/>
  <c r="C104" i="1"/>
  <c r="O103" i="1"/>
  <c r="N103" i="1"/>
  <c r="L103" i="1"/>
  <c r="K103" i="1"/>
  <c r="J103" i="1"/>
  <c r="C103" i="1"/>
  <c r="O102" i="1"/>
  <c r="N102" i="1"/>
  <c r="L102" i="1"/>
  <c r="K102" i="1"/>
  <c r="J102" i="1"/>
  <c r="C102" i="1"/>
  <c r="O101" i="1"/>
  <c r="N101" i="1"/>
  <c r="L101" i="1"/>
  <c r="K101" i="1"/>
  <c r="J101" i="1"/>
  <c r="C101" i="1"/>
  <c r="O100" i="1"/>
  <c r="N100" i="1"/>
  <c r="L100" i="1"/>
  <c r="K100" i="1"/>
  <c r="J100" i="1"/>
  <c r="C100" i="1"/>
  <c r="O99" i="1"/>
  <c r="N99" i="1"/>
  <c r="L99" i="1"/>
  <c r="K99" i="1"/>
  <c r="J99" i="1"/>
  <c r="C99" i="1"/>
  <c r="O98" i="1"/>
  <c r="N98" i="1"/>
  <c r="L98" i="1"/>
  <c r="K98" i="1"/>
  <c r="J98" i="1"/>
  <c r="C98" i="1"/>
  <c r="O97" i="1"/>
  <c r="N97" i="1"/>
  <c r="L97" i="1"/>
  <c r="K97" i="1"/>
  <c r="J97" i="1"/>
  <c r="C97" i="1"/>
  <c r="O96" i="1"/>
  <c r="N96" i="1"/>
  <c r="L96" i="1"/>
  <c r="K96" i="1"/>
  <c r="J96" i="1"/>
  <c r="C96" i="1"/>
  <c r="O95" i="1"/>
  <c r="N95" i="1"/>
  <c r="L95" i="1"/>
  <c r="K95" i="1"/>
  <c r="J95" i="1"/>
  <c r="C95" i="1"/>
  <c r="O94" i="1"/>
  <c r="N94" i="1"/>
  <c r="L94" i="1"/>
  <c r="K94" i="1"/>
  <c r="J94" i="1"/>
  <c r="C94" i="1"/>
  <c r="O93" i="1"/>
  <c r="N93" i="1"/>
  <c r="L93" i="1"/>
  <c r="K93" i="1"/>
  <c r="J93" i="1"/>
  <c r="C93" i="1"/>
  <c r="O92" i="1"/>
  <c r="N92" i="1"/>
  <c r="L92" i="1"/>
  <c r="K92" i="1"/>
  <c r="J92" i="1"/>
  <c r="C92" i="1"/>
  <c r="O91" i="1"/>
  <c r="N91" i="1"/>
  <c r="L91" i="1"/>
  <c r="K91" i="1"/>
  <c r="J91" i="1"/>
  <c r="C91" i="1"/>
  <c r="O90" i="1"/>
  <c r="N90" i="1"/>
  <c r="L90" i="1"/>
  <c r="K90" i="1"/>
  <c r="J90" i="1"/>
  <c r="C90" i="1"/>
  <c r="O89" i="1"/>
  <c r="N89" i="1"/>
  <c r="L89" i="1"/>
  <c r="K89" i="1"/>
  <c r="J89" i="1"/>
  <c r="C89" i="1"/>
  <c r="O88" i="1"/>
  <c r="N88" i="1"/>
  <c r="L88" i="1"/>
  <c r="K88" i="1"/>
  <c r="J88" i="1"/>
  <c r="C88" i="1"/>
  <c r="O87" i="1"/>
  <c r="N87" i="1"/>
  <c r="L87" i="1"/>
  <c r="K87" i="1"/>
  <c r="J87" i="1"/>
  <c r="C87" i="1"/>
  <c r="O86" i="1"/>
  <c r="N86" i="1"/>
  <c r="L86" i="1"/>
  <c r="K86" i="1"/>
  <c r="J86" i="1"/>
  <c r="C86" i="1"/>
  <c r="O85" i="1"/>
  <c r="N85" i="1"/>
  <c r="L85" i="1"/>
  <c r="K85" i="1"/>
  <c r="J85" i="1"/>
  <c r="C85" i="1"/>
  <c r="O84" i="1"/>
  <c r="N84" i="1"/>
  <c r="L84" i="1"/>
  <c r="K84" i="1"/>
  <c r="J84" i="1"/>
  <c r="C84" i="1"/>
  <c r="O83" i="1"/>
  <c r="N83" i="1"/>
  <c r="L83" i="1"/>
  <c r="K83" i="1"/>
  <c r="J83" i="1"/>
  <c r="C83" i="1"/>
  <c r="O82" i="1"/>
  <c r="N82" i="1"/>
  <c r="L82" i="1"/>
  <c r="K82" i="1"/>
  <c r="J82" i="1"/>
  <c r="C82" i="1"/>
  <c r="O81" i="1"/>
  <c r="N81" i="1"/>
  <c r="L81" i="1"/>
  <c r="K81" i="1"/>
  <c r="J81" i="1"/>
  <c r="C81" i="1"/>
  <c r="O80" i="1"/>
  <c r="N80" i="1"/>
  <c r="L80" i="1"/>
  <c r="K80" i="1"/>
  <c r="J80" i="1"/>
  <c r="C80" i="1"/>
  <c r="O79" i="1"/>
  <c r="N79" i="1"/>
  <c r="L79" i="1"/>
  <c r="K79" i="1"/>
  <c r="J79" i="1"/>
  <c r="C79" i="1"/>
  <c r="O78" i="1"/>
  <c r="N78" i="1"/>
  <c r="L78" i="1"/>
  <c r="K78" i="1"/>
  <c r="J78" i="1"/>
  <c r="C78" i="1"/>
  <c r="O77" i="1"/>
  <c r="N77" i="1"/>
  <c r="L77" i="1"/>
  <c r="K77" i="1"/>
  <c r="J77" i="1"/>
  <c r="C77" i="1"/>
  <c r="O76" i="1"/>
  <c r="N76" i="1"/>
  <c r="L76" i="1"/>
  <c r="K76" i="1"/>
  <c r="J76" i="1"/>
  <c r="C76" i="1"/>
  <c r="O75" i="1"/>
  <c r="N75" i="1"/>
  <c r="L75" i="1"/>
  <c r="K75" i="1"/>
  <c r="J75" i="1"/>
  <c r="C75" i="1"/>
  <c r="O74" i="1"/>
  <c r="N74" i="1"/>
  <c r="L74" i="1"/>
  <c r="K74" i="1"/>
  <c r="J74" i="1"/>
  <c r="C74" i="1"/>
  <c r="O73" i="1"/>
  <c r="N73" i="1"/>
  <c r="L73" i="1"/>
  <c r="K73" i="1"/>
  <c r="J73" i="1"/>
  <c r="C73" i="1"/>
  <c r="O72" i="1"/>
  <c r="N72" i="1"/>
  <c r="L72" i="1"/>
  <c r="K72" i="1"/>
  <c r="J72" i="1"/>
  <c r="C72" i="1"/>
  <c r="O71" i="1"/>
  <c r="N71" i="1"/>
  <c r="L71" i="1"/>
  <c r="K71" i="1"/>
  <c r="J71" i="1"/>
  <c r="C71" i="1"/>
  <c r="O70" i="1"/>
  <c r="N70" i="1"/>
  <c r="L70" i="1"/>
  <c r="K70" i="1"/>
  <c r="J70" i="1"/>
  <c r="C70" i="1"/>
  <c r="O69" i="1"/>
  <c r="N69" i="1"/>
  <c r="L69" i="1"/>
  <c r="K69" i="1"/>
  <c r="J69" i="1"/>
  <c r="C69" i="1"/>
  <c r="O68" i="1"/>
  <c r="N68" i="1"/>
  <c r="L68" i="1"/>
  <c r="K68" i="1"/>
  <c r="J68" i="1"/>
  <c r="C68" i="1"/>
  <c r="O67" i="1"/>
  <c r="N67" i="1"/>
  <c r="L67" i="1"/>
  <c r="K67" i="1"/>
  <c r="J67" i="1"/>
  <c r="C67" i="1"/>
  <c r="O66" i="1"/>
  <c r="N66" i="1"/>
  <c r="L66" i="1"/>
  <c r="K66" i="1"/>
  <c r="J66" i="1"/>
  <c r="C66" i="1"/>
  <c r="O65" i="1"/>
  <c r="N65" i="1"/>
  <c r="L65" i="1"/>
  <c r="K65" i="1"/>
  <c r="J65" i="1"/>
  <c r="C65" i="1"/>
  <c r="O64" i="1"/>
  <c r="N64" i="1"/>
  <c r="L64" i="1"/>
  <c r="K64" i="1"/>
  <c r="J64" i="1"/>
  <c r="C64" i="1"/>
  <c r="O63" i="1"/>
  <c r="N63" i="1"/>
  <c r="L63" i="1"/>
  <c r="K63" i="1"/>
  <c r="J63" i="1"/>
  <c r="C63" i="1"/>
  <c r="O62" i="1"/>
  <c r="N62" i="1"/>
  <c r="L62" i="1"/>
  <c r="K62" i="1"/>
  <c r="J62" i="1"/>
  <c r="C62" i="1"/>
  <c r="O61" i="1"/>
  <c r="N61" i="1"/>
  <c r="L61" i="1"/>
  <c r="K61" i="1"/>
  <c r="J61" i="1"/>
  <c r="C61" i="1"/>
  <c r="O60" i="1"/>
  <c r="N60" i="1"/>
  <c r="L60" i="1"/>
  <c r="K60" i="1"/>
  <c r="J60" i="1"/>
  <c r="C60" i="1"/>
  <c r="O59" i="1"/>
  <c r="N59" i="1"/>
  <c r="L59" i="1"/>
  <c r="K59" i="1"/>
  <c r="J59" i="1"/>
  <c r="C59" i="1"/>
  <c r="O58" i="1"/>
  <c r="N58" i="1"/>
  <c r="L58" i="1"/>
  <c r="K58" i="1"/>
  <c r="J58" i="1"/>
  <c r="C58" i="1"/>
  <c r="O57" i="1"/>
  <c r="N57" i="1"/>
  <c r="L57" i="1"/>
  <c r="K57" i="1"/>
  <c r="J57" i="1"/>
  <c r="C57" i="1"/>
  <c r="O56" i="1"/>
  <c r="N56" i="1"/>
  <c r="L56" i="1"/>
  <c r="K56" i="1"/>
  <c r="J56" i="1"/>
  <c r="C56" i="1"/>
  <c r="O55" i="1"/>
  <c r="N55" i="1"/>
  <c r="L55" i="1"/>
  <c r="K55" i="1"/>
  <c r="J55" i="1"/>
  <c r="C55" i="1"/>
  <c r="O54" i="1"/>
  <c r="N54" i="1"/>
  <c r="L54" i="1"/>
  <c r="K54" i="1"/>
  <c r="J54" i="1"/>
  <c r="C54" i="1"/>
  <c r="O53" i="1"/>
  <c r="N53" i="1"/>
  <c r="L53" i="1"/>
  <c r="K53" i="1"/>
  <c r="J53" i="1"/>
  <c r="C53" i="1"/>
  <c r="O52" i="1"/>
  <c r="N52" i="1"/>
  <c r="L52" i="1"/>
  <c r="K52" i="1"/>
  <c r="J52" i="1"/>
  <c r="C52" i="1"/>
  <c r="O51" i="1"/>
  <c r="N51" i="1"/>
  <c r="L51" i="1"/>
  <c r="K51" i="1"/>
  <c r="J51" i="1"/>
  <c r="C51" i="1"/>
  <c r="O50" i="1"/>
  <c r="N50" i="1"/>
  <c r="L50" i="1"/>
  <c r="K50" i="1"/>
  <c r="J50" i="1"/>
  <c r="C50" i="1"/>
  <c r="O49" i="1"/>
  <c r="N49" i="1"/>
  <c r="L49" i="1"/>
  <c r="K49" i="1"/>
  <c r="J49" i="1"/>
  <c r="C49" i="1"/>
  <c r="O48" i="1"/>
  <c r="N48" i="1"/>
  <c r="L48" i="1"/>
  <c r="K48" i="1"/>
  <c r="J48" i="1"/>
  <c r="C48" i="1"/>
  <c r="O47" i="1"/>
  <c r="N47" i="1"/>
  <c r="L47" i="1"/>
  <c r="K47" i="1"/>
  <c r="J47" i="1"/>
  <c r="C47" i="1"/>
  <c r="O46" i="1"/>
  <c r="N46" i="1"/>
  <c r="L46" i="1"/>
  <c r="K46" i="1"/>
  <c r="J46" i="1"/>
  <c r="C46" i="1"/>
  <c r="O45" i="1"/>
  <c r="N45" i="1"/>
  <c r="L45" i="1"/>
  <c r="K45" i="1"/>
  <c r="J45" i="1"/>
  <c r="C45" i="1"/>
  <c r="O44" i="1"/>
  <c r="N44" i="1"/>
  <c r="L44" i="1"/>
  <c r="K44" i="1"/>
  <c r="J44" i="1"/>
  <c r="C44" i="1"/>
  <c r="O43" i="1"/>
  <c r="N43" i="1"/>
  <c r="L43" i="1"/>
  <c r="K43" i="1"/>
  <c r="J43" i="1"/>
  <c r="C43" i="1"/>
  <c r="O42" i="1"/>
  <c r="N42" i="1"/>
  <c r="L42" i="1"/>
  <c r="K42" i="1"/>
  <c r="J42" i="1"/>
  <c r="C42" i="1"/>
  <c r="O41" i="1"/>
  <c r="N41" i="1"/>
  <c r="L41" i="1"/>
  <c r="K41" i="1"/>
  <c r="J41" i="1"/>
  <c r="C41" i="1"/>
  <c r="O40" i="1"/>
  <c r="N40" i="1"/>
  <c r="L40" i="1"/>
  <c r="K40" i="1"/>
  <c r="J40" i="1"/>
  <c r="C40" i="1"/>
  <c r="O39" i="1"/>
  <c r="N39" i="1"/>
  <c r="L39" i="1"/>
  <c r="K39" i="1"/>
  <c r="J39" i="1"/>
  <c r="C39" i="1"/>
  <c r="O38" i="1"/>
  <c r="N38" i="1"/>
  <c r="L38" i="1"/>
  <c r="K38" i="1"/>
  <c r="J38" i="1"/>
  <c r="C38" i="1"/>
  <c r="O37" i="1"/>
  <c r="N37" i="1"/>
  <c r="L37" i="1"/>
  <c r="K37" i="1"/>
  <c r="J37" i="1"/>
  <c r="C37" i="1"/>
  <c r="O36" i="1"/>
  <c r="N36" i="1"/>
  <c r="L36" i="1"/>
  <c r="K36" i="1"/>
  <c r="J36" i="1"/>
  <c r="C36" i="1"/>
  <c r="O35" i="1"/>
  <c r="N35" i="1"/>
  <c r="L35" i="1"/>
  <c r="K35" i="1"/>
  <c r="J35" i="1"/>
  <c r="C35" i="1"/>
  <c r="O34" i="1"/>
  <c r="N34" i="1"/>
  <c r="L34" i="1"/>
  <c r="K34" i="1"/>
  <c r="J34" i="1"/>
  <c r="C34" i="1"/>
  <c r="O33" i="1"/>
  <c r="N33" i="1"/>
  <c r="L33" i="1"/>
  <c r="K33" i="1"/>
  <c r="J33" i="1"/>
  <c r="C33" i="1"/>
  <c r="O32" i="1"/>
  <c r="N32" i="1"/>
  <c r="L32" i="1"/>
  <c r="K32" i="1"/>
  <c r="J32" i="1"/>
  <c r="C32" i="1"/>
  <c r="O31" i="1"/>
  <c r="N31" i="1"/>
  <c r="L31" i="1"/>
  <c r="K31" i="1"/>
  <c r="J31" i="1"/>
  <c r="C31" i="1"/>
  <c r="O30" i="1"/>
  <c r="N30" i="1"/>
  <c r="L30" i="1"/>
  <c r="K30" i="1"/>
  <c r="J30" i="1"/>
  <c r="C30" i="1"/>
  <c r="O29" i="1"/>
  <c r="N29" i="1"/>
  <c r="L29" i="1"/>
  <c r="K29" i="1"/>
  <c r="J29" i="1"/>
  <c r="C29" i="1"/>
  <c r="O28" i="1"/>
  <c r="N28" i="1"/>
  <c r="L28" i="1"/>
  <c r="K28" i="1"/>
  <c r="J28" i="1"/>
  <c r="C28" i="1"/>
  <c r="O27" i="1"/>
  <c r="N27" i="1"/>
  <c r="L27" i="1"/>
  <c r="K27" i="1"/>
  <c r="J27" i="1"/>
  <c r="C27" i="1"/>
  <c r="O26" i="1"/>
  <c r="N26" i="1"/>
  <c r="L26" i="1"/>
  <c r="K26" i="1"/>
  <c r="J26" i="1"/>
  <c r="C26" i="1"/>
  <c r="O25" i="1"/>
  <c r="N25" i="1"/>
  <c r="L25" i="1"/>
  <c r="K25" i="1"/>
  <c r="J25" i="1"/>
  <c r="C25" i="1"/>
  <c r="O24" i="1"/>
  <c r="N24" i="1"/>
  <c r="L24" i="1"/>
  <c r="K24" i="1"/>
  <c r="J24" i="1"/>
  <c r="C24" i="1"/>
  <c r="O23" i="1"/>
  <c r="N23" i="1"/>
  <c r="L23" i="1"/>
  <c r="K23" i="1"/>
  <c r="J23" i="1"/>
  <c r="C23" i="1"/>
  <c r="O22" i="1"/>
  <c r="N22" i="1"/>
  <c r="L22" i="1"/>
  <c r="K22" i="1"/>
  <c r="J22" i="1"/>
  <c r="C22" i="1"/>
  <c r="O21" i="1"/>
  <c r="N21" i="1"/>
  <c r="L21" i="1"/>
  <c r="K21" i="1"/>
  <c r="J21" i="1"/>
  <c r="C21" i="1"/>
  <c r="O20" i="1"/>
  <c r="N20" i="1"/>
  <c r="L20" i="1"/>
  <c r="K20" i="1"/>
  <c r="J20" i="1"/>
  <c r="C20" i="1"/>
  <c r="O19" i="1"/>
  <c r="N19" i="1"/>
  <c r="L19" i="1"/>
  <c r="K19" i="1"/>
  <c r="J19" i="1"/>
  <c r="C19" i="1"/>
  <c r="O18" i="1"/>
  <c r="N18" i="1"/>
  <c r="L18" i="1"/>
  <c r="K18" i="1"/>
  <c r="J18" i="1"/>
  <c r="C18" i="1"/>
  <c r="O17" i="1"/>
  <c r="N17" i="1"/>
  <c r="L17" i="1"/>
  <c r="K17" i="1"/>
  <c r="J17" i="1"/>
  <c r="C17" i="1"/>
  <c r="O16" i="1"/>
  <c r="N16" i="1"/>
  <c r="L16" i="1"/>
  <c r="K16" i="1"/>
  <c r="J16" i="1"/>
  <c r="C16" i="1"/>
  <c r="O15" i="1"/>
  <c r="N15" i="1"/>
  <c r="L15" i="1"/>
  <c r="K15" i="1"/>
  <c r="J15" i="1"/>
  <c r="C15" i="1"/>
  <c r="O14" i="1"/>
  <c r="N14" i="1"/>
  <c r="L14" i="1"/>
  <c r="K14" i="1"/>
  <c r="J14" i="1"/>
  <c r="C14" i="1"/>
  <c r="O13" i="1"/>
  <c r="N13" i="1"/>
  <c r="L13" i="1"/>
  <c r="K13" i="1"/>
  <c r="J13" i="1"/>
  <c r="C13" i="1"/>
  <c r="O12" i="1"/>
  <c r="N12" i="1"/>
  <c r="L12" i="1"/>
  <c r="K12" i="1"/>
  <c r="J12" i="1"/>
  <c r="C12" i="1"/>
  <c r="O11" i="1"/>
  <c r="N11" i="1"/>
  <c r="L11" i="1"/>
  <c r="K11" i="1"/>
  <c r="J11" i="1"/>
  <c r="C11" i="1"/>
  <c r="O10" i="1"/>
  <c r="N10" i="1"/>
  <c r="L10" i="1"/>
  <c r="K10" i="1"/>
  <c r="J10" i="1"/>
  <c r="C10" i="1"/>
  <c r="O9" i="1"/>
  <c r="N9" i="1"/>
  <c r="L9" i="1"/>
  <c r="K9" i="1"/>
  <c r="J9" i="1"/>
  <c r="C9" i="1"/>
  <c r="O8" i="1"/>
  <c r="N8" i="1"/>
  <c r="L8" i="1"/>
  <c r="K8" i="1"/>
  <c r="J8" i="1"/>
  <c r="C8" i="1"/>
  <c r="O7" i="1"/>
  <c r="N7" i="1"/>
  <c r="L7" i="1"/>
  <c r="K7" i="1"/>
  <c r="J7" i="1"/>
  <c r="C7" i="1"/>
  <c r="O6" i="1"/>
  <c r="N6" i="1"/>
  <c r="L6" i="1"/>
  <c r="K6" i="1"/>
  <c r="J6" i="1"/>
  <c r="C6" i="1"/>
  <c r="O5" i="1"/>
  <c r="N5" i="1"/>
  <c r="L5" i="1"/>
  <c r="K5" i="1"/>
  <c r="J5" i="1"/>
  <c r="C5" i="1"/>
  <c r="O4" i="1"/>
  <c r="N4" i="1"/>
  <c r="L4" i="1"/>
  <c r="K4" i="1"/>
  <c r="J4" i="1"/>
  <c r="C4" i="1"/>
  <c r="O3" i="1"/>
  <c r="N3" i="1"/>
  <c r="L3" i="1"/>
  <c r="K3" i="1"/>
  <c r="J3" i="1"/>
  <c r="C3" i="1"/>
  <c r="O2" i="1"/>
  <c r="N2" i="1"/>
  <c r="L2" i="1"/>
  <c r="K2" i="1"/>
  <c r="J2" i="1"/>
  <c r="C2" i="1"/>
  <c r="H2" i="1" l="1"/>
  <c r="D2" i="1" l="1"/>
  <c r="H3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2" i="1"/>
  <c r="H4" i="1" l="1"/>
  <c r="D3" i="1"/>
  <c r="P339" i="1"/>
  <c r="P331" i="1"/>
  <c r="P323" i="1"/>
  <c r="P315" i="1"/>
  <c r="P311" i="1"/>
  <c r="P303" i="1"/>
  <c r="P299" i="1"/>
  <c r="P291" i="1"/>
  <c r="P287" i="1"/>
  <c r="P279" i="1"/>
  <c r="P275" i="1"/>
  <c r="P267" i="1"/>
  <c r="P263" i="1"/>
  <c r="P255" i="1"/>
  <c r="P239" i="1"/>
  <c r="P342" i="1"/>
  <c r="P338" i="1"/>
  <c r="P334" i="1"/>
  <c r="P330" i="1"/>
  <c r="P326" i="1"/>
  <c r="P322" i="1"/>
  <c r="P318" i="1"/>
  <c r="P314" i="1"/>
  <c r="P310" i="1"/>
  <c r="P306" i="1"/>
  <c r="P302" i="1"/>
  <c r="P298" i="1"/>
  <c r="P294" i="1"/>
  <c r="P290" i="1"/>
  <c r="P286" i="1"/>
  <c r="P282" i="1"/>
  <c r="P278" i="1"/>
  <c r="P274" i="1"/>
  <c r="P270" i="1"/>
  <c r="P266" i="1"/>
  <c r="P262" i="1"/>
  <c r="P258" i="1"/>
  <c r="P254" i="1"/>
  <c r="P250" i="1"/>
  <c r="P246" i="1"/>
  <c r="P242" i="1"/>
  <c r="P238" i="1"/>
  <c r="P234" i="1"/>
  <c r="P230" i="1"/>
  <c r="P226" i="1"/>
  <c r="P222" i="1"/>
  <c r="P218" i="1"/>
  <c r="P214" i="1"/>
  <c r="P210" i="1"/>
  <c r="P206" i="1"/>
  <c r="P202" i="1"/>
  <c r="P198" i="1"/>
  <c r="P194" i="1"/>
  <c r="P190" i="1"/>
  <c r="P186" i="1"/>
  <c r="P182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8" i="1"/>
  <c r="P14" i="1"/>
  <c r="P10" i="1"/>
  <c r="P6" i="1"/>
  <c r="P341" i="1"/>
  <c r="P337" i="1"/>
  <c r="P333" i="1"/>
  <c r="P329" i="1"/>
  <c r="P325" i="1"/>
  <c r="P321" i="1"/>
  <c r="P317" i="1"/>
  <c r="P313" i="1"/>
  <c r="P309" i="1"/>
  <c r="P305" i="1"/>
  <c r="P301" i="1"/>
  <c r="P297" i="1"/>
  <c r="P293" i="1"/>
  <c r="P289" i="1"/>
  <c r="P285" i="1"/>
  <c r="P281" i="1"/>
  <c r="P277" i="1"/>
  <c r="P273" i="1"/>
  <c r="P269" i="1"/>
  <c r="P265" i="1"/>
  <c r="P261" i="1"/>
  <c r="P257" i="1"/>
  <c r="P253" i="1"/>
  <c r="P249" i="1"/>
  <c r="P245" i="1"/>
  <c r="P241" i="1"/>
  <c r="P237" i="1"/>
  <c r="P233" i="1"/>
  <c r="P229" i="1"/>
  <c r="P225" i="1"/>
  <c r="P221" i="1"/>
  <c r="P217" i="1"/>
  <c r="P213" i="1"/>
  <c r="P209" i="1"/>
  <c r="P205" i="1"/>
  <c r="P201" i="1"/>
  <c r="P197" i="1"/>
  <c r="P193" i="1"/>
  <c r="P189" i="1"/>
  <c r="P185" i="1"/>
  <c r="P181" i="1"/>
  <c r="P177" i="1"/>
  <c r="P173" i="1"/>
  <c r="P169" i="1"/>
  <c r="P165" i="1"/>
  <c r="P161" i="1"/>
  <c r="P157" i="1"/>
  <c r="P153" i="1"/>
  <c r="P149" i="1"/>
  <c r="P145" i="1"/>
  <c r="P141" i="1"/>
  <c r="P137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85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5" i="1"/>
  <c r="P21" i="1"/>
  <c r="P17" i="1"/>
  <c r="P13" i="1"/>
  <c r="P9" i="1"/>
  <c r="P5" i="1"/>
  <c r="P340" i="1"/>
  <c r="P336" i="1"/>
  <c r="P332" i="1"/>
  <c r="P328" i="1"/>
  <c r="P324" i="1"/>
  <c r="P320" i="1"/>
  <c r="P316" i="1"/>
  <c r="P312" i="1"/>
  <c r="P308" i="1"/>
  <c r="P304" i="1"/>
  <c r="P300" i="1"/>
  <c r="P296" i="1"/>
  <c r="P292" i="1"/>
  <c r="P288" i="1"/>
  <c r="P284" i="1"/>
  <c r="P280" i="1"/>
  <c r="P276" i="1"/>
  <c r="P272" i="1"/>
  <c r="P268" i="1"/>
  <c r="P264" i="1"/>
  <c r="P260" i="1"/>
  <c r="P256" i="1"/>
  <c r="P252" i="1"/>
  <c r="P248" i="1"/>
  <c r="P244" i="1"/>
  <c r="P240" i="1"/>
  <c r="P236" i="1"/>
  <c r="P232" i="1"/>
  <c r="P228" i="1"/>
  <c r="P224" i="1"/>
  <c r="P220" i="1"/>
  <c r="P216" i="1"/>
  <c r="P212" i="1"/>
  <c r="P208" i="1"/>
  <c r="P204" i="1"/>
  <c r="P200" i="1"/>
  <c r="P196" i="1"/>
  <c r="P192" i="1"/>
  <c r="P188" i="1"/>
  <c r="P184" i="1"/>
  <c r="P180" i="1"/>
  <c r="P176" i="1"/>
  <c r="P172" i="1"/>
  <c r="P168" i="1"/>
  <c r="P164" i="1"/>
  <c r="P160" i="1"/>
  <c r="P156" i="1"/>
  <c r="P152" i="1"/>
  <c r="P148" i="1"/>
  <c r="P144" i="1"/>
  <c r="P140" i="1"/>
  <c r="P136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84" i="1"/>
  <c r="P80" i="1"/>
  <c r="P76" i="1"/>
  <c r="P72" i="1"/>
  <c r="P68" i="1"/>
  <c r="P64" i="1"/>
  <c r="P60" i="1"/>
  <c r="P56" i="1"/>
  <c r="P52" i="1"/>
  <c r="P48" i="1"/>
  <c r="P44" i="1"/>
  <c r="P40" i="1"/>
  <c r="P36" i="1"/>
  <c r="P32" i="1"/>
  <c r="P28" i="1"/>
  <c r="P24" i="1"/>
  <c r="P20" i="1"/>
  <c r="P16" i="1"/>
  <c r="P12" i="1"/>
  <c r="P8" i="1"/>
  <c r="P4" i="1"/>
  <c r="P335" i="1"/>
  <c r="P327" i="1"/>
  <c r="P319" i="1"/>
  <c r="P307" i="1"/>
  <c r="P295" i="1"/>
  <c r="P283" i="1"/>
  <c r="P271" i="1"/>
  <c r="P259" i="1"/>
  <c r="P251" i="1"/>
  <c r="P247" i="1"/>
  <c r="P243" i="1"/>
  <c r="P235" i="1"/>
  <c r="P231" i="1"/>
  <c r="P227" i="1"/>
  <c r="P223" i="1"/>
  <c r="P219" i="1"/>
  <c r="P215" i="1"/>
  <c r="P211" i="1"/>
  <c r="P207" i="1"/>
  <c r="P203" i="1"/>
  <c r="P199" i="1"/>
  <c r="P195" i="1"/>
  <c r="P191" i="1"/>
  <c r="P187" i="1"/>
  <c r="P183" i="1"/>
  <c r="P179" i="1"/>
  <c r="P175" i="1"/>
  <c r="P171" i="1"/>
  <c r="P167" i="1"/>
  <c r="P163" i="1"/>
  <c r="P159" i="1"/>
  <c r="P155" i="1"/>
  <c r="P151" i="1"/>
  <c r="P147" i="1"/>
  <c r="P143" i="1"/>
  <c r="P139" i="1"/>
  <c r="P135" i="1"/>
  <c r="P131" i="1"/>
  <c r="P127" i="1"/>
  <c r="P123" i="1"/>
  <c r="P119" i="1"/>
  <c r="P115" i="1"/>
  <c r="P111" i="1"/>
  <c r="P107" i="1"/>
  <c r="P103" i="1"/>
  <c r="P99" i="1"/>
  <c r="P95" i="1"/>
  <c r="P91" i="1"/>
  <c r="P87" i="1"/>
  <c r="P83" i="1"/>
  <c r="P79" i="1"/>
  <c r="P75" i="1"/>
  <c r="P71" i="1"/>
  <c r="P67" i="1"/>
  <c r="P63" i="1"/>
  <c r="P59" i="1"/>
  <c r="P55" i="1"/>
  <c r="P51" i="1"/>
  <c r="P47" i="1"/>
  <c r="P43" i="1"/>
  <c r="P39" i="1"/>
  <c r="P35" i="1"/>
  <c r="P31" i="1"/>
  <c r="P27" i="1"/>
  <c r="P23" i="1"/>
  <c r="P19" i="1"/>
  <c r="P15" i="1"/>
  <c r="P11" i="1"/>
  <c r="P7" i="1"/>
  <c r="P3" i="1"/>
  <c r="C5832" i="2"/>
  <c r="I5832" i="2"/>
  <c r="C5270" i="2"/>
  <c r="C5317" i="2" s="1"/>
  <c r="C5364" i="2" s="1"/>
  <c r="C5271" i="2"/>
  <c r="C5318" i="2" s="1"/>
  <c r="C5272" i="2"/>
  <c r="C5273" i="2"/>
  <c r="C5320" i="2" s="1"/>
  <c r="C5274" i="2"/>
  <c r="C5321" i="2" s="1"/>
  <c r="C5275" i="2"/>
  <c r="C5276" i="2"/>
  <c r="C5277" i="2"/>
  <c r="I5277" i="2" s="1"/>
  <c r="C5278" i="2"/>
  <c r="C5325" i="2" s="1"/>
  <c r="C5279" i="2"/>
  <c r="C5280" i="2"/>
  <c r="C5281" i="2"/>
  <c r="I5281" i="2" s="1"/>
  <c r="C5282" i="2"/>
  <c r="C5329" i="2" s="1"/>
  <c r="C5376" i="2" s="1"/>
  <c r="C5283" i="2"/>
  <c r="C5284" i="2"/>
  <c r="C5285" i="2"/>
  <c r="C5332" i="2" s="1"/>
  <c r="C5286" i="2"/>
  <c r="C5333" i="2" s="1"/>
  <c r="C5380" i="2" s="1"/>
  <c r="C5287" i="2"/>
  <c r="C5334" i="2" s="1"/>
  <c r="C5288" i="2"/>
  <c r="C5289" i="2"/>
  <c r="C5336" i="2" s="1"/>
  <c r="C5290" i="2"/>
  <c r="C5337" i="2" s="1"/>
  <c r="C5291" i="2"/>
  <c r="C5292" i="2"/>
  <c r="C5293" i="2"/>
  <c r="I5293" i="2" s="1"/>
  <c r="C5294" i="2"/>
  <c r="C5341" i="2" s="1"/>
  <c r="C5295" i="2"/>
  <c r="C5296" i="2"/>
  <c r="C5297" i="2"/>
  <c r="I5297" i="2" s="1"/>
  <c r="C5298" i="2"/>
  <c r="C5345" i="2" s="1"/>
  <c r="C5392" i="2" s="1"/>
  <c r="C5299" i="2"/>
  <c r="C5300" i="2"/>
  <c r="C5301" i="2"/>
  <c r="C5348" i="2" s="1"/>
  <c r="C5302" i="2"/>
  <c r="C5349" i="2" s="1"/>
  <c r="C5396" i="2" s="1"/>
  <c r="C5303" i="2"/>
  <c r="C5350" i="2" s="1"/>
  <c r="C5304" i="2"/>
  <c r="C5305" i="2"/>
  <c r="C5352" i="2" s="1"/>
  <c r="C5399" i="2" s="1"/>
  <c r="C5446" i="2" s="1"/>
  <c r="C5493" i="2" s="1"/>
  <c r="C5540" i="2" s="1"/>
  <c r="C5306" i="2"/>
  <c r="C5353" i="2" s="1"/>
  <c r="C5307" i="2"/>
  <c r="C5308" i="2"/>
  <c r="C5309" i="2"/>
  <c r="I5309" i="2" s="1"/>
  <c r="C5310" i="2"/>
  <c r="C5357" i="2" s="1"/>
  <c r="C5311" i="2"/>
  <c r="C5312" i="2"/>
  <c r="C5313" i="2"/>
  <c r="I5313" i="2" s="1"/>
  <c r="C5314" i="2"/>
  <c r="C5361" i="2" s="1"/>
  <c r="C5408" i="2" s="1"/>
  <c r="C5315" i="2"/>
  <c r="C5319" i="2"/>
  <c r="C5366" i="2" s="1"/>
  <c r="C5413" i="2" s="1"/>
  <c r="C5460" i="2" s="1"/>
  <c r="C5322" i="2"/>
  <c r="C5369" i="2" s="1"/>
  <c r="C5323" i="2"/>
  <c r="C5324" i="2"/>
  <c r="I5324" i="2" s="1"/>
  <c r="C5326" i="2"/>
  <c r="C5373" i="2" s="1"/>
  <c r="C5327" i="2"/>
  <c r="C5330" i="2"/>
  <c r="C5377" i="2" s="1"/>
  <c r="C5424" i="2" s="1"/>
  <c r="C5331" i="2"/>
  <c r="C5335" i="2"/>
  <c r="C5382" i="2" s="1"/>
  <c r="C5429" i="2" s="1"/>
  <c r="C5338" i="2"/>
  <c r="C5385" i="2" s="1"/>
  <c r="C5339" i="2"/>
  <c r="C5340" i="2"/>
  <c r="I5340" i="2" s="1"/>
  <c r="C5342" i="2"/>
  <c r="C5389" i="2" s="1"/>
  <c r="C5343" i="2"/>
  <c r="C5346" i="2"/>
  <c r="C5393" i="2" s="1"/>
  <c r="C5440" i="2" s="1"/>
  <c r="C5347" i="2"/>
  <c r="C5351" i="2"/>
  <c r="C5398" i="2" s="1"/>
  <c r="C5445" i="2" s="1"/>
  <c r="C5492" i="2" s="1"/>
  <c r="C5539" i="2" s="1"/>
  <c r="I5539" i="2" s="1"/>
  <c r="C5354" i="2"/>
  <c r="C5401" i="2" s="1"/>
  <c r="C5355" i="2"/>
  <c r="C5356" i="2"/>
  <c r="C5403" i="2" s="1"/>
  <c r="C5450" i="2" s="1"/>
  <c r="C5497" i="2" s="1"/>
  <c r="C5544" i="2" s="1"/>
  <c r="I5544" i="2" s="1"/>
  <c r="C5358" i="2"/>
  <c r="C5405" i="2" s="1"/>
  <c r="C5359" i="2"/>
  <c r="C5362" i="2"/>
  <c r="C5409" i="2" s="1"/>
  <c r="I5409" i="2" s="1"/>
  <c r="C5363" i="2"/>
  <c r="C5368" i="2"/>
  <c r="C5370" i="2"/>
  <c r="C5417" i="2" s="1"/>
  <c r="C5372" i="2"/>
  <c r="I5372" i="2" s="1"/>
  <c r="C5374" i="2"/>
  <c r="C5421" i="2" s="1"/>
  <c r="C5378" i="2"/>
  <c r="C5425" i="2" s="1"/>
  <c r="C5472" i="2" s="1"/>
  <c r="C5384" i="2"/>
  <c r="C5386" i="2"/>
  <c r="C5433" i="2" s="1"/>
  <c r="C5388" i="2"/>
  <c r="C5435" i="2" s="1"/>
  <c r="C5390" i="2"/>
  <c r="C5437" i="2" s="1"/>
  <c r="C5394" i="2"/>
  <c r="C5441" i="2" s="1"/>
  <c r="C5488" i="2" s="1"/>
  <c r="C5400" i="2"/>
  <c r="C5402" i="2"/>
  <c r="C5449" i="2" s="1"/>
  <c r="C5404" i="2"/>
  <c r="I5404" i="2" s="1"/>
  <c r="C5406" i="2"/>
  <c r="C5453" i="2" s="1"/>
  <c r="C5410" i="2"/>
  <c r="C5457" i="2" s="1"/>
  <c r="C5504" i="2" s="1"/>
  <c r="C5551" i="2" s="1"/>
  <c r="C5415" i="2"/>
  <c r="C5462" i="2" s="1"/>
  <c r="C5509" i="2" s="1"/>
  <c r="C5556" i="2" s="1"/>
  <c r="C5416" i="2"/>
  <c r="C5420" i="2"/>
  <c r="I5420" i="2" s="1"/>
  <c r="C5431" i="2"/>
  <c r="C5478" i="2" s="1"/>
  <c r="C5432" i="2"/>
  <c r="C5436" i="2"/>
  <c r="C5483" i="2" s="1"/>
  <c r="C5447" i="2"/>
  <c r="I5447" i="2" s="1"/>
  <c r="C5448" i="2"/>
  <c r="C5452" i="2"/>
  <c r="I5452" i="2" s="1"/>
  <c r="C5463" i="2"/>
  <c r="C5510" i="2" s="1"/>
  <c r="C5464" i="2"/>
  <c r="C5468" i="2"/>
  <c r="I5468" i="2" s="1"/>
  <c r="C5479" i="2"/>
  <c r="I5479" i="2" s="1"/>
  <c r="C5480" i="2"/>
  <c r="C5484" i="2"/>
  <c r="I5484" i="2" s="1"/>
  <c r="C5495" i="2"/>
  <c r="I5495" i="2" s="1"/>
  <c r="C5496" i="2"/>
  <c r="C5500" i="2"/>
  <c r="C5547" i="2" s="1"/>
  <c r="C5511" i="2"/>
  <c r="C5558" i="2" s="1"/>
  <c r="C5527" i="2"/>
  <c r="I5527" i="2" s="1"/>
  <c r="C5543" i="2"/>
  <c r="C5591" i="2"/>
  <c r="C5269" i="2"/>
  <c r="C5316" i="2" s="1"/>
  <c r="C2748" i="2"/>
  <c r="C2749" i="2"/>
  <c r="C2750" i="2"/>
  <c r="C2751" i="2"/>
  <c r="I2751" i="2" s="1"/>
  <c r="C2752" i="2"/>
  <c r="C2753" i="2"/>
  <c r="C2754" i="2"/>
  <c r="C2755" i="2"/>
  <c r="I2755" i="2" s="1"/>
  <c r="C2756" i="2"/>
  <c r="C2757" i="2"/>
  <c r="C2758" i="2"/>
  <c r="C2759" i="2"/>
  <c r="I2759" i="2" s="1"/>
  <c r="C2760" i="2"/>
  <c r="C2761" i="2"/>
  <c r="C2762" i="2"/>
  <c r="C2763" i="2"/>
  <c r="I2763" i="2" s="1"/>
  <c r="C2764" i="2"/>
  <c r="C2765" i="2"/>
  <c r="C2766" i="2"/>
  <c r="C2767" i="2"/>
  <c r="I2767" i="2" s="1"/>
  <c r="C2768" i="2"/>
  <c r="C2769" i="2"/>
  <c r="C2770" i="2"/>
  <c r="C2771" i="2"/>
  <c r="I2771" i="2" s="1"/>
  <c r="C2772" i="2"/>
  <c r="C2773" i="2"/>
  <c r="C2774" i="2"/>
  <c r="C2775" i="2"/>
  <c r="I2775" i="2" s="1"/>
  <c r="C2776" i="2"/>
  <c r="C2777" i="2"/>
  <c r="C2778" i="2"/>
  <c r="C2779" i="2"/>
  <c r="I2779" i="2" s="1"/>
  <c r="C2780" i="2"/>
  <c r="C2781" i="2"/>
  <c r="C2782" i="2"/>
  <c r="C2783" i="2"/>
  <c r="I2783" i="2" s="1"/>
  <c r="C2784" i="2"/>
  <c r="C2785" i="2"/>
  <c r="C2786" i="2"/>
  <c r="C2787" i="2"/>
  <c r="I2787" i="2" s="1"/>
  <c r="C2788" i="2"/>
  <c r="C2789" i="2"/>
  <c r="C2790" i="2"/>
  <c r="C2791" i="2"/>
  <c r="I2791" i="2" s="1"/>
  <c r="C2792" i="2"/>
  <c r="C2793" i="2"/>
  <c r="C2794" i="2"/>
  <c r="C2795" i="2"/>
  <c r="I2795" i="2" s="1"/>
  <c r="C2796" i="2"/>
  <c r="C2797" i="2"/>
  <c r="C2798" i="2"/>
  <c r="C2799" i="2"/>
  <c r="I2799" i="2" s="1"/>
  <c r="C2800" i="2"/>
  <c r="C2801" i="2"/>
  <c r="C2802" i="2"/>
  <c r="C2803" i="2"/>
  <c r="I2803" i="2" s="1"/>
  <c r="C2804" i="2"/>
  <c r="C2805" i="2"/>
  <c r="C2806" i="2"/>
  <c r="C2807" i="2"/>
  <c r="I2807" i="2" s="1"/>
  <c r="C2808" i="2"/>
  <c r="C2809" i="2"/>
  <c r="C2810" i="2"/>
  <c r="C2811" i="2"/>
  <c r="I2811" i="2" s="1"/>
  <c r="C2812" i="2"/>
  <c r="C2813" i="2"/>
  <c r="C2814" i="2"/>
  <c r="C2815" i="2"/>
  <c r="I2815" i="2" s="1"/>
  <c r="C2816" i="2"/>
  <c r="C2817" i="2"/>
  <c r="C2818" i="2"/>
  <c r="C2819" i="2"/>
  <c r="I2819" i="2" s="1"/>
  <c r="C2820" i="2"/>
  <c r="C2821" i="2"/>
  <c r="C2822" i="2"/>
  <c r="C2823" i="2"/>
  <c r="I2823" i="2" s="1"/>
  <c r="C2824" i="2"/>
  <c r="C2825" i="2"/>
  <c r="C2826" i="2"/>
  <c r="C2827" i="2"/>
  <c r="I2827" i="2" s="1"/>
  <c r="C2828" i="2"/>
  <c r="C2829" i="2"/>
  <c r="C2830" i="2"/>
  <c r="C2831" i="2"/>
  <c r="I2831" i="2" s="1"/>
  <c r="C2832" i="2"/>
  <c r="C2833" i="2"/>
  <c r="C2834" i="2"/>
  <c r="C2835" i="2"/>
  <c r="I2835" i="2" s="1"/>
  <c r="C2836" i="2"/>
  <c r="C2837" i="2"/>
  <c r="C2838" i="2"/>
  <c r="C2839" i="2"/>
  <c r="I2839" i="2" s="1"/>
  <c r="C2840" i="2"/>
  <c r="C2841" i="2"/>
  <c r="C2842" i="2"/>
  <c r="C2843" i="2"/>
  <c r="I2843" i="2" s="1"/>
  <c r="C2844" i="2"/>
  <c r="C2845" i="2"/>
  <c r="C2846" i="2"/>
  <c r="C2847" i="2"/>
  <c r="I2847" i="2" s="1"/>
  <c r="C2848" i="2"/>
  <c r="C2849" i="2"/>
  <c r="C2850" i="2"/>
  <c r="C2851" i="2"/>
  <c r="I2851" i="2" s="1"/>
  <c r="C2852" i="2"/>
  <c r="C2853" i="2"/>
  <c r="C2854" i="2"/>
  <c r="C2855" i="2"/>
  <c r="I2855" i="2" s="1"/>
  <c r="C2856" i="2"/>
  <c r="C2857" i="2"/>
  <c r="C2858" i="2"/>
  <c r="C2859" i="2"/>
  <c r="I2859" i="2" s="1"/>
  <c r="C2860" i="2"/>
  <c r="C2861" i="2"/>
  <c r="C2862" i="2"/>
  <c r="C2863" i="2"/>
  <c r="I2863" i="2" s="1"/>
  <c r="C2864" i="2"/>
  <c r="C2865" i="2"/>
  <c r="C2866" i="2"/>
  <c r="C2867" i="2"/>
  <c r="I2867" i="2" s="1"/>
  <c r="C2868" i="2"/>
  <c r="C2869" i="2"/>
  <c r="C2870" i="2"/>
  <c r="C2871" i="2"/>
  <c r="I2871" i="2" s="1"/>
  <c r="C2872" i="2"/>
  <c r="C2873" i="2"/>
  <c r="C2874" i="2"/>
  <c r="C2875" i="2"/>
  <c r="I2875" i="2" s="1"/>
  <c r="C2876" i="2"/>
  <c r="C2877" i="2"/>
  <c r="C2878" i="2"/>
  <c r="C2879" i="2"/>
  <c r="I2879" i="2" s="1"/>
  <c r="C2880" i="2"/>
  <c r="C2881" i="2"/>
  <c r="C2882" i="2"/>
  <c r="C2883" i="2"/>
  <c r="I2883" i="2" s="1"/>
  <c r="C2884" i="2"/>
  <c r="C2885" i="2"/>
  <c r="C2886" i="2"/>
  <c r="C2887" i="2"/>
  <c r="I2887" i="2" s="1"/>
  <c r="C2888" i="2"/>
  <c r="C2889" i="2"/>
  <c r="C2890" i="2"/>
  <c r="C2891" i="2"/>
  <c r="I2891" i="2" s="1"/>
  <c r="C2892" i="2"/>
  <c r="C2893" i="2"/>
  <c r="C2894" i="2"/>
  <c r="C2895" i="2"/>
  <c r="I2895" i="2" s="1"/>
  <c r="C2896" i="2"/>
  <c r="C2897" i="2"/>
  <c r="C2898" i="2"/>
  <c r="C2899" i="2"/>
  <c r="I2899" i="2" s="1"/>
  <c r="C2900" i="2"/>
  <c r="C2901" i="2"/>
  <c r="C2902" i="2"/>
  <c r="C2903" i="2"/>
  <c r="I2903" i="2" s="1"/>
  <c r="C2904" i="2"/>
  <c r="C2905" i="2"/>
  <c r="C2906" i="2"/>
  <c r="C2907" i="2"/>
  <c r="I2907" i="2" s="1"/>
  <c r="C2908" i="2"/>
  <c r="C2909" i="2"/>
  <c r="C2910" i="2"/>
  <c r="C2911" i="2"/>
  <c r="I2911" i="2" s="1"/>
  <c r="C2912" i="2"/>
  <c r="C2913" i="2"/>
  <c r="C2914" i="2"/>
  <c r="C2915" i="2"/>
  <c r="I2915" i="2" s="1"/>
  <c r="C2916" i="2"/>
  <c r="C2917" i="2"/>
  <c r="C2918" i="2"/>
  <c r="C2919" i="2"/>
  <c r="I2919" i="2" s="1"/>
  <c r="C2920" i="2"/>
  <c r="C2921" i="2"/>
  <c r="C2922" i="2"/>
  <c r="C2923" i="2"/>
  <c r="I2923" i="2" s="1"/>
  <c r="C2924" i="2"/>
  <c r="C2925" i="2"/>
  <c r="C2926" i="2"/>
  <c r="C2927" i="2"/>
  <c r="I2927" i="2" s="1"/>
  <c r="C2928" i="2"/>
  <c r="C2929" i="2"/>
  <c r="C2930" i="2"/>
  <c r="C2931" i="2"/>
  <c r="I2931" i="2" s="1"/>
  <c r="C2932" i="2"/>
  <c r="C2933" i="2"/>
  <c r="C2934" i="2"/>
  <c r="C2935" i="2"/>
  <c r="I2935" i="2" s="1"/>
  <c r="C2936" i="2"/>
  <c r="C2937" i="2"/>
  <c r="C2938" i="2"/>
  <c r="C2939" i="2"/>
  <c r="I2939" i="2" s="1"/>
  <c r="C2940" i="2"/>
  <c r="C2941" i="2"/>
  <c r="C2942" i="2"/>
  <c r="C2943" i="2"/>
  <c r="I2943" i="2" s="1"/>
  <c r="C2944" i="2"/>
  <c r="C2945" i="2"/>
  <c r="C2946" i="2"/>
  <c r="C2947" i="2"/>
  <c r="I2947" i="2" s="1"/>
  <c r="C2948" i="2"/>
  <c r="C2949" i="2"/>
  <c r="C2950" i="2"/>
  <c r="C2951" i="2"/>
  <c r="I2951" i="2" s="1"/>
  <c r="C2952" i="2"/>
  <c r="C2953" i="2"/>
  <c r="C2954" i="2"/>
  <c r="C2955" i="2"/>
  <c r="I2955" i="2" s="1"/>
  <c r="C2956" i="2"/>
  <c r="C2957" i="2"/>
  <c r="C2958" i="2"/>
  <c r="C2959" i="2"/>
  <c r="I2959" i="2" s="1"/>
  <c r="C2960" i="2"/>
  <c r="C2961" i="2"/>
  <c r="C2962" i="2"/>
  <c r="C2963" i="2"/>
  <c r="I2963" i="2" s="1"/>
  <c r="C2964" i="2"/>
  <c r="C2965" i="2"/>
  <c r="C2966" i="2"/>
  <c r="C2967" i="2"/>
  <c r="I2967" i="2" s="1"/>
  <c r="C2968" i="2"/>
  <c r="C2969" i="2"/>
  <c r="C2970" i="2"/>
  <c r="C2971" i="2"/>
  <c r="I2971" i="2" s="1"/>
  <c r="C2972" i="2"/>
  <c r="C2973" i="2"/>
  <c r="C2974" i="2"/>
  <c r="C2975" i="2"/>
  <c r="I2975" i="2" s="1"/>
  <c r="C2976" i="2"/>
  <c r="C2977" i="2"/>
  <c r="C2978" i="2"/>
  <c r="C2979" i="2"/>
  <c r="I2979" i="2" s="1"/>
  <c r="C2980" i="2"/>
  <c r="C2981" i="2"/>
  <c r="C2982" i="2"/>
  <c r="C2983" i="2"/>
  <c r="I2983" i="2" s="1"/>
  <c r="C2984" i="2"/>
  <c r="C2985" i="2"/>
  <c r="C2986" i="2"/>
  <c r="C2987" i="2"/>
  <c r="I2987" i="2" s="1"/>
  <c r="C2988" i="2"/>
  <c r="C2989" i="2"/>
  <c r="C2990" i="2"/>
  <c r="C2991" i="2"/>
  <c r="I2991" i="2" s="1"/>
  <c r="C2992" i="2"/>
  <c r="C2993" i="2"/>
  <c r="C2994" i="2"/>
  <c r="C2995" i="2"/>
  <c r="I2995" i="2" s="1"/>
  <c r="C2996" i="2"/>
  <c r="C2997" i="2"/>
  <c r="C2998" i="2"/>
  <c r="C2999" i="2"/>
  <c r="I2999" i="2" s="1"/>
  <c r="C3000" i="2"/>
  <c r="C3001" i="2"/>
  <c r="C3002" i="2"/>
  <c r="C3003" i="2"/>
  <c r="I3003" i="2" s="1"/>
  <c r="C3004" i="2"/>
  <c r="C3005" i="2"/>
  <c r="C3006" i="2"/>
  <c r="C3007" i="2"/>
  <c r="I3007" i="2" s="1"/>
  <c r="C3008" i="2"/>
  <c r="C3009" i="2"/>
  <c r="C3010" i="2"/>
  <c r="C3011" i="2"/>
  <c r="I3011" i="2" s="1"/>
  <c r="C3012" i="2"/>
  <c r="C3013" i="2"/>
  <c r="C3014" i="2"/>
  <c r="C3015" i="2"/>
  <c r="I3015" i="2" s="1"/>
  <c r="C3016" i="2"/>
  <c r="C3017" i="2"/>
  <c r="C3018" i="2"/>
  <c r="C3019" i="2"/>
  <c r="I3019" i="2" s="1"/>
  <c r="C3020" i="2"/>
  <c r="C3021" i="2"/>
  <c r="C3022" i="2"/>
  <c r="C3023" i="2"/>
  <c r="I3023" i="2" s="1"/>
  <c r="C3024" i="2"/>
  <c r="C3025" i="2"/>
  <c r="C3026" i="2"/>
  <c r="C3027" i="2"/>
  <c r="I3027" i="2" s="1"/>
  <c r="C3028" i="2"/>
  <c r="C3029" i="2"/>
  <c r="C3030" i="2"/>
  <c r="C3031" i="2"/>
  <c r="I3031" i="2" s="1"/>
  <c r="C3032" i="2"/>
  <c r="C3033" i="2"/>
  <c r="C3034" i="2"/>
  <c r="C3035" i="2"/>
  <c r="I3035" i="2" s="1"/>
  <c r="C3036" i="2"/>
  <c r="C3037" i="2"/>
  <c r="C3038" i="2"/>
  <c r="C3039" i="2"/>
  <c r="I3039" i="2" s="1"/>
  <c r="C3040" i="2"/>
  <c r="C3041" i="2"/>
  <c r="C3042" i="2"/>
  <c r="C3043" i="2"/>
  <c r="I3043" i="2" s="1"/>
  <c r="C3044" i="2"/>
  <c r="C3045" i="2"/>
  <c r="C3046" i="2"/>
  <c r="C3047" i="2"/>
  <c r="I3047" i="2" s="1"/>
  <c r="C3048" i="2"/>
  <c r="C3049" i="2"/>
  <c r="C3050" i="2"/>
  <c r="C3051" i="2"/>
  <c r="I3051" i="2" s="1"/>
  <c r="C3052" i="2"/>
  <c r="C3053" i="2"/>
  <c r="C3054" i="2"/>
  <c r="C3055" i="2"/>
  <c r="I3055" i="2" s="1"/>
  <c r="C3056" i="2"/>
  <c r="C3057" i="2"/>
  <c r="C3058" i="2"/>
  <c r="C3059" i="2"/>
  <c r="I3059" i="2" s="1"/>
  <c r="C3060" i="2"/>
  <c r="C3061" i="2"/>
  <c r="C3062" i="2"/>
  <c r="C3063" i="2"/>
  <c r="I3063" i="2" s="1"/>
  <c r="C3064" i="2"/>
  <c r="C3065" i="2"/>
  <c r="C3066" i="2"/>
  <c r="C3067" i="2"/>
  <c r="I3067" i="2" s="1"/>
  <c r="C3068" i="2"/>
  <c r="C3069" i="2"/>
  <c r="C3070" i="2"/>
  <c r="C3071" i="2"/>
  <c r="I3071" i="2" s="1"/>
  <c r="C3072" i="2"/>
  <c r="C3073" i="2"/>
  <c r="C3074" i="2"/>
  <c r="C3075" i="2"/>
  <c r="I3075" i="2" s="1"/>
  <c r="C3076" i="2"/>
  <c r="C3077" i="2"/>
  <c r="C3078" i="2"/>
  <c r="C3079" i="2"/>
  <c r="I3079" i="2" s="1"/>
  <c r="C3080" i="2"/>
  <c r="C3081" i="2"/>
  <c r="C3082" i="2"/>
  <c r="C3083" i="2"/>
  <c r="I3083" i="2" s="1"/>
  <c r="C3084" i="2"/>
  <c r="C3085" i="2"/>
  <c r="C3086" i="2"/>
  <c r="C3087" i="2"/>
  <c r="I3087" i="2" s="1"/>
  <c r="C3088" i="2"/>
  <c r="C3089" i="2"/>
  <c r="C3090" i="2"/>
  <c r="C3091" i="2"/>
  <c r="I3091" i="2" s="1"/>
  <c r="C3092" i="2"/>
  <c r="C3093" i="2"/>
  <c r="C3094" i="2"/>
  <c r="C3095" i="2"/>
  <c r="I3095" i="2" s="1"/>
  <c r="C3096" i="2"/>
  <c r="C3097" i="2"/>
  <c r="C3098" i="2"/>
  <c r="C3099" i="2"/>
  <c r="I3099" i="2" s="1"/>
  <c r="C3100" i="2"/>
  <c r="C3101" i="2"/>
  <c r="C3102" i="2"/>
  <c r="C3103" i="2"/>
  <c r="I3103" i="2" s="1"/>
  <c r="C3104" i="2"/>
  <c r="C3105" i="2"/>
  <c r="C3106" i="2"/>
  <c r="C3107" i="2"/>
  <c r="I3107" i="2" s="1"/>
  <c r="C3108" i="2"/>
  <c r="C3109" i="2"/>
  <c r="C3110" i="2"/>
  <c r="C3111" i="2"/>
  <c r="I3111" i="2" s="1"/>
  <c r="C3112" i="2"/>
  <c r="C3113" i="2"/>
  <c r="C3114" i="2"/>
  <c r="C3115" i="2"/>
  <c r="I3115" i="2" s="1"/>
  <c r="C3116" i="2"/>
  <c r="C3117" i="2"/>
  <c r="C3118" i="2"/>
  <c r="C3119" i="2"/>
  <c r="I3119" i="2" s="1"/>
  <c r="C3120" i="2"/>
  <c r="C3121" i="2"/>
  <c r="C3122" i="2"/>
  <c r="C3123" i="2"/>
  <c r="I3123" i="2" s="1"/>
  <c r="C3124" i="2"/>
  <c r="C3125" i="2"/>
  <c r="C3126" i="2"/>
  <c r="C3127" i="2"/>
  <c r="I3127" i="2" s="1"/>
  <c r="C3128" i="2"/>
  <c r="C3129" i="2"/>
  <c r="C3130" i="2"/>
  <c r="C3131" i="2"/>
  <c r="I3131" i="2" s="1"/>
  <c r="C3132" i="2"/>
  <c r="C3133" i="2"/>
  <c r="C3134" i="2"/>
  <c r="C3135" i="2"/>
  <c r="I3135" i="2" s="1"/>
  <c r="C3136" i="2"/>
  <c r="C3137" i="2"/>
  <c r="C3138" i="2"/>
  <c r="C3139" i="2"/>
  <c r="I3139" i="2" s="1"/>
  <c r="C3140" i="2"/>
  <c r="C3141" i="2"/>
  <c r="C3142" i="2"/>
  <c r="C3143" i="2"/>
  <c r="I3143" i="2" s="1"/>
  <c r="C3144" i="2"/>
  <c r="C3145" i="2"/>
  <c r="C3146" i="2"/>
  <c r="C3147" i="2"/>
  <c r="I3147" i="2" s="1"/>
  <c r="C3148" i="2"/>
  <c r="C3149" i="2"/>
  <c r="C3150" i="2"/>
  <c r="C3151" i="2"/>
  <c r="I3151" i="2" s="1"/>
  <c r="C3152" i="2"/>
  <c r="C3153" i="2"/>
  <c r="C3154" i="2"/>
  <c r="C3155" i="2"/>
  <c r="I3155" i="2" s="1"/>
  <c r="C3156" i="2"/>
  <c r="C3157" i="2"/>
  <c r="C3158" i="2"/>
  <c r="C3159" i="2"/>
  <c r="I3159" i="2" s="1"/>
  <c r="C3160" i="2"/>
  <c r="C3161" i="2"/>
  <c r="C3162" i="2"/>
  <c r="C3163" i="2"/>
  <c r="I3163" i="2" s="1"/>
  <c r="C3164" i="2"/>
  <c r="C3165" i="2"/>
  <c r="C3166" i="2"/>
  <c r="C3167" i="2"/>
  <c r="I3167" i="2" s="1"/>
  <c r="C3168" i="2"/>
  <c r="C3169" i="2"/>
  <c r="C3170" i="2"/>
  <c r="C3171" i="2"/>
  <c r="I3171" i="2" s="1"/>
  <c r="C3172" i="2"/>
  <c r="C3173" i="2"/>
  <c r="C3174" i="2"/>
  <c r="C3175" i="2"/>
  <c r="I3175" i="2" s="1"/>
  <c r="C3176" i="2"/>
  <c r="C3177" i="2"/>
  <c r="C3178" i="2"/>
  <c r="C3179" i="2"/>
  <c r="I3179" i="2" s="1"/>
  <c r="C3180" i="2"/>
  <c r="C3181" i="2"/>
  <c r="C3182" i="2"/>
  <c r="C3183" i="2"/>
  <c r="I3183" i="2" s="1"/>
  <c r="C3184" i="2"/>
  <c r="C3185" i="2"/>
  <c r="C3186" i="2"/>
  <c r="C3187" i="2"/>
  <c r="I3187" i="2" s="1"/>
  <c r="C3188" i="2"/>
  <c r="C3189" i="2"/>
  <c r="C3190" i="2"/>
  <c r="C3191" i="2"/>
  <c r="I3191" i="2" s="1"/>
  <c r="C3192" i="2"/>
  <c r="C3193" i="2"/>
  <c r="C3194" i="2"/>
  <c r="C3195" i="2"/>
  <c r="I3195" i="2" s="1"/>
  <c r="C3196" i="2"/>
  <c r="C3197" i="2"/>
  <c r="C3198" i="2"/>
  <c r="C3199" i="2"/>
  <c r="I3199" i="2" s="1"/>
  <c r="C3200" i="2"/>
  <c r="C3201" i="2"/>
  <c r="C3202" i="2"/>
  <c r="C3203" i="2"/>
  <c r="I3203" i="2" s="1"/>
  <c r="C3204" i="2"/>
  <c r="C3205" i="2"/>
  <c r="C3206" i="2"/>
  <c r="C3207" i="2"/>
  <c r="I3207" i="2" s="1"/>
  <c r="C3208" i="2"/>
  <c r="C3209" i="2"/>
  <c r="C3210" i="2"/>
  <c r="C3211" i="2"/>
  <c r="I3211" i="2" s="1"/>
  <c r="C3212" i="2"/>
  <c r="C3213" i="2"/>
  <c r="C3214" i="2"/>
  <c r="C3215" i="2"/>
  <c r="I3215" i="2" s="1"/>
  <c r="C3216" i="2"/>
  <c r="C3217" i="2"/>
  <c r="C3218" i="2"/>
  <c r="C3219" i="2"/>
  <c r="I3219" i="2" s="1"/>
  <c r="C3220" i="2"/>
  <c r="C3221" i="2"/>
  <c r="C3222" i="2"/>
  <c r="C3223" i="2"/>
  <c r="I3223" i="2" s="1"/>
  <c r="C3224" i="2"/>
  <c r="C3225" i="2"/>
  <c r="C3226" i="2"/>
  <c r="C3227" i="2"/>
  <c r="I3227" i="2" s="1"/>
  <c r="C3228" i="2"/>
  <c r="C3229" i="2"/>
  <c r="C3230" i="2"/>
  <c r="C3231" i="2"/>
  <c r="I3231" i="2" s="1"/>
  <c r="C3232" i="2"/>
  <c r="C3233" i="2"/>
  <c r="C3234" i="2"/>
  <c r="C3235" i="2"/>
  <c r="I3235" i="2" s="1"/>
  <c r="C3236" i="2"/>
  <c r="C3237" i="2"/>
  <c r="C3238" i="2"/>
  <c r="C3239" i="2"/>
  <c r="I3239" i="2" s="1"/>
  <c r="C3240" i="2"/>
  <c r="C3241" i="2"/>
  <c r="C3242" i="2"/>
  <c r="C3243" i="2"/>
  <c r="I3243" i="2" s="1"/>
  <c r="C3244" i="2"/>
  <c r="C3245" i="2"/>
  <c r="C3246" i="2"/>
  <c r="C3247" i="2"/>
  <c r="I3247" i="2" s="1"/>
  <c r="C3248" i="2"/>
  <c r="C3249" i="2"/>
  <c r="C3250" i="2"/>
  <c r="C3251" i="2"/>
  <c r="I3251" i="2" s="1"/>
  <c r="C3252" i="2"/>
  <c r="C3253" i="2"/>
  <c r="C3254" i="2"/>
  <c r="C3255" i="2"/>
  <c r="I3255" i="2" s="1"/>
  <c r="C3256" i="2"/>
  <c r="C3257" i="2"/>
  <c r="C3258" i="2"/>
  <c r="C3259" i="2"/>
  <c r="I3259" i="2" s="1"/>
  <c r="C3260" i="2"/>
  <c r="C3261" i="2"/>
  <c r="C3262" i="2"/>
  <c r="C3263" i="2"/>
  <c r="I3263" i="2" s="1"/>
  <c r="C3264" i="2"/>
  <c r="C3265" i="2"/>
  <c r="C3266" i="2"/>
  <c r="C3267" i="2"/>
  <c r="I3267" i="2" s="1"/>
  <c r="C3268" i="2"/>
  <c r="C3269" i="2"/>
  <c r="C3270" i="2"/>
  <c r="C3271" i="2"/>
  <c r="I3271" i="2" s="1"/>
  <c r="C3272" i="2"/>
  <c r="C3273" i="2"/>
  <c r="C3274" i="2"/>
  <c r="C3275" i="2"/>
  <c r="I3275" i="2" s="1"/>
  <c r="C3276" i="2"/>
  <c r="C3277" i="2"/>
  <c r="C3278" i="2"/>
  <c r="C3279" i="2"/>
  <c r="I3279" i="2" s="1"/>
  <c r="C3280" i="2"/>
  <c r="C3281" i="2"/>
  <c r="C3282" i="2"/>
  <c r="C3283" i="2"/>
  <c r="I3283" i="2" s="1"/>
  <c r="C3284" i="2"/>
  <c r="C3285" i="2"/>
  <c r="C3286" i="2"/>
  <c r="C3287" i="2"/>
  <c r="I3287" i="2" s="1"/>
  <c r="C3288" i="2"/>
  <c r="C3289" i="2"/>
  <c r="C3290" i="2"/>
  <c r="C3291" i="2"/>
  <c r="I3291" i="2" s="1"/>
  <c r="C3292" i="2"/>
  <c r="C3293" i="2"/>
  <c r="C3294" i="2"/>
  <c r="C3295" i="2"/>
  <c r="I3295" i="2" s="1"/>
  <c r="C3296" i="2"/>
  <c r="C3297" i="2"/>
  <c r="C3298" i="2"/>
  <c r="C3299" i="2"/>
  <c r="I3299" i="2" s="1"/>
  <c r="C3300" i="2"/>
  <c r="C3301" i="2"/>
  <c r="C3302" i="2"/>
  <c r="C3303" i="2"/>
  <c r="I3303" i="2" s="1"/>
  <c r="C3304" i="2"/>
  <c r="C3305" i="2"/>
  <c r="C3306" i="2"/>
  <c r="C3307" i="2"/>
  <c r="I3307" i="2" s="1"/>
  <c r="C3308" i="2"/>
  <c r="C3309" i="2"/>
  <c r="C3310" i="2"/>
  <c r="C3311" i="2"/>
  <c r="I3311" i="2" s="1"/>
  <c r="C3312" i="2"/>
  <c r="C3313" i="2"/>
  <c r="C3314" i="2"/>
  <c r="C3315" i="2"/>
  <c r="I3315" i="2" s="1"/>
  <c r="C3316" i="2"/>
  <c r="C3317" i="2"/>
  <c r="C3318" i="2"/>
  <c r="C3319" i="2"/>
  <c r="I3319" i="2" s="1"/>
  <c r="C3320" i="2"/>
  <c r="C3321" i="2"/>
  <c r="C3322" i="2"/>
  <c r="C3323" i="2"/>
  <c r="I3323" i="2" s="1"/>
  <c r="C3324" i="2"/>
  <c r="C3325" i="2"/>
  <c r="C3326" i="2"/>
  <c r="C3327" i="2"/>
  <c r="I3327" i="2" s="1"/>
  <c r="C3328" i="2"/>
  <c r="C3329" i="2"/>
  <c r="C3330" i="2"/>
  <c r="C3331" i="2"/>
  <c r="I3331" i="2" s="1"/>
  <c r="C3332" i="2"/>
  <c r="C3333" i="2"/>
  <c r="C3334" i="2"/>
  <c r="C3335" i="2"/>
  <c r="I3335" i="2" s="1"/>
  <c r="C3336" i="2"/>
  <c r="C3337" i="2"/>
  <c r="C3338" i="2"/>
  <c r="C3339" i="2"/>
  <c r="I3339" i="2" s="1"/>
  <c r="C3340" i="2"/>
  <c r="C3341" i="2"/>
  <c r="C3342" i="2"/>
  <c r="C3343" i="2"/>
  <c r="I3343" i="2" s="1"/>
  <c r="C3344" i="2"/>
  <c r="C3345" i="2"/>
  <c r="C3346" i="2"/>
  <c r="C3347" i="2"/>
  <c r="I3347" i="2" s="1"/>
  <c r="C3348" i="2"/>
  <c r="C3349" i="2"/>
  <c r="C3350" i="2"/>
  <c r="C3351" i="2"/>
  <c r="I3351" i="2" s="1"/>
  <c r="C3352" i="2"/>
  <c r="C3353" i="2"/>
  <c r="C3354" i="2"/>
  <c r="C3355" i="2"/>
  <c r="I3355" i="2" s="1"/>
  <c r="C3356" i="2"/>
  <c r="C3357" i="2"/>
  <c r="C3358" i="2"/>
  <c r="C3359" i="2"/>
  <c r="I3359" i="2" s="1"/>
  <c r="C3360" i="2"/>
  <c r="C3361" i="2"/>
  <c r="C3362" i="2"/>
  <c r="C3363" i="2"/>
  <c r="I3363" i="2" s="1"/>
  <c r="C3364" i="2"/>
  <c r="C3365" i="2"/>
  <c r="C3366" i="2"/>
  <c r="C3367" i="2"/>
  <c r="I3367" i="2" s="1"/>
  <c r="C3368" i="2"/>
  <c r="C3369" i="2"/>
  <c r="C3370" i="2"/>
  <c r="C3371" i="2"/>
  <c r="I3371" i="2" s="1"/>
  <c r="C3372" i="2"/>
  <c r="C3373" i="2"/>
  <c r="C3374" i="2"/>
  <c r="C3375" i="2"/>
  <c r="I3375" i="2" s="1"/>
  <c r="C3376" i="2"/>
  <c r="C3377" i="2"/>
  <c r="C3378" i="2"/>
  <c r="C3379" i="2"/>
  <c r="I3379" i="2" s="1"/>
  <c r="C3380" i="2"/>
  <c r="C3381" i="2"/>
  <c r="C3382" i="2"/>
  <c r="C3383" i="2"/>
  <c r="I3383" i="2" s="1"/>
  <c r="C3384" i="2"/>
  <c r="C3385" i="2"/>
  <c r="C3386" i="2"/>
  <c r="C3387" i="2"/>
  <c r="I3387" i="2" s="1"/>
  <c r="C3388" i="2"/>
  <c r="C3389" i="2"/>
  <c r="C3390" i="2"/>
  <c r="C3391" i="2"/>
  <c r="I3391" i="2" s="1"/>
  <c r="C3392" i="2"/>
  <c r="C3393" i="2"/>
  <c r="C3394" i="2"/>
  <c r="C3395" i="2"/>
  <c r="I3395" i="2" s="1"/>
  <c r="C3396" i="2"/>
  <c r="C3397" i="2"/>
  <c r="C3398" i="2"/>
  <c r="C3399" i="2"/>
  <c r="I3399" i="2" s="1"/>
  <c r="C3400" i="2"/>
  <c r="C3401" i="2"/>
  <c r="C3402" i="2"/>
  <c r="C3403" i="2"/>
  <c r="I3403" i="2" s="1"/>
  <c r="C3404" i="2"/>
  <c r="C3405" i="2"/>
  <c r="C3406" i="2"/>
  <c r="C3407" i="2"/>
  <c r="I3407" i="2" s="1"/>
  <c r="C3408" i="2"/>
  <c r="C3409" i="2"/>
  <c r="C3410" i="2"/>
  <c r="C3411" i="2"/>
  <c r="I3411" i="2" s="1"/>
  <c r="C3412" i="2"/>
  <c r="C3413" i="2"/>
  <c r="C3414" i="2"/>
  <c r="C3415" i="2"/>
  <c r="I3415" i="2" s="1"/>
  <c r="C3416" i="2"/>
  <c r="C3417" i="2"/>
  <c r="C3418" i="2"/>
  <c r="C3419" i="2"/>
  <c r="I3419" i="2" s="1"/>
  <c r="C3420" i="2"/>
  <c r="C3421" i="2"/>
  <c r="C3422" i="2"/>
  <c r="C3423" i="2"/>
  <c r="I3423" i="2" s="1"/>
  <c r="C3424" i="2"/>
  <c r="C3425" i="2"/>
  <c r="C3426" i="2"/>
  <c r="C3427" i="2"/>
  <c r="I3427" i="2" s="1"/>
  <c r="C3428" i="2"/>
  <c r="C3429" i="2"/>
  <c r="C3430" i="2"/>
  <c r="C3431" i="2"/>
  <c r="I3431" i="2" s="1"/>
  <c r="C3432" i="2"/>
  <c r="C3433" i="2"/>
  <c r="C3434" i="2"/>
  <c r="C3435" i="2"/>
  <c r="I3435" i="2" s="1"/>
  <c r="C3436" i="2"/>
  <c r="C3437" i="2"/>
  <c r="C3438" i="2"/>
  <c r="C3439" i="2"/>
  <c r="I3439" i="2" s="1"/>
  <c r="C3440" i="2"/>
  <c r="C3441" i="2"/>
  <c r="C3442" i="2"/>
  <c r="C3443" i="2"/>
  <c r="I3443" i="2" s="1"/>
  <c r="C3444" i="2"/>
  <c r="C3445" i="2"/>
  <c r="C3446" i="2"/>
  <c r="C3447" i="2"/>
  <c r="I3447" i="2" s="1"/>
  <c r="C3448" i="2"/>
  <c r="C3449" i="2"/>
  <c r="C3450" i="2"/>
  <c r="C3451" i="2"/>
  <c r="I3451" i="2" s="1"/>
  <c r="C3452" i="2"/>
  <c r="C3453" i="2"/>
  <c r="C3454" i="2"/>
  <c r="C3455" i="2"/>
  <c r="I3455" i="2" s="1"/>
  <c r="C3456" i="2"/>
  <c r="C3457" i="2"/>
  <c r="C3458" i="2"/>
  <c r="C3459" i="2"/>
  <c r="I3459" i="2" s="1"/>
  <c r="C3460" i="2"/>
  <c r="C3461" i="2"/>
  <c r="C3462" i="2"/>
  <c r="C3463" i="2"/>
  <c r="I3463" i="2" s="1"/>
  <c r="C3464" i="2"/>
  <c r="C3465" i="2"/>
  <c r="C3466" i="2"/>
  <c r="C3467" i="2"/>
  <c r="I3467" i="2" s="1"/>
  <c r="C3468" i="2"/>
  <c r="C3469" i="2"/>
  <c r="C3470" i="2"/>
  <c r="C3471" i="2"/>
  <c r="I3471" i="2" s="1"/>
  <c r="C3472" i="2"/>
  <c r="C3473" i="2"/>
  <c r="C3474" i="2"/>
  <c r="C3475" i="2"/>
  <c r="I3475" i="2" s="1"/>
  <c r="C3476" i="2"/>
  <c r="C3477" i="2"/>
  <c r="C3478" i="2"/>
  <c r="C3479" i="2"/>
  <c r="I3479" i="2" s="1"/>
  <c r="C3480" i="2"/>
  <c r="C3481" i="2"/>
  <c r="C3482" i="2"/>
  <c r="C3483" i="2"/>
  <c r="I3483" i="2" s="1"/>
  <c r="C3484" i="2"/>
  <c r="C3485" i="2"/>
  <c r="C3486" i="2"/>
  <c r="C3487" i="2"/>
  <c r="I3487" i="2" s="1"/>
  <c r="C3488" i="2"/>
  <c r="C3489" i="2"/>
  <c r="C3490" i="2"/>
  <c r="C3491" i="2"/>
  <c r="I3491" i="2" s="1"/>
  <c r="C3492" i="2"/>
  <c r="C3493" i="2"/>
  <c r="C3494" i="2"/>
  <c r="C3495" i="2"/>
  <c r="I3495" i="2" s="1"/>
  <c r="C3496" i="2"/>
  <c r="C3497" i="2"/>
  <c r="C3498" i="2"/>
  <c r="C3499" i="2"/>
  <c r="I3499" i="2" s="1"/>
  <c r="C3500" i="2"/>
  <c r="C3501" i="2"/>
  <c r="C3502" i="2"/>
  <c r="C3503" i="2"/>
  <c r="I3503" i="2" s="1"/>
  <c r="C3504" i="2"/>
  <c r="C3505" i="2"/>
  <c r="C3506" i="2"/>
  <c r="C3507" i="2"/>
  <c r="I3507" i="2" s="1"/>
  <c r="C3508" i="2"/>
  <c r="C3509" i="2"/>
  <c r="C3510" i="2"/>
  <c r="C3511" i="2"/>
  <c r="I3511" i="2" s="1"/>
  <c r="C3512" i="2"/>
  <c r="C3513" i="2"/>
  <c r="C3514" i="2"/>
  <c r="C3515" i="2"/>
  <c r="I3515" i="2" s="1"/>
  <c r="C3516" i="2"/>
  <c r="C3517" i="2"/>
  <c r="C3518" i="2"/>
  <c r="C3519" i="2"/>
  <c r="I3519" i="2" s="1"/>
  <c r="C3520" i="2"/>
  <c r="C3521" i="2"/>
  <c r="C3522" i="2"/>
  <c r="C3523" i="2"/>
  <c r="I3523" i="2" s="1"/>
  <c r="C3524" i="2"/>
  <c r="C3525" i="2"/>
  <c r="C3526" i="2"/>
  <c r="C3527" i="2"/>
  <c r="I3527" i="2" s="1"/>
  <c r="C3528" i="2"/>
  <c r="C3529" i="2"/>
  <c r="C3530" i="2"/>
  <c r="C3531" i="2"/>
  <c r="I3531" i="2" s="1"/>
  <c r="C3532" i="2"/>
  <c r="C3533" i="2"/>
  <c r="C3534" i="2"/>
  <c r="C3535" i="2"/>
  <c r="I3535" i="2" s="1"/>
  <c r="C3536" i="2"/>
  <c r="C3537" i="2"/>
  <c r="C3538" i="2"/>
  <c r="C3539" i="2"/>
  <c r="I3539" i="2" s="1"/>
  <c r="C3540" i="2"/>
  <c r="C3541" i="2"/>
  <c r="C3542" i="2"/>
  <c r="C3543" i="2"/>
  <c r="I3543" i="2" s="1"/>
  <c r="C3544" i="2"/>
  <c r="C3545" i="2"/>
  <c r="C3546" i="2"/>
  <c r="C3547" i="2"/>
  <c r="I3547" i="2" s="1"/>
  <c r="C3548" i="2"/>
  <c r="C3549" i="2"/>
  <c r="C3550" i="2"/>
  <c r="C3551" i="2"/>
  <c r="I3551" i="2" s="1"/>
  <c r="C3552" i="2"/>
  <c r="C3553" i="2"/>
  <c r="C3554" i="2"/>
  <c r="C3555" i="2"/>
  <c r="I3555" i="2" s="1"/>
  <c r="C3556" i="2"/>
  <c r="C3557" i="2"/>
  <c r="C3558" i="2"/>
  <c r="C3559" i="2"/>
  <c r="I3559" i="2" s="1"/>
  <c r="C3560" i="2"/>
  <c r="C3561" i="2"/>
  <c r="C3562" i="2"/>
  <c r="C3563" i="2"/>
  <c r="I3563" i="2" s="1"/>
  <c r="C3564" i="2"/>
  <c r="C3565" i="2"/>
  <c r="C3566" i="2"/>
  <c r="C3567" i="2"/>
  <c r="I3567" i="2" s="1"/>
  <c r="C3568" i="2"/>
  <c r="C3569" i="2"/>
  <c r="C3570" i="2"/>
  <c r="C3571" i="2"/>
  <c r="I3571" i="2" s="1"/>
  <c r="C3572" i="2"/>
  <c r="C3573" i="2"/>
  <c r="C3574" i="2"/>
  <c r="C3575" i="2"/>
  <c r="I3575" i="2" s="1"/>
  <c r="C3576" i="2"/>
  <c r="C3577" i="2"/>
  <c r="C3578" i="2"/>
  <c r="C3579" i="2"/>
  <c r="I3579" i="2" s="1"/>
  <c r="C3580" i="2"/>
  <c r="C3581" i="2"/>
  <c r="C3582" i="2"/>
  <c r="C3583" i="2"/>
  <c r="I3583" i="2" s="1"/>
  <c r="C3584" i="2"/>
  <c r="C3585" i="2"/>
  <c r="C3586" i="2"/>
  <c r="C3587" i="2"/>
  <c r="I3587" i="2" s="1"/>
  <c r="C3588" i="2"/>
  <c r="C3589" i="2"/>
  <c r="C3590" i="2"/>
  <c r="C3591" i="2"/>
  <c r="I3591" i="2" s="1"/>
  <c r="C3592" i="2"/>
  <c r="C3593" i="2"/>
  <c r="C3594" i="2"/>
  <c r="C3595" i="2"/>
  <c r="I3595" i="2" s="1"/>
  <c r="C3596" i="2"/>
  <c r="C3597" i="2"/>
  <c r="C3598" i="2"/>
  <c r="C3599" i="2"/>
  <c r="I3599" i="2" s="1"/>
  <c r="C3600" i="2"/>
  <c r="C3601" i="2"/>
  <c r="C3602" i="2"/>
  <c r="C3603" i="2"/>
  <c r="I3603" i="2" s="1"/>
  <c r="C3604" i="2"/>
  <c r="C3605" i="2"/>
  <c r="C3606" i="2"/>
  <c r="C3607" i="2"/>
  <c r="I3607" i="2" s="1"/>
  <c r="C3608" i="2"/>
  <c r="C3609" i="2"/>
  <c r="C3610" i="2"/>
  <c r="C3611" i="2"/>
  <c r="I3611" i="2" s="1"/>
  <c r="C3612" i="2"/>
  <c r="C3613" i="2"/>
  <c r="C3614" i="2"/>
  <c r="C3615" i="2"/>
  <c r="I3615" i="2" s="1"/>
  <c r="C3616" i="2"/>
  <c r="C3617" i="2"/>
  <c r="C3618" i="2"/>
  <c r="C3619" i="2"/>
  <c r="I3619" i="2" s="1"/>
  <c r="C3620" i="2"/>
  <c r="C3621" i="2"/>
  <c r="C3622" i="2"/>
  <c r="C3623" i="2"/>
  <c r="I3623" i="2" s="1"/>
  <c r="C3624" i="2"/>
  <c r="C3625" i="2"/>
  <c r="C3626" i="2"/>
  <c r="C3627" i="2"/>
  <c r="I3627" i="2" s="1"/>
  <c r="C3628" i="2"/>
  <c r="C3629" i="2"/>
  <c r="C3630" i="2"/>
  <c r="C3631" i="2"/>
  <c r="I3631" i="2" s="1"/>
  <c r="C3632" i="2"/>
  <c r="C3633" i="2"/>
  <c r="C3634" i="2"/>
  <c r="C3635" i="2"/>
  <c r="I3635" i="2" s="1"/>
  <c r="C3636" i="2"/>
  <c r="C3637" i="2"/>
  <c r="C3638" i="2"/>
  <c r="C3639" i="2"/>
  <c r="I3639" i="2" s="1"/>
  <c r="C3640" i="2"/>
  <c r="C3641" i="2"/>
  <c r="C3642" i="2"/>
  <c r="C3643" i="2"/>
  <c r="I3643" i="2" s="1"/>
  <c r="C3644" i="2"/>
  <c r="C3645" i="2"/>
  <c r="C3646" i="2"/>
  <c r="C3647" i="2"/>
  <c r="I3647" i="2" s="1"/>
  <c r="C3648" i="2"/>
  <c r="C3649" i="2"/>
  <c r="C3650" i="2"/>
  <c r="C3651" i="2"/>
  <c r="I3651" i="2" s="1"/>
  <c r="C3652" i="2"/>
  <c r="C3653" i="2"/>
  <c r="C3654" i="2"/>
  <c r="C3655" i="2"/>
  <c r="I3655" i="2" s="1"/>
  <c r="C3656" i="2"/>
  <c r="C3657" i="2"/>
  <c r="C3658" i="2"/>
  <c r="C3659" i="2"/>
  <c r="I3659" i="2" s="1"/>
  <c r="C3660" i="2"/>
  <c r="C3661" i="2"/>
  <c r="C3662" i="2"/>
  <c r="C3663" i="2"/>
  <c r="I3663" i="2" s="1"/>
  <c r="C3664" i="2"/>
  <c r="C3665" i="2"/>
  <c r="C3666" i="2"/>
  <c r="C3667" i="2"/>
  <c r="I3667" i="2" s="1"/>
  <c r="C3668" i="2"/>
  <c r="C3669" i="2"/>
  <c r="C3670" i="2"/>
  <c r="C3671" i="2"/>
  <c r="I3671" i="2" s="1"/>
  <c r="C3672" i="2"/>
  <c r="C3673" i="2"/>
  <c r="C3674" i="2"/>
  <c r="C3675" i="2"/>
  <c r="I3675" i="2" s="1"/>
  <c r="C3676" i="2"/>
  <c r="C3677" i="2"/>
  <c r="C3678" i="2"/>
  <c r="C3679" i="2"/>
  <c r="I3679" i="2" s="1"/>
  <c r="C3680" i="2"/>
  <c r="C3681" i="2"/>
  <c r="C3682" i="2"/>
  <c r="C3683" i="2"/>
  <c r="I3683" i="2" s="1"/>
  <c r="C3684" i="2"/>
  <c r="C3685" i="2"/>
  <c r="C3686" i="2"/>
  <c r="C3687" i="2"/>
  <c r="I3687" i="2" s="1"/>
  <c r="C3688" i="2"/>
  <c r="C3689" i="2"/>
  <c r="C3690" i="2"/>
  <c r="C3691" i="2"/>
  <c r="I3691" i="2" s="1"/>
  <c r="C3692" i="2"/>
  <c r="C3693" i="2"/>
  <c r="C3694" i="2"/>
  <c r="C3695" i="2"/>
  <c r="I3695" i="2" s="1"/>
  <c r="C3696" i="2"/>
  <c r="C3697" i="2"/>
  <c r="C3698" i="2"/>
  <c r="C3699" i="2"/>
  <c r="I3699" i="2" s="1"/>
  <c r="C3700" i="2"/>
  <c r="C3701" i="2"/>
  <c r="C3702" i="2"/>
  <c r="C3703" i="2"/>
  <c r="I3703" i="2" s="1"/>
  <c r="C3704" i="2"/>
  <c r="C3705" i="2"/>
  <c r="C3706" i="2"/>
  <c r="C3707" i="2"/>
  <c r="I3707" i="2" s="1"/>
  <c r="C3708" i="2"/>
  <c r="C3709" i="2"/>
  <c r="C3710" i="2"/>
  <c r="C3711" i="2"/>
  <c r="I3711" i="2" s="1"/>
  <c r="C3712" i="2"/>
  <c r="C3713" i="2"/>
  <c r="C3714" i="2"/>
  <c r="C3715" i="2"/>
  <c r="I3715" i="2" s="1"/>
  <c r="C3716" i="2"/>
  <c r="C3717" i="2"/>
  <c r="C3718" i="2"/>
  <c r="C3719" i="2"/>
  <c r="I3719" i="2" s="1"/>
  <c r="C3720" i="2"/>
  <c r="C3721" i="2"/>
  <c r="C3722" i="2"/>
  <c r="C3723" i="2"/>
  <c r="I3723" i="2" s="1"/>
  <c r="C3724" i="2"/>
  <c r="C3725" i="2"/>
  <c r="C3726" i="2"/>
  <c r="C3727" i="2"/>
  <c r="I3727" i="2" s="1"/>
  <c r="C3728" i="2"/>
  <c r="C3729" i="2"/>
  <c r="C3730" i="2"/>
  <c r="C3731" i="2"/>
  <c r="I3731" i="2" s="1"/>
  <c r="C3732" i="2"/>
  <c r="C3733" i="2"/>
  <c r="C3734" i="2"/>
  <c r="C3735" i="2"/>
  <c r="I3735" i="2" s="1"/>
  <c r="C3736" i="2"/>
  <c r="C3737" i="2"/>
  <c r="C3738" i="2"/>
  <c r="C3739" i="2"/>
  <c r="I3739" i="2" s="1"/>
  <c r="C3740" i="2"/>
  <c r="C3741" i="2"/>
  <c r="C3742" i="2"/>
  <c r="C3743" i="2"/>
  <c r="I3743" i="2" s="1"/>
  <c r="C3744" i="2"/>
  <c r="C3745" i="2"/>
  <c r="C3746" i="2"/>
  <c r="C3747" i="2"/>
  <c r="I3747" i="2" s="1"/>
  <c r="C3748" i="2"/>
  <c r="C3749" i="2"/>
  <c r="C3750" i="2"/>
  <c r="C3751" i="2"/>
  <c r="I3751" i="2" s="1"/>
  <c r="C3752" i="2"/>
  <c r="C3753" i="2"/>
  <c r="C3754" i="2"/>
  <c r="C3755" i="2"/>
  <c r="I3755" i="2" s="1"/>
  <c r="C3756" i="2"/>
  <c r="C3757" i="2"/>
  <c r="C3758" i="2"/>
  <c r="C3759" i="2"/>
  <c r="I3759" i="2" s="1"/>
  <c r="C3760" i="2"/>
  <c r="C3761" i="2"/>
  <c r="C3762" i="2"/>
  <c r="C3763" i="2"/>
  <c r="I3763" i="2" s="1"/>
  <c r="C3764" i="2"/>
  <c r="C3765" i="2"/>
  <c r="C3766" i="2"/>
  <c r="C3767" i="2"/>
  <c r="I3767" i="2" s="1"/>
  <c r="C3768" i="2"/>
  <c r="C3769" i="2"/>
  <c r="C3770" i="2"/>
  <c r="C3771" i="2"/>
  <c r="I3771" i="2" s="1"/>
  <c r="C3772" i="2"/>
  <c r="C3773" i="2"/>
  <c r="C3774" i="2"/>
  <c r="C3775" i="2"/>
  <c r="I3775" i="2" s="1"/>
  <c r="C3776" i="2"/>
  <c r="C3777" i="2"/>
  <c r="C3778" i="2"/>
  <c r="C3779" i="2"/>
  <c r="I3779" i="2" s="1"/>
  <c r="C3780" i="2"/>
  <c r="C3781" i="2"/>
  <c r="C3782" i="2"/>
  <c r="C3783" i="2"/>
  <c r="I3783" i="2" s="1"/>
  <c r="C3784" i="2"/>
  <c r="C3785" i="2"/>
  <c r="C3786" i="2"/>
  <c r="C3787" i="2"/>
  <c r="I3787" i="2" s="1"/>
  <c r="C3788" i="2"/>
  <c r="C3789" i="2"/>
  <c r="C3790" i="2"/>
  <c r="C3791" i="2"/>
  <c r="I3791" i="2" s="1"/>
  <c r="C3792" i="2"/>
  <c r="C3793" i="2"/>
  <c r="C3794" i="2"/>
  <c r="C3795" i="2"/>
  <c r="I3795" i="2" s="1"/>
  <c r="C3796" i="2"/>
  <c r="C3797" i="2"/>
  <c r="C3798" i="2"/>
  <c r="C3799" i="2"/>
  <c r="I3799" i="2" s="1"/>
  <c r="C3800" i="2"/>
  <c r="C3801" i="2"/>
  <c r="C3802" i="2"/>
  <c r="C3803" i="2"/>
  <c r="I3803" i="2" s="1"/>
  <c r="C3804" i="2"/>
  <c r="C3805" i="2"/>
  <c r="C3806" i="2"/>
  <c r="C3807" i="2"/>
  <c r="I3807" i="2" s="1"/>
  <c r="C3808" i="2"/>
  <c r="C3809" i="2"/>
  <c r="C3810" i="2"/>
  <c r="C3811" i="2"/>
  <c r="I3811" i="2" s="1"/>
  <c r="C3812" i="2"/>
  <c r="C3813" i="2"/>
  <c r="C3814" i="2"/>
  <c r="C3815" i="2"/>
  <c r="I3815" i="2" s="1"/>
  <c r="C3816" i="2"/>
  <c r="C3817" i="2"/>
  <c r="C3818" i="2"/>
  <c r="C3819" i="2"/>
  <c r="I3819" i="2" s="1"/>
  <c r="C3820" i="2"/>
  <c r="C3821" i="2"/>
  <c r="C3822" i="2"/>
  <c r="C3823" i="2"/>
  <c r="I3823" i="2" s="1"/>
  <c r="C3824" i="2"/>
  <c r="C3825" i="2"/>
  <c r="C3826" i="2"/>
  <c r="C3827" i="2"/>
  <c r="I3827" i="2" s="1"/>
  <c r="C3828" i="2"/>
  <c r="C3829" i="2"/>
  <c r="C3830" i="2"/>
  <c r="C3831" i="2"/>
  <c r="I3831" i="2" s="1"/>
  <c r="C3832" i="2"/>
  <c r="C3833" i="2"/>
  <c r="C3834" i="2"/>
  <c r="C3835" i="2"/>
  <c r="I3835" i="2" s="1"/>
  <c r="C3836" i="2"/>
  <c r="C3837" i="2"/>
  <c r="C3838" i="2"/>
  <c r="C3839" i="2"/>
  <c r="I3839" i="2" s="1"/>
  <c r="C3840" i="2"/>
  <c r="C3841" i="2"/>
  <c r="C3842" i="2"/>
  <c r="C3843" i="2"/>
  <c r="I3843" i="2" s="1"/>
  <c r="C3844" i="2"/>
  <c r="C3845" i="2"/>
  <c r="C3846" i="2"/>
  <c r="C3847" i="2"/>
  <c r="I3847" i="2" s="1"/>
  <c r="C3848" i="2"/>
  <c r="C3849" i="2"/>
  <c r="C3850" i="2"/>
  <c r="C3851" i="2"/>
  <c r="I3851" i="2" s="1"/>
  <c r="C3852" i="2"/>
  <c r="C3853" i="2"/>
  <c r="C3854" i="2"/>
  <c r="C3855" i="2"/>
  <c r="I3855" i="2" s="1"/>
  <c r="C3856" i="2"/>
  <c r="C3857" i="2"/>
  <c r="C3858" i="2"/>
  <c r="C3859" i="2"/>
  <c r="I3859" i="2" s="1"/>
  <c r="C3860" i="2"/>
  <c r="C3861" i="2"/>
  <c r="C3862" i="2"/>
  <c r="C3863" i="2"/>
  <c r="I3863" i="2" s="1"/>
  <c r="C3864" i="2"/>
  <c r="C3865" i="2"/>
  <c r="C3866" i="2"/>
  <c r="C3867" i="2"/>
  <c r="I3867" i="2" s="1"/>
  <c r="C3868" i="2"/>
  <c r="C3869" i="2"/>
  <c r="C3870" i="2"/>
  <c r="C3871" i="2"/>
  <c r="I3871" i="2" s="1"/>
  <c r="C3872" i="2"/>
  <c r="C3873" i="2"/>
  <c r="C3874" i="2"/>
  <c r="C3875" i="2"/>
  <c r="I3875" i="2" s="1"/>
  <c r="C3876" i="2"/>
  <c r="C3877" i="2"/>
  <c r="C3878" i="2"/>
  <c r="C3879" i="2"/>
  <c r="I3879" i="2" s="1"/>
  <c r="C3880" i="2"/>
  <c r="C3881" i="2"/>
  <c r="C3882" i="2"/>
  <c r="C3883" i="2"/>
  <c r="I3883" i="2" s="1"/>
  <c r="C3884" i="2"/>
  <c r="C3885" i="2"/>
  <c r="C3886" i="2"/>
  <c r="C3887" i="2"/>
  <c r="I3887" i="2" s="1"/>
  <c r="C3888" i="2"/>
  <c r="C3889" i="2"/>
  <c r="C3890" i="2"/>
  <c r="C3891" i="2"/>
  <c r="I3891" i="2" s="1"/>
  <c r="C3892" i="2"/>
  <c r="C3893" i="2"/>
  <c r="C3894" i="2"/>
  <c r="C3895" i="2"/>
  <c r="I3895" i="2" s="1"/>
  <c r="C3896" i="2"/>
  <c r="C3897" i="2"/>
  <c r="C3898" i="2"/>
  <c r="C3899" i="2"/>
  <c r="I3899" i="2" s="1"/>
  <c r="C3900" i="2"/>
  <c r="C3901" i="2"/>
  <c r="C3902" i="2"/>
  <c r="C3903" i="2"/>
  <c r="I3903" i="2" s="1"/>
  <c r="C3904" i="2"/>
  <c r="C3905" i="2"/>
  <c r="C3906" i="2"/>
  <c r="C3907" i="2"/>
  <c r="I3907" i="2" s="1"/>
  <c r="C3908" i="2"/>
  <c r="C3909" i="2"/>
  <c r="C3910" i="2"/>
  <c r="C3911" i="2"/>
  <c r="I3911" i="2" s="1"/>
  <c r="C3912" i="2"/>
  <c r="C3913" i="2"/>
  <c r="C3914" i="2"/>
  <c r="C3915" i="2"/>
  <c r="I3915" i="2" s="1"/>
  <c r="C3916" i="2"/>
  <c r="C3917" i="2"/>
  <c r="C3918" i="2"/>
  <c r="C3919" i="2"/>
  <c r="I3919" i="2" s="1"/>
  <c r="C3920" i="2"/>
  <c r="C3921" i="2"/>
  <c r="C3922" i="2"/>
  <c r="C3923" i="2"/>
  <c r="I3923" i="2" s="1"/>
  <c r="C3924" i="2"/>
  <c r="C3925" i="2"/>
  <c r="C3926" i="2"/>
  <c r="C3927" i="2"/>
  <c r="I3927" i="2" s="1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8" i="2"/>
  <c r="C4991" i="2"/>
  <c r="C4992" i="2"/>
  <c r="C4993" i="2"/>
  <c r="I4993" i="2" s="1"/>
  <c r="C4995" i="2"/>
  <c r="C4996" i="2"/>
  <c r="C5005" i="2"/>
  <c r="C5009" i="2"/>
  <c r="C2747" i="2"/>
  <c r="C2510" i="2"/>
  <c r="C4985" i="2" s="1"/>
  <c r="C2511" i="2"/>
  <c r="C2512" i="2"/>
  <c r="C4987" i="2" s="1"/>
  <c r="C2513" i="2"/>
  <c r="C2514" i="2"/>
  <c r="C4989" i="2" s="1"/>
  <c r="C2515" i="2"/>
  <c r="C2516" i="2"/>
  <c r="C2517" i="2"/>
  <c r="C2518" i="2"/>
  <c r="C2519" i="2"/>
  <c r="C2520" i="2"/>
  <c r="C2521" i="2"/>
  <c r="C2522" i="2"/>
  <c r="C4997" i="2" s="1"/>
  <c r="C2526" i="2"/>
  <c r="C2527" i="2"/>
  <c r="C2530" i="2"/>
  <c r="C2531" i="2"/>
  <c r="C2532" i="2"/>
  <c r="C2534" i="2"/>
  <c r="C2535" i="2"/>
  <c r="C2536" i="2"/>
  <c r="C2544" i="2"/>
  <c r="C5019" i="2" s="1"/>
  <c r="C2548" i="2"/>
  <c r="C2558" i="2"/>
  <c r="C2509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7" i="2"/>
  <c r="I2530" i="2"/>
  <c r="I2531" i="2"/>
  <c r="I2534" i="2"/>
  <c r="I2535" i="2"/>
  <c r="I2536" i="2"/>
  <c r="I2544" i="2"/>
  <c r="I2548" i="2"/>
  <c r="I2747" i="2"/>
  <c r="I2748" i="2"/>
  <c r="I2749" i="2"/>
  <c r="I2750" i="2"/>
  <c r="I2752" i="2"/>
  <c r="I2753" i="2"/>
  <c r="I2754" i="2"/>
  <c r="I2756" i="2"/>
  <c r="I2757" i="2"/>
  <c r="I2758" i="2"/>
  <c r="I2760" i="2"/>
  <c r="I2761" i="2"/>
  <c r="I2762" i="2"/>
  <c r="I2764" i="2"/>
  <c r="I2765" i="2"/>
  <c r="I2766" i="2"/>
  <c r="I2768" i="2"/>
  <c r="I2769" i="2"/>
  <c r="I2770" i="2"/>
  <c r="I2772" i="2"/>
  <c r="I2773" i="2"/>
  <c r="I2774" i="2"/>
  <c r="I2776" i="2"/>
  <c r="I2777" i="2"/>
  <c r="I2778" i="2"/>
  <c r="I2780" i="2"/>
  <c r="I2781" i="2"/>
  <c r="I2782" i="2"/>
  <c r="I2784" i="2"/>
  <c r="I2785" i="2"/>
  <c r="I2786" i="2"/>
  <c r="I2788" i="2"/>
  <c r="I2789" i="2"/>
  <c r="I2790" i="2"/>
  <c r="I2792" i="2"/>
  <c r="I2793" i="2"/>
  <c r="I2794" i="2"/>
  <c r="I2796" i="2"/>
  <c r="I2797" i="2"/>
  <c r="I2798" i="2"/>
  <c r="I2800" i="2"/>
  <c r="I2801" i="2"/>
  <c r="I2802" i="2"/>
  <c r="I2804" i="2"/>
  <c r="I2805" i="2"/>
  <c r="I2806" i="2"/>
  <c r="I2808" i="2"/>
  <c r="I2809" i="2"/>
  <c r="I2810" i="2"/>
  <c r="I2812" i="2"/>
  <c r="I2813" i="2"/>
  <c r="I2814" i="2"/>
  <c r="I2816" i="2"/>
  <c r="I2817" i="2"/>
  <c r="I2818" i="2"/>
  <c r="I2820" i="2"/>
  <c r="I2821" i="2"/>
  <c r="I2822" i="2"/>
  <c r="I2824" i="2"/>
  <c r="I2825" i="2"/>
  <c r="I2826" i="2"/>
  <c r="I2828" i="2"/>
  <c r="I2829" i="2"/>
  <c r="I2830" i="2"/>
  <c r="I2832" i="2"/>
  <c r="I2833" i="2"/>
  <c r="I2834" i="2"/>
  <c r="I2836" i="2"/>
  <c r="I2837" i="2"/>
  <c r="I2838" i="2"/>
  <c r="I2840" i="2"/>
  <c r="I2841" i="2"/>
  <c r="I2842" i="2"/>
  <c r="I2844" i="2"/>
  <c r="I2845" i="2"/>
  <c r="I2846" i="2"/>
  <c r="I2848" i="2"/>
  <c r="I2849" i="2"/>
  <c r="I2850" i="2"/>
  <c r="I2852" i="2"/>
  <c r="I2853" i="2"/>
  <c r="I2854" i="2"/>
  <c r="I2856" i="2"/>
  <c r="I2857" i="2"/>
  <c r="I2858" i="2"/>
  <c r="I2860" i="2"/>
  <c r="I2861" i="2"/>
  <c r="I2862" i="2"/>
  <c r="I2864" i="2"/>
  <c r="I2865" i="2"/>
  <c r="I2866" i="2"/>
  <c r="I2868" i="2"/>
  <c r="I2869" i="2"/>
  <c r="I2870" i="2"/>
  <c r="I2872" i="2"/>
  <c r="I2873" i="2"/>
  <c r="I2874" i="2"/>
  <c r="I2876" i="2"/>
  <c r="I2877" i="2"/>
  <c r="I2878" i="2"/>
  <c r="I2880" i="2"/>
  <c r="I2881" i="2"/>
  <c r="I2882" i="2"/>
  <c r="I2884" i="2"/>
  <c r="I2885" i="2"/>
  <c r="I2886" i="2"/>
  <c r="I2888" i="2"/>
  <c r="I2889" i="2"/>
  <c r="I2890" i="2"/>
  <c r="I2892" i="2"/>
  <c r="I2893" i="2"/>
  <c r="I2894" i="2"/>
  <c r="I2896" i="2"/>
  <c r="I2897" i="2"/>
  <c r="I2898" i="2"/>
  <c r="I2900" i="2"/>
  <c r="I2901" i="2"/>
  <c r="I2902" i="2"/>
  <c r="I2904" i="2"/>
  <c r="I2905" i="2"/>
  <c r="I2906" i="2"/>
  <c r="I2908" i="2"/>
  <c r="I2909" i="2"/>
  <c r="I2910" i="2"/>
  <c r="I2912" i="2"/>
  <c r="I2913" i="2"/>
  <c r="I2914" i="2"/>
  <c r="I2916" i="2"/>
  <c r="I2917" i="2"/>
  <c r="I2918" i="2"/>
  <c r="I2920" i="2"/>
  <c r="I2921" i="2"/>
  <c r="I2922" i="2"/>
  <c r="I2924" i="2"/>
  <c r="I2925" i="2"/>
  <c r="I2926" i="2"/>
  <c r="I2928" i="2"/>
  <c r="I2929" i="2"/>
  <c r="I2930" i="2"/>
  <c r="I2932" i="2"/>
  <c r="I2933" i="2"/>
  <c r="I2934" i="2"/>
  <c r="I2936" i="2"/>
  <c r="I2937" i="2"/>
  <c r="I2938" i="2"/>
  <c r="I2940" i="2"/>
  <c r="I2941" i="2"/>
  <c r="I2942" i="2"/>
  <c r="I2944" i="2"/>
  <c r="I2945" i="2"/>
  <c r="I2946" i="2"/>
  <c r="I2948" i="2"/>
  <c r="I2949" i="2"/>
  <c r="I2950" i="2"/>
  <c r="I2952" i="2"/>
  <c r="I2953" i="2"/>
  <c r="I2954" i="2"/>
  <c r="I2956" i="2"/>
  <c r="I2957" i="2"/>
  <c r="I2958" i="2"/>
  <c r="I2960" i="2"/>
  <c r="I2961" i="2"/>
  <c r="I2962" i="2"/>
  <c r="I2964" i="2"/>
  <c r="I2965" i="2"/>
  <c r="I2966" i="2"/>
  <c r="I2968" i="2"/>
  <c r="I2969" i="2"/>
  <c r="I2970" i="2"/>
  <c r="I2972" i="2"/>
  <c r="I2973" i="2"/>
  <c r="I2974" i="2"/>
  <c r="I2976" i="2"/>
  <c r="I2977" i="2"/>
  <c r="I2978" i="2"/>
  <c r="I2980" i="2"/>
  <c r="I2981" i="2"/>
  <c r="I2982" i="2"/>
  <c r="I2984" i="2"/>
  <c r="I2985" i="2"/>
  <c r="I2986" i="2"/>
  <c r="I2988" i="2"/>
  <c r="I2989" i="2"/>
  <c r="I2990" i="2"/>
  <c r="I2992" i="2"/>
  <c r="I2993" i="2"/>
  <c r="I2994" i="2"/>
  <c r="I2996" i="2"/>
  <c r="I2997" i="2"/>
  <c r="I2998" i="2"/>
  <c r="I3000" i="2"/>
  <c r="I3001" i="2"/>
  <c r="I3002" i="2"/>
  <c r="I3004" i="2"/>
  <c r="I3005" i="2"/>
  <c r="I3006" i="2"/>
  <c r="I3008" i="2"/>
  <c r="I3009" i="2"/>
  <c r="I3010" i="2"/>
  <c r="I3012" i="2"/>
  <c r="I3013" i="2"/>
  <c r="I3014" i="2"/>
  <c r="I3016" i="2"/>
  <c r="I3017" i="2"/>
  <c r="I3018" i="2"/>
  <c r="I3020" i="2"/>
  <c r="I3021" i="2"/>
  <c r="I3022" i="2"/>
  <c r="I3024" i="2"/>
  <c r="I3025" i="2"/>
  <c r="I3026" i="2"/>
  <c r="I3028" i="2"/>
  <c r="I3029" i="2"/>
  <c r="I3030" i="2"/>
  <c r="I3032" i="2"/>
  <c r="I3033" i="2"/>
  <c r="I3034" i="2"/>
  <c r="I3036" i="2"/>
  <c r="I3037" i="2"/>
  <c r="I3038" i="2"/>
  <c r="I3040" i="2"/>
  <c r="I3041" i="2"/>
  <c r="I3042" i="2"/>
  <c r="I3044" i="2"/>
  <c r="I3045" i="2"/>
  <c r="I3046" i="2"/>
  <c r="I3048" i="2"/>
  <c r="I3049" i="2"/>
  <c r="I3050" i="2"/>
  <c r="I3052" i="2"/>
  <c r="I3053" i="2"/>
  <c r="I3054" i="2"/>
  <c r="I3056" i="2"/>
  <c r="I3057" i="2"/>
  <c r="I3058" i="2"/>
  <c r="I3060" i="2"/>
  <c r="I3061" i="2"/>
  <c r="I3062" i="2"/>
  <c r="I3064" i="2"/>
  <c r="I3065" i="2"/>
  <c r="I3066" i="2"/>
  <c r="I3068" i="2"/>
  <c r="I3069" i="2"/>
  <c r="I3070" i="2"/>
  <c r="I3072" i="2"/>
  <c r="I3073" i="2"/>
  <c r="I3074" i="2"/>
  <c r="I3076" i="2"/>
  <c r="I3077" i="2"/>
  <c r="I3078" i="2"/>
  <c r="I3080" i="2"/>
  <c r="I3081" i="2"/>
  <c r="I3082" i="2"/>
  <c r="I3084" i="2"/>
  <c r="I3085" i="2"/>
  <c r="I3086" i="2"/>
  <c r="I3088" i="2"/>
  <c r="I3089" i="2"/>
  <c r="I3090" i="2"/>
  <c r="I3092" i="2"/>
  <c r="I3093" i="2"/>
  <c r="I3094" i="2"/>
  <c r="I3096" i="2"/>
  <c r="I3097" i="2"/>
  <c r="I3098" i="2"/>
  <c r="I3100" i="2"/>
  <c r="I3101" i="2"/>
  <c r="I3102" i="2"/>
  <c r="I3104" i="2"/>
  <c r="I3105" i="2"/>
  <c r="I3106" i="2"/>
  <c r="I3108" i="2"/>
  <c r="I3109" i="2"/>
  <c r="I3110" i="2"/>
  <c r="I3112" i="2"/>
  <c r="I3113" i="2"/>
  <c r="I3114" i="2"/>
  <c r="I3116" i="2"/>
  <c r="I3117" i="2"/>
  <c r="I3118" i="2"/>
  <c r="I3120" i="2"/>
  <c r="I3121" i="2"/>
  <c r="I3122" i="2"/>
  <c r="I3124" i="2"/>
  <c r="I3125" i="2"/>
  <c r="I3126" i="2"/>
  <c r="I3128" i="2"/>
  <c r="I3129" i="2"/>
  <c r="I3130" i="2"/>
  <c r="I3132" i="2"/>
  <c r="I3133" i="2"/>
  <c r="I3134" i="2"/>
  <c r="I3136" i="2"/>
  <c r="I3137" i="2"/>
  <c r="I3138" i="2"/>
  <c r="I3140" i="2"/>
  <c r="I3141" i="2"/>
  <c r="I3142" i="2"/>
  <c r="I3144" i="2"/>
  <c r="I3145" i="2"/>
  <c r="I3146" i="2"/>
  <c r="I3148" i="2"/>
  <c r="I3149" i="2"/>
  <c r="I3150" i="2"/>
  <c r="I3152" i="2"/>
  <c r="I3153" i="2"/>
  <c r="I3154" i="2"/>
  <c r="I3156" i="2"/>
  <c r="I3157" i="2"/>
  <c r="I3158" i="2"/>
  <c r="I3160" i="2"/>
  <c r="I3161" i="2"/>
  <c r="I3162" i="2"/>
  <c r="I3164" i="2"/>
  <c r="I3165" i="2"/>
  <c r="I3166" i="2"/>
  <c r="I3168" i="2"/>
  <c r="I3169" i="2"/>
  <c r="I3170" i="2"/>
  <c r="I3172" i="2"/>
  <c r="I3173" i="2"/>
  <c r="I3174" i="2"/>
  <c r="I3176" i="2"/>
  <c r="I3177" i="2"/>
  <c r="I3178" i="2"/>
  <c r="I3180" i="2"/>
  <c r="I3181" i="2"/>
  <c r="I3182" i="2"/>
  <c r="I3184" i="2"/>
  <c r="I3185" i="2"/>
  <c r="I3186" i="2"/>
  <c r="I3188" i="2"/>
  <c r="I3189" i="2"/>
  <c r="I3190" i="2"/>
  <c r="I3192" i="2"/>
  <c r="I3193" i="2"/>
  <c r="I3194" i="2"/>
  <c r="I3196" i="2"/>
  <c r="I3197" i="2"/>
  <c r="I3198" i="2"/>
  <c r="I3200" i="2"/>
  <c r="I3201" i="2"/>
  <c r="I3202" i="2"/>
  <c r="I3204" i="2"/>
  <c r="I3205" i="2"/>
  <c r="I3206" i="2"/>
  <c r="I3208" i="2"/>
  <c r="I3209" i="2"/>
  <c r="I3210" i="2"/>
  <c r="I3212" i="2"/>
  <c r="I3213" i="2"/>
  <c r="I3214" i="2"/>
  <c r="I3216" i="2"/>
  <c r="I3217" i="2"/>
  <c r="I3218" i="2"/>
  <c r="I3220" i="2"/>
  <c r="I3221" i="2"/>
  <c r="I3222" i="2"/>
  <c r="I3224" i="2"/>
  <c r="I3225" i="2"/>
  <c r="I3226" i="2"/>
  <c r="I3228" i="2"/>
  <c r="I3229" i="2"/>
  <c r="I3230" i="2"/>
  <c r="I3232" i="2"/>
  <c r="I3233" i="2"/>
  <c r="I3234" i="2"/>
  <c r="I3236" i="2"/>
  <c r="I3237" i="2"/>
  <c r="I3238" i="2"/>
  <c r="I3240" i="2"/>
  <c r="I3241" i="2"/>
  <c r="I3242" i="2"/>
  <c r="I3244" i="2"/>
  <c r="I3245" i="2"/>
  <c r="I3246" i="2"/>
  <c r="I3248" i="2"/>
  <c r="I3249" i="2"/>
  <c r="I3250" i="2"/>
  <c r="I3252" i="2"/>
  <c r="I3253" i="2"/>
  <c r="I3254" i="2"/>
  <c r="I3256" i="2"/>
  <c r="I3257" i="2"/>
  <c r="I3258" i="2"/>
  <c r="I3260" i="2"/>
  <c r="I3261" i="2"/>
  <c r="I3262" i="2"/>
  <c r="I3264" i="2"/>
  <c r="I3265" i="2"/>
  <c r="I3266" i="2"/>
  <c r="I3268" i="2"/>
  <c r="I3269" i="2"/>
  <c r="I3270" i="2"/>
  <c r="I3272" i="2"/>
  <c r="I3273" i="2"/>
  <c r="I3274" i="2"/>
  <c r="I3276" i="2"/>
  <c r="I3277" i="2"/>
  <c r="I3278" i="2"/>
  <c r="I3280" i="2"/>
  <c r="I3281" i="2"/>
  <c r="I3282" i="2"/>
  <c r="I3284" i="2"/>
  <c r="I3285" i="2"/>
  <c r="I3286" i="2"/>
  <c r="I3288" i="2"/>
  <c r="I3289" i="2"/>
  <c r="I3290" i="2"/>
  <c r="I3292" i="2"/>
  <c r="I3293" i="2"/>
  <c r="I3294" i="2"/>
  <c r="I3296" i="2"/>
  <c r="I3297" i="2"/>
  <c r="I3298" i="2"/>
  <c r="I3300" i="2"/>
  <c r="I3301" i="2"/>
  <c r="I3302" i="2"/>
  <c r="I3304" i="2"/>
  <c r="I3305" i="2"/>
  <c r="I3306" i="2"/>
  <c r="I3308" i="2"/>
  <c r="I3309" i="2"/>
  <c r="I3310" i="2"/>
  <c r="I3312" i="2"/>
  <c r="I3313" i="2"/>
  <c r="I3314" i="2"/>
  <c r="I3316" i="2"/>
  <c r="I3317" i="2"/>
  <c r="I3318" i="2"/>
  <c r="I3320" i="2"/>
  <c r="I3321" i="2"/>
  <c r="I3322" i="2"/>
  <c r="I3324" i="2"/>
  <c r="I3325" i="2"/>
  <c r="I3326" i="2"/>
  <c r="I3328" i="2"/>
  <c r="I3329" i="2"/>
  <c r="I3330" i="2"/>
  <c r="I3332" i="2"/>
  <c r="I3333" i="2"/>
  <c r="I3334" i="2"/>
  <c r="I3336" i="2"/>
  <c r="I3337" i="2"/>
  <c r="I3338" i="2"/>
  <c r="I3340" i="2"/>
  <c r="I3341" i="2"/>
  <c r="I3342" i="2"/>
  <c r="I3344" i="2"/>
  <c r="I3345" i="2"/>
  <c r="I3346" i="2"/>
  <c r="I3348" i="2"/>
  <c r="I3349" i="2"/>
  <c r="I3350" i="2"/>
  <c r="I3352" i="2"/>
  <c r="I3353" i="2"/>
  <c r="I3354" i="2"/>
  <c r="I3356" i="2"/>
  <c r="I3357" i="2"/>
  <c r="I3358" i="2"/>
  <c r="I3360" i="2"/>
  <c r="I3361" i="2"/>
  <c r="I3362" i="2"/>
  <c r="I3364" i="2"/>
  <c r="I3365" i="2"/>
  <c r="I3366" i="2"/>
  <c r="I3368" i="2"/>
  <c r="I3369" i="2"/>
  <c r="I3370" i="2"/>
  <c r="I3372" i="2"/>
  <c r="I3373" i="2"/>
  <c r="I3374" i="2"/>
  <c r="I3376" i="2"/>
  <c r="I3377" i="2"/>
  <c r="I3378" i="2"/>
  <c r="I3380" i="2"/>
  <c r="I3381" i="2"/>
  <c r="I3382" i="2"/>
  <c r="I3384" i="2"/>
  <c r="I3385" i="2"/>
  <c r="I3386" i="2"/>
  <c r="I3388" i="2"/>
  <c r="I3389" i="2"/>
  <c r="I3390" i="2"/>
  <c r="I3392" i="2"/>
  <c r="I3393" i="2"/>
  <c r="I3394" i="2"/>
  <c r="I3396" i="2"/>
  <c r="I3397" i="2"/>
  <c r="I3398" i="2"/>
  <c r="I3400" i="2"/>
  <c r="I3401" i="2"/>
  <c r="I3402" i="2"/>
  <c r="I3404" i="2"/>
  <c r="I3405" i="2"/>
  <c r="I3406" i="2"/>
  <c r="I3408" i="2"/>
  <c r="I3409" i="2"/>
  <c r="I3410" i="2"/>
  <c r="I3412" i="2"/>
  <c r="I3413" i="2"/>
  <c r="I3414" i="2"/>
  <c r="I3416" i="2"/>
  <c r="I3417" i="2"/>
  <c r="I3418" i="2"/>
  <c r="I3420" i="2"/>
  <c r="I3421" i="2"/>
  <c r="I3422" i="2"/>
  <c r="I3424" i="2"/>
  <c r="I3425" i="2"/>
  <c r="I3426" i="2"/>
  <c r="I3428" i="2"/>
  <c r="I3429" i="2"/>
  <c r="I3430" i="2"/>
  <c r="I3432" i="2"/>
  <c r="I3433" i="2"/>
  <c r="I3434" i="2"/>
  <c r="I3436" i="2"/>
  <c r="I3437" i="2"/>
  <c r="I3438" i="2"/>
  <c r="I3440" i="2"/>
  <c r="I3441" i="2"/>
  <c r="I3442" i="2"/>
  <c r="I3444" i="2"/>
  <c r="I3445" i="2"/>
  <c r="I3446" i="2"/>
  <c r="I3448" i="2"/>
  <c r="I3449" i="2"/>
  <c r="I3450" i="2"/>
  <c r="I3452" i="2"/>
  <c r="I3453" i="2"/>
  <c r="I3454" i="2"/>
  <c r="I3456" i="2"/>
  <c r="I3457" i="2"/>
  <c r="I3458" i="2"/>
  <c r="I3460" i="2"/>
  <c r="I3461" i="2"/>
  <c r="I3462" i="2"/>
  <c r="I3464" i="2"/>
  <c r="I3465" i="2"/>
  <c r="I3466" i="2"/>
  <c r="I3468" i="2"/>
  <c r="I3469" i="2"/>
  <c r="I3470" i="2"/>
  <c r="I3472" i="2"/>
  <c r="I3473" i="2"/>
  <c r="I3474" i="2"/>
  <c r="I3476" i="2"/>
  <c r="I3477" i="2"/>
  <c r="I3478" i="2"/>
  <c r="I3480" i="2"/>
  <c r="I3481" i="2"/>
  <c r="I3482" i="2"/>
  <c r="I3484" i="2"/>
  <c r="I3485" i="2"/>
  <c r="I3486" i="2"/>
  <c r="I3488" i="2"/>
  <c r="I3489" i="2"/>
  <c r="I3490" i="2"/>
  <c r="I3492" i="2"/>
  <c r="I3493" i="2"/>
  <c r="I3494" i="2"/>
  <c r="I3496" i="2"/>
  <c r="I3497" i="2"/>
  <c r="I3498" i="2"/>
  <c r="I3500" i="2"/>
  <c r="I3501" i="2"/>
  <c r="I3502" i="2"/>
  <c r="I3504" i="2"/>
  <c r="I3505" i="2"/>
  <c r="I3506" i="2"/>
  <c r="I3508" i="2"/>
  <c r="I3509" i="2"/>
  <c r="I3510" i="2"/>
  <c r="I3512" i="2"/>
  <c r="I3513" i="2"/>
  <c r="I3514" i="2"/>
  <c r="I3516" i="2"/>
  <c r="I3517" i="2"/>
  <c r="I3518" i="2"/>
  <c r="I3520" i="2"/>
  <c r="I3521" i="2"/>
  <c r="I3522" i="2"/>
  <c r="I3524" i="2"/>
  <c r="I3525" i="2"/>
  <c r="I3526" i="2"/>
  <c r="I3528" i="2"/>
  <c r="I3529" i="2"/>
  <c r="I3530" i="2"/>
  <c r="I3532" i="2"/>
  <c r="I3533" i="2"/>
  <c r="I3534" i="2"/>
  <c r="I3536" i="2"/>
  <c r="I3537" i="2"/>
  <c r="I3538" i="2"/>
  <c r="I3540" i="2"/>
  <c r="I3541" i="2"/>
  <c r="I3542" i="2"/>
  <c r="I3544" i="2"/>
  <c r="I3545" i="2"/>
  <c r="I3546" i="2"/>
  <c r="I3548" i="2"/>
  <c r="I3549" i="2"/>
  <c r="I3550" i="2"/>
  <c r="I3552" i="2"/>
  <c r="I3553" i="2"/>
  <c r="I3554" i="2"/>
  <c r="I3556" i="2"/>
  <c r="I3557" i="2"/>
  <c r="I3558" i="2"/>
  <c r="I3560" i="2"/>
  <c r="I3561" i="2"/>
  <c r="I3562" i="2"/>
  <c r="I3564" i="2"/>
  <c r="I3565" i="2"/>
  <c r="I3566" i="2"/>
  <c r="I3568" i="2"/>
  <c r="I3569" i="2"/>
  <c r="I3570" i="2"/>
  <c r="I3572" i="2"/>
  <c r="I3573" i="2"/>
  <c r="I3574" i="2"/>
  <c r="I3576" i="2"/>
  <c r="I3577" i="2"/>
  <c r="I3578" i="2"/>
  <c r="I3580" i="2"/>
  <c r="I3581" i="2"/>
  <c r="I3582" i="2"/>
  <c r="I3584" i="2"/>
  <c r="I3585" i="2"/>
  <c r="I3586" i="2"/>
  <c r="I3588" i="2"/>
  <c r="I3589" i="2"/>
  <c r="I3590" i="2"/>
  <c r="I3592" i="2"/>
  <c r="I3593" i="2"/>
  <c r="I3594" i="2"/>
  <c r="I3596" i="2"/>
  <c r="I3597" i="2"/>
  <c r="I3598" i="2"/>
  <c r="I3600" i="2"/>
  <c r="I3601" i="2"/>
  <c r="I3602" i="2"/>
  <c r="I3604" i="2"/>
  <c r="I3605" i="2"/>
  <c r="I3606" i="2"/>
  <c r="I3608" i="2"/>
  <c r="I3609" i="2"/>
  <c r="I3610" i="2"/>
  <c r="I3612" i="2"/>
  <c r="I3613" i="2"/>
  <c r="I3614" i="2"/>
  <c r="I3616" i="2"/>
  <c r="I3617" i="2"/>
  <c r="I3618" i="2"/>
  <c r="I3620" i="2"/>
  <c r="I3621" i="2"/>
  <c r="I3622" i="2"/>
  <c r="I3624" i="2"/>
  <c r="I3625" i="2"/>
  <c r="I3626" i="2"/>
  <c r="I3628" i="2"/>
  <c r="I3629" i="2"/>
  <c r="I3630" i="2"/>
  <c r="I3632" i="2"/>
  <c r="I3633" i="2"/>
  <c r="I3634" i="2"/>
  <c r="I3636" i="2"/>
  <c r="I3637" i="2"/>
  <c r="I3638" i="2"/>
  <c r="I3640" i="2"/>
  <c r="I3641" i="2"/>
  <c r="I3642" i="2"/>
  <c r="I3644" i="2"/>
  <c r="I3645" i="2"/>
  <c r="I3646" i="2"/>
  <c r="I3648" i="2"/>
  <c r="I3649" i="2"/>
  <c r="I3650" i="2"/>
  <c r="I3652" i="2"/>
  <c r="I3653" i="2"/>
  <c r="I3654" i="2"/>
  <c r="I3656" i="2"/>
  <c r="I3657" i="2"/>
  <c r="I3658" i="2"/>
  <c r="I3660" i="2"/>
  <c r="I3661" i="2"/>
  <c r="I3662" i="2"/>
  <c r="I3664" i="2"/>
  <c r="I3665" i="2"/>
  <c r="I3666" i="2"/>
  <c r="I3668" i="2"/>
  <c r="I3669" i="2"/>
  <c r="I3670" i="2"/>
  <c r="I3672" i="2"/>
  <c r="I3673" i="2"/>
  <c r="I3674" i="2"/>
  <c r="I3676" i="2"/>
  <c r="I3677" i="2"/>
  <c r="I3678" i="2"/>
  <c r="I3680" i="2"/>
  <c r="I3681" i="2"/>
  <c r="I3682" i="2"/>
  <c r="I3684" i="2"/>
  <c r="I3685" i="2"/>
  <c r="I3686" i="2"/>
  <c r="I3688" i="2"/>
  <c r="I3689" i="2"/>
  <c r="I3690" i="2"/>
  <c r="I3692" i="2"/>
  <c r="I3693" i="2"/>
  <c r="I3694" i="2"/>
  <c r="I3696" i="2"/>
  <c r="I3697" i="2"/>
  <c r="I3698" i="2"/>
  <c r="I3700" i="2"/>
  <c r="I3701" i="2"/>
  <c r="I3702" i="2"/>
  <c r="I3704" i="2"/>
  <c r="I3705" i="2"/>
  <c r="I3706" i="2"/>
  <c r="I3708" i="2"/>
  <c r="I3709" i="2"/>
  <c r="I3710" i="2"/>
  <c r="I3712" i="2"/>
  <c r="I3713" i="2"/>
  <c r="I3714" i="2"/>
  <c r="I3716" i="2"/>
  <c r="I3717" i="2"/>
  <c r="I3718" i="2"/>
  <c r="I3720" i="2"/>
  <c r="I3721" i="2"/>
  <c r="I3722" i="2"/>
  <c r="I3724" i="2"/>
  <c r="I3725" i="2"/>
  <c r="I3726" i="2"/>
  <c r="I3728" i="2"/>
  <c r="I3729" i="2"/>
  <c r="I3730" i="2"/>
  <c r="I3732" i="2"/>
  <c r="I3733" i="2"/>
  <c r="I3734" i="2"/>
  <c r="I3736" i="2"/>
  <c r="I3737" i="2"/>
  <c r="I3738" i="2"/>
  <c r="I3740" i="2"/>
  <c r="I3741" i="2"/>
  <c r="I3742" i="2"/>
  <c r="I3744" i="2"/>
  <c r="I3745" i="2"/>
  <c r="I3746" i="2"/>
  <c r="I3748" i="2"/>
  <c r="I3749" i="2"/>
  <c r="I3750" i="2"/>
  <c r="I3752" i="2"/>
  <c r="I3753" i="2"/>
  <c r="I3754" i="2"/>
  <c r="I3756" i="2"/>
  <c r="I3757" i="2"/>
  <c r="I3758" i="2"/>
  <c r="I3760" i="2"/>
  <c r="I3761" i="2"/>
  <c r="I3762" i="2"/>
  <c r="I3764" i="2"/>
  <c r="I3765" i="2"/>
  <c r="I3766" i="2"/>
  <c r="I3768" i="2"/>
  <c r="I3769" i="2"/>
  <c r="I3770" i="2"/>
  <c r="I3772" i="2"/>
  <c r="I3773" i="2"/>
  <c r="I3774" i="2"/>
  <c r="I3776" i="2"/>
  <c r="I3777" i="2"/>
  <c r="I3778" i="2"/>
  <c r="I3780" i="2"/>
  <c r="I3781" i="2"/>
  <c r="I3782" i="2"/>
  <c r="I3784" i="2"/>
  <c r="I3785" i="2"/>
  <c r="I3786" i="2"/>
  <c r="I3788" i="2"/>
  <c r="I3789" i="2"/>
  <c r="I3790" i="2"/>
  <c r="I3792" i="2"/>
  <c r="I3793" i="2"/>
  <c r="I3794" i="2"/>
  <c r="I3796" i="2"/>
  <c r="I3797" i="2"/>
  <c r="I3798" i="2"/>
  <c r="I3800" i="2"/>
  <c r="I3801" i="2"/>
  <c r="I3802" i="2"/>
  <c r="I3804" i="2"/>
  <c r="I3805" i="2"/>
  <c r="I3806" i="2"/>
  <c r="I3808" i="2"/>
  <c r="I3809" i="2"/>
  <c r="I3810" i="2"/>
  <c r="I3812" i="2"/>
  <c r="I3813" i="2"/>
  <c r="I3814" i="2"/>
  <c r="I3816" i="2"/>
  <c r="I3817" i="2"/>
  <c r="I3818" i="2"/>
  <c r="I3820" i="2"/>
  <c r="I3821" i="2"/>
  <c r="I3822" i="2"/>
  <c r="I3824" i="2"/>
  <c r="I3825" i="2"/>
  <c r="I3826" i="2"/>
  <c r="I3828" i="2"/>
  <c r="I3829" i="2"/>
  <c r="I3830" i="2"/>
  <c r="I3832" i="2"/>
  <c r="I3833" i="2"/>
  <c r="I3834" i="2"/>
  <c r="I3836" i="2"/>
  <c r="I3837" i="2"/>
  <c r="I3838" i="2"/>
  <c r="I3840" i="2"/>
  <c r="I3841" i="2"/>
  <c r="I3842" i="2"/>
  <c r="I3844" i="2"/>
  <c r="I3845" i="2"/>
  <c r="I3846" i="2"/>
  <c r="I3848" i="2"/>
  <c r="I3849" i="2"/>
  <c r="I3850" i="2"/>
  <c r="I3852" i="2"/>
  <c r="I3853" i="2"/>
  <c r="I3854" i="2"/>
  <c r="I3856" i="2"/>
  <c r="I3857" i="2"/>
  <c r="I3858" i="2"/>
  <c r="I3860" i="2"/>
  <c r="I3861" i="2"/>
  <c r="I3862" i="2"/>
  <c r="I3864" i="2"/>
  <c r="I3865" i="2"/>
  <c r="I3866" i="2"/>
  <c r="I3868" i="2"/>
  <c r="I3869" i="2"/>
  <c r="I3870" i="2"/>
  <c r="I3872" i="2"/>
  <c r="I3873" i="2"/>
  <c r="I3874" i="2"/>
  <c r="I3876" i="2"/>
  <c r="I3877" i="2"/>
  <c r="I3878" i="2"/>
  <c r="I3880" i="2"/>
  <c r="I3881" i="2"/>
  <c r="I3882" i="2"/>
  <c r="I3884" i="2"/>
  <c r="I3885" i="2"/>
  <c r="I3886" i="2"/>
  <c r="I3888" i="2"/>
  <c r="I3889" i="2"/>
  <c r="I3890" i="2"/>
  <c r="I3892" i="2"/>
  <c r="I3893" i="2"/>
  <c r="I3894" i="2"/>
  <c r="I3896" i="2"/>
  <c r="I3897" i="2"/>
  <c r="I3898" i="2"/>
  <c r="I3900" i="2"/>
  <c r="I3901" i="2"/>
  <c r="I3902" i="2"/>
  <c r="I3904" i="2"/>
  <c r="I3905" i="2"/>
  <c r="I3906" i="2"/>
  <c r="I3908" i="2"/>
  <c r="I3909" i="2"/>
  <c r="I3910" i="2"/>
  <c r="I3912" i="2"/>
  <c r="I3913" i="2"/>
  <c r="I3914" i="2"/>
  <c r="I3916" i="2"/>
  <c r="I3917" i="2"/>
  <c r="I3918" i="2"/>
  <c r="I3920" i="2"/>
  <c r="I3921" i="2"/>
  <c r="I3922" i="2"/>
  <c r="I3924" i="2"/>
  <c r="I3925" i="2"/>
  <c r="I3926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5" i="2"/>
  <c r="I4987" i="2"/>
  <c r="I4988" i="2"/>
  <c r="I4989" i="2"/>
  <c r="I4991" i="2"/>
  <c r="I4992" i="2"/>
  <c r="I4995" i="2"/>
  <c r="I4996" i="2"/>
  <c r="I4997" i="2"/>
  <c r="I5005" i="2"/>
  <c r="I5009" i="2"/>
  <c r="I5019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4" i="2"/>
  <c r="I5275" i="2"/>
  <c r="I5276" i="2"/>
  <c r="I5278" i="2"/>
  <c r="I5279" i="2"/>
  <c r="I5280" i="2"/>
  <c r="I5282" i="2"/>
  <c r="I5283" i="2"/>
  <c r="I5284" i="2"/>
  <c r="I5286" i="2"/>
  <c r="I5287" i="2"/>
  <c r="I5288" i="2"/>
  <c r="I5290" i="2"/>
  <c r="I5291" i="2"/>
  <c r="I5292" i="2"/>
  <c r="I5294" i="2"/>
  <c r="I5295" i="2"/>
  <c r="I5296" i="2"/>
  <c r="I5298" i="2"/>
  <c r="I5299" i="2"/>
  <c r="I5300" i="2"/>
  <c r="I5302" i="2"/>
  <c r="I5303" i="2"/>
  <c r="I5304" i="2"/>
  <c r="I5306" i="2"/>
  <c r="I5307" i="2"/>
  <c r="I5308" i="2"/>
  <c r="I5310" i="2"/>
  <c r="I5311" i="2"/>
  <c r="I5312" i="2"/>
  <c r="I5314" i="2"/>
  <c r="I5315" i="2"/>
  <c r="I5316" i="2"/>
  <c r="I5317" i="2"/>
  <c r="I5319" i="2"/>
  <c r="I5321" i="2"/>
  <c r="I5322" i="2"/>
  <c r="I5323" i="2"/>
  <c r="I5325" i="2"/>
  <c r="I5326" i="2"/>
  <c r="I5327" i="2"/>
  <c r="I5329" i="2"/>
  <c r="I5331" i="2"/>
  <c r="I5333" i="2"/>
  <c r="I5335" i="2"/>
  <c r="I5337" i="2"/>
  <c r="I5338" i="2"/>
  <c r="I5339" i="2"/>
  <c r="I5341" i="2"/>
  <c r="I5342" i="2"/>
  <c r="I5343" i="2"/>
  <c r="I5345" i="2"/>
  <c r="I5347" i="2"/>
  <c r="I5349" i="2"/>
  <c r="I5352" i="2"/>
  <c r="I5353" i="2"/>
  <c r="I5354" i="2"/>
  <c r="I5357" i="2"/>
  <c r="I5358" i="2"/>
  <c r="I5359" i="2"/>
  <c r="I5361" i="2"/>
  <c r="I5368" i="2"/>
  <c r="I5369" i="2"/>
  <c r="I5370" i="2"/>
  <c r="I5373" i="2"/>
  <c r="I5374" i="2"/>
  <c r="I5378" i="2"/>
  <c r="I5384" i="2"/>
  <c r="I5385" i="2"/>
  <c r="I5386" i="2"/>
  <c r="I5388" i="2"/>
  <c r="I5389" i="2"/>
  <c r="I5390" i="2"/>
  <c r="I5393" i="2"/>
  <c r="I5400" i="2"/>
  <c r="I5401" i="2"/>
  <c r="I5405" i="2"/>
  <c r="I5406" i="2"/>
  <c r="I5416" i="2"/>
  <c r="I5417" i="2"/>
  <c r="I5421" i="2"/>
  <c r="I5432" i="2"/>
  <c r="I5433" i="2"/>
  <c r="I5437" i="2"/>
  <c r="I5448" i="2"/>
  <c r="I5453" i="2"/>
  <c r="I5463" i="2"/>
  <c r="I5464" i="2"/>
  <c r="I5480" i="2"/>
  <c r="I5500" i="2"/>
  <c r="C292" i="2"/>
  <c r="C293" i="2"/>
  <c r="C294" i="2"/>
  <c r="C295" i="2"/>
  <c r="C314" i="2" s="1"/>
  <c r="C333" i="2" s="1"/>
  <c r="C352" i="2" s="1"/>
  <c r="C371" i="2" s="1"/>
  <c r="C390" i="2" s="1"/>
  <c r="C409" i="2" s="1"/>
  <c r="C428" i="2" s="1"/>
  <c r="C447" i="2" s="1"/>
  <c r="C466" i="2" s="1"/>
  <c r="C485" i="2" s="1"/>
  <c r="C504" i="2" s="1"/>
  <c r="C523" i="2" s="1"/>
  <c r="C542" i="2" s="1"/>
  <c r="C561" i="2" s="1"/>
  <c r="C580" i="2" s="1"/>
  <c r="C599" i="2" s="1"/>
  <c r="C618" i="2" s="1"/>
  <c r="C637" i="2" s="1"/>
  <c r="C656" i="2" s="1"/>
  <c r="C675" i="2" s="1"/>
  <c r="C694" i="2" s="1"/>
  <c r="C713" i="2" s="1"/>
  <c r="C732" i="2" s="1"/>
  <c r="C751" i="2" s="1"/>
  <c r="C770" i="2" s="1"/>
  <c r="C789" i="2" s="1"/>
  <c r="C808" i="2" s="1"/>
  <c r="C827" i="2" s="1"/>
  <c r="C846" i="2" s="1"/>
  <c r="C865" i="2" s="1"/>
  <c r="C884" i="2" s="1"/>
  <c r="C903" i="2" s="1"/>
  <c r="C922" i="2" s="1"/>
  <c r="C941" i="2" s="1"/>
  <c r="C960" i="2" s="1"/>
  <c r="C979" i="2" s="1"/>
  <c r="C998" i="2" s="1"/>
  <c r="C1017" i="2" s="1"/>
  <c r="C1036" i="2" s="1"/>
  <c r="C1055" i="2" s="1"/>
  <c r="C1074" i="2" s="1"/>
  <c r="C1093" i="2" s="1"/>
  <c r="C1112" i="2" s="1"/>
  <c r="C1131" i="2" s="1"/>
  <c r="C1150" i="2" s="1"/>
  <c r="C1169" i="2" s="1"/>
  <c r="C1188" i="2" s="1"/>
  <c r="C1207" i="2" s="1"/>
  <c r="C1226" i="2" s="1"/>
  <c r="C1245" i="2" s="1"/>
  <c r="C1264" i="2" s="1"/>
  <c r="C1283" i="2" s="1"/>
  <c r="C1302" i="2" s="1"/>
  <c r="C1321" i="2" s="1"/>
  <c r="C1340" i="2" s="1"/>
  <c r="C1359" i="2" s="1"/>
  <c r="C1378" i="2" s="1"/>
  <c r="C296" i="2"/>
  <c r="C297" i="2"/>
  <c r="C298" i="2"/>
  <c r="C299" i="2"/>
  <c r="C318" i="2" s="1"/>
  <c r="C337" i="2" s="1"/>
  <c r="C356" i="2" s="1"/>
  <c r="C375" i="2" s="1"/>
  <c r="C394" i="2" s="1"/>
  <c r="C413" i="2" s="1"/>
  <c r="C432" i="2" s="1"/>
  <c r="C451" i="2" s="1"/>
  <c r="C470" i="2" s="1"/>
  <c r="C489" i="2" s="1"/>
  <c r="C508" i="2" s="1"/>
  <c r="C527" i="2" s="1"/>
  <c r="C546" i="2" s="1"/>
  <c r="C565" i="2" s="1"/>
  <c r="C584" i="2" s="1"/>
  <c r="C603" i="2" s="1"/>
  <c r="C622" i="2" s="1"/>
  <c r="C641" i="2" s="1"/>
  <c r="C660" i="2" s="1"/>
  <c r="C679" i="2" s="1"/>
  <c r="C698" i="2" s="1"/>
  <c r="C717" i="2" s="1"/>
  <c r="C736" i="2" s="1"/>
  <c r="C755" i="2" s="1"/>
  <c r="C774" i="2" s="1"/>
  <c r="C793" i="2" s="1"/>
  <c r="C812" i="2" s="1"/>
  <c r="C831" i="2" s="1"/>
  <c r="C850" i="2" s="1"/>
  <c r="C869" i="2" s="1"/>
  <c r="C888" i="2" s="1"/>
  <c r="C907" i="2" s="1"/>
  <c r="C926" i="2" s="1"/>
  <c r="C945" i="2" s="1"/>
  <c r="C964" i="2" s="1"/>
  <c r="C983" i="2" s="1"/>
  <c r="C1002" i="2" s="1"/>
  <c r="C1021" i="2" s="1"/>
  <c r="C1040" i="2" s="1"/>
  <c r="C1059" i="2" s="1"/>
  <c r="C1078" i="2" s="1"/>
  <c r="C1097" i="2" s="1"/>
  <c r="C1116" i="2" s="1"/>
  <c r="C1135" i="2" s="1"/>
  <c r="C1154" i="2" s="1"/>
  <c r="C1173" i="2" s="1"/>
  <c r="C1192" i="2" s="1"/>
  <c r="C1211" i="2" s="1"/>
  <c r="C1230" i="2" s="1"/>
  <c r="C1249" i="2" s="1"/>
  <c r="C1268" i="2" s="1"/>
  <c r="C1287" i="2" s="1"/>
  <c r="C1306" i="2" s="1"/>
  <c r="C1325" i="2" s="1"/>
  <c r="C1344" i="2" s="1"/>
  <c r="C1363" i="2" s="1"/>
  <c r="C1382" i="2" s="1"/>
  <c r="C1401" i="2" s="1"/>
  <c r="C1420" i="2" s="1"/>
  <c r="C1439" i="2" s="1"/>
  <c r="C1458" i="2" s="1"/>
  <c r="C1477" i="2" s="1"/>
  <c r="C1496" i="2" s="1"/>
  <c r="C1515" i="2" s="1"/>
  <c r="C1534" i="2" s="1"/>
  <c r="C1553" i="2" s="1"/>
  <c r="C1572" i="2" s="1"/>
  <c r="C1591" i="2" s="1"/>
  <c r="C1610" i="2" s="1"/>
  <c r="C1629" i="2" s="1"/>
  <c r="C1648" i="2" s="1"/>
  <c r="C1667" i="2" s="1"/>
  <c r="C1686" i="2" s="1"/>
  <c r="C1705" i="2" s="1"/>
  <c r="C1724" i="2" s="1"/>
  <c r="C1743" i="2" s="1"/>
  <c r="C1762" i="2" s="1"/>
  <c r="C1781" i="2" s="1"/>
  <c r="C1800" i="2" s="1"/>
  <c r="C1819" i="2" s="1"/>
  <c r="C1838" i="2" s="1"/>
  <c r="C1857" i="2" s="1"/>
  <c r="C1876" i="2" s="1"/>
  <c r="C1895" i="2" s="1"/>
  <c r="C1914" i="2" s="1"/>
  <c r="C1933" i="2" s="1"/>
  <c r="C1952" i="2" s="1"/>
  <c r="C1971" i="2" s="1"/>
  <c r="C1990" i="2" s="1"/>
  <c r="C2009" i="2" s="1"/>
  <c r="C2028" i="2" s="1"/>
  <c r="C2047" i="2" s="1"/>
  <c r="C2066" i="2" s="1"/>
  <c r="C2085" i="2" s="1"/>
  <c r="C2104" i="2" s="1"/>
  <c r="C2123" i="2" s="1"/>
  <c r="C2142" i="2" s="1"/>
  <c r="C2161" i="2" s="1"/>
  <c r="C2180" i="2" s="1"/>
  <c r="C2199" i="2" s="1"/>
  <c r="C2218" i="2" s="1"/>
  <c r="C2237" i="2" s="1"/>
  <c r="C2256" i="2" s="1"/>
  <c r="C2275" i="2" s="1"/>
  <c r="C2294" i="2" s="1"/>
  <c r="C2313" i="2" s="1"/>
  <c r="C2332" i="2" s="1"/>
  <c r="C2351" i="2" s="1"/>
  <c r="C2370" i="2" s="1"/>
  <c r="C2389" i="2" s="1"/>
  <c r="C2408" i="2" s="1"/>
  <c r="C2427" i="2" s="1"/>
  <c r="C2446" i="2" s="1"/>
  <c r="C2465" i="2" s="1"/>
  <c r="C2484" i="2" s="1"/>
  <c r="C300" i="2"/>
  <c r="C301" i="2"/>
  <c r="C302" i="2"/>
  <c r="C303" i="2"/>
  <c r="C322" i="2" s="1"/>
  <c r="C341" i="2" s="1"/>
  <c r="C360" i="2" s="1"/>
  <c r="C379" i="2" s="1"/>
  <c r="C398" i="2" s="1"/>
  <c r="C417" i="2" s="1"/>
  <c r="C436" i="2" s="1"/>
  <c r="C455" i="2" s="1"/>
  <c r="C474" i="2" s="1"/>
  <c r="C493" i="2" s="1"/>
  <c r="C512" i="2" s="1"/>
  <c r="C531" i="2" s="1"/>
  <c r="C550" i="2" s="1"/>
  <c r="C569" i="2" s="1"/>
  <c r="C588" i="2" s="1"/>
  <c r="C607" i="2" s="1"/>
  <c r="C626" i="2" s="1"/>
  <c r="C645" i="2" s="1"/>
  <c r="C664" i="2" s="1"/>
  <c r="C683" i="2" s="1"/>
  <c r="C702" i="2" s="1"/>
  <c r="C721" i="2" s="1"/>
  <c r="C740" i="2" s="1"/>
  <c r="C759" i="2" s="1"/>
  <c r="C778" i="2" s="1"/>
  <c r="C797" i="2" s="1"/>
  <c r="C816" i="2" s="1"/>
  <c r="C835" i="2" s="1"/>
  <c r="C854" i="2" s="1"/>
  <c r="C873" i="2" s="1"/>
  <c r="C892" i="2" s="1"/>
  <c r="C911" i="2" s="1"/>
  <c r="C930" i="2" s="1"/>
  <c r="C949" i="2" s="1"/>
  <c r="C968" i="2" s="1"/>
  <c r="C987" i="2" s="1"/>
  <c r="C304" i="2"/>
  <c r="C305" i="2"/>
  <c r="C306" i="2"/>
  <c r="C307" i="2"/>
  <c r="C326" i="2" s="1"/>
  <c r="C345" i="2" s="1"/>
  <c r="C364" i="2" s="1"/>
  <c r="C383" i="2" s="1"/>
  <c r="C402" i="2" s="1"/>
  <c r="C421" i="2" s="1"/>
  <c r="C440" i="2" s="1"/>
  <c r="C459" i="2" s="1"/>
  <c r="C478" i="2" s="1"/>
  <c r="C497" i="2" s="1"/>
  <c r="C516" i="2" s="1"/>
  <c r="C535" i="2" s="1"/>
  <c r="C554" i="2" s="1"/>
  <c r="C573" i="2" s="1"/>
  <c r="C592" i="2" s="1"/>
  <c r="C611" i="2" s="1"/>
  <c r="C630" i="2" s="1"/>
  <c r="C649" i="2" s="1"/>
  <c r="C668" i="2" s="1"/>
  <c r="C687" i="2" s="1"/>
  <c r="C706" i="2" s="1"/>
  <c r="C725" i="2" s="1"/>
  <c r="C744" i="2" s="1"/>
  <c r="C763" i="2" s="1"/>
  <c r="C782" i="2" s="1"/>
  <c r="C801" i="2" s="1"/>
  <c r="C820" i="2" s="1"/>
  <c r="C839" i="2" s="1"/>
  <c r="C858" i="2" s="1"/>
  <c r="C877" i="2" s="1"/>
  <c r="C896" i="2" s="1"/>
  <c r="C915" i="2" s="1"/>
  <c r="C934" i="2" s="1"/>
  <c r="C953" i="2" s="1"/>
  <c r="C972" i="2" s="1"/>
  <c r="C991" i="2" s="1"/>
  <c r="C1010" i="2" s="1"/>
  <c r="C1029" i="2" s="1"/>
  <c r="C1048" i="2" s="1"/>
  <c r="C1067" i="2" s="1"/>
  <c r="C1086" i="2" s="1"/>
  <c r="C1105" i="2" s="1"/>
  <c r="C1124" i="2" s="1"/>
  <c r="C1143" i="2" s="1"/>
  <c r="C1162" i="2" s="1"/>
  <c r="C1181" i="2" s="1"/>
  <c r="C1200" i="2" s="1"/>
  <c r="C1219" i="2" s="1"/>
  <c r="C1238" i="2" s="1"/>
  <c r="C1257" i="2" s="1"/>
  <c r="C1276" i="2" s="1"/>
  <c r="C1295" i="2" s="1"/>
  <c r="C1314" i="2" s="1"/>
  <c r="C1333" i="2" s="1"/>
  <c r="C1352" i="2" s="1"/>
  <c r="C1371" i="2" s="1"/>
  <c r="C1390" i="2" s="1"/>
  <c r="C1409" i="2" s="1"/>
  <c r="C1428" i="2" s="1"/>
  <c r="C1447" i="2" s="1"/>
  <c r="C1466" i="2" s="1"/>
  <c r="C1485" i="2" s="1"/>
  <c r="C1504" i="2" s="1"/>
  <c r="C1523" i="2" s="1"/>
  <c r="C1542" i="2" s="1"/>
  <c r="C1561" i="2" s="1"/>
  <c r="C1580" i="2" s="1"/>
  <c r="C1599" i="2" s="1"/>
  <c r="C1618" i="2" s="1"/>
  <c r="C1637" i="2" s="1"/>
  <c r="C1656" i="2" s="1"/>
  <c r="C1675" i="2" s="1"/>
  <c r="C1694" i="2" s="1"/>
  <c r="C1713" i="2" s="1"/>
  <c r="C1732" i="2" s="1"/>
  <c r="C1751" i="2" s="1"/>
  <c r="C1770" i="2" s="1"/>
  <c r="C1789" i="2" s="1"/>
  <c r="C1808" i="2" s="1"/>
  <c r="C1827" i="2" s="1"/>
  <c r="C1846" i="2" s="1"/>
  <c r="C1865" i="2" s="1"/>
  <c r="C1884" i="2" s="1"/>
  <c r="C1903" i="2" s="1"/>
  <c r="C1922" i="2" s="1"/>
  <c r="C1941" i="2" s="1"/>
  <c r="C1960" i="2" s="1"/>
  <c r="C1979" i="2" s="1"/>
  <c r="C1998" i="2" s="1"/>
  <c r="C2017" i="2" s="1"/>
  <c r="C2036" i="2" s="1"/>
  <c r="C2055" i="2" s="1"/>
  <c r="C2074" i="2" s="1"/>
  <c r="C2093" i="2" s="1"/>
  <c r="C2112" i="2" s="1"/>
  <c r="C2131" i="2" s="1"/>
  <c r="C2150" i="2" s="1"/>
  <c r="C2169" i="2" s="1"/>
  <c r="C2188" i="2" s="1"/>
  <c r="C2207" i="2" s="1"/>
  <c r="C2226" i="2" s="1"/>
  <c r="C2245" i="2" s="1"/>
  <c r="C2264" i="2" s="1"/>
  <c r="C2283" i="2" s="1"/>
  <c r="C2302" i="2" s="1"/>
  <c r="C2321" i="2" s="1"/>
  <c r="C2340" i="2" s="1"/>
  <c r="C2359" i="2" s="1"/>
  <c r="C2378" i="2" s="1"/>
  <c r="C2397" i="2" s="1"/>
  <c r="C2416" i="2" s="1"/>
  <c r="C2435" i="2" s="1"/>
  <c r="C2454" i="2" s="1"/>
  <c r="C2473" i="2" s="1"/>
  <c r="C2492" i="2" s="1"/>
  <c r="C308" i="2"/>
  <c r="C309" i="2"/>
  <c r="C311" i="2"/>
  <c r="C330" i="2" s="1"/>
  <c r="C349" i="2" s="1"/>
  <c r="C368" i="2" s="1"/>
  <c r="C312" i="2"/>
  <c r="C313" i="2"/>
  <c r="C315" i="2"/>
  <c r="C334" i="2" s="1"/>
  <c r="C353" i="2" s="1"/>
  <c r="C372" i="2" s="1"/>
  <c r="C316" i="2"/>
  <c r="C317" i="2"/>
  <c r="C319" i="2"/>
  <c r="C338" i="2" s="1"/>
  <c r="C357" i="2" s="1"/>
  <c r="C376" i="2" s="1"/>
  <c r="C395" i="2" s="1"/>
  <c r="C414" i="2" s="1"/>
  <c r="C433" i="2" s="1"/>
  <c r="C452" i="2" s="1"/>
  <c r="C320" i="2"/>
  <c r="C321" i="2"/>
  <c r="C323" i="2"/>
  <c r="C342" i="2" s="1"/>
  <c r="C361" i="2" s="1"/>
  <c r="C380" i="2" s="1"/>
  <c r="C399" i="2" s="1"/>
  <c r="C418" i="2" s="1"/>
  <c r="C437" i="2" s="1"/>
  <c r="C324" i="2"/>
  <c r="C325" i="2"/>
  <c r="C327" i="2"/>
  <c r="C346" i="2" s="1"/>
  <c r="C365" i="2" s="1"/>
  <c r="C384" i="2" s="1"/>
  <c r="C328" i="2"/>
  <c r="C331" i="2"/>
  <c r="C350" i="2" s="1"/>
  <c r="C369" i="2" s="1"/>
  <c r="C388" i="2" s="1"/>
  <c r="C332" i="2"/>
  <c r="C335" i="2"/>
  <c r="C354" i="2" s="1"/>
  <c r="C373" i="2" s="1"/>
  <c r="C336" i="2"/>
  <c r="C339" i="2"/>
  <c r="C358" i="2" s="1"/>
  <c r="C377" i="2" s="1"/>
  <c r="C396" i="2" s="1"/>
  <c r="C340" i="2"/>
  <c r="C343" i="2"/>
  <c r="C362" i="2" s="1"/>
  <c r="C381" i="2" s="1"/>
  <c r="C344" i="2"/>
  <c r="C347" i="2"/>
  <c r="C366" i="2" s="1"/>
  <c r="C385" i="2" s="1"/>
  <c r="C404" i="2" s="1"/>
  <c r="C351" i="2"/>
  <c r="C370" i="2" s="1"/>
  <c r="C389" i="2" s="1"/>
  <c r="C355" i="2"/>
  <c r="C374" i="2" s="1"/>
  <c r="C393" i="2" s="1"/>
  <c r="C359" i="2"/>
  <c r="C378" i="2" s="1"/>
  <c r="C397" i="2" s="1"/>
  <c r="C416" i="2" s="1"/>
  <c r="C435" i="2" s="1"/>
  <c r="C454" i="2" s="1"/>
  <c r="C473" i="2" s="1"/>
  <c r="C492" i="2" s="1"/>
  <c r="C363" i="2"/>
  <c r="C382" i="2" s="1"/>
  <c r="C401" i="2" s="1"/>
  <c r="C420" i="2" s="1"/>
  <c r="C387" i="2"/>
  <c r="C406" i="2" s="1"/>
  <c r="C425" i="2" s="1"/>
  <c r="C391" i="2"/>
  <c r="C410" i="2" s="1"/>
  <c r="C429" i="2" s="1"/>
  <c r="C392" i="2"/>
  <c r="C411" i="2" s="1"/>
  <c r="C430" i="2" s="1"/>
  <c r="C449" i="2" s="1"/>
  <c r="C468" i="2" s="1"/>
  <c r="C400" i="2"/>
  <c r="C419" i="2" s="1"/>
  <c r="C438" i="2" s="1"/>
  <c r="C457" i="2" s="1"/>
  <c r="C476" i="2" s="1"/>
  <c r="C403" i="2"/>
  <c r="C422" i="2" s="1"/>
  <c r="C441" i="2" s="1"/>
  <c r="C407" i="2"/>
  <c r="C426" i="2" s="1"/>
  <c r="C445" i="2" s="1"/>
  <c r="C464" i="2" s="1"/>
  <c r="C483" i="2" s="1"/>
  <c r="C502" i="2" s="1"/>
  <c r="C521" i="2" s="1"/>
  <c r="C540" i="2" s="1"/>
  <c r="C408" i="2"/>
  <c r="C427" i="2" s="1"/>
  <c r="C446" i="2" s="1"/>
  <c r="C465" i="2" s="1"/>
  <c r="C484" i="2" s="1"/>
  <c r="C412" i="2"/>
  <c r="C415" i="2"/>
  <c r="C434" i="2" s="1"/>
  <c r="C453" i="2" s="1"/>
  <c r="C472" i="2" s="1"/>
  <c r="C491" i="2" s="1"/>
  <c r="C510" i="2" s="1"/>
  <c r="C529" i="2" s="1"/>
  <c r="C548" i="2" s="1"/>
  <c r="C423" i="2"/>
  <c r="C442" i="2" s="1"/>
  <c r="C461" i="2" s="1"/>
  <c r="C480" i="2" s="1"/>
  <c r="C499" i="2" s="1"/>
  <c r="C518" i="2" s="1"/>
  <c r="C537" i="2" s="1"/>
  <c r="C556" i="2" s="1"/>
  <c r="C431" i="2"/>
  <c r="C450" i="2" s="1"/>
  <c r="C469" i="2" s="1"/>
  <c r="C488" i="2" s="1"/>
  <c r="C507" i="2" s="1"/>
  <c r="C526" i="2" s="1"/>
  <c r="C545" i="2" s="1"/>
  <c r="C564" i="2" s="1"/>
  <c r="C583" i="2" s="1"/>
  <c r="C602" i="2" s="1"/>
  <c r="C621" i="2" s="1"/>
  <c r="C640" i="2" s="1"/>
  <c r="C659" i="2" s="1"/>
  <c r="C678" i="2" s="1"/>
  <c r="C697" i="2" s="1"/>
  <c r="C716" i="2" s="1"/>
  <c r="C735" i="2" s="1"/>
  <c r="C754" i="2" s="1"/>
  <c r="C773" i="2" s="1"/>
  <c r="C792" i="2" s="1"/>
  <c r="C811" i="2" s="1"/>
  <c r="C830" i="2" s="1"/>
  <c r="C849" i="2" s="1"/>
  <c r="C868" i="2" s="1"/>
  <c r="C887" i="2" s="1"/>
  <c r="C906" i="2" s="1"/>
  <c r="C925" i="2" s="1"/>
  <c r="C944" i="2" s="1"/>
  <c r="C963" i="2" s="1"/>
  <c r="C982" i="2" s="1"/>
  <c r="C1001" i="2" s="1"/>
  <c r="C1020" i="2" s="1"/>
  <c r="C1039" i="2" s="1"/>
  <c r="C1058" i="2" s="1"/>
  <c r="C1077" i="2" s="1"/>
  <c r="C1096" i="2" s="1"/>
  <c r="C1115" i="2" s="1"/>
  <c r="C1134" i="2" s="1"/>
  <c r="C1153" i="2" s="1"/>
  <c r="C1172" i="2" s="1"/>
  <c r="C1191" i="2" s="1"/>
  <c r="C1210" i="2" s="1"/>
  <c r="C1229" i="2" s="1"/>
  <c r="C1248" i="2" s="1"/>
  <c r="C1267" i="2" s="1"/>
  <c r="C1286" i="2" s="1"/>
  <c r="C1305" i="2" s="1"/>
  <c r="C1324" i="2" s="1"/>
  <c r="C1343" i="2" s="1"/>
  <c r="C1362" i="2" s="1"/>
  <c r="C1381" i="2" s="1"/>
  <c r="C1400" i="2" s="1"/>
  <c r="C1419" i="2" s="1"/>
  <c r="C1438" i="2" s="1"/>
  <c r="C1457" i="2" s="1"/>
  <c r="C1476" i="2" s="1"/>
  <c r="C1495" i="2" s="1"/>
  <c r="C1514" i="2" s="1"/>
  <c r="C1533" i="2" s="1"/>
  <c r="C1552" i="2" s="1"/>
  <c r="C1571" i="2" s="1"/>
  <c r="C1590" i="2" s="1"/>
  <c r="C1609" i="2" s="1"/>
  <c r="C1628" i="2" s="1"/>
  <c r="C1647" i="2" s="1"/>
  <c r="C1666" i="2" s="1"/>
  <c r="C1685" i="2" s="1"/>
  <c r="C1704" i="2" s="1"/>
  <c r="C1723" i="2" s="1"/>
  <c r="C1742" i="2" s="1"/>
  <c r="C1761" i="2" s="1"/>
  <c r="C1780" i="2" s="1"/>
  <c r="C1799" i="2" s="1"/>
  <c r="C1818" i="2" s="1"/>
  <c r="C1837" i="2" s="1"/>
  <c r="C1856" i="2" s="1"/>
  <c r="C1875" i="2" s="1"/>
  <c r="C1894" i="2" s="1"/>
  <c r="C1913" i="2" s="1"/>
  <c r="C1932" i="2" s="1"/>
  <c r="C1951" i="2" s="1"/>
  <c r="C1970" i="2" s="1"/>
  <c r="C1989" i="2" s="1"/>
  <c r="C2008" i="2" s="1"/>
  <c r="C2027" i="2" s="1"/>
  <c r="C2046" i="2" s="1"/>
  <c r="C2065" i="2" s="1"/>
  <c r="C2084" i="2" s="1"/>
  <c r="C2103" i="2" s="1"/>
  <c r="C2122" i="2" s="1"/>
  <c r="C2141" i="2" s="1"/>
  <c r="C2160" i="2" s="1"/>
  <c r="C2179" i="2" s="1"/>
  <c r="C2198" i="2" s="1"/>
  <c r="C2217" i="2" s="1"/>
  <c r="C2236" i="2" s="1"/>
  <c r="C2255" i="2" s="1"/>
  <c r="C2274" i="2" s="1"/>
  <c r="C2293" i="2" s="1"/>
  <c r="C2312" i="2" s="1"/>
  <c r="C2331" i="2" s="1"/>
  <c r="C2350" i="2" s="1"/>
  <c r="C2369" i="2" s="1"/>
  <c r="C2388" i="2" s="1"/>
  <c r="C2407" i="2" s="1"/>
  <c r="C2426" i="2" s="1"/>
  <c r="C2445" i="2" s="1"/>
  <c r="C2464" i="2" s="1"/>
  <c r="C2483" i="2" s="1"/>
  <c r="C439" i="2"/>
  <c r="C458" i="2" s="1"/>
  <c r="C477" i="2" s="1"/>
  <c r="C496" i="2" s="1"/>
  <c r="C515" i="2" s="1"/>
  <c r="C534" i="2" s="1"/>
  <c r="C553" i="2" s="1"/>
  <c r="C572" i="2" s="1"/>
  <c r="C591" i="2" s="1"/>
  <c r="C610" i="2" s="1"/>
  <c r="C629" i="2" s="1"/>
  <c r="C648" i="2" s="1"/>
  <c r="C667" i="2" s="1"/>
  <c r="C686" i="2" s="1"/>
  <c r="C705" i="2" s="1"/>
  <c r="C444" i="2"/>
  <c r="C448" i="2"/>
  <c r="C467" i="2" s="1"/>
  <c r="C486" i="2" s="1"/>
  <c r="C505" i="2" s="1"/>
  <c r="C524" i="2" s="1"/>
  <c r="C456" i="2"/>
  <c r="C475" i="2" s="1"/>
  <c r="C494" i="2" s="1"/>
  <c r="C513" i="2" s="1"/>
  <c r="C532" i="2" s="1"/>
  <c r="C551" i="2" s="1"/>
  <c r="C570" i="2" s="1"/>
  <c r="C589" i="2" s="1"/>
  <c r="C608" i="2" s="1"/>
  <c r="C627" i="2" s="1"/>
  <c r="C646" i="2" s="1"/>
  <c r="C665" i="2" s="1"/>
  <c r="C684" i="2" s="1"/>
  <c r="C703" i="2" s="1"/>
  <c r="C722" i="2" s="1"/>
  <c r="C741" i="2" s="1"/>
  <c r="C760" i="2" s="1"/>
  <c r="C779" i="2" s="1"/>
  <c r="C798" i="2" s="1"/>
  <c r="C817" i="2" s="1"/>
  <c r="C836" i="2" s="1"/>
  <c r="C855" i="2" s="1"/>
  <c r="C874" i="2" s="1"/>
  <c r="C893" i="2" s="1"/>
  <c r="C912" i="2" s="1"/>
  <c r="C931" i="2" s="1"/>
  <c r="C950" i="2" s="1"/>
  <c r="C969" i="2" s="1"/>
  <c r="C988" i="2" s="1"/>
  <c r="C1007" i="2" s="1"/>
  <c r="C1026" i="2" s="1"/>
  <c r="C1045" i="2" s="1"/>
  <c r="C1064" i="2" s="1"/>
  <c r="C1083" i="2" s="1"/>
  <c r="C1102" i="2" s="1"/>
  <c r="C1121" i="2" s="1"/>
  <c r="C1140" i="2" s="1"/>
  <c r="C1159" i="2" s="1"/>
  <c r="C1178" i="2" s="1"/>
  <c r="C1197" i="2" s="1"/>
  <c r="C1216" i="2" s="1"/>
  <c r="C1235" i="2" s="1"/>
  <c r="C1254" i="2" s="1"/>
  <c r="C1273" i="2" s="1"/>
  <c r="C1292" i="2" s="1"/>
  <c r="C1311" i="2" s="1"/>
  <c r="C1330" i="2" s="1"/>
  <c r="C1349" i="2" s="1"/>
  <c r="C1368" i="2" s="1"/>
  <c r="C1387" i="2" s="1"/>
  <c r="C1406" i="2" s="1"/>
  <c r="C1425" i="2" s="1"/>
  <c r="C1444" i="2" s="1"/>
  <c r="C1463" i="2" s="1"/>
  <c r="C1482" i="2" s="1"/>
  <c r="C1501" i="2" s="1"/>
  <c r="C1520" i="2" s="1"/>
  <c r="C1539" i="2" s="1"/>
  <c r="C1558" i="2" s="1"/>
  <c r="C1577" i="2" s="1"/>
  <c r="C1596" i="2" s="1"/>
  <c r="C1615" i="2" s="1"/>
  <c r="C1634" i="2" s="1"/>
  <c r="C1653" i="2" s="1"/>
  <c r="C1672" i="2" s="1"/>
  <c r="C1691" i="2" s="1"/>
  <c r="C1710" i="2" s="1"/>
  <c r="C1729" i="2" s="1"/>
  <c r="C1748" i="2" s="1"/>
  <c r="C1767" i="2" s="1"/>
  <c r="C1786" i="2" s="1"/>
  <c r="C1805" i="2" s="1"/>
  <c r="C1824" i="2" s="1"/>
  <c r="C1843" i="2" s="1"/>
  <c r="C1862" i="2" s="1"/>
  <c r="C1881" i="2" s="1"/>
  <c r="C1900" i="2" s="1"/>
  <c r="C1919" i="2" s="1"/>
  <c r="C1938" i="2" s="1"/>
  <c r="C1957" i="2" s="1"/>
  <c r="C1976" i="2" s="1"/>
  <c r="C1995" i="2" s="1"/>
  <c r="C2014" i="2" s="1"/>
  <c r="C2033" i="2" s="1"/>
  <c r="C2052" i="2" s="1"/>
  <c r="C2071" i="2" s="1"/>
  <c r="C2090" i="2" s="1"/>
  <c r="C2109" i="2" s="1"/>
  <c r="C2128" i="2" s="1"/>
  <c r="C2147" i="2" s="1"/>
  <c r="C2166" i="2" s="1"/>
  <c r="C2185" i="2" s="1"/>
  <c r="C2204" i="2" s="1"/>
  <c r="C2223" i="2" s="1"/>
  <c r="C2242" i="2" s="1"/>
  <c r="C2261" i="2" s="1"/>
  <c r="C2280" i="2" s="1"/>
  <c r="C2299" i="2" s="1"/>
  <c r="C2318" i="2" s="1"/>
  <c r="C2337" i="2" s="1"/>
  <c r="C2356" i="2" s="1"/>
  <c r="C2375" i="2" s="1"/>
  <c r="C2394" i="2" s="1"/>
  <c r="C2413" i="2" s="1"/>
  <c r="C2432" i="2" s="1"/>
  <c r="C2451" i="2" s="1"/>
  <c r="C2470" i="2" s="1"/>
  <c r="C2489" i="2" s="1"/>
  <c r="C460" i="2"/>
  <c r="C463" i="2"/>
  <c r="C482" i="2" s="1"/>
  <c r="C501" i="2" s="1"/>
  <c r="C520" i="2" s="1"/>
  <c r="C539" i="2" s="1"/>
  <c r="C558" i="2" s="1"/>
  <c r="C577" i="2" s="1"/>
  <c r="C596" i="2" s="1"/>
  <c r="C471" i="2"/>
  <c r="C490" i="2" s="1"/>
  <c r="C509" i="2" s="1"/>
  <c r="C528" i="2" s="1"/>
  <c r="C547" i="2" s="1"/>
  <c r="C566" i="2" s="1"/>
  <c r="C585" i="2" s="1"/>
  <c r="C604" i="2" s="1"/>
  <c r="C479" i="2"/>
  <c r="C498" i="2" s="1"/>
  <c r="C517" i="2" s="1"/>
  <c r="C536" i="2" s="1"/>
  <c r="C555" i="2" s="1"/>
  <c r="C574" i="2" s="1"/>
  <c r="C593" i="2" s="1"/>
  <c r="C612" i="2" s="1"/>
  <c r="C631" i="2" s="1"/>
  <c r="C650" i="2" s="1"/>
  <c r="C669" i="2" s="1"/>
  <c r="C688" i="2" s="1"/>
  <c r="C707" i="2" s="1"/>
  <c r="C726" i="2" s="1"/>
  <c r="C745" i="2" s="1"/>
  <c r="C764" i="2" s="1"/>
  <c r="C783" i="2" s="1"/>
  <c r="C802" i="2" s="1"/>
  <c r="C821" i="2" s="1"/>
  <c r="C840" i="2" s="1"/>
  <c r="C859" i="2" s="1"/>
  <c r="C878" i="2" s="1"/>
  <c r="C897" i="2" s="1"/>
  <c r="C916" i="2" s="1"/>
  <c r="C935" i="2" s="1"/>
  <c r="C954" i="2" s="1"/>
  <c r="C973" i="2" s="1"/>
  <c r="C992" i="2" s="1"/>
  <c r="C1011" i="2" s="1"/>
  <c r="C1030" i="2" s="1"/>
  <c r="C1049" i="2" s="1"/>
  <c r="C1068" i="2" s="1"/>
  <c r="C1087" i="2" s="1"/>
  <c r="C1106" i="2" s="1"/>
  <c r="C1125" i="2" s="1"/>
  <c r="C1144" i="2" s="1"/>
  <c r="C1163" i="2" s="1"/>
  <c r="C1182" i="2" s="1"/>
  <c r="C1201" i="2" s="1"/>
  <c r="C1220" i="2" s="1"/>
  <c r="C1239" i="2" s="1"/>
  <c r="C1258" i="2" s="1"/>
  <c r="C1277" i="2" s="1"/>
  <c r="C1296" i="2" s="1"/>
  <c r="C1315" i="2" s="1"/>
  <c r="C1334" i="2" s="1"/>
  <c r="C1353" i="2" s="1"/>
  <c r="C1372" i="2" s="1"/>
  <c r="C1391" i="2" s="1"/>
  <c r="C1410" i="2" s="1"/>
  <c r="C1429" i="2" s="1"/>
  <c r="C1448" i="2" s="1"/>
  <c r="C1467" i="2" s="1"/>
  <c r="C1486" i="2" s="1"/>
  <c r="C1505" i="2" s="1"/>
  <c r="C1524" i="2" s="1"/>
  <c r="C1543" i="2" s="1"/>
  <c r="C1562" i="2" s="1"/>
  <c r="C1581" i="2" s="1"/>
  <c r="C1600" i="2" s="1"/>
  <c r="C1619" i="2" s="1"/>
  <c r="C1638" i="2" s="1"/>
  <c r="C1657" i="2" s="1"/>
  <c r="C1676" i="2" s="1"/>
  <c r="C1695" i="2" s="1"/>
  <c r="C1714" i="2" s="1"/>
  <c r="C1733" i="2" s="1"/>
  <c r="C1752" i="2" s="1"/>
  <c r="C1771" i="2" s="1"/>
  <c r="C1790" i="2" s="1"/>
  <c r="C1809" i="2" s="1"/>
  <c r="C1828" i="2" s="1"/>
  <c r="C1847" i="2" s="1"/>
  <c r="C1866" i="2" s="1"/>
  <c r="C1885" i="2" s="1"/>
  <c r="C1904" i="2" s="1"/>
  <c r="C1923" i="2" s="1"/>
  <c r="C1942" i="2" s="1"/>
  <c r="C1961" i="2" s="1"/>
  <c r="C1980" i="2" s="1"/>
  <c r="C1999" i="2" s="1"/>
  <c r="C2018" i="2" s="1"/>
  <c r="C2037" i="2" s="1"/>
  <c r="C2056" i="2" s="1"/>
  <c r="C2075" i="2" s="1"/>
  <c r="C2094" i="2" s="1"/>
  <c r="C2113" i="2" s="1"/>
  <c r="C2132" i="2" s="1"/>
  <c r="C2151" i="2" s="1"/>
  <c r="C2170" i="2" s="1"/>
  <c r="C2189" i="2" s="1"/>
  <c r="C2208" i="2" s="1"/>
  <c r="C2227" i="2" s="1"/>
  <c r="C2246" i="2" s="1"/>
  <c r="C2265" i="2" s="1"/>
  <c r="C2284" i="2" s="1"/>
  <c r="C2303" i="2" s="1"/>
  <c r="C2322" i="2" s="1"/>
  <c r="C2341" i="2" s="1"/>
  <c r="C2360" i="2" s="1"/>
  <c r="C2379" i="2" s="1"/>
  <c r="C2398" i="2" s="1"/>
  <c r="C2417" i="2" s="1"/>
  <c r="C2436" i="2" s="1"/>
  <c r="C2455" i="2" s="1"/>
  <c r="C2474" i="2" s="1"/>
  <c r="C2493" i="2" s="1"/>
  <c r="C487" i="2"/>
  <c r="C506" i="2" s="1"/>
  <c r="C525" i="2" s="1"/>
  <c r="C544" i="2" s="1"/>
  <c r="C563" i="2" s="1"/>
  <c r="C582" i="2" s="1"/>
  <c r="C601" i="2" s="1"/>
  <c r="C620" i="2" s="1"/>
  <c r="C495" i="2"/>
  <c r="C514" i="2" s="1"/>
  <c r="C533" i="2" s="1"/>
  <c r="C552" i="2" s="1"/>
  <c r="C571" i="2" s="1"/>
  <c r="C590" i="2" s="1"/>
  <c r="C609" i="2" s="1"/>
  <c r="C628" i="2" s="1"/>
  <c r="C503" i="2"/>
  <c r="C522" i="2" s="1"/>
  <c r="C541" i="2" s="1"/>
  <c r="C560" i="2" s="1"/>
  <c r="C579" i="2" s="1"/>
  <c r="C598" i="2" s="1"/>
  <c r="C617" i="2" s="1"/>
  <c r="C636" i="2" s="1"/>
  <c r="C655" i="2" s="1"/>
  <c r="C674" i="2" s="1"/>
  <c r="C693" i="2" s="1"/>
  <c r="C511" i="2"/>
  <c r="C530" i="2" s="1"/>
  <c r="C549" i="2" s="1"/>
  <c r="C568" i="2" s="1"/>
  <c r="C587" i="2" s="1"/>
  <c r="C606" i="2" s="1"/>
  <c r="C625" i="2" s="1"/>
  <c r="C644" i="2" s="1"/>
  <c r="C663" i="2" s="1"/>
  <c r="C682" i="2" s="1"/>
  <c r="C701" i="2" s="1"/>
  <c r="C720" i="2" s="1"/>
  <c r="C739" i="2" s="1"/>
  <c r="C758" i="2" s="1"/>
  <c r="C777" i="2" s="1"/>
  <c r="C796" i="2" s="1"/>
  <c r="C815" i="2" s="1"/>
  <c r="C834" i="2" s="1"/>
  <c r="C853" i="2" s="1"/>
  <c r="C872" i="2" s="1"/>
  <c r="C891" i="2" s="1"/>
  <c r="C910" i="2" s="1"/>
  <c r="C929" i="2" s="1"/>
  <c r="C948" i="2" s="1"/>
  <c r="C967" i="2" s="1"/>
  <c r="C986" i="2" s="1"/>
  <c r="C1005" i="2" s="1"/>
  <c r="C1024" i="2" s="1"/>
  <c r="C1043" i="2" s="1"/>
  <c r="C1062" i="2" s="1"/>
  <c r="C1081" i="2" s="1"/>
  <c r="C1100" i="2" s="1"/>
  <c r="C1119" i="2" s="1"/>
  <c r="C1138" i="2" s="1"/>
  <c r="C1157" i="2" s="1"/>
  <c r="C1176" i="2" s="1"/>
  <c r="C1195" i="2" s="1"/>
  <c r="C1214" i="2" s="1"/>
  <c r="C1233" i="2" s="1"/>
  <c r="C1252" i="2" s="1"/>
  <c r="C1271" i="2" s="1"/>
  <c r="C1290" i="2" s="1"/>
  <c r="C1309" i="2" s="1"/>
  <c r="C1328" i="2" s="1"/>
  <c r="C1347" i="2" s="1"/>
  <c r="C1366" i="2" s="1"/>
  <c r="C1385" i="2" s="1"/>
  <c r="C1404" i="2" s="1"/>
  <c r="C1423" i="2" s="1"/>
  <c r="C1442" i="2" s="1"/>
  <c r="C543" i="2"/>
  <c r="C562" i="2" s="1"/>
  <c r="C581" i="2" s="1"/>
  <c r="C600" i="2" s="1"/>
  <c r="C619" i="2" s="1"/>
  <c r="C638" i="2" s="1"/>
  <c r="C657" i="2" s="1"/>
  <c r="C559" i="2"/>
  <c r="C578" i="2" s="1"/>
  <c r="C597" i="2" s="1"/>
  <c r="C616" i="2" s="1"/>
  <c r="C635" i="2" s="1"/>
  <c r="C654" i="2" s="1"/>
  <c r="C673" i="2" s="1"/>
  <c r="C567" i="2"/>
  <c r="C586" i="2" s="1"/>
  <c r="C605" i="2" s="1"/>
  <c r="C624" i="2" s="1"/>
  <c r="C643" i="2" s="1"/>
  <c r="C662" i="2" s="1"/>
  <c r="C681" i="2" s="1"/>
  <c r="C575" i="2"/>
  <c r="C594" i="2" s="1"/>
  <c r="C613" i="2" s="1"/>
  <c r="C632" i="2" s="1"/>
  <c r="C651" i="2" s="1"/>
  <c r="C670" i="2" s="1"/>
  <c r="C689" i="2" s="1"/>
  <c r="C708" i="2" s="1"/>
  <c r="C727" i="2" s="1"/>
  <c r="C746" i="2" s="1"/>
  <c r="C765" i="2" s="1"/>
  <c r="C784" i="2" s="1"/>
  <c r="C803" i="2" s="1"/>
  <c r="C822" i="2" s="1"/>
  <c r="C841" i="2" s="1"/>
  <c r="C860" i="2" s="1"/>
  <c r="C879" i="2" s="1"/>
  <c r="C898" i="2" s="1"/>
  <c r="C917" i="2" s="1"/>
  <c r="C936" i="2" s="1"/>
  <c r="C955" i="2" s="1"/>
  <c r="C974" i="2" s="1"/>
  <c r="C993" i="2" s="1"/>
  <c r="C1012" i="2" s="1"/>
  <c r="C1031" i="2" s="1"/>
  <c r="C1050" i="2" s="1"/>
  <c r="C1069" i="2" s="1"/>
  <c r="C1088" i="2" s="1"/>
  <c r="C1107" i="2" s="1"/>
  <c r="C1126" i="2" s="1"/>
  <c r="C1145" i="2" s="1"/>
  <c r="C1164" i="2" s="1"/>
  <c r="C1183" i="2" s="1"/>
  <c r="C1202" i="2" s="1"/>
  <c r="C1221" i="2" s="1"/>
  <c r="C1240" i="2" s="1"/>
  <c r="C1259" i="2" s="1"/>
  <c r="C1278" i="2" s="1"/>
  <c r="C1297" i="2" s="1"/>
  <c r="C1316" i="2" s="1"/>
  <c r="C1335" i="2" s="1"/>
  <c r="C1354" i="2" s="1"/>
  <c r="C1373" i="2" s="1"/>
  <c r="C1392" i="2" s="1"/>
  <c r="C1411" i="2" s="1"/>
  <c r="C1430" i="2" s="1"/>
  <c r="C1449" i="2" s="1"/>
  <c r="C1468" i="2" s="1"/>
  <c r="C1487" i="2" s="1"/>
  <c r="C1506" i="2" s="1"/>
  <c r="C1525" i="2" s="1"/>
  <c r="C1544" i="2" s="1"/>
  <c r="C1563" i="2" s="1"/>
  <c r="C1582" i="2" s="1"/>
  <c r="C1601" i="2" s="1"/>
  <c r="C1620" i="2" s="1"/>
  <c r="C1639" i="2" s="1"/>
  <c r="C1658" i="2" s="1"/>
  <c r="C1677" i="2" s="1"/>
  <c r="C1696" i="2" s="1"/>
  <c r="C1715" i="2" s="1"/>
  <c r="C1734" i="2" s="1"/>
  <c r="C1753" i="2" s="1"/>
  <c r="C1772" i="2" s="1"/>
  <c r="C1791" i="2" s="1"/>
  <c r="C1810" i="2" s="1"/>
  <c r="C1829" i="2" s="1"/>
  <c r="C1848" i="2" s="1"/>
  <c r="C1867" i="2" s="1"/>
  <c r="C1886" i="2" s="1"/>
  <c r="C1905" i="2" s="1"/>
  <c r="C1924" i="2" s="1"/>
  <c r="C1943" i="2" s="1"/>
  <c r="C1962" i="2" s="1"/>
  <c r="C1981" i="2" s="1"/>
  <c r="C2000" i="2" s="1"/>
  <c r="C2019" i="2" s="1"/>
  <c r="C2038" i="2" s="1"/>
  <c r="C2057" i="2" s="1"/>
  <c r="C2076" i="2" s="1"/>
  <c r="C2095" i="2" s="1"/>
  <c r="C2114" i="2" s="1"/>
  <c r="C2133" i="2" s="1"/>
  <c r="C2152" i="2" s="1"/>
  <c r="C2171" i="2" s="1"/>
  <c r="C2190" i="2" s="1"/>
  <c r="C2209" i="2" s="1"/>
  <c r="C2228" i="2" s="1"/>
  <c r="C2247" i="2" s="1"/>
  <c r="C2266" i="2" s="1"/>
  <c r="C2285" i="2" s="1"/>
  <c r="C2304" i="2" s="1"/>
  <c r="C2323" i="2" s="1"/>
  <c r="C2342" i="2" s="1"/>
  <c r="C2361" i="2" s="1"/>
  <c r="C2380" i="2" s="1"/>
  <c r="C2399" i="2" s="1"/>
  <c r="C2418" i="2" s="1"/>
  <c r="C2437" i="2" s="1"/>
  <c r="C2456" i="2" s="1"/>
  <c r="C2475" i="2" s="1"/>
  <c r="C2494" i="2" s="1"/>
  <c r="C615" i="2"/>
  <c r="C634" i="2" s="1"/>
  <c r="C653" i="2" s="1"/>
  <c r="C672" i="2" s="1"/>
  <c r="C691" i="2" s="1"/>
  <c r="C710" i="2" s="1"/>
  <c r="C729" i="2" s="1"/>
  <c r="C748" i="2" s="1"/>
  <c r="C767" i="2" s="1"/>
  <c r="C786" i="2" s="1"/>
  <c r="C805" i="2" s="1"/>
  <c r="C824" i="2" s="1"/>
  <c r="C843" i="2" s="1"/>
  <c r="C862" i="2" s="1"/>
  <c r="C881" i="2" s="1"/>
  <c r="C900" i="2" s="1"/>
  <c r="C919" i="2" s="1"/>
  <c r="C938" i="2" s="1"/>
  <c r="C957" i="2" s="1"/>
  <c r="C976" i="2" s="1"/>
  <c r="C995" i="2" s="1"/>
  <c r="C623" i="2"/>
  <c r="C642" i="2" s="1"/>
  <c r="C661" i="2" s="1"/>
  <c r="C639" i="2"/>
  <c r="C658" i="2" s="1"/>
  <c r="C677" i="2" s="1"/>
  <c r="C696" i="2" s="1"/>
  <c r="C715" i="2" s="1"/>
  <c r="C734" i="2" s="1"/>
  <c r="C753" i="2" s="1"/>
  <c r="C772" i="2" s="1"/>
  <c r="C791" i="2" s="1"/>
  <c r="C810" i="2" s="1"/>
  <c r="C829" i="2" s="1"/>
  <c r="C848" i="2" s="1"/>
  <c r="C867" i="2" s="1"/>
  <c r="C886" i="2" s="1"/>
  <c r="C905" i="2" s="1"/>
  <c r="C924" i="2" s="1"/>
  <c r="C943" i="2" s="1"/>
  <c r="C962" i="2" s="1"/>
  <c r="C981" i="2" s="1"/>
  <c r="C1000" i="2" s="1"/>
  <c r="C1019" i="2" s="1"/>
  <c r="C1038" i="2" s="1"/>
  <c r="C1057" i="2" s="1"/>
  <c r="C1076" i="2" s="1"/>
  <c r="C1095" i="2" s="1"/>
  <c r="C1114" i="2" s="1"/>
  <c r="C1133" i="2" s="1"/>
  <c r="C1152" i="2" s="1"/>
  <c r="C1171" i="2" s="1"/>
  <c r="C1190" i="2" s="1"/>
  <c r="C1209" i="2" s="1"/>
  <c r="C1228" i="2" s="1"/>
  <c r="C1247" i="2" s="1"/>
  <c r="C1266" i="2" s="1"/>
  <c r="C1285" i="2" s="1"/>
  <c r="C1304" i="2" s="1"/>
  <c r="C1323" i="2" s="1"/>
  <c r="C1342" i="2" s="1"/>
  <c r="C1361" i="2" s="1"/>
  <c r="C1380" i="2" s="1"/>
  <c r="C1399" i="2" s="1"/>
  <c r="C1418" i="2" s="1"/>
  <c r="C1437" i="2" s="1"/>
  <c r="C1456" i="2" s="1"/>
  <c r="C1475" i="2" s="1"/>
  <c r="C1494" i="2" s="1"/>
  <c r="C1513" i="2" s="1"/>
  <c r="C1532" i="2" s="1"/>
  <c r="C1551" i="2" s="1"/>
  <c r="C1570" i="2" s="1"/>
  <c r="C1589" i="2" s="1"/>
  <c r="C1608" i="2" s="1"/>
  <c r="C1627" i="2" s="1"/>
  <c r="C1646" i="2" s="1"/>
  <c r="C1665" i="2" s="1"/>
  <c r="C1684" i="2" s="1"/>
  <c r="C1703" i="2" s="1"/>
  <c r="C1722" i="2" s="1"/>
  <c r="C1741" i="2" s="1"/>
  <c r="C1760" i="2" s="1"/>
  <c r="C1779" i="2" s="1"/>
  <c r="C1798" i="2" s="1"/>
  <c r="C1817" i="2" s="1"/>
  <c r="C1836" i="2" s="1"/>
  <c r="C1855" i="2" s="1"/>
  <c r="C1874" i="2" s="1"/>
  <c r="C1893" i="2" s="1"/>
  <c r="C1912" i="2" s="1"/>
  <c r="C1931" i="2" s="1"/>
  <c r="C1950" i="2" s="1"/>
  <c r="C1969" i="2" s="1"/>
  <c r="C1988" i="2" s="1"/>
  <c r="C2007" i="2" s="1"/>
  <c r="C2026" i="2" s="1"/>
  <c r="C2045" i="2" s="1"/>
  <c r="C2064" i="2" s="1"/>
  <c r="C2083" i="2" s="1"/>
  <c r="C2102" i="2" s="1"/>
  <c r="C2121" i="2" s="1"/>
  <c r="C2140" i="2" s="1"/>
  <c r="C2159" i="2" s="1"/>
  <c r="C2178" i="2" s="1"/>
  <c r="C2197" i="2" s="1"/>
  <c r="C2216" i="2" s="1"/>
  <c r="C2235" i="2" s="1"/>
  <c r="C2254" i="2" s="1"/>
  <c r="C2273" i="2" s="1"/>
  <c r="C2292" i="2" s="1"/>
  <c r="C2311" i="2" s="1"/>
  <c r="C2330" i="2" s="1"/>
  <c r="C2349" i="2" s="1"/>
  <c r="C2368" i="2" s="1"/>
  <c r="C2387" i="2" s="1"/>
  <c r="C2406" i="2" s="1"/>
  <c r="C2425" i="2" s="1"/>
  <c r="C2444" i="2" s="1"/>
  <c r="C2463" i="2" s="1"/>
  <c r="C2482" i="2" s="1"/>
  <c r="C647" i="2"/>
  <c r="C666" i="2" s="1"/>
  <c r="C685" i="2" s="1"/>
  <c r="C704" i="2" s="1"/>
  <c r="C723" i="2" s="1"/>
  <c r="C742" i="2" s="1"/>
  <c r="C761" i="2" s="1"/>
  <c r="C780" i="2" s="1"/>
  <c r="C799" i="2" s="1"/>
  <c r="C818" i="2" s="1"/>
  <c r="C837" i="2" s="1"/>
  <c r="C856" i="2" s="1"/>
  <c r="C875" i="2" s="1"/>
  <c r="C894" i="2" s="1"/>
  <c r="C913" i="2" s="1"/>
  <c r="C932" i="2" s="1"/>
  <c r="C951" i="2" s="1"/>
  <c r="C970" i="2" s="1"/>
  <c r="C989" i="2" s="1"/>
  <c r="C1008" i="2" s="1"/>
  <c r="C1027" i="2" s="1"/>
  <c r="C1046" i="2" s="1"/>
  <c r="C1065" i="2" s="1"/>
  <c r="C1084" i="2" s="1"/>
  <c r="C1103" i="2" s="1"/>
  <c r="C1122" i="2" s="1"/>
  <c r="C1141" i="2" s="1"/>
  <c r="C1160" i="2" s="1"/>
  <c r="C1179" i="2" s="1"/>
  <c r="C1198" i="2" s="1"/>
  <c r="C1217" i="2" s="1"/>
  <c r="C1236" i="2" s="1"/>
  <c r="C1255" i="2" s="1"/>
  <c r="C1274" i="2" s="1"/>
  <c r="C1293" i="2" s="1"/>
  <c r="C1312" i="2" s="1"/>
  <c r="C1331" i="2" s="1"/>
  <c r="C1350" i="2" s="1"/>
  <c r="C1369" i="2" s="1"/>
  <c r="C1388" i="2" s="1"/>
  <c r="C1407" i="2" s="1"/>
  <c r="C1426" i="2" s="1"/>
  <c r="C1445" i="2" s="1"/>
  <c r="C1464" i="2" s="1"/>
  <c r="C1483" i="2" s="1"/>
  <c r="C1502" i="2" s="1"/>
  <c r="C1521" i="2" s="1"/>
  <c r="C1540" i="2" s="1"/>
  <c r="C1559" i="2" s="1"/>
  <c r="C1578" i="2" s="1"/>
  <c r="C1597" i="2" s="1"/>
  <c r="C1616" i="2" s="1"/>
  <c r="C1635" i="2" s="1"/>
  <c r="C1654" i="2" s="1"/>
  <c r="C1673" i="2" s="1"/>
  <c r="C1692" i="2" s="1"/>
  <c r="C1711" i="2" s="1"/>
  <c r="C1730" i="2" s="1"/>
  <c r="C1749" i="2" s="1"/>
  <c r="C1768" i="2" s="1"/>
  <c r="C1787" i="2" s="1"/>
  <c r="C1806" i="2" s="1"/>
  <c r="C1825" i="2" s="1"/>
  <c r="C1844" i="2" s="1"/>
  <c r="C1863" i="2" s="1"/>
  <c r="C1882" i="2" s="1"/>
  <c r="C1901" i="2" s="1"/>
  <c r="C1920" i="2" s="1"/>
  <c r="C1939" i="2" s="1"/>
  <c r="C1958" i="2" s="1"/>
  <c r="C1977" i="2" s="1"/>
  <c r="C1996" i="2" s="1"/>
  <c r="C2015" i="2" s="1"/>
  <c r="C2034" i="2" s="1"/>
  <c r="C2053" i="2" s="1"/>
  <c r="C2072" i="2" s="1"/>
  <c r="C2091" i="2" s="1"/>
  <c r="C2110" i="2" s="1"/>
  <c r="C2129" i="2" s="1"/>
  <c r="C2148" i="2" s="1"/>
  <c r="C2167" i="2" s="1"/>
  <c r="C2186" i="2" s="1"/>
  <c r="C2205" i="2" s="1"/>
  <c r="C2224" i="2" s="1"/>
  <c r="C2243" i="2" s="1"/>
  <c r="C2262" i="2" s="1"/>
  <c r="C2281" i="2" s="1"/>
  <c r="C2300" i="2" s="1"/>
  <c r="C2319" i="2" s="1"/>
  <c r="C2338" i="2" s="1"/>
  <c r="C2357" i="2" s="1"/>
  <c r="C2376" i="2" s="1"/>
  <c r="C2395" i="2" s="1"/>
  <c r="C2414" i="2" s="1"/>
  <c r="C2433" i="2" s="1"/>
  <c r="C2452" i="2" s="1"/>
  <c r="C2471" i="2" s="1"/>
  <c r="C2490" i="2" s="1"/>
  <c r="C676" i="2"/>
  <c r="C695" i="2" s="1"/>
  <c r="C714" i="2" s="1"/>
  <c r="C733" i="2" s="1"/>
  <c r="C752" i="2" s="1"/>
  <c r="C771" i="2" s="1"/>
  <c r="C790" i="2" s="1"/>
  <c r="C809" i="2" s="1"/>
  <c r="C828" i="2" s="1"/>
  <c r="C847" i="2" s="1"/>
  <c r="C866" i="2" s="1"/>
  <c r="C885" i="2" s="1"/>
  <c r="C904" i="2" s="1"/>
  <c r="C923" i="2" s="1"/>
  <c r="C680" i="2"/>
  <c r="C699" i="2" s="1"/>
  <c r="C718" i="2" s="1"/>
  <c r="C737" i="2" s="1"/>
  <c r="C692" i="2"/>
  <c r="C711" i="2" s="1"/>
  <c r="C730" i="2" s="1"/>
  <c r="C749" i="2" s="1"/>
  <c r="C768" i="2" s="1"/>
  <c r="C787" i="2" s="1"/>
  <c r="C806" i="2" s="1"/>
  <c r="C825" i="2" s="1"/>
  <c r="C844" i="2" s="1"/>
  <c r="C863" i="2" s="1"/>
  <c r="C882" i="2" s="1"/>
  <c r="C901" i="2" s="1"/>
  <c r="C920" i="2" s="1"/>
  <c r="C939" i="2" s="1"/>
  <c r="C958" i="2" s="1"/>
  <c r="C977" i="2" s="1"/>
  <c r="C996" i="2" s="1"/>
  <c r="C1015" i="2" s="1"/>
  <c r="C1034" i="2" s="1"/>
  <c r="C1053" i="2" s="1"/>
  <c r="C1072" i="2" s="1"/>
  <c r="C1091" i="2" s="1"/>
  <c r="C1110" i="2" s="1"/>
  <c r="C1129" i="2" s="1"/>
  <c r="C1148" i="2" s="1"/>
  <c r="C1167" i="2" s="1"/>
  <c r="C1186" i="2" s="1"/>
  <c r="C1205" i="2" s="1"/>
  <c r="C1224" i="2" s="1"/>
  <c r="C1243" i="2" s="1"/>
  <c r="C1262" i="2" s="1"/>
  <c r="C1281" i="2" s="1"/>
  <c r="C700" i="2"/>
  <c r="C719" i="2" s="1"/>
  <c r="C738" i="2" s="1"/>
  <c r="C757" i="2" s="1"/>
  <c r="C712" i="2"/>
  <c r="C731" i="2" s="1"/>
  <c r="C750" i="2" s="1"/>
  <c r="C769" i="2" s="1"/>
  <c r="C724" i="2"/>
  <c r="C743" i="2" s="1"/>
  <c r="C762" i="2" s="1"/>
  <c r="C781" i="2" s="1"/>
  <c r="C800" i="2" s="1"/>
  <c r="C819" i="2" s="1"/>
  <c r="C838" i="2" s="1"/>
  <c r="C857" i="2" s="1"/>
  <c r="C876" i="2" s="1"/>
  <c r="C895" i="2" s="1"/>
  <c r="C914" i="2" s="1"/>
  <c r="C933" i="2" s="1"/>
  <c r="C952" i="2" s="1"/>
  <c r="C971" i="2" s="1"/>
  <c r="C990" i="2" s="1"/>
  <c r="C1009" i="2" s="1"/>
  <c r="C1028" i="2" s="1"/>
  <c r="C1047" i="2" s="1"/>
  <c r="C1066" i="2" s="1"/>
  <c r="C1085" i="2" s="1"/>
  <c r="C1104" i="2" s="1"/>
  <c r="C1123" i="2" s="1"/>
  <c r="C1142" i="2" s="1"/>
  <c r="C1161" i="2" s="1"/>
  <c r="C1180" i="2" s="1"/>
  <c r="C1199" i="2" s="1"/>
  <c r="C1218" i="2" s="1"/>
  <c r="C756" i="2"/>
  <c r="C775" i="2" s="1"/>
  <c r="C794" i="2" s="1"/>
  <c r="C813" i="2" s="1"/>
  <c r="C832" i="2" s="1"/>
  <c r="C851" i="2" s="1"/>
  <c r="C870" i="2" s="1"/>
  <c r="C889" i="2" s="1"/>
  <c r="C908" i="2" s="1"/>
  <c r="C927" i="2" s="1"/>
  <c r="C946" i="2" s="1"/>
  <c r="C965" i="2" s="1"/>
  <c r="C984" i="2" s="1"/>
  <c r="C1003" i="2" s="1"/>
  <c r="C1022" i="2" s="1"/>
  <c r="C1041" i="2" s="1"/>
  <c r="C1060" i="2" s="1"/>
  <c r="C1079" i="2" s="1"/>
  <c r="C776" i="2"/>
  <c r="C795" i="2" s="1"/>
  <c r="C814" i="2" s="1"/>
  <c r="C833" i="2" s="1"/>
  <c r="C788" i="2"/>
  <c r="C807" i="2" s="1"/>
  <c r="C826" i="2" s="1"/>
  <c r="C845" i="2" s="1"/>
  <c r="C852" i="2"/>
  <c r="C871" i="2" s="1"/>
  <c r="C890" i="2" s="1"/>
  <c r="C909" i="2" s="1"/>
  <c r="C928" i="2" s="1"/>
  <c r="C947" i="2" s="1"/>
  <c r="C864" i="2"/>
  <c r="C883" i="2" s="1"/>
  <c r="C902" i="2" s="1"/>
  <c r="C921" i="2" s="1"/>
  <c r="C940" i="2" s="1"/>
  <c r="C959" i="2" s="1"/>
  <c r="C978" i="2" s="1"/>
  <c r="C997" i="2" s="1"/>
  <c r="C1016" i="2" s="1"/>
  <c r="C1035" i="2" s="1"/>
  <c r="C1054" i="2" s="1"/>
  <c r="C1073" i="2" s="1"/>
  <c r="C1092" i="2" s="1"/>
  <c r="C1111" i="2" s="1"/>
  <c r="C1130" i="2" s="1"/>
  <c r="C1149" i="2" s="1"/>
  <c r="C1168" i="2" s="1"/>
  <c r="C1187" i="2" s="1"/>
  <c r="C1206" i="2" s="1"/>
  <c r="C1225" i="2" s="1"/>
  <c r="C1244" i="2" s="1"/>
  <c r="C1263" i="2" s="1"/>
  <c r="C1282" i="2" s="1"/>
  <c r="C1301" i="2" s="1"/>
  <c r="C1320" i="2" s="1"/>
  <c r="C1339" i="2" s="1"/>
  <c r="C1358" i="2" s="1"/>
  <c r="C1377" i="2" s="1"/>
  <c r="C1396" i="2" s="1"/>
  <c r="C1415" i="2" s="1"/>
  <c r="C1434" i="2" s="1"/>
  <c r="C1453" i="2" s="1"/>
  <c r="C1472" i="2" s="1"/>
  <c r="C1491" i="2" s="1"/>
  <c r="C1510" i="2" s="1"/>
  <c r="C1529" i="2" s="1"/>
  <c r="C1548" i="2" s="1"/>
  <c r="C1567" i="2" s="1"/>
  <c r="C1586" i="2" s="1"/>
  <c r="C1605" i="2" s="1"/>
  <c r="C1624" i="2" s="1"/>
  <c r="C1643" i="2" s="1"/>
  <c r="C1662" i="2" s="1"/>
  <c r="C1681" i="2" s="1"/>
  <c r="C1700" i="2" s="1"/>
  <c r="C1719" i="2" s="1"/>
  <c r="C1738" i="2" s="1"/>
  <c r="C1757" i="2" s="1"/>
  <c r="C1776" i="2" s="1"/>
  <c r="C1795" i="2" s="1"/>
  <c r="C1814" i="2" s="1"/>
  <c r="C1833" i="2" s="1"/>
  <c r="C1852" i="2" s="1"/>
  <c r="C1871" i="2" s="1"/>
  <c r="C1890" i="2" s="1"/>
  <c r="C1909" i="2" s="1"/>
  <c r="C1928" i="2" s="1"/>
  <c r="C1947" i="2" s="1"/>
  <c r="C1966" i="2" s="1"/>
  <c r="C1985" i="2" s="1"/>
  <c r="C2004" i="2" s="1"/>
  <c r="C2023" i="2" s="1"/>
  <c r="C2042" i="2" s="1"/>
  <c r="C2061" i="2" s="1"/>
  <c r="C2080" i="2" s="1"/>
  <c r="C2099" i="2" s="1"/>
  <c r="C2118" i="2" s="1"/>
  <c r="C2137" i="2" s="1"/>
  <c r="C2156" i="2" s="1"/>
  <c r="C2175" i="2" s="1"/>
  <c r="C2194" i="2" s="1"/>
  <c r="C2213" i="2" s="1"/>
  <c r="C2232" i="2" s="1"/>
  <c r="C2251" i="2" s="1"/>
  <c r="C2270" i="2" s="1"/>
  <c r="C2289" i="2" s="1"/>
  <c r="C2308" i="2" s="1"/>
  <c r="C2327" i="2" s="1"/>
  <c r="C2346" i="2" s="1"/>
  <c r="C2365" i="2" s="1"/>
  <c r="C2384" i="2" s="1"/>
  <c r="C2403" i="2" s="1"/>
  <c r="C2422" i="2" s="1"/>
  <c r="C2441" i="2" s="1"/>
  <c r="C2460" i="2" s="1"/>
  <c r="C2479" i="2" s="1"/>
  <c r="C942" i="2"/>
  <c r="C961" i="2" s="1"/>
  <c r="C980" i="2" s="1"/>
  <c r="C999" i="2" s="1"/>
  <c r="C1018" i="2" s="1"/>
  <c r="C1037" i="2" s="1"/>
  <c r="C966" i="2"/>
  <c r="C985" i="2" s="1"/>
  <c r="C1004" i="2" s="1"/>
  <c r="C1023" i="2" s="1"/>
  <c r="C1042" i="2" s="1"/>
  <c r="C1006" i="2"/>
  <c r="C1025" i="2" s="1"/>
  <c r="C1044" i="2" s="1"/>
  <c r="C1063" i="2" s="1"/>
  <c r="C1082" i="2" s="1"/>
  <c r="C1101" i="2" s="1"/>
  <c r="C1120" i="2" s="1"/>
  <c r="C1139" i="2" s="1"/>
  <c r="C1158" i="2" s="1"/>
  <c r="C1177" i="2" s="1"/>
  <c r="C1196" i="2" s="1"/>
  <c r="C1215" i="2" s="1"/>
  <c r="C1234" i="2" s="1"/>
  <c r="C1253" i="2" s="1"/>
  <c r="C1272" i="2" s="1"/>
  <c r="C1291" i="2" s="1"/>
  <c r="C1310" i="2" s="1"/>
  <c r="C1329" i="2" s="1"/>
  <c r="C1348" i="2" s="1"/>
  <c r="C1367" i="2" s="1"/>
  <c r="C1386" i="2" s="1"/>
  <c r="C1405" i="2" s="1"/>
  <c r="C1424" i="2" s="1"/>
  <c r="C1443" i="2" s="1"/>
  <c r="C1462" i="2" s="1"/>
  <c r="C1481" i="2" s="1"/>
  <c r="C1500" i="2" s="1"/>
  <c r="C1519" i="2" s="1"/>
  <c r="C1538" i="2" s="1"/>
  <c r="C1557" i="2" s="1"/>
  <c r="C1576" i="2" s="1"/>
  <c r="C1595" i="2" s="1"/>
  <c r="C1614" i="2" s="1"/>
  <c r="C1633" i="2" s="1"/>
  <c r="C1652" i="2" s="1"/>
  <c r="C1671" i="2" s="1"/>
  <c r="C1690" i="2" s="1"/>
  <c r="C1709" i="2" s="1"/>
  <c r="C1728" i="2" s="1"/>
  <c r="C1747" i="2" s="1"/>
  <c r="C1766" i="2" s="1"/>
  <c r="C1785" i="2" s="1"/>
  <c r="C1804" i="2" s="1"/>
  <c r="C1823" i="2" s="1"/>
  <c r="C1842" i="2" s="1"/>
  <c r="C1861" i="2" s="1"/>
  <c r="C1880" i="2" s="1"/>
  <c r="C1899" i="2" s="1"/>
  <c r="C1918" i="2" s="1"/>
  <c r="C1937" i="2" s="1"/>
  <c r="C1956" i="2" s="1"/>
  <c r="C1975" i="2" s="1"/>
  <c r="C1994" i="2" s="1"/>
  <c r="C2013" i="2" s="1"/>
  <c r="C2032" i="2" s="1"/>
  <c r="C2051" i="2" s="1"/>
  <c r="C2070" i="2" s="1"/>
  <c r="C2089" i="2" s="1"/>
  <c r="C2108" i="2" s="1"/>
  <c r="C2127" i="2" s="1"/>
  <c r="C2146" i="2" s="1"/>
  <c r="C2165" i="2" s="1"/>
  <c r="C2184" i="2" s="1"/>
  <c r="C2203" i="2" s="1"/>
  <c r="C2222" i="2" s="1"/>
  <c r="C2241" i="2" s="1"/>
  <c r="C2260" i="2" s="1"/>
  <c r="C2279" i="2" s="1"/>
  <c r="C2298" i="2" s="1"/>
  <c r="C2317" i="2" s="1"/>
  <c r="C2336" i="2" s="1"/>
  <c r="C2355" i="2" s="1"/>
  <c r="C2374" i="2" s="1"/>
  <c r="C2393" i="2" s="1"/>
  <c r="C2412" i="2" s="1"/>
  <c r="C2431" i="2" s="1"/>
  <c r="C2450" i="2" s="1"/>
  <c r="C2469" i="2" s="1"/>
  <c r="C2488" i="2" s="1"/>
  <c r="C1014" i="2"/>
  <c r="C1033" i="2" s="1"/>
  <c r="C1052" i="2" s="1"/>
  <c r="C1071" i="2" s="1"/>
  <c r="C1090" i="2" s="1"/>
  <c r="C1056" i="2"/>
  <c r="C1075" i="2" s="1"/>
  <c r="C1094" i="2" s="1"/>
  <c r="C1113" i="2" s="1"/>
  <c r="C1132" i="2" s="1"/>
  <c r="C1151" i="2" s="1"/>
  <c r="C1170" i="2" s="1"/>
  <c r="C1189" i="2" s="1"/>
  <c r="C1208" i="2" s="1"/>
  <c r="C1227" i="2" s="1"/>
  <c r="C1246" i="2" s="1"/>
  <c r="C1265" i="2" s="1"/>
  <c r="C1284" i="2" s="1"/>
  <c r="C1303" i="2" s="1"/>
  <c r="C1322" i="2" s="1"/>
  <c r="C1341" i="2" s="1"/>
  <c r="C1360" i="2" s="1"/>
  <c r="C1379" i="2" s="1"/>
  <c r="C1398" i="2" s="1"/>
  <c r="C1417" i="2" s="1"/>
  <c r="C1436" i="2" s="1"/>
  <c r="C1455" i="2" s="1"/>
  <c r="C1474" i="2" s="1"/>
  <c r="C1061" i="2"/>
  <c r="C1080" i="2" s="1"/>
  <c r="C1099" i="2" s="1"/>
  <c r="C1118" i="2" s="1"/>
  <c r="C1137" i="2" s="1"/>
  <c r="C1156" i="2" s="1"/>
  <c r="C1175" i="2" s="1"/>
  <c r="C1194" i="2" s="1"/>
  <c r="C1213" i="2" s="1"/>
  <c r="C1232" i="2" s="1"/>
  <c r="C1251" i="2" s="1"/>
  <c r="C1270" i="2" s="1"/>
  <c r="C1289" i="2" s="1"/>
  <c r="C1098" i="2"/>
  <c r="C1117" i="2" s="1"/>
  <c r="C1136" i="2" s="1"/>
  <c r="C1155" i="2" s="1"/>
  <c r="C1174" i="2" s="1"/>
  <c r="C1193" i="2" s="1"/>
  <c r="C1212" i="2" s="1"/>
  <c r="C1231" i="2" s="1"/>
  <c r="C1250" i="2" s="1"/>
  <c r="C1269" i="2" s="1"/>
  <c r="C1288" i="2" s="1"/>
  <c r="C1307" i="2" s="1"/>
  <c r="C1326" i="2" s="1"/>
  <c r="C1345" i="2" s="1"/>
  <c r="C1364" i="2" s="1"/>
  <c r="C1383" i="2" s="1"/>
  <c r="C1402" i="2" s="1"/>
  <c r="C1421" i="2" s="1"/>
  <c r="C1440" i="2" s="1"/>
  <c r="C1459" i="2" s="1"/>
  <c r="C1478" i="2" s="1"/>
  <c r="C1497" i="2" s="1"/>
  <c r="C1516" i="2" s="1"/>
  <c r="C1535" i="2" s="1"/>
  <c r="C1554" i="2" s="1"/>
  <c r="C1573" i="2" s="1"/>
  <c r="C1592" i="2" s="1"/>
  <c r="C1611" i="2" s="1"/>
  <c r="C1630" i="2" s="1"/>
  <c r="C1649" i="2" s="1"/>
  <c r="C1668" i="2" s="1"/>
  <c r="C1687" i="2" s="1"/>
  <c r="C1706" i="2" s="1"/>
  <c r="C1725" i="2" s="1"/>
  <c r="C1744" i="2" s="1"/>
  <c r="C1763" i="2" s="1"/>
  <c r="C1782" i="2" s="1"/>
  <c r="C1801" i="2" s="1"/>
  <c r="C1820" i="2" s="1"/>
  <c r="C1839" i="2" s="1"/>
  <c r="C1858" i="2" s="1"/>
  <c r="C1877" i="2" s="1"/>
  <c r="C1896" i="2" s="1"/>
  <c r="C1915" i="2" s="1"/>
  <c r="C1934" i="2" s="1"/>
  <c r="C1953" i="2" s="1"/>
  <c r="C1972" i="2" s="1"/>
  <c r="C1991" i="2" s="1"/>
  <c r="C2010" i="2" s="1"/>
  <c r="C2029" i="2" s="1"/>
  <c r="C2048" i="2" s="1"/>
  <c r="C2067" i="2" s="1"/>
  <c r="C2086" i="2" s="1"/>
  <c r="C2105" i="2" s="1"/>
  <c r="C2124" i="2" s="1"/>
  <c r="C2143" i="2" s="1"/>
  <c r="C2162" i="2" s="1"/>
  <c r="C2181" i="2" s="1"/>
  <c r="C2200" i="2" s="1"/>
  <c r="C2219" i="2" s="1"/>
  <c r="C2238" i="2" s="1"/>
  <c r="C2257" i="2" s="1"/>
  <c r="C2276" i="2" s="1"/>
  <c r="C2295" i="2" s="1"/>
  <c r="C2314" i="2" s="1"/>
  <c r="C2333" i="2" s="1"/>
  <c r="C2352" i="2" s="1"/>
  <c r="C2371" i="2" s="1"/>
  <c r="C2390" i="2" s="1"/>
  <c r="C2409" i="2" s="1"/>
  <c r="C2428" i="2" s="1"/>
  <c r="C2447" i="2" s="1"/>
  <c r="C2466" i="2" s="1"/>
  <c r="C2485" i="2" s="1"/>
  <c r="C1109" i="2"/>
  <c r="C1128" i="2" s="1"/>
  <c r="C1147" i="2" s="1"/>
  <c r="C1166" i="2" s="1"/>
  <c r="C1185" i="2" s="1"/>
  <c r="C1204" i="2" s="1"/>
  <c r="C1223" i="2" s="1"/>
  <c r="C1242" i="2" s="1"/>
  <c r="C1237" i="2"/>
  <c r="C1256" i="2" s="1"/>
  <c r="C1275" i="2" s="1"/>
  <c r="C1294" i="2" s="1"/>
  <c r="C1313" i="2" s="1"/>
  <c r="C1332" i="2" s="1"/>
  <c r="C1351" i="2" s="1"/>
  <c r="C1370" i="2" s="1"/>
  <c r="C1389" i="2" s="1"/>
  <c r="C1408" i="2" s="1"/>
  <c r="C1427" i="2" s="1"/>
  <c r="C1446" i="2" s="1"/>
  <c r="C1465" i="2" s="1"/>
  <c r="C1484" i="2" s="1"/>
  <c r="C1503" i="2" s="1"/>
  <c r="C1522" i="2" s="1"/>
  <c r="C1541" i="2" s="1"/>
  <c r="C1560" i="2" s="1"/>
  <c r="C1579" i="2" s="1"/>
  <c r="C1598" i="2" s="1"/>
  <c r="C1617" i="2" s="1"/>
  <c r="C1261" i="2"/>
  <c r="C1280" i="2" s="1"/>
  <c r="C1299" i="2" s="1"/>
  <c r="C1318" i="2" s="1"/>
  <c r="C1337" i="2" s="1"/>
  <c r="C1300" i="2"/>
  <c r="C1319" i="2" s="1"/>
  <c r="C1338" i="2" s="1"/>
  <c r="C1357" i="2" s="1"/>
  <c r="C1376" i="2" s="1"/>
  <c r="C1395" i="2" s="1"/>
  <c r="C1414" i="2" s="1"/>
  <c r="C1433" i="2" s="1"/>
  <c r="C1452" i="2" s="1"/>
  <c r="C1471" i="2" s="1"/>
  <c r="C1490" i="2" s="1"/>
  <c r="C1509" i="2" s="1"/>
  <c r="C1528" i="2" s="1"/>
  <c r="C1547" i="2" s="1"/>
  <c r="C1566" i="2" s="1"/>
  <c r="C1585" i="2" s="1"/>
  <c r="C1604" i="2" s="1"/>
  <c r="C1623" i="2" s="1"/>
  <c r="C1642" i="2" s="1"/>
  <c r="C1661" i="2" s="1"/>
  <c r="C1680" i="2" s="1"/>
  <c r="C1699" i="2" s="1"/>
  <c r="C1718" i="2" s="1"/>
  <c r="C1737" i="2" s="1"/>
  <c r="C1756" i="2" s="1"/>
  <c r="C1775" i="2" s="1"/>
  <c r="C1794" i="2" s="1"/>
  <c r="C1813" i="2" s="1"/>
  <c r="C1832" i="2" s="1"/>
  <c r="C1851" i="2" s="1"/>
  <c r="C1870" i="2" s="1"/>
  <c r="C1889" i="2" s="1"/>
  <c r="C1908" i="2" s="1"/>
  <c r="C1927" i="2" s="1"/>
  <c r="C1946" i="2" s="1"/>
  <c r="C1965" i="2" s="1"/>
  <c r="C1984" i="2" s="1"/>
  <c r="C2003" i="2" s="1"/>
  <c r="C2022" i="2" s="1"/>
  <c r="C2041" i="2" s="1"/>
  <c r="C2060" i="2" s="1"/>
  <c r="C2079" i="2" s="1"/>
  <c r="C2098" i="2" s="1"/>
  <c r="C2117" i="2" s="1"/>
  <c r="C2136" i="2" s="1"/>
  <c r="C2155" i="2" s="1"/>
  <c r="C2174" i="2" s="1"/>
  <c r="C2193" i="2" s="1"/>
  <c r="C2212" i="2" s="1"/>
  <c r="C2231" i="2" s="1"/>
  <c r="C2250" i="2" s="1"/>
  <c r="C2269" i="2" s="1"/>
  <c r="C2288" i="2" s="1"/>
  <c r="C2307" i="2" s="1"/>
  <c r="C2326" i="2" s="1"/>
  <c r="C2345" i="2" s="1"/>
  <c r="C2364" i="2" s="1"/>
  <c r="C2383" i="2" s="1"/>
  <c r="C2402" i="2" s="1"/>
  <c r="C2421" i="2" s="1"/>
  <c r="C2440" i="2" s="1"/>
  <c r="C2459" i="2" s="1"/>
  <c r="C2478" i="2" s="1"/>
  <c r="C1308" i="2"/>
  <c r="C1327" i="2" s="1"/>
  <c r="C1346" i="2" s="1"/>
  <c r="C1356" i="2"/>
  <c r="C1375" i="2" s="1"/>
  <c r="C1394" i="2" s="1"/>
  <c r="C1365" i="2"/>
  <c r="C1384" i="2" s="1"/>
  <c r="C1403" i="2" s="1"/>
  <c r="C1422" i="2" s="1"/>
  <c r="C1441" i="2" s="1"/>
  <c r="C1460" i="2" s="1"/>
  <c r="C1479" i="2" s="1"/>
  <c r="C1498" i="2" s="1"/>
  <c r="C1517" i="2" s="1"/>
  <c r="C1397" i="2"/>
  <c r="C1416" i="2" s="1"/>
  <c r="C1435" i="2" s="1"/>
  <c r="C1454" i="2" s="1"/>
  <c r="C1473" i="2" s="1"/>
  <c r="C1492" i="2" s="1"/>
  <c r="C1511" i="2" s="1"/>
  <c r="C1530" i="2" s="1"/>
  <c r="C1549" i="2" s="1"/>
  <c r="C1568" i="2" s="1"/>
  <c r="C1587" i="2" s="1"/>
  <c r="C1606" i="2" s="1"/>
  <c r="C1625" i="2" s="1"/>
  <c r="C1644" i="2" s="1"/>
  <c r="C1663" i="2" s="1"/>
  <c r="C1682" i="2" s="1"/>
  <c r="C1701" i="2" s="1"/>
  <c r="C1720" i="2" s="1"/>
  <c r="C1739" i="2" s="1"/>
  <c r="C1758" i="2" s="1"/>
  <c r="C1777" i="2" s="1"/>
  <c r="C1796" i="2" s="1"/>
  <c r="C1815" i="2" s="1"/>
  <c r="C1834" i="2" s="1"/>
  <c r="C1853" i="2" s="1"/>
  <c r="C1872" i="2" s="1"/>
  <c r="C1891" i="2" s="1"/>
  <c r="C1910" i="2" s="1"/>
  <c r="C1929" i="2" s="1"/>
  <c r="C1948" i="2" s="1"/>
  <c r="C1967" i="2" s="1"/>
  <c r="C1986" i="2" s="1"/>
  <c r="C2005" i="2" s="1"/>
  <c r="C2024" i="2" s="1"/>
  <c r="C2043" i="2" s="1"/>
  <c r="C2062" i="2" s="1"/>
  <c r="C2081" i="2" s="1"/>
  <c r="C2100" i="2" s="1"/>
  <c r="C2119" i="2" s="1"/>
  <c r="C2138" i="2" s="1"/>
  <c r="C2157" i="2" s="1"/>
  <c r="C2176" i="2" s="1"/>
  <c r="C2195" i="2" s="1"/>
  <c r="C2214" i="2" s="1"/>
  <c r="C2233" i="2" s="1"/>
  <c r="C2252" i="2" s="1"/>
  <c r="C2271" i="2" s="1"/>
  <c r="C2290" i="2" s="1"/>
  <c r="C2309" i="2" s="1"/>
  <c r="C2328" i="2" s="1"/>
  <c r="C2347" i="2" s="1"/>
  <c r="C2366" i="2" s="1"/>
  <c r="C2385" i="2" s="1"/>
  <c r="C2404" i="2" s="1"/>
  <c r="C2423" i="2" s="1"/>
  <c r="C2442" i="2" s="1"/>
  <c r="C2461" i="2" s="1"/>
  <c r="C2480" i="2" s="1"/>
  <c r="C1413" i="2"/>
  <c r="C1432" i="2" s="1"/>
  <c r="C1451" i="2" s="1"/>
  <c r="C1470" i="2" s="1"/>
  <c r="C1489" i="2" s="1"/>
  <c r="C1461" i="2"/>
  <c r="C1480" i="2" s="1"/>
  <c r="C1499" i="2" s="1"/>
  <c r="C1518" i="2" s="1"/>
  <c r="C1537" i="2" s="1"/>
  <c r="C1556" i="2" s="1"/>
  <c r="C1575" i="2" s="1"/>
  <c r="C1594" i="2" s="1"/>
  <c r="C1613" i="2" s="1"/>
  <c r="C1632" i="2" s="1"/>
  <c r="C1651" i="2" s="1"/>
  <c r="C1670" i="2" s="1"/>
  <c r="C1689" i="2" s="1"/>
  <c r="C1708" i="2" s="1"/>
  <c r="C1727" i="2" s="1"/>
  <c r="C1746" i="2" s="1"/>
  <c r="C1765" i="2" s="1"/>
  <c r="C1784" i="2" s="1"/>
  <c r="C1803" i="2" s="1"/>
  <c r="C1822" i="2" s="1"/>
  <c r="C1841" i="2" s="1"/>
  <c r="C1860" i="2" s="1"/>
  <c r="C1879" i="2" s="1"/>
  <c r="C1898" i="2" s="1"/>
  <c r="C1917" i="2" s="1"/>
  <c r="C1936" i="2" s="1"/>
  <c r="C1955" i="2" s="1"/>
  <c r="C1974" i="2" s="1"/>
  <c r="C1993" i="2" s="1"/>
  <c r="C2012" i="2" s="1"/>
  <c r="C2031" i="2" s="1"/>
  <c r="C2050" i="2" s="1"/>
  <c r="C2069" i="2" s="1"/>
  <c r="C2088" i="2" s="1"/>
  <c r="C2107" i="2" s="1"/>
  <c r="C2126" i="2" s="1"/>
  <c r="C2145" i="2" s="1"/>
  <c r="C2164" i="2" s="1"/>
  <c r="C2183" i="2" s="1"/>
  <c r="C2202" i="2" s="1"/>
  <c r="C2221" i="2" s="1"/>
  <c r="C2240" i="2" s="1"/>
  <c r="C2259" i="2" s="1"/>
  <c r="C2278" i="2" s="1"/>
  <c r="C2297" i="2" s="1"/>
  <c r="C2316" i="2" s="1"/>
  <c r="C2335" i="2" s="1"/>
  <c r="C2354" i="2" s="1"/>
  <c r="C2373" i="2" s="1"/>
  <c r="C2392" i="2" s="1"/>
  <c r="C2411" i="2" s="1"/>
  <c r="C2430" i="2" s="1"/>
  <c r="C2449" i="2" s="1"/>
  <c r="C2468" i="2" s="1"/>
  <c r="C2487" i="2" s="1"/>
  <c r="C1493" i="2"/>
  <c r="C1512" i="2" s="1"/>
  <c r="C1531" i="2" s="1"/>
  <c r="C1550" i="2" s="1"/>
  <c r="C1508" i="2"/>
  <c r="C1527" i="2" s="1"/>
  <c r="C1546" i="2" s="1"/>
  <c r="C1565" i="2" s="1"/>
  <c r="C1584" i="2" s="1"/>
  <c r="C1603" i="2" s="1"/>
  <c r="C1622" i="2" s="1"/>
  <c r="C1641" i="2" s="1"/>
  <c r="C1660" i="2" s="1"/>
  <c r="C1679" i="2" s="1"/>
  <c r="C1698" i="2" s="1"/>
  <c r="C1717" i="2" s="1"/>
  <c r="C1736" i="2" s="1"/>
  <c r="C1755" i="2" s="1"/>
  <c r="C1774" i="2" s="1"/>
  <c r="C1793" i="2" s="1"/>
  <c r="C1812" i="2" s="1"/>
  <c r="C1831" i="2" s="1"/>
  <c r="C1850" i="2" s="1"/>
  <c r="C1869" i="2" s="1"/>
  <c r="C1888" i="2" s="1"/>
  <c r="C1907" i="2" s="1"/>
  <c r="C1926" i="2" s="1"/>
  <c r="C1945" i="2" s="1"/>
  <c r="C1964" i="2" s="1"/>
  <c r="C1983" i="2" s="1"/>
  <c r="C2002" i="2" s="1"/>
  <c r="C2021" i="2" s="1"/>
  <c r="C2040" i="2" s="1"/>
  <c r="C2059" i="2" s="1"/>
  <c r="C2078" i="2" s="1"/>
  <c r="C2097" i="2" s="1"/>
  <c r="C2116" i="2" s="1"/>
  <c r="C2135" i="2" s="1"/>
  <c r="C2154" i="2" s="1"/>
  <c r="C2173" i="2" s="1"/>
  <c r="C2192" i="2" s="1"/>
  <c r="C2211" i="2" s="1"/>
  <c r="C2230" i="2" s="1"/>
  <c r="C2249" i="2" s="1"/>
  <c r="C2268" i="2" s="1"/>
  <c r="C2287" i="2" s="1"/>
  <c r="C2306" i="2" s="1"/>
  <c r="C2325" i="2" s="1"/>
  <c r="C2344" i="2" s="1"/>
  <c r="C2363" i="2" s="1"/>
  <c r="C2382" i="2" s="1"/>
  <c r="C2401" i="2" s="1"/>
  <c r="C2420" i="2" s="1"/>
  <c r="C2439" i="2" s="1"/>
  <c r="C2458" i="2" s="1"/>
  <c r="C2477" i="2" s="1"/>
  <c r="C1536" i="2"/>
  <c r="C1555" i="2" s="1"/>
  <c r="C1574" i="2" s="1"/>
  <c r="C1593" i="2" s="1"/>
  <c r="C1612" i="2" s="1"/>
  <c r="C1631" i="2" s="1"/>
  <c r="C1650" i="2" s="1"/>
  <c r="C1669" i="2" s="1"/>
  <c r="C1688" i="2" s="1"/>
  <c r="C1707" i="2" s="1"/>
  <c r="C1726" i="2" s="1"/>
  <c r="C1745" i="2" s="1"/>
  <c r="C1764" i="2" s="1"/>
  <c r="C1783" i="2" s="1"/>
  <c r="C1802" i="2" s="1"/>
  <c r="C1821" i="2" s="1"/>
  <c r="C1840" i="2" s="1"/>
  <c r="C1859" i="2" s="1"/>
  <c r="C1878" i="2" s="1"/>
  <c r="C1897" i="2" s="1"/>
  <c r="C1916" i="2" s="1"/>
  <c r="C1935" i="2" s="1"/>
  <c r="C1954" i="2" s="1"/>
  <c r="C1973" i="2" s="1"/>
  <c r="C1992" i="2" s="1"/>
  <c r="C2011" i="2" s="1"/>
  <c r="C2030" i="2" s="1"/>
  <c r="C2049" i="2" s="1"/>
  <c r="C2068" i="2" s="1"/>
  <c r="C2087" i="2" s="1"/>
  <c r="C2106" i="2" s="1"/>
  <c r="C2125" i="2" s="1"/>
  <c r="C2144" i="2" s="1"/>
  <c r="C2163" i="2" s="1"/>
  <c r="C2182" i="2" s="1"/>
  <c r="C2201" i="2" s="1"/>
  <c r="C2220" i="2" s="1"/>
  <c r="C2239" i="2" s="1"/>
  <c r="C2258" i="2" s="1"/>
  <c r="C2277" i="2" s="1"/>
  <c r="C2296" i="2" s="1"/>
  <c r="C2315" i="2" s="1"/>
  <c r="C2334" i="2" s="1"/>
  <c r="C2353" i="2" s="1"/>
  <c r="C2372" i="2" s="1"/>
  <c r="C2391" i="2" s="1"/>
  <c r="C2410" i="2" s="1"/>
  <c r="C2429" i="2" s="1"/>
  <c r="C2448" i="2" s="1"/>
  <c r="C2467" i="2" s="1"/>
  <c r="C2486" i="2" s="1"/>
  <c r="C1569" i="2"/>
  <c r="C1588" i="2" s="1"/>
  <c r="C1607" i="2" s="1"/>
  <c r="C1626" i="2" s="1"/>
  <c r="C1645" i="2" s="1"/>
  <c r="C1664" i="2" s="1"/>
  <c r="C1636" i="2"/>
  <c r="C1655" i="2" s="1"/>
  <c r="C1674" i="2" s="1"/>
  <c r="C1693" i="2" s="1"/>
  <c r="C1712" i="2" s="1"/>
  <c r="C1683" i="2"/>
  <c r="C1702" i="2" s="1"/>
  <c r="C1721" i="2" s="1"/>
  <c r="C1740" i="2" s="1"/>
  <c r="C1759" i="2" s="1"/>
  <c r="C1778" i="2" s="1"/>
  <c r="C1797" i="2" s="1"/>
  <c r="C1816" i="2" s="1"/>
  <c r="C1835" i="2" s="1"/>
  <c r="C1854" i="2" s="1"/>
  <c r="C1873" i="2" s="1"/>
  <c r="C1892" i="2" s="1"/>
  <c r="C1911" i="2" s="1"/>
  <c r="C1930" i="2" s="1"/>
  <c r="C1949" i="2" s="1"/>
  <c r="C1968" i="2" s="1"/>
  <c r="C1987" i="2" s="1"/>
  <c r="C2006" i="2" s="1"/>
  <c r="C2025" i="2" s="1"/>
  <c r="C2044" i="2" s="1"/>
  <c r="C2063" i="2" s="1"/>
  <c r="C2082" i="2" s="1"/>
  <c r="C2101" i="2" s="1"/>
  <c r="C2120" i="2" s="1"/>
  <c r="C2139" i="2" s="1"/>
  <c r="C2158" i="2" s="1"/>
  <c r="C2177" i="2" s="1"/>
  <c r="C2196" i="2" s="1"/>
  <c r="C2215" i="2" s="1"/>
  <c r="C2234" i="2" s="1"/>
  <c r="C2253" i="2" s="1"/>
  <c r="C2272" i="2" s="1"/>
  <c r="C2291" i="2" s="1"/>
  <c r="C2310" i="2" s="1"/>
  <c r="C2329" i="2" s="1"/>
  <c r="C2348" i="2" s="1"/>
  <c r="C2367" i="2" s="1"/>
  <c r="C2386" i="2" s="1"/>
  <c r="C2405" i="2" s="1"/>
  <c r="C2424" i="2" s="1"/>
  <c r="C2443" i="2" s="1"/>
  <c r="C2462" i="2" s="1"/>
  <c r="C2481" i="2" s="1"/>
  <c r="C1731" i="2"/>
  <c r="C1750" i="2" s="1"/>
  <c r="C1769" i="2" s="1"/>
  <c r="C1788" i="2" s="1"/>
  <c r="C1807" i="2" s="1"/>
  <c r="C1826" i="2" s="1"/>
  <c r="C1845" i="2" s="1"/>
  <c r="C1864" i="2" s="1"/>
  <c r="C1883" i="2" s="1"/>
  <c r="C1902" i="2" s="1"/>
  <c r="C1921" i="2" s="1"/>
  <c r="C1940" i="2" s="1"/>
  <c r="C1959" i="2" s="1"/>
  <c r="C1978" i="2" s="1"/>
  <c r="C1997" i="2" s="1"/>
  <c r="C2016" i="2" s="1"/>
  <c r="C2035" i="2" s="1"/>
  <c r="C2054" i="2" s="1"/>
  <c r="C2073" i="2" s="1"/>
  <c r="C2092" i="2" s="1"/>
  <c r="C2111" i="2" s="1"/>
  <c r="C2130" i="2" s="1"/>
  <c r="C2149" i="2" s="1"/>
  <c r="C2168" i="2" s="1"/>
  <c r="C2187" i="2" s="1"/>
  <c r="C2206" i="2" s="1"/>
  <c r="C2225" i="2" s="1"/>
  <c r="C2244" i="2" s="1"/>
  <c r="C2263" i="2" s="1"/>
  <c r="C2282" i="2" s="1"/>
  <c r="C2301" i="2" s="1"/>
  <c r="C2320" i="2" s="1"/>
  <c r="C2339" i="2" s="1"/>
  <c r="C2358" i="2" s="1"/>
  <c r="C2377" i="2" s="1"/>
  <c r="C2396" i="2" s="1"/>
  <c r="C2415" i="2" s="1"/>
  <c r="C2434" i="2" s="1"/>
  <c r="C2453" i="2" s="1"/>
  <c r="C2472" i="2" s="1"/>
  <c r="C2491" i="2" s="1"/>
  <c r="C291" i="2"/>
  <c r="C310" i="2" s="1"/>
  <c r="C329" i="2" s="1"/>
  <c r="C348" i="2" s="1"/>
  <c r="C367" i="2" s="1"/>
  <c r="C386" i="2" s="1"/>
  <c r="C405" i="2" s="1"/>
  <c r="C424" i="2" s="1"/>
  <c r="C443" i="2" s="1"/>
  <c r="C462" i="2" s="1"/>
  <c r="C481" i="2" s="1"/>
  <c r="C500" i="2" s="1"/>
  <c r="C519" i="2" s="1"/>
  <c r="C538" i="2" s="1"/>
  <c r="C557" i="2" s="1"/>
  <c r="C576" i="2" s="1"/>
  <c r="C595" i="2" s="1"/>
  <c r="C614" i="2" s="1"/>
  <c r="C633" i="2" s="1"/>
  <c r="C652" i="2" s="1"/>
  <c r="C671" i="2" s="1"/>
  <c r="C690" i="2" s="1"/>
  <c r="C709" i="2" s="1"/>
  <c r="C728" i="2" s="1"/>
  <c r="C747" i="2" s="1"/>
  <c r="C766" i="2" s="1"/>
  <c r="C785" i="2" s="1"/>
  <c r="C804" i="2" s="1"/>
  <c r="C823" i="2" s="1"/>
  <c r="C842" i="2" s="1"/>
  <c r="C861" i="2" s="1"/>
  <c r="C880" i="2" s="1"/>
  <c r="C899" i="2" s="1"/>
  <c r="C918" i="2" s="1"/>
  <c r="C937" i="2" s="1"/>
  <c r="C956" i="2" s="1"/>
  <c r="C975" i="2" s="1"/>
  <c r="C994" i="2" s="1"/>
  <c r="C1013" i="2" s="1"/>
  <c r="C1032" i="2" s="1"/>
  <c r="C1051" i="2" s="1"/>
  <c r="C1070" i="2" s="1"/>
  <c r="C1089" i="2" s="1"/>
  <c r="C1108" i="2" s="1"/>
  <c r="C1127" i="2" s="1"/>
  <c r="C1146" i="2" s="1"/>
  <c r="C1165" i="2" s="1"/>
  <c r="C1184" i="2" s="1"/>
  <c r="C1203" i="2" s="1"/>
  <c r="C1222" i="2" s="1"/>
  <c r="C1241" i="2" s="1"/>
  <c r="C1260" i="2" s="1"/>
  <c r="C1279" i="2" s="1"/>
  <c r="C1298" i="2" s="1"/>
  <c r="C1317" i="2" s="1"/>
  <c r="C1336" i="2" s="1"/>
  <c r="C1355" i="2" s="1"/>
  <c r="C1374" i="2" s="1"/>
  <c r="C1393" i="2" s="1"/>
  <c r="C1412" i="2" s="1"/>
  <c r="C1431" i="2" s="1"/>
  <c r="C1450" i="2" s="1"/>
  <c r="C1469" i="2" s="1"/>
  <c r="C1488" i="2" s="1"/>
  <c r="C1507" i="2" s="1"/>
  <c r="C1526" i="2" s="1"/>
  <c r="C1545" i="2" s="1"/>
  <c r="C1564" i="2" s="1"/>
  <c r="C1583" i="2" s="1"/>
  <c r="C1602" i="2" s="1"/>
  <c r="C1621" i="2" s="1"/>
  <c r="C1640" i="2" s="1"/>
  <c r="C1659" i="2" s="1"/>
  <c r="C1678" i="2" s="1"/>
  <c r="C1697" i="2" s="1"/>
  <c r="C1716" i="2" s="1"/>
  <c r="C1735" i="2" s="1"/>
  <c r="C1754" i="2" s="1"/>
  <c r="C1773" i="2" s="1"/>
  <c r="C1792" i="2" s="1"/>
  <c r="C1811" i="2" s="1"/>
  <c r="C1830" i="2" s="1"/>
  <c r="C1849" i="2" s="1"/>
  <c r="C1868" i="2" s="1"/>
  <c r="C1887" i="2" s="1"/>
  <c r="C1906" i="2" s="1"/>
  <c r="C1925" i="2" s="1"/>
  <c r="C1944" i="2" s="1"/>
  <c r="C1963" i="2" s="1"/>
  <c r="C1982" i="2" s="1"/>
  <c r="C2001" i="2" s="1"/>
  <c r="C2020" i="2" s="1"/>
  <c r="C2039" i="2" s="1"/>
  <c r="C2058" i="2" s="1"/>
  <c r="C2077" i="2" s="1"/>
  <c r="C2096" i="2" s="1"/>
  <c r="C2115" i="2" s="1"/>
  <c r="C2134" i="2" s="1"/>
  <c r="C2153" i="2" s="1"/>
  <c r="C2172" i="2" s="1"/>
  <c r="C2191" i="2" s="1"/>
  <c r="C2210" i="2" s="1"/>
  <c r="C2229" i="2" s="1"/>
  <c r="C2248" i="2" s="1"/>
  <c r="C2267" i="2" s="1"/>
  <c r="C2286" i="2" s="1"/>
  <c r="C2305" i="2" s="1"/>
  <c r="C2324" i="2" s="1"/>
  <c r="C2343" i="2" s="1"/>
  <c r="C2362" i="2" s="1"/>
  <c r="C2381" i="2" s="1"/>
  <c r="C2400" i="2" s="1"/>
  <c r="C2419" i="2" s="1"/>
  <c r="C2438" i="2" s="1"/>
  <c r="C2457" i="2" s="1"/>
  <c r="C2476" i="2" s="1"/>
  <c r="F5558" i="2"/>
  <c r="F5539" i="2"/>
  <c r="F5547" i="2"/>
  <c r="F5591" i="2"/>
  <c r="F5556" i="2"/>
  <c r="F5527" i="2"/>
  <c r="F5551" i="2"/>
  <c r="F5832" i="2"/>
  <c r="F5544" i="2"/>
  <c r="F5543" i="2"/>
  <c r="F5540" i="2"/>
  <c r="H5" i="1" l="1"/>
  <c r="D4" i="1"/>
  <c r="I5591" i="2"/>
  <c r="C5638" i="2"/>
  <c r="I5547" i="2"/>
  <c r="C5594" i="2"/>
  <c r="C5557" i="2"/>
  <c r="I5510" i="2"/>
  <c r="I5483" i="2"/>
  <c r="C5530" i="2"/>
  <c r="I5472" i="2"/>
  <c r="C5519" i="2"/>
  <c r="C5476" i="2"/>
  <c r="I5429" i="2"/>
  <c r="C5507" i="2"/>
  <c r="I5460" i="2"/>
  <c r="C5586" i="2"/>
  <c r="I5543" i="2"/>
  <c r="C5590" i="2"/>
  <c r="I5556" i="2"/>
  <c r="C5603" i="2"/>
  <c r="C5482" i="2"/>
  <c r="I5435" i="2"/>
  <c r="C5397" i="2"/>
  <c r="I5350" i="2"/>
  <c r="C5381" i="2"/>
  <c r="I5334" i="2"/>
  <c r="C5365" i="2"/>
  <c r="I5318" i="2"/>
  <c r="I5366" i="2"/>
  <c r="C5525" i="2"/>
  <c r="I5478" i="2"/>
  <c r="I5551" i="2"/>
  <c r="C5598" i="2"/>
  <c r="C5487" i="2"/>
  <c r="I5440" i="2"/>
  <c r="C5471" i="2"/>
  <c r="I5424" i="2"/>
  <c r="I5408" i="2"/>
  <c r="C5455" i="2"/>
  <c r="C5443" i="2"/>
  <c r="I5396" i="2"/>
  <c r="C5439" i="2"/>
  <c r="I5392" i="2"/>
  <c r="C5427" i="2"/>
  <c r="C5474" i="2" s="1"/>
  <c r="C5521" i="2" s="1"/>
  <c r="C5568" i="2" s="1"/>
  <c r="I5380" i="2"/>
  <c r="C5423" i="2"/>
  <c r="I5376" i="2"/>
  <c r="C5411" i="2"/>
  <c r="C5458" i="2" s="1"/>
  <c r="C5505" i="2" s="1"/>
  <c r="C5552" i="2" s="1"/>
  <c r="I5364" i="2"/>
  <c r="I5413" i="2"/>
  <c r="I5382" i="2"/>
  <c r="I5558" i="2"/>
  <c r="C5605" i="2"/>
  <c r="I5488" i="2"/>
  <c r="C5535" i="2"/>
  <c r="I5540" i="2"/>
  <c r="C5587" i="2"/>
  <c r="C5395" i="2"/>
  <c r="C5442" i="2" s="1"/>
  <c r="C5489" i="2" s="1"/>
  <c r="C5536" i="2" s="1"/>
  <c r="I5348" i="2"/>
  <c r="I5336" i="2"/>
  <c r="C5383" i="2"/>
  <c r="C5430" i="2" s="1"/>
  <c r="C5477" i="2" s="1"/>
  <c r="C5524" i="2" s="1"/>
  <c r="C5379" i="2"/>
  <c r="I5332" i="2"/>
  <c r="I5320" i="2"/>
  <c r="C5367" i="2"/>
  <c r="I5511" i="2"/>
  <c r="I5441" i="2"/>
  <c r="I5436" i="2"/>
  <c r="I5431" i="2"/>
  <c r="I5425" i="2"/>
  <c r="I5377" i="2"/>
  <c r="I5356" i="2"/>
  <c r="I5346" i="2"/>
  <c r="I5330" i="2"/>
  <c r="C5574" i="2"/>
  <c r="C5542" i="2"/>
  <c r="C5531" i="2"/>
  <c r="C5526" i="2"/>
  <c r="C5515" i="2"/>
  <c r="C5499" i="2"/>
  <c r="C5494" i="2"/>
  <c r="C5467" i="2"/>
  <c r="C5456" i="2"/>
  <c r="C5451" i="2"/>
  <c r="C5419" i="2"/>
  <c r="C5387" i="2"/>
  <c r="C5434" i="2" s="1"/>
  <c r="C5481" i="2" s="1"/>
  <c r="C5528" i="2" s="1"/>
  <c r="C5371" i="2"/>
  <c r="C5360" i="2"/>
  <c r="C5344" i="2"/>
  <c r="C5328" i="2"/>
  <c r="I5305" i="2"/>
  <c r="I5301" i="2"/>
  <c r="I5289" i="2"/>
  <c r="I5285" i="2"/>
  <c r="I5273" i="2"/>
  <c r="I5394" i="2"/>
  <c r="I5362" i="2"/>
  <c r="I5383" i="2"/>
  <c r="I5387" i="2"/>
  <c r="I5395" i="2"/>
  <c r="I5399" i="2"/>
  <c r="I5403" i="2"/>
  <c r="I5363" i="2"/>
  <c r="I5351" i="2"/>
  <c r="I5355" i="2"/>
  <c r="I5427" i="2"/>
  <c r="I5415" i="2"/>
  <c r="C5033" i="2"/>
  <c r="I5033" i="2" s="1"/>
  <c r="C2572" i="2"/>
  <c r="I2558" i="2"/>
  <c r="C5007" i="2"/>
  <c r="I5007" i="2" s="1"/>
  <c r="C2546" i="2"/>
  <c r="I2532" i="2"/>
  <c r="C5001" i="2"/>
  <c r="I5001" i="2" s="1"/>
  <c r="C2540" i="2"/>
  <c r="I2526" i="2"/>
  <c r="C5011" i="2"/>
  <c r="I5011" i="2" s="1"/>
  <c r="C2550" i="2"/>
  <c r="C5006" i="2"/>
  <c r="I5006" i="2" s="1"/>
  <c r="C2545" i="2"/>
  <c r="C4984" i="2"/>
  <c r="I4984" i="2" s="1"/>
  <c r="C2523" i="2"/>
  <c r="C5023" i="2"/>
  <c r="I5023" i="2" s="1"/>
  <c r="C2562" i="2"/>
  <c r="C5002" i="2"/>
  <c r="I5002" i="2" s="1"/>
  <c r="C2541" i="2"/>
  <c r="C5010" i="2"/>
  <c r="I5010" i="2" s="1"/>
  <c r="C2549" i="2"/>
  <c r="C2524" i="2"/>
  <c r="C2528" i="2"/>
  <c r="C4994" i="2"/>
  <c r="I4994" i="2" s="1"/>
  <c r="C2533" i="2"/>
  <c r="C4990" i="2"/>
  <c r="I4990" i="2" s="1"/>
  <c r="C2529" i="2"/>
  <c r="C4986" i="2"/>
  <c r="I4986" i="2" s="1"/>
  <c r="C2525" i="2"/>
  <c r="F5557" i="2"/>
  <c r="F5528" i="2"/>
  <c r="F5542" i="2"/>
  <c r="F5536" i="2"/>
  <c r="F5526" i="2"/>
  <c r="F5535" i="2"/>
  <c r="F5574" i="2"/>
  <c r="F5552" i="2"/>
  <c r="F5568" i="2"/>
  <c r="F5605" i="2"/>
  <c r="F5525" i="2"/>
  <c r="F5594" i="2"/>
  <c r="F5603" i="2"/>
  <c r="F5530" i="2"/>
  <c r="F5598" i="2"/>
  <c r="F5590" i="2"/>
  <c r="F5524" i="2"/>
  <c r="F5531" i="2"/>
  <c r="F5638" i="2"/>
  <c r="F5586" i="2"/>
  <c r="F5587" i="2"/>
  <c r="H6" i="1" l="1"/>
  <c r="D5" i="1"/>
  <c r="I5344" i="2"/>
  <c r="C5391" i="2"/>
  <c r="I5419" i="2"/>
  <c r="C5466" i="2"/>
  <c r="C5541" i="2"/>
  <c r="I5494" i="2"/>
  <c r="I5531" i="2"/>
  <c r="C5578" i="2"/>
  <c r="I5367" i="2"/>
  <c r="C5414" i="2"/>
  <c r="I5524" i="2"/>
  <c r="C5571" i="2"/>
  <c r="I5587" i="2"/>
  <c r="C5634" i="2"/>
  <c r="I5605" i="2"/>
  <c r="C5652" i="2"/>
  <c r="I5598" i="2"/>
  <c r="C5645" i="2"/>
  <c r="C5428" i="2"/>
  <c r="I5381" i="2"/>
  <c r="C5529" i="2"/>
  <c r="I5482" i="2"/>
  <c r="I5530" i="2"/>
  <c r="C5577" i="2"/>
  <c r="I5594" i="2"/>
  <c r="C5641" i="2"/>
  <c r="I5552" i="2"/>
  <c r="C5599" i="2"/>
  <c r="I5568" i="2"/>
  <c r="C5615" i="2"/>
  <c r="C5490" i="2"/>
  <c r="I5443" i="2"/>
  <c r="C5518" i="2"/>
  <c r="I5471" i="2"/>
  <c r="I5603" i="2"/>
  <c r="C5650" i="2"/>
  <c r="I5586" i="2"/>
  <c r="C5633" i="2"/>
  <c r="C5523" i="2"/>
  <c r="I5476" i="2"/>
  <c r="C5498" i="2"/>
  <c r="I5451" i="2"/>
  <c r="I5542" i="2"/>
  <c r="C5589" i="2"/>
  <c r="I5371" i="2"/>
  <c r="C5418" i="2"/>
  <c r="C5503" i="2"/>
  <c r="I5456" i="2"/>
  <c r="C5562" i="2"/>
  <c r="I5515" i="2"/>
  <c r="I5574" i="2"/>
  <c r="C5621" i="2"/>
  <c r="I5535" i="2"/>
  <c r="C5582" i="2"/>
  <c r="C5502" i="2"/>
  <c r="I5455" i="2"/>
  <c r="C5412" i="2"/>
  <c r="I5365" i="2"/>
  <c r="C5444" i="2"/>
  <c r="I5397" i="2"/>
  <c r="C5566" i="2"/>
  <c r="I5519" i="2"/>
  <c r="I5638" i="2"/>
  <c r="C5685" i="2"/>
  <c r="C5407" i="2"/>
  <c r="I5360" i="2"/>
  <c r="C5546" i="2"/>
  <c r="I5499" i="2"/>
  <c r="I5411" i="2"/>
  <c r="I5328" i="2"/>
  <c r="C5375" i="2"/>
  <c r="I5528" i="2"/>
  <c r="C5575" i="2"/>
  <c r="C5514" i="2"/>
  <c r="I5467" i="2"/>
  <c r="I5526" i="2"/>
  <c r="C5573" i="2"/>
  <c r="I5379" i="2"/>
  <c r="C5426" i="2"/>
  <c r="I5536" i="2"/>
  <c r="C5583" i="2"/>
  <c r="C5470" i="2"/>
  <c r="I5423" i="2"/>
  <c r="C5486" i="2"/>
  <c r="I5439" i="2"/>
  <c r="C5534" i="2"/>
  <c r="I5487" i="2"/>
  <c r="I5525" i="2"/>
  <c r="C5572" i="2"/>
  <c r="I5590" i="2"/>
  <c r="C5637" i="2"/>
  <c r="C5554" i="2"/>
  <c r="I5507" i="2"/>
  <c r="I5557" i="2"/>
  <c r="C5604" i="2"/>
  <c r="I5458" i="2"/>
  <c r="I5474" i="2"/>
  <c r="I5398" i="2"/>
  <c r="I5446" i="2"/>
  <c r="I5430" i="2"/>
  <c r="I5462" i="2"/>
  <c r="I5402" i="2"/>
  <c r="I5410" i="2"/>
  <c r="I5450" i="2"/>
  <c r="I5442" i="2"/>
  <c r="I5434" i="2"/>
  <c r="C5047" i="2"/>
  <c r="I5047" i="2" s="1"/>
  <c r="C2586" i="2"/>
  <c r="I2572" i="2"/>
  <c r="C5000" i="2"/>
  <c r="I5000" i="2" s="1"/>
  <c r="C2539" i="2"/>
  <c r="I2525" i="2"/>
  <c r="C5008" i="2"/>
  <c r="I5008" i="2" s="1"/>
  <c r="C2547" i="2"/>
  <c r="I2533" i="2"/>
  <c r="C5024" i="2"/>
  <c r="I5024" i="2" s="1"/>
  <c r="C2563" i="2"/>
  <c r="I2549" i="2"/>
  <c r="C5037" i="2"/>
  <c r="I5037" i="2" s="1"/>
  <c r="C2576" i="2"/>
  <c r="I2562" i="2"/>
  <c r="C2559" i="2"/>
  <c r="C5020" i="2"/>
  <c r="I5020" i="2" s="1"/>
  <c r="I2545" i="2"/>
  <c r="C5021" i="2"/>
  <c r="I5021" i="2" s="1"/>
  <c r="C2560" i="2"/>
  <c r="I2546" i="2"/>
  <c r="C5015" i="2"/>
  <c r="I5015" i="2" s="1"/>
  <c r="C2554" i="2"/>
  <c r="I2540" i="2"/>
  <c r="C2543" i="2"/>
  <c r="I2529" i="2"/>
  <c r="C5004" i="2"/>
  <c r="I5004" i="2" s="1"/>
  <c r="C5003" i="2"/>
  <c r="I5003" i="2" s="1"/>
  <c r="C2542" i="2"/>
  <c r="I2528" i="2"/>
  <c r="C5016" i="2"/>
  <c r="I5016" i="2" s="1"/>
  <c r="C2555" i="2"/>
  <c r="I2541" i="2"/>
  <c r="C4998" i="2"/>
  <c r="I4998" i="2" s="1"/>
  <c r="C2537" i="2"/>
  <c r="I2523" i="2"/>
  <c r="C5025" i="2"/>
  <c r="I5025" i="2" s="1"/>
  <c r="I2550" i="2"/>
  <c r="C2564" i="2"/>
  <c r="C4999" i="2"/>
  <c r="I4999" i="2" s="1"/>
  <c r="I2524" i="2"/>
  <c r="C2538" i="2"/>
  <c r="F5641" i="2"/>
  <c r="F5523" i="2"/>
  <c r="F5546" i="2"/>
  <c r="F5637" i="2"/>
  <c r="F5571" i="2"/>
  <c r="F5652" i="2"/>
  <c r="F5604" i="2"/>
  <c r="F5589" i="2"/>
  <c r="F5534" i="2"/>
  <c r="F5650" i="2"/>
  <c r="F5577" i="2"/>
  <c r="F5685" i="2"/>
  <c r="F5554" i="2"/>
  <c r="F5566" i="2"/>
  <c r="F5621" i="2"/>
  <c r="F5541" i="2"/>
  <c r="F5529" i="2"/>
  <c r="F5575" i="2"/>
  <c r="F5634" i="2"/>
  <c r="F5573" i="2"/>
  <c r="F5562" i="2"/>
  <c r="F5572" i="2"/>
  <c r="F5645" i="2"/>
  <c r="F5583" i="2"/>
  <c r="F5615" i="2"/>
  <c r="F5633" i="2"/>
  <c r="F5582" i="2"/>
  <c r="F5578" i="2"/>
  <c r="F5599" i="2"/>
  <c r="D5568" i="2"/>
  <c r="E5524" i="2"/>
  <c r="E5568" i="2"/>
  <c r="D5524" i="2"/>
  <c r="H7" i="1" l="1"/>
  <c r="D6" i="1"/>
  <c r="I5554" i="2"/>
  <c r="C5601" i="2"/>
  <c r="C5533" i="2"/>
  <c r="I5486" i="2"/>
  <c r="I5685" i="2"/>
  <c r="C5732" i="2"/>
  <c r="I5621" i="2"/>
  <c r="C5668" i="2"/>
  <c r="I5589" i="2"/>
  <c r="C5636" i="2"/>
  <c r="I5650" i="2"/>
  <c r="C5697" i="2"/>
  <c r="I5599" i="2"/>
  <c r="C5646" i="2"/>
  <c r="I5577" i="2"/>
  <c r="C5624" i="2"/>
  <c r="I5652" i="2"/>
  <c r="C5699" i="2"/>
  <c r="I5571" i="2"/>
  <c r="C5618" i="2"/>
  <c r="I5578" i="2"/>
  <c r="C5625" i="2"/>
  <c r="C5513" i="2"/>
  <c r="I5466" i="2"/>
  <c r="I5604" i="2"/>
  <c r="C5651" i="2"/>
  <c r="I5637" i="2"/>
  <c r="C5684" i="2"/>
  <c r="C5473" i="2"/>
  <c r="I5426" i="2"/>
  <c r="C5422" i="2"/>
  <c r="I5375" i="2"/>
  <c r="I5546" i="2"/>
  <c r="C5593" i="2"/>
  <c r="C5491" i="2"/>
  <c r="I5444" i="2"/>
  <c r="C5549" i="2"/>
  <c r="I5502" i="2"/>
  <c r="C5550" i="2"/>
  <c r="I5503" i="2"/>
  <c r="I5523" i="2"/>
  <c r="C5570" i="2"/>
  <c r="C5537" i="2"/>
  <c r="I5490" i="2"/>
  <c r="C5475" i="2"/>
  <c r="I5428" i="2"/>
  <c r="I5534" i="2"/>
  <c r="C5581" i="2"/>
  <c r="C5517" i="2"/>
  <c r="I5470" i="2"/>
  <c r="C5561" i="2"/>
  <c r="I5514" i="2"/>
  <c r="I5582" i="2"/>
  <c r="C5629" i="2"/>
  <c r="C5465" i="2"/>
  <c r="I5418" i="2"/>
  <c r="I5633" i="2"/>
  <c r="C5680" i="2"/>
  <c r="I5615" i="2"/>
  <c r="C5662" i="2"/>
  <c r="I5641" i="2"/>
  <c r="C5688" i="2"/>
  <c r="I5645" i="2"/>
  <c r="C5692" i="2"/>
  <c r="I5634" i="2"/>
  <c r="C5681" i="2"/>
  <c r="C5461" i="2"/>
  <c r="I5414" i="2"/>
  <c r="C5438" i="2"/>
  <c r="I5391" i="2"/>
  <c r="I5572" i="2"/>
  <c r="C5619" i="2"/>
  <c r="I5583" i="2"/>
  <c r="C5630" i="2"/>
  <c r="I5573" i="2"/>
  <c r="C5620" i="2"/>
  <c r="I5575" i="2"/>
  <c r="C5622" i="2"/>
  <c r="C5454" i="2"/>
  <c r="I5407" i="2"/>
  <c r="I5566" i="2"/>
  <c r="C5613" i="2"/>
  <c r="C5459" i="2"/>
  <c r="I5412" i="2"/>
  <c r="I5562" i="2"/>
  <c r="C5609" i="2"/>
  <c r="C5545" i="2"/>
  <c r="I5498" i="2"/>
  <c r="C5565" i="2"/>
  <c r="I5518" i="2"/>
  <c r="I5529" i="2"/>
  <c r="C5576" i="2"/>
  <c r="I5541" i="2"/>
  <c r="C5588" i="2"/>
  <c r="I5481" i="2"/>
  <c r="I5497" i="2"/>
  <c r="I5449" i="2"/>
  <c r="I5477" i="2"/>
  <c r="I5493" i="2"/>
  <c r="I5521" i="2"/>
  <c r="I5489" i="2"/>
  <c r="I5457" i="2"/>
  <c r="I5509" i="2"/>
  <c r="I5445" i="2"/>
  <c r="I5505" i="2"/>
  <c r="C5013" i="2"/>
  <c r="I5013" i="2" s="1"/>
  <c r="I2538" i="2"/>
  <c r="C2552" i="2"/>
  <c r="C5051" i="2"/>
  <c r="I5051" i="2" s="1"/>
  <c r="I2576" i="2"/>
  <c r="C2590" i="2"/>
  <c r="C5017" i="2"/>
  <c r="I5017" i="2" s="1"/>
  <c r="C2556" i="2"/>
  <c r="I2542" i="2"/>
  <c r="C5018" i="2"/>
  <c r="I5018" i="2" s="1"/>
  <c r="C2557" i="2"/>
  <c r="I2543" i="2"/>
  <c r="C5014" i="2"/>
  <c r="I5014" i="2" s="1"/>
  <c r="C2553" i="2"/>
  <c r="I2539" i="2"/>
  <c r="C5030" i="2"/>
  <c r="I5030" i="2" s="1"/>
  <c r="C2569" i="2"/>
  <c r="I2555" i="2"/>
  <c r="C5035" i="2"/>
  <c r="I5035" i="2" s="1"/>
  <c r="C2574" i="2"/>
  <c r="I2560" i="2"/>
  <c r="C5034" i="2"/>
  <c r="I5034" i="2" s="1"/>
  <c r="C2573" i="2"/>
  <c r="I2559" i="2"/>
  <c r="C5022" i="2"/>
  <c r="I5022" i="2" s="1"/>
  <c r="C2561" i="2"/>
  <c r="I2547" i="2"/>
  <c r="C5039" i="2"/>
  <c r="I5039" i="2" s="1"/>
  <c r="C2578" i="2"/>
  <c r="I2564" i="2"/>
  <c r="C5012" i="2"/>
  <c r="I5012" i="2" s="1"/>
  <c r="C2551" i="2"/>
  <c r="I2537" i="2"/>
  <c r="C5029" i="2"/>
  <c r="I5029" i="2" s="1"/>
  <c r="I2554" i="2"/>
  <c r="C2568" i="2"/>
  <c r="C5038" i="2"/>
  <c r="I5038" i="2" s="1"/>
  <c r="C2577" i="2"/>
  <c r="I2563" i="2"/>
  <c r="C5061" i="2"/>
  <c r="I5061" i="2" s="1"/>
  <c r="I2586" i="2"/>
  <c r="C2600" i="2"/>
  <c r="F5613" i="2"/>
  <c r="F5576" i="2"/>
  <c r="F5581" i="2"/>
  <c r="F5622" i="2"/>
  <c r="F5662" i="2"/>
  <c r="F5620" i="2"/>
  <c r="F5550" i="2"/>
  <c r="F5533" i="2"/>
  <c r="F5668" i="2"/>
  <c r="F5699" i="2"/>
  <c r="F5629" i="2"/>
  <c r="F5545" i="2"/>
  <c r="F5684" i="2"/>
  <c r="F5570" i="2"/>
  <c r="F5624" i="2"/>
  <c r="F5618" i="2"/>
  <c r="F5651" i="2"/>
  <c r="F5619" i="2"/>
  <c r="F5681" i="2"/>
  <c r="F5732" i="2"/>
  <c r="F5692" i="2"/>
  <c r="F5625" i="2"/>
  <c r="F5646" i="2"/>
  <c r="F5565" i="2"/>
  <c r="F5609" i="2"/>
  <c r="F5636" i="2"/>
  <c r="F5549" i="2"/>
  <c r="F5537" i="2"/>
  <c r="F5593" i="2"/>
  <c r="F5630" i="2"/>
  <c r="F5688" i="2"/>
  <c r="F5561" i="2"/>
  <c r="F5697" i="2"/>
  <c r="F5680" i="2"/>
  <c r="F5588" i="2"/>
  <c r="F5601" i="2"/>
  <c r="D5615" i="2"/>
  <c r="D5562" i="2"/>
  <c r="E5615" i="2"/>
  <c r="E5571" i="2"/>
  <c r="D5571" i="2"/>
  <c r="E5566" i="2"/>
  <c r="E5562" i="2"/>
  <c r="D5566" i="2"/>
  <c r="H8" i="1" l="1"/>
  <c r="D7" i="1"/>
  <c r="I5565" i="2"/>
  <c r="C5612" i="2"/>
  <c r="I5549" i="2"/>
  <c r="C5596" i="2"/>
  <c r="I5576" i="2"/>
  <c r="C5623" i="2"/>
  <c r="I5620" i="2"/>
  <c r="C5667" i="2"/>
  <c r="I5619" i="2"/>
  <c r="C5666" i="2"/>
  <c r="I5692" i="2"/>
  <c r="C5739" i="2"/>
  <c r="I5662" i="2"/>
  <c r="C5709" i="2"/>
  <c r="I5581" i="2"/>
  <c r="C5628" i="2"/>
  <c r="I5684" i="2"/>
  <c r="C5731" i="2"/>
  <c r="I5618" i="2"/>
  <c r="C5665" i="2"/>
  <c r="I5624" i="2"/>
  <c r="C5671" i="2"/>
  <c r="I5697" i="2"/>
  <c r="C5744" i="2"/>
  <c r="I5668" i="2"/>
  <c r="C5715" i="2"/>
  <c r="I5545" i="2"/>
  <c r="C5592" i="2"/>
  <c r="I5459" i="2"/>
  <c r="C5506" i="2"/>
  <c r="C5501" i="2"/>
  <c r="I5454" i="2"/>
  <c r="C5508" i="2"/>
  <c r="I5461" i="2"/>
  <c r="C5512" i="2"/>
  <c r="I5465" i="2"/>
  <c r="I5561" i="2"/>
  <c r="C5608" i="2"/>
  <c r="I5537" i="2"/>
  <c r="C5584" i="2"/>
  <c r="I5550" i="2"/>
  <c r="C5597" i="2"/>
  <c r="C5538" i="2"/>
  <c r="I5491" i="2"/>
  <c r="C5469" i="2"/>
  <c r="I5422" i="2"/>
  <c r="C5560" i="2"/>
  <c r="I5513" i="2"/>
  <c r="I5533" i="2"/>
  <c r="C5580" i="2"/>
  <c r="I5588" i="2"/>
  <c r="C5635" i="2"/>
  <c r="I5609" i="2"/>
  <c r="C5656" i="2"/>
  <c r="I5613" i="2"/>
  <c r="C5660" i="2"/>
  <c r="I5622" i="2"/>
  <c r="C5669" i="2"/>
  <c r="I5630" i="2"/>
  <c r="C5677" i="2"/>
  <c r="I5681" i="2"/>
  <c r="C5728" i="2"/>
  <c r="I5688" i="2"/>
  <c r="C5735" i="2"/>
  <c r="I5680" i="2"/>
  <c r="C5727" i="2"/>
  <c r="I5629" i="2"/>
  <c r="C5676" i="2"/>
  <c r="I5570" i="2"/>
  <c r="C5617" i="2"/>
  <c r="I5593" i="2"/>
  <c r="C5640" i="2"/>
  <c r="I5651" i="2"/>
  <c r="C5698" i="2"/>
  <c r="I5625" i="2"/>
  <c r="C5672" i="2"/>
  <c r="I5699" i="2"/>
  <c r="C5746" i="2"/>
  <c r="I5646" i="2"/>
  <c r="C5693" i="2"/>
  <c r="I5636" i="2"/>
  <c r="C5683" i="2"/>
  <c r="I5732" i="2"/>
  <c r="C5779" i="2"/>
  <c r="I5601" i="2"/>
  <c r="C5648" i="2"/>
  <c r="C5485" i="2"/>
  <c r="I5438" i="2"/>
  <c r="I5517" i="2"/>
  <c r="C5564" i="2"/>
  <c r="I5475" i="2"/>
  <c r="C5522" i="2"/>
  <c r="I5473" i="2"/>
  <c r="C5520" i="2"/>
  <c r="I5492" i="2"/>
  <c r="I5504" i="2"/>
  <c r="I5496" i="2"/>
  <c r="C5043" i="2"/>
  <c r="I5043" i="2" s="1"/>
  <c r="C2582" i="2"/>
  <c r="I2568" i="2"/>
  <c r="C5026" i="2"/>
  <c r="I5026" i="2" s="1"/>
  <c r="C2565" i="2"/>
  <c r="I2551" i="2"/>
  <c r="C5049" i="2"/>
  <c r="I5049" i="2" s="1"/>
  <c r="C2588" i="2"/>
  <c r="I2574" i="2"/>
  <c r="C2570" i="2"/>
  <c r="C5031" i="2"/>
  <c r="I5031" i="2" s="1"/>
  <c r="I2556" i="2"/>
  <c r="C5048" i="2"/>
  <c r="I5048" i="2" s="1"/>
  <c r="C2587" i="2"/>
  <c r="I2573" i="2"/>
  <c r="C5032" i="2"/>
  <c r="I5032" i="2" s="1"/>
  <c r="C2571" i="2"/>
  <c r="I2557" i="2"/>
  <c r="C5027" i="2"/>
  <c r="I5027" i="2" s="1"/>
  <c r="C2566" i="2"/>
  <c r="I2552" i="2"/>
  <c r="C5075" i="2"/>
  <c r="I5075" i="2" s="1"/>
  <c r="C2614" i="2"/>
  <c r="I2600" i="2"/>
  <c r="C2591" i="2"/>
  <c r="C5052" i="2"/>
  <c r="I5052" i="2" s="1"/>
  <c r="I2577" i="2"/>
  <c r="C5036" i="2"/>
  <c r="I5036" i="2" s="1"/>
  <c r="C2575" i="2"/>
  <c r="I2561" i="2"/>
  <c r="C5028" i="2"/>
  <c r="I5028" i="2" s="1"/>
  <c r="C2567" i="2"/>
  <c r="I2553" i="2"/>
  <c r="C5065" i="2"/>
  <c r="I5065" i="2" s="1"/>
  <c r="C2604" i="2"/>
  <c r="I2590" i="2"/>
  <c r="C5053" i="2"/>
  <c r="I5053" i="2" s="1"/>
  <c r="C2592" i="2"/>
  <c r="I2578" i="2"/>
  <c r="C5044" i="2"/>
  <c r="I5044" i="2" s="1"/>
  <c r="C2583" i="2"/>
  <c r="I2569" i="2"/>
  <c r="F5698" i="2"/>
  <c r="F5597" i="2"/>
  <c r="F5623" i="2"/>
  <c r="F5735" i="2"/>
  <c r="F5665" i="2"/>
  <c r="F5564" i="2"/>
  <c r="F5728" i="2"/>
  <c r="F5671" i="2"/>
  <c r="F5693" i="2"/>
  <c r="F5635" i="2"/>
  <c r="F5667" i="2"/>
  <c r="F5746" i="2"/>
  <c r="F5580" i="2"/>
  <c r="F5666" i="2"/>
  <c r="F5676" i="2"/>
  <c r="F5744" i="2"/>
  <c r="F5538" i="2"/>
  <c r="F5727" i="2"/>
  <c r="F5715" i="2"/>
  <c r="F5779" i="2"/>
  <c r="F5660" i="2"/>
  <c r="F5739" i="2"/>
  <c r="F5683" i="2"/>
  <c r="F5656" i="2"/>
  <c r="F5709" i="2"/>
  <c r="F5640" i="2"/>
  <c r="F5592" i="2"/>
  <c r="F5560" i="2"/>
  <c r="F5617" i="2"/>
  <c r="F5608" i="2"/>
  <c r="F5612" i="2"/>
  <c r="F5677" i="2"/>
  <c r="F5628" i="2"/>
  <c r="F5648" i="2"/>
  <c r="F5669" i="2"/>
  <c r="F5731" i="2"/>
  <c r="F5672" i="2"/>
  <c r="F5584" i="2"/>
  <c r="F5596" i="2"/>
  <c r="E5662" i="2"/>
  <c r="D5618" i="2"/>
  <c r="E5618" i="2"/>
  <c r="D5613" i="2"/>
  <c r="D5609" i="2"/>
  <c r="E5565" i="2"/>
  <c r="E5609" i="2"/>
  <c r="E5613" i="2"/>
  <c r="D5662" i="2"/>
  <c r="D5565" i="2"/>
  <c r="H9" i="1" l="1"/>
  <c r="D8" i="1"/>
  <c r="I5469" i="2"/>
  <c r="C5516" i="2"/>
  <c r="C5569" i="2"/>
  <c r="I5522" i="2"/>
  <c r="I5779" i="2"/>
  <c r="C5826" i="2"/>
  <c r="I5693" i="2"/>
  <c r="C5740" i="2"/>
  <c r="I5672" i="2"/>
  <c r="C5719" i="2"/>
  <c r="I5640" i="2"/>
  <c r="C5687" i="2"/>
  <c r="I5676" i="2"/>
  <c r="C5723" i="2"/>
  <c r="I5735" i="2"/>
  <c r="C5782" i="2"/>
  <c r="I5677" i="2"/>
  <c r="C5724" i="2"/>
  <c r="I5660" i="2"/>
  <c r="C5707" i="2"/>
  <c r="I5635" i="2"/>
  <c r="C5682" i="2"/>
  <c r="I5584" i="2"/>
  <c r="C5631" i="2"/>
  <c r="I5592" i="2"/>
  <c r="C5639" i="2"/>
  <c r="I5744" i="2"/>
  <c r="C5791" i="2"/>
  <c r="I5665" i="2"/>
  <c r="C5712" i="2"/>
  <c r="I5628" i="2"/>
  <c r="C5675" i="2"/>
  <c r="I5739" i="2"/>
  <c r="C5786" i="2"/>
  <c r="I5667" i="2"/>
  <c r="C5714" i="2"/>
  <c r="I5596" i="2"/>
  <c r="C5643" i="2"/>
  <c r="C5532" i="2"/>
  <c r="I5485" i="2"/>
  <c r="I5560" i="2"/>
  <c r="C5607" i="2"/>
  <c r="I5538" i="2"/>
  <c r="C5585" i="2"/>
  <c r="C5559" i="2"/>
  <c r="I5512" i="2"/>
  <c r="C5548" i="2"/>
  <c r="I5501" i="2"/>
  <c r="C5567" i="2"/>
  <c r="I5520" i="2"/>
  <c r="I5564" i="2"/>
  <c r="C5611" i="2"/>
  <c r="I5648" i="2"/>
  <c r="C5695" i="2"/>
  <c r="I5683" i="2"/>
  <c r="C5730" i="2"/>
  <c r="I5746" i="2"/>
  <c r="C5793" i="2"/>
  <c r="I5698" i="2"/>
  <c r="C5745" i="2"/>
  <c r="I5617" i="2"/>
  <c r="C5664" i="2"/>
  <c r="I5727" i="2"/>
  <c r="C5774" i="2"/>
  <c r="I5728" i="2"/>
  <c r="C5775" i="2"/>
  <c r="I5669" i="2"/>
  <c r="C5716" i="2"/>
  <c r="I5656" i="2"/>
  <c r="C5703" i="2"/>
  <c r="I5580" i="2"/>
  <c r="C5627" i="2"/>
  <c r="I5597" i="2"/>
  <c r="C5644" i="2"/>
  <c r="I5608" i="2"/>
  <c r="C5655" i="2"/>
  <c r="C5553" i="2"/>
  <c r="I5506" i="2"/>
  <c r="I5715" i="2"/>
  <c r="C5762" i="2"/>
  <c r="I5671" i="2"/>
  <c r="C5718" i="2"/>
  <c r="I5731" i="2"/>
  <c r="C5778" i="2"/>
  <c r="I5709" i="2"/>
  <c r="C5756" i="2"/>
  <c r="I5666" i="2"/>
  <c r="C5713" i="2"/>
  <c r="I5623" i="2"/>
  <c r="C5670" i="2"/>
  <c r="I5612" i="2"/>
  <c r="C5659" i="2"/>
  <c r="C5555" i="2"/>
  <c r="I5508" i="2"/>
  <c r="C5042" i="2"/>
  <c r="I5042" i="2" s="1"/>
  <c r="C2581" i="2"/>
  <c r="I2567" i="2"/>
  <c r="C2580" i="2"/>
  <c r="I2566" i="2"/>
  <c r="C5041" i="2"/>
  <c r="I5041" i="2" s="1"/>
  <c r="C2602" i="2"/>
  <c r="I2588" i="2"/>
  <c r="C5063" i="2"/>
  <c r="I5063" i="2" s="1"/>
  <c r="C5079" i="2"/>
  <c r="I5079" i="2" s="1"/>
  <c r="C2618" i="2"/>
  <c r="I2604" i="2"/>
  <c r="C5089" i="2"/>
  <c r="I5089" i="2" s="1"/>
  <c r="I2614" i="2"/>
  <c r="C2628" i="2"/>
  <c r="I2582" i="2"/>
  <c r="C5057" i="2"/>
  <c r="I5057" i="2" s="1"/>
  <c r="C2596" i="2"/>
  <c r="C5067" i="2"/>
  <c r="I5067" i="2" s="1"/>
  <c r="C2606" i="2"/>
  <c r="I2592" i="2"/>
  <c r="C5062" i="2"/>
  <c r="I5062" i="2" s="1"/>
  <c r="C2601" i="2"/>
  <c r="I2587" i="2"/>
  <c r="C5045" i="2"/>
  <c r="I5045" i="2" s="1"/>
  <c r="I2570" i="2"/>
  <c r="C2584" i="2"/>
  <c r="C5058" i="2"/>
  <c r="I5058" i="2" s="1"/>
  <c r="C2597" i="2"/>
  <c r="I2583" i="2"/>
  <c r="C5050" i="2"/>
  <c r="I5050" i="2" s="1"/>
  <c r="C2589" i="2"/>
  <c r="I2575" i="2"/>
  <c r="C5066" i="2"/>
  <c r="I5066" i="2" s="1"/>
  <c r="C2605" i="2"/>
  <c r="I2591" i="2"/>
  <c r="C5046" i="2"/>
  <c r="I5046" i="2" s="1"/>
  <c r="C2585" i="2"/>
  <c r="I2571" i="2"/>
  <c r="C5040" i="2"/>
  <c r="I5040" i="2" s="1"/>
  <c r="I2565" i="2"/>
  <c r="C2579" i="2"/>
  <c r="F5687" i="2"/>
  <c r="F5703" i="2"/>
  <c r="F5559" i="2"/>
  <c r="F5714" i="2"/>
  <c r="F5718" i="2"/>
  <c r="F5791" i="2"/>
  <c r="F5670" i="2"/>
  <c r="F5724" i="2"/>
  <c r="F5745" i="2"/>
  <c r="F5569" i="2"/>
  <c r="F5719" i="2"/>
  <c r="F5611" i="2"/>
  <c r="F5548" i="2"/>
  <c r="F5786" i="2"/>
  <c r="F5655" i="2"/>
  <c r="F5740" i="2"/>
  <c r="F5639" i="2"/>
  <c r="F5716" i="2"/>
  <c r="F5782" i="2"/>
  <c r="F5793" i="2"/>
  <c r="F5659" i="2"/>
  <c r="F5631" i="2"/>
  <c r="F5607" i="2"/>
  <c r="F5778" i="2"/>
  <c r="F5675" i="2"/>
  <c r="F5644" i="2"/>
  <c r="F5826" i="2"/>
  <c r="F5585" i="2"/>
  <c r="F5775" i="2"/>
  <c r="F5723" i="2"/>
  <c r="F5730" i="2"/>
  <c r="F5567" i="2"/>
  <c r="F5682" i="2"/>
  <c r="F5774" i="2"/>
  <c r="F5756" i="2"/>
  <c r="F5712" i="2"/>
  <c r="F5627" i="2"/>
  <c r="F5555" i="2"/>
  <c r="F5643" i="2"/>
  <c r="F5762" i="2"/>
  <c r="F5532" i="2"/>
  <c r="F5695" i="2"/>
  <c r="F5713" i="2"/>
  <c r="F5707" i="2"/>
  <c r="F5664" i="2"/>
  <c r="F5553" i="2"/>
  <c r="E5612" i="2"/>
  <c r="D5656" i="2"/>
  <c r="E5564" i="2"/>
  <c r="D5564" i="2"/>
  <c r="E5538" i="2"/>
  <c r="E5709" i="2"/>
  <c r="D5665" i="2"/>
  <c r="E5656" i="2"/>
  <c r="D5709" i="2"/>
  <c r="D5538" i="2"/>
  <c r="E5660" i="2"/>
  <c r="E5665" i="2"/>
  <c r="D5660" i="2"/>
  <c r="D5612" i="2"/>
  <c r="H10" i="1" l="1"/>
  <c r="D9" i="1"/>
  <c r="I5553" i="2"/>
  <c r="C5600" i="2"/>
  <c r="I5659" i="2"/>
  <c r="C5706" i="2"/>
  <c r="I5713" i="2"/>
  <c r="C5760" i="2"/>
  <c r="I5778" i="2"/>
  <c r="C5825" i="2"/>
  <c r="I5762" i="2"/>
  <c r="C5809" i="2"/>
  <c r="I5655" i="2"/>
  <c r="C5702" i="2"/>
  <c r="I5627" i="2"/>
  <c r="C5674" i="2"/>
  <c r="I5716" i="2"/>
  <c r="C5763" i="2"/>
  <c r="I5774" i="2"/>
  <c r="C5821" i="2"/>
  <c r="I5745" i="2"/>
  <c r="C5792" i="2"/>
  <c r="I5730" i="2"/>
  <c r="C5777" i="2"/>
  <c r="I5611" i="2"/>
  <c r="C5658" i="2"/>
  <c r="I5585" i="2"/>
  <c r="C5632" i="2"/>
  <c r="I5714" i="2"/>
  <c r="C5761" i="2"/>
  <c r="I5675" i="2"/>
  <c r="C5722" i="2"/>
  <c r="I5791" i="2"/>
  <c r="I5631" i="2"/>
  <c r="C5678" i="2"/>
  <c r="I5707" i="2"/>
  <c r="C5754" i="2"/>
  <c r="I5782" i="2"/>
  <c r="C5829" i="2"/>
  <c r="I5687" i="2"/>
  <c r="C5734" i="2"/>
  <c r="I5740" i="2"/>
  <c r="C5787" i="2"/>
  <c r="I5555" i="2"/>
  <c r="C5602" i="2"/>
  <c r="I5548" i="2"/>
  <c r="C5595" i="2"/>
  <c r="I5532" i="2"/>
  <c r="C5579" i="2"/>
  <c r="I5569" i="2"/>
  <c r="C5616" i="2"/>
  <c r="I5567" i="2"/>
  <c r="C5614" i="2"/>
  <c r="I5670" i="2"/>
  <c r="C5717" i="2"/>
  <c r="I5756" i="2"/>
  <c r="C5803" i="2"/>
  <c r="I5718" i="2"/>
  <c r="C5765" i="2"/>
  <c r="I5644" i="2"/>
  <c r="C5691" i="2"/>
  <c r="I5703" i="2"/>
  <c r="C5750" i="2"/>
  <c r="I5775" i="2"/>
  <c r="C5822" i="2"/>
  <c r="C5711" i="2"/>
  <c r="I5664" i="2"/>
  <c r="I5793" i="2"/>
  <c r="I5695" i="2"/>
  <c r="C5742" i="2"/>
  <c r="I5607" i="2"/>
  <c r="C5654" i="2"/>
  <c r="I5643" i="2"/>
  <c r="C5690" i="2"/>
  <c r="I5786" i="2"/>
  <c r="I5712" i="2"/>
  <c r="C5759" i="2"/>
  <c r="I5639" i="2"/>
  <c r="C5686" i="2"/>
  <c r="I5682" i="2"/>
  <c r="C5729" i="2"/>
  <c r="I5724" i="2"/>
  <c r="C5771" i="2"/>
  <c r="I5723" i="2"/>
  <c r="C5770" i="2"/>
  <c r="I5719" i="2"/>
  <c r="C5766" i="2"/>
  <c r="I5826" i="2"/>
  <c r="C5563" i="2"/>
  <c r="I5516" i="2"/>
  <c r="I5559" i="2"/>
  <c r="C5606" i="2"/>
  <c r="C5071" i="2"/>
  <c r="I5071" i="2" s="1"/>
  <c r="C2610" i="2"/>
  <c r="I2596" i="2"/>
  <c r="C5064" i="2"/>
  <c r="I5064" i="2" s="1"/>
  <c r="C2603" i="2"/>
  <c r="I2589" i="2"/>
  <c r="C5081" i="2"/>
  <c r="I5081" i="2" s="1"/>
  <c r="C2620" i="2"/>
  <c r="I2606" i="2"/>
  <c r="C5055" i="2"/>
  <c r="I5055" i="2" s="1"/>
  <c r="C2594" i="2"/>
  <c r="I2580" i="2"/>
  <c r="C5080" i="2"/>
  <c r="I5080" i="2" s="1"/>
  <c r="C2619" i="2"/>
  <c r="I2605" i="2"/>
  <c r="C5059" i="2"/>
  <c r="I5059" i="2" s="1"/>
  <c r="C2598" i="2"/>
  <c r="I2584" i="2"/>
  <c r="C5076" i="2"/>
  <c r="I5076" i="2" s="1"/>
  <c r="C2615" i="2"/>
  <c r="I2601" i="2"/>
  <c r="C5103" i="2"/>
  <c r="I5103" i="2" s="1"/>
  <c r="C2642" i="2"/>
  <c r="I2628" i="2"/>
  <c r="C5093" i="2"/>
  <c r="I5093" i="2" s="1"/>
  <c r="C2632" i="2"/>
  <c r="I2618" i="2"/>
  <c r="C5077" i="2"/>
  <c r="I5077" i="2" s="1"/>
  <c r="I2602" i="2"/>
  <c r="C2616" i="2"/>
  <c r="C5056" i="2"/>
  <c r="I5056" i="2" s="1"/>
  <c r="C2595" i="2"/>
  <c r="I2581" i="2"/>
  <c r="C5054" i="2"/>
  <c r="I5054" i="2" s="1"/>
  <c r="C2593" i="2"/>
  <c r="I2579" i="2"/>
  <c r="C5060" i="2"/>
  <c r="I5060" i="2" s="1"/>
  <c r="C2599" i="2"/>
  <c r="I2585" i="2"/>
  <c r="C5072" i="2"/>
  <c r="I5072" i="2" s="1"/>
  <c r="I2597" i="2"/>
  <c r="C2611" i="2"/>
  <c r="F5766" i="2"/>
  <c r="F5563" i="2"/>
  <c r="F5792" i="2"/>
  <c r="F5654" i="2"/>
  <c r="F5771" i="2"/>
  <c r="F5770" i="2"/>
  <c r="F5809" i="2"/>
  <c r="F5595" i="2"/>
  <c r="F5742" i="2"/>
  <c r="F5691" i="2"/>
  <c r="F5760" i="2"/>
  <c r="F5632" i="2"/>
  <c r="F5750" i="2"/>
  <c r="F5822" i="2"/>
  <c r="F5825" i="2"/>
  <c r="F5777" i="2"/>
  <c r="F5734" i="2"/>
  <c r="F5579" i="2"/>
  <c r="F5678" i="2"/>
  <c r="F5658" i="2"/>
  <c r="F5606" i="2"/>
  <c r="F5729" i="2"/>
  <c r="F5674" i="2"/>
  <c r="F5616" i="2"/>
  <c r="F5690" i="2"/>
  <c r="F5754" i="2"/>
  <c r="F5763" i="2"/>
  <c r="F5722" i="2"/>
  <c r="F5686" i="2"/>
  <c r="F5759" i="2"/>
  <c r="F5702" i="2"/>
  <c r="F5787" i="2"/>
  <c r="F5711" i="2"/>
  <c r="F5614" i="2"/>
  <c r="F5600" i="2"/>
  <c r="F5829" i="2"/>
  <c r="F5761" i="2"/>
  <c r="F5765" i="2"/>
  <c r="F5803" i="2"/>
  <c r="F5706" i="2"/>
  <c r="F5821" i="2"/>
  <c r="F5717" i="2"/>
  <c r="F5602" i="2"/>
  <c r="D5756" i="2"/>
  <c r="E5707" i="2"/>
  <c r="E5712" i="2"/>
  <c r="D5585" i="2"/>
  <c r="E5585" i="2"/>
  <c r="D5569" i="2"/>
  <c r="E5659" i="2"/>
  <c r="E5756" i="2"/>
  <c r="D5707" i="2"/>
  <c r="D5611" i="2"/>
  <c r="E5569" i="2"/>
  <c r="D5703" i="2"/>
  <c r="E5703" i="2"/>
  <c r="D5712" i="2"/>
  <c r="D5567" i="2"/>
  <c r="D5659" i="2"/>
  <c r="E5611" i="2"/>
  <c r="E5567" i="2"/>
  <c r="H11" i="1" l="1"/>
  <c r="D10" i="1"/>
  <c r="I5563" i="2"/>
  <c r="C5610" i="2"/>
  <c r="I5770" i="2"/>
  <c r="C5817" i="2"/>
  <c r="I5759" i="2"/>
  <c r="C5806" i="2"/>
  <c r="I5822" i="2"/>
  <c r="I5803" i="2"/>
  <c r="I5602" i="2"/>
  <c r="C5649" i="2"/>
  <c r="I5690" i="2"/>
  <c r="C5737" i="2"/>
  <c r="I5742" i="2"/>
  <c r="C5789" i="2"/>
  <c r="I5711" i="2"/>
  <c r="C5758" i="2"/>
  <c r="I5761" i="2"/>
  <c r="C5808" i="2"/>
  <c r="I5658" i="2"/>
  <c r="C5705" i="2"/>
  <c r="I5792" i="2"/>
  <c r="I5763" i="2"/>
  <c r="C5810" i="2"/>
  <c r="I5702" i="2"/>
  <c r="C5749" i="2"/>
  <c r="I5825" i="2"/>
  <c r="I5706" i="2"/>
  <c r="C5753" i="2"/>
  <c r="I5729" i="2"/>
  <c r="C5776" i="2"/>
  <c r="I5754" i="2"/>
  <c r="C5801" i="2"/>
  <c r="I5691" i="2"/>
  <c r="C5738" i="2"/>
  <c r="I5614" i="2"/>
  <c r="C5661" i="2"/>
  <c r="I5734" i="2"/>
  <c r="C5781" i="2"/>
  <c r="I5606" i="2"/>
  <c r="C5653" i="2"/>
  <c r="I5654" i="2"/>
  <c r="C5701" i="2"/>
  <c r="I5722" i="2"/>
  <c r="C5769" i="2"/>
  <c r="I5632" i="2"/>
  <c r="C5679" i="2"/>
  <c r="I5777" i="2"/>
  <c r="C5824" i="2"/>
  <c r="I5821" i="2"/>
  <c r="I5674" i="2"/>
  <c r="C5721" i="2"/>
  <c r="I5809" i="2"/>
  <c r="I5760" i="2"/>
  <c r="C5807" i="2"/>
  <c r="I5600" i="2"/>
  <c r="C5647" i="2"/>
  <c r="I5579" i="2"/>
  <c r="C5626" i="2"/>
  <c r="I5766" i="2"/>
  <c r="C5813" i="2"/>
  <c r="I5771" i="2"/>
  <c r="C5818" i="2"/>
  <c r="I5686" i="2"/>
  <c r="C5733" i="2"/>
  <c r="I5750" i="2"/>
  <c r="C5797" i="2"/>
  <c r="I5765" i="2"/>
  <c r="C5812" i="2"/>
  <c r="I5717" i="2"/>
  <c r="C5764" i="2"/>
  <c r="I5616" i="2"/>
  <c r="C5663" i="2"/>
  <c r="I5595" i="2"/>
  <c r="C5642" i="2"/>
  <c r="I5787" i="2"/>
  <c r="I5829" i="2"/>
  <c r="I5678" i="2"/>
  <c r="C5725" i="2"/>
  <c r="C5086" i="2"/>
  <c r="I5086" i="2" s="1"/>
  <c r="C2625" i="2"/>
  <c r="I2611" i="2"/>
  <c r="C2612" i="2"/>
  <c r="I2598" i="2"/>
  <c r="C5073" i="2"/>
  <c r="I5073" i="2" s="1"/>
  <c r="C5078" i="2"/>
  <c r="I5078" i="2" s="1"/>
  <c r="C2617" i="2"/>
  <c r="I2603" i="2"/>
  <c r="C5070" i="2"/>
  <c r="I5070" i="2" s="1"/>
  <c r="C2609" i="2"/>
  <c r="I2595" i="2"/>
  <c r="C5090" i="2"/>
  <c r="I5090" i="2" s="1"/>
  <c r="C2629" i="2"/>
  <c r="I2615" i="2"/>
  <c r="C2634" i="2"/>
  <c r="C5095" i="2"/>
  <c r="I5095" i="2" s="1"/>
  <c r="I2620" i="2"/>
  <c r="C5068" i="2"/>
  <c r="I5068" i="2" s="1"/>
  <c r="C2607" i="2"/>
  <c r="I2593" i="2"/>
  <c r="C5117" i="2"/>
  <c r="I5117" i="2" s="1"/>
  <c r="C2656" i="2"/>
  <c r="I2642" i="2"/>
  <c r="C5069" i="2"/>
  <c r="I5069" i="2" s="1"/>
  <c r="C2608" i="2"/>
  <c r="I2594" i="2"/>
  <c r="C5074" i="2"/>
  <c r="I5074" i="2" s="1"/>
  <c r="C2613" i="2"/>
  <c r="I2599" i="2"/>
  <c r="C5091" i="2"/>
  <c r="I5091" i="2" s="1"/>
  <c r="C2630" i="2"/>
  <c r="I2616" i="2"/>
  <c r="C5094" i="2"/>
  <c r="I5094" i="2" s="1"/>
  <c r="C2633" i="2"/>
  <c r="I2619" i="2"/>
  <c r="C5085" i="2"/>
  <c r="I5085" i="2" s="1"/>
  <c r="C2624" i="2"/>
  <c r="I2610" i="2"/>
  <c r="C5107" i="2"/>
  <c r="I5107" i="2" s="1"/>
  <c r="C2646" i="2"/>
  <c r="I2632" i="2"/>
  <c r="F5661" i="2"/>
  <c r="F5705" i="2"/>
  <c r="F5817" i="2"/>
  <c r="F5749" i="2"/>
  <c r="F5647" i="2"/>
  <c r="F5653" i="2"/>
  <c r="F5753" i="2"/>
  <c r="F5737" i="2"/>
  <c r="F5649" i="2"/>
  <c r="F5663" i="2"/>
  <c r="F5813" i="2"/>
  <c r="F5769" i="2"/>
  <c r="F5801" i="2"/>
  <c r="F5738" i="2"/>
  <c r="F5789" i="2"/>
  <c r="F5610" i="2"/>
  <c r="F5733" i="2"/>
  <c r="F5824" i="2"/>
  <c r="F5807" i="2"/>
  <c r="F5781" i="2"/>
  <c r="F5808" i="2"/>
  <c r="F5806" i="2"/>
  <c r="F5812" i="2"/>
  <c r="F5764" i="2"/>
  <c r="F5626" i="2"/>
  <c r="F5701" i="2"/>
  <c r="F5776" i="2"/>
  <c r="F5810" i="2"/>
  <c r="F5642" i="2"/>
  <c r="F5818" i="2"/>
  <c r="F5679" i="2"/>
  <c r="F5758" i="2"/>
  <c r="F5721" i="2"/>
  <c r="F5725" i="2"/>
  <c r="F5797" i="2"/>
  <c r="E5632" i="2"/>
  <c r="E5706" i="2"/>
  <c r="D5563" i="2"/>
  <c r="D5803" i="2"/>
  <c r="D5750" i="2"/>
  <c r="E5616" i="2"/>
  <c r="D5614" i="2"/>
  <c r="E5658" i="2"/>
  <c r="E5754" i="2"/>
  <c r="D5706" i="2"/>
  <c r="D5759" i="2"/>
  <c r="D5632" i="2"/>
  <c r="D5754" i="2"/>
  <c r="E5803" i="2"/>
  <c r="E5750" i="2"/>
  <c r="E5563" i="2"/>
  <c r="D5658" i="2"/>
  <c r="E5614" i="2"/>
  <c r="D5616" i="2"/>
  <c r="E5759" i="2"/>
  <c r="H12" i="1" l="1"/>
  <c r="D11" i="1"/>
  <c r="I5663" i="2"/>
  <c r="C5710" i="2"/>
  <c r="I5812" i="2"/>
  <c r="I5733" i="2"/>
  <c r="C5780" i="2"/>
  <c r="I5813" i="2"/>
  <c r="I5647" i="2"/>
  <c r="C5694" i="2"/>
  <c r="I5824" i="2"/>
  <c r="I5769" i="2"/>
  <c r="C5816" i="2"/>
  <c r="I5653" i="2"/>
  <c r="C5700" i="2"/>
  <c r="I5661" i="2"/>
  <c r="C5708" i="2"/>
  <c r="I5801" i="2"/>
  <c r="I5753" i="2"/>
  <c r="C5800" i="2"/>
  <c r="I5705" i="2"/>
  <c r="C5752" i="2"/>
  <c r="I5758" i="2"/>
  <c r="C5805" i="2"/>
  <c r="I5737" i="2"/>
  <c r="C5784" i="2"/>
  <c r="I5817" i="2"/>
  <c r="I5721" i="2"/>
  <c r="C5768" i="2"/>
  <c r="I5810" i="2"/>
  <c r="I5749" i="2"/>
  <c r="C5796" i="2"/>
  <c r="I5725" i="2"/>
  <c r="C5772" i="2"/>
  <c r="I5642" i="2"/>
  <c r="C5689" i="2"/>
  <c r="I5764" i="2"/>
  <c r="C5811" i="2"/>
  <c r="I5797" i="2"/>
  <c r="I5818" i="2"/>
  <c r="I5626" i="2"/>
  <c r="C5673" i="2"/>
  <c r="I5807" i="2"/>
  <c r="I5679" i="2"/>
  <c r="C5726" i="2"/>
  <c r="I5701" i="2"/>
  <c r="C5748" i="2"/>
  <c r="I5781" i="2"/>
  <c r="C5828" i="2"/>
  <c r="I5738" i="2"/>
  <c r="C5785" i="2"/>
  <c r="I5776" i="2"/>
  <c r="C5823" i="2"/>
  <c r="I5808" i="2"/>
  <c r="I5789" i="2"/>
  <c r="I5649" i="2"/>
  <c r="C5696" i="2"/>
  <c r="I5806" i="2"/>
  <c r="I5610" i="2"/>
  <c r="C5657" i="2"/>
  <c r="I2630" i="2"/>
  <c r="C2644" i="2"/>
  <c r="C5105" i="2"/>
  <c r="I5105" i="2" s="1"/>
  <c r="C5082" i="2"/>
  <c r="I5082" i="2" s="1"/>
  <c r="C2621" i="2"/>
  <c r="I2607" i="2"/>
  <c r="C5109" i="2"/>
  <c r="I5109" i="2" s="1"/>
  <c r="C2648" i="2"/>
  <c r="I2634" i="2"/>
  <c r="C5092" i="2"/>
  <c r="I5092" i="2" s="1"/>
  <c r="C2631" i="2"/>
  <c r="I2617" i="2"/>
  <c r="C5087" i="2"/>
  <c r="I5087" i="2" s="1"/>
  <c r="C2626" i="2"/>
  <c r="I2612" i="2"/>
  <c r="C5108" i="2"/>
  <c r="I5108" i="2" s="1"/>
  <c r="C2647" i="2"/>
  <c r="I2633" i="2"/>
  <c r="C5131" i="2"/>
  <c r="I5131" i="2" s="1"/>
  <c r="C2670" i="2"/>
  <c r="I2656" i="2"/>
  <c r="C2623" i="2"/>
  <c r="C5084" i="2"/>
  <c r="I5084" i="2" s="1"/>
  <c r="I2609" i="2"/>
  <c r="C5099" i="2"/>
  <c r="I5099" i="2" s="1"/>
  <c r="C2638" i="2"/>
  <c r="I2624" i="2"/>
  <c r="C5083" i="2"/>
  <c r="I5083" i="2" s="1"/>
  <c r="I2608" i="2"/>
  <c r="C2622" i="2"/>
  <c r="C5104" i="2"/>
  <c r="I5104" i="2" s="1"/>
  <c r="C2643" i="2"/>
  <c r="I2629" i="2"/>
  <c r="C5100" i="2"/>
  <c r="I5100" i="2" s="1"/>
  <c r="C2639" i="2"/>
  <c r="I2625" i="2"/>
  <c r="I2646" i="2"/>
  <c r="C5121" i="2"/>
  <c r="I5121" i="2" s="1"/>
  <c r="C2660" i="2"/>
  <c r="C5088" i="2"/>
  <c r="I5088" i="2" s="1"/>
  <c r="C2627" i="2"/>
  <c r="I2613" i="2"/>
  <c r="F5816" i="2"/>
  <c r="F5784" i="2"/>
  <c r="F5800" i="2"/>
  <c r="F5828" i="2"/>
  <c r="F5780" i="2"/>
  <c r="F5657" i="2"/>
  <c r="F5752" i="2"/>
  <c r="F5710" i="2"/>
  <c r="F5726" i="2"/>
  <c r="F5673" i="2"/>
  <c r="F5689" i="2"/>
  <c r="F5694" i="2"/>
  <c r="F5785" i="2"/>
  <c r="F5768" i="2"/>
  <c r="F5811" i="2"/>
  <c r="F5796" i="2"/>
  <c r="F5696" i="2"/>
  <c r="F5748" i="2"/>
  <c r="F5708" i="2"/>
  <c r="F5772" i="2"/>
  <c r="F5805" i="2"/>
  <c r="F5823" i="2"/>
  <c r="F5700" i="2"/>
  <c r="D5797" i="2"/>
  <c r="D5661" i="2"/>
  <c r="D5679" i="2"/>
  <c r="E5705" i="2"/>
  <c r="D5753" i="2"/>
  <c r="E5753" i="2"/>
  <c r="D5610" i="2"/>
  <c r="D5705" i="2"/>
  <c r="D5801" i="2"/>
  <c r="D5806" i="2"/>
  <c r="E5663" i="2"/>
  <c r="E5806" i="2"/>
  <c r="E5610" i="2"/>
  <c r="E5679" i="2"/>
  <c r="E5797" i="2"/>
  <c r="E5801" i="2"/>
  <c r="E5661" i="2"/>
  <c r="D5663" i="2"/>
  <c r="H13" i="1" l="1"/>
  <c r="D12" i="1"/>
  <c r="I5673" i="2"/>
  <c r="C5720" i="2"/>
  <c r="I5811" i="2"/>
  <c r="I5772" i="2"/>
  <c r="C5819" i="2"/>
  <c r="C5831" i="2"/>
  <c r="I5784" i="2"/>
  <c r="I5752" i="2"/>
  <c r="C5799" i="2"/>
  <c r="I5694" i="2"/>
  <c r="C5741" i="2"/>
  <c r="I5696" i="2"/>
  <c r="C5743" i="2"/>
  <c r="I5823" i="2"/>
  <c r="I5828" i="2"/>
  <c r="I5726" i="2"/>
  <c r="C5773" i="2"/>
  <c r="I5768" i="2"/>
  <c r="C5815" i="2"/>
  <c r="I5708" i="2"/>
  <c r="C5755" i="2"/>
  <c r="I5816" i="2"/>
  <c r="I5657" i="2"/>
  <c r="C5704" i="2"/>
  <c r="I5689" i="2"/>
  <c r="C5736" i="2"/>
  <c r="I5796" i="2"/>
  <c r="I5805" i="2"/>
  <c r="I5800" i="2"/>
  <c r="I5710" i="2"/>
  <c r="C5757" i="2"/>
  <c r="I5785" i="2"/>
  <c r="I5748" i="2"/>
  <c r="C5795" i="2"/>
  <c r="I5700" i="2"/>
  <c r="C5747" i="2"/>
  <c r="I5780" i="2"/>
  <c r="C5827" i="2"/>
  <c r="C5097" i="2"/>
  <c r="I5097" i="2" s="1"/>
  <c r="I2622" i="2"/>
  <c r="C2636" i="2"/>
  <c r="C5098" i="2"/>
  <c r="I5098" i="2" s="1"/>
  <c r="C2637" i="2"/>
  <c r="I2623" i="2"/>
  <c r="C5118" i="2"/>
  <c r="I5118" i="2" s="1"/>
  <c r="C2657" i="2"/>
  <c r="I2643" i="2"/>
  <c r="C5145" i="2"/>
  <c r="I5145" i="2" s="1"/>
  <c r="I2670" i="2"/>
  <c r="C2684" i="2"/>
  <c r="C5123" i="2"/>
  <c r="I5123" i="2" s="1"/>
  <c r="C2662" i="2"/>
  <c r="I2648" i="2"/>
  <c r="C5135" i="2"/>
  <c r="I5135" i="2" s="1"/>
  <c r="C2674" i="2"/>
  <c r="I2660" i="2"/>
  <c r="C5114" i="2"/>
  <c r="I5114" i="2" s="1"/>
  <c r="C2653" i="2"/>
  <c r="I2639" i="2"/>
  <c r="C5106" i="2"/>
  <c r="I5106" i="2" s="1"/>
  <c r="C2645" i="2"/>
  <c r="I2631" i="2"/>
  <c r="C5119" i="2"/>
  <c r="I5119" i="2" s="1"/>
  <c r="C2658" i="2"/>
  <c r="I2644" i="2"/>
  <c r="C5113" i="2"/>
  <c r="I5113" i="2" s="1"/>
  <c r="I2638" i="2"/>
  <c r="C2652" i="2"/>
  <c r="C5101" i="2"/>
  <c r="I5101" i="2" s="1"/>
  <c r="C2640" i="2"/>
  <c r="I2626" i="2"/>
  <c r="C5102" i="2"/>
  <c r="I5102" i="2" s="1"/>
  <c r="C2641" i="2"/>
  <c r="I2627" i="2"/>
  <c r="C5122" i="2"/>
  <c r="I5122" i="2" s="1"/>
  <c r="C2661" i="2"/>
  <c r="I2647" i="2"/>
  <c r="C5096" i="2"/>
  <c r="I5096" i="2" s="1"/>
  <c r="C2635" i="2"/>
  <c r="I2621" i="2"/>
  <c r="F5704" i="2"/>
  <c r="F5741" i="2"/>
  <c r="F5819" i="2"/>
  <c r="F5743" i="2"/>
  <c r="F5755" i="2"/>
  <c r="F5831" i="2"/>
  <c r="F5795" i="2"/>
  <c r="F5757" i="2"/>
  <c r="F5747" i="2"/>
  <c r="F5815" i="2"/>
  <c r="F5799" i="2"/>
  <c r="F5773" i="2"/>
  <c r="F5720" i="2"/>
  <c r="F5736" i="2"/>
  <c r="F5827" i="2"/>
  <c r="E5800" i="2"/>
  <c r="D5708" i="2"/>
  <c r="D5726" i="2"/>
  <c r="E5657" i="2"/>
  <c r="D5710" i="2"/>
  <c r="D5800" i="2"/>
  <c r="E5752" i="2"/>
  <c r="D5657" i="2"/>
  <c r="E5710" i="2"/>
  <c r="E5708" i="2"/>
  <c r="D5752" i="2"/>
  <c r="E5726" i="2"/>
  <c r="H14" i="1" l="1"/>
  <c r="D13" i="1"/>
  <c r="I5815" i="2"/>
  <c r="I5741" i="2"/>
  <c r="C5788" i="2"/>
  <c r="I5747" i="2"/>
  <c r="C5794" i="2"/>
  <c r="I5704" i="2"/>
  <c r="C5751" i="2"/>
  <c r="I5757" i="2"/>
  <c r="C5804" i="2"/>
  <c r="I5827" i="2"/>
  <c r="I5795" i="2"/>
  <c r="I5736" i="2"/>
  <c r="C5783" i="2"/>
  <c r="I5831" i="2"/>
  <c r="I5720" i="2"/>
  <c r="C5767" i="2"/>
  <c r="I5755" i="2"/>
  <c r="C5802" i="2"/>
  <c r="I5773" i="2"/>
  <c r="C5820" i="2"/>
  <c r="I5743" i="2"/>
  <c r="C5790" i="2"/>
  <c r="I5799" i="2"/>
  <c r="I5819" i="2"/>
  <c r="C2666" i="2"/>
  <c r="I2652" i="2"/>
  <c r="C5127" i="2"/>
  <c r="I5127" i="2" s="1"/>
  <c r="C5133" i="2"/>
  <c r="I5133" i="2" s="1"/>
  <c r="C2672" i="2"/>
  <c r="I2658" i="2"/>
  <c r="C5110" i="2"/>
  <c r="I5110" i="2" s="1"/>
  <c r="C2649" i="2"/>
  <c r="I2635" i="2"/>
  <c r="C5115" i="2"/>
  <c r="I5115" i="2" s="1"/>
  <c r="C2654" i="2"/>
  <c r="I2640" i="2"/>
  <c r="C5128" i="2"/>
  <c r="I5128" i="2" s="1"/>
  <c r="C2667" i="2"/>
  <c r="I2653" i="2"/>
  <c r="C2698" i="2"/>
  <c r="C5159" i="2"/>
  <c r="I5159" i="2" s="1"/>
  <c r="I2684" i="2"/>
  <c r="C5132" i="2"/>
  <c r="I5132" i="2" s="1"/>
  <c r="C2671" i="2"/>
  <c r="I2657" i="2"/>
  <c r="C5116" i="2"/>
  <c r="I5116" i="2" s="1"/>
  <c r="I2641" i="2"/>
  <c r="C2655" i="2"/>
  <c r="C5120" i="2"/>
  <c r="I5120" i="2" s="1"/>
  <c r="C2659" i="2"/>
  <c r="I2645" i="2"/>
  <c r="C2650" i="2"/>
  <c r="C5111" i="2"/>
  <c r="I5111" i="2" s="1"/>
  <c r="I2636" i="2"/>
  <c r="I2662" i="2"/>
  <c r="C5137" i="2"/>
  <c r="I5137" i="2" s="1"/>
  <c r="C2676" i="2"/>
  <c r="C5136" i="2"/>
  <c r="I5136" i="2" s="1"/>
  <c r="C2675" i="2"/>
  <c r="I2661" i="2"/>
  <c r="C5149" i="2"/>
  <c r="I5149" i="2" s="1"/>
  <c r="C2688" i="2"/>
  <c r="I2674" i="2"/>
  <c r="C5112" i="2"/>
  <c r="I5112" i="2" s="1"/>
  <c r="C2651" i="2"/>
  <c r="I2637" i="2"/>
  <c r="F5783" i="2"/>
  <c r="F5788" i="2"/>
  <c r="F5820" i="2"/>
  <c r="F5751" i="2"/>
  <c r="F5794" i="2"/>
  <c r="F5804" i="2"/>
  <c r="F5802" i="2"/>
  <c r="F5767" i="2"/>
  <c r="F5790" i="2"/>
  <c r="E5704" i="2"/>
  <c r="E5799" i="2"/>
  <c r="E5757" i="2"/>
  <c r="D5799" i="2"/>
  <c r="D5757" i="2"/>
  <c r="D5773" i="2"/>
  <c r="D5704" i="2"/>
  <c r="E5755" i="2"/>
  <c r="E5773" i="2"/>
  <c r="D5755" i="2"/>
  <c r="H15" i="1" l="1"/>
  <c r="D14" i="1"/>
  <c r="I5767" i="2"/>
  <c r="C5814" i="2"/>
  <c r="I5751" i="2"/>
  <c r="C5798" i="2"/>
  <c r="I5788" i="2"/>
  <c r="I5790" i="2"/>
  <c r="I5802" i="2"/>
  <c r="I5820" i="2"/>
  <c r="I5783" i="2"/>
  <c r="C5830" i="2"/>
  <c r="I5804" i="2"/>
  <c r="I5794" i="2"/>
  <c r="C5142" i="2"/>
  <c r="I5142" i="2" s="1"/>
  <c r="C2681" i="2"/>
  <c r="I2667" i="2"/>
  <c r="C5125" i="2"/>
  <c r="I5125" i="2" s="1"/>
  <c r="C2664" i="2"/>
  <c r="I2650" i="2"/>
  <c r="C5130" i="2"/>
  <c r="I5130" i="2" s="1"/>
  <c r="C2669" i="2"/>
  <c r="I2655" i="2"/>
  <c r="C5146" i="2"/>
  <c r="I5146" i="2" s="1"/>
  <c r="C2685" i="2"/>
  <c r="I2671" i="2"/>
  <c r="C5173" i="2"/>
  <c r="I5173" i="2" s="1"/>
  <c r="C2712" i="2"/>
  <c r="I2698" i="2"/>
  <c r="C5124" i="2"/>
  <c r="I5124" i="2" s="1"/>
  <c r="C2663" i="2"/>
  <c r="I2649" i="2"/>
  <c r="C5150" i="2"/>
  <c r="I5150" i="2" s="1"/>
  <c r="C2689" i="2"/>
  <c r="I2675" i="2"/>
  <c r="C5129" i="2"/>
  <c r="I5129" i="2" s="1"/>
  <c r="I2654" i="2"/>
  <c r="C2668" i="2"/>
  <c r="C5163" i="2"/>
  <c r="I5163" i="2" s="1"/>
  <c r="C2702" i="2"/>
  <c r="I2688" i="2"/>
  <c r="C5134" i="2"/>
  <c r="I5134" i="2" s="1"/>
  <c r="C2673" i="2"/>
  <c r="I2659" i="2"/>
  <c r="C5126" i="2"/>
  <c r="I5126" i="2" s="1"/>
  <c r="C2665" i="2"/>
  <c r="I2651" i="2"/>
  <c r="C5151" i="2"/>
  <c r="I5151" i="2" s="1"/>
  <c r="C2690" i="2"/>
  <c r="I2676" i="2"/>
  <c r="C5147" i="2"/>
  <c r="I5147" i="2" s="1"/>
  <c r="C2686" i="2"/>
  <c r="I2672" i="2"/>
  <c r="C5141" i="2"/>
  <c r="I5141" i="2" s="1"/>
  <c r="C2680" i="2"/>
  <c r="I2666" i="2"/>
  <c r="F5814" i="2"/>
  <c r="F5798" i="2"/>
  <c r="F5830" i="2"/>
  <c r="D5804" i="2"/>
  <c r="E5802" i="2"/>
  <c r="E5804" i="2"/>
  <c r="D5802" i="2"/>
  <c r="D5820" i="2"/>
  <c r="E5820" i="2"/>
  <c r="E5751" i="2"/>
  <c r="D5751" i="2"/>
  <c r="H16" i="1" l="1"/>
  <c r="D15" i="1"/>
  <c r="I5798" i="2"/>
  <c r="I5830" i="2"/>
  <c r="I5814" i="2"/>
  <c r="C5155" i="2"/>
  <c r="I5155" i="2" s="1"/>
  <c r="C2694" i="2"/>
  <c r="I2680" i="2"/>
  <c r="C2682" i="2"/>
  <c r="C5143" i="2"/>
  <c r="I5143" i="2" s="1"/>
  <c r="I2668" i="2"/>
  <c r="C5164" i="2"/>
  <c r="I5164" i="2" s="1"/>
  <c r="C2703" i="2"/>
  <c r="I2689" i="2"/>
  <c r="C5144" i="2"/>
  <c r="I5144" i="2" s="1"/>
  <c r="C2683" i="2"/>
  <c r="I2669" i="2"/>
  <c r="C5165" i="2"/>
  <c r="I5165" i="2" s="1"/>
  <c r="C2704" i="2"/>
  <c r="I2690" i="2"/>
  <c r="C5160" i="2"/>
  <c r="I5160" i="2" s="1"/>
  <c r="C2699" i="2"/>
  <c r="I2685" i="2"/>
  <c r="C5138" i="2"/>
  <c r="I5138" i="2" s="1"/>
  <c r="C2677" i="2"/>
  <c r="I2663" i="2"/>
  <c r="C5139" i="2"/>
  <c r="I5139" i="2" s="1"/>
  <c r="C2678" i="2"/>
  <c r="I2664" i="2"/>
  <c r="C5140" i="2"/>
  <c r="I5140" i="2" s="1"/>
  <c r="C2679" i="2"/>
  <c r="I2665" i="2"/>
  <c r="C5161" i="2"/>
  <c r="I5161" i="2" s="1"/>
  <c r="I2686" i="2"/>
  <c r="C2700" i="2"/>
  <c r="C5177" i="2"/>
  <c r="I5177" i="2" s="1"/>
  <c r="I2702" i="2"/>
  <c r="C2716" i="2"/>
  <c r="C5187" i="2"/>
  <c r="I5187" i="2" s="1"/>
  <c r="C2726" i="2"/>
  <c r="I2712" i="2"/>
  <c r="C5156" i="2"/>
  <c r="I5156" i="2" s="1"/>
  <c r="C2695" i="2"/>
  <c r="I2681" i="2"/>
  <c r="C5148" i="2"/>
  <c r="I5148" i="2" s="1"/>
  <c r="I2673" i="2"/>
  <c r="C2687" i="2"/>
  <c r="D5798" i="2"/>
  <c r="E5798" i="2"/>
  <c r="H17" i="1" l="1"/>
  <c r="D16" i="1"/>
  <c r="C5152" i="2"/>
  <c r="I5152" i="2" s="1"/>
  <c r="C2691" i="2"/>
  <c r="I2677" i="2"/>
  <c r="C5178" i="2"/>
  <c r="I5178" i="2" s="1"/>
  <c r="C2717" i="2"/>
  <c r="I2703" i="2"/>
  <c r="C5157" i="2"/>
  <c r="I5157" i="2" s="1"/>
  <c r="C2696" i="2"/>
  <c r="I2682" i="2"/>
  <c r="I2726" i="2"/>
  <c r="C5201" i="2"/>
  <c r="I5201" i="2" s="1"/>
  <c r="C2740" i="2"/>
  <c r="C5153" i="2"/>
  <c r="I5153" i="2" s="1"/>
  <c r="I2678" i="2"/>
  <c r="C2692" i="2"/>
  <c r="C5158" i="2"/>
  <c r="I5158" i="2" s="1"/>
  <c r="C2697" i="2"/>
  <c r="I2683" i="2"/>
  <c r="C5162" i="2"/>
  <c r="I5162" i="2" s="1"/>
  <c r="C2701" i="2"/>
  <c r="I2687" i="2"/>
  <c r="C5170" i="2"/>
  <c r="I5170" i="2" s="1"/>
  <c r="C2709" i="2"/>
  <c r="I2695" i="2"/>
  <c r="C2714" i="2"/>
  <c r="C5175" i="2"/>
  <c r="I5175" i="2" s="1"/>
  <c r="I2700" i="2"/>
  <c r="C5154" i="2"/>
  <c r="I5154" i="2" s="1"/>
  <c r="C2693" i="2"/>
  <c r="I2679" i="2"/>
  <c r="C5179" i="2"/>
  <c r="I5179" i="2" s="1"/>
  <c r="C2718" i="2"/>
  <c r="I2704" i="2"/>
  <c r="I2694" i="2"/>
  <c r="C2708" i="2"/>
  <c r="C5169" i="2"/>
  <c r="I5169" i="2" s="1"/>
  <c r="C2730" i="2"/>
  <c r="I2716" i="2"/>
  <c r="C5191" i="2"/>
  <c r="I5191" i="2" s="1"/>
  <c r="C5174" i="2"/>
  <c r="I5174" i="2" s="1"/>
  <c r="C2713" i="2"/>
  <c r="I2699" i="2"/>
  <c r="H18" i="1" l="1"/>
  <c r="D17" i="1"/>
  <c r="C5193" i="2"/>
  <c r="I5193" i="2" s="1"/>
  <c r="I2718" i="2"/>
  <c r="C2732" i="2"/>
  <c r="C5176" i="2"/>
  <c r="I5176" i="2" s="1"/>
  <c r="C2715" i="2"/>
  <c r="I2701" i="2"/>
  <c r="C5215" i="2"/>
  <c r="I5215" i="2" s="1"/>
  <c r="I2740" i="2"/>
  <c r="C5171" i="2"/>
  <c r="I5171" i="2" s="1"/>
  <c r="C2710" i="2"/>
  <c r="I2696" i="2"/>
  <c r="C5183" i="2"/>
  <c r="I5183" i="2" s="1"/>
  <c r="C2722" i="2"/>
  <c r="I2708" i="2"/>
  <c r="C5184" i="2"/>
  <c r="I5184" i="2" s="1"/>
  <c r="C2723" i="2"/>
  <c r="I2709" i="2"/>
  <c r="C5167" i="2"/>
  <c r="I5167" i="2" s="1"/>
  <c r="C2706" i="2"/>
  <c r="I2692" i="2"/>
  <c r="C5166" i="2"/>
  <c r="I5166" i="2" s="1"/>
  <c r="C2705" i="2"/>
  <c r="I2691" i="2"/>
  <c r="C5188" i="2"/>
  <c r="I5188" i="2" s="1"/>
  <c r="C2727" i="2"/>
  <c r="I2713" i="2"/>
  <c r="C5205" i="2"/>
  <c r="I5205" i="2" s="1"/>
  <c r="I2730" i="2"/>
  <c r="C2744" i="2"/>
  <c r="C5168" i="2"/>
  <c r="I5168" i="2" s="1"/>
  <c r="C2707" i="2"/>
  <c r="I2693" i="2"/>
  <c r="C5189" i="2"/>
  <c r="I5189" i="2" s="1"/>
  <c r="I2714" i="2"/>
  <c r="C2728" i="2"/>
  <c r="C5172" i="2"/>
  <c r="I5172" i="2" s="1"/>
  <c r="C2711" i="2"/>
  <c r="I2697" i="2"/>
  <c r="C5192" i="2"/>
  <c r="I5192" i="2" s="1"/>
  <c r="C2731" i="2"/>
  <c r="I2717" i="2"/>
  <c r="H19" i="1" l="1"/>
  <c r="D18" i="1"/>
  <c r="C5180" i="2"/>
  <c r="I5180" i="2" s="1"/>
  <c r="C2719" i="2"/>
  <c r="I2705" i="2"/>
  <c r="I2710" i="2"/>
  <c r="C5185" i="2"/>
  <c r="I5185" i="2" s="1"/>
  <c r="C2724" i="2"/>
  <c r="C5202" i="2"/>
  <c r="I5202" i="2" s="1"/>
  <c r="C2741" i="2"/>
  <c r="I2727" i="2"/>
  <c r="C5206" i="2"/>
  <c r="I5206" i="2" s="1"/>
  <c r="C2745" i="2"/>
  <c r="I2731" i="2"/>
  <c r="C5198" i="2"/>
  <c r="I5198" i="2" s="1"/>
  <c r="C2737" i="2"/>
  <c r="I2723" i="2"/>
  <c r="C5203" i="2"/>
  <c r="I5203" i="2" s="1"/>
  <c r="C2742" i="2"/>
  <c r="I2728" i="2"/>
  <c r="C5182" i="2"/>
  <c r="I5182" i="2" s="1"/>
  <c r="C2721" i="2"/>
  <c r="I2707" i="2"/>
  <c r="C5181" i="2"/>
  <c r="I5181" i="2" s="1"/>
  <c r="C2720" i="2"/>
  <c r="I2706" i="2"/>
  <c r="C2746" i="2"/>
  <c r="C5207" i="2"/>
  <c r="I5207" i="2" s="1"/>
  <c r="I2732" i="2"/>
  <c r="C5186" i="2"/>
  <c r="I5186" i="2" s="1"/>
  <c r="C2725" i="2"/>
  <c r="I2711" i="2"/>
  <c r="C5219" i="2"/>
  <c r="I5219" i="2" s="1"/>
  <c r="I2744" i="2"/>
  <c r="C5197" i="2"/>
  <c r="I5197" i="2" s="1"/>
  <c r="C2736" i="2"/>
  <c r="I2722" i="2"/>
  <c r="C5190" i="2"/>
  <c r="I5190" i="2" s="1"/>
  <c r="I2715" i="2"/>
  <c r="C2729" i="2"/>
  <c r="H20" i="1" l="1"/>
  <c r="D19" i="1"/>
  <c r="C5196" i="2"/>
  <c r="I5196" i="2" s="1"/>
  <c r="C2735" i="2"/>
  <c r="I2721" i="2"/>
  <c r="C5216" i="2"/>
  <c r="I5216" i="2" s="1"/>
  <c r="I2741" i="2"/>
  <c r="C5195" i="2"/>
  <c r="I5195" i="2" s="1"/>
  <c r="C2734" i="2"/>
  <c r="I2720" i="2"/>
  <c r="C5220" i="2"/>
  <c r="I5220" i="2" s="1"/>
  <c r="I2745" i="2"/>
  <c r="C5204" i="2"/>
  <c r="I5204" i="2" s="1"/>
  <c r="C2743" i="2"/>
  <c r="I2729" i="2"/>
  <c r="C5211" i="2"/>
  <c r="I5211" i="2" s="1"/>
  <c r="I2736" i="2"/>
  <c r="I2737" i="2"/>
  <c r="C5212" i="2"/>
  <c r="I5212" i="2" s="1"/>
  <c r="C5199" i="2"/>
  <c r="I5199" i="2" s="1"/>
  <c r="C2738" i="2"/>
  <c r="I2724" i="2"/>
  <c r="C5194" i="2"/>
  <c r="I5194" i="2" s="1"/>
  <c r="C2733" i="2"/>
  <c r="I2719" i="2"/>
  <c r="C5200" i="2"/>
  <c r="I5200" i="2" s="1"/>
  <c r="C2739" i="2"/>
  <c r="I2725" i="2"/>
  <c r="C5221" i="2"/>
  <c r="I5221" i="2" s="1"/>
  <c r="I2746" i="2"/>
  <c r="C5217" i="2"/>
  <c r="I5217" i="2" s="1"/>
  <c r="I2742" i="2"/>
  <c r="H21" i="1" l="1"/>
  <c r="D20" i="1"/>
  <c r="C5218" i="2"/>
  <c r="I5218" i="2" s="1"/>
  <c r="I2743" i="2"/>
  <c r="C5213" i="2"/>
  <c r="I5213" i="2" s="1"/>
  <c r="I2738" i="2"/>
  <c r="C5209" i="2"/>
  <c r="I5209" i="2" s="1"/>
  <c r="I2734" i="2"/>
  <c r="C5210" i="2"/>
  <c r="I5210" i="2" s="1"/>
  <c r="I2735" i="2"/>
  <c r="C5208" i="2"/>
  <c r="I5208" i="2" s="1"/>
  <c r="I2733" i="2"/>
  <c r="C5214" i="2"/>
  <c r="I5214" i="2" s="1"/>
  <c r="I2739" i="2"/>
  <c r="H22" i="1" l="1"/>
  <c r="D21" i="1"/>
  <c r="I2" i="2"/>
  <c r="H23" i="1" l="1"/>
  <c r="D22" i="1"/>
  <c r="C239" i="2"/>
  <c r="C238" i="2"/>
  <c r="C5" i="2"/>
  <c r="C4" i="2"/>
  <c r="H24" i="1" l="1"/>
  <c r="D23" i="1"/>
  <c r="C6" i="2"/>
  <c r="C7" i="2"/>
  <c r="C240" i="2"/>
  <c r="C241" i="2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F278" i="2"/>
  <c r="F2406" i="2"/>
  <c r="F3124" i="2"/>
  <c r="F3590" i="2"/>
  <c r="F5297" i="2"/>
  <c r="F2739" i="2"/>
  <c r="F3859" i="2"/>
  <c r="F3708" i="2"/>
  <c r="F3024" i="2"/>
  <c r="F3177" i="2"/>
  <c r="F3561" i="2"/>
  <c r="F3459" i="2"/>
  <c r="F2437" i="2"/>
  <c r="F3004" i="2"/>
  <c r="F4348" i="2"/>
  <c r="F2619" i="2"/>
  <c r="F3" i="2"/>
  <c r="F2711" i="2"/>
  <c r="F3117" i="2"/>
  <c r="F4347" i="2"/>
  <c r="F2826" i="2"/>
  <c r="F2852" i="2"/>
  <c r="F2413" i="2"/>
  <c r="F3641" i="2"/>
  <c r="F2384" i="2"/>
  <c r="F2417" i="2"/>
  <c r="F3109" i="2"/>
  <c r="F5507" i="2"/>
  <c r="F2869" i="2"/>
  <c r="F3305" i="2"/>
  <c r="F4025" i="2"/>
  <c r="F2640" i="2"/>
  <c r="F2401" i="2"/>
  <c r="F2969" i="2"/>
  <c r="F3550" i="2"/>
  <c r="F3312" i="2"/>
  <c r="F2896" i="2"/>
  <c r="F2885" i="2"/>
  <c r="F2883" i="2"/>
  <c r="F4921" i="2"/>
  <c r="F2748" i="2"/>
  <c r="F2984" i="2"/>
  <c r="F3396" i="2"/>
  <c r="F5195" i="2"/>
  <c r="F2721" i="2"/>
  <c r="F2426" i="2"/>
  <c r="F3754" i="2"/>
  <c r="F3310" i="2"/>
  <c r="F283" i="2"/>
  <c r="F3225" i="2"/>
  <c r="F2995" i="2"/>
  <c r="F3644" i="2"/>
  <c r="F2901" i="2"/>
  <c r="F2743" i="2"/>
  <c r="F3476" i="2"/>
  <c r="F2831" i="2"/>
  <c r="F3005" i="2"/>
  <c r="F3240" i="2"/>
  <c r="F3707" i="2"/>
  <c r="F3666" i="2"/>
  <c r="F2985" i="2"/>
  <c r="F2433" i="2"/>
  <c r="F4724" i="2"/>
  <c r="F3374" i="2"/>
  <c r="F3419" i="2"/>
  <c r="F3072" i="2"/>
  <c r="F4880" i="2"/>
  <c r="F4595" i="2"/>
  <c r="F4677" i="2"/>
  <c r="F3683" i="2"/>
  <c r="F4300" i="2"/>
  <c r="F2814" i="2"/>
  <c r="F3856" i="2"/>
  <c r="F4372" i="2"/>
  <c r="F3204" i="2"/>
  <c r="F3449" i="2"/>
  <c r="F4620" i="2"/>
  <c r="F3454" i="2"/>
  <c r="F3920" i="2"/>
  <c r="F3924" i="2"/>
  <c r="F3329" i="2"/>
  <c r="F3093" i="2"/>
  <c r="F3509" i="2"/>
  <c r="F4308" i="2"/>
  <c r="F3032" i="2"/>
  <c r="F2834" i="2"/>
  <c r="F3977" i="2"/>
  <c r="F2712" i="2"/>
  <c r="F3505" i="2"/>
  <c r="F4049" i="2"/>
  <c r="F2620" i="2"/>
  <c r="F3009" i="2"/>
  <c r="F4297" i="2"/>
  <c r="F3362" i="2"/>
  <c r="F3591" i="2"/>
  <c r="F2947" i="2"/>
  <c r="F4681" i="2"/>
  <c r="F2881" i="2"/>
  <c r="F2702" i="2"/>
  <c r="F3985" i="2"/>
  <c r="F3971" i="2"/>
  <c r="F3583" i="2"/>
  <c r="F3544" i="2"/>
  <c r="F2892" i="2"/>
  <c r="F4813" i="2"/>
  <c r="F3850" i="2"/>
  <c r="F3577" i="2"/>
  <c r="F3655" i="2"/>
  <c r="F4746" i="2"/>
  <c r="F3494" i="2"/>
  <c r="F4877" i="2"/>
  <c r="F4551" i="2"/>
  <c r="F5228" i="2"/>
  <c r="F2717" i="2"/>
  <c r="F4493" i="2"/>
  <c r="F3587" i="2"/>
  <c r="F3879" i="2"/>
  <c r="F2696" i="2"/>
  <c r="F4158" i="2"/>
  <c r="F4379" i="2"/>
  <c r="F5360" i="2"/>
  <c r="F3357" i="2"/>
  <c r="F4007" i="2"/>
  <c r="F3030" i="2"/>
  <c r="F4414" i="2"/>
  <c r="F3031" i="2"/>
  <c r="F5424" i="2"/>
  <c r="F272" i="2"/>
  <c r="F2455" i="2"/>
  <c r="F2861" i="2"/>
  <c r="F4091" i="2"/>
  <c r="F2780" i="2"/>
  <c r="F2737" i="2"/>
  <c r="F3233" i="2"/>
  <c r="F3308" i="2"/>
  <c r="F2747" i="2"/>
  <c r="F3008" i="2"/>
  <c r="F4599" i="2"/>
  <c r="F4470" i="2"/>
  <c r="F3120" i="2"/>
  <c r="F3394" i="2"/>
  <c r="F3769" i="2"/>
  <c r="F3133" i="2"/>
  <c r="F2386" i="2"/>
  <c r="F2700" i="2"/>
  <c r="F3294" i="2"/>
  <c r="F4271" i="2"/>
  <c r="F2387" i="2"/>
  <c r="F2880" i="2"/>
  <c r="F3522" i="2"/>
  <c r="F4665" i="2"/>
  <c r="F2404" i="2"/>
  <c r="F2720" i="2"/>
  <c r="F3462" i="2"/>
  <c r="F5425" i="2"/>
  <c r="F3236" i="2"/>
  <c r="F4407" i="2"/>
  <c r="F5049" i="2"/>
  <c r="F3054" i="2"/>
  <c r="F2403" i="2"/>
  <c r="F2647" i="2"/>
  <c r="F4051" i="2"/>
  <c r="F4412" i="2"/>
  <c r="F2683" i="2"/>
  <c r="F2742" i="2"/>
  <c r="F4279" i="2"/>
  <c r="F5212" i="2"/>
  <c r="F3180" i="2"/>
  <c r="F3245" i="2"/>
  <c r="F4475" i="2"/>
  <c r="F3839" i="2"/>
  <c r="F3136" i="2"/>
  <c r="F2758" i="2"/>
  <c r="F4872" i="2"/>
  <c r="F3875" i="2"/>
  <c r="F2659" i="2"/>
  <c r="F3156" i="2"/>
  <c r="F4307" i="2"/>
  <c r="F4668" i="2"/>
  <c r="F2656" i="2"/>
  <c r="F3257" i="2"/>
  <c r="F4535" i="2"/>
  <c r="F5468" i="2"/>
  <c r="F3061" i="2"/>
  <c r="F3116" i="2"/>
  <c r="F3217" i="2"/>
  <c r="F4591" i="2"/>
  <c r="F2996" i="2"/>
  <c r="F3014" i="2"/>
  <c r="F3167" i="2"/>
  <c r="F4131" i="2"/>
  <c r="F4492" i="2"/>
  <c r="F2735" i="2"/>
  <c r="F4639" i="2"/>
  <c r="F4052" i="2"/>
  <c r="F2442" i="2"/>
  <c r="F2817" i="2"/>
  <c r="F3721" i="2"/>
  <c r="F3169" i="2"/>
  <c r="F2971" i="2"/>
  <c r="F3793" i="2"/>
  <c r="F3160" i="2"/>
  <c r="F3068" i="2"/>
  <c r="F4041" i="2"/>
  <c r="F2850" i="2"/>
  <c r="F3227" i="2"/>
  <c r="F3538" i="2"/>
  <c r="F4425" i="2"/>
  <c r="F4211" i="2"/>
  <c r="F4560" i="2"/>
  <c r="F3729" i="2"/>
  <c r="F3407" i="2"/>
  <c r="F3203" i="2"/>
  <c r="F5001" i="2"/>
  <c r="F4247" i="2"/>
  <c r="F4557" i="2"/>
  <c r="F5073" i="2"/>
  <c r="F3598" i="2"/>
  <c r="F3327" i="2"/>
  <c r="F3818" i="2"/>
  <c r="F2982" i="2"/>
  <c r="F4621" i="2"/>
  <c r="F4295" i="2"/>
  <c r="F4916" i="2"/>
  <c r="F3173" i="2"/>
  <c r="F4237" i="2"/>
  <c r="F5009" i="2"/>
  <c r="F3284" i="2"/>
  <c r="F3141" i="2"/>
  <c r="F4630" i="2"/>
  <c r="F3867" i="2"/>
  <c r="F5092" i="2"/>
  <c r="F4968" i="2"/>
  <c r="F3455" i="2"/>
  <c r="F2774" i="2"/>
  <c r="F3315" i="2"/>
  <c r="F3887" i="2"/>
  <c r="F5168" i="2"/>
  <c r="F3158" i="2"/>
  <c r="F4774" i="2"/>
  <c r="F4251" i="2"/>
  <c r="F4602" i="2"/>
  <c r="F4707" i="2"/>
  <c r="F3460" i="2"/>
  <c r="F2692" i="2"/>
  <c r="F5235" i="2"/>
  <c r="F3676" i="2"/>
  <c r="F4950" i="2"/>
  <c r="F5513" i="2"/>
  <c r="F3627" i="2"/>
  <c r="F3503" i="2"/>
  <c r="F5427" i="2"/>
  <c r="F3737" i="2"/>
  <c r="F5035" i="2"/>
  <c r="F2381" i="2"/>
  <c r="F3220" i="2"/>
  <c r="F3038" i="2"/>
  <c r="F2851" i="2"/>
  <c r="F3339" i="2"/>
  <c r="F3113" i="2"/>
  <c r="F3266" i="2"/>
  <c r="F4409" i="2"/>
  <c r="F3256" i="2"/>
  <c r="F2731" i="2"/>
  <c r="F3206" i="2"/>
  <c r="F5169" i="2"/>
  <c r="F2980" i="2"/>
  <c r="F4151" i="2"/>
  <c r="F4793" i="2"/>
  <c r="F2798" i="2"/>
  <c r="F289" i="2"/>
  <c r="F2789" i="2"/>
  <c r="F3795" i="2"/>
  <c r="F4156" i="2"/>
  <c r="F2761" i="2"/>
  <c r="F3252" i="2"/>
  <c r="F4023" i="2"/>
  <c r="F4895" i="2"/>
  <c r="F2671" i="2"/>
  <c r="F2989" i="2"/>
  <c r="F4219" i="2"/>
  <c r="F3338" i="2"/>
  <c r="F2627" i="2"/>
  <c r="F2418" i="2"/>
  <c r="F5340" i="2"/>
  <c r="F3619" i="2"/>
  <c r="F2397" i="2"/>
  <c r="F2419" i="2"/>
  <c r="F2669" i="2"/>
  <c r="F3833" i="2"/>
  <c r="F2662" i="2"/>
  <c r="F2634" i="2"/>
  <c r="F2886" i="2"/>
  <c r="F4752" i="2"/>
  <c r="F3182" i="2"/>
  <c r="F2910" i="2"/>
  <c r="F4547" i="2"/>
  <c r="F3152" i="2"/>
  <c r="F2792" i="2"/>
  <c r="F2899" i="2"/>
  <c r="F5233" i="2"/>
  <c r="F3026" i="2"/>
  <c r="F2402" i="2"/>
  <c r="F2675" i="2"/>
  <c r="F2946" i="2"/>
  <c r="F4089" i="2"/>
  <c r="F2941" i="2"/>
  <c r="F2920" i="2"/>
  <c r="F3142" i="2"/>
  <c r="F5094" i="2"/>
  <c r="F2391" i="2"/>
  <c r="F3166" i="2"/>
  <c r="F2903" i="2"/>
  <c r="F2416" i="2"/>
  <c r="F3048" i="2"/>
  <c r="F3481" i="2"/>
  <c r="F5489" i="2"/>
  <c r="F3282" i="2"/>
  <c r="F4169" i="2"/>
  <c r="F3699" i="2"/>
  <c r="F4304" i="2"/>
  <c r="F3425" i="2"/>
  <c r="F3470" i="2"/>
  <c r="F3602" i="2"/>
  <c r="F4745" i="2"/>
  <c r="F3735" i="2"/>
  <c r="F4301" i="2"/>
  <c r="F4817" i="2"/>
  <c r="F3086" i="2"/>
  <c r="F3410" i="2"/>
  <c r="F5065" i="2"/>
  <c r="F4375" i="2"/>
  <c r="F4365" i="2"/>
  <c r="F4039" i="2"/>
  <c r="F4330" i="2"/>
  <c r="F4119" i="2"/>
  <c r="F3981" i="2"/>
  <c r="F4753" i="2"/>
  <c r="F3378" i="2"/>
  <c r="F4359" i="2"/>
  <c r="F5292" i="2"/>
  <c r="F3268" i="2"/>
  <c r="F4751" i="2"/>
  <c r="F5364" i="2"/>
  <c r="F3506" i="2"/>
  <c r="F4423" i="2"/>
  <c r="F4936" i="2"/>
  <c r="F4507" i="2"/>
  <c r="F4836" i="2"/>
  <c r="F2902" i="2"/>
  <c r="F3902" i="2"/>
  <c r="F3739" i="2"/>
  <c r="F3565" i="2"/>
  <c r="F5300" i="2"/>
  <c r="F3510" i="2"/>
  <c r="F3478" i="2"/>
  <c r="F5441" i="2"/>
  <c r="F2441" i="2"/>
  <c r="F4430" i="2"/>
  <c r="F5257" i="2"/>
  <c r="F3126" i="2"/>
  <c r="F2963" i="2"/>
  <c r="F5505" i="2"/>
  <c r="F2763" i="2"/>
  <c r="F4686" i="2"/>
  <c r="F3915" i="2"/>
  <c r="F3427" i="2"/>
  <c r="F4060" i="2"/>
  <c r="F4174" i="2"/>
  <c r="F5193" i="2"/>
  <c r="F3095" i="2"/>
  <c r="F4235" i="2"/>
  <c r="F3903" i="2"/>
  <c r="F4633" i="2"/>
  <c r="F4002" i="2"/>
  <c r="F3050" i="2"/>
  <c r="F4387" i="2"/>
  <c r="F4555" i="2"/>
  <c r="F3275" i="2"/>
  <c r="F5023" i="2"/>
  <c r="F4258" i="2"/>
  <c r="F274" i="2"/>
  <c r="F2912" i="2"/>
  <c r="F3513" i="2"/>
  <c r="F3900" i="2"/>
  <c r="F2756" i="2"/>
  <c r="F2736" i="2"/>
  <c r="F3767" i="2"/>
  <c r="F4266" i="2"/>
  <c r="F3261" i="2"/>
  <c r="F2726" i="2"/>
  <c r="F3963" i="2"/>
  <c r="F4690" i="2"/>
  <c r="F3241" i="2"/>
  <c r="F3237" i="2"/>
  <c r="F5066" i="2"/>
  <c r="F3279" i="2"/>
  <c r="F2382" i="2"/>
  <c r="F3161" i="2"/>
  <c r="F3105" i="2"/>
  <c r="F3564" i="2"/>
  <c r="F3192" i="2"/>
  <c r="F2667" i="2"/>
  <c r="F2981" i="2"/>
  <c r="F3838" i="2"/>
  <c r="F2926" i="2"/>
  <c r="F2621" i="2"/>
  <c r="F3759" i="2"/>
  <c r="F2643" i="2"/>
  <c r="F3001" i="2"/>
  <c r="F3526" i="2"/>
  <c r="F4923" i="2"/>
  <c r="F2770" i="2"/>
  <c r="F2709" i="2"/>
  <c r="F3184" i="2"/>
  <c r="F3391" i="2"/>
  <c r="F4857" i="2"/>
  <c r="F2924" i="2"/>
  <c r="F2925" i="2"/>
  <c r="F3643" i="2"/>
  <c r="F3341" i="2"/>
  <c r="F2800" i="2"/>
  <c r="F3667" i="2"/>
  <c r="F4028" i="2"/>
  <c r="F3017" i="2"/>
  <c r="F3157" i="2"/>
  <c r="F4283" i="2"/>
  <c r="F4780" i="2"/>
  <c r="F237" i="2"/>
  <c r="F2976" i="2"/>
  <c r="F2652" i="2"/>
  <c r="F3703" i="2"/>
  <c r="F5113" i="2"/>
  <c r="F2929" i="2"/>
  <c r="F3181" i="2"/>
  <c r="F3899" i="2"/>
  <c r="F4434" i="2"/>
  <c r="F3056" i="2"/>
  <c r="F3923" i="2"/>
  <c r="F4284" i="2"/>
  <c r="F2808" i="2"/>
  <c r="F2706" i="2"/>
  <c r="F4539" i="2"/>
  <c r="F3594" i="2"/>
  <c r="F3783" i="2"/>
  <c r="F3087" i="2"/>
  <c r="F3604" i="2"/>
  <c r="F3725" i="2"/>
  <c r="F4497" i="2"/>
  <c r="F2866" i="2"/>
  <c r="F4103" i="2"/>
  <c r="F5002" i="2"/>
  <c r="F3366" i="2"/>
  <c r="F3834" i="2"/>
  <c r="F5098" i="2"/>
  <c r="F2994" i="2"/>
  <c r="F4167" i="2"/>
  <c r="F5356" i="2"/>
  <c r="F3995" i="2"/>
  <c r="F4090" i="2"/>
  <c r="F3013" i="2"/>
  <c r="F5363" i="2"/>
  <c r="F2771" i="2"/>
  <c r="F5005" i="2"/>
  <c r="F5012" i="2"/>
  <c r="F2998" i="2"/>
  <c r="F3222" i="2"/>
  <c r="F5185" i="2"/>
  <c r="F3295" i="2"/>
  <c r="F3336" i="2"/>
  <c r="F4955" i="2"/>
  <c r="F2949" i="2"/>
  <c r="F3542" i="2"/>
  <c r="F5249" i="2"/>
  <c r="F4316" i="2"/>
  <c r="F3662" i="2"/>
  <c r="F3659" i="2"/>
  <c r="F5011" i="2"/>
  <c r="F3525" i="2"/>
  <c r="F4678" i="2"/>
  <c r="F4870" i="2"/>
  <c r="F3951" i="2"/>
  <c r="F3979" i="2"/>
  <c r="F3402" i="2"/>
  <c r="F4121" i="2"/>
  <c r="F5439" i="2"/>
  <c r="F4812" i="2"/>
  <c r="F2938" i="2"/>
  <c r="F4299" i="2"/>
  <c r="F4159" i="2"/>
  <c r="F3626" i="2"/>
  <c r="F2799" i="2"/>
  <c r="F2710" i="2"/>
  <c r="F3146" i="2"/>
  <c r="F4505" i="2"/>
  <c r="F5247" i="2"/>
  <c r="F4727" i="2"/>
  <c r="F3753" i="2"/>
  <c r="F4579" i="2"/>
  <c r="F2657" i="2"/>
  <c r="F5051" i="2"/>
  <c r="F4687" i="2"/>
  <c r="F4933" i="2"/>
  <c r="F3287" i="2"/>
  <c r="F3223" i="2"/>
  <c r="F3016" i="2"/>
  <c r="F5283" i="2"/>
  <c r="F3235" i="2"/>
  <c r="F2624" i="2"/>
  <c r="F2614" i="2"/>
  <c r="F2751" i="2"/>
  <c r="F3147" i="2"/>
  <c r="F2936" i="2"/>
  <c r="F2411" i="2"/>
  <c r="F3020" i="2"/>
  <c r="F5315" i="2"/>
  <c r="F2642" i="2"/>
  <c r="F3029" i="2"/>
  <c r="F3258" i="2"/>
  <c r="F2983" i="2"/>
  <c r="F2388" i="2"/>
  <c r="F3270" i="2"/>
  <c r="F4350" i="2"/>
  <c r="F2434" i="2"/>
  <c r="F2723" i="2"/>
  <c r="F2928" i="2"/>
  <c r="F3458" i="2"/>
  <c r="F4601" i="2"/>
  <c r="F2415" i="2"/>
  <c r="F2641" i="2"/>
  <c r="F3311" i="2"/>
  <c r="F4947" i="2"/>
  <c r="F2905" i="2"/>
  <c r="F3343" i="2"/>
  <c r="F3772" i="2"/>
  <c r="F2422" i="2"/>
  <c r="F3053" i="2"/>
  <c r="F4027" i="2"/>
  <c r="F3922" i="2"/>
  <c r="F285" i="2"/>
  <c r="F2836" i="2"/>
  <c r="F3044" i="2"/>
  <c r="F4471" i="2"/>
  <c r="F5148" i="2"/>
  <c r="F3168" i="2"/>
  <c r="F2846" i="2"/>
  <c r="F4667" i="2"/>
  <c r="F3082" i="2"/>
  <c r="F2663" i="2"/>
  <c r="F2753" i="2"/>
  <c r="F3705" i="2"/>
  <c r="F3069" i="2"/>
  <c r="F3486" i="2"/>
  <c r="F4015" i="2"/>
  <c r="F3239" i="2"/>
  <c r="F286" i="2"/>
  <c r="F3092" i="2"/>
  <c r="F2793" i="2"/>
  <c r="F2764" i="2"/>
  <c r="F5404" i="2"/>
  <c r="F2917" i="2"/>
  <c r="F3102" i="2"/>
  <c r="F3002" i="2"/>
  <c r="F3572" i="2"/>
  <c r="F2629" i="2"/>
  <c r="F2818" i="2"/>
  <c r="F3961" i="2"/>
  <c r="F3189" i="2"/>
  <c r="F2734" i="2"/>
  <c r="F4655" i="2"/>
  <c r="F2768" i="2"/>
  <c r="F3084" i="2"/>
  <c r="F5484" i="2"/>
  <c r="F3238" i="2"/>
  <c r="F4749" i="2"/>
  <c r="F4618" i="2"/>
  <c r="F4391" i="2"/>
  <c r="F2966" i="2"/>
  <c r="F4859" i="2"/>
  <c r="F2972" i="2"/>
  <c r="F4952" i="2"/>
  <c r="F4446" i="2"/>
  <c r="F4519" i="2"/>
  <c r="F3286" i="2"/>
  <c r="F4944" i="2"/>
  <c r="F3804" i="2"/>
  <c r="F5179" i="2"/>
  <c r="F3332" i="2"/>
  <c r="F5377" i="2"/>
  <c r="F4611" i="2"/>
  <c r="F5296" i="2"/>
  <c r="F4190" i="2"/>
  <c r="F4523" i="2"/>
  <c r="F3723" i="2"/>
  <c r="F4716" i="2"/>
  <c r="F3607" i="2"/>
  <c r="F5509" i="2"/>
  <c r="F4018" i="2"/>
  <c r="F4651" i="2"/>
  <c r="F4043" i="2"/>
  <c r="F4802" i="2"/>
  <c r="F4761" i="2"/>
  <c r="F4776" i="2"/>
  <c r="F4683" i="2"/>
  <c r="F2993" i="2"/>
  <c r="F3993" i="2"/>
  <c r="F5445" i="2"/>
  <c r="F3762" i="2"/>
  <c r="F2827" i="2"/>
  <c r="F3823" i="2"/>
  <c r="F2650" i="2"/>
  <c r="F3710" i="2"/>
  <c r="F4111" i="2"/>
  <c r="F3909" i="2"/>
  <c r="F4460" i="2"/>
  <c r="F4675" i="2"/>
  <c r="F2421" i="2"/>
  <c r="F5201" i="2"/>
  <c r="F2842" i="2"/>
  <c r="F2697" i="2"/>
  <c r="F3445" i="2"/>
  <c r="F2622" i="2"/>
  <c r="F3855" i="2"/>
  <c r="F3653" i="2"/>
  <c r="F3364" i="2"/>
  <c r="F4044" i="2"/>
  <c r="F2725" i="2"/>
  <c r="F3595" i="2"/>
  <c r="F4116" i="2"/>
  <c r="F2695" i="2"/>
  <c r="F2803" i="2"/>
  <c r="F4364" i="2"/>
  <c r="F2942" i="2"/>
  <c r="F3664" i="2"/>
  <c r="F3668" i="2"/>
  <c r="F2467" i="2"/>
  <c r="F2645" i="2"/>
  <c r="F3202" i="2"/>
  <c r="F4345" i="2"/>
  <c r="F3197" i="2"/>
  <c r="F3176" i="2"/>
  <c r="F3398" i="2"/>
  <c r="F5361" i="2"/>
  <c r="F2900" i="2"/>
  <c r="F3422" i="2"/>
  <c r="F3483" i="2"/>
  <c r="F3012" i="2"/>
  <c r="F2797" i="2"/>
  <c r="F3771" i="2"/>
  <c r="F5383" i="2"/>
  <c r="F280" i="2"/>
  <c r="F2716" i="2"/>
  <c r="F2788" i="2"/>
  <c r="F4215" i="2"/>
  <c r="F4810" i="2"/>
  <c r="F3118" i="2"/>
  <c r="F2865" i="2"/>
  <c r="F4411" i="2"/>
  <c r="F2785" i="2"/>
  <c r="F2407" i="2"/>
  <c r="F2746" i="2"/>
  <c r="F3393" i="2"/>
  <c r="F2813" i="2"/>
  <c r="F3230" i="2"/>
  <c r="F3514" i="2"/>
  <c r="F4679" i="2"/>
  <c r="F275" i="2"/>
  <c r="F2784" i="2"/>
  <c r="F2757" i="2"/>
  <c r="F3078" i="2"/>
  <c r="F4606" i="2"/>
  <c r="F2385" i="2"/>
  <c r="F3251" i="2"/>
  <c r="F2612" i="2"/>
  <c r="F3424" i="2"/>
  <c r="F2636" i="2"/>
  <c r="F3586" i="2"/>
  <c r="F4729" i="2"/>
  <c r="F3246" i="2"/>
  <c r="F3987" i="2"/>
  <c r="F3836" i="2"/>
  <c r="F3140" i="2"/>
  <c r="F276" i="2"/>
  <c r="F3040" i="2"/>
  <c r="F2615" i="2"/>
  <c r="F3334" i="2"/>
  <c r="F5008" i="2"/>
  <c r="F2390" i="2"/>
  <c r="F3599" i="2"/>
  <c r="F3397" i="2"/>
  <c r="F2432" i="2"/>
  <c r="F2921" i="2"/>
  <c r="F3139" i="2"/>
  <c r="F4985" i="2"/>
  <c r="F2630" i="2"/>
  <c r="F4243" i="2"/>
  <c r="F4092" i="2"/>
  <c r="F3145" i="2"/>
  <c r="F3414" i="2"/>
  <c r="F5115" i="2"/>
  <c r="F3386" i="2"/>
  <c r="F5007" i="2"/>
  <c r="F2452" i="2"/>
  <c r="F4011" i="2"/>
  <c r="F3417" i="2"/>
  <c r="F3730" i="2"/>
  <c r="F4188" i="2"/>
  <c r="F5253" i="2"/>
  <c r="F5451" i="2"/>
  <c r="F4139" i="2"/>
  <c r="F3787" i="2"/>
  <c r="F3986" i="2"/>
  <c r="F4249" i="2"/>
  <c r="F5317" i="2"/>
  <c r="F4427" i="2"/>
  <c r="F4972" i="2"/>
  <c r="F3436" i="2"/>
  <c r="F5189" i="2"/>
  <c r="F5259" i="2"/>
  <c r="F4332" i="2"/>
  <c r="F3322" i="2"/>
  <c r="F3047" i="2"/>
  <c r="F5436" i="2"/>
  <c r="F3610" i="2"/>
  <c r="F4488" i="2"/>
  <c r="F3948" i="2"/>
  <c r="F4079" i="2"/>
  <c r="F2937" i="2"/>
  <c r="F4222" i="2"/>
  <c r="F2844" i="2"/>
  <c r="F4451" i="2"/>
  <c r="F2791" i="2"/>
  <c r="F5308" i="2"/>
  <c r="F3354" i="2"/>
  <c r="F4232" i="2"/>
  <c r="F3438" i="2"/>
  <c r="F3788" i="2"/>
  <c r="F2893" i="2"/>
  <c r="F3401" i="2"/>
  <c r="F3860" i="2"/>
  <c r="F2378" i="2"/>
  <c r="F3502" i="2"/>
  <c r="F4108" i="2"/>
  <c r="F3244" i="2"/>
  <c r="F3111" i="2"/>
  <c r="F3344" i="2"/>
  <c r="F4236" i="2"/>
  <c r="F2765" i="2"/>
  <c r="F3466" i="2"/>
  <c r="F3796" i="2"/>
  <c r="F2953" i="2"/>
  <c r="F2812" i="2"/>
  <c r="F3415" i="2"/>
  <c r="F3827" i="2"/>
  <c r="F4624" i="2"/>
  <c r="F3511" i="2"/>
  <c r="F2613" i="2"/>
  <c r="F4259" i="2"/>
  <c r="F3785" i="2"/>
  <c r="F2876" i="2"/>
  <c r="F4688" i="2"/>
  <c r="F4692" i="2"/>
  <c r="F277" i="2"/>
  <c r="F3232" i="2"/>
  <c r="F2933" i="2"/>
  <c r="F3959" i="2"/>
  <c r="F4010" i="2"/>
  <c r="F2862" i="2"/>
  <c r="F2860" i="2"/>
  <c r="F4155" i="2"/>
  <c r="F4951" i="2"/>
  <c r="F2805" i="2"/>
  <c r="F4179" i="2"/>
  <c r="F4540" i="2"/>
  <c r="F3064" i="2"/>
  <c r="F2974" i="2"/>
  <c r="F2392" i="2"/>
  <c r="F4095" i="2"/>
  <c r="F281" i="2"/>
  <c r="F3097" i="2"/>
  <c r="F2752" i="2"/>
  <c r="F2822" i="2"/>
  <c r="F3571" i="2"/>
  <c r="F2777" i="2"/>
  <c r="F3614" i="2"/>
  <c r="F4419" i="2"/>
  <c r="F2718" i="2"/>
  <c r="F3172" i="2"/>
  <c r="F3330" i="2"/>
  <c r="F4473" i="2"/>
  <c r="F2990" i="2"/>
  <c r="F3731" i="2"/>
  <c r="F3568" i="2"/>
  <c r="F2631" i="2"/>
  <c r="F288" i="2"/>
  <c r="F3104" i="2"/>
  <c r="F2856" i="2"/>
  <c r="F3567" i="2"/>
  <c r="F4178" i="2"/>
  <c r="F2992" i="2"/>
  <c r="F2400" i="2"/>
  <c r="F4220" i="2"/>
  <c r="F2884" i="2"/>
  <c r="F2398" i="2"/>
  <c r="F4087" i="2"/>
  <c r="F4980" i="2"/>
  <c r="F3033" i="2"/>
  <c r="F2882" i="2"/>
  <c r="F2891" i="2"/>
  <c r="F3128" i="2"/>
  <c r="F284" i="2"/>
  <c r="F2853" i="2"/>
  <c r="F3112" i="2"/>
  <c r="F3835" i="2"/>
  <c r="F4866" i="2"/>
  <c r="F3248" i="2"/>
  <c r="F2412" i="2"/>
  <c r="F4476" i="2"/>
  <c r="F2889" i="2"/>
  <c r="F2410" i="2"/>
  <c r="F4343" i="2"/>
  <c r="F5276" i="2"/>
  <c r="F2864" i="2"/>
  <c r="F3138" i="2"/>
  <c r="F3479" i="2"/>
  <c r="F2877" i="2"/>
  <c r="F4171" i="2"/>
  <c r="F4498" i="2"/>
  <c r="F4572" i="2"/>
  <c r="F4864" i="2"/>
  <c r="F5449" i="2"/>
  <c r="F3820" i="2"/>
  <c r="F4491" i="2"/>
  <c r="F4615" i="2"/>
  <c r="F4852" i="2"/>
  <c r="F4807" i="2"/>
  <c r="F3413" i="2"/>
  <c r="F3376" i="2"/>
  <c r="F3578" i="2"/>
  <c r="F2932" i="2"/>
  <c r="F4739" i="2"/>
  <c r="F4892" i="2"/>
  <c r="F3551" i="2"/>
  <c r="F4495" i="2"/>
  <c r="F4650" i="2"/>
  <c r="F4722" i="2"/>
  <c r="F2676" i="2"/>
  <c r="F4777" i="2"/>
  <c r="F3504" i="2"/>
  <c r="F2888" i="2"/>
  <c r="F4306" i="2"/>
  <c r="F3600" i="2"/>
  <c r="F2837" i="2"/>
  <c r="F4393" i="2"/>
  <c r="F3852" i="2"/>
  <c r="F3021" i="2"/>
  <c r="F3967" i="2"/>
  <c r="F2380" i="2"/>
  <c r="F3980" i="2"/>
  <c r="F2760" i="2"/>
  <c r="F3794" i="2"/>
  <c r="F3515" i="2"/>
  <c r="F2948" i="2"/>
  <c r="F4195" i="2"/>
  <c r="F2681" i="2"/>
  <c r="F3123" i="2"/>
  <c r="F4368" i="2"/>
  <c r="F2987" i="2"/>
  <c r="F2651" i="2"/>
  <c r="F4003" i="2"/>
  <c r="F3500" i="2"/>
  <c r="F3955" i="2"/>
  <c r="F4432" i="2"/>
  <c r="F4436" i="2"/>
  <c r="F3913" i="2"/>
  <c r="F3198" i="2"/>
  <c r="F4048" i="2"/>
  <c r="F2724" i="2"/>
  <c r="F2958" i="2"/>
  <c r="F3346" i="2"/>
  <c r="F4489" i="2"/>
  <c r="F2755" i="2"/>
  <c r="F4045" i="2"/>
  <c r="F4561" i="2"/>
  <c r="F2801" i="2"/>
  <c r="F3154" i="2"/>
  <c r="F4809" i="2"/>
  <c r="F3863" i="2"/>
  <c r="F4109" i="2"/>
  <c r="F287" i="2"/>
  <c r="F2841" i="2"/>
  <c r="F3049" i="2"/>
  <c r="F2769" i="2"/>
  <c r="F5118" i="2"/>
  <c r="F2772" i="2"/>
  <c r="F3358" i="2"/>
  <c r="F3465" i="2"/>
  <c r="F4463" i="2"/>
  <c r="F2916" i="2"/>
  <c r="F3074" i="2"/>
  <c r="F4217" i="2"/>
  <c r="F2728" i="2"/>
  <c r="F3428" i="2"/>
  <c r="F3159" i="2"/>
  <c r="F2773" i="2"/>
  <c r="F282" i="2"/>
  <c r="F2848" i="2"/>
  <c r="F3129" i="2"/>
  <c r="F3155" i="2"/>
  <c r="F4702" i="2"/>
  <c r="F2730" i="2"/>
  <c r="F4115" i="2"/>
  <c r="F3964" i="2"/>
  <c r="F2438" i="2"/>
  <c r="F2393" i="2"/>
  <c r="F3831" i="2"/>
  <c r="F4522" i="2"/>
  <c r="F3028" i="2"/>
  <c r="F2977" i="2"/>
  <c r="F4604" i="2"/>
  <c r="F2872" i="2"/>
  <c r="F279" i="2"/>
  <c r="F2693" i="2"/>
  <c r="F2450" i="2"/>
  <c r="F4603" i="2"/>
  <c r="F3171" i="2"/>
  <c r="F3108" i="2"/>
  <c r="F2754" i="2"/>
  <c r="F3897" i="2"/>
  <c r="F2741" i="2"/>
  <c r="F2868" i="2"/>
  <c r="F2674" i="2"/>
  <c r="F4094" i="2"/>
  <c r="F2727" i="2"/>
  <c r="F3639" i="2"/>
  <c r="F4281" i="2"/>
  <c r="F2646" i="2"/>
  <c r="F236" i="2"/>
  <c r="F2964" i="2"/>
  <c r="F2782" i="2"/>
  <c r="F2744" i="2"/>
  <c r="F4335" i="2"/>
  <c r="F2857" i="2"/>
  <c r="F3010" i="2"/>
  <c r="F4153" i="2"/>
  <c r="F3000" i="2"/>
  <c r="F2873" i="2"/>
  <c r="F2950" i="2"/>
  <c r="F4838" i="2"/>
  <c r="F2714" i="2"/>
  <c r="F3895" i="2"/>
  <c r="F4537" i="2"/>
  <c r="F2472" i="2"/>
  <c r="F3066" i="2"/>
  <c r="F3647" i="2"/>
  <c r="F5017" i="2"/>
  <c r="F3746" i="2"/>
  <c r="F2625" i="2"/>
  <c r="F4265" i="2"/>
  <c r="F2967" i="2"/>
  <c r="F2379" i="2"/>
  <c r="F4824" i="2"/>
  <c r="F3255" i="2"/>
  <c r="F2832" i="2"/>
  <c r="F3881" i="2"/>
  <c r="F3589" i="2"/>
  <c r="F2428" i="2"/>
  <c r="F4738" i="2"/>
  <c r="F4339" i="2"/>
  <c r="F3724" i="2"/>
  <c r="F2394" i="2"/>
  <c r="F5457" i="2"/>
  <c r="F2999" i="2"/>
  <c r="F2439" i="2"/>
  <c r="F3939" i="2"/>
  <c r="F4556" i="2"/>
  <c r="F3326" i="2"/>
  <c r="F4112" i="2"/>
  <c r="F4628" i="2"/>
  <c r="F3209" i="2"/>
  <c r="F3747" i="2"/>
  <c r="F2955" i="2"/>
  <c r="F3385" i="2"/>
  <c r="F4176" i="2"/>
  <c r="F4180" i="2"/>
  <c r="F3657" i="2"/>
  <c r="F2664" i="2"/>
  <c r="F3792" i="2"/>
  <c r="F4564" i="2"/>
  <c r="F3037" i="2"/>
  <c r="F3090" i="2"/>
  <c r="F4233" i="2"/>
  <c r="F3234" i="2"/>
  <c r="F3789" i="2"/>
  <c r="F4305" i="2"/>
  <c r="F3165" i="2"/>
  <c r="F2898" i="2"/>
  <c r="F4553" i="2"/>
  <c r="F3263" i="2"/>
  <c r="F3853" i="2"/>
  <c r="F3497" i="2"/>
  <c r="F4937" i="2"/>
  <c r="F3106" i="2"/>
  <c r="F3420" i="2"/>
  <c r="F4241" i="2"/>
  <c r="F2940" i="2"/>
  <c r="F3847" i="2"/>
  <c r="F4586" i="2"/>
  <c r="F2854" i="2"/>
  <c r="F5069" i="2"/>
  <c r="F4756" i="2"/>
  <c r="F4099" i="2"/>
  <c r="F3911" i="2"/>
  <c r="F5087" i="2"/>
  <c r="F3439" i="2"/>
  <c r="F5133" i="2"/>
  <c r="F3243" i="2"/>
  <c r="F3715" i="2"/>
  <c r="F3412" i="2"/>
  <c r="F4617" i="2"/>
  <c r="F3556" i="2"/>
  <c r="F3728" i="2"/>
  <c r="F3988" i="2"/>
  <c r="F2909" i="2"/>
  <c r="F3247" i="2"/>
  <c r="F3162" i="2"/>
  <c r="F3409" i="2"/>
  <c r="F4736" i="2"/>
  <c r="F3601" i="2"/>
  <c r="F5324" i="2"/>
  <c r="F4743" i="2"/>
  <c r="F4296" i="2"/>
  <c r="F4792" i="2"/>
  <c r="F4588" i="2"/>
  <c r="F2704" i="2"/>
  <c r="F2890" i="2"/>
  <c r="F4444" i="2"/>
  <c r="F3918" i="2"/>
  <c r="F4784" i="2"/>
  <c r="F3883" i="2"/>
  <c r="F3309" i="2"/>
  <c r="F3331" i="2"/>
  <c r="F4825" i="2"/>
  <c r="F5353" i="2"/>
  <c r="F5342" i="2"/>
  <c r="F4509" i="2"/>
  <c r="F5025" i="2"/>
  <c r="F4057" i="2"/>
  <c r="F3720" i="2"/>
  <c r="F3059" i="2"/>
  <c r="F3660" i="2"/>
  <c r="F2821" i="2"/>
  <c r="F4138" i="2"/>
  <c r="F3448" i="2"/>
  <c r="F4530" i="2"/>
  <c r="F4204" i="2"/>
  <c r="F5423" i="2"/>
  <c r="F5435" i="2"/>
  <c r="F3296" i="2"/>
  <c r="F5224" i="2"/>
  <c r="F5234" i="2"/>
  <c r="F5028" i="2"/>
  <c r="F4771" i="2"/>
  <c r="F2628" i="2"/>
  <c r="F2781" i="2"/>
  <c r="F2690" i="2"/>
  <c r="F3211" i="2"/>
  <c r="F3144" i="2"/>
  <c r="F2991" i="2"/>
  <c r="F3593" i="2"/>
  <c r="F4421" i="2"/>
  <c r="F4202" i="2"/>
  <c r="F5096" i="2"/>
  <c r="F5112" i="2"/>
  <c r="F4397" i="2"/>
  <c r="F3878" i="2"/>
  <c r="G2645" i="2"/>
  <c r="F4886" i="2"/>
  <c r="F5465" i="2"/>
  <c r="F4013" i="2"/>
  <c r="F4920" i="2"/>
  <c r="F5490" i="2"/>
  <c r="F5016" i="2"/>
  <c r="F4976" i="2"/>
  <c r="F4223" i="2"/>
  <c r="F3283" i="2"/>
  <c r="F4286" i="2"/>
  <c r="F2906" i="2"/>
  <c r="F3523" i="2"/>
  <c r="F4764" i="2"/>
  <c r="F5325" i="2"/>
  <c r="G3337" i="2"/>
  <c r="F4925" i="2"/>
  <c r="F5203" i="2"/>
  <c r="G2856" i="2"/>
  <c r="F5309" i="2"/>
  <c r="G2703" i="2"/>
  <c r="F3421" i="2"/>
  <c r="F5273" i="2"/>
  <c r="F3696" i="2"/>
  <c r="F4486" i="2"/>
  <c r="F5217" i="2"/>
  <c r="F3337" i="2"/>
  <c r="F4582" i="2"/>
  <c r="F3983" i="2"/>
  <c r="F4903" i="2"/>
  <c r="F4664" i="2"/>
  <c r="F4282" i="2"/>
  <c r="F2913" i="2"/>
  <c r="G2405" i="2"/>
  <c r="F3174" i="2"/>
  <c r="F4882" i="2"/>
  <c r="G2392" i="2"/>
  <c r="F4494" i="2"/>
  <c r="F4390" i="2"/>
  <c r="F4208" i="2"/>
  <c r="G3" i="2"/>
  <c r="F5331" i="2"/>
  <c r="F4371" i="2"/>
  <c r="F2691" i="2"/>
  <c r="F3127" i="2"/>
  <c r="F5274" i="2"/>
  <c r="F5003" i="2"/>
  <c r="F5216" i="2"/>
  <c r="F2759" i="2"/>
  <c r="G2661" i="2"/>
  <c r="F4525" i="2"/>
  <c r="F3349" i="2"/>
  <c r="F5452" i="2"/>
  <c r="F4066" i="2"/>
  <c r="F3499" i="2"/>
  <c r="F5456" i="2"/>
  <c r="F5432" i="2"/>
  <c r="F3680" i="2"/>
  <c r="F4452" i="2"/>
  <c r="F4275" i="2"/>
  <c r="F4273" i="2"/>
  <c r="F3281" i="2"/>
  <c r="F2688" i="2"/>
  <c r="F4956" i="2"/>
  <c r="F3950" i="2"/>
  <c r="F3473" i="2"/>
  <c r="G2637" i="2"/>
  <c r="F4369" i="2"/>
  <c r="F3122" i="2"/>
  <c r="F4487" i="2"/>
  <c r="F4831" i="2"/>
  <c r="F3433" i="2"/>
  <c r="F3335" i="2"/>
  <c r="F3665" i="2"/>
  <c r="F3187" i="2"/>
  <c r="F3403" i="2"/>
  <c r="F3451" i="2"/>
  <c r="F3060" i="2"/>
  <c r="F2970" i="2"/>
  <c r="F4808" i="2"/>
  <c r="F3858" i="2"/>
  <c r="F3063" i="2"/>
  <c r="F3200" i="2"/>
  <c r="F3529" i="2"/>
  <c r="F3566" i="2"/>
  <c r="F3333" i="2"/>
  <c r="F2816" i="2"/>
  <c r="F4889" i="2"/>
  <c r="F5027" i="2"/>
  <c r="F3469" i="2"/>
  <c r="F3692" i="2"/>
  <c r="F5504" i="2"/>
  <c r="F5508" i="2"/>
  <c r="F2680" i="2"/>
  <c r="F4293" i="2"/>
  <c r="F3437" i="2"/>
  <c r="F4666" i="2"/>
  <c r="F5316" i="2"/>
  <c r="F4050" i="2"/>
  <c r="F2776" i="2"/>
  <c r="F3137" i="2"/>
  <c r="F4684" i="2"/>
  <c r="F2635" i="2"/>
  <c r="F5329" i="2"/>
  <c r="F3098" i="2"/>
  <c r="F3324" i="2"/>
  <c r="F4905" i="2"/>
  <c r="F5397" i="2"/>
  <c r="F5401" i="2"/>
  <c r="F3885" i="2"/>
  <c r="F5462" i="2"/>
  <c r="G2389" i="2"/>
  <c r="F4238" i="2"/>
  <c r="F5209" i="2"/>
  <c r="F3463" i="2"/>
  <c r="F2649" i="2"/>
  <c r="F2670" i="2"/>
  <c r="F4361" i="2"/>
  <c r="F3582" i="2"/>
  <c r="F3381" i="2"/>
  <c r="F3732" i="2"/>
  <c r="F2904" i="2"/>
  <c r="F5345" i="2"/>
  <c r="F3025" i="2"/>
  <c r="F4040" i="2"/>
  <c r="F5275" i="2"/>
  <c r="F4184" i="2"/>
  <c r="F4703" i="2"/>
  <c r="F3810" i="2"/>
  <c r="F2951" i="2"/>
  <c r="F4636" i="2"/>
  <c r="F4166" i="2"/>
  <c r="G2709" i="2"/>
  <c r="F5269" i="2"/>
  <c r="F4082" i="2"/>
  <c r="F4141" i="2"/>
  <c r="F3672" i="2"/>
  <c r="F2424" i="2"/>
  <c r="F3684" i="2"/>
  <c r="F2829" i="2"/>
  <c r="F4340" i="2"/>
  <c r="F5359" i="2"/>
  <c r="G236" i="2"/>
  <c r="F4758" i="2"/>
  <c r="F3669" i="2"/>
  <c r="F4966" i="2"/>
  <c r="F5347" i="2"/>
  <c r="G2894" i="2"/>
  <c r="F4038" i="2"/>
  <c r="F4834" i="2"/>
  <c r="F4653" i="2"/>
  <c r="F4696" i="2"/>
  <c r="F4031" i="2"/>
  <c r="F3940" i="2"/>
  <c r="F2749" i="2"/>
  <c r="F2859" i="2"/>
  <c r="F4383" i="2"/>
  <c r="G2432" i="2"/>
  <c r="F5365" i="2"/>
  <c r="F4693" i="2"/>
  <c r="G3109" i="2"/>
  <c r="F4080" i="2"/>
  <c r="F2858" i="2"/>
  <c r="F4874" i="2"/>
  <c r="F5487" i="2"/>
  <c r="F3306" i="2"/>
  <c r="F4879" i="2"/>
  <c r="F4117" i="2"/>
  <c r="F3175" i="2"/>
  <c r="F4196" i="2"/>
  <c r="F2867" i="2"/>
  <c r="F3761" i="2"/>
  <c r="F3944" i="2"/>
  <c r="G2688" i="2"/>
  <c r="F3363" i="2"/>
  <c r="F4932" i="2"/>
  <c r="G3365" i="2"/>
  <c r="F2975" i="2"/>
  <c r="F5176" i="2"/>
  <c r="F4370" i="2"/>
  <c r="F3280" i="2"/>
  <c r="F5288" i="2"/>
  <c r="F4386" i="2"/>
  <c r="F5466" i="2"/>
  <c r="F3271" i="2"/>
  <c r="F4129" i="2"/>
  <c r="F3302" i="2"/>
  <c r="F4835" i="2"/>
  <c r="F5341" i="2"/>
  <c r="F3022" i="2"/>
  <c r="F3972" i="2"/>
  <c r="F3389" i="2"/>
  <c r="G2777" i="2"/>
  <c r="F3996" i="2"/>
  <c r="F4106" i="2"/>
  <c r="F2738" i="2"/>
  <c r="F3094" i="2"/>
  <c r="F3646" i="2"/>
  <c r="F2897" i="2"/>
  <c r="F4429" i="2"/>
  <c r="F4689" i="2"/>
  <c r="F3250" i="2"/>
  <c r="F4512" i="2"/>
  <c r="F4516" i="2"/>
  <c r="F3006" i="2"/>
  <c r="F4468" i="2"/>
  <c r="F4534" i="2"/>
  <c r="F3808" i="2"/>
  <c r="F4324" i="2"/>
  <c r="F2623" i="2"/>
  <c r="F3088" i="2"/>
  <c r="F4067" i="2"/>
  <c r="F4428" i="2"/>
  <c r="F3193" i="2"/>
  <c r="F4710" i="2"/>
  <c r="F2849" i="2"/>
  <c r="F3976" i="2"/>
  <c r="F4649" i="2"/>
  <c r="F5141" i="2"/>
  <c r="F5145" i="2"/>
  <c r="F3292" i="2"/>
  <c r="F5206" i="2"/>
  <c r="G2840" i="2"/>
  <c r="F2708" i="2"/>
  <c r="F4891" i="2"/>
  <c r="F4592" i="2"/>
  <c r="F3214" i="2"/>
  <c r="F3474" i="2"/>
  <c r="F4105" i="2"/>
  <c r="F3070" i="2"/>
  <c r="F4399" i="2"/>
  <c r="F3429" i="2"/>
  <c r="F2395" i="2"/>
  <c r="F4731" i="2"/>
  <c r="F4999" i="2"/>
  <c r="F4575" i="2"/>
  <c r="F5200" i="2"/>
  <c r="F2420" i="2"/>
  <c r="F5033" i="2"/>
  <c r="F5295" i="2"/>
  <c r="F4748" i="2"/>
  <c r="F4113" i="2"/>
  <c r="F2945" i="2"/>
  <c r="F4231" i="2"/>
  <c r="F4074" i="2"/>
  <c r="F3490" i="2"/>
  <c r="F4496" i="2"/>
  <c r="F3340" i="2"/>
  <c r="F3342" i="2"/>
  <c r="F4431" i="2"/>
  <c r="F2807" i="2"/>
  <c r="F2666" i="2"/>
  <c r="F4935" i="2"/>
  <c r="F3694" i="2"/>
  <c r="F5473" i="2"/>
  <c r="F4623" i="2"/>
  <c r="F4996" i="2"/>
  <c r="F5037" i="2"/>
  <c r="F4440" i="2"/>
  <c r="F3774" i="2"/>
  <c r="F4828" i="2"/>
  <c r="F4552" i="2"/>
  <c r="F3790" i="2"/>
  <c r="F5046" i="2"/>
  <c r="F3936" i="2"/>
  <c r="F3276" i="2"/>
  <c r="F3041" i="2"/>
  <c r="F4785" i="2"/>
  <c r="F4389" i="2"/>
  <c r="F3076" i="2"/>
  <c r="F3034" i="2"/>
  <c r="F5064" i="2"/>
  <c r="F4708" i="2"/>
  <c r="F3861" i="2"/>
  <c r="F5072" i="2"/>
  <c r="F2616" i="2"/>
  <c r="F3973" i="2"/>
  <c r="F5078" i="2"/>
  <c r="F4290" i="2"/>
  <c r="F4192" i="2"/>
  <c r="F3617" i="2"/>
  <c r="F3170" i="2"/>
  <c r="F3722" i="2"/>
  <c r="F4186" i="2"/>
  <c r="F3096" i="2"/>
  <c r="F4435" i="2"/>
  <c r="F5084" i="2"/>
  <c r="F4342" i="2"/>
  <c r="F5328" i="2"/>
  <c r="F4885" i="2"/>
  <c r="F4883" i="2"/>
  <c r="F4175" i="2"/>
  <c r="F4997" i="2"/>
  <c r="F4899" i="2"/>
  <c r="F5210" i="2"/>
  <c r="F4448" i="2"/>
  <c r="F3873" i="2"/>
  <c r="F3671" i="2"/>
  <c r="F5055" i="2"/>
  <c r="F5251" i="2"/>
  <c r="F3101" i="2"/>
  <c r="F3408" i="2"/>
  <c r="F5354" i="2"/>
  <c r="G2716" i="2"/>
  <c r="F3482" i="2"/>
  <c r="F5402" i="2"/>
  <c r="F3616" i="2"/>
  <c r="F4388" i="2"/>
  <c r="F3518" i="2"/>
  <c r="F3633" i="2"/>
  <c r="F3688" i="2"/>
  <c r="F4381" i="2"/>
  <c r="F4170" i="2"/>
  <c r="F3521" i="2"/>
  <c r="F4770" i="2"/>
  <c r="F5367" i="2"/>
  <c r="F3574" i="2"/>
  <c r="F4417" i="2"/>
  <c r="F2823" i="2"/>
  <c r="F3994" i="2"/>
  <c r="F3760" i="2"/>
  <c r="F5191" i="2"/>
  <c r="F4267" i="2"/>
  <c r="F3588" i="2"/>
  <c r="F4760" i="2"/>
  <c r="F4635" i="2"/>
  <c r="F4346" i="2"/>
  <c r="F4927" i="2"/>
  <c r="F2405" i="2"/>
  <c r="F3933" i="2"/>
  <c r="F3937" i="2"/>
  <c r="F3558" i="2"/>
  <c r="F4913" i="2"/>
  <c r="F4645" i="2"/>
  <c r="F2779" i="2"/>
  <c r="F3745" i="2"/>
  <c r="F2790" i="2"/>
  <c r="F2685" i="2"/>
  <c r="F3218" i="2"/>
  <c r="F3849" i="2"/>
  <c r="F2732" i="2"/>
  <c r="F2954" i="2"/>
  <c r="F2740" i="2"/>
  <c r="F2678" i="2"/>
  <c r="F5263" i="2"/>
  <c r="F4578" i="2"/>
  <c r="F4594" i="2"/>
  <c r="F4218" i="2"/>
  <c r="F2908" i="2"/>
  <c r="G2779" i="2"/>
  <c r="F5461" i="2"/>
  <c r="F3826" i="2"/>
  <c r="F3857" i="2"/>
  <c r="F2431" i="2"/>
  <c r="F3975" i="2"/>
  <c r="F5129" i="2"/>
  <c r="F2978" i="2"/>
  <c r="F4240" i="2"/>
  <c r="F4500" i="2"/>
  <c r="F2830" i="2"/>
  <c r="F3018" i="2"/>
  <c r="F4499" i="2"/>
  <c r="F4570" i="2"/>
  <c r="F3277" i="2"/>
  <c r="F4847" i="2"/>
  <c r="F4902" i="2"/>
  <c r="F3919" i="2"/>
  <c r="F4741" i="2"/>
  <c r="F5137" i="2"/>
  <c r="F3205" i="2"/>
  <c r="F2838" i="2"/>
  <c r="F5167" i="2"/>
  <c r="F2383" i="2"/>
  <c r="F4173" i="2"/>
  <c r="F4433" i="2"/>
  <c r="F2733" i="2"/>
  <c r="F4256" i="2"/>
  <c r="F4260" i="2"/>
  <c r="F3085" i="2"/>
  <c r="F3956" i="2"/>
  <c r="F3304" i="2"/>
  <c r="F3531" i="2"/>
  <c r="F4068" i="2"/>
  <c r="F3763" i="2"/>
  <c r="F4907" i="2"/>
  <c r="F4704" i="2"/>
  <c r="F2454" i="2"/>
  <c r="F3620" i="2"/>
  <c r="F2673" i="2"/>
  <c r="F3423" i="2"/>
  <c r="F3894" i="2"/>
  <c r="F3612" i="2"/>
  <c r="F4385" i="2"/>
  <c r="F3803" i="2"/>
  <c r="F4318" i="2"/>
  <c r="F4924" i="2"/>
  <c r="F3492" i="2"/>
  <c r="F4484" i="2"/>
  <c r="F4712" i="2"/>
  <c r="F5477" i="2"/>
  <c r="F2927" i="2"/>
  <c r="F3487" i="2"/>
  <c r="F3876" i="2"/>
  <c r="F3065" i="2"/>
  <c r="F3700" i="2"/>
  <c r="F5163" i="2"/>
  <c r="F3869" i="2"/>
  <c r="F4641" i="2"/>
  <c r="F4695" i="2"/>
  <c r="F5225" i="2"/>
  <c r="F5278" i="2"/>
  <c r="F3442" i="2"/>
  <c r="F3319" i="2"/>
  <c r="G279" i="2"/>
  <c r="G3225" i="2"/>
  <c r="F3874" i="2"/>
  <c r="F5146" i="2"/>
  <c r="F2633" i="2"/>
  <c r="F4132" i="2"/>
  <c r="F2408" i="2"/>
  <c r="F4212" i="2"/>
  <c r="F3359" i="2"/>
  <c r="F4125" i="2"/>
  <c r="F4897" i="2"/>
  <c r="F4124" i="2"/>
  <c r="F5355" i="2"/>
  <c r="F4198" i="2"/>
  <c r="F3943" i="2"/>
  <c r="F3905" i="2"/>
  <c r="F3057" i="2"/>
  <c r="F4255" i="2"/>
  <c r="F4596" i="2"/>
  <c r="F3371" i="2"/>
  <c r="F4640" i="2"/>
  <c r="F3809" i="2"/>
  <c r="F3348" i="2"/>
  <c r="F4884" i="2"/>
  <c r="F5067" i="2"/>
  <c r="F4858" i="2"/>
  <c r="F5239" i="2"/>
  <c r="F5521" i="2"/>
  <c r="F4654" i="2"/>
  <c r="G2776" i="2"/>
  <c r="F4396" i="2"/>
  <c r="F5339" i="2"/>
  <c r="F4954" i="2"/>
  <c r="G2381" i="2"/>
  <c r="F5157" i="2"/>
  <c r="F5321" i="2"/>
  <c r="F4076" i="2"/>
  <c r="F4619" i="2"/>
  <c r="F3036" i="2"/>
  <c r="F3932" i="2"/>
  <c r="F5375" i="2"/>
  <c r="F3934" i="2"/>
  <c r="F3289" i="2"/>
  <c r="F4957" i="2"/>
  <c r="F4961" i="2"/>
  <c r="F3801" i="2"/>
  <c r="F4742" i="2"/>
  <c r="F5068" i="2"/>
  <c r="F4253" i="2"/>
  <c r="F4769" i="2"/>
  <c r="F3596" i="2"/>
  <c r="F4227" i="2"/>
  <c r="F3719" i="2"/>
  <c r="F4873" i="2"/>
  <c r="F4083" i="2"/>
  <c r="F3984" i="2"/>
  <c r="F4244" i="2"/>
  <c r="F2796" i="2"/>
  <c r="F4930" i="2"/>
  <c r="F3663" i="2"/>
  <c r="F4485" i="2"/>
  <c r="F5349" i="2"/>
  <c r="F4629" i="2"/>
  <c r="F2911" i="2"/>
  <c r="F3418" i="2"/>
  <c r="F3717" i="2"/>
  <c r="F4881" i="2"/>
  <c r="F4135" i="2"/>
  <c r="F2833" i="2"/>
  <c r="F5420" i="2"/>
  <c r="F4503" i="2"/>
  <c r="F3917" i="2"/>
  <c r="F4177" i="2"/>
  <c r="F3201" i="2"/>
  <c r="F4000" i="2"/>
  <c r="F4004" i="2"/>
  <c r="F3080" i="2"/>
  <c r="F3387" i="2"/>
  <c r="F5338" i="2"/>
  <c r="F4659" i="2"/>
  <c r="F3812" i="2"/>
  <c r="F3262" i="2"/>
  <c r="F5428" i="2"/>
  <c r="F3755" i="2"/>
  <c r="F3219" i="2"/>
  <c r="F5313" i="2"/>
  <c r="F4123" i="2"/>
  <c r="F3151" i="2"/>
  <c r="F4362" i="2"/>
  <c r="F4263" i="2"/>
  <c r="F3677" i="2"/>
  <c r="F3681" i="2"/>
  <c r="F3927" i="2"/>
  <c r="F4401" i="2"/>
  <c r="F3621" i="2"/>
  <c r="F4576" i="2"/>
  <c r="F3447" i="2"/>
  <c r="F4183" i="2"/>
  <c r="F4643" i="2"/>
  <c r="F3638" i="2"/>
  <c r="F3872" i="2"/>
  <c r="F4644" i="2"/>
  <c r="F4019" i="2"/>
  <c r="F4145" i="2"/>
  <c r="F4133" i="2"/>
  <c r="F4637" i="2"/>
  <c r="F4863" i="2"/>
  <c r="F4569" i="2"/>
  <c r="F3207" i="2"/>
  <c r="F4213" i="2"/>
  <c r="F4075" i="2"/>
  <c r="F4929" i="2"/>
  <c r="F4264" i="2"/>
  <c r="F3557" i="2"/>
  <c r="F4910" i="2"/>
  <c r="F4128" i="2"/>
  <c r="F3051" i="2"/>
  <c r="F3132" i="2"/>
  <c r="F4657" i="2"/>
  <c r="F2430" i="2"/>
  <c r="F4893" i="2"/>
  <c r="F5188" i="2"/>
  <c r="F4767" i="2"/>
  <c r="F3781" i="2"/>
  <c r="F4674" i="2"/>
  <c r="F2658" i="2"/>
  <c r="F4298" i="2"/>
  <c r="F3685" i="2"/>
  <c r="G2615" i="2"/>
  <c r="F4084" i="2"/>
  <c r="F2922" i="2"/>
  <c r="F4384" i="2"/>
  <c r="F3532" i="2"/>
  <c r="F2914" i="2"/>
  <c r="F2686" i="2"/>
  <c r="F5448" i="2"/>
  <c r="F4154" i="2"/>
  <c r="F5444" i="2"/>
  <c r="F3400" i="2"/>
  <c r="F4826" i="2"/>
  <c r="F5243" i="2"/>
  <c r="F3291" i="2"/>
  <c r="F5220" i="2"/>
  <c r="F4709" i="2"/>
  <c r="G2832" i="2"/>
  <c r="F5041" i="2"/>
  <c r="F5192" i="2"/>
  <c r="F4061" i="2"/>
  <c r="F4833" i="2"/>
  <c r="F4571" i="2"/>
  <c r="F4915" i="2"/>
  <c r="F3910" i="2"/>
  <c r="F3726" i="2"/>
  <c r="F5337" i="2"/>
  <c r="F3757" i="2"/>
  <c r="F3622" i="2"/>
  <c r="F3999" i="2"/>
  <c r="F4542" i="2"/>
  <c r="F4962" i="2"/>
  <c r="F5358" i="2"/>
  <c r="G3085" i="2"/>
  <c r="F4209" i="2"/>
  <c r="F4898" i="2"/>
  <c r="F4521" i="2"/>
  <c r="F4323" i="2"/>
  <c r="F3360" i="2"/>
  <c r="F4377" i="2"/>
  <c r="F5381" i="2"/>
  <c r="F5043" i="2"/>
  <c r="F3380" i="2"/>
  <c r="F5248" i="2"/>
  <c r="F5252" i="2"/>
  <c r="F5475" i="2"/>
  <c r="F3848" i="2"/>
  <c r="F3743" i="2"/>
  <c r="F3642" i="2"/>
  <c r="F5034" i="2"/>
  <c r="F4625" i="2"/>
  <c r="F3623" i="2"/>
  <c r="F2828" i="2"/>
  <c r="F5164" i="2"/>
  <c r="F3991" i="2"/>
  <c r="F3661" i="2"/>
  <c r="F3921" i="2"/>
  <c r="F3843" i="2"/>
  <c r="F3744" i="2"/>
  <c r="F3748" i="2"/>
  <c r="F2389" i="2"/>
  <c r="F4403" i="2"/>
  <c r="F5063" i="2"/>
  <c r="F3530" i="2"/>
  <c r="F3536" i="2"/>
  <c r="F3221" i="2"/>
  <c r="F5172" i="2"/>
  <c r="F2835" i="2"/>
  <c r="F3606" i="2"/>
  <c r="F5030" i="2"/>
  <c r="F3609" i="2"/>
  <c r="F4941" i="2"/>
  <c r="F3215" i="2"/>
  <c r="F3751" i="2"/>
  <c r="F3356" i="2"/>
  <c r="F3361" i="2"/>
  <c r="F3426" i="2"/>
  <c r="F3889" i="2"/>
  <c r="F4200" i="2"/>
  <c r="F4320" i="2"/>
  <c r="F2795" i="2"/>
  <c r="F2414" i="2"/>
  <c r="F5040" i="2"/>
  <c r="F3547" i="2"/>
  <c r="F4363" i="2"/>
  <c r="F4887" i="2"/>
  <c r="F3355" i="2"/>
  <c r="F5488" i="2"/>
  <c r="F5387" i="2"/>
  <c r="F3382" i="2"/>
  <c r="F4701" i="2"/>
  <c r="F4705" i="2"/>
  <c r="F4380" i="2"/>
  <c r="F5287" i="2"/>
  <c r="F4867" i="2"/>
  <c r="F3997" i="2"/>
  <c r="F4513" i="2"/>
  <c r="F3611" i="2"/>
  <c r="F3468" i="2"/>
  <c r="F4456" i="2"/>
  <c r="F3035" i="2"/>
  <c r="F4065" i="2"/>
  <c r="F4439" i="2"/>
  <c r="F5460" i="2"/>
  <c r="F4354" i="2"/>
  <c r="F5184" i="2"/>
  <c r="F3742" i="2"/>
  <c r="F3824" i="2"/>
  <c r="F2644" i="2"/>
  <c r="G2837" i="2"/>
  <c r="F3817" i="2"/>
  <c r="F4763" i="2"/>
  <c r="F4014" i="2"/>
  <c r="F4017" i="2"/>
  <c r="F3877" i="2"/>
  <c r="F3527" i="2"/>
  <c r="F4321" i="2"/>
  <c r="F3046" i="2"/>
  <c r="F3806" i="2"/>
  <c r="F5214" i="2"/>
  <c r="F5440" i="2"/>
  <c r="F4720" i="2"/>
  <c r="F4336" i="2"/>
  <c r="F5142" i="2"/>
  <c r="G2965" i="2"/>
  <c r="F4841" i="2"/>
  <c r="F5369" i="2"/>
  <c r="F5128" i="2"/>
  <c r="G2893" i="2"/>
  <c r="F4529" i="2"/>
  <c r="F4901" i="2"/>
  <c r="F3805" i="2"/>
  <c r="F4577" i="2"/>
  <c r="F3524" i="2"/>
  <c r="F5083" i="2"/>
  <c r="F5470" i="2"/>
  <c r="F5227" i="2"/>
  <c r="F5062" i="2"/>
  <c r="F2843" i="2"/>
  <c r="F5398" i="2"/>
  <c r="G3221" i="2"/>
  <c r="F5130" i="2"/>
  <c r="F3384" i="2"/>
  <c r="F5090" i="2"/>
  <c r="G2763" i="2"/>
  <c r="F4912" i="2"/>
  <c r="F5406" i="2"/>
  <c r="F5085" i="2"/>
  <c r="F5119" i="2"/>
  <c r="F4313" i="2"/>
  <c r="F3802" i="2"/>
  <c r="G2712" i="2"/>
  <c r="F4840" i="2"/>
  <c r="F4919" i="2"/>
  <c r="F5050" i="2"/>
  <c r="F3928" i="2"/>
  <c r="G2828" i="2"/>
  <c r="F3968" i="2"/>
  <c r="F5110" i="2"/>
  <c r="F4543" i="2"/>
  <c r="G2454" i="2"/>
  <c r="F4658" i="2"/>
  <c r="F3023" i="2"/>
  <c r="F3811" i="2"/>
  <c r="F4172" i="2"/>
  <c r="F3188" i="2"/>
  <c r="F5215" i="2"/>
  <c r="F4978" i="2"/>
  <c r="F4447" i="2"/>
  <c r="F4137" i="2"/>
  <c r="F4800" i="2"/>
  <c r="F4806" i="2"/>
  <c r="F4464" i="2"/>
  <c r="F4226" i="2"/>
  <c r="G2639" i="2"/>
  <c r="F4755" i="2"/>
  <c r="F4254" i="2"/>
  <c r="F4842" i="2"/>
  <c r="F3254" i="2"/>
  <c r="F3350" i="2"/>
  <c r="F4670" i="2"/>
  <c r="F3110" i="2"/>
  <c r="F4685" i="2"/>
  <c r="F4945" i="2"/>
  <c r="F2819" i="2"/>
  <c r="F2446" i="2"/>
  <c r="F2468" i="2"/>
  <c r="F3471" i="2"/>
  <c r="F3297" i="2"/>
  <c r="F3164" i="2"/>
  <c r="F4064" i="2"/>
  <c r="F4580" i="2"/>
  <c r="F2626" i="2"/>
  <c r="F4699" i="2"/>
  <c r="F4631" i="2"/>
  <c r="F4107" i="2"/>
  <c r="F4242" i="2"/>
  <c r="F4355" i="2"/>
  <c r="F5232" i="2"/>
  <c r="F5492" i="2"/>
  <c r="F2870" i="2"/>
  <c r="F4445" i="2"/>
  <c r="F4449" i="2"/>
  <c r="F3269" i="2"/>
  <c r="F5204" i="2"/>
  <c r="F3758" i="2"/>
  <c r="F3741" i="2"/>
  <c r="F4257" i="2"/>
  <c r="F4315" i="2"/>
  <c r="F4274" i="2"/>
  <c r="F4009" i="2"/>
  <c r="F3107" i="2"/>
  <c r="F4367" i="2"/>
  <c r="F3865" i="2"/>
  <c r="F5120" i="2"/>
  <c r="F5385" i="2"/>
  <c r="F3228" i="2"/>
  <c r="F4943" i="2"/>
  <c r="F4948" i="2"/>
  <c r="F4478" i="2"/>
  <c r="F4940" i="2"/>
  <c r="F4598" i="2"/>
  <c r="F5021" i="2"/>
  <c r="F4682" i="2"/>
  <c r="F5372" i="2"/>
  <c r="F4714" i="2"/>
  <c r="F4726" i="2"/>
  <c r="F4317" i="2"/>
  <c r="F5089" i="2"/>
  <c r="F4143" i="2"/>
  <c r="F4402" i="2"/>
  <c r="F5175" i="2"/>
  <c r="F4715" i="2"/>
  <c r="F4851" i="2"/>
  <c r="F4269" i="2"/>
  <c r="F4894" i="2"/>
  <c r="F3738" i="2"/>
  <c r="F2" i="2"/>
  <c r="F3912" i="2"/>
  <c r="F3411" i="2"/>
  <c r="F5332" i="2"/>
  <c r="F3183" i="2"/>
  <c r="F4573" i="2"/>
  <c r="F3914" i="2"/>
  <c r="F3868" i="2"/>
  <c r="F4063" i="2"/>
  <c r="F5165" i="2"/>
  <c r="F5056" i="2"/>
  <c r="F3119" i="2"/>
  <c r="F4781" i="2"/>
  <c r="G289" i="2"/>
  <c r="F5250" i="2"/>
  <c r="F2762" i="2"/>
  <c r="F4357" i="2"/>
  <c r="F4728" i="2"/>
  <c r="G2929" i="2"/>
  <c r="F3039" i="2"/>
  <c r="F5150" i="2"/>
  <c r="F4829" i="2"/>
  <c r="F4778" i="2"/>
  <c r="F3019" i="2"/>
  <c r="F2939" i="2"/>
  <c r="F3990" i="2"/>
  <c r="F5333" i="2"/>
  <c r="F4338" i="2"/>
  <c r="F3706" i="2"/>
  <c r="F4351" i="2"/>
  <c r="G2627" i="2"/>
  <c r="F3317" i="2"/>
  <c r="F5352" i="2"/>
  <c r="G283" i="2"/>
  <c r="G3505" i="2"/>
  <c r="F4805" i="2"/>
  <c r="F4406" i="2"/>
  <c r="F5376" i="2"/>
  <c r="F4510" i="2"/>
  <c r="F4823" i="2"/>
  <c r="F5334" i="2"/>
  <c r="F4803" i="2"/>
  <c r="F3100" i="2"/>
  <c r="F4229" i="2"/>
  <c r="F5343" i="2"/>
  <c r="F5207" i="2"/>
  <c r="G3081" i="2"/>
  <c r="F4413" i="2"/>
  <c r="F3942" i="2"/>
  <c r="G2655" i="2"/>
  <c r="F3042" i="2"/>
  <c r="F3453" i="2"/>
  <c r="F3125" i="2"/>
  <c r="F2962" i="2"/>
  <c r="F3585" i="2"/>
  <c r="F3149" i="2"/>
  <c r="F4908" i="2"/>
  <c r="F4467" i="2"/>
  <c r="F2672" i="2"/>
  <c r="F5196" i="2"/>
  <c r="F3533" i="2"/>
  <c r="F3555" i="2"/>
  <c r="F4909" i="2"/>
  <c r="F5151" i="2"/>
  <c r="G2901" i="2"/>
  <c r="F5205" i="2"/>
  <c r="F5307" i="2"/>
  <c r="F3678" i="2"/>
  <c r="F3450" i="2"/>
  <c r="F3851" i="2"/>
  <c r="F2729" i="2"/>
  <c r="F2874" i="2"/>
  <c r="F4922" i="2"/>
  <c r="F5236" i="2"/>
  <c r="F2956" i="2"/>
  <c r="F4189" i="2"/>
  <c r="F4193" i="2"/>
  <c r="F4059" i="2"/>
  <c r="F4234" i="2"/>
  <c r="F4868" i="2"/>
  <c r="F3441" i="2"/>
  <c r="F4001" i="2"/>
  <c r="F3027" i="2"/>
  <c r="F2863" i="2"/>
  <c r="F3457" i="2"/>
  <c r="F2810" i="2"/>
  <c r="F3316" i="2"/>
  <c r="F3265" i="2"/>
  <c r="F4779" i="2"/>
  <c r="F5126" i="2"/>
  <c r="F4395" i="2"/>
  <c r="F4410" i="2"/>
  <c r="F4426" i="2"/>
  <c r="F5108" i="2"/>
  <c r="F3299" i="2"/>
  <c r="F3325" i="2"/>
  <c r="F4765" i="2"/>
  <c r="F3658" i="2"/>
  <c r="F5081" i="2"/>
  <c r="F4165" i="2"/>
  <c r="F3535" i="2"/>
  <c r="F3916" i="2"/>
  <c r="F2679" i="2"/>
  <c r="F5180" i="2"/>
  <c r="F4514" i="2"/>
  <c r="F4983" i="2"/>
  <c r="F3625" i="2"/>
  <c r="F3982" i="2"/>
  <c r="F3998" i="2"/>
  <c r="F3952" i="2"/>
  <c r="F5024" i="2"/>
  <c r="G2383" i="2"/>
  <c r="F5312" i="2"/>
  <c r="F2783" i="2"/>
  <c r="F3552" i="2"/>
  <c r="F5481" i="2"/>
  <c r="F3654" i="2"/>
  <c r="F3898" i="2"/>
  <c r="F5380" i="2"/>
  <c r="F3882" i="2"/>
  <c r="F3630" i="2"/>
  <c r="G2773" i="2"/>
  <c r="F3055" i="2"/>
  <c r="F3807" i="2"/>
  <c r="F4819" i="2"/>
  <c r="F3259" i="2"/>
  <c r="G2633" i="2"/>
  <c r="F4480" i="2"/>
  <c r="F4482" i="2"/>
  <c r="F4506" i="2"/>
  <c r="F3890" i="2"/>
  <c r="F4926" i="2"/>
  <c r="F4772" i="2"/>
  <c r="F5032" i="2"/>
  <c r="F4995" i="2"/>
  <c r="F4744" i="2"/>
  <c r="F3690" i="2"/>
  <c r="F4322" i="2"/>
  <c r="F3784" i="2"/>
  <c r="F4302" i="2"/>
  <c r="F4373" i="2"/>
  <c r="G2889" i="2"/>
  <c r="F3313" i="2"/>
  <c r="F5222" i="2"/>
  <c r="F5298" i="2"/>
  <c r="F2684" i="2"/>
  <c r="F4360" i="2"/>
  <c r="F3768" i="2"/>
  <c r="F5114" i="2"/>
  <c r="F3443" i="2"/>
  <c r="F5265" i="2"/>
  <c r="F5058" i="2"/>
  <c r="F5044" i="2"/>
  <c r="F4914" i="2"/>
  <c r="F2660" i="2"/>
  <c r="F5221" i="2"/>
  <c r="F4122" i="2"/>
  <c r="G2755" i="2"/>
  <c r="F3901" i="2"/>
  <c r="F5478" i="2"/>
  <c r="G2399" i="2"/>
  <c r="F4147" i="2"/>
  <c r="F5270" i="2"/>
  <c r="G2648" i="2"/>
  <c r="F4971" i="2"/>
  <c r="F5499" i="2"/>
  <c r="F3629" i="2"/>
  <c r="F3273" i="2"/>
  <c r="F4759" i="2"/>
  <c r="F3365" i="2"/>
  <c r="F2824" i="2"/>
  <c r="F3828" i="2"/>
  <c r="F4182" i="2"/>
  <c r="F3862" i="2"/>
  <c r="F5327" i="2"/>
  <c r="F4248" i="2"/>
  <c r="G2917" i="2"/>
  <c r="G2811" i="2"/>
  <c r="F4732" i="2"/>
  <c r="F2811" i="2"/>
  <c r="G4324" i="2"/>
  <c r="G3509" i="2"/>
  <c r="F2687" i="2"/>
  <c r="F4612" i="2"/>
  <c r="G278" i="2"/>
  <c r="G2679" i="2"/>
  <c r="F4490" i="2"/>
  <c r="G2848" i="2"/>
  <c r="G4559" i="2"/>
  <c r="G3349" i="2"/>
  <c r="F5281" i="2"/>
  <c r="F3886" i="2"/>
  <c r="F5421" i="2"/>
  <c r="F273" i="2"/>
  <c r="F5197" i="2"/>
  <c r="G3670" i="2"/>
  <c r="G3820" i="2"/>
  <c r="F5458" i="2"/>
  <c r="F4366" i="2"/>
  <c r="F4378" i="2"/>
  <c r="G2707" i="2"/>
  <c r="F3618" i="2"/>
  <c r="G2402" i="2"/>
  <c r="G4846" i="2"/>
  <c r="G4808" i="2"/>
  <c r="G3449" i="2"/>
  <c r="F4036" i="2"/>
  <c r="G3001" i="2"/>
  <c r="G4478" i="2"/>
  <c r="G3864" i="2"/>
  <c r="F4441" i="2"/>
  <c r="G280" i="2"/>
  <c r="G4105" i="2"/>
  <c r="G3147" i="2"/>
  <c r="F3091" i="2"/>
  <c r="F4735" i="2"/>
  <c r="F4965" i="2"/>
  <c r="G3149" i="2"/>
  <c r="F5238" i="2"/>
  <c r="G2646" i="2"/>
  <c r="F4149" i="2"/>
  <c r="G2700" i="2"/>
  <c r="F3645" i="2"/>
  <c r="F4694" i="2"/>
  <c r="G2386" i="2"/>
  <c r="F4483" i="2"/>
  <c r="F4261" i="2"/>
  <c r="G3815" i="2"/>
  <c r="G4778" i="2"/>
  <c r="F2840" i="2"/>
  <c r="F3191" i="2"/>
  <c r="F4246" i="2"/>
  <c r="G3161" i="2"/>
  <c r="F4977" i="2"/>
  <c r="G2674" i="2"/>
  <c r="G4855" i="2"/>
  <c r="G4589" i="2"/>
  <c r="G2767" i="2"/>
  <c r="F2618" i="2"/>
  <c r="G2621" i="2"/>
  <c r="G4763" i="2"/>
  <c r="G3380" i="2"/>
  <c r="F3395" i="2"/>
  <c r="F5060" i="2"/>
  <c r="G3886" i="2"/>
  <c r="G3029" i="2"/>
  <c r="F5097" i="2"/>
  <c r="F3954" i="2"/>
  <c r="F5422" i="2"/>
  <c r="G2710" i="2"/>
  <c r="F4206" i="2"/>
  <c r="G2983" i="2"/>
  <c r="G3264" i="2"/>
  <c r="F5109" i="2"/>
  <c r="F5472" i="2"/>
  <c r="F4181" i="2"/>
  <c r="F5314" i="2"/>
  <c r="F4272" i="2"/>
  <c r="F5183" i="2"/>
  <c r="G4708" i="2"/>
  <c r="G3341" i="2"/>
  <c r="F3073" i="2"/>
  <c r="F4289" i="2"/>
  <c r="F4453" i="2"/>
  <c r="G2768" i="2"/>
  <c r="F5416" i="2"/>
  <c r="G3478" i="2"/>
  <c r="G4016" i="2"/>
  <c r="G4370" i="2"/>
  <c r="G3980" i="2"/>
  <c r="G288" i="2"/>
  <c r="G2750" i="2"/>
  <c r="G3437" i="2"/>
  <c r="G4925" i="2"/>
  <c r="F4070" i="2"/>
  <c r="G3849" i="2"/>
  <c r="G2880" i="2"/>
  <c r="F2806" i="2"/>
  <c r="F5057" i="2"/>
  <c r="F3941" i="2"/>
  <c r="G2883" i="2"/>
  <c r="F5181" i="2"/>
  <c r="G3473" i="2"/>
  <c r="G3867" i="2"/>
  <c r="G284" i="2"/>
  <c r="F4224" i="2"/>
  <c r="F3368" i="2"/>
  <c r="G2789" i="2"/>
  <c r="F3675" i="2"/>
  <c r="F3816" i="2"/>
  <c r="G3559" i="2"/>
  <c r="G3978" i="2"/>
  <c r="F2707" i="2"/>
  <c r="F4047" i="2"/>
  <c r="F5290" i="2"/>
  <c r="G2899" i="2"/>
  <c r="F3953" i="2"/>
  <c r="G2781" i="2"/>
  <c r="G3829" i="2"/>
  <c r="G4333" i="2"/>
  <c r="G3710" i="2"/>
  <c r="F5433" i="2"/>
  <c r="G2864" i="2"/>
  <c r="G3987" i="2"/>
  <c r="G4888" i="2"/>
  <c r="F4205" i="2"/>
  <c r="G3253" i="2"/>
  <c r="G3320" i="2"/>
  <c r="G3766" i="2"/>
  <c r="F4073" i="2"/>
  <c r="F5497" i="2"/>
  <c r="F5166" i="2"/>
  <c r="G3569" i="2"/>
  <c r="F4757" i="2"/>
  <c r="G2394" i="2"/>
  <c r="G3203" i="2"/>
  <c r="F2787" i="2"/>
  <c r="F4900" i="2"/>
  <c r="F2396" i="2"/>
  <c r="F4719" i="2"/>
  <c r="F4527" i="2"/>
  <c r="F5279" i="2"/>
  <c r="G4452" i="2"/>
  <c r="G2753" i="2"/>
  <c r="F4291" i="2"/>
  <c r="F3777" i="2"/>
  <c r="F3367" i="2"/>
  <c r="F5335" i="2"/>
  <c r="F4104" i="2"/>
  <c r="G3222" i="2"/>
  <c r="G3635" i="2"/>
  <c r="G4114" i="2"/>
  <c r="G3660" i="2"/>
  <c r="F4102" i="2"/>
  <c r="G3489" i="2"/>
  <c r="G2651" i="2"/>
  <c r="G4669" i="2"/>
  <c r="F3727" i="2"/>
  <c r="G3369" i="2"/>
  <c r="G4910" i="2"/>
  <c r="F5506" i="2"/>
  <c r="F2915" i="2"/>
  <c r="F5155" i="2"/>
  <c r="F5495" i="2"/>
  <c r="F3134" i="2"/>
  <c r="F3749" i="2"/>
  <c r="G3280" i="2"/>
  <c r="G3748" i="2"/>
  <c r="F3081" i="2"/>
  <c r="F4450" i="2"/>
  <c r="F4546" i="2"/>
  <c r="G2393" i="2"/>
  <c r="F4046" i="2"/>
  <c r="F3143" i="2"/>
  <c r="G4489" i="2"/>
  <c r="G3642" i="2"/>
  <c r="F3819" i="2"/>
  <c r="F4904" i="2"/>
  <c r="F5004" i="2"/>
  <c r="G3441" i="2"/>
  <c r="F3015" i="2"/>
  <c r="G3367" i="2"/>
  <c r="G4170" i="2"/>
  <c r="G3020" i="2"/>
  <c r="F2960" i="2"/>
  <c r="F5127" i="2"/>
  <c r="G2999" i="2"/>
  <c r="G4480" i="2"/>
  <c r="G4450" i="2"/>
  <c r="F5161" i="2"/>
  <c r="F4415" i="2"/>
  <c r="G3244" i="2"/>
  <c r="G2441" i="2"/>
  <c r="F4029" i="2"/>
  <c r="F5391" i="2"/>
  <c r="G2725" i="2"/>
  <c r="F4953" i="2"/>
  <c r="F4975" i="2"/>
  <c r="G4900" i="2"/>
  <c r="G3201" i="2"/>
  <c r="F2930" i="2"/>
  <c r="F3649" i="2"/>
  <c r="F3679" i="2"/>
  <c r="G3353" i="2"/>
  <c r="F3697" i="2"/>
  <c r="G2921" i="2"/>
  <c r="G4270" i="2"/>
  <c r="G3424" i="2"/>
  <c r="F4788" i="2"/>
  <c r="F3328" i="2"/>
  <c r="F4469" i="2"/>
  <c r="F4055" i="2"/>
  <c r="F4782" i="2"/>
  <c r="G4516" i="2"/>
  <c r="G2938" i="2"/>
  <c r="G2977" i="2"/>
  <c r="F2703" i="2"/>
  <c r="F5124" i="2"/>
  <c r="G3892" i="2"/>
  <c r="G2882" i="2"/>
  <c r="G4295" i="2"/>
  <c r="G2450" i="2"/>
  <c r="G4873" i="2"/>
  <c r="G2908" i="2"/>
  <c r="F4652" i="2"/>
  <c r="F4934" i="2"/>
  <c r="F3576" i="2"/>
  <c r="G3185" i="2"/>
  <c r="F4312" i="2"/>
  <c r="G3606" i="2"/>
  <c r="G3538" i="2"/>
  <c r="G3209" i="2"/>
  <c r="F2895" i="2"/>
  <c r="F3736" i="2"/>
  <c r="F4647" i="2"/>
  <c r="F5393" i="2"/>
  <c r="F5502" i="2"/>
  <c r="G4196" i="2"/>
  <c r="G2692" i="2"/>
  <c r="F2931" i="2"/>
  <c r="F2923" i="2"/>
  <c r="F4008" i="2"/>
  <c r="F4860" i="2"/>
  <c r="F3634" i="2"/>
  <c r="G2966" i="2"/>
  <c r="G2698" i="2"/>
  <c r="G3858" i="2"/>
  <c r="G3599" i="2"/>
  <c r="F5254" i="2"/>
  <c r="G2865" i="2"/>
  <c r="F2767" i="2"/>
  <c r="G4413" i="2"/>
  <c r="F4642" i="2"/>
  <c r="G2819" i="2"/>
  <c r="G4654" i="2"/>
  <c r="F4856" i="2"/>
  <c r="F4114" i="2"/>
  <c r="F4869" i="2"/>
  <c r="F4024" i="2"/>
  <c r="F3213" i="2"/>
  <c r="F3079" i="2"/>
  <c r="G3751" i="2"/>
  <c r="G4469" i="2"/>
  <c r="F2694" i="2"/>
  <c r="F4963" i="2"/>
  <c r="F5131" i="2"/>
  <c r="G2844" i="2"/>
  <c r="F4964" i="2"/>
  <c r="G2997" i="2"/>
  <c r="G4233" i="2"/>
  <c r="G3386" i="2"/>
  <c r="F3318" i="2"/>
  <c r="F5076" i="2"/>
  <c r="F5405" i="2"/>
  <c r="F4405" i="2"/>
  <c r="F5255" i="2"/>
  <c r="G3111" i="2"/>
  <c r="G4853" i="2"/>
  <c r="G4191" i="2"/>
  <c r="G4748" i="2"/>
  <c r="F4462" i="2"/>
  <c r="G3622" i="2"/>
  <c r="G3456" i="2"/>
  <c r="G4194" i="2"/>
  <c r="F4022" i="2"/>
  <c r="G2859" i="2"/>
  <c r="G4087" i="2"/>
  <c r="G2636" i="2"/>
  <c r="F3484" i="2"/>
  <c r="F4230" i="2"/>
  <c r="G2664" i="2"/>
  <c r="F4508" i="2"/>
  <c r="F4798" i="2"/>
  <c r="G4644" i="2"/>
  <c r="F4646" i="2"/>
  <c r="F3196" i="2"/>
  <c r="F4228" i="2"/>
  <c r="F5219" i="2"/>
  <c r="G3097" i="2"/>
  <c r="F4276" i="2"/>
  <c r="G2409" i="2"/>
  <c r="G4014" i="2"/>
  <c r="G3787" i="2"/>
  <c r="F4585" i="2"/>
  <c r="F4791" i="2"/>
  <c r="F5419" i="2"/>
  <c r="F3635" i="2"/>
  <c r="F5370" i="2"/>
  <c r="G4260" i="2"/>
  <c r="G3445" i="2"/>
  <c r="G4571" i="2"/>
  <c r="F3570" i="2"/>
  <c r="F3813" i="2"/>
  <c r="G3344" i="2"/>
  <c r="G4634" i="2"/>
  <c r="G4899" i="2"/>
  <c r="F5100" i="2"/>
  <c r="G3286" i="2"/>
  <c r="G3795" i="2"/>
  <c r="G3401" i="2"/>
  <c r="F5344" i="2"/>
  <c r="F3925" i="2"/>
  <c r="F5031" i="2"/>
  <c r="F3377" i="2"/>
  <c r="G2677" i="2"/>
  <c r="G4425" i="2"/>
  <c r="G3322" i="2"/>
  <c r="F3062" i="2"/>
  <c r="F4906" i="2"/>
  <c r="F5512" i="2"/>
  <c r="G2448" i="2"/>
  <c r="F5171" i="2"/>
  <c r="G2685" i="2"/>
  <c r="G4815" i="2"/>
  <c r="F4277" i="2"/>
  <c r="G2665" i="2"/>
  <c r="G4398" i="2"/>
  <c r="F3832" i="2"/>
  <c r="F4987" i="2"/>
  <c r="F4424" i="2"/>
  <c r="F4990" i="2"/>
  <c r="F2699" i="2"/>
  <c r="F3475" i="2"/>
  <c r="G3495" i="2"/>
  <c r="G3540" i="2"/>
  <c r="G2816" i="2"/>
  <c r="F5099" i="2"/>
  <c r="F5496" i="2"/>
  <c r="G2643" i="2"/>
  <c r="F4717" i="2"/>
  <c r="G2805" i="2"/>
  <c r="G3977" i="2"/>
  <c r="G3130" i="2"/>
  <c r="F3687" i="2"/>
  <c r="F3786" i="2"/>
  <c r="F5447" i="2"/>
  <c r="G3021" i="2"/>
  <c r="F5494" i="2"/>
  <c r="G2815" i="2"/>
  <c r="G4069" i="2"/>
  <c r="G4882" i="2"/>
  <c r="G4492" i="2"/>
  <c r="F4821" i="2"/>
  <c r="G3366" i="2"/>
  <c r="G3267" i="2"/>
  <c r="G3938" i="2"/>
  <c r="F3416" i="2"/>
  <c r="G2861" i="2"/>
  <c r="G4691" i="2"/>
  <c r="G2380" i="2"/>
  <c r="F4608" i="2"/>
  <c r="F5286" i="2"/>
  <c r="G2408" i="2"/>
  <c r="F3130" i="2"/>
  <c r="F5374" i="2"/>
  <c r="G4388" i="2"/>
  <c r="G3851" i="2"/>
  <c r="F4035" i="2"/>
  <c r="F3716" i="2"/>
  <c r="F3958" i="2"/>
  <c r="G2787" i="2"/>
  <c r="F2871" i="2"/>
  <c r="G2860" i="2"/>
  <c r="G3728" i="2"/>
  <c r="G3531" i="2"/>
  <c r="F3543" i="2"/>
  <c r="F5407" i="2"/>
  <c r="F4262" i="2"/>
  <c r="F2965" i="2"/>
  <c r="F5271" i="2"/>
  <c r="G4004" i="2"/>
  <c r="F3637" i="2"/>
  <c r="G2670" i="2"/>
  <c r="F3150" i="2"/>
  <c r="F3285" i="2"/>
  <c r="G3767" i="2"/>
  <c r="G3812" i="2"/>
  <c r="G3875" i="2"/>
  <c r="F4142" i="2"/>
  <c r="G3030" i="2"/>
  <c r="G2995" i="2"/>
  <c r="G3145" i="2"/>
  <c r="F4730" i="2"/>
  <c r="F4504" i="2"/>
  <c r="F4533" i="2"/>
  <c r="F4016" i="2"/>
  <c r="G2616" i="2"/>
  <c r="G4169" i="2"/>
  <c r="G3066" i="2"/>
  <c r="F2689" i="2"/>
  <c r="F2959" i="2"/>
  <c r="F3352" i="2"/>
  <c r="F4150" i="2"/>
  <c r="F4062" i="2"/>
  <c r="F4454" i="2"/>
  <c r="G3776" i="2"/>
  <c r="G3413" i="2"/>
  <c r="F2448" i="2"/>
  <c r="F4768" i="2"/>
  <c r="G2792" i="2"/>
  <c r="F3440" i="2"/>
  <c r="F4270" i="2"/>
  <c r="G3768" i="2"/>
  <c r="G3706" i="2"/>
  <c r="G3187" i="2"/>
  <c r="F4969" i="2"/>
  <c r="F4862" i="2"/>
  <c r="G4660" i="2"/>
  <c r="G3589" i="2"/>
  <c r="G3106" i="2"/>
  <c r="F4723" i="2"/>
  <c r="G3431" i="2"/>
  <c r="G4362" i="2"/>
  <c r="G2752" i="2"/>
  <c r="F3938" i="2"/>
  <c r="F3491" i="2"/>
  <c r="G3033" i="2"/>
  <c r="F5413" i="2"/>
  <c r="G2732" i="2"/>
  <c r="G3950" i="2"/>
  <c r="G3467" i="2"/>
  <c r="F3884" i="2"/>
  <c r="F4984" i="2"/>
  <c r="F5486" i="2"/>
  <c r="G3213" i="2"/>
  <c r="F5366" i="2"/>
  <c r="G2690" i="2"/>
  <c r="G4123" i="2"/>
  <c r="G2825" i="2"/>
  <c r="F4285" i="2"/>
  <c r="F4958" i="2"/>
  <c r="F4088" i="2"/>
  <c r="F4528" i="2"/>
  <c r="G2671" i="2"/>
  <c r="G3064" i="2"/>
  <c r="G3652" i="2"/>
  <c r="G3368" i="2"/>
  <c r="F4477" i="2"/>
  <c r="G2872" i="2"/>
  <c r="G4441" i="2"/>
  <c r="G2971" i="2"/>
  <c r="G3798" i="2"/>
  <c r="G2720" i="2"/>
  <c r="G3468" i="2"/>
  <c r="G2691" i="2"/>
  <c r="F4096" i="2"/>
  <c r="F4967" i="2"/>
  <c r="G2719" i="2"/>
  <c r="F2639" i="2"/>
  <c r="F5319" i="2"/>
  <c r="G4132" i="2"/>
  <c r="G4603" i="2"/>
  <c r="F3534" i="2"/>
  <c r="F2654" i="2"/>
  <c r="F5482" i="2"/>
  <c r="G2905" i="2"/>
  <c r="F3153" i="2"/>
  <c r="G2659" i="2"/>
  <c r="G2718" i="2"/>
  <c r="G3275" i="2"/>
  <c r="F4140" i="2"/>
  <c r="F5241" i="2"/>
  <c r="F2665" i="2"/>
  <c r="F3208" i="2"/>
  <c r="F5018" i="2"/>
  <c r="G3708" i="2"/>
  <c r="G4867" i="2"/>
  <c r="G3975" i="2"/>
  <c r="F3229" i="2"/>
  <c r="G277" i="2"/>
  <c r="G3511" i="2"/>
  <c r="G4517" i="2"/>
  <c r="G4511" i="2"/>
  <c r="F3495" i="2"/>
  <c r="G3361" i="2"/>
  <c r="G3346" i="2"/>
  <c r="G2878" i="2"/>
  <c r="F5053" i="2"/>
  <c r="F3435" i="2"/>
  <c r="G3173" i="2"/>
  <c r="F3210" i="2"/>
  <c r="G2415" i="2"/>
  <c r="G3913" i="2"/>
  <c r="G2726" i="2"/>
  <c r="F4455" i="2"/>
  <c r="F4673" i="2"/>
  <c r="F4197" i="2"/>
  <c r="F5293" i="2"/>
  <c r="F4970" i="2"/>
  <c r="F3559" i="2"/>
  <c r="G4782" i="2"/>
  <c r="G3157" i="2"/>
  <c r="F4502" i="2"/>
  <c r="F4911" i="2"/>
  <c r="F5431" i="2"/>
  <c r="F4187" i="2"/>
  <c r="F4773" i="2"/>
  <c r="G2914" i="2"/>
  <c r="G3450" i="2"/>
  <c r="G3602" i="2"/>
  <c r="F4524" i="2"/>
  <c r="F5390" i="2"/>
  <c r="G4404" i="2"/>
  <c r="G3245" i="2"/>
  <c r="G3517" i="2"/>
  <c r="F4245" i="2"/>
  <c r="G3175" i="2"/>
  <c r="G3048" i="2"/>
  <c r="F5139" i="2"/>
  <c r="F5493" i="2"/>
  <c r="F4790" i="2"/>
  <c r="G2841" i="2"/>
  <c r="F5471" i="2"/>
  <c r="F5371" i="2"/>
  <c r="G3576" i="2"/>
  <c r="G3211" i="2"/>
  <c r="F4207" i="2"/>
  <c r="F5104" i="2"/>
  <c r="F5230" i="2"/>
  <c r="G2957" i="2"/>
  <c r="F5223" i="2"/>
  <c r="G2740" i="2"/>
  <c r="G4599" i="2"/>
  <c r="G2764" i="2"/>
  <c r="F3773" i="2"/>
  <c r="F3686" i="2"/>
  <c r="G3301" i="2"/>
  <c r="F3467" i="2"/>
  <c r="F5362" i="2"/>
  <c r="G4809" i="2"/>
  <c r="G3595" i="2"/>
  <c r="G4389" i="2"/>
  <c r="F3399" i="2"/>
  <c r="G2693" i="2"/>
  <c r="G4185" i="2"/>
  <c r="G3594" i="2"/>
  <c r="F5266" i="2"/>
  <c r="F3935" i="2"/>
  <c r="G4068" i="2"/>
  <c r="G2945" i="2"/>
  <c r="F3779" i="2"/>
  <c r="F4100" i="2"/>
  <c r="F4974" i="2"/>
  <c r="F5522" i="2"/>
  <c r="F4465" i="2"/>
  <c r="G2631" i="2"/>
  <c r="G2940" i="2"/>
  <c r="G3093" i="2"/>
  <c r="F5059" i="2"/>
  <c r="F4058" i="2"/>
  <c r="F3388" i="2"/>
  <c r="G2846" i="2"/>
  <c r="F3608" i="2"/>
  <c r="G3414" i="2"/>
  <c r="G3459" i="2"/>
  <c r="F5400" i="2"/>
  <c r="F4888" i="2"/>
  <c r="F4437" i="2"/>
  <c r="G2451" i="2"/>
  <c r="F4822" i="2"/>
  <c r="F4814" i="2"/>
  <c r="G4590" i="2"/>
  <c r="G4552" i="2"/>
  <c r="F4472" i="2"/>
  <c r="F4563" i="2"/>
  <c r="G2809" i="2"/>
  <c r="G4222" i="2"/>
  <c r="G3232" i="2"/>
  <c r="G3866" i="2"/>
  <c r="G2417" i="2"/>
  <c r="G4843" i="2"/>
  <c r="G2697" i="2"/>
  <c r="F4541" i="2"/>
  <c r="F3114" i="2"/>
  <c r="G2915" i="2"/>
  <c r="F4795" i="2"/>
  <c r="G287" i="2"/>
  <c r="G3428" i="2"/>
  <c r="G3573" i="2"/>
  <c r="F3369" i="2"/>
  <c r="F4161" i="2"/>
  <c r="F3752" i="2"/>
  <c r="F3131" i="2"/>
  <c r="F4721" i="2"/>
  <c r="G3113" i="2"/>
  <c r="G4526" i="2"/>
  <c r="G3912" i="2"/>
  <c r="F3485" i="2"/>
  <c r="F3845" i="2"/>
  <c r="F5010" i="2"/>
  <c r="F2632" i="2"/>
  <c r="F4328" i="2"/>
  <c r="G4772" i="2"/>
  <c r="G3194" i="2"/>
  <c r="G2911" i="2"/>
  <c r="F3194" i="2"/>
  <c r="F5511" i="2"/>
  <c r="G4148" i="2"/>
  <c r="G4043" i="2"/>
  <c r="G3813" i="2"/>
  <c r="F3800" i="2"/>
  <c r="G2918" i="2"/>
  <c r="G4277" i="2"/>
  <c r="F4162" i="2"/>
  <c r="F4928" i="2"/>
  <c r="F5240" i="2"/>
  <c r="G2780" i="2"/>
  <c r="F4474" i="2"/>
  <c r="G3381" i="2"/>
  <c r="G4937" i="2"/>
  <c r="G2955" i="2"/>
  <c r="F4587" i="2"/>
  <c r="F3870" i="2"/>
  <c r="F4610" i="2"/>
  <c r="G2765" i="2"/>
  <c r="F4314" i="2"/>
  <c r="F4214" i="2"/>
  <c r="G3100" i="2"/>
  <c r="F5291" i="2"/>
  <c r="F2907" i="2"/>
  <c r="F5414" i="2"/>
  <c r="G3045" i="2"/>
  <c r="F3512" i="2"/>
  <c r="F2887" i="2"/>
  <c r="G4553" i="2"/>
  <c r="G3339" i="2"/>
  <c r="G3220" i="2"/>
  <c r="F4032" i="2"/>
  <c r="G2632" i="2"/>
  <c r="G3929" i="2"/>
  <c r="G3338" i="2"/>
  <c r="G2969" i="2"/>
  <c r="F5267" i="2"/>
  <c r="G3804" i="2"/>
  <c r="F4931" i="2"/>
  <c r="F3278" i="2"/>
  <c r="F3579" i="2"/>
  <c r="F3702" i="2"/>
  <c r="F5102" i="2"/>
  <c r="F3383" i="2"/>
  <c r="F5330" i="2"/>
  <c r="G4718" i="2"/>
  <c r="G3848" i="2"/>
  <c r="F3946" i="2"/>
  <c r="F3195" i="2"/>
  <c r="G286" i="2"/>
  <c r="G3329" i="2"/>
  <c r="F2745" i="2"/>
  <c r="G3158" i="2"/>
  <c r="G3581" i="2"/>
  <c r="F3640" i="2"/>
  <c r="F5071" i="2"/>
  <c r="F3345" i="2"/>
  <c r="G282" i="2"/>
  <c r="F5264" i="2"/>
  <c r="F3765" i="2"/>
  <c r="G4334" i="2"/>
  <c r="G4296" i="2"/>
  <c r="G4007" i="2"/>
  <c r="F5429" i="2"/>
  <c r="G2748" i="2"/>
  <c r="G3966" i="2"/>
  <c r="G3739" i="2"/>
  <c r="F4567" i="2"/>
  <c r="F5246" i="2"/>
  <c r="G3172" i="2"/>
  <c r="G3514" i="2"/>
  <c r="F2682" i="2"/>
  <c r="F4545" i="2"/>
  <c r="F4520" i="2"/>
  <c r="G2701" i="2"/>
  <c r="F4549" i="2"/>
  <c r="G2801" i="2"/>
  <c r="G4343" i="2"/>
  <c r="F4086" i="2"/>
  <c r="F3712" i="2"/>
  <c r="F5350" i="2"/>
  <c r="G2728" i="2"/>
  <c r="F3045" i="2"/>
  <c r="G276" i="2"/>
  <c r="G3303" i="2"/>
  <c r="G4661" i="2"/>
  <c r="G2624" i="2"/>
  <c r="F4786" i="2"/>
  <c r="F4988" i="2"/>
  <c r="G2713" i="2"/>
  <c r="F4532" i="2"/>
  <c r="G2429" i="2"/>
  <c r="G4435" i="2"/>
  <c r="G4077" i="2"/>
  <c r="G3454" i="2"/>
  <c r="F4554" i="2"/>
  <c r="G2647" i="2"/>
  <c r="G4623" i="2"/>
  <c r="G4632" i="2"/>
  <c r="G3025" i="2"/>
  <c r="G3542" i="2"/>
  <c r="G4240" i="2"/>
  <c r="F4085" i="2"/>
  <c r="F3231" i="2"/>
  <c r="F4949" i="2"/>
  <c r="F5479" i="2"/>
  <c r="F4461" i="2"/>
  <c r="G2843" i="2"/>
  <c r="G4681" i="2"/>
  <c r="G3578" i="2"/>
  <c r="F3545" i="2"/>
  <c r="F5476" i="2"/>
  <c r="F5149" i="2"/>
  <c r="G2704" i="2"/>
  <c r="F4671" i="2"/>
  <c r="G3053" i="2"/>
  <c r="G4179" i="2"/>
  <c r="F4775" i="2"/>
  <c r="F4352" i="2"/>
  <c r="F5158" i="2"/>
  <c r="G2642" i="2"/>
  <c r="F5244" i="2"/>
  <c r="F3496" i="2"/>
  <c r="G4297" i="2"/>
  <c r="G3083" i="2"/>
  <c r="G4304" i="2"/>
  <c r="F3274" i="2"/>
  <c r="G2431" i="2"/>
  <c r="G3492" i="2"/>
  <c r="G3082" i="2"/>
  <c r="F5485" i="2"/>
  <c r="F5498" i="2"/>
  <c r="G3024" i="2"/>
  <c r="G3943" i="2"/>
  <c r="F3253" i="2"/>
  <c r="F4663" i="2"/>
  <c r="F5418" i="2"/>
  <c r="F3896" i="2"/>
  <c r="F4020" i="2"/>
  <c r="G2985" i="2"/>
  <c r="G4462" i="2"/>
  <c r="G3168" i="2"/>
  <c r="F4329" i="2"/>
  <c r="F4319" i="2"/>
  <c r="F5231" i="2"/>
  <c r="G2737" i="2"/>
  <c r="F3871" i="2"/>
  <c r="G2874" i="2"/>
  <c r="G2468" i="2"/>
  <c r="G3273" i="2"/>
  <c r="F3770" i="2"/>
  <c r="F3992" i="2"/>
  <c r="F3007" i="2"/>
  <c r="F4973" i="2"/>
  <c r="G3125" i="2"/>
  <c r="G4078" i="2"/>
  <c r="G4040" i="2"/>
  <c r="G4223" i="2"/>
  <c r="F5519" i="2"/>
  <c r="F3906" i="2"/>
  <c r="G3632" i="2"/>
  <c r="G3483" i="2"/>
  <c r="F2435" i="2"/>
  <c r="F5213" i="2"/>
  <c r="G4836" i="2"/>
  <c r="G3258" i="2"/>
  <c r="F4199" i="2"/>
  <c r="F4033" i="2"/>
  <c r="F3456" i="2"/>
  <c r="G2640" i="2"/>
  <c r="F5417" i="2"/>
  <c r="F5303" i="2"/>
  <c r="G4947" i="2"/>
  <c r="F5229" i="2"/>
  <c r="F4287" i="2"/>
  <c r="F5079" i="2"/>
  <c r="G2472" i="2"/>
  <c r="F3519" i="2"/>
  <c r="F4054" i="2"/>
  <c r="G3047" i="2"/>
  <c r="G3877" i="2"/>
  <c r="G2663" i="2"/>
  <c r="F5395" i="2"/>
  <c r="F5389" i="2"/>
  <c r="G2652" i="2"/>
  <c r="F3472" i="2"/>
  <c r="F4804" i="2"/>
  <c r="G4827" i="2"/>
  <c r="G3816" i="2"/>
  <c r="G3198" i="2"/>
  <c r="F4481" i="2"/>
  <c r="F5394" i="2"/>
  <c r="G3196" i="2"/>
  <c r="G4376" i="2"/>
  <c r="F4994" i="2"/>
  <c r="F4750" i="2"/>
  <c r="G4617" i="2"/>
  <c r="G3659" i="2"/>
  <c r="F3628" i="2"/>
  <c r="F3272" i="2"/>
  <c r="F4811" i="2"/>
  <c r="G2420" i="2"/>
  <c r="G272" i="2"/>
  <c r="G3350" i="2"/>
  <c r="G3325" i="2"/>
  <c r="G2953" i="2"/>
  <c r="F4669" i="2"/>
  <c r="F3615" i="2"/>
  <c r="G3237" i="2"/>
  <c r="F4394" i="2"/>
  <c r="F4754" i="2"/>
  <c r="G3940" i="2"/>
  <c r="G4795" i="2"/>
  <c r="F2766" i="2"/>
  <c r="F4356" i="2"/>
  <c r="F4511" i="2"/>
  <c r="F4341" i="2"/>
  <c r="F4827" i="2"/>
  <c r="G3121" i="2"/>
  <c r="G3122" i="2"/>
  <c r="G3208" i="2"/>
  <c r="G3343" i="2"/>
  <c r="F5245" i="2"/>
  <c r="F5357" i="2"/>
  <c r="G3931" i="2"/>
  <c r="G4157" i="2"/>
  <c r="G3534" i="2"/>
  <c r="G3687" i="2"/>
  <c r="G4159" i="2"/>
  <c r="F3216" i="2"/>
  <c r="F3546" i="2"/>
  <c r="F5162" i="2"/>
  <c r="G3289" i="2"/>
  <c r="F4531" i="2"/>
  <c r="G2793" i="2"/>
  <c r="G4206" i="2"/>
  <c r="G3723" i="2"/>
  <c r="F3083" i="2"/>
  <c r="F4466" i="2"/>
  <c r="F3974" i="2"/>
  <c r="G2676" i="2"/>
  <c r="F4766" i="2"/>
  <c r="G3553" i="2"/>
  <c r="F5218" i="2"/>
  <c r="G3017" i="2"/>
  <c r="F4797" i="2"/>
  <c r="F4479" i="2"/>
  <c r="F3103" i="2"/>
  <c r="F3949" i="2"/>
  <c r="G2421" i="2"/>
  <c r="G3817" i="2"/>
  <c r="G3976" i="2"/>
  <c r="G4378" i="2"/>
  <c r="F4538" i="2"/>
  <c r="G3397" i="2"/>
  <c r="G4697" i="2"/>
  <c r="G3227" i="2"/>
  <c r="F4946" i="2"/>
  <c r="F3674" i="2"/>
  <c r="G4580" i="2"/>
  <c r="G3002" i="2"/>
  <c r="F2648" i="2"/>
  <c r="F3489" i="2"/>
  <c r="F3178" i="2"/>
  <c r="G2384" i="2"/>
  <c r="F5483" i="2"/>
  <c r="G2973" i="2"/>
  <c r="G3923" i="2"/>
  <c r="F2875" i="2"/>
  <c r="F4844" i="2"/>
  <c r="F5000" i="2"/>
  <c r="F4278" i="2"/>
  <c r="F2677" i="2"/>
  <c r="F5242" i="2"/>
  <c r="G2650" i="2"/>
  <c r="G4592" i="2"/>
  <c r="G2407" i="2"/>
  <c r="F5237" i="2"/>
  <c r="F5399" i="2"/>
  <c r="G2396" i="2"/>
  <c r="F3226" i="2"/>
  <c r="G3241" i="2"/>
  <c r="G4047" i="2"/>
  <c r="G3060" i="2"/>
  <c r="G2942" i="2"/>
  <c r="F3404" i="2"/>
  <c r="F3307" i="2"/>
  <c r="G4734" i="2"/>
  <c r="G4120" i="2"/>
  <c r="F5411" i="2"/>
  <c r="F3701" i="2"/>
  <c r="G4361" i="2"/>
  <c r="G3403" i="2"/>
  <c r="F4331" i="2"/>
  <c r="F5348" i="2"/>
  <c r="F5256" i="2"/>
  <c r="F5379" i="2"/>
  <c r="F4006" i="2"/>
  <c r="G3094" i="2"/>
  <c r="G2459" i="2"/>
  <c r="G2761" i="2"/>
  <c r="F4157" i="2"/>
  <c r="G275" i="2"/>
  <c r="G2981" i="2"/>
  <c r="F3351" i="2"/>
  <c r="F4787" i="2"/>
  <c r="G3536" i="2"/>
  <c r="G4099" i="2"/>
  <c r="F2845" i="2"/>
  <c r="F3844" i="2"/>
  <c r="F5403" i="2"/>
  <c r="G3417" i="2"/>
  <c r="F5268" i="2"/>
  <c r="G3133" i="2"/>
  <c r="G4411" i="2"/>
  <c r="G4845" i="2"/>
  <c r="G3087" i="2"/>
  <c r="F4613" i="2"/>
  <c r="G2989" i="2"/>
  <c r="G4407" i="2"/>
  <c r="G3901" i="2"/>
  <c r="F5520" i="2"/>
  <c r="G2403" i="2"/>
  <c r="G4142" i="2"/>
  <c r="G3285" i="2"/>
  <c r="F5388" i="2"/>
  <c r="F2794" i="2"/>
  <c r="F3718" i="2"/>
  <c r="F2944" i="2"/>
  <c r="F5106" i="2"/>
  <c r="G3239" i="2"/>
  <c r="G4432" i="2"/>
  <c r="F5202" i="2"/>
  <c r="F3854" i="2"/>
  <c r="F3267" i="2"/>
  <c r="G2387" i="2"/>
  <c r="F3693" i="2"/>
  <c r="G2744" i="2"/>
  <c r="G3653" i="2"/>
  <c r="G2854" i="2"/>
  <c r="F3186" i="2"/>
  <c r="F4801" i="2"/>
  <c r="F4442" i="2"/>
  <c r="G2829" i="2"/>
  <c r="F4711" i="2"/>
  <c r="G3734" i="2"/>
  <c r="G4784" i="2"/>
  <c r="G4626" i="2"/>
  <c r="G4236" i="2"/>
  <c r="F4376" i="2"/>
  <c r="G3110" i="2"/>
  <c r="G3586" i="2"/>
  <c r="G3528" i="2"/>
  <c r="G3679" i="2"/>
  <c r="F3764" i="2"/>
  <c r="F5039" i="2"/>
  <c r="F5378" i="2"/>
  <c r="G2853" i="2"/>
  <c r="G2759" i="2"/>
  <c r="G4916" i="2"/>
  <c r="G4390" i="2"/>
  <c r="F4998" i="2"/>
  <c r="G3250" i="2"/>
  <c r="G3678" i="2"/>
  <c r="G4909" i="2"/>
  <c r="G3663" i="2"/>
  <c r="F5382" i="2"/>
  <c r="G3174" i="2"/>
  <c r="G3491" i="2"/>
  <c r="G4258" i="2"/>
  <c r="G3868" i="2"/>
  <c r="G4523" i="2"/>
  <c r="G3908" i="2"/>
  <c r="G4299" i="2"/>
  <c r="G4272" i="2"/>
  <c r="G4703" i="2"/>
  <c r="G4620" i="2"/>
  <c r="F3264" i="2"/>
  <c r="G3383" i="2"/>
  <c r="G4218" i="2"/>
  <c r="G4387" i="2"/>
  <c r="G4700" i="2"/>
  <c r="F5500" i="2"/>
  <c r="G4548" i="2"/>
  <c r="G4427" i="2"/>
  <c r="G2931" i="2"/>
  <c r="G4818" i="2"/>
  <c r="G4428" i="2"/>
  <c r="G2992" i="2"/>
  <c r="G3962" i="2"/>
  <c r="G3254" i="2"/>
  <c r="G3080" i="2"/>
  <c r="G3625" i="2"/>
  <c r="G3784" i="2"/>
  <c r="F4288" i="2"/>
  <c r="G3013" i="2"/>
  <c r="G4505" i="2"/>
  <c r="G3291" i="2"/>
  <c r="G4810" i="2"/>
  <c r="G4527" i="2"/>
  <c r="F4005" i="2"/>
  <c r="G3605" i="2"/>
  <c r="G3588" i="2"/>
  <c r="G4168" i="2"/>
  <c r="G2452" i="2"/>
  <c r="F4843" i="2"/>
  <c r="G3141" i="2"/>
  <c r="G4350" i="2"/>
  <c r="G4760" i="2"/>
  <c r="G2833" i="2"/>
  <c r="G3105" i="2"/>
  <c r="F5182" i="2"/>
  <c r="G3226" i="2"/>
  <c r="G3778" i="2"/>
  <c r="G4602" i="2"/>
  <c r="G4395" i="2"/>
  <c r="F4700" i="2"/>
  <c r="G2681" i="2"/>
  <c r="G4670" i="2"/>
  <c r="G4568" i="2"/>
  <c r="G4828" i="2"/>
  <c r="F4311" i="2"/>
  <c r="G4804" i="2"/>
  <c r="G4871" i="2"/>
  <c r="G4549" i="2"/>
  <c r="G4519" i="2"/>
  <c r="F5199" i="2"/>
  <c r="G3129" i="2"/>
  <c r="G4286" i="2"/>
  <c r="G4184" i="2"/>
  <c r="G3593" i="2"/>
  <c r="G3378" i="2"/>
  <c r="G2796" i="2"/>
  <c r="G3296" i="2"/>
  <c r="G3910" i="2"/>
  <c r="G3949" i="2"/>
  <c r="G3326" i="2"/>
  <c r="F3969" i="2"/>
  <c r="G2391" i="2"/>
  <c r="G3895" i="2"/>
  <c r="G4541" i="2"/>
  <c r="G3662" i="2"/>
  <c r="G4320" i="2"/>
  <c r="G2813" i="2"/>
  <c r="G4264" i="2"/>
  <c r="G3990" i="2"/>
  <c r="G3725" i="2"/>
  <c r="G3134" i="2"/>
  <c r="F3501" i="2"/>
  <c r="G2904" i="2"/>
  <c r="G4151" i="2"/>
  <c r="G4349" i="2"/>
  <c r="G4609" i="2"/>
  <c r="F5101" i="2"/>
  <c r="G4366" i="2"/>
  <c r="G4282" i="2"/>
  <c r="G3316" i="2"/>
  <c r="G3262" i="2"/>
  <c r="F4991" i="2"/>
  <c r="G3069" i="2"/>
  <c r="G4243" i="2"/>
  <c r="G4221" i="2"/>
  <c r="G2975" i="2"/>
  <c r="G4117" i="2"/>
  <c r="G3005" i="2"/>
  <c r="G4685" i="2"/>
  <c r="G4467" i="2"/>
  <c r="G3986" i="2"/>
  <c r="G3727" i="2"/>
  <c r="F4168" i="2"/>
  <c r="G2982" i="2"/>
  <c r="G3667" i="2"/>
  <c r="G4322" i="2"/>
  <c r="G3807" i="2"/>
  <c r="G4031" i="2"/>
  <c r="G3510" i="2"/>
  <c r="G3822" i="2"/>
  <c r="G4787" i="2"/>
  <c r="G2952" i="2"/>
  <c r="G3535" i="2"/>
  <c r="F4398" i="2"/>
  <c r="G3302" i="2"/>
  <c r="F4662" i="2"/>
  <c r="G3876" i="2"/>
  <c r="G4745" i="2"/>
  <c r="G2934" i="2"/>
  <c r="G4579" i="2"/>
  <c r="G3677" i="2"/>
  <c r="G3340" i="2"/>
  <c r="F3520" i="2"/>
  <c r="G3754" i="2"/>
  <c r="G4204" i="2"/>
  <c r="G4434" i="2"/>
  <c r="G4300" i="2"/>
  <c r="F3866" i="2"/>
  <c r="G3063" i="2"/>
  <c r="G4709" i="2"/>
  <c r="G4767" i="2"/>
  <c r="G4892" i="2"/>
  <c r="F3288" i="2"/>
  <c r="G4457" i="2"/>
  <c r="G3427" i="2"/>
  <c r="G4779" i="2"/>
  <c r="G2852" i="2"/>
  <c r="F3651" i="2"/>
  <c r="F5386" i="2"/>
  <c r="G4020" i="2"/>
  <c r="G3461" i="2"/>
  <c r="G2721" i="2"/>
  <c r="G4481" i="2"/>
  <c r="F4130" i="2"/>
  <c r="G3192" i="2"/>
  <c r="G2984" i="2"/>
  <c r="G2919" i="2"/>
  <c r="G3649" i="2"/>
  <c r="F4163" i="2"/>
  <c r="G4572" i="2"/>
  <c r="F3891" i="2"/>
  <c r="G4292" i="2"/>
  <c r="G4451" i="2"/>
  <c r="G2964" i="2"/>
  <c r="G4927" i="2"/>
  <c r="F4110" i="2"/>
  <c r="G2425" i="2"/>
  <c r="G4030" i="2"/>
  <c r="G3928" i="2"/>
  <c r="G3249" i="2"/>
  <c r="G3834" i="2"/>
  <c r="G2741" i="2"/>
  <c r="G3499" i="2"/>
  <c r="G3096" i="2"/>
  <c r="G3572" i="2"/>
  <c r="G3070" i="2"/>
  <c r="F4548" i="2"/>
  <c r="F5144" i="2"/>
  <c r="G4499" i="2"/>
  <c r="G4285" i="2"/>
  <c r="G3406" i="2"/>
  <c r="G3008" i="2"/>
  <c r="F3549" i="2"/>
  <c r="G3716" i="2"/>
  <c r="G3416" i="2"/>
  <c r="G2702" i="2"/>
  <c r="G2862" i="2"/>
  <c r="F4225" i="2"/>
  <c r="G2877" i="2"/>
  <c r="G4755" i="2"/>
  <c r="G4093" i="2"/>
  <c r="G4353" i="2"/>
  <c r="F4656" i="2"/>
  <c r="G3854" i="2"/>
  <c r="G4293" i="2"/>
  <c r="G4872" i="2"/>
  <c r="G3006" i="2"/>
  <c r="F4737" i="2"/>
  <c r="G2418" i="2"/>
  <c r="G4879" i="2"/>
  <c r="G3965" i="2"/>
  <c r="G3598" i="2"/>
  <c r="G4896" i="2"/>
  <c r="G2653" i="2"/>
  <c r="G4173" i="2"/>
  <c r="G4719" i="2"/>
  <c r="G3672" i="2"/>
  <c r="G3471" i="2"/>
  <c r="F3698" i="2"/>
  <c r="G3233" i="2"/>
  <c r="G2807" i="2"/>
  <c r="G4066" i="2"/>
  <c r="G3551" i="2"/>
  <c r="G4346" i="2"/>
  <c r="G2998" i="2"/>
  <c r="G4813" i="2"/>
  <c r="G4923" i="2"/>
  <c r="G4781" i="2"/>
  <c r="G3279" i="2"/>
  <c r="F3580" i="2"/>
  <c r="G3046" i="2"/>
  <c r="G3394" i="2"/>
  <c r="G3874" i="2"/>
  <c r="G4134" i="2"/>
  <c r="F5105" i="2"/>
  <c r="G4539" i="2"/>
  <c r="G3166" i="2"/>
  <c r="G4653" i="2"/>
  <c r="G3407" i="2"/>
  <c r="F5415" i="2"/>
  <c r="G2895" i="2"/>
  <c r="F5474" i="2"/>
  <c r="G4002" i="2"/>
  <c r="G3248" i="2"/>
  <c r="G4739" i="2"/>
  <c r="G3783" i="2"/>
  <c r="G4575" i="2"/>
  <c r="G3683" i="2"/>
  <c r="G3516" i="2"/>
  <c r="G4364" i="2"/>
  <c r="F5299" i="2"/>
  <c r="G3127" i="2"/>
  <c r="G4901" i="2"/>
  <c r="G4683" i="2"/>
  <c r="G4444" i="2"/>
  <c r="F3740" i="2"/>
  <c r="G4036" i="2"/>
  <c r="G3847" i="2"/>
  <c r="G3058" i="2"/>
  <c r="G4562" i="2"/>
  <c r="G4172" i="2"/>
  <c r="F3864" i="2"/>
  <c r="G3447" i="2"/>
  <c r="G4303" i="2"/>
  <c r="G4586" i="2"/>
  <c r="G3019" i="2"/>
  <c r="F3929" i="2"/>
  <c r="G3136" i="2"/>
  <c r="G2758" i="2"/>
  <c r="G4747" i="2"/>
  <c r="F4896" i="2"/>
  <c r="G3482" i="2"/>
  <c r="G4305" i="2"/>
  <c r="G3802" i="2"/>
  <c r="F2668" i="2"/>
  <c r="F3880" i="2"/>
  <c r="G3600" i="2"/>
  <c r="G237" i="2"/>
  <c r="G4075" i="2"/>
  <c r="G4417" i="2"/>
  <c r="F4566" i="2"/>
  <c r="G4051" i="2"/>
  <c r="G4775" i="2"/>
  <c r="G4950" i="2"/>
  <c r="G3952" i="2"/>
  <c r="F3461" i="2"/>
  <c r="F4837" i="2"/>
  <c r="G2980" i="2"/>
  <c r="G3722" i="2"/>
  <c r="G3811" i="2"/>
  <c r="G4262" i="2"/>
  <c r="F4146" i="2"/>
  <c r="G4563" i="2"/>
  <c r="G3409" i="2"/>
  <c r="G4022" i="2"/>
  <c r="G3410" i="2"/>
  <c r="F4012" i="2"/>
  <c r="G4097" i="2"/>
  <c r="F4562" i="2"/>
  <c r="G4841" i="2"/>
  <c r="G4208" i="2"/>
  <c r="G4616" i="2"/>
  <c r="G3513" i="2"/>
  <c r="F3713" i="2"/>
  <c r="G2717" i="2"/>
  <c r="G3855" i="2"/>
  <c r="G3629" i="2"/>
  <c r="G3342" i="2"/>
  <c r="G4144" i="2"/>
  <c r="G2695" i="2"/>
  <c r="G3444" i="2"/>
  <c r="G4934" i="2"/>
  <c r="G4717" i="2"/>
  <c r="G3215" i="2"/>
  <c r="F4848" i="2"/>
  <c r="G3165" i="2"/>
  <c r="G3202" i="2"/>
  <c r="G3801" i="2"/>
  <c r="G3295" i="2"/>
  <c r="G3112" i="2"/>
  <c r="G3265" i="2"/>
  <c r="G4301" i="2"/>
  <c r="G3580" i="2"/>
  <c r="G4525" i="2"/>
  <c r="G3023" i="2"/>
  <c r="F4706" i="2"/>
  <c r="G2390" i="2"/>
  <c r="G2803" i="2"/>
  <c r="G3272" i="2"/>
  <c r="G3878" i="2"/>
  <c r="F4660" i="2"/>
  <c r="G3959" i="2"/>
  <c r="G2897" i="2"/>
  <c r="G4397" i="2"/>
  <c r="G3151" i="2"/>
  <c r="F4740" i="2"/>
  <c r="G3585" i="2"/>
  <c r="G4187" i="2"/>
  <c r="G3704" i="2"/>
  <c r="G3743" i="2"/>
  <c r="G4890" i="2"/>
  <c r="G3271" i="2"/>
  <c r="G4722" i="2"/>
  <c r="G2838" i="2"/>
  <c r="G4754" i="2"/>
  <c r="G4108" i="2"/>
  <c r="F5510" i="2"/>
  <c r="G2847" i="2"/>
  <c r="G4133" i="2"/>
  <c r="G3999" i="2"/>
  <c r="G4188" i="2"/>
  <c r="F2918" i="2"/>
  <c r="G2887" i="2"/>
  <c r="G4875" i="2"/>
  <c r="G2910" i="2"/>
  <c r="G4306" i="2"/>
  <c r="G3916" i="2"/>
  <c r="G273" i="2"/>
  <c r="G3191" i="2"/>
  <c r="G4325" i="2"/>
  <c r="G4629" i="2"/>
  <c r="G4271" i="2"/>
  <c r="F5443" i="2"/>
  <c r="G4949" i="2"/>
  <c r="G3568" i="2"/>
  <c r="G4178" i="2"/>
  <c r="G4044" i="2"/>
  <c r="F3003" i="2"/>
  <c r="G2714" i="2"/>
  <c r="G3925" i="2"/>
  <c r="G3697" i="2"/>
  <c r="G4636" i="2"/>
  <c r="F3631" i="2"/>
  <c r="G3945" i="2"/>
  <c r="G3154" i="2"/>
  <c r="G4298" i="2"/>
  <c r="G4011" i="2"/>
  <c r="F2997" i="2"/>
  <c r="F5463" i="2"/>
  <c r="G3740" i="2"/>
  <c r="F4661" i="2"/>
  <c r="G4363" i="2"/>
  <c r="G4225" i="2"/>
  <c r="F5392" i="2"/>
  <c r="G4585" i="2"/>
  <c r="G2778" i="2"/>
  <c r="G4053" i="2"/>
  <c r="G4323" i="2"/>
  <c r="F2705" i="2"/>
  <c r="F5514" i="2"/>
  <c r="G2435" i="2"/>
  <c r="F2429" i="2"/>
  <c r="F2719" i="2"/>
  <c r="F3733" i="2"/>
  <c r="F2715" i="2"/>
  <c r="G4706" i="2"/>
  <c r="G3571" i="2"/>
  <c r="G3189" i="2"/>
  <c r="G4008" i="2"/>
  <c r="G4502" i="2"/>
  <c r="G3469" i="2"/>
  <c r="F4515" i="2"/>
  <c r="F5518" i="2"/>
  <c r="G4724" i="2"/>
  <c r="G2879" i="2"/>
  <c r="G4000" i="2"/>
  <c r="G3942" i="2"/>
  <c r="F5061" i="2"/>
  <c r="G3636" i="2"/>
  <c r="G3183" i="2"/>
  <c r="G2930" i="2"/>
  <c r="G3994" i="2"/>
  <c r="F3488" i="2"/>
  <c r="G281" i="2"/>
  <c r="G4569" i="2"/>
  <c r="G3611" i="2"/>
  <c r="G4234" i="2"/>
  <c r="G4783" i="2"/>
  <c r="F3989" i="2"/>
  <c r="G4112" i="2"/>
  <c r="G3311" i="2"/>
  <c r="G4631" i="2"/>
  <c r="G4912" i="2"/>
  <c r="F2617" i="2"/>
  <c r="G3288" i="2"/>
  <c r="F2713" i="2"/>
  <c r="G2956" i="2"/>
  <c r="G2635" i="2"/>
  <c r="G4141" i="2"/>
  <c r="G2886" i="2"/>
  <c r="F5211" i="2"/>
  <c r="G2835" i="2"/>
  <c r="G4663" i="2"/>
  <c r="G4733" i="2"/>
  <c r="G3487" i="2"/>
  <c r="G4154" i="2"/>
  <c r="G3382" i="2"/>
  <c r="G4210" i="2"/>
  <c r="G4027" i="2"/>
  <c r="G4498" i="2"/>
  <c r="G3852" i="2"/>
  <c r="F4796" i="2"/>
  <c r="G3494" i="2"/>
  <c r="G4832" i="2"/>
  <c r="G4834" i="2"/>
  <c r="G3932" i="2"/>
  <c r="F2786" i="2"/>
  <c r="G3399" i="2"/>
  <c r="G4850" i="2"/>
  <c r="G4443" i="2"/>
  <c r="G4050" i="2"/>
  <c r="G3440" i="2"/>
  <c r="F3539" i="2"/>
  <c r="G2935" i="2"/>
  <c r="G2892" i="2"/>
  <c r="G3845" i="2"/>
  <c r="G4902" i="2"/>
  <c r="F5015" i="2"/>
  <c r="G4880" i="2"/>
  <c r="G3567" i="2"/>
  <c r="G3922" i="2"/>
  <c r="G3772" i="2"/>
  <c r="F4127" i="2"/>
  <c r="G3686" i="2"/>
  <c r="G4640" i="2"/>
  <c r="G4770" i="2"/>
  <c r="G4380" i="2"/>
  <c r="F3148" i="2"/>
  <c r="G4932" i="2"/>
  <c r="G2404" i="2"/>
  <c r="G4789" i="2"/>
  <c r="G4487" i="2"/>
  <c r="F3224" i="2"/>
  <c r="F5103" i="2"/>
  <c r="G2770" i="2"/>
  <c r="G4891" i="2"/>
  <c r="G4807" i="2"/>
  <c r="G3969" i="2"/>
  <c r="F4077" i="2"/>
  <c r="G4073" i="2"/>
  <c r="G3506" i="2"/>
  <c r="G4544" i="2"/>
  <c r="G4331" i="2"/>
  <c r="F2451" i="2"/>
  <c r="F4818" i="2"/>
  <c r="G3825" i="2"/>
  <c r="G4583" i="2"/>
  <c r="F3320" i="2"/>
  <c r="G3116" i="2"/>
  <c r="F4584" i="2"/>
  <c r="G2970" i="2"/>
  <c r="G3953" i="2"/>
  <c r="G4447" i="2"/>
  <c r="F2698" i="2"/>
  <c r="F4118" i="2"/>
  <c r="G3831" i="2"/>
  <c r="G4291" i="2"/>
  <c r="G4551" i="2"/>
  <c r="G4161" i="2"/>
  <c r="F4794" i="2"/>
  <c r="G3452" i="2"/>
  <c r="G4666" i="2"/>
  <c r="G4438" i="2"/>
  <c r="G3555" i="2"/>
  <c r="F4203" i="2"/>
  <c r="F4392" i="2"/>
  <c r="G4788" i="2"/>
  <c r="G3466" i="2"/>
  <c r="G3043" i="2"/>
  <c r="G4006" i="2"/>
  <c r="F5396" i="2"/>
  <c r="G4175" i="2"/>
  <c r="G2836" i="2"/>
  <c r="G4497" i="2"/>
  <c r="G2630" i="2"/>
  <c r="F3190" i="2"/>
  <c r="F3930" i="2"/>
  <c r="F3573" i="2"/>
  <c r="F3508" i="2"/>
  <c r="F3840" i="2"/>
  <c r="F5111" i="2"/>
  <c r="F4816" i="2"/>
  <c r="G3379" i="2"/>
  <c r="G4693" i="2"/>
  <c r="G2795" i="2"/>
  <c r="G4557" i="2"/>
  <c r="G3863" i="2"/>
  <c r="G4512" i="2"/>
  <c r="F4559" i="2"/>
  <c r="G2821" i="2"/>
  <c r="G4249" i="2"/>
  <c r="G3035" i="2"/>
  <c r="G4042" i="2"/>
  <c r="G2730" i="2"/>
  <c r="F3766" i="2"/>
  <c r="G2625" i="2"/>
  <c r="G4844" i="2"/>
  <c r="G4394" i="2"/>
  <c r="F3670" i="2"/>
  <c r="F5280" i="2"/>
  <c r="G2437" i="2"/>
  <c r="G4094" i="2"/>
  <c r="G4504" i="2"/>
  <c r="G2772" i="2"/>
  <c r="G4091" i="2"/>
  <c r="F5029" i="2"/>
  <c r="G2739" i="2"/>
  <c r="G4940" i="2"/>
  <c r="G4597" i="2"/>
  <c r="G4803" i="2"/>
  <c r="G4576" i="2"/>
  <c r="G4646" i="2"/>
  <c r="F4616" i="2"/>
  <c r="G3699" i="2"/>
  <c r="G3055" i="2"/>
  <c r="G3464" i="2"/>
  <c r="G2928" i="2"/>
  <c r="F4830" i="2"/>
  <c r="G3430" i="2"/>
  <c r="G3872" i="2"/>
  <c r="G4514" i="2"/>
  <c r="G4124" i="2"/>
  <c r="F2809" i="2"/>
  <c r="G4420" i="2"/>
  <c r="G3883" i="2"/>
  <c r="G3805" i="2"/>
  <c r="G4067" i="2"/>
  <c r="G4876" i="2"/>
  <c r="F3797" i="2"/>
  <c r="G3639" i="2"/>
  <c r="G3132" i="2"/>
  <c r="G3765" i="2"/>
  <c r="G3637" i="2"/>
  <c r="F3632" i="2"/>
  <c r="G3044" i="2"/>
  <c r="G2913" i="2"/>
  <c r="G2738" i="2"/>
  <c r="G3935" i="2"/>
  <c r="G4684" i="2"/>
  <c r="F4979" i="2"/>
  <c r="G3088" i="2"/>
  <c r="G4415" i="2"/>
  <c r="G4647" i="2"/>
  <c r="G4055" i="2"/>
  <c r="F5434" i="2"/>
  <c r="G3477" i="2"/>
  <c r="G3268" i="2"/>
  <c r="G4946" i="2"/>
  <c r="G4812" i="2"/>
  <c r="F5258" i="2"/>
  <c r="G3575" i="2"/>
  <c r="G4826" i="2"/>
  <c r="G2903" i="2"/>
  <c r="G3905" i="2"/>
  <c r="F3548" i="2"/>
  <c r="G4494" i="2"/>
  <c r="G4677" i="2"/>
  <c r="G3926" i="2"/>
  <c r="G2743" i="2"/>
  <c r="F2653" i="2"/>
  <c r="F2637" i="2"/>
  <c r="G4532" i="2"/>
  <c r="G3210" i="2"/>
  <c r="G3458" i="2"/>
  <c r="G3712" i="2"/>
  <c r="F4081" i="2"/>
  <c r="G4622" i="2"/>
  <c r="F2986" i="2"/>
  <c r="G4355" i="2"/>
  <c r="G4267" i="2"/>
  <c r="F4583" i="2"/>
  <c r="F3067" i="2"/>
  <c r="G4852" i="2"/>
  <c r="G3018" i="2"/>
  <c r="G3278" i="2"/>
  <c r="G2775" i="2"/>
  <c r="G2424" i="2"/>
  <c r="G2622" i="2"/>
  <c r="G4166" i="2"/>
  <c r="G3721" i="2"/>
  <c r="F3691" i="2"/>
  <c r="F4839" i="2"/>
  <c r="G4468" i="2"/>
  <c r="G3373" i="2"/>
  <c r="G3603" i="2"/>
  <c r="G3544" i="2"/>
  <c r="F4614" i="2"/>
  <c r="G3650" i="2"/>
  <c r="G3294" i="2"/>
  <c r="G4507" i="2"/>
  <c r="G4773" i="2"/>
  <c r="F3597" i="2"/>
  <c r="F3581" i="2"/>
  <c r="G4313" i="2"/>
  <c r="G3355" i="2"/>
  <c r="G2818" i="2"/>
  <c r="G3729" i="2"/>
  <c r="G274" i="2"/>
  <c r="G2891" i="2"/>
  <c r="G2682" i="2"/>
  <c r="G4211" i="2"/>
  <c r="G4128" i="2"/>
  <c r="F3776" i="2"/>
  <c r="F3957" i="2"/>
  <c r="F5373" i="2"/>
  <c r="F5226" i="2"/>
  <c r="F4382" i="2"/>
  <c r="G3623" i="2"/>
  <c r="F3560" i="2"/>
  <c r="G4316" i="2"/>
  <c r="G3657" i="2"/>
  <c r="G3761" i="2"/>
  <c r="G4063" i="2"/>
  <c r="G4032" i="2"/>
  <c r="G4570" i="2"/>
  <c r="F4986" i="2"/>
  <c r="G2675" i="2"/>
  <c r="G3753" i="2"/>
  <c r="G3488" i="2"/>
  <c r="F4942" i="2"/>
  <c r="G4311" i="2"/>
  <c r="G2680" i="2"/>
  <c r="G2987" i="2"/>
  <c r="G4721" i="2"/>
  <c r="G4936" i="2"/>
  <c r="G2734" i="2"/>
  <c r="F3493" i="2"/>
  <c r="G3257" i="2"/>
  <c r="G4111" i="2"/>
  <c r="G4029" i="2"/>
  <c r="G3150" i="2"/>
  <c r="G3235" i="2"/>
  <c r="G2658" i="2"/>
  <c r="G3627" i="2"/>
  <c r="G4817" i="2"/>
  <c r="G4744" i="2"/>
  <c r="G3345" i="2"/>
  <c r="G4618" i="2"/>
  <c r="G4659" i="2"/>
  <c r="F5304" i="2"/>
  <c r="F4890" i="2"/>
  <c r="G4716" i="2"/>
  <c r="G4690" i="2"/>
  <c r="G4556" i="2"/>
  <c r="F5261" i="2"/>
  <c r="G3319" i="2"/>
  <c r="G4026" i="2"/>
  <c r="G4131" i="2"/>
  <c r="G3396" i="2"/>
  <c r="F3711" i="2"/>
  <c r="G3982" i="2"/>
  <c r="G4624" i="2"/>
  <c r="G4107" i="2"/>
  <c r="G3218" i="2"/>
  <c r="F4071" i="2"/>
  <c r="F4846" i="2"/>
  <c r="G4276" i="2"/>
  <c r="G2954" i="2"/>
  <c r="G2742" i="2"/>
  <c r="G4737" i="2"/>
  <c r="F3636" i="2"/>
  <c r="G4110" i="2"/>
  <c r="G3903" i="2"/>
  <c r="G4554" i="2"/>
  <c r="G4743" i="2"/>
  <c r="F3058" i="2"/>
  <c r="F4191" i="2"/>
  <c r="G4596" i="2"/>
  <c r="G3525" i="2"/>
  <c r="G3022" i="2"/>
  <c r="G3170" i="2"/>
  <c r="F3432" i="2"/>
  <c r="G3371" i="2"/>
  <c r="G3828" i="2"/>
  <c r="G4231" i="2"/>
  <c r="F3077" i="2"/>
  <c r="F5048" i="2"/>
  <c r="G4212" i="2"/>
  <c r="G2817" i="2"/>
  <c r="G2839" i="2"/>
  <c r="G4929" i="2"/>
  <c r="F4799" i="2"/>
  <c r="F5088" i="2"/>
  <c r="G2614" i="2"/>
  <c r="G3927" i="2"/>
  <c r="G3989" i="2"/>
  <c r="F5260" i="2"/>
  <c r="F5132" i="2"/>
  <c r="G4057" i="2"/>
  <c r="G3099" i="2"/>
  <c r="G4245" i="2"/>
  <c r="G4774" i="2"/>
  <c r="F2815" i="2"/>
  <c r="G2657" i="2"/>
  <c r="G3422" i="2"/>
  <c r="G3818" i="2"/>
  <c r="G3763" i="2"/>
  <c r="F5459" i="2"/>
  <c r="F4134" i="2"/>
  <c r="G4377" i="2"/>
  <c r="G3163" i="2"/>
  <c r="G3423" i="2"/>
  <c r="G3957" i="2"/>
  <c r="G2656" i="2"/>
  <c r="G4045" i="2"/>
  <c r="G4083" i="2"/>
  <c r="G3756" i="2"/>
  <c r="F5409" i="2"/>
  <c r="G2760" i="2"/>
  <c r="G3993" i="2"/>
  <c r="G3658" i="2"/>
  <c r="G4821" i="2"/>
  <c r="G4710" i="2"/>
  <c r="F4875" i="2"/>
  <c r="G3641" i="2"/>
  <c r="G4332" i="2"/>
  <c r="G4357" i="2"/>
  <c r="G3180" i="2"/>
  <c r="F4989" i="2"/>
  <c r="G2687" i="2"/>
  <c r="G3838" i="2"/>
  <c r="G4248" i="2"/>
  <c r="G4619" i="2"/>
  <c r="G4567" i="2"/>
  <c r="F3434" i="2"/>
  <c r="G3292" i="2"/>
  <c r="G4460" i="2"/>
  <c r="G4608" i="2"/>
  <c r="G2858" i="2"/>
  <c r="F4518" i="2"/>
  <c r="G2419" i="2"/>
  <c r="F2750" i="2"/>
  <c r="G2649" i="2"/>
  <c r="F3405" i="2"/>
  <c r="G4041" i="2"/>
  <c r="F5272" i="2"/>
  <c r="G3841" i="2"/>
  <c r="F4185" i="2"/>
  <c r="G4329" i="2"/>
  <c r="G3091" i="2"/>
  <c r="G4360" i="2"/>
  <c r="G2961" i="2"/>
  <c r="F4292" i="2"/>
  <c r="F4878" i="2"/>
  <c r="G4798" i="2"/>
  <c r="G4696" i="2"/>
  <c r="G3086" i="2"/>
  <c r="G3779" i="2"/>
  <c r="F4152" i="2"/>
  <c r="G4648" i="2"/>
  <c r="G4598" i="2"/>
  <c r="G4461" i="2"/>
  <c r="G2959" i="2"/>
  <c r="F5284" i="2"/>
  <c r="G2731" i="2"/>
  <c r="G4475" i="2"/>
  <c r="G3016" i="2"/>
  <c r="G3039" i="2"/>
  <c r="G4309" i="2"/>
  <c r="G2667" i="2"/>
  <c r="G3773" i="2"/>
  <c r="G4678" i="2"/>
  <c r="G4269" i="2"/>
  <c r="G3646" i="2"/>
  <c r="G3529" i="2"/>
  <c r="G2724" i="2"/>
  <c r="F3782" i="2"/>
  <c r="G2823" i="2"/>
  <c r="G4641" i="2"/>
  <c r="G4835" i="2"/>
  <c r="F3540" i="2"/>
  <c r="F4325" i="2"/>
  <c r="G3956" i="2"/>
  <c r="G2756" i="2"/>
  <c r="G3266" i="2"/>
  <c r="G4673" i="2"/>
  <c r="F3553" i="2"/>
  <c r="G4471" i="2"/>
  <c r="G3089" i="2"/>
  <c r="G2762" i="2"/>
  <c r="G4720" i="2"/>
  <c r="F3945" i="2"/>
  <c r="F4526" i="2"/>
  <c r="G3789" i="2"/>
  <c r="G2791" i="2"/>
  <c r="G4160" i="2"/>
  <c r="G4518" i="2"/>
  <c r="F5351" i="2"/>
  <c r="G2414" i="2"/>
  <c r="G2906" i="2"/>
  <c r="G4534" i="2"/>
  <c r="G3011" i="2"/>
  <c r="F4457" i="2"/>
  <c r="F5262" i="2"/>
  <c r="G4121" i="2"/>
  <c r="G2902" i="2"/>
  <c r="G3167" i="2"/>
  <c r="G4704" i="2"/>
  <c r="G2439" i="2"/>
  <c r="G2932" i="2"/>
  <c r="G4399" i="2"/>
  <c r="G3331" i="2"/>
  <c r="F4458" i="2"/>
  <c r="F3650" i="2"/>
  <c r="G3685" i="2"/>
  <c r="G3402" i="2"/>
  <c r="G4037" i="2"/>
  <c r="G4454" i="2"/>
  <c r="F4568" i="2"/>
  <c r="G3882" i="2"/>
  <c r="G3814" i="2"/>
  <c r="G4368" i="2"/>
  <c r="G4035" i="2"/>
  <c r="F3965" i="2"/>
  <c r="F5426" i="2"/>
  <c r="G3128" i="2"/>
  <c r="G3992" i="2"/>
  <c r="G4715" i="2"/>
  <c r="G2972" i="2"/>
  <c r="F5038" i="2"/>
  <c r="G4266" i="2"/>
  <c r="G3948" i="2"/>
  <c r="G3475" i="2"/>
  <c r="G4186" i="2"/>
  <c r="F3480" i="2"/>
  <c r="F5336" i="2"/>
  <c r="G3902" i="2"/>
  <c r="G3788" i="2"/>
  <c r="G4060" i="2"/>
  <c r="G3971" i="2"/>
  <c r="G3655" i="2"/>
  <c r="G4594" i="2"/>
  <c r="G3443" i="2"/>
  <c r="G3833" i="2"/>
  <c r="F4733" i="2"/>
  <c r="F5442" i="2"/>
  <c r="G2850" i="2"/>
  <c r="G3803" i="2"/>
  <c r="G3770" i="2"/>
  <c r="G4915" i="2"/>
  <c r="F5054" i="2"/>
  <c r="G3610" i="2"/>
  <c r="G4385" i="2"/>
  <c r="G4680" i="2"/>
  <c r="G3577" i="2"/>
  <c r="F3290" i="2"/>
  <c r="F5070" i="2"/>
  <c r="G4862" i="2"/>
  <c r="G3752" i="2"/>
  <c r="G2884" i="2"/>
  <c r="G3570" i="2"/>
  <c r="F4789" i="2"/>
  <c r="G3115" i="2"/>
  <c r="G4465" i="2"/>
  <c r="G4488" i="2"/>
  <c r="G2769" i="2"/>
  <c r="F3780" i="2"/>
  <c r="G3385" i="2"/>
  <c r="F3554" i="2"/>
  <c r="F5159" i="2"/>
  <c r="F5294" i="2"/>
  <c r="G4938" i="2"/>
  <c r="G3255" i="2"/>
  <c r="G4865" i="2"/>
  <c r="F4992" i="2"/>
  <c r="G4878" i="2"/>
  <c r="G3036" i="2"/>
  <c r="G3885" i="2"/>
  <c r="G3518" i="2"/>
  <c r="F4126" i="2"/>
  <c r="G2804" i="2"/>
  <c r="G3356" i="2"/>
  <c r="G4477" i="2"/>
  <c r="G3231" i="2"/>
  <c r="G4885" i="2"/>
  <c r="G2782" i="2"/>
  <c r="G3592" i="2"/>
  <c r="G4183" i="2"/>
  <c r="G4242" i="2"/>
  <c r="G3184" i="2"/>
  <c r="F5480" i="2"/>
  <c r="G3238" i="2"/>
  <c r="G4064" i="2"/>
  <c r="G4578" i="2"/>
  <c r="G3504" i="2"/>
  <c r="G3879" i="2"/>
  <c r="G2875" i="2"/>
  <c r="G4338" i="2"/>
  <c r="G4503" i="2"/>
  <c r="G3780" i="2"/>
  <c r="G3791" i="2"/>
  <c r="G2907" i="2"/>
  <c r="G3936" i="2"/>
  <c r="G3305" i="2"/>
  <c r="G4520" i="2"/>
  <c r="G4854" i="2"/>
  <c r="G3074" i="2"/>
  <c r="F3372" i="2"/>
  <c r="F5323" i="2"/>
  <c r="G2382" i="2"/>
  <c r="G3146" i="2"/>
  <c r="G4768" i="2"/>
  <c r="G4198" i="2"/>
  <c r="F5302" i="2"/>
  <c r="G3762" i="2"/>
  <c r="G3695" i="2"/>
  <c r="G3283" i="2"/>
  <c r="G4762" i="2"/>
  <c r="F4544" i="2"/>
  <c r="F3477" i="2"/>
  <c r="G4825" i="2"/>
  <c r="G3684" i="2"/>
  <c r="G3633" i="2"/>
  <c r="G4147" i="2"/>
  <c r="F3778" i="2"/>
  <c r="G4181" i="2"/>
  <c r="G3823" i="2"/>
  <c r="G3330" i="2"/>
  <c r="G4197" i="2"/>
  <c r="F4221" i="2"/>
  <c r="G3269" i="2"/>
  <c r="G3384" i="2"/>
  <c r="G2976" i="2"/>
  <c r="G3793" i="2"/>
  <c r="G4698" i="2"/>
  <c r="G3143" i="2"/>
  <c r="G4082" i="2"/>
  <c r="G3522" i="2"/>
  <c r="G4581" i="2"/>
  <c r="F3709" i="2"/>
  <c r="F3563" i="2"/>
  <c r="G4761" i="2"/>
  <c r="G3547" i="2"/>
  <c r="G4227" i="2"/>
  <c r="G3891" i="2"/>
  <c r="F3842" i="2"/>
  <c r="G3098" i="2"/>
  <c r="G4049" i="2"/>
  <c r="G4424" i="2"/>
  <c r="G3217" i="2"/>
  <c r="F3682" i="2"/>
  <c r="F4021" i="2"/>
  <c r="G4606" i="2"/>
  <c r="G2842" i="2"/>
  <c r="G3377" i="2"/>
  <c r="G2890" i="2"/>
  <c r="F4280" i="2"/>
  <c r="G3738" i="2"/>
  <c r="G4129" i="2"/>
  <c r="G4232" i="2"/>
  <c r="G2708" i="2"/>
  <c r="F3791" i="2"/>
  <c r="G2851" i="2"/>
  <c r="G4926" i="2"/>
  <c r="G4824" i="2"/>
  <c r="G3140" i="2"/>
  <c r="F4443" i="2"/>
  <c r="G3810" i="2"/>
  <c r="G2806" i="2"/>
  <c r="G4104" i="2"/>
  <c r="F4747" i="2"/>
  <c r="F2935" i="2"/>
  <c r="F3829" i="2"/>
  <c r="G4542" i="2"/>
  <c r="G4440" i="2"/>
  <c r="G2766" i="2"/>
  <c r="G3027" i="2"/>
  <c r="G2857" i="2"/>
  <c r="G4136" i="2"/>
  <c r="G4246" i="2"/>
  <c r="G4205" i="2"/>
  <c r="G3582" i="2"/>
  <c r="F4993" i="2"/>
  <c r="G2797" i="2"/>
  <c r="G4919" i="2"/>
  <c r="G4797" i="2"/>
  <c r="G2618" i="2"/>
  <c r="G3156" i="2"/>
  <c r="G3181" i="2"/>
  <c r="G4776" i="2"/>
  <c r="G4342" i="2"/>
  <c r="G4013" i="2"/>
  <c r="G3390" i="2"/>
  <c r="F4550" i="2"/>
  <c r="F3960" i="2"/>
  <c r="G4084" i="2"/>
  <c r="F5074" i="2"/>
  <c r="F4309" i="2"/>
  <c r="G3169" i="2"/>
  <c r="G4545" i="2"/>
  <c r="F3507" i="2"/>
  <c r="G4238" i="2"/>
  <c r="G3898" i="2"/>
  <c r="G3548" i="2"/>
  <c r="G3300" i="2"/>
  <c r="G3760" i="2"/>
  <c r="G4895" i="2"/>
  <c r="F5491" i="2"/>
  <c r="G2654" i="2"/>
  <c r="G4220" i="2"/>
  <c r="G4484" i="2"/>
  <c r="G4695" i="2"/>
  <c r="G3690" i="2"/>
  <c r="G4307" i="2"/>
  <c r="F4268" i="2"/>
  <c r="G4391" i="2"/>
  <c r="F4960" i="2"/>
  <c r="G3826" i="2"/>
  <c r="G3711" i="2"/>
  <c r="G3644" i="2"/>
  <c r="G3899" i="2"/>
  <c r="G4384" i="2"/>
  <c r="G4847" i="2"/>
  <c r="G3520" i="2"/>
  <c r="G4244" i="2"/>
  <c r="G3584" i="2"/>
  <c r="G3009" i="2"/>
  <c r="G3726" i="2"/>
  <c r="G3700" i="2"/>
  <c r="F3260" i="2"/>
  <c r="G3880" i="2"/>
  <c r="G3680" i="2"/>
  <c r="G4071" i="2"/>
  <c r="G2974" i="2"/>
  <c r="G3676" i="2"/>
  <c r="G3624" i="2"/>
  <c r="G3782" i="2"/>
  <c r="G4127" i="2"/>
  <c r="F4845" i="2"/>
  <c r="G4707" i="2"/>
  <c r="G3077" i="2"/>
  <c r="F4574" i="2"/>
  <c r="G3119" i="2"/>
  <c r="G4062" i="2"/>
  <c r="F2825" i="2"/>
  <c r="G3287" i="2"/>
  <c r="G4738" i="2"/>
  <c r="F3931" i="2"/>
  <c r="G4103" i="2"/>
  <c r="G2824" i="2"/>
  <c r="G3524" i="2"/>
  <c r="G4612" i="2"/>
  <c r="F2459" i="2"/>
  <c r="G3668" i="2"/>
  <c r="F4053" i="2"/>
  <c r="G4314" i="2"/>
  <c r="G3800" i="2"/>
  <c r="G4942" i="2"/>
  <c r="G3530" i="2"/>
  <c r="G2799" i="2"/>
  <c r="G4496" i="2"/>
  <c r="G2400" i="2"/>
  <c r="G4392" i="2"/>
  <c r="G4086" i="2"/>
  <c r="F4850" i="2"/>
  <c r="G2831" i="2"/>
  <c r="G4756" i="2"/>
  <c r="F3907" i="2"/>
  <c r="G4308" i="2"/>
  <c r="G4515" i="2"/>
  <c r="F4558" i="2"/>
  <c r="G2395" i="2"/>
  <c r="G2684" i="2"/>
  <c r="F5174" i="2"/>
  <c r="G3724" i="2"/>
  <c r="G4495" i="2"/>
  <c r="F2661" i="2"/>
  <c r="G3799" i="2"/>
  <c r="G4639" i="2"/>
  <c r="F3673" i="2"/>
  <c r="G3293" i="2"/>
  <c r="F4600" i="2"/>
  <c r="G4369" i="2"/>
  <c r="G4137" i="2"/>
  <c r="F4713" i="2"/>
  <c r="G3769" i="2"/>
  <c r="F4034" i="2"/>
  <c r="G3808" i="2"/>
  <c r="G4145" i="2"/>
  <c r="G4215" i="2"/>
  <c r="G4386" i="2"/>
  <c r="G3692" i="2"/>
  <c r="G4863" i="2"/>
  <c r="G3015" i="2"/>
  <c r="G3954" i="2"/>
  <c r="G4887" i="2"/>
  <c r="F2943" i="2"/>
  <c r="G3608" i="2"/>
  <c r="G4122" i="2"/>
  <c r="F4672" i="2"/>
  <c r="G3870" i="2"/>
  <c r="G4341" i="2"/>
  <c r="F4310" i="2"/>
  <c r="G3358" i="2"/>
  <c r="G4116" i="2"/>
  <c r="G2706" i="2"/>
  <c r="G4550" i="2"/>
  <c r="G2662" i="2"/>
  <c r="F3569" i="2"/>
  <c r="G4473" i="2"/>
  <c r="G3507" i="2"/>
  <c r="F3301" i="2"/>
  <c r="G3614" i="2"/>
  <c r="G2783" i="2"/>
  <c r="G3963" i="2"/>
  <c r="G4757" i="2"/>
  <c r="F3970" i="2"/>
  <c r="G4028" i="2"/>
  <c r="F5045" i="2"/>
  <c r="G3643" i="2"/>
  <c r="G3749" i="2"/>
  <c r="G3435" i="2"/>
  <c r="G4621" i="2"/>
  <c r="G3236" i="2"/>
  <c r="G3274" i="2"/>
  <c r="G2620" i="2"/>
  <c r="G3328" i="2"/>
  <c r="G4070" i="2"/>
  <c r="F3562" i="2"/>
  <c r="G3995" i="2"/>
  <c r="G3545" i="2"/>
  <c r="G4143" i="2"/>
  <c r="G4251" i="2"/>
  <c r="F4861" i="2"/>
  <c r="G4735" i="2"/>
  <c r="F4648" i="2"/>
  <c r="G2986" i="2"/>
  <c r="G4321" i="2"/>
  <c r="G3781" i="2"/>
  <c r="G4650" i="2"/>
  <c r="G4637" i="2"/>
  <c r="G3034" i="2"/>
  <c r="F4042" i="2"/>
  <c r="G3750" i="2"/>
  <c r="F5123" i="2"/>
  <c r="G3621" i="2"/>
  <c r="G3669" i="2"/>
  <c r="G4686" i="2"/>
  <c r="G4479" i="2"/>
  <c r="G3835" i="2"/>
  <c r="F3825" i="2"/>
  <c r="G3486" i="2"/>
  <c r="G3859" i="2"/>
  <c r="F2934" i="2"/>
  <c r="G3837" i="2"/>
  <c r="G3615" i="2"/>
  <c r="G3720" i="2"/>
  <c r="G3126" i="2"/>
  <c r="G4429" i="2"/>
  <c r="G4079" i="2"/>
  <c r="F5020" i="2"/>
  <c r="G3821" i="2"/>
  <c r="G4279" i="2"/>
  <c r="F4201" i="2"/>
  <c r="G4345" i="2"/>
  <c r="G3139" i="2"/>
  <c r="F5430" i="2"/>
  <c r="G3979" i="2"/>
  <c r="G3718" i="2"/>
  <c r="F4517" i="2"/>
  <c r="G4689" i="2"/>
  <c r="G4736" i="2"/>
  <c r="F3373" i="2"/>
  <c r="G4948" i="2"/>
  <c r="G2660" i="2"/>
  <c r="F3962" i="2"/>
  <c r="G2379" i="2"/>
  <c r="G2411" i="2"/>
  <c r="G4918" i="2"/>
  <c r="G3612" i="2"/>
  <c r="F3908" i="2"/>
  <c r="G3502" i="2"/>
  <c r="F5198" i="2"/>
  <c r="G3242" i="2"/>
  <c r="G4102" i="2"/>
  <c r="F5346" i="2"/>
  <c r="G4861" i="2"/>
  <c r="G2430" i="2"/>
  <c r="G4506" i="2"/>
  <c r="G3638" i="2"/>
  <c r="G4941" i="2"/>
  <c r="G3737" i="2"/>
  <c r="F4072" i="2"/>
  <c r="G4513" i="2"/>
  <c r="G3968" i="2"/>
  <c r="F4626" i="2"/>
  <c r="G4857" i="2"/>
  <c r="G4256" i="2"/>
  <c r="F3431" i="2"/>
  <c r="G3281" i="2"/>
  <c r="G3479" i="2"/>
  <c r="F5467" i="2"/>
  <c r="G3862" i="2"/>
  <c r="G4906" i="2"/>
  <c r="F3775" i="2"/>
  <c r="G3961" i="2"/>
  <c r="G3186" i="2"/>
  <c r="F5285" i="2"/>
  <c r="G3609" i="2"/>
  <c r="G2950" i="2"/>
  <c r="G4339" i="2"/>
  <c r="G3539" i="2"/>
  <c r="F5147" i="2"/>
  <c r="G3391" i="2"/>
  <c r="F4536" i="2"/>
  <c r="G3131" i="2"/>
  <c r="G4463" i="2"/>
  <c r="G3674" i="2"/>
  <c r="G3276" i="2"/>
  <c r="G4764" i="2"/>
  <c r="F3353" i="2"/>
  <c r="G4676" i="2"/>
  <c r="G4359" i="2"/>
  <c r="G3777" i="2"/>
  <c r="G2733" i="2"/>
  <c r="G4219" i="2"/>
  <c r="G3451" i="2"/>
  <c r="F4676" i="2"/>
  <c r="G4023" i="2"/>
  <c r="G3182" i="2"/>
  <c r="G2467" i="2"/>
  <c r="G4081" i="2"/>
  <c r="G3983" i="2"/>
  <c r="G3719" i="2"/>
  <c r="G3315" i="2"/>
  <c r="G2876" i="2"/>
  <c r="F4820" i="2"/>
  <c r="G4115" i="2"/>
  <c r="G2388" i="2"/>
  <c r="F4698" i="2"/>
  <c r="G4257" i="2"/>
  <c r="G4921" i="2"/>
  <c r="G4163" i="2"/>
  <c r="G3944" i="2"/>
  <c r="F5515" i="2"/>
  <c r="G4822" i="2"/>
  <c r="G3197" i="2"/>
  <c r="G3794" i="2"/>
  <c r="F2804" i="2"/>
  <c r="F4097" i="2"/>
  <c r="G2994" i="2"/>
  <c r="G4633" i="2"/>
  <c r="G3419" i="2"/>
  <c r="G3703" i="2"/>
  <c r="G3560" i="2"/>
  <c r="G4015" i="2"/>
  <c r="F5013" i="2"/>
  <c r="G4565" i="2"/>
  <c r="G3439" i="2"/>
  <c r="G3618" i="2"/>
  <c r="G3819" i="2"/>
  <c r="F5091" i="2"/>
  <c r="G4668" i="2"/>
  <c r="G3205" i="2"/>
  <c r="G2802" i="2"/>
  <c r="G4851" i="2"/>
  <c r="G4607" i="2"/>
  <c r="F3904" i="2"/>
  <c r="G4138" i="2"/>
  <c r="G4237" i="2"/>
  <c r="F5170" i="2"/>
  <c r="G3974" i="2"/>
  <c r="G2812" i="2"/>
  <c r="G3515" i="2"/>
  <c r="G3846" i="2"/>
  <c r="G4903" i="2"/>
  <c r="F3163" i="2"/>
  <c r="G4418" i="2"/>
  <c r="F5455" i="2"/>
  <c r="G4849" i="2"/>
  <c r="G3050" i="2"/>
  <c r="F4093" i="2"/>
  <c r="G4898" i="2"/>
  <c r="G4252" i="2"/>
  <c r="F3390" i="2"/>
  <c r="G3408" i="2"/>
  <c r="G3004" i="2"/>
  <c r="G3282" i="2"/>
  <c r="G2613" i="2"/>
  <c r="G3887" i="2"/>
  <c r="G3557" i="2"/>
  <c r="F5014" i="2"/>
  <c r="G4894" i="2"/>
  <c r="G3713" i="2"/>
  <c r="F4326" i="2"/>
  <c r="G3884" i="2"/>
  <c r="G4665" i="2"/>
  <c r="G3601" i="2"/>
  <c r="G3484" i="2"/>
  <c r="G4472" i="2"/>
  <c r="F4718" i="2"/>
  <c r="G4510" i="2"/>
  <c r="G4725" i="2"/>
  <c r="F3584" i="2"/>
  <c r="G4140" i="2"/>
  <c r="G4372" i="2"/>
  <c r="G4464" i="2"/>
  <c r="G3290" i="2"/>
  <c r="F5322" i="2"/>
  <c r="G4273" i="2"/>
  <c r="F4590" i="2"/>
  <c r="G4280" i="2"/>
  <c r="G4848" i="2"/>
  <c r="G3188" i="2"/>
  <c r="G4255" i="2"/>
  <c r="G4508" i="2"/>
  <c r="F3011" i="2"/>
  <c r="G4164" i="2"/>
  <c r="G3939" i="2"/>
  <c r="G3171" i="2"/>
  <c r="G2" i="2"/>
  <c r="G4635" i="2"/>
  <c r="G3562" i="2"/>
  <c r="F2979" i="2"/>
  <c r="G3212" i="2"/>
  <c r="G2699" i="2"/>
  <c r="F3517" i="2"/>
  <c r="G4908" i="2"/>
  <c r="G4190" i="2"/>
  <c r="G3702" i="2"/>
  <c r="G3597" i="2"/>
  <c r="G3997" i="2"/>
  <c r="F3575" i="2"/>
  <c r="G3665" i="2"/>
  <c r="G4714" i="2"/>
  <c r="F4634" i="2"/>
  <c r="G3076" i="2"/>
  <c r="G3897" i="2"/>
  <c r="G2398" i="2"/>
  <c r="G3307" i="2"/>
  <c r="F3537" i="2"/>
  <c r="G4150" i="2"/>
  <c r="G2845" i="2"/>
  <c r="G4792" i="2"/>
  <c r="G4842" i="2"/>
  <c r="F5122" i="2"/>
  <c r="G4699" i="2"/>
  <c r="G4289" i="2"/>
  <c r="F4589" i="2"/>
  <c r="G3664" i="2"/>
  <c r="G3893" i="2"/>
  <c r="G4794" i="2"/>
  <c r="G4100" i="2"/>
  <c r="G4933" i="2"/>
  <c r="G4290" i="2"/>
  <c r="F5036" i="2"/>
  <c r="G4928" i="2"/>
  <c r="G3628" i="2"/>
  <c r="G2751" i="2"/>
  <c r="G4911" i="2"/>
  <c r="F3347" i="2"/>
  <c r="G4558" i="2"/>
  <c r="F2820" i="2"/>
  <c r="G4533" i="2"/>
  <c r="F4632" i="2"/>
  <c r="G3732" i="2"/>
  <c r="G3199" i="2"/>
  <c r="G3079" i="2"/>
  <c r="G3955" i="2"/>
  <c r="G2978" i="2"/>
  <c r="G4711" i="2"/>
  <c r="G4615" i="2"/>
  <c r="G3607" i="2"/>
  <c r="G3234" i="2"/>
  <c r="G2896" i="2"/>
  <c r="G4354" i="2"/>
  <c r="F3121" i="2"/>
  <c r="G3297" i="2"/>
  <c r="G4158" i="2"/>
  <c r="G4056" i="2"/>
  <c r="G4414" i="2"/>
  <c r="F3893" i="2"/>
  <c r="G4823" i="2"/>
  <c r="F5438" i="2"/>
  <c r="G2790" i="2"/>
  <c r="G2948" i="2"/>
  <c r="G4287" i="2"/>
  <c r="G4530" i="2"/>
  <c r="F4918" i="2"/>
  <c r="G4486" i="2"/>
  <c r="G2672" i="2"/>
  <c r="G4061" i="2"/>
  <c r="F3298" i="2"/>
  <c r="G3040" i="2"/>
  <c r="F4939" i="2"/>
  <c r="G3839" i="2"/>
  <c r="G3251" i="2"/>
  <c r="G3334" i="2"/>
  <c r="G3010" i="2"/>
  <c r="G2669" i="2"/>
  <c r="G3508" i="2"/>
  <c r="G4080" i="2"/>
  <c r="G3809" i="2"/>
  <c r="F4120" i="2"/>
  <c r="G4922" i="2"/>
  <c r="G3177" i="2"/>
  <c r="G4375" i="2"/>
  <c r="G4253" i="2"/>
  <c r="F2638" i="2"/>
  <c r="G4039" i="2"/>
  <c r="G3757" i="2"/>
  <c r="F5136" i="2"/>
  <c r="G4201" i="2"/>
  <c r="G2378" i="2"/>
  <c r="G4261" i="2"/>
  <c r="G3446" i="2"/>
  <c r="G2634" i="2"/>
  <c r="G3693" i="2"/>
  <c r="F5019" i="2"/>
  <c r="G3298" i="2"/>
  <c r="G3071" i="2"/>
  <c r="F3303" i="2"/>
  <c r="G3958" i="2"/>
  <c r="G3072" i="2"/>
  <c r="G3881" i="2"/>
  <c r="G3914" i="2"/>
  <c r="G4259" i="2"/>
  <c r="F5125" i="2"/>
  <c r="F4418" i="2"/>
  <c r="G2678" i="2"/>
  <c r="G2920" i="2"/>
  <c r="G4118" i="2"/>
  <c r="G4651" i="2"/>
  <c r="G3596" i="2"/>
  <c r="G4018" i="2"/>
  <c r="G3457" i="2"/>
  <c r="G3372" i="2"/>
  <c r="G3014" i="2"/>
  <c r="G4829" i="2"/>
  <c r="F2961" i="2"/>
  <c r="F5177" i="2"/>
  <c r="G3052" i="2"/>
  <c r="G4033" i="2"/>
  <c r="F4144" i="2"/>
  <c r="G4713" i="2"/>
  <c r="G3856" i="2"/>
  <c r="G3790" i="2"/>
  <c r="G3463" i="2"/>
  <c r="G4416" i="2"/>
  <c r="G4765" i="2"/>
  <c r="F4680" i="2"/>
  <c r="G3747" i="2"/>
  <c r="G3583" i="2"/>
  <c r="G3062" i="2"/>
  <c r="G4630" i="2"/>
  <c r="G3656" i="2"/>
  <c r="G4905" i="2"/>
  <c r="G4199" i="2"/>
  <c r="G2963" i="2"/>
  <c r="F5318" i="2"/>
  <c r="G3698" i="2"/>
  <c r="G3310" i="2"/>
  <c r="G3318" i="2"/>
  <c r="G4806" i="2"/>
  <c r="G4347" i="2"/>
  <c r="G3474" i="2"/>
  <c r="G3797" i="2"/>
  <c r="G3590" i="2"/>
  <c r="G2715" i="2"/>
  <c r="G3526" i="2"/>
  <c r="G3842" i="2"/>
  <c r="F4697" i="2"/>
  <c r="F5006" i="2"/>
  <c r="G3219" i="2"/>
  <c r="G3806" i="2"/>
  <c r="F3528" i="2"/>
  <c r="G4939" i="2"/>
  <c r="G2385" i="2"/>
  <c r="G4694" i="2"/>
  <c r="G4943" i="2"/>
  <c r="F5143" i="2"/>
  <c r="G3709" i="2"/>
  <c r="F5450" i="2"/>
  <c r="G3493" i="2"/>
  <c r="G3985" i="2"/>
  <c r="G4430" i="2"/>
  <c r="G4165" i="2"/>
  <c r="G3252" i="2"/>
  <c r="G4483" i="2"/>
  <c r="F4303" i="2"/>
  <c r="G3135" i="2"/>
  <c r="F4098" i="2"/>
  <c r="G2689" i="2"/>
  <c r="G4860" i="2"/>
  <c r="G3774" i="2"/>
  <c r="G4645" i="2"/>
  <c r="G2727" i="2"/>
  <c r="G4315" i="2"/>
  <c r="G3481" i="2"/>
  <c r="G4318" i="2"/>
  <c r="F2802" i="2"/>
  <c r="G4564" i="2"/>
  <c r="G2626" i="2"/>
  <c r="F5086" i="2"/>
  <c r="G2988" i="2"/>
  <c r="G4367" i="2"/>
  <c r="G3124" i="2"/>
  <c r="G4426" i="2"/>
  <c r="G3470" i="2"/>
  <c r="G3395" i="2"/>
  <c r="G3049" i="2"/>
  <c r="G3755" i="2"/>
  <c r="G4897" i="2"/>
  <c r="G3840" i="2"/>
  <c r="G4543" i="2"/>
  <c r="G2967" i="2"/>
  <c r="G4752" i="2"/>
  <c r="G3671" i="2"/>
  <c r="G4610" i="2"/>
  <c r="F4400" i="2"/>
  <c r="G4658" i="2"/>
  <c r="F5047" i="2"/>
  <c r="F3892" i="2"/>
  <c r="G3230" i="2"/>
  <c r="G4537" i="2"/>
  <c r="G3915" i="2"/>
  <c r="G3398" i="2"/>
  <c r="G4226" i="2"/>
  <c r="F3799" i="2"/>
  <c r="G4914" i="2"/>
  <c r="F4981" i="2"/>
  <c r="G4412" i="2"/>
  <c r="G3152" i="2"/>
  <c r="G4442" i="2"/>
  <c r="G2401" i="2"/>
  <c r="F5311" i="2"/>
  <c r="G2946" i="2"/>
  <c r="G4801" i="2"/>
  <c r="F4148" i="2"/>
  <c r="G4750" i="2"/>
  <c r="G3404" i="2"/>
  <c r="G3160" i="2"/>
  <c r="G4649" i="2"/>
  <c r="F2894" i="2"/>
  <c r="G4203" i="2"/>
  <c r="F3605" i="2"/>
  <c r="G3967" i="2"/>
  <c r="G4732" i="2"/>
  <c r="G4009" i="2"/>
  <c r="G3138" i="2"/>
  <c r="G3579" i="2"/>
  <c r="F3926" i="2"/>
  <c r="F2919" i="2"/>
  <c r="G2888" i="2"/>
  <c r="F3830" i="2"/>
  <c r="G3930" i="2"/>
  <c r="G3836" i="2"/>
  <c r="G4740" i="2"/>
  <c r="G3682" i="2"/>
  <c r="G4538" i="2"/>
  <c r="G2438" i="2"/>
  <c r="G3688" i="2"/>
  <c r="G3746" i="2"/>
  <c r="G4213" i="2"/>
  <c r="G2960" i="2"/>
  <c r="G3911" i="2"/>
  <c r="F5135" i="2"/>
  <c r="F5277" i="2"/>
  <c r="G3634" i="2"/>
  <c r="G3032" i="2"/>
  <c r="F4593" i="2"/>
  <c r="G4687" i="2"/>
  <c r="F5154" i="2"/>
  <c r="G4182" i="2"/>
  <c r="G4302" i="2"/>
  <c r="F3089" i="2"/>
  <c r="G3362" i="2"/>
  <c r="F5368" i="2"/>
  <c r="F3822" i="2"/>
  <c r="G3332" i="2"/>
  <c r="G2936" i="2"/>
  <c r="G3392" i="2"/>
  <c r="G4216" i="2"/>
  <c r="G3973" i="2"/>
  <c r="F5152" i="2"/>
  <c r="G3246" i="2"/>
  <c r="F4069" i="2"/>
  <c r="G3907" i="2"/>
  <c r="G4348" i="2"/>
  <c r="G4265" i="2"/>
  <c r="G4192" i="2"/>
  <c r="G2922" i="2"/>
  <c r="G3850" i="2"/>
  <c r="F4917" i="2"/>
  <c r="G4793" i="2"/>
  <c r="G4746" i="2"/>
  <c r="G4052" i="2"/>
  <c r="G4491" i="2"/>
  <c r="F4404" i="2"/>
  <c r="G3558" i="2"/>
  <c r="G4437" i="2"/>
  <c r="G4838" i="2"/>
  <c r="F3370" i="2"/>
  <c r="G4528" i="2"/>
  <c r="G2927" i="2"/>
  <c r="G3549" i="2"/>
  <c r="G2666" i="2"/>
  <c r="F4876" i="2"/>
  <c r="G2834" i="2"/>
  <c r="F3734" i="2"/>
  <c r="G3387" i="2"/>
  <c r="G4614" i="2"/>
  <c r="G3092" i="2"/>
  <c r="F2839" i="2"/>
  <c r="G3026" i="2"/>
  <c r="G4712" i="2"/>
  <c r="F3199" i="2"/>
  <c r="G4785" i="2"/>
  <c r="F3498" i="2"/>
  <c r="G3003" i="2"/>
  <c r="G4833" i="2"/>
  <c r="G4373" i="2"/>
  <c r="F3689" i="2"/>
  <c r="G4893" i="2"/>
  <c r="F4501" i="2"/>
  <c r="G4177" i="2"/>
  <c r="G4675" i="2"/>
  <c r="F3648" i="2"/>
  <c r="G3256" i="2"/>
  <c r="G3176" i="2"/>
  <c r="G3061" i="2"/>
  <c r="G4317" i="2"/>
  <c r="G3500" i="2"/>
  <c r="G4605" i="2"/>
  <c r="G4312" i="2"/>
  <c r="G3359" i="2"/>
  <c r="G4501" i="2"/>
  <c r="G3521" i="2"/>
  <c r="G3917" i="2"/>
  <c r="G4758" i="2"/>
  <c r="F4854" i="2"/>
  <c r="G4524" i="2"/>
  <c r="G3796" i="2"/>
  <c r="F4459" i="2"/>
  <c r="G3832" i="2"/>
  <c r="G2868" i="2"/>
  <c r="F4337" i="2"/>
  <c r="G4869" i="2"/>
  <c r="G3617" i="2"/>
  <c r="F2879" i="2"/>
  <c r="G4001" i="2"/>
  <c r="G3229" i="2"/>
  <c r="F3695" i="2"/>
  <c r="G4436" i="2"/>
  <c r="G3947" i="2"/>
  <c r="F3099" i="2"/>
  <c r="G4090" i="2"/>
  <c r="G3117" i="2"/>
  <c r="G4230" i="2"/>
  <c r="G4814" i="2"/>
  <c r="F4622" i="2"/>
  <c r="G3497" i="2"/>
  <c r="G2736" i="2"/>
  <c r="G4352" i="2"/>
  <c r="G4326" i="2"/>
  <c r="F5437" i="2"/>
  <c r="G3485" i="2"/>
  <c r="G3038" i="2"/>
  <c r="G4531" i="2"/>
  <c r="G4688" i="2"/>
  <c r="F2778" i="2"/>
  <c r="G2990" i="2"/>
  <c r="F4982" i="2"/>
  <c r="G3498" i="2"/>
  <c r="G4753" i="2"/>
  <c r="F3704" i="2"/>
  <c r="F2968" i="2"/>
  <c r="G4162" i="2"/>
  <c r="G3051" i="2"/>
  <c r="F5160" i="2"/>
  <c r="G4924" i="2"/>
  <c r="G2696" i="2"/>
  <c r="G3114" i="2"/>
  <c r="G4065" i="2"/>
  <c r="G4819" i="2"/>
  <c r="F3052" i="2"/>
  <c r="G4344" i="2"/>
  <c r="F4855" i="2"/>
  <c r="G3375" i="2"/>
  <c r="G3490" i="2"/>
  <c r="F3756" i="2"/>
  <c r="G4089" i="2"/>
  <c r="G2944" i="2"/>
  <c r="F5453" i="2"/>
  <c r="G3393" i="2"/>
  <c r="G3412" i="2"/>
  <c r="G4582" i="2"/>
  <c r="F4294" i="2"/>
  <c r="G3347" i="2"/>
  <c r="G3550" i="2"/>
  <c r="G4951" i="2"/>
  <c r="G4874" i="2"/>
  <c r="F4353" i="2"/>
  <c r="G2863" i="2"/>
  <c r="F3846" i="2"/>
  <c r="G2855" i="2"/>
  <c r="G3480" i="2"/>
  <c r="G3442" i="2"/>
  <c r="F3314" i="2"/>
  <c r="G4383" i="2"/>
  <c r="G3552" i="2"/>
  <c r="F5517" i="2"/>
  <c r="G4113" i="2"/>
  <c r="G2757" i="2"/>
  <c r="G3626" i="2"/>
  <c r="G4401" i="2"/>
  <c r="G3107" i="2"/>
  <c r="F3815" i="2"/>
  <c r="G3869" i="2"/>
  <c r="F3750" i="2"/>
  <c r="G4012" i="2"/>
  <c r="G4021" i="2"/>
  <c r="F5516" i="2"/>
  <c r="G4601" i="2"/>
  <c r="G3028" i="2"/>
  <c r="F5469" i="2"/>
  <c r="G4889" i="2"/>
  <c r="G4135" i="2"/>
  <c r="G3786" i="2"/>
  <c r="F5320" i="2"/>
  <c r="G3277" i="2"/>
  <c r="G4588" i="2"/>
  <c r="G3240" i="2"/>
  <c r="G2754" i="2"/>
  <c r="F3242" i="2"/>
  <c r="G3785" i="2"/>
  <c r="G2455" i="2"/>
  <c r="G2996" i="2"/>
  <c r="F2878" i="2"/>
  <c r="G2923" i="2"/>
  <c r="F4638" i="2"/>
  <c r="G3984" i="2"/>
  <c r="G3164" i="2"/>
  <c r="G2673" i="2"/>
  <c r="G4439" i="2"/>
  <c r="G2711" i="2"/>
  <c r="G4664" i="2"/>
  <c r="G3261" i="2"/>
  <c r="G3179" i="2"/>
  <c r="F5190" i="2"/>
  <c r="G4864" i="2"/>
  <c r="G2412" i="2"/>
  <c r="G3084" i="2"/>
  <c r="G4728" i="2"/>
  <c r="F3652" i="2"/>
  <c r="G4627" i="2"/>
  <c r="G2926" i="2"/>
  <c r="G3574" i="2"/>
  <c r="G3438" i="2"/>
  <c r="G3059" i="2"/>
  <c r="G4130" i="2"/>
  <c r="G4642" i="2"/>
  <c r="G3996" i="2"/>
  <c r="G4455" i="2"/>
  <c r="G3527" i="2"/>
  <c r="G4466" i="2"/>
  <c r="G3501" i="2"/>
  <c r="F5095" i="2"/>
  <c r="G4374" i="2"/>
  <c r="G2683" i="2"/>
  <c r="F5117" i="2"/>
  <c r="G4382" i="2"/>
  <c r="G4330" i="2"/>
  <c r="F3452" i="2"/>
  <c r="G3247" i="2"/>
  <c r="G3364" i="2"/>
  <c r="G2723" i="2"/>
  <c r="G4591" i="2"/>
  <c r="G3707" i="2"/>
  <c r="F4815" i="2"/>
  <c r="G3998" i="2"/>
  <c r="G4672" i="2"/>
  <c r="F3978" i="2"/>
  <c r="G3503" i="2"/>
  <c r="G3735" i="2"/>
  <c r="G2870" i="2"/>
  <c r="G3073" i="2"/>
  <c r="F4691" i="2"/>
  <c r="G3204" i="2"/>
  <c r="G4340" i="2"/>
  <c r="G4410" i="2"/>
  <c r="G4731" i="2"/>
  <c r="F5178" i="2"/>
  <c r="G4682" i="2"/>
  <c r="G3056" i="2"/>
  <c r="G3200" i="2"/>
  <c r="G4456" i="2"/>
  <c r="F4762" i="2"/>
  <c r="G3937" i="2"/>
  <c r="G2617" i="2"/>
  <c r="G4024" i="2"/>
  <c r="G3731" i="2"/>
  <c r="G2881" i="2"/>
  <c r="F5134" i="2"/>
  <c r="G4156" i="2"/>
  <c r="G3736" i="2"/>
  <c r="G2629" i="2"/>
  <c r="G4662" i="2"/>
  <c r="G2873" i="2"/>
  <c r="G3360" i="2"/>
  <c r="G4870" i="2"/>
  <c r="G3405" i="2"/>
  <c r="F5301" i="2"/>
  <c r="G3705" i="2"/>
  <c r="F2847" i="2"/>
  <c r="G4038" i="2"/>
  <c r="G2939" i="2"/>
  <c r="F5408" i="2"/>
  <c r="G4638" i="2"/>
  <c r="F3392" i="2"/>
  <c r="G2909" i="2"/>
  <c r="G3865" i="2"/>
  <c r="G4351" i="2"/>
  <c r="G4403" i="2"/>
  <c r="F3541" i="2"/>
  <c r="G4235" i="2"/>
  <c r="G4076" i="2"/>
  <c r="G3348" i="2"/>
  <c r="G3981" i="2"/>
  <c r="F4438" i="2"/>
  <c r="G4625" i="2"/>
  <c r="G3321" i="2"/>
  <c r="G4536" i="2"/>
  <c r="G4837" i="2"/>
  <c r="G3162" i="2"/>
  <c r="F4420" i="2"/>
  <c r="G4054" i="2"/>
  <c r="G4786" i="2"/>
  <c r="G285" i="2"/>
  <c r="G4555" i="2"/>
  <c r="F4408" i="2"/>
  <c r="G4152" i="2"/>
  <c r="G4247" i="2"/>
  <c r="G3418" i="2"/>
  <c r="F3841" i="2"/>
  <c r="G3714" i="2"/>
  <c r="G3317" i="2"/>
  <c r="G4726" i="2"/>
  <c r="G3104" i="2"/>
  <c r="F4194" i="2"/>
  <c r="G4239" i="2"/>
  <c r="G3433" i="2"/>
  <c r="G3425" i="2"/>
  <c r="G4288" i="2"/>
  <c r="G3214" i="2"/>
  <c r="G3042" i="2"/>
  <c r="F5116" i="2"/>
  <c r="G3243" i="2"/>
  <c r="G4561" i="2"/>
  <c r="G4155" i="2"/>
  <c r="G3604" i="2"/>
  <c r="G3078" i="2"/>
  <c r="G3123" i="2"/>
  <c r="G3159" i="2"/>
  <c r="G4098" i="2"/>
  <c r="F3966" i="2"/>
  <c r="G3336" i="2"/>
  <c r="F2655" i="2"/>
  <c r="G4839" i="2"/>
  <c r="G2771" i="2"/>
  <c r="G2810" i="2"/>
  <c r="G4250" i="2"/>
  <c r="G2814" i="2"/>
  <c r="G3640" i="2"/>
  <c r="F3300" i="2"/>
  <c r="G3890" i="2"/>
  <c r="F5326" i="2"/>
  <c r="G3775" i="2"/>
  <c r="G2951" i="2"/>
  <c r="G3909" i="2"/>
  <c r="G3420" i="2"/>
  <c r="F3293" i="2"/>
  <c r="G4176" i="2"/>
  <c r="G3964" i="2"/>
  <c r="G4521" i="2"/>
  <c r="F2957" i="2"/>
  <c r="G3304" i="2"/>
  <c r="F5173" i="2"/>
  <c r="G4643" i="2"/>
  <c r="G2871" i="2"/>
  <c r="F2425" i="2"/>
  <c r="G3556" i="2"/>
  <c r="G3565" i="2"/>
  <c r="G4800" i="2"/>
  <c r="G2993" i="2"/>
  <c r="G2785" i="2"/>
  <c r="G4088" i="2"/>
  <c r="F5121" i="2"/>
  <c r="G4667" i="2"/>
  <c r="G3694" i="2"/>
  <c r="G2729" i="2"/>
  <c r="G4769" i="2"/>
  <c r="G4791" i="2"/>
  <c r="G4356" i="2"/>
  <c r="G4944" i="2"/>
  <c r="G4546" i="2"/>
  <c r="F4734" i="2"/>
  <c r="G4535" i="2"/>
  <c r="G3153" i="2"/>
  <c r="G2869" i="2"/>
  <c r="G4945" i="2"/>
  <c r="G4446" i="2"/>
  <c r="G2746" i="2"/>
  <c r="G4493" i="2"/>
  <c r="G2747" i="2"/>
  <c r="G4019" i="2"/>
  <c r="G3673" i="2"/>
  <c r="G3465" i="2"/>
  <c r="G4379" i="2"/>
  <c r="F4078" i="2"/>
  <c r="G3354" i="2"/>
  <c r="G3873" i="2"/>
  <c r="G4058" i="2"/>
  <c r="G4195" i="2"/>
  <c r="F5138" i="2"/>
  <c r="G4335" i="2"/>
  <c r="G2827" i="2"/>
  <c r="G4573" i="2"/>
  <c r="F3430" i="2"/>
  <c r="G4584" i="2"/>
  <c r="F2399" i="2"/>
  <c r="G4790" i="2"/>
  <c r="G4485" i="2"/>
  <c r="G3223" i="2"/>
  <c r="G3619" i="2"/>
  <c r="G3037" i="2"/>
  <c r="G4189" i="2"/>
  <c r="G4106" i="2"/>
  <c r="G4840" i="2"/>
  <c r="F3135" i="2"/>
  <c r="G2644" i="2"/>
  <c r="G3101" i="2"/>
  <c r="G2962" i="2"/>
  <c r="G3758" i="2"/>
  <c r="F5412" i="2"/>
  <c r="G2849" i="2"/>
  <c r="G2735" i="2"/>
  <c r="G3972" i="2"/>
  <c r="F3444" i="2"/>
  <c r="G2958" i="2"/>
  <c r="G3453" i="2"/>
  <c r="G2933" i="2"/>
  <c r="G2410" i="2"/>
  <c r="G4209" i="2"/>
  <c r="G4278" i="2"/>
  <c r="G3666" i="2"/>
  <c r="F4250" i="2"/>
  <c r="G3681" i="2"/>
  <c r="G3270" i="2"/>
  <c r="G3144" i="2"/>
  <c r="F4252" i="2"/>
  <c r="G4109" i="2"/>
  <c r="F5042" i="2"/>
  <c r="G3861" i="2"/>
  <c r="G4263" i="2"/>
  <c r="G3988" i="2"/>
  <c r="G3645" i="2"/>
  <c r="G2434" i="2"/>
  <c r="G4701" i="2"/>
  <c r="F2952" i="2"/>
  <c r="G4365" i="2"/>
  <c r="F4136" i="2"/>
  <c r="G2830" i="2"/>
  <c r="G2916" i="2"/>
  <c r="G3827" i="2"/>
  <c r="G4802" i="2"/>
  <c r="F4210" i="2"/>
  <c r="G2947" i="2"/>
  <c r="G3327" i="2"/>
  <c r="G2638" i="2"/>
  <c r="G3675" i="2"/>
  <c r="G3103" i="2"/>
  <c r="G3741" i="2"/>
  <c r="F5282" i="2"/>
  <c r="G4904" i="2"/>
  <c r="G4422" i="2"/>
  <c r="F5140" i="2"/>
  <c r="G2686" i="2"/>
  <c r="G4281" i="2"/>
  <c r="F4327" i="2"/>
  <c r="G4820" i="2"/>
  <c r="G4935" i="2"/>
  <c r="F4239" i="2"/>
  <c r="G3651" i="2"/>
  <c r="F2722" i="2"/>
  <c r="F4056" i="2"/>
  <c r="G4780" i="2"/>
  <c r="G3792" i="2"/>
  <c r="F3212" i="2"/>
  <c r="G3924" i="2"/>
  <c r="G4811" i="2"/>
  <c r="F5080" i="2"/>
  <c r="G4048" i="2"/>
  <c r="F4853" i="2"/>
  <c r="G2968" i="2"/>
  <c r="G3448" i="2"/>
  <c r="F4416" i="2"/>
  <c r="F5208" i="2"/>
  <c r="F5107" i="2"/>
  <c r="G2867" i="2"/>
  <c r="G4577" i="2"/>
  <c r="G2866" i="2"/>
  <c r="G3335" i="2"/>
  <c r="G2426" i="2"/>
  <c r="G4628" i="2"/>
  <c r="G3389" i="2"/>
  <c r="G4074" i="2"/>
  <c r="F5446" i="2"/>
  <c r="F3375" i="2"/>
  <c r="G4328" i="2"/>
  <c r="G4476" i="2"/>
  <c r="G3432" i="2"/>
  <c r="G4125" i="2"/>
  <c r="F2855" i="2"/>
  <c r="G4458" i="2"/>
  <c r="G4883" i="2"/>
  <c r="F5153" i="2"/>
  <c r="G4217" i="2"/>
  <c r="G3941" i="2"/>
  <c r="F4607" i="2"/>
  <c r="G2641" i="2"/>
  <c r="G4884" i="2"/>
  <c r="G2774" i="2"/>
  <c r="G3108" i="2"/>
  <c r="G4396" i="2"/>
  <c r="G3512" i="2"/>
  <c r="G4010" i="2"/>
  <c r="G3541" i="2"/>
  <c r="F4374" i="2"/>
  <c r="G4310" i="2"/>
  <c r="F2409" i="2"/>
  <c r="G4408" i="2"/>
  <c r="G4547" i="2"/>
  <c r="G2900" i="2"/>
  <c r="F4101" i="2"/>
  <c r="G3313" i="2"/>
  <c r="G3620" i="2"/>
  <c r="F5052" i="2"/>
  <c r="G2722" i="2"/>
  <c r="G2798" i="2"/>
  <c r="G3216" i="2"/>
  <c r="F5464" i="2"/>
  <c r="G3920" i="2"/>
  <c r="F5305" i="2"/>
  <c r="G3733" i="2"/>
  <c r="G3065" i="2"/>
  <c r="G3259" i="2"/>
  <c r="G3824" i="2"/>
  <c r="G4336" i="2"/>
  <c r="F4026" i="2"/>
  <c r="G3715" i="2"/>
  <c r="G4613" i="2"/>
  <c r="G3532" i="2"/>
  <c r="G292" i="2"/>
  <c r="G2443" i="2"/>
  <c r="G295" i="2"/>
  <c r="F239" i="2"/>
  <c r="F306" i="2"/>
  <c r="F314" i="2"/>
  <c r="G293" i="2"/>
  <c r="G2481" i="2"/>
  <c r="F296" i="2"/>
  <c r="F2447" i="2"/>
  <c r="F299" i="2"/>
  <c r="G4433" i="2"/>
  <c r="G4371" i="2"/>
  <c r="G4096" i="2"/>
  <c r="G3563" i="2"/>
  <c r="G3333" i="2"/>
  <c r="F3592" i="2"/>
  <c r="G2924" i="2"/>
  <c r="F3821" i="2"/>
  <c r="F4349" i="2"/>
  <c r="G3299" i="2"/>
  <c r="F5026" i="2"/>
  <c r="G4337" i="2"/>
  <c r="G3137" i="2"/>
  <c r="F4164" i="2"/>
  <c r="G4766" i="2"/>
  <c r="G3561" i="2"/>
  <c r="F4725" i="2"/>
  <c r="G4652" i="2"/>
  <c r="G3744" i="2"/>
  <c r="G3519" i="2"/>
  <c r="G2406" i="2"/>
  <c r="G4294" i="2"/>
  <c r="G3284" i="2"/>
  <c r="G4193" i="2"/>
  <c r="G3661" i="2"/>
  <c r="G3193" i="2"/>
  <c r="G3730" i="2"/>
  <c r="G3654" i="2"/>
  <c r="G3970" i="2"/>
  <c r="F3888" i="2"/>
  <c r="G4877" i="2"/>
  <c r="G2885" i="2"/>
  <c r="G4796" i="2"/>
  <c r="G4059" i="2"/>
  <c r="G4431" i="2"/>
  <c r="G4126" i="2"/>
  <c r="G3701" i="2"/>
  <c r="G4574" i="2"/>
  <c r="G4327" i="2"/>
  <c r="G3546" i="2"/>
  <c r="F4783" i="2"/>
  <c r="G3324" i="2"/>
  <c r="G2612" i="2"/>
  <c r="G4920" i="2"/>
  <c r="F2988" i="2"/>
  <c r="G3691" i="2"/>
  <c r="F3379" i="2"/>
  <c r="G3374" i="2"/>
  <c r="G3771" i="2"/>
  <c r="G3312" i="2"/>
  <c r="G300" i="2"/>
  <c r="G2463" i="2"/>
  <c r="G303" i="2"/>
  <c r="F2480" i="2"/>
  <c r="F323" i="2"/>
  <c r="F322" i="2"/>
  <c r="G301" i="2"/>
  <c r="G2427" i="2"/>
  <c r="F304" i="2"/>
  <c r="F294" i="2"/>
  <c r="F307" i="2"/>
  <c r="G4595" i="2"/>
  <c r="G2433" i="2"/>
  <c r="G3388" i="2"/>
  <c r="G4274" i="2"/>
  <c r="G2941" i="2"/>
  <c r="F3043" i="2"/>
  <c r="G3436" i="2"/>
  <c r="G3918" i="2"/>
  <c r="F3814" i="2"/>
  <c r="G3118" i="2"/>
  <c r="G2397" i="2"/>
  <c r="G4275" i="2"/>
  <c r="G2446" i="2"/>
  <c r="F5501" i="2"/>
  <c r="G3533" i="2"/>
  <c r="G3455" i="2"/>
  <c r="G2784" i="2"/>
  <c r="G4470" i="2"/>
  <c r="G3429" i="2"/>
  <c r="G4723" i="2"/>
  <c r="G3554" i="2"/>
  <c r="G3357" i="2"/>
  <c r="G3067" i="2"/>
  <c r="G3228" i="2"/>
  <c r="G4139" i="2"/>
  <c r="G4025" i="2"/>
  <c r="F3406" i="2"/>
  <c r="G4180" i="2"/>
  <c r="G4423" i="2"/>
  <c r="F3115" i="2"/>
  <c r="G2912" i="2"/>
  <c r="G3462" i="2"/>
  <c r="G4566" i="2"/>
  <c r="G3309" i="2"/>
  <c r="G4419" i="2"/>
  <c r="G3745" i="2"/>
  <c r="G3068" i="2"/>
  <c r="G4799" i="2"/>
  <c r="G4742" i="2"/>
  <c r="G4749" i="2"/>
  <c r="G2800" i="2"/>
  <c r="G4224" i="2"/>
  <c r="G3031" i="2"/>
  <c r="G4482" i="2"/>
  <c r="F4333" i="2"/>
  <c r="G4402" i="2"/>
  <c r="G2937" i="2"/>
  <c r="G4017" i="2"/>
  <c r="G3904" i="2"/>
  <c r="G2694" i="2"/>
  <c r="G311" i="2"/>
  <c r="G298" i="2"/>
  <c r="G290" i="2"/>
  <c r="F2444" i="2"/>
  <c r="F2461" i="2"/>
  <c r="F2445" i="2"/>
  <c r="G238" i="2"/>
  <c r="G291" i="2"/>
  <c r="F319" i="2"/>
  <c r="F302" i="2"/>
  <c r="F4" i="2"/>
  <c r="G4656" i="2"/>
  <c r="G4600" i="2"/>
  <c r="G3148" i="2"/>
  <c r="G4400" i="2"/>
  <c r="G4702" i="2"/>
  <c r="F4832" i="2"/>
  <c r="G3564" i="2"/>
  <c r="G4146" i="2"/>
  <c r="F4422" i="2"/>
  <c r="G3857" i="2"/>
  <c r="G4868" i="2"/>
  <c r="G4405" i="2"/>
  <c r="G4679" i="2"/>
  <c r="F3624" i="2"/>
  <c r="G4730" i="2"/>
  <c r="G3012" i="2"/>
  <c r="G3717" i="2"/>
  <c r="G3523" i="2"/>
  <c r="G4856" i="2"/>
  <c r="G4490" i="2"/>
  <c r="G4913" i="2"/>
  <c r="G4931" i="2"/>
  <c r="G3400" i="2"/>
  <c r="F4849" i="2"/>
  <c r="G3631" i="2"/>
  <c r="G3587" i="2"/>
  <c r="F4160" i="2"/>
  <c r="G4729" i="2"/>
  <c r="G3946" i="2"/>
  <c r="F5306" i="2"/>
  <c r="G3102" i="2"/>
  <c r="G4409" i="2"/>
  <c r="G4005" i="2"/>
  <c r="G3260" i="2"/>
  <c r="G3764" i="2"/>
  <c r="G4095" i="2"/>
  <c r="G3075" i="2"/>
  <c r="G3616" i="2"/>
  <c r="G2979" i="2"/>
  <c r="G3314" i="2"/>
  <c r="G3000" i="2"/>
  <c r="F3075" i="2"/>
  <c r="G4692" i="2"/>
  <c r="G3613" i="2"/>
  <c r="F5289" i="2"/>
  <c r="G4101" i="2"/>
  <c r="G3351" i="2"/>
  <c r="G4655" i="2"/>
  <c r="G2943" i="2"/>
  <c r="F3464" i="2"/>
  <c r="G239" i="2"/>
  <c r="G306" i="2"/>
  <c r="G314" i="2"/>
  <c r="F297" i="2"/>
  <c r="F2465" i="2"/>
  <c r="G296" i="2"/>
  <c r="G2447" i="2"/>
  <c r="G299" i="2"/>
  <c r="F2485" i="2"/>
  <c r="F315" i="2"/>
  <c r="F318" i="2"/>
  <c r="F4959" i="2"/>
  <c r="G4771" i="2"/>
  <c r="F5022" i="2"/>
  <c r="G3460" i="2"/>
  <c r="F4216" i="2"/>
  <c r="G3537" i="2"/>
  <c r="F3071" i="2"/>
  <c r="G4816" i="2"/>
  <c r="G3206" i="2"/>
  <c r="G3951" i="2"/>
  <c r="G4727" i="2"/>
  <c r="F3837" i="2"/>
  <c r="G3647" i="2"/>
  <c r="G2949" i="2"/>
  <c r="G2822" i="2"/>
  <c r="G2786" i="2"/>
  <c r="G3689" i="2"/>
  <c r="F3947" i="2"/>
  <c r="G4167" i="2"/>
  <c r="G2749" i="2"/>
  <c r="F5082" i="2"/>
  <c r="F4871" i="2"/>
  <c r="G4149" i="2"/>
  <c r="F3185" i="2"/>
  <c r="G2898" i="2"/>
  <c r="G3306" i="2"/>
  <c r="F4609" i="2"/>
  <c r="G4751" i="2"/>
  <c r="G3054" i="2"/>
  <c r="G2808" i="2"/>
  <c r="G3921" i="2"/>
  <c r="G3155" i="2"/>
  <c r="G4881" i="2"/>
  <c r="F5410" i="2"/>
  <c r="F3323" i="2"/>
  <c r="G3090" i="2"/>
  <c r="F3321" i="2"/>
  <c r="G4674" i="2"/>
  <c r="F4037" i="2"/>
  <c r="G4268" i="2"/>
  <c r="G4805" i="2"/>
  <c r="F4605" i="2"/>
  <c r="G3696" i="2"/>
  <c r="G3843" i="2"/>
  <c r="F4627" i="2"/>
  <c r="G2991" i="2"/>
  <c r="G3934" i="2"/>
  <c r="G4474" i="2"/>
  <c r="G4657" i="2"/>
  <c r="G4830" i="2"/>
  <c r="G2480" i="2"/>
  <c r="G323" i="2"/>
  <c r="G322" i="2"/>
  <c r="F305" i="2"/>
  <c r="F2464" i="2"/>
  <c r="G304" i="2"/>
  <c r="G294" i="2"/>
  <c r="G307" i="2"/>
  <c r="F2423" i="2"/>
  <c r="F5" i="2"/>
  <c r="F3656" i="2"/>
  <c r="G2705" i="2"/>
  <c r="F4597" i="2"/>
  <c r="G4886" i="2"/>
  <c r="G3830" i="2"/>
  <c r="G4254" i="2"/>
  <c r="G3415" i="2"/>
  <c r="G3759" i="2"/>
  <c r="G4153" i="2"/>
  <c r="G3363" i="2"/>
  <c r="G2619" i="2"/>
  <c r="F3516" i="2"/>
  <c r="G3352" i="2"/>
  <c r="G2416" i="2"/>
  <c r="G3896" i="2"/>
  <c r="G4085" i="2"/>
  <c r="G2820" i="2"/>
  <c r="F5156" i="2"/>
  <c r="G4171" i="2"/>
  <c r="G4930" i="2"/>
  <c r="G3496" i="2"/>
  <c r="F4565" i="2"/>
  <c r="G3007" i="2"/>
  <c r="G3190" i="2"/>
  <c r="G2826" i="2"/>
  <c r="G4509" i="2"/>
  <c r="F4358" i="2"/>
  <c r="G3411" i="2"/>
  <c r="G3120" i="2"/>
  <c r="G2925" i="2"/>
  <c r="G4207" i="2"/>
  <c r="G3434" i="2"/>
  <c r="G4449" i="2"/>
  <c r="G4604" i="2"/>
  <c r="G3860" i="2"/>
  <c r="G2668" i="2"/>
  <c r="F4865" i="2"/>
  <c r="G4611" i="2"/>
  <c r="F4334" i="2"/>
  <c r="G4214" i="2"/>
  <c r="G3195" i="2"/>
  <c r="F3613" i="2"/>
  <c r="G2794" i="2"/>
  <c r="G3566" i="2"/>
  <c r="F4344" i="2"/>
  <c r="G4593" i="2"/>
  <c r="G4421" i="2"/>
  <c r="G4759" i="2"/>
  <c r="F5075" i="2"/>
  <c r="G3960" i="2"/>
  <c r="G2444" i="2"/>
  <c r="G2461" i="2"/>
  <c r="F292" i="2"/>
  <c r="F2443" i="2"/>
  <c r="F295" i="2"/>
  <c r="G319" i="2"/>
  <c r="G302" i="2"/>
  <c r="G4" i="2"/>
  <c r="F293" i="2"/>
  <c r="F2481" i="2"/>
  <c r="F4581" i="2"/>
  <c r="G4540" i="2"/>
  <c r="G3844" i="2"/>
  <c r="G3888" i="2"/>
  <c r="G3871" i="2"/>
  <c r="G3933" i="2"/>
  <c r="G4229" i="2"/>
  <c r="G3224" i="2"/>
  <c r="F5187" i="2"/>
  <c r="G3630" i="2"/>
  <c r="G4200" i="2"/>
  <c r="G2428" i="2"/>
  <c r="G4283" i="2"/>
  <c r="G3142" i="2"/>
  <c r="G4445" i="2"/>
  <c r="F4938" i="2"/>
  <c r="G3853" i="2"/>
  <c r="G2623" i="2"/>
  <c r="G3900" i="2"/>
  <c r="G4705" i="2"/>
  <c r="G4319" i="2"/>
  <c r="F3798" i="2"/>
  <c r="G4529" i="2"/>
  <c r="G4393" i="2"/>
  <c r="F2973" i="2"/>
  <c r="G4448" i="2"/>
  <c r="F5384" i="2"/>
  <c r="G4459" i="2"/>
  <c r="G3889" i="2"/>
  <c r="G4777" i="2"/>
  <c r="G3476" i="2"/>
  <c r="G4381" i="2"/>
  <c r="F5194" i="2"/>
  <c r="G2442" i="2"/>
  <c r="G4917" i="2"/>
  <c r="G4072" i="2"/>
  <c r="F5503" i="2"/>
  <c r="G3376" i="2"/>
  <c r="G3207" i="2"/>
  <c r="G3426" i="2"/>
  <c r="G4034" i="2"/>
  <c r="F5077" i="2"/>
  <c r="G4560" i="2"/>
  <c r="G4092" i="2"/>
  <c r="G3591" i="2"/>
  <c r="G3991" i="2"/>
  <c r="G3323" i="2"/>
  <c r="G2422" i="2"/>
  <c r="F5310" i="2"/>
  <c r="G3263" i="2"/>
  <c r="G297" i="2"/>
  <c r="G2465" i="2"/>
  <c r="F300" i="2"/>
  <c r="F2463" i="2"/>
  <c r="F303" i="2"/>
  <c r="G2485" i="2"/>
  <c r="G315" i="2"/>
  <c r="G318" i="2"/>
  <c r="F301" i="2"/>
  <c r="F2427" i="2"/>
  <c r="G2413" i="2"/>
  <c r="G4406" i="2"/>
  <c r="G3919" i="2"/>
  <c r="F4030" i="2"/>
  <c r="G4741" i="2"/>
  <c r="F2775" i="2"/>
  <c r="G4866" i="2"/>
  <c r="G4587" i="2"/>
  <c r="G3178" i="2"/>
  <c r="G3742" i="2"/>
  <c r="G4831" i="2"/>
  <c r="G4500" i="2"/>
  <c r="G4671" i="2"/>
  <c r="G3472" i="2"/>
  <c r="G4003" i="2"/>
  <c r="F2701" i="2"/>
  <c r="G4907" i="2"/>
  <c r="G3057" i="2"/>
  <c r="G3894" i="2"/>
  <c r="F5093" i="2"/>
  <c r="G4858" i="2"/>
  <c r="G3095" i="2"/>
  <c r="G4859" i="2"/>
  <c r="G2788" i="2"/>
  <c r="F3179" i="2"/>
  <c r="G4284" i="2"/>
  <c r="F5186" i="2"/>
  <c r="G3370" i="2"/>
  <c r="G4358" i="2"/>
  <c r="G3041" i="2"/>
  <c r="F3249" i="2"/>
  <c r="G3421" i="2"/>
  <c r="F3603" i="2"/>
  <c r="F3714" i="2"/>
  <c r="G4119" i="2"/>
  <c r="G3308" i="2"/>
  <c r="G2745" i="2"/>
  <c r="G3648" i="2"/>
  <c r="G4046" i="2"/>
  <c r="F3446" i="2"/>
  <c r="G4522" i="2"/>
  <c r="F5454" i="2"/>
  <c r="G2628" i="2"/>
  <c r="G4241" i="2"/>
  <c r="G4174" i="2"/>
  <c r="G4202" i="2"/>
  <c r="G3906" i="2"/>
  <c r="G3543" i="2"/>
  <c r="G4228" i="2"/>
  <c r="G4453" i="2"/>
  <c r="G305" i="2"/>
  <c r="G2464" i="2"/>
  <c r="F311" i="2"/>
  <c r="F298" i="2"/>
  <c r="F290" i="2"/>
  <c r="G2423" i="2"/>
  <c r="G5" i="2"/>
  <c r="G2445" i="2"/>
  <c r="F238" i="2"/>
  <c r="F291" i="2"/>
  <c r="F2460" i="2"/>
  <c r="F2458" i="2"/>
  <c r="G313" i="2"/>
  <c r="G336" i="2"/>
  <c r="F2440" i="2"/>
  <c r="G2460" i="2"/>
  <c r="G317" i="2"/>
  <c r="G2456" i="2"/>
  <c r="F2436" i="2"/>
  <c r="F241" i="2"/>
  <c r="F2474" i="2"/>
  <c r="G2474" i="2"/>
  <c r="G325" i="2"/>
  <c r="F336" i="2"/>
  <c r="G241" i="2"/>
  <c r="G2478" i="2"/>
  <c r="F6" i="2"/>
  <c r="F309" i="2"/>
  <c r="F332" i="2"/>
  <c r="F329" i="2"/>
  <c r="F2457" i="2"/>
  <c r="G309" i="2"/>
  <c r="F337" i="2"/>
  <c r="G332" i="2"/>
  <c r="G2493" i="2"/>
  <c r="F2478" i="2"/>
  <c r="F341" i="2"/>
  <c r="F320" i="2"/>
  <c r="F312" i="2"/>
  <c r="G329" i="2"/>
  <c r="G240" i="2"/>
  <c r="F2498" i="2"/>
  <c r="G7" i="2"/>
  <c r="G2494" i="2"/>
  <c r="F2494" i="2"/>
  <c r="G310" i="2"/>
  <c r="F325" i="2"/>
  <c r="G2440" i="2"/>
  <c r="G337" i="2"/>
  <c r="F313" i="2"/>
  <c r="G320" i="2"/>
  <c r="G324" i="2"/>
  <c r="F2476" i="2"/>
  <c r="F340" i="2"/>
  <c r="F317" i="2"/>
  <c r="F240" i="2"/>
  <c r="G333" i="2"/>
  <c r="G341" i="2"/>
  <c r="G340" i="2"/>
  <c r="F2456" i="2"/>
  <c r="G2476" i="2"/>
  <c r="F308" i="2"/>
  <c r="F321" i="2"/>
  <c r="F2493" i="2"/>
  <c r="F316" i="2"/>
  <c r="G312" i="2"/>
  <c r="G316" i="2"/>
  <c r="G321" i="2"/>
  <c r="F310" i="2"/>
  <c r="G2458" i="2"/>
  <c r="G2457" i="2"/>
  <c r="G2477" i="2"/>
  <c r="F324" i="2"/>
  <c r="G308" i="2"/>
  <c r="G2436" i="2"/>
  <c r="G2498" i="2"/>
  <c r="F2477" i="2"/>
  <c r="G6" i="2"/>
  <c r="F7" i="2"/>
  <c r="F333" i="2"/>
  <c r="H25" i="1" l="1"/>
  <c r="D24" i="1"/>
  <c r="C242" i="2"/>
  <c r="C8" i="2"/>
  <c r="C9" i="2"/>
  <c r="C243" i="2"/>
  <c r="S5" i="1"/>
  <c r="R5" i="1" s="1"/>
  <c r="F350" i="2"/>
  <c r="G331" i="2"/>
  <c r="G243" i="2"/>
  <c r="F347" i="2"/>
  <c r="F351" i="2"/>
  <c r="F2469" i="2"/>
  <c r="G2491" i="2"/>
  <c r="F242" i="2"/>
  <c r="F359" i="2"/>
  <c r="F327" i="2"/>
  <c r="G354" i="2"/>
  <c r="F9" i="2"/>
  <c r="G2506" i="2"/>
  <c r="G2489" i="2"/>
  <c r="G358" i="2"/>
  <c r="F331" i="2"/>
  <c r="F358" i="2"/>
  <c r="G2470" i="2"/>
  <c r="G350" i="2"/>
  <c r="G2469" i="2"/>
  <c r="F2491" i="2"/>
  <c r="F328" i="2"/>
  <c r="G355" i="2"/>
  <c r="F2453" i="2"/>
  <c r="G343" i="2"/>
  <c r="G8" i="2"/>
  <c r="F2506" i="2"/>
  <c r="F2489" i="2"/>
  <c r="G2471" i="2"/>
  <c r="G326" i="2"/>
  <c r="G2487" i="2"/>
  <c r="F2470" i="2"/>
  <c r="F2487" i="2"/>
  <c r="G9" i="2"/>
  <c r="F2507" i="2"/>
  <c r="G338" i="2"/>
  <c r="G330" i="2"/>
  <c r="F343" i="2"/>
  <c r="F8" i="2"/>
  <c r="G327" i="2"/>
  <c r="G335" i="2"/>
  <c r="G2490" i="2"/>
  <c r="F326" i="2"/>
  <c r="F2490" i="2"/>
  <c r="G2473" i="2"/>
  <c r="G342" i="2"/>
  <c r="G2511" i="2"/>
  <c r="F2473" i="2"/>
  <c r="F338" i="2"/>
  <c r="F330" i="2"/>
  <c r="G2449" i="2"/>
  <c r="G328" i="2"/>
  <c r="F2471" i="2"/>
  <c r="F335" i="2"/>
  <c r="F243" i="2"/>
  <c r="F2511" i="2"/>
  <c r="F334" i="2"/>
  <c r="G2507" i="2"/>
  <c r="G334" i="2"/>
  <c r="G2453" i="2"/>
  <c r="G339" i="2"/>
  <c r="F2449" i="2"/>
  <c r="G347" i="2"/>
  <c r="G351" i="2"/>
  <c r="F354" i="2"/>
  <c r="F355" i="2"/>
  <c r="G242" i="2"/>
  <c r="G359" i="2"/>
  <c r="F342" i="2"/>
  <c r="F339" i="2"/>
  <c r="H26" i="1" l="1"/>
  <c r="D25" i="1"/>
  <c r="C245" i="2"/>
  <c r="C10" i="2"/>
  <c r="C244" i="2"/>
  <c r="C11" i="2"/>
  <c r="S9" i="1"/>
  <c r="R9" i="1" s="1"/>
  <c r="S4" i="1"/>
  <c r="R4" i="1" s="1"/>
  <c r="S8" i="1"/>
  <c r="R8" i="1" s="1"/>
  <c r="S3" i="1"/>
  <c r="R3" i="1" s="1"/>
  <c r="S7" i="1"/>
  <c r="R7" i="1" s="1"/>
  <c r="S10" i="1"/>
  <c r="R10" i="1" s="1"/>
  <c r="S6" i="1"/>
  <c r="R6" i="1" s="1"/>
  <c r="S2" i="1"/>
  <c r="R2" i="1" s="1"/>
  <c r="F361" i="2"/>
  <c r="F376" i="2"/>
  <c r="F2519" i="2"/>
  <c r="G356" i="2"/>
  <c r="G2484" i="2"/>
  <c r="F368" i="2"/>
  <c r="G2466" i="2"/>
  <c r="G2524" i="2"/>
  <c r="F2500" i="2"/>
  <c r="F2502" i="2"/>
  <c r="F2486" i="2"/>
  <c r="F11" i="2"/>
  <c r="F369" i="2"/>
  <c r="F348" i="2"/>
  <c r="G2519" i="2"/>
  <c r="G245" i="2"/>
  <c r="F345" i="2"/>
  <c r="G361" i="2"/>
  <c r="G376" i="2"/>
  <c r="F2484" i="2"/>
  <c r="G11" i="2"/>
  <c r="F2503" i="2"/>
  <c r="F352" i="2"/>
  <c r="F365" i="2"/>
  <c r="G345" i="2"/>
  <c r="G373" i="2"/>
  <c r="G369" i="2"/>
  <c r="F2504" i="2"/>
  <c r="F346" i="2"/>
  <c r="F245" i="2"/>
  <c r="G2500" i="2"/>
  <c r="G2486" i="2"/>
  <c r="F2520" i="2"/>
  <c r="G2503" i="2"/>
  <c r="G352" i="2"/>
  <c r="F2462" i="2"/>
  <c r="F10" i="2"/>
  <c r="F344" i="2"/>
  <c r="F353" i="2"/>
  <c r="G348" i="2"/>
  <c r="G353" i="2"/>
  <c r="F373" i="2"/>
  <c r="G2504" i="2"/>
  <c r="G346" i="2"/>
  <c r="G344" i="2"/>
  <c r="G349" i="2"/>
  <c r="F349" i="2"/>
  <c r="F2482" i="2"/>
  <c r="F244" i="2"/>
  <c r="G2502" i="2"/>
  <c r="G2483" i="2"/>
  <c r="F2483" i="2"/>
  <c r="G10" i="2"/>
  <c r="G244" i="2"/>
  <c r="G2482" i="2"/>
  <c r="F377" i="2"/>
  <c r="F372" i="2"/>
  <c r="F360" i="2"/>
  <c r="G368" i="2"/>
  <c r="G365" i="2"/>
  <c r="F356" i="2"/>
  <c r="F2466" i="2"/>
  <c r="F2524" i="2"/>
  <c r="F357" i="2"/>
  <c r="G357" i="2"/>
  <c r="G2520" i="2"/>
  <c r="G2462" i="2"/>
  <c r="G377" i="2"/>
  <c r="G372" i="2"/>
  <c r="G360" i="2"/>
  <c r="H27" i="1" l="1"/>
  <c r="D26" i="1"/>
  <c r="C246" i="2"/>
  <c r="C247" i="2"/>
  <c r="C12" i="2"/>
  <c r="C13" i="2"/>
  <c r="S11" i="1"/>
  <c r="R11" i="1" s="1"/>
  <c r="S21" i="1"/>
  <c r="R21" i="1" s="1"/>
  <c r="S18" i="1"/>
  <c r="R18" i="1" s="1"/>
  <c r="S17" i="1"/>
  <c r="R17" i="1" s="1"/>
  <c r="S16" i="1"/>
  <c r="R16" i="1" s="1"/>
  <c r="S14" i="1"/>
  <c r="R14" i="1" s="1"/>
  <c r="S12" i="1"/>
  <c r="R12" i="1" s="1"/>
  <c r="F2479" i="2"/>
  <c r="F2516" i="2"/>
  <c r="G12" i="2"/>
  <c r="G2499" i="2"/>
  <c r="F364" i="2"/>
  <c r="F386" i="2"/>
  <c r="F2532" i="2"/>
  <c r="G367" i="2"/>
  <c r="G383" i="2"/>
  <c r="F2495" i="2"/>
  <c r="F375" i="2"/>
  <c r="G379" i="2"/>
  <c r="G366" i="2"/>
  <c r="F12" i="2"/>
  <c r="F2499" i="2"/>
  <c r="G2475" i="2"/>
  <c r="G13" i="2"/>
  <c r="G363" i="2"/>
  <c r="F391" i="2"/>
  <c r="F362" i="2"/>
  <c r="G378" i="2"/>
  <c r="F374" i="2"/>
  <c r="F379" i="2"/>
  <c r="F366" i="2"/>
  <c r="F2533" i="2"/>
  <c r="G2496" i="2"/>
  <c r="G395" i="2"/>
  <c r="F2497" i="2"/>
  <c r="F387" i="2"/>
  <c r="G371" i="2"/>
  <c r="G246" i="2"/>
  <c r="F378" i="2"/>
  <c r="G374" i="2"/>
  <c r="G2517" i="2"/>
  <c r="F2537" i="2"/>
  <c r="F367" i="2"/>
  <c r="F383" i="2"/>
  <c r="G247" i="2"/>
  <c r="G370" i="2"/>
  <c r="F371" i="2"/>
  <c r="F246" i="2"/>
  <c r="G2479" i="2"/>
  <c r="G2516" i="2"/>
  <c r="F2475" i="2"/>
  <c r="F13" i="2"/>
  <c r="F363" i="2"/>
  <c r="G390" i="2"/>
  <c r="G394" i="2"/>
  <c r="F247" i="2"/>
  <c r="F370" i="2"/>
  <c r="G2495" i="2"/>
  <c r="G375" i="2"/>
  <c r="G2533" i="2"/>
  <c r="F2496" i="2"/>
  <c r="F395" i="2"/>
  <c r="G2513" i="2"/>
  <c r="G2515" i="2"/>
  <c r="F390" i="2"/>
  <c r="F394" i="2"/>
  <c r="G391" i="2"/>
  <c r="G362" i="2"/>
  <c r="F2517" i="2"/>
  <c r="G2537" i="2"/>
  <c r="G364" i="2"/>
  <c r="G386" i="2"/>
  <c r="G2532" i="2"/>
  <c r="F2513" i="2"/>
  <c r="F2515" i="2"/>
  <c r="G2497" i="2"/>
  <c r="G387" i="2"/>
  <c r="D2410" i="2"/>
  <c r="E2413" i="2"/>
  <c r="D2385" i="2"/>
  <c r="D2380" i="2"/>
  <c r="E2428" i="2"/>
  <c r="E2467" i="2"/>
  <c r="E2411" i="2"/>
  <c r="D2420" i="2"/>
  <c r="D2394" i="2"/>
  <c r="E2423" i="2"/>
  <c r="E2385" i="2"/>
  <c r="D2440" i="2"/>
  <c r="D2490" i="2"/>
  <c r="D2415" i="2"/>
  <c r="D2446" i="2"/>
  <c r="E2450" i="2"/>
  <c r="E2416" i="2"/>
  <c r="D2392" i="2"/>
  <c r="E241" i="2"/>
  <c r="D2470" i="2"/>
  <c r="D2416" i="2"/>
  <c r="E2397" i="2"/>
  <c r="E2424" i="2"/>
  <c r="D2424" i="2"/>
  <c r="D2418" i="2"/>
  <c r="D242" i="2"/>
  <c r="E2471" i="2"/>
  <c r="D2398" i="2"/>
  <c r="D2468" i="2"/>
  <c r="E2400" i="2"/>
  <c r="D2439" i="2"/>
  <c r="E2439" i="2"/>
  <c r="D2402" i="2"/>
  <c r="E2490" i="2"/>
  <c r="E2432" i="2"/>
  <c r="E2399" i="2"/>
  <c r="D2406" i="2"/>
  <c r="D2426" i="2"/>
  <c r="E2451" i="2"/>
  <c r="D2389" i="2"/>
  <c r="D2429" i="2"/>
  <c r="E2390" i="2"/>
  <c r="E2507" i="2"/>
  <c r="E2414" i="2"/>
  <c r="D2524" i="2"/>
  <c r="E2452" i="2"/>
  <c r="E2489" i="2"/>
  <c r="D2451" i="2"/>
  <c r="E2425" i="2"/>
  <c r="D2444" i="2"/>
  <c r="D2386" i="2"/>
  <c r="D2442" i="2"/>
  <c r="D2491" i="2"/>
  <c r="E2436" i="2"/>
  <c r="D2507" i="2"/>
  <c r="D2414" i="2"/>
  <c r="D2431" i="2"/>
  <c r="E2415" i="2"/>
  <c r="D2437" i="2"/>
  <c r="E244" i="2"/>
  <c r="E2401" i="2"/>
  <c r="E2389" i="2"/>
  <c r="E2491" i="2"/>
  <c r="E2453" i="2"/>
  <c r="D240" i="2"/>
  <c r="E236" i="2"/>
  <c r="E245" i="2"/>
  <c r="D2489" i="2"/>
  <c r="E2381" i="2"/>
  <c r="D2438" i="2"/>
  <c r="D2423" i="2"/>
  <c r="E2472" i="2"/>
  <c r="D2472" i="2"/>
  <c r="E2402" i="2"/>
  <c r="E2394" i="2"/>
  <c r="D2506" i="2"/>
  <c r="D2401" i="2"/>
  <c r="E2388" i="2"/>
  <c r="D243" i="2"/>
  <c r="E2524" i="2"/>
  <c r="E2386" i="2"/>
  <c r="E2449" i="2"/>
  <c r="D244" i="2"/>
  <c r="E2405" i="2"/>
  <c r="D2467" i="2"/>
  <c r="D2387" i="2"/>
  <c r="D2445" i="2"/>
  <c r="D2413" i="2"/>
  <c r="D2436" i="2"/>
  <c r="E2393" i="2"/>
  <c r="E2398" i="2"/>
  <c r="E2419" i="2"/>
  <c r="E2438" i="2"/>
  <c r="D2397" i="2"/>
  <c r="D2419" i="2"/>
  <c r="E2406" i="2"/>
  <c r="D2407" i="2"/>
  <c r="D2432" i="2"/>
  <c r="D2393" i="2"/>
  <c r="D239" i="2"/>
  <c r="D238" i="2"/>
  <c r="D2400" i="2"/>
  <c r="D2449" i="2"/>
  <c r="D2453" i="2"/>
  <c r="D2425" i="2"/>
  <c r="D2390" i="2"/>
  <c r="E2407" i="2"/>
  <c r="D2411" i="2"/>
  <c r="E2410" i="2"/>
  <c r="E2392" i="2"/>
  <c r="D245" i="2"/>
  <c r="E2380" i="2"/>
  <c r="E2437" i="2"/>
  <c r="D2405" i="2"/>
  <c r="E2426" i="2"/>
  <c r="E238" i="2"/>
  <c r="D2412" i="2"/>
  <c r="E2379" i="2"/>
  <c r="E2420" i="2"/>
  <c r="E2427" i="2"/>
  <c r="E243" i="2"/>
  <c r="D2433" i="2"/>
  <c r="E242" i="2"/>
  <c r="E2418" i="2"/>
  <c r="E2412" i="2"/>
  <c r="D2399" i="2"/>
  <c r="D2452" i="2"/>
  <c r="E2444" i="2"/>
  <c r="D2381" i="2"/>
  <c r="D2427" i="2"/>
  <c r="E2470" i="2"/>
  <c r="E2468" i="2"/>
  <c r="E2431" i="2"/>
  <c r="E2387" i="2"/>
  <c r="E239" i="2"/>
  <c r="E2440" i="2"/>
  <c r="D241" i="2"/>
  <c r="E240" i="2"/>
  <c r="E237" i="2"/>
  <c r="D236" i="2"/>
  <c r="D2379" i="2"/>
  <c r="D237" i="2"/>
  <c r="D2471" i="2"/>
  <c r="D2388" i="2"/>
  <c r="D2428" i="2"/>
  <c r="E2446" i="2"/>
  <c r="E2442" i="2"/>
  <c r="E2506" i="2"/>
  <c r="E2429" i="2"/>
  <c r="E2445" i="2"/>
  <c r="E2433" i="2"/>
  <c r="D2450" i="2"/>
  <c r="H28" i="1" l="1"/>
  <c r="D27" i="1"/>
  <c r="C248" i="2"/>
  <c r="C15" i="2"/>
  <c r="C249" i="2"/>
  <c r="C14" i="2"/>
  <c r="S138" i="1"/>
  <c r="R138" i="1" s="1"/>
  <c r="S142" i="1"/>
  <c r="R142" i="1" s="1"/>
  <c r="S146" i="1"/>
  <c r="R146" i="1" s="1"/>
  <c r="S150" i="1"/>
  <c r="R150" i="1" s="1"/>
  <c r="S154" i="1"/>
  <c r="R154" i="1" s="1"/>
  <c r="S158" i="1"/>
  <c r="R158" i="1" s="1"/>
  <c r="S162" i="1"/>
  <c r="R162" i="1" s="1"/>
  <c r="S139" i="1"/>
  <c r="R139" i="1" s="1"/>
  <c r="S274" i="1"/>
  <c r="R274" i="1" s="1"/>
  <c r="S147" i="1"/>
  <c r="R147" i="1" s="1"/>
  <c r="S151" i="1"/>
  <c r="R151" i="1" s="1"/>
  <c r="S140" i="1"/>
  <c r="R140" i="1" s="1"/>
  <c r="S144" i="1"/>
  <c r="R144" i="1" s="1"/>
  <c r="S148" i="1"/>
  <c r="R148" i="1" s="1"/>
  <c r="S152" i="1"/>
  <c r="R152" i="1" s="1"/>
  <c r="S156" i="1"/>
  <c r="R156" i="1" s="1"/>
  <c r="S141" i="1"/>
  <c r="R141" i="1" s="1"/>
  <c r="S145" i="1"/>
  <c r="R145" i="1" s="1"/>
  <c r="S280" i="1"/>
  <c r="R280" i="1" s="1"/>
  <c r="S149" i="1"/>
  <c r="R149" i="1" s="1"/>
  <c r="S284" i="1"/>
  <c r="R284" i="1" s="1"/>
  <c r="S153" i="1"/>
  <c r="R153" i="1" s="1"/>
  <c r="S288" i="1"/>
  <c r="R288" i="1" s="1"/>
  <c r="S279" i="1"/>
  <c r="R279" i="1" s="1"/>
  <c r="S291" i="1"/>
  <c r="R291" i="1" s="1"/>
  <c r="S272" i="1"/>
  <c r="R272" i="1" s="1"/>
  <c r="S286" i="1"/>
  <c r="R286" i="1" s="1"/>
  <c r="S293" i="1"/>
  <c r="R293" i="1" s="1"/>
  <c r="S23" i="1"/>
  <c r="R23" i="1" s="1"/>
  <c r="S275" i="1"/>
  <c r="R275" i="1" s="1"/>
  <c r="S281" i="1"/>
  <c r="R281" i="1" s="1"/>
  <c r="S283" i="1"/>
  <c r="R283" i="1" s="1"/>
  <c r="S285" i="1"/>
  <c r="R285" i="1" s="1"/>
  <c r="S297" i="1"/>
  <c r="R297" i="1" s="1"/>
  <c r="S273" i="1"/>
  <c r="R273" i="1" s="1"/>
  <c r="S277" i="1"/>
  <c r="R277" i="1" s="1"/>
  <c r="S282" i="1"/>
  <c r="R282" i="1" s="1"/>
  <c r="S289" i="1"/>
  <c r="R289" i="1" s="1"/>
  <c r="S19" i="1"/>
  <c r="R19" i="1" s="1"/>
  <c r="S27" i="1"/>
  <c r="R27" i="1" s="1"/>
  <c r="S278" i="1"/>
  <c r="R278" i="1" s="1"/>
  <c r="S137" i="1"/>
  <c r="R137" i="1" s="1"/>
  <c r="S13" i="1"/>
  <c r="R13" i="1" s="1"/>
  <c r="S287" i="1"/>
  <c r="R287" i="1" s="1"/>
  <c r="S15" i="1"/>
  <c r="R15" i="1" s="1"/>
  <c r="S143" i="1"/>
  <c r="R143" i="1" s="1"/>
  <c r="F2508" i="2"/>
  <c r="F15" i="2"/>
  <c r="G404" i="2"/>
  <c r="G393" i="2"/>
  <c r="F248" i="2"/>
  <c r="F405" i="2"/>
  <c r="G413" i="2"/>
  <c r="G2546" i="2"/>
  <c r="G408" i="2"/>
  <c r="F2488" i="2"/>
  <c r="F389" i="2"/>
  <c r="G409" i="2"/>
  <c r="G2512" i="2"/>
  <c r="F404" i="2"/>
  <c r="F393" i="2"/>
  <c r="G388" i="2"/>
  <c r="G401" i="2"/>
  <c r="G14" i="2"/>
  <c r="F2550" i="2"/>
  <c r="F382" i="2"/>
  <c r="G397" i="2"/>
  <c r="G249" i="2"/>
  <c r="F409" i="2"/>
  <c r="F2512" i="2"/>
  <c r="G392" i="2"/>
  <c r="G380" i="2"/>
  <c r="G2510" i="2"/>
  <c r="F384" i="2"/>
  <c r="G2528" i="2"/>
  <c r="G2530" i="2"/>
  <c r="F397" i="2"/>
  <c r="F249" i="2"/>
  <c r="G2526" i="2"/>
  <c r="G2529" i="2"/>
  <c r="F413" i="2"/>
  <c r="F2546" i="2"/>
  <c r="F408" i="2"/>
  <c r="G385" i="2"/>
  <c r="G381" i="2"/>
  <c r="F2528" i="2"/>
  <c r="F2530" i="2"/>
  <c r="G2508" i="2"/>
  <c r="G15" i="2"/>
  <c r="F388" i="2"/>
  <c r="F401" i="2"/>
  <c r="F14" i="2"/>
  <c r="G396" i="2"/>
  <c r="G2509" i="2"/>
  <c r="F385" i="2"/>
  <c r="F381" i="2"/>
  <c r="G2488" i="2"/>
  <c r="G389" i="2"/>
  <c r="F392" i="2"/>
  <c r="F380" i="2"/>
  <c r="G412" i="2"/>
  <c r="G2545" i="2"/>
  <c r="G2492" i="2"/>
  <c r="F396" i="2"/>
  <c r="F2509" i="2"/>
  <c r="G2550" i="2"/>
  <c r="G382" i="2"/>
  <c r="F2526" i="2"/>
  <c r="F2529" i="2"/>
  <c r="G248" i="2"/>
  <c r="G405" i="2"/>
  <c r="F412" i="2"/>
  <c r="F2545" i="2"/>
  <c r="F2492" i="2"/>
  <c r="F2510" i="2"/>
  <c r="G384" i="2"/>
  <c r="D2466" i="2"/>
  <c r="E2459" i="2"/>
  <c r="D2457" i="2"/>
  <c r="E2466" i="2"/>
  <c r="D2454" i="2"/>
  <c r="D247" i="2"/>
  <c r="D2455" i="2"/>
  <c r="E2464" i="2"/>
  <c r="E246" i="2"/>
  <c r="D2465" i="2"/>
  <c r="E2465" i="2"/>
  <c r="E2462" i="2"/>
  <c r="E2455" i="2"/>
  <c r="E2457" i="2"/>
  <c r="D246" i="2"/>
  <c r="E2463" i="2"/>
  <c r="E247" i="2"/>
  <c r="E2454" i="2"/>
  <c r="D2458" i="2"/>
  <c r="D2459" i="2"/>
  <c r="D2464" i="2"/>
  <c r="D2462" i="2"/>
  <c r="D2463" i="2"/>
  <c r="E2458" i="2"/>
  <c r="H29" i="1" l="1"/>
  <c r="D28" i="1"/>
  <c r="C16" i="2"/>
  <c r="C251" i="2"/>
  <c r="C17" i="2"/>
  <c r="C250" i="2"/>
  <c r="S24" i="1"/>
  <c r="R24" i="1" s="1"/>
  <c r="S22" i="1"/>
  <c r="R22" i="1" s="1"/>
  <c r="S26" i="1"/>
  <c r="R26" i="1" s="1"/>
  <c r="S25" i="1"/>
  <c r="R25" i="1" s="1"/>
  <c r="S32" i="1"/>
  <c r="R32" i="1" s="1"/>
  <c r="S276" i="1"/>
  <c r="R276" i="1" s="1"/>
  <c r="S30" i="1"/>
  <c r="R30" i="1" s="1"/>
  <c r="S28" i="1"/>
  <c r="R28" i="1" s="1"/>
  <c r="S36" i="1"/>
  <c r="R36" i="1" s="1"/>
  <c r="S20" i="1"/>
  <c r="R20" i="1" s="1"/>
  <c r="S31" i="1"/>
  <c r="R31" i="1" s="1"/>
  <c r="F419" i="2"/>
  <c r="F423" i="2"/>
  <c r="G2522" i="2"/>
  <c r="G2523" i="2"/>
  <c r="F2558" i="2"/>
  <c r="G423" i="2"/>
  <c r="F2501" i="2"/>
  <c r="F403" i="2"/>
  <c r="F2505" i="2"/>
  <c r="G16" i="2"/>
  <c r="F2563" i="2"/>
  <c r="F414" i="2"/>
  <c r="G407" i="2"/>
  <c r="G2501" i="2"/>
  <c r="G403" i="2"/>
  <c r="G415" i="2"/>
  <c r="F2539" i="2"/>
  <c r="F2541" i="2"/>
  <c r="F422" i="2"/>
  <c r="G430" i="2"/>
  <c r="G2521" i="2"/>
  <c r="F2542" i="2"/>
  <c r="G2542" i="2"/>
  <c r="G2539" i="2"/>
  <c r="G2541" i="2"/>
  <c r="F16" i="2"/>
  <c r="F250" i="2"/>
  <c r="F415" i="2"/>
  <c r="G251" i="2"/>
  <c r="G2505" i="2"/>
  <c r="G422" i="2"/>
  <c r="F410" i="2"/>
  <c r="F17" i="2"/>
  <c r="G427" i="2"/>
  <c r="G399" i="2"/>
  <c r="F2525" i="2"/>
  <c r="F2522" i="2"/>
  <c r="F430" i="2"/>
  <c r="G410" i="2"/>
  <c r="G17" i="2"/>
  <c r="G406" i="2"/>
  <c r="F431" i="2"/>
  <c r="F426" i="2"/>
  <c r="G2563" i="2"/>
  <c r="G400" i="2"/>
  <c r="G411" i="2"/>
  <c r="F406" i="2"/>
  <c r="F2559" i="2"/>
  <c r="G2525" i="2"/>
  <c r="G431" i="2"/>
  <c r="G426" i="2"/>
  <c r="G419" i="2"/>
  <c r="F399" i="2"/>
  <c r="F400" i="2"/>
  <c r="G402" i="2"/>
  <c r="F402" i="2"/>
  <c r="F398" i="2"/>
  <c r="F427" i="2"/>
  <c r="F2543" i="2"/>
  <c r="G250" i="2"/>
  <c r="G414" i="2"/>
  <c r="G2543" i="2"/>
  <c r="F407" i="2"/>
  <c r="F2521" i="2"/>
  <c r="G398" i="2"/>
  <c r="F411" i="2"/>
  <c r="G2559" i="2"/>
  <c r="F2523" i="2"/>
  <c r="G2558" i="2"/>
  <c r="F251" i="2"/>
  <c r="E2509" i="2"/>
  <c r="E2484" i="2"/>
  <c r="E2545" i="2"/>
  <c r="D2545" i="2"/>
  <c r="E2529" i="2"/>
  <c r="D2475" i="2"/>
  <c r="E248" i="2"/>
  <c r="D2546" i="2"/>
  <c r="D2477" i="2"/>
  <c r="E2475" i="2"/>
  <c r="E2476" i="2"/>
  <c r="D2510" i="2"/>
  <c r="D2509" i="2"/>
  <c r="D2481" i="2"/>
  <c r="E2478" i="2"/>
  <c r="E2510" i="2"/>
  <c r="E249" i="2"/>
  <c r="D2484" i="2"/>
  <c r="D2488" i="2"/>
  <c r="D2529" i="2"/>
  <c r="E2477" i="2"/>
  <c r="E2485" i="2"/>
  <c r="D2485" i="2"/>
  <c r="E2546" i="2"/>
  <c r="E2481" i="2"/>
  <c r="D248" i="2"/>
  <c r="D2483" i="2"/>
  <c r="D2478" i="2"/>
  <c r="D2480" i="2"/>
  <c r="D2476" i="2"/>
  <c r="E2483" i="2"/>
  <c r="D249" i="2"/>
  <c r="E2488" i="2"/>
  <c r="E2480" i="2"/>
  <c r="H30" i="1" l="1"/>
  <c r="D29" i="1"/>
  <c r="C19" i="2"/>
  <c r="C252" i="2"/>
  <c r="C253" i="2"/>
  <c r="C18" i="2"/>
  <c r="S45" i="1"/>
  <c r="R45" i="1" s="1"/>
  <c r="S163" i="1"/>
  <c r="R163" i="1" s="1"/>
  <c r="S34" i="1"/>
  <c r="R34" i="1" s="1"/>
  <c r="S155" i="1"/>
  <c r="R155" i="1" s="1"/>
  <c r="S41" i="1"/>
  <c r="R41" i="1" s="1"/>
  <c r="S161" i="1"/>
  <c r="R161" i="1" s="1"/>
  <c r="S166" i="1"/>
  <c r="R166" i="1" s="1"/>
  <c r="S171" i="1"/>
  <c r="R171" i="1" s="1"/>
  <c r="S37" i="1"/>
  <c r="R37" i="1" s="1"/>
  <c r="S160" i="1"/>
  <c r="R160" i="1" s="1"/>
  <c r="S29" i="1"/>
  <c r="R29" i="1" s="1"/>
  <c r="S40" i="1"/>
  <c r="R40" i="1" s="1"/>
  <c r="S165" i="1"/>
  <c r="R165" i="1" s="1"/>
  <c r="S167" i="1"/>
  <c r="R167" i="1" s="1"/>
  <c r="S35" i="1"/>
  <c r="R35" i="1" s="1"/>
  <c r="S157" i="1"/>
  <c r="R157" i="1" s="1"/>
  <c r="S33" i="1"/>
  <c r="R33" i="1" s="1"/>
  <c r="S39" i="1"/>
  <c r="R39" i="1" s="1"/>
  <c r="S159" i="1"/>
  <c r="R159" i="1" s="1"/>
  <c r="F428" i="2"/>
  <c r="F2556" i="2"/>
  <c r="G416" i="2"/>
  <c r="G252" i="2"/>
  <c r="F420" i="2"/>
  <c r="F2555" i="2"/>
  <c r="G2538" i="2"/>
  <c r="G432" i="2"/>
  <c r="F433" i="2"/>
  <c r="F2518" i="2"/>
  <c r="F424" i="2"/>
  <c r="G449" i="2"/>
  <c r="G437" i="2"/>
  <c r="F2552" i="2"/>
  <c r="F418" i="2"/>
  <c r="G425" i="2"/>
  <c r="G2534" i="2"/>
  <c r="G429" i="2"/>
  <c r="F2571" i="2"/>
  <c r="F440" i="2"/>
  <c r="G448" i="2"/>
  <c r="G253" i="2"/>
  <c r="G445" i="2"/>
  <c r="F416" i="2"/>
  <c r="F252" i="2"/>
  <c r="G2572" i="2"/>
  <c r="F2538" i="2"/>
  <c r="F432" i="2"/>
  <c r="G421" i="2"/>
  <c r="G2536" i="2"/>
  <c r="G18" i="2"/>
  <c r="F449" i="2"/>
  <c r="F437" i="2"/>
  <c r="F2576" i="2"/>
  <c r="G444" i="2"/>
  <c r="F425" i="2"/>
  <c r="F2534" i="2"/>
  <c r="G2535" i="2"/>
  <c r="G2554" i="2"/>
  <c r="F448" i="2"/>
  <c r="F253" i="2"/>
  <c r="F445" i="2"/>
  <c r="G417" i="2"/>
  <c r="G2514" i="2"/>
  <c r="G424" i="2"/>
  <c r="F2572" i="2"/>
  <c r="F429" i="2"/>
  <c r="G441" i="2"/>
  <c r="G19" i="2"/>
  <c r="F421" i="2"/>
  <c r="F2536" i="2"/>
  <c r="F18" i="2"/>
  <c r="G428" i="2"/>
  <c r="G2556" i="2"/>
  <c r="G433" i="2"/>
  <c r="G2576" i="2"/>
  <c r="F444" i="2"/>
  <c r="G420" i="2"/>
  <c r="G2555" i="2"/>
  <c r="F2535" i="2"/>
  <c r="F2554" i="2"/>
  <c r="G2518" i="2"/>
  <c r="F417" i="2"/>
  <c r="F2514" i="2"/>
  <c r="G2552" i="2"/>
  <c r="G418" i="2"/>
  <c r="F441" i="2"/>
  <c r="F19" i="2"/>
  <c r="G2571" i="2"/>
  <c r="G440" i="2"/>
  <c r="D2496" i="2"/>
  <c r="E2496" i="2"/>
  <c r="D2502" i="2"/>
  <c r="E2498" i="2"/>
  <c r="E2505" i="2"/>
  <c r="E250" i="2"/>
  <c r="D2501" i="2"/>
  <c r="D2493" i="2"/>
  <c r="E2503" i="2"/>
  <c r="D2563" i="2"/>
  <c r="D250" i="2"/>
  <c r="D2505" i="2"/>
  <c r="E251" i="2"/>
  <c r="E2501" i="2"/>
  <c r="D2498" i="2"/>
  <c r="E2494" i="2"/>
  <c r="E2497" i="2"/>
  <c r="D2494" i="2"/>
  <c r="E2492" i="2"/>
  <c r="D2497" i="2"/>
  <c r="D2504" i="2"/>
  <c r="E2563" i="2"/>
  <c r="D2492" i="2"/>
  <c r="D2543" i="2"/>
  <c r="E2504" i="2"/>
  <c r="E2502" i="2"/>
  <c r="D2503" i="2"/>
  <c r="E2493" i="2"/>
  <c r="D251" i="2"/>
  <c r="E2543" i="2"/>
  <c r="H31" i="1" l="1"/>
  <c r="D30" i="1"/>
  <c r="C20" i="2"/>
  <c r="C254" i="2"/>
  <c r="C21" i="2"/>
  <c r="C255" i="2"/>
  <c r="S168" i="1"/>
  <c r="R168" i="1" s="1"/>
  <c r="S170" i="1"/>
  <c r="R170" i="1" s="1"/>
  <c r="S300" i="1"/>
  <c r="R300" i="1" s="1"/>
  <c r="S46" i="1"/>
  <c r="R46" i="1" s="1"/>
  <c r="S174" i="1"/>
  <c r="R174" i="1" s="1"/>
  <c r="S292" i="1"/>
  <c r="R292" i="1" s="1"/>
  <c r="S44" i="1"/>
  <c r="R44" i="1" s="1"/>
  <c r="S164" i="1"/>
  <c r="R164" i="1" s="1"/>
  <c r="S294" i="1"/>
  <c r="R294" i="1" s="1"/>
  <c r="S296" i="1"/>
  <c r="R296" i="1" s="1"/>
  <c r="S176" i="1"/>
  <c r="R176" i="1" s="1"/>
  <c r="S169" i="1"/>
  <c r="R169" i="1" s="1"/>
  <c r="S54" i="1"/>
  <c r="R54" i="1" s="1"/>
  <c r="S42" i="1"/>
  <c r="R42" i="1" s="1"/>
  <c r="S302" i="1"/>
  <c r="R302" i="1" s="1"/>
  <c r="S295" i="1"/>
  <c r="R295" i="1" s="1"/>
  <c r="S172" i="1"/>
  <c r="R172" i="1" s="1"/>
  <c r="S290" i="1"/>
  <c r="R290" i="1" s="1"/>
  <c r="S43" i="1"/>
  <c r="R43" i="1" s="1"/>
  <c r="S48" i="1"/>
  <c r="R48" i="1" s="1"/>
  <c r="S306" i="1"/>
  <c r="R306" i="1" s="1"/>
  <c r="S301" i="1"/>
  <c r="R301" i="1" s="1"/>
  <c r="S50" i="1"/>
  <c r="R50" i="1" s="1"/>
  <c r="S298" i="1"/>
  <c r="R298" i="1" s="1"/>
  <c r="S180" i="1"/>
  <c r="R180" i="1" s="1"/>
  <c r="S49" i="1"/>
  <c r="R49" i="1" s="1"/>
  <c r="S38" i="1"/>
  <c r="R38" i="1" s="1"/>
  <c r="S175" i="1"/>
  <c r="R175" i="1" s="1"/>
  <c r="F434" i="2"/>
  <c r="G2567" i="2"/>
  <c r="G436" i="2"/>
  <c r="F439" i="2"/>
  <c r="F2585" i="2"/>
  <c r="F2589" i="2"/>
  <c r="G2531" i="2"/>
  <c r="G2568" i="2"/>
  <c r="F2548" i="2"/>
  <c r="G2565" i="2"/>
  <c r="G450" i="2"/>
  <c r="F20" i="2"/>
  <c r="F451" i="2"/>
  <c r="F466" i="2"/>
  <c r="G2527" i="2"/>
  <c r="G459" i="2"/>
  <c r="F463" i="2"/>
  <c r="F438" i="2"/>
  <c r="G458" i="2"/>
  <c r="G2547" i="2"/>
  <c r="F455" i="2"/>
  <c r="F2584" i="2"/>
  <c r="F2551" i="2"/>
  <c r="G255" i="2"/>
  <c r="G2549" i="2"/>
  <c r="F462" i="2"/>
  <c r="F254" i="2"/>
  <c r="G467" i="2"/>
  <c r="G446" i="2"/>
  <c r="F447" i="2"/>
  <c r="F2569" i="2"/>
  <c r="F459" i="2"/>
  <c r="G434" i="2"/>
  <c r="G435" i="2"/>
  <c r="F21" i="2"/>
  <c r="F2549" i="2"/>
  <c r="G2585" i="2"/>
  <c r="G2589" i="2"/>
  <c r="F2567" i="2"/>
  <c r="F436" i="2"/>
  <c r="F443" i="2"/>
  <c r="G2548" i="2"/>
  <c r="G439" i="2"/>
  <c r="F2531" i="2"/>
  <c r="G20" i="2"/>
  <c r="G451" i="2"/>
  <c r="G466" i="2"/>
  <c r="F2565" i="2"/>
  <c r="F450" i="2"/>
  <c r="G463" i="2"/>
  <c r="G438" i="2"/>
  <c r="G443" i="2"/>
  <c r="F2527" i="2"/>
  <c r="G455" i="2"/>
  <c r="G2584" i="2"/>
  <c r="G2551" i="2"/>
  <c r="F458" i="2"/>
  <c r="F2547" i="2"/>
  <c r="G462" i="2"/>
  <c r="G442" i="2"/>
  <c r="F442" i="2"/>
  <c r="F255" i="2"/>
  <c r="G447" i="2"/>
  <c r="G2569" i="2"/>
  <c r="F2568" i="2"/>
  <c r="F467" i="2"/>
  <c r="F446" i="2"/>
  <c r="G21" i="2"/>
  <c r="G254" i="2"/>
  <c r="F435" i="2"/>
  <c r="E2523" i="2"/>
  <c r="E2517" i="2"/>
  <c r="D252" i="2"/>
  <c r="D2511" i="2"/>
  <c r="D2520" i="2"/>
  <c r="D2516" i="2"/>
  <c r="D2519" i="2"/>
  <c r="D2515" i="2"/>
  <c r="E2511" i="2"/>
  <c r="E2519" i="2"/>
  <c r="D2517" i="2"/>
  <c r="E2518" i="2"/>
  <c r="E2520" i="2"/>
  <c r="E252" i="2"/>
  <c r="D253" i="2"/>
  <c r="E2516" i="2"/>
  <c r="D2523" i="2"/>
  <c r="E2515" i="2"/>
  <c r="D2518" i="2"/>
  <c r="E2522" i="2"/>
  <c r="D2522" i="2"/>
  <c r="E253" i="2"/>
  <c r="H32" i="1" l="1"/>
  <c r="D31" i="1"/>
  <c r="C256" i="2"/>
  <c r="C257" i="2"/>
  <c r="C23" i="2"/>
  <c r="C22" i="2"/>
  <c r="S315" i="1"/>
  <c r="R315" i="1" s="1"/>
  <c r="S310" i="1"/>
  <c r="R310" i="1" s="1"/>
  <c r="S307" i="1"/>
  <c r="R307" i="1" s="1"/>
  <c r="S51" i="1"/>
  <c r="R51" i="1" s="1"/>
  <c r="S311" i="1"/>
  <c r="R311" i="1" s="1"/>
  <c r="S299" i="1"/>
  <c r="R299" i="1" s="1"/>
  <c r="S53" i="1"/>
  <c r="R53" i="1" s="1"/>
  <c r="S55" i="1"/>
  <c r="R55" i="1" s="1"/>
  <c r="S305" i="1"/>
  <c r="R305" i="1" s="1"/>
  <c r="S173" i="1"/>
  <c r="R173" i="1" s="1"/>
  <c r="S185" i="1"/>
  <c r="R185" i="1" s="1"/>
  <c r="S178" i="1"/>
  <c r="R178" i="1" s="1"/>
  <c r="S189" i="1"/>
  <c r="R189" i="1" s="1"/>
  <c r="S52" i="1"/>
  <c r="R52" i="1" s="1"/>
  <c r="S177" i="1"/>
  <c r="R177" i="1" s="1"/>
  <c r="S304" i="1"/>
  <c r="R304" i="1" s="1"/>
  <c r="S309" i="1"/>
  <c r="R309" i="1" s="1"/>
  <c r="S181" i="1"/>
  <c r="R181" i="1" s="1"/>
  <c r="S57" i="1"/>
  <c r="R57" i="1" s="1"/>
  <c r="S184" i="1"/>
  <c r="R184" i="1" s="1"/>
  <c r="S59" i="1"/>
  <c r="R59" i="1" s="1"/>
  <c r="S183" i="1"/>
  <c r="R183" i="1" s="1"/>
  <c r="S179" i="1"/>
  <c r="R179" i="1" s="1"/>
  <c r="S58" i="1"/>
  <c r="R58" i="1" s="1"/>
  <c r="S47" i="1"/>
  <c r="R47" i="1" s="1"/>
  <c r="S303" i="1"/>
  <c r="R303" i="1" s="1"/>
  <c r="S63" i="1"/>
  <c r="R63" i="1" s="1"/>
  <c r="G257" i="2"/>
  <c r="G2598" i="2"/>
  <c r="F468" i="2"/>
  <c r="F477" i="2"/>
  <c r="G481" i="2"/>
  <c r="G22" i="2"/>
  <c r="F23" i="2"/>
  <c r="F465" i="2"/>
  <c r="G2564" i="2"/>
  <c r="G464" i="2"/>
  <c r="G476" i="2"/>
  <c r="F456" i="2"/>
  <c r="F2597" i="2"/>
  <c r="G457" i="2"/>
  <c r="G2602" i="2"/>
  <c r="F481" i="2"/>
  <c r="F22" i="2"/>
  <c r="G2562" i="2"/>
  <c r="G256" i="2"/>
  <c r="G2580" i="2"/>
  <c r="F257" i="2"/>
  <c r="F2598" i="2"/>
  <c r="G460" i="2"/>
  <c r="G2581" i="2"/>
  <c r="F457" i="2"/>
  <c r="F2602" i="2"/>
  <c r="G2582" i="2"/>
  <c r="G2540" i="2"/>
  <c r="F2564" i="2"/>
  <c r="F464" i="2"/>
  <c r="F476" i="2"/>
  <c r="G452" i="2"/>
  <c r="G469" i="2"/>
  <c r="F460" i="2"/>
  <c r="F2581" i="2"/>
  <c r="G480" i="2"/>
  <c r="G473" i="2"/>
  <c r="F2562" i="2"/>
  <c r="F256" i="2"/>
  <c r="F2580" i="2"/>
  <c r="G2544" i="2"/>
  <c r="G485" i="2"/>
  <c r="F452" i="2"/>
  <c r="F469" i="2"/>
  <c r="G461" i="2"/>
  <c r="G484" i="2"/>
  <c r="F2582" i="2"/>
  <c r="F2540" i="2"/>
  <c r="G453" i="2"/>
  <c r="G2560" i="2"/>
  <c r="F2578" i="2"/>
  <c r="F2544" i="2"/>
  <c r="F485" i="2"/>
  <c r="G468" i="2"/>
  <c r="G477" i="2"/>
  <c r="F480" i="2"/>
  <c r="F473" i="2"/>
  <c r="G454" i="2"/>
  <c r="G2561" i="2"/>
  <c r="F453" i="2"/>
  <c r="F2560" i="2"/>
  <c r="G2578" i="2"/>
  <c r="G456" i="2"/>
  <c r="G2597" i="2"/>
  <c r="F461" i="2"/>
  <c r="F484" i="2"/>
  <c r="G23" i="2"/>
  <c r="G465" i="2"/>
  <c r="F454" i="2"/>
  <c r="F2561" i="2"/>
  <c r="E2540" i="2"/>
  <c r="E2533" i="2"/>
  <c r="E2548" i="2"/>
  <c r="D2541" i="2"/>
  <c r="E2537" i="2"/>
  <c r="E2527" i="2"/>
  <c r="E2541" i="2"/>
  <c r="D2531" i="2"/>
  <c r="D2548" i="2"/>
  <c r="D2567" i="2"/>
  <c r="D2532" i="2"/>
  <c r="D255" i="2"/>
  <c r="D2537" i="2"/>
  <c r="D254" i="2"/>
  <c r="D2585" i="2"/>
  <c r="E254" i="2"/>
  <c r="E2535" i="2"/>
  <c r="E2532" i="2"/>
  <c r="E2530" i="2"/>
  <c r="E2567" i="2"/>
  <c r="D2533" i="2"/>
  <c r="E255" i="2"/>
  <c r="E2585" i="2"/>
  <c r="D2535" i="2"/>
  <c r="D2530" i="2"/>
  <c r="D2540" i="2"/>
  <c r="E2536" i="2"/>
  <c r="D2536" i="2"/>
  <c r="E2531" i="2"/>
  <c r="D2527" i="2"/>
  <c r="H33" i="1" l="1"/>
  <c r="D32" i="1"/>
  <c r="C24" i="2"/>
  <c r="C258" i="2"/>
  <c r="C259" i="2"/>
  <c r="C25" i="2"/>
  <c r="S187" i="1"/>
  <c r="R187" i="1" s="1"/>
  <c r="S312" i="1"/>
  <c r="R312" i="1" s="1"/>
  <c r="S64" i="1"/>
  <c r="R64" i="1" s="1"/>
  <c r="S188" i="1"/>
  <c r="R188" i="1" s="1"/>
  <c r="S60" i="1"/>
  <c r="R60" i="1" s="1"/>
  <c r="S193" i="1"/>
  <c r="R193" i="1" s="1"/>
  <c r="S314" i="1"/>
  <c r="R314" i="1" s="1"/>
  <c r="S198" i="1"/>
  <c r="R198" i="1" s="1"/>
  <c r="S324" i="1"/>
  <c r="R324" i="1" s="1"/>
  <c r="S320" i="1"/>
  <c r="R320" i="1" s="1"/>
  <c r="S62" i="1"/>
  <c r="R62" i="1" s="1"/>
  <c r="S66" i="1"/>
  <c r="R66" i="1" s="1"/>
  <c r="S313" i="1"/>
  <c r="R313" i="1" s="1"/>
  <c r="S316" i="1"/>
  <c r="R316" i="1" s="1"/>
  <c r="S61" i="1"/>
  <c r="R61" i="1" s="1"/>
  <c r="S318" i="1"/>
  <c r="R318" i="1" s="1"/>
  <c r="S194" i="1"/>
  <c r="R194" i="1" s="1"/>
  <c r="S192" i="1"/>
  <c r="R192" i="1" s="1"/>
  <c r="S182" i="1"/>
  <c r="R182" i="1" s="1"/>
  <c r="S190" i="1"/>
  <c r="R190" i="1" s="1"/>
  <c r="S186" i="1"/>
  <c r="R186" i="1" s="1"/>
  <c r="S72" i="1"/>
  <c r="R72" i="1" s="1"/>
  <c r="S308" i="1"/>
  <c r="R308" i="1" s="1"/>
  <c r="S56" i="1"/>
  <c r="R56" i="1" s="1"/>
  <c r="S68" i="1"/>
  <c r="R68" i="1" s="1"/>
  <c r="S67" i="1"/>
  <c r="R67" i="1" s="1"/>
  <c r="S319" i="1"/>
  <c r="R319" i="1" s="1"/>
  <c r="F483" i="2"/>
  <c r="F491" i="2"/>
  <c r="G2557" i="2"/>
  <c r="G486" i="2"/>
  <c r="F2575" i="2"/>
  <c r="F486" i="2"/>
  <c r="G470" i="2"/>
  <c r="F2574" i="2"/>
  <c r="F2595" i="2"/>
  <c r="F2573" i="2"/>
  <c r="G475" i="2"/>
  <c r="G2593" i="2"/>
  <c r="F2557" i="2"/>
  <c r="F2593" i="2"/>
  <c r="F499" i="2"/>
  <c r="G2594" i="2"/>
  <c r="F2577" i="2"/>
  <c r="F482" i="2"/>
  <c r="G2611" i="2"/>
  <c r="G2574" i="2"/>
  <c r="F475" i="2"/>
  <c r="F259" i="2"/>
  <c r="F471" i="2"/>
  <c r="F503" i="2"/>
  <c r="F470" i="2"/>
  <c r="F474" i="2"/>
  <c r="G478" i="2"/>
  <c r="G259" i="2"/>
  <c r="G471" i="2"/>
  <c r="F479" i="2"/>
  <c r="G25" i="2"/>
  <c r="G482" i="2"/>
  <c r="G472" i="2"/>
  <c r="G2591" i="2"/>
  <c r="G487" i="2"/>
  <c r="G479" i="2"/>
  <c r="F2611" i="2"/>
  <c r="G2610" i="2"/>
  <c r="F502" i="2"/>
  <c r="G474" i="2"/>
  <c r="F494" i="2"/>
  <c r="G24" i="2"/>
  <c r="G2553" i="2"/>
  <c r="F2591" i="2"/>
  <c r="F478" i="2"/>
  <c r="G483" i="2"/>
  <c r="G2573" i="2"/>
  <c r="F498" i="2"/>
  <c r="F2594" i="2"/>
  <c r="G258" i="2"/>
  <c r="F495" i="2"/>
  <c r="F24" i="2"/>
  <c r="F487" i="2"/>
  <c r="G2595" i="2"/>
  <c r="F2610" i="2"/>
  <c r="F25" i="2"/>
  <c r="G2575" i="2"/>
  <c r="F472" i="2"/>
  <c r="F258" i="2"/>
  <c r="F2553" i="2"/>
  <c r="G2577" i="2"/>
  <c r="E2559" i="2"/>
  <c r="E2553" i="2"/>
  <c r="D2559" i="2"/>
  <c r="D2558" i="2"/>
  <c r="E2557" i="2"/>
  <c r="D2555" i="2"/>
  <c r="D257" i="2"/>
  <c r="D256" i="2"/>
  <c r="E2562" i="2"/>
  <c r="E2550" i="2"/>
  <c r="E2561" i="2"/>
  <c r="E2581" i="2"/>
  <c r="E2549" i="2"/>
  <c r="E2554" i="2"/>
  <c r="D2557" i="2"/>
  <c r="E257" i="2"/>
  <c r="D2582" i="2"/>
  <c r="D2549" i="2"/>
  <c r="E2558" i="2"/>
  <c r="D2544" i="2"/>
  <c r="D2562" i="2"/>
  <c r="D2581" i="2"/>
  <c r="E2602" i="2"/>
  <c r="D2561" i="2"/>
  <c r="D2553" i="2"/>
  <c r="E2582" i="2"/>
  <c r="E2544" i="2"/>
  <c r="E256" i="2"/>
  <c r="D2602" i="2"/>
  <c r="E2555" i="2"/>
  <c r="D2550" i="2"/>
  <c r="D2554" i="2"/>
  <c r="H34" i="1" l="1"/>
  <c r="D33" i="1"/>
  <c r="C27" i="2"/>
  <c r="C260" i="2"/>
  <c r="C26" i="2"/>
  <c r="C261" i="2"/>
  <c r="S203" i="1"/>
  <c r="R203" i="1" s="1"/>
  <c r="S81" i="1"/>
  <c r="R81" i="1" s="1"/>
  <c r="S70" i="1"/>
  <c r="R70" i="1" s="1"/>
  <c r="S71" i="1"/>
  <c r="R71" i="1" s="1"/>
  <c r="S69" i="1"/>
  <c r="R69" i="1" s="1"/>
  <c r="S65" i="1"/>
  <c r="R65" i="1" s="1"/>
  <c r="S202" i="1"/>
  <c r="R202" i="1" s="1"/>
  <c r="S325" i="1"/>
  <c r="R325" i="1" s="1"/>
  <c r="S327" i="1"/>
  <c r="R327" i="1" s="1"/>
  <c r="S201" i="1"/>
  <c r="R201" i="1" s="1"/>
  <c r="S73" i="1"/>
  <c r="R73" i="1" s="1"/>
  <c r="S322" i="1"/>
  <c r="R322" i="1" s="1"/>
  <c r="S76" i="1"/>
  <c r="R76" i="1" s="1"/>
  <c r="S77" i="1"/>
  <c r="R77" i="1" s="1"/>
  <c r="S328" i="1"/>
  <c r="R328" i="1" s="1"/>
  <c r="S195" i="1"/>
  <c r="R195" i="1" s="1"/>
  <c r="S321" i="1"/>
  <c r="R321" i="1" s="1"/>
  <c r="S317" i="1"/>
  <c r="R317" i="1" s="1"/>
  <c r="S329" i="1"/>
  <c r="R329" i="1" s="1"/>
  <c r="S196" i="1"/>
  <c r="R196" i="1" s="1"/>
  <c r="S197" i="1"/>
  <c r="R197" i="1" s="1"/>
  <c r="S323" i="1"/>
  <c r="R323" i="1" s="1"/>
  <c r="S199" i="1"/>
  <c r="R199" i="1" s="1"/>
  <c r="S75" i="1"/>
  <c r="R75" i="1" s="1"/>
  <c r="S191" i="1"/>
  <c r="R191" i="1" s="1"/>
  <c r="S207" i="1"/>
  <c r="R207" i="1" s="1"/>
  <c r="F509" i="2"/>
  <c r="F492" i="2"/>
  <c r="F505" i="2"/>
  <c r="F500" i="2"/>
  <c r="F504" i="2"/>
  <c r="F516" i="2"/>
  <c r="F26" i="2"/>
  <c r="G2590" i="2"/>
  <c r="F2566" i="2"/>
  <c r="G2587" i="2"/>
  <c r="F512" i="2"/>
  <c r="F2590" i="2"/>
  <c r="G2566" i="2"/>
  <c r="F489" i="2"/>
  <c r="F493" i="2"/>
  <c r="F517" i="2"/>
  <c r="G2570" i="2"/>
  <c r="G489" i="2"/>
  <c r="F490" i="2"/>
  <c r="G2588" i="2"/>
  <c r="F260" i="2"/>
  <c r="F2588" i="2"/>
  <c r="G26" i="2"/>
  <c r="F488" i="2"/>
  <c r="G260" i="2"/>
  <c r="F2604" i="2"/>
  <c r="F2587" i="2"/>
  <c r="F513" i="2"/>
  <c r="F496" i="2"/>
  <c r="G2604" i="2"/>
  <c r="F521" i="2"/>
  <c r="G261" i="2"/>
  <c r="G2606" i="2"/>
  <c r="F261" i="2"/>
  <c r="F501" i="2"/>
  <c r="F2606" i="2"/>
  <c r="G488" i="2"/>
  <c r="F520" i="2"/>
  <c r="F2608" i="2"/>
  <c r="G27" i="2"/>
  <c r="F27" i="2"/>
  <c r="F2586" i="2"/>
  <c r="G2586" i="2"/>
  <c r="F2607" i="2"/>
  <c r="G490" i="2"/>
  <c r="G2608" i="2"/>
  <c r="F2570" i="2"/>
  <c r="G2607" i="2"/>
  <c r="F497" i="2"/>
  <c r="E258" i="2"/>
  <c r="E2574" i="2"/>
  <c r="E2576" i="2"/>
  <c r="D2569" i="2"/>
  <c r="E2580" i="2"/>
  <c r="E2575" i="2"/>
  <c r="D2580" i="2"/>
  <c r="D2575" i="2"/>
  <c r="E259" i="2"/>
  <c r="E2569" i="2"/>
  <c r="E2568" i="2"/>
  <c r="D2576" i="2"/>
  <c r="D259" i="2"/>
  <c r="E2571" i="2"/>
  <c r="D258" i="2"/>
  <c r="D2572" i="2"/>
  <c r="D2574" i="2"/>
  <c r="D2568" i="2"/>
  <c r="E2572" i="2"/>
  <c r="D2571" i="2"/>
  <c r="H35" i="1" l="1"/>
  <c r="D34" i="1"/>
  <c r="C28" i="2"/>
  <c r="C262" i="2"/>
  <c r="C29" i="2"/>
  <c r="C263" i="2"/>
  <c r="S200" i="1"/>
  <c r="R200" i="1" s="1"/>
  <c r="S216" i="1"/>
  <c r="R216" i="1" s="1"/>
  <c r="S210" i="1"/>
  <c r="R210" i="1" s="1"/>
  <c r="S78" i="1"/>
  <c r="R78" i="1" s="1"/>
  <c r="S206" i="1"/>
  <c r="R206" i="1" s="1"/>
  <c r="S205" i="1"/>
  <c r="R205" i="1" s="1"/>
  <c r="S74" i="1"/>
  <c r="R74" i="1" s="1"/>
  <c r="S326" i="1"/>
  <c r="R326" i="1" s="1"/>
  <c r="S212" i="1"/>
  <c r="R212" i="1" s="1"/>
  <c r="S82" i="1"/>
  <c r="R82" i="1" s="1"/>
  <c r="S80" i="1"/>
  <c r="R80" i="1" s="1"/>
  <c r="S90" i="1"/>
  <c r="R90" i="1" s="1"/>
  <c r="S85" i="1"/>
  <c r="R85" i="1" s="1"/>
  <c r="S204" i="1"/>
  <c r="R204" i="1" s="1"/>
  <c r="S84" i="1"/>
  <c r="R84" i="1" s="1"/>
  <c r="S86" i="1"/>
  <c r="R86" i="1" s="1"/>
  <c r="S211" i="1"/>
  <c r="R211" i="1" s="1"/>
  <c r="S208" i="1"/>
  <c r="R208" i="1" s="1"/>
  <c r="S79" i="1"/>
  <c r="R79" i="1" s="1"/>
  <c r="F535" i="2"/>
  <c r="F510" i="2"/>
  <c r="F511" i="2"/>
  <c r="F507" i="2"/>
  <c r="G2603" i="2"/>
  <c r="F522" i="2"/>
  <c r="F2599" i="2"/>
  <c r="G29" i="2"/>
  <c r="F28" i="2"/>
  <c r="F2579" i="2"/>
  <c r="F2601" i="2"/>
  <c r="F2600" i="2"/>
  <c r="F531" i="2"/>
  <c r="G263" i="2"/>
  <c r="F2603" i="2"/>
  <c r="G262" i="2"/>
  <c r="G2600" i="2"/>
  <c r="F29" i="2"/>
  <c r="F506" i="2"/>
  <c r="F514" i="2"/>
  <c r="F518" i="2"/>
  <c r="F508" i="2"/>
  <c r="F262" i="2"/>
  <c r="F519" i="2"/>
  <c r="G2579" i="2"/>
  <c r="G2583" i="2"/>
  <c r="F263" i="2"/>
  <c r="F534" i="2"/>
  <c r="F539" i="2"/>
  <c r="F523" i="2"/>
  <c r="F527" i="2"/>
  <c r="F515" i="2"/>
  <c r="G2601" i="2"/>
  <c r="G2599" i="2"/>
  <c r="F2583" i="2"/>
  <c r="G28" i="2"/>
  <c r="F538" i="2"/>
  <c r="F530" i="2"/>
  <c r="D2597" i="2"/>
  <c r="E2597" i="2"/>
  <c r="D2587" i="2"/>
  <c r="E2589" i="2"/>
  <c r="E2566" i="2"/>
  <c r="E2593" i="2"/>
  <c r="E2595" i="2"/>
  <c r="D2595" i="2"/>
  <c r="D2566" i="2"/>
  <c r="D2588" i="2"/>
  <c r="D2594" i="2"/>
  <c r="E261" i="2"/>
  <c r="D2593" i="2"/>
  <c r="E260" i="2"/>
  <c r="E2587" i="2"/>
  <c r="D2589" i="2"/>
  <c r="E2588" i="2"/>
  <c r="D261" i="2"/>
  <c r="E2594" i="2"/>
  <c r="D260" i="2"/>
  <c r="H36" i="1" l="1"/>
  <c r="D35" i="1"/>
  <c r="C264" i="2"/>
  <c r="C31" i="2"/>
  <c r="C30" i="2"/>
  <c r="C265" i="2"/>
  <c r="S225" i="1"/>
  <c r="R225" i="1" s="1"/>
  <c r="S91" i="1"/>
  <c r="R91" i="1" s="1"/>
  <c r="S213" i="1"/>
  <c r="R213" i="1" s="1"/>
  <c r="S219" i="1"/>
  <c r="R219" i="1" s="1"/>
  <c r="S220" i="1"/>
  <c r="R220" i="1" s="1"/>
  <c r="S209" i="1"/>
  <c r="R209" i="1" s="1"/>
  <c r="S221" i="1"/>
  <c r="R221" i="1" s="1"/>
  <c r="S99" i="1"/>
  <c r="R99" i="1" s="1"/>
  <c r="S215" i="1"/>
  <c r="R215" i="1" s="1"/>
  <c r="S217" i="1"/>
  <c r="R217" i="1" s="1"/>
  <c r="S214" i="1"/>
  <c r="R214" i="1" s="1"/>
  <c r="S87" i="1"/>
  <c r="R87" i="1" s="1"/>
  <c r="S83" i="1"/>
  <c r="R83" i="1" s="1"/>
  <c r="S93" i="1"/>
  <c r="R93" i="1" s="1"/>
  <c r="S94" i="1"/>
  <c r="R94" i="1" s="1"/>
  <c r="S89" i="1"/>
  <c r="R89" i="1" s="1"/>
  <c r="S88" i="1"/>
  <c r="R88" i="1" s="1"/>
  <c r="S95" i="1"/>
  <c r="R95" i="1" s="1"/>
  <c r="F528" i="2"/>
  <c r="F557" i="2"/>
  <c r="F536" i="2"/>
  <c r="G264" i="2"/>
  <c r="F2592" i="2"/>
  <c r="F545" i="2"/>
  <c r="F532" i="2"/>
  <c r="F553" i="2"/>
  <c r="F537" i="2"/>
  <c r="F548" i="2"/>
  <c r="F552" i="2"/>
  <c r="F529" i="2"/>
  <c r="F264" i="2"/>
  <c r="F525" i="2"/>
  <c r="F533" i="2"/>
  <c r="F524" i="2"/>
  <c r="G31" i="2"/>
  <c r="G2592" i="2"/>
  <c r="G265" i="2"/>
  <c r="F540" i="2"/>
  <c r="F31" i="2"/>
  <c r="G30" i="2"/>
  <c r="F541" i="2"/>
  <c r="F549" i="2"/>
  <c r="F526" i="2"/>
  <c r="F556" i="2"/>
  <c r="F2596" i="2"/>
  <c r="G2596" i="2"/>
  <c r="F30" i="2"/>
  <c r="F265" i="2"/>
  <c r="D2579" i="2"/>
  <c r="E2600" i="2"/>
  <c r="E2606" i="2"/>
  <c r="D2608" i="2"/>
  <c r="E2601" i="2"/>
  <c r="D263" i="2"/>
  <c r="D2611" i="2"/>
  <c r="E263" i="2"/>
  <c r="E2579" i="2"/>
  <c r="E2583" i="2"/>
  <c r="E2610" i="2"/>
  <c r="D2601" i="2"/>
  <c r="E2607" i="2"/>
  <c r="D2610" i="2"/>
  <c r="D2583" i="2"/>
  <c r="D262" i="2"/>
  <c r="D2600" i="2"/>
  <c r="E2608" i="2"/>
  <c r="E2611" i="2"/>
  <c r="D2606" i="2"/>
  <c r="D2607" i="2"/>
  <c r="E262" i="2"/>
  <c r="H37" i="1" l="1"/>
  <c r="D36" i="1"/>
  <c r="C32" i="2"/>
  <c r="C33" i="2"/>
  <c r="C266" i="2"/>
  <c r="C267" i="2"/>
  <c r="S218" i="1"/>
  <c r="R218" i="1" s="1"/>
  <c r="S100" i="1"/>
  <c r="R100" i="1" s="1"/>
  <c r="S224" i="1"/>
  <c r="R224" i="1" s="1"/>
  <c r="S97" i="1"/>
  <c r="R97" i="1" s="1"/>
  <c r="S98" i="1"/>
  <c r="R98" i="1" s="1"/>
  <c r="S228" i="1"/>
  <c r="R228" i="1" s="1"/>
  <c r="S96" i="1"/>
  <c r="R96" i="1" s="1"/>
  <c r="S234" i="1"/>
  <c r="R234" i="1" s="1"/>
  <c r="S104" i="1"/>
  <c r="R104" i="1" s="1"/>
  <c r="S102" i="1"/>
  <c r="R102" i="1" s="1"/>
  <c r="S229" i="1"/>
  <c r="R229" i="1" s="1"/>
  <c r="S222" i="1"/>
  <c r="R222" i="1" s="1"/>
  <c r="S108" i="1"/>
  <c r="R108" i="1" s="1"/>
  <c r="S226" i="1"/>
  <c r="R226" i="1" s="1"/>
  <c r="S103" i="1"/>
  <c r="R103" i="1" s="1"/>
  <c r="S230" i="1"/>
  <c r="R230" i="1" s="1"/>
  <c r="S92" i="1"/>
  <c r="R92" i="1" s="1"/>
  <c r="S223" i="1"/>
  <c r="R223" i="1" s="1"/>
  <c r="G32" i="2"/>
  <c r="G571" i="2"/>
  <c r="F574" i="2"/>
  <c r="G570" i="2"/>
  <c r="F547" i="2"/>
  <c r="F32" i="2"/>
  <c r="F544" i="2"/>
  <c r="F559" i="2"/>
  <c r="F558" i="2"/>
  <c r="G266" i="2"/>
  <c r="F546" i="2"/>
  <c r="F570" i="2"/>
  <c r="F267" i="2"/>
  <c r="F550" i="2"/>
  <c r="F566" i="2"/>
  <c r="G2605" i="2"/>
  <c r="F554" i="2"/>
  <c r="F266" i="2"/>
  <c r="G33" i="2"/>
  <c r="F575" i="2"/>
  <c r="G267" i="2"/>
  <c r="G575" i="2"/>
  <c r="G563" i="2"/>
  <c r="F551" i="2"/>
  <c r="F542" i="2"/>
  <c r="F543" i="2"/>
  <c r="G574" i="2"/>
  <c r="F563" i="2"/>
  <c r="G2609" i="2"/>
  <c r="G567" i="2"/>
  <c r="F2605" i="2"/>
  <c r="F555" i="2"/>
  <c r="F33" i="2"/>
  <c r="F2609" i="2"/>
  <c r="F567" i="2"/>
  <c r="G566" i="2"/>
  <c r="F571" i="2"/>
  <c r="E264" i="2"/>
  <c r="E2592" i="2"/>
  <c r="E265" i="2"/>
  <c r="D2596" i="2"/>
  <c r="D2592" i="2"/>
  <c r="D265" i="2"/>
  <c r="E2596" i="2"/>
  <c r="D264" i="2"/>
  <c r="H38" i="1" l="1"/>
  <c r="D37" i="1"/>
  <c r="C268" i="2"/>
  <c r="C35" i="2"/>
  <c r="C269" i="2"/>
  <c r="C34" i="2"/>
  <c r="S105" i="1"/>
  <c r="R105" i="1" s="1"/>
  <c r="S112" i="1"/>
  <c r="R112" i="1" s="1"/>
  <c r="S238" i="1"/>
  <c r="R238" i="1" s="1"/>
  <c r="S117" i="1"/>
  <c r="R117" i="1" s="1"/>
  <c r="S232" i="1"/>
  <c r="R232" i="1" s="1"/>
  <c r="S235" i="1"/>
  <c r="R235" i="1" s="1"/>
  <c r="S227" i="1"/>
  <c r="R227" i="1" s="1"/>
  <c r="S237" i="1"/>
  <c r="R237" i="1" s="1"/>
  <c r="S231" i="1"/>
  <c r="R231" i="1" s="1"/>
  <c r="S233" i="1"/>
  <c r="R233" i="1" s="1"/>
  <c r="S106" i="1"/>
  <c r="R106" i="1" s="1"/>
  <c r="S243" i="1"/>
  <c r="R243" i="1" s="1"/>
  <c r="S113" i="1"/>
  <c r="R113" i="1" s="1"/>
  <c r="S107" i="1"/>
  <c r="R107" i="1" s="1"/>
  <c r="S109" i="1"/>
  <c r="R109" i="1" s="1"/>
  <c r="S239" i="1"/>
  <c r="R239" i="1" s="1"/>
  <c r="S111" i="1"/>
  <c r="R111" i="1" s="1"/>
  <c r="F562" i="2"/>
  <c r="F581" i="2"/>
  <c r="G35" i="2"/>
  <c r="G565" i="2"/>
  <c r="G562" i="2"/>
  <c r="G581" i="2"/>
  <c r="G585" i="2"/>
  <c r="F569" i="2"/>
  <c r="G589" i="2"/>
  <c r="G564" i="2"/>
  <c r="G269" i="2"/>
  <c r="G569" i="2"/>
  <c r="G568" i="2"/>
  <c r="F576" i="2"/>
  <c r="G588" i="2"/>
  <c r="G584" i="2"/>
  <c r="G577" i="2"/>
  <c r="G34" i="2"/>
  <c r="F35" i="2"/>
  <c r="F565" i="2"/>
  <c r="F584" i="2"/>
  <c r="F34" i="2"/>
  <c r="G573" i="2"/>
  <c r="F560" i="2"/>
  <c r="F589" i="2"/>
  <c r="F564" i="2"/>
  <c r="F269" i="2"/>
  <c r="F592" i="2"/>
  <c r="G592" i="2"/>
  <c r="F561" i="2"/>
  <c r="F588" i="2"/>
  <c r="F568" i="2"/>
  <c r="F585" i="2"/>
  <c r="F572" i="2"/>
  <c r="F577" i="2"/>
  <c r="F268" i="2"/>
  <c r="F593" i="2"/>
  <c r="F573" i="2"/>
  <c r="G576" i="2"/>
  <c r="G268" i="2"/>
  <c r="G593" i="2"/>
  <c r="G572" i="2"/>
  <c r="D267" i="2"/>
  <c r="E266" i="2"/>
  <c r="E2609" i="2"/>
  <c r="D2609" i="2"/>
  <c r="D266" i="2"/>
  <c r="E267" i="2"/>
  <c r="E2605" i="2"/>
  <c r="D2605" i="2"/>
  <c r="H39" i="1" l="1"/>
  <c r="D38" i="1"/>
  <c r="C36" i="2"/>
  <c r="C37" i="2"/>
  <c r="C271" i="2"/>
  <c r="C270" i="2"/>
  <c r="S244" i="1"/>
  <c r="R244" i="1" s="1"/>
  <c r="S122" i="1"/>
  <c r="R122" i="1" s="1"/>
  <c r="S240" i="1"/>
  <c r="R240" i="1" s="1"/>
  <c r="S110" i="1"/>
  <c r="R110" i="1" s="1"/>
  <c r="S114" i="1"/>
  <c r="R114" i="1" s="1"/>
  <c r="S241" i="1"/>
  <c r="R241" i="1" s="1"/>
  <c r="S246" i="1"/>
  <c r="R246" i="1" s="1"/>
  <c r="S252" i="1"/>
  <c r="R252" i="1" s="1"/>
  <c r="S247" i="1"/>
  <c r="R247" i="1" s="1"/>
  <c r="S120" i="1"/>
  <c r="R120" i="1" s="1"/>
  <c r="S121" i="1"/>
  <c r="R121" i="1" s="1"/>
  <c r="S118" i="1"/>
  <c r="R118" i="1" s="1"/>
  <c r="S242" i="1"/>
  <c r="R242" i="1" s="1"/>
  <c r="S248" i="1"/>
  <c r="R248" i="1" s="1"/>
  <c r="S236" i="1"/>
  <c r="R236" i="1" s="1"/>
  <c r="S115" i="1"/>
  <c r="R115" i="1" s="1"/>
  <c r="S116" i="1"/>
  <c r="R116" i="1" s="1"/>
  <c r="S126" i="1"/>
  <c r="R126" i="1" s="1"/>
  <c r="G37" i="2"/>
  <c r="F602" i="2"/>
  <c r="G583" i="2"/>
  <c r="F36" i="2"/>
  <c r="F606" i="2"/>
  <c r="G579" i="2"/>
  <c r="F586" i="2"/>
  <c r="F591" i="2"/>
  <c r="F607" i="2"/>
  <c r="G270" i="2"/>
  <c r="F603" i="2"/>
  <c r="F578" i="2"/>
  <c r="G610" i="2"/>
  <c r="F582" i="2"/>
  <c r="F595" i="2"/>
  <c r="G602" i="2"/>
  <c r="F37" i="2"/>
  <c r="F590" i="2"/>
  <c r="G578" i="2"/>
  <c r="F271" i="2"/>
  <c r="F599" i="2"/>
  <c r="G606" i="2"/>
  <c r="F594" i="2"/>
  <c r="G603" i="2"/>
  <c r="G599" i="2"/>
  <c r="F610" i="2"/>
  <c r="F587" i="2"/>
  <c r="G582" i="2"/>
  <c r="G607" i="2"/>
  <c r="F580" i="2"/>
  <c r="G271" i="2"/>
  <c r="F270" i="2"/>
  <c r="G590" i="2"/>
  <c r="G586" i="2"/>
  <c r="F583" i="2"/>
  <c r="G587" i="2"/>
  <c r="F611" i="2"/>
  <c r="G594" i="2"/>
  <c r="G36" i="2"/>
  <c r="G611" i="2"/>
  <c r="F579" i="2"/>
  <c r="G580" i="2"/>
  <c r="G595" i="2"/>
  <c r="G591" i="2"/>
  <c r="D269" i="2"/>
  <c r="D268" i="2"/>
  <c r="E269" i="2"/>
  <c r="E268" i="2"/>
  <c r="H40" i="1" l="1"/>
  <c r="D39" i="1"/>
  <c r="C39" i="2"/>
  <c r="C38" i="2"/>
  <c r="S135" i="1"/>
  <c r="R135" i="1" s="1"/>
  <c r="S253" i="1"/>
  <c r="R253" i="1" s="1"/>
  <c r="S257" i="1"/>
  <c r="R257" i="1" s="1"/>
  <c r="S130" i="1"/>
  <c r="R130" i="1" s="1"/>
  <c r="S129" i="1"/>
  <c r="R129" i="1" s="1"/>
  <c r="S251" i="1"/>
  <c r="R251" i="1" s="1"/>
  <c r="S123" i="1"/>
  <c r="R123" i="1" s="1"/>
  <c r="S261" i="1"/>
  <c r="R261" i="1" s="1"/>
  <c r="S125" i="1"/>
  <c r="R125" i="1" s="1"/>
  <c r="S250" i="1"/>
  <c r="R250" i="1" s="1"/>
  <c r="S256" i="1"/>
  <c r="R256" i="1" s="1"/>
  <c r="S245" i="1"/>
  <c r="R245" i="1" s="1"/>
  <c r="S131" i="1"/>
  <c r="R131" i="1" s="1"/>
  <c r="S249" i="1"/>
  <c r="R249" i="1" s="1"/>
  <c r="S124" i="1"/>
  <c r="R124" i="1" s="1"/>
  <c r="S119" i="1"/>
  <c r="R119" i="1" s="1"/>
  <c r="S255" i="1"/>
  <c r="R255" i="1" s="1"/>
  <c r="S127" i="1"/>
  <c r="R127" i="1" s="1"/>
  <c r="F596" i="2"/>
  <c r="F621" i="2"/>
  <c r="G620" i="2"/>
  <c r="G605" i="2"/>
  <c r="F624" i="2"/>
  <c r="F597" i="2"/>
  <c r="G617" i="2"/>
  <c r="G629" i="2"/>
  <c r="G609" i="2"/>
  <c r="G628" i="2"/>
  <c r="F608" i="2"/>
  <c r="G597" i="2"/>
  <c r="G600" i="2"/>
  <c r="F604" i="2"/>
  <c r="F39" i="2"/>
  <c r="F38" i="2"/>
  <c r="G608" i="2"/>
  <c r="G598" i="2"/>
  <c r="F620" i="2"/>
  <c r="F605" i="2"/>
  <c r="F612" i="2"/>
  <c r="G612" i="2"/>
  <c r="G625" i="2"/>
  <c r="F629" i="2"/>
  <c r="G38" i="2"/>
  <c r="F613" i="2"/>
  <c r="G613" i="2"/>
  <c r="G624" i="2"/>
  <c r="F600" i="2"/>
  <c r="G621" i="2"/>
  <c r="G596" i="2"/>
  <c r="F609" i="2"/>
  <c r="G601" i="2"/>
  <c r="F628" i="2"/>
  <c r="F598" i="2"/>
  <c r="F617" i="2"/>
  <c r="F601" i="2"/>
  <c r="G604" i="2"/>
  <c r="G39" i="2"/>
  <c r="F625" i="2"/>
  <c r="D270" i="2"/>
  <c r="D271" i="2"/>
  <c r="E270" i="2"/>
  <c r="E271" i="2"/>
  <c r="H41" i="1" l="1"/>
  <c r="D40" i="1"/>
  <c r="C41" i="2"/>
  <c r="C40" i="2"/>
  <c r="S259" i="1"/>
  <c r="R259" i="1" s="1"/>
  <c r="S136" i="1"/>
  <c r="R136" i="1" s="1"/>
  <c r="S134" i="1"/>
  <c r="R134" i="1" s="1"/>
  <c r="S132" i="1"/>
  <c r="R132" i="1" s="1"/>
  <c r="S264" i="1"/>
  <c r="R264" i="1" s="1"/>
  <c r="S270" i="1"/>
  <c r="R270" i="1" s="1"/>
  <c r="S128" i="1"/>
  <c r="R128" i="1" s="1"/>
  <c r="S254" i="1"/>
  <c r="R254" i="1" s="1"/>
  <c r="S133" i="1"/>
  <c r="R133" i="1" s="1"/>
  <c r="S266" i="1"/>
  <c r="R266" i="1" s="1"/>
  <c r="S262" i="1"/>
  <c r="R262" i="1" s="1"/>
  <c r="S258" i="1"/>
  <c r="R258" i="1" s="1"/>
  <c r="S265" i="1"/>
  <c r="R265" i="1" s="1"/>
  <c r="S260" i="1"/>
  <c r="R260" i="1" s="1"/>
  <c r="F627" i="2"/>
  <c r="G622" i="2"/>
  <c r="F616" i="2"/>
  <c r="G623" i="2"/>
  <c r="F630" i="2"/>
  <c r="G619" i="2"/>
  <c r="F647" i="2"/>
  <c r="G646" i="2"/>
  <c r="F623" i="2"/>
  <c r="F626" i="2"/>
  <c r="G631" i="2"/>
  <c r="F622" i="2"/>
  <c r="G643" i="2"/>
  <c r="G638" i="2"/>
  <c r="F646" i="2"/>
  <c r="F614" i="2"/>
  <c r="G40" i="2"/>
  <c r="F619" i="2"/>
  <c r="G618" i="2"/>
  <c r="F631" i="2"/>
  <c r="F643" i="2"/>
  <c r="G41" i="2"/>
  <c r="G615" i="2"/>
  <c r="G639" i="2"/>
  <c r="F618" i="2"/>
  <c r="G642" i="2"/>
  <c r="G635" i="2"/>
  <c r="F40" i="2"/>
  <c r="F638" i="2"/>
  <c r="G616" i="2"/>
  <c r="F41" i="2"/>
  <c r="F615" i="2"/>
  <c r="G627" i="2"/>
  <c r="G626" i="2"/>
  <c r="F639" i="2"/>
  <c r="G647" i="2"/>
  <c r="F642" i="2"/>
  <c r="F635" i="2"/>
  <c r="G630" i="2"/>
  <c r="G614" i="2"/>
  <c r="H42" i="1" l="1"/>
  <c r="D41" i="1"/>
  <c r="C42" i="2"/>
  <c r="C43" i="2"/>
  <c r="S267" i="1"/>
  <c r="R267" i="1" s="1"/>
  <c r="S268" i="1"/>
  <c r="R268" i="1" s="1"/>
  <c r="S263" i="1"/>
  <c r="R263" i="1" s="1"/>
  <c r="S269" i="1"/>
  <c r="R269" i="1" s="1"/>
  <c r="S271" i="1"/>
  <c r="R271" i="1" s="1"/>
  <c r="G649" i="2"/>
  <c r="G633" i="2"/>
  <c r="F661" i="2"/>
  <c r="G648" i="2"/>
  <c r="F660" i="2"/>
  <c r="G640" i="2"/>
  <c r="F641" i="2"/>
  <c r="G657" i="2"/>
  <c r="F632" i="2"/>
  <c r="G634" i="2"/>
  <c r="G644" i="2"/>
  <c r="G637" i="2"/>
  <c r="F636" i="2"/>
  <c r="F644" i="2"/>
  <c r="F664" i="2"/>
  <c r="F637" i="2"/>
  <c r="G661" i="2"/>
  <c r="F665" i="2"/>
  <c r="F649" i="2"/>
  <c r="G665" i="2"/>
  <c r="F645" i="2"/>
  <c r="F633" i="2"/>
  <c r="G632" i="2"/>
  <c r="F640" i="2"/>
  <c r="G653" i="2"/>
  <c r="G636" i="2"/>
  <c r="F648" i="2"/>
  <c r="G43" i="2"/>
  <c r="F634" i="2"/>
  <c r="G42" i="2"/>
  <c r="G664" i="2"/>
  <c r="F657" i="2"/>
  <c r="F43" i="2"/>
  <c r="F653" i="2"/>
  <c r="G645" i="2"/>
  <c r="F42" i="2"/>
  <c r="G656" i="2"/>
  <c r="G660" i="2"/>
  <c r="F656" i="2"/>
  <c r="G641" i="2"/>
  <c r="H43" i="1" l="1"/>
  <c r="D42" i="1"/>
  <c r="C45" i="2"/>
  <c r="C44" i="2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2" i="1"/>
  <c r="F650" i="2"/>
  <c r="G45" i="2"/>
  <c r="F45" i="2"/>
  <c r="G667" i="2"/>
  <c r="F655" i="2"/>
  <c r="F659" i="2"/>
  <c r="F683" i="2"/>
  <c r="G658" i="2"/>
  <c r="F666" i="2"/>
  <c r="G682" i="2"/>
  <c r="F674" i="2"/>
  <c r="F44" i="2"/>
  <c r="G651" i="2"/>
  <c r="F671" i="2"/>
  <c r="G675" i="2"/>
  <c r="F662" i="2"/>
  <c r="F679" i="2"/>
  <c r="G654" i="2"/>
  <c r="F658" i="2"/>
  <c r="G650" i="2"/>
  <c r="F652" i="2"/>
  <c r="F651" i="2"/>
  <c r="G666" i="2"/>
  <c r="G659" i="2"/>
  <c r="G683" i="2"/>
  <c r="F667" i="2"/>
  <c r="F678" i="2"/>
  <c r="G678" i="2"/>
  <c r="G674" i="2"/>
  <c r="G44" i="2"/>
  <c r="F682" i="2"/>
  <c r="G679" i="2"/>
  <c r="G655" i="2"/>
  <c r="G662" i="2"/>
  <c r="F663" i="2"/>
  <c r="F675" i="2"/>
  <c r="G663" i="2"/>
  <c r="G671" i="2"/>
  <c r="G652" i="2"/>
  <c r="F654" i="2"/>
  <c r="H44" i="1" l="1"/>
  <c r="D43" i="1"/>
  <c r="C46" i="2"/>
  <c r="C47" i="2"/>
  <c r="G46" i="2"/>
  <c r="F680" i="2"/>
  <c r="F670" i="2"/>
  <c r="G669" i="2"/>
  <c r="F669" i="2"/>
  <c r="F696" i="2"/>
  <c r="G701" i="2"/>
  <c r="F672" i="2"/>
  <c r="F697" i="2"/>
  <c r="G685" i="2"/>
  <c r="G680" i="2"/>
  <c r="G677" i="2"/>
  <c r="G668" i="2"/>
  <c r="F689" i="2"/>
  <c r="F692" i="2"/>
  <c r="G47" i="2"/>
  <c r="F693" i="2"/>
  <c r="G700" i="2"/>
  <c r="F681" i="2"/>
  <c r="F677" i="2"/>
  <c r="F673" i="2"/>
  <c r="F47" i="2"/>
  <c r="F685" i="2"/>
  <c r="G673" i="2"/>
  <c r="F684" i="2"/>
  <c r="G670" i="2"/>
  <c r="G693" i="2"/>
  <c r="F46" i="2"/>
  <c r="G689" i="2"/>
  <c r="G692" i="2"/>
  <c r="F676" i="2"/>
  <c r="G681" i="2"/>
  <c r="F668" i="2"/>
  <c r="G696" i="2"/>
  <c r="G672" i="2"/>
  <c r="G676" i="2"/>
  <c r="F701" i="2"/>
  <c r="F700" i="2"/>
  <c r="G684" i="2"/>
  <c r="G697" i="2"/>
  <c r="H45" i="1" l="1"/>
  <c r="D44" i="1"/>
  <c r="C48" i="2"/>
  <c r="C49" i="2"/>
  <c r="F49" i="2"/>
  <c r="G702" i="2"/>
  <c r="G718" i="2"/>
  <c r="F703" i="2"/>
  <c r="F707" i="2"/>
  <c r="F699" i="2"/>
  <c r="F687" i="2"/>
  <c r="F691" i="2"/>
  <c r="G691" i="2"/>
  <c r="F702" i="2"/>
  <c r="G686" i="2"/>
  <c r="G48" i="2"/>
  <c r="F719" i="2"/>
  <c r="G698" i="2"/>
  <c r="G695" i="2"/>
  <c r="G699" i="2"/>
  <c r="F718" i="2"/>
  <c r="F48" i="2"/>
  <c r="G690" i="2"/>
  <c r="F688" i="2"/>
  <c r="G703" i="2"/>
  <c r="G707" i="2"/>
  <c r="G714" i="2"/>
  <c r="F690" i="2"/>
  <c r="G715" i="2"/>
  <c r="F686" i="2"/>
  <c r="G719" i="2"/>
  <c r="G49" i="2"/>
  <c r="F710" i="2"/>
  <c r="G688" i="2"/>
  <c r="F714" i="2"/>
  <c r="F715" i="2"/>
  <c r="F694" i="2"/>
  <c r="G687" i="2"/>
  <c r="G694" i="2"/>
  <c r="F698" i="2"/>
  <c r="F711" i="2"/>
  <c r="G711" i="2"/>
  <c r="G710" i="2"/>
  <c r="F695" i="2"/>
  <c r="H46" i="1" l="1"/>
  <c r="D45" i="1"/>
  <c r="C50" i="2"/>
  <c r="C51" i="2"/>
  <c r="F721" i="2"/>
  <c r="G712" i="2"/>
  <c r="G717" i="2"/>
  <c r="G732" i="2"/>
  <c r="F704" i="2"/>
  <c r="F51" i="2"/>
  <c r="F736" i="2"/>
  <c r="G720" i="2"/>
  <c r="G736" i="2"/>
  <c r="F713" i="2"/>
  <c r="F737" i="2"/>
  <c r="F712" i="2"/>
  <c r="G51" i="2"/>
  <c r="G716" i="2"/>
  <c r="F708" i="2"/>
  <c r="F729" i="2"/>
  <c r="G733" i="2"/>
  <c r="F706" i="2"/>
  <c r="F709" i="2"/>
  <c r="G737" i="2"/>
  <c r="G725" i="2"/>
  <c r="F717" i="2"/>
  <c r="G704" i="2"/>
  <c r="F732" i="2"/>
  <c r="G708" i="2"/>
  <c r="G729" i="2"/>
  <c r="F733" i="2"/>
  <c r="G728" i="2"/>
  <c r="F725" i="2"/>
  <c r="F720" i="2"/>
  <c r="G706" i="2"/>
  <c r="G50" i="2"/>
  <c r="F50" i="2"/>
  <c r="G709" i="2"/>
  <c r="F728" i="2"/>
  <c r="F705" i="2"/>
  <c r="G705" i="2"/>
  <c r="G713" i="2"/>
  <c r="G721" i="2"/>
  <c r="F716" i="2"/>
  <c r="H47" i="1" l="1"/>
  <c r="D46" i="1"/>
  <c r="C53" i="2"/>
  <c r="C52" i="2"/>
  <c r="G754" i="2"/>
  <c r="F734" i="2"/>
  <c r="F727" i="2"/>
  <c r="G723" i="2"/>
  <c r="F738" i="2"/>
  <c r="G751" i="2"/>
  <c r="G722" i="2"/>
  <c r="F730" i="2"/>
  <c r="F722" i="2"/>
  <c r="G739" i="2"/>
  <c r="F735" i="2"/>
  <c r="F755" i="2"/>
  <c r="G52" i="2"/>
  <c r="G730" i="2"/>
  <c r="F731" i="2"/>
  <c r="G724" i="2"/>
  <c r="G743" i="2"/>
  <c r="F53" i="2"/>
  <c r="F754" i="2"/>
  <c r="F724" i="2"/>
  <c r="F723" i="2"/>
  <c r="G735" i="2"/>
  <c r="F751" i="2"/>
  <c r="G755" i="2"/>
  <c r="F750" i="2"/>
  <c r="G727" i="2"/>
  <c r="F726" i="2"/>
  <c r="G750" i="2"/>
  <c r="F743" i="2"/>
  <c r="G746" i="2"/>
  <c r="F739" i="2"/>
  <c r="G738" i="2"/>
  <c r="G726" i="2"/>
  <c r="G53" i="2"/>
  <c r="G747" i="2"/>
  <c r="G734" i="2"/>
  <c r="G731" i="2"/>
  <c r="F747" i="2"/>
  <c r="F746" i="2"/>
  <c r="F52" i="2"/>
  <c r="H48" i="1" l="1"/>
  <c r="D47" i="1"/>
  <c r="C55" i="2"/>
  <c r="C54" i="2"/>
  <c r="G740" i="2"/>
  <c r="G761" i="2"/>
  <c r="G749" i="2"/>
  <c r="F753" i="2"/>
  <c r="F54" i="2"/>
  <c r="F741" i="2"/>
  <c r="F745" i="2"/>
  <c r="F765" i="2"/>
  <c r="G756" i="2"/>
  <c r="G55" i="2"/>
  <c r="G765" i="2"/>
  <c r="F742" i="2"/>
  <c r="F756" i="2"/>
  <c r="G744" i="2"/>
  <c r="F764" i="2"/>
  <c r="F768" i="2"/>
  <c r="G764" i="2"/>
  <c r="G769" i="2"/>
  <c r="G753" i="2"/>
  <c r="F773" i="2"/>
  <c r="F757" i="2"/>
  <c r="F752" i="2"/>
  <c r="G757" i="2"/>
  <c r="G768" i="2"/>
  <c r="G772" i="2"/>
  <c r="G742" i="2"/>
  <c r="F769" i="2"/>
  <c r="F748" i="2"/>
  <c r="F761" i="2"/>
  <c r="F740" i="2"/>
  <c r="G741" i="2"/>
  <c r="G752" i="2"/>
  <c r="G745" i="2"/>
  <c r="F749" i="2"/>
  <c r="F55" i="2"/>
  <c r="G54" i="2"/>
  <c r="G773" i="2"/>
  <c r="F772" i="2"/>
  <c r="G748" i="2"/>
  <c r="F744" i="2"/>
  <c r="H49" i="1" l="1"/>
  <c r="D48" i="1"/>
  <c r="C56" i="2"/>
  <c r="C57" i="2"/>
  <c r="G786" i="2"/>
  <c r="F760" i="2"/>
  <c r="G56" i="2"/>
  <c r="F766" i="2"/>
  <c r="F762" i="2"/>
  <c r="G791" i="2"/>
  <c r="F782" i="2"/>
  <c r="F767" i="2"/>
  <c r="G774" i="2"/>
  <c r="F787" i="2"/>
  <c r="G770" i="2"/>
  <c r="F790" i="2"/>
  <c r="F779" i="2"/>
  <c r="F758" i="2"/>
  <c r="F759" i="2"/>
  <c r="F775" i="2"/>
  <c r="G759" i="2"/>
  <c r="G775" i="2"/>
  <c r="F786" i="2"/>
  <c r="G767" i="2"/>
  <c r="F56" i="2"/>
  <c r="F57" i="2"/>
  <c r="G790" i="2"/>
  <c r="G783" i="2"/>
  <c r="G771" i="2"/>
  <c r="F771" i="2"/>
  <c r="G763" i="2"/>
  <c r="F770" i="2"/>
  <c r="G766" i="2"/>
  <c r="F791" i="2"/>
  <c r="G779" i="2"/>
  <c r="G760" i="2"/>
  <c r="G57" i="2"/>
  <c r="G762" i="2"/>
  <c r="F774" i="2"/>
  <c r="G787" i="2"/>
  <c r="G758" i="2"/>
  <c r="F783" i="2"/>
  <c r="G782" i="2"/>
  <c r="F763" i="2"/>
  <c r="H50" i="1" l="1"/>
  <c r="D49" i="1"/>
  <c r="C59" i="2"/>
  <c r="C58" i="2"/>
  <c r="G805" i="2"/>
  <c r="F805" i="2"/>
  <c r="G789" i="2"/>
  <c r="F804" i="2"/>
  <c r="F778" i="2"/>
  <c r="G777" i="2"/>
  <c r="G778" i="2"/>
  <c r="F808" i="2"/>
  <c r="G781" i="2"/>
  <c r="F784" i="2"/>
  <c r="F776" i="2"/>
  <c r="F797" i="2"/>
  <c r="F789" i="2"/>
  <c r="G59" i="2"/>
  <c r="F777" i="2"/>
  <c r="G792" i="2"/>
  <c r="F781" i="2"/>
  <c r="F788" i="2"/>
  <c r="F58" i="2"/>
  <c r="F809" i="2"/>
  <c r="G788" i="2"/>
  <c r="F780" i="2"/>
  <c r="G58" i="2"/>
  <c r="G776" i="2"/>
  <c r="F801" i="2"/>
  <c r="G804" i="2"/>
  <c r="G797" i="2"/>
  <c r="G780" i="2"/>
  <c r="G809" i="2"/>
  <c r="G808" i="2"/>
  <c r="F785" i="2"/>
  <c r="G785" i="2"/>
  <c r="G784" i="2"/>
  <c r="F793" i="2"/>
  <c r="G800" i="2"/>
  <c r="G793" i="2"/>
  <c r="F800" i="2"/>
  <c r="G801" i="2"/>
  <c r="F59" i="2"/>
  <c r="F792" i="2"/>
  <c r="H51" i="1" l="1"/>
  <c r="D50" i="1"/>
  <c r="C60" i="2"/>
  <c r="C61" i="2"/>
  <c r="G827" i="2"/>
  <c r="F807" i="2"/>
  <c r="G806" i="2"/>
  <c r="G818" i="2"/>
  <c r="F795" i="2"/>
  <c r="G822" i="2"/>
  <c r="G819" i="2"/>
  <c r="F818" i="2"/>
  <c r="F810" i="2"/>
  <c r="G803" i="2"/>
  <c r="G795" i="2"/>
  <c r="G60" i="2"/>
  <c r="F794" i="2"/>
  <c r="G810" i="2"/>
  <c r="F815" i="2"/>
  <c r="F823" i="2"/>
  <c r="F827" i="2"/>
  <c r="F806" i="2"/>
  <c r="F60" i="2"/>
  <c r="G815" i="2"/>
  <c r="F826" i="2"/>
  <c r="F799" i="2"/>
  <c r="G798" i="2"/>
  <c r="G61" i="2"/>
  <c r="G802" i="2"/>
  <c r="F61" i="2"/>
  <c r="G826" i="2"/>
  <c r="G811" i="2"/>
  <c r="F822" i="2"/>
  <c r="G799" i="2"/>
  <c r="F819" i="2"/>
  <c r="F811" i="2"/>
  <c r="F796" i="2"/>
  <c r="F802" i="2"/>
  <c r="G807" i="2"/>
  <c r="G794" i="2"/>
  <c r="G796" i="2"/>
  <c r="F803" i="2"/>
  <c r="G823" i="2"/>
  <c r="F798" i="2"/>
  <c r="H52" i="1" l="1"/>
  <c r="D51" i="1"/>
  <c r="C63" i="2"/>
  <c r="C62" i="2"/>
  <c r="G828" i="2"/>
  <c r="F816" i="2"/>
  <c r="G836" i="2"/>
  <c r="G825" i="2"/>
  <c r="F840" i="2"/>
  <c r="G63" i="2"/>
  <c r="G817" i="2"/>
  <c r="F825" i="2"/>
  <c r="F813" i="2"/>
  <c r="F63" i="2"/>
  <c r="G816" i="2"/>
  <c r="G821" i="2"/>
  <c r="F820" i="2"/>
  <c r="G813" i="2"/>
  <c r="G844" i="2"/>
  <c r="F845" i="2"/>
  <c r="F828" i="2"/>
  <c r="F836" i="2"/>
  <c r="F821" i="2"/>
  <c r="F844" i="2"/>
  <c r="F817" i="2"/>
  <c r="G829" i="2"/>
  <c r="G840" i="2"/>
  <c r="G62" i="2"/>
  <c r="G837" i="2"/>
  <c r="G814" i="2"/>
  <c r="F833" i="2"/>
  <c r="G833" i="2"/>
  <c r="G812" i="2"/>
  <c r="G824" i="2"/>
  <c r="F62" i="2"/>
  <c r="F812" i="2"/>
  <c r="G841" i="2"/>
  <c r="F837" i="2"/>
  <c r="F824" i="2"/>
  <c r="G820" i="2"/>
  <c r="F841" i="2"/>
  <c r="F814" i="2"/>
  <c r="G845" i="2"/>
  <c r="F829" i="2"/>
  <c r="H53" i="1" l="1"/>
  <c r="D52" i="1"/>
  <c r="C64" i="2"/>
  <c r="C65" i="2"/>
  <c r="G831" i="2"/>
  <c r="F847" i="2"/>
  <c r="G843" i="2"/>
  <c r="G834" i="2"/>
  <c r="F65" i="2"/>
  <c r="G64" i="2"/>
  <c r="F843" i="2"/>
  <c r="F832" i="2"/>
  <c r="F851" i="2"/>
  <c r="G859" i="2"/>
  <c r="G832" i="2"/>
  <c r="F855" i="2"/>
  <c r="G858" i="2"/>
  <c r="G851" i="2"/>
  <c r="F846" i="2"/>
  <c r="F831" i="2"/>
  <c r="G842" i="2"/>
  <c r="F834" i="2"/>
  <c r="F858" i="2"/>
  <c r="F842" i="2"/>
  <c r="F835" i="2"/>
  <c r="G838" i="2"/>
  <c r="G830" i="2"/>
  <c r="G839" i="2"/>
  <c r="G835" i="2"/>
  <c r="F839" i="2"/>
  <c r="G65" i="2"/>
  <c r="G862" i="2"/>
  <c r="F838" i="2"/>
  <c r="F64" i="2"/>
  <c r="G854" i="2"/>
  <c r="F862" i="2"/>
  <c r="G863" i="2"/>
  <c r="F854" i="2"/>
  <c r="G847" i="2"/>
  <c r="G855" i="2"/>
  <c r="F863" i="2"/>
  <c r="F859" i="2"/>
  <c r="G846" i="2"/>
  <c r="F830" i="2"/>
  <c r="H54" i="1" l="1"/>
  <c r="D53" i="1"/>
  <c r="C67" i="2"/>
  <c r="C66" i="2"/>
  <c r="G876" i="2"/>
  <c r="G66" i="2"/>
  <c r="F857" i="2"/>
  <c r="F67" i="2"/>
  <c r="F880" i="2"/>
  <c r="G857" i="2"/>
  <c r="F873" i="2"/>
  <c r="G856" i="2"/>
  <c r="F881" i="2"/>
  <c r="G849" i="2"/>
  <c r="F848" i="2"/>
  <c r="G881" i="2"/>
  <c r="F853" i="2"/>
  <c r="G852" i="2"/>
  <c r="G877" i="2"/>
  <c r="G880" i="2"/>
  <c r="F850" i="2"/>
  <c r="F872" i="2"/>
  <c r="G860" i="2"/>
  <c r="F869" i="2"/>
  <c r="F860" i="2"/>
  <c r="F864" i="2"/>
  <c r="F861" i="2"/>
  <c r="G873" i="2"/>
  <c r="G67" i="2"/>
  <c r="G872" i="2"/>
  <c r="F865" i="2"/>
  <c r="G850" i="2"/>
  <c r="F66" i="2"/>
  <c r="F849" i="2"/>
  <c r="G869" i="2"/>
  <c r="F856" i="2"/>
  <c r="G865" i="2"/>
  <c r="F876" i="2"/>
  <c r="G864" i="2"/>
  <c r="G848" i="2"/>
  <c r="G853" i="2"/>
  <c r="G861" i="2"/>
  <c r="F877" i="2"/>
  <c r="F852" i="2"/>
  <c r="H55" i="1" l="1"/>
  <c r="D54" i="1"/>
  <c r="C68" i="2"/>
  <c r="C69" i="2"/>
  <c r="G69" i="2"/>
  <c r="F898" i="2"/>
  <c r="F871" i="2"/>
  <c r="G866" i="2"/>
  <c r="F894" i="2"/>
  <c r="G868" i="2"/>
  <c r="F68" i="2"/>
  <c r="G890" i="2"/>
  <c r="G899" i="2"/>
  <c r="F867" i="2"/>
  <c r="F882" i="2"/>
  <c r="F883" i="2"/>
  <c r="F866" i="2"/>
  <c r="F874" i="2"/>
  <c r="G891" i="2"/>
  <c r="F887" i="2"/>
  <c r="F868" i="2"/>
  <c r="G895" i="2"/>
  <c r="F878" i="2"/>
  <c r="G883" i="2"/>
  <c r="F879" i="2"/>
  <c r="G894" i="2"/>
  <c r="G871" i="2"/>
  <c r="G68" i="2"/>
  <c r="G898" i="2"/>
  <c r="F69" i="2"/>
  <c r="F890" i="2"/>
  <c r="G867" i="2"/>
  <c r="G882" i="2"/>
  <c r="F899" i="2"/>
  <c r="G879" i="2"/>
  <c r="F870" i="2"/>
  <c r="G874" i="2"/>
  <c r="G875" i="2"/>
  <c r="F891" i="2"/>
  <c r="G878" i="2"/>
  <c r="G887" i="2"/>
  <c r="F895" i="2"/>
  <c r="G870" i="2"/>
  <c r="F875" i="2"/>
  <c r="H56" i="1" l="1"/>
  <c r="D55" i="1"/>
  <c r="C71" i="2"/>
  <c r="C70" i="2"/>
  <c r="G901" i="2"/>
  <c r="F909" i="2"/>
  <c r="G893" i="2"/>
  <c r="G897" i="2"/>
  <c r="F71" i="2"/>
  <c r="F913" i="2"/>
  <c r="F893" i="2"/>
  <c r="F888" i="2"/>
  <c r="G886" i="2"/>
  <c r="G71" i="2"/>
  <c r="G900" i="2"/>
  <c r="F908" i="2"/>
  <c r="G888" i="2"/>
  <c r="F884" i="2"/>
  <c r="F892" i="2"/>
  <c r="F901" i="2"/>
  <c r="F897" i="2"/>
  <c r="G885" i="2"/>
  <c r="F905" i="2"/>
  <c r="G70" i="2"/>
  <c r="G917" i="2"/>
  <c r="F900" i="2"/>
  <c r="G916" i="2"/>
  <c r="F885" i="2"/>
  <c r="F916" i="2"/>
  <c r="G905" i="2"/>
  <c r="G896" i="2"/>
  <c r="G913" i="2"/>
  <c r="G889" i="2"/>
  <c r="F70" i="2"/>
  <c r="F917" i="2"/>
  <c r="G912" i="2"/>
  <c r="F889" i="2"/>
  <c r="G909" i="2"/>
  <c r="G908" i="2"/>
  <c r="F912" i="2"/>
  <c r="G884" i="2"/>
  <c r="G892" i="2"/>
  <c r="F886" i="2"/>
  <c r="F896" i="2"/>
  <c r="H57" i="1" l="1"/>
  <c r="D56" i="1"/>
  <c r="C73" i="2"/>
  <c r="C72" i="2"/>
  <c r="G911" i="2"/>
  <c r="G902" i="2"/>
  <c r="F935" i="2"/>
  <c r="F904" i="2"/>
  <c r="F923" i="2"/>
  <c r="F926" i="2"/>
  <c r="F906" i="2"/>
  <c r="F73" i="2"/>
  <c r="G927" i="2"/>
  <c r="F907" i="2"/>
  <c r="G930" i="2"/>
  <c r="F911" i="2"/>
  <c r="F927" i="2"/>
  <c r="G903" i="2"/>
  <c r="G919" i="2"/>
  <c r="F918" i="2"/>
  <c r="F934" i="2"/>
  <c r="G904" i="2"/>
  <c r="F915" i="2"/>
  <c r="G914" i="2"/>
  <c r="F930" i="2"/>
  <c r="G926" i="2"/>
  <c r="F914" i="2"/>
  <c r="F72" i="2"/>
  <c r="G910" i="2"/>
  <c r="G935" i="2"/>
  <c r="F902" i="2"/>
  <c r="G906" i="2"/>
  <c r="G931" i="2"/>
  <c r="F919" i="2"/>
  <c r="G918" i="2"/>
  <c r="F910" i="2"/>
  <c r="G915" i="2"/>
  <c r="F931" i="2"/>
  <c r="G923" i="2"/>
  <c r="G73" i="2"/>
  <c r="G907" i="2"/>
  <c r="G72" i="2"/>
  <c r="G934" i="2"/>
  <c r="F903" i="2"/>
  <c r="H58" i="1" l="1"/>
  <c r="D57" i="1"/>
  <c r="C74" i="2"/>
  <c r="C75" i="2"/>
  <c r="G922" i="2"/>
  <c r="G953" i="2"/>
  <c r="F936" i="2"/>
  <c r="F949" i="2"/>
  <c r="F933" i="2"/>
  <c r="F937" i="2"/>
  <c r="F928" i="2"/>
  <c r="G74" i="2"/>
  <c r="G944" i="2"/>
  <c r="F922" i="2"/>
  <c r="F925" i="2"/>
  <c r="G948" i="2"/>
  <c r="G933" i="2"/>
  <c r="F921" i="2"/>
  <c r="F920" i="2"/>
  <c r="G945" i="2"/>
  <c r="G928" i="2"/>
  <c r="F75" i="2"/>
  <c r="F932" i="2"/>
  <c r="G75" i="2"/>
  <c r="G949" i="2"/>
  <c r="G936" i="2"/>
  <c r="F941" i="2"/>
  <c r="F74" i="2"/>
  <c r="F952" i="2"/>
  <c r="G929" i="2"/>
  <c r="G920" i="2"/>
  <c r="F944" i="2"/>
  <c r="F953" i="2"/>
  <c r="G925" i="2"/>
  <c r="G921" i="2"/>
  <c r="G932" i="2"/>
  <c r="G941" i="2"/>
  <c r="F924" i="2"/>
  <c r="F929" i="2"/>
  <c r="G937" i="2"/>
  <c r="G924" i="2"/>
  <c r="G952" i="2"/>
  <c r="F948" i="2"/>
  <c r="F945" i="2"/>
  <c r="H59" i="1" l="1"/>
  <c r="D58" i="1"/>
  <c r="C77" i="2"/>
  <c r="C76" i="2"/>
  <c r="G967" i="2"/>
  <c r="G950" i="2"/>
  <c r="F966" i="2"/>
  <c r="F971" i="2"/>
  <c r="F959" i="2"/>
  <c r="G955" i="2"/>
  <c r="F77" i="2"/>
  <c r="G77" i="2"/>
  <c r="F951" i="2"/>
  <c r="F942" i="2"/>
  <c r="F946" i="2"/>
  <c r="G971" i="2"/>
  <c r="G940" i="2"/>
  <c r="F967" i="2"/>
  <c r="F939" i="2"/>
  <c r="G939" i="2"/>
  <c r="F947" i="2"/>
  <c r="F955" i="2"/>
  <c r="F938" i="2"/>
  <c r="G963" i="2"/>
  <c r="F963" i="2"/>
  <c r="F954" i="2"/>
  <c r="G959" i="2"/>
  <c r="G966" i="2"/>
  <c r="F962" i="2"/>
  <c r="G943" i="2"/>
  <c r="G954" i="2"/>
  <c r="F940" i="2"/>
  <c r="G951" i="2"/>
  <c r="G942" i="2"/>
  <c r="F970" i="2"/>
  <c r="G938" i="2"/>
  <c r="F76" i="2"/>
  <c r="G946" i="2"/>
  <c r="F950" i="2"/>
  <c r="G947" i="2"/>
  <c r="F943" i="2"/>
  <c r="G962" i="2"/>
  <c r="G970" i="2"/>
  <c r="G76" i="2"/>
  <c r="H60" i="1" l="1"/>
  <c r="D59" i="1"/>
  <c r="C78" i="2"/>
  <c r="C79" i="2"/>
  <c r="G985" i="2"/>
  <c r="G958" i="2"/>
  <c r="F969" i="2"/>
  <c r="F973" i="2"/>
  <c r="F961" i="2"/>
  <c r="G989" i="2"/>
  <c r="F958" i="2"/>
  <c r="F989" i="2"/>
  <c r="G980" i="2"/>
  <c r="G961" i="2"/>
  <c r="F956" i="2"/>
  <c r="F984" i="2"/>
  <c r="G973" i="2"/>
  <c r="F988" i="2"/>
  <c r="G964" i="2"/>
  <c r="G988" i="2"/>
  <c r="G969" i="2"/>
  <c r="F972" i="2"/>
  <c r="F968" i="2"/>
  <c r="F79" i="2"/>
  <c r="G965" i="2"/>
  <c r="F964" i="2"/>
  <c r="G977" i="2"/>
  <c r="G956" i="2"/>
  <c r="F981" i="2"/>
  <c r="G79" i="2"/>
  <c r="F980" i="2"/>
  <c r="G972" i="2"/>
  <c r="G968" i="2"/>
  <c r="F960" i="2"/>
  <c r="G984" i="2"/>
  <c r="F965" i="2"/>
  <c r="F985" i="2"/>
  <c r="F78" i="2"/>
  <c r="G981" i="2"/>
  <c r="F957" i="2"/>
  <c r="F977" i="2"/>
  <c r="G960" i="2"/>
  <c r="G78" i="2"/>
  <c r="G957" i="2"/>
  <c r="H61" i="1" l="1"/>
  <c r="D60" i="1"/>
  <c r="C80" i="2"/>
  <c r="C81" i="2"/>
  <c r="G991" i="2"/>
  <c r="G987" i="2"/>
  <c r="F974" i="2"/>
  <c r="F976" i="2"/>
  <c r="F990" i="2"/>
  <c r="G1006" i="2"/>
  <c r="G986" i="2"/>
  <c r="F982" i="2"/>
  <c r="G982" i="2"/>
  <c r="G990" i="2"/>
  <c r="F998" i="2"/>
  <c r="F1006" i="2"/>
  <c r="G976" i="2"/>
  <c r="G975" i="2"/>
  <c r="F987" i="2"/>
  <c r="G978" i="2"/>
  <c r="G974" i="2"/>
  <c r="F979" i="2"/>
  <c r="F975" i="2"/>
  <c r="F1002" i="2"/>
  <c r="G995" i="2"/>
  <c r="G1003" i="2"/>
  <c r="G999" i="2"/>
  <c r="F991" i="2"/>
  <c r="F80" i="2"/>
  <c r="G998" i="2"/>
  <c r="F1007" i="2"/>
  <c r="F999" i="2"/>
  <c r="F995" i="2"/>
  <c r="F983" i="2"/>
  <c r="F81" i="2"/>
  <c r="F1003" i="2"/>
  <c r="G979" i="2"/>
  <c r="F986" i="2"/>
  <c r="G80" i="2"/>
  <c r="G1007" i="2"/>
  <c r="G983" i="2"/>
  <c r="F978" i="2"/>
  <c r="G81" i="2"/>
  <c r="G1002" i="2"/>
  <c r="H62" i="1" l="1"/>
  <c r="D61" i="1"/>
  <c r="C83" i="2"/>
  <c r="C82" i="2"/>
  <c r="G994" i="2"/>
  <c r="F1004" i="2"/>
  <c r="G996" i="2"/>
  <c r="G1001" i="2"/>
  <c r="F992" i="2"/>
  <c r="G1016" i="2"/>
  <c r="G1013" i="2"/>
  <c r="F1001" i="2"/>
  <c r="G1024" i="2"/>
  <c r="G82" i="2"/>
  <c r="F1000" i="2"/>
  <c r="F83" i="2"/>
  <c r="G1017" i="2"/>
  <c r="F1020" i="2"/>
  <c r="G1005" i="2"/>
  <c r="G997" i="2"/>
  <c r="F1009" i="2"/>
  <c r="F994" i="2"/>
  <c r="F996" i="2"/>
  <c r="F1017" i="2"/>
  <c r="F1005" i="2"/>
  <c r="F1013" i="2"/>
  <c r="G993" i="2"/>
  <c r="G992" i="2"/>
  <c r="G1000" i="2"/>
  <c r="F997" i="2"/>
  <c r="F1008" i="2"/>
  <c r="G1008" i="2"/>
  <c r="G83" i="2"/>
  <c r="F1016" i="2"/>
  <c r="G1025" i="2"/>
  <c r="F82" i="2"/>
  <c r="G1021" i="2"/>
  <c r="F1024" i="2"/>
  <c r="G1004" i="2"/>
  <c r="G1020" i="2"/>
  <c r="F1021" i="2"/>
  <c r="F1025" i="2"/>
  <c r="G1009" i="2"/>
  <c r="F993" i="2"/>
  <c r="H63" i="1" l="1"/>
  <c r="D62" i="1"/>
  <c r="C85" i="2"/>
  <c r="C84" i="2"/>
  <c r="G1023" i="2"/>
  <c r="F1011" i="2"/>
  <c r="G1019" i="2"/>
  <c r="G1022" i="2"/>
  <c r="F1034" i="2"/>
  <c r="G1018" i="2"/>
  <c r="G84" i="2"/>
  <c r="F1022" i="2"/>
  <c r="G1014" i="2"/>
  <c r="F1035" i="2"/>
  <c r="F1038" i="2"/>
  <c r="G1043" i="2"/>
  <c r="F1042" i="2"/>
  <c r="G1010" i="2"/>
  <c r="G1026" i="2"/>
  <c r="F1012" i="2"/>
  <c r="F1023" i="2"/>
  <c r="F1019" i="2"/>
  <c r="G1038" i="2"/>
  <c r="G1039" i="2"/>
  <c r="F1031" i="2"/>
  <c r="F1014" i="2"/>
  <c r="G1035" i="2"/>
  <c r="F1043" i="2"/>
  <c r="G1031" i="2"/>
  <c r="F1010" i="2"/>
  <c r="F1026" i="2"/>
  <c r="F1018" i="2"/>
  <c r="G85" i="2"/>
  <c r="G1034" i="2"/>
  <c r="G1015" i="2"/>
  <c r="F84" i="2"/>
  <c r="F1015" i="2"/>
  <c r="G1027" i="2"/>
  <c r="G1011" i="2"/>
  <c r="G1042" i="2"/>
  <c r="F1027" i="2"/>
  <c r="F1039" i="2"/>
  <c r="G1012" i="2"/>
  <c r="F85" i="2"/>
  <c r="H64" i="1" l="1"/>
  <c r="D63" i="1"/>
  <c r="C87" i="2"/>
  <c r="C86" i="2"/>
  <c r="F1041" i="2"/>
  <c r="G1041" i="2"/>
  <c r="G1036" i="2"/>
  <c r="G1032" i="2"/>
  <c r="F1060" i="2"/>
  <c r="F1053" i="2"/>
  <c r="F1033" i="2"/>
  <c r="F1037" i="2"/>
  <c r="G1037" i="2"/>
  <c r="F1049" i="2"/>
  <c r="G1045" i="2"/>
  <c r="F1057" i="2"/>
  <c r="G1061" i="2"/>
  <c r="G1060" i="2"/>
  <c r="F1040" i="2"/>
  <c r="G1033" i="2"/>
  <c r="G1040" i="2"/>
  <c r="F1052" i="2"/>
  <c r="G1052" i="2"/>
  <c r="G1029" i="2"/>
  <c r="F1056" i="2"/>
  <c r="F1045" i="2"/>
  <c r="F1061" i="2"/>
  <c r="G1030" i="2"/>
  <c r="F1044" i="2"/>
  <c r="F1029" i="2"/>
  <c r="G1049" i="2"/>
  <c r="G1044" i="2"/>
  <c r="F1028" i="2"/>
  <c r="F1032" i="2"/>
  <c r="G1028" i="2"/>
  <c r="G86" i="2"/>
  <c r="G1057" i="2"/>
  <c r="F1030" i="2"/>
  <c r="F87" i="2"/>
  <c r="F86" i="2"/>
  <c r="G87" i="2"/>
  <c r="G1056" i="2"/>
  <c r="G1053" i="2"/>
  <c r="F1036" i="2"/>
  <c r="H65" i="1" l="1"/>
  <c r="D64" i="1"/>
  <c r="C88" i="2"/>
  <c r="C89" i="2"/>
  <c r="G1062" i="2"/>
  <c r="G1048" i="2"/>
  <c r="F88" i="2"/>
  <c r="F1074" i="2"/>
  <c r="F1058" i="2"/>
  <c r="G1075" i="2"/>
  <c r="F1067" i="2"/>
  <c r="G1059" i="2"/>
  <c r="G1074" i="2"/>
  <c r="G1058" i="2"/>
  <c r="G1079" i="2"/>
  <c r="G1063" i="2"/>
  <c r="F1048" i="2"/>
  <c r="G1047" i="2"/>
  <c r="F1055" i="2"/>
  <c r="F1078" i="2"/>
  <c r="F1070" i="2"/>
  <c r="G89" i="2"/>
  <c r="F1054" i="2"/>
  <c r="F89" i="2"/>
  <c r="F1046" i="2"/>
  <c r="F1050" i="2"/>
  <c r="F1071" i="2"/>
  <c r="F1062" i="2"/>
  <c r="G1046" i="2"/>
  <c r="G88" i="2"/>
  <c r="G1067" i="2"/>
  <c r="G1070" i="2"/>
  <c r="G1055" i="2"/>
  <c r="G1078" i="2"/>
  <c r="F1079" i="2"/>
  <c r="F1059" i="2"/>
  <c r="G1054" i="2"/>
  <c r="F1047" i="2"/>
  <c r="G1051" i="2"/>
  <c r="G1071" i="2"/>
  <c r="G1050" i="2"/>
  <c r="F1075" i="2"/>
  <c r="F1051" i="2"/>
  <c r="F1063" i="2"/>
  <c r="H66" i="1" l="1"/>
  <c r="D65" i="1"/>
  <c r="C90" i="2"/>
  <c r="C91" i="2"/>
  <c r="F1092" i="2"/>
  <c r="G1081" i="2"/>
  <c r="G1064" i="2"/>
  <c r="F1068" i="2"/>
  <c r="G1076" i="2"/>
  <c r="G1092" i="2"/>
  <c r="G1068" i="2"/>
  <c r="F1069" i="2"/>
  <c r="F1096" i="2"/>
  <c r="F1077" i="2"/>
  <c r="F1085" i="2"/>
  <c r="G1077" i="2"/>
  <c r="G1073" i="2"/>
  <c r="F1088" i="2"/>
  <c r="F90" i="2"/>
  <c r="G1066" i="2"/>
  <c r="G1085" i="2"/>
  <c r="G1089" i="2"/>
  <c r="F1065" i="2"/>
  <c r="G1088" i="2"/>
  <c r="G91" i="2"/>
  <c r="F1076" i="2"/>
  <c r="F1089" i="2"/>
  <c r="G1069" i="2"/>
  <c r="G90" i="2"/>
  <c r="F1093" i="2"/>
  <c r="F1081" i="2"/>
  <c r="F1066" i="2"/>
  <c r="F1072" i="2"/>
  <c r="G1096" i="2"/>
  <c r="G1072" i="2"/>
  <c r="G1080" i="2"/>
  <c r="F1097" i="2"/>
  <c r="G1097" i="2"/>
  <c r="G1093" i="2"/>
  <c r="F1064" i="2"/>
  <c r="F91" i="2"/>
  <c r="G1065" i="2"/>
  <c r="F1080" i="2"/>
  <c r="F1073" i="2"/>
  <c r="H67" i="1" l="1"/>
  <c r="D66" i="1"/>
  <c r="C92" i="2"/>
  <c r="C93" i="2"/>
  <c r="F1095" i="2"/>
  <c r="G1095" i="2"/>
  <c r="G1107" i="2"/>
  <c r="G1103" i="2"/>
  <c r="F92" i="2"/>
  <c r="F1083" i="2"/>
  <c r="G1110" i="2"/>
  <c r="F1107" i="2"/>
  <c r="F1090" i="2"/>
  <c r="G1083" i="2"/>
  <c r="G92" i="2"/>
  <c r="G1084" i="2"/>
  <c r="F1110" i="2"/>
  <c r="G93" i="2"/>
  <c r="F1082" i="2"/>
  <c r="F1115" i="2"/>
  <c r="F1103" i="2"/>
  <c r="G1082" i="2"/>
  <c r="G1115" i="2"/>
  <c r="F1111" i="2"/>
  <c r="F1094" i="2"/>
  <c r="F1099" i="2"/>
  <c r="F1091" i="2"/>
  <c r="F93" i="2"/>
  <c r="G1111" i="2"/>
  <c r="G1094" i="2"/>
  <c r="F1087" i="2"/>
  <c r="F1114" i="2"/>
  <c r="G1086" i="2"/>
  <c r="G1090" i="2"/>
  <c r="F1098" i="2"/>
  <c r="F1084" i="2"/>
  <c r="G1087" i="2"/>
  <c r="G1091" i="2"/>
  <c r="F1086" i="2"/>
  <c r="G1098" i="2"/>
  <c r="G1106" i="2"/>
  <c r="F1106" i="2"/>
  <c r="G1114" i="2"/>
  <c r="G1099" i="2"/>
  <c r="H68" i="1" l="1"/>
  <c r="D67" i="1"/>
  <c r="C95" i="2"/>
  <c r="C94" i="2"/>
  <c r="G1129" i="2"/>
  <c r="G1113" i="2"/>
  <c r="F1108" i="2"/>
  <c r="F1117" i="2"/>
  <c r="G1133" i="2"/>
  <c r="F1128" i="2"/>
  <c r="F1100" i="2"/>
  <c r="F1125" i="2"/>
  <c r="G1109" i="2"/>
  <c r="F1133" i="2"/>
  <c r="G1102" i="2"/>
  <c r="F1112" i="2"/>
  <c r="F1124" i="2"/>
  <c r="F1105" i="2"/>
  <c r="G1105" i="2"/>
  <c r="G1121" i="2"/>
  <c r="F1116" i="2"/>
  <c r="G1101" i="2"/>
  <c r="G1117" i="2"/>
  <c r="G1132" i="2"/>
  <c r="F1132" i="2"/>
  <c r="F1109" i="2"/>
  <c r="G1108" i="2"/>
  <c r="F95" i="2"/>
  <c r="F1102" i="2"/>
  <c r="G1112" i="2"/>
  <c r="G1124" i="2"/>
  <c r="F1104" i="2"/>
  <c r="G95" i="2"/>
  <c r="F1101" i="2"/>
  <c r="G1116" i="2"/>
  <c r="G94" i="2"/>
  <c r="G1128" i="2"/>
  <c r="F1129" i="2"/>
  <c r="F1113" i="2"/>
  <c r="G1125" i="2"/>
  <c r="G1104" i="2"/>
  <c r="G1100" i="2"/>
  <c r="F1121" i="2"/>
  <c r="F94" i="2"/>
  <c r="H69" i="1" l="1"/>
  <c r="D68" i="1"/>
  <c r="C97" i="2"/>
  <c r="C96" i="2"/>
  <c r="F96" i="2"/>
  <c r="G1118" i="2"/>
  <c r="G1134" i="2"/>
  <c r="F1142" i="2"/>
  <c r="G1123" i="2"/>
  <c r="F1126" i="2"/>
  <c r="G1122" i="2"/>
  <c r="G1126" i="2"/>
  <c r="G1139" i="2"/>
  <c r="F1131" i="2"/>
  <c r="G1127" i="2"/>
  <c r="F1135" i="2"/>
  <c r="F1134" i="2"/>
  <c r="G1135" i="2"/>
  <c r="G1120" i="2"/>
  <c r="F1139" i="2"/>
  <c r="G96" i="2"/>
  <c r="G1151" i="2"/>
  <c r="F1147" i="2"/>
  <c r="G1146" i="2"/>
  <c r="F1122" i="2"/>
  <c r="F1130" i="2"/>
  <c r="G1147" i="2"/>
  <c r="G1150" i="2"/>
  <c r="F1120" i="2"/>
  <c r="G1142" i="2"/>
  <c r="F1150" i="2"/>
  <c r="F1143" i="2"/>
  <c r="F1119" i="2"/>
  <c r="F1146" i="2"/>
  <c r="F97" i="2"/>
  <c r="G1131" i="2"/>
  <c r="F1127" i="2"/>
  <c r="G1143" i="2"/>
  <c r="F1118" i="2"/>
  <c r="F1123" i="2"/>
  <c r="G1119" i="2"/>
  <c r="G1130" i="2"/>
  <c r="F1151" i="2"/>
  <c r="G97" i="2"/>
  <c r="H70" i="1" l="1"/>
  <c r="D69" i="1"/>
  <c r="C98" i="2"/>
  <c r="C99" i="2"/>
  <c r="G1137" i="2"/>
  <c r="F1160" i="2"/>
  <c r="G1161" i="2"/>
  <c r="G99" i="2"/>
  <c r="F1144" i="2"/>
  <c r="G1138" i="2"/>
  <c r="G1169" i="2"/>
  <c r="F99" i="2"/>
  <c r="F1157" i="2"/>
  <c r="F1136" i="2"/>
  <c r="F1141" i="2"/>
  <c r="G1164" i="2"/>
  <c r="F1153" i="2"/>
  <c r="G1157" i="2"/>
  <c r="G1145" i="2"/>
  <c r="F98" i="2"/>
  <c r="F1137" i="2"/>
  <c r="F1161" i="2"/>
  <c r="G1136" i="2"/>
  <c r="F1152" i="2"/>
  <c r="G1144" i="2"/>
  <c r="G1152" i="2"/>
  <c r="F1164" i="2"/>
  <c r="F1145" i="2"/>
  <c r="G1168" i="2"/>
  <c r="G1148" i="2"/>
  <c r="G1141" i="2"/>
  <c r="F1138" i="2"/>
  <c r="F1168" i="2"/>
  <c r="F1169" i="2"/>
  <c r="G1140" i="2"/>
  <c r="G1165" i="2"/>
  <c r="G1149" i="2"/>
  <c r="F1148" i="2"/>
  <c r="G1160" i="2"/>
  <c r="G1153" i="2"/>
  <c r="F1165" i="2"/>
  <c r="F1149" i="2"/>
  <c r="G98" i="2"/>
  <c r="F1140" i="2"/>
  <c r="H71" i="1" l="1"/>
  <c r="D70" i="1"/>
  <c r="C101" i="2"/>
  <c r="C100" i="2"/>
  <c r="G1175" i="2"/>
  <c r="F1158" i="2"/>
  <c r="G101" i="2"/>
  <c r="G1178" i="2"/>
  <c r="F1156" i="2"/>
  <c r="G1170" i="2"/>
  <c r="G1186" i="2"/>
  <c r="F1178" i="2"/>
  <c r="G1187" i="2"/>
  <c r="F1170" i="2"/>
  <c r="F1182" i="2"/>
  <c r="F1163" i="2"/>
  <c r="F1179" i="2"/>
  <c r="G1167" i="2"/>
  <c r="F1154" i="2"/>
  <c r="G1162" i="2"/>
  <c r="G1166" i="2"/>
  <c r="F1155" i="2"/>
  <c r="F1175" i="2"/>
  <c r="F101" i="2"/>
  <c r="F1167" i="2"/>
  <c r="F1166" i="2"/>
  <c r="G1179" i="2"/>
  <c r="G1159" i="2"/>
  <c r="G1158" i="2"/>
  <c r="G1182" i="2"/>
  <c r="F1162" i="2"/>
  <c r="G1183" i="2"/>
  <c r="F1171" i="2"/>
  <c r="G1163" i="2"/>
  <c r="G1171" i="2"/>
  <c r="F1186" i="2"/>
  <c r="F1187" i="2"/>
  <c r="G1156" i="2"/>
  <c r="G100" i="2"/>
  <c r="G1154" i="2"/>
  <c r="F100" i="2"/>
  <c r="F1183" i="2"/>
  <c r="G1155" i="2"/>
  <c r="F1159" i="2"/>
  <c r="H72" i="1" l="1"/>
  <c r="D71" i="1"/>
  <c r="C102" i="2"/>
  <c r="C103" i="2"/>
  <c r="F1180" i="2"/>
  <c r="G1201" i="2"/>
  <c r="G1188" i="2"/>
  <c r="G1172" i="2"/>
  <c r="F1193" i="2"/>
  <c r="F1200" i="2"/>
  <c r="G1176" i="2"/>
  <c r="F1181" i="2"/>
  <c r="F1197" i="2"/>
  <c r="G1204" i="2"/>
  <c r="G103" i="2"/>
  <c r="F1201" i="2"/>
  <c r="G1185" i="2"/>
  <c r="G1193" i="2"/>
  <c r="F1196" i="2"/>
  <c r="F1176" i="2"/>
  <c r="G1196" i="2"/>
  <c r="F1174" i="2"/>
  <c r="G1181" i="2"/>
  <c r="F102" i="2"/>
  <c r="F103" i="2"/>
  <c r="F1185" i="2"/>
  <c r="G1174" i="2"/>
  <c r="G102" i="2"/>
  <c r="G1173" i="2"/>
  <c r="F1184" i="2"/>
  <c r="F1172" i="2"/>
  <c r="G1197" i="2"/>
  <c r="G1184" i="2"/>
  <c r="F1204" i="2"/>
  <c r="G1177" i="2"/>
  <c r="G1180" i="2"/>
  <c r="F1173" i="2"/>
  <c r="F1189" i="2"/>
  <c r="F1177" i="2"/>
  <c r="F1205" i="2"/>
  <c r="G1205" i="2"/>
  <c r="G1189" i="2"/>
  <c r="G1200" i="2"/>
  <c r="F1188" i="2"/>
  <c r="H73" i="1" l="1"/>
  <c r="D72" i="1"/>
  <c r="C104" i="2"/>
  <c r="C105" i="2"/>
  <c r="F1192" i="2"/>
  <c r="G105" i="2"/>
  <c r="G104" i="2"/>
  <c r="F1218" i="2"/>
  <c r="G1192" i="2"/>
  <c r="F1202" i="2"/>
  <c r="G1199" i="2"/>
  <c r="G1211" i="2"/>
  <c r="G1207" i="2"/>
  <c r="F104" i="2"/>
  <c r="G1215" i="2"/>
  <c r="G1219" i="2"/>
  <c r="F1198" i="2"/>
  <c r="G1203" i="2"/>
  <c r="F1206" i="2"/>
  <c r="G1191" i="2"/>
  <c r="F1215" i="2"/>
  <c r="F1214" i="2"/>
  <c r="F1203" i="2"/>
  <c r="G1214" i="2"/>
  <c r="F1194" i="2"/>
  <c r="F1195" i="2"/>
  <c r="G1223" i="2"/>
  <c r="G1190" i="2"/>
  <c r="F1191" i="2"/>
  <c r="G1194" i="2"/>
  <c r="F1219" i="2"/>
  <c r="G1195" i="2"/>
  <c r="F1199" i="2"/>
  <c r="F1223" i="2"/>
  <c r="G1218" i="2"/>
  <c r="F105" i="2"/>
  <c r="G1198" i="2"/>
  <c r="G1222" i="2"/>
  <c r="F1211" i="2"/>
  <c r="F1207" i="2"/>
  <c r="F1222" i="2"/>
  <c r="G1206" i="2"/>
  <c r="G1202" i="2"/>
  <c r="F1190" i="2"/>
  <c r="H74" i="1" l="1"/>
  <c r="D73" i="1"/>
  <c r="C106" i="2"/>
  <c r="C107" i="2"/>
  <c r="F1224" i="2"/>
  <c r="G1232" i="2"/>
  <c r="G1237" i="2"/>
  <c r="F1221" i="2"/>
  <c r="G1224" i="2"/>
  <c r="F1236" i="2"/>
  <c r="G1210" i="2"/>
  <c r="F1212" i="2"/>
  <c r="F1209" i="2"/>
  <c r="G107" i="2"/>
  <c r="F1240" i="2"/>
  <c r="F1210" i="2"/>
  <c r="G1209" i="2"/>
  <c r="G106" i="2"/>
  <c r="G1229" i="2"/>
  <c r="F107" i="2"/>
  <c r="G1233" i="2"/>
  <c r="F1237" i="2"/>
  <c r="G1212" i="2"/>
  <c r="F1213" i="2"/>
  <c r="F1225" i="2"/>
  <c r="F1217" i="2"/>
  <c r="G1216" i="2"/>
  <c r="G1208" i="2"/>
  <c r="F106" i="2"/>
  <c r="G1241" i="2"/>
  <c r="G1213" i="2"/>
  <c r="F1220" i="2"/>
  <c r="G1240" i="2"/>
  <c r="G1221" i="2"/>
  <c r="F1232" i="2"/>
  <c r="G1220" i="2"/>
  <c r="F1216" i="2"/>
  <c r="G1225" i="2"/>
  <c r="F1229" i="2"/>
  <c r="F1208" i="2"/>
  <c r="F1233" i="2"/>
  <c r="G1236" i="2"/>
  <c r="G1217" i="2"/>
  <c r="F1241" i="2"/>
  <c r="H75" i="1" l="1"/>
  <c r="D74" i="1"/>
  <c r="C108" i="2"/>
  <c r="C109" i="2"/>
  <c r="F1254" i="2"/>
  <c r="G108" i="2"/>
  <c r="G1255" i="2"/>
  <c r="G1227" i="2"/>
  <c r="F1242" i="2"/>
  <c r="G1235" i="2"/>
  <c r="F1247" i="2"/>
  <c r="G1251" i="2"/>
  <c r="G1242" i="2"/>
  <c r="F1243" i="2"/>
  <c r="F1226" i="2"/>
  <c r="G1254" i="2"/>
  <c r="F108" i="2"/>
  <c r="G1243" i="2"/>
  <c r="G1226" i="2"/>
  <c r="F1239" i="2"/>
  <c r="F1238" i="2"/>
  <c r="F1231" i="2"/>
  <c r="F1227" i="2"/>
  <c r="G1239" i="2"/>
  <c r="G1238" i="2"/>
  <c r="F1230" i="2"/>
  <c r="G1234" i="2"/>
  <c r="F1258" i="2"/>
  <c r="F1235" i="2"/>
  <c r="F1251" i="2"/>
  <c r="G1230" i="2"/>
  <c r="G1228" i="2"/>
  <c r="F1250" i="2"/>
  <c r="G1250" i="2"/>
  <c r="F1255" i="2"/>
  <c r="F1228" i="2"/>
  <c r="F1234" i="2"/>
  <c r="G1259" i="2"/>
  <c r="F1259" i="2"/>
  <c r="G1231" i="2"/>
  <c r="F109" i="2"/>
  <c r="G109" i="2"/>
  <c r="G1258" i="2"/>
  <c r="G1247" i="2"/>
  <c r="H76" i="1" l="1"/>
  <c r="D75" i="1"/>
  <c r="C110" i="2"/>
  <c r="C111" i="2"/>
  <c r="G1257" i="2"/>
  <c r="F1276" i="2"/>
  <c r="G1244" i="2"/>
  <c r="G1277" i="2"/>
  <c r="F110" i="2"/>
  <c r="F1244" i="2"/>
  <c r="F1277" i="2"/>
  <c r="G1248" i="2"/>
  <c r="G1261" i="2"/>
  <c r="F1256" i="2"/>
  <c r="G1252" i="2"/>
  <c r="F1268" i="2"/>
  <c r="G1273" i="2"/>
  <c r="G1253" i="2"/>
  <c r="F1272" i="2"/>
  <c r="F1257" i="2"/>
  <c r="F1252" i="2"/>
  <c r="F1253" i="2"/>
  <c r="G1246" i="2"/>
  <c r="F111" i="2"/>
  <c r="G1245" i="2"/>
  <c r="G1249" i="2"/>
  <c r="F1273" i="2"/>
  <c r="F1249" i="2"/>
  <c r="G1269" i="2"/>
  <c r="G110" i="2"/>
  <c r="G1265" i="2"/>
  <c r="F1248" i="2"/>
  <c r="F1269" i="2"/>
  <c r="G1256" i="2"/>
  <c r="G111" i="2"/>
  <c r="F1245" i="2"/>
  <c r="F1265" i="2"/>
  <c r="F1261" i="2"/>
  <c r="G1260" i="2"/>
  <c r="G1276" i="2"/>
  <c r="G1268" i="2"/>
  <c r="F1260" i="2"/>
  <c r="F1246" i="2"/>
  <c r="G1272" i="2"/>
  <c r="H77" i="1" l="1"/>
  <c r="D76" i="1"/>
  <c r="C113" i="2"/>
  <c r="C112" i="2"/>
  <c r="F1291" i="2"/>
  <c r="G1279" i="2"/>
  <c r="G1270" i="2"/>
  <c r="F1263" i="2"/>
  <c r="G1291" i="2"/>
  <c r="F112" i="2"/>
  <c r="G1295" i="2"/>
  <c r="F1264" i="2"/>
  <c r="G1267" i="2"/>
  <c r="G1278" i="2"/>
  <c r="F1275" i="2"/>
  <c r="G1264" i="2"/>
  <c r="F1274" i="2"/>
  <c r="G1275" i="2"/>
  <c r="F113" i="2"/>
  <c r="F1283" i="2"/>
  <c r="G1262" i="2"/>
  <c r="F1295" i="2"/>
  <c r="F1294" i="2"/>
  <c r="G1283" i="2"/>
  <c r="G1290" i="2"/>
  <c r="G1287" i="2"/>
  <c r="F1270" i="2"/>
  <c r="G113" i="2"/>
  <c r="G1286" i="2"/>
  <c r="F1267" i="2"/>
  <c r="G1274" i="2"/>
  <c r="F1271" i="2"/>
  <c r="F1286" i="2"/>
  <c r="G1263" i="2"/>
  <c r="F1279" i="2"/>
  <c r="G1271" i="2"/>
  <c r="G1294" i="2"/>
  <c r="G1266" i="2"/>
  <c r="F1290" i="2"/>
  <c r="F1278" i="2"/>
  <c r="F1262" i="2"/>
  <c r="F1287" i="2"/>
  <c r="F1266" i="2"/>
  <c r="G112" i="2"/>
  <c r="H78" i="1" l="1"/>
  <c r="D77" i="1"/>
  <c r="C115" i="2"/>
  <c r="C114" i="2"/>
  <c r="F1305" i="2"/>
  <c r="G1305" i="2"/>
  <c r="G1309" i="2"/>
  <c r="G1293" i="2"/>
  <c r="G1281" i="2"/>
  <c r="F1308" i="2"/>
  <c r="F1281" i="2"/>
  <c r="F1313" i="2"/>
  <c r="G1285" i="2"/>
  <c r="G1297" i="2"/>
  <c r="F1284" i="2"/>
  <c r="G114" i="2"/>
  <c r="G1284" i="2"/>
  <c r="F1296" i="2"/>
  <c r="G1308" i="2"/>
  <c r="G1312" i="2"/>
  <c r="F115" i="2"/>
  <c r="F1285" i="2"/>
  <c r="G1280" i="2"/>
  <c r="F1304" i="2"/>
  <c r="G115" i="2"/>
  <c r="F1301" i="2"/>
  <c r="G1313" i="2"/>
  <c r="G1301" i="2"/>
  <c r="F1288" i="2"/>
  <c r="F1309" i="2"/>
  <c r="F1293" i="2"/>
  <c r="F1297" i="2"/>
  <c r="G1292" i="2"/>
  <c r="F1292" i="2"/>
  <c r="F1280" i="2"/>
  <c r="G1304" i="2"/>
  <c r="F1289" i="2"/>
  <c r="G1282" i="2"/>
  <c r="F114" i="2"/>
  <c r="F1282" i="2"/>
  <c r="G1288" i="2"/>
  <c r="G1289" i="2"/>
  <c r="G1296" i="2"/>
  <c r="F1312" i="2"/>
  <c r="H79" i="1" l="1"/>
  <c r="D78" i="1"/>
  <c r="C116" i="2"/>
  <c r="C117" i="2"/>
  <c r="F1322" i="2"/>
  <c r="F117" i="2"/>
  <c r="G1330" i="2"/>
  <c r="G1310" i="2"/>
  <c r="G1302" i="2"/>
  <c r="F1311" i="2"/>
  <c r="G1319" i="2"/>
  <c r="G1314" i="2"/>
  <c r="F1315" i="2"/>
  <c r="F1326" i="2"/>
  <c r="G1307" i="2"/>
  <c r="F1330" i="2"/>
  <c r="G1315" i="2"/>
  <c r="F1306" i="2"/>
  <c r="F1319" i="2"/>
  <c r="G1303" i="2"/>
  <c r="F1314" i="2"/>
  <c r="G1327" i="2"/>
  <c r="G117" i="2"/>
  <c r="F1298" i="2"/>
  <c r="G116" i="2"/>
  <c r="G1323" i="2"/>
  <c r="F1331" i="2"/>
  <c r="F1300" i="2"/>
  <c r="G1322" i="2"/>
  <c r="G1298" i="2"/>
  <c r="F1323" i="2"/>
  <c r="G1326" i="2"/>
  <c r="F1303" i="2"/>
  <c r="G1306" i="2"/>
  <c r="F1299" i="2"/>
  <c r="F116" i="2"/>
  <c r="G1311" i="2"/>
  <c r="F1310" i="2"/>
  <c r="G1300" i="2"/>
  <c r="G1331" i="2"/>
  <c r="F1327" i="2"/>
  <c r="F1302" i="2"/>
  <c r="F1307" i="2"/>
  <c r="G1299" i="2"/>
  <c r="H80" i="1" l="1"/>
  <c r="D79" i="1"/>
  <c r="C118" i="2"/>
  <c r="C119" i="2"/>
  <c r="F1348" i="2"/>
  <c r="G1348" i="2"/>
  <c r="G1318" i="2"/>
  <c r="G1333" i="2"/>
  <c r="F1340" i="2"/>
  <c r="F1332" i="2"/>
  <c r="G1340" i="2"/>
  <c r="F1349" i="2"/>
  <c r="F119" i="2"/>
  <c r="G1320" i="2"/>
  <c r="F1325" i="2"/>
  <c r="F1321" i="2"/>
  <c r="G1325" i="2"/>
  <c r="F118" i="2"/>
  <c r="G1332" i="2"/>
  <c r="F1329" i="2"/>
  <c r="F1324" i="2"/>
  <c r="G1345" i="2"/>
  <c r="F1320" i="2"/>
  <c r="F1344" i="2"/>
  <c r="G1324" i="2"/>
  <c r="G1317" i="2"/>
  <c r="F1317" i="2"/>
  <c r="G119" i="2"/>
  <c r="F1318" i="2"/>
  <c r="F1333" i="2"/>
  <c r="F1345" i="2"/>
  <c r="G1344" i="2"/>
  <c r="G1341" i="2"/>
  <c r="F1328" i="2"/>
  <c r="G1349" i="2"/>
  <c r="G1328" i="2"/>
  <c r="G1337" i="2"/>
  <c r="F1341" i="2"/>
  <c r="F1316" i="2"/>
  <c r="F1337" i="2"/>
  <c r="G1316" i="2"/>
  <c r="G1321" i="2"/>
  <c r="G118" i="2"/>
  <c r="G1329" i="2"/>
  <c r="H81" i="1" l="1"/>
  <c r="D80" i="1"/>
  <c r="C120" i="2"/>
  <c r="C121" i="2"/>
  <c r="F1334" i="2"/>
  <c r="F1362" i="2"/>
  <c r="G1363" i="2"/>
  <c r="F1366" i="2"/>
  <c r="F121" i="2"/>
  <c r="F1336" i="2"/>
  <c r="F1338" i="2"/>
  <c r="F1355" i="2"/>
  <c r="G121" i="2"/>
  <c r="G1343" i="2"/>
  <c r="G1338" i="2"/>
  <c r="G1336" i="2"/>
  <c r="F1335" i="2"/>
  <c r="G1355" i="2"/>
  <c r="G1347" i="2"/>
  <c r="F1359" i="2"/>
  <c r="F1342" i="2"/>
  <c r="F1350" i="2"/>
  <c r="G1339" i="2"/>
  <c r="G1335" i="2"/>
  <c r="G1366" i="2"/>
  <c r="F120" i="2"/>
  <c r="G1342" i="2"/>
  <c r="F1358" i="2"/>
  <c r="F1363" i="2"/>
  <c r="F1347" i="2"/>
  <c r="G1351" i="2"/>
  <c r="G1367" i="2"/>
  <c r="G1359" i="2"/>
  <c r="F1346" i="2"/>
  <c r="G1350" i="2"/>
  <c r="G1358" i="2"/>
  <c r="G1334" i="2"/>
  <c r="G120" i="2"/>
  <c r="F1367" i="2"/>
  <c r="F1351" i="2"/>
  <c r="F1343" i="2"/>
  <c r="G1346" i="2"/>
  <c r="G1362" i="2"/>
  <c r="F1339" i="2"/>
  <c r="H82" i="1" l="1"/>
  <c r="D81" i="1"/>
  <c r="C123" i="2"/>
  <c r="C122" i="2"/>
  <c r="G1369" i="2"/>
  <c r="G1385" i="2"/>
  <c r="F122" i="2"/>
  <c r="F1364" i="2"/>
  <c r="F1352" i="2"/>
  <c r="F1376" i="2"/>
  <c r="F1384" i="2"/>
  <c r="G1360" i="2"/>
  <c r="G1381" i="2"/>
  <c r="G1357" i="2"/>
  <c r="G1384" i="2"/>
  <c r="G1353" i="2"/>
  <c r="F1368" i="2"/>
  <c r="G123" i="2"/>
  <c r="G1368" i="2"/>
  <c r="F1361" i="2"/>
  <c r="F1356" i="2"/>
  <c r="F1357" i="2"/>
  <c r="G1352" i="2"/>
  <c r="F1381" i="2"/>
  <c r="F1373" i="2"/>
  <c r="F1377" i="2"/>
  <c r="F1353" i="2"/>
  <c r="G122" i="2"/>
  <c r="F1354" i="2"/>
  <c r="F1360" i="2"/>
  <c r="G1365" i="2"/>
  <c r="G1356" i="2"/>
  <c r="G1364" i="2"/>
  <c r="G1361" i="2"/>
  <c r="F1380" i="2"/>
  <c r="F1369" i="2"/>
  <c r="G1354" i="2"/>
  <c r="G1376" i="2"/>
  <c r="G1373" i="2"/>
  <c r="G1380" i="2"/>
  <c r="G1377" i="2"/>
  <c r="F123" i="2"/>
  <c r="F1385" i="2"/>
  <c r="F1365" i="2"/>
  <c r="H83" i="1" l="1"/>
  <c r="D82" i="1"/>
  <c r="C124" i="2"/>
  <c r="C125" i="2"/>
  <c r="G1394" i="2"/>
  <c r="G1375" i="2"/>
  <c r="F1399" i="2"/>
  <c r="F1383" i="2"/>
  <c r="F1398" i="2"/>
  <c r="F1402" i="2"/>
  <c r="F1391" i="2"/>
  <c r="F1382" i="2"/>
  <c r="F1379" i="2"/>
  <c r="F125" i="2"/>
  <c r="F124" i="2"/>
  <c r="G124" i="2"/>
  <c r="G1403" i="2"/>
  <c r="G1395" i="2"/>
  <c r="G1398" i="2"/>
  <c r="F1378" i="2"/>
  <c r="F1387" i="2"/>
  <c r="G1383" i="2"/>
  <c r="G1399" i="2"/>
  <c r="F1386" i="2"/>
  <c r="G1379" i="2"/>
  <c r="F1372" i="2"/>
  <c r="G1370" i="2"/>
  <c r="G1386" i="2"/>
  <c r="G1387" i="2"/>
  <c r="G1372" i="2"/>
  <c r="F1375" i="2"/>
  <c r="F1374" i="2"/>
  <c r="G1374" i="2"/>
  <c r="G1378" i="2"/>
  <c r="F1370" i="2"/>
  <c r="G1402" i="2"/>
  <c r="F1371" i="2"/>
  <c r="F1394" i="2"/>
  <c r="F1403" i="2"/>
  <c r="G1382" i="2"/>
  <c r="G125" i="2"/>
  <c r="G1371" i="2"/>
  <c r="G1391" i="2"/>
  <c r="F1395" i="2"/>
  <c r="H84" i="1" l="1"/>
  <c r="D83" i="1"/>
  <c r="C126" i="2"/>
  <c r="C127" i="2"/>
  <c r="G1401" i="2"/>
  <c r="F126" i="2"/>
  <c r="G1421" i="2"/>
  <c r="G1417" i="2"/>
  <c r="F1389" i="2"/>
  <c r="G1396" i="2"/>
  <c r="G1397" i="2"/>
  <c r="G1405" i="2"/>
  <c r="F1420" i="2"/>
  <c r="G1412" i="2"/>
  <c r="F1405" i="2"/>
  <c r="F1392" i="2"/>
  <c r="G1413" i="2"/>
  <c r="F1409" i="2"/>
  <c r="F1393" i="2"/>
  <c r="G1420" i="2"/>
  <c r="F1390" i="2"/>
  <c r="F1401" i="2"/>
  <c r="F1421" i="2"/>
  <c r="F1417" i="2"/>
  <c r="G1393" i="2"/>
  <c r="G1392" i="2"/>
  <c r="G127" i="2"/>
  <c r="F1404" i="2"/>
  <c r="G1400" i="2"/>
  <c r="F1413" i="2"/>
  <c r="F1400" i="2"/>
  <c r="F1416" i="2"/>
  <c r="G1416" i="2"/>
  <c r="G1404" i="2"/>
  <c r="F1396" i="2"/>
  <c r="F1397" i="2"/>
  <c r="G126" i="2"/>
  <c r="G1388" i="2"/>
  <c r="G1389" i="2"/>
  <c r="G1409" i="2"/>
  <c r="F1388" i="2"/>
  <c r="F1412" i="2"/>
  <c r="G1390" i="2"/>
  <c r="F127" i="2"/>
  <c r="H85" i="1" l="1"/>
  <c r="D84" i="1"/>
  <c r="C129" i="2"/>
  <c r="C128" i="2"/>
  <c r="F1411" i="2"/>
  <c r="G1431" i="2"/>
  <c r="G1419" i="2"/>
  <c r="F1439" i="2"/>
  <c r="G1423" i="2"/>
  <c r="F1418" i="2"/>
  <c r="G1434" i="2"/>
  <c r="G1418" i="2"/>
  <c r="G1408" i="2"/>
  <c r="F1430" i="2"/>
  <c r="G1435" i="2"/>
  <c r="G128" i="2"/>
  <c r="F1422" i="2"/>
  <c r="G1411" i="2"/>
  <c r="G1407" i="2"/>
  <c r="F1414" i="2"/>
  <c r="F1410" i="2"/>
  <c r="F1431" i="2"/>
  <c r="G1410" i="2"/>
  <c r="G1427" i="2"/>
  <c r="F1419" i="2"/>
  <c r="G1406" i="2"/>
  <c r="G1439" i="2"/>
  <c r="F129" i="2"/>
  <c r="G1438" i="2"/>
  <c r="F1438" i="2"/>
  <c r="F1427" i="2"/>
  <c r="G1415" i="2"/>
  <c r="F1435" i="2"/>
  <c r="F128" i="2"/>
  <c r="F1406" i="2"/>
  <c r="F1434" i="2"/>
  <c r="G129" i="2"/>
  <c r="F1408" i="2"/>
  <c r="F1407" i="2"/>
  <c r="G1422" i="2"/>
  <c r="F1423" i="2"/>
  <c r="G1430" i="2"/>
  <c r="G1414" i="2"/>
  <c r="F1415" i="2"/>
  <c r="H86" i="1" l="1"/>
  <c r="D85" i="1"/>
  <c r="C130" i="2"/>
  <c r="C131" i="2"/>
  <c r="G1425" i="2"/>
  <c r="F1440" i="2"/>
  <c r="G130" i="2"/>
  <c r="G1448" i="2"/>
  <c r="F1456" i="2"/>
  <c r="G1428" i="2"/>
  <c r="G1449" i="2"/>
  <c r="G1429" i="2"/>
  <c r="F1449" i="2"/>
  <c r="G1445" i="2"/>
  <c r="G1441" i="2"/>
  <c r="F1433" i="2"/>
  <c r="G1432" i="2"/>
  <c r="G1426" i="2"/>
  <c r="F1445" i="2"/>
  <c r="F1441" i="2"/>
  <c r="F1426" i="2"/>
  <c r="F1457" i="2"/>
  <c r="G1436" i="2"/>
  <c r="G1456" i="2"/>
  <c r="F1436" i="2"/>
  <c r="G131" i="2"/>
  <c r="F1425" i="2"/>
  <c r="G1457" i="2"/>
  <c r="F130" i="2"/>
  <c r="F1448" i="2"/>
  <c r="F1432" i="2"/>
  <c r="F131" i="2"/>
  <c r="F1424" i="2"/>
  <c r="F1428" i="2"/>
  <c r="F1453" i="2"/>
  <c r="G1424" i="2"/>
  <c r="G1452" i="2"/>
  <c r="G1453" i="2"/>
  <c r="F1452" i="2"/>
  <c r="F1429" i="2"/>
  <c r="G1437" i="2"/>
  <c r="G1440" i="2"/>
  <c r="G1433" i="2"/>
  <c r="F1437" i="2"/>
  <c r="H87" i="1" l="1"/>
  <c r="D86" i="1"/>
  <c r="C133" i="2"/>
  <c r="C132" i="2"/>
  <c r="F1450" i="2"/>
  <c r="G1471" i="2"/>
  <c r="G1450" i="2"/>
  <c r="F1467" i="2"/>
  <c r="G1446" i="2"/>
  <c r="F1470" i="2"/>
  <c r="G1444" i="2"/>
  <c r="G1463" i="2"/>
  <c r="F132" i="2"/>
  <c r="F1447" i="2"/>
  <c r="G1475" i="2"/>
  <c r="G1442" i="2"/>
  <c r="F133" i="2"/>
  <c r="G1447" i="2"/>
  <c r="G1455" i="2"/>
  <c r="G1443" i="2"/>
  <c r="F1446" i="2"/>
  <c r="F1442" i="2"/>
  <c r="G132" i="2"/>
  <c r="G1451" i="2"/>
  <c r="F1443" i="2"/>
  <c r="G1459" i="2"/>
  <c r="F1458" i="2"/>
  <c r="G1466" i="2"/>
  <c r="G1470" i="2"/>
  <c r="F1459" i="2"/>
  <c r="G1467" i="2"/>
  <c r="F1466" i="2"/>
  <c r="G1458" i="2"/>
  <c r="G1454" i="2"/>
  <c r="F1444" i="2"/>
  <c r="F1451" i="2"/>
  <c r="G133" i="2"/>
  <c r="F1474" i="2"/>
  <c r="F1471" i="2"/>
  <c r="G1474" i="2"/>
  <c r="F1463" i="2"/>
  <c r="F1455" i="2"/>
  <c r="F1475" i="2"/>
  <c r="F1454" i="2"/>
  <c r="H88" i="1" l="1"/>
  <c r="D87" i="1"/>
  <c r="C135" i="2"/>
  <c r="C134" i="2"/>
  <c r="G1492" i="2"/>
  <c r="F1461" i="2"/>
  <c r="G135" i="2"/>
  <c r="G1462" i="2"/>
  <c r="F1468" i="2"/>
  <c r="G1484" i="2"/>
  <c r="F1464" i="2"/>
  <c r="G1461" i="2"/>
  <c r="G1468" i="2"/>
  <c r="F1460" i="2"/>
  <c r="G1473" i="2"/>
  <c r="F1485" i="2"/>
  <c r="G134" i="2"/>
  <c r="F1476" i="2"/>
  <c r="F1472" i="2"/>
  <c r="F1492" i="2"/>
  <c r="G1464" i="2"/>
  <c r="G1469" i="2"/>
  <c r="F1477" i="2"/>
  <c r="F1465" i="2"/>
  <c r="G1472" i="2"/>
  <c r="G1477" i="2"/>
  <c r="F1493" i="2"/>
  <c r="G1489" i="2"/>
  <c r="F135" i="2"/>
  <c r="F1462" i="2"/>
  <c r="F134" i="2"/>
  <c r="F1473" i="2"/>
  <c r="F1489" i="2"/>
  <c r="G1460" i="2"/>
  <c r="F1481" i="2"/>
  <c r="G1476" i="2"/>
  <c r="G1465" i="2"/>
  <c r="G1488" i="2"/>
  <c r="F1484" i="2"/>
  <c r="F1469" i="2"/>
  <c r="G1481" i="2"/>
  <c r="G1485" i="2"/>
  <c r="G1493" i="2"/>
  <c r="F1488" i="2"/>
  <c r="H89" i="1" l="1"/>
  <c r="D88" i="1"/>
  <c r="C136" i="2"/>
  <c r="C137" i="2"/>
  <c r="G137" i="2"/>
  <c r="F1487" i="2"/>
  <c r="G1490" i="2"/>
  <c r="G1503" i="2"/>
  <c r="F1495" i="2"/>
  <c r="F1511" i="2"/>
  <c r="F1494" i="2"/>
  <c r="G1499" i="2"/>
  <c r="F1507" i="2"/>
  <c r="G1478" i="2"/>
  <c r="G1506" i="2"/>
  <c r="G1510" i="2"/>
  <c r="F1480" i="2"/>
  <c r="F1510" i="2"/>
  <c r="G1483" i="2"/>
  <c r="F137" i="2"/>
  <c r="G1502" i="2"/>
  <c r="F1490" i="2"/>
  <c r="F1503" i="2"/>
  <c r="F1491" i="2"/>
  <c r="G1495" i="2"/>
  <c r="G1491" i="2"/>
  <c r="F1499" i="2"/>
  <c r="G136" i="2"/>
  <c r="F1478" i="2"/>
  <c r="F1506" i="2"/>
  <c r="G1479" i="2"/>
  <c r="F1479" i="2"/>
  <c r="G1480" i="2"/>
  <c r="G1511" i="2"/>
  <c r="F1483" i="2"/>
  <c r="G1494" i="2"/>
  <c r="F1502" i="2"/>
  <c r="G1482" i="2"/>
  <c r="F1486" i="2"/>
  <c r="G1486" i="2"/>
  <c r="F136" i="2"/>
  <c r="F1482" i="2"/>
  <c r="G1487" i="2"/>
  <c r="G1507" i="2"/>
  <c r="H90" i="1" l="1"/>
  <c r="D89" i="1"/>
  <c r="C139" i="2"/>
  <c r="C138" i="2"/>
  <c r="G1496" i="2"/>
  <c r="F1500" i="2"/>
  <c r="G1521" i="2"/>
  <c r="G1505" i="2"/>
  <c r="F1501" i="2"/>
  <c r="F1517" i="2"/>
  <c r="F1525" i="2"/>
  <c r="G1497" i="2"/>
  <c r="F138" i="2"/>
  <c r="G1513" i="2"/>
  <c r="G1498" i="2"/>
  <c r="F139" i="2"/>
  <c r="G1504" i="2"/>
  <c r="F1504" i="2"/>
  <c r="G1509" i="2"/>
  <c r="F1496" i="2"/>
  <c r="G1512" i="2"/>
  <c r="F1521" i="2"/>
  <c r="F1505" i="2"/>
  <c r="F1512" i="2"/>
  <c r="F1524" i="2"/>
  <c r="F1529" i="2"/>
  <c r="G1517" i="2"/>
  <c r="F1497" i="2"/>
  <c r="G1520" i="2"/>
  <c r="F1513" i="2"/>
  <c r="F1498" i="2"/>
  <c r="F1520" i="2"/>
  <c r="G1501" i="2"/>
  <c r="G1524" i="2"/>
  <c r="G1525" i="2"/>
  <c r="F1509" i="2"/>
  <c r="G1508" i="2"/>
  <c r="G1529" i="2"/>
  <c r="F1508" i="2"/>
  <c r="G1528" i="2"/>
  <c r="G139" i="2"/>
  <c r="G1500" i="2"/>
  <c r="G138" i="2"/>
  <c r="F1528" i="2"/>
  <c r="H91" i="1" l="1"/>
  <c r="D90" i="1"/>
  <c r="C141" i="2"/>
  <c r="C140" i="2"/>
  <c r="G1531" i="2"/>
  <c r="G1515" i="2"/>
  <c r="F1527" i="2"/>
  <c r="F1519" i="2"/>
  <c r="F1518" i="2"/>
  <c r="F1526" i="2"/>
  <c r="G141" i="2"/>
  <c r="F1547" i="2"/>
  <c r="G1543" i="2"/>
  <c r="G1518" i="2"/>
  <c r="F140" i="2"/>
  <c r="G1526" i="2"/>
  <c r="G1519" i="2"/>
  <c r="G1547" i="2"/>
  <c r="G1522" i="2"/>
  <c r="F1515" i="2"/>
  <c r="G1514" i="2"/>
  <c r="G1527" i="2"/>
  <c r="F1516" i="2"/>
  <c r="F1542" i="2"/>
  <c r="F1530" i="2"/>
  <c r="G1539" i="2"/>
  <c r="F1535" i="2"/>
  <c r="G1535" i="2"/>
  <c r="G1523" i="2"/>
  <c r="G140" i="2"/>
  <c r="F141" i="2"/>
  <c r="F1522" i="2"/>
  <c r="F1539" i="2"/>
  <c r="G1546" i="2"/>
  <c r="G1542" i="2"/>
  <c r="F1538" i="2"/>
  <c r="F1531" i="2"/>
  <c r="G1516" i="2"/>
  <c r="G1538" i="2"/>
  <c r="G1530" i="2"/>
  <c r="F1543" i="2"/>
  <c r="F1523" i="2"/>
  <c r="F1514" i="2"/>
  <c r="F1546" i="2"/>
  <c r="H92" i="1" l="1"/>
  <c r="D91" i="1"/>
  <c r="C142" i="2"/>
  <c r="C143" i="2"/>
  <c r="G1565" i="2"/>
  <c r="G1532" i="2"/>
  <c r="F1534" i="2"/>
  <c r="F1560" i="2"/>
  <c r="F1541" i="2"/>
  <c r="F1537" i="2"/>
  <c r="F143" i="2"/>
  <c r="F1549" i="2"/>
  <c r="F1561" i="2"/>
  <c r="F1533" i="2"/>
  <c r="G1556" i="2"/>
  <c r="G1540" i="2"/>
  <c r="G1541" i="2"/>
  <c r="F1564" i="2"/>
  <c r="F1545" i="2"/>
  <c r="G1560" i="2"/>
  <c r="G1564" i="2"/>
  <c r="G1533" i="2"/>
  <c r="G1545" i="2"/>
  <c r="G1549" i="2"/>
  <c r="F1565" i="2"/>
  <c r="F1540" i="2"/>
  <c r="F1548" i="2"/>
  <c r="G1534" i="2"/>
  <c r="F1536" i="2"/>
  <c r="F1557" i="2"/>
  <c r="F1556" i="2"/>
  <c r="G143" i="2"/>
  <c r="F1544" i="2"/>
  <c r="F142" i="2"/>
  <c r="G1544" i="2"/>
  <c r="G1548" i="2"/>
  <c r="G1553" i="2"/>
  <c r="F1553" i="2"/>
  <c r="G1536" i="2"/>
  <c r="G1557" i="2"/>
  <c r="G1537" i="2"/>
  <c r="F1532" i="2"/>
  <c r="G1561" i="2"/>
  <c r="G142" i="2"/>
  <c r="H93" i="1" l="1"/>
  <c r="D92" i="1"/>
  <c r="C145" i="2"/>
  <c r="C144" i="2"/>
  <c r="G1579" i="2"/>
  <c r="F1550" i="2"/>
  <c r="F1563" i="2"/>
  <c r="G145" i="2"/>
  <c r="F1552" i="2"/>
  <c r="F1583" i="2"/>
  <c r="G1554" i="2"/>
  <c r="F1574" i="2"/>
  <c r="G1567" i="2"/>
  <c r="G1571" i="2"/>
  <c r="F1555" i="2"/>
  <c r="G1551" i="2"/>
  <c r="G1582" i="2"/>
  <c r="F1575" i="2"/>
  <c r="G1578" i="2"/>
  <c r="F1551" i="2"/>
  <c r="F145" i="2"/>
  <c r="F1558" i="2"/>
  <c r="G1555" i="2"/>
  <c r="G1583" i="2"/>
  <c r="F1579" i="2"/>
  <c r="G1558" i="2"/>
  <c r="F1567" i="2"/>
  <c r="F1571" i="2"/>
  <c r="G1562" i="2"/>
  <c r="F1562" i="2"/>
  <c r="G1559" i="2"/>
  <c r="G1566" i="2"/>
  <c r="F1554" i="2"/>
  <c r="G144" i="2"/>
  <c r="F1578" i="2"/>
  <c r="G1552" i="2"/>
  <c r="G1550" i="2"/>
  <c r="G1563" i="2"/>
  <c r="F1582" i="2"/>
  <c r="F144" i="2"/>
  <c r="G1574" i="2"/>
  <c r="G1575" i="2"/>
  <c r="F1559" i="2"/>
  <c r="F1566" i="2"/>
  <c r="H94" i="1" l="1"/>
  <c r="D93" i="1"/>
  <c r="C147" i="2"/>
  <c r="C146" i="2"/>
  <c r="F1585" i="2"/>
  <c r="G146" i="2"/>
  <c r="G1593" i="2"/>
  <c r="F1597" i="2"/>
  <c r="G1581" i="2"/>
  <c r="G1589" i="2"/>
  <c r="G1568" i="2"/>
  <c r="G1580" i="2"/>
  <c r="F1584" i="2"/>
  <c r="G1585" i="2"/>
  <c r="F1581" i="2"/>
  <c r="G1596" i="2"/>
  <c r="F147" i="2"/>
  <c r="F1592" i="2"/>
  <c r="G1601" i="2"/>
  <c r="F146" i="2"/>
  <c r="F1568" i="2"/>
  <c r="G147" i="2"/>
  <c r="F1601" i="2"/>
  <c r="G1569" i="2"/>
  <c r="F1570" i="2"/>
  <c r="F1577" i="2"/>
  <c r="G1572" i="2"/>
  <c r="G1584" i="2"/>
  <c r="G1597" i="2"/>
  <c r="G1592" i="2"/>
  <c r="G1577" i="2"/>
  <c r="F1572" i="2"/>
  <c r="F1580" i="2"/>
  <c r="G1570" i="2"/>
  <c r="F1589" i="2"/>
  <c r="F1593" i="2"/>
  <c r="G1600" i="2"/>
  <c r="F1596" i="2"/>
  <c r="G1573" i="2"/>
  <c r="F1569" i="2"/>
  <c r="G1576" i="2"/>
  <c r="F1600" i="2"/>
  <c r="F1573" i="2"/>
  <c r="F1576" i="2"/>
  <c r="H95" i="1" l="1"/>
  <c r="D94" i="1"/>
  <c r="C148" i="2"/>
  <c r="C149" i="2"/>
  <c r="F1615" i="2"/>
  <c r="F1591" i="2"/>
  <c r="G149" i="2"/>
  <c r="F1610" i="2"/>
  <c r="F1598" i="2"/>
  <c r="G1614" i="2"/>
  <c r="G1591" i="2"/>
  <c r="G1594" i="2"/>
  <c r="G1610" i="2"/>
  <c r="F1599" i="2"/>
  <c r="G148" i="2"/>
  <c r="F1602" i="2"/>
  <c r="G1602" i="2"/>
  <c r="G1611" i="2"/>
  <c r="F1618" i="2"/>
  <c r="F1607" i="2"/>
  <c r="F1587" i="2"/>
  <c r="G1603" i="2"/>
  <c r="F1586" i="2"/>
  <c r="F149" i="2"/>
  <c r="F1619" i="2"/>
  <c r="F1614" i="2"/>
  <c r="G1590" i="2"/>
  <c r="G1619" i="2"/>
  <c r="F148" i="2"/>
  <c r="G1598" i="2"/>
  <c r="F1611" i="2"/>
  <c r="G1588" i="2"/>
  <c r="F1588" i="2"/>
  <c r="G1595" i="2"/>
  <c r="G1587" i="2"/>
  <c r="G1599" i="2"/>
  <c r="G1615" i="2"/>
  <c r="F1590" i="2"/>
  <c r="G1618" i="2"/>
  <c r="G1607" i="2"/>
  <c r="F1594" i="2"/>
  <c r="G1586" i="2"/>
  <c r="F1595" i="2"/>
  <c r="F1603" i="2"/>
  <c r="H96" i="1" l="1"/>
  <c r="D95" i="1"/>
  <c r="C151" i="2"/>
  <c r="C150" i="2"/>
  <c r="F150" i="2"/>
  <c r="G1637" i="2"/>
  <c r="G1613" i="2"/>
  <c r="F1608" i="2"/>
  <c r="G1636" i="2"/>
  <c r="G151" i="2"/>
  <c r="G1632" i="2"/>
  <c r="F1606" i="2"/>
  <c r="G1609" i="2"/>
  <c r="G1621" i="2"/>
  <c r="F1628" i="2"/>
  <c r="F1636" i="2"/>
  <c r="G150" i="2"/>
  <c r="F1609" i="2"/>
  <c r="G1605" i="2"/>
  <c r="F1616" i="2"/>
  <c r="F1620" i="2"/>
  <c r="G1604" i="2"/>
  <c r="G1628" i="2"/>
  <c r="F1637" i="2"/>
  <c r="F1613" i="2"/>
  <c r="G1633" i="2"/>
  <c r="G1625" i="2"/>
  <c r="G1608" i="2"/>
  <c r="G1606" i="2"/>
  <c r="F1617" i="2"/>
  <c r="F1605" i="2"/>
  <c r="G1629" i="2"/>
  <c r="G1617" i="2"/>
  <c r="F1604" i="2"/>
  <c r="G1612" i="2"/>
  <c r="F151" i="2"/>
  <c r="F1632" i="2"/>
  <c r="F1633" i="2"/>
  <c r="F1625" i="2"/>
  <c r="F1621" i="2"/>
  <c r="F1629" i="2"/>
  <c r="G1616" i="2"/>
  <c r="G1620" i="2"/>
  <c r="F1612" i="2"/>
  <c r="H97" i="1" l="1"/>
  <c r="D96" i="1"/>
  <c r="C152" i="2"/>
  <c r="C153" i="2"/>
  <c r="G1655" i="2"/>
  <c r="F1630" i="2"/>
  <c r="F1638" i="2"/>
  <c r="G1647" i="2"/>
  <c r="F1635" i="2"/>
  <c r="F1651" i="2"/>
  <c r="F1643" i="2"/>
  <c r="F1622" i="2"/>
  <c r="F1646" i="2"/>
  <c r="F1650" i="2"/>
  <c r="G1635" i="2"/>
  <c r="G1654" i="2"/>
  <c r="G1651" i="2"/>
  <c r="F1623" i="2"/>
  <c r="G1626" i="2"/>
  <c r="G1643" i="2"/>
  <c r="F1654" i="2"/>
  <c r="F1647" i="2"/>
  <c r="F1626" i="2"/>
  <c r="G152" i="2"/>
  <c r="F1627" i="2"/>
  <c r="F152" i="2"/>
  <c r="F1634" i="2"/>
  <c r="G1622" i="2"/>
  <c r="F1655" i="2"/>
  <c r="G1646" i="2"/>
  <c r="G1638" i="2"/>
  <c r="G153" i="2"/>
  <c r="G1634" i="2"/>
  <c r="G1639" i="2"/>
  <c r="F153" i="2"/>
  <c r="F1639" i="2"/>
  <c r="G1627" i="2"/>
  <c r="G1631" i="2"/>
  <c r="F1631" i="2"/>
  <c r="G1650" i="2"/>
  <c r="G1624" i="2"/>
  <c r="G1630" i="2"/>
  <c r="G1623" i="2"/>
  <c r="F1624" i="2"/>
  <c r="H98" i="1" l="1"/>
  <c r="D97" i="1"/>
  <c r="C154" i="2"/>
  <c r="C155" i="2"/>
  <c r="G1644" i="2"/>
  <c r="G1652" i="2"/>
  <c r="G1641" i="2"/>
  <c r="F1673" i="2"/>
  <c r="G1657" i="2"/>
  <c r="G154" i="2"/>
  <c r="G1642" i="2"/>
  <c r="F1664" i="2"/>
  <c r="F1672" i="2"/>
  <c r="G1668" i="2"/>
  <c r="F1649" i="2"/>
  <c r="F1657" i="2"/>
  <c r="G1664" i="2"/>
  <c r="F1665" i="2"/>
  <c r="F1648" i="2"/>
  <c r="G1645" i="2"/>
  <c r="G1669" i="2"/>
  <c r="G1661" i="2"/>
  <c r="G1640" i="2"/>
  <c r="F1642" i="2"/>
  <c r="G1665" i="2"/>
  <c r="F1640" i="2"/>
  <c r="F1645" i="2"/>
  <c r="G1656" i="2"/>
  <c r="F1653" i="2"/>
  <c r="G1649" i="2"/>
  <c r="F1652" i="2"/>
  <c r="F1641" i="2"/>
  <c r="G1672" i="2"/>
  <c r="F1656" i="2"/>
  <c r="F154" i="2"/>
  <c r="F1669" i="2"/>
  <c r="G1648" i="2"/>
  <c r="F1644" i="2"/>
  <c r="F1661" i="2"/>
  <c r="G155" i="2"/>
  <c r="G1673" i="2"/>
  <c r="F1668" i="2"/>
  <c r="F155" i="2"/>
  <c r="G1653" i="2"/>
  <c r="H99" i="1" l="1"/>
  <c r="D98" i="1"/>
  <c r="C156" i="2"/>
  <c r="C157" i="2"/>
  <c r="G1663" i="2"/>
  <c r="F1675" i="2"/>
  <c r="F1682" i="2"/>
  <c r="F1667" i="2"/>
  <c r="G1671" i="2"/>
  <c r="F1663" i="2"/>
  <c r="G1683" i="2"/>
  <c r="F1687" i="2"/>
  <c r="G1679" i="2"/>
  <c r="F1679" i="2"/>
  <c r="G1690" i="2"/>
  <c r="G1666" i="2"/>
  <c r="F1671" i="2"/>
  <c r="F1691" i="2"/>
  <c r="F1660" i="2"/>
  <c r="G1660" i="2"/>
  <c r="G1686" i="2"/>
  <c r="F1659" i="2"/>
  <c r="F1686" i="2"/>
  <c r="F1683" i="2"/>
  <c r="G1659" i="2"/>
  <c r="G1682" i="2"/>
  <c r="F157" i="2"/>
  <c r="F1670" i="2"/>
  <c r="G1662" i="2"/>
  <c r="G157" i="2"/>
  <c r="G1687" i="2"/>
  <c r="G1674" i="2"/>
  <c r="F1666" i="2"/>
  <c r="G1675" i="2"/>
  <c r="F156" i="2"/>
  <c r="G1667" i="2"/>
  <c r="F1662" i="2"/>
  <c r="F1674" i="2"/>
  <c r="G1691" i="2"/>
  <c r="G1658" i="2"/>
  <c r="G156" i="2"/>
  <c r="G1670" i="2"/>
  <c r="F1690" i="2"/>
  <c r="F1658" i="2"/>
  <c r="H100" i="1" l="1"/>
  <c r="D99" i="1"/>
  <c r="C159" i="2"/>
  <c r="C158" i="2"/>
  <c r="G1692" i="2"/>
  <c r="G1697" i="2"/>
  <c r="G1685" i="2"/>
  <c r="F159" i="2"/>
  <c r="G1680" i="2"/>
  <c r="F1678" i="2"/>
  <c r="F1709" i="2"/>
  <c r="F1692" i="2"/>
  <c r="G1677" i="2"/>
  <c r="G1681" i="2"/>
  <c r="F1676" i="2"/>
  <c r="G1693" i="2"/>
  <c r="G1705" i="2"/>
  <c r="G1676" i="2"/>
  <c r="F1700" i="2"/>
  <c r="F1689" i="2"/>
  <c r="F1677" i="2"/>
  <c r="G1709" i="2"/>
  <c r="F1681" i="2"/>
  <c r="F158" i="2"/>
  <c r="F1697" i="2"/>
  <c r="F1705" i="2"/>
  <c r="G1708" i="2"/>
  <c r="G159" i="2"/>
  <c r="F1701" i="2"/>
  <c r="F1704" i="2"/>
  <c r="F1693" i="2"/>
  <c r="G1700" i="2"/>
  <c r="G1704" i="2"/>
  <c r="G1684" i="2"/>
  <c r="G1678" i="2"/>
  <c r="G1688" i="2"/>
  <c r="G1701" i="2"/>
  <c r="F1688" i="2"/>
  <c r="F1708" i="2"/>
  <c r="F1680" i="2"/>
  <c r="F1685" i="2"/>
  <c r="G1689" i="2"/>
  <c r="F1684" i="2"/>
  <c r="G158" i="2"/>
  <c r="H101" i="1" l="1"/>
  <c r="D100" i="1"/>
  <c r="C160" i="2"/>
  <c r="C161" i="2"/>
  <c r="G1723" i="2"/>
  <c r="G1707" i="2"/>
  <c r="G1710" i="2"/>
  <c r="G1698" i="2"/>
  <c r="F1710" i="2"/>
  <c r="F1707" i="2"/>
  <c r="G1715" i="2"/>
  <c r="G1727" i="2"/>
  <c r="F1702" i="2"/>
  <c r="G1703" i="2"/>
  <c r="G1696" i="2"/>
  <c r="F1703" i="2"/>
  <c r="F1696" i="2"/>
  <c r="G161" i="2"/>
  <c r="F1698" i="2"/>
  <c r="F1723" i="2"/>
  <c r="F1706" i="2"/>
  <c r="G1699" i="2"/>
  <c r="G1719" i="2"/>
  <c r="F1699" i="2"/>
  <c r="F1719" i="2"/>
  <c r="G1702" i="2"/>
  <c r="F161" i="2"/>
  <c r="G1718" i="2"/>
  <c r="F1727" i="2"/>
  <c r="F1711" i="2"/>
  <c r="G1722" i="2"/>
  <c r="G1694" i="2"/>
  <c r="F1722" i="2"/>
  <c r="G160" i="2"/>
  <c r="F160" i="2"/>
  <c r="F1715" i="2"/>
  <c r="G1711" i="2"/>
  <c r="F1694" i="2"/>
  <c r="G1695" i="2"/>
  <c r="F1726" i="2"/>
  <c r="F1695" i="2"/>
  <c r="F1718" i="2"/>
  <c r="G1706" i="2"/>
  <c r="G1726" i="2"/>
  <c r="H102" i="1" l="1"/>
  <c r="D101" i="1"/>
  <c r="C163" i="2"/>
  <c r="C162" i="2"/>
  <c r="G1717" i="2"/>
  <c r="F1745" i="2"/>
  <c r="G1714" i="2"/>
  <c r="G1713" i="2"/>
  <c r="F1724" i="2"/>
  <c r="F1714" i="2"/>
  <c r="F1716" i="2"/>
  <c r="F1744" i="2"/>
  <c r="G1721" i="2"/>
  <c r="F1740" i="2"/>
  <c r="G1724" i="2"/>
  <c r="G1716" i="2"/>
  <c r="F163" i="2"/>
  <c r="G1744" i="2"/>
  <c r="G1712" i="2"/>
  <c r="F1741" i="2"/>
  <c r="G1733" i="2"/>
  <c r="G1740" i="2"/>
  <c r="G1736" i="2"/>
  <c r="F1737" i="2"/>
  <c r="G1741" i="2"/>
  <c r="G1729" i="2"/>
  <c r="F1717" i="2"/>
  <c r="F1713" i="2"/>
  <c r="F1712" i="2"/>
  <c r="F1729" i="2"/>
  <c r="G1725" i="2"/>
  <c r="F1721" i="2"/>
  <c r="G1720" i="2"/>
  <c r="G1737" i="2"/>
  <c r="F1733" i="2"/>
  <c r="F1736" i="2"/>
  <c r="F1725" i="2"/>
  <c r="G1728" i="2"/>
  <c r="G162" i="2"/>
  <c r="F1720" i="2"/>
  <c r="F162" i="2"/>
  <c r="G1745" i="2"/>
  <c r="G163" i="2"/>
  <c r="F1728" i="2"/>
  <c r="H103" i="1" l="1"/>
  <c r="D102" i="1"/>
  <c r="C164" i="2"/>
  <c r="C165" i="2"/>
  <c r="G1762" i="2"/>
  <c r="F165" i="2"/>
  <c r="F1739" i="2"/>
  <c r="F1730" i="2"/>
  <c r="G1751" i="2"/>
  <c r="F1732" i="2"/>
  <c r="G1732" i="2"/>
  <c r="F1762" i="2"/>
  <c r="G165" i="2"/>
  <c r="G1746" i="2"/>
  <c r="F1734" i="2"/>
  <c r="G1763" i="2"/>
  <c r="G164" i="2"/>
  <c r="G1731" i="2"/>
  <c r="F1751" i="2"/>
  <c r="F1759" i="2"/>
  <c r="G1754" i="2"/>
  <c r="G1739" i="2"/>
  <c r="F1735" i="2"/>
  <c r="F1754" i="2"/>
  <c r="G1730" i="2"/>
  <c r="F1738" i="2"/>
  <c r="F1763" i="2"/>
  <c r="G1743" i="2"/>
  <c r="G1742" i="2"/>
  <c r="G1738" i="2"/>
  <c r="F1758" i="2"/>
  <c r="G1755" i="2"/>
  <c r="G1747" i="2"/>
  <c r="G1759" i="2"/>
  <c r="G1735" i="2"/>
  <c r="F1731" i="2"/>
  <c r="G1734" i="2"/>
  <c r="F1743" i="2"/>
  <c r="F1747" i="2"/>
  <c r="F1755" i="2"/>
  <c r="F1746" i="2"/>
  <c r="G1758" i="2"/>
  <c r="F164" i="2"/>
  <c r="F1742" i="2"/>
  <c r="H104" i="1" l="1"/>
  <c r="D103" i="1"/>
  <c r="C167" i="2"/>
  <c r="C166" i="2"/>
  <c r="F1760" i="2"/>
  <c r="G1760" i="2"/>
  <c r="G167" i="2"/>
  <c r="G166" i="2"/>
  <c r="F1780" i="2"/>
  <c r="G1761" i="2"/>
  <c r="G1776" i="2"/>
  <c r="G1748" i="2"/>
  <c r="F1777" i="2"/>
  <c r="G1769" i="2"/>
  <c r="F1764" i="2"/>
  <c r="G1752" i="2"/>
  <c r="G1756" i="2"/>
  <c r="G1781" i="2"/>
  <c r="F1761" i="2"/>
  <c r="F1781" i="2"/>
  <c r="F1776" i="2"/>
  <c r="F1757" i="2"/>
  <c r="G1753" i="2"/>
  <c r="F1752" i="2"/>
  <c r="G1777" i="2"/>
  <c r="G1780" i="2"/>
  <c r="F1765" i="2"/>
  <c r="F1748" i="2"/>
  <c r="F1750" i="2"/>
  <c r="G1765" i="2"/>
  <c r="G1750" i="2"/>
  <c r="G1757" i="2"/>
  <c r="F166" i="2"/>
  <c r="G1773" i="2"/>
  <c r="G1764" i="2"/>
  <c r="F1773" i="2"/>
  <c r="F1749" i="2"/>
  <c r="F167" i="2"/>
  <c r="F1753" i="2"/>
  <c r="F1772" i="2"/>
  <c r="F1769" i="2"/>
  <c r="G1772" i="2"/>
  <c r="G1749" i="2"/>
  <c r="F1756" i="2"/>
  <c r="H105" i="1" l="1"/>
  <c r="D104" i="1"/>
  <c r="C168" i="2"/>
  <c r="C169" i="2"/>
  <c r="F1783" i="2"/>
  <c r="G1767" i="2"/>
  <c r="G1795" i="2"/>
  <c r="F1794" i="2"/>
  <c r="G1775" i="2"/>
  <c r="G1787" i="2"/>
  <c r="F1768" i="2"/>
  <c r="F1795" i="2"/>
  <c r="G1768" i="2"/>
  <c r="G1782" i="2"/>
  <c r="F1770" i="2"/>
  <c r="G1783" i="2"/>
  <c r="F1790" i="2"/>
  <c r="F1771" i="2"/>
  <c r="G1799" i="2"/>
  <c r="F168" i="2"/>
  <c r="F1799" i="2"/>
  <c r="G1771" i="2"/>
  <c r="F1778" i="2"/>
  <c r="G168" i="2"/>
  <c r="F1779" i="2"/>
  <c r="F1767" i="2"/>
  <c r="G1791" i="2"/>
  <c r="F1782" i="2"/>
  <c r="G1794" i="2"/>
  <c r="G1766" i="2"/>
  <c r="G169" i="2"/>
  <c r="F1766" i="2"/>
  <c r="F1787" i="2"/>
  <c r="G1770" i="2"/>
  <c r="F1774" i="2"/>
  <c r="F1791" i="2"/>
  <c r="G1790" i="2"/>
  <c r="F1798" i="2"/>
  <c r="G1778" i="2"/>
  <c r="F169" i="2"/>
  <c r="G1779" i="2"/>
  <c r="G1798" i="2"/>
  <c r="F1775" i="2"/>
  <c r="G1774" i="2"/>
  <c r="H106" i="1" l="1"/>
  <c r="D105" i="1"/>
  <c r="C170" i="2"/>
  <c r="C171" i="2"/>
  <c r="F1792" i="2"/>
  <c r="G1817" i="2"/>
  <c r="F1789" i="2"/>
  <c r="F1805" i="2"/>
  <c r="G1786" i="2"/>
  <c r="F1800" i="2"/>
  <c r="F1816" i="2"/>
  <c r="G1800" i="2"/>
  <c r="F1808" i="2"/>
  <c r="G1793" i="2"/>
  <c r="G1784" i="2"/>
  <c r="F1812" i="2"/>
  <c r="G1789" i="2"/>
  <c r="G1785" i="2"/>
  <c r="G1813" i="2"/>
  <c r="F170" i="2"/>
  <c r="G1792" i="2"/>
  <c r="F1797" i="2"/>
  <c r="F1801" i="2"/>
  <c r="G1805" i="2"/>
  <c r="F1788" i="2"/>
  <c r="F1817" i="2"/>
  <c r="F1785" i="2"/>
  <c r="F1813" i="2"/>
  <c r="F171" i="2"/>
  <c r="G1816" i="2"/>
  <c r="G1796" i="2"/>
  <c r="F1809" i="2"/>
  <c r="F1793" i="2"/>
  <c r="G170" i="2"/>
  <c r="G1801" i="2"/>
  <c r="G171" i="2"/>
  <c r="F1796" i="2"/>
  <c r="G1809" i="2"/>
  <c r="G1808" i="2"/>
  <c r="F1786" i="2"/>
  <c r="G1788" i="2"/>
  <c r="F1784" i="2"/>
  <c r="G1797" i="2"/>
  <c r="G1812" i="2"/>
  <c r="H107" i="1" l="1"/>
  <c r="D106" i="1"/>
  <c r="C173" i="2"/>
  <c r="C172" i="2"/>
  <c r="G1806" i="2"/>
  <c r="F1823" i="2"/>
  <c r="G1827" i="2"/>
  <c r="G1810" i="2"/>
  <c r="F1818" i="2"/>
  <c r="F1826" i="2"/>
  <c r="F1811" i="2"/>
  <c r="G1834" i="2"/>
  <c r="F1803" i="2"/>
  <c r="G173" i="2"/>
  <c r="G1830" i="2"/>
  <c r="F1810" i="2"/>
  <c r="F1814" i="2"/>
  <c r="G1831" i="2"/>
  <c r="F1806" i="2"/>
  <c r="G172" i="2"/>
  <c r="F173" i="2"/>
  <c r="F1830" i="2"/>
  <c r="F1804" i="2"/>
  <c r="G1807" i="2"/>
  <c r="F1834" i="2"/>
  <c r="G1815" i="2"/>
  <c r="F172" i="2"/>
  <c r="F1827" i="2"/>
  <c r="G1811" i="2"/>
  <c r="G1802" i="2"/>
  <c r="G1804" i="2"/>
  <c r="F1831" i="2"/>
  <c r="G1835" i="2"/>
  <c r="F1815" i="2"/>
  <c r="F1835" i="2"/>
  <c r="F1819" i="2"/>
  <c r="G1819" i="2"/>
  <c r="G1814" i="2"/>
  <c r="F1807" i="2"/>
  <c r="G1826" i="2"/>
  <c r="G1803" i="2"/>
  <c r="G1823" i="2"/>
  <c r="F1802" i="2"/>
  <c r="G1818" i="2"/>
  <c r="H108" i="1" l="1"/>
  <c r="D107" i="1"/>
  <c r="C174" i="2"/>
  <c r="C175" i="2"/>
  <c r="G174" i="2"/>
  <c r="G1849" i="2"/>
  <c r="F1825" i="2"/>
  <c r="G1836" i="2"/>
  <c r="F1820" i="2"/>
  <c r="F1836" i="2"/>
  <c r="F1848" i="2"/>
  <c r="G1832" i="2"/>
  <c r="G1820" i="2"/>
  <c r="F1852" i="2"/>
  <c r="F1844" i="2"/>
  <c r="G1848" i="2"/>
  <c r="F1849" i="2"/>
  <c r="G1841" i="2"/>
  <c r="G1825" i="2"/>
  <c r="G1845" i="2"/>
  <c r="F1821" i="2"/>
  <c r="F1833" i="2"/>
  <c r="G175" i="2"/>
  <c r="G1837" i="2"/>
  <c r="F1832" i="2"/>
  <c r="G1852" i="2"/>
  <c r="F1828" i="2"/>
  <c r="F1837" i="2"/>
  <c r="F175" i="2"/>
  <c r="G1824" i="2"/>
  <c r="F1853" i="2"/>
  <c r="F1824" i="2"/>
  <c r="F1845" i="2"/>
  <c r="G1821" i="2"/>
  <c r="F1829" i="2"/>
  <c r="G1844" i="2"/>
  <c r="F1822" i="2"/>
  <c r="F174" i="2"/>
  <c r="F1841" i="2"/>
  <c r="G1828" i="2"/>
  <c r="G1822" i="2"/>
  <c r="G1833" i="2"/>
  <c r="G1829" i="2"/>
  <c r="G1853" i="2"/>
  <c r="H109" i="1" l="1"/>
  <c r="D108" i="1"/>
  <c r="C177" i="2"/>
  <c r="C176" i="2"/>
  <c r="F176" i="2"/>
  <c r="G1847" i="2"/>
  <c r="G1842" i="2"/>
  <c r="G1840" i="2"/>
  <c r="F177" i="2"/>
  <c r="F1870" i="2"/>
  <c r="F1862" i="2"/>
  <c r="F1850" i="2"/>
  <c r="F1871" i="2"/>
  <c r="G1871" i="2"/>
  <c r="F1847" i="2"/>
  <c r="G1862" i="2"/>
  <c r="G177" i="2"/>
  <c r="F1866" i="2"/>
  <c r="F1859" i="2"/>
  <c r="G1851" i="2"/>
  <c r="G1870" i="2"/>
  <c r="F1840" i="2"/>
  <c r="F1846" i="2"/>
  <c r="F1863" i="2"/>
  <c r="G1866" i="2"/>
  <c r="G1859" i="2"/>
  <c r="F1855" i="2"/>
  <c r="F1851" i="2"/>
  <c r="G1855" i="2"/>
  <c r="G1867" i="2"/>
  <c r="G1838" i="2"/>
  <c r="G1850" i="2"/>
  <c r="G176" i="2"/>
  <c r="F1842" i="2"/>
  <c r="F1867" i="2"/>
  <c r="G1863" i="2"/>
  <c r="F1838" i="2"/>
  <c r="G1839" i="2"/>
  <c r="G1854" i="2"/>
  <c r="F1854" i="2"/>
  <c r="F1839" i="2"/>
  <c r="F1843" i="2"/>
  <c r="G1843" i="2"/>
  <c r="G1846" i="2"/>
  <c r="H110" i="1" l="1"/>
  <c r="D109" i="1"/>
  <c r="C179" i="2"/>
  <c r="C178" i="2"/>
  <c r="G1873" i="2"/>
  <c r="G1881" i="2"/>
  <c r="F1885" i="2"/>
  <c r="F1860" i="2"/>
  <c r="F1856" i="2"/>
  <c r="G1884" i="2"/>
  <c r="G1889" i="2"/>
  <c r="F1881" i="2"/>
  <c r="F1873" i="2"/>
  <c r="G1858" i="2"/>
  <c r="G1856" i="2"/>
  <c r="F1865" i="2"/>
  <c r="F1889" i="2"/>
  <c r="G1860" i="2"/>
  <c r="F1872" i="2"/>
  <c r="G178" i="2"/>
  <c r="G1872" i="2"/>
  <c r="G1857" i="2"/>
  <c r="G1885" i="2"/>
  <c r="F1869" i="2"/>
  <c r="G1861" i="2"/>
  <c r="F1888" i="2"/>
  <c r="F1884" i="2"/>
  <c r="F179" i="2"/>
  <c r="F1880" i="2"/>
  <c r="G1877" i="2"/>
  <c r="G1865" i="2"/>
  <c r="G1880" i="2"/>
  <c r="F1857" i="2"/>
  <c r="G1869" i="2"/>
  <c r="F1861" i="2"/>
  <c r="F1864" i="2"/>
  <c r="F1868" i="2"/>
  <c r="F178" i="2"/>
  <c r="G179" i="2"/>
  <c r="G1864" i="2"/>
  <c r="G1868" i="2"/>
  <c r="G1888" i="2"/>
  <c r="F1858" i="2"/>
  <c r="F1877" i="2"/>
  <c r="H111" i="1" l="1"/>
  <c r="D110" i="1"/>
  <c r="C180" i="2"/>
  <c r="C181" i="2"/>
  <c r="G1890" i="2"/>
  <c r="F1878" i="2"/>
  <c r="G180" i="2"/>
  <c r="G1902" i="2"/>
  <c r="F1886" i="2"/>
  <c r="F180" i="2"/>
  <c r="G1887" i="2"/>
  <c r="F1895" i="2"/>
  <c r="G1879" i="2"/>
  <c r="G1903" i="2"/>
  <c r="G1875" i="2"/>
  <c r="G1883" i="2"/>
  <c r="F1882" i="2"/>
  <c r="G1906" i="2"/>
  <c r="G1895" i="2"/>
  <c r="F1875" i="2"/>
  <c r="G1876" i="2"/>
  <c r="F1883" i="2"/>
  <c r="F1906" i="2"/>
  <c r="F1891" i="2"/>
  <c r="F181" i="2"/>
  <c r="G1891" i="2"/>
  <c r="F1890" i="2"/>
  <c r="F1902" i="2"/>
  <c r="G1898" i="2"/>
  <c r="G1907" i="2"/>
  <c r="F1903" i="2"/>
  <c r="G181" i="2"/>
  <c r="F1887" i="2"/>
  <c r="G1874" i="2"/>
  <c r="F1876" i="2"/>
  <c r="F1879" i="2"/>
  <c r="G1899" i="2"/>
  <c r="G1878" i="2"/>
  <c r="F1874" i="2"/>
  <c r="F1898" i="2"/>
  <c r="G1886" i="2"/>
  <c r="G1882" i="2"/>
  <c r="F1899" i="2"/>
  <c r="F1907" i="2"/>
  <c r="H112" i="1" l="1"/>
  <c r="D111" i="1"/>
  <c r="C183" i="2"/>
  <c r="C182" i="2"/>
  <c r="G1924" i="2"/>
  <c r="F1921" i="2"/>
  <c r="G1920" i="2"/>
  <c r="F1896" i="2"/>
  <c r="F1909" i="2"/>
  <c r="F1892" i="2"/>
  <c r="G1908" i="2"/>
  <c r="G1925" i="2"/>
  <c r="F1905" i="2"/>
  <c r="G1904" i="2"/>
  <c r="G1892" i="2"/>
  <c r="F1908" i="2"/>
  <c r="F1904" i="2"/>
  <c r="F1916" i="2"/>
  <c r="G183" i="2"/>
  <c r="F1924" i="2"/>
  <c r="G1897" i="2"/>
  <c r="F1920" i="2"/>
  <c r="G1896" i="2"/>
  <c r="G1894" i="2"/>
  <c r="G1901" i="2"/>
  <c r="F1925" i="2"/>
  <c r="G1913" i="2"/>
  <c r="G1900" i="2"/>
  <c r="F183" i="2"/>
  <c r="G182" i="2"/>
  <c r="F1897" i="2"/>
  <c r="G1916" i="2"/>
  <c r="F1917" i="2"/>
  <c r="G1893" i="2"/>
  <c r="G1917" i="2"/>
  <c r="F1901" i="2"/>
  <c r="F1894" i="2"/>
  <c r="G1921" i="2"/>
  <c r="F1913" i="2"/>
  <c r="F1900" i="2"/>
  <c r="G1909" i="2"/>
  <c r="F182" i="2"/>
  <c r="G1905" i="2"/>
  <c r="F1893" i="2"/>
  <c r="H113" i="1" l="1"/>
  <c r="D112" i="1"/>
  <c r="C185" i="2"/>
  <c r="C184" i="2"/>
  <c r="G1922" i="2"/>
  <c r="F1934" i="2"/>
  <c r="G1914" i="2"/>
  <c r="F1939" i="2"/>
  <c r="F185" i="2"/>
  <c r="F1927" i="2"/>
  <c r="F184" i="2"/>
  <c r="F1915" i="2"/>
  <c r="G185" i="2"/>
  <c r="G1935" i="2"/>
  <c r="F1912" i="2"/>
  <c r="G1927" i="2"/>
  <c r="F1931" i="2"/>
  <c r="F1942" i="2"/>
  <c r="G1915" i="2"/>
  <c r="G1938" i="2"/>
  <c r="G1918" i="2"/>
  <c r="F1938" i="2"/>
  <c r="F1911" i="2"/>
  <c r="G1919" i="2"/>
  <c r="F1922" i="2"/>
  <c r="G184" i="2"/>
  <c r="F1914" i="2"/>
  <c r="G1939" i="2"/>
  <c r="F1935" i="2"/>
  <c r="G1931" i="2"/>
  <c r="G1911" i="2"/>
  <c r="F1923" i="2"/>
  <c r="F1918" i="2"/>
  <c r="G1943" i="2"/>
  <c r="F1910" i="2"/>
  <c r="G1942" i="2"/>
  <c r="G1910" i="2"/>
  <c r="G1923" i="2"/>
  <c r="F1919" i="2"/>
  <c r="F1943" i="2"/>
  <c r="F1926" i="2"/>
  <c r="G1926" i="2"/>
  <c r="G1934" i="2"/>
  <c r="G1912" i="2"/>
  <c r="H114" i="1" l="1"/>
  <c r="D113" i="1"/>
  <c r="C187" i="2"/>
  <c r="C186" i="2"/>
  <c r="G1945" i="2"/>
  <c r="G1940" i="2"/>
  <c r="F1961" i="2"/>
  <c r="F1957" i="2"/>
  <c r="F1952" i="2"/>
  <c r="F186" i="2"/>
  <c r="G1930" i="2"/>
  <c r="G1932" i="2"/>
  <c r="G1936" i="2"/>
  <c r="F1929" i="2"/>
  <c r="G1929" i="2"/>
  <c r="G1928" i="2"/>
  <c r="F1953" i="2"/>
  <c r="F187" i="2"/>
  <c r="F1928" i="2"/>
  <c r="G1960" i="2"/>
  <c r="G1937" i="2"/>
  <c r="G1956" i="2"/>
  <c r="F1941" i="2"/>
  <c r="G1941" i="2"/>
  <c r="G1961" i="2"/>
  <c r="F1949" i="2"/>
  <c r="F1930" i="2"/>
  <c r="F1956" i="2"/>
  <c r="G187" i="2"/>
  <c r="F1944" i="2"/>
  <c r="F1936" i="2"/>
  <c r="G1944" i="2"/>
  <c r="F1932" i="2"/>
  <c r="F1937" i="2"/>
  <c r="G1953" i="2"/>
  <c r="F1945" i="2"/>
  <c r="G1949" i="2"/>
  <c r="F1933" i="2"/>
  <c r="G1957" i="2"/>
  <c r="F1940" i="2"/>
  <c r="F1960" i="2"/>
  <c r="G1933" i="2"/>
  <c r="G186" i="2"/>
  <c r="G1952" i="2"/>
  <c r="H115" i="1" l="1"/>
  <c r="D114" i="1"/>
  <c r="C188" i="2"/>
  <c r="C189" i="2"/>
  <c r="F1962" i="2"/>
  <c r="G1962" i="2"/>
  <c r="G1954" i="2"/>
  <c r="G1955" i="2"/>
  <c r="F1959" i="2"/>
  <c r="G1950" i="2"/>
  <c r="G1951" i="2"/>
  <c r="G1967" i="2"/>
  <c r="F1958" i="2"/>
  <c r="G1947" i="2"/>
  <c r="G1970" i="2"/>
  <c r="G1958" i="2"/>
  <c r="F188" i="2"/>
  <c r="F1974" i="2"/>
  <c r="F1975" i="2"/>
  <c r="F189" i="2"/>
  <c r="G1978" i="2"/>
  <c r="F1970" i="2"/>
  <c r="G189" i="2"/>
  <c r="G1959" i="2"/>
  <c r="F1979" i="2"/>
  <c r="F1967" i="2"/>
  <c r="F1971" i="2"/>
  <c r="G1963" i="2"/>
  <c r="F1955" i="2"/>
  <c r="G188" i="2"/>
  <c r="G1974" i="2"/>
  <c r="F1951" i="2"/>
  <c r="F1948" i="2"/>
  <c r="F1954" i="2"/>
  <c r="F1946" i="2"/>
  <c r="F1950" i="2"/>
  <c r="G1979" i="2"/>
  <c r="G1975" i="2"/>
  <c r="G1946" i="2"/>
  <c r="G1971" i="2"/>
  <c r="F1947" i="2"/>
  <c r="F1963" i="2"/>
  <c r="G1948" i="2"/>
  <c r="F1978" i="2"/>
  <c r="H116" i="1" l="1"/>
  <c r="D115" i="1"/>
  <c r="C191" i="2"/>
  <c r="C190" i="2"/>
  <c r="F190" i="2"/>
  <c r="G1972" i="2"/>
  <c r="F1993" i="2"/>
  <c r="F1996" i="2"/>
  <c r="G1988" i="2"/>
  <c r="G1981" i="2"/>
  <c r="G1969" i="2"/>
  <c r="F1968" i="2"/>
  <c r="G1985" i="2"/>
  <c r="F1977" i="2"/>
  <c r="F1966" i="2"/>
  <c r="G1980" i="2"/>
  <c r="F1972" i="2"/>
  <c r="F191" i="2"/>
  <c r="G1977" i="2"/>
  <c r="F1988" i="2"/>
  <c r="G1997" i="2"/>
  <c r="G1992" i="2"/>
  <c r="G190" i="2"/>
  <c r="F1965" i="2"/>
  <c r="F1980" i="2"/>
  <c r="G191" i="2"/>
  <c r="F1985" i="2"/>
  <c r="G1976" i="2"/>
  <c r="G1964" i="2"/>
  <c r="G1966" i="2"/>
  <c r="F1992" i="2"/>
  <c r="F1981" i="2"/>
  <c r="G1973" i="2"/>
  <c r="F1997" i="2"/>
  <c r="G1989" i="2"/>
  <c r="G1965" i="2"/>
  <c r="F1976" i="2"/>
  <c r="F1964" i="2"/>
  <c r="F1969" i="2"/>
  <c r="F1989" i="2"/>
  <c r="G1993" i="2"/>
  <c r="G1996" i="2"/>
  <c r="F1973" i="2"/>
  <c r="G1968" i="2"/>
  <c r="H117" i="1" l="1"/>
  <c r="D116" i="1"/>
  <c r="C193" i="2"/>
  <c r="C192" i="2"/>
  <c r="G1994" i="2"/>
  <c r="F1986" i="2"/>
  <c r="G1999" i="2"/>
  <c r="G1990" i="2"/>
  <c r="F1991" i="2"/>
  <c r="F2006" i="2"/>
  <c r="G2003" i="2"/>
  <c r="F193" i="2"/>
  <c r="G1991" i="2"/>
  <c r="F2014" i="2"/>
  <c r="G1984" i="2"/>
  <c r="F1987" i="2"/>
  <c r="G2006" i="2"/>
  <c r="G2011" i="2"/>
  <c r="F2015" i="2"/>
  <c r="G2007" i="2"/>
  <c r="F2011" i="2"/>
  <c r="G2010" i="2"/>
  <c r="F2007" i="2"/>
  <c r="F1995" i="2"/>
  <c r="G1983" i="2"/>
  <c r="F1994" i="2"/>
  <c r="G192" i="2"/>
  <c r="F1999" i="2"/>
  <c r="F1990" i="2"/>
  <c r="F1984" i="2"/>
  <c r="F1983" i="2"/>
  <c r="F192" i="2"/>
  <c r="F2003" i="2"/>
  <c r="G193" i="2"/>
  <c r="G1982" i="2"/>
  <c r="F1982" i="2"/>
  <c r="G1998" i="2"/>
  <c r="G1995" i="2"/>
  <c r="G2014" i="2"/>
  <c r="G2015" i="2"/>
  <c r="G1986" i="2"/>
  <c r="F2010" i="2"/>
  <c r="G1987" i="2"/>
  <c r="F1998" i="2"/>
  <c r="H118" i="1" l="1"/>
  <c r="D117" i="1"/>
  <c r="C195" i="2"/>
  <c r="C194" i="2"/>
  <c r="F195" i="2"/>
  <c r="G2012" i="2"/>
  <c r="G2004" i="2"/>
  <c r="G2001" i="2"/>
  <c r="F2005" i="2"/>
  <c r="F2025" i="2"/>
  <c r="G2021" i="2"/>
  <c r="G2002" i="2"/>
  <c r="F2012" i="2"/>
  <c r="G2000" i="2"/>
  <c r="G2013" i="2"/>
  <c r="F2008" i="2"/>
  <c r="F2033" i="2"/>
  <c r="G2025" i="2"/>
  <c r="G2029" i="2"/>
  <c r="F2004" i="2"/>
  <c r="F2000" i="2"/>
  <c r="F2016" i="2"/>
  <c r="G2005" i="2"/>
  <c r="F2032" i="2"/>
  <c r="F2024" i="2"/>
  <c r="G194" i="2"/>
  <c r="F2002" i="2"/>
  <c r="G2028" i="2"/>
  <c r="F2001" i="2"/>
  <c r="G2008" i="2"/>
  <c r="G2033" i="2"/>
  <c r="F194" i="2"/>
  <c r="G2017" i="2"/>
  <c r="F2029" i="2"/>
  <c r="G2016" i="2"/>
  <c r="G2032" i="2"/>
  <c r="G2024" i="2"/>
  <c r="F2021" i="2"/>
  <c r="G2009" i="2"/>
  <c r="G195" i="2"/>
  <c r="F2009" i="2"/>
  <c r="F2013" i="2"/>
  <c r="F2028" i="2"/>
  <c r="F2017" i="2"/>
  <c r="H119" i="1" l="1"/>
  <c r="D118" i="1"/>
  <c r="C197" i="2"/>
  <c r="C196" i="2"/>
  <c r="G2050" i="2"/>
  <c r="F2022" i="2"/>
  <c r="G2051" i="2"/>
  <c r="G2046" i="2"/>
  <c r="F2018" i="2"/>
  <c r="F2042" i="2"/>
  <c r="F2023" i="2"/>
  <c r="G2043" i="2"/>
  <c r="F2039" i="2"/>
  <c r="G2031" i="2"/>
  <c r="G2047" i="2"/>
  <c r="F197" i="2"/>
  <c r="F196" i="2"/>
  <c r="G2018" i="2"/>
  <c r="F2034" i="2"/>
  <c r="G2019" i="2"/>
  <c r="F2050" i="2"/>
  <c r="G2020" i="2"/>
  <c r="F2051" i="2"/>
  <c r="F2046" i="2"/>
  <c r="G2034" i="2"/>
  <c r="F2026" i="2"/>
  <c r="G197" i="2"/>
  <c r="G2030" i="2"/>
  <c r="F2043" i="2"/>
  <c r="G196" i="2"/>
  <c r="F2031" i="2"/>
  <c r="F2047" i="2"/>
  <c r="F2030" i="2"/>
  <c r="G2039" i="2"/>
  <c r="G2042" i="2"/>
  <c r="G2035" i="2"/>
  <c r="F2019" i="2"/>
  <c r="G2026" i="2"/>
  <c r="F2020" i="2"/>
  <c r="G2027" i="2"/>
  <c r="F2035" i="2"/>
  <c r="F2027" i="2"/>
  <c r="G2023" i="2"/>
  <c r="G2022" i="2"/>
  <c r="H120" i="1" l="1"/>
  <c r="D119" i="1"/>
  <c r="C199" i="2"/>
  <c r="C198" i="2"/>
  <c r="F2049" i="2"/>
  <c r="G199" i="2"/>
  <c r="G2069" i="2"/>
  <c r="F2064" i="2"/>
  <c r="F2040" i="2"/>
  <c r="F2036" i="2"/>
  <c r="G2060" i="2"/>
  <c r="G2064" i="2"/>
  <c r="F2041" i="2"/>
  <c r="G2049" i="2"/>
  <c r="G2061" i="2"/>
  <c r="F2045" i="2"/>
  <c r="G198" i="2"/>
  <c r="G2053" i="2"/>
  <c r="F2057" i="2"/>
  <c r="F199" i="2"/>
  <c r="G2044" i="2"/>
  <c r="F2068" i="2"/>
  <c r="F2048" i="2"/>
  <c r="G2048" i="2"/>
  <c r="G2037" i="2"/>
  <c r="F2044" i="2"/>
  <c r="G2045" i="2"/>
  <c r="G2057" i="2"/>
  <c r="G2041" i="2"/>
  <c r="F2069" i="2"/>
  <c r="G2036" i="2"/>
  <c r="F2060" i="2"/>
  <c r="F2061" i="2"/>
  <c r="G2040" i="2"/>
  <c r="F2038" i="2"/>
  <c r="G2065" i="2"/>
  <c r="G2052" i="2"/>
  <c r="F2037" i="2"/>
  <c r="G2038" i="2"/>
  <c r="F2065" i="2"/>
  <c r="G2068" i="2"/>
  <c r="F2053" i="2"/>
  <c r="F2052" i="2"/>
  <c r="F198" i="2"/>
  <c r="H121" i="1" l="1"/>
  <c r="D120" i="1"/>
  <c r="C200" i="2"/>
  <c r="C201" i="2"/>
  <c r="G2054" i="2"/>
  <c r="F2071" i="2"/>
  <c r="G2058" i="2"/>
  <c r="G2070" i="2"/>
  <c r="F2066" i="2"/>
  <c r="F2055" i="2"/>
  <c r="F2087" i="2"/>
  <c r="F2078" i="2"/>
  <c r="G2059" i="2"/>
  <c r="G2056" i="2"/>
  <c r="G2055" i="2"/>
  <c r="G2083" i="2"/>
  <c r="F2067" i="2"/>
  <c r="F2079" i="2"/>
  <c r="F2062" i="2"/>
  <c r="G2066" i="2"/>
  <c r="G2079" i="2"/>
  <c r="F2054" i="2"/>
  <c r="G2087" i="2"/>
  <c r="F2058" i="2"/>
  <c r="F2070" i="2"/>
  <c r="G2062" i="2"/>
  <c r="G201" i="2"/>
  <c r="G2067" i="2"/>
  <c r="G2063" i="2"/>
  <c r="F2059" i="2"/>
  <c r="F2083" i="2"/>
  <c r="F2063" i="2"/>
  <c r="F2082" i="2"/>
  <c r="G2078" i="2"/>
  <c r="G200" i="2"/>
  <c r="G2082" i="2"/>
  <c r="F200" i="2"/>
  <c r="G2086" i="2"/>
  <c r="G2075" i="2"/>
  <c r="F201" i="2"/>
  <c r="G2071" i="2"/>
  <c r="F2056" i="2"/>
  <c r="F2086" i="2"/>
  <c r="F2075" i="2"/>
  <c r="H122" i="1" l="1"/>
  <c r="D121" i="1"/>
  <c r="C203" i="2"/>
  <c r="C202" i="2"/>
  <c r="G2073" i="2"/>
  <c r="G203" i="2"/>
  <c r="F2104" i="2"/>
  <c r="F2084" i="2"/>
  <c r="F2089" i="2"/>
  <c r="G2084" i="2"/>
  <c r="G202" i="2"/>
  <c r="F2101" i="2"/>
  <c r="F2096" i="2"/>
  <c r="F2100" i="2"/>
  <c r="G2100" i="2"/>
  <c r="F202" i="2"/>
  <c r="G2072" i="2"/>
  <c r="F2085" i="2"/>
  <c r="F2081" i="2"/>
  <c r="F2105" i="2"/>
  <c r="G2097" i="2"/>
  <c r="G2093" i="2"/>
  <c r="G2104" i="2"/>
  <c r="F2093" i="2"/>
  <c r="G2088" i="2"/>
  <c r="F2076" i="2"/>
  <c r="G2077" i="2"/>
  <c r="F2088" i="2"/>
  <c r="G2101" i="2"/>
  <c r="G2096" i="2"/>
  <c r="F2080" i="2"/>
  <c r="G2105" i="2"/>
  <c r="F2097" i="2"/>
  <c r="F2074" i="2"/>
  <c r="F2072" i="2"/>
  <c r="G2085" i="2"/>
  <c r="G2081" i="2"/>
  <c r="F2073" i="2"/>
  <c r="G2074" i="2"/>
  <c r="F2077" i="2"/>
  <c r="G2089" i="2"/>
  <c r="G2080" i="2"/>
  <c r="G2076" i="2"/>
  <c r="F203" i="2"/>
  <c r="H123" i="1" l="1"/>
  <c r="D122" i="1"/>
  <c r="C205" i="2"/>
  <c r="C204" i="2"/>
  <c r="F2102" i="2"/>
  <c r="G2102" i="2"/>
  <c r="G2114" i="2"/>
  <c r="G204" i="2"/>
  <c r="F2091" i="2"/>
  <c r="F2099" i="2"/>
  <c r="G2122" i="2"/>
  <c r="G2090" i="2"/>
  <c r="F205" i="2"/>
  <c r="F2111" i="2"/>
  <c r="G2095" i="2"/>
  <c r="F2090" i="2"/>
  <c r="F2122" i="2"/>
  <c r="G2098" i="2"/>
  <c r="G2091" i="2"/>
  <c r="G2092" i="2"/>
  <c r="F2119" i="2"/>
  <c r="G205" i="2"/>
  <c r="G2111" i="2"/>
  <c r="F2094" i="2"/>
  <c r="G2103" i="2"/>
  <c r="F2098" i="2"/>
  <c r="F2092" i="2"/>
  <c r="G2119" i="2"/>
  <c r="F2103" i="2"/>
  <c r="G2118" i="2"/>
  <c r="F204" i="2"/>
  <c r="F2106" i="2"/>
  <c r="F2107" i="2"/>
  <c r="F2118" i="2"/>
  <c r="G2107" i="2"/>
  <c r="F2114" i="2"/>
  <c r="F2095" i="2"/>
  <c r="G2094" i="2"/>
  <c r="G2123" i="2"/>
  <c r="F2115" i="2"/>
  <c r="F2123" i="2"/>
  <c r="G2115" i="2"/>
  <c r="G2106" i="2"/>
  <c r="G2099" i="2"/>
  <c r="H124" i="1" l="1"/>
  <c r="D123" i="1"/>
  <c r="C206" i="2"/>
  <c r="C207" i="2"/>
  <c r="G2110" i="2"/>
  <c r="F2132" i="2"/>
  <c r="G2129" i="2"/>
  <c r="G2133" i="2"/>
  <c r="F2140" i="2"/>
  <c r="F2136" i="2"/>
  <c r="G2108" i="2"/>
  <c r="G2125" i="2"/>
  <c r="G2120" i="2"/>
  <c r="G2121" i="2"/>
  <c r="G206" i="2"/>
  <c r="F2110" i="2"/>
  <c r="F2124" i="2"/>
  <c r="F2129" i="2"/>
  <c r="F2133" i="2"/>
  <c r="F2108" i="2"/>
  <c r="G2113" i="2"/>
  <c r="F2112" i="2"/>
  <c r="F207" i="2"/>
  <c r="G2117" i="2"/>
  <c r="F2121" i="2"/>
  <c r="G2112" i="2"/>
  <c r="F2125" i="2"/>
  <c r="G2116" i="2"/>
  <c r="F2137" i="2"/>
  <c r="F2120" i="2"/>
  <c r="G2137" i="2"/>
  <c r="G2141" i="2"/>
  <c r="F206" i="2"/>
  <c r="G207" i="2"/>
  <c r="G2124" i="2"/>
  <c r="F2117" i="2"/>
  <c r="F2141" i="2"/>
  <c r="F2116" i="2"/>
  <c r="G2109" i="2"/>
  <c r="G2140" i="2"/>
  <c r="G2132" i="2"/>
  <c r="G2136" i="2"/>
  <c r="F2109" i="2"/>
  <c r="F2113" i="2"/>
  <c r="H125" i="1" l="1"/>
  <c r="D124" i="1"/>
  <c r="C208" i="2"/>
  <c r="C209" i="2"/>
  <c r="F2126" i="2"/>
  <c r="G2126" i="2"/>
  <c r="G2139" i="2"/>
  <c r="G2155" i="2"/>
  <c r="F2150" i="2"/>
  <c r="F2135" i="2"/>
  <c r="G2128" i="2"/>
  <c r="G2150" i="2"/>
  <c r="G2127" i="2"/>
  <c r="F2142" i="2"/>
  <c r="F2159" i="2"/>
  <c r="F2128" i="2"/>
  <c r="G208" i="2"/>
  <c r="G2159" i="2"/>
  <c r="F2151" i="2"/>
  <c r="F2154" i="2"/>
  <c r="G2151" i="2"/>
  <c r="G2154" i="2"/>
  <c r="F2131" i="2"/>
  <c r="F208" i="2"/>
  <c r="F209" i="2"/>
  <c r="F2143" i="2"/>
  <c r="F2147" i="2"/>
  <c r="F2155" i="2"/>
  <c r="F2158" i="2"/>
  <c r="G2158" i="2"/>
  <c r="F2127" i="2"/>
  <c r="G2142" i="2"/>
  <c r="G2143" i="2"/>
  <c r="G2131" i="2"/>
  <c r="G209" i="2"/>
  <c r="G2138" i="2"/>
  <c r="G2130" i="2"/>
  <c r="F2134" i="2"/>
  <c r="F2130" i="2"/>
  <c r="G2134" i="2"/>
  <c r="G2147" i="2"/>
  <c r="G2135" i="2"/>
  <c r="F2139" i="2"/>
  <c r="F2138" i="2"/>
  <c r="H126" i="1" l="1"/>
  <c r="D125" i="1"/>
  <c r="C210" i="2"/>
  <c r="C211" i="2"/>
  <c r="G2176" i="2"/>
  <c r="F2157" i="2"/>
  <c r="G2172" i="2"/>
  <c r="G2152" i="2"/>
  <c r="F2146" i="2"/>
  <c r="F2160" i="2"/>
  <c r="G2168" i="2"/>
  <c r="F2144" i="2"/>
  <c r="G2145" i="2"/>
  <c r="G2173" i="2"/>
  <c r="F2176" i="2"/>
  <c r="G2165" i="2"/>
  <c r="F2172" i="2"/>
  <c r="F2152" i="2"/>
  <c r="F2168" i="2"/>
  <c r="F2153" i="2"/>
  <c r="F2149" i="2"/>
  <c r="F210" i="2"/>
  <c r="G2153" i="2"/>
  <c r="F2145" i="2"/>
  <c r="G211" i="2"/>
  <c r="F2161" i="2"/>
  <c r="F211" i="2"/>
  <c r="F2169" i="2"/>
  <c r="G2149" i="2"/>
  <c r="G2148" i="2"/>
  <c r="F2173" i="2"/>
  <c r="G2169" i="2"/>
  <c r="F2165" i="2"/>
  <c r="G2156" i="2"/>
  <c r="G210" i="2"/>
  <c r="F2148" i="2"/>
  <c r="G2144" i="2"/>
  <c r="G2177" i="2"/>
  <c r="G2146" i="2"/>
  <c r="G2161" i="2"/>
  <c r="G2157" i="2"/>
  <c r="G2160" i="2"/>
  <c r="F2177" i="2"/>
  <c r="F2156" i="2"/>
  <c r="H127" i="1" l="1"/>
  <c r="D126" i="1"/>
  <c r="C212" i="2"/>
  <c r="C213" i="2"/>
  <c r="G2186" i="2"/>
  <c r="F212" i="2"/>
  <c r="G2170" i="2"/>
  <c r="G2195" i="2"/>
  <c r="F2163" i="2"/>
  <c r="G2166" i="2"/>
  <c r="F213" i="2"/>
  <c r="G2164" i="2"/>
  <c r="G2167" i="2"/>
  <c r="F2178" i="2"/>
  <c r="G212" i="2"/>
  <c r="F2191" i="2"/>
  <c r="F2186" i="2"/>
  <c r="G2187" i="2"/>
  <c r="F2170" i="2"/>
  <c r="F2195" i="2"/>
  <c r="F2166" i="2"/>
  <c r="G2183" i="2"/>
  <c r="F2164" i="2"/>
  <c r="F2187" i="2"/>
  <c r="G2162" i="2"/>
  <c r="F2183" i="2"/>
  <c r="G2163" i="2"/>
  <c r="G2194" i="2"/>
  <c r="F2167" i="2"/>
  <c r="G2171" i="2"/>
  <c r="F2179" i="2"/>
  <c r="F2190" i="2"/>
  <c r="G2179" i="2"/>
  <c r="G2175" i="2"/>
  <c r="G2191" i="2"/>
  <c r="G2190" i="2"/>
  <c r="G2174" i="2"/>
  <c r="F2175" i="2"/>
  <c r="F2194" i="2"/>
  <c r="G213" i="2"/>
  <c r="F2162" i="2"/>
  <c r="F2174" i="2"/>
  <c r="G2178" i="2"/>
  <c r="F2171" i="2"/>
  <c r="H128" i="1" l="1"/>
  <c r="D127" i="1"/>
  <c r="C215" i="2"/>
  <c r="C214" i="2"/>
  <c r="F2182" i="2"/>
  <c r="G2182" i="2"/>
  <c r="G2193" i="2"/>
  <c r="G2184" i="2"/>
  <c r="F2209" i="2"/>
  <c r="G2192" i="2"/>
  <c r="G2212" i="2"/>
  <c r="G2209" i="2"/>
  <c r="F2180" i="2"/>
  <c r="F2189" i="2"/>
  <c r="F2212" i="2"/>
  <c r="G215" i="2"/>
  <c r="G2204" i="2"/>
  <c r="G2213" i="2"/>
  <c r="G214" i="2"/>
  <c r="F2181" i="2"/>
  <c r="F2208" i="2"/>
  <c r="G2208" i="2"/>
  <c r="G2201" i="2"/>
  <c r="F2184" i="2"/>
  <c r="F2213" i="2"/>
  <c r="F214" i="2"/>
  <c r="F2197" i="2"/>
  <c r="G2180" i="2"/>
  <c r="G2196" i="2"/>
  <c r="F2185" i="2"/>
  <c r="F215" i="2"/>
  <c r="G2181" i="2"/>
  <c r="G2197" i="2"/>
  <c r="F2205" i="2"/>
  <c r="G2188" i="2"/>
  <c r="F2196" i="2"/>
  <c r="G2185" i="2"/>
  <c r="G2205" i="2"/>
  <c r="F2201" i="2"/>
  <c r="G2189" i="2"/>
  <c r="F2188" i="2"/>
  <c r="F2192" i="2"/>
  <c r="F2193" i="2"/>
  <c r="F2204" i="2"/>
  <c r="H129" i="1" l="1"/>
  <c r="D128" i="1"/>
  <c r="C216" i="2"/>
  <c r="C217" i="2"/>
  <c r="F2199" i="2"/>
  <c r="G2199" i="2"/>
  <c r="G217" i="2"/>
  <c r="G2210" i="2"/>
  <c r="F2200" i="2"/>
  <c r="F2198" i="2"/>
  <c r="G2202" i="2"/>
  <c r="G2230" i="2"/>
  <c r="F216" i="2"/>
  <c r="F2202" i="2"/>
  <c r="G2219" i="2"/>
  <c r="G2200" i="2"/>
  <c r="F2227" i="2"/>
  <c r="F2203" i="2"/>
  <c r="F2210" i="2"/>
  <c r="G216" i="2"/>
  <c r="G2207" i="2"/>
  <c r="F2206" i="2"/>
  <c r="G2214" i="2"/>
  <c r="F2215" i="2"/>
  <c r="F2219" i="2"/>
  <c r="G2227" i="2"/>
  <c r="G2203" i="2"/>
  <c r="F2226" i="2"/>
  <c r="F2214" i="2"/>
  <c r="G2206" i="2"/>
  <c r="G2215" i="2"/>
  <c r="G2231" i="2"/>
  <c r="F2230" i="2"/>
  <c r="F2222" i="2"/>
  <c r="F2231" i="2"/>
  <c r="F2207" i="2"/>
  <c r="F2211" i="2"/>
  <c r="G2222" i="2"/>
  <c r="G2226" i="2"/>
  <c r="G2223" i="2"/>
  <c r="F217" i="2"/>
  <c r="F2223" i="2"/>
  <c r="G2211" i="2"/>
  <c r="G2198" i="2"/>
  <c r="H130" i="1" l="1"/>
  <c r="D129" i="1"/>
  <c r="C219" i="2"/>
  <c r="C218" i="2"/>
  <c r="G2245" i="2"/>
  <c r="F219" i="2"/>
  <c r="G2225" i="2"/>
  <c r="G2229" i="2"/>
  <c r="F2220" i="2"/>
  <c r="G2244" i="2"/>
  <c r="G2233" i="2"/>
  <c r="G2232" i="2"/>
  <c r="G2228" i="2"/>
  <c r="F2245" i="2"/>
  <c r="G2249" i="2"/>
  <c r="F2225" i="2"/>
  <c r="F2229" i="2"/>
  <c r="F2224" i="2"/>
  <c r="F2233" i="2"/>
  <c r="F2221" i="2"/>
  <c r="G2216" i="2"/>
  <c r="F2232" i="2"/>
  <c r="F2248" i="2"/>
  <c r="G2224" i="2"/>
  <c r="G2220" i="2"/>
  <c r="G2221" i="2"/>
  <c r="G2241" i="2"/>
  <c r="F2228" i="2"/>
  <c r="G218" i="2"/>
  <c r="F2249" i="2"/>
  <c r="G2237" i="2"/>
  <c r="F218" i="2"/>
  <c r="F2218" i="2"/>
  <c r="G2240" i="2"/>
  <c r="F2216" i="2"/>
  <c r="F2241" i="2"/>
  <c r="G219" i="2"/>
  <c r="F2244" i="2"/>
  <c r="G2218" i="2"/>
  <c r="F2240" i="2"/>
  <c r="G2217" i="2"/>
  <c r="F2237" i="2"/>
  <c r="G2248" i="2"/>
  <c r="F2217" i="2"/>
  <c r="H131" i="1" l="1"/>
  <c r="D130" i="1"/>
  <c r="C220" i="2"/>
  <c r="C221" i="2"/>
  <c r="F2238" i="2"/>
  <c r="F2267" i="2"/>
  <c r="G2236" i="2"/>
  <c r="F2235" i="2"/>
  <c r="F2242" i="2"/>
  <c r="F2266" i="2"/>
  <c r="G2266" i="2"/>
  <c r="G2258" i="2"/>
  <c r="F2243" i="2"/>
  <c r="F2263" i="2"/>
  <c r="F220" i="2"/>
  <c r="F2246" i="2"/>
  <c r="G2239" i="2"/>
  <c r="G2263" i="2"/>
  <c r="F2259" i="2"/>
  <c r="G2238" i="2"/>
  <c r="G2267" i="2"/>
  <c r="G2247" i="2"/>
  <c r="F2250" i="2"/>
  <c r="G2234" i="2"/>
  <c r="G2242" i="2"/>
  <c r="F2234" i="2"/>
  <c r="F2258" i="2"/>
  <c r="G2259" i="2"/>
  <c r="F2262" i="2"/>
  <c r="G220" i="2"/>
  <c r="F221" i="2"/>
  <c r="G2251" i="2"/>
  <c r="F2239" i="2"/>
  <c r="G2235" i="2"/>
  <c r="F2236" i="2"/>
  <c r="G2243" i="2"/>
  <c r="G2262" i="2"/>
  <c r="G2246" i="2"/>
  <c r="G2255" i="2"/>
  <c r="F2251" i="2"/>
  <c r="F2255" i="2"/>
  <c r="G2250" i="2"/>
  <c r="G221" i="2"/>
  <c r="F2247" i="2"/>
  <c r="H132" i="1" l="1"/>
  <c r="D131" i="1"/>
  <c r="C223" i="2"/>
  <c r="C222" i="2"/>
  <c r="F2285" i="2"/>
  <c r="G2285" i="2"/>
  <c r="G2260" i="2"/>
  <c r="G2276" i="2"/>
  <c r="F2254" i="2"/>
  <c r="F2261" i="2"/>
  <c r="F2265" i="2"/>
  <c r="F2281" i="2"/>
  <c r="F223" i="2"/>
  <c r="F2277" i="2"/>
  <c r="G2265" i="2"/>
  <c r="G2268" i="2"/>
  <c r="G2254" i="2"/>
  <c r="F2257" i="2"/>
  <c r="F2253" i="2"/>
  <c r="G223" i="2"/>
  <c r="F2264" i="2"/>
  <c r="F2269" i="2"/>
  <c r="G2273" i="2"/>
  <c r="G2284" i="2"/>
  <c r="F2276" i="2"/>
  <c r="G2277" i="2"/>
  <c r="G222" i="2"/>
  <c r="G2264" i="2"/>
  <c r="G2252" i="2"/>
  <c r="G2281" i="2"/>
  <c r="F2273" i="2"/>
  <c r="F2268" i="2"/>
  <c r="G2257" i="2"/>
  <c r="G2253" i="2"/>
  <c r="G2256" i="2"/>
  <c r="F2280" i="2"/>
  <c r="F2260" i="2"/>
  <c r="F2252" i="2"/>
  <c r="F222" i="2"/>
  <c r="G2269" i="2"/>
  <c r="F2284" i="2"/>
  <c r="G2280" i="2"/>
  <c r="F2256" i="2"/>
  <c r="G2261" i="2"/>
  <c r="H133" i="1" l="1"/>
  <c r="D132" i="1"/>
  <c r="C224" i="2"/>
  <c r="C225" i="2"/>
  <c r="F2275" i="2"/>
  <c r="F2286" i="2"/>
  <c r="G2283" i="2"/>
  <c r="G2303" i="2"/>
  <c r="F2298" i="2"/>
  <c r="G2291" i="2"/>
  <c r="G2298" i="2"/>
  <c r="G2294" i="2"/>
  <c r="F224" i="2"/>
  <c r="G2271" i="2"/>
  <c r="G2278" i="2"/>
  <c r="G2286" i="2"/>
  <c r="F2303" i="2"/>
  <c r="G2302" i="2"/>
  <c r="G224" i="2"/>
  <c r="G2295" i="2"/>
  <c r="F2279" i="2"/>
  <c r="F2295" i="2"/>
  <c r="G2279" i="2"/>
  <c r="F2299" i="2"/>
  <c r="G2270" i="2"/>
  <c r="F2294" i="2"/>
  <c r="G2299" i="2"/>
  <c r="F2270" i="2"/>
  <c r="F2302" i="2"/>
  <c r="G2272" i="2"/>
  <c r="F2283" i="2"/>
  <c r="F2291" i="2"/>
  <c r="G2274" i="2"/>
  <c r="F225" i="2"/>
  <c r="F2271" i="2"/>
  <c r="F2274" i="2"/>
  <c r="F2282" i="2"/>
  <c r="G2282" i="2"/>
  <c r="F2272" i="2"/>
  <c r="F2278" i="2"/>
  <c r="F2287" i="2"/>
  <c r="G2287" i="2"/>
  <c r="G225" i="2"/>
  <c r="G2275" i="2"/>
  <c r="H134" i="1" l="1"/>
  <c r="D133" i="1"/>
  <c r="C226" i="2"/>
  <c r="C227" i="2"/>
  <c r="F2317" i="2"/>
  <c r="G2317" i="2"/>
  <c r="G2312" i="2"/>
  <c r="G2304" i="2"/>
  <c r="F2293" i="2"/>
  <c r="F227" i="2"/>
  <c r="F2292" i="2"/>
  <c r="G2292" i="2"/>
  <c r="F2320" i="2"/>
  <c r="G2309" i="2"/>
  <c r="F2321" i="2"/>
  <c r="F2297" i="2"/>
  <c r="F2296" i="2"/>
  <c r="G2297" i="2"/>
  <c r="G2288" i="2"/>
  <c r="G2300" i="2"/>
  <c r="F2309" i="2"/>
  <c r="F2290" i="2"/>
  <c r="G2293" i="2"/>
  <c r="F2316" i="2"/>
  <c r="F2289" i="2"/>
  <c r="G2296" i="2"/>
  <c r="G226" i="2"/>
  <c r="G2321" i="2"/>
  <c r="F2304" i="2"/>
  <c r="G2305" i="2"/>
  <c r="G2320" i="2"/>
  <c r="F2288" i="2"/>
  <c r="F2305" i="2"/>
  <c r="G2316" i="2"/>
  <c r="G2289" i="2"/>
  <c r="F2312" i="2"/>
  <c r="F226" i="2"/>
  <c r="G2290" i="2"/>
  <c r="G227" i="2"/>
  <c r="F2313" i="2"/>
  <c r="G2313" i="2"/>
  <c r="F2301" i="2"/>
  <c r="F2300" i="2"/>
  <c r="G2301" i="2"/>
  <c r="H135" i="1" l="1"/>
  <c r="D134" i="1"/>
  <c r="C229" i="2"/>
  <c r="C228" i="2"/>
  <c r="F2334" i="2"/>
  <c r="G2334" i="2"/>
  <c r="G2322" i="2"/>
  <c r="G2319" i="2"/>
  <c r="F2338" i="2"/>
  <c r="F2311" i="2"/>
  <c r="G2311" i="2"/>
  <c r="G2308" i="2"/>
  <c r="F2308" i="2"/>
  <c r="G2327" i="2"/>
  <c r="G2338" i="2"/>
  <c r="G228" i="2"/>
  <c r="G2306" i="2"/>
  <c r="F2331" i="2"/>
  <c r="F229" i="2"/>
  <c r="G229" i="2"/>
  <c r="F2327" i="2"/>
  <c r="G2323" i="2"/>
  <c r="F2306" i="2"/>
  <c r="F2314" i="2"/>
  <c r="F2335" i="2"/>
  <c r="F2318" i="2"/>
  <c r="G2331" i="2"/>
  <c r="G2310" i="2"/>
  <c r="F2322" i="2"/>
  <c r="F2319" i="2"/>
  <c r="G2314" i="2"/>
  <c r="G2335" i="2"/>
  <c r="F2339" i="2"/>
  <c r="G2307" i="2"/>
  <c r="G2330" i="2"/>
  <c r="F2307" i="2"/>
  <c r="F2323" i="2"/>
  <c r="G2339" i="2"/>
  <c r="G2318" i="2"/>
  <c r="F228" i="2"/>
  <c r="F2315" i="2"/>
  <c r="G2315" i="2"/>
  <c r="F2330" i="2"/>
  <c r="F2310" i="2"/>
  <c r="H136" i="1" l="1"/>
  <c r="D135" i="1"/>
  <c r="C230" i="2"/>
  <c r="C231" i="2"/>
  <c r="G2357" i="2"/>
  <c r="F2340" i="2"/>
  <c r="G2353" i="2"/>
  <c r="G2348" i="2"/>
  <c r="F2345" i="2"/>
  <c r="F2356" i="2"/>
  <c r="F2337" i="2"/>
  <c r="F2349" i="2"/>
  <c r="G2352" i="2"/>
  <c r="G230" i="2"/>
  <c r="F231" i="2"/>
  <c r="G2356" i="2"/>
  <c r="G2325" i="2"/>
  <c r="F2352" i="2"/>
  <c r="F2328" i="2"/>
  <c r="G2341" i="2"/>
  <c r="G2328" i="2"/>
  <c r="G2337" i="2"/>
  <c r="F2357" i="2"/>
  <c r="G2333" i="2"/>
  <c r="F2353" i="2"/>
  <c r="F2348" i="2"/>
  <c r="G2349" i="2"/>
  <c r="G2332" i="2"/>
  <c r="G2326" i="2"/>
  <c r="F2332" i="2"/>
  <c r="F2326" i="2"/>
  <c r="F230" i="2"/>
  <c r="F2325" i="2"/>
  <c r="G2329" i="2"/>
  <c r="G2345" i="2"/>
  <c r="G2336" i="2"/>
  <c r="F2333" i="2"/>
  <c r="F2336" i="2"/>
  <c r="F2341" i="2"/>
  <c r="G2324" i="2"/>
  <c r="G2340" i="2"/>
  <c r="G231" i="2"/>
  <c r="F2324" i="2"/>
  <c r="F2329" i="2"/>
  <c r="H137" i="1" l="1"/>
  <c r="D136" i="1"/>
  <c r="C232" i="2"/>
  <c r="C233" i="2"/>
  <c r="F2374" i="2"/>
  <c r="G2344" i="2"/>
  <c r="G2355" i="2"/>
  <c r="G233" i="2"/>
  <c r="F2375" i="2"/>
  <c r="F2344" i="2"/>
  <c r="G2358" i="2"/>
  <c r="F2354" i="2"/>
  <c r="G2354" i="2"/>
  <c r="G232" i="2"/>
  <c r="G2343" i="2"/>
  <c r="F2371" i="2"/>
  <c r="F2359" i="2"/>
  <c r="F2347" i="2"/>
  <c r="G2342" i="2"/>
  <c r="G2375" i="2"/>
  <c r="F2366" i="2"/>
  <c r="F2358" i="2"/>
  <c r="G2366" i="2"/>
  <c r="F2363" i="2"/>
  <c r="G2363" i="2"/>
  <c r="F2350" i="2"/>
  <c r="G2350" i="2"/>
  <c r="F2342" i="2"/>
  <c r="G2359" i="2"/>
  <c r="F232" i="2"/>
  <c r="G2351" i="2"/>
  <c r="G2367" i="2"/>
  <c r="F2343" i="2"/>
  <c r="F233" i="2"/>
  <c r="F2351" i="2"/>
  <c r="G2370" i="2"/>
  <c r="F2346" i="2"/>
  <c r="F2370" i="2"/>
  <c r="G2371" i="2"/>
  <c r="F2367" i="2"/>
  <c r="G2374" i="2"/>
  <c r="G2346" i="2"/>
  <c r="G2347" i="2"/>
  <c r="F2355" i="2"/>
  <c r="H138" i="1" l="1"/>
  <c r="D137" i="1"/>
  <c r="C235" i="2"/>
  <c r="C234" i="2"/>
  <c r="F2373" i="2"/>
  <c r="G2365" i="2"/>
  <c r="F235" i="2"/>
  <c r="G2360" i="2"/>
  <c r="G2372" i="2"/>
  <c r="F2372" i="2"/>
  <c r="G2376" i="2"/>
  <c r="G2377" i="2"/>
  <c r="G2368" i="2"/>
  <c r="G2361" i="2"/>
  <c r="F2361" i="2"/>
  <c r="G235" i="2"/>
  <c r="F2360" i="2"/>
  <c r="F2368" i="2"/>
  <c r="F2364" i="2"/>
  <c r="G2364" i="2"/>
  <c r="G2362" i="2"/>
  <c r="G2369" i="2"/>
  <c r="F2362" i="2"/>
  <c r="F2369" i="2"/>
  <c r="F234" i="2"/>
  <c r="G234" i="2"/>
  <c r="F2365" i="2"/>
  <c r="F2376" i="2"/>
  <c r="G2373" i="2"/>
  <c r="F2377" i="2"/>
  <c r="D4730" i="2"/>
  <c r="E4730" i="2"/>
  <c r="H139" i="1" l="1"/>
  <c r="D138" i="1"/>
  <c r="G514" i="2"/>
  <c r="G519" i="2"/>
  <c r="G498" i="2"/>
  <c r="G534" i="2"/>
  <c r="G516" i="2"/>
  <c r="G555" i="2"/>
  <c r="G528" i="2"/>
  <c r="G523" i="2"/>
  <c r="G526" i="2"/>
  <c r="G554" i="2"/>
  <c r="G496" i="2"/>
  <c r="G559" i="2"/>
  <c r="G502" i="2"/>
  <c r="G546" i="2"/>
  <c r="G504" i="2"/>
  <c r="G548" i="2"/>
  <c r="G529" i="2"/>
  <c r="G543" i="2"/>
  <c r="G560" i="2"/>
  <c r="G544" i="2"/>
  <c r="G547" i="2"/>
  <c r="G518" i="2"/>
  <c r="G541" i="2"/>
  <c r="G499" i="2"/>
  <c r="G500" i="2"/>
  <c r="G550" i="2"/>
  <c r="G552" i="2"/>
  <c r="G511" i="2"/>
  <c r="G520" i="2"/>
  <c r="G493" i="2"/>
  <c r="G522" i="2"/>
  <c r="G537" i="2"/>
  <c r="G517" i="2"/>
  <c r="G506" i="2"/>
  <c r="G556" i="2"/>
  <c r="G525" i="2"/>
  <c r="G494" i="2"/>
  <c r="G505" i="2"/>
  <c r="G558" i="2"/>
  <c r="G501" i="2"/>
  <c r="G530" i="2"/>
  <c r="G492" i="2"/>
  <c r="G549" i="2"/>
  <c r="G532" i="2"/>
  <c r="G536" i="2"/>
  <c r="G540" i="2"/>
  <c r="G510" i="2"/>
  <c r="G553" i="2"/>
  <c r="G513" i="2"/>
  <c r="G508" i="2"/>
  <c r="G495" i="2"/>
  <c r="G561" i="2"/>
  <c r="G538" i="2"/>
  <c r="G507" i="2"/>
  <c r="G535" i="2"/>
  <c r="G531" i="2"/>
  <c r="G542" i="2"/>
  <c r="G524" i="2"/>
  <c r="G512" i="2"/>
  <c r="E4950" i="2"/>
  <c r="D4845" i="2"/>
  <c r="D4855" i="2"/>
  <c r="D5235" i="2"/>
  <c r="E4937" i="2"/>
  <c r="D4825" i="2"/>
  <c r="D4779" i="2"/>
  <c r="D4810" i="2"/>
  <c r="E4799" i="2"/>
  <c r="E4746" i="2"/>
  <c r="E4947" i="2"/>
  <c r="E4907" i="2"/>
  <c r="D4725" i="2"/>
  <c r="E4763" i="2"/>
  <c r="D4824" i="2"/>
  <c r="E4870" i="2"/>
  <c r="D4754" i="2"/>
  <c r="D4903" i="2"/>
  <c r="E4910" i="2"/>
  <c r="E4867" i="2"/>
  <c r="D4938" i="2"/>
  <c r="E4804" i="2"/>
  <c r="D4752" i="2"/>
  <c r="D4805" i="2"/>
  <c r="E4885" i="2"/>
  <c r="D4812" i="2"/>
  <c r="D4883" i="2"/>
  <c r="E4751" i="2"/>
  <c r="E4868" i="2"/>
  <c r="E4820" i="2"/>
  <c r="D4876" i="2"/>
  <c r="E5147" i="2"/>
  <c r="D4927" i="2"/>
  <c r="D4772" i="2"/>
  <c r="E4844" i="2"/>
  <c r="D4791" i="2"/>
  <c r="D4920" i="2"/>
  <c r="D4798" i="2"/>
  <c r="D4882" i="2"/>
  <c r="D5028" i="2"/>
  <c r="D4769" i="2"/>
  <c r="E4719" i="2"/>
  <c r="E4862" i="2"/>
  <c r="D4915" i="2"/>
  <c r="D4868" i="2"/>
  <c r="E4756" i="2"/>
  <c r="D4895" i="2"/>
  <c r="E4769" i="2"/>
  <c r="E4873" i="2"/>
  <c r="E4754" i="2"/>
  <c r="E4845" i="2"/>
  <c r="E4899" i="2"/>
  <c r="D5468" i="2"/>
  <c r="E4792" i="2"/>
  <c r="D4780" i="2"/>
  <c r="E4733" i="2"/>
  <c r="D4929" i="2"/>
  <c r="D4948" i="2"/>
  <c r="E4854" i="2"/>
  <c r="E4984" i="2"/>
  <c r="E4836" i="2"/>
  <c r="E4782" i="2"/>
  <c r="D4795" i="2"/>
  <c r="E4795" i="2"/>
  <c r="D4890" i="2"/>
  <c r="D4832" i="2"/>
  <c r="E4837" i="2"/>
  <c r="D4823" i="2"/>
  <c r="D4737" i="2"/>
  <c r="E4833" i="2"/>
  <c r="D4746" i="2"/>
  <c r="E4945" i="2"/>
  <c r="D4854" i="2"/>
  <c r="E4898" i="2"/>
  <c r="E4882" i="2"/>
  <c r="D4949" i="2"/>
  <c r="D4778" i="2"/>
  <c r="D4941" i="2"/>
  <c r="D4797" i="2"/>
  <c r="E4936" i="2"/>
  <c r="E4777" i="2"/>
  <c r="E4806" i="2"/>
  <c r="D4750" i="2"/>
  <c r="E4884" i="2"/>
  <c r="E4843" i="2"/>
  <c r="E4855" i="2"/>
  <c r="D4945" i="2"/>
  <c r="E4772" i="2"/>
  <c r="D4850" i="2"/>
  <c r="E4886" i="2"/>
  <c r="E4776" i="2"/>
  <c r="D4741" i="2"/>
  <c r="E4923" i="2"/>
  <c r="D4816" i="2"/>
  <c r="E4760" i="2"/>
  <c r="D4885" i="2"/>
  <c r="E4863" i="2"/>
  <c r="D4911" i="2"/>
  <c r="E4942" i="2"/>
  <c r="E4720" i="2"/>
  <c r="D4869" i="2"/>
  <c r="E4808" i="2"/>
  <c r="D4785" i="2"/>
  <c r="D4871" i="2"/>
  <c r="D4733" i="2"/>
  <c r="E4912" i="2"/>
  <c r="D4834" i="2"/>
  <c r="D4782" i="2"/>
  <c r="E4938" i="2"/>
  <c r="D4767" i="2"/>
  <c r="E5015" i="2"/>
  <c r="E4753" i="2"/>
  <c r="D5015" i="2"/>
  <c r="E4919" i="2"/>
  <c r="D4751" i="2"/>
  <c r="E4946" i="2"/>
  <c r="D4817" i="2"/>
  <c r="D5116" i="2"/>
  <c r="E4732" i="2"/>
  <c r="D4946" i="2"/>
  <c r="D4870" i="2"/>
  <c r="E4759" i="2"/>
  <c r="E4903" i="2"/>
  <c r="D5424" i="2"/>
  <c r="E4932" i="2"/>
  <c r="D4934" i="2"/>
  <c r="E4811" i="2"/>
  <c r="D4902" i="2"/>
  <c r="E4971" i="2"/>
  <c r="E4914" i="2"/>
  <c r="D5147" i="2"/>
  <c r="E4920" i="2"/>
  <c r="D4847" i="2"/>
  <c r="E4766" i="2"/>
  <c r="D4849" i="2"/>
  <c r="D4799" i="2"/>
  <c r="E4750" i="2"/>
  <c r="E4872" i="2"/>
  <c r="E4797" i="2"/>
  <c r="D4842" i="2"/>
  <c r="D4789" i="2"/>
  <c r="E4831" i="2"/>
  <c r="E4818" i="2"/>
  <c r="D4753" i="2"/>
  <c r="D4820" i="2"/>
  <c r="D4909" i="2"/>
  <c r="E4901" i="2"/>
  <c r="E4838" i="2"/>
  <c r="E4738" i="2"/>
  <c r="D5204" i="2"/>
  <c r="D4896" i="2"/>
  <c r="D4923" i="2"/>
  <c r="E4849" i="2"/>
  <c r="E4927" i="2"/>
  <c r="D4889" i="2"/>
  <c r="D4899" i="2"/>
  <c r="D4863" i="2"/>
  <c r="E4790" i="2"/>
  <c r="E4803" i="2"/>
  <c r="D4837" i="2"/>
  <c r="E4810" i="2"/>
  <c r="D4881" i="2"/>
  <c r="D4729" i="2"/>
  <c r="D4856" i="2"/>
  <c r="D4907" i="2"/>
  <c r="D4807" i="2"/>
  <c r="E5160" i="2"/>
  <c r="E4889" i="2"/>
  <c r="D4760" i="2"/>
  <c r="E4755" i="2"/>
  <c r="E4850" i="2"/>
  <c r="E4929" i="2"/>
  <c r="D4894" i="2"/>
  <c r="D4773" i="2"/>
  <c r="D4719" i="2"/>
  <c r="E4934" i="2"/>
  <c r="D4914" i="2"/>
  <c r="E4734" i="2"/>
  <c r="D4727" i="2"/>
  <c r="E4768" i="2"/>
  <c r="D4851" i="2"/>
  <c r="D4811" i="2"/>
  <c r="D4875" i="2"/>
  <c r="E4780" i="2"/>
  <c r="E4890" i="2"/>
  <c r="D4738" i="2"/>
  <c r="E4894" i="2"/>
  <c r="D4776" i="2"/>
  <c r="E5116" i="2"/>
  <c r="D4758" i="2"/>
  <c r="D4884" i="2"/>
  <c r="D4828" i="2"/>
  <c r="E4739" i="2"/>
  <c r="E4824" i="2"/>
  <c r="E5191" i="2"/>
  <c r="E4860" i="2"/>
  <c r="E4767" i="2"/>
  <c r="D4886" i="2"/>
  <c r="E5235" i="2"/>
  <c r="D4858" i="2"/>
  <c r="E4778" i="2"/>
  <c r="E4829" i="2"/>
  <c r="E4793" i="2"/>
  <c r="D4919" i="2"/>
  <c r="E4877" i="2"/>
  <c r="D4742" i="2"/>
  <c r="D4937" i="2"/>
  <c r="E5424" i="2"/>
  <c r="E4742" i="2"/>
  <c r="E4948" i="2"/>
  <c r="D5380" i="2"/>
  <c r="D4936" i="2"/>
  <c r="D4768" i="2"/>
  <c r="E4911" i="2"/>
  <c r="E4875" i="2"/>
  <c r="D4841" i="2"/>
  <c r="D4932" i="2"/>
  <c r="E4851" i="2"/>
  <c r="E4741" i="2"/>
  <c r="E4842" i="2"/>
  <c r="D4910" i="2"/>
  <c r="E5072" i="2"/>
  <c r="E4740" i="2"/>
  <c r="D4880" i="2"/>
  <c r="D5160" i="2"/>
  <c r="E4832" i="2"/>
  <c r="E4812" i="2"/>
  <c r="D4951" i="2"/>
  <c r="E4752" i="2"/>
  <c r="E4909" i="2"/>
  <c r="E4791" i="2"/>
  <c r="D4781" i="2"/>
  <c r="E4789" i="2"/>
  <c r="D4838" i="2"/>
  <c r="D4794" i="2"/>
  <c r="D4784" i="2"/>
  <c r="E4864" i="2"/>
  <c r="E4908" i="2"/>
  <c r="D4928" i="2"/>
  <c r="D4721" i="2"/>
  <c r="D4808" i="2"/>
  <c r="E4902" i="2"/>
  <c r="D4786" i="2"/>
  <c r="D4872" i="2"/>
  <c r="D4765" i="2"/>
  <c r="D4836" i="2"/>
  <c r="E4924" i="2"/>
  <c r="E4869" i="2"/>
  <c r="E4737" i="2"/>
  <c r="D4940" i="2"/>
  <c r="E4807" i="2"/>
  <c r="E4747" i="2"/>
  <c r="D4942" i="2"/>
  <c r="E4922" i="2"/>
  <c r="D4830" i="2"/>
  <c r="D4756" i="2"/>
  <c r="E5380" i="2"/>
  <c r="D4819" i="2"/>
  <c r="D4971" i="2"/>
  <c r="D4790" i="2"/>
  <c r="D5103" i="2"/>
  <c r="D4867" i="2"/>
  <c r="E4876" i="2"/>
  <c r="D4763" i="2"/>
  <c r="D4877" i="2"/>
  <c r="E4888" i="2"/>
  <c r="E4933" i="2"/>
  <c r="E4915" i="2"/>
  <c r="E4815" i="2"/>
  <c r="E4724" i="2"/>
  <c r="D4815" i="2"/>
  <c r="E4883" i="2"/>
  <c r="D4743" i="2"/>
  <c r="D4804" i="2"/>
  <c r="E4728" i="2"/>
  <c r="D4803" i="2"/>
  <c r="D4732" i="2"/>
  <c r="E4841" i="2"/>
  <c r="D4898" i="2"/>
  <c r="D4844" i="2"/>
  <c r="E4906" i="2"/>
  <c r="D4739" i="2"/>
  <c r="D5191" i="2"/>
  <c r="E4805" i="2"/>
  <c r="E4721" i="2"/>
  <c r="D4857" i="2"/>
  <c r="D4921" i="2"/>
  <c r="D4950" i="2"/>
  <c r="D4906" i="2"/>
  <c r="E4941" i="2"/>
  <c r="E4758" i="2"/>
  <c r="E5468" i="2"/>
  <c r="D4893" i="2"/>
  <c r="E4784" i="2"/>
  <c r="D4755" i="2"/>
  <c r="D4792" i="2"/>
  <c r="D4766" i="2"/>
  <c r="D4860" i="2"/>
  <c r="E4834" i="2"/>
  <c r="E4825" i="2"/>
  <c r="D4843" i="2"/>
  <c r="D4924" i="2"/>
  <c r="E4727" i="2"/>
  <c r="E4816" i="2"/>
  <c r="E4725" i="2"/>
  <c r="E4949" i="2"/>
  <c r="E4857" i="2"/>
  <c r="E4896" i="2"/>
  <c r="E4880" i="2"/>
  <c r="D4947" i="2"/>
  <c r="D4833" i="2"/>
  <c r="E4858" i="2"/>
  <c r="D4864" i="2"/>
  <c r="E4830" i="2"/>
  <c r="E4798" i="2"/>
  <c r="E4846" i="2"/>
  <c r="E4817" i="2"/>
  <c r="E4828" i="2"/>
  <c r="E4743" i="2"/>
  <c r="E4786" i="2"/>
  <c r="E5103" i="2"/>
  <c r="D4806" i="2"/>
  <c r="D4925" i="2"/>
  <c r="E4951" i="2"/>
  <c r="E4773" i="2"/>
  <c r="D4912" i="2"/>
  <c r="E4895" i="2"/>
  <c r="E4781" i="2"/>
  <c r="D4922" i="2"/>
  <c r="E4765" i="2"/>
  <c r="E4819" i="2"/>
  <c r="D4740" i="2"/>
  <c r="D4846" i="2"/>
  <c r="D4873" i="2"/>
  <c r="D4862" i="2"/>
  <c r="E4847" i="2"/>
  <c r="E4871" i="2"/>
  <c r="E4785" i="2"/>
  <c r="D4759" i="2"/>
  <c r="D4734" i="2"/>
  <c r="D4728" i="2"/>
  <c r="D4831" i="2"/>
  <c r="D5072" i="2"/>
  <c r="E4794" i="2"/>
  <c r="D4777" i="2"/>
  <c r="E4881" i="2"/>
  <c r="E4779" i="2"/>
  <c r="E4729" i="2"/>
  <c r="E5028" i="2"/>
  <c r="E4921" i="2"/>
  <c r="D4901" i="2"/>
  <c r="D4984" i="2"/>
  <c r="E4928" i="2"/>
  <c r="E5204" i="2"/>
  <c r="E4893" i="2"/>
  <c r="E4856" i="2"/>
  <c r="D4720" i="2"/>
  <c r="D4829" i="2"/>
  <c r="E4940" i="2"/>
  <c r="E4823" i="2"/>
  <c r="D4818" i="2"/>
  <c r="D4908" i="2"/>
  <c r="D4793" i="2"/>
  <c r="D4724" i="2"/>
  <c r="E4771" i="2"/>
  <c r="D4771" i="2"/>
  <c r="D4747" i="2"/>
  <c r="D4933" i="2"/>
  <c r="D4888" i="2"/>
  <c r="E4925" i="2"/>
  <c r="H140" i="1" l="1"/>
  <c r="D139" i="1"/>
  <c r="G527" i="2"/>
  <c r="G551" i="2"/>
  <c r="G497" i="2"/>
  <c r="H141" i="1" l="1"/>
  <c r="D140" i="1"/>
  <c r="G521" i="2"/>
  <c r="G515" i="2"/>
  <c r="G545" i="2"/>
  <c r="H142" i="1" l="1"/>
  <c r="D141" i="1"/>
  <c r="G509" i="2"/>
  <c r="G539" i="2"/>
  <c r="H143" i="1" l="1"/>
  <c r="D142" i="1"/>
  <c r="G557" i="2"/>
  <c r="H144" i="1" l="1"/>
  <c r="D143" i="1"/>
  <c r="G503" i="2"/>
  <c r="H145" i="1" l="1"/>
  <c r="D144" i="1"/>
  <c r="G491" i="2"/>
  <c r="H146" i="1" l="1"/>
  <c r="D145" i="1"/>
  <c r="G533" i="2"/>
  <c r="H147" i="1" l="1"/>
  <c r="D146" i="1"/>
  <c r="H148" i="1" l="1"/>
  <c r="D147" i="1"/>
  <c r="S407" i="1"/>
  <c r="R407" i="1" s="1"/>
  <c r="H149" i="1" l="1"/>
  <c r="D148" i="1"/>
  <c r="S101" i="1"/>
  <c r="R101" i="1" s="1"/>
  <c r="H150" i="1" l="1"/>
  <c r="D149" i="1"/>
  <c r="H151" i="1" l="1"/>
  <c r="D150" i="1"/>
  <c r="S415" i="1"/>
  <c r="R415" i="1" s="1"/>
  <c r="S444" i="1"/>
  <c r="R444" i="1" s="1"/>
  <c r="S419" i="1"/>
  <c r="R419" i="1" s="1"/>
  <c r="S435" i="1"/>
  <c r="R435" i="1" s="1"/>
  <c r="S416" i="1"/>
  <c r="R416" i="1" s="1"/>
  <c r="S432" i="1"/>
  <c r="R432" i="1" s="1"/>
  <c r="S409" i="1"/>
  <c r="R409" i="1" s="1"/>
  <c r="S425" i="1"/>
  <c r="R425" i="1" s="1"/>
  <c r="S441" i="1"/>
  <c r="R441" i="1" s="1"/>
  <c r="S418" i="1"/>
  <c r="R418" i="1" s="1"/>
  <c r="S434" i="1"/>
  <c r="R434" i="1" s="1"/>
  <c r="S439" i="1"/>
  <c r="R439" i="1" s="1"/>
  <c r="S420" i="1"/>
  <c r="R420" i="1" s="1"/>
  <c r="S436" i="1"/>
  <c r="R436" i="1" s="1"/>
  <c r="S413" i="1"/>
  <c r="R413" i="1" s="1"/>
  <c r="S429" i="1"/>
  <c r="R429" i="1" s="1"/>
  <c r="S445" i="1"/>
  <c r="R445" i="1" s="1"/>
  <c r="S422" i="1"/>
  <c r="R422" i="1" s="1"/>
  <c r="S438" i="1"/>
  <c r="R438" i="1" s="1"/>
  <c r="S423" i="1"/>
  <c r="R423" i="1" s="1"/>
  <c r="S411" i="1"/>
  <c r="R411" i="1" s="1"/>
  <c r="S427" i="1"/>
  <c r="R427" i="1" s="1"/>
  <c r="S443" i="1"/>
  <c r="R443" i="1" s="1"/>
  <c r="S424" i="1"/>
  <c r="R424" i="1" s="1"/>
  <c r="S440" i="1"/>
  <c r="R440" i="1" s="1"/>
  <c r="S417" i="1"/>
  <c r="R417" i="1" s="1"/>
  <c r="S433" i="1"/>
  <c r="R433" i="1" s="1"/>
  <c r="S410" i="1"/>
  <c r="R410" i="1" s="1"/>
  <c r="S426" i="1"/>
  <c r="R426" i="1" s="1"/>
  <c r="S442" i="1"/>
  <c r="R442" i="1" s="1"/>
  <c r="S431" i="1"/>
  <c r="R431" i="1" s="1"/>
  <c r="S412" i="1"/>
  <c r="R412" i="1" s="1"/>
  <c r="S428" i="1"/>
  <c r="R428" i="1" s="1"/>
  <c r="S421" i="1"/>
  <c r="R421" i="1" s="1"/>
  <c r="S437" i="1"/>
  <c r="R437" i="1" s="1"/>
  <c r="S414" i="1"/>
  <c r="R414" i="1" s="1"/>
  <c r="S430" i="1"/>
  <c r="R430" i="1" s="1"/>
  <c r="S408" i="1"/>
  <c r="R408" i="1" s="1"/>
  <c r="H152" i="1" l="1"/>
  <c r="D151" i="1"/>
  <c r="G5161" i="2"/>
  <c r="G5109" i="2"/>
  <c r="G5080" i="2"/>
  <c r="G5014" i="2"/>
  <c r="G5190" i="2"/>
  <c r="G5147" i="2"/>
  <c r="G5125" i="2"/>
  <c r="G5073" i="2"/>
  <c r="G5018" i="2"/>
  <c r="G4986" i="2"/>
  <c r="G5152" i="2"/>
  <c r="G5104" i="2"/>
  <c r="G5083" i="2"/>
  <c r="G5017" i="2"/>
  <c r="G4982" i="2"/>
  <c r="G5148" i="2"/>
  <c r="G5126" i="2"/>
  <c r="G5071" i="2"/>
  <c r="G5206" i="2"/>
  <c r="G5211" i="2"/>
  <c r="G5024" i="2"/>
  <c r="G5121" i="2"/>
  <c r="G5159" i="2"/>
  <c r="G5105" i="2"/>
  <c r="G5077" i="2"/>
  <c r="G5037" i="2"/>
  <c r="G4994" i="2"/>
  <c r="G5162" i="2"/>
  <c r="G5123" i="2"/>
  <c r="G5068" i="2"/>
  <c r="G5203" i="2"/>
  <c r="G4970" i="2"/>
  <c r="G5165" i="2"/>
  <c r="G5111" i="2"/>
  <c r="G5074" i="2"/>
  <c r="G5191" i="2"/>
  <c r="G4995" i="2"/>
  <c r="G5166" i="2"/>
  <c r="G5102" i="2"/>
  <c r="G5030" i="2"/>
  <c r="G5210" i="2"/>
  <c r="G5118" i="2"/>
  <c r="G5058" i="2"/>
  <c r="G4975" i="2"/>
  <c r="G5168" i="2"/>
  <c r="G5113" i="2"/>
  <c r="G5059" i="2"/>
  <c r="G5193" i="2"/>
  <c r="G4976" i="2"/>
  <c r="G5153" i="2"/>
  <c r="G5112" i="2"/>
  <c r="G5076" i="2"/>
  <c r="G5209" i="2"/>
  <c r="G4985" i="2"/>
  <c r="G5163" i="2"/>
  <c r="G5115" i="2"/>
  <c r="G5036" i="2"/>
  <c r="G5196" i="2"/>
  <c r="G4971" i="2"/>
  <c r="G5167" i="2"/>
  <c r="G5127" i="2"/>
  <c r="G5034" i="2"/>
  <c r="G5215" i="2"/>
  <c r="G5035" i="2"/>
  <c r="G5015" i="2"/>
  <c r="G4984" i="2"/>
  <c r="G5146" i="2"/>
  <c r="G5114" i="2"/>
  <c r="G5062" i="2"/>
  <c r="G5194" i="2"/>
  <c r="G4983" i="2"/>
  <c r="G5154" i="2"/>
  <c r="G5110" i="2"/>
  <c r="G5023" i="2"/>
  <c r="G5205" i="2"/>
  <c r="G4991" i="2"/>
  <c r="G5156" i="2"/>
  <c r="G5117" i="2"/>
  <c r="G5031" i="2"/>
  <c r="G5195" i="2"/>
  <c r="G4972" i="2"/>
  <c r="G5170" i="2"/>
  <c r="G5063" i="2"/>
  <c r="G5028" i="2"/>
  <c r="G5213" i="2"/>
  <c r="G5079" i="2"/>
  <c r="G5157" i="2"/>
  <c r="G5027" i="2"/>
  <c r="G4973" i="2"/>
  <c r="G5151" i="2"/>
  <c r="G5120" i="2"/>
  <c r="G5032" i="2"/>
  <c r="G5207" i="2"/>
  <c r="G4992" i="2"/>
  <c r="G5164" i="2"/>
  <c r="G5065" i="2"/>
  <c r="G5020" i="2"/>
  <c r="G5192" i="2"/>
  <c r="G4989" i="2"/>
  <c r="G5155" i="2"/>
  <c r="G5075" i="2"/>
  <c r="G5019" i="2"/>
  <c r="G5204" i="2"/>
  <c r="G4981" i="2"/>
  <c r="G5103" i="2"/>
  <c r="G5069" i="2"/>
  <c r="G5025" i="2"/>
  <c r="G5201" i="2"/>
  <c r="G5119" i="2"/>
  <c r="G5200" i="2"/>
  <c r="G5150" i="2"/>
  <c r="G4974" i="2"/>
  <c r="G5169" i="2"/>
  <c r="G5064" i="2"/>
  <c r="G5033" i="2"/>
  <c r="G5198" i="2"/>
  <c r="G4987" i="2"/>
  <c r="G5160" i="2"/>
  <c r="G5081" i="2"/>
  <c r="G5022" i="2"/>
  <c r="G5199" i="2"/>
  <c r="G4990" i="2"/>
  <c r="G5124" i="2"/>
  <c r="G5072" i="2"/>
  <c r="G5016" i="2"/>
  <c r="G5197" i="2"/>
  <c r="G4988" i="2"/>
  <c r="G5108" i="2"/>
  <c r="G5070" i="2"/>
  <c r="G5026" i="2"/>
  <c r="G5208" i="2"/>
  <c r="G5171" i="2"/>
  <c r="G5066" i="2"/>
  <c r="G5107" i="2"/>
  <c r="G5082" i="2"/>
  <c r="G4977" i="2"/>
  <c r="G5158" i="2"/>
  <c r="G5078" i="2"/>
  <c r="G5039" i="2"/>
  <c r="G5212" i="2"/>
  <c r="G4980" i="2"/>
  <c r="G5116" i="2"/>
  <c r="G5067" i="2"/>
  <c r="G5021" i="2"/>
  <c r="G5214" i="2"/>
  <c r="G4993" i="2"/>
  <c r="G5106" i="2"/>
  <c r="G5061" i="2"/>
  <c r="G5038" i="2"/>
  <c r="G5202" i="2"/>
  <c r="G5149" i="2"/>
  <c r="G5122" i="2"/>
  <c r="G5060" i="2"/>
  <c r="G5029" i="2"/>
  <c r="G4978" i="2"/>
  <c r="G4979" i="2"/>
  <c r="H153" i="1" l="1"/>
  <c r="D152" i="1"/>
  <c r="G4957" i="2"/>
  <c r="G5218" i="2"/>
  <c r="G5182" i="2"/>
  <c r="G5095" i="2"/>
  <c r="G5141" i="2"/>
  <c r="G5009" i="2"/>
  <c r="G5057" i="2"/>
  <c r="G4959" i="2"/>
  <c r="G5221" i="2"/>
  <c r="G5174" i="2"/>
  <c r="G5099" i="2"/>
  <c r="G5133" i="2"/>
  <c r="G5007" i="2"/>
  <c r="G5047" i="2"/>
  <c r="G5091" i="2"/>
  <c r="G5128" i="2"/>
  <c r="G4961" i="2"/>
  <c r="G5004" i="2"/>
  <c r="G5185" i="2"/>
  <c r="G5088" i="2"/>
  <c r="G5138" i="2"/>
  <c r="G5187" i="2"/>
  <c r="G5046" i="2"/>
  <c r="G4967" i="2"/>
  <c r="G4998" i="2"/>
  <c r="G5178" i="2"/>
  <c r="G5092" i="2"/>
  <c r="G5134" i="2"/>
  <c r="G5011" i="2"/>
  <c r="G5040" i="2"/>
  <c r="G5189" i="2"/>
  <c r="G5012" i="2"/>
  <c r="G5093" i="2"/>
  <c r="G4955" i="2"/>
  <c r="G5006" i="2"/>
  <c r="G5042" i="2"/>
  <c r="G4964" i="2"/>
  <c r="G5142" i="2"/>
  <c r="G4968" i="2"/>
  <c r="G5089" i="2"/>
  <c r="G5087" i="2"/>
  <c r="G5136" i="2"/>
  <c r="G5010" i="2"/>
  <c r="G5053" i="2"/>
  <c r="G4956" i="2"/>
  <c r="G5220" i="2"/>
  <c r="G5184" i="2"/>
  <c r="G5097" i="2"/>
  <c r="G5135" i="2"/>
  <c r="G5005" i="2"/>
  <c r="G5052" i="2"/>
  <c r="G5086" i="2"/>
  <c r="G5139" i="2"/>
  <c r="G5188" i="2"/>
  <c r="G5055" i="2"/>
  <c r="G5145" i="2"/>
  <c r="G5056" i="2"/>
  <c r="G5084" i="2"/>
  <c r="G5130" i="2"/>
  <c r="G5003" i="2"/>
  <c r="G5050" i="2"/>
  <c r="G4960" i="2"/>
  <c r="G5219" i="2"/>
  <c r="G5175" i="2"/>
  <c r="G5085" i="2"/>
  <c r="G5137" i="2"/>
  <c r="G4996" i="2"/>
  <c r="G5044" i="2"/>
  <c r="G4962" i="2"/>
  <c r="G5143" i="2"/>
  <c r="G5176" i="2"/>
  <c r="G5098" i="2"/>
  <c r="G4954" i="2"/>
  <c r="G5096" i="2"/>
  <c r="G5132" i="2"/>
  <c r="G5186" i="2"/>
  <c r="G5054" i="2"/>
  <c r="G4953" i="2"/>
  <c r="G5001" i="2"/>
  <c r="G5179" i="2"/>
  <c r="G5101" i="2"/>
  <c r="G5129" i="2"/>
  <c r="G4997" i="2"/>
  <c r="G5049" i="2"/>
  <c r="G4966" i="2"/>
  <c r="G5216" i="2"/>
  <c r="G5181" i="2"/>
  <c r="G5043" i="2"/>
  <c r="G4999" i="2"/>
  <c r="G4963" i="2"/>
  <c r="G5131" i="2"/>
  <c r="G5172" i="2"/>
  <c r="G5090" i="2"/>
  <c r="G4958" i="2"/>
  <c r="G5013" i="2"/>
  <c r="G5173" i="2"/>
  <c r="G5180" i="2"/>
  <c r="G4969" i="2"/>
  <c r="G5217" i="2"/>
  <c r="G5183" i="2"/>
  <c r="G5094" i="2"/>
  <c r="G5144" i="2"/>
  <c r="G5002" i="2"/>
  <c r="G5041" i="2"/>
  <c r="G4965" i="2"/>
  <c r="G5140" i="2"/>
  <c r="G5177" i="2"/>
  <c r="G5100" i="2"/>
  <c r="G4952" i="2"/>
  <c r="G5008" i="2"/>
  <c r="G5048" i="2"/>
  <c r="G5000" i="2"/>
  <c r="G5045" i="2"/>
  <c r="G5051" i="2"/>
  <c r="H154" i="1" l="1"/>
  <c r="D153" i="1"/>
  <c r="H155" i="1" l="1"/>
  <c r="D154" i="1"/>
  <c r="S406" i="1"/>
  <c r="R406" i="1" s="1"/>
  <c r="S392" i="1"/>
  <c r="R392" i="1" s="1"/>
  <c r="S360" i="1"/>
  <c r="R360" i="1" s="1"/>
  <c r="S386" i="1"/>
  <c r="R386" i="1" s="1"/>
  <c r="S394" i="1"/>
  <c r="R394" i="1" s="1"/>
  <c r="S398" i="1"/>
  <c r="R398" i="1" s="1"/>
  <c r="S376" i="1"/>
  <c r="R376" i="1" s="1"/>
  <c r="S344" i="1"/>
  <c r="R344" i="1" s="1"/>
  <c r="H156" i="1" l="1"/>
  <c r="D155" i="1"/>
  <c r="S371" i="1"/>
  <c r="R371" i="1" s="1"/>
  <c r="S396" i="1"/>
  <c r="R396" i="1" s="1"/>
  <c r="S352" i="1"/>
  <c r="R352" i="1" s="1"/>
  <c r="S353" i="1"/>
  <c r="R353" i="1" s="1"/>
  <c r="S385" i="1"/>
  <c r="R385" i="1" s="1"/>
  <c r="S340" i="1"/>
  <c r="R340" i="1" s="1"/>
  <c r="S343" i="1"/>
  <c r="R343" i="1" s="1"/>
  <c r="S375" i="1"/>
  <c r="R375" i="1" s="1"/>
  <c r="S405" i="1"/>
  <c r="R405" i="1" s="1"/>
  <c r="S380" i="1"/>
  <c r="R380" i="1" s="1"/>
  <c r="S400" i="1"/>
  <c r="R400" i="1" s="1"/>
  <c r="S331" i="1"/>
  <c r="R331" i="1" s="1"/>
  <c r="S363" i="1"/>
  <c r="R363" i="1" s="1"/>
  <c r="S395" i="1"/>
  <c r="R395" i="1" s="1"/>
  <c r="S351" i="1"/>
  <c r="R351" i="1" s="1"/>
  <c r="S383" i="1"/>
  <c r="R383" i="1" s="1"/>
  <c r="S342" i="1"/>
  <c r="R342" i="1" s="1"/>
  <c r="S374" i="1"/>
  <c r="R374" i="1" s="1"/>
  <c r="S384" i="1"/>
  <c r="R384" i="1" s="1"/>
  <c r="S372" i="1"/>
  <c r="R372" i="1" s="1"/>
  <c r="S355" i="1"/>
  <c r="R355" i="1" s="1"/>
  <c r="S387" i="1"/>
  <c r="R387" i="1" s="1"/>
  <c r="S330" i="1"/>
  <c r="R330" i="1" s="1"/>
  <c r="S362" i="1"/>
  <c r="R362" i="1" s="1"/>
  <c r="S341" i="1"/>
  <c r="R341" i="1" s="1"/>
  <c r="S373" i="1"/>
  <c r="R373" i="1" s="1"/>
  <c r="S334" i="1"/>
  <c r="R334" i="1" s="1"/>
  <c r="S366" i="1"/>
  <c r="R366" i="1" s="1"/>
  <c r="S402" i="1"/>
  <c r="R402" i="1" s="1"/>
  <c r="S345" i="1"/>
  <c r="R345" i="1" s="1"/>
  <c r="S377" i="1"/>
  <c r="R377" i="1" s="1"/>
  <c r="S338" i="1"/>
  <c r="R338" i="1" s="1"/>
  <c r="S370" i="1"/>
  <c r="R370" i="1" s="1"/>
  <c r="S349" i="1"/>
  <c r="R349" i="1" s="1"/>
  <c r="S381" i="1"/>
  <c r="R381" i="1" s="1"/>
  <c r="S332" i="1"/>
  <c r="R332" i="1" s="1"/>
  <c r="S337" i="1"/>
  <c r="R337" i="1" s="1"/>
  <c r="S369" i="1"/>
  <c r="R369" i="1" s="1"/>
  <c r="S401" i="1"/>
  <c r="R401" i="1" s="1"/>
  <c r="S404" i="1"/>
  <c r="R404" i="1" s="1"/>
  <c r="S359" i="1"/>
  <c r="R359" i="1" s="1"/>
  <c r="S391" i="1"/>
  <c r="R391" i="1" s="1"/>
  <c r="S390" i="1"/>
  <c r="R390" i="1" s="1"/>
  <c r="S336" i="1"/>
  <c r="R336" i="1" s="1"/>
  <c r="S356" i="1"/>
  <c r="R356" i="1" s="1"/>
  <c r="S347" i="1"/>
  <c r="R347" i="1" s="1"/>
  <c r="S379" i="1"/>
  <c r="R379" i="1" s="1"/>
  <c r="S354" i="1"/>
  <c r="R354" i="1" s="1"/>
  <c r="S333" i="1"/>
  <c r="R333" i="1" s="1"/>
  <c r="S365" i="1"/>
  <c r="R365" i="1" s="1"/>
  <c r="S397" i="1"/>
  <c r="R397" i="1" s="1"/>
  <c r="S335" i="1"/>
  <c r="R335" i="1" s="1"/>
  <c r="S367" i="1"/>
  <c r="R367" i="1" s="1"/>
  <c r="S399" i="1"/>
  <c r="R399" i="1" s="1"/>
  <c r="S364" i="1"/>
  <c r="R364" i="1" s="1"/>
  <c r="S358" i="1"/>
  <c r="R358" i="1" s="1"/>
  <c r="S339" i="1"/>
  <c r="R339" i="1" s="1"/>
  <c r="S403" i="1"/>
  <c r="R403" i="1" s="1"/>
  <c r="S346" i="1"/>
  <c r="R346" i="1" s="1"/>
  <c r="S378" i="1"/>
  <c r="R378" i="1" s="1"/>
  <c r="S357" i="1"/>
  <c r="R357" i="1" s="1"/>
  <c r="S389" i="1"/>
  <c r="R389" i="1" s="1"/>
  <c r="S348" i="1"/>
  <c r="R348" i="1" s="1"/>
  <c r="S350" i="1"/>
  <c r="R350" i="1" s="1"/>
  <c r="S382" i="1"/>
  <c r="R382" i="1" s="1"/>
  <c r="S368" i="1"/>
  <c r="R368" i="1" s="1"/>
  <c r="S361" i="1"/>
  <c r="R361" i="1" s="1"/>
  <c r="S393" i="1"/>
  <c r="R393" i="1" s="1"/>
  <c r="S388" i="1"/>
  <c r="R388" i="1" s="1"/>
  <c r="H157" i="1" l="1"/>
  <c r="D156" i="1"/>
  <c r="H158" i="1" l="1"/>
  <c r="D157" i="1"/>
  <c r="E4091" i="2"/>
  <c r="E1470" i="2"/>
  <c r="D3029" i="2"/>
  <c r="E2264" i="2"/>
  <c r="D4451" i="2"/>
  <c r="D2741" i="2"/>
  <c r="E347" i="2"/>
  <c r="D2191" i="2"/>
  <c r="E1391" i="2"/>
  <c r="D2165" i="2"/>
  <c r="E1902" i="2"/>
  <c r="D287" i="2"/>
  <c r="E1513" i="2"/>
  <c r="E3271" i="2"/>
  <c r="E448" i="2"/>
  <c r="E761" i="2"/>
  <c r="D4955" i="2"/>
  <c r="D4145" i="2"/>
  <c r="D4801" i="2"/>
  <c r="E3731" i="2"/>
  <c r="E1769" i="2"/>
  <c r="D1913" i="2"/>
  <c r="D581" i="2"/>
  <c r="E2983" i="2"/>
  <c r="D4440" i="2"/>
  <c r="D323" i="2"/>
  <c r="E4127" i="2"/>
  <c r="E3001" i="2"/>
  <c r="E3433" i="2"/>
  <c r="D3954" i="2"/>
  <c r="D2250" i="2"/>
  <c r="D1697" i="2"/>
  <c r="D3551" i="2"/>
  <c r="E1805" i="2"/>
  <c r="E1607" i="2"/>
  <c r="E1165" i="2"/>
  <c r="D1146" i="2"/>
  <c r="E3793" i="2"/>
  <c r="E932" i="2"/>
  <c r="E3137" i="2"/>
  <c r="E2885" i="2"/>
  <c r="E733" i="2"/>
  <c r="D1902" i="2"/>
  <c r="E913" i="2"/>
  <c r="D1243" i="2"/>
  <c r="E1452" i="2"/>
  <c r="E1103" i="2"/>
  <c r="E464" i="2"/>
  <c r="E2813" i="2"/>
  <c r="D2341" i="2"/>
  <c r="D2651" i="2"/>
  <c r="E4788" i="2"/>
  <c r="D354" i="2"/>
  <c r="D3479" i="2"/>
  <c r="D2802" i="2"/>
  <c r="E318" i="2"/>
  <c r="D2353" i="2"/>
  <c r="E4693" i="2"/>
  <c r="D1733" i="2"/>
  <c r="E1634" i="2"/>
  <c r="E1183" i="2"/>
  <c r="E324" i="2"/>
  <c r="D1013" i="2"/>
  <c r="E378" i="2"/>
  <c r="E3155" i="2"/>
  <c r="D1632" i="2"/>
  <c r="E4667" i="2"/>
  <c r="D1578" i="2"/>
  <c r="D2448" i="2"/>
  <c r="D3108" i="2"/>
  <c r="E5151" i="2"/>
  <c r="D2003" i="2"/>
  <c r="D4037" i="2"/>
  <c r="D1419" i="2"/>
  <c r="E4163" i="2"/>
  <c r="D628" i="2"/>
  <c r="E3883" i="2"/>
  <c r="E4577" i="2"/>
  <c r="E4477" i="2"/>
  <c r="D2016" i="2"/>
  <c r="E4603" i="2"/>
  <c r="D455" i="2"/>
  <c r="D437" i="2"/>
  <c r="D4433" i="2"/>
  <c r="D3011" i="2"/>
  <c r="E949" i="2"/>
  <c r="D721" i="2"/>
  <c r="D1310" i="2"/>
  <c r="D361" i="2"/>
  <c r="E3973" i="2"/>
  <c r="E863" i="2"/>
  <c r="D4762" i="2"/>
  <c r="D1723" i="2"/>
  <c r="E3479" i="2"/>
  <c r="D2371" i="2"/>
  <c r="D2526" i="2"/>
  <c r="D394" i="2"/>
  <c r="D3288" i="2"/>
  <c r="E2911" i="2"/>
  <c r="D1977" i="2"/>
  <c r="D916" i="2"/>
  <c r="E1581" i="2"/>
  <c r="D4905" i="2"/>
  <c r="E1578" i="2"/>
  <c r="D4918" i="2"/>
  <c r="D3713" i="2"/>
  <c r="D1409" i="2"/>
  <c r="E1045" i="2"/>
  <c r="D4944" i="2"/>
  <c r="D1031" i="2"/>
  <c r="E5063" i="2"/>
  <c r="E995" i="2"/>
  <c r="E815" i="2"/>
  <c r="E2309" i="2"/>
  <c r="E4307" i="2"/>
  <c r="D1067" i="2"/>
  <c r="E2067" i="2"/>
  <c r="E3633" i="2"/>
  <c r="E1024" i="2"/>
  <c r="D1272" i="2"/>
  <c r="E1740" i="2"/>
  <c r="E671" i="2"/>
  <c r="E5219" i="2"/>
  <c r="E606" i="2"/>
  <c r="E1895" i="2"/>
  <c r="E2196" i="2"/>
  <c r="E377" i="2"/>
  <c r="E1150" i="2"/>
  <c r="E1996" i="2"/>
  <c r="E822" i="2"/>
  <c r="E1201" i="2"/>
  <c r="D1778" i="2"/>
  <c r="D2591" i="2"/>
  <c r="D1255" i="2"/>
  <c r="E2287" i="2"/>
  <c r="D383" i="2"/>
  <c r="D1481" i="2"/>
  <c r="E4866" i="2"/>
  <c r="E5107" i="2"/>
  <c r="D293" i="2"/>
  <c r="D1129" i="2"/>
  <c r="E444" i="2"/>
  <c r="D347" i="2"/>
  <c r="E3245" i="2"/>
  <c r="D1708" i="2"/>
  <c r="E4153" i="2"/>
  <c r="D3596" i="2"/>
  <c r="D3920" i="2"/>
  <c r="D1614" i="2"/>
  <c r="E1758" i="2"/>
  <c r="D1436" i="2"/>
  <c r="D1633" i="2"/>
  <c r="E1291" i="2"/>
  <c r="E5139" i="2"/>
  <c r="D3839" i="2"/>
  <c r="E1931" i="2"/>
  <c r="D665" i="2"/>
  <c r="D3749" i="2"/>
  <c r="D2982" i="2"/>
  <c r="D1085" i="2"/>
  <c r="D4585" i="2"/>
  <c r="D1727" i="2"/>
  <c r="D2299" i="2"/>
  <c r="D643" i="2"/>
  <c r="E4271" i="2"/>
  <c r="E702" i="2"/>
  <c r="E504" i="2"/>
  <c r="E4405" i="2"/>
  <c r="D1315" i="2"/>
  <c r="E1967" i="2"/>
  <c r="E1751" i="2"/>
  <c r="D5208" i="2"/>
  <c r="D2255" i="2"/>
  <c r="E3893" i="2"/>
  <c r="D3533" i="2"/>
  <c r="E1679" i="2"/>
  <c r="D1528" i="2"/>
  <c r="D1931" i="2"/>
  <c r="D2355" i="2"/>
  <c r="E287" i="2"/>
  <c r="D2085" i="2"/>
  <c r="E3209" i="2"/>
  <c r="D1423" i="2"/>
  <c r="D305" i="2"/>
  <c r="E1778" i="2"/>
  <c r="E1416" i="2"/>
  <c r="E5195" i="2"/>
  <c r="E2291" i="2"/>
  <c r="D491" i="2"/>
  <c r="E1939" i="2"/>
  <c r="E4999" i="2"/>
  <c r="D3272" i="2"/>
  <c r="D2209" i="2"/>
  <c r="E1417" i="2"/>
  <c r="D733" i="2"/>
  <c r="D2245" i="2"/>
  <c r="E1463" i="2"/>
  <c r="E3649" i="2"/>
  <c r="D751" i="2"/>
  <c r="E2226" i="2"/>
  <c r="D851" i="2"/>
  <c r="D1326" i="2"/>
  <c r="E2123" i="2"/>
  <c r="D1291" i="2"/>
  <c r="D5043" i="2"/>
  <c r="D1193" i="2"/>
  <c r="D2759" i="2"/>
  <c r="D2212" i="2"/>
  <c r="E284" i="2"/>
  <c r="D4586" i="2"/>
  <c r="D1345" i="2"/>
  <c r="D5428" i="2"/>
  <c r="D1656" i="2"/>
  <c r="E1013" i="2"/>
  <c r="E1175" i="2"/>
  <c r="E3703" i="2"/>
  <c r="D563" i="2"/>
  <c r="E3335" i="2"/>
  <c r="E4723" i="2"/>
  <c r="D2784" i="2"/>
  <c r="D4325" i="2"/>
  <c r="D5107" i="2"/>
  <c r="D779" i="2"/>
  <c r="D3936" i="2"/>
  <c r="E3281" i="2"/>
  <c r="D822" i="2"/>
  <c r="E293" i="2"/>
  <c r="E905" i="2"/>
  <c r="D3191" i="2"/>
  <c r="E2383" i="2"/>
  <c r="D1938" i="2"/>
  <c r="D4814" i="2"/>
  <c r="D4487" i="2"/>
  <c r="E1741" i="2"/>
  <c r="D1675" i="2"/>
  <c r="E2143" i="2"/>
  <c r="D1903" i="2"/>
  <c r="E2101" i="2"/>
  <c r="E1525" i="2"/>
  <c r="E2255" i="2"/>
  <c r="D2070" i="2"/>
  <c r="D4879" i="2"/>
  <c r="D707" i="2"/>
  <c r="E3407" i="2"/>
  <c r="E1121" i="2"/>
  <c r="D2946" i="2"/>
  <c r="D1427" i="2"/>
  <c r="E5516" i="2"/>
  <c r="D4584" i="2"/>
  <c r="D3857" i="2"/>
  <c r="E4469" i="2"/>
  <c r="E4415" i="2"/>
  <c r="E3955" i="2"/>
  <c r="D1112" i="2"/>
  <c r="D2947" i="2"/>
  <c r="D1049" i="2"/>
  <c r="D3299" i="2"/>
  <c r="E2539" i="2"/>
  <c r="D797" i="2"/>
  <c r="E4879" i="2"/>
  <c r="E1157" i="2"/>
  <c r="D1157" i="2"/>
  <c r="D4613" i="2"/>
  <c r="E2237" i="2"/>
  <c r="D5063" i="2"/>
  <c r="D984" i="2"/>
  <c r="D1625" i="2"/>
  <c r="D448" i="2"/>
  <c r="D3613" i="2"/>
  <c r="E2857" i="2"/>
  <c r="D3893" i="2"/>
  <c r="E2371" i="2"/>
  <c r="D791" i="2"/>
  <c r="E3821" i="2"/>
  <c r="E1920" i="2"/>
  <c r="D1175" i="2"/>
  <c r="D887" i="2"/>
  <c r="D3452" i="2"/>
  <c r="D2183" i="2"/>
  <c r="D4117" i="2"/>
  <c r="D1566" i="2"/>
  <c r="D2705" i="2"/>
  <c r="E661" i="2"/>
  <c r="E1999" i="2"/>
  <c r="D289" i="2"/>
  <c r="E797" i="2"/>
  <c r="D3938" i="2"/>
  <c r="E977" i="2"/>
  <c r="D841" i="2"/>
  <c r="E5239" i="2"/>
  <c r="E2623" i="2"/>
  <c r="D1859" i="2"/>
  <c r="E1387" i="2"/>
  <c r="E3487" i="2"/>
  <c r="E646" i="2"/>
  <c r="D970" i="2"/>
  <c r="D1274" i="2"/>
  <c r="D3758" i="2"/>
  <c r="E1110" i="2"/>
  <c r="D1331" i="2"/>
  <c r="E1256" i="2"/>
  <c r="E2741" i="2"/>
  <c r="E725" i="2"/>
  <c r="D1787" i="2"/>
  <c r="E3101" i="2"/>
  <c r="E2795" i="2"/>
  <c r="D3785" i="2"/>
  <c r="E1373" i="2"/>
  <c r="D2624" i="2"/>
  <c r="D1796" i="2"/>
  <c r="D2065" i="2"/>
  <c r="D949" i="2"/>
  <c r="D3793" i="2"/>
  <c r="D1349" i="2"/>
  <c r="D931" i="2"/>
  <c r="D357" i="2"/>
  <c r="D2539" i="2"/>
  <c r="E1327" i="2"/>
  <c r="E4955" i="2"/>
  <c r="E455" i="2"/>
  <c r="D806" i="2"/>
  <c r="E4853" i="2"/>
  <c r="E948" i="2"/>
  <c r="E869" i="2"/>
  <c r="D2641" i="2"/>
  <c r="D719" i="2"/>
  <c r="D1741" i="2"/>
  <c r="E2032" i="2"/>
  <c r="E501" i="2"/>
  <c r="E1981" i="2"/>
  <c r="E342" i="2"/>
  <c r="D4621" i="2"/>
  <c r="E3288" i="2"/>
  <c r="D1823" i="2"/>
  <c r="E3965" i="2"/>
  <c r="E1582" i="2"/>
  <c r="E2622" i="2"/>
  <c r="E482" i="2"/>
  <c r="E1921" i="2"/>
  <c r="E1309" i="2"/>
  <c r="D2047" i="2"/>
  <c r="D1607" i="2"/>
  <c r="D1877" i="2"/>
  <c r="D2487" i="2"/>
  <c r="D498" i="2"/>
  <c r="D3281" i="2"/>
  <c r="D2565" i="2"/>
  <c r="D3227" i="2"/>
  <c r="E5327" i="2"/>
  <c r="E1638" i="2"/>
  <c r="D3289" i="2"/>
  <c r="E1345" i="2"/>
  <c r="D5032" i="2"/>
  <c r="E4649" i="2"/>
  <c r="D2474" i="2"/>
  <c r="D379" i="2"/>
  <c r="D1095" i="2"/>
  <c r="D1715" i="2"/>
  <c r="E4109" i="2"/>
  <c r="E768" i="2"/>
  <c r="E2246" i="2"/>
  <c r="D4541" i="2"/>
  <c r="E1152" i="2"/>
  <c r="D4892" i="2"/>
  <c r="E1386" i="2"/>
  <c r="D5175" i="2"/>
  <c r="E1797" i="2"/>
  <c r="E2947" i="2"/>
  <c r="E715" i="2"/>
  <c r="E806" i="2"/>
  <c r="D1650" i="2"/>
  <c r="D1471" i="2"/>
  <c r="E311" i="2"/>
  <c r="D311" i="2"/>
  <c r="E500" i="2"/>
  <c r="E833" i="2"/>
  <c r="E1203" i="2"/>
  <c r="E1723" i="2"/>
  <c r="E4566" i="2"/>
  <c r="D2795" i="2"/>
  <c r="D4181" i="2"/>
  <c r="E3623" i="2"/>
  <c r="E3497" i="2"/>
  <c r="E4045" i="2"/>
  <c r="E1075" i="2"/>
  <c r="E3055" i="2"/>
  <c r="E1944" i="2"/>
  <c r="E3144" i="2"/>
  <c r="D3515" i="2"/>
  <c r="D689" i="2"/>
  <c r="E535" i="2"/>
  <c r="E2604" i="2"/>
  <c r="E4988" i="2"/>
  <c r="D2867" i="2"/>
  <c r="D4055" i="2"/>
  <c r="D1452" i="2"/>
  <c r="E3659" i="2"/>
  <c r="D5327" i="2"/>
  <c r="E787" i="2"/>
  <c r="D1027" i="2"/>
  <c r="E1535" i="2"/>
  <c r="E447" i="2"/>
  <c r="E282" i="2"/>
  <c r="D373" i="2"/>
  <c r="D2064" i="2"/>
  <c r="E2552" i="2"/>
  <c r="E2929" i="2"/>
  <c r="D1229" i="2"/>
  <c r="D1437" i="2"/>
  <c r="D1958" i="2"/>
  <c r="D3371" i="2"/>
  <c r="E1095" i="2"/>
  <c r="E4397" i="2"/>
  <c r="E3677" i="2"/>
  <c r="D3569" i="2"/>
  <c r="D5164" i="2"/>
  <c r="D5131" i="2"/>
  <c r="D625" i="2"/>
  <c r="D4397" i="2"/>
  <c r="E2248" i="2"/>
  <c r="E4199" i="2"/>
  <c r="D4567" i="2"/>
  <c r="E1553" i="2"/>
  <c r="D988" i="2"/>
  <c r="E519" i="2"/>
  <c r="D815" i="2"/>
  <c r="D2461" i="2"/>
  <c r="D4736" i="2"/>
  <c r="D2623" i="2"/>
  <c r="D1470" i="2"/>
  <c r="E3847" i="2"/>
  <c r="E3047" i="2"/>
  <c r="E2228" i="2"/>
  <c r="E1477" i="2"/>
  <c r="D3317" i="2"/>
  <c r="E2831" i="2"/>
  <c r="E4613" i="2"/>
  <c r="D3965" i="2"/>
  <c r="D2633" i="2"/>
  <c r="D1831" i="2"/>
  <c r="E844" i="2"/>
  <c r="D1185" i="2"/>
  <c r="E1614" i="2"/>
  <c r="D2948" i="2"/>
  <c r="E1615" i="2"/>
  <c r="D1294" i="2"/>
  <c r="D1507" i="2"/>
  <c r="E1817" i="2"/>
  <c r="E3019" i="2"/>
  <c r="D679" i="2"/>
  <c r="D2965" i="2"/>
  <c r="D1545" i="2"/>
  <c r="D2021" i="2"/>
  <c r="E2785" i="2"/>
  <c r="E2759" i="2"/>
  <c r="D2831" i="2"/>
  <c r="D365" i="2"/>
  <c r="E300" i="2"/>
  <c r="D4723" i="2"/>
  <c r="E4827" i="2"/>
  <c r="D1254" i="2"/>
  <c r="E321" i="2"/>
  <c r="E4247" i="2"/>
  <c r="D1746" i="2"/>
  <c r="D3307" i="2"/>
  <c r="D499" i="2"/>
  <c r="E689" i="2"/>
  <c r="E2849" i="2"/>
  <c r="D3047" i="2"/>
  <c r="E3785" i="2"/>
  <c r="D5195" i="2"/>
  <c r="E4505" i="2"/>
  <c r="D4685" i="2"/>
  <c r="D1337" i="2"/>
  <c r="E4361" i="2"/>
  <c r="D5019" i="2"/>
  <c r="E2191" i="2"/>
  <c r="E4297" i="2"/>
  <c r="D1207" i="2"/>
  <c r="E1489" i="2"/>
  <c r="D3290" i="2"/>
  <c r="E473" i="2"/>
  <c r="D2604" i="2"/>
  <c r="D1463" i="2"/>
  <c r="D462" i="2"/>
  <c r="E2777" i="2"/>
  <c r="E1625" i="2"/>
  <c r="E923" i="2"/>
  <c r="E4019" i="2"/>
  <c r="E966" i="2"/>
  <c r="E3695" i="2"/>
  <c r="E538" i="2"/>
  <c r="D2011" i="2"/>
  <c r="E1957" i="2"/>
  <c r="E823" i="2"/>
  <c r="D3811" i="2"/>
  <c r="E395" i="2"/>
  <c r="E3109" i="2"/>
  <c r="E4585" i="2"/>
  <c r="D1651" i="2"/>
  <c r="D2409" i="2"/>
  <c r="D3407" i="2"/>
  <c r="D473" i="2"/>
  <c r="D768" i="2"/>
  <c r="D923" i="2"/>
  <c r="D4788" i="2"/>
  <c r="D1455" i="2"/>
  <c r="E1687" i="2"/>
  <c r="D1139" i="2"/>
  <c r="E1705" i="2"/>
  <c r="D1783" i="2"/>
  <c r="E1423" i="2"/>
  <c r="D725" i="2"/>
  <c r="D3167" i="2"/>
  <c r="D703" i="2"/>
  <c r="D4379" i="2"/>
  <c r="D282" i="2"/>
  <c r="D4235" i="2"/>
  <c r="D995" i="2"/>
  <c r="E1254" i="2"/>
  <c r="D1211" i="2"/>
  <c r="D4091" i="2"/>
  <c r="D4242" i="2"/>
  <c r="E545" i="2"/>
  <c r="E1777" i="2"/>
  <c r="D4931" i="2"/>
  <c r="E2173" i="2"/>
  <c r="E1903" i="2"/>
  <c r="D1740" i="2"/>
  <c r="D2285" i="2"/>
  <c r="E3936" i="2"/>
  <c r="D1895" i="2"/>
  <c r="D4469" i="2"/>
  <c r="E1481" i="2"/>
  <c r="D3918" i="2"/>
  <c r="E1229" i="2"/>
  <c r="D1273" i="2"/>
  <c r="D391" i="2"/>
  <c r="E660" i="2"/>
  <c r="E1276" i="2"/>
  <c r="D419" i="2"/>
  <c r="E737" i="2"/>
  <c r="E3469" i="2"/>
  <c r="D1351" i="2"/>
  <c r="E3011" i="2"/>
  <c r="E4762" i="2"/>
  <c r="D2273" i="2"/>
  <c r="E3126" i="2"/>
  <c r="E4145" i="2"/>
  <c r="E3756" i="2"/>
  <c r="E1023" i="2"/>
  <c r="D1422" i="2"/>
  <c r="D5219" i="2"/>
  <c r="E4703" i="2"/>
  <c r="E610" i="2"/>
  <c r="D3775" i="2"/>
  <c r="E955" i="2"/>
  <c r="E3803" i="2"/>
  <c r="E509" i="2"/>
  <c r="E3083" i="2"/>
  <c r="E1067" i="2"/>
  <c r="E2975" i="2"/>
  <c r="E2939" i="2"/>
  <c r="D3659" i="2"/>
  <c r="D1075" i="2"/>
  <c r="E581" i="2"/>
  <c r="D469" i="2"/>
  <c r="D1009" i="2"/>
  <c r="E1517" i="2"/>
  <c r="D1309" i="2"/>
  <c r="D1602" i="2"/>
  <c r="D1355" i="2"/>
  <c r="D1283" i="2"/>
  <c r="D2363" i="2"/>
  <c r="D738" i="2"/>
  <c r="E2165" i="2"/>
  <c r="D2119" i="2"/>
  <c r="D4703" i="2"/>
  <c r="D2147" i="2"/>
  <c r="E2119" i="2"/>
  <c r="D3630" i="2"/>
  <c r="D1063" i="2"/>
  <c r="E2353" i="2"/>
  <c r="E2082" i="2"/>
  <c r="D4116" i="2"/>
  <c r="D553" i="2"/>
  <c r="E1085" i="2"/>
  <c r="E4685" i="2"/>
  <c r="E2513" i="2"/>
  <c r="D1758" i="2"/>
  <c r="E3191" i="2"/>
  <c r="D376" i="2"/>
  <c r="E773" i="2"/>
  <c r="D934" i="2"/>
  <c r="E2565" i="2"/>
  <c r="E3299" i="2"/>
  <c r="D1386" i="2"/>
  <c r="D1265" i="2"/>
  <c r="E1057" i="2"/>
  <c r="E1580" i="2"/>
  <c r="E4918" i="2"/>
  <c r="E2345" i="2"/>
  <c r="D320" i="2"/>
  <c r="D2219" i="2"/>
  <c r="E491" i="2"/>
  <c r="E779" i="2"/>
  <c r="E941" i="2"/>
  <c r="E3839" i="2"/>
  <c r="E2957" i="2"/>
  <c r="E1031" i="2"/>
  <c r="D2975" i="2"/>
  <c r="D2093" i="2"/>
  <c r="E4531" i="2"/>
  <c r="E1913" i="2"/>
  <c r="E2356" i="2"/>
  <c r="E612" i="2"/>
  <c r="D4127" i="2"/>
  <c r="E1261" i="2"/>
  <c r="E1278" i="2"/>
  <c r="E1596" i="2"/>
  <c r="D3875" i="2"/>
  <c r="D2885" i="2"/>
  <c r="E653" i="2"/>
  <c r="D2159" i="2"/>
  <c r="D990" i="2"/>
  <c r="D823" i="2"/>
  <c r="E895" i="2"/>
  <c r="D3155" i="2"/>
  <c r="E887" i="2"/>
  <c r="E1831" i="2"/>
  <c r="E5131" i="2"/>
  <c r="E3371" i="2"/>
  <c r="E1427" i="2"/>
  <c r="E1265" i="2"/>
  <c r="E4905" i="2"/>
  <c r="E383" i="2"/>
  <c r="D4163" i="2"/>
  <c r="D481" i="2"/>
  <c r="D285" i="2"/>
  <c r="D609" i="2"/>
  <c r="E865" i="2"/>
  <c r="E897" i="2"/>
  <c r="D520" i="2"/>
  <c r="E666" i="2"/>
  <c r="D1794" i="2"/>
  <c r="D1589" i="2"/>
  <c r="D4271" i="2"/>
  <c r="E2669" i="2"/>
  <c r="D5239" i="2"/>
  <c r="E790" i="2"/>
  <c r="D671" i="2"/>
  <c r="D2687" i="2"/>
  <c r="E3389" i="2"/>
  <c r="D3983" i="2"/>
  <c r="E4495" i="2"/>
  <c r="D2230" i="2"/>
  <c r="E365" i="2"/>
  <c r="D684" i="2"/>
  <c r="E2021" i="2"/>
  <c r="D3623" i="2"/>
  <c r="D2104" i="2"/>
  <c r="D877" i="2"/>
  <c r="E2867" i="2"/>
  <c r="D5076" i="2"/>
  <c r="E2064" i="2"/>
  <c r="D2143" i="2"/>
  <c r="E3713" i="2"/>
  <c r="E5043" i="2"/>
  <c r="D3587" i="2"/>
  <c r="D2615" i="2"/>
  <c r="D941" i="2"/>
  <c r="D1535" i="2"/>
  <c r="E2409" i="2"/>
  <c r="E1093" i="2"/>
  <c r="D3631" i="2"/>
  <c r="E4315" i="2"/>
  <c r="D787" i="2"/>
  <c r="D2622" i="2"/>
  <c r="D4019" i="2"/>
  <c r="D833" i="2"/>
  <c r="E2273" i="2"/>
  <c r="E2363" i="2"/>
  <c r="D300" i="2"/>
  <c r="E3145" i="2"/>
  <c r="E1836" i="2"/>
  <c r="E1661" i="2"/>
  <c r="E4037" i="2"/>
  <c r="D4566" i="2"/>
  <c r="D2291" i="2"/>
  <c r="E3929" i="2"/>
  <c r="D2049" i="2"/>
  <c r="E599" i="2"/>
  <c r="E4775" i="2"/>
  <c r="E5283" i="2"/>
  <c r="D2039" i="2"/>
  <c r="D3821" i="2"/>
  <c r="E5164" i="2"/>
  <c r="E2461" i="2"/>
  <c r="D1805" i="2"/>
  <c r="E1409" i="2"/>
  <c r="E1399" i="2"/>
  <c r="E3857" i="2"/>
  <c r="E3461" i="2"/>
  <c r="D843" i="2"/>
  <c r="D4523" i="2"/>
  <c r="D3109" i="2"/>
  <c r="D3389" i="2"/>
  <c r="E4253" i="2"/>
  <c r="D1110" i="2"/>
  <c r="E2651" i="2"/>
  <c r="E2591" i="2"/>
  <c r="E2948" i="2"/>
  <c r="D905" i="2"/>
  <c r="E1841" i="2"/>
  <c r="E635" i="2"/>
  <c r="E1697" i="2"/>
  <c r="E2340" i="2"/>
  <c r="D626" i="2"/>
  <c r="D1709" i="2"/>
  <c r="D527" i="2"/>
  <c r="D3929" i="2"/>
  <c r="D2578" i="2"/>
  <c r="E462" i="2"/>
  <c r="D1290" i="2"/>
  <c r="E2183" i="2"/>
  <c r="D2309" i="2"/>
  <c r="E1170" i="2"/>
  <c r="D3695" i="2"/>
  <c r="E558" i="2"/>
  <c r="E3613" i="2"/>
  <c r="D1292" i="2"/>
  <c r="D3443" i="2"/>
  <c r="E4944" i="2"/>
  <c r="E1949" i="2"/>
  <c r="E1319" i="2"/>
  <c r="E2003" i="2"/>
  <c r="E2993" i="2"/>
  <c r="D1247" i="2"/>
  <c r="D4109" i="2"/>
  <c r="D699" i="2"/>
  <c r="D1445" i="2"/>
  <c r="D1661" i="2"/>
  <c r="E4568" i="2"/>
  <c r="D1257" i="2"/>
  <c r="D5283" i="2"/>
  <c r="E4433" i="2"/>
  <c r="E2802" i="2"/>
  <c r="E4343" i="2"/>
  <c r="D3432" i="2"/>
  <c r="E1823" i="2"/>
  <c r="E4451" i="2"/>
  <c r="D4866" i="2"/>
  <c r="D1057" i="2"/>
  <c r="E2111" i="2"/>
  <c r="E1222" i="2"/>
  <c r="E4217" i="2"/>
  <c r="E437" i="2"/>
  <c r="D1751" i="2"/>
  <c r="E4278" i="2"/>
  <c r="D3245" i="2"/>
  <c r="E419" i="2"/>
  <c r="E2448" i="2"/>
  <c r="E2245" i="2"/>
  <c r="D607" i="2"/>
  <c r="D577" i="2"/>
  <c r="E3435" i="2"/>
  <c r="E4410" i="2"/>
  <c r="E739" i="2"/>
  <c r="D2084" i="2"/>
  <c r="D2100" i="2"/>
  <c r="E1733" i="2"/>
  <c r="D2082" i="2"/>
  <c r="E4379" i="2"/>
  <c r="D1596" i="2"/>
  <c r="E2244" i="2"/>
  <c r="E577" i="2"/>
  <c r="E1025" i="2"/>
  <c r="D2338" i="2"/>
  <c r="E4549" i="2"/>
  <c r="E3595" i="2"/>
  <c r="D1760" i="2"/>
  <c r="D1616" i="2"/>
  <c r="D535" i="2"/>
  <c r="D5151" i="2"/>
  <c r="D5120" i="2"/>
  <c r="E4523" i="2"/>
  <c r="E2075" i="2"/>
  <c r="D1759" i="2"/>
  <c r="E2102" i="2"/>
  <c r="E2299" i="2"/>
  <c r="D318" i="2"/>
  <c r="E1927" i="2"/>
  <c r="D395" i="2"/>
  <c r="D451" i="2"/>
  <c r="D1128" i="2"/>
  <c r="D1477" i="2"/>
  <c r="D4827" i="2"/>
  <c r="D2339" i="2"/>
  <c r="E3029" i="2"/>
  <c r="D4415" i="2"/>
  <c r="D4999" i="2"/>
  <c r="D5472" i="2"/>
  <c r="E4621" i="2"/>
  <c r="D2228" i="2"/>
  <c r="E3919" i="2"/>
  <c r="D1921" i="2"/>
  <c r="E4063" i="2"/>
  <c r="E4244" i="2"/>
  <c r="D4217" i="2"/>
  <c r="E1849" i="2"/>
  <c r="E1616" i="2"/>
  <c r="D682" i="2"/>
  <c r="E5208" i="2"/>
  <c r="E2723" i="2"/>
  <c r="E2201" i="2"/>
  <c r="D3173" i="2"/>
  <c r="E1707" i="2"/>
  <c r="D2849" i="2"/>
  <c r="D1690" i="2"/>
  <c r="E810" i="2"/>
  <c r="D2262" i="2"/>
  <c r="E1456" i="2"/>
  <c r="D1513" i="2"/>
  <c r="D1813" i="2"/>
  <c r="E851" i="2"/>
  <c r="E987" i="2"/>
  <c r="D2513" i="2"/>
  <c r="E2197" i="2"/>
  <c r="E5032" i="2"/>
  <c r="D1366" i="2"/>
  <c r="D3641" i="2"/>
  <c r="E336" i="2"/>
  <c r="E4333" i="2"/>
  <c r="D509" i="2"/>
  <c r="D4279" i="2"/>
  <c r="D3145" i="2"/>
  <c r="D2075" i="2"/>
  <c r="E2615" i="2"/>
  <c r="D606" i="2"/>
  <c r="D2993" i="2"/>
  <c r="D4749" i="2"/>
  <c r="E4559" i="2"/>
  <c r="D3353" i="2"/>
  <c r="E707" i="2"/>
  <c r="E1796" i="2"/>
  <c r="D1164" i="2"/>
  <c r="D1474" i="2"/>
  <c r="D3137" i="2"/>
  <c r="D555" i="2"/>
  <c r="E1330" i="2"/>
  <c r="D869" i="2"/>
  <c r="D2435" i="2"/>
  <c r="D1517" i="2"/>
  <c r="D4361" i="2"/>
  <c r="E2323" i="2"/>
  <c r="E751" i="2"/>
  <c r="E644" i="2"/>
  <c r="D642" i="2"/>
  <c r="D1974" i="2"/>
  <c r="E413" i="2"/>
  <c r="D5516" i="2"/>
  <c r="E786" i="2"/>
  <c r="E589" i="2"/>
  <c r="E3065" i="2"/>
  <c r="E4001" i="2"/>
  <c r="E4541" i="2"/>
  <c r="E2281" i="2"/>
  <c r="D2723" i="2"/>
  <c r="E2705" i="2"/>
  <c r="D2069" i="2"/>
  <c r="E4602" i="2"/>
  <c r="E4736" i="2"/>
  <c r="D3451" i="2"/>
  <c r="E3641" i="2"/>
  <c r="E1877" i="2"/>
  <c r="E1445" i="2"/>
  <c r="D4649" i="2"/>
  <c r="E4749" i="2"/>
  <c r="D3803" i="2"/>
  <c r="E1283" i="2"/>
  <c r="E1571" i="2"/>
  <c r="D1258" i="2"/>
  <c r="E2633" i="2"/>
  <c r="D3270" i="2"/>
  <c r="E1940" i="2"/>
  <c r="D4775" i="2"/>
  <c r="D808" i="2"/>
  <c r="E1039" i="2"/>
  <c r="E2982" i="2"/>
  <c r="E1337" i="2"/>
  <c r="D4595" i="2"/>
  <c r="E2093" i="2"/>
  <c r="E2057" i="2"/>
  <c r="D846" i="2"/>
  <c r="D930" i="2"/>
  <c r="D592" i="2"/>
  <c r="D1993" i="2"/>
  <c r="E391" i="2"/>
  <c r="E3533" i="2"/>
  <c r="E4073" i="2"/>
  <c r="D4568" i="2"/>
  <c r="D480" i="2"/>
  <c r="D2984" i="2"/>
  <c r="D2269" i="2"/>
  <c r="E5019" i="2"/>
  <c r="D401" i="2"/>
  <c r="E4931" i="2"/>
  <c r="E4595" i="2"/>
  <c r="E4235" i="2"/>
  <c r="E319" i="2"/>
  <c r="E1598" i="2"/>
  <c r="E1669" i="2"/>
  <c r="D1870" i="2"/>
  <c r="E1454" i="2"/>
  <c r="D559" i="2"/>
  <c r="E611" i="2"/>
  <c r="D4199" i="2"/>
  <c r="E2219" i="2"/>
  <c r="E1211" i="2"/>
  <c r="D2376" i="2"/>
  <c r="D4001" i="2"/>
  <c r="D1531" i="2"/>
  <c r="E3983" i="2"/>
  <c r="D1391" i="2"/>
  <c r="E4055" i="2"/>
  <c r="D1319" i="2"/>
  <c r="E743" i="2"/>
  <c r="D3919" i="2"/>
  <c r="E1347" i="2"/>
  <c r="D1416" i="2"/>
  <c r="D1045" i="2"/>
  <c r="D3065" i="2"/>
  <c r="E1348" i="2"/>
  <c r="D2034" i="2"/>
  <c r="E1049" i="2"/>
  <c r="D3594" i="2"/>
  <c r="D624" i="2"/>
  <c r="E1715" i="2"/>
  <c r="D3767" i="2"/>
  <c r="D3119" i="2"/>
  <c r="E4639" i="2"/>
  <c r="D306" i="2"/>
  <c r="D355" i="2"/>
  <c r="D1967" i="2"/>
  <c r="E3515" i="2"/>
  <c r="D599" i="2"/>
  <c r="D1561" i="2"/>
  <c r="E3761" i="2"/>
  <c r="E3343" i="2"/>
  <c r="D2903" i="2"/>
  <c r="E1418" i="2"/>
  <c r="E3317" i="2"/>
  <c r="D1920" i="2"/>
  <c r="E2039" i="2"/>
  <c r="E1561" i="2"/>
  <c r="E988" i="2"/>
  <c r="E2839" i="2"/>
  <c r="D4082" i="2"/>
  <c r="D3497" i="2"/>
  <c r="D1553" i="2"/>
  <c r="E2821" i="2"/>
  <c r="D3756" i="2"/>
  <c r="E2687" i="2"/>
  <c r="D2226" i="2"/>
  <c r="E3079" i="2"/>
  <c r="E4206" i="2"/>
  <c r="D1418" i="2"/>
  <c r="E2713" i="2"/>
  <c r="E563" i="2"/>
  <c r="D2357" i="2"/>
  <c r="D2969" i="2"/>
  <c r="E1620" i="2"/>
  <c r="D1800" i="2"/>
  <c r="E2068" i="2"/>
  <c r="D4499" i="2"/>
  <c r="E2893" i="2"/>
  <c r="E2158" i="2"/>
  <c r="D4014" i="2"/>
  <c r="D1885" i="2"/>
  <c r="E1313" i="2"/>
  <c r="E4083" i="2"/>
  <c r="E3978" i="2"/>
  <c r="D523" i="2"/>
  <c r="D2141" i="2"/>
  <c r="E1885" i="2"/>
  <c r="D4591" i="2"/>
  <c r="D2298" i="2"/>
  <c r="E3275" i="2"/>
  <c r="D4280" i="2"/>
  <c r="E4299" i="2"/>
  <c r="D4335" i="2"/>
  <c r="D5080" i="2"/>
  <c r="D538" i="2"/>
  <c r="D701" i="2"/>
  <c r="E2208" i="2"/>
  <c r="D2806" i="2"/>
  <c r="D589" i="2"/>
  <c r="D2157" i="2"/>
  <c r="E736" i="2"/>
  <c r="E3706" i="2"/>
  <c r="D1942" i="2"/>
  <c r="D3018" i="2"/>
  <c r="D1979" i="2"/>
  <c r="E431" i="2"/>
  <c r="E4314" i="2"/>
  <c r="E2263" i="2"/>
  <c r="D2356" i="2"/>
  <c r="E2719" i="2"/>
  <c r="D1652" i="2"/>
  <c r="D4315" i="2"/>
  <c r="E1688" i="2"/>
  <c r="D4660" i="2"/>
  <c r="E3996" i="2"/>
  <c r="E1219" i="2"/>
  <c r="D2214" i="2"/>
  <c r="D1078" i="2"/>
  <c r="E4026" i="2"/>
  <c r="E3022" i="2"/>
  <c r="E111" i="2"/>
  <c r="D1401" i="2"/>
  <c r="E4195" i="2"/>
  <c r="E4301" i="2"/>
  <c r="E2020" i="2"/>
  <c r="E609" i="2"/>
  <c r="D4988" i="2"/>
  <c r="E1255" i="2"/>
  <c r="D4190" i="2"/>
  <c r="D486" i="2"/>
  <c r="E1930" i="2"/>
  <c r="D3110" i="2"/>
  <c r="E2627" i="2"/>
  <c r="D660" i="2"/>
  <c r="D4084" i="2"/>
  <c r="E3667" i="2"/>
  <c r="D1308" i="2"/>
  <c r="D2227" i="2"/>
  <c r="E3202" i="2"/>
  <c r="D2136" i="2"/>
  <c r="D4904" i="2"/>
  <c r="E2016" i="2"/>
  <c r="E1670" i="2"/>
  <c r="D948" i="2"/>
  <c r="D3620" i="2"/>
  <c r="D774" i="2"/>
  <c r="D3669" i="2"/>
  <c r="D1219" i="2"/>
  <c r="E3419" i="2"/>
  <c r="E1128" i="2"/>
  <c r="E1129" i="2"/>
  <c r="E3069" i="2"/>
  <c r="D1603" i="2"/>
  <c r="D4662" i="2"/>
  <c r="D2280" i="2"/>
  <c r="D4891" i="2"/>
  <c r="E1725" i="2"/>
  <c r="D2658" i="2"/>
  <c r="D1930" i="2"/>
  <c r="E3169" i="2"/>
  <c r="D898" i="2"/>
  <c r="E1815" i="2"/>
  <c r="E3838" i="2"/>
  <c r="E4371" i="2"/>
  <c r="D3487" i="2"/>
  <c r="D1956" i="2"/>
  <c r="D3146" i="2"/>
  <c r="E1499" i="2"/>
  <c r="E4174" i="2"/>
  <c r="E880" i="2"/>
  <c r="D3976" i="2"/>
  <c r="E5175" i="2"/>
  <c r="E540" i="2"/>
  <c r="D3614" i="2"/>
  <c r="E860" i="2"/>
  <c r="E1351" i="2"/>
  <c r="E1601" i="2"/>
  <c r="E1759" i="2"/>
  <c r="D2525" i="2"/>
  <c r="D2057" i="2"/>
  <c r="D753" i="2"/>
  <c r="E2875" i="2"/>
  <c r="E1562" i="2"/>
  <c r="E5120" i="2"/>
  <c r="E4519" i="2"/>
  <c r="D3469" i="2"/>
  <c r="E109" i="2"/>
  <c r="E2526" i="2"/>
  <c r="D4461" i="2"/>
  <c r="E3344" i="2"/>
  <c r="E2660" i="2"/>
  <c r="D3849" i="2"/>
  <c r="E4428" i="2"/>
  <c r="D2107" i="2"/>
  <c r="D2665" i="2"/>
  <c r="E665" i="2"/>
  <c r="D2266" i="2"/>
  <c r="E3540" i="2"/>
  <c r="D860" i="2"/>
  <c r="D4141" i="2"/>
  <c r="E3470" i="2"/>
  <c r="D4319" i="2"/>
  <c r="D397" i="2"/>
  <c r="E4483" i="2"/>
  <c r="D1382" i="2"/>
  <c r="E4158" i="2"/>
  <c r="E613" i="2"/>
  <c r="D3505" i="2"/>
  <c r="E3631" i="2"/>
  <c r="E5138" i="2"/>
  <c r="E2662" i="2"/>
  <c r="E3027" i="2"/>
  <c r="D3163" i="2"/>
  <c r="E449" i="2"/>
  <c r="E3489" i="2"/>
  <c r="E574" i="2"/>
  <c r="D1475" i="2"/>
  <c r="E3164" i="2"/>
  <c r="E2752" i="2"/>
  <c r="D1943" i="2"/>
  <c r="D881" i="2"/>
  <c r="E4494" i="2"/>
  <c r="D2263" i="2"/>
  <c r="D1638" i="2"/>
  <c r="D1710" i="2"/>
  <c r="E3000" i="2"/>
  <c r="E2952" i="2"/>
  <c r="E3203" i="2"/>
  <c r="E4604" i="2"/>
  <c r="E3739" i="2"/>
  <c r="E3668" i="2"/>
  <c r="D4191" i="2"/>
  <c r="E5142" i="2"/>
  <c r="D3706" i="2"/>
  <c r="E4426" i="2"/>
  <c r="D1278" i="2"/>
  <c r="D2694" i="2"/>
  <c r="D1021" i="2"/>
  <c r="E1171" i="2"/>
  <c r="D3002" i="2"/>
  <c r="E2578" i="2"/>
  <c r="E5062" i="2"/>
  <c r="D393" i="2"/>
  <c r="E518" i="2"/>
  <c r="E1961" i="2"/>
  <c r="D4393" i="2"/>
  <c r="D3276" i="2"/>
  <c r="E811" i="2"/>
  <c r="D463" i="2"/>
  <c r="E2283" i="2"/>
  <c r="E1657" i="2"/>
  <c r="D3344" i="2"/>
  <c r="E2282" i="2"/>
  <c r="E2989" i="2"/>
  <c r="E1693" i="2"/>
  <c r="E197" i="2"/>
  <c r="D4318" i="2"/>
  <c r="E489" i="2"/>
  <c r="E4193" i="2"/>
  <c r="E2789" i="2"/>
  <c r="D1904" i="2"/>
  <c r="D5118" i="2"/>
  <c r="E1633" i="2"/>
  <c r="D3618" i="2"/>
  <c r="E1312" i="2"/>
  <c r="D4717" i="2"/>
  <c r="D1153" i="2"/>
  <c r="E4717" i="2"/>
  <c r="E1995" i="2"/>
  <c r="E2376" i="2"/>
  <c r="D4297" i="2"/>
  <c r="E3483" i="2"/>
  <c r="D3617" i="2"/>
  <c r="E4660" i="2"/>
  <c r="E4117" i="2"/>
  <c r="D2008" i="2"/>
  <c r="E468" i="2"/>
  <c r="E4354" i="2"/>
  <c r="E3295" i="2"/>
  <c r="D3797" i="2"/>
  <c r="E643" i="2"/>
  <c r="D700" i="2"/>
  <c r="D1183" i="2"/>
  <c r="E2092" i="2"/>
  <c r="D662" i="2"/>
  <c r="E4638" i="2"/>
  <c r="D444" i="2"/>
  <c r="E1474" i="2"/>
  <c r="E1507" i="2"/>
  <c r="D4360" i="2"/>
  <c r="D2158" i="2"/>
  <c r="E1925" i="2"/>
  <c r="D2861" i="2"/>
  <c r="E3477" i="2"/>
  <c r="E396" i="2"/>
  <c r="D2928" i="2"/>
  <c r="D786" i="2"/>
  <c r="E5027" i="2"/>
  <c r="D1939" i="2"/>
  <c r="E3549" i="2"/>
  <c r="E1207" i="2"/>
  <c r="E4520" i="2"/>
  <c r="D3325" i="2"/>
  <c r="E3600" i="2"/>
  <c r="E1458" i="2"/>
  <c r="E1272" i="2"/>
  <c r="E1923" i="2"/>
  <c r="D735" i="2"/>
  <c r="E1787" i="2"/>
  <c r="D3850" i="2"/>
  <c r="D4577" i="2"/>
  <c r="D339" i="2"/>
  <c r="D4253" i="2"/>
  <c r="E4571" i="2"/>
  <c r="D804" i="2"/>
  <c r="E1492" i="2"/>
  <c r="D4188" i="2"/>
  <c r="E3758" i="2"/>
  <c r="E4105" i="2"/>
  <c r="D865" i="2"/>
  <c r="E2880" i="2"/>
  <c r="E1816" i="2"/>
  <c r="E1760" i="2"/>
  <c r="D4262" i="2"/>
  <c r="D3688" i="2"/>
  <c r="D1527" i="2"/>
  <c r="D3381" i="2"/>
  <c r="E1237" i="2"/>
  <c r="E3342" i="2"/>
  <c r="D1705" i="2"/>
  <c r="D3722" i="2"/>
  <c r="D2246" i="2"/>
  <c r="E3865" i="2"/>
  <c r="E3937" i="2"/>
  <c r="D1061" i="2"/>
  <c r="E469" i="2"/>
  <c r="E1205" i="2"/>
  <c r="D4301" i="2"/>
  <c r="E4814" i="2"/>
  <c r="D2803" i="2"/>
  <c r="E862" i="2"/>
  <c r="D1957" i="2"/>
  <c r="E1292" i="2"/>
  <c r="D1657" i="2"/>
  <c r="D1816" i="2"/>
  <c r="D2932" i="2"/>
  <c r="E2140" i="2"/>
  <c r="D4425" i="2"/>
  <c r="D1116" i="2"/>
  <c r="E4030" i="2"/>
  <c r="D917" i="2"/>
  <c r="D1691" i="2"/>
  <c r="D3059" i="2"/>
  <c r="E1021" i="2"/>
  <c r="D2874" i="2"/>
  <c r="E1476" i="2"/>
  <c r="E1459" i="2"/>
  <c r="D537" i="2"/>
  <c r="E3748" i="2"/>
  <c r="E1290" i="2"/>
  <c r="D3886" i="2"/>
  <c r="D805" i="2"/>
  <c r="E2903" i="2"/>
  <c r="E2106" i="2"/>
  <c r="D3180" i="2"/>
  <c r="D1669" i="2"/>
  <c r="D3655" i="2"/>
  <c r="D3973" i="2"/>
  <c r="D3327" i="2"/>
  <c r="E2749" i="2"/>
  <c r="E411" i="2"/>
  <c r="D627" i="2"/>
  <c r="E4499" i="2"/>
  <c r="E2302" i="2"/>
  <c r="E1980" i="2"/>
  <c r="D4068" i="2"/>
  <c r="D3310" i="2"/>
  <c r="D2844" i="2"/>
  <c r="D4444" i="2"/>
  <c r="E850" i="2"/>
  <c r="E1273" i="2"/>
  <c r="D844" i="2"/>
  <c r="E3310" i="2"/>
  <c r="E2901" i="2"/>
  <c r="E4181" i="2"/>
  <c r="D5007" i="2"/>
  <c r="E1745" i="2"/>
  <c r="D505" i="2"/>
  <c r="D2821" i="2"/>
  <c r="E1875" i="2"/>
  <c r="E2474" i="2"/>
  <c r="D2848" i="2"/>
  <c r="E1435" i="2"/>
  <c r="D1264" i="2"/>
  <c r="E721" i="2"/>
  <c r="D1403" i="2"/>
  <c r="D4853" i="2"/>
  <c r="E700" i="2"/>
  <c r="D3813" i="2"/>
  <c r="D1399" i="2"/>
  <c r="D1584" i="2"/>
  <c r="D573" i="2"/>
  <c r="D790" i="2"/>
  <c r="E667" i="2"/>
  <c r="D2247" i="2"/>
  <c r="D1133" i="2"/>
  <c r="E1801" i="2"/>
  <c r="D3274" i="2"/>
  <c r="E2298" i="2"/>
  <c r="D1747" i="2"/>
  <c r="D3166" i="2"/>
  <c r="D1103" i="2"/>
  <c r="D1189" i="2"/>
  <c r="E2104" i="2"/>
  <c r="D1238" i="2"/>
  <c r="D411" i="2"/>
  <c r="E5189" i="2"/>
  <c r="D2989" i="2"/>
  <c r="E4641" i="2"/>
  <c r="D1635" i="2"/>
  <c r="D5469" i="2"/>
  <c r="E2827" i="2"/>
  <c r="E3589" i="2"/>
  <c r="E3810" i="2"/>
  <c r="E3272" i="2"/>
  <c r="E879" i="2"/>
  <c r="D4100" i="2"/>
  <c r="D2067" i="2"/>
  <c r="D2964" i="2"/>
  <c r="D1565" i="2"/>
  <c r="D1080" i="2"/>
  <c r="D2121" i="2"/>
  <c r="D4406" i="2"/>
  <c r="E2718" i="2"/>
  <c r="D4303" i="2"/>
  <c r="E3165" i="2"/>
  <c r="E791" i="2"/>
  <c r="E544" i="2"/>
  <c r="E1440" i="2"/>
  <c r="E3112" i="2"/>
  <c r="E2011" i="2"/>
  <c r="E3239" i="2"/>
  <c r="D1998" i="2"/>
  <c r="E696" i="2"/>
  <c r="E4242" i="2"/>
  <c r="D3578" i="2"/>
  <c r="D1276" i="2"/>
  <c r="E2897" i="2"/>
  <c r="E4135" i="2"/>
  <c r="D4677" i="2"/>
  <c r="D3490" i="2"/>
  <c r="E4011" i="2"/>
  <c r="E3181" i="2"/>
  <c r="D2698" i="2"/>
  <c r="E1493" i="2"/>
  <c r="D2822" i="2"/>
  <c r="D1417" i="2"/>
  <c r="E1494" i="2"/>
  <c r="D1093" i="2"/>
  <c r="E1182" i="2"/>
  <c r="D1363" i="2"/>
  <c r="D3112" i="2"/>
  <c r="E1653" i="2"/>
  <c r="D2123" i="2"/>
  <c r="D1761" i="2"/>
  <c r="D3616" i="2"/>
  <c r="E4336" i="2"/>
  <c r="D1922" i="2"/>
  <c r="E3835" i="2"/>
  <c r="E789" i="2"/>
  <c r="D1686" i="2"/>
  <c r="D4603" i="2"/>
  <c r="D4375" i="2"/>
  <c r="D1781" i="2"/>
  <c r="E1241" i="2"/>
  <c r="D1798" i="2"/>
  <c r="D4152" i="2"/>
  <c r="E1439" i="2"/>
  <c r="E832" i="2"/>
  <c r="D359" i="2"/>
  <c r="E2985" i="2"/>
  <c r="E757" i="2"/>
  <c r="D3950" i="2"/>
  <c r="E771" i="2"/>
  <c r="E3880" i="2"/>
  <c r="E950" i="2"/>
  <c r="E3324" i="2"/>
  <c r="E3779" i="2"/>
  <c r="D418" i="2"/>
  <c r="E414" i="2"/>
  <c r="D4246" i="2"/>
  <c r="D754" i="2"/>
  <c r="D3957" i="2"/>
  <c r="E2084" i="2"/>
  <c r="D501" i="2"/>
  <c r="D4570" i="2"/>
  <c r="E1363" i="2"/>
  <c r="D2372" i="2"/>
  <c r="D2014" i="2"/>
  <c r="D612" i="2"/>
  <c r="D761" i="2"/>
  <c r="D417" i="2"/>
  <c r="D2032" i="2"/>
  <c r="D1117" i="2"/>
  <c r="E1708" i="2"/>
  <c r="E4180" i="2"/>
  <c r="D301" i="2"/>
  <c r="E3655" i="2"/>
  <c r="D3595" i="2"/>
  <c r="D3313" i="2"/>
  <c r="E3637" i="2"/>
  <c r="D4065" i="2"/>
  <c r="E3451" i="2"/>
  <c r="E3234" i="2"/>
  <c r="E1978" i="2"/>
  <c r="E1946" i="2"/>
  <c r="E985" i="2"/>
  <c r="D3544" i="2"/>
  <c r="E343" i="2"/>
  <c r="D1960" i="2"/>
  <c r="E805" i="2"/>
  <c r="D1837" i="2"/>
  <c r="E2159" i="2"/>
  <c r="D2377" i="2"/>
  <c r="E3185" i="2"/>
  <c r="E756" i="2"/>
  <c r="D4463" i="2"/>
  <c r="D466" i="2"/>
  <c r="D3668" i="2"/>
  <c r="E4298" i="2"/>
  <c r="E899" i="2"/>
  <c r="D878" i="2"/>
  <c r="D2033" i="2"/>
  <c r="E3200" i="2"/>
  <c r="E2965" i="2"/>
  <c r="D2647" i="2"/>
  <c r="D1849" i="2"/>
  <c r="E4090" i="2"/>
  <c r="E1938" i="2"/>
  <c r="E898" i="2"/>
  <c r="E4101" i="2"/>
  <c r="E2272" i="2"/>
  <c r="D3294" i="2"/>
  <c r="E3581" i="2"/>
  <c r="D1763" i="2"/>
  <c r="E2001" i="2"/>
  <c r="E3313" i="2"/>
  <c r="D2722" i="2"/>
  <c r="D1186" i="2"/>
  <c r="D4710" i="2"/>
  <c r="D3677" i="2"/>
  <c r="E935" i="2"/>
  <c r="D4159" i="2"/>
  <c r="E3226" i="2"/>
  <c r="E1742" i="2"/>
  <c r="D683" i="2"/>
  <c r="D284" i="2"/>
  <c r="D4072" i="2"/>
  <c r="E487" i="2"/>
  <c r="E4391" i="2"/>
  <c r="D1777" i="2"/>
  <c r="D5054" i="2"/>
  <c r="D3128" i="2"/>
  <c r="D3257" i="2"/>
  <c r="D4107" i="2"/>
  <c r="E2088" i="2"/>
  <c r="D4472" i="2"/>
  <c r="E2877" i="2"/>
  <c r="E1712" i="2"/>
  <c r="D3127" i="2"/>
  <c r="E5066" i="2"/>
  <c r="E1275" i="2"/>
  <c r="D1042" i="2"/>
  <c r="E728" i="2"/>
  <c r="E2266" i="2"/>
  <c r="E4865" i="2"/>
  <c r="E4027" i="2"/>
  <c r="D490" i="2"/>
  <c r="E4325" i="2"/>
  <c r="E1189" i="2"/>
  <c r="E1603" i="2"/>
  <c r="D1121" i="2"/>
  <c r="D1203" i="2"/>
  <c r="D4284" i="2"/>
  <c r="E3619" i="2"/>
  <c r="D1848" i="2"/>
  <c r="E1908" i="2"/>
  <c r="D558" i="2"/>
  <c r="D4302" i="2"/>
  <c r="D1170" i="2"/>
  <c r="D4497" i="2"/>
  <c r="D372" i="2"/>
  <c r="D4029" i="2"/>
  <c r="E2304" i="2"/>
  <c r="E1080" i="2"/>
  <c r="D913" i="2"/>
  <c r="E3961" i="2"/>
  <c r="D3780" i="2"/>
  <c r="E4288" i="2"/>
  <c r="E1941" i="2"/>
  <c r="D3421" i="2"/>
  <c r="D1350" i="2"/>
  <c r="E3650" i="2"/>
  <c r="E1549" i="2"/>
  <c r="D2146" i="2"/>
  <c r="E3616" i="2"/>
  <c r="D2342" i="2"/>
  <c r="D2244" i="2"/>
  <c r="E4302" i="2"/>
  <c r="E3798" i="2"/>
  <c r="D3689" i="2"/>
  <c r="E1763" i="2"/>
  <c r="D4260" i="2"/>
  <c r="D3461" i="2"/>
  <c r="D4030" i="2"/>
  <c r="D3779" i="2"/>
  <c r="E3457" i="2"/>
  <c r="E1022" i="2"/>
  <c r="D3978" i="2"/>
  <c r="E4248" i="2"/>
  <c r="E2200" i="2"/>
  <c r="E827" i="2"/>
  <c r="E4246" i="2"/>
  <c r="D4243" i="2"/>
  <c r="E212" i="2"/>
  <c r="E1367" i="2"/>
  <c r="D544" i="2"/>
  <c r="D2302" i="2"/>
  <c r="D2767" i="2"/>
  <c r="E1247" i="2"/>
  <c r="D894" i="2"/>
  <c r="E3037" i="2"/>
  <c r="E2361" i="2"/>
  <c r="D1926" i="2"/>
  <c r="E4681" i="2"/>
  <c r="E2949" i="2"/>
  <c r="E3747" i="2"/>
  <c r="E972" i="2"/>
  <c r="D1856" i="2"/>
  <c r="E303" i="2"/>
  <c r="D3829" i="2"/>
  <c r="D2272" i="2"/>
  <c r="E575" i="2"/>
  <c r="D1420" i="2"/>
  <c r="D5094" i="2"/>
  <c r="D4428" i="2"/>
  <c r="E627" i="2"/>
  <c r="D1220" i="2"/>
  <c r="E3901" i="2"/>
  <c r="E5076" i="2"/>
  <c r="D2645" i="2"/>
  <c r="E410" i="2"/>
  <c r="E3346" i="2"/>
  <c r="E4625" i="2"/>
  <c r="D2354" i="2"/>
  <c r="D4320" i="2"/>
  <c r="E1204" i="2"/>
  <c r="E858" i="2"/>
  <c r="D3234" i="2"/>
  <c r="D3541" i="2"/>
  <c r="D1905" i="2"/>
  <c r="D1332" i="2"/>
  <c r="E2717" i="2"/>
  <c r="D646" i="2"/>
  <c r="D1714" i="2"/>
  <c r="E2358" i="2"/>
  <c r="E367" i="2"/>
  <c r="E1726" i="2"/>
  <c r="E2421" i="2"/>
  <c r="D1457" i="2"/>
  <c r="E376" i="2"/>
  <c r="D832" i="2"/>
  <c r="E2661" i="2"/>
  <c r="E2249" i="2"/>
  <c r="E1134" i="2"/>
  <c r="D409" i="2"/>
  <c r="E3361" i="2"/>
  <c r="D3972" i="2"/>
  <c r="D1330" i="2"/>
  <c r="E1422" i="2"/>
  <c r="D2249" i="2"/>
  <c r="D4283" i="2"/>
  <c r="E3473" i="2"/>
  <c r="E3522" i="2"/>
  <c r="E772" i="2"/>
  <c r="E2933" i="2"/>
  <c r="D519" i="2"/>
  <c r="E4735" i="2"/>
  <c r="D635" i="2"/>
  <c r="E4606" i="2"/>
  <c r="E1200" i="2"/>
  <c r="D107" i="2"/>
  <c r="E4171" i="2"/>
  <c r="E4224" i="2"/>
  <c r="D1579" i="2"/>
  <c r="D1866" i="2"/>
  <c r="D2051" i="2"/>
  <c r="D903" i="2"/>
  <c r="E1385" i="2"/>
  <c r="D1983" i="2"/>
  <c r="E5007" i="2"/>
  <c r="E1635" i="2"/>
  <c r="E357" i="2"/>
  <c r="D1509" i="2"/>
  <c r="E3596" i="2"/>
  <c r="D3291" i="2"/>
  <c r="E4082" i="2"/>
  <c r="D1364" i="2"/>
  <c r="E1003" i="2"/>
  <c r="E3471" i="2"/>
  <c r="E792" i="2"/>
  <c r="E3652" i="2"/>
  <c r="E1975" i="2"/>
  <c r="E3528" i="2"/>
  <c r="D4249" i="2"/>
  <c r="E4316" i="2"/>
  <c r="D2020" i="2"/>
  <c r="D1236" i="2"/>
  <c r="E3630" i="2"/>
  <c r="D4694" i="2"/>
  <c r="E1274" i="2"/>
  <c r="D3853" i="2"/>
  <c r="E647" i="2"/>
  <c r="D75" i="2"/>
  <c r="E1333" i="2"/>
  <c r="E1246" i="2"/>
  <c r="E634" i="2"/>
  <c r="D1261" i="2"/>
  <c r="D360" i="2"/>
  <c r="D1362" i="2"/>
  <c r="D611" i="2"/>
  <c r="E1907" i="2"/>
  <c r="D1817" i="2"/>
  <c r="E1744" i="2"/>
  <c r="E3432" i="2"/>
  <c r="D2053" i="2"/>
  <c r="D3164" i="2"/>
  <c r="E1906" i="2"/>
  <c r="D2383" i="2"/>
  <c r="D2211" i="2"/>
  <c r="E4044" i="2"/>
  <c r="D4317" i="2"/>
  <c r="D1131" i="2"/>
  <c r="E1166" i="2"/>
  <c r="D5009" i="2"/>
  <c r="E3671" i="2"/>
  <c r="E936" i="2"/>
  <c r="D2968" i="2"/>
  <c r="D3787" i="2"/>
  <c r="D2751" i="2"/>
  <c r="D968" i="2"/>
  <c r="D3956" i="2"/>
  <c r="E717" i="2"/>
  <c r="D1113" i="2"/>
  <c r="E2305" i="2"/>
  <c r="D435" i="2"/>
  <c r="D876" i="2"/>
  <c r="D4580" i="2"/>
  <c r="E3133" i="2"/>
  <c r="E480" i="2"/>
  <c r="D517" i="2"/>
  <c r="E1511" i="2"/>
  <c r="D4667" i="2"/>
  <c r="E2683" i="2"/>
  <c r="D2839" i="2"/>
  <c r="E2679" i="2"/>
  <c r="D1782" i="2"/>
  <c r="D3955" i="2"/>
  <c r="E3911" i="2"/>
  <c r="D2396" i="2"/>
  <c r="D4640" i="2"/>
  <c r="E323" i="2"/>
  <c r="D1023" i="2"/>
  <c r="D2669" i="2"/>
  <c r="D4174" i="2"/>
  <c r="D2957" i="2"/>
  <c r="D630" i="2"/>
  <c r="D1564" i="2"/>
  <c r="E3856" i="2"/>
  <c r="E1042" i="2"/>
  <c r="E2070" i="2"/>
  <c r="E1355" i="2"/>
  <c r="D2012" i="2"/>
  <c r="E624" i="2"/>
  <c r="D1311" i="2"/>
  <c r="D319" i="2"/>
  <c r="E1676" i="2"/>
  <c r="E625" i="2"/>
  <c r="D4774" i="2"/>
  <c r="E499" i="2"/>
  <c r="D858" i="2"/>
  <c r="E4033" i="2"/>
  <c r="E4586" i="2"/>
  <c r="D2823" i="2"/>
  <c r="E337" i="2"/>
  <c r="D2089" i="2"/>
  <c r="E2014" i="2"/>
  <c r="E3293" i="2"/>
  <c r="E3007" i="2"/>
  <c r="E2734" i="2"/>
  <c r="E1547" i="2"/>
  <c r="D4121" i="2"/>
  <c r="E1404" i="2"/>
  <c r="E3726" i="2"/>
  <c r="D1114" i="2"/>
  <c r="D3940" i="2"/>
  <c r="E2730" i="2"/>
  <c r="E3620" i="2"/>
  <c r="D3943" i="2"/>
  <c r="E322" i="2"/>
  <c r="E3550" i="2"/>
  <c r="D2319" i="2"/>
  <c r="D4609" i="2"/>
  <c r="E2050" i="2"/>
  <c r="D4711" i="2"/>
  <c r="D2790" i="2"/>
  <c r="E3882" i="2"/>
  <c r="E1652" i="2"/>
  <c r="E2112" i="2"/>
  <c r="E1959" i="2"/>
  <c r="D5149" i="2"/>
  <c r="D2129" i="2"/>
  <c r="D1582" i="2"/>
  <c r="E2035" i="2"/>
  <c r="E1380" i="2"/>
  <c r="D610" i="2"/>
  <c r="D3496" i="2"/>
  <c r="E2083" i="2"/>
  <c r="D3132" i="2"/>
  <c r="D2160" i="2"/>
  <c r="D88" i="2"/>
  <c r="D2173" i="2"/>
  <c r="E2012" i="2"/>
  <c r="E3331" i="2"/>
  <c r="D4026" i="2"/>
  <c r="E2317" i="2"/>
  <c r="E3547" i="2"/>
  <c r="D933" i="2"/>
  <c r="D3730" i="2"/>
  <c r="D1079" i="2"/>
  <c r="E2894" i="2"/>
  <c r="D793" i="2"/>
  <c r="D4450" i="2"/>
  <c r="E4279" i="2"/>
  <c r="D140" i="2"/>
  <c r="D2282" i="2"/>
  <c r="D5192" i="2"/>
  <c r="D1387" i="2"/>
  <c r="E2631" i="2"/>
  <c r="D3151" i="2"/>
  <c r="D4197" i="2"/>
  <c r="D989" i="2"/>
  <c r="E2110" i="2"/>
  <c r="D4559" i="2"/>
  <c r="E3532" i="2"/>
  <c r="D3540" i="2"/>
  <c r="D1818" i="2"/>
  <c r="E703" i="2"/>
  <c r="D743" i="2"/>
  <c r="E329" i="2"/>
  <c r="D4443" i="2"/>
  <c r="D3731" i="2"/>
  <c r="E505" i="2"/>
  <c r="D3900" i="2"/>
  <c r="E3569" i="2"/>
  <c r="D1671" i="2"/>
  <c r="D4505" i="2"/>
  <c r="E4126" i="2"/>
  <c r="E3437" i="2"/>
  <c r="D3450" i="2"/>
  <c r="E97" i="2"/>
  <c r="D1421" i="2"/>
  <c r="D3039" i="2"/>
  <c r="E3767" i="2"/>
  <c r="D3690" i="2"/>
  <c r="E3173" i="2"/>
  <c r="D1606" i="2"/>
  <c r="D2939" i="2"/>
  <c r="D3478" i="2"/>
  <c r="D4343" i="2"/>
  <c r="E412" i="2"/>
  <c r="E829" i="2"/>
  <c r="D430" i="2"/>
  <c r="E1853" i="2"/>
  <c r="D3666" i="2"/>
  <c r="D3061" i="2"/>
  <c r="D3335" i="2"/>
  <c r="D2719" i="2"/>
  <c r="D4264" i="2"/>
  <c r="E3960" i="2"/>
  <c r="D840" i="2"/>
  <c r="D1542" i="2"/>
  <c r="E4440" i="2"/>
  <c r="E3544" i="2"/>
  <c r="E2100" i="2"/>
  <c r="D2646" i="2"/>
  <c r="E1872" i="2"/>
  <c r="E3707" i="2"/>
  <c r="E4116" i="2"/>
  <c r="D4336" i="2"/>
  <c r="E3594" i="2"/>
  <c r="D4494" i="2"/>
  <c r="D1563" i="2"/>
  <c r="E3398" i="2"/>
  <c r="E2172" i="2"/>
  <c r="E1516" i="2"/>
  <c r="D1619" i="2"/>
  <c r="E1506" i="2"/>
  <c r="D631" i="2"/>
  <c r="D4796" i="2"/>
  <c r="D2029" i="2"/>
  <c r="E1405" i="2"/>
  <c r="D2951" i="2"/>
  <c r="E2139" i="2"/>
  <c r="E2843" i="2"/>
  <c r="D781" i="2"/>
  <c r="D2177" i="2"/>
  <c r="E3545" i="2"/>
  <c r="E1421" i="2"/>
  <c r="E1526" i="2"/>
  <c r="D653" i="2"/>
  <c r="E933" i="2"/>
  <c r="D3792" i="2"/>
  <c r="E3020" i="2"/>
  <c r="D4261" i="2"/>
  <c r="E450" i="2"/>
  <c r="D2967" i="2"/>
  <c r="D2809" i="2"/>
  <c r="E1508" i="2"/>
  <c r="D2193" i="2"/>
  <c r="D3504" i="2"/>
  <c r="E3146" i="2"/>
  <c r="D4138" i="2"/>
  <c r="E2" i="2"/>
  <c r="D1769" i="2"/>
  <c r="D1627" i="2"/>
  <c r="E1133" i="2"/>
  <c r="D2772" i="2"/>
  <c r="D971" i="2"/>
  <c r="E5055" i="2"/>
  <c r="E2071" i="2"/>
  <c r="E675" i="2"/>
  <c r="D2650" i="2"/>
  <c r="E3132" i="2"/>
  <c r="D2776" i="2"/>
  <c r="E990" i="2"/>
  <c r="E1296" i="2"/>
  <c r="E4280" i="2"/>
  <c r="E4463" i="2"/>
  <c r="E3274" i="2"/>
  <c r="E2988" i="2"/>
  <c r="E1277" i="2"/>
  <c r="D1169" i="2"/>
  <c r="E1026" i="2"/>
  <c r="D4067" i="2"/>
  <c r="D3778" i="2"/>
  <c r="E2784" i="2"/>
  <c r="D3217" i="2"/>
  <c r="D1725" i="2"/>
  <c r="D3831" i="2"/>
  <c r="D2716" i="2"/>
  <c r="E4048" i="2"/>
  <c r="D3848" i="2"/>
  <c r="D4081" i="2"/>
  <c r="E3796" i="2"/>
  <c r="E3294" i="2"/>
  <c r="E971" i="2"/>
  <c r="E2920" i="2"/>
  <c r="D1854" i="2"/>
  <c r="D3207" i="2"/>
  <c r="E1962" i="2"/>
  <c r="E463" i="2"/>
  <c r="D4659" i="2"/>
  <c r="E1813" i="2"/>
  <c r="E426" i="2"/>
  <c r="D2813" i="2"/>
  <c r="E2787" i="2"/>
  <c r="D3667" i="2"/>
  <c r="D2125" i="2"/>
  <c r="E4009" i="2"/>
  <c r="E4285" i="2"/>
  <c r="D3330" i="2"/>
  <c r="E4249" i="2"/>
  <c r="E4261" i="2"/>
  <c r="E4066" i="2"/>
  <c r="D3975" i="2"/>
  <c r="E4943" i="2"/>
  <c r="E4243" i="2"/>
  <c r="E4227" i="2"/>
  <c r="D648" i="2"/>
  <c r="D3632" i="2"/>
  <c r="E1597" i="2"/>
  <c r="D3568" i="2"/>
  <c r="E915" i="2"/>
  <c r="D3906" i="2"/>
  <c r="D1039" i="2"/>
  <c r="E3853" i="2"/>
  <c r="E2823" i="2"/>
  <c r="D104" i="2"/>
  <c r="D715" i="2"/>
  <c r="D136" i="2"/>
  <c r="E2284" i="2"/>
  <c r="E4014" i="2"/>
  <c r="D415" i="2"/>
  <c r="D1495" i="2"/>
  <c r="E3115" i="2"/>
  <c r="E1167" i="2"/>
  <c r="E1632" i="2"/>
  <c r="E1236" i="2"/>
  <c r="D1672" i="2"/>
  <c r="E4207" i="2"/>
  <c r="D882" i="2"/>
  <c r="E3290" i="2"/>
  <c r="D1580" i="2"/>
  <c r="D3815" i="2"/>
  <c r="D3648" i="2"/>
  <c r="D3036" i="2"/>
  <c r="D2281" i="2"/>
  <c r="E2357" i="2"/>
  <c r="E1618" i="2"/>
  <c r="D3796" i="2"/>
  <c r="D678" i="2"/>
  <c r="E2695" i="2"/>
  <c r="D1499" i="2"/>
  <c r="E3370" i="2"/>
  <c r="E3601" i="2"/>
  <c r="E1983" i="2"/>
  <c r="D1889" i="2"/>
  <c r="E1352" i="2"/>
  <c r="E3959" i="2"/>
  <c r="E3918" i="2"/>
  <c r="D4281" i="2"/>
  <c r="E3153" i="2"/>
  <c r="E1637" i="2"/>
  <c r="E1668" i="2"/>
  <c r="E1279" i="2"/>
  <c r="E1362" i="2"/>
  <c r="E3527" i="2"/>
  <c r="D5053" i="2"/>
  <c r="D4394" i="2"/>
  <c r="E648" i="2"/>
  <c r="D650" i="2"/>
  <c r="E2809" i="2"/>
  <c r="E3129" i="2"/>
  <c r="D3101" i="2"/>
  <c r="D5006" i="2"/>
  <c r="D4551" i="2"/>
  <c r="E853" i="2"/>
  <c r="D1328" i="2"/>
  <c r="D115" i="2"/>
  <c r="E3957" i="2"/>
  <c r="E4684" i="2"/>
  <c r="E3669" i="2"/>
  <c r="E3385" i="2"/>
  <c r="E5018" i="2"/>
  <c r="D2713" i="2"/>
  <c r="D4126" i="2"/>
  <c r="D3312" i="2"/>
  <c r="D483" i="2"/>
  <c r="D4409" i="2"/>
  <c r="E4852" i="2"/>
  <c r="D777" i="2"/>
  <c r="D4149" i="2"/>
  <c r="D2631" i="2"/>
  <c r="D4237" i="2"/>
  <c r="E3921" i="2"/>
  <c r="E4015" i="2"/>
  <c r="D1007" i="2"/>
  <c r="D955" i="2"/>
  <c r="D1490" i="2"/>
  <c r="D3241" i="2"/>
  <c r="E4476" i="2"/>
  <c r="D1646" i="2"/>
  <c r="E3997" i="2"/>
  <c r="E3223" i="2"/>
  <c r="D698" i="2"/>
  <c r="E2953" i="2"/>
  <c r="E3297" i="2"/>
  <c r="D1694" i="2"/>
  <c r="E151" i="2"/>
  <c r="D1094" i="2"/>
  <c r="E645" i="2"/>
  <c r="E4584" i="2"/>
  <c r="E4516" i="2"/>
  <c r="E5428" i="2"/>
  <c r="E3705" i="2"/>
  <c r="D1488" i="2"/>
  <c r="E433" i="2"/>
  <c r="D2140" i="2"/>
  <c r="D2071" i="2"/>
  <c r="E3128" i="2"/>
  <c r="E2899" i="2"/>
  <c r="E4198" i="2"/>
  <c r="D557" i="2"/>
  <c r="E4478" i="2"/>
  <c r="D1440" i="2"/>
  <c r="D4171" i="2"/>
  <c r="D3925" i="2"/>
  <c r="E4334" i="2"/>
  <c r="E3850" i="2"/>
  <c r="E4103" i="2"/>
  <c r="D3819" i="2"/>
  <c r="D3960" i="2"/>
  <c r="D2892" i="2"/>
  <c r="D3364" i="2"/>
  <c r="D4442" i="2"/>
  <c r="E2551" i="2"/>
  <c r="E1948" i="2"/>
  <c r="D574" i="2"/>
  <c r="E5174" i="2"/>
  <c r="E1383" i="2"/>
  <c r="D3417" i="2"/>
  <c r="E1146" i="2"/>
  <c r="D3993" i="2"/>
  <c r="D4357" i="2"/>
  <c r="D3493" i="2"/>
  <c r="D34" i="2"/>
  <c r="E3993" i="2"/>
  <c r="D4371" i="2"/>
  <c r="D4083" i="2"/>
  <c r="D4180" i="2"/>
  <c r="E3621" i="2"/>
  <c r="D1806" i="2"/>
  <c r="E308" i="2"/>
  <c r="E4474" i="2"/>
  <c r="E1690" i="2"/>
  <c r="E3139" i="2"/>
  <c r="E2681" i="2"/>
  <c r="D3949" i="2"/>
  <c r="E1672" i="2"/>
  <c r="E1264" i="2"/>
  <c r="D2685" i="2"/>
  <c r="E1058" i="2"/>
  <c r="D667" i="2"/>
  <c r="D3509" i="2"/>
  <c r="E3277" i="2"/>
  <c r="D1171" i="2"/>
  <c r="E3867" i="2"/>
  <c r="D1384" i="2"/>
  <c r="E3559" i="2"/>
  <c r="D3661" i="2"/>
  <c r="E2065" i="2"/>
  <c r="D2178" i="2"/>
  <c r="E967" i="2"/>
  <c r="D2988" i="2"/>
  <c r="D2174" i="2"/>
  <c r="D2087" i="2"/>
  <c r="E3831" i="2"/>
  <c r="D3937" i="2"/>
  <c r="E2643" i="2"/>
  <c r="D901" i="2"/>
  <c r="E3691" i="2"/>
  <c r="E2031" i="2"/>
  <c r="E3958" i="2"/>
  <c r="D3810" i="2"/>
  <c r="D489" i="2"/>
  <c r="E1655" i="2"/>
  <c r="E3024" i="2"/>
  <c r="E4487" i="2"/>
  <c r="D4009" i="2"/>
  <c r="E4006" i="2"/>
  <c r="E1830" i="2"/>
  <c r="E189" i="2"/>
  <c r="E557" i="2"/>
  <c r="E4591" i="2"/>
  <c r="D2083" i="2"/>
  <c r="D3869" i="2"/>
  <c r="E2792" i="2"/>
  <c r="D928" i="2"/>
  <c r="E4338" i="2"/>
  <c r="E297" i="2"/>
  <c r="D1797" i="2"/>
  <c r="D2986" i="2"/>
  <c r="E3397" i="2"/>
  <c r="D534" i="2"/>
  <c r="D1347" i="2"/>
  <c r="E83" i="2"/>
  <c r="D1962" i="2"/>
  <c r="D199" i="2"/>
  <c r="E1310" i="2"/>
  <c r="D3280" i="2"/>
  <c r="D2237" i="2"/>
  <c r="D3069" i="2"/>
  <c r="E1209" i="2"/>
  <c r="D2762" i="2"/>
  <c r="D1483" i="2"/>
  <c r="D1978" i="2"/>
  <c r="E4411" i="2"/>
  <c r="E498" i="2"/>
  <c r="D1995" i="2"/>
  <c r="E1303" i="2"/>
  <c r="E4182" i="2"/>
  <c r="E4657" i="2"/>
  <c r="E3384" i="2"/>
  <c r="D3828" i="2"/>
  <c r="D2956" i="2"/>
  <c r="D2154" i="2"/>
  <c r="E1096" i="2"/>
  <c r="D3056" i="2"/>
  <c r="D4224" i="2"/>
  <c r="D739" i="2"/>
  <c r="D2987" i="2"/>
  <c r="D1242" i="2"/>
  <c r="D3545" i="2"/>
  <c r="D3306" i="2"/>
  <c r="D2015" i="2"/>
  <c r="D3220" i="2"/>
  <c r="D3398" i="2"/>
  <c r="E825" i="2"/>
  <c r="E494" i="2"/>
  <c r="D307" i="2"/>
  <c r="E3492" i="2"/>
  <c r="E2047" i="2"/>
  <c r="D4587" i="2"/>
  <c r="E2271" i="2"/>
  <c r="E4656" i="2"/>
  <c r="D1026" i="2"/>
  <c r="D1241" i="2"/>
  <c r="E1531" i="2"/>
  <c r="D449" i="2"/>
  <c r="D4644" i="2"/>
  <c r="E4376" i="2"/>
  <c r="E688" i="2"/>
  <c r="D3746" i="2"/>
  <c r="E2803" i="2"/>
  <c r="E1315" i="2"/>
  <c r="D4285" i="2"/>
  <c r="E1398" i="2"/>
  <c r="E1623" i="2"/>
  <c r="E5376" i="2"/>
  <c r="D1467" i="2"/>
  <c r="E4608" i="2"/>
  <c r="E3486" i="2"/>
  <c r="E1132" i="2"/>
  <c r="E485" i="2"/>
  <c r="D1239" i="2"/>
  <c r="D1414" i="2"/>
  <c r="D4601" i="2"/>
  <c r="D4423" i="2"/>
  <c r="E4970" i="2"/>
  <c r="D644" i="2"/>
  <c r="E5515" i="2"/>
  <c r="E4475" i="2"/>
  <c r="D2046" i="2"/>
  <c r="D3322" i="2"/>
  <c r="E682" i="2"/>
  <c r="E3666" i="2"/>
  <c r="D1099" i="2"/>
  <c r="E595" i="2"/>
  <c r="D5011" i="2"/>
  <c r="D4353" i="2"/>
  <c r="D1156" i="2"/>
  <c r="D4625" i="2"/>
  <c r="E301" i="2"/>
  <c r="E2181" i="2"/>
  <c r="D1841" i="2"/>
  <c r="E1656" i="2"/>
  <c r="E466" i="2"/>
  <c r="E4484" i="2"/>
  <c r="E2230" i="2"/>
  <c r="D86" i="2"/>
  <c r="E1293" i="2"/>
  <c r="E3023" i="2"/>
  <c r="D1003" i="2"/>
  <c r="D1526" i="2"/>
  <c r="D1547" i="2"/>
  <c r="E3060" i="2"/>
  <c r="D1689" i="2"/>
  <c r="D1688" i="2"/>
  <c r="D1944" i="2"/>
  <c r="D1834" i="2"/>
  <c r="D1692" i="2"/>
  <c r="D4228" i="2"/>
  <c r="D2773" i="2"/>
  <c r="E1835" i="2"/>
  <c r="E3991" i="2"/>
  <c r="E1994" i="2"/>
  <c r="E608" i="2"/>
  <c r="D732" i="2"/>
  <c r="E3417" i="2"/>
  <c r="E4317" i="2"/>
  <c r="D1618" i="2"/>
  <c r="E2783" i="2"/>
  <c r="D3468" i="2"/>
  <c r="D4629" i="2"/>
  <c r="D342" i="2"/>
  <c r="D4062" i="2"/>
  <c r="E3725" i="2"/>
  <c r="E1375" i="2"/>
  <c r="E3248" i="2"/>
  <c r="D1115" i="2"/>
  <c r="E2254" i="2"/>
  <c r="E1689" i="2"/>
  <c r="D1570" i="2"/>
  <c r="E3367" i="2"/>
  <c r="E1020" i="2"/>
  <c r="D3222" i="2"/>
  <c r="E4731" i="2"/>
  <c r="E4644" i="2"/>
  <c r="E1728" i="2"/>
  <c r="D1166" i="2"/>
  <c r="E4442" i="2"/>
  <c r="E1449" i="2"/>
  <c r="E4208" i="2"/>
  <c r="E2148" i="2"/>
  <c r="E1473" i="2"/>
  <c r="D1984" i="2"/>
  <c r="D4656" i="2"/>
  <c r="D2521" i="2"/>
  <c r="D748" i="2"/>
  <c r="E3645" i="2"/>
  <c r="D3744" i="2"/>
  <c r="E4360" i="2"/>
  <c r="D3347" i="2"/>
  <c r="D3346" i="2"/>
  <c r="D3564" i="2"/>
  <c r="E1845" i="2"/>
  <c r="D43" i="2"/>
  <c r="E1186" i="2"/>
  <c r="E1515" i="2"/>
  <c r="E3253" i="2"/>
  <c r="D2538" i="2"/>
  <c r="D697" i="2"/>
  <c r="D2734" i="2"/>
  <c r="D2628" i="2"/>
  <c r="D4445" i="2"/>
  <c r="D918" i="2"/>
  <c r="E3006" i="2"/>
  <c r="E3875" i="2"/>
  <c r="E1185" i="2"/>
  <c r="D2701" i="2"/>
  <c r="E2157" i="2"/>
  <c r="D3186" i="2"/>
  <c r="D2676" i="2"/>
  <c r="E305" i="2"/>
  <c r="D230" i="2"/>
  <c r="D4608" i="2"/>
  <c r="E3577" i="2"/>
  <c r="E914" i="2"/>
  <c r="E2694" i="2"/>
  <c r="D1412" i="2"/>
  <c r="E4623" i="2"/>
  <c r="E3819" i="2"/>
  <c r="D4073" i="2"/>
  <c r="D4458" i="2"/>
  <c r="E2280" i="2"/>
  <c r="D2755" i="2"/>
  <c r="D4913" i="2"/>
  <c r="D4998" i="2"/>
  <c r="E4482" i="2"/>
  <c r="E506" i="2"/>
  <c r="E3091" i="2"/>
  <c r="D2748" i="2"/>
  <c r="D2201" i="2"/>
  <c r="E2715" i="2"/>
  <c r="E1724" i="2"/>
  <c r="E2650" i="2"/>
  <c r="D2110" i="2"/>
  <c r="D4349" i="2"/>
  <c r="D936" i="2"/>
  <c r="D1084" i="2"/>
  <c r="D895" i="2"/>
  <c r="E32" i="2"/>
  <c r="E5074" i="2"/>
  <c r="D3660" i="2"/>
  <c r="D158" i="2"/>
  <c r="D892" i="2"/>
  <c r="E4480" i="2"/>
  <c r="D1571" i="2"/>
  <c r="E1188" i="2"/>
  <c r="E2326" i="2"/>
  <c r="E1839" i="2"/>
  <c r="E1819" i="2"/>
  <c r="D2863" i="2"/>
  <c r="E1997" i="2"/>
  <c r="D1479" i="2"/>
  <c r="D1077" i="2"/>
  <c r="D2373" i="2"/>
  <c r="E3075" i="2"/>
  <c r="E1783" i="2"/>
  <c r="E1224" i="2"/>
  <c r="D2642" i="2"/>
  <c r="E559" i="2"/>
  <c r="E1619" i="2"/>
  <c r="E1782" i="2"/>
  <c r="E1704" i="2"/>
  <c r="D1636" i="2"/>
  <c r="D1620" i="2"/>
  <c r="D2337" i="2"/>
  <c r="E4136" i="2"/>
  <c r="E3817" i="2"/>
  <c r="D1996" i="2"/>
  <c r="E4464" i="2"/>
  <c r="D4209" i="2"/>
  <c r="E5095" i="2"/>
  <c r="E2665" i="2"/>
  <c r="E1350" i="2"/>
  <c r="D3636" i="2"/>
  <c r="E2677" i="2"/>
  <c r="D1312" i="2"/>
  <c r="E2990" i="2"/>
  <c r="E162" i="2"/>
  <c r="D329" i="2"/>
  <c r="E5052" i="2"/>
  <c r="E1942" i="2"/>
  <c r="D3508" i="2"/>
  <c r="E4572" i="2"/>
  <c r="D4312" i="2"/>
  <c r="D3118" i="2"/>
  <c r="E121" i="2"/>
  <c r="D2661" i="2"/>
  <c r="E2641" i="2"/>
  <c r="D4589" i="2"/>
  <c r="E18" i="2"/>
  <c r="D4070" i="2"/>
  <c r="D4119" i="2"/>
  <c r="E2443" i="2"/>
  <c r="E2121" i="2"/>
  <c r="E86" i="2"/>
  <c r="D661" i="2"/>
  <c r="D1394" i="2"/>
  <c r="E310" i="2"/>
  <c r="D2207" i="2"/>
  <c r="E3286" i="2"/>
  <c r="E4003" i="2"/>
  <c r="E1297" i="2"/>
  <c r="D2030" i="2"/>
  <c r="D4103" i="2"/>
  <c r="D1801" i="2"/>
  <c r="E436" i="2"/>
  <c r="E3673" i="2"/>
  <c r="D358" i="2"/>
  <c r="D341" i="2"/>
  <c r="D1493" i="2"/>
  <c r="D608" i="2"/>
  <c r="D2843" i="2"/>
  <c r="E3062" i="2"/>
  <c r="E3327" i="2"/>
  <c r="E1370" i="2"/>
  <c r="E1148" i="2"/>
  <c r="D302" i="2"/>
  <c r="E375" i="2"/>
  <c r="D3528" i="2"/>
  <c r="D3255" i="2"/>
  <c r="E3612" i="2"/>
  <c r="D2897" i="2"/>
  <c r="D413" i="2"/>
  <c r="E631" i="2"/>
  <c r="E958" i="2"/>
  <c r="D2374" i="2"/>
  <c r="D4269" i="2"/>
  <c r="D536" i="2"/>
  <c r="E3940" i="2"/>
  <c r="D4338" i="2"/>
  <c r="D2841" i="2"/>
  <c r="E4393" i="2"/>
  <c r="D2880" i="2"/>
  <c r="E5379" i="2"/>
  <c r="E534" i="2"/>
  <c r="D4411" i="2"/>
  <c r="E1139" i="2"/>
  <c r="D3598" i="2"/>
  <c r="E4710" i="2"/>
  <c r="E911" i="2"/>
  <c r="D4337" i="2"/>
  <c r="E2635" i="2"/>
  <c r="D1728" i="2"/>
  <c r="D3902" i="2"/>
  <c r="D1259" i="2"/>
  <c r="D3868" i="2"/>
  <c r="E3348" i="2"/>
  <c r="D1604" i="2"/>
  <c r="E4155" i="2"/>
  <c r="D464" i="2"/>
  <c r="E5011" i="2"/>
  <c r="D4087" i="2"/>
  <c r="D2758" i="2"/>
  <c r="E428" i="2"/>
  <c r="D906" i="2"/>
  <c r="E5236" i="2"/>
  <c r="E4240" i="2"/>
  <c r="E517" i="2"/>
  <c r="E4319" i="2"/>
  <c r="D1096" i="2"/>
  <c r="E381" i="2"/>
  <c r="E3684" i="2"/>
  <c r="D879" i="2"/>
  <c r="D1132" i="2"/>
  <c r="E804" i="2"/>
  <c r="E3617" i="2"/>
  <c r="D2197" i="2"/>
  <c r="D3763" i="2"/>
  <c r="D1191" i="2"/>
  <c r="E3108" i="2"/>
  <c r="D4839" i="2"/>
  <c r="E970" i="2"/>
  <c r="E4892" i="2"/>
  <c r="D3654" i="2"/>
  <c r="D2840" i="2"/>
  <c r="D1670" i="2"/>
  <c r="D810" i="2"/>
  <c r="E878" i="2"/>
  <c r="E2737" i="2"/>
  <c r="D3961" i="2"/>
  <c r="E516" i="2"/>
  <c r="D2985" i="2"/>
  <c r="E2337" i="2"/>
  <c r="D3382" i="2"/>
  <c r="D3527" i="2"/>
  <c r="D4598" i="2"/>
  <c r="E1061" i="2"/>
  <c r="E3797" i="2"/>
  <c r="E4458" i="2"/>
  <c r="D2879" i="2"/>
  <c r="E4674" i="2"/>
  <c r="E525" i="2"/>
  <c r="D1005" i="2"/>
  <c r="E100" i="2"/>
  <c r="E4513" i="2"/>
  <c r="E2874" i="2"/>
  <c r="D2486" i="2"/>
  <c r="D3193" i="2"/>
  <c r="E1260" i="2"/>
  <c r="E3949" i="2"/>
  <c r="E1599" i="2"/>
  <c r="E3198" i="2"/>
  <c r="E1169" i="2"/>
  <c r="D3154" i="2"/>
  <c r="D2770" i="2"/>
  <c r="D1281" i="2"/>
  <c r="D5144" i="2"/>
  <c r="D3891" i="2"/>
  <c r="E809" i="2"/>
  <c r="D1743" i="2"/>
  <c r="E5472" i="2"/>
  <c r="D3009" i="2"/>
  <c r="E3870" i="2"/>
  <c r="D1159" i="2"/>
  <c r="D641" i="2"/>
  <c r="D985" i="2"/>
  <c r="D3471" i="2"/>
  <c r="E1956" i="2"/>
  <c r="D4278" i="2"/>
  <c r="D3348" i="2"/>
  <c r="E904" i="2"/>
  <c r="E2678" i="2"/>
  <c r="E3388" i="2"/>
  <c r="D1687" i="2"/>
  <c r="D123" i="2"/>
  <c r="E3634" i="2"/>
  <c r="E2319" i="2"/>
  <c r="E1190" i="2"/>
  <c r="E4553" i="2"/>
  <c r="D1224" i="2"/>
  <c r="D4304" i="2"/>
  <c r="E3760" i="2"/>
  <c r="D1044" i="2"/>
  <c r="E4263" i="2"/>
  <c r="D570" i="2"/>
  <c r="D1402" i="2"/>
  <c r="D4108" i="2"/>
  <c r="D1999" i="2"/>
  <c r="E3780" i="2"/>
  <c r="D2248" i="2"/>
  <c r="E4624" i="2"/>
  <c r="D3342" i="2"/>
  <c r="E361" i="2"/>
  <c r="D5013" i="2"/>
  <c r="E1027" i="2"/>
  <c r="D2714" i="2"/>
  <c r="D1975" i="2"/>
  <c r="E5184" i="2"/>
  <c r="D205" i="2"/>
  <c r="D3834" i="2"/>
  <c r="D1825" i="2"/>
  <c r="E2262" i="2"/>
  <c r="D3992" i="2"/>
  <c r="E4461" i="2"/>
  <c r="D552" i="2"/>
  <c r="E3127" i="2"/>
  <c r="D3964" i="2"/>
  <c r="D3901" i="2"/>
  <c r="D3743" i="2"/>
  <c r="D991" i="2"/>
  <c r="E163" i="2"/>
  <c r="D2966" i="2"/>
  <c r="D5187" i="2"/>
  <c r="E5333" i="2"/>
  <c r="D3041" i="2"/>
  <c r="E2586" i="2"/>
  <c r="D1381" i="2"/>
  <c r="E5006" i="2"/>
  <c r="E1794" i="2"/>
  <c r="D3550" i="2"/>
  <c r="E1346" i="2"/>
  <c r="E1680" i="2"/>
  <c r="E4526" i="2"/>
  <c r="E1792" i="2"/>
  <c r="E481" i="2"/>
  <c r="D2896" i="2"/>
  <c r="E2731" i="2"/>
  <c r="D2231" i="2"/>
  <c r="E3004" i="2"/>
  <c r="E1837" i="2"/>
  <c r="D3343" i="2"/>
  <c r="E3744" i="2"/>
  <c r="D1313" i="2"/>
  <c r="D3045" i="2"/>
  <c r="E1094" i="2"/>
  <c r="E1041" i="2"/>
  <c r="E1958" i="2"/>
  <c r="E169" i="2"/>
  <c r="D2875" i="2"/>
  <c r="D1676" i="2"/>
  <c r="E2822" i="2"/>
  <c r="D2103" i="2"/>
  <c r="E699" i="2"/>
  <c r="E3276" i="2"/>
  <c r="D3083" i="2"/>
  <c r="D2161" i="2"/>
  <c r="D966" i="2"/>
  <c r="E2161" i="2"/>
  <c r="E4404" i="2"/>
  <c r="E1059" i="2"/>
  <c r="D328" i="2"/>
  <c r="E2645" i="2"/>
  <c r="E3531" i="2"/>
  <c r="E630" i="2"/>
  <c r="D3911" i="2"/>
  <c r="E2227" i="2"/>
  <c r="E3723" i="2"/>
  <c r="E3365" i="2"/>
  <c r="D3380" i="2"/>
  <c r="D3687" i="2"/>
  <c r="E4106" i="2"/>
  <c r="E5057" i="2"/>
  <c r="E50" i="2"/>
  <c r="D1764" i="2"/>
  <c r="D3209" i="2"/>
  <c r="D1348" i="2"/>
  <c r="D572" i="2"/>
  <c r="E4022" i="2"/>
  <c r="E3636" i="2"/>
  <c r="D2040" i="2"/>
  <c r="D1707" i="2"/>
  <c r="E4663" i="2"/>
  <c r="D2229" i="2"/>
  <c r="D3777" i="2"/>
  <c r="D757" i="2"/>
  <c r="D4363" i="2"/>
  <c r="D2577" i="2"/>
  <c r="D1875" i="2"/>
  <c r="E4189" i="2"/>
  <c r="D1492" i="2"/>
  <c r="D1887" i="2"/>
  <c r="E145" i="2"/>
  <c r="D3507" i="2"/>
  <c r="D1739" i="2"/>
  <c r="D2936" i="2"/>
  <c r="E2338" i="2"/>
  <c r="E4444" i="2"/>
  <c r="D1165" i="2"/>
  <c r="E4904" i="2"/>
  <c r="D2700" i="2"/>
  <c r="D171" i="2"/>
  <c r="D1458" i="2"/>
  <c r="E1691" i="2"/>
  <c r="E4550" i="2"/>
  <c r="E1098" i="2"/>
  <c r="E2073" i="2"/>
  <c r="E3721" i="2"/>
  <c r="D508" i="2"/>
  <c r="E2301" i="2"/>
  <c r="D2326" i="2"/>
  <c r="E2028" i="2"/>
  <c r="D1008" i="2"/>
  <c r="D1333" i="2"/>
  <c r="E684" i="2"/>
  <c r="D1228" i="2"/>
  <c r="D1074" i="2"/>
  <c r="E2017" i="2"/>
  <c r="E2103" i="2"/>
  <c r="E4177" i="2"/>
  <c r="D3162" i="2"/>
  <c r="E356" i="2"/>
  <c r="E5021" i="2"/>
  <c r="D1062" i="2"/>
  <c r="D4624" i="2"/>
  <c r="E4963" i="2"/>
  <c r="D3672" i="2"/>
  <c r="E4450" i="2"/>
  <c r="D2681" i="2"/>
  <c r="D2699" i="2"/>
  <c r="D4414" i="2"/>
  <c r="E1924" i="2"/>
  <c r="D3524" i="2"/>
  <c r="E1798" i="2"/>
  <c r="E4504" i="2"/>
  <c r="D2653" i="2"/>
  <c r="E203" i="2"/>
  <c r="E3925" i="2"/>
  <c r="D4628" i="2"/>
  <c r="E1495" i="2"/>
  <c r="E3078" i="2"/>
  <c r="D516" i="2"/>
  <c r="D4664" i="2"/>
  <c r="E793" i="2"/>
  <c r="D3285" i="2"/>
  <c r="E4231" i="2"/>
  <c r="E1613" i="2"/>
  <c r="D3612" i="2"/>
  <c r="D46" i="2"/>
  <c r="D681" i="2"/>
  <c r="E68" i="2"/>
  <c r="E3640" i="2"/>
  <c r="D18" i="2"/>
  <c r="D4021" i="2"/>
  <c r="E4529" i="2"/>
  <c r="D1148" i="2"/>
  <c r="D4386" i="2"/>
  <c r="E973" i="2"/>
  <c r="D1830" i="2"/>
  <c r="E619" i="2"/>
  <c r="D1599" i="2"/>
  <c r="E5094" i="2"/>
  <c r="E2154" i="2"/>
  <c r="D467" i="2"/>
  <c r="D2834" i="2"/>
  <c r="E1382" i="2"/>
  <c r="D1025" i="2"/>
  <c r="E5140" i="2"/>
  <c r="E4303" i="2"/>
  <c r="D1945" i="2"/>
  <c r="E616" i="2"/>
  <c r="E697" i="2"/>
  <c r="D2663" i="2"/>
  <c r="D1056" i="2"/>
  <c r="E4659" i="2"/>
  <c r="D3742" i="2"/>
  <c r="E1650" i="2"/>
  <c r="E4485" i="2"/>
  <c r="E520" i="2"/>
  <c r="E662" i="2"/>
  <c r="E325" i="2"/>
  <c r="D2876" i="2"/>
  <c r="D4226" i="2"/>
  <c r="D3221" i="2"/>
  <c r="E5491" i="2"/>
  <c r="D3425" i="2"/>
  <c r="E1888" i="2"/>
  <c r="E4264" i="2"/>
  <c r="E847" i="2"/>
  <c r="D1894" i="2"/>
  <c r="E3279" i="2"/>
  <c r="D1385" i="2"/>
  <c r="D4993" i="2"/>
  <c r="E1922" i="2"/>
  <c r="D2914" i="2"/>
  <c r="D4429" i="2"/>
  <c r="D500" i="2"/>
  <c r="D4322" i="2"/>
  <c r="D745" i="2"/>
  <c r="E3990" i="2"/>
  <c r="D3503" i="2"/>
  <c r="E2160" i="2"/>
  <c r="D1534" i="2"/>
  <c r="E2029" i="2"/>
  <c r="D2972" i="2"/>
  <c r="E3438" i="2"/>
  <c r="D3764" i="2"/>
  <c r="E841" i="2"/>
  <c r="E3546" i="2"/>
  <c r="E4567" i="2"/>
  <c r="E5422" i="2"/>
  <c r="D1701" i="2"/>
  <c r="E1611" i="2"/>
  <c r="E3261" i="2"/>
  <c r="D47" i="2"/>
  <c r="D717" i="2"/>
  <c r="E3974" i="2"/>
  <c r="D1368" i="2"/>
  <c r="D2825" i="2"/>
  <c r="D3368" i="2"/>
  <c r="D5145" i="2"/>
  <c r="E3543" i="2"/>
  <c r="E5123" i="2"/>
  <c r="D5183" i="2"/>
  <c r="E553" i="2"/>
  <c r="E663" i="2"/>
  <c r="D2176" i="2"/>
  <c r="D3837" i="2"/>
  <c r="D2733" i="2"/>
  <c r="D78" i="2"/>
  <c r="E1056" i="2"/>
  <c r="E2624" i="2"/>
  <c r="D4282" i="2"/>
  <c r="D1693" i="2"/>
  <c r="D3760" i="2"/>
  <c r="D2877" i="2"/>
  <c r="D2172" i="2"/>
  <c r="D1583" i="2"/>
  <c r="D468" i="2"/>
  <c r="D3433" i="2"/>
  <c r="E1600" i="2"/>
  <c r="D4553" i="2"/>
  <c r="E4395" i="2"/>
  <c r="D336" i="2"/>
  <c r="E3061" i="2"/>
  <c r="D540" i="2"/>
  <c r="D4602" i="2"/>
  <c r="D1906" i="2"/>
  <c r="D3077" i="2"/>
  <c r="D3311" i="2"/>
  <c r="D3927" i="2"/>
  <c r="E340" i="2"/>
  <c r="D399" i="2"/>
  <c r="E1060" i="2"/>
  <c r="D3708" i="2"/>
  <c r="E3587" i="2"/>
  <c r="D776" i="2"/>
  <c r="E4774" i="2"/>
  <c r="E1372" i="2"/>
  <c r="D356" i="2"/>
  <c r="E3685" i="2"/>
  <c r="D3418" i="2"/>
  <c r="E1438" i="2"/>
  <c r="D3329" i="2"/>
  <c r="E3525" i="2"/>
  <c r="E26" i="2"/>
  <c r="E3812" i="2"/>
  <c r="D189" i="2"/>
  <c r="E3002" i="2"/>
  <c r="D4173" i="2"/>
  <c r="E3802" i="2"/>
  <c r="D3183" i="2"/>
  <c r="D4223" i="2"/>
  <c r="E1070" i="2"/>
  <c r="E1466" i="2"/>
  <c r="D685" i="2"/>
  <c r="D1150" i="2"/>
  <c r="E701" i="2"/>
  <c r="D3489" i="2"/>
  <c r="E1639" i="2"/>
  <c r="D4153" i="2"/>
  <c r="E3236" i="2"/>
  <c r="E685" i="2"/>
  <c r="D4296" i="2"/>
  <c r="E571" i="2"/>
  <c r="E1762" i="2"/>
  <c r="D4154" i="2"/>
  <c r="D3621" i="2"/>
  <c r="D1549" i="2"/>
  <c r="E801" i="2"/>
  <c r="D1223" i="2"/>
  <c r="E2969" i="2"/>
  <c r="E2767" i="2"/>
  <c r="E2879" i="2"/>
  <c r="E3815" i="2"/>
  <c r="D900" i="2"/>
  <c r="E1441" i="2"/>
  <c r="E901" i="2"/>
  <c r="E3204" i="2"/>
  <c r="D4627" i="2"/>
  <c r="D1081" i="2"/>
  <c r="D2680" i="2"/>
  <c r="E3945" i="2"/>
  <c r="E2212" i="2"/>
  <c r="D3252" i="2"/>
  <c r="D3942" i="2"/>
  <c r="D429" i="2"/>
  <c r="D377" i="2"/>
  <c r="D3685" i="2"/>
  <c r="E3326" i="2"/>
  <c r="D1855" i="2"/>
  <c r="D904" i="2"/>
  <c r="E718" i="2"/>
  <c r="D4355" i="2"/>
  <c r="D2808" i="2"/>
  <c r="D4519" i="2"/>
  <c r="E994" i="2"/>
  <c r="E1052" i="2"/>
  <c r="D3959" i="2"/>
  <c r="E1828" i="2"/>
  <c r="D1098" i="2"/>
  <c r="E3774" i="2"/>
  <c r="D737" i="2"/>
  <c r="D4549" i="2"/>
  <c r="D29" i="2"/>
  <c r="D5256" i="2"/>
  <c r="D4532" i="2"/>
  <c r="E3675" i="2"/>
  <c r="E1193" i="2"/>
  <c r="D4558" i="2"/>
  <c r="E3632" i="2"/>
  <c r="E98" i="2"/>
  <c r="D4516" i="2"/>
  <c r="E3899" i="2"/>
  <c r="E800" i="2"/>
  <c r="E160" i="2"/>
  <c r="E952" i="2"/>
  <c r="E3720" i="2"/>
  <c r="D3835" i="2"/>
  <c r="D2564" i="2"/>
  <c r="E382" i="2"/>
  <c r="D3005" i="2"/>
  <c r="D5142" i="2"/>
  <c r="E3922" i="2"/>
  <c r="D919" i="2"/>
  <c r="E2015" i="2"/>
  <c r="D4693" i="2"/>
  <c r="E2881" i="2"/>
  <c r="D1201" i="2"/>
  <c r="E104" i="2"/>
  <c r="D4639" i="2"/>
  <c r="D1836" i="2"/>
  <c r="E2147" i="2"/>
  <c r="E2658" i="2"/>
  <c r="D2856" i="2"/>
  <c r="D3147" i="2"/>
  <c r="D591" i="2"/>
  <c r="E1552" i="2"/>
  <c r="E3184" i="2"/>
  <c r="E2335" i="2"/>
  <c r="E1891" i="2"/>
  <c r="D2683" i="2"/>
  <c r="E3456" i="2"/>
  <c r="E3475" i="2"/>
  <c r="D2139" i="2"/>
  <c r="D3470" i="2"/>
  <c r="E1589" i="2"/>
  <c r="E4100" i="2"/>
  <c r="E1861" i="2"/>
  <c r="E1360" i="2"/>
  <c r="D4643" i="2"/>
  <c r="D694" i="2"/>
  <c r="E1332" i="2"/>
  <c r="E3040" i="2"/>
  <c r="E4589" i="2"/>
  <c r="E4122" i="2"/>
  <c r="E3597" i="2"/>
  <c r="E1234" i="2"/>
  <c r="D5154" i="2"/>
  <c r="E1521" i="2"/>
  <c r="E4801" i="2"/>
  <c r="D2929" i="2"/>
  <c r="D935" i="2"/>
  <c r="E2214" i="2"/>
  <c r="D2787" i="2"/>
  <c r="E4448" i="2"/>
  <c r="E4104" i="2"/>
  <c r="E4757" i="2"/>
  <c r="E1257" i="2"/>
  <c r="D3352" i="2"/>
  <c r="D4447" i="2"/>
  <c r="E3693" i="2"/>
  <c r="E4610" i="2"/>
  <c r="E1807" i="2"/>
  <c r="D3759" i="2"/>
  <c r="D3701" i="2"/>
  <c r="D1004" i="2"/>
  <c r="D2842" i="2"/>
  <c r="E451" i="2"/>
  <c r="E1498" i="2"/>
  <c r="D1318" i="2"/>
  <c r="E3526" i="2"/>
  <c r="D4028" i="2"/>
  <c r="D1597" i="2"/>
  <c r="D801" i="2"/>
  <c r="E401" i="2"/>
  <c r="E2435" i="2"/>
  <c r="D3182" i="2"/>
  <c r="D720" i="2"/>
  <c r="D3237" i="2"/>
  <c r="D1729" i="2"/>
  <c r="E3241" i="2"/>
  <c r="D539" i="2"/>
  <c r="E1471" i="2"/>
  <c r="D789" i="2"/>
  <c r="D1724" i="2"/>
  <c r="D1615" i="2"/>
  <c r="E3349" i="2"/>
  <c r="E372" i="2"/>
  <c r="D286" i="2"/>
  <c r="E1692" i="2"/>
  <c r="D2233" i="2"/>
  <c r="D1879" i="2"/>
  <c r="E3056" i="2"/>
  <c r="D3802" i="2"/>
  <c r="D2106" i="2"/>
  <c r="E843" i="2"/>
  <c r="E3306" i="2"/>
  <c r="E3379" i="2"/>
  <c r="E4296" i="2"/>
  <c r="D303" i="2"/>
  <c r="E3951" i="2"/>
  <c r="E3905" i="2"/>
  <c r="E69" i="2"/>
  <c r="E304" i="2"/>
  <c r="D2264" i="2"/>
  <c r="D1949" i="2"/>
  <c r="D103" i="2"/>
  <c r="D811" i="2"/>
  <c r="D2276" i="2"/>
  <c r="D2730" i="2"/>
  <c r="D2619" i="2"/>
  <c r="E2735" i="2"/>
  <c r="D4573" i="2"/>
  <c r="E3994" i="2"/>
  <c r="E2193" i="2"/>
  <c r="E2740" i="2"/>
  <c r="E289" i="2"/>
  <c r="E1238" i="2"/>
  <c r="D850" i="2"/>
  <c r="D504" i="2"/>
  <c r="E3772" i="2"/>
  <c r="D5378" i="2"/>
  <c r="E4952" i="2"/>
  <c r="D2695" i="2"/>
  <c r="E5421" i="2"/>
  <c r="E954" i="2"/>
  <c r="E4966" i="2"/>
  <c r="E1007" i="2"/>
  <c r="E2051" i="2"/>
  <c r="D1314" i="2"/>
  <c r="D5012" i="2"/>
  <c r="D3184" i="2"/>
  <c r="D3455" i="2"/>
  <c r="E4445" i="2"/>
  <c r="E274" i="2"/>
  <c r="D4405" i="2"/>
  <c r="E3759" i="2"/>
  <c r="D828" i="2"/>
  <c r="E191" i="2"/>
  <c r="D2679" i="2"/>
  <c r="E3154" i="2"/>
  <c r="E2321" i="2"/>
  <c r="E1457" i="2"/>
  <c r="D1598" i="2"/>
  <c r="E3975" i="2"/>
  <c r="D742" i="2"/>
  <c r="D1634" i="2"/>
  <c r="E4176" i="2"/>
  <c r="E1743" i="2"/>
  <c r="D3979" i="2"/>
  <c r="D412" i="2"/>
  <c r="E3943" i="2"/>
  <c r="E2074" i="2"/>
  <c r="E341" i="2"/>
  <c r="D950" i="2"/>
  <c r="D2218" i="2"/>
  <c r="E626" i="2"/>
  <c r="D664" i="2"/>
  <c r="E4350" i="2"/>
  <c r="E4269" i="2"/>
  <c r="E1579" i="2"/>
  <c r="E2320" i="2"/>
  <c r="E576" i="2"/>
  <c r="E912" i="2"/>
  <c r="E3656" i="2"/>
  <c r="D343" i="2"/>
  <c r="D938" i="2"/>
  <c r="E859" i="2"/>
  <c r="D4049" i="2"/>
  <c r="D4245" i="2"/>
  <c r="E3042" i="2"/>
  <c r="D4620" i="2"/>
  <c r="D5522" i="2"/>
  <c r="D4248" i="2"/>
  <c r="E3458" i="2"/>
  <c r="E2267" i="2"/>
  <c r="E1120" i="2"/>
  <c r="E3811" i="2"/>
  <c r="D4486" i="2"/>
  <c r="D2290" i="2"/>
  <c r="D1371" i="2"/>
  <c r="E664" i="2"/>
  <c r="D3830" i="2"/>
  <c r="E3904" i="2"/>
  <c r="D3331" i="2"/>
  <c r="E4992" i="2"/>
  <c r="D590" i="2"/>
  <c r="E1976" i="2"/>
  <c r="E4534" i="2"/>
  <c r="D4332" i="2"/>
  <c r="E3923" i="2"/>
  <c r="D2334" i="2"/>
  <c r="E3309" i="2"/>
  <c r="D2697" i="2"/>
  <c r="E502" i="2"/>
  <c r="E1131" i="2"/>
  <c r="D4008" i="2"/>
  <c r="E1006" i="2"/>
  <c r="E4262" i="2"/>
  <c r="D1390" i="2"/>
  <c r="E4375" i="2"/>
  <c r="D3997" i="2"/>
  <c r="D4247" i="2"/>
  <c r="E2138" i="2"/>
  <c r="E4548" i="2"/>
  <c r="D859" i="2"/>
  <c r="E2508" i="2"/>
  <c r="E3097" i="2"/>
  <c r="E4188" i="2"/>
  <c r="E2786" i="2"/>
  <c r="E3221" i="2"/>
  <c r="E3041" i="2"/>
  <c r="D3093" i="2"/>
  <c r="E4306" i="2"/>
  <c r="E554" i="2"/>
  <c r="E116" i="2"/>
  <c r="D431" i="2"/>
  <c r="E1945" i="2"/>
  <c r="D4045" i="2"/>
  <c r="D3543" i="2"/>
  <c r="D4689" i="2"/>
  <c r="E1528" i="2"/>
  <c r="D998" i="2"/>
  <c r="D897" i="2"/>
  <c r="E3316" i="2"/>
  <c r="E2034" i="2"/>
  <c r="D2740" i="2"/>
  <c r="D2737" i="2"/>
  <c r="E4633" i="2"/>
  <c r="D4266" i="2"/>
  <c r="E3895" i="2"/>
  <c r="E2341" i="2"/>
  <c r="E2629" i="2"/>
  <c r="E1904" i="2"/>
  <c r="D2192" i="2"/>
  <c r="D1731" i="2"/>
  <c r="D226" i="2"/>
  <c r="D4356" i="2"/>
  <c r="E3536" i="2"/>
  <c r="D595" i="2"/>
  <c r="D3576" i="2"/>
  <c r="E3119" i="2"/>
  <c r="E424" i="2"/>
  <c r="D3628" i="2"/>
  <c r="E3243" i="2"/>
  <c r="E4622" i="2"/>
  <c r="D4626" i="2"/>
  <c r="E2974" i="2"/>
  <c r="E3653" i="2"/>
  <c r="D2677" i="2"/>
  <c r="E846" i="2"/>
  <c r="D2765" i="2"/>
  <c r="E397" i="2"/>
  <c r="E2866" i="2"/>
  <c r="D825" i="2"/>
  <c r="D1365" i="2"/>
  <c r="E2663" i="2"/>
  <c r="E1747" i="2"/>
  <c r="D977" i="2"/>
  <c r="E3362" i="2"/>
  <c r="E1488" i="2"/>
  <c r="E3182" i="2"/>
  <c r="D770" i="2"/>
  <c r="D2300" i="2"/>
  <c r="D1742" i="2"/>
  <c r="E1243" i="2"/>
  <c r="E2700" i="2"/>
  <c r="E1566" i="2"/>
  <c r="D3148" i="2"/>
  <c r="E2680" i="2"/>
  <c r="E1437" i="2"/>
  <c r="D502" i="2"/>
  <c r="D3974" i="2"/>
  <c r="E3038" i="2"/>
  <c r="D4531" i="2"/>
  <c r="E989" i="2"/>
  <c r="E1912" i="2"/>
  <c r="E642" i="2"/>
  <c r="E4339" i="2"/>
  <c r="E3345" i="2"/>
  <c r="E2355" i="2"/>
  <c r="E1793" i="2"/>
  <c r="E3690" i="2"/>
  <c r="D3354" i="2"/>
  <c r="E3113" i="2"/>
  <c r="E543" i="2"/>
  <c r="E1746" i="2"/>
  <c r="D1660" i="2"/>
  <c r="D4391" i="2"/>
  <c r="D1429" i="2"/>
  <c r="D4495" i="2"/>
  <c r="E668" i="2"/>
  <c r="E1221" i="2"/>
  <c r="E4715" i="2"/>
  <c r="D2317" i="2"/>
  <c r="D96" i="2"/>
  <c r="D5018" i="2"/>
  <c r="E1523" i="2"/>
  <c r="D4291" i="2"/>
  <c r="E2344" i="2"/>
  <c r="E1008" i="2"/>
  <c r="E3946" i="2"/>
  <c r="E968" i="2"/>
  <c r="D2731" i="2"/>
  <c r="E3364" i="2"/>
  <c r="E2912" i="2"/>
  <c r="E1974" i="2"/>
  <c r="E1076" i="2"/>
  <c r="D1655" i="2"/>
  <c r="E5008" i="2"/>
  <c r="D1941" i="2"/>
  <c r="D666" i="2"/>
  <c r="D3316" i="2"/>
  <c r="E2359" i="2"/>
  <c r="E1937" i="2"/>
  <c r="D1152" i="2"/>
  <c r="D1888" i="2"/>
  <c r="D1891" i="2"/>
  <c r="D1654" i="2"/>
  <c r="E4102" i="2"/>
  <c r="E3093" i="2"/>
  <c r="D4012" i="2"/>
  <c r="D3851" i="2"/>
  <c r="D2950" i="2"/>
  <c r="D1780" i="2"/>
  <c r="E415" i="2"/>
  <c r="D2935" i="2"/>
  <c r="D1020" i="2"/>
  <c r="E2521" i="2"/>
  <c r="D3378" i="2"/>
  <c r="E3740" i="2"/>
  <c r="E1993" i="2"/>
  <c r="D1981" i="2"/>
  <c r="D3865" i="2"/>
  <c r="E1761" i="2"/>
  <c r="D4699" i="2"/>
  <c r="E1868" i="2"/>
  <c r="D210" i="2"/>
  <c r="D1459" i="2"/>
  <c r="E1820" i="2"/>
  <c r="D4424" i="2"/>
  <c r="E1560" i="2"/>
  <c r="D932" i="2"/>
  <c r="D1601" i="2"/>
  <c r="E782" i="2"/>
  <c r="D3365" i="2"/>
  <c r="E3689" i="2"/>
  <c r="E984" i="2"/>
  <c r="E877" i="2"/>
  <c r="D3838" i="2"/>
  <c r="E3801" i="2"/>
  <c r="D862" i="2"/>
  <c r="E886" i="2"/>
  <c r="E3598" i="2"/>
  <c r="D4969" i="2"/>
  <c r="E1651" i="2"/>
  <c r="E1184" i="2"/>
  <c r="D3179" i="2"/>
  <c r="D1868" i="2"/>
  <c r="D4448" i="2"/>
  <c r="D772" i="2"/>
  <c r="D4069" i="2"/>
  <c r="D2304" i="2"/>
  <c r="D3328" i="2"/>
  <c r="E3553" i="2"/>
  <c r="E4712" i="2"/>
  <c r="E1524" i="2"/>
  <c r="E1326" i="2"/>
  <c r="E1905" i="2"/>
  <c r="E2486" i="2"/>
  <c r="D1329" i="2"/>
  <c r="D3384" i="2"/>
  <c r="E3254" i="2"/>
  <c r="E628" i="2"/>
  <c r="D2286" i="2"/>
  <c r="D1950" i="2"/>
  <c r="D338" i="2"/>
  <c r="E2808" i="2"/>
  <c r="E3829" i="2"/>
  <c r="D1506" i="2"/>
  <c r="E3954" i="2"/>
  <c r="D1992" i="2"/>
  <c r="E2233" i="2"/>
  <c r="E454" i="2"/>
  <c r="E1135" i="2"/>
  <c r="D3889" i="2"/>
  <c r="D1925" i="2"/>
  <c r="D3223" i="2"/>
  <c r="E4967" i="2"/>
  <c r="E3708" i="2"/>
  <c r="E4679" i="2"/>
  <c r="E4443" i="2"/>
  <c r="D702" i="2"/>
  <c r="E4425" i="2"/>
  <c r="E1889" i="2"/>
  <c r="D3224" i="2"/>
  <c r="D1043" i="2"/>
  <c r="D5095" i="2"/>
  <c r="D2120" i="2"/>
  <c r="D3634" i="2"/>
  <c r="D3456" i="2"/>
  <c r="E1886" i="2"/>
  <c r="D1766" i="2"/>
  <c r="E123" i="2"/>
  <c r="E1709" i="2"/>
  <c r="D225" i="2"/>
  <c r="E1671" i="2"/>
  <c r="E3784" i="2"/>
  <c r="D4015" i="2"/>
  <c r="D22" i="2"/>
  <c r="E755" i="2"/>
  <c r="D734" i="2"/>
  <c r="E2129" i="2"/>
  <c r="D3523" i="2"/>
  <c r="D4321" i="2"/>
  <c r="E3956" i="2"/>
  <c r="E1100" i="2"/>
  <c r="D4259" i="2"/>
  <c r="E916" i="2"/>
  <c r="D2063" i="2"/>
  <c r="D2052" i="2"/>
  <c r="D5141" i="2"/>
  <c r="E3217" i="2"/>
  <c r="D5158" i="2"/>
  <c r="E200" i="2"/>
  <c r="D2395" i="2"/>
  <c r="E1585" i="2"/>
  <c r="E831" i="2"/>
  <c r="E3307" i="2"/>
  <c r="E1408" i="2"/>
  <c r="D432" i="2"/>
  <c r="E2141" i="2"/>
  <c r="D3406" i="2"/>
  <c r="D2644" i="2"/>
  <c r="E3506" i="2"/>
  <c r="E4588" i="2"/>
  <c r="D2088" i="2"/>
  <c r="D3126" i="2"/>
  <c r="E1859" i="2"/>
  <c r="E4711" i="2"/>
  <c r="D3727" i="2"/>
  <c r="E1009" i="2"/>
  <c r="D4192" i="2"/>
  <c r="E1044" i="2"/>
  <c r="E3347" i="2"/>
  <c r="E2805" i="2"/>
  <c r="E486" i="2"/>
  <c r="E2487" i="2"/>
  <c r="D137" i="2"/>
  <c r="D2210" i="2"/>
  <c r="E5058" i="2"/>
  <c r="D4158" i="2"/>
  <c r="D951" i="2"/>
  <c r="D663" i="2"/>
  <c r="D2086" i="2"/>
  <c r="E4209" i="2"/>
  <c r="E177" i="2"/>
  <c r="E2013" i="2"/>
  <c r="E2499" i="2"/>
  <c r="D2766" i="2"/>
  <c r="E1781" i="2"/>
  <c r="E1403" i="2"/>
  <c r="E2928" i="2"/>
  <c r="D506" i="2"/>
  <c r="E2968" i="2"/>
  <c r="D1144" i="2"/>
  <c r="E3443" i="2"/>
  <c r="E4049" i="2"/>
  <c r="E3849" i="2"/>
  <c r="D50" i="2"/>
  <c r="D3904" i="2"/>
  <c r="E3229" i="2"/>
  <c r="D5079" i="2"/>
  <c r="D4161" i="2"/>
  <c r="D861" i="2"/>
  <c r="E4260" i="2"/>
  <c r="D4288" i="2"/>
  <c r="E2858" i="2"/>
  <c r="D295" i="2"/>
  <c r="E5518" i="2"/>
  <c r="D2783" i="2"/>
  <c r="E4423" i="2"/>
  <c r="E157" i="2"/>
  <c r="E302" i="2"/>
  <c r="E629" i="2"/>
  <c r="E2766" i="2"/>
  <c r="E719" i="2"/>
  <c r="E1545" i="2"/>
  <c r="D2785" i="2"/>
  <c r="D3332" i="2"/>
  <c r="D2359" i="2"/>
  <c r="D2105" i="2"/>
  <c r="E2625" i="2"/>
  <c r="E1424" i="2"/>
  <c r="D5423" i="2"/>
  <c r="D337" i="2"/>
  <c r="D2625" i="2"/>
  <c r="D829" i="2"/>
  <c r="E1062" i="2"/>
  <c r="E930" i="2"/>
  <c r="E4761" i="2"/>
  <c r="D1923" i="2"/>
  <c r="E4713" i="2"/>
  <c r="D3637" i="2"/>
  <c r="D1907" i="2"/>
  <c r="D3004" i="2"/>
  <c r="D3437" i="2"/>
  <c r="D3458" i="2"/>
  <c r="E1840" i="2"/>
  <c r="D1202" i="2"/>
  <c r="E539" i="2"/>
  <c r="E1005" i="2"/>
  <c r="D1134" i="2"/>
  <c r="D3739" i="2"/>
  <c r="E1364" i="2"/>
  <c r="E5256" i="2"/>
  <c r="D914" i="2"/>
  <c r="D5" i="2"/>
  <c r="E1365" i="2"/>
  <c r="D3198" i="2"/>
  <c r="E3353" i="2"/>
  <c r="D5099" i="2"/>
  <c r="D116" i="2"/>
  <c r="D1929" i="2"/>
  <c r="D1867" i="2"/>
  <c r="E3513" i="2"/>
  <c r="D4426" i="2"/>
  <c r="D1006" i="2"/>
  <c r="D863" i="2"/>
  <c r="D3832" i="2"/>
  <c r="D2035" i="2"/>
  <c r="E62" i="2"/>
  <c r="D4123" i="2"/>
  <c r="D2599" i="2"/>
  <c r="D2017" i="2"/>
  <c r="D1105" i="2"/>
  <c r="E4084" i="2"/>
  <c r="E976" i="2"/>
  <c r="D2144" i="2"/>
  <c r="D3462" i="2"/>
  <c r="D3028" i="2"/>
  <c r="D4096" i="2"/>
  <c r="D325" i="2"/>
  <c r="E3008" i="2"/>
  <c r="E4387" i="2"/>
  <c r="E1081" i="2"/>
  <c r="D4500" i="2"/>
  <c r="D3399" i="2"/>
  <c r="E937" i="2"/>
  <c r="E3791" i="2"/>
  <c r="D1059" i="2"/>
  <c r="D3203" i="2"/>
  <c r="E537" i="2"/>
  <c r="D952" i="2"/>
  <c r="D2717" i="2"/>
  <c r="E3608" i="2"/>
  <c r="E3076" i="2"/>
  <c r="E1208" i="2"/>
  <c r="D645" i="2"/>
  <c r="E3778" i="2"/>
  <c r="D340" i="2"/>
  <c r="E552" i="2"/>
  <c r="D3546" i="2"/>
  <c r="D562" i="2"/>
  <c r="E1866" i="2"/>
  <c r="D4480" i="2"/>
  <c r="E1002" i="2"/>
  <c r="E1436" i="2"/>
  <c r="E3924" i="2"/>
  <c r="D1327" i="2"/>
  <c r="E3216" i="2"/>
  <c r="D521" i="2"/>
  <c r="D3625" i="2"/>
  <c r="D1002" i="2"/>
  <c r="D1494" i="2"/>
  <c r="D1585" i="2"/>
  <c r="E4320" i="2"/>
  <c r="E3" i="2"/>
  <c r="E1032" i="2"/>
  <c r="D2971" i="2"/>
  <c r="D4034" i="2"/>
  <c r="E774" i="2"/>
  <c r="D3400" i="2"/>
  <c r="D3703" i="2"/>
  <c r="E5193" i="2"/>
  <c r="E1369" i="2"/>
  <c r="E4489" i="2"/>
  <c r="E3264" i="2"/>
  <c r="E1673" i="2"/>
  <c r="D3725" i="2"/>
  <c r="D3271" i="2"/>
  <c r="E4594" i="2"/>
  <c r="D2551" i="2"/>
  <c r="D4234" i="2"/>
  <c r="D4865" i="2"/>
  <c r="E4072" i="2"/>
  <c r="E4406" i="2"/>
  <c r="E632" i="2"/>
  <c r="E808" i="2"/>
  <c r="E2149" i="2"/>
  <c r="E1786" i="2"/>
  <c r="E2094" i="2"/>
  <c r="E467" i="2"/>
  <c r="E1036" i="2"/>
  <c r="D375" i="2"/>
  <c r="E5145" i="2"/>
  <c r="D4157" i="2"/>
  <c r="D3424" i="2"/>
  <c r="D1768" i="2"/>
  <c r="E72" i="2"/>
  <c r="E1729" i="2"/>
  <c r="D1832" i="2"/>
  <c r="D482" i="2"/>
  <c r="D4610" i="2"/>
  <c r="E953" i="2"/>
  <c r="E3563" i="2"/>
  <c r="D3885" i="2"/>
  <c r="D2375" i="2"/>
  <c r="E1654" i="2"/>
  <c r="E2120" i="2"/>
  <c r="D3438" i="2"/>
  <c r="E355" i="2"/>
  <c r="E1987" i="2"/>
  <c r="E4554" i="2"/>
  <c r="D714" i="2"/>
  <c r="D2236" i="2"/>
  <c r="D1260" i="2"/>
  <c r="D2820" i="2"/>
  <c r="E3551" i="2"/>
  <c r="E1855" i="2"/>
  <c r="E2229" i="2"/>
  <c r="E147" i="2"/>
  <c r="E2748" i="2"/>
  <c r="E1660" i="2"/>
  <c r="E2049" i="2"/>
  <c r="D1135" i="2"/>
  <c r="D593" i="2"/>
  <c r="D773" i="2"/>
  <c r="D21" i="2"/>
  <c r="E4576" i="2"/>
  <c r="E101" i="2"/>
  <c r="E306" i="2"/>
  <c r="E4335" i="2"/>
  <c r="E2987" i="2"/>
  <c r="E3763" i="2"/>
  <c r="E60" i="2"/>
  <c r="E4254" i="2"/>
  <c r="D2345" i="2"/>
  <c r="E1091" i="2"/>
  <c r="D1400" i="2"/>
  <c r="E3583" i="2"/>
  <c r="D2284" i="2"/>
  <c r="D2704" i="2"/>
  <c r="E2950" i="2"/>
  <c r="D2895" i="2"/>
  <c r="E4266" i="2"/>
  <c r="D70" i="2"/>
  <c r="D4404" i="2"/>
  <c r="E3622" i="2"/>
  <c r="D986" i="2"/>
  <c r="E3308" i="2"/>
  <c r="E380" i="2"/>
  <c r="E548" i="2"/>
  <c r="D561" i="2"/>
  <c r="D3050" i="2"/>
  <c r="D2804" i="2"/>
  <c r="D4431" i="2"/>
  <c r="D3774" i="2"/>
  <c r="E4626" i="2"/>
  <c r="E2775" i="2"/>
  <c r="D3055" i="2"/>
  <c r="E1240" i="2"/>
  <c r="E1858" i="2"/>
  <c r="E882" i="2"/>
  <c r="D3129" i="2"/>
  <c r="D1779" i="2"/>
  <c r="E659" i="2"/>
  <c r="E3523" i="2"/>
  <c r="D4435" i="2"/>
  <c r="E3003" i="2"/>
  <c r="D571" i="2"/>
  <c r="E2659" i="2"/>
  <c r="E4429" i="2"/>
  <c r="D3360" i="2"/>
  <c r="E2896" i="2"/>
  <c r="D4607" i="2"/>
  <c r="D3884" i="2"/>
  <c r="E409" i="2"/>
  <c r="E3654" i="2"/>
  <c r="D2659" i="2"/>
  <c r="E3257" i="2"/>
  <c r="D2777" i="2"/>
  <c r="D3723" i="2"/>
  <c r="D3253" i="2"/>
  <c r="E1429" i="2"/>
  <c r="E1977" i="2"/>
  <c r="D3361" i="2"/>
  <c r="D2268" i="2"/>
  <c r="E1078" i="2"/>
  <c r="E2859" i="2"/>
  <c r="E2090" i="2"/>
  <c r="D4537" i="2"/>
  <c r="D3913" i="2"/>
  <c r="D3653" i="2"/>
  <c r="E969" i="2"/>
  <c r="D3292" i="2"/>
  <c r="E4216" i="2"/>
  <c r="E3651" i="2"/>
  <c r="E3086" i="2"/>
  <c r="D4674" i="2"/>
  <c r="D1698" i="2"/>
  <c r="E1530" i="2"/>
  <c r="D2301" i="2"/>
  <c r="E2209" i="2"/>
  <c r="E2860" i="2"/>
  <c r="E338" i="2"/>
  <c r="E89" i="2"/>
  <c r="E3742" i="2"/>
  <c r="D471" i="2"/>
  <c r="D2983" i="2"/>
  <c r="D4003" i="2"/>
  <c r="D1980" i="2"/>
  <c r="D2860" i="2"/>
  <c r="D176" i="2"/>
  <c r="E852" i="2"/>
  <c r="E3494" i="2"/>
  <c r="D2667" i="2"/>
  <c r="D1476" i="2"/>
  <c r="D27" i="2"/>
  <c r="E934" i="2"/>
  <c r="D3946" i="2"/>
  <c r="E2285" i="2"/>
  <c r="D5186" i="2"/>
  <c r="E770" i="2"/>
  <c r="E2772" i="2"/>
  <c r="D1456" i="2"/>
  <c r="E1869" i="2"/>
  <c r="E288" i="2"/>
  <c r="E2087" i="2"/>
  <c r="D2981" i="2"/>
  <c r="E3942" i="2"/>
  <c r="E776" i="2"/>
  <c r="E3289" i="2"/>
  <c r="D450" i="2"/>
  <c r="E678" i="2"/>
  <c r="E2033" i="2"/>
  <c r="E4722" i="2"/>
  <c r="D3812" i="2"/>
  <c r="D548" i="2"/>
  <c r="D3003" i="2"/>
  <c r="D3345" i="2"/>
  <c r="E2122" i="2"/>
  <c r="E4651" i="2"/>
  <c r="D1147" i="2"/>
  <c r="E39" i="2"/>
  <c r="E2964" i="2"/>
  <c r="D4482" i="2"/>
  <c r="D288" i="2"/>
  <c r="D4104" i="2"/>
  <c r="D3888" i="2"/>
  <c r="D1250" i="2"/>
  <c r="D1525" i="2"/>
  <c r="E1318" i="2"/>
  <c r="E1867" i="2"/>
  <c r="E2362" i="2"/>
  <c r="D3601" i="2"/>
  <c r="E5053" i="2"/>
  <c r="E1731" i="2"/>
  <c r="D485" i="2"/>
  <c r="E1014" i="2"/>
  <c r="D1679" i="2"/>
  <c r="E3460" i="2"/>
  <c r="E2373" i="2"/>
  <c r="D2048" i="2"/>
  <c r="E2354" i="2"/>
  <c r="E166" i="2"/>
  <c r="D3024" i="2"/>
  <c r="E3439" i="2"/>
  <c r="D1639" i="2"/>
  <c r="D2473" i="2"/>
  <c r="E2473" i="2"/>
  <c r="E3539" i="2"/>
  <c r="D3308" i="2"/>
  <c r="D3085" i="2"/>
  <c r="D973" i="2"/>
  <c r="D3526" i="2"/>
  <c r="E4141" i="2"/>
  <c r="D1970" i="2"/>
  <c r="D886" i="2"/>
  <c r="E1732" i="2"/>
  <c r="E3405" i="2"/>
  <c r="E85" i="2"/>
  <c r="D3001" i="2"/>
  <c r="E3147" i="2"/>
  <c r="E339" i="2"/>
  <c r="E4120" i="2"/>
  <c r="E2938" i="2"/>
  <c r="D2182" i="2"/>
  <c r="D3867" i="2"/>
  <c r="D3994" i="2"/>
  <c r="D3649" i="2"/>
  <c r="D2352" i="2"/>
  <c r="D283" i="2"/>
  <c r="D4535" i="2"/>
  <c r="D1205" i="2"/>
  <c r="D1668" i="2"/>
  <c r="E1854" i="2"/>
  <c r="E4228" i="2"/>
  <c r="E2107" i="2"/>
  <c r="D1850" i="2"/>
  <c r="D2660" i="2"/>
  <c r="E2806" i="2"/>
  <c r="D2179" i="2"/>
  <c r="D1041" i="2"/>
  <c r="E4010" i="2"/>
  <c r="E931" i="2"/>
  <c r="D4140" i="2"/>
  <c r="D2111" i="2"/>
  <c r="E1780" i="2"/>
  <c r="E3505" i="2"/>
  <c r="D82" i="2"/>
  <c r="D4630" i="2"/>
  <c r="D66" i="2"/>
  <c r="E3227" i="2"/>
  <c r="E4514" i="2"/>
  <c r="D2303" i="2"/>
  <c r="D3309" i="2"/>
  <c r="D2142" i="2"/>
  <c r="E3861" i="2"/>
  <c r="D35" i="2"/>
  <c r="D929" i="2"/>
  <c r="E1117" i="2"/>
  <c r="E4281" i="2"/>
  <c r="D3921" i="2"/>
  <c r="D3847" i="2"/>
  <c r="E4008" i="2"/>
  <c r="D3880" i="2"/>
  <c r="E521" i="2"/>
  <c r="E5154" i="2"/>
  <c r="D2013" i="2"/>
  <c r="D2830" i="2"/>
  <c r="D1279" i="2"/>
  <c r="E567" i="2"/>
  <c r="E4678" i="2"/>
  <c r="D4148" i="2"/>
  <c r="D2917" i="2"/>
  <c r="D675" i="2"/>
  <c r="E1674" i="2"/>
  <c r="E4352" i="2"/>
  <c r="D545" i="2"/>
  <c r="E4252" i="2"/>
  <c r="D5376" i="2"/>
  <c r="D114" i="2"/>
  <c r="E3688" i="2"/>
  <c r="D4207" i="2"/>
  <c r="D433" i="2"/>
  <c r="E4332" i="2"/>
  <c r="E2842" i="2"/>
  <c r="D3324" i="2"/>
  <c r="E1122" i="2"/>
  <c r="E373" i="2"/>
  <c r="E2347" i="2"/>
  <c r="D2664" i="2"/>
  <c r="D1706" i="2"/>
  <c r="D4098" i="2"/>
  <c r="E3291" i="2"/>
  <c r="E2265" i="2"/>
  <c r="D4392" i="2"/>
  <c r="D3650" i="2"/>
  <c r="D1524" i="2"/>
  <c r="D967" i="2"/>
  <c r="E4351" i="2"/>
  <c r="D575" i="2"/>
  <c r="E3360" i="2"/>
  <c r="E1779" i="2"/>
  <c r="E903" i="2"/>
  <c r="E3907" i="2"/>
  <c r="D2720" i="2"/>
  <c r="E775" i="2"/>
  <c r="D3363" i="2"/>
  <c r="E738" i="2"/>
  <c r="D2934" i="2"/>
  <c r="E2647" i="2"/>
  <c r="D1267" i="2"/>
  <c r="D4066" i="2"/>
  <c r="E694" i="2"/>
  <c r="D1617" i="2"/>
  <c r="E2177" i="2"/>
  <c r="E4468" i="2"/>
  <c r="E4081" i="2"/>
  <c r="E1227" i="2"/>
  <c r="E5141" i="2"/>
  <c r="D3585" i="2"/>
  <c r="D2899" i="2"/>
  <c r="E2195" i="2"/>
  <c r="D629" i="2"/>
  <c r="E3851" i="2"/>
  <c r="D1182" i="2"/>
  <c r="D426" i="2"/>
  <c r="D2858" i="2"/>
  <c r="D3385" i="2"/>
  <c r="E1583" i="2"/>
  <c r="E2887" i="2"/>
  <c r="D2320" i="2"/>
  <c r="D4964" i="2"/>
  <c r="E186" i="2"/>
  <c r="D1721" i="2"/>
  <c r="E3751" i="2"/>
  <c r="D1162" i="2"/>
  <c r="E1963" i="2"/>
  <c r="E5198" i="2"/>
  <c r="D378" i="2"/>
  <c r="E3273" i="2"/>
  <c r="D1240" i="2"/>
  <c r="D4966" i="2"/>
  <c r="E556" i="2"/>
  <c r="E2878" i="2"/>
  <c r="D1439" i="2"/>
  <c r="E3920" i="2"/>
  <c r="E527" i="2"/>
  <c r="E2303" i="2"/>
  <c r="E523" i="2"/>
  <c r="D2756" i="2"/>
  <c r="E1329" i="2"/>
  <c r="E2649" i="2"/>
  <c r="E3110" i="2"/>
  <c r="E1311" i="2"/>
  <c r="D2358" i="2"/>
  <c r="E1711" i="2"/>
  <c r="E432" i="2"/>
  <c r="E2895" i="2"/>
  <c r="E594" i="2"/>
  <c r="E5200" i="2"/>
  <c r="E1113" i="2"/>
  <c r="D3486" i="2"/>
  <c r="D1151" i="2"/>
  <c r="D647" i="2"/>
  <c r="E3381" i="2"/>
  <c r="D3494" i="2"/>
  <c r="E3222" i="2"/>
  <c r="E4282" i="2"/>
  <c r="E3474" i="2"/>
  <c r="D613" i="2"/>
  <c r="E3199" i="2"/>
  <c r="D3724" i="2"/>
  <c r="E4184" i="2"/>
  <c r="E4675" i="2"/>
  <c r="D5155" i="2"/>
  <c r="E861" i="2"/>
  <c r="D2344" i="2"/>
  <c r="E2268" i="2"/>
  <c r="E1534" i="2"/>
  <c r="D410" i="2"/>
  <c r="D3734" i="2"/>
  <c r="D1673" i="2"/>
  <c r="E4545" i="2"/>
  <c r="E681" i="2"/>
  <c r="D4530" i="2"/>
  <c r="E1381" i="2"/>
  <c r="E4144" i="2"/>
  <c r="D274" i="2"/>
  <c r="D3941" i="2"/>
  <c r="D4210" i="2"/>
  <c r="D1653" i="2"/>
  <c r="E3292" i="2"/>
  <c r="D4101" i="2"/>
  <c r="E2704" i="2"/>
  <c r="E1379" i="2"/>
  <c r="E2231" i="2"/>
  <c r="D884" i="2"/>
  <c r="E3618" i="2"/>
  <c r="D2768" i="2"/>
  <c r="E3672" i="2"/>
  <c r="E5127" i="2"/>
  <c r="E1695" i="2"/>
  <c r="E2374" i="2"/>
  <c r="E430" i="2"/>
  <c r="D4047" i="2"/>
  <c r="E2286" i="2"/>
  <c r="D896" i="2"/>
  <c r="D2827" i="2"/>
  <c r="E588" i="2"/>
  <c r="E3977" i="2"/>
  <c r="D969" i="2"/>
  <c r="E753" i="2"/>
  <c r="E881" i="2"/>
  <c r="D3436" i="2"/>
  <c r="E1462" i="2"/>
  <c r="E1543" i="2"/>
  <c r="D3903" i="2"/>
  <c r="D4476" i="2"/>
  <c r="E2995" i="2"/>
  <c r="E1151" i="2"/>
  <c r="D1441" i="2"/>
  <c r="D3794" i="2"/>
  <c r="E1563" i="2"/>
  <c r="D4501" i="2"/>
  <c r="D3457" i="2"/>
  <c r="E4047" i="2"/>
  <c r="E44" i="2"/>
  <c r="E3235" i="2"/>
  <c r="E2840" i="2"/>
  <c r="E3330" i="2"/>
  <c r="D2910" i="2"/>
  <c r="E3906" i="2"/>
  <c r="E2055" i="2"/>
  <c r="D915" i="2"/>
  <c r="D5026" i="2"/>
  <c r="D3023" i="2"/>
  <c r="D3383" i="2"/>
  <c r="E3565" i="2"/>
  <c r="D4606" i="2"/>
  <c r="E2252" i="2"/>
  <c r="D308" i="2"/>
  <c r="D1873" i="2"/>
  <c r="E615" i="2"/>
  <c r="E1259" i="2"/>
  <c r="E4696" i="2"/>
  <c r="E3775" i="2"/>
  <c r="D1516" i="2"/>
  <c r="D4478" i="2"/>
  <c r="E1083" i="2"/>
  <c r="D3019" i="2"/>
  <c r="D108" i="2"/>
  <c r="E1870" i="2"/>
  <c r="E4427" i="2"/>
  <c r="D1438" i="2"/>
  <c r="D1388" i="2"/>
  <c r="E3712" i="2"/>
  <c r="D704" i="2"/>
  <c r="D191" i="2"/>
  <c r="D1556" i="2"/>
  <c r="E3325" i="2"/>
  <c r="D3670" i="2"/>
  <c r="E2066" i="2"/>
  <c r="D4526" i="2"/>
  <c r="D3872" i="2"/>
  <c r="D1066" i="2"/>
  <c r="E3981" i="2"/>
  <c r="E3816" i="2"/>
  <c r="E1153" i="2"/>
  <c r="D5037" i="2"/>
  <c r="D4407" i="2"/>
  <c r="D2283" i="2"/>
  <c r="E276" i="2"/>
  <c r="D4105" i="2"/>
  <c r="D1678" i="2"/>
  <c r="E679" i="2"/>
  <c r="D2718" i="2"/>
  <c r="E1764" i="2"/>
  <c r="D1940" i="2"/>
  <c r="D4622" i="2"/>
  <c r="D4410" i="2"/>
  <c r="D2124" i="2"/>
  <c r="D3781" i="2"/>
  <c r="D322" i="2"/>
  <c r="E1584" i="2"/>
  <c r="E3972" i="2"/>
  <c r="E986" i="2"/>
  <c r="E3580" i="2"/>
  <c r="D1963" i="2"/>
  <c r="D1621" i="2"/>
  <c r="E3507" i="2"/>
  <c r="E3488" i="2"/>
  <c r="D4533" i="2"/>
  <c r="E3084" i="2"/>
  <c r="E1010" i="2"/>
  <c r="D1973" i="2"/>
  <c r="D4390" i="2"/>
  <c r="D2018" i="2"/>
  <c r="D4974" i="2"/>
  <c r="E3094" i="2"/>
  <c r="E796" i="2"/>
  <c r="D899" i="2"/>
  <c r="E1420" i="2"/>
  <c r="E1622" i="2"/>
  <c r="E4490" i="2"/>
  <c r="D5127" i="2"/>
  <c r="D2056" i="2"/>
  <c r="D706" i="2"/>
  <c r="E673" i="2"/>
  <c r="D1030" i="2"/>
  <c r="D5281" i="2"/>
  <c r="D3762" i="2"/>
  <c r="E2339" i="2"/>
  <c r="E1147" i="2"/>
  <c r="D4136" i="2"/>
  <c r="E2931" i="2"/>
  <c r="E2791" i="2"/>
  <c r="E1803" i="2"/>
  <c r="E2707" i="2"/>
  <c r="D2321" i="2"/>
  <c r="D3589" i="2"/>
  <c r="D1765" i="2"/>
  <c r="E4452" i="2"/>
  <c r="E4356" i="2"/>
  <c r="E2002" i="2"/>
  <c r="E1112" i="2"/>
  <c r="D3106" i="2"/>
  <c r="E483" i="2"/>
  <c r="D2271" i="2"/>
  <c r="D3761" i="2"/>
  <c r="D5215" i="2"/>
  <c r="E742" i="2"/>
  <c r="D1876" i="2"/>
  <c r="D146" i="2"/>
  <c r="D26" i="2"/>
  <c r="E3982" i="2"/>
  <c r="E4407" i="2"/>
  <c r="E132" i="2"/>
  <c r="E3233" i="2"/>
  <c r="E5187" i="2"/>
  <c r="E5013" i="2"/>
  <c r="D4575" i="2"/>
  <c r="D1591" i="2"/>
  <c r="D4408" i="2"/>
  <c r="D4129" i="2"/>
  <c r="D2050" i="2"/>
  <c r="D5287" i="2"/>
  <c r="E1884" i="2"/>
  <c r="D3064" i="2"/>
  <c r="D3547" i="2"/>
  <c r="E118" i="2"/>
  <c r="E1713" i="2"/>
  <c r="D5170" i="2"/>
  <c r="D221" i="2"/>
  <c r="D1767" i="2"/>
  <c r="E1176" i="2"/>
  <c r="E1818" i="2"/>
  <c r="D3131" i="2"/>
  <c r="D3165" i="2"/>
  <c r="D3333" i="2"/>
  <c r="D5471" i="2"/>
  <c r="E2037" i="2"/>
  <c r="E3424" i="2"/>
  <c r="E894" i="2"/>
  <c r="E1426" i="2"/>
  <c r="D445" i="2"/>
  <c r="E677" i="2"/>
  <c r="E4374" i="2"/>
  <c r="D3765" i="2"/>
  <c r="D434" i="2"/>
  <c r="E580" i="2"/>
  <c r="E1258" i="2"/>
  <c r="E394" i="2"/>
  <c r="D414" i="2"/>
  <c r="D4063" i="2"/>
  <c r="D4481" i="2"/>
  <c r="E192" i="2"/>
  <c r="D5374" i="2"/>
  <c r="D4678" i="2"/>
  <c r="D4464" i="2"/>
  <c r="D3995" i="2"/>
  <c r="E81" i="2"/>
  <c r="D4518" i="2"/>
  <c r="D3846" i="2"/>
  <c r="D3117" i="2"/>
  <c r="E4300" i="2"/>
  <c r="D304" i="2"/>
  <c r="E4178" i="2"/>
  <c r="E2636" i="2"/>
  <c r="E817" i="2"/>
  <c r="D2912" i="2"/>
  <c r="E5281" i="2"/>
  <c r="D3236" i="2"/>
  <c r="E5083" i="2"/>
  <c r="D5303" i="2"/>
  <c r="E4822" i="2"/>
  <c r="D5036" i="2"/>
  <c r="E2360" i="2"/>
  <c r="E4969" i="2"/>
  <c r="D3189" i="2"/>
  <c r="D1275" i="2"/>
  <c r="D3185" i="2"/>
  <c r="D2114" i="2"/>
  <c r="E3584" i="2"/>
  <c r="E42" i="2"/>
  <c r="E3615" i="2"/>
  <c r="D1469" i="2"/>
  <c r="E3205" i="2"/>
  <c r="D3084" i="2"/>
  <c r="D420" i="2"/>
  <c r="D5136" i="2"/>
  <c r="E4492" i="2"/>
  <c r="E745" i="2"/>
  <c r="D4590" i="2"/>
  <c r="D112" i="2"/>
  <c r="E3136" i="2"/>
  <c r="D3349" i="2"/>
  <c r="D1433" i="2"/>
  <c r="D1221" i="2"/>
  <c r="E4616" i="2"/>
  <c r="D4010" i="2"/>
  <c r="E1218" i="2"/>
  <c r="D2726" i="2"/>
  <c r="E2322" i="2"/>
  <c r="D3216" i="2"/>
  <c r="E175" i="2"/>
  <c r="E3766" i="2"/>
  <c r="D4368" i="2"/>
  <c r="D4658" i="2"/>
  <c r="D2893" i="2"/>
  <c r="D847" i="2"/>
  <c r="E2914" i="2"/>
  <c r="E3186" i="2"/>
  <c r="E5202" i="2"/>
  <c r="E153" i="2"/>
  <c r="E4701" i="2"/>
  <c r="E2967" i="2"/>
  <c r="E4140" i="2"/>
  <c r="E3995" i="2"/>
  <c r="D1843" i="2"/>
  <c r="D291" i="2"/>
  <c r="E1118" i="2"/>
  <c r="E1826" i="2"/>
  <c r="D4980" i="2"/>
  <c r="D3367" i="2"/>
  <c r="E2884" i="2"/>
  <c r="D3784" i="2"/>
  <c r="D5188" i="2"/>
  <c r="E1573" i="2"/>
  <c r="E108" i="2"/>
  <c r="E1533" i="2"/>
  <c r="E3724" i="2"/>
  <c r="E4968" i="2"/>
  <c r="E716" i="2"/>
  <c r="D4231" i="2"/>
  <c r="D4374" i="2"/>
  <c r="E1518" i="2"/>
  <c r="D2886" i="2"/>
  <c r="D3420" i="2"/>
  <c r="D1118" i="2"/>
  <c r="D4195" i="2"/>
  <c r="D752" i="2"/>
  <c r="E49" i="2"/>
  <c r="E1480" i="2"/>
  <c r="E4054" i="2"/>
  <c r="E3496" i="2"/>
  <c r="D5056" i="2"/>
  <c r="E711" i="2"/>
  <c r="E3208" i="2"/>
  <c r="E867" i="2"/>
  <c r="D759" i="2"/>
  <c r="E730" i="2"/>
  <c r="D1577" i="2"/>
  <c r="D4761" i="2"/>
  <c r="E4605" i="2"/>
  <c r="E4926" i="2"/>
  <c r="E3401" i="2"/>
  <c r="D4215" i="2"/>
  <c r="D31" i="2"/>
  <c r="E1239" i="2"/>
  <c r="D2753" i="2"/>
  <c r="E4702" i="2"/>
  <c r="E3311" i="2"/>
  <c r="D3006" i="2"/>
  <c r="D1711" i="2"/>
  <c r="D1551" i="2"/>
  <c r="D5084" i="2"/>
  <c r="D5336" i="2"/>
  <c r="E196" i="2"/>
  <c r="E3268" i="2"/>
  <c r="D3435" i="2"/>
  <c r="E4500" i="2"/>
  <c r="D156" i="2"/>
  <c r="E2059" i="2"/>
  <c r="D3575" i="2"/>
  <c r="D388" i="2"/>
  <c r="E1097" i="2"/>
  <c r="D1033" i="2"/>
  <c r="E2946" i="2"/>
  <c r="E2829" i="2"/>
  <c r="D5022" i="2"/>
  <c r="E3908" i="2"/>
  <c r="D3816" i="2"/>
  <c r="E2382" i="2"/>
  <c r="D1346" i="2"/>
  <c r="E2048" i="2"/>
  <c r="E2269" i="2"/>
  <c r="E4501" i="2"/>
  <c r="D3599" i="2"/>
  <c r="E3224" i="2"/>
  <c r="D1659" i="2"/>
  <c r="D2314" i="2"/>
  <c r="D778" i="2"/>
  <c r="D1461" i="2"/>
  <c r="D2382" i="2"/>
  <c r="D3315" i="2"/>
  <c r="E106" i="2"/>
  <c r="E762" i="2"/>
  <c r="D3337" i="2"/>
  <c r="E4041" i="2"/>
  <c r="E4210" i="2"/>
  <c r="E4770" i="2"/>
  <c r="E2863" i="2"/>
  <c r="D76" i="2"/>
  <c r="E4226" i="2"/>
  <c r="E1555" i="2"/>
  <c r="D4470" i="2"/>
  <c r="E3989" i="2"/>
  <c r="E922" i="2"/>
  <c r="E4615" i="2"/>
  <c r="E4481" i="2"/>
  <c r="E3351" i="2"/>
  <c r="D5125" i="2"/>
  <c r="D3593" i="2"/>
  <c r="E27" i="2"/>
  <c r="D1869" i="2"/>
  <c r="D1997" i="2"/>
  <c r="E4987" i="2"/>
  <c r="D135" i="2"/>
  <c r="D5233" i="2"/>
  <c r="E291" i="2"/>
  <c r="E4664" i="2"/>
  <c r="D3565" i="2"/>
  <c r="D2163" i="2"/>
  <c r="E110" i="2"/>
  <c r="E134" i="2"/>
  <c r="D487" i="2"/>
  <c r="E1401" i="2"/>
  <c r="D3261" i="2"/>
  <c r="E93" i="2"/>
  <c r="E127" i="2"/>
  <c r="D3058" i="2"/>
  <c r="E3665" i="2"/>
  <c r="D809" i="2"/>
  <c r="D588" i="2"/>
  <c r="D972" i="2"/>
  <c r="D4648" i="2"/>
  <c r="D4552" i="2"/>
  <c r="D4522" i="2"/>
  <c r="E3328" i="2"/>
  <c r="D4852" i="2"/>
  <c r="E2377" i="2"/>
  <c r="D3416" i="2"/>
  <c r="D201" i="2"/>
  <c r="E4071" i="2"/>
  <c r="D3859" i="2"/>
  <c r="D4299" i="2"/>
  <c r="D3254" i="2"/>
  <c r="D3721" i="2"/>
  <c r="E1857" i="2"/>
  <c r="E918" i="2"/>
  <c r="E417" i="2"/>
  <c r="E507" i="2"/>
  <c r="D79" i="2"/>
  <c r="E182" i="2"/>
  <c r="E2142" i="2"/>
  <c r="D4696" i="2"/>
  <c r="E2030" i="2"/>
  <c r="E1592" i="2"/>
  <c r="D129" i="2"/>
  <c r="D1177" i="2"/>
  <c r="E2046" i="2"/>
  <c r="D4198" i="2"/>
  <c r="E5329" i="2"/>
  <c r="D4496" i="2"/>
  <c r="E3064" i="2"/>
  <c r="E2375" i="2"/>
  <c r="E3926" i="2"/>
  <c r="E312" i="2"/>
  <c r="E2865" i="2"/>
  <c r="E5024" i="2"/>
  <c r="D5198" i="2"/>
  <c r="E3722" i="2"/>
  <c r="E223" i="2"/>
  <c r="D2112" i="2"/>
  <c r="E2189" i="2"/>
  <c r="E820" i="2"/>
  <c r="D3506" i="2"/>
  <c r="D4064" i="2"/>
  <c r="D3769" i="2"/>
  <c r="E840" i="2"/>
  <c r="D1019" i="2"/>
  <c r="E195" i="2"/>
  <c r="E2430" i="2"/>
  <c r="D868" i="2"/>
  <c r="E2127" i="2"/>
  <c r="E2257" i="2"/>
  <c r="D1600" i="2"/>
  <c r="D920" i="2"/>
  <c r="E5469" i="2"/>
  <c r="E4309" i="2"/>
  <c r="E4414" i="2"/>
  <c r="D2066" i="2"/>
  <c r="D1987" i="2"/>
  <c r="E1602" i="2"/>
  <c r="D4233" i="2"/>
  <c r="E1636" i="2"/>
  <c r="E1079" i="2"/>
  <c r="E3941" i="2"/>
  <c r="E2052" i="2"/>
  <c r="D1530" i="2"/>
  <c r="E2247" i="2"/>
  <c r="E1314" i="2"/>
  <c r="D1514" i="2"/>
  <c r="D1641" i="2"/>
  <c r="D168" i="2"/>
  <c r="D1137" i="2"/>
  <c r="D1732" i="2"/>
  <c r="E4662" i="2"/>
  <c r="D2721" i="2"/>
  <c r="D4212" i="2"/>
  <c r="D3512" i="2"/>
  <c r="D1218" i="2"/>
  <c r="D3188" i="2"/>
  <c r="E1245" i="2"/>
  <c r="D3088" i="2"/>
  <c r="E2770" i="2"/>
  <c r="D3060" i="2"/>
  <c r="D3388" i="2"/>
  <c r="E4454" i="2"/>
  <c r="E3482" i="2"/>
  <c r="D2797" i="2"/>
  <c r="E1750" i="2"/>
  <c r="D4467" i="2"/>
  <c r="E919" i="2"/>
  <c r="D2456" i="2"/>
  <c r="D2643" i="2"/>
  <c r="E618" i="2"/>
  <c r="E2126" i="2"/>
  <c r="D1022" i="2"/>
  <c r="D4383" i="2"/>
  <c r="E1727" i="2"/>
  <c r="E4388" i="2"/>
  <c r="D4040" i="2"/>
  <c r="E2169" i="2"/>
  <c r="E2333" i="2"/>
  <c r="D3201" i="2"/>
  <c r="D5212" i="2"/>
  <c r="E1228" i="2"/>
  <c r="D3783" i="2"/>
  <c r="D1032" i="2"/>
  <c r="E1368" i="2"/>
  <c r="E4643" i="2"/>
  <c r="E2352" i="2"/>
  <c r="D3651" i="2"/>
  <c r="D1864" i="2"/>
  <c r="D4139" i="2"/>
  <c r="D51" i="2"/>
  <c r="E3334" i="2"/>
  <c r="E604" i="2"/>
  <c r="E3992" i="2"/>
  <c r="E4569" i="2"/>
  <c r="E2686" i="2"/>
  <c r="D3633" i="2"/>
  <c r="E2844" i="2"/>
  <c r="E2182" i="2"/>
  <c r="D4683" i="2"/>
  <c r="E4258" i="2"/>
  <c r="D3152" i="2"/>
  <c r="E3599" i="2"/>
  <c r="D2254" i="2"/>
  <c r="D4638" i="2"/>
  <c r="D4554" i="2"/>
  <c r="D3521" i="2"/>
  <c r="D2350" i="2"/>
  <c r="E3683" i="2"/>
  <c r="E1843" i="2"/>
  <c r="E1617" i="2"/>
  <c r="E3898" i="2"/>
  <c r="D4427" i="2"/>
  <c r="D1184" i="2"/>
  <c r="E66" i="2"/>
  <c r="E1371" i="2"/>
  <c r="D5034" i="2"/>
  <c r="E3741" i="2"/>
  <c r="D597" i="2"/>
  <c r="D4642" i="2"/>
  <c r="D1964" i="2"/>
  <c r="E3420" i="2"/>
  <c r="E1718" i="2"/>
  <c r="E3570" i="2"/>
  <c r="D2077" i="2"/>
  <c r="D4697" i="2"/>
  <c r="E1321" i="2"/>
  <c r="E1765" i="2"/>
  <c r="D1550" i="2"/>
  <c r="D818" i="2"/>
  <c r="D1208" i="2"/>
  <c r="D2882" i="2"/>
  <c r="D5377" i="2"/>
  <c r="E1419" i="2"/>
  <c r="E3131" i="2"/>
  <c r="D3511" i="2"/>
  <c r="E58" i="2"/>
  <c r="E3116" i="2"/>
  <c r="D4007" i="2"/>
  <c r="D3818" i="2"/>
  <c r="E2834" i="2"/>
  <c r="E3938" i="2"/>
  <c r="D4592" i="2"/>
  <c r="D4861" i="2"/>
  <c r="E511" i="2"/>
  <c r="E2776" i="2"/>
  <c r="E3121" i="2"/>
  <c r="D310" i="2"/>
  <c r="E4716" i="2"/>
  <c r="E5039" i="2"/>
  <c r="E2396" i="2"/>
  <c r="D1296" i="2"/>
  <c r="D3357" i="2"/>
  <c r="E45" i="2"/>
  <c r="D637" i="2"/>
  <c r="E1043" i="2"/>
  <c r="E917" i="2"/>
  <c r="E2971" i="2"/>
  <c r="E4274" i="2"/>
  <c r="D1065" i="2"/>
  <c r="E14" i="2"/>
  <c r="E4535" i="2"/>
  <c r="E573" i="2"/>
  <c r="E3455" i="2"/>
  <c r="E434" i="2"/>
  <c r="D3958" i="2"/>
  <c r="D142" i="2"/>
  <c r="E4125" i="2"/>
  <c r="D2234" i="2"/>
  <c r="E2838" i="2"/>
  <c r="E5350" i="2"/>
  <c r="E2395" i="2"/>
  <c r="E3794" i="2"/>
  <c r="D74" i="2"/>
  <c r="D167" i="2"/>
  <c r="E7" i="2"/>
  <c r="E2204" i="2"/>
  <c r="D4206" i="2"/>
  <c r="D4193" i="2"/>
  <c r="E445" i="2"/>
  <c r="E346" i="2"/>
  <c r="D3580" i="2"/>
  <c r="E8" i="2"/>
  <c r="D4265" i="2"/>
  <c r="E155" i="2"/>
  <c r="D1367" i="2"/>
  <c r="E2646" i="2"/>
  <c r="E767" i="2"/>
  <c r="E4150" i="2"/>
  <c r="D1232" i="2"/>
  <c r="D4970" i="2"/>
  <c r="D5052" i="2"/>
  <c r="E2689" i="2"/>
  <c r="D4605" i="2"/>
  <c r="D4962" i="2"/>
  <c r="D3882" i="2"/>
  <c r="E3611" i="2"/>
  <c r="E1216" i="2"/>
  <c r="E4835" i="2"/>
  <c r="E4408" i="2"/>
  <c r="D4715" i="2"/>
  <c r="D5330" i="2"/>
  <c r="E4558" i="2"/>
  <c r="E4053" i="2"/>
  <c r="D2884" i="2"/>
  <c r="E5056" i="2"/>
  <c r="D1745" i="2"/>
  <c r="D1046" i="2"/>
  <c r="E1366" i="2"/>
  <c r="D3671" i="2"/>
  <c r="E490" i="2"/>
  <c r="E5206" i="2"/>
  <c r="E1714" i="2"/>
  <c r="E3368" i="2"/>
  <c r="E2174" i="2"/>
  <c r="E4629" i="2"/>
  <c r="E3702" i="2"/>
  <c r="E1588" i="2"/>
  <c r="E3979" i="2"/>
  <c r="D3709" i="2"/>
  <c r="D400" i="2"/>
  <c r="E4305" i="2"/>
  <c r="E1384" i="2"/>
  <c r="D1122" i="2"/>
  <c r="E285" i="2"/>
  <c r="E1397" i="2"/>
  <c r="E3219" i="2"/>
  <c r="E2512" i="2"/>
  <c r="D1361" i="2"/>
  <c r="E222" i="2"/>
  <c r="D2267" i="2"/>
  <c r="E4202" i="2"/>
  <c r="E3582" i="2"/>
  <c r="E2915" i="2"/>
  <c r="D3200" i="2"/>
  <c r="D488" i="2"/>
  <c r="D3336" i="2"/>
  <c r="D4089" i="2"/>
  <c r="E307" i="2"/>
  <c r="D3924" i="2"/>
  <c r="E3414" i="2"/>
  <c r="D1648" i="2"/>
  <c r="E3844" i="2"/>
  <c r="E2220" i="2"/>
  <c r="E4527" i="2"/>
  <c r="E4162" i="2"/>
  <c r="D3259" i="2"/>
  <c r="E920" i="2"/>
  <c r="E390" i="2"/>
  <c r="E3010" i="2"/>
  <c r="E2876" i="2"/>
  <c r="E1065" i="2"/>
  <c r="E2667" i="2"/>
  <c r="D1897" i="2"/>
  <c r="E3352" i="2"/>
  <c r="D2238" i="2"/>
  <c r="D4229" i="2"/>
  <c r="E1771" i="2"/>
  <c r="D5162" i="2"/>
  <c r="E420" i="2"/>
  <c r="E726" i="2"/>
  <c r="D601" i="2"/>
  <c r="E2053" i="2"/>
  <c r="D219" i="2"/>
  <c r="E3764" i="2"/>
  <c r="D1298" i="2"/>
  <c r="D1845" i="2"/>
  <c r="D4457" i="2"/>
  <c r="D1982" i="2"/>
  <c r="E4357" i="2"/>
  <c r="D2195" i="2"/>
  <c r="D4616" i="2"/>
  <c r="E2318" i="2"/>
  <c r="E2927" i="2"/>
  <c r="E4800" i="2"/>
  <c r="E4212" i="2"/>
  <c r="D5282" i="2"/>
  <c r="E3762" i="2"/>
  <c r="D3205" i="2"/>
  <c r="D5520" i="2"/>
  <c r="E1294" i="2"/>
  <c r="D525" i="2"/>
  <c r="D2055" i="2"/>
  <c r="D3474" i="2"/>
  <c r="D526" i="2"/>
  <c r="E51" i="2"/>
  <c r="E4369" i="2"/>
  <c r="E3799" i="2"/>
  <c r="E2025" i="2"/>
  <c r="D5133" i="2"/>
  <c r="E2295" i="2"/>
  <c r="E4471" i="2"/>
  <c r="D2953" i="2"/>
  <c r="D37" i="2"/>
  <c r="D3741" i="2"/>
  <c r="D439" i="2"/>
  <c r="D583" i="2"/>
  <c r="E1933" i="2"/>
  <c r="D3646" i="2"/>
  <c r="E996" i="2"/>
  <c r="D3583" i="2"/>
  <c r="D208" i="2"/>
  <c r="D4800" i="2"/>
  <c r="E3423" i="2"/>
  <c r="D2001" i="2"/>
  <c r="D1737" i="2"/>
  <c r="D40" i="2"/>
  <c r="D346" i="2"/>
  <c r="D3581" i="2"/>
  <c r="D55" i="2"/>
  <c r="D3277" i="2"/>
  <c r="E4068" i="2"/>
  <c r="D1546" i="2"/>
  <c r="E4537" i="2"/>
  <c r="D3239" i="2"/>
  <c r="D3390" i="2"/>
  <c r="E5010" i="2"/>
  <c r="E1990" i="2"/>
  <c r="D3136" i="2"/>
  <c r="E4642" i="2"/>
  <c r="D2746" i="2"/>
  <c r="D3156" i="2"/>
  <c r="D5165" i="2"/>
  <c r="E171" i="2"/>
  <c r="D4189" i="2"/>
  <c r="D178" i="2"/>
  <c r="E1851" i="2"/>
  <c r="D99" i="2"/>
  <c r="D2920" i="2"/>
  <c r="E3402" i="2"/>
  <c r="E2275" i="2"/>
  <c r="E2830" i="2"/>
  <c r="E2085" i="2"/>
  <c r="E3135" i="2"/>
  <c r="D580" i="2"/>
  <c r="E138" i="2"/>
  <c r="E1317" i="2"/>
  <c r="D3652" i="2"/>
  <c r="E3541" i="2"/>
  <c r="D1293" i="2"/>
  <c r="D3454" i="2"/>
  <c r="E4557" i="2"/>
  <c r="E3499" i="2"/>
  <c r="E345" i="2"/>
  <c r="D4165" i="2"/>
  <c r="E4459" i="2"/>
  <c r="D576" i="2"/>
  <c r="D4300" i="2"/>
  <c r="E201" i="2"/>
  <c r="E1911" i="2"/>
  <c r="D1289" i="2"/>
  <c r="E568" i="2"/>
  <c r="E164" i="2"/>
  <c r="D4462" i="2"/>
  <c r="D3740" i="2"/>
  <c r="D4216" i="2"/>
  <c r="E3828" i="2"/>
  <c r="D849" i="2"/>
  <c r="D3931" i="2"/>
  <c r="E5331" i="2"/>
  <c r="E5037" i="2"/>
  <c r="E3454" i="2"/>
  <c r="E1706" i="2"/>
  <c r="E2038" i="2"/>
  <c r="E2753" i="2"/>
  <c r="E3752" i="2"/>
  <c r="D2857" i="2"/>
  <c r="D3555" i="2"/>
  <c r="D4633" i="2"/>
  <c r="E4190" i="2"/>
  <c r="E5159" i="2"/>
  <c r="D4604" i="2"/>
  <c r="D374" i="2"/>
  <c r="D4493" i="2"/>
  <c r="E5118" i="2"/>
  <c r="E5117" i="2"/>
  <c r="E3980" i="2"/>
  <c r="E4409" i="2"/>
  <c r="D1959" i="2"/>
  <c r="E1686" i="2"/>
  <c r="D3674" i="2"/>
  <c r="D3790" i="2"/>
  <c r="D3525" i="2"/>
  <c r="D3264" i="2"/>
  <c r="E3576" i="2"/>
  <c r="D3514" i="2"/>
  <c r="E3400" i="2"/>
  <c r="D4972" i="2"/>
  <c r="E991" i="2"/>
  <c r="D5202" i="2"/>
  <c r="D4018" i="2"/>
  <c r="D65" i="2"/>
  <c r="E706" i="2"/>
  <c r="D3923" i="2"/>
  <c r="E3902" i="2"/>
  <c r="D1536" i="2"/>
  <c r="E2935" i="2"/>
  <c r="E3150" i="2"/>
  <c r="E3421" i="2"/>
  <c r="E4692" i="2"/>
  <c r="E5100" i="2"/>
  <c r="D4307" i="2"/>
  <c r="E354" i="2"/>
  <c r="E82" i="2"/>
  <c r="D5112" i="2"/>
  <c r="D2919" i="2"/>
  <c r="E4565" i="2"/>
  <c r="E3692" i="2"/>
  <c r="E2685" i="2"/>
  <c r="D1369" i="2"/>
  <c r="D1376" i="2"/>
  <c r="D234" i="2"/>
  <c r="D3705" i="2"/>
  <c r="E277" i="2"/>
  <c r="D1543" i="2"/>
  <c r="E4353" i="2"/>
  <c r="D2155" i="2"/>
  <c r="D3475" i="2"/>
  <c r="E225" i="2"/>
  <c r="E91" i="2"/>
  <c r="E5070" i="2"/>
  <c r="E2757" i="2"/>
  <c r="D3094" i="2"/>
  <c r="E3864" i="2"/>
  <c r="D3563" i="2"/>
  <c r="D2684" i="2"/>
  <c r="D4565" i="2"/>
  <c r="E3467" i="2"/>
  <c r="E1882" i="2"/>
  <c r="D458" i="2"/>
  <c r="E4029" i="2"/>
  <c r="E4680" i="2"/>
  <c r="D3040" i="2"/>
  <c r="E2986" i="2"/>
  <c r="D3773" i="2"/>
  <c r="D5329" i="2"/>
  <c r="E1179" i="2"/>
  <c r="D4679" i="2"/>
  <c r="D3192" i="2"/>
  <c r="E3382" i="2"/>
  <c r="D4214" i="2"/>
  <c r="D2794" i="2"/>
  <c r="E1172" i="2"/>
  <c r="D3715" i="2"/>
  <c r="D1965" i="2"/>
  <c r="E714" i="2"/>
  <c r="E4977" i="2"/>
  <c r="E206" i="2"/>
  <c r="D4985" i="2"/>
  <c r="D1927" i="2"/>
  <c r="D3218" i="2"/>
  <c r="D190" i="2"/>
  <c r="D4176" i="2"/>
  <c r="D839" i="2"/>
  <c r="E4497" i="2"/>
  <c r="D1321" i="2"/>
  <c r="E2162" i="2"/>
  <c r="D3459" i="2"/>
  <c r="D3679" i="2"/>
  <c r="D3712" i="2"/>
  <c r="D4135" i="2"/>
  <c r="D1489" i="2"/>
  <c r="E128" i="2"/>
  <c r="D4675" i="2"/>
  <c r="D3075" i="2"/>
  <c r="E3163" i="2"/>
  <c r="E3005" i="2"/>
  <c r="D2215" i="2"/>
  <c r="E4533" i="2"/>
  <c r="D4665" i="2"/>
  <c r="D2711" i="2"/>
  <c r="E4286" i="2"/>
  <c r="E1220" i="2"/>
  <c r="E1295" i="2"/>
  <c r="E760" i="2"/>
  <c r="E4496" i="2"/>
  <c r="D2846" i="2"/>
  <c r="D1340" i="2"/>
  <c r="D1262" i="2"/>
  <c r="E512" i="2"/>
  <c r="D2265" i="2"/>
  <c r="E3118" i="2"/>
  <c r="E2900" i="2"/>
  <c r="D784" i="2"/>
  <c r="E2203" i="2"/>
  <c r="D799" i="2"/>
  <c r="E547" i="2"/>
  <c r="D4813" i="2"/>
  <c r="D4471" i="2"/>
  <c r="E3743" i="2"/>
  <c r="E3366" i="2"/>
  <c r="E54" i="2"/>
  <c r="E5034" i="2"/>
  <c r="E4670" i="2"/>
  <c r="D2891" i="2"/>
  <c r="D5491" i="2"/>
  <c r="D4347" i="2"/>
  <c r="D4162" i="2"/>
  <c r="D3102" i="2"/>
  <c r="D2954" i="2"/>
  <c r="E1829" i="2"/>
  <c r="D1029" i="2"/>
  <c r="E1004" i="2"/>
  <c r="E5026" i="2"/>
  <c r="E3425" i="2"/>
  <c r="D1323" i="2"/>
  <c r="E2343" i="2"/>
  <c r="D2686" i="2"/>
  <c r="E2917" i="2"/>
  <c r="D1195" i="2"/>
  <c r="D390" i="2"/>
  <c r="D2871" i="2"/>
  <c r="D3977" i="2"/>
  <c r="D2829" i="2"/>
  <c r="D3686" i="2"/>
  <c r="E4412" i="2"/>
  <c r="D634" i="2"/>
  <c r="E3162" i="2"/>
  <c r="E3452" i="2"/>
  <c r="D529" i="2"/>
  <c r="E3777" i="2"/>
  <c r="D771" i="2"/>
  <c r="D3133" i="2"/>
  <c r="E5233" i="2"/>
  <c r="D3326" i="2"/>
  <c r="E3579" i="2"/>
  <c r="E1527" i="2"/>
  <c r="D1976" i="2"/>
  <c r="E393" i="2"/>
  <c r="E3105" i="2"/>
  <c r="E1029" i="2"/>
  <c r="D1811" i="2"/>
  <c r="E2728" i="2"/>
  <c r="E1892" i="2"/>
  <c r="D4930" i="2"/>
  <c r="D2749" i="2"/>
  <c r="D3645" i="2"/>
  <c r="D1226" i="2"/>
  <c r="D3323" i="2"/>
  <c r="D59" i="2"/>
  <c r="E2078" i="2"/>
  <c r="D4569" i="2"/>
  <c r="E2010" i="2"/>
  <c r="E3459" i="2"/>
  <c r="D2866" i="2"/>
  <c r="E5215" i="2"/>
  <c r="E3025" i="2"/>
  <c r="E3498" i="2"/>
  <c r="E1226" i="2"/>
  <c r="E1242" i="2"/>
  <c r="E435" i="2"/>
  <c r="D4351" i="2"/>
  <c r="E4012" i="2"/>
  <c r="E1926" i="2"/>
  <c r="E4179" i="2"/>
  <c r="D5124" i="2"/>
  <c r="D3260" i="2"/>
  <c r="D518" i="2"/>
  <c r="D3402" i="2"/>
  <c r="D3013" i="2"/>
  <c r="D5074" i="2"/>
  <c r="D713" i="2"/>
  <c r="E3189" i="2"/>
  <c r="D758" i="2"/>
  <c r="D2838" i="2"/>
  <c r="D2715" i="2"/>
  <c r="E3866" i="2"/>
  <c r="D3115" i="2"/>
  <c r="D3397" i="2"/>
  <c r="E3436" i="2"/>
  <c r="E614" i="2"/>
  <c r="D3870" i="2"/>
  <c r="E4597" i="2"/>
  <c r="E3910" i="2"/>
  <c r="D2068" i="2"/>
  <c r="D633" i="2"/>
  <c r="D994" i="2"/>
  <c r="E3749" i="2"/>
  <c r="E2628" i="2"/>
  <c r="D958" i="2"/>
  <c r="E4267" i="2"/>
  <c r="D5139" i="2"/>
  <c r="E4139" i="2"/>
  <c r="E4192" i="2"/>
  <c r="E4172" i="2"/>
  <c r="E637" i="2"/>
  <c r="E2495" i="2"/>
  <c r="E4973" i="2"/>
  <c r="D3114" i="2"/>
  <c r="D217" i="2"/>
  <c r="E1455" i="2"/>
  <c r="E4373" i="2"/>
  <c r="E4113" i="2"/>
  <c r="E5303" i="2"/>
  <c r="E3493" i="2"/>
  <c r="D3982" i="2"/>
  <c r="E4191" i="2"/>
  <c r="D2937" i="2"/>
  <c r="E4065" i="2"/>
  <c r="D139" i="2"/>
  <c r="E4417" i="2"/>
  <c r="E1546" i="2"/>
  <c r="E564" i="2"/>
  <c r="D4387" i="2"/>
  <c r="E1461" i="2"/>
  <c r="D824" i="2"/>
  <c r="D836" i="2"/>
  <c r="D1047" i="2"/>
  <c r="E84" i="2"/>
  <c r="E1848" i="2"/>
  <c r="E3846" i="2"/>
  <c r="D3502" i="2"/>
  <c r="D3799" i="2"/>
  <c r="D4120" i="2"/>
  <c r="D1503" i="2"/>
  <c r="D1343" i="2"/>
  <c r="E5334" i="2"/>
  <c r="E2904" i="2"/>
  <c r="E3508" i="2"/>
  <c r="D2328" i="2"/>
  <c r="E2697" i="2"/>
  <c r="E400" i="2"/>
  <c r="D4252" i="2"/>
  <c r="E704" i="2"/>
  <c r="E3709" i="2"/>
  <c r="E4573" i="2"/>
  <c r="D25" i="2"/>
  <c r="D3441" i="2"/>
  <c r="D1946" i="2"/>
  <c r="D3204" i="2"/>
  <c r="E1077" i="2"/>
  <c r="D5050" i="2"/>
  <c r="D3403" i="2"/>
  <c r="D954" i="2"/>
  <c r="D4328" i="2"/>
  <c r="D3202" i="2"/>
  <c r="E3303" i="2"/>
  <c r="E209" i="2"/>
  <c r="D177" i="2"/>
  <c r="D1119" i="2"/>
  <c r="E1156" i="2"/>
  <c r="E4627" i="2"/>
  <c r="D4676" i="2"/>
  <c r="E193" i="2"/>
  <c r="E2603" i="2"/>
  <c r="E1069" i="2"/>
  <c r="E1334" i="2"/>
  <c r="E119" i="2"/>
  <c r="D2335" i="2"/>
  <c r="D3856" i="2"/>
  <c r="D1815" i="2"/>
  <c r="E3561" i="2"/>
  <c r="D3684" i="2"/>
  <c r="D4316" i="2"/>
  <c r="E4028" i="2"/>
  <c r="D4027" i="2"/>
  <c r="D3619" i="2"/>
  <c r="E3730" i="2"/>
  <c r="D1799" i="2"/>
  <c r="E90" i="2"/>
  <c r="D4645" i="2"/>
  <c r="E1444" i="2"/>
  <c r="E2236" i="2"/>
  <c r="D3256" i="2"/>
  <c r="E112" i="2"/>
  <c r="D1048" i="2"/>
  <c r="D2703" i="2"/>
  <c r="E3117" i="2"/>
  <c r="D670" i="2"/>
  <c r="D5106" i="2"/>
  <c r="D554" i="2"/>
  <c r="E453" i="2"/>
  <c r="D3990" i="2"/>
  <c r="E3242" i="2"/>
  <c r="D4981" i="2"/>
  <c r="E299" i="2"/>
  <c r="D3699" i="2"/>
  <c r="E1970" i="2"/>
  <c r="D5057" i="2"/>
  <c r="D4421" i="2"/>
  <c r="D3021" i="2"/>
  <c r="E4358" i="2"/>
  <c r="E794" i="2"/>
  <c r="D2702" i="2"/>
  <c r="E3962" i="2"/>
  <c r="E1490" i="2"/>
  <c r="D211" i="2"/>
  <c r="D741" i="2"/>
  <c r="E4225" i="2"/>
  <c r="D3817" i="2"/>
  <c r="E4521" i="2"/>
  <c r="E3746" i="2"/>
  <c r="D669" i="2"/>
  <c r="D4314" i="2"/>
  <c r="D4548" i="2"/>
  <c r="E2334" i="2"/>
  <c r="E199" i="2"/>
  <c r="D133" i="2"/>
  <c r="D326" i="2"/>
  <c r="E596" i="2"/>
  <c r="D2901" i="2"/>
  <c r="D4588" i="2"/>
  <c r="E5218" i="2"/>
  <c r="D792" i="2"/>
  <c r="E3830" i="2"/>
  <c r="E4962" i="2"/>
  <c r="E4018" i="2"/>
  <c r="E3511" i="2"/>
  <c r="D3675" i="2"/>
  <c r="E593" i="2"/>
  <c r="D2340" i="2"/>
  <c r="E2192" i="2"/>
  <c r="E3834" i="2"/>
  <c r="D4244" i="2"/>
  <c r="E5377" i="2"/>
  <c r="D5039" i="2"/>
  <c r="E720" i="2"/>
  <c r="E2847" i="2"/>
  <c r="E2676" i="2"/>
  <c r="D4373" i="2"/>
  <c r="E2056" i="2"/>
  <c r="E3500" i="2"/>
  <c r="E566" i="2"/>
  <c r="E5146" i="2"/>
  <c r="D2122" i="2"/>
  <c r="E4965" i="2"/>
  <c r="E2176" i="2"/>
  <c r="E3704" i="2"/>
  <c r="E3717" i="2"/>
  <c r="E402" i="2"/>
  <c r="E654" i="2"/>
  <c r="E1972" i="2"/>
  <c r="E3727" i="2"/>
  <c r="E1012" i="2"/>
  <c r="E2824" i="2"/>
  <c r="E4503" i="2"/>
  <c r="E4540" i="2"/>
  <c r="E2218" i="2"/>
  <c r="D4292" i="2"/>
  <c r="D2305" i="2"/>
  <c r="E2862" i="2"/>
  <c r="D36" i="2"/>
  <c r="E1773" i="2"/>
  <c r="D1774" i="2"/>
  <c r="D5027" i="2"/>
  <c r="D4977" i="2"/>
  <c r="D5100" i="2"/>
  <c r="E3057" i="2"/>
  <c r="D3314" i="2"/>
  <c r="E1210" i="2"/>
  <c r="D676" i="2"/>
  <c r="D1911" i="2"/>
  <c r="D197" i="2"/>
  <c r="E961" i="2"/>
  <c r="D5214" i="2"/>
  <c r="D364" i="2"/>
  <c r="D1167" i="2"/>
  <c r="E5374" i="2"/>
  <c r="E144" i="2"/>
  <c r="E5427" i="2"/>
  <c r="D1853" i="2"/>
  <c r="D3007" i="2"/>
  <c r="D2898" i="2"/>
  <c r="D3664" i="2"/>
  <c r="D827" i="2"/>
  <c r="D4965" i="2"/>
  <c r="E3450" i="2"/>
  <c r="D2054" i="2"/>
  <c r="E1621" i="2"/>
  <c r="E1873" i="2"/>
  <c r="E1850" i="2"/>
  <c r="D4134" i="2"/>
  <c r="D1840" i="2"/>
  <c r="D1230" i="2"/>
  <c r="D2312" i="2"/>
  <c r="D5156" i="2"/>
  <c r="E3159" i="2"/>
  <c r="E5183" i="2"/>
  <c r="E2325" i="2"/>
  <c r="E698" i="2"/>
  <c r="E4979" i="2"/>
  <c r="E399" i="2"/>
  <c r="D871" i="2"/>
  <c r="D125" i="2"/>
  <c r="D4241" i="2"/>
  <c r="E951" i="2"/>
  <c r="E3090" i="2"/>
  <c r="D3615" i="2"/>
  <c r="D2404" i="2"/>
  <c r="E3207" i="2"/>
  <c r="E4655" i="2"/>
  <c r="E2000" i="2"/>
  <c r="E2210" i="2"/>
  <c r="D2031" i="2"/>
  <c r="E3192" i="2"/>
  <c r="E4138" i="2"/>
  <c r="E2720" i="2"/>
  <c r="D324" i="2"/>
  <c r="E981" i="2"/>
  <c r="E158" i="2"/>
  <c r="D3932" i="2"/>
  <c r="E3939" i="2"/>
  <c r="E4170" i="2"/>
  <c r="E3892" i="2"/>
  <c r="E3138" i="2"/>
  <c r="E3585" i="2"/>
  <c r="E3948" i="2"/>
  <c r="E713" i="2"/>
  <c r="E3252" i="2"/>
  <c r="D1380" i="2"/>
  <c r="D4713" i="2"/>
  <c r="E2417" i="2"/>
  <c r="E734" i="2"/>
  <c r="E12" i="2"/>
  <c r="E5025" i="2"/>
  <c r="D5060" i="2"/>
  <c r="D349" i="2"/>
  <c r="D3340" i="2"/>
  <c r="D5427" i="2"/>
  <c r="E3077" i="2"/>
  <c r="E113" i="2"/>
  <c r="D1872" i="2"/>
  <c r="D2812" i="2"/>
  <c r="E4368" i="2"/>
  <c r="D3037" i="2"/>
  <c r="D740" i="2"/>
  <c r="E607" i="2"/>
  <c r="E2861" i="2"/>
  <c r="D5173" i="2"/>
  <c r="D585" i="2"/>
  <c r="D3015" i="2"/>
  <c r="E4682" i="2"/>
  <c r="E4087" i="2"/>
  <c r="E4424" i="2"/>
  <c r="D2102" i="2"/>
  <c r="D3704" i="2"/>
  <c r="D2888" i="2"/>
  <c r="D1804" i="2"/>
  <c r="E747" i="2"/>
  <c r="E5162" i="2"/>
  <c r="D2316" i="2"/>
  <c r="D1454" i="2"/>
  <c r="D1581" i="2"/>
  <c r="E4530" i="2"/>
  <c r="D5130" i="2"/>
  <c r="D4512" i="2"/>
  <c r="D4705" i="2"/>
  <c r="D297" i="2"/>
  <c r="E2755" i="2"/>
  <c r="E4486" i="2"/>
  <c r="D1819" i="2"/>
  <c r="E3538" i="2"/>
  <c r="D5194" i="2"/>
  <c r="D4032" i="2"/>
  <c r="E1063" i="2"/>
  <c r="D4183" i="2"/>
  <c r="D193" i="2"/>
  <c r="E4861" i="2"/>
  <c r="D2627" i="2"/>
  <c r="D5182" i="2"/>
  <c r="E4974" i="2"/>
  <c r="D4490" i="2"/>
  <c r="E1663" i="2"/>
  <c r="D124" i="2"/>
  <c r="D3095" i="2"/>
  <c r="D452" i="2"/>
  <c r="E1753" i="2"/>
  <c r="D2799" i="2"/>
  <c r="E2153" i="2"/>
  <c r="D1256" i="2"/>
  <c r="D3350" i="2"/>
  <c r="D3298" i="2"/>
  <c r="E2250" i="2"/>
  <c r="D4550" i="2"/>
  <c r="E476" i="2"/>
  <c r="D3864" i="2"/>
  <c r="E5378" i="2"/>
  <c r="E15" i="2"/>
  <c r="E3502" i="2"/>
  <c r="D3622" i="2"/>
  <c r="E1893" i="2"/>
  <c r="E2328" i="2"/>
  <c r="E1898" i="2"/>
  <c r="D4698" i="2"/>
  <c r="E1812" i="2"/>
  <c r="D3226" i="2"/>
  <c r="D1404" i="2"/>
  <c r="E2666" i="2"/>
  <c r="E1629" i="2"/>
  <c r="D3610" i="2"/>
  <c r="E4995" i="2"/>
  <c r="D1610" i="2"/>
  <c r="E4446" i="2"/>
  <c r="D1820" i="2"/>
  <c r="D3600" i="2"/>
  <c r="E5097" i="2"/>
  <c r="E2648" i="2"/>
  <c r="E4705" i="2"/>
  <c r="D5426" i="2"/>
  <c r="D2603" i="2"/>
  <c r="E2215" i="2"/>
  <c r="D4075" i="2"/>
  <c r="E1040" i="2"/>
  <c r="D224" i="2"/>
  <c r="E1390" i="2"/>
  <c r="D3823" i="2"/>
  <c r="E4998" i="2"/>
  <c r="D4521" i="2"/>
  <c r="D1237" i="2"/>
  <c r="E3403" i="2"/>
  <c r="E4070" i="2"/>
  <c r="D1064" i="2"/>
  <c r="D120" i="2"/>
  <c r="E1551" i="2"/>
  <c r="E3240" i="2"/>
  <c r="D616" i="2"/>
  <c r="D3986" i="2"/>
  <c r="E3312" i="2"/>
  <c r="D2732" i="2"/>
  <c r="D3247" i="2"/>
  <c r="D98" i="2"/>
  <c r="E1694" i="2"/>
  <c r="E3193" i="2"/>
  <c r="D2162" i="2"/>
  <c r="D4600" i="2"/>
  <c r="D2447" i="2"/>
  <c r="E136" i="2"/>
  <c r="E1302" i="2"/>
  <c r="E5075" i="2"/>
  <c r="E398" i="2"/>
  <c r="D1097" i="2"/>
  <c r="D1842" i="2"/>
  <c r="E4134" i="2"/>
  <c r="E374" i="2"/>
  <c r="D392" i="2"/>
  <c r="E3350" i="2"/>
  <c r="D1533" i="2"/>
  <c r="D2560" i="2"/>
  <c r="D3788" i="2"/>
  <c r="D1511" i="2"/>
  <c r="E570" i="2"/>
  <c r="D1893" i="2"/>
  <c r="E4268" i="2"/>
  <c r="D4125" i="2"/>
  <c r="E3246" i="2"/>
  <c r="E5150" i="2"/>
  <c r="D3042" i="2"/>
  <c r="D151" i="2"/>
  <c r="E4086" i="2"/>
  <c r="E4157" i="2"/>
  <c r="D3279" i="2"/>
  <c r="D2805" i="2"/>
  <c r="E3603" i="2"/>
  <c r="D447" i="2"/>
  <c r="D2434" i="2"/>
  <c r="D937" i="2"/>
  <c r="E2190" i="2"/>
  <c r="E2091" i="2"/>
  <c r="E2913" i="2"/>
  <c r="E4051" i="2"/>
  <c r="E5423" i="2"/>
  <c r="E4152" i="2"/>
  <c r="E5188" i="2"/>
  <c r="D2761" i="2"/>
  <c r="D3395" i="2"/>
  <c r="E945" i="2"/>
  <c r="E3369" i="2"/>
  <c r="D3355" i="2"/>
  <c r="D3273" i="2"/>
  <c r="D3483" i="2"/>
  <c r="D3304" i="2"/>
  <c r="D3303" i="2"/>
  <c r="D3463" i="2"/>
  <c r="E279" i="2"/>
  <c r="D1405" i="2"/>
  <c r="E5168" i="2"/>
  <c r="E3813" i="2"/>
  <c r="D1874" i="2"/>
  <c r="D3579" i="2"/>
  <c r="E2447" i="2"/>
  <c r="E4930" i="2"/>
  <c r="E1520" i="2"/>
  <c r="D1024" i="2"/>
  <c r="E2699" i="2"/>
  <c r="E590" i="2"/>
  <c r="D5068" i="2"/>
  <c r="D1359" i="2"/>
  <c r="E3555" i="2"/>
  <c r="D3970" i="2"/>
  <c r="E2732" i="2"/>
  <c r="D2221" i="2"/>
  <c r="D1497" i="2"/>
  <c r="D380" i="2"/>
  <c r="D3999" i="2"/>
  <c r="D1881" i="2"/>
  <c r="E2331" i="2"/>
  <c r="D3874" i="2"/>
  <c r="E4658" i="2"/>
  <c r="D4354" i="2"/>
  <c r="E4435" i="2"/>
  <c r="E4085" i="2"/>
  <c r="E4518" i="2"/>
  <c r="D1512" i="2"/>
  <c r="E2716" i="2"/>
  <c r="D1101" i="2"/>
  <c r="E3166" i="2"/>
  <c r="D3144" i="2"/>
  <c r="D3707" i="2"/>
  <c r="E3171" i="2"/>
  <c r="D2443" i="2"/>
  <c r="E834" i="2"/>
  <c r="D3079" i="2"/>
  <c r="E1998" i="2"/>
  <c r="D1435" i="2"/>
  <c r="E3887" i="2"/>
  <c r="D1209" i="2"/>
  <c r="E2146" i="2"/>
  <c r="E3375" i="2"/>
  <c r="D1286" i="2"/>
  <c r="D718" i="2"/>
  <c r="E2456" i="2"/>
  <c r="E2155" i="2"/>
  <c r="E2300" i="2"/>
  <c r="E893" i="2"/>
  <c r="E4582" i="2"/>
  <c r="D2906" i="2"/>
  <c r="D1575" i="2"/>
  <c r="E842" i="2"/>
  <c r="D4013" i="2"/>
  <c r="D696" i="2"/>
  <c r="E292" i="2"/>
  <c r="D1574" i="2"/>
  <c r="E1834" i="2"/>
  <c r="E3390" i="2"/>
  <c r="E4304" i="2"/>
  <c r="D4370" i="2"/>
  <c r="E34" i="2"/>
  <c r="D2789" i="2"/>
  <c r="D3373" i="2"/>
  <c r="E1964" i="2"/>
  <c r="D1443" i="2"/>
  <c r="E3220" i="2"/>
  <c r="E2966" i="2"/>
  <c r="E1784" i="2"/>
  <c r="D366" i="2"/>
  <c r="D2801" i="2"/>
  <c r="D4655" i="2"/>
  <c r="D4571" i="2"/>
  <c r="E1289" i="2"/>
  <c r="E31" i="2"/>
  <c r="D3233" i="2"/>
  <c r="E185" i="2"/>
  <c r="D5286" i="2"/>
  <c r="E4220" i="2"/>
  <c r="D2095" i="2"/>
  <c r="E1768" i="2"/>
  <c r="E526" i="2"/>
  <c r="E3573" i="2"/>
  <c r="E649" i="2"/>
  <c r="E471" i="2"/>
  <c r="E1281" i="2"/>
  <c r="E1722" i="2"/>
  <c r="E3676" i="2"/>
  <c r="D1295" i="2"/>
  <c r="E392" i="2"/>
  <c r="D1060" i="2"/>
  <c r="D3038" i="2"/>
  <c r="E1536" i="2"/>
  <c r="D5085" i="2"/>
  <c r="D2870" i="2"/>
  <c r="D680" i="2"/>
  <c r="D83" i="2"/>
  <c r="D3025" i="2"/>
  <c r="E2086" i="2"/>
  <c r="E4473" i="2"/>
  <c r="D3553" i="2"/>
  <c r="D2196" i="2"/>
  <c r="D1812" i="2"/>
  <c r="D2960" i="2"/>
  <c r="D4513" i="2"/>
  <c r="E2221" i="2"/>
  <c r="D4623" i="2"/>
  <c r="E3074" i="2"/>
  <c r="E4964" i="2"/>
  <c r="D5218" i="2"/>
  <c r="E2336" i="2"/>
  <c r="E5009" i="2"/>
  <c r="E3648" i="2"/>
  <c r="E5105" i="2"/>
  <c r="E5029" i="2"/>
  <c r="E5166" i="2"/>
  <c r="E709" i="2"/>
  <c r="E3406" i="2"/>
  <c r="D3963" i="2"/>
  <c r="D1609" i="2"/>
  <c r="E4324" i="2"/>
  <c r="E5332" i="2"/>
  <c r="E2992" i="2"/>
  <c r="E43" i="2"/>
  <c r="D100" i="2"/>
  <c r="E2919" i="2"/>
  <c r="E5081" i="2"/>
  <c r="E855" i="2"/>
  <c r="E5054" i="2"/>
  <c r="D111" i="2"/>
  <c r="D964" i="2"/>
  <c r="E3195" i="2"/>
  <c r="E48" i="2"/>
  <c r="E4154" i="2"/>
  <c r="D4031" i="2"/>
  <c r="E1268" i="2"/>
  <c r="E1785" i="2"/>
  <c r="D2038" i="2"/>
  <c r="D4160" i="2"/>
  <c r="D4388" i="2"/>
  <c r="D169" i="2"/>
  <c r="D3729" i="2"/>
  <c r="D1462" i="2"/>
  <c r="D1204" i="2"/>
  <c r="E752" i="2"/>
  <c r="D922" i="2"/>
  <c r="E1251" i="2"/>
  <c r="E587" i="2"/>
  <c r="E4648" i="2"/>
  <c r="D3057" i="2"/>
  <c r="D1246" i="2"/>
  <c r="E1114" i="2"/>
  <c r="D2287" i="2"/>
  <c r="E1954" i="2"/>
  <c r="D5163" i="2"/>
  <c r="E5148" i="2"/>
  <c r="E3071" i="2"/>
  <c r="E4570" i="2"/>
  <c r="E2041" i="2"/>
  <c r="D3922" i="2"/>
  <c r="D5042" i="2"/>
  <c r="E4000" i="2"/>
  <c r="D4514" i="2"/>
  <c r="D72" i="2"/>
  <c r="E3490" i="2"/>
  <c r="E3504" i="2"/>
  <c r="D1480" i="2"/>
  <c r="E1074" i="2"/>
  <c r="D889" i="2"/>
  <c r="D1200" i="2"/>
  <c r="E3190" i="2"/>
  <c r="D727" i="2"/>
  <c r="E5470" i="2"/>
  <c r="E2124" i="2"/>
  <c r="E1223" i="2"/>
  <c r="D3560" i="2"/>
  <c r="E1028" i="2"/>
  <c r="E3822" i="2"/>
  <c r="D2184" i="2"/>
  <c r="D202" i="2"/>
  <c r="E4645" i="2"/>
  <c r="D4982" i="2"/>
  <c r="E4462" i="2"/>
  <c r="E4431" i="2"/>
  <c r="D4684" i="2"/>
  <c r="E1105" i="2"/>
  <c r="E1717" i="2"/>
  <c r="E4691" i="2"/>
  <c r="D228" i="2"/>
  <c r="D2878" i="2"/>
  <c r="D1912" i="2"/>
  <c r="E3021" i="2"/>
  <c r="E17" i="2"/>
  <c r="D6" i="2"/>
  <c r="E3714" i="2"/>
  <c r="E20" i="2"/>
  <c r="D4036" i="2"/>
  <c r="E3509" i="2"/>
  <c r="E139" i="2"/>
  <c r="D756" i="2"/>
  <c r="D3169" i="2"/>
  <c r="D2629" i="2"/>
  <c r="E3063" i="2"/>
  <c r="D760" i="2"/>
  <c r="E4509" i="2"/>
  <c r="D494" i="2"/>
  <c r="E2577" i="2"/>
  <c r="D3080" i="2"/>
  <c r="D12" i="2"/>
  <c r="E3557" i="2"/>
  <c r="E1407" i="2"/>
  <c r="D4991" i="2"/>
  <c r="E2614" i="2"/>
  <c r="D775" i="2"/>
  <c r="E358" i="2"/>
  <c r="D2662" i="2"/>
  <c r="D53" i="2"/>
  <c r="D3405" i="2"/>
  <c r="E2812" i="2"/>
  <c r="D4369" i="2"/>
  <c r="E2712" i="2"/>
  <c r="E4640" i="2"/>
  <c r="E1233" i="2"/>
  <c r="D2336" i="2"/>
  <c r="D4702" i="2"/>
  <c r="E4538" i="2"/>
  <c r="D2786" i="2"/>
  <c r="D69" i="2"/>
  <c r="D1373" i="2"/>
  <c r="D4177" i="2"/>
  <c r="E2853" i="2"/>
  <c r="D3071" i="2"/>
  <c r="E2758" i="2"/>
  <c r="D1040" i="2"/>
  <c r="E4123" i="2"/>
  <c r="D556" i="2"/>
  <c r="E1199" i="2"/>
  <c r="E1425" i="2"/>
  <c r="E3788" i="2"/>
  <c r="D4564" i="2"/>
  <c r="D3238" i="2"/>
  <c r="E1400" i="2"/>
  <c r="E3514" i="2"/>
  <c r="D4680" i="2"/>
  <c r="E3481" i="2"/>
  <c r="D3720" i="2"/>
  <c r="E3805" i="2"/>
  <c r="D5138" i="2"/>
  <c r="E2932" i="2"/>
  <c r="E4607" i="2"/>
  <c r="E3120" i="2"/>
  <c r="D957" i="2"/>
  <c r="E4620" i="2"/>
  <c r="D4647" i="2"/>
  <c r="D5193" i="2"/>
  <c r="E866" i="2"/>
  <c r="E4532" i="2"/>
  <c r="E4355" i="2"/>
  <c r="E63" i="2"/>
  <c r="E2144" i="2"/>
  <c r="E5079" i="2"/>
  <c r="D2128" i="2"/>
  <c r="E359" i="2"/>
  <c r="D794" i="2"/>
  <c r="E4563" i="2"/>
  <c r="E1544" i="2"/>
  <c r="D3262" i="2"/>
  <c r="D1444" i="2"/>
  <c r="D3439" i="2"/>
  <c r="E2768" i="2"/>
  <c r="E5282" i="2"/>
  <c r="D3883" i="2"/>
  <c r="D3022" i="2"/>
  <c r="D396" i="2"/>
  <c r="E1099" i="2"/>
  <c r="E21" i="2"/>
  <c r="D1297" i="2"/>
  <c r="D4641" i="2"/>
  <c r="D1450" i="2"/>
  <c r="E929" i="2"/>
  <c r="D350" i="2"/>
  <c r="E2372" i="2"/>
  <c r="E3039" i="2"/>
  <c r="D2208" i="2"/>
  <c r="D3275" i="2"/>
  <c r="D4673" i="2"/>
  <c r="E130" i="2"/>
  <c r="E3357" i="2"/>
  <c r="D953" i="2"/>
  <c r="E88" i="2"/>
  <c r="E4697" i="2"/>
  <c r="D105" i="2"/>
  <c r="D2164" i="2"/>
  <c r="D163" i="2"/>
  <c r="E5082" i="2"/>
  <c r="D4534" i="2"/>
  <c r="D3078" i="2"/>
  <c r="E1136" i="2"/>
  <c r="D2028" i="2"/>
  <c r="D3116" i="2"/>
  <c r="D4661" i="2"/>
  <c r="D5350" i="2"/>
  <c r="E3711" i="2"/>
  <c r="E156" i="2"/>
  <c r="D880" i="2"/>
  <c r="E1696" i="2"/>
  <c r="D5205" i="2"/>
  <c r="D180" i="2"/>
  <c r="D2166" i="2"/>
  <c r="D2973" i="2"/>
  <c r="D3034" i="2"/>
  <c r="E1115" i="2"/>
  <c r="E3157" i="2"/>
  <c r="D4033" i="2"/>
  <c r="E3877" i="2"/>
  <c r="D188" i="2"/>
  <c r="E2136" i="2"/>
  <c r="E2856" i="2"/>
  <c r="D5023" i="2"/>
  <c r="D2000" i="2"/>
  <c r="E1126" i="2"/>
  <c r="E2105" i="2"/>
  <c r="D3488" i="2"/>
  <c r="E1116" i="2"/>
  <c r="E2790" i="2"/>
  <c r="D4787" i="2"/>
  <c r="E3745" i="2"/>
  <c r="D2736" i="2"/>
  <c r="D2408" i="2"/>
  <c r="E2820" i="2"/>
  <c r="E4465" i="2"/>
  <c r="E4032" i="2"/>
  <c r="D2078" i="2"/>
  <c r="E3156" i="2"/>
  <c r="D5216" i="2"/>
  <c r="D1851" i="2"/>
  <c r="D1015" i="2"/>
  <c r="D1726" i="2"/>
  <c r="D4594" i="2"/>
  <c r="D5169" i="2"/>
  <c r="D1124" i="2"/>
  <c r="D3717" i="2"/>
  <c r="E3610" i="2"/>
  <c r="D3379" i="2"/>
  <c r="E4370" i="2"/>
  <c r="D3181" i="2"/>
  <c r="D1560" i="2"/>
  <c r="E2794" i="2"/>
  <c r="D5381" i="2"/>
  <c r="E1299" i="2"/>
  <c r="E740" i="2"/>
  <c r="E3783" i="2"/>
  <c r="D2754" i="2"/>
  <c r="E3237" i="2"/>
  <c r="D3448" i="2"/>
  <c r="E705" i="2"/>
  <c r="D4276" i="2"/>
  <c r="E2019" i="2"/>
  <c r="E5051" i="2"/>
  <c r="E2590" i="2"/>
  <c r="D3208" i="2"/>
  <c r="E3399" i="2"/>
  <c r="E652" i="2"/>
  <c r="D4142" i="2"/>
  <c r="E3214" i="2"/>
  <c r="D5197" i="2"/>
  <c r="D4144" i="2"/>
  <c r="D3213" i="2"/>
  <c r="D4230" i="2"/>
  <c r="D1197" i="2"/>
  <c r="E2332" i="2"/>
  <c r="D4690" i="2"/>
  <c r="D3996" i="2"/>
  <c r="D147" i="2"/>
  <c r="D4201" i="2"/>
  <c r="E3072" i="2"/>
  <c r="D5211" i="2"/>
  <c r="E763" i="2"/>
  <c r="E1979" i="2"/>
  <c r="E148" i="2"/>
  <c r="E1512" i="2"/>
  <c r="E749" i="2"/>
  <c r="E876" i="2"/>
  <c r="E2560" i="2"/>
  <c r="D2792" i="2"/>
  <c r="E1270" i="2"/>
  <c r="D4186" i="2"/>
  <c r="D1072" i="2"/>
  <c r="D1249" i="2"/>
  <c r="D3401" i="2"/>
  <c r="E4676" i="2"/>
  <c r="D5024" i="2"/>
  <c r="D1393" i="2"/>
  <c r="D3369" i="2"/>
  <c r="D280" i="2"/>
  <c r="E283" i="2"/>
  <c r="D4155" i="2"/>
  <c r="E1675" i="2"/>
  <c r="E4057" i="2"/>
  <c r="E1767" i="2"/>
  <c r="E3568" i="2"/>
  <c r="D2074" i="2"/>
  <c r="D755" i="2"/>
  <c r="D4939" i="2"/>
  <c r="E4069" i="2"/>
  <c r="E3968" i="2"/>
  <c r="D1222" i="2"/>
  <c r="D3862" i="2"/>
  <c r="D1718" i="2"/>
  <c r="E1968" i="2"/>
  <c r="D2322" i="2"/>
  <c r="D2138" i="2"/>
  <c r="E16" i="2"/>
  <c r="D4124" i="2"/>
  <c r="D1011" i="2"/>
  <c r="D873" i="2"/>
  <c r="D145" i="2"/>
  <c r="D3873" i="2"/>
  <c r="E3363" i="2"/>
  <c r="E4552" i="2"/>
  <c r="D1344" i="2"/>
  <c r="D2851" i="2"/>
  <c r="E4093" i="2"/>
  <c r="E690" i="2"/>
  <c r="E1406" i="2"/>
  <c r="E3175" i="2"/>
  <c r="E5" i="2"/>
  <c r="D4572" i="2"/>
  <c r="D1544" i="2"/>
  <c r="E1799" i="2"/>
  <c r="D1647" i="2"/>
  <c r="D119" i="2"/>
  <c r="E3046" i="2"/>
  <c r="E4284" i="2"/>
  <c r="D3570" i="2"/>
  <c r="E3095" i="2"/>
  <c r="E3218" i="2"/>
  <c r="E87" i="2"/>
  <c r="E3183" i="2"/>
  <c r="D1515" i="2"/>
  <c r="E3837" i="2"/>
  <c r="E2370" i="2"/>
  <c r="E633" i="2"/>
  <c r="D4011" i="2"/>
  <c r="E2951" i="2"/>
  <c r="D3492" i="2"/>
  <c r="E1046" i="2"/>
  <c r="E133" i="2"/>
  <c r="D1473" i="2"/>
  <c r="E1001" i="2"/>
  <c r="D578" i="2"/>
  <c r="D5189" i="2"/>
  <c r="D4339" i="2"/>
  <c r="E4159" i="2"/>
  <c r="D3577" i="2"/>
  <c r="D4563" i="2"/>
  <c r="E592" i="2"/>
  <c r="E1389" i="2"/>
  <c r="D321" i="2"/>
  <c r="E3043" i="2"/>
  <c r="E2145" i="2"/>
  <c r="E13" i="2"/>
  <c r="D3090" i="2"/>
  <c r="D3460" i="2"/>
  <c r="E4515" i="2"/>
  <c r="D4826" i="2"/>
  <c r="D996" i="2"/>
  <c r="D1089" i="2"/>
  <c r="D192" i="2"/>
  <c r="E3516" i="2"/>
  <c r="E1344" i="2"/>
  <c r="E4196" i="2"/>
  <c r="E754" i="2"/>
  <c r="D352" i="2"/>
  <c r="E3878" i="2"/>
  <c r="E2925" i="2"/>
  <c r="D4005" i="2"/>
  <c r="D2323" i="2"/>
  <c r="D4657" i="2"/>
  <c r="E230" i="2"/>
  <c r="D842" i="2"/>
  <c r="D4682" i="2"/>
  <c r="E1164" i="2"/>
  <c r="E4396" i="2"/>
  <c r="D3046" i="2"/>
  <c r="D13" i="2"/>
  <c r="E3715" i="2"/>
  <c r="D4465" i="2"/>
  <c r="D4268" i="2"/>
  <c r="D2325" i="2"/>
  <c r="E3517" i="2"/>
  <c r="D2853" i="2"/>
  <c r="D5334" i="2"/>
  <c r="E3754" i="2"/>
  <c r="E4695" i="2"/>
  <c r="D3351" i="2"/>
  <c r="E360" i="2"/>
  <c r="D891" i="2"/>
  <c r="D723" i="2"/>
  <c r="D87" i="2"/>
  <c r="E3466" i="2"/>
  <c r="E1101" i="2"/>
  <c r="D1102" i="2"/>
  <c r="E3329" i="2"/>
  <c r="E4512" i="2"/>
  <c r="D4681" i="2"/>
  <c r="E3167" i="2"/>
  <c r="E1509" i="2"/>
  <c r="D5128" i="2"/>
  <c r="E4062" i="2"/>
  <c r="D4263" i="2"/>
  <c r="D1587" i="2"/>
  <c r="D1961" i="2"/>
  <c r="D1744" i="2"/>
  <c r="D2127" i="2"/>
  <c r="D2666" i="2"/>
  <c r="D1210" i="2"/>
  <c r="E1649" i="2"/>
  <c r="E4283" i="2"/>
  <c r="E154" i="2"/>
  <c r="E379" i="2"/>
  <c r="E418" i="2"/>
  <c r="D3161" i="2"/>
  <c r="E1154" i="2"/>
  <c r="D1442" i="2"/>
  <c r="D1645" i="2"/>
  <c r="E1038" i="2"/>
  <c r="E4165" i="2"/>
  <c r="E2069" i="2"/>
  <c r="E4166" i="2"/>
  <c r="E4230" i="2"/>
  <c r="D2482" i="2"/>
  <c r="E939" i="2"/>
  <c r="D2096" i="2"/>
  <c r="E4813" i="2"/>
  <c r="D5200" i="2"/>
  <c r="D2791" i="2"/>
  <c r="D436" i="2"/>
  <c r="E562" i="2"/>
  <c r="E78" i="2"/>
  <c r="E4647" i="2"/>
  <c r="D4712" i="2"/>
  <c r="E4539" i="2"/>
  <c r="E1918" i="2"/>
  <c r="D3150" i="2"/>
  <c r="D2417" i="2"/>
  <c r="E2970" i="2"/>
  <c r="E5065" i="2"/>
  <c r="E5106" i="2"/>
  <c r="E99" i="2"/>
  <c r="E3151" i="2"/>
  <c r="E824" i="2"/>
  <c r="E3172" i="2"/>
  <c r="D2832" i="2"/>
  <c r="E3194" i="2"/>
  <c r="E3984" i="2"/>
  <c r="E1140" i="2"/>
  <c r="D2764" i="2"/>
  <c r="D1038" i="2"/>
  <c r="D10" i="2"/>
  <c r="E1048" i="2"/>
  <c r="E352" i="2"/>
  <c r="E3378" i="2"/>
  <c r="E4579" i="2"/>
  <c r="E3280" i="2"/>
  <c r="E4401" i="2"/>
  <c r="D4477" i="2"/>
  <c r="D3409" i="2"/>
  <c r="D4538" i="2"/>
  <c r="E4265" i="2"/>
  <c r="D1658" i="2"/>
  <c r="E1402" i="2"/>
  <c r="D3043" i="2"/>
  <c r="D3242" i="2"/>
  <c r="D3240" i="2"/>
  <c r="D2952" i="2"/>
  <c r="D4468" i="2"/>
  <c r="D2134" i="2"/>
  <c r="E4348" i="2"/>
  <c r="D831" i="2"/>
  <c r="E4590" i="2"/>
  <c r="D1106" i="2"/>
  <c r="D4085" i="2"/>
  <c r="D162" i="2"/>
  <c r="D3231" i="2"/>
  <c r="E3660" i="2"/>
  <c r="E3142" i="2"/>
  <c r="E3032" i="2"/>
  <c r="E1308" i="2"/>
  <c r="E836" i="2"/>
  <c r="E4661" i="2"/>
  <c r="E3315" i="2"/>
  <c r="E4507" i="2"/>
  <c r="D1786" i="2"/>
  <c r="E5383" i="2"/>
  <c r="E286" i="2"/>
  <c r="E3259" i="2"/>
  <c r="E3255" i="2"/>
  <c r="E4687" i="2"/>
  <c r="D4418" i="2"/>
  <c r="E672" i="2"/>
  <c r="E1316" i="2"/>
  <c r="E3868" i="2"/>
  <c r="E555" i="2"/>
  <c r="E1965" i="2"/>
  <c r="D4350" i="2"/>
  <c r="E1838" i="2"/>
  <c r="E1822" i="2"/>
  <c r="E4133" i="2"/>
  <c r="D2743" i="2"/>
  <c r="D227" i="2"/>
  <c r="D2862" i="2"/>
  <c r="D2712" i="2"/>
  <c r="E102" i="2"/>
  <c r="D1120" i="2"/>
  <c r="D1482" i="2"/>
  <c r="D2190" i="2"/>
  <c r="D4094" i="2"/>
  <c r="D3476" i="2"/>
  <c r="D1336" i="2"/>
  <c r="E3964" i="2"/>
  <c r="E4991" i="2"/>
  <c r="E1887" i="2"/>
  <c r="E2290" i="2"/>
  <c r="D1484" i="2"/>
  <c r="D4364" i="2"/>
  <c r="D3638" i="2"/>
  <c r="D594" i="2"/>
  <c r="D2590" i="2"/>
  <c r="D2552" i="2"/>
  <c r="E1138" i="2"/>
  <c r="D2689" i="2"/>
  <c r="E2848" i="2"/>
  <c r="E3932" i="2"/>
  <c r="E1519" i="2"/>
  <c r="E2179" i="2"/>
  <c r="E117" i="2"/>
  <c r="E828" i="2"/>
  <c r="E4318" i="2"/>
  <c r="D4544" i="2"/>
  <c r="E211" i="2"/>
  <c r="D2181" i="2"/>
  <c r="D4582" i="2"/>
  <c r="E1349" i="2"/>
  <c r="E4088" i="2"/>
  <c r="D1924" i="2"/>
  <c r="D3562" i="2"/>
  <c r="E2211" i="2"/>
  <c r="D2900" i="2"/>
  <c r="E3332" i="2"/>
  <c r="D4122" i="2"/>
  <c r="D1884" i="2"/>
  <c r="E3148" i="2"/>
  <c r="D3558" i="2"/>
  <c r="E4052" i="2"/>
  <c r="E3859" i="2"/>
  <c r="D2918" i="2"/>
  <c r="E2722" i="2"/>
  <c r="E4826" i="2"/>
  <c r="D3673" i="2"/>
  <c r="E3976" i="2"/>
  <c r="E3030" i="2"/>
  <c r="D507" i="2"/>
  <c r="E3418" i="2"/>
  <c r="D102" i="2"/>
  <c r="D3531" i="2"/>
  <c r="E94" i="2"/>
  <c r="E1108" i="2"/>
  <c r="E868" i="2"/>
  <c r="D5184" i="2"/>
  <c r="D4095" i="2"/>
  <c r="D782" i="2"/>
  <c r="D4436" i="2"/>
  <c r="D4225" i="2"/>
  <c r="D3481" i="2"/>
  <c r="E2043" i="2"/>
  <c r="D3898" i="2"/>
  <c r="D1280" i="2"/>
  <c r="E4982" i="2"/>
  <c r="E3174" i="2"/>
  <c r="D4917" i="2"/>
  <c r="E2469" i="2"/>
  <c r="D4184" i="2"/>
  <c r="D1858" i="2"/>
  <c r="D3215" i="2"/>
  <c r="D1951" i="2"/>
  <c r="D1028" i="2"/>
  <c r="E2782" i="2"/>
  <c r="E67" i="2"/>
  <c r="D7" i="2"/>
  <c r="D331" i="2"/>
  <c r="E5180" i="2"/>
  <c r="E896" i="2"/>
  <c r="E4413" i="2"/>
  <c r="E3999" i="2"/>
  <c r="E1478" i="2"/>
  <c r="D3249" i="2"/>
  <c r="D4341" i="2"/>
  <c r="D2" i="2"/>
  <c r="D1914" i="2"/>
  <c r="D3372" i="2"/>
  <c r="D3375" i="2"/>
  <c r="D89" i="2"/>
  <c r="E4097" i="2"/>
  <c r="E4718" i="2"/>
  <c r="D2894" i="2"/>
  <c r="D1158" i="2"/>
  <c r="E3462" i="2"/>
  <c r="D4596" i="2"/>
  <c r="E3188" i="2"/>
  <c r="E2963" i="2"/>
  <c r="E1730" i="2"/>
  <c r="E80" i="2"/>
  <c r="E3558" i="2"/>
  <c r="D2949" i="2"/>
  <c r="D2690" i="2"/>
  <c r="D4484" i="2"/>
  <c r="E5113" i="2"/>
  <c r="E2307" i="2"/>
  <c r="E4197" i="2"/>
  <c r="D4413" i="2"/>
  <c r="E4330" i="2"/>
  <c r="E4672" i="2"/>
  <c r="E5060" i="2"/>
  <c r="D4287" i="2"/>
  <c r="E2187" i="2"/>
  <c r="E1479" i="2"/>
  <c r="E3031" i="2"/>
  <c r="E2835" i="2"/>
  <c r="E4124" i="2"/>
  <c r="D5285" i="2"/>
  <c r="D3590" i="2"/>
  <c r="E870" i="2"/>
  <c r="D5122" i="2"/>
  <c r="D2252" i="2"/>
  <c r="D2632" i="2"/>
  <c r="D5069" i="2"/>
  <c r="D1248" i="2"/>
  <c r="E838" i="2"/>
  <c r="E2313" i="2"/>
  <c r="D2097" i="2"/>
  <c r="E513" i="2"/>
  <c r="D5081" i="2"/>
  <c r="E207" i="2"/>
  <c r="E4619" i="2"/>
  <c r="E3771" i="2"/>
  <c r="E1090" i="2"/>
  <c r="E4686" i="2"/>
  <c r="D4527" i="2"/>
  <c r="D1051" i="2"/>
  <c r="E5194" i="2"/>
  <c r="E3441" i="2"/>
  <c r="E3376" i="2"/>
  <c r="D4313" i="2"/>
  <c r="D2816" i="2"/>
  <c r="E1271" i="2"/>
  <c r="E4436" i="2"/>
  <c r="D2782" i="2"/>
  <c r="E3934" i="2"/>
  <c r="E2632" i="2"/>
  <c r="E2217" i="2"/>
  <c r="E692" i="2"/>
  <c r="D3710" i="2"/>
  <c r="E3305" i="2"/>
  <c r="E2630" i="2"/>
  <c r="E4168" i="2"/>
  <c r="D1407" i="2"/>
  <c r="E5086" i="2"/>
  <c r="D5096" i="2"/>
  <c r="E4215" i="2"/>
  <c r="E1842" i="2"/>
  <c r="E4229" i="2"/>
  <c r="E600" i="2"/>
  <c r="D3702" i="2"/>
  <c r="E3869" i="2"/>
  <c r="E5287" i="2"/>
  <c r="E1648" i="2"/>
  <c r="E2996" i="2"/>
  <c r="E1465" i="2"/>
  <c r="E2224" i="2"/>
  <c r="D2288" i="2"/>
  <c r="D2332" i="2"/>
  <c r="D443" i="2"/>
  <c r="D890" i="2"/>
  <c r="D1538" i="2"/>
  <c r="E3213" i="2"/>
  <c r="E2350" i="2"/>
  <c r="E362" i="2"/>
  <c r="D1880" i="2"/>
  <c r="D587" i="2"/>
  <c r="D4529" i="2"/>
  <c r="D134" i="2"/>
  <c r="E4470" i="2"/>
  <c r="E3836" i="2"/>
  <c r="D424" i="2"/>
  <c r="E1953" i="2"/>
  <c r="D1216" i="2"/>
  <c r="E3593" i="2"/>
  <c r="D2990" i="2"/>
  <c r="E1756" i="2"/>
  <c r="E1541" i="2"/>
  <c r="D4492" i="2"/>
  <c r="D2274" i="2"/>
  <c r="E232" i="2"/>
  <c r="E1936" i="2"/>
  <c r="E3260" i="2"/>
  <c r="D582" i="2"/>
  <c r="D2239" i="2"/>
  <c r="E2256" i="2"/>
  <c r="D5121" i="2"/>
  <c r="E3177" i="2"/>
  <c r="E2242" i="2"/>
  <c r="E1540" i="2"/>
  <c r="D3017" i="2"/>
  <c r="D1052" i="2"/>
  <c r="D1730" i="2"/>
  <c r="E1469" i="2"/>
  <c r="E4259" i="2"/>
  <c r="E2698" i="2"/>
  <c r="E875" i="2"/>
  <c r="D3414" i="2"/>
  <c r="D3097" i="2"/>
  <c r="D1335" i="2"/>
  <c r="D1754" i="2"/>
  <c r="D2469" i="2"/>
  <c r="D290" i="2"/>
  <c r="E5042" i="2"/>
  <c r="D2976" i="2"/>
  <c r="D4196" i="2"/>
  <c r="E5280" i="2"/>
  <c r="D1352" i="2"/>
  <c r="E1770" i="2"/>
  <c r="E5109" i="2"/>
  <c r="E5001" i="2"/>
  <c r="E1554" i="2"/>
  <c r="E172" i="2"/>
  <c r="D4489" i="2"/>
  <c r="D511" i="2"/>
  <c r="E780" i="2"/>
  <c r="D1703" i="2"/>
  <c r="E1410" i="2"/>
  <c r="D1127" i="2"/>
  <c r="D2796" i="2"/>
  <c r="D2865" i="2"/>
  <c r="D4968" i="2"/>
  <c r="D549" i="2"/>
  <c r="E2288" i="2"/>
  <c r="E926" i="2"/>
  <c r="E2058" i="2"/>
  <c r="D4983" i="2"/>
  <c r="E363" i="2"/>
  <c r="D1375" i="2"/>
  <c r="D4381" i="2"/>
  <c r="D2709" i="2"/>
  <c r="E3440" i="2"/>
  <c r="D4222" i="2"/>
  <c r="E33" i="2"/>
  <c r="D3359" i="2"/>
  <c r="E4211" i="2"/>
  <c r="D3693" i="2"/>
  <c r="E4874" i="2"/>
  <c r="D524" i="2"/>
  <c r="D4611" i="2"/>
  <c r="D2915" i="2"/>
  <c r="D2923" i="2"/>
  <c r="D32" i="2"/>
  <c r="D5029" i="2"/>
  <c r="D724" i="2"/>
  <c r="E1505" i="2"/>
  <c r="E5068" i="2"/>
  <c r="E4990" i="2"/>
  <c r="D3807" i="2"/>
  <c r="E2131" i="2"/>
  <c r="D2913" i="2"/>
  <c r="D3334" i="2"/>
  <c r="D2361" i="2"/>
  <c r="D2508" i="2"/>
  <c r="D5098" i="2"/>
  <c r="E778" i="2"/>
  <c r="D3445" i="2"/>
  <c r="D5105" i="2"/>
  <c r="E3098" i="2"/>
  <c r="D5075" i="2"/>
  <c r="D1053" i="2"/>
  <c r="E5220" i="2"/>
  <c r="D1430" i="2"/>
  <c r="E1051" i="2"/>
  <c r="D2145" i="2"/>
  <c r="E723" i="2"/>
  <c r="E2018" i="2"/>
  <c r="E1504" i="2"/>
  <c r="E3872" i="2"/>
  <c r="E4392" i="2"/>
  <c r="D416" i="2"/>
  <c r="E3808" i="2"/>
  <c r="E2954" i="2"/>
  <c r="E900" i="2"/>
  <c r="D4041" i="2"/>
  <c r="E3520" i="2"/>
  <c r="D4757" i="2"/>
  <c r="D1722" i="2"/>
  <c r="D3341" i="2"/>
  <c r="D1251" i="2"/>
  <c r="D3522" i="2"/>
  <c r="D3020" i="2"/>
  <c r="D4352" i="2"/>
  <c r="D165" i="2"/>
  <c r="D4835" i="2"/>
  <c r="E4142" i="2"/>
  <c r="E2223" i="2"/>
  <c r="D2800" i="2"/>
  <c r="E906" i="2"/>
  <c r="E4310" i="2"/>
  <c r="E582" i="2"/>
  <c r="E5381" i="2"/>
  <c r="E3125" i="2"/>
  <c r="E3863" i="2"/>
  <c r="D885" i="2"/>
  <c r="D814" i="2"/>
  <c r="E4183" i="2"/>
  <c r="D1523" i="2"/>
  <c r="E4522" i="2"/>
  <c r="D5425" i="2"/>
  <c r="D4963" i="2"/>
  <c r="E3935" i="2"/>
  <c r="D4293" i="2"/>
  <c r="D23" i="2"/>
  <c r="E3627" i="2"/>
  <c r="D3944" i="2"/>
  <c r="D3967" i="2"/>
  <c r="E2117" i="2"/>
  <c r="E1280" i="2"/>
  <c r="D5201" i="2"/>
  <c r="E5519" i="2"/>
  <c r="E1809" i="2"/>
  <c r="E3036" i="2"/>
  <c r="E5158" i="2"/>
  <c r="D3386" i="2"/>
  <c r="D3603" i="2"/>
  <c r="E4386" i="2"/>
  <c r="D2707" i="2"/>
  <c r="D330" i="2"/>
  <c r="D5066" i="2"/>
  <c r="D4646" i="2"/>
  <c r="E3026" i="2"/>
  <c r="E2976" i="2"/>
  <c r="E56" i="2"/>
  <c r="E2655" i="2"/>
  <c r="D2614" i="2"/>
  <c r="E2828" i="2"/>
  <c r="E28" i="2"/>
  <c r="E5121" i="2"/>
  <c r="D4525" i="2"/>
  <c r="E4421" i="2"/>
  <c r="E2150" i="2"/>
  <c r="E4668" i="2"/>
  <c r="D1637" i="2"/>
  <c r="E4432" i="2"/>
  <c r="E5286" i="2"/>
  <c r="E2815" i="2"/>
  <c r="D1398" i="2"/>
  <c r="E1336" i="2"/>
  <c r="D2992" i="2"/>
  <c r="E4556" i="2"/>
  <c r="E3969" i="2"/>
  <c r="D58" i="2"/>
  <c r="E406" i="2"/>
  <c r="D1986" i="2"/>
  <c r="D2499" i="2"/>
  <c r="E4167" i="2"/>
  <c r="E2408" i="2"/>
  <c r="E732" i="2"/>
  <c r="E3476" i="2"/>
  <c r="E2098" i="2"/>
  <c r="E4390" i="2"/>
  <c r="D672" i="2"/>
  <c r="D565" i="2"/>
  <c r="D3120" i="2"/>
  <c r="E3231" i="2"/>
  <c r="D1071" i="2"/>
  <c r="D42" i="2"/>
  <c r="D2927" i="2"/>
  <c r="E1475" i="2"/>
  <c r="D658" i="2"/>
  <c r="D1932" i="2"/>
  <c r="E2991" i="2"/>
  <c r="E849" i="2"/>
  <c r="D1954" i="2"/>
  <c r="E5090" i="2"/>
  <c r="D3854" i="2"/>
  <c r="E531" i="2"/>
  <c r="D3211" i="2"/>
  <c r="D2009" i="2"/>
  <c r="E4456" i="2"/>
  <c r="D2220" i="2"/>
  <c r="D3592" i="2"/>
  <c r="D1392" i="2"/>
  <c r="E1522" i="2"/>
  <c r="E2673" i="2"/>
  <c r="E442" i="2"/>
  <c r="D314" i="2"/>
  <c r="D2837" i="2"/>
  <c r="D3635" i="2"/>
  <c r="E656" i="2"/>
  <c r="E5444" i="2"/>
  <c r="D2958" i="2"/>
  <c r="E3915" i="2"/>
  <c r="E1433" i="2"/>
  <c r="E5077" i="2"/>
  <c r="D4306" i="2"/>
  <c r="E2311" i="2"/>
  <c r="D428" i="2"/>
  <c r="D5379" i="2"/>
  <c r="E5111" i="2"/>
  <c r="E4994" i="2"/>
  <c r="E4592" i="2"/>
  <c r="D1058" i="2"/>
  <c r="D4000" i="2"/>
  <c r="D3887" i="2"/>
  <c r="D856" i="2"/>
  <c r="E1791" i="2"/>
  <c r="D2076" i="2"/>
  <c r="E1593" i="2"/>
  <c r="D2116" i="2"/>
  <c r="E4312" i="2"/>
  <c r="D3926" i="2"/>
  <c r="E4185" i="2"/>
  <c r="E4708" i="2"/>
  <c r="E227" i="2"/>
  <c r="E3894" i="2"/>
  <c r="D2890" i="2"/>
  <c r="D113" i="2"/>
  <c r="E4002" i="2"/>
  <c r="E5475" i="2"/>
  <c r="E208" i="2"/>
  <c r="D5097" i="2"/>
  <c r="E722" i="2"/>
  <c r="E4344" i="2"/>
  <c r="E4341" i="2"/>
  <c r="E5190" i="2"/>
  <c r="D4636" i="2"/>
  <c r="D566" i="2"/>
  <c r="E371" i="2"/>
  <c r="D1178" i="2"/>
  <c r="E55" i="2"/>
  <c r="E979" i="2"/>
  <c r="D212" i="2"/>
  <c r="D4310" i="2"/>
  <c r="E3380" i="2"/>
  <c r="E1285" i="2"/>
  <c r="E2259" i="2"/>
  <c r="E2763" i="2"/>
  <c r="D2149" i="2"/>
  <c r="D61" i="2"/>
  <c r="D4053" i="2"/>
  <c r="D2618" i="2"/>
  <c r="E4060" i="2"/>
  <c r="D4959" i="2"/>
  <c r="E333" i="2"/>
  <c r="E4364" i="2"/>
  <c r="E2855" i="2"/>
  <c r="D546" i="2"/>
  <c r="E1447" i="2"/>
  <c r="D3676" i="2"/>
  <c r="D5077" i="2"/>
  <c r="D4133" i="2"/>
  <c r="E2810" i="2"/>
  <c r="E1306" i="2"/>
  <c r="D2995" i="2"/>
  <c r="D3678" i="2"/>
  <c r="D3423" i="2"/>
  <c r="D4255" i="2"/>
  <c r="E585" i="2"/>
  <c r="E1468" i="2"/>
  <c r="D1611" i="2"/>
  <c r="E1716" i="2"/>
  <c r="E1460" i="2"/>
  <c r="E2816" i="2"/>
  <c r="E2850" i="2"/>
  <c r="E3464" i="2"/>
  <c r="D2742" i="2"/>
  <c r="D5000" i="2"/>
  <c r="E4204" i="2"/>
  <c r="E2672" i="2"/>
  <c r="E3300" i="2"/>
  <c r="D1908" i="2"/>
  <c r="D3219" i="2"/>
  <c r="D170" i="2"/>
  <c r="D4511" i="2"/>
  <c r="E4372" i="2"/>
  <c r="E472" i="2"/>
  <c r="E597" i="2"/>
  <c r="E2534" i="2"/>
  <c r="D1217" i="2"/>
  <c r="D3176" i="2"/>
  <c r="D5061" i="2"/>
  <c r="D1154" i="2"/>
  <c r="D1431" i="2"/>
  <c r="D4016" i="2"/>
  <c r="D3981" i="2"/>
  <c r="E2238" i="2"/>
  <c r="E781" i="2"/>
  <c r="D2672" i="2"/>
  <c r="E2564" i="2"/>
  <c r="E1568" i="2"/>
  <c r="D173" i="2"/>
  <c r="D4990" i="2"/>
  <c r="D2706" i="2"/>
  <c r="D4" i="2"/>
  <c r="D138" i="2"/>
  <c r="D39" i="2"/>
  <c r="E204" i="2"/>
  <c r="E3646" i="2"/>
  <c r="E561" i="2"/>
  <c r="E992" i="2"/>
  <c r="D1844" i="2"/>
  <c r="E2961" i="2"/>
  <c r="E5522" i="2"/>
  <c r="D223" i="2"/>
  <c r="D334" i="2"/>
  <c r="D4599" i="2"/>
  <c r="D3098" i="2"/>
  <c r="E452" i="2"/>
  <c r="E3044" i="2"/>
  <c r="E5002" i="2"/>
  <c r="D4434" i="2"/>
  <c r="E686" i="2"/>
  <c r="E1376" i="2"/>
  <c r="D2331" i="2"/>
  <c r="D1824" i="2"/>
  <c r="E1213" i="2"/>
  <c r="E5425" i="2"/>
  <c r="D1649" i="2"/>
  <c r="E2349" i="2"/>
  <c r="D3640" i="2"/>
  <c r="D4239" i="2"/>
  <c r="D232" i="2"/>
  <c r="D4046" i="2"/>
  <c r="E181" i="2"/>
  <c r="D5055" i="2"/>
  <c r="E908" i="2"/>
  <c r="E2994" i="2"/>
  <c r="D3113" i="2"/>
  <c r="E3998" i="2"/>
  <c r="E1749" i="2"/>
  <c r="D1199" i="2"/>
  <c r="D3366" i="2"/>
  <c r="E425" i="2"/>
  <c r="E3387" i="2"/>
  <c r="D1702" i="2"/>
  <c r="D149" i="2"/>
  <c r="E1215" i="2"/>
  <c r="E2364" i="2"/>
  <c r="E2186" i="2"/>
  <c r="E429" i="2"/>
  <c r="D3840" i="2"/>
  <c r="E1929" i="2"/>
  <c r="E4245" i="2"/>
  <c r="E4420" i="2"/>
  <c r="E2167" i="2"/>
  <c r="E4581" i="2"/>
  <c r="D4692" i="2"/>
  <c r="D3499" i="2"/>
  <c r="D3691" i="2"/>
  <c r="D711" i="2"/>
  <c r="E2128" i="2"/>
  <c r="E3697" i="2"/>
  <c r="E4488" i="2"/>
  <c r="E2036" i="2"/>
  <c r="E194" i="2"/>
  <c r="E1539" i="2"/>
  <c r="D2881" i="2"/>
  <c r="D2639" i="2"/>
  <c r="E2404" i="2"/>
  <c r="D1233" i="2"/>
  <c r="D1406" i="2"/>
  <c r="E438" i="2"/>
  <c r="E25" i="2"/>
  <c r="E5049" i="2"/>
  <c r="E2984" i="2"/>
  <c r="D3212" i="2"/>
  <c r="E4700" i="2"/>
  <c r="D2200" i="2"/>
  <c r="D1304" i="2"/>
  <c r="D363" i="2"/>
  <c r="E1748" i="2"/>
  <c r="E583" i="2"/>
  <c r="E5240" i="2"/>
  <c r="D4540" i="2"/>
  <c r="D2907" i="2"/>
  <c r="D4051" i="2"/>
  <c r="D3656" i="2"/>
  <c r="E2097" i="2"/>
  <c r="E3661" i="2"/>
  <c r="D2495" i="2"/>
  <c r="D1755" i="2"/>
  <c r="E1590" i="2"/>
  <c r="E4434" i="2"/>
  <c r="D204" i="2"/>
  <c r="E2841" i="2"/>
  <c r="D1955" i="2"/>
  <c r="E2108" i="2"/>
  <c r="E29" i="2"/>
  <c r="D2036" i="2"/>
  <c r="D1685" i="2"/>
  <c r="E4214" i="2"/>
  <c r="E799" i="2"/>
  <c r="D3278" i="2"/>
  <c r="E2538" i="2"/>
  <c r="E1847" i="2"/>
  <c r="E2825" i="2"/>
  <c r="D1172" i="2"/>
  <c r="E3800" i="2"/>
  <c r="D3235" i="2"/>
  <c r="E5102" i="2"/>
  <c r="D174" i="2"/>
  <c r="E3917" i="2"/>
  <c r="E1158" i="2"/>
  <c r="E1353" i="2"/>
  <c r="E214" i="2"/>
  <c r="D3338" i="2"/>
  <c r="E3782" i="2"/>
  <c r="E3804" i="2"/>
  <c r="E4161" i="2"/>
  <c r="D5134" i="2"/>
  <c r="E4502" i="2"/>
  <c r="D1704" i="2"/>
  <c r="D4670" i="2"/>
  <c r="E64" i="2"/>
  <c r="E4200" i="2"/>
  <c r="E1019" i="2"/>
  <c r="D3172" i="2"/>
  <c r="E3323" i="2"/>
  <c r="E2778" i="2"/>
  <c r="D3907" i="2"/>
  <c r="E4939" i="2"/>
  <c r="D1196" i="2"/>
  <c r="D3318" i="2"/>
  <c r="E729" i="2"/>
  <c r="D5109" i="2"/>
  <c r="E4290" i="2"/>
  <c r="D2132" i="2"/>
  <c r="D3561" i="2"/>
  <c r="E1086" i="2"/>
  <c r="E457" i="2"/>
  <c r="E4293" i="2"/>
  <c r="E2276" i="2"/>
  <c r="E73" i="2"/>
  <c r="D1018" i="2"/>
  <c r="D765" i="2"/>
  <c r="E2076" i="2"/>
  <c r="D2868" i="2"/>
  <c r="E1015" i="2"/>
  <c r="E4321" i="2"/>
  <c r="D3644" i="2"/>
  <c r="D4372" i="2"/>
  <c r="E2942" i="2"/>
  <c r="E3638" i="2"/>
  <c r="D2198" i="2"/>
  <c r="E1572" i="2"/>
  <c r="E165" i="2"/>
  <c r="E3333" i="2"/>
  <c r="D3827" i="2"/>
  <c r="E1880" i="2"/>
  <c r="D4382" i="2"/>
  <c r="D2655" i="2"/>
  <c r="E2780" i="2"/>
  <c r="D196" i="2"/>
  <c r="D3428" i="2"/>
  <c r="E4609" i="2"/>
  <c r="D3444" i="2"/>
  <c r="E3562" i="2"/>
  <c r="E1804" i="2"/>
  <c r="E735" i="2"/>
  <c r="D187" i="2"/>
  <c r="D2774" i="2"/>
  <c r="D4543" i="2"/>
  <c r="E1378" i="2"/>
  <c r="E4580" i="2"/>
  <c r="E1955" i="2"/>
  <c r="D5237" i="2"/>
  <c r="E565" i="2"/>
  <c r="D690" i="2"/>
  <c r="E2621" i="2"/>
  <c r="E3018" i="2"/>
  <c r="D4060" i="2"/>
  <c r="E1960" i="2"/>
  <c r="D4254" i="2"/>
  <c r="D5008" i="2"/>
  <c r="E1879" i="2"/>
  <c r="D1198" i="2"/>
  <c r="D547" i="2"/>
  <c r="D1109" i="2"/>
  <c r="D1411" i="2"/>
  <c r="D5082" i="2"/>
  <c r="E2871" i="2"/>
  <c r="D3897" i="2"/>
  <c r="E766" i="2"/>
  <c r="E2044" i="2"/>
  <c r="D2135" i="2"/>
  <c r="E3879" i="2"/>
  <c r="D3178" i="2"/>
  <c r="D117" i="2"/>
  <c r="E5091" i="2"/>
  <c r="E3373" i="2"/>
  <c r="D2171" i="2"/>
  <c r="D3535" i="2"/>
  <c r="D4378" i="2"/>
  <c r="E5212" i="2"/>
  <c r="E871" i="2"/>
  <c r="E3807" i="2"/>
  <c r="E37" i="2"/>
  <c r="D1083" i="2"/>
  <c r="E2703" i="2"/>
  <c r="D867" i="2"/>
  <c r="D4020" i="2"/>
  <c r="D28" i="2"/>
  <c r="E2170" i="2"/>
  <c r="D1174" i="2"/>
  <c r="D980" i="2"/>
  <c r="D3805" i="2"/>
  <c r="D3607" i="2"/>
  <c r="E3736" i="2"/>
  <c r="D1266" i="2"/>
  <c r="E2972" i="2"/>
  <c r="E2637" i="2"/>
  <c r="E1755" i="2"/>
  <c r="E461" i="2"/>
  <c r="D3362" i="2"/>
  <c r="D3258" i="2"/>
  <c r="D3190" i="2"/>
  <c r="D3520" i="2"/>
  <c r="E4985" i="2"/>
  <c r="D150" i="2"/>
  <c r="D1762" i="2"/>
  <c r="E872" i="2"/>
  <c r="E3873" i="2"/>
  <c r="E176" i="2"/>
  <c r="E141" i="2"/>
  <c r="D5146" i="2"/>
  <c r="E1894" i="2"/>
  <c r="D4973" i="2"/>
  <c r="E96" i="2"/>
  <c r="E2239" i="2"/>
  <c r="E5520" i="2"/>
  <c r="D2911" i="2"/>
  <c r="E2180" i="2"/>
  <c r="D4515" i="2"/>
  <c r="D3692" i="2"/>
  <c r="D2970" i="2"/>
  <c r="D2225" i="2"/>
  <c r="D2634" i="2"/>
  <c r="D3910" i="2"/>
  <c r="E5126" i="2"/>
  <c r="E2960" i="2"/>
  <c r="D4770" i="2"/>
  <c r="E669" i="2"/>
  <c r="E3256" i="2"/>
  <c r="E1359" i="2"/>
  <c r="E4972" i="2"/>
  <c r="D2261" i="2"/>
  <c r="E1357" i="2"/>
  <c r="E5064" i="2"/>
  <c r="E103" i="2"/>
  <c r="D5071" i="2"/>
  <c r="D4987" i="2"/>
  <c r="D3930" i="2"/>
  <c r="D97" i="2"/>
  <c r="E2293" i="2"/>
  <c r="E3827" i="2"/>
  <c r="E146" i="2"/>
  <c r="D292" i="2"/>
  <c r="E5089" i="2"/>
  <c r="D3584" i="2"/>
  <c r="D4168" i="2"/>
  <c r="D3067" i="2"/>
  <c r="D510" i="2"/>
  <c r="E5016" i="2"/>
  <c r="D80" i="2"/>
  <c r="D1562" i="2"/>
  <c r="E1825" i="2"/>
  <c r="E328" i="2"/>
  <c r="D3000" i="2"/>
  <c r="E1104" i="2"/>
  <c r="D3082" i="2"/>
  <c r="D2347" i="2"/>
  <c r="D4151" i="2"/>
  <c r="D673" i="2"/>
  <c r="D1389" i="2"/>
  <c r="D993" i="2"/>
  <c r="D398" i="2"/>
  <c r="E143" i="2"/>
  <c r="D3844" i="2"/>
  <c r="D155" i="2"/>
  <c r="D4992" i="2"/>
  <c r="E2736" i="2"/>
  <c r="E1269" i="2"/>
  <c r="D4204" i="2"/>
  <c r="E4108" i="2"/>
  <c r="D1989" i="2"/>
  <c r="D5002" i="2"/>
  <c r="D20" i="2"/>
  <c r="E928" i="2"/>
  <c r="D5383" i="2"/>
  <c r="D2852" i="2"/>
  <c r="E683" i="2"/>
  <c r="E3625" i="2"/>
  <c r="E1298" i="2"/>
  <c r="E4173" i="2"/>
  <c r="E3066" i="2"/>
  <c r="D4485" i="2"/>
  <c r="E4400" i="2"/>
  <c r="D277" i="2"/>
  <c r="D924" i="2"/>
  <c r="D4672" i="2"/>
  <c r="D235" i="2"/>
  <c r="E4095" i="2"/>
  <c r="D1953" i="2"/>
  <c r="D5010" i="2"/>
  <c r="D1383" i="2"/>
  <c r="D691" i="2"/>
  <c r="D3501" i="2"/>
  <c r="E1989" i="2"/>
  <c r="E2618" i="2"/>
  <c r="E2832" i="2"/>
  <c r="E4169" i="2"/>
  <c r="E3823" i="2"/>
  <c r="D4128" i="2"/>
  <c r="D1518" i="2"/>
  <c r="D4238" i="2"/>
  <c r="D4416" i="2"/>
  <c r="E4698" i="2"/>
  <c r="D5051" i="2"/>
  <c r="D1426" i="2"/>
  <c r="D63" i="2"/>
  <c r="D2798" i="2"/>
  <c r="E3716" i="2"/>
  <c r="E4704" i="2"/>
  <c r="D1498" i="2"/>
  <c r="E4447" i="2"/>
  <c r="E2089" i="2"/>
  <c r="D2378" i="2"/>
  <c r="E38" i="2"/>
  <c r="E1701" i="2"/>
  <c r="D2547" i="2"/>
  <c r="E4398" i="2"/>
  <c r="D783" i="2"/>
  <c r="E135" i="2"/>
  <c r="E4043" i="2"/>
  <c r="D3772" i="2"/>
  <c r="E1288" i="2"/>
  <c r="D2847" i="2"/>
  <c r="E578" i="2"/>
  <c r="E1300" i="2"/>
  <c r="E3448" i="2"/>
  <c r="D4227" i="2"/>
  <c r="E1574" i="2"/>
  <c r="D3998" i="2"/>
  <c r="E1262" i="2"/>
  <c r="D2621" i="2"/>
  <c r="E1217" i="2"/>
  <c r="E3629" i="2"/>
  <c r="E330" i="2"/>
  <c r="E2279" i="2"/>
  <c r="D766" i="2"/>
  <c r="D1990" i="2"/>
  <c r="D157" i="2"/>
  <c r="D4700" i="2"/>
  <c r="E3096" i="2"/>
  <c r="E105" i="2"/>
  <c r="E2206" i="2"/>
  <c r="D4150" i="2"/>
  <c r="D1699" i="2"/>
  <c r="D3123" i="2"/>
  <c r="E4025" i="2"/>
  <c r="D1808" i="2"/>
  <c r="E1659" i="2"/>
  <c r="E2743" i="2"/>
  <c r="D5088" i="2"/>
  <c r="E584" i="2"/>
  <c r="D1277" i="2"/>
  <c r="E2746" i="2"/>
  <c r="E910" i="2"/>
  <c r="D1695" i="2"/>
  <c r="E2133" i="2"/>
  <c r="E126" i="2"/>
  <c r="E3718" i="2"/>
  <c r="E3408" i="2"/>
  <c r="E2944" i="2"/>
  <c r="D1145" i="2"/>
  <c r="E4058" i="2"/>
  <c r="D4695" i="2"/>
  <c r="D425" i="2"/>
  <c r="D1068" i="2"/>
  <c r="E2727" i="2"/>
  <c r="E2688" i="2"/>
  <c r="D2278" i="2"/>
  <c r="E5085" i="2"/>
  <c r="D3908" i="2"/>
  <c r="D979" i="2"/>
  <c r="D4539" i="2"/>
  <c r="E168" i="2"/>
  <c r="E4034" i="2"/>
  <c r="D182" i="2"/>
  <c r="D1608" i="2"/>
  <c r="E1340" i="2"/>
  <c r="D3573" i="2"/>
  <c r="D4267" i="2"/>
  <c r="E3088" i="2"/>
  <c r="D3081" i="2"/>
  <c r="E1430" i="2"/>
  <c r="E3114" i="2"/>
  <c r="E3284" i="2"/>
  <c r="E3686" i="2"/>
  <c r="D1790" i="2"/>
  <c r="D4395" i="2"/>
  <c r="D2090" i="2"/>
  <c r="E830" i="2"/>
  <c r="D4449" i="2"/>
  <c r="D33" i="2"/>
  <c r="D4953" i="2"/>
  <c r="D4342" i="2"/>
  <c r="E3769" i="2"/>
  <c r="D3951" i="2"/>
  <c r="D2180" i="2"/>
  <c r="D1284" i="2"/>
  <c r="E1331" i="2"/>
  <c r="D2926" i="2"/>
  <c r="D67" i="2"/>
  <c r="D4088" i="2"/>
  <c r="D1532" i="2"/>
  <c r="E4007" i="2"/>
  <c r="D4017" i="2"/>
  <c r="D3737" i="2"/>
  <c r="D2253" i="2"/>
  <c r="E439" i="2"/>
  <c r="D2991" i="2"/>
  <c r="D2810" i="2"/>
  <c r="D5148" i="2"/>
  <c r="D2693" i="2"/>
  <c r="E4143" i="2"/>
  <c r="E3070" i="2"/>
  <c r="D3096" i="2"/>
  <c r="E2007" i="2"/>
  <c r="D3626" i="2"/>
  <c r="D130" i="2"/>
  <c r="E2671" i="2"/>
  <c r="D3068" i="2"/>
  <c r="E2779" i="2"/>
  <c r="D2811" i="2"/>
  <c r="D2204" i="2"/>
  <c r="E184" i="2"/>
  <c r="D4651" i="2"/>
  <c r="D404" i="2"/>
  <c r="E4978" i="2"/>
  <c r="D1501" i="2"/>
  <c r="E4653" i="2"/>
  <c r="E3045" i="2"/>
  <c r="E4164" i="2"/>
  <c r="E1030" i="2"/>
  <c r="D3962" i="2"/>
  <c r="D1288" i="2"/>
  <c r="D1305" i="2"/>
  <c r="E4601" i="2"/>
  <c r="D3858" i="2"/>
  <c r="E3806" i="2"/>
  <c r="D14" i="2"/>
  <c r="D3694" i="2"/>
  <c r="D2224" i="2"/>
  <c r="E5050" i="2"/>
  <c r="E228" i="2"/>
  <c r="D1231" i="2"/>
  <c r="E213" i="2"/>
  <c r="E5471" i="2"/>
  <c r="D1588" i="2"/>
  <c r="E3566" i="2"/>
  <c r="D3602" i="2"/>
  <c r="E3626" i="2"/>
  <c r="E3478" i="2"/>
  <c r="E1432" i="2"/>
  <c r="D5110" i="2"/>
  <c r="E651" i="2"/>
  <c r="D4164" i="2"/>
  <c r="D1541" i="2"/>
  <c r="E2620" i="2"/>
  <c r="D1303" i="2"/>
  <c r="E3355" i="2"/>
  <c r="D3086" i="2"/>
  <c r="D1188" i="2"/>
  <c r="D963" i="2"/>
  <c r="E233" i="2"/>
  <c r="E2644" i="2"/>
  <c r="D2670" i="2"/>
  <c r="D3748" i="2"/>
  <c r="D1012" i="2"/>
  <c r="E2235" i="2"/>
  <c r="D4454" i="2"/>
  <c r="D1680" i="2"/>
  <c r="E5156" i="2"/>
  <c r="D4887" i="2"/>
  <c r="D4637" i="2"/>
  <c r="D1069" i="2"/>
  <c r="E1916" i="2"/>
  <c r="D4090" i="2"/>
  <c r="E3564" i="2"/>
  <c r="D3072" i="2"/>
  <c r="D438" i="2"/>
  <c r="D1857" i="2"/>
  <c r="E3914" i="2"/>
  <c r="D2421" i="2"/>
  <c r="D3430" i="2"/>
  <c r="E3578" i="2"/>
  <c r="D198" i="2"/>
  <c r="D5190" i="2"/>
  <c r="E1735" i="2"/>
  <c r="E2797" i="2"/>
  <c r="D492" i="2"/>
  <c r="D4615" i="2"/>
  <c r="E1197" i="2"/>
  <c r="E1102" i="2"/>
  <c r="E4787" i="2"/>
  <c r="E5005" i="2"/>
  <c r="D3286" i="2"/>
  <c r="D5161" i="2"/>
  <c r="D3404" i="2"/>
  <c r="D4039" i="2"/>
  <c r="E2980" i="2"/>
  <c r="E3201" i="2"/>
  <c r="E1832" i="2"/>
  <c r="D229" i="2"/>
  <c r="E1802" i="2"/>
  <c r="D4459" i="2"/>
  <c r="E4149" i="2"/>
  <c r="D164" i="2"/>
  <c r="D2955" i="2"/>
  <c r="E3664" i="2"/>
  <c r="E2907" i="2"/>
  <c r="E3104" i="2"/>
  <c r="E602" i="2"/>
  <c r="E4201" i="2"/>
  <c r="E348" i="2"/>
  <c r="D4453" i="2"/>
  <c r="E1604" i="2"/>
  <c r="D5092" i="2"/>
  <c r="D213" i="2"/>
  <c r="E6" i="2"/>
  <c r="E2653" i="2"/>
  <c r="D49" i="2"/>
  <c r="E3298" i="2"/>
  <c r="D92" i="2"/>
  <c r="E3840" i="2"/>
  <c r="E1501" i="2"/>
  <c r="E22" i="2"/>
  <c r="D477" i="2"/>
  <c r="D85" i="2"/>
  <c r="E1951" i="2"/>
  <c r="D195" i="2"/>
  <c r="E812" i="2"/>
  <c r="D1892" i="2"/>
  <c r="D2115" i="2"/>
  <c r="E1212" i="2"/>
  <c r="E2869" i="2"/>
  <c r="E488" i="2"/>
  <c r="D4714" i="2"/>
  <c r="E2833" i="2"/>
  <c r="E620" i="2"/>
  <c r="D992" i="2"/>
  <c r="E4222" i="2"/>
  <c r="D478" i="2"/>
  <c r="E1163" i="2"/>
  <c r="E2027" i="2"/>
  <c r="E4959" i="2"/>
  <c r="E3591" i="2"/>
  <c r="D4079" i="2"/>
  <c r="E1550" i="2"/>
  <c r="D1552" i="2"/>
  <c r="E1992" i="2"/>
  <c r="E2756" i="2"/>
  <c r="E2937" i="2"/>
  <c r="E1565" i="2"/>
  <c r="D5014" i="2"/>
  <c r="D1886" i="2"/>
  <c r="E2916" i="2"/>
  <c r="D4547" i="2"/>
  <c r="E95" i="2"/>
  <c r="E710" i="2"/>
  <c r="E1249" i="2"/>
  <c r="E3735" i="2"/>
  <c r="E5084" i="2"/>
  <c r="D2824" i="2"/>
  <c r="E1467" i="2"/>
  <c r="E1047" i="2"/>
  <c r="E4337" i="2"/>
  <c r="E2956" i="2"/>
  <c r="E2799" i="2"/>
  <c r="E2292" i="2"/>
  <c r="D2771" i="2"/>
  <c r="D2243" i="2"/>
  <c r="D5114" i="2"/>
  <c r="E3592" i="2"/>
  <c r="E2316" i="2"/>
  <c r="D1555" i="2"/>
  <c r="D60" i="2"/>
  <c r="E724" i="2"/>
  <c r="E2095" i="2"/>
  <c r="E4628" i="2"/>
  <c r="E5201" i="2"/>
  <c r="E475" i="2"/>
  <c r="E3698" i="2"/>
  <c r="E4961" i="2"/>
  <c r="D5093" i="2"/>
  <c r="E1685" i="2"/>
  <c r="E124" i="2"/>
  <c r="E5048" i="2"/>
  <c r="D2044" i="2"/>
  <c r="E4457" i="2"/>
  <c r="E3773" i="2"/>
  <c r="D1612" i="2"/>
  <c r="E4986" i="2"/>
  <c r="D2649" i="2"/>
  <c r="D528" i="2"/>
  <c r="D3537" i="2"/>
  <c r="D1370" i="2"/>
  <c r="E943" i="2"/>
  <c r="D384" i="2"/>
  <c r="D3538" i="2"/>
  <c r="D1865" i="2"/>
  <c r="D1173" i="2"/>
  <c r="E687" i="2"/>
  <c r="E3988" i="2"/>
  <c r="E1177" i="2"/>
  <c r="D1677" i="2"/>
  <c r="D4483" i="2"/>
  <c r="D4092" i="2"/>
  <c r="E1646" i="2"/>
  <c r="D4187" i="2"/>
  <c r="D5474" i="2"/>
  <c r="D1663" i="2"/>
  <c r="E161" i="2"/>
  <c r="E71" i="2"/>
  <c r="D852" i="2"/>
  <c r="D3447" i="2"/>
  <c r="D3735" i="2"/>
  <c r="D2203" i="2"/>
  <c r="E4913" i="2"/>
  <c r="E528" i="2"/>
  <c r="D496" i="2"/>
  <c r="E1881" i="2"/>
  <c r="D368" i="2"/>
  <c r="D5090" i="2"/>
  <c r="E5096" i="2"/>
  <c r="D2648" i="2"/>
  <c r="D233" i="2"/>
  <c r="D4102" i="2"/>
  <c r="E5071" i="2"/>
  <c r="E3468" i="2"/>
  <c r="E3841" i="2"/>
  <c r="E1984" i="2"/>
  <c r="D4086" i="2"/>
  <c r="E1411" i="2"/>
  <c r="D870" i="2"/>
  <c r="E1665" i="2"/>
  <c r="D3010" i="2"/>
  <c r="E3287" i="2"/>
  <c r="D564" i="2"/>
  <c r="E3270" i="2"/>
  <c r="D4059" i="2"/>
  <c r="E3952" i="2"/>
  <c r="D3051" i="2"/>
  <c r="E4839" i="2"/>
  <c r="D209" i="2"/>
  <c r="E993" i="2"/>
  <c r="E1564" i="2"/>
  <c r="E1497" i="2"/>
  <c r="D1629" i="2"/>
  <c r="E320" i="2"/>
  <c r="E2854" i="2"/>
  <c r="D2945" i="2"/>
  <c r="D497" i="2"/>
  <c r="E3687" i="2"/>
  <c r="E1943" i="2"/>
  <c r="E2639" i="2"/>
  <c r="E3411" i="2"/>
  <c r="D3392" i="2"/>
  <c r="E5186" i="2"/>
  <c r="E3484" i="2"/>
  <c r="D8" i="2"/>
  <c r="D1227" i="2"/>
  <c r="E5238" i="2"/>
  <c r="E3552" i="2"/>
  <c r="E2296" i="2"/>
  <c r="E848" i="2"/>
  <c r="E1141" i="2"/>
  <c r="E131" i="2"/>
  <c r="E1323" i="2"/>
  <c r="D3171" i="2"/>
  <c r="E2368" i="2"/>
  <c r="E1442" i="2"/>
  <c r="D1972" i="2"/>
  <c r="D722" i="2"/>
  <c r="E1532" i="2"/>
  <c r="E4546" i="2"/>
  <c r="E974" i="2"/>
  <c r="E947" i="2"/>
  <c r="D4211" i="2"/>
  <c r="E5020" i="2"/>
  <c r="D207" i="2"/>
  <c r="E5163" i="2"/>
  <c r="E5477" i="2"/>
  <c r="D1341" i="2"/>
  <c r="D1138" i="2"/>
  <c r="D3495" i="2"/>
  <c r="D4172" i="2"/>
  <c r="E1896" i="2"/>
  <c r="E3781" i="2"/>
  <c r="D57" i="2"/>
  <c r="E4013" i="2"/>
  <c r="E76" i="2"/>
  <c r="E1287" i="2"/>
  <c r="E440" i="2"/>
  <c r="E5110" i="2"/>
  <c r="E1160" i="2"/>
  <c r="D4546" i="2"/>
  <c r="E3842" i="2"/>
  <c r="D657" i="2"/>
  <c r="E1658" i="2"/>
  <c r="E125" i="2"/>
  <c r="E1806" i="2"/>
  <c r="D1508" i="2"/>
  <c r="D2092" i="2"/>
  <c r="E5289" i="2"/>
  <c r="D2678" i="2"/>
  <c r="D5033" i="2"/>
  <c r="D2235" i="2"/>
  <c r="D5091" i="2"/>
  <c r="D4329" i="2"/>
  <c r="D144" i="2"/>
  <c r="E3590" i="2"/>
  <c r="D3863" i="2"/>
  <c r="E4021" i="2"/>
  <c r="E4342" i="2"/>
  <c r="E5242" i="2"/>
  <c r="E4098" i="2"/>
  <c r="D4305" i="2"/>
  <c r="D1712" i="2"/>
  <c r="D272" i="2"/>
  <c r="D3419" i="2"/>
  <c r="D4323" i="2"/>
  <c r="E5104" i="2"/>
  <c r="E4250" i="2"/>
  <c r="E5038" i="2"/>
  <c r="D5517" i="2"/>
  <c r="E326" i="2"/>
  <c r="E1125" i="2"/>
  <c r="E366" i="2"/>
  <c r="E783" i="2"/>
  <c r="D3841" i="2"/>
  <c r="E2771" i="2"/>
  <c r="E3059" i="2"/>
  <c r="D3798" i="2"/>
  <c r="E3818" i="2"/>
  <c r="E4147" i="2"/>
  <c r="D1136" i="2"/>
  <c r="E3215" i="2"/>
  <c r="E4983" i="2"/>
  <c r="D2833" i="2"/>
  <c r="D1674" i="2"/>
  <c r="E4699" i="2"/>
  <c r="E5130" i="2"/>
  <c r="D1734" i="2"/>
  <c r="D3" i="2"/>
  <c r="E5114" i="2"/>
  <c r="D4520" i="2"/>
  <c r="D4420" i="2"/>
  <c r="D5111" i="2"/>
  <c r="E3647" i="2"/>
  <c r="D2059" i="2"/>
  <c r="E4187" i="2"/>
  <c r="D3861" i="2"/>
  <c r="D2869" i="2"/>
  <c r="E4381" i="2"/>
  <c r="E4809" i="2"/>
  <c r="E1119" i="2"/>
  <c r="D2240" i="2"/>
  <c r="E1037" i="2"/>
  <c r="E884" i="2"/>
  <c r="D132" i="2"/>
  <c r="D939" i="2"/>
  <c r="D4274" i="2"/>
  <c r="D5065" i="2"/>
  <c r="D1568" i="2"/>
  <c r="E4219" i="2"/>
  <c r="D640" i="2"/>
  <c r="E1137" i="2"/>
  <c r="D3321" i="2"/>
  <c r="D907" i="2"/>
  <c r="D1460" i="2"/>
  <c r="E5161" i="2"/>
  <c r="D1334" i="2"/>
  <c r="E1570" i="2"/>
  <c r="E1844" i="2"/>
  <c r="E4233" i="2"/>
  <c r="D2187" i="2"/>
  <c r="E813" i="2"/>
  <c r="E2163" i="2"/>
  <c r="E479" i="2"/>
  <c r="E3341" i="2"/>
  <c r="D3376" i="2"/>
  <c r="E3679" i="2"/>
  <c r="D3125" i="2"/>
  <c r="E4677" i="2"/>
  <c r="D4367" i="2"/>
  <c r="E3750" i="2"/>
  <c r="E515" i="2"/>
  <c r="E142" i="2"/>
  <c r="E3053" i="2"/>
  <c r="D1810" i="2"/>
  <c r="D44" i="2"/>
  <c r="D716" i="2"/>
  <c r="E5430" i="2"/>
  <c r="E622" i="2"/>
  <c r="E2216" i="2"/>
  <c r="D4182" i="2"/>
  <c r="D4562" i="2"/>
  <c r="E5099" i="2"/>
  <c r="E777" i="2"/>
  <c r="D2630" i="2"/>
  <c r="D3513" i="2"/>
  <c r="E5192" i="2"/>
  <c r="D5203" i="2"/>
  <c r="D4614" i="2"/>
  <c r="E2188" i="2"/>
  <c r="D3232" i="2"/>
  <c r="E290" i="2"/>
  <c r="E4511" i="2"/>
  <c r="D222" i="2"/>
  <c r="D3934" i="2"/>
  <c r="D4995" i="2"/>
  <c r="D5123" i="2"/>
  <c r="E4273" i="2"/>
  <c r="D179" i="2"/>
  <c r="D3297" i="2"/>
  <c r="D312" i="2"/>
  <c r="E1910" i="2"/>
  <c r="E4050" i="2"/>
  <c r="D4474" i="2"/>
  <c r="E1627" i="2"/>
  <c r="E349" i="2"/>
  <c r="E2525" i="2"/>
  <c r="E1484" i="2"/>
  <c r="D4113" i="2"/>
  <c r="D943" i="2"/>
  <c r="E1356" i="2"/>
  <c r="E3412" i="2"/>
  <c r="D854" i="2"/>
  <c r="E3265" i="2"/>
  <c r="E5078" i="2"/>
  <c r="D68" i="2"/>
  <c r="D4653" i="2"/>
  <c r="D3099" i="2"/>
  <c r="D1572" i="2"/>
  <c r="E4075" i="2"/>
  <c r="D3855" i="2"/>
  <c r="D4200" i="2"/>
  <c r="D5035" i="2"/>
  <c r="D3683" i="2"/>
  <c r="E727" i="2"/>
  <c r="E77" i="2"/>
  <c r="D3302" i="2"/>
  <c r="E4" i="2"/>
  <c r="E4128" i="2"/>
  <c r="D1300" i="2"/>
  <c r="D2916" i="2"/>
  <c r="D317" i="2"/>
  <c r="D888" i="2"/>
  <c r="E3134" i="2"/>
  <c r="E4272" i="2"/>
  <c r="E3765" i="2"/>
  <c r="D2752" i="2"/>
  <c r="E2132" i="2"/>
  <c r="D4218" i="2"/>
  <c r="D947" i="2"/>
  <c r="E5328" i="2"/>
  <c r="E3428" i="2"/>
  <c r="D1449" i="2"/>
  <c r="D3053" i="2"/>
  <c r="D5181" i="2"/>
  <c r="D5030" i="2"/>
  <c r="E1846" i="2"/>
  <c r="E5098" i="2"/>
  <c r="E2613" i="2"/>
  <c r="D4986" i="2"/>
  <c r="D4056" i="2"/>
  <c r="E1328" i="2"/>
  <c r="D4257" i="2"/>
  <c r="D4432" i="2"/>
  <c r="E5149" i="2"/>
  <c r="E2804" i="2"/>
  <c r="D2931" i="2"/>
  <c r="E10" i="2"/>
  <c r="E975" i="2"/>
  <c r="E3058" i="2"/>
  <c r="D2202" i="2"/>
  <c r="D1772" i="2"/>
  <c r="E1066" i="2"/>
  <c r="E2062" i="2"/>
  <c r="E272" i="2"/>
  <c r="E591" i="2"/>
  <c r="D4143" i="2"/>
  <c r="D1306" i="2"/>
  <c r="D3824" i="2"/>
  <c r="D369" i="2"/>
  <c r="E5426" i="2"/>
  <c r="D184" i="2"/>
  <c r="E470" i="2"/>
  <c r="D4652" i="2"/>
  <c r="E4277" i="2"/>
  <c r="D1252" i="2"/>
  <c r="E650" i="2"/>
  <c r="E4016" i="2"/>
  <c r="D3894" i="2"/>
  <c r="E3891" i="2"/>
  <c r="D4437" i="2"/>
  <c r="D649" i="2"/>
  <c r="E3900" i="2"/>
  <c r="E695" i="2"/>
  <c r="E2482" i="2"/>
  <c r="D4848" i="2"/>
  <c r="E4796" i="2"/>
  <c r="D2073" i="2"/>
  <c r="E5014" i="2"/>
  <c r="E4064" i="2"/>
  <c r="D1213" i="2"/>
  <c r="D457" i="2"/>
  <c r="D386" i="2"/>
  <c r="E3087" i="2"/>
  <c r="D3124" i="2"/>
  <c r="E3967" i="2"/>
  <c r="E3884" i="2"/>
  <c r="D1285" i="2"/>
  <c r="D1558" i="2"/>
  <c r="D3197" i="2"/>
  <c r="D1915" i="2"/>
  <c r="E3249" i="2"/>
  <c r="E1393" i="2"/>
  <c r="E856" i="2"/>
  <c r="D974" i="2"/>
  <c r="E2617" i="2"/>
  <c r="D1140" i="2"/>
  <c r="D4077" i="2"/>
  <c r="D2925" i="2"/>
  <c r="D3536" i="2"/>
  <c r="D5236" i="2"/>
  <c r="D5140" i="2"/>
  <c r="E3862" i="2"/>
  <c r="E4510" i="2"/>
  <c r="D3062" i="2"/>
  <c r="D3549" i="2"/>
  <c r="D568" i="2"/>
  <c r="D1001" i="2"/>
  <c r="E2690" i="2"/>
  <c r="E202" i="2"/>
  <c r="D94" i="2"/>
  <c r="E4748" i="2"/>
  <c r="D3782" i="2"/>
  <c r="D3905" i="2"/>
  <c r="D1750" i="2"/>
  <c r="E2934" i="2"/>
  <c r="D798" i="2"/>
  <c r="D203" i="2"/>
  <c r="E2923" i="2"/>
  <c r="D3135" i="2"/>
  <c r="E5167" i="2"/>
  <c r="D459" i="2"/>
  <c r="D77" i="2"/>
  <c r="E4665" i="2"/>
  <c r="E23" i="2"/>
  <c r="D866" i="2"/>
  <c r="D4557" i="2"/>
  <c r="D1354" i="2"/>
  <c r="E2599" i="2"/>
  <c r="E2342" i="2"/>
  <c r="E2573" i="2"/>
  <c r="E508" i="2"/>
  <c r="E149" i="2"/>
  <c r="D4510" i="2"/>
  <c r="E3314" i="2"/>
  <c r="E3607" i="2"/>
  <c r="E5209" i="2"/>
  <c r="D3557" i="2"/>
  <c r="D1425" i="2"/>
  <c r="D651" i="2"/>
  <c r="D596" i="2"/>
  <c r="E1088" i="2"/>
  <c r="D3822" i="2"/>
  <c r="D981" i="2"/>
  <c r="D3539" i="2"/>
  <c r="D2292" i="2"/>
  <c r="D4716" i="2"/>
  <c r="E3383" i="2"/>
  <c r="E1174" i="2"/>
  <c r="D1070" i="2"/>
  <c r="E3694" i="2"/>
  <c r="E816" i="2"/>
  <c r="D1194" i="2"/>
  <c r="D1828" i="2"/>
  <c r="E2817" i="2"/>
  <c r="D3836" i="2"/>
  <c r="D220" i="2"/>
  <c r="D4256" i="2"/>
  <c r="D1696" i="2"/>
  <c r="D2793" i="2"/>
  <c r="E2910" i="2"/>
  <c r="E40" i="2"/>
  <c r="E2243" i="2"/>
  <c r="D45" i="2"/>
  <c r="E2274" i="2"/>
  <c r="E5136" i="2"/>
  <c r="D24" i="2"/>
  <c r="E1772" i="2"/>
  <c r="D2306" i="2"/>
  <c r="D1826" i="2"/>
  <c r="D1360" i="2"/>
  <c r="D3571" i="2"/>
  <c r="E5521" i="2"/>
  <c r="D4412" i="2"/>
  <c r="D2859" i="2"/>
  <c r="D4324" i="2"/>
  <c r="D3031" i="2"/>
  <c r="D4446" i="2"/>
  <c r="E3392" i="2"/>
  <c r="D838" i="2"/>
  <c r="E3034" i="2"/>
  <c r="D2241" i="2"/>
  <c r="E4036" i="2"/>
  <c r="D1900" i="2"/>
  <c r="D1644" i="2"/>
  <c r="D2024" i="2"/>
  <c r="E1500" i="2"/>
  <c r="E46" i="2"/>
  <c r="D4208" i="2"/>
  <c r="E368" i="2"/>
  <c r="D4701" i="2"/>
  <c r="D3076" i="2"/>
  <c r="E2152" i="2"/>
  <c r="D1317" i="2"/>
  <c r="E4455" i="2"/>
  <c r="D2098" i="2"/>
  <c r="D1539" i="2"/>
  <c r="E3825" i="2"/>
  <c r="D3008" i="2"/>
  <c r="D1181" i="2"/>
  <c r="E2706" i="2"/>
  <c r="D3914" i="2"/>
  <c r="E2619" i="2"/>
  <c r="D2360" i="2"/>
  <c r="E3442" i="2"/>
  <c r="E75" i="2"/>
  <c r="D3657" i="2"/>
  <c r="E4430" i="2"/>
  <c r="E4359" i="2"/>
  <c r="D81" i="2"/>
  <c r="D5167" i="2"/>
  <c r="D1631" i="2"/>
  <c r="E2926" i="2"/>
  <c r="E4599" i="2"/>
  <c r="D2887" i="2"/>
  <c r="D3230" i="2"/>
  <c r="D345" i="2"/>
  <c r="D4220" i="2"/>
  <c r="D5086" i="2"/>
  <c r="D4718" i="2"/>
  <c r="D746" i="2"/>
  <c r="E3067" i="2"/>
  <c r="E5092" i="2"/>
  <c r="D2170" i="2"/>
  <c r="E3228" i="2"/>
  <c r="D2674" i="2"/>
  <c r="E4292" i="2"/>
  <c r="D206" i="2"/>
  <c r="E1161" i="2"/>
  <c r="D2315" i="2"/>
  <c r="D960" i="2"/>
  <c r="E1464" i="2"/>
  <c r="D4708" i="2"/>
  <c r="D4545" i="2"/>
  <c r="E4694" i="2"/>
  <c r="E47" i="2"/>
  <c r="E5330" i="2"/>
  <c r="E3768" i="2"/>
  <c r="D3243" i="2"/>
  <c r="E3931" i="2"/>
  <c r="D639" i="2"/>
  <c r="D1735" i="2"/>
  <c r="E3445" i="2"/>
  <c r="D1793" i="2"/>
  <c r="D2279" i="2"/>
  <c r="D4488" i="2"/>
  <c r="E4383" i="2"/>
  <c r="D1270" i="2"/>
  <c r="D1748" i="2"/>
  <c r="D4900" i="2"/>
  <c r="E3848" i="2"/>
  <c r="D4298" i="2"/>
  <c r="E1107" i="2"/>
  <c r="E1123" i="2"/>
  <c r="D3296" i="2"/>
  <c r="D795" i="2"/>
  <c r="D1374" i="2"/>
  <c r="D3991" i="2"/>
  <c r="E2178" i="2"/>
  <c r="E3278" i="2"/>
  <c r="D1537" i="2"/>
  <c r="D5064" i="2"/>
  <c r="E3753" i="2"/>
  <c r="D4380" i="2"/>
  <c r="D118" i="2"/>
  <c r="D5070" i="2"/>
  <c r="E1982" i="2"/>
  <c r="E5284" i="2"/>
  <c r="D4578" i="2"/>
  <c r="D668" i="2"/>
  <c r="D4976" i="2"/>
  <c r="D848" i="2"/>
  <c r="D3210" i="2"/>
  <c r="D4146" i="2"/>
  <c r="D3697" i="2"/>
  <c r="E5036" i="2"/>
  <c r="E603" i="2"/>
  <c r="D1468" i="2"/>
  <c r="D3177" i="2"/>
  <c r="D803" i="2"/>
  <c r="D5058" i="2"/>
  <c r="D3229" i="2"/>
  <c r="E524" i="2"/>
  <c r="E1162" i="2"/>
  <c r="D3534" i="2"/>
  <c r="E2072" i="2"/>
  <c r="D4219" i="2"/>
  <c r="E529" i="2"/>
  <c r="E3644" i="2"/>
  <c r="D1775" i="2"/>
  <c r="D4706" i="2"/>
  <c r="D1486" i="2"/>
  <c r="D4202" i="2"/>
  <c r="D4272" i="2"/>
  <c r="D1807" i="2"/>
  <c r="D476" i="2"/>
  <c r="E4119" i="2"/>
  <c r="E546" i="2"/>
  <c r="E3015" i="2"/>
  <c r="E4449" i="2"/>
  <c r="E4294" i="2"/>
  <c r="D1108" i="2"/>
  <c r="D3879" i="2"/>
  <c r="D2060" i="2"/>
  <c r="D3104" i="2"/>
  <c r="E1557" i="2"/>
  <c r="E3554" i="2"/>
  <c r="E5108" i="2"/>
  <c r="D5209" i="2"/>
  <c r="D2081" i="2"/>
  <c r="D942" i="2"/>
  <c r="E765" i="2"/>
  <c r="D976" i="2"/>
  <c r="E3524" i="2"/>
  <c r="E1180" i="2"/>
  <c r="E3858" i="2"/>
  <c r="D2148" i="2"/>
  <c r="D166" i="2"/>
  <c r="E549" i="2"/>
  <c r="E335" i="2"/>
  <c r="D175" i="2"/>
  <c r="D3750" i="2"/>
  <c r="D4058" i="2"/>
  <c r="D3473" i="2"/>
  <c r="D3969" i="2"/>
  <c r="E2702" i="2"/>
  <c r="D5047" i="2"/>
  <c r="E2751" i="2"/>
  <c r="E1181" i="2"/>
  <c r="E2744" i="2"/>
  <c r="E4543" i="2"/>
  <c r="D3027" i="2"/>
  <c r="E2261" i="2"/>
  <c r="E3262" i="2"/>
  <c r="E2022" i="2"/>
  <c r="E2930" i="2"/>
  <c r="D4809" i="2"/>
  <c r="D3516" i="2"/>
  <c r="E79" i="2"/>
  <c r="E1986" i="2"/>
  <c r="E2892" i="2"/>
  <c r="E1594" i="2"/>
  <c r="D2293" i="2"/>
  <c r="D3566" i="2"/>
  <c r="E2005" i="2"/>
  <c r="D1091" i="2"/>
  <c r="E657" i="2"/>
  <c r="E4363" i="2"/>
  <c r="D160" i="2"/>
  <c r="D912" i="2"/>
  <c r="D474" i="2"/>
  <c r="D309" i="2"/>
  <c r="E4611" i="2"/>
  <c r="E3903" i="2"/>
  <c r="D729" i="2"/>
  <c r="E3663" i="2"/>
  <c r="D1487" i="2"/>
  <c r="D4668" i="2"/>
  <c r="E3658" i="2"/>
  <c r="D975" i="2"/>
  <c r="D421" i="2"/>
  <c r="D403" i="2"/>
  <c r="D41" i="2"/>
  <c r="D687" i="2"/>
  <c r="E1050" i="2"/>
  <c r="D1785" i="2"/>
  <c r="D2330" i="2"/>
  <c r="E2547" i="2"/>
  <c r="D5150" i="2"/>
  <c r="E2077" i="2"/>
  <c r="E5210" i="2"/>
  <c r="E1591" i="2"/>
  <c r="E4993" i="2"/>
  <c r="D3393" i="2"/>
  <c r="D2573" i="2"/>
  <c r="D4179" i="2"/>
  <c r="E2096" i="2"/>
  <c r="D4358" i="2"/>
  <c r="E3009" i="2"/>
  <c r="D4597" i="2"/>
  <c r="D5444" i="2"/>
  <c r="D344" i="2"/>
  <c r="E4466" i="2"/>
  <c r="E1335" i="2"/>
  <c r="E1286" i="2"/>
  <c r="E5196" i="2"/>
  <c r="D3074" i="2"/>
  <c r="E3556" i="2"/>
  <c r="E1737" i="2"/>
  <c r="D3597" i="2"/>
  <c r="D422" i="2"/>
  <c r="E2369" i="2"/>
  <c r="E1232" i="2"/>
  <c r="E4634" i="2"/>
  <c r="E3429" i="2"/>
  <c r="E4744" i="2"/>
  <c r="D4576" i="2"/>
  <c r="D3530" i="2"/>
  <c r="D5422" i="2"/>
  <c r="E3267" i="2"/>
  <c r="E5122" i="2"/>
  <c r="E170" i="2"/>
  <c r="D2727" i="2"/>
  <c r="E1640" i="2"/>
  <c r="D4309" i="2"/>
  <c r="D172" i="2"/>
  <c r="E551" i="2"/>
  <c r="D456" i="2"/>
  <c r="E3340" i="2"/>
  <c r="E5211" i="2"/>
  <c r="D5025" i="2"/>
  <c r="D5176" i="2"/>
  <c r="D2512" i="2"/>
  <c r="E3049" i="2"/>
  <c r="D3582" i="2"/>
  <c r="D3658" i="2"/>
  <c r="D2318" i="2"/>
  <c r="E5030" i="2"/>
  <c r="D1994" i="2"/>
  <c r="E1033" i="2"/>
  <c r="E53" i="2"/>
  <c r="E2329" i="2"/>
  <c r="D2222" i="2"/>
  <c r="D1379" i="2"/>
  <c r="E4583" i="2"/>
  <c r="E2800" i="2"/>
  <c r="D5217" i="2"/>
  <c r="E4887" i="2"/>
  <c r="E231" i="2"/>
  <c r="E5033" i="2"/>
  <c r="D1910" i="2"/>
  <c r="D4506" i="2"/>
  <c r="E1641" i="2"/>
  <c r="E4575" i="2"/>
  <c r="D3370" i="2"/>
  <c r="D1861" i="2"/>
  <c r="E5285" i="2"/>
  <c r="D2349" i="2"/>
  <c r="E2889" i="2"/>
  <c r="E2616" i="2"/>
  <c r="E1487" i="2"/>
  <c r="E2164" i="2"/>
  <c r="E2198" i="2"/>
  <c r="E1678" i="2"/>
  <c r="E2773" i="2"/>
  <c r="D4654" i="2"/>
  <c r="D512" i="2"/>
  <c r="D3422" i="2"/>
  <c r="E2981" i="2"/>
  <c r="D5196" i="2"/>
  <c r="D1803" i="2"/>
  <c r="D2933" i="2"/>
  <c r="D3300" i="2"/>
  <c r="D4130" i="2"/>
  <c r="D4475" i="2"/>
  <c r="E5067" i="2"/>
  <c r="D2223" i="2"/>
  <c r="D218" i="2"/>
  <c r="D4057" i="2"/>
  <c r="D5240" i="2"/>
  <c r="E3082" i="2"/>
  <c r="E4614" i="2"/>
  <c r="D3175" i="2"/>
  <c r="D1935" i="2"/>
  <c r="E1864" i="2"/>
  <c r="D2930" i="2"/>
  <c r="D1357" i="2"/>
  <c r="D2938" i="2"/>
  <c r="E3790" i="2"/>
  <c r="E4630" i="2"/>
  <c r="E3787" i="2"/>
  <c r="E4453" i="2"/>
  <c r="E1392" i="2"/>
  <c r="D1496" i="2"/>
  <c r="E2729" i="2"/>
  <c r="E3463" i="2"/>
  <c r="E1034" i="2"/>
  <c r="D813" i="2"/>
  <c r="E404" i="2"/>
  <c r="E1018" i="2"/>
  <c r="D5477" i="2"/>
  <c r="E492" i="2"/>
  <c r="E3427" i="2"/>
  <c r="E3426" i="2"/>
  <c r="E2846" i="2"/>
  <c r="E885" i="2"/>
  <c r="E1608" i="2"/>
  <c r="D2961" i="2"/>
  <c r="E1876" i="2"/>
  <c r="D1466" i="2"/>
  <c r="D4250" i="2"/>
  <c r="D5515" i="2"/>
  <c r="E1450" i="2"/>
  <c r="D1623" i="2"/>
  <c r="E2726" i="2"/>
  <c r="D1142" i="2"/>
  <c r="E3729" i="2"/>
  <c r="D1500" i="2"/>
  <c r="E4394" i="2"/>
  <c r="D1413" i="2"/>
  <c r="D3604" i="2"/>
  <c r="D1934" i="2"/>
  <c r="E3099" i="2"/>
  <c r="D382" i="2"/>
  <c r="D3745" i="2"/>
  <c r="E5182" i="2"/>
  <c r="E3680" i="2"/>
  <c r="D281" i="2"/>
  <c r="E2870" i="2"/>
  <c r="D2367" i="2"/>
  <c r="E536" i="2"/>
  <c r="E1538" i="2"/>
  <c r="E3824" i="2"/>
  <c r="D5284" i="2"/>
  <c r="E2202" i="2"/>
  <c r="D4401" i="2"/>
  <c r="D3356" i="2"/>
  <c r="D2657" i="2"/>
  <c r="E35" i="2"/>
  <c r="E1790" i="2"/>
  <c r="D1269" i="2"/>
  <c r="E2277" i="2"/>
  <c r="E942" i="2"/>
  <c r="E2135" i="2"/>
  <c r="E331" i="2"/>
  <c r="D335" i="2"/>
  <c r="D4170" i="2"/>
  <c r="D5280" i="2"/>
  <c r="E1667" i="2"/>
  <c r="D3374" i="2"/>
  <c r="E5234" i="2"/>
  <c r="E708" i="2"/>
  <c r="E1307" i="2"/>
  <c r="E640" i="2"/>
  <c r="D910" i="2"/>
  <c r="D1235" i="2"/>
  <c r="E3970" i="2"/>
  <c r="D5044" i="2"/>
  <c r="D2635" i="2"/>
  <c r="D2688" i="2"/>
  <c r="D185" i="2"/>
  <c r="D4076" i="2"/>
  <c r="E2979" i="2"/>
  <c r="D2130" i="2"/>
  <c r="E296" i="2"/>
  <c r="D4311" i="2"/>
  <c r="D4205" i="2"/>
  <c r="D1969" i="2"/>
  <c r="E3386" i="2"/>
  <c r="E3786" i="2"/>
  <c r="E1752" i="2"/>
  <c r="D2348" i="2"/>
  <c r="E980" i="2"/>
  <c r="E999" i="2"/>
  <c r="E1361" i="2"/>
  <c r="D736" i="2"/>
  <c r="D30" i="2"/>
  <c r="E4690" i="2"/>
  <c r="D95" i="2"/>
  <c r="D84" i="2"/>
  <c r="D4666" i="2"/>
  <c r="D423" i="2"/>
  <c r="D11" i="2"/>
  <c r="E3422" i="2"/>
  <c r="D2637" i="2"/>
  <c r="E1413" i="2"/>
  <c r="E676" i="2"/>
  <c r="E1917" i="2"/>
  <c r="D4581" i="2"/>
  <c r="E3575" i="2"/>
  <c r="E4561" i="2"/>
  <c r="E3944" i="2"/>
  <c r="D1502" i="2"/>
  <c r="D3500" i="2"/>
  <c r="E960" i="2"/>
  <c r="E2798" i="2"/>
  <c r="E3465" i="2"/>
  <c r="D4994" i="2"/>
  <c r="E2774" i="2"/>
  <c r="D3663" i="2"/>
  <c r="E224" i="2"/>
  <c r="D5062" i="2"/>
  <c r="E1952" i="2"/>
  <c r="E3678" i="2"/>
  <c r="D1756" i="2"/>
  <c r="D2094" i="2"/>
  <c r="E2664" i="2"/>
  <c r="D5119" i="2"/>
  <c r="E819" i="2"/>
  <c r="D3736" i="2"/>
  <c r="D1952" i="2"/>
  <c r="D216" i="2"/>
  <c r="D956" i="2"/>
  <c r="D983" i="2"/>
  <c r="E680" i="2"/>
  <c r="D2854" i="2"/>
  <c r="E4046" i="2"/>
  <c r="E5119" i="2"/>
  <c r="D2019" i="2"/>
  <c r="D153" i="2"/>
  <c r="E3304" i="2"/>
  <c r="E4238" i="2"/>
  <c r="E4121" i="2"/>
  <c r="E1055" i="2"/>
  <c r="E982" i="2"/>
  <c r="E785" i="2"/>
  <c r="E150" i="2"/>
  <c r="D3892" i="2"/>
  <c r="E4056" i="2"/>
  <c r="D4038" i="2"/>
  <c r="E2434" i="2"/>
  <c r="D1846" i="2"/>
  <c r="E1305" i="2"/>
  <c r="D1521" i="2"/>
  <c r="E215" i="2"/>
  <c r="E2882" i="2"/>
  <c r="E52" i="2"/>
  <c r="E2657" i="2"/>
  <c r="D5102" i="2"/>
  <c r="D5328" i="2"/>
  <c r="E19" i="2"/>
  <c r="D1640" i="2"/>
  <c r="E4276" i="2"/>
  <c r="D3881" i="2"/>
  <c r="D3801" i="2"/>
  <c r="E4917" i="2"/>
  <c r="D2150" i="2"/>
  <c r="D4050" i="2"/>
  <c r="D3295" i="2"/>
  <c r="D5089" i="2"/>
  <c r="E218" i="2"/>
  <c r="E3152" i="2"/>
  <c r="D4399" i="2"/>
  <c r="D1287" i="2"/>
  <c r="E364" i="2"/>
  <c r="E4587" i="2"/>
  <c r="E1542" i="2"/>
  <c r="E234" i="2"/>
  <c r="D4722" i="2"/>
  <c r="E3832" i="2"/>
  <c r="D122" i="2"/>
  <c r="E983" i="2"/>
  <c r="D5117" i="2"/>
  <c r="E1496" i="2"/>
  <c r="E198" i="2"/>
  <c r="D2855" i="2"/>
  <c r="E542" i="2"/>
  <c r="D614" i="2"/>
  <c r="E2024" i="2"/>
  <c r="E173" i="2"/>
  <c r="E4076" i="2"/>
  <c r="D3627" i="2"/>
  <c r="E1198" i="2"/>
  <c r="D3809" i="2"/>
  <c r="D3877" i="2"/>
  <c r="E3913" i="2"/>
  <c r="E4131" i="2"/>
  <c r="E3604" i="2"/>
  <c r="E2045" i="2"/>
  <c r="E3886" i="2"/>
  <c r="E4038" i="2"/>
  <c r="D1324" i="2"/>
  <c r="E1304" i="2"/>
  <c r="E1486" i="2"/>
  <c r="D1410" i="2"/>
  <c r="E5177" i="2"/>
  <c r="E3682" i="2"/>
  <c r="E3160" i="2"/>
  <c r="E1612" i="2"/>
  <c r="E2872" i="2"/>
  <c r="E3232" i="2"/>
  <c r="E2378" i="2"/>
  <c r="D5001" i="2"/>
  <c r="D730" i="2"/>
  <c r="D2037" i="2"/>
  <c r="D2817" i="2"/>
  <c r="E3639" i="2"/>
  <c r="D2295" i="2"/>
  <c r="E1677" i="2"/>
  <c r="D56" i="2"/>
  <c r="E4560" i="2"/>
  <c r="E3933" i="2"/>
  <c r="E5473" i="2"/>
  <c r="E24" i="2"/>
  <c r="D2872" i="2"/>
  <c r="D2819" i="2"/>
  <c r="D2725" i="2"/>
  <c r="E956" i="2"/>
  <c r="D1802" i="2"/>
  <c r="E1414" i="2"/>
  <c r="E3143" i="2"/>
  <c r="D3431" i="2"/>
  <c r="E3416" i="2"/>
  <c r="E1341" i="2"/>
  <c r="E3178" i="2"/>
  <c r="D2258" i="2"/>
  <c r="D2905" i="2"/>
  <c r="D3611" i="2"/>
  <c r="E4562" i="2"/>
  <c r="D2779" i="2"/>
  <c r="D3246" i="2"/>
  <c r="D1626" i="2"/>
  <c r="D2007" i="2"/>
  <c r="E4345" i="2"/>
  <c r="E533" i="2"/>
  <c r="E5112" i="2"/>
  <c r="E353" i="2"/>
  <c r="E4525" i="2"/>
  <c r="D2994" i="2"/>
  <c r="D3143" i="2"/>
  <c r="E2241" i="2"/>
  <c r="D1504" i="2"/>
  <c r="E2258" i="2"/>
  <c r="D4400" i="2"/>
  <c r="E4094" i="2"/>
  <c r="D816" i="2"/>
  <c r="E3394" i="2"/>
  <c r="E3180" i="2"/>
  <c r="E4040" i="2"/>
  <c r="E1647" i="2"/>
  <c r="D4389" i="2"/>
  <c r="D4330" i="2"/>
  <c r="E1666" i="2"/>
  <c r="E4092" i="2"/>
  <c r="D1180" i="2"/>
  <c r="D54" i="2"/>
  <c r="D1125" i="2"/>
  <c r="D1717" i="2"/>
  <c r="D2616" i="2"/>
  <c r="E61" i="2"/>
  <c r="D4452" i="2"/>
  <c r="E4997" i="2"/>
  <c r="D2277" i="2"/>
  <c r="E4564" i="2"/>
  <c r="E4241" i="2"/>
  <c r="E4399" i="2"/>
  <c r="E327" i="2"/>
  <c r="D875" i="2"/>
  <c r="E5336" i="2"/>
  <c r="D820" i="2"/>
  <c r="D4709" i="2"/>
  <c r="D90" i="2"/>
  <c r="D3980" i="2"/>
  <c r="D3268" i="2"/>
  <c r="E115" i="2"/>
  <c r="D4002" i="2"/>
  <c r="E3028" i="2"/>
  <c r="E298" i="2"/>
  <c r="E4709" i="2"/>
  <c r="D4419" i="2"/>
  <c r="E5047" i="2"/>
  <c r="D3196" i="2"/>
  <c r="D5470" i="2"/>
  <c r="D604" i="2"/>
  <c r="D3467" i="2"/>
  <c r="E2115" i="2"/>
  <c r="E3372" i="2"/>
  <c r="D550" i="2"/>
  <c r="D4396" i="2"/>
  <c r="D3786" i="2"/>
  <c r="D3091" i="2"/>
  <c r="E403" i="2"/>
  <c r="D1784" i="2"/>
  <c r="D2739" i="2"/>
  <c r="E1827" i="2"/>
  <c r="D514" i="2"/>
  <c r="D2188" i="2"/>
  <c r="E4636" i="2"/>
  <c r="E219" i="2"/>
  <c r="E4467" i="2"/>
  <c r="E1736" i="2"/>
  <c r="E2642" i="2"/>
  <c r="D278" i="2"/>
  <c r="D4167" i="2"/>
  <c r="D1050" i="2"/>
  <c r="D106" i="2"/>
  <c r="D3248" i="2"/>
  <c r="D3606" i="2"/>
  <c r="D4874" i="2"/>
  <c r="D121" i="2"/>
  <c r="D2364" i="2"/>
  <c r="D495" i="2"/>
  <c r="D4504" i="2"/>
  <c r="D909" i="2"/>
  <c r="D2692" i="2"/>
  <c r="E2922" i="2"/>
  <c r="D1086" i="2"/>
  <c r="D2708" i="2"/>
  <c r="E5040" i="2"/>
  <c r="D3845" i="2"/>
  <c r="E2818" i="2"/>
  <c r="D2998" i="2"/>
  <c r="D3284" i="2"/>
  <c r="D4290" i="2"/>
  <c r="D5078" i="2"/>
  <c r="D3122" i="2"/>
  <c r="E4378" i="2"/>
  <c r="E2793" i="2"/>
  <c r="D605" i="2"/>
  <c r="D515" i="2"/>
  <c r="D4376" i="2"/>
  <c r="E4506" i="2"/>
  <c r="E1374" i="2"/>
  <c r="E4617" i="2"/>
  <c r="D2534" i="2"/>
  <c r="D5067" i="2"/>
  <c r="E4652" i="2"/>
  <c r="D460" i="2"/>
  <c r="E443" i="2"/>
  <c r="D4022" i="2"/>
  <c r="E1202" i="2"/>
  <c r="D5206" i="2"/>
  <c r="E1754" i="2"/>
  <c r="E3518" i="2"/>
  <c r="E3319" i="2"/>
  <c r="D1896" i="2"/>
  <c r="E3733" i="2"/>
  <c r="E441" i="2"/>
  <c r="D1143" i="2"/>
  <c r="D2058" i="2"/>
  <c r="E2801" i="2"/>
  <c r="D2873" i="2"/>
  <c r="D1446" i="2"/>
  <c r="E1084" i="2"/>
  <c r="D4617" i="2"/>
  <c r="E2764" i="2"/>
  <c r="E2977" i="2"/>
  <c r="E36" i="2"/>
  <c r="E5080" i="2"/>
  <c r="E2924" i="2"/>
  <c r="E1900" i="2"/>
  <c r="D4273" i="2"/>
  <c r="E2315" i="2"/>
  <c r="E1284" i="2"/>
  <c r="D4044" i="2"/>
  <c r="D5153" i="2"/>
  <c r="D3752" i="2"/>
  <c r="D3912" i="2"/>
  <c r="D15" i="2"/>
  <c r="D3387" i="2"/>
  <c r="E114" i="2"/>
  <c r="D4430" i="2"/>
  <c r="E2205" i="2"/>
  <c r="E3103" i="2"/>
  <c r="D1268" i="2"/>
  <c r="E1609" i="2"/>
  <c r="D5005" i="2"/>
  <c r="D532" i="2"/>
  <c r="D2909" i="2"/>
  <c r="D927" i="2"/>
  <c r="E2747" i="2"/>
  <c r="E4223" i="2"/>
  <c r="D159" i="2"/>
  <c r="D4377" i="2"/>
  <c r="D1613" i="2"/>
  <c r="D3139" i="2"/>
  <c r="D623" i="2"/>
  <c r="D764" i="2"/>
  <c r="D2818" i="2"/>
  <c r="E2638" i="2"/>
  <c r="E180" i="2"/>
  <c r="D2260" i="2"/>
  <c r="E5181" i="2"/>
  <c r="D4035" i="2"/>
  <c r="E888" i="2"/>
  <c r="E1072" i="2"/>
  <c r="E2116" i="2"/>
  <c r="E550" i="2"/>
  <c r="D3449" i="2"/>
  <c r="E3068" i="2"/>
  <c r="E1443" i="2"/>
  <c r="D1478" i="2"/>
  <c r="D600" i="2"/>
  <c r="E2890" i="2"/>
  <c r="D4359" i="2"/>
  <c r="E963" i="2"/>
  <c r="D2904" i="2"/>
  <c r="D2368" i="2"/>
  <c r="E1720" i="2"/>
  <c r="E5093" i="2"/>
  <c r="D1771" i="2"/>
  <c r="E4618" i="2"/>
  <c r="E4996" i="2"/>
  <c r="D2153" i="2"/>
  <c r="E1865" i="2"/>
  <c r="E572" i="2"/>
  <c r="E3212" i="2"/>
  <c r="E314" i="2"/>
  <c r="E909" i="2"/>
  <c r="D4115" i="2"/>
  <c r="E1248" i="2"/>
  <c r="E1934" i="2"/>
  <c r="D2025" i="2"/>
  <c r="D1082" i="2"/>
  <c r="D2002" i="2"/>
  <c r="D3806" i="2"/>
  <c r="D4110" i="2"/>
  <c r="E3950" i="2"/>
  <c r="E1503" i="2"/>
  <c r="E4074" i="2"/>
  <c r="E2310" i="2"/>
  <c r="D2275" i="2"/>
  <c r="E514" i="2"/>
  <c r="D2026" i="2"/>
  <c r="D1883" i="2"/>
  <c r="E2733" i="2"/>
  <c r="E278" i="2"/>
  <c r="D3588" i="2"/>
  <c r="E2909" i="2"/>
  <c r="D1713" i="2"/>
  <c r="E623" i="2"/>
  <c r="E2691" i="2"/>
  <c r="E3123" i="2"/>
  <c r="D1234" i="2"/>
  <c r="E4637" i="2"/>
  <c r="E4234" i="2"/>
  <c r="E2725" i="2"/>
  <c r="D3878" i="2"/>
  <c r="E2837" i="2"/>
  <c r="D726" i="2"/>
  <c r="E2906" i="2"/>
  <c r="D1628" i="2"/>
  <c r="D3142" i="2"/>
  <c r="D5210" i="2"/>
  <c r="E4578" i="2"/>
  <c r="D999" i="2"/>
  <c r="E4107" i="2"/>
  <c r="E3250" i="2"/>
  <c r="D2257" i="2"/>
  <c r="D1948" i="2"/>
  <c r="E4017" i="2"/>
  <c r="E4340" i="2"/>
  <c r="E4900" i="2"/>
  <c r="D3070" i="2"/>
  <c r="E179" i="2"/>
  <c r="E4148" i="2"/>
  <c r="D405" i="2"/>
  <c r="E530" i="2"/>
  <c r="D5049" i="2"/>
  <c r="E4067" i="2"/>
  <c r="E2873" i="2"/>
  <c r="E4205" i="2"/>
  <c r="E3860" i="2"/>
  <c r="D5180" i="2"/>
  <c r="D3987" i="2"/>
  <c r="E407" i="2"/>
  <c r="E405" i="2"/>
  <c r="D1428" i="2"/>
  <c r="E1127" i="2"/>
  <c r="D1141" i="2"/>
  <c r="E334" i="2"/>
  <c r="D4583" i="2"/>
  <c r="D961" i="2"/>
  <c r="E477" i="2"/>
  <c r="D143" i="2"/>
  <c r="E460" i="2"/>
  <c r="D4366" i="2"/>
  <c r="E493" i="2"/>
  <c r="D1898" i="2"/>
  <c r="E4542" i="2"/>
  <c r="E1325" i="2"/>
  <c r="E5046" i="2"/>
  <c r="E3337" i="2"/>
  <c r="D3753" i="2"/>
  <c r="E280" i="2"/>
  <c r="E5069" i="2"/>
  <c r="E1878" i="2"/>
  <c r="E1109" i="2"/>
  <c r="D1036" i="2"/>
  <c r="E458" i="2"/>
  <c r="D2313" i="2"/>
  <c r="E1684" i="2"/>
  <c r="E1446" i="2"/>
  <c r="D4960" i="2"/>
  <c r="D327" i="2"/>
  <c r="E2754" i="2"/>
  <c r="D5397" i="2"/>
  <c r="D71" i="2"/>
  <c r="D1936" i="2"/>
  <c r="E210" i="2"/>
  <c r="E2714" i="2"/>
  <c r="E3930" i="2"/>
  <c r="D126" i="2"/>
  <c r="D5135" i="2"/>
  <c r="D1100" i="2"/>
  <c r="D2728" i="2"/>
  <c r="D1451" i="2"/>
  <c r="D279" i="2"/>
  <c r="D1214" i="2"/>
  <c r="E1087" i="2"/>
  <c r="D834" i="2"/>
  <c r="E1195" i="2"/>
  <c r="D1253" i="2"/>
  <c r="E2130" i="2"/>
  <c r="E3179" i="2"/>
  <c r="D4556" i="2"/>
  <c r="E4714" i="2"/>
  <c r="D1014" i="2"/>
  <c r="D3100" i="2"/>
  <c r="E1630" i="2"/>
  <c r="E2240" i="2"/>
  <c r="D3629" i="2"/>
  <c r="E835" i="2"/>
  <c r="D3726" i="2"/>
  <c r="E295" i="2"/>
  <c r="D2351" i="2"/>
  <c r="E3354" i="2"/>
  <c r="E2351" i="2"/>
  <c r="E5517" i="2"/>
  <c r="D3766" i="2"/>
  <c r="D1901" i="2"/>
  <c r="D1991" i="2"/>
  <c r="E4020" i="2"/>
  <c r="D5220" i="2"/>
  <c r="E1537" i="2"/>
  <c r="E4287" i="2"/>
  <c r="D4294" i="2"/>
  <c r="D3160" i="2"/>
  <c r="D5177" i="2"/>
  <c r="E4596" i="2"/>
  <c r="D3647" i="2"/>
  <c r="D4509" i="2"/>
  <c r="E3052" i="2"/>
  <c r="E1266" i="2"/>
  <c r="E2207" i="2"/>
  <c r="D4286" i="2"/>
  <c r="D109" i="2"/>
  <c r="D1847" i="2"/>
  <c r="D1160" i="2"/>
  <c r="D2168" i="2"/>
  <c r="D2126" i="2"/>
  <c r="E5375" i="2"/>
  <c r="E5137" i="2"/>
  <c r="E1915" i="2"/>
  <c r="D371" i="2"/>
  <c r="E478" i="2"/>
  <c r="D4326" i="2"/>
  <c r="D2889" i="2"/>
  <c r="D5159" i="2"/>
  <c r="D152" i="2"/>
  <c r="E4524" i="2"/>
  <c r="E4059" i="2"/>
  <c r="E1644" i="2"/>
  <c r="E5088" i="2"/>
  <c r="D944" i="2"/>
  <c r="D2815" i="2"/>
  <c r="D3698" i="2"/>
  <c r="D1353" i="2"/>
  <c r="D3608" i="2"/>
  <c r="E510" i="2"/>
  <c r="D3305" i="2"/>
  <c r="D4822" i="2"/>
  <c r="E2999" i="2"/>
  <c r="D1088" i="2"/>
  <c r="E3230" i="2"/>
  <c r="D1753" i="2"/>
  <c r="D1447" i="2"/>
  <c r="D2217" i="2"/>
  <c r="E140" i="2"/>
  <c r="E4239" i="2"/>
  <c r="E3409" i="2"/>
  <c r="D315" i="2"/>
  <c r="E3916" i="2"/>
  <c r="D3033" i="2"/>
  <c r="E938" i="2"/>
  <c r="E2819" i="2"/>
  <c r="D620" i="2"/>
  <c r="E3657" i="2"/>
  <c r="D461" i="2"/>
  <c r="E3530" i="2"/>
  <c r="E4218" i="2"/>
  <c r="E1231" i="2"/>
  <c r="E1901" i="2"/>
  <c r="E4039" i="2"/>
  <c r="D3989" i="2"/>
  <c r="D200" i="2"/>
  <c r="E639" i="2"/>
  <c r="D5041" i="2"/>
  <c r="E1428" i="2"/>
  <c r="D4671" i="2"/>
  <c r="E4598" i="2"/>
  <c r="E857" i="2"/>
  <c r="E1556" i="2"/>
  <c r="D3808" i="2"/>
  <c r="D5048" i="2"/>
  <c r="D3984" i="2"/>
  <c r="E1071" i="2"/>
  <c r="E4362" i="2"/>
  <c r="D1017" i="2"/>
  <c r="D3917" i="2"/>
  <c r="E3609" i="2"/>
  <c r="D5126" i="2"/>
  <c r="D2638" i="2"/>
  <c r="D3174" i="2"/>
  <c r="D2311" i="2"/>
  <c r="E1502" i="2"/>
  <c r="D1916" i="2"/>
  <c r="D1720" i="2"/>
  <c r="D4524" i="2"/>
  <c r="D2760" i="2"/>
  <c r="E1788" i="2"/>
  <c r="E3710" i="2"/>
  <c r="E369" i="2"/>
  <c r="D2307" i="2"/>
  <c r="E1173" i="2"/>
  <c r="D4344" i="2"/>
  <c r="D454" i="2"/>
  <c r="E2962" i="2"/>
  <c r="D1664" i="2"/>
  <c r="E1142" i="2"/>
  <c r="E1595" i="2"/>
  <c r="E4438" i="2"/>
  <c r="D5234" i="2"/>
  <c r="D1424" i="2"/>
  <c r="E3089" i="2"/>
  <c r="D4456" i="2"/>
  <c r="E5000" i="2"/>
  <c r="E4472" i="2"/>
  <c r="D710" i="2"/>
  <c r="E2955" i="2"/>
  <c r="D3948" i="2"/>
  <c r="D4240" i="2"/>
  <c r="E3912" i="2"/>
  <c r="D2996" i="2"/>
  <c r="D4926" i="2"/>
  <c r="E4096" i="2"/>
  <c r="E4416" i="2"/>
  <c r="D1448" i="2"/>
  <c r="D3714" i="2"/>
  <c r="D2835" i="2"/>
  <c r="E4544" i="2"/>
  <c r="E3247" i="2"/>
  <c r="D3639" i="2"/>
  <c r="D5179" i="2"/>
  <c r="D762" i="2"/>
  <c r="D5207" i="2"/>
  <c r="D3826" i="2"/>
  <c r="D440" i="2"/>
  <c r="E4366" i="2"/>
  <c r="D2836" i="2"/>
  <c r="D5137" i="2"/>
  <c r="E2008" i="2"/>
  <c r="E4078" i="2"/>
  <c r="D3552" i="2"/>
  <c r="D1161" i="2"/>
  <c r="E1064" i="2"/>
  <c r="E174" i="2"/>
  <c r="E11" i="2"/>
  <c r="E495" i="2"/>
  <c r="D91" i="2"/>
  <c r="D1918" i="2"/>
  <c r="D2152" i="2"/>
  <c r="D3170" i="2"/>
  <c r="D2072" i="2"/>
  <c r="D830" i="2"/>
  <c r="E784" i="2"/>
  <c r="E3845" i="2"/>
  <c r="D3771" i="2"/>
  <c r="D1408" i="2"/>
  <c r="E2888" i="2"/>
  <c r="E3238" i="2"/>
  <c r="D493" i="2"/>
  <c r="E3393" i="2"/>
  <c r="E3322" i="2"/>
  <c r="D1356" i="2"/>
  <c r="E188" i="2"/>
  <c r="E4377" i="2"/>
  <c r="D686" i="2"/>
  <c r="D5108" i="2"/>
  <c r="D4542" i="2"/>
  <c r="E5128" i="2"/>
  <c r="E5152" i="2"/>
  <c r="D2962" i="2"/>
  <c r="D1593" i="2"/>
  <c r="D3728" i="2"/>
  <c r="D2391" i="2"/>
  <c r="E4347" i="2"/>
  <c r="D1522" i="2"/>
  <c r="D2636" i="2"/>
  <c r="E92" i="2"/>
  <c r="D1595" i="2"/>
  <c r="D982" i="2"/>
  <c r="D1190" i="2"/>
  <c r="D5519" i="2"/>
  <c r="D4735" i="2"/>
  <c r="D2005" i="2"/>
  <c r="D4744" i="2"/>
  <c r="E1068" i="2"/>
  <c r="E3963" i="2"/>
  <c r="E4706" i="2"/>
  <c r="E187" i="2"/>
  <c r="E3269" i="2"/>
  <c r="D1465" i="2"/>
  <c r="D3665" i="2"/>
  <c r="D3770" i="2"/>
  <c r="D214" i="2"/>
  <c r="D3105" i="2"/>
  <c r="E3986" i="2"/>
  <c r="D2671" i="2"/>
  <c r="D4503" i="2"/>
  <c r="E2941" i="2"/>
  <c r="E3854" i="2"/>
  <c r="E2711" i="2"/>
  <c r="E1897" i="2"/>
  <c r="E957" i="2"/>
  <c r="D4334" i="2"/>
  <c r="D2979" i="2"/>
  <c r="D38" i="2"/>
  <c r="D2205" i="2"/>
  <c r="D4961" i="2"/>
  <c r="E1214" i="2"/>
  <c r="D1034" i="2"/>
  <c r="D3747" i="2"/>
  <c r="E3696" i="2"/>
  <c r="D3866" i="2"/>
  <c r="D2675" i="2"/>
  <c r="E5133" i="2"/>
  <c r="E1252" i="2"/>
  <c r="D3574" i="2"/>
  <c r="E3449" i="2"/>
  <c r="D5178" i="2"/>
  <c r="D52" i="2"/>
  <c r="E3792" i="2"/>
  <c r="E4957" i="2"/>
  <c r="D2259" i="2"/>
  <c r="E456" i="2"/>
  <c r="D2189" i="2"/>
  <c r="E315" i="2"/>
  <c r="E3855" i="2"/>
  <c r="E497" i="2"/>
  <c r="E9" i="2"/>
  <c r="D4258" i="2"/>
  <c r="E3881" i="2"/>
  <c r="E120" i="2"/>
  <c r="E2134" i="2"/>
  <c r="E3158" i="2"/>
  <c r="D1988" i="2"/>
  <c r="D4132" i="2"/>
  <c r="D1665" i="2"/>
  <c r="E4326" i="2"/>
  <c r="D3293" i="2"/>
  <c r="D3680" i="2"/>
  <c r="E388" i="2"/>
  <c r="D893" i="2"/>
  <c r="E423" i="2"/>
  <c r="D3915" i="2"/>
  <c r="D1104" i="2"/>
  <c r="E4130" i="2"/>
  <c r="D3391" i="2"/>
  <c r="D3953" i="2"/>
  <c r="E221" i="2"/>
  <c r="D3014" i="2"/>
  <c r="D3559" i="2"/>
  <c r="D3696" i="2"/>
  <c r="D19" i="2"/>
  <c r="D3214" i="2"/>
  <c r="E2324" i="2"/>
  <c r="E795" i="2"/>
  <c r="E5170" i="2"/>
  <c r="D3107" i="2"/>
  <c r="E1053" i="2"/>
  <c r="E3338" i="2"/>
  <c r="D4221" i="2"/>
  <c r="E2905" i="2"/>
  <c r="D1302" i="2"/>
  <c r="E854" i="2"/>
  <c r="D5104" i="2"/>
  <c r="D1176" i="2"/>
  <c r="D874" i="2"/>
  <c r="E183" i="2"/>
  <c r="E416" i="2"/>
  <c r="E3809" i="2"/>
  <c r="E4508" i="2"/>
  <c r="D2828" i="2"/>
  <c r="E3732" i="2"/>
  <c r="E1587" i="2"/>
  <c r="E496" i="2"/>
  <c r="E41" i="2"/>
  <c r="D632" i="2"/>
  <c r="D2199" i="2"/>
  <c r="E3210" i="2"/>
  <c r="E1235" i="2"/>
  <c r="E1338" i="2"/>
  <c r="E2692" i="2"/>
  <c r="D1519" i="2"/>
  <c r="E1766" i="2"/>
  <c r="D2781" i="2"/>
  <c r="E3251" i="2"/>
  <c r="D1299" i="2"/>
  <c r="D2943" i="2"/>
  <c r="E3560" i="2"/>
  <c r="D4704" i="2"/>
  <c r="E3391" i="2"/>
  <c r="D402" i="2"/>
  <c r="E5216" i="2"/>
  <c r="D299" i="2"/>
  <c r="D3952" i="2"/>
  <c r="E5153" i="2"/>
  <c r="E3889" i="2"/>
  <c r="E2684" i="2"/>
  <c r="E1883" i="2"/>
  <c r="D4169" i="2"/>
  <c r="D3194" i="2"/>
  <c r="D3121" i="2"/>
  <c r="D1520" i="2"/>
  <c r="D4071" i="2"/>
  <c r="E1991" i="2"/>
  <c r="E4291" i="2"/>
  <c r="E3737" i="2"/>
  <c r="D1789" i="2"/>
  <c r="D677" i="2"/>
  <c r="D4074" i="2"/>
  <c r="D2079" i="2"/>
  <c r="D470" i="2"/>
  <c r="D3876" i="2"/>
  <c r="D1860" i="2"/>
  <c r="E4437" i="2"/>
  <c r="E5474" i="2"/>
  <c r="D3916" i="2"/>
  <c r="E1267" i="2"/>
  <c r="D348" i="2"/>
  <c r="E1710" i="2"/>
  <c r="E3446" i="2"/>
  <c r="D763" i="2"/>
  <c r="E4275" i="2"/>
  <c r="D2296" i="2"/>
  <c r="E4418" i="2"/>
  <c r="D3442" i="2"/>
  <c r="E1642" i="2"/>
  <c r="E2330" i="2"/>
  <c r="E658" i="2"/>
  <c r="D3556" i="2"/>
  <c r="E273" i="2"/>
  <c r="E4956" i="2"/>
  <c r="D5113" i="2"/>
  <c r="E3122" i="2"/>
  <c r="E5179" i="2"/>
  <c r="D5518" i="2"/>
  <c r="D2091" i="2"/>
  <c r="E3734" i="2"/>
  <c r="E2721" i="2"/>
  <c r="D3899" i="2"/>
  <c r="E2674" i="2"/>
  <c r="E3602" i="2"/>
  <c r="E3480" i="2"/>
  <c r="D1000" i="2"/>
  <c r="E1395" i="2"/>
  <c r="D3269" i="2"/>
  <c r="E4236" i="2"/>
  <c r="D1432" i="2"/>
  <c r="E2171" i="2"/>
  <c r="E1914" i="2"/>
  <c r="E641" i="2"/>
  <c r="D946" i="2"/>
  <c r="D333" i="2"/>
  <c r="E1394" i="2"/>
  <c r="E4600" i="2"/>
  <c r="D3412" i="2"/>
  <c r="D161" i="2"/>
  <c r="E4380" i="2"/>
  <c r="E4132" i="2"/>
  <c r="D1899" i="2"/>
  <c r="D3711" i="2"/>
  <c r="D194" i="2"/>
  <c r="E3574" i="2"/>
  <c r="D1179" i="2"/>
  <c r="D3134" i="2"/>
  <c r="D800" i="2"/>
  <c r="D3267" i="2"/>
  <c r="D407" i="2"/>
  <c r="E3048" i="2"/>
  <c r="E1610" i="2"/>
  <c r="E3017" i="2"/>
  <c r="E1626" i="2"/>
  <c r="D4275" i="2"/>
  <c r="E803" i="2"/>
  <c r="D3751" i="2"/>
  <c r="D3157" i="2"/>
  <c r="D4052" i="2"/>
  <c r="E1196" i="2"/>
  <c r="D3410" i="2"/>
  <c r="E5207" i="2"/>
  <c r="D1971" i="2"/>
  <c r="D802" i="2"/>
  <c r="E3728" i="2"/>
  <c r="D1716" i="2"/>
  <c r="E4255" i="2"/>
  <c r="D767" i="2"/>
  <c r="D110" i="2"/>
  <c r="E2151" i="2"/>
  <c r="E3501" i="2"/>
  <c r="D2814" i="2"/>
  <c r="E1664" i="2"/>
  <c r="E1935" i="2"/>
  <c r="D4943" i="2"/>
  <c r="E3534" i="2"/>
  <c r="D5331" i="2"/>
  <c r="D1862" i="2"/>
  <c r="D2185" i="2"/>
  <c r="E1899" i="2"/>
  <c r="E741" i="2"/>
  <c r="D1642" i="2"/>
  <c r="E1178" i="2"/>
  <c r="E5144" i="2"/>
  <c r="D2729" i="2"/>
  <c r="E874" i="2"/>
  <c r="E1143" i="2"/>
  <c r="D3413" i="2"/>
  <c r="E4114" i="2"/>
  <c r="D1338" i="2"/>
  <c r="E4419" i="2"/>
  <c r="E1860" i="2"/>
  <c r="E5134" i="2"/>
  <c r="E317" i="2"/>
  <c r="E1482" i="2"/>
  <c r="D441" i="2"/>
  <c r="D1878" i="2"/>
  <c r="E1808" i="2"/>
  <c r="E1485" i="2"/>
  <c r="D4402" i="2"/>
  <c r="D353" i="2"/>
  <c r="D3482" i="2"/>
  <c r="D3517" i="2"/>
  <c r="D3895" i="2"/>
  <c r="D273" i="2"/>
  <c r="D796" i="2"/>
  <c r="E3826" i="2"/>
  <c r="E2306" i="2"/>
  <c r="D3465" i="2"/>
  <c r="E1682" i="2"/>
  <c r="D2362" i="2"/>
  <c r="E2998" i="2"/>
  <c r="D1155" i="2"/>
  <c r="D4997" i="2"/>
  <c r="D853" i="2"/>
  <c r="E3140" i="2"/>
  <c r="D1559" i="2"/>
  <c r="D4097" i="2"/>
  <c r="D472" i="2"/>
  <c r="D362" i="2"/>
  <c r="D5332" i="2"/>
  <c r="E4439" i="2"/>
  <c r="D101" i="2"/>
  <c r="D3030" i="2"/>
  <c r="D1882" i="2"/>
  <c r="E57" i="2"/>
  <c r="E1431" i="2"/>
  <c r="E129" i="2"/>
  <c r="E3670" i="2"/>
  <c r="E1577" i="2"/>
  <c r="D2131" i="2"/>
  <c r="D4054" i="2"/>
  <c r="D3446" i="2"/>
  <c r="D584" i="2"/>
  <c r="D93" i="2"/>
  <c r="D4348" i="2"/>
  <c r="E764" i="2"/>
  <c r="D1554" i="2"/>
  <c r="D5242" i="2"/>
  <c r="E4976" i="2"/>
  <c r="D1917" i="2"/>
  <c r="E4385" i="2"/>
  <c r="D3572" i="2"/>
  <c r="E3285" i="2"/>
  <c r="D3066" i="2"/>
  <c r="D1485" i="2"/>
  <c r="D4277" i="2"/>
  <c r="D817" i="2"/>
  <c r="D5038" i="2"/>
  <c r="E1089" i="2"/>
  <c r="E2745" i="2"/>
  <c r="E107" i="2"/>
  <c r="E3014" i="2"/>
  <c r="E3410" i="2"/>
  <c r="D2006" i="2"/>
  <c r="D4398" i="2"/>
  <c r="D857" i="2"/>
  <c r="D2775" i="2"/>
  <c r="D3048" i="2"/>
  <c r="E4349" i="2"/>
  <c r="E1973" i="2"/>
  <c r="D3843" i="2"/>
  <c r="D3265" i="2"/>
  <c r="E2114" i="2"/>
  <c r="D4979" i="2"/>
  <c r="E4367" i="2"/>
  <c r="E3431" i="2"/>
  <c r="D2613" i="2"/>
  <c r="E5125" i="2"/>
  <c r="E3102" i="2"/>
  <c r="D3935" i="2"/>
  <c r="D654" i="2"/>
  <c r="E2367" i="2"/>
  <c r="E4493" i="2"/>
  <c r="D3140" i="2"/>
  <c r="E3755" i="2"/>
  <c r="D296" i="2"/>
  <c r="E3635" i="2"/>
  <c r="D708" i="2"/>
  <c r="D2369" i="2"/>
  <c r="E2898" i="2"/>
  <c r="D819" i="2"/>
  <c r="E309" i="2"/>
  <c r="E217" i="2"/>
  <c r="E1863" i="2"/>
  <c r="E3537" i="2"/>
  <c r="E3674" i="2"/>
  <c r="D4619" i="2"/>
  <c r="E1969" i="2"/>
  <c r="E216" i="2"/>
  <c r="D1055" i="2"/>
  <c r="D2778" i="2"/>
  <c r="D1107" i="2"/>
  <c r="D1192" i="2"/>
  <c r="E4958" i="2"/>
  <c r="E4256" i="2"/>
  <c r="D2922" i="2"/>
  <c r="E5172" i="2"/>
  <c r="E4666" i="2"/>
  <c r="D1464" i="2"/>
  <c r="D3498" i="2"/>
  <c r="D3480" i="2"/>
  <c r="E2973" i="2"/>
  <c r="D1822" i="2"/>
  <c r="E2851" i="2"/>
  <c r="D619" i="2"/>
  <c r="E1514" i="2"/>
  <c r="D3860" i="2"/>
  <c r="D3063" i="2"/>
  <c r="E2054" i="2"/>
  <c r="E1811" i="2"/>
  <c r="E3012" i="2"/>
  <c r="D1809" i="2"/>
  <c r="E1451" i="2"/>
  <c r="D453" i="2"/>
  <c r="E3141" i="2"/>
  <c r="D2294" i="2"/>
  <c r="E3971" i="2"/>
  <c r="D442" i="2"/>
  <c r="D2941" i="2"/>
  <c r="E350" i="2"/>
  <c r="E890" i="2"/>
  <c r="D387" i="2"/>
  <c r="E2278" i="2"/>
  <c r="D4663" i="2"/>
  <c r="E4632" i="2"/>
  <c r="D749" i="2"/>
  <c r="D2206" i="2"/>
  <c r="D926" i="2"/>
  <c r="E386" i="2"/>
  <c r="E3927" i="2"/>
  <c r="D542" i="2"/>
  <c r="D837" i="2"/>
  <c r="D3945" i="2"/>
  <c r="D4635" i="2"/>
  <c r="D1590" i="2"/>
  <c r="D1788" i="2"/>
  <c r="D4455" i="2"/>
  <c r="D2747" i="2"/>
  <c r="D3971" i="2"/>
  <c r="D5430" i="2"/>
  <c r="D3103" i="2"/>
  <c r="D569" i="2"/>
  <c r="D3768" i="2"/>
  <c r="E944" i="2"/>
  <c r="D659" i="2"/>
  <c r="E5135" i="2"/>
  <c r="D1307" i="2"/>
  <c r="D1090" i="2"/>
  <c r="D5333" i="2"/>
  <c r="E1558" i="2"/>
  <c r="D1163" i="2"/>
  <c r="D1378" i="2"/>
  <c r="E3503" i="2"/>
  <c r="D3518" i="2"/>
  <c r="D4340" i="2"/>
  <c r="E5155" i="2"/>
  <c r="E3106" i="2"/>
  <c r="E4547" i="2"/>
  <c r="D2617" i="2"/>
  <c r="D1827" i="2"/>
  <c r="D5238" i="2"/>
  <c r="D16" i="2"/>
  <c r="E30" i="2"/>
  <c r="D5289" i="2"/>
  <c r="D962" i="2"/>
  <c r="D131" i="2"/>
  <c r="E2945" i="2"/>
  <c r="D1863" i="2"/>
  <c r="D1773" i="2"/>
  <c r="E1721" i="2"/>
  <c r="D622" i="2"/>
  <c r="D4043" i="2"/>
  <c r="E4389" i="2"/>
  <c r="D475" i="2"/>
  <c r="E3588" i="2"/>
  <c r="D3429" i="2"/>
  <c r="D987" i="2"/>
  <c r="D709" i="2"/>
  <c r="E5023" i="2"/>
  <c r="D2999" i="2"/>
  <c r="D3426" i="2"/>
  <c r="D2745" i="2"/>
  <c r="E2366" i="2"/>
  <c r="E924" i="2"/>
  <c r="D3820" i="2"/>
  <c r="D543" i="2"/>
  <c r="E229" i="2"/>
  <c r="E5221" i="2"/>
  <c r="D4507" i="2"/>
  <c r="D4093" i="2"/>
  <c r="E2943" i="2"/>
  <c r="D1838" i="2"/>
  <c r="D3642" i="2"/>
  <c r="E3321" i="2"/>
  <c r="E74" i="2"/>
  <c r="E748" i="2"/>
  <c r="D385" i="2"/>
  <c r="D5016" i="2"/>
  <c r="D744" i="2"/>
  <c r="E1698" i="2"/>
  <c r="E4671" i="2"/>
  <c r="D2908" i="2"/>
  <c r="E1576" i="2"/>
  <c r="D2117" i="2"/>
  <c r="D4528" i="2"/>
  <c r="D2310" i="2"/>
  <c r="D3266" i="2"/>
  <c r="D2109" i="2"/>
  <c r="E1324" i="2"/>
  <c r="E5397" i="2"/>
  <c r="E2026" i="2"/>
  <c r="D406" i="2"/>
  <c r="E5203" i="2"/>
  <c r="E1144" i="2"/>
  <c r="D148" i="2"/>
  <c r="D4561" i="2"/>
  <c r="E1191" i="2"/>
  <c r="D1792" i="2"/>
  <c r="E3170" i="2"/>
  <c r="D3089" i="2"/>
  <c r="E3614" i="2"/>
  <c r="E4322" i="2"/>
  <c r="D298" i="2"/>
  <c r="E205" i="2"/>
  <c r="E3447" i="2"/>
  <c r="D4236" i="2"/>
  <c r="D2924" i="2"/>
  <c r="E4329" i="2"/>
  <c r="D533" i="2"/>
  <c r="E4295" i="2"/>
  <c r="E1734" i="2"/>
  <c r="E1448" i="2"/>
  <c r="D4731" i="2"/>
  <c r="D1557" i="2"/>
  <c r="E2886" i="2"/>
  <c r="D3968" i="2"/>
  <c r="E1703" i="2"/>
  <c r="E5176" i="2"/>
  <c r="E1874" i="2"/>
  <c r="E2762" i="2"/>
  <c r="D2763" i="2"/>
  <c r="D5172" i="2"/>
  <c r="E2199" i="2"/>
  <c r="D2113" i="2"/>
  <c r="E4079" i="2"/>
  <c r="D1592" i="2"/>
  <c r="E4491" i="2"/>
  <c r="D4185" i="2"/>
  <c r="E601" i="2"/>
  <c r="D513" i="2"/>
  <c r="D1968" i="2"/>
  <c r="D1325" i="2"/>
  <c r="D9" i="2"/>
  <c r="E746" i="2"/>
  <c r="E4673" i="2"/>
  <c r="D5221" i="2"/>
  <c r="D4502" i="2"/>
  <c r="D4078" i="2"/>
  <c r="D1569" i="2"/>
  <c r="E3050" i="2"/>
  <c r="E1343" i="2"/>
  <c r="D1752" i="2"/>
  <c r="E3699" i="2"/>
  <c r="D3554" i="2"/>
  <c r="E3211" i="2"/>
  <c r="D1395" i="2"/>
  <c r="D4295" i="2"/>
  <c r="E2891" i="2"/>
  <c r="E1192" i="2"/>
  <c r="E2742" i="2"/>
  <c r="D4345" i="2"/>
  <c r="E474" i="2"/>
  <c r="E814" i="2"/>
  <c r="E3628" i="2"/>
  <c r="D4956" i="2"/>
  <c r="E316" i="2"/>
  <c r="E2297" i="2"/>
  <c r="E4035" i="2"/>
  <c r="D3718" i="2"/>
  <c r="E4129" i="2"/>
  <c r="D1126" i="2"/>
  <c r="D1839" i="2"/>
  <c r="D3716" i="2"/>
  <c r="E5041" i="2"/>
  <c r="E2814" i="2"/>
  <c r="E2709" i="2"/>
  <c r="D1919" i="2"/>
  <c r="E5237" i="2"/>
  <c r="D3464" i="2"/>
  <c r="D705" i="2"/>
  <c r="E2761" i="2"/>
  <c r="D3052" i="2"/>
  <c r="D3159" i="2"/>
  <c r="E3302" i="2"/>
  <c r="E5173" i="2"/>
  <c r="D3411" i="2"/>
  <c r="E1106" i="2"/>
  <c r="D316" i="2"/>
  <c r="D945" i="2"/>
  <c r="D3138" i="2"/>
  <c r="E4528" i="2"/>
  <c r="E3033" i="2"/>
  <c r="D1342" i="2"/>
  <c r="E2312" i="2"/>
  <c r="E1950" i="2"/>
  <c r="E3404" i="2"/>
  <c r="D872" i="2"/>
  <c r="D3466" i="2"/>
  <c r="E1253" i="2"/>
  <c r="D2133" i="2"/>
  <c r="E4635" i="2"/>
  <c r="D5132" i="2"/>
  <c r="E3176" i="2"/>
  <c r="D4203" i="2"/>
  <c r="D2780" i="2"/>
  <c r="D531" i="2"/>
  <c r="D154" i="2"/>
  <c r="E1388" i="2"/>
  <c r="E5169" i="2"/>
  <c r="D695" i="2"/>
  <c r="E3770" i="2"/>
  <c r="E5022" i="2"/>
  <c r="D183" i="2"/>
  <c r="E839" i="2"/>
  <c r="E2009" i="2"/>
  <c r="E2063" i="2"/>
  <c r="E1575" i="2"/>
  <c r="E3161" i="2"/>
  <c r="D1821" i="2"/>
  <c r="E744" i="2"/>
  <c r="D5021" i="2"/>
  <c r="E3283" i="2"/>
  <c r="E1124" i="2"/>
  <c r="E5205" i="2"/>
  <c r="E459" i="2"/>
  <c r="E3296" i="2"/>
  <c r="E4980" i="2"/>
  <c r="E605" i="2"/>
  <c r="E3642" i="2"/>
  <c r="D618" i="2"/>
  <c r="D2329" i="2"/>
  <c r="E964" i="2"/>
  <c r="E1606" i="2"/>
  <c r="E4112" i="2"/>
  <c r="E3896" i="2"/>
  <c r="D5168" i="2"/>
  <c r="E4221" i="2"/>
  <c r="E2184" i="2"/>
  <c r="E4186" i="2"/>
  <c r="D835" i="2"/>
  <c r="E837" i="2"/>
  <c r="D4025" i="2"/>
  <c r="E1569" i="2"/>
  <c r="D276" i="2"/>
  <c r="D4952" i="2"/>
  <c r="E3013" i="2"/>
  <c r="E1011" i="2"/>
  <c r="D586" i="2"/>
  <c r="E1810" i="2"/>
  <c r="D1683" i="2"/>
  <c r="E818" i="2"/>
  <c r="E569" i="2"/>
  <c r="D3195" i="2"/>
  <c r="E2125" i="2"/>
  <c r="D3141" i="2"/>
  <c r="E159" i="2"/>
  <c r="E1856" i="2"/>
  <c r="D3158" i="2"/>
  <c r="D638" i="2"/>
  <c r="D4106" i="2"/>
  <c r="D4178" i="2"/>
  <c r="E4960" i="2"/>
  <c r="D1835" i="2"/>
  <c r="E3820" i="2"/>
  <c r="E2294" i="2"/>
  <c r="D747" i="2"/>
  <c r="D141" i="2"/>
  <c r="E2652" i="2"/>
  <c r="E2006" i="2"/>
  <c r="E889" i="2"/>
  <c r="D4957" i="2"/>
  <c r="D3049" i="2"/>
  <c r="D1037" i="2"/>
  <c r="D652" i="2"/>
  <c r="D3988" i="2"/>
  <c r="D812" i="2"/>
  <c r="E2166" i="2"/>
  <c r="D2043" i="2"/>
  <c r="E3885" i="2"/>
  <c r="E3430" i="2"/>
  <c r="D2324" i="2"/>
  <c r="E4077" i="2"/>
  <c r="D2022" i="2"/>
  <c r="E1774" i="2"/>
  <c r="D3477" i="2"/>
  <c r="D785" i="2"/>
  <c r="E2760" i="2"/>
  <c r="E4203" i="2"/>
  <c r="E3535" i="2"/>
  <c r="D17" i="2"/>
  <c r="E3374" i="2"/>
  <c r="E3080" i="2"/>
  <c r="D2673" i="2"/>
  <c r="E3196" i="2"/>
  <c r="E925" i="2"/>
  <c r="D2977" i="2"/>
  <c r="E1342" i="2"/>
  <c r="D1573" i="2"/>
  <c r="E4151" i="2"/>
  <c r="D48" i="2"/>
  <c r="D5174" i="2"/>
  <c r="D615" i="2"/>
  <c r="E670" i="2"/>
  <c r="E1932" i="2"/>
  <c r="D5421" i="2"/>
  <c r="E586" i="2"/>
  <c r="E927" i="2"/>
  <c r="D1630" i="2"/>
  <c r="E1082" i="2"/>
  <c r="E3888" i="2"/>
  <c r="E3444" i="2"/>
  <c r="D2366" i="2"/>
  <c r="D4466" i="2"/>
  <c r="D231" i="2"/>
  <c r="D4560" i="2"/>
  <c r="D1397" i="2"/>
  <c r="E5214" i="2"/>
  <c r="D4331" i="2"/>
  <c r="E281" i="2"/>
  <c r="D5473" i="2"/>
  <c r="D3012" i="2"/>
  <c r="E3521" i="2"/>
  <c r="E387" i="2"/>
  <c r="E1412" i="2"/>
  <c r="E167" i="2"/>
  <c r="E4646" i="2"/>
  <c r="E122" i="2"/>
  <c r="D621" i="2"/>
  <c r="D5020" i="2"/>
  <c r="E4115" i="2"/>
  <c r="D128" i="2"/>
  <c r="D3287" i="2"/>
  <c r="D3896" i="2"/>
  <c r="E691" i="2"/>
  <c r="D602" i="2"/>
  <c r="D3825" i="2"/>
  <c r="D821" i="2"/>
  <c r="D2850" i="2"/>
  <c r="E4311" i="2"/>
  <c r="E3512" i="2"/>
  <c r="E802" i="2"/>
  <c r="D3319" i="2"/>
  <c r="E3395" i="2"/>
  <c r="D4112" i="2"/>
  <c r="E344" i="2"/>
  <c r="E5012" i="2"/>
  <c r="E2253" i="2"/>
  <c r="E5004" i="2"/>
  <c r="D4473" i="2"/>
  <c r="E3051" i="2"/>
  <c r="D530" i="2"/>
  <c r="E4953" i="2"/>
  <c r="D215" i="2"/>
  <c r="E4146" i="2"/>
  <c r="D2169" i="2"/>
  <c r="D2242" i="2"/>
  <c r="D728" i="2"/>
  <c r="D4978" i="2"/>
  <c r="D3153" i="2"/>
  <c r="E1017" i="2"/>
  <c r="D2744" i="2"/>
  <c r="D911" i="2"/>
  <c r="D1372" i="2"/>
  <c r="E2781" i="2"/>
  <c r="E873" i="2"/>
  <c r="E891" i="2"/>
  <c r="D3754" i="2"/>
  <c r="D1594" i="2"/>
  <c r="E1483" i="2"/>
  <c r="E1988" i="2"/>
  <c r="D3440" i="2"/>
  <c r="D2980" i="2"/>
  <c r="E2836" i="2"/>
  <c r="D1087" i="2"/>
  <c r="E5124" i="2"/>
  <c r="D4417" i="2"/>
  <c r="D3791" i="2"/>
  <c r="D1505" i="2"/>
  <c r="E3606" i="2"/>
  <c r="D2101" i="2"/>
  <c r="E4111" i="2"/>
  <c r="D5083" i="2"/>
  <c r="D2343" i="2"/>
  <c r="E1559" i="2"/>
  <c r="D5046" i="2"/>
  <c r="D5375" i="2"/>
  <c r="E1631" i="2"/>
  <c r="D2586" i="2"/>
  <c r="E4237" i="2"/>
  <c r="E1159" i="2"/>
  <c r="E3897" i="2"/>
  <c r="E759" i="2"/>
  <c r="D3250" i="2"/>
  <c r="D3933" i="2"/>
  <c r="D1736" i="2"/>
  <c r="D3732" i="2"/>
  <c r="E2693" i="2"/>
  <c r="D688" i="2"/>
  <c r="D4691" i="2"/>
  <c r="E2918" i="2"/>
  <c r="E1862" i="2"/>
  <c r="E1789" i="2"/>
  <c r="E4382" i="2"/>
  <c r="E2040" i="2"/>
  <c r="D4131" i="2"/>
  <c r="E59" i="2"/>
  <c r="E1739" i="2"/>
  <c r="E4683" i="2"/>
  <c r="E421" i="2"/>
  <c r="E2670" i="2"/>
  <c r="E2391" i="2"/>
  <c r="D1791" i="2"/>
  <c r="E2222" i="2"/>
  <c r="E3876" i="2"/>
  <c r="E4328" i="2"/>
  <c r="D2167" i="2"/>
  <c r="D2297" i="2"/>
  <c r="E5044" i="2"/>
  <c r="D5152" i="2"/>
  <c r="E385" i="2"/>
  <c r="D603" i="2"/>
  <c r="E2113" i="2"/>
  <c r="E1628" i="2"/>
  <c r="D1682" i="2"/>
  <c r="E2185" i="2"/>
  <c r="E2708" i="2"/>
  <c r="E1250" i="2"/>
  <c r="D3283" i="2"/>
  <c r="D2735" i="2"/>
  <c r="D4579" i="2"/>
  <c r="E3874" i="2"/>
  <c r="E965" i="2"/>
  <c r="E2634" i="2"/>
  <c r="E1775" i="2"/>
  <c r="E2908" i="2"/>
  <c r="E2079" i="2"/>
  <c r="D692" i="2"/>
  <c r="D4687" i="2"/>
  <c r="D4618" i="2"/>
  <c r="D4147" i="2"/>
  <c r="D2944" i="2"/>
  <c r="D3939" i="2"/>
  <c r="E3789" i="2"/>
  <c r="D5521" i="2"/>
  <c r="D381" i="2"/>
  <c r="D1010" i="2"/>
  <c r="D4006" i="2"/>
  <c r="D4333" i="2"/>
  <c r="E821" i="2"/>
  <c r="E2225" i="2"/>
  <c r="E5132" i="2"/>
  <c r="E5217" i="2"/>
  <c r="D186" i="2"/>
  <c r="D5166" i="2"/>
  <c r="D1271" i="2"/>
  <c r="D4385" i="2"/>
  <c r="D3800" i="2"/>
  <c r="E4110" i="2"/>
  <c r="D3789" i="2"/>
  <c r="D2151" i="2"/>
  <c r="E152" i="2"/>
  <c r="E226" i="2"/>
  <c r="E4005" i="2"/>
  <c r="E2348" i="2"/>
  <c r="E3266" i="2"/>
  <c r="D4996" i="2"/>
  <c r="D1076" i="2"/>
  <c r="E4031" i="2"/>
  <c r="D3804" i="2"/>
  <c r="D1212" i="2"/>
  <c r="D1245" i="2"/>
  <c r="D4048" i="2"/>
  <c r="D1684" i="2"/>
  <c r="E1971" i="2"/>
  <c r="E3197" i="2"/>
  <c r="E4089" i="2"/>
  <c r="E2765" i="2"/>
  <c r="E2314" i="2"/>
  <c r="D3199" i="2"/>
  <c r="D4491" i="2"/>
  <c r="D2620" i="2"/>
  <c r="E3356" i="2"/>
  <c r="E3336" i="2"/>
  <c r="E1824" i="2"/>
  <c r="D3044" i="2"/>
  <c r="D64" i="2"/>
  <c r="E4689" i="2"/>
  <c r="E3843" i="2"/>
  <c r="D780" i="2"/>
  <c r="E1699" i="2"/>
  <c r="E2234" i="2"/>
  <c r="E3100" i="2"/>
  <c r="D1322" i="2"/>
  <c r="D1937" i="2"/>
  <c r="D4508" i="2"/>
  <c r="E4981" i="2"/>
  <c r="D908" i="2"/>
  <c r="D2010" i="2"/>
  <c r="D2062" i="2"/>
  <c r="E137" i="2"/>
  <c r="E178" i="2"/>
  <c r="E1702" i="2"/>
  <c r="D127" i="2"/>
  <c r="D2942" i="2"/>
  <c r="D4958" i="2"/>
  <c r="D925" i="2"/>
  <c r="D3032" i="2"/>
  <c r="D4439" i="2"/>
  <c r="E3258" i="2"/>
  <c r="D567" i="2"/>
  <c r="D479" i="2"/>
  <c r="D3427" i="2"/>
  <c r="E1683" i="2"/>
  <c r="E4024" i="2"/>
  <c r="D1215" i="2"/>
  <c r="E1354" i="2"/>
  <c r="E1230" i="2"/>
  <c r="D3733" i="2"/>
  <c r="D1770" i="2"/>
  <c r="E5035" i="2"/>
  <c r="D2216" i="2"/>
  <c r="D2691" i="2"/>
  <c r="E4323" i="2"/>
  <c r="D2656" i="2"/>
  <c r="D3755" i="2"/>
  <c r="E5178" i="2"/>
  <c r="E758" i="2"/>
  <c r="D656" i="2"/>
  <c r="E3542" i="2"/>
  <c r="E3081" i="2"/>
  <c r="D855" i="2"/>
  <c r="E70" i="2"/>
  <c r="D3408" i="2"/>
  <c r="E3413" i="2"/>
  <c r="E2675" i="2"/>
  <c r="E4331" i="2"/>
  <c r="D1933" i="2"/>
  <c r="E1000" i="2"/>
  <c r="E2168" i="2"/>
  <c r="D5004" i="2"/>
  <c r="E1322" i="2"/>
  <c r="E2936" i="2"/>
  <c r="E3495" i="2"/>
  <c r="D5040" i="2"/>
  <c r="E3359" i="2"/>
  <c r="E3701" i="2"/>
  <c r="D4967" i="2"/>
  <c r="E892" i="2"/>
  <c r="D4686" i="2"/>
  <c r="E638" i="2"/>
  <c r="D965" i="2"/>
  <c r="D1576" i="2"/>
  <c r="E4551" i="2"/>
  <c r="D2430" i="2"/>
  <c r="D3228" i="2"/>
  <c r="D1749" i="2"/>
  <c r="E2081" i="2"/>
  <c r="D1316" i="2"/>
  <c r="D3532" i="2"/>
  <c r="E4891" i="2"/>
  <c r="E4654" i="2"/>
  <c r="E3953" i="2"/>
  <c r="D367" i="2"/>
  <c r="D4632" i="2"/>
  <c r="D2256" i="2"/>
  <c r="E2958" i="2"/>
  <c r="D3519" i="2"/>
  <c r="E2060" i="2"/>
  <c r="E798" i="2"/>
  <c r="E1194" i="2"/>
  <c r="E3085" i="2"/>
  <c r="E384" i="2"/>
  <c r="E1919" i="2"/>
  <c r="E621" i="2"/>
  <c r="D1622" i="2"/>
  <c r="D1540" i="2"/>
  <c r="E65" i="2"/>
  <c r="D3542" i="2"/>
  <c r="D5475" i="2"/>
  <c r="E532" i="2"/>
  <c r="E2868" i="2"/>
  <c r="D62" i="2"/>
  <c r="E3571" i="2"/>
  <c r="E2739" i="2"/>
  <c r="D2027" i="2"/>
  <c r="D3026" i="2"/>
  <c r="E2852" i="2"/>
  <c r="D2186" i="2"/>
  <c r="D2963" i="2"/>
  <c r="E1155" i="2"/>
  <c r="D551" i="2"/>
  <c r="D3485" i="2"/>
  <c r="D3394" i="2"/>
  <c r="D2041" i="2"/>
  <c r="E5061" i="2"/>
  <c r="D2974" i="2"/>
  <c r="D73" i="2"/>
  <c r="D3682" i="2"/>
  <c r="E907" i="2"/>
  <c r="E2796" i="2"/>
  <c r="D4634" i="2"/>
  <c r="E1145" i="2"/>
  <c r="E1821" i="2"/>
  <c r="D1829" i="2"/>
  <c r="E946" i="2"/>
  <c r="D2370" i="2"/>
  <c r="D3842" i="2"/>
  <c r="D181" i="2"/>
  <c r="D4438" i="2"/>
  <c r="E5165" i="2"/>
  <c r="D2108" i="2"/>
  <c r="D4114" i="2"/>
  <c r="E422" i="2"/>
  <c r="E962" i="2"/>
  <c r="E220" i="2"/>
  <c r="E3519" i="2"/>
  <c r="E3485" i="2"/>
  <c r="E998" i="2"/>
  <c r="E5197" i="2"/>
  <c r="E3572" i="2"/>
  <c r="E2109" i="2"/>
  <c r="E235" i="2"/>
  <c r="D2757" i="2"/>
  <c r="D3087" i="2"/>
  <c r="E4160" i="2"/>
  <c r="E2701" i="2"/>
  <c r="D4748" i="2"/>
  <c r="E3107" i="2"/>
  <c r="E1800" i="2"/>
  <c r="E4313" i="2"/>
  <c r="D2652" i="2"/>
  <c r="D1667" i="2"/>
  <c r="D2045" i="2"/>
  <c r="E4257" i="2"/>
  <c r="D3251" i="2"/>
  <c r="D4111" i="2"/>
  <c r="E4848" i="2"/>
  <c r="E2260" i="2"/>
  <c r="E190" i="2"/>
  <c r="E3987" i="2"/>
  <c r="E2811" i="2"/>
  <c r="D2333" i="2"/>
  <c r="D1666" i="2"/>
  <c r="D3591" i="2"/>
  <c r="D4166" i="2"/>
  <c r="D4362" i="2"/>
  <c r="D3609" i="2"/>
  <c r="E1645" i="2"/>
  <c r="E4402" i="2"/>
  <c r="E3124" i="2"/>
  <c r="D3484" i="2"/>
  <c r="D4024" i="2"/>
  <c r="E3318" i="2"/>
  <c r="D1123" i="2"/>
  <c r="E2656" i="2"/>
  <c r="H159" i="1" l="1"/>
  <c r="D158" i="1"/>
  <c r="H160" i="1" l="1"/>
  <c r="D159" i="1"/>
  <c r="H161" i="1" l="1"/>
  <c r="D160" i="1"/>
  <c r="H162" i="1" l="1"/>
  <c r="D161" i="1"/>
  <c r="H163" i="1" l="1"/>
  <c r="D162" i="1"/>
  <c r="H164" i="1" l="1"/>
  <c r="D163" i="1"/>
  <c r="H165" i="1" l="1"/>
  <c r="D164" i="1"/>
  <c r="H166" i="1" l="1"/>
  <c r="D165" i="1"/>
  <c r="H167" i="1" l="1"/>
  <c r="D166" i="1"/>
  <c r="H168" i="1" l="1"/>
  <c r="D167" i="1"/>
  <c r="H169" i="1" l="1"/>
  <c r="D168" i="1"/>
  <c r="H170" i="1" l="1"/>
  <c r="D169" i="1"/>
  <c r="H171" i="1" l="1"/>
  <c r="D170" i="1"/>
  <c r="H172" i="1" l="1"/>
  <c r="D171" i="1"/>
  <c r="H173" i="1" l="1"/>
  <c r="D172" i="1"/>
  <c r="H174" i="1" l="1"/>
  <c r="D173" i="1"/>
  <c r="H175" i="1" l="1"/>
  <c r="D174" i="1"/>
  <c r="H176" i="1" l="1"/>
  <c r="D175" i="1"/>
  <c r="H177" i="1" l="1"/>
  <c r="D176" i="1"/>
  <c r="H178" i="1" l="1"/>
  <c r="D177" i="1"/>
  <c r="H179" i="1" l="1"/>
  <c r="D178" i="1"/>
  <c r="H180" i="1" l="1"/>
  <c r="D179" i="1"/>
  <c r="H181" i="1" l="1"/>
  <c r="D180" i="1"/>
  <c r="H182" i="1" l="1"/>
  <c r="D181" i="1"/>
  <c r="H183" i="1" l="1"/>
  <c r="D182" i="1"/>
  <c r="H184" i="1" l="1"/>
  <c r="D183" i="1"/>
  <c r="H185" i="1" l="1"/>
  <c r="D184" i="1"/>
  <c r="H186" i="1" l="1"/>
  <c r="D185" i="1"/>
  <c r="H187" i="1" l="1"/>
  <c r="D186" i="1"/>
  <c r="H188" i="1" l="1"/>
  <c r="D187" i="1"/>
  <c r="H189" i="1" l="1"/>
  <c r="D188" i="1"/>
  <c r="H190" i="1" l="1"/>
  <c r="D189" i="1"/>
  <c r="H191" i="1" l="1"/>
  <c r="D190" i="1"/>
  <c r="H192" i="1" l="1"/>
  <c r="D191" i="1"/>
  <c r="H193" i="1" l="1"/>
  <c r="D192" i="1"/>
  <c r="H194" i="1" l="1"/>
  <c r="D193" i="1"/>
  <c r="H195" i="1" l="1"/>
  <c r="D194" i="1"/>
  <c r="H196" i="1" l="1"/>
  <c r="D195" i="1"/>
  <c r="H197" i="1" l="1"/>
  <c r="D196" i="1"/>
  <c r="H198" i="1" l="1"/>
  <c r="D197" i="1"/>
  <c r="H199" i="1" l="1"/>
  <c r="D198" i="1"/>
  <c r="H200" i="1" l="1"/>
  <c r="D199" i="1"/>
  <c r="H201" i="1" l="1"/>
  <c r="D200" i="1"/>
  <c r="H202" i="1" l="1"/>
  <c r="D201" i="1"/>
  <c r="H203" i="1" l="1"/>
  <c r="D202" i="1"/>
  <c r="H204" i="1" l="1"/>
  <c r="D203" i="1"/>
  <c r="H205" i="1" l="1"/>
  <c r="D204" i="1"/>
  <c r="H206" i="1" l="1"/>
  <c r="D205" i="1"/>
  <c r="H207" i="1" l="1"/>
  <c r="D206" i="1"/>
  <c r="H208" i="1" l="1"/>
  <c r="D207" i="1"/>
  <c r="H209" i="1" l="1"/>
  <c r="D208" i="1"/>
  <c r="H210" i="1" l="1"/>
  <c r="D209" i="1"/>
  <c r="H211" i="1" l="1"/>
  <c r="D210" i="1"/>
  <c r="H212" i="1" l="1"/>
  <c r="D211" i="1"/>
  <c r="H213" i="1" l="1"/>
  <c r="D212" i="1"/>
  <c r="H214" i="1" l="1"/>
  <c r="D213" i="1"/>
  <c r="H215" i="1" l="1"/>
  <c r="D214" i="1"/>
  <c r="H216" i="1" l="1"/>
  <c r="D215" i="1"/>
  <c r="H217" i="1" l="1"/>
  <c r="D216" i="1"/>
  <c r="H218" i="1" l="1"/>
  <c r="D217" i="1"/>
  <c r="H219" i="1" l="1"/>
  <c r="D218" i="1"/>
  <c r="H220" i="1" l="1"/>
  <c r="D219" i="1"/>
  <c r="H221" i="1" l="1"/>
  <c r="D220" i="1"/>
  <c r="H222" i="1" l="1"/>
  <c r="D221" i="1"/>
  <c r="H223" i="1" l="1"/>
  <c r="D222" i="1"/>
  <c r="H224" i="1" l="1"/>
  <c r="D223" i="1"/>
  <c r="H225" i="1" l="1"/>
  <c r="D224" i="1"/>
  <c r="H226" i="1" l="1"/>
  <c r="D225" i="1"/>
  <c r="H227" i="1" l="1"/>
  <c r="D226" i="1"/>
  <c r="H228" i="1" l="1"/>
  <c r="D227" i="1"/>
  <c r="H229" i="1" l="1"/>
  <c r="D228" i="1"/>
  <c r="H230" i="1" l="1"/>
  <c r="D229" i="1"/>
  <c r="H231" i="1" l="1"/>
  <c r="D230" i="1"/>
  <c r="H232" i="1" l="1"/>
  <c r="D231" i="1"/>
  <c r="H233" i="1" l="1"/>
  <c r="D232" i="1"/>
  <c r="H234" i="1" l="1"/>
  <c r="D233" i="1"/>
  <c r="H235" i="1" l="1"/>
  <c r="D234" i="1"/>
  <c r="H236" i="1" l="1"/>
  <c r="D235" i="1"/>
  <c r="H237" i="1" l="1"/>
  <c r="D236" i="1"/>
  <c r="H238" i="1" l="1"/>
  <c r="D237" i="1"/>
  <c r="H239" i="1" l="1"/>
  <c r="D238" i="1"/>
  <c r="H240" i="1" l="1"/>
  <c r="D239" i="1"/>
  <c r="H241" i="1" l="1"/>
  <c r="D240" i="1"/>
  <c r="H242" i="1" l="1"/>
  <c r="D241" i="1"/>
  <c r="H243" i="1" l="1"/>
  <c r="D242" i="1"/>
  <c r="H244" i="1" l="1"/>
  <c r="D243" i="1"/>
  <c r="H245" i="1" l="1"/>
  <c r="D244" i="1"/>
  <c r="H246" i="1" l="1"/>
  <c r="D245" i="1"/>
  <c r="H247" i="1" l="1"/>
  <c r="D246" i="1"/>
  <c r="H248" i="1" l="1"/>
  <c r="D247" i="1"/>
  <c r="H249" i="1" l="1"/>
  <c r="D248" i="1"/>
  <c r="H250" i="1" l="1"/>
  <c r="D249" i="1"/>
  <c r="H251" i="1" l="1"/>
  <c r="D250" i="1"/>
  <c r="H252" i="1" l="1"/>
  <c r="D251" i="1"/>
  <c r="H253" i="1" l="1"/>
  <c r="D252" i="1"/>
  <c r="H254" i="1" l="1"/>
  <c r="D253" i="1"/>
  <c r="H255" i="1" l="1"/>
  <c r="D254" i="1"/>
  <c r="H256" i="1" l="1"/>
  <c r="D255" i="1"/>
  <c r="H257" i="1" l="1"/>
  <c r="D256" i="1"/>
  <c r="H258" i="1" l="1"/>
  <c r="D257" i="1"/>
  <c r="H259" i="1" l="1"/>
  <c r="D258" i="1"/>
  <c r="H260" i="1" l="1"/>
  <c r="D259" i="1"/>
  <c r="H261" i="1" l="1"/>
  <c r="D260" i="1"/>
  <c r="H262" i="1" l="1"/>
  <c r="D261" i="1"/>
  <c r="H263" i="1" l="1"/>
  <c r="D262" i="1"/>
  <c r="H264" i="1" l="1"/>
  <c r="D263" i="1"/>
  <c r="H265" i="1" l="1"/>
  <c r="D264" i="1"/>
  <c r="H266" i="1" l="1"/>
  <c r="D265" i="1"/>
  <c r="H267" i="1" l="1"/>
  <c r="D266" i="1"/>
  <c r="H268" i="1" l="1"/>
  <c r="D267" i="1"/>
  <c r="H269" i="1" l="1"/>
  <c r="D268" i="1"/>
  <c r="H270" i="1" l="1"/>
  <c r="D269" i="1"/>
  <c r="H271" i="1" l="1"/>
  <c r="D270" i="1"/>
  <c r="H272" i="1" l="1"/>
  <c r="D271" i="1"/>
  <c r="H273" i="1" l="1"/>
  <c r="D272" i="1"/>
  <c r="H274" i="1" l="1"/>
  <c r="D273" i="1"/>
  <c r="H275" i="1" l="1"/>
  <c r="D274" i="1"/>
  <c r="H276" i="1" l="1"/>
  <c r="D275" i="1"/>
  <c r="H277" i="1" l="1"/>
  <c r="D276" i="1"/>
  <c r="H278" i="1" l="1"/>
  <c r="D277" i="1"/>
  <c r="H279" i="1" l="1"/>
  <c r="D278" i="1"/>
  <c r="H280" i="1" l="1"/>
  <c r="D279" i="1"/>
  <c r="H281" i="1" l="1"/>
  <c r="D280" i="1"/>
  <c r="H282" i="1" l="1"/>
  <c r="D281" i="1"/>
  <c r="H283" i="1" l="1"/>
  <c r="D282" i="1"/>
  <c r="H284" i="1" l="1"/>
  <c r="D283" i="1"/>
  <c r="H285" i="1" l="1"/>
  <c r="D284" i="1"/>
  <c r="H286" i="1" l="1"/>
  <c r="D285" i="1"/>
  <c r="H287" i="1" l="1"/>
  <c r="D286" i="1"/>
  <c r="H288" i="1" l="1"/>
  <c r="D287" i="1"/>
  <c r="H289" i="1" l="1"/>
  <c r="D288" i="1"/>
  <c r="H290" i="1" l="1"/>
  <c r="D289" i="1"/>
  <c r="H291" i="1" l="1"/>
  <c r="D290" i="1"/>
  <c r="H292" i="1" l="1"/>
  <c r="D291" i="1"/>
  <c r="H293" i="1" l="1"/>
  <c r="D292" i="1"/>
  <c r="H294" i="1" l="1"/>
  <c r="D293" i="1"/>
  <c r="H295" i="1" l="1"/>
  <c r="D294" i="1"/>
  <c r="H296" i="1" l="1"/>
  <c r="D295" i="1"/>
  <c r="H297" i="1" l="1"/>
  <c r="D296" i="1"/>
  <c r="H298" i="1" l="1"/>
  <c r="D297" i="1"/>
  <c r="H299" i="1" l="1"/>
  <c r="D298" i="1"/>
  <c r="H300" i="1" l="1"/>
  <c r="D299" i="1"/>
  <c r="H301" i="1" l="1"/>
  <c r="D300" i="1"/>
  <c r="H302" i="1" l="1"/>
  <c r="D301" i="1"/>
  <c r="H303" i="1" l="1"/>
  <c r="D302" i="1"/>
  <c r="H304" i="1" l="1"/>
  <c r="D303" i="1"/>
  <c r="H305" i="1" l="1"/>
  <c r="D304" i="1"/>
  <c r="H306" i="1" l="1"/>
  <c r="D305" i="1"/>
  <c r="H307" i="1" l="1"/>
  <c r="D306" i="1"/>
  <c r="H308" i="1" l="1"/>
  <c r="D307" i="1"/>
  <c r="H309" i="1" l="1"/>
  <c r="D308" i="1"/>
  <c r="H310" i="1" l="1"/>
  <c r="D309" i="1"/>
  <c r="H311" i="1" l="1"/>
  <c r="D310" i="1"/>
  <c r="H312" i="1" l="1"/>
  <c r="D311" i="1"/>
  <c r="H313" i="1" l="1"/>
  <c r="D312" i="1"/>
  <c r="H314" i="1" l="1"/>
  <c r="D313" i="1"/>
  <c r="H315" i="1" l="1"/>
  <c r="D314" i="1"/>
  <c r="H316" i="1" l="1"/>
  <c r="D315" i="1"/>
  <c r="H317" i="1" l="1"/>
  <c r="D316" i="1"/>
  <c r="H318" i="1" l="1"/>
  <c r="D317" i="1"/>
  <c r="H319" i="1" l="1"/>
  <c r="D318" i="1"/>
  <c r="H320" i="1" l="1"/>
  <c r="D319" i="1"/>
  <c r="H321" i="1" l="1"/>
  <c r="D320" i="1"/>
  <c r="H322" i="1" l="1"/>
  <c r="D321" i="1"/>
  <c r="H323" i="1" l="1"/>
  <c r="D322" i="1"/>
  <c r="H324" i="1" l="1"/>
  <c r="D323" i="1"/>
  <c r="H325" i="1" l="1"/>
  <c r="D324" i="1"/>
  <c r="H326" i="1" l="1"/>
  <c r="D325" i="1"/>
  <c r="H327" i="1" l="1"/>
  <c r="D326" i="1"/>
  <c r="H328" i="1" l="1"/>
  <c r="D327" i="1"/>
  <c r="H329" i="1" l="1"/>
  <c r="D328" i="1"/>
  <c r="H330" i="1" l="1"/>
  <c r="D329" i="1"/>
  <c r="H331" i="1" l="1"/>
  <c r="D330" i="1"/>
  <c r="H332" i="1" l="1"/>
  <c r="D331" i="1"/>
  <c r="H333" i="1" l="1"/>
  <c r="D332" i="1"/>
  <c r="H334" i="1" l="1"/>
  <c r="D333" i="1"/>
  <c r="H335" i="1" l="1"/>
  <c r="D334" i="1"/>
  <c r="H336" i="1" l="1"/>
  <c r="D335" i="1"/>
  <c r="H337" i="1" l="1"/>
  <c r="D336" i="1"/>
  <c r="H338" i="1" l="1"/>
  <c r="D337" i="1"/>
  <c r="H339" i="1" l="1"/>
  <c r="D338" i="1"/>
  <c r="H340" i="1" l="1"/>
  <c r="D339" i="1"/>
  <c r="H341" i="1" l="1"/>
  <c r="D340" i="1"/>
  <c r="H342" i="1" l="1"/>
  <c r="D341" i="1"/>
  <c r="H343" i="1" l="1"/>
  <c r="D342" i="1"/>
  <c r="H344" i="1" l="1"/>
  <c r="D343" i="1"/>
  <c r="H345" i="1" l="1"/>
  <c r="D344" i="1"/>
  <c r="H346" i="1" l="1"/>
  <c r="D345" i="1"/>
  <c r="H347" i="1" l="1"/>
  <c r="D346" i="1"/>
  <c r="H348" i="1" l="1"/>
  <c r="D347" i="1"/>
  <c r="H349" i="1" l="1"/>
  <c r="D348" i="1"/>
  <c r="H350" i="1" l="1"/>
  <c r="D349" i="1"/>
  <c r="H351" i="1" l="1"/>
  <c r="D350" i="1"/>
  <c r="H352" i="1" l="1"/>
  <c r="D351" i="1"/>
  <c r="H353" i="1" l="1"/>
  <c r="D352" i="1"/>
  <c r="H354" i="1" l="1"/>
  <c r="D353" i="1"/>
  <c r="H355" i="1" l="1"/>
  <c r="D354" i="1"/>
  <c r="H356" i="1" l="1"/>
  <c r="D355" i="1"/>
  <c r="H357" i="1" l="1"/>
  <c r="D356" i="1"/>
  <c r="H358" i="1" l="1"/>
  <c r="D357" i="1"/>
  <c r="H359" i="1" l="1"/>
  <c r="D358" i="1"/>
  <c r="H360" i="1" l="1"/>
  <c r="D359" i="1"/>
  <c r="H361" i="1" l="1"/>
  <c r="D360" i="1"/>
  <c r="H362" i="1" l="1"/>
  <c r="D361" i="1"/>
  <c r="H363" i="1" l="1"/>
  <c r="D362" i="1"/>
  <c r="H364" i="1" l="1"/>
  <c r="D363" i="1"/>
  <c r="H365" i="1" l="1"/>
  <c r="D364" i="1"/>
  <c r="H366" i="1" l="1"/>
  <c r="D365" i="1"/>
  <c r="H367" i="1" l="1"/>
  <c r="D366" i="1"/>
  <c r="H368" i="1" l="1"/>
  <c r="D367" i="1"/>
  <c r="H369" i="1" l="1"/>
  <c r="D368" i="1"/>
  <c r="H370" i="1" l="1"/>
  <c r="D369" i="1"/>
  <c r="H371" i="1" l="1"/>
  <c r="D370" i="1"/>
  <c r="H372" i="1" l="1"/>
  <c r="D371" i="1"/>
  <c r="H373" i="1" l="1"/>
  <c r="D372" i="1"/>
  <c r="H374" i="1" l="1"/>
  <c r="D373" i="1"/>
  <c r="H375" i="1" l="1"/>
  <c r="D374" i="1"/>
  <c r="H376" i="1" l="1"/>
  <c r="D375" i="1"/>
  <c r="H377" i="1" l="1"/>
  <c r="D376" i="1"/>
  <c r="H378" i="1" l="1"/>
  <c r="D377" i="1"/>
  <c r="H379" i="1" l="1"/>
  <c r="D378" i="1"/>
  <c r="H380" i="1" l="1"/>
  <c r="D379" i="1"/>
  <c r="H381" i="1" l="1"/>
  <c r="D380" i="1"/>
  <c r="H382" i="1" l="1"/>
  <c r="D381" i="1"/>
  <c r="H383" i="1" l="1"/>
  <c r="D382" i="1"/>
  <c r="H384" i="1" l="1"/>
  <c r="D383" i="1"/>
  <c r="H385" i="1" l="1"/>
  <c r="D384" i="1"/>
  <c r="H386" i="1" l="1"/>
  <c r="D385" i="1"/>
  <c r="H387" i="1" l="1"/>
  <c r="D386" i="1"/>
  <c r="H388" i="1" l="1"/>
  <c r="D387" i="1"/>
  <c r="H389" i="1" l="1"/>
  <c r="D388" i="1"/>
  <c r="H390" i="1" l="1"/>
  <c r="D389" i="1"/>
  <c r="H391" i="1" l="1"/>
  <c r="D390" i="1"/>
  <c r="H392" i="1" l="1"/>
  <c r="D391" i="1"/>
  <c r="H393" i="1" l="1"/>
  <c r="D392" i="1"/>
  <c r="H394" i="1" l="1"/>
  <c r="D393" i="1"/>
  <c r="H395" i="1" l="1"/>
  <c r="D394" i="1"/>
  <c r="H396" i="1" l="1"/>
  <c r="D395" i="1"/>
  <c r="H397" i="1" l="1"/>
  <c r="D396" i="1"/>
  <c r="H398" i="1" l="1"/>
  <c r="D397" i="1"/>
  <c r="H399" i="1" l="1"/>
  <c r="D398" i="1"/>
  <c r="H400" i="1" l="1"/>
  <c r="D399" i="1"/>
  <c r="H401" i="1" l="1"/>
  <c r="D400" i="1"/>
  <c r="H402" i="1" l="1"/>
  <c r="D401" i="1"/>
  <c r="H403" i="1" l="1"/>
  <c r="D402" i="1"/>
  <c r="H404" i="1" l="1"/>
  <c r="D403" i="1"/>
  <c r="H405" i="1" l="1"/>
  <c r="D404" i="1"/>
  <c r="H406" i="1" l="1"/>
  <c r="D405" i="1"/>
  <c r="H407" i="1" l="1"/>
  <c r="D406" i="1"/>
  <c r="H408" i="1" l="1"/>
  <c r="D407" i="1"/>
  <c r="H409" i="1" l="1"/>
  <c r="D408" i="1"/>
  <c r="H410" i="1" l="1"/>
  <c r="D409" i="1"/>
  <c r="H411" i="1" l="1"/>
  <c r="D410" i="1"/>
  <c r="H412" i="1" l="1"/>
  <c r="D411" i="1"/>
  <c r="H413" i="1" l="1"/>
  <c r="D412" i="1"/>
  <c r="H414" i="1" l="1"/>
  <c r="D413" i="1"/>
  <c r="H415" i="1" l="1"/>
  <c r="D414" i="1"/>
  <c r="H416" i="1" l="1"/>
  <c r="D415" i="1"/>
  <c r="H417" i="1" l="1"/>
  <c r="D416" i="1"/>
  <c r="H418" i="1" l="1"/>
  <c r="D417" i="1"/>
  <c r="H419" i="1" l="1"/>
  <c r="D418" i="1"/>
  <c r="H420" i="1" l="1"/>
  <c r="D419" i="1"/>
  <c r="H421" i="1" l="1"/>
  <c r="D420" i="1"/>
  <c r="H422" i="1" l="1"/>
  <c r="D421" i="1"/>
  <c r="H423" i="1" l="1"/>
  <c r="D422" i="1"/>
  <c r="H424" i="1" l="1"/>
  <c r="D423" i="1"/>
  <c r="H425" i="1" l="1"/>
  <c r="D424" i="1"/>
  <c r="H426" i="1" l="1"/>
  <c r="D425" i="1"/>
  <c r="H427" i="1" l="1"/>
  <c r="D426" i="1"/>
  <c r="H428" i="1" l="1"/>
  <c r="D427" i="1"/>
  <c r="H429" i="1" l="1"/>
  <c r="D428" i="1"/>
  <c r="H430" i="1" l="1"/>
  <c r="D429" i="1"/>
  <c r="H431" i="1" l="1"/>
  <c r="D430" i="1"/>
  <c r="H432" i="1" l="1"/>
  <c r="D431" i="1"/>
  <c r="H433" i="1" l="1"/>
  <c r="D432" i="1"/>
  <c r="H434" i="1" l="1"/>
  <c r="D433" i="1"/>
  <c r="H435" i="1" l="1"/>
  <c r="D434" i="1"/>
  <c r="H436" i="1" l="1"/>
  <c r="D435" i="1"/>
  <c r="H437" i="1" l="1"/>
  <c r="D436" i="1"/>
  <c r="H438" i="1" l="1"/>
  <c r="D437" i="1"/>
  <c r="H439" i="1" l="1"/>
  <c r="D438" i="1"/>
  <c r="H440" i="1" l="1"/>
  <c r="D439" i="1"/>
  <c r="H441" i="1" l="1"/>
  <c r="D440" i="1"/>
  <c r="H442" i="1" l="1"/>
  <c r="D441" i="1"/>
  <c r="H443" i="1" l="1"/>
  <c r="D442" i="1"/>
  <c r="H444" i="1" l="1"/>
  <c r="D443" i="1"/>
  <c r="H445" i="1" l="1"/>
  <c r="D445" i="1" s="1"/>
  <c r="D444" i="1"/>
  <c r="G248" i="1" l="1"/>
  <c r="G209" i="1"/>
  <c r="G246" i="1"/>
  <c r="G190" i="1"/>
  <c r="G304" i="1"/>
  <c r="G117" i="1"/>
  <c r="G168" i="1"/>
  <c r="G210" i="1"/>
  <c r="G189" i="1"/>
  <c r="G126" i="1"/>
  <c r="G7" i="1"/>
  <c r="G43" i="1"/>
  <c r="G218" i="1"/>
  <c r="G390" i="1"/>
  <c r="G5" i="1"/>
  <c r="G247" i="1"/>
  <c r="G24" i="1"/>
  <c r="G302" i="1"/>
  <c r="G18" i="1"/>
  <c r="G297" i="1"/>
  <c r="G240" i="1"/>
  <c r="G217" i="1"/>
  <c r="G74" i="1"/>
  <c r="G198" i="1"/>
  <c r="G228" i="1"/>
  <c r="G399" i="1"/>
  <c r="G71" i="1"/>
  <c r="G140" i="1"/>
  <c r="G205" i="1"/>
  <c r="G340" i="1"/>
  <c r="G22" i="1"/>
  <c r="G275" i="1"/>
  <c r="G75" i="1"/>
  <c r="G352" i="1"/>
  <c r="G4" i="1"/>
  <c r="G88" i="1"/>
  <c r="G35" i="1"/>
  <c r="G8" i="1"/>
  <c r="G404" i="1"/>
  <c r="G21" i="1"/>
  <c r="G156" i="1"/>
  <c r="G62" i="1"/>
  <c r="G243" i="1"/>
  <c r="G93" i="1"/>
  <c r="G271" i="1"/>
  <c r="G277" i="1"/>
  <c r="G12" i="1"/>
  <c r="G77" i="1"/>
  <c r="G212" i="1"/>
  <c r="G285" i="1"/>
  <c r="G147" i="1"/>
  <c r="G306" i="1"/>
  <c r="G138" i="1"/>
  <c r="G245" i="1"/>
  <c r="G216" i="1"/>
  <c r="G163" i="1"/>
  <c r="G136" i="1"/>
  <c r="G258" i="1"/>
  <c r="G90" i="1"/>
  <c r="G6" i="1"/>
  <c r="G292" i="1"/>
  <c r="G242" i="1"/>
  <c r="G63" i="1"/>
  <c r="G124" i="1"/>
  <c r="G263" i="1"/>
  <c r="G332" i="1"/>
  <c r="G141" i="1"/>
  <c r="G276" i="1"/>
  <c r="G349" i="1"/>
  <c r="G195" i="1"/>
  <c r="G186" i="1"/>
  <c r="G113" i="1"/>
  <c r="G261" i="1"/>
  <c r="G161" i="1"/>
  <c r="G316" i="1"/>
  <c r="G154" i="1"/>
  <c r="G61" i="1"/>
  <c r="G374" i="1"/>
  <c r="G401" i="1"/>
  <c r="G222" i="1"/>
  <c r="G151" i="1"/>
  <c r="G158" i="1"/>
  <c r="G373" i="1"/>
  <c r="G379" i="1"/>
  <c r="G265" i="1"/>
  <c r="G208" i="1"/>
  <c r="G185" i="1"/>
  <c r="G241" i="1"/>
  <c r="G226" i="1"/>
  <c r="G36" i="1"/>
  <c r="G367" i="1"/>
  <c r="G39" i="1"/>
  <c r="G108" i="1"/>
  <c r="G173" i="1"/>
  <c r="G308" i="1"/>
  <c r="G381" i="1"/>
  <c r="G346" i="1"/>
  <c r="G183" i="1"/>
  <c r="G133" i="1"/>
  <c r="G179" i="1"/>
  <c r="G109" i="1"/>
  <c r="G378" i="1"/>
  <c r="G267" i="1"/>
  <c r="G284" i="1"/>
  <c r="G145" i="1"/>
  <c r="G15" i="1"/>
  <c r="G281" i="1"/>
  <c r="G178" i="1"/>
  <c r="G175" i="1"/>
  <c r="G403" i="1"/>
  <c r="G95" i="1"/>
  <c r="G364" i="1"/>
  <c r="G282" i="1"/>
  <c r="G293" i="1"/>
  <c r="G60" i="1"/>
  <c r="G199" i="1"/>
  <c r="G268" i="1"/>
  <c r="G333" i="1"/>
  <c r="G37" i="1"/>
  <c r="G382" i="1"/>
  <c r="G32" i="1"/>
  <c r="G203" i="1"/>
  <c r="G238" i="1"/>
  <c r="G123" i="1"/>
  <c r="G9" i="1"/>
  <c r="G46" i="1"/>
  <c r="G392" i="1"/>
  <c r="G307" i="1"/>
  <c r="G225" i="1"/>
  <c r="G394" i="1"/>
  <c r="G111" i="1"/>
  <c r="G55" i="1"/>
  <c r="G319" i="1"/>
  <c r="G380" i="1"/>
  <c r="G52" i="1"/>
  <c r="G125" i="1"/>
  <c r="G397" i="1"/>
  <c r="G229" i="1"/>
  <c r="G350" i="1"/>
  <c r="G289" i="1"/>
  <c r="G181" i="1"/>
  <c r="G116" i="1"/>
  <c r="G388" i="1"/>
  <c r="G120" i="1"/>
  <c r="G137" i="1"/>
  <c r="G278" i="1"/>
  <c r="G202" i="1"/>
  <c r="G97" i="1"/>
  <c r="G334" i="1"/>
  <c r="G406" i="1"/>
  <c r="G42" i="1"/>
  <c r="G191" i="1"/>
  <c r="G252" i="1"/>
  <c r="G391" i="1"/>
  <c r="G170" i="1"/>
  <c r="G402" i="1"/>
  <c r="G256" i="1"/>
  <c r="G326" i="1"/>
  <c r="G290" i="1"/>
  <c r="G395" i="1"/>
  <c r="G146" i="1"/>
  <c r="G315" i="1"/>
  <c r="G201" i="1"/>
  <c r="G144" i="1"/>
  <c r="G121" i="1"/>
  <c r="G384" i="1"/>
  <c r="G34" i="1"/>
  <c r="G87" i="1"/>
  <c r="G47" i="1"/>
  <c r="G369" i="1"/>
  <c r="G255" i="1"/>
  <c r="G204" i="1"/>
  <c r="G98" i="1"/>
  <c r="G59" i="1"/>
  <c r="G328" i="1"/>
  <c r="G76" i="1"/>
  <c r="G279" i="1"/>
  <c r="G197" i="1"/>
  <c r="G309" i="1"/>
  <c r="G28" i="1"/>
  <c r="G167" i="1"/>
  <c r="G236" i="1"/>
  <c r="G301" i="1"/>
  <c r="G102" i="1"/>
  <c r="G338" i="1"/>
  <c r="G94" i="1"/>
  <c r="G171" i="1"/>
  <c r="G337" i="1"/>
  <c r="G91" i="1"/>
  <c r="G110" i="1"/>
  <c r="G387" i="1"/>
  <c r="G360" i="1"/>
  <c r="G83" i="1"/>
  <c r="G193" i="1"/>
  <c r="G266" i="1"/>
  <c r="G79" i="1"/>
  <c r="G262" i="1"/>
  <c r="G287" i="1"/>
  <c r="G92" i="1"/>
  <c r="G231" i="1"/>
  <c r="G300" i="1"/>
  <c r="G16" i="1"/>
  <c r="G244" i="1"/>
  <c r="G214" i="1"/>
  <c r="G73" i="1"/>
  <c r="G54" i="1"/>
  <c r="G320" i="1"/>
  <c r="G223" i="1"/>
  <c r="G119" i="1"/>
  <c r="G135" i="1"/>
  <c r="G386" i="1"/>
  <c r="G233" i="1"/>
  <c r="G19" i="1"/>
  <c r="G196" i="1"/>
  <c r="G40" i="1"/>
  <c r="G64" i="1"/>
  <c r="G192" i="1"/>
  <c r="G353" i="1"/>
  <c r="G174" i="1"/>
  <c r="G239" i="1"/>
  <c r="G85" i="1"/>
  <c r="G130" i="1"/>
  <c r="G45" i="1"/>
  <c r="G180" i="1"/>
  <c r="G253" i="1"/>
  <c r="G115" i="1"/>
  <c r="G341" i="1"/>
  <c r="G389" i="1"/>
  <c r="G53" i="1"/>
  <c r="G184" i="1"/>
  <c r="G131" i="1"/>
  <c r="G104" i="1"/>
  <c r="G150" i="1"/>
  <c r="G400" i="1"/>
  <c r="G377" i="1"/>
  <c r="G164" i="1"/>
  <c r="G38" i="1"/>
  <c r="G31" i="1"/>
  <c r="G303" i="1"/>
  <c r="G182" i="1"/>
  <c r="G44" i="1"/>
  <c r="G49" i="1"/>
  <c r="G383" i="1"/>
  <c r="G176" i="1"/>
  <c r="G355" i="1"/>
  <c r="G67" i="1"/>
  <c r="G20" i="1"/>
  <c r="G343" i="1"/>
  <c r="G56" i="1"/>
  <c r="G3" i="1"/>
  <c r="G118" i="1"/>
  <c r="G329" i="1"/>
  <c r="G272" i="1"/>
  <c r="G249" i="1"/>
  <c r="G234" i="1"/>
  <c r="G398" i="1"/>
  <c r="G58" i="1"/>
  <c r="G82" i="1"/>
  <c r="G103" i="1"/>
  <c r="G172" i="1"/>
  <c r="G237" i="1"/>
  <c r="G372" i="1"/>
  <c r="G114" i="1"/>
  <c r="G339" i="1"/>
  <c r="G107" i="1"/>
  <c r="G134" i="1"/>
  <c r="G27" i="1"/>
  <c r="G376" i="1"/>
  <c r="G323" i="1"/>
  <c r="G296" i="1"/>
  <c r="G393" i="1"/>
  <c r="G336" i="1"/>
  <c r="G313" i="1"/>
  <c r="G366" i="1"/>
  <c r="G122" i="1"/>
  <c r="G81" i="1"/>
  <c r="G335" i="1"/>
  <c r="G348" i="1"/>
  <c r="G105" i="1"/>
  <c r="G48" i="1"/>
  <c r="G25" i="1"/>
  <c r="G96" i="1"/>
  <c r="G321" i="1"/>
  <c r="G273" i="1"/>
  <c r="G207" i="1"/>
  <c r="G356" i="1"/>
  <c r="G26" i="1"/>
  <c r="G13" i="1"/>
  <c r="G148" i="1"/>
  <c r="G221" i="1"/>
  <c r="G51" i="1"/>
  <c r="G149" i="1"/>
  <c r="G325" i="1"/>
  <c r="G324" i="1"/>
  <c r="G152" i="1"/>
  <c r="G99" i="1"/>
  <c r="G72" i="1"/>
  <c r="G50" i="1"/>
  <c r="G368" i="1"/>
  <c r="G345" i="1"/>
  <c r="G288" i="1"/>
  <c r="G385" i="1"/>
  <c r="G362" i="1"/>
  <c r="G215" i="1"/>
  <c r="G317" i="1"/>
  <c r="G86" i="1"/>
  <c r="G162" i="1"/>
  <c r="G29" i="1"/>
  <c r="G187" i="1"/>
  <c r="G361" i="1"/>
  <c r="G69" i="1"/>
  <c r="G298" i="1"/>
  <c r="G132" i="1"/>
  <c r="G342" i="1"/>
  <c r="G10" i="1"/>
  <c r="G270" i="1"/>
  <c r="G106" i="1"/>
  <c r="G57" i="1"/>
  <c r="G312" i="1"/>
  <c r="G259" i="1"/>
  <c r="G232" i="1"/>
  <c r="G358" i="1"/>
  <c r="G65" i="1"/>
  <c r="G322" i="1"/>
  <c r="G405" i="1"/>
  <c r="G128" i="1"/>
  <c r="G159" i="1"/>
  <c r="G220" i="1"/>
  <c r="G359" i="1"/>
  <c r="G78" i="1"/>
  <c r="G274" i="1"/>
  <c r="G314" i="1"/>
  <c r="G354" i="1"/>
  <c r="G305" i="1"/>
  <c r="G363" i="1"/>
  <c r="G260" i="1"/>
  <c r="G283" i="1"/>
  <c r="G169" i="1"/>
  <c r="G112" i="1"/>
  <c r="G89" i="1"/>
  <c r="G330" i="1"/>
  <c r="G129" i="1"/>
  <c r="G294" i="1"/>
  <c r="G269" i="1"/>
  <c r="G347" i="1"/>
  <c r="G153" i="1"/>
  <c r="G311" i="1"/>
  <c r="G286" i="1"/>
  <c r="G80" i="1"/>
  <c r="G365" i="1"/>
  <c r="G101" i="1"/>
  <c r="G310" i="1"/>
  <c r="G160" i="1"/>
  <c r="G235" i="1"/>
  <c r="G23" i="1"/>
  <c r="G155" i="1"/>
  <c r="G41" i="1"/>
  <c r="G142" i="1"/>
  <c r="G70" i="1"/>
  <c r="G371" i="1"/>
  <c r="G257" i="1"/>
  <c r="G224" i="1"/>
  <c r="G143" i="1"/>
  <c r="G375" i="1"/>
  <c r="G351" i="1"/>
  <c r="G30" i="1"/>
  <c r="G84" i="1"/>
  <c r="G157" i="1"/>
  <c r="G318" i="1"/>
  <c r="G100" i="1"/>
  <c r="G165" i="1"/>
  <c r="G17" i="1"/>
  <c r="G299" i="1"/>
  <c r="G14" i="1"/>
  <c r="G219" i="1"/>
  <c r="G66" i="1"/>
  <c r="G139" i="1"/>
  <c r="G295" i="1"/>
  <c r="G357" i="1"/>
  <c r="G211" i="1"/>
  <c r="G11" i="1"/>
  <c r="G2" i="1"/>
  <c r="G250" i="1"/>
  <c r="G280" i="1"/>
  <c r="G227" i="1"/>
  <c r="G200" i="1"/>
  <c r="G230" i="1"/>
  <c r="G33" i="1"/>
  <c r="G194" i="1"/>
  <c r="G213" i="1"/>
  <c r="G254" i="1"/>
  <c r="G127" i="1"/>
  <c r="G188" i="1"/>
  <c r="G327" i="1"/>
  <c r="G396" i="1"/>
  <c r="G166" i="1"/>
  <c r="G370" i="1"/>
  <c r="G206" i="1"/>
  <c r="G177" i="1"/>
  <c r="G331" i="1"/>
  <c r="G68" i="1"/>
  <c r="G251" i="1"/>
  <c r="G344" i="1"/>
  <c r="G291" i="1"/>
  <c r="G264" i="1"/>
  <c r="E5354" i="2" l="1"/>
  <c r="D5354" i="2"/>
  <c r="D5340" i="2"/>
  <c r="E5340" i="2"/>
  <c r="E5319" i="2"/>
  <c r="D5319" i="2"/>
  <c r="D5507" i="2"/>
  <c r="E5507" i="2"/>
  <c r="D5528" i="2"/>
  <c r="E5528" i="2"/>
  <c r="E5542" i="2"/>
  <c r="D5542" i="2"/>
  <c r="D5730" i="2"/>
  <c r="D5695" i="2"/>
  <c r="D5716" i="2"/>
  <c r="E5695" i="2"/>
  <c r="E5730" i="2"/>
  <c r="E5716" i="2"/>
  <c r="E2080" i="2"/>
  <c r="D313" i="2"/>
  <c r="D921" i="2"/>
  <c r="E2042" i="2"/>
  <c r="D3624" i="2"/>
  <c r="D2099" i="2"/>
  <c r="D3966" i="2"/>
  <c r="E2270" i="2"/>
  <c r="D3909" i="2"/>
  <c r="D2940" i="2"/>
  <c r="E693" i="2"/>
  <c r="D4042" i="2"/>
  <c r="E3339" i="2"/>
  <c r="E2710" i="2"/>
  <c r="D3567" i="2"/>
  <c r="E1054" i="2"/>
  <c r="E2023" i="2"/>
  <c r="E5045" i="2"/>
  <c r="E3567" i="2"/>
  <c r="D3719" i="2"/>
  <c r="E351" i="2"/>
  <c r="D4384" i="2"/>
  <c r="E1719" i="2"/>
  <c r="D2978" i="2"/>
  <c r="D1700" i="2"/>
  <c r="E3909" i="2"/>
  <c r="E2654" i="2"/>
  <c r="D2004" i="2"/>
  <c r="D2612" i="2"/>
  <c r="D1073" i="2"/>
  <c r="D1396" i="2"/>
  <c r="D2080" i="2"/>
  <c r="D655" i="2"/>
  <c r="D1757" i="2"/>
  <c r="E5129" i="2"/>
  <c r="E4308" i="2"/>
  <c r="D3681" i="2"/>
  <c r="D4023" i="2"/>
  <c r="E1035" i="2"/>
  <c r="D4365" i="2"/>
  <c r="D3662" i="2"/>
  <c r="E1320" i="2"/>
  <c r="D4650" i="2"/>
  <c r="D2270" i="2"/>
  <c r="E4688" i="2"/>
  <c r="D5213" i="2"/>
  <c r="D370" i="2"/>
  <c r="E3016" i="2"/>
  <c r="D1282" i="2"/>
  <c r="E1757" i="2"/>
  <c r="E4365" i="2"/>
  <c r="E4251" i="2"/>
  <c r="E3700" i="2"/>
  <c r="E712" i="2"/>
  <c r="E4327" i="2"/>
  <c r="D1054" i="2"/>
  <c r="D3548" i="2"/>
  <c r="E2997" i="2"/>
  <c r="E4042" i="2"/>
  <c r="E2612" i="2"/>
  <c r="E4783" i="2"/>
  <c r="D2023" i="2"/>
  <c r="E4650" i="2"/>
  <c r="E3719" i="2"/>
  <c r="E3282" i="2"/>
  <c r="D1738" i="2"/>
  <c r="D4403" i="2"/>
  <c r="E2365" i="2"/>
  <c r="D2346" i="2"/>
  <c r="D2061" i="2"/>
  <c r="D1016" i="2"/>
  <c r="D4308" i="2"/>
  <c r="E731" i="2"/>
  <c r="E313" i="2"/>
  <c r="E2978" i="2"/>
  <c r="D978" i="2"/>
  <c r="E1738" i="2"/>
  <c r="E997" i="2"/>
  <c r="D1377" i="2"/>
  <c r="E1377" i="2"/>
  <c r="D579" i="2"/>
  <c r="D2864" i="2"/>
  <c r="D2959" i="2"/>
  <c r="D3054" i="2"/>
  <c r="D332" i="2"/>
  <c r="E3643" i="2"/>
  <c r="D541" i="2"/>
  <c r="D2826" i="2"/>
  <c r="D598" i="2"/>
  <c r="D2460" i="2"/>
  <c r="D4251" i="2"/>
  <c r="D1339" i="2"/>
  <c r="E2864" i="2"/>
  <c r="E4574" i="2"/>
  <c r="D4536" i="2"/>
  <c r="E2959" i="2"/>
  <c r="E1700" i="2"/>
  <c r="E579" i="2"/>
  <c r="D1586" i="2"/>
  <c r="D3928" i="2"/>
  <c r="D294" i="2"/>
  <c r="E5073" i="2"/>
  <c r="E2346" i="2"/>
  <c r="D3035" i="2"/>
  <c r="E1586" i="2"/>
  <c r="E5199" i="2"/>
  <c r="D712" i="2"/>
  <c r="E3890" i="2"/>
  <c r="E2099" i="2"/>
  <c r="D1415" i="2"/>
  <c r="E4232" i="2"/>
  <c r="E5031" i="2"/>
  <c r="E3377" i="2"/>
  <c r="E3966" i="2"/>
  <c r="E2883" i="2"/>
  <c r="D3871" i="2"/>
  <c r="E2940" i="2"/>
  <c r="E5171" i="2"/>
  <c r="E1814" i="2"/>
  <c r="D4555" i="2"/>
  <c r="D5003" i="2"/>
  <c r="E4989" i="2"/>
  <c r="D3301" i="2"/>
  <c r="D3016" i="2"/>
  <c r="D389" i="2"/>
  <c r="E1244" i="2"/>
  <c r="E294" i="2"/>
  <c r="D3890" i="2"/>
  <c r="E4384" i="2"/>
  <c r="E4878" i="2"/>
  <c r="D693" i="2"/>
  <c r="D1035" i="2"/>
  <c r="D1263" i="2"/>
  <c r="D2668" i="2"/>
  <c r="D2997" i="2"/>
  <c r="E332" i="2"/>
  <c r="D2365" i="2"/>
  <c r="E2061" i="2"/>
  <c r="D4707" i="2"/>
  <c r="E3776" i="2"/>
  <c r="E3225" i="2"/>
  <c r="E655" i="2"/>
  <c r="D3320" i="2"/>
  <c r="E4954" i="2"/>
  <c r="E940" i="2"/>
  <c r="E2289" i="2"/>
  <c r="E2724" i="2"/>
  <c r="E4023" i="2"/>
  <c r="D2042" i="2"/>
  <c r="D2654" i="2"/>
  <c r="D3339" i="2"/>
  <c r="D4989" i="2"/>
  <c r="E5157" i="2"/>
  <c r="D731" i="2"/>
  <c r="D3985" i="2"/>
  <c r="E3662" i="2"/>
  <c r="D408" i="2"/>
  <c r="E3206" i="2"/>
  <c r="D1719" i="2"/>
  <c r="E4707" i="2"/>
  <c r="E902" i="2"/>
  <c r="D1320" i="2"/>
  <c r="E4346" i="2"/>
  <c r="E3092" i="2"/>
  <c r="E2738" i="2"/>
  <c r="D3377" i="2"/>
  <c r="D5129" i="2"/>
  <c r="E3301" i="2"/>
  <c r="E3320" i="2"/>
  <c r="D1662" i="2"/>
  <c r="D5073" i="2"/>
  <c r="D2289" i="2"/>
  <c r="E1358" i="2"/>
  <c r="E978" i="2"/>
  <c r="E1966" i="2"/>
  <c r="D636" i="2"/>
  <c r="D902" i="2"/>
  <c r="D4346" i="2"/>
  <c r="D4061" i="2"/>
  <c r="D4783" i="2"/>
  <c r="E3624" i="2"/>
  <c r="E5115" i="2"/>
  <c r="D3244" i="2"/>
  <c r="E750" i="2"/>
  <c r="E4460" i="2"/>
  <c r="E2232" i="2"/>
  <c r="E3358" i="2"/>
  <c r="D1244" i="2"/>
  <c r="E3871" i="2"/>
  <c r="D3396" i="2"/>
  <c r="E598" i="2"/>
  <c r="D997" i="2"/>
  <c r="D3643" i="2"/>
  <c r="D5031" i="2"/>
  <c r="E4061" i="2"/>
  <c r="D845" i="2"/>
  <c r="E2845" i="2"/>
  <c r="E1605" i="2"/>
  <c r="D674" i="2"/>
  <c r="E2004" i="2"/>
  <c r="D1814" i="2"/>
  <c r="E4536" i="2"/>
  <c r="E370" i="2"/>
  <c r="E1263" i="2"/>
  <c r="D3130" i="2"/>
  <c r="D4213" i="2"/>
  <c r="D351" i="2"/>
  <c r="E4612" i="2"/>
  <c r="E1415" i="2"/>
  <c r="D2194" i="2"/>
  <c r="D3225" i="2"/>
  <c r="D4954" i="2"/>
  <c r="E2194" i="2"/>
  <c r="D3206" i="2"/>
  <c r="D4194" i="2"/>
  <c r="E1624" i="2"/>
  <c r="E2682" i="2"/>
  <c r="D1358" i="2"/>
  <c r="D1928" i="2"/>
  <c r="D4327" i="2"/>
  <c r="E4479" i="2"/>
  <c r="E465" i="2"/>
  <c r="D3282" i="2"/>
  <c r="D3833" i="2"/>
  <c r="E3035" i="2"/>
  <c r="E788" i="2"/>
  <c r="D3738" i="2"/>
  <c r="E3586" i="2"/>
  <c r="D1947" i="2"/>
  <c r="E5017" i="2"/>
  <c r="E1396" i="2"/>
  <c r="E5213" i="2"/>
  <c r="E1928" i="2"/>
  <c r="D1681" i="2"/>
  <c r="D2682" i="2"/>
  <c r="D883" i="2"/>
  <c r="E1073" i="2"/>
  <c r="D5199" i="2"/>
  <c r="E3852" i="2"/>
  <c r="E4669" i="2"/>
  <c r="E1681" i="2"/>
  <c r="E2902" i="2"/>
  <c r="D5045" i="2"/>
  <c r="D4878" i="2"/>
  <c r="E4555" i="2"/>
  <c r="E2251" i="2"/>
  <c r="D5115" i="2"/>
  <c r="E2308" i="2"/>
  <c r="D3149" i="2"/>
  <c r="D2738" i="2"/>
  <c r="E560" i="2"/>
  <c r="E3111" i="2"/>
  <c r="D3700" i="2"/>
  <c r="E3985" i="2"/>
  <c r="E2750" i="2"/>
  <c r="E3833" i="2"/>
  <c r="D3358" i="2"/>
  <c r="D2750" i="2"/>
  <c r="D940" i="2"/>
  <c r="E5003" i="2"/>
  <c r="D4669" i="2"/>
  <c r="E1016" i="2"/>
  <c r="D4118" i="2"/>
  <c r="D5017" i="2"/>
  <c r="E636" i="2"/>
  <c r="E4194" i="2"/>
  <c r="E1947" i="2"/>
  <c r="D5185" i="2"/>
  <c r="D4593" i="2"/>
  <c r="E4270" i="2"/>
  <c r="E3795" i="2"/>
  <c r="E2788" i="2"/>
  <c r="D560" i="2"/>
  <c r="E4403" i="2"/>
  <c r="D2769" i="2"/>
  <c r="E2213" i="2"/>
  <c r="E2118" i="2"/>
  <c r="E5101" i="2"/>
  <c r="D4574" i="2"/>
  <c r="E2156" i="2"/>
  <c r="D3491" i="2"/>
  <c r="D446" i="2"/>
  <c r="D1206" i="2"/>
  <c r="D2308" i="2"/>
  <c r="D3814" i="2"/>
  <c r="D3586" i="2"/>
  <c r="D2845" i="2"/>
  <c r="D1985" i="2"/>
  <c r="D3852" i="2"/>
  <c r="E3548" i="2"/>
  <c r="E2640" i="2"/>
  <c r="D3776" i="2"/>
  <c r="D503" i="2"/>
  <c r="E845" i="2"/>
  <c r="E617" i="2"/>
  <c r="D1529" i="2"/>
  <c r="E3396" i="2"/>
  <c r="D1187" i="2"/>
  <c r="E3491" i="2"/>
  <c r="E3054" i="2"/>
  <c r="E3681" i="2"/>
  <c r="E807" i="2"/>
  <c r="E1871" i="2"/>
  <c r="E921" i="2"/>
  <c r="D2902" i="2"/>
  <c r="E4156" i="2"/>
  <c r="E522" i="2"/>
  <c r="D4840" i="2"/>
  <c r="D1624" i="2"/>
  <c r="E4004" i="2"/>
  <c r="D4004" i="2"/>
  <c r="E408" i="2"/>
  <c r="D2640" i="2"/>
  <c r="E3738" i="2"/>
  <c r="D4460" i="2"/>
  <c r="D4232" i="2"/>
  <c r="D2175" i="2"/>
  <c r="E1339" i="2"/>
  <c r="E3244" i="2"/>
  <c r="D2626" i="2"/>
  <c r="E2327" i="2"/>
  <c r="D2883" i="2"/>
  <c r="D2710" i="2"/>
  <c r="D5157" i="2"/>
  <c r="E4593" i="2"/>
  <c r="D3168" i="2"/>
  <c r="D4479" i="2"/>
  <c r="D1491" i="2"/>
  <c r="D5171" i="2"/>
  <c r="E503" i="2"/>
  <c r="E1130" i="2"/>
  <c r="D2251" i="2"/>
  <c r="D1852" i="2"/>
  <c r="D4612" i="2"/>
  <c r="E4118" i="2"/>
  <c r="D4422" i="2"/>
  <c r="D1111" i="2"/>
  <c r="D484" i="2"/>
  <c r="D3453" i="2"/>
  <c r="D3795" i="2"/>
  <c r="E2626" i="2"/>
  <c r="E389" i="2"/>
  <c r="D2788" i="2"/>
  <c r="D1795" i="2"/>
  <c r="E1206" i="2"/>
  <c r="D4688" i="2"/>
  <c r="E446" i="2"/>
  <c r="E4175" i="2"/>
  <c r="E1985" i="2"/>
  <c r="E2696" i="2"/>
  <c r="E3073" i="2"/>
  <c r="E2460" i="2"/>
  <c r="E2807" i="2"/>
  <c r="E1852" i="2"/>
  <c r="E1890" i="2"/>
  <c r="D1909" i="2"/>
  <c r="D3605" i="2"/>
  <c r="D4498" i="2"/>
  <c r="E3168" i="2"/>
  <c r="D2724" i="2"/>
  <c r="E5185" i="2"/>
  <c r="E1510" i="2"/>
  <c r="E3510" i="2"/>
  <c r="D1510" i="2"/>
  <c r="D1567" i="2"/>
  <c r="E3928" i="2"/>
  <c r="E1491" i="2"/>
  <c r="E1795" i="2"/>
  <c r="E3187" i="2"/>
  <c r="D2232" i="2"/>
  <c r="D4517" i="2"/>
  <c r="D3092" i="2"/>
  <c r="D1149" i="2"/>
  <c r="D2156" i="2"/>
  <c r="E1643" i="2"/>
  <c r="E4517" i="2"/>
  <c r="E4213" i="2"/>
  <c r="D4975" i="2"/>
  <c r="E2175" i="2"/>
  <c r="D3415" i="2"/>
  <c r="E1662" i="2"/>
  <c r="D4175" i="2"/>
  <c r="D2118" i="2"/>
  <c r="D5101" i="2"/>
  <c r="E4498" i="2"/>
  <c r="E3757" i="2"/>
  <c r="E3472" i="2"/>
  <c r="E3149" i="2"/>
  <c r="D1605" i="2"/>
  <c r="E2826" i="2"/>
  <c r="D5143" i="2"/>
  <c r="E3453" i="2"/>
  <c r="D4099" i="2"/>
  <c r="E2769" i="2"/>
  <c r="D807" i="2"/>
  <c r="D3529" i="2"/>
  <c r="E1909" i="2"/>
  <c r="D1548" i="2"/>
  <c r="E1548" i="2"/>
  <c r="D1472" i="2"/>
  <c r="D4270" i="2"/>
  <c r="D2213" i="2"/>
  <c r="D2137" i="2"/>
  <c r="E5087" i="2"/>
  <c r="E2500" i="2"/>
  <c r="D3111" i="2"/>
  <c r="E1282" i="2"/>
  <c r="E1149" i="2"/>
  <c r="D3073" i="2"/>
  <c r="E674" i="2"/>
  <c r="E484" i="2"/>
  <c r="E1225" i="2"/>
  <c r="D3434" i="2"/>
  <c r="D1168" i="2"/>
  <c r="E2668" i="2"/>
  <c r="D427" i="2"/>
  <c r="D3472" i="2"/>
  <c r="D1776" i="2"/>
  <c r="D3757" i="2"/>
  <c r="E1833" i="2"/>
  <c r="E769" i="2"/>
  <c r="E826" i="2"/>
  <c r="D1871" i="2"/>
  <c r="D4156" i="2"/>
  <c r="E4137" i="2"/>
  <c r="D522" i="2"/>
  <c r="E1111" i="2"/>
  <c r="D1833" i="2"/>
  <c r="D788" i="2"/>
  <c r="E3529" i="2"/>
  <c r="D4137" i="2"/>
  <c r="D3510" i="2"/>
  <c r="D2696" i="2"/>
  <c r="E5143" i="2"/>
  <c r="E1567" i="2"/>
  <c r="D3187" i="2"/>
  <c r="E1187" i="2"/>
  <c r="E3814" i="2"/>
  <c r="D2807" i="2"/>
  <c r="D1890" i="2"/>
  <c r="E3130" i="2"/>
  <c r="D750" i="2"/>
  <c r="E1529" i="2"/>
  <c r="E541" i="2"/>
  <c r="D1966" i="2"/>
  <c r="D1092" i="2"/>
  <c r="D4289" i="2"/>
  <c r="D4631" i="2"/>
  <c r="E1092" i="2"/>
  <c r="E4631" i="2"/>
  <c r="E3434" i="2"/>
  <c r="E1472" i="2"/>
  <c r="E3605" i="2"/>
  <c r="E4840" i="2"/>
  <c r="D959" i="2"/>
  <c r="D1130" i="2"/>
  <c r="E1301" i="2"/>
  <c r="D2422" i="2"/>
  <c r="E4289" i="2"/>
  <c r="E427" i="2"/>
  <c r="E864" i="2"/>
  <c r="E2137" i="2"/>
  <c r="D2327" i="2"/>
  <c r="E2921" i="2"/>
  <c r="D1453" i="2"/>
  <c r="D864" i="2"/>
  <c r="E1168" i="2"/>
  <c r="E4099" i="2"/>
  <c r="D617" i="2"/>
  <c r="E4080" i="2"/>
  <c r="D5087" i="2"/>
  <c r="D1643" i="2"/>
  <c r="E1776" i="2"/>
  <c r="E883" i="2"/>
  <c r="D4080" i="2"/>
  <c r="D826" i="2"/>
  <c r="D3947" i="2"/>
  <c r="D1225" i="2"/>
  <c r="E1434" i="2"/>
  <c r="E3947" i="2"/>
  <c r="E2422" i="2"/>
  <c r="E4441" i="2"/>
  <c r="D465" i="2"/>
  <c r="E3263" i="2"/>
  <c r="E275" i="2"/>
  <c r="D4441" i="2"/>
  <c r="E959" i="2"/>
  <c r="D2500" i="2"/>
  <c r="D1301" i="2"/>
  <c r="E1453" i="2"/>
  <c r="D1434" i="2"/>
  <c r="E3415" i="2"/>
  <c r="E4975" i="2"/>
  <c r="E4422" i="2"/>
  <c r="D275" i="2"/>
  <c r="D2921" i="2"/>
  <c r="D3263" i="2"/>
  <c r="D769" i="2"/>
  <c r="D4745" i="2"/>
  <c r="E4916" i="2"/>
  <c r="E4802" i="2"/>
  <c r="E4935" i="2"/>
  <c r="D4726" i="2"/>
  <c r="D4821" i="2"/>
  <c r="D4859" i="2"/>
  <c r="D4764" i="2"/>
  <c r="D5059" i="2"/>
  <c r="E4859" i="2"/>
  <c r="D4916" i="2"/>
  <c r="D4935" i="2"/>
  <c r="E4821" i="2"/>
  <c r="E5059" i="2"/>
  <c r="E4726" i="2"/>
  <c r="D4897" i="2"/>
  <c r="E4745" i="2"/>
  <c r="E4764" i="2"/>
  <c r="D4802" i="2"/>
  <c r="E4897" i="2"/>
  <c r="E2598" i="2"/>
  <c r="D2598" i="2"/>
  <c r="E2570" i="2"/>
  <c r="D2570" i="2"/>
  <c r="D2556" i="2"/>
  <c r="E2556" i="2"/>
  <c r="D2542" i="2"/>
  <c r="D2584" i="2"/>
  <c r="E2584" i="2"/>
  <c r="E2542" i="2"/>
  <c r="E2514" i="2"/>
  <c r="D2514" i="2"/>
  <c r="D2479" i="2"/>
  <c r="E2528" i="2"/>
  <c r="D2528" i="2"/>
  <c r="E2479" i="2"/>
  <c r="E2441" i="2"/>
  <c r="E2384" i="2"/>
  <c r="D2384" i="2"/>
  <c r="D2403" i="2"/>
  <c r="E2403" i="2"/>
  <c r="D2441" i="2"/>
  <c r="E5575" i="2"/>
  <c r="D5589" i="2"/>
  <c r="D5575" i="2"/>
  <c r="D5554" i="2"/>
  <c r="E5554" i="2"/>
  <c r="E5589" i="2"/>
  <c r="E5434" i="2"/>
  <c r="D5413" i="2"/>
  <c r="E5413" i="2"/>
  <c r="E5448" i="2"/>
  <c r="D5434" i="2"/>
  <c r="D5448" i="2"/>
  <c r="D5622" i="2"/>
  <c r="D5636" i="2"/>
  <c r="E5622" i="2"/>
  <c r="D5601" i="2"/>
  <c r="E5601" i="2"/>
  <c r="E5636" i="2"/>
  <c r="E5789" i="2"/>
  <c r="E5824" i="2"/>
  <c r="D5824" i="2"/>
  <c r="D5810" i="2"/>
  <c r="E5810" i="2"/>
  <c r="D5789" i="2"/>
  <c r="E5387" i="2"/>
  <c r="E5401" i="2"/>
  <c r="D5387" i="2"/>
  <c r="D5401" i="2"/>
  <c r="D5366" i="2"/>
  <c r="E5366" i="2"/>
  <c r="D5293" i="2"/>
  <c r="D5307" i="2"/>
  <c r="E5293" i="2"/>
  <c r="D5272" i="2"/>
  <c r="E5307" i="2"/>
  <c r="E5272" i="2"/>
  <c r="E5495" i="2"/>
  <c r="D5495" i="2"/>
  <c r="D5460" i="2"/>
  <c r="D5481" i="2"/>
  <c r="E5460" i="2"/>
  <c r="E5481" i="2"/>
  <c r="D5669" i="2"/>
  <c r="E5669" i="2"/>
  <c r="D5683" i="2"/>
  <c r="E5683" i="2"/>
  <c r="D5648" i="2"/>
  <c r="E5648" i="2"/>
  <c r="E5225" i="2"/>
  <c r="E5246" i="2"/>
  <c r="D5260" i="2"/>
  <c r="D5225" i="2"/>
  <c r="D5246" i="2"/>
  <c r="E5260" i="2"/>
  <c r="D5742" i="2"/>
  <c r="E5777" i="2"/>
  <c r="D5763" i="2"/>
  <c r="E5763" i="2"/>
  <c r="E5742" i="2"/>
  <c r="D5777" i="2"/>
  <c r="F412" i="1" l="1"/>
  <c r="F417" i="1"/>
  <c r="F413" i="1"/>
  <c r="F414" i="1"/>
  <c r="F418" i="1"/>
  <c r="F415" i="1"/>
  <c r="F439" i="1"/>
  <c r="F438" i="1"/>
  <c r="F423" i="1"/>
  <c r="F409" i="1"/>
  <c r="F410" i="1"/>
  <c r="F422" i="1"/>
  <c r="F408" i="1"/>
  <c r="F428" i="1"/>
  <c r="F436" i="1"/>
  <c r="F407" i="1"/>
  <c r="F430" i="1"/>
  <c r="F425" i="1"/>
  <c r="F432" i="1"/>
  <c r="F443" i="1"/>
  <c r="F429" i="1"/>
  <c r="F440" i="1"/>
  <c r="F411" i="1"/>
  <c r="F427" i="1"/>
  <c r="F434" i="1"/>
  <c r="F421" i="1"/>
  <c r="F433" i="1"/>
  <c r="F442" i="1"/>
  <c r="F441" i="1"/>
  <c r="F437" i="1"/>
  <c r="F435" i="1"/>
  <c r="F444" i="1"/>
  <c r="F424" i="1"/>
  <c r="F416" i="1"/>
  <c r="F426" i="1"/>
  <c r="F420" i="1"/>
  <c r="F445" i="1"/>
  <c r="F431" i="1"/>
  <c r="F419" i="1"/>
  <c r="F152" i="1" l="1"/>
  <c r="F159" i="1"/>
  <c r="F289" i="1"/>
  <c r="F150" i="1"/>
  <c r="F275" i="1"/>
  <c r="F286" i="1"/>
  <c r="F156" i="1"/>
  <c r="F138" i="1"/>
  <c r="F281" i="1"/>
  <c r="F285" i="1"/>
  <c r="F161" i="1"/>
  <c r="F166" i="1"/>
  <c r="F145" i="1"/>
  <c r="F283" i="1"/>
  <c r="F144" i="1"/>
  <c r="F276" i="1"/>
  <c r="F274" i="1"/>
  <c r="F157" i="1"/>
  <c r="F143" i="1"/>
  <c r="F284" i="1"/>
  <c r="F139" i="1"/>
  <c r="F279" i="1"/>
  <c r="F151" i="1"/>
  <c r="F155" i="1"/>
  <c r="F141" i="1"/>
  <c r="F288" i="1"/>
  <c r="F154" i="1"/>
  <c r="F153" i="1"/>
  <c r="F158" i="1"/>
  <c r="F171" i="1"/>
  <c r="F147" i="1"/>
  <c r="F293" i="1"/>
  <c r="F297" i="1"/>
  <c r="F280" i="1"/>
  <c r="F272" i="1"/>
  <c r="F277" i="1"/>
  <c r="F165" i="1"/>
  <c r="F137" i="1"/>
  <c r="F142" i="1"/>
  <c r="F149" i="1"/>
  <c r="F291" i="1"/>
  <c r="F278" i="1"/>
  <c r="F273" i="1"/>
  <c r="F282" i="1"/>
  <c r="F167" i="1"/>
  <c r="F140" i="1"/>
  <c r="F146" i="1"/>
  <c r="F287" i="1"/>
  <c r="F148" i="1"/>
  <c r="F162" i="1"/>
  <c r="F163" i="1"/>
  <c r="F160" i="1"/>
  <c r="F300" i="1" l="1"/>
  <c r="F296" i="1"/>
  <c r="F168" i="1"/>
  <c r="F176" i="1"/>
  <c r="F180" i="1"/>
  <c r="F295" i="1"/>
  <c r="F170" i="1"/>
  <c r="F292" i="1"/>
  <c r="F301" i="1"/>
  <c r="F302" i="1"/>
  <c r="F174" i="1"/>
  <c r="F290" i="1"/>
  <c r="F298" i="1"/>
  <c r="F306" i="1"/>
  <c r="F164" i="1"/>
  <c r="F294" i="1"/>
  <c r="F172" i="1"/>
  <c r="F169" i="1"/>
  <c r="F175" i="1"/>
  <c r="F181" i="1" l="1"/>
  <c r="F189" i="1"/>
  <c r="F310" i="1"/>
  <c r="F173" i="1"/>
  <c r="F309" i="1"/>
  <c r="F179" i="1"/>
  <c r="F305" i="1"/>
  <c r="F185" i="1"/>
  <c r="F299" i="1"/>
  <c r="F311" i="1"/>
  <c r="F177" i="1"/>
  <c r="F304" i="1"/>
  <c r="F178" i="1"/>
  <c r="F183" i="1"/>
  <c r="F307" i="1"/>
  <c r="F315" i="1"/>
  <c r="F184" i="1"/>
  <c r="F303" i="1"/>
  <c r="F312" i="1" l="1"/>
  <c r="F182" i="1"/>
  <c r="F190" i="1"/>
  <c r="F192" i="1"/>
  <c r="F324" i="1"/>
  <c r="F313" i="1"/>
  <c r="F308" i="1"/>
  <c r="F318" i="1"/>
  <c r="F198" i="1"/>
  <c r="F316" i="1"/>
  <c r="F320" i="1"/>
  <c r="F194" i="1"/>
  <c r="F187" i="1"/>
  <c r="F188" i="1"/>
  <c r="F186" i="1"/>
  <c r="F319" i="1"/>
  <c r="F314" i="1"/>
  <c r="F193" i="1"/>
  <c r="F329" i="1" l="1"/>
  <c r="F196" i="1"/>
  <c r="F327" i="1"/>
  <c r="F323" i="1"/>
  <c r="F333" i="1"/>
  <c r="F322" i="1"/>
  <c r="F191" i="1"/>
  <c r="F195" i="1"/>
  <c r="F199" i="1"/>
  <c r="F202" i="1"/>
  <c r="F197" i="1"/>
  <c r="F201" i="1"/>
  <c r="F325" i="1"/>
  <c r="F328" i="1"/>
  <c r="F207" i="1"/>
  <c r="F317" i="1"/>
  <c r="F321" i="1"/>
  <c r="F203" i="1"/>
  <c r="F326" i="1" l="1"/>
  <c r="F200" i="1"/>
  <c r="F210" i="1"/>
  <c r="F204" i="1"/>
  <c r="F336" i="1"/>
  <c r="F342" i="1"/>
  <c r="F338" i="1"/>
  <c r="F208" i="1"/>
  <c r="F334" i="1"/>
  <c r="F330" i="1"/>
  <c r="F332" i="1"/>
  <c r="F331" i="1"/>
  <c r="F212" i="1"/>
  <c r="F206" i="1"/>
  <c r="F216" i="1"/>
  <c r="F337" i="1"/>
  <c r="F211" i="1"/>
  <c r="F205" i="1"/>
  <c r="F339" i="1" l="1"/>
  <c r="F220" i="1"/>
  <c r="F340" i="1"/>
  <c r="F346" i="1"/>
  <c r="F225" i="1"/>
  <c r="F215" i="1"/>
  <c r="F347" i="1"/>
  <c r="F217" i="1"/>
  <c r="F335" i="1"/>
  <c r="F345" i="1"/>
  <c r="F214" i="1"/>
  <c r="F351" i="1"/>
  <c r="F341" i="1"/>
  <c r="F219" i="1"/>
  <c r="F221" i="1"/>
  <c r="F343" i="1"/>
  <c r="F209" i="1"/>
  <c r="F213" i="1"/>
  <c r="F229" i="1" l="1"/>
  <c r="F349" i="1"/>
  <c r="F350" i="1"/>
  <c r="F356" i="1"/>
  <c r="F230" i="1"/>
  <c r="F234" i="1"/>
  <c r="F344" i="1"/>
  <c r="F354" i="1"/>
  <c r="F224" i="1"/>
  <c r="F348" i="1"/>
  <c r="F355" i="1"/>
  <c r="F226" i="1"/>
  <c r="F218" i="1"/>
  <c r="F360" i="1"/>
  <c r="F222" i="1"/>
  <c r="F228" i="1"/>
  <c r="F352" i="1"/>
  <c r="F223" i="1"/>
  <c r="F238" i="1" l="1"/>
  <c r="F364" i="1"/>
  <c r="F358" i="1"/>
  <c r="F235" i="1"/>
  <c r="F361" i="1"/>
  <c r="F357" i="1"/>
  <c r="F237" i="1"/>
  <c r="F231" i="1"/>
  <c r="F233" i="1"/>
  <c r="F369" i="1"/>
  <c r="F239" i="1"/>
  <c r="F359" i="1"/>
  <c r="F365" i="1"/>
  <c r="F363" i="1"/>
  <c r="F232" i="1"/>
  <c r="F353" i="1"/>
  <c r="F243" i="1"/>
  <c r="F227" i="1"/>
  <c r="F252" i="1" l="1"/>
  <c r="F236" i="1"/>
  <c r="F242" i="1"/>
  <c r="F368" i="1"/>
  <c r="F374" i="1"/>
  <c r="F247" i="1"/>
  <c r="F248" i="1"/>
  <c r="F378" i="1"/>
  <c r="F373" i="1"/>
  <c r="F370" i="1"/>
  <c r="F366" i="1"/>
  <c r="F240" i="1"/>
  <c r="F372" i="1"/>
  <c r="F241" i="1"/>
  <c r="F244" i="1"/>
  <c r="F246" i="1"/>
  <c r="F367" i="1"/>
  <c r="F362" i="1"/>
  <c r="F377" i="1" l="1"/>
  <c r="F257" i="1"/>
  <c r="F256" i="1"/>
  <c r="F382" i="1"/>
  <c r="F249" i="1"/>
  <c r="F251" i="1"/>
  <c r="F381" i="1"/>
  <c r="F371" i="1"/>
  <c r="F245" i="1"/>
  <c r="F250" i="1"/>
  <c r="F375" i="1"/>
  <c r="F376" i="1"/>
  <c r="F261" i="1"/>
  <c r="F255" i="1"/>
  <c r="F387" i="1"/>
  <c r="F379" i="1"/>
  <c r="F383" i="1"/>
  <c r="F253" i="1"/>
  <c r="F260" i="1" l="1"/>
  <c r="F391" i="1"/>
  <c r="F262" i="1"/>
  <c r="F380" i="1"/>
  <c r="F390" i="1"/>
  <c r="F259" i="1"/>
  <c r="F270" i="1"/>
  <c r="F264" i="1"/>
  <c r="F384" i="1"/>
  <c r="F265" i="1"/>
  <c r="F386" i="1"/>
  <c r="F388" i="1"/>
  <c r="F258" i="1"/>
  <c r="F266" i="1"/>
  <c r="F254" i="1"/>
  <c r="F396" i="1"/>
  <c r="F392" i="1"/>
  <c r="F385" i="1"/>
  <c r="F83" i="1" l="1"/>
  <c r="F46" i="1"/>
  <c r="F40" i="1"/>
  <c r="F18" i="1"/>
  <c r="F100" i="1"/>
  <c r="F73" i="1"/>
  <c r="F86" i="1"/>
  <c r="F87" i="1"/>
  <c r="F38" i="1"/>
  <c r="F81" i="1"/>
  <c r="F89" i="1"/>
  <c r="F85" i="1"/>
  <c r="F34" i="1"/>
  <c r="F115" i="1"/>
  <c r="F111" i="1"/>
  <c r="F113" i="1"/>
  <c r="F57" i="1"/>
  <c r="F134" i="1"/>
  <c r="F75" i="1"/>
  <c r="F67" i="1"/>
  <c r="F66" i="1"/>
  <c r="F22" i="1"/>
  <c r="F60" i="1"/>
  <c r="F47" i="1"/>
  <c r="F130" i="1"/>
  <c r="F23" i="1"/>
  <c r="F268" i="1"/>
  <c r="F61" i="1"/>
  <c r="F103" i="1"/>
  <c r="F109" i="1"/>
  <c r="F9" i="1"/>
  <c r="F51" i="1"/>
  <c r="F135" i="1"/>
  <c r="F48" i="1"/>
  <c r="F44" i="1"/>
  <c r="F55" i="1"/>
  <c r="F69" i="1"/>
  <c r="F28" i="1"/>
  <c r="F120" i="1"/>
  <c r="F394" i="1"/>
  <c r="F267" i="1"/>
  <c r="F399" i="1"/>
  <c r="F101" i="1"/>
  <c r="F30" i="1"/>
  <c r="F92" i="1"/>
  <c r="F39" i="1"/>
  <c r="F90" i="1"/>
  <c r="F45" i="1"/>
  <c r="F31" i="1"/>
  <c r="F124" i="1"/>
  <c r="F76" i="1"/>
  <c r="F395" i="1"/>
  <c r="F99" i="1"/>
  <c r="F6" i="1"/>
  <c r="F62" i="1"/>
  <c r="F389" i="1"/>
  <c r="F108" i="1"/>
  <c r="F397" i="1"/>
  <c r="F36" i="1"/>
  <c r="F2" i="1"/>
  <c r="F53" i="1"/>
  <c r="F27" i="1"/>
  <c r="F102" i="1"/>
  <c r="F136" i="1"/>
  <c r="F105" i="1"/>
  <c r="F14" i="1"/>
  <c r="F110" i="1"/>
  <c r="F121" i="1"/>
  <c r="F82" i="1"/>
  <c r="F4" i="1"/>
  <c r="F91" i="1"/>
  <c r="F10" i="1"/>
  <c r="F71" i="1"/>
  <c r="F96" i="1"/>
  <c r="F401" i="1"/>
  <c r="F104" i="1"/>
  <c r="F77" i="1"/>
  <c r="F106" i="1"/>
  <c r="F122" i="1"/>
  <c r="F95" i="1"/>
  <c r="F271" i="1"/>
  <c r="F17" i="1"/>
  <c r="F43" i="1"/>
  <c r="F35" i="1"/>
  <c r="F128" i="1"/>
  <c r="F37" i="1"/>
  <c r="F13" i="1"/>
  <c r="F119" i="1"/>
  <c r="F88" i="1"/>
  <c r="F24" i="1"/>
  <c r="F68" i="1"/>
  <c r="F133" i="1"/>
  <c r="F11" i="1"/>
  <c r="F94" i="1"/>
  <c r="F269" i="1"/>
  <c r="F80" i="1"/>
  <c r="F49" i="1"/>
  <c r="F29" i="1"/>
  <c r="F126" i="1"/>
  <c r="F5" i="1"/>
  <c r="F125" i="1"/>
  <c r="F20" i="1"/>
  <c r="F405" i="1"/>
  <c r="F33" i="1"/>
  <c r="F107" i="1"/>
  <c r="F70" i="1"/>
  <c r="F84" i="1"/>
  <c r="F25" i="1"/>
  <c r="F74" i="1"/>
  <c r="F98" i="1"/>
  <c r="F64" i="1"/>
  <c r="F114" i="1"/>
  <c r="F58" i="1"/>
  <c r="F8" i="1"/>
  <c r="F117" i="1"/>
  <c r="F132" i="1"/>
  <c r="F50" i="1"/>
  <c r="F19" i="1"/>
  <c r="F41" i="1"/>
  <c r="F32" i="1"/>
  <c r="F42" i="1"/>
  <c r="F263" i="1"/>
  <c r="F26" i="1"/>
  <c r="F65" i="1"/>
  <c r="F97" i="1"/>
  <c r="F16" i="1"/>
  <c r="F127" i="1"/>
  <c r="F3" i="1"/>
  <c r="F52" i="1"/>
  <c r="F63" i="1"/>
  <c r="F116" i="1"/>
  <c r="F59" i="1"/>
  <c r="F7" i="1"/>
  <c r="F93" i="1"/>
  <c r="F54" i="1"/>
  <c r="F56" i="1"/>
  <c r="F79" i="1"/>
  <c r="F21" i="1"/>
  <c r="F123" i="1"/>
  <c r="F131" i="1"/>
  <c r="F15" i="1"/>
  <c r="F393" i="1"/>
  <c r="F12" i="1"/>
  <c r="F72" i="1"/>
  <c r="F129" i="1"/>
  <c r="F400" i="1"/>
  <c r="F118" i="1"/>
  <c r="F78" i="1"/>
  <c r="F112" i="1"/>
  <c r="F404" i="1" l="1"/>
  <c r="F403" i="1"/>
  <c r="F406" i="1"/>
  <c r="F402" i="1"/>
  <c r="F398" i="1"/>
  <c r="D5694" i="2"/>
  <c r="E5729" i="2"/>
  <c r="D5715" i="2"/>
  <c r="E5715" i="2"/>
  <c r="E5694" i="2"/>
  <c r="D5729" i="2"/>
  <c r="D5634" i="2"/>
  <c r="G5631" i="2"/>
  <c r="G5627" i="2"/>
  <c r="G5624" i="2"/>
  <c r="G5635" i="2"/>
  <c r="G5629" i="2"/>
  <c r="G5618" i="2"/>
  <c r="G5639" i="2"/>
  <c r="D5620" i="2"/>
  <c r="G5640" i="2"/>
  <c r="G5636" i="2"/>
  <c r="G5632" i="2"/>
  <c r="G5644" i="2"/>
  <c r="G5617" i="2"/>
  <c r="G5633" i="2"/>
  <c r="G5623" i="2"/>
  <c r="E5620" i="2"/>
  <c r="G5620" i="2"/>
  <c r="G5642" i="2"/>
  <c r="G5638" i="2"/>
  <c r="G5619" i="2"/>
  <c r="G5621" i="2"/>
  <c r="G5637" i="2"/>
  <c r="G5628" i="2"/>
  <c r="E5634" i="2"/>
  <c r="G5626" i="2"/>
  <c r="G5622" i="2"/>
  <c r="G5643" i="2"/>
  <c r="G5630" i="2"/>
  <c r="G5625" i="2"/>
  <c r="G5641" i="2"/>
  <c r="G5634" i="2"/>
  <c r="G5263" i="2"/>
  <c r="G5252" i="2"/>
  <c r="D5258" i="2"/>
  <c r="G5253" i="2"/>
  <c r="G5242" i="2"/>
  <c r="G5250" i="2"/>
  <c r="G5268" i="2"/>
  <c r="G5247" i="2"/>
  <c r="G5267" i="2"/>
  <c r="G5256" i="2"/>
  <c r="D5244" i="2"/>
  <c r="G5257" i="2"/>
  <c r="G5258" i="2"/>
  <c r="G5266" i="2"/>
  <c r="G5241" i="2"/>
  <c r="G5251" i="2"/>
  <c r="G5244" i="2"/>
  <c r="G5260" i="2"/>
  <c r="E5244" i="2"/>
  <c r="G5261" i="2"/>
  <c r="G5262" i="2"/>
  <c r="G5254" i="2"/>
  <c r="G5245" i="2"/>
  <c r="G5255" i="2"/>
  <c r="G5259" i="2"/>
  <c r="G5248" i="2"/>
  <c r="E5258" i="2"/>
  <c r="G5249" i="2"/>
  <c r="G5265" i="2"/>
  <c r="G5246" i="2"/>
  <c r="G5264" i="2"/>
  <c r="G5243" i="2"/>
  <c r="E5478" i="2"/>
  <c r="D5478" i="2"/>
  <c r="E5492" i="2"/>
  <c r="D5492" i="2"/>
  <c r="D5290" i="2"/>
  <c r="E5290" i="2"/>
  <c r="E5304" i="2"/>
  <c r="D5304" i="2"/>
  <c r="E5388" i="2"/>
  <c r="E5402" i="2"/>
  <c r="D5388" i="2"/>
  <c r="D5402" i="2"/>
  <c r="D5727" i="2"/>
  <c r="E5727" i="2"/>
  <c r="D5713" i="2"/>
  <c r="E5713" i="2"/>
  <c r="D5587" i="2"/>
  <c r="G5593" i="2"/>
  <c r="G5582" i="2"/>
  <c r="G5590" i="2"/>
  <c r="G5577" i="2"/>
  <c r="G5583" i="2"/>
  <c r="G5572" i="2"/>
  <c r="G5588" i="2"/>
  <c r="D5573" i="2"/>
  <c r="G5581" i="2"/>
  <c r="G5597" i="2"/>
  <c r="G5570" i="2"/>
  <c r="G5592" i="2"/>
  <c r="G5571" i="2"/>
  <c r="G5587" i="2"/>
  <c r="G5576" i="2"/>
  <c r="E5587" i="2"/>
  <c r="G5585" i="2"/>
  <c r="G5578" i="2"/>
  <c r="G5586" i="2"/>
  <c r="G5596" i="2"/>
  <c r="G5575" i="2"/>
  <c r="G5591" i="2"/>
  <c r="G5580" i="2"/>
  <c r="E5573" i="2"/>
  <c r="G5589" i="2"/>
  <c r="G5594" i="2"/>
  <c r="G5574" i="2"/>
  <c r="G5573" i="2"/>
  <c r="G5579" i="2"/>
  <c r="G5595" i="2"/>
  <c r="G5584" i="2"/>
  <c r="D5778" i="2"/>
  <c r="E5764" i="2"/>
  <c r="E5778" i="2"/>
  <c r="D5764" i="2"/>
  <c r="E5447" i="2"/>
  <c r="E5433" i="2"/>
  <c r="D5447" i="2"/>
  <c r="D5412" i="2"/>
  <c r="E5412" i="2"/>
  <c r="D5433" i="2"/>
  <c r="E5224" i="2"/>
  <c r="D5245" i="2"/>
  <c r="D5259" i="2"/>
  <c r="D5224" i="2"/>
  <c r="E5259" i="2"/>
  <c r="E5245" i="2"/>
  <c r="D5529" i="2"/>
  <c r="D5543" i="2"/>
  <c r="E5529" i="2"/>
  <c r="E5543" i="2"/>
  <c r="G5816" i="2"/>
  <c r="G5810" i="2"/>
  <c r="G5826" i="2"/>
  <c r="G5823" i="2"/>
  <c r="E5822" i="2"/>
  <c r="G5832" i="2"/>
  <c r="G5817" i="2"/>
  <c r="G5811" i="2"/>
  <c r="G5820" i="2"/>
  <c r="G5814" i="2"/>
  <c r="G5830" i="2"/>
  <c r="G5831" i="2"/>
  <c r="D5822" i="2"/>
  <c r="G5805" i="2"/>
  <c r="G5821" i="2"/>
  <c r="G5819" i="2"/>
  <c r="G5824" i="2"/>
  <c r="G5818" i="2"/>
  <c r="G5807" i="2"/>
  <c r="G5808" i="2"/>
  <c r="D5808" i="2"/>
  <c r="G5809" i="2"/>
  <c r="G5825" i="2"/>
  <c r="G5827" i="2"/>
  <c r="G5812" i="2"/>
  <c r="G5806" i="2"/>
  <c r="G5822" i="2"/>
  <c r="G5815" i="2"/>
  <c r="E5808" i="2"/>
  <c r="G5828" i="2"/>
  <c r="G5813" i="2"/>
  <c r="G5829" i="2"/>
  <c r="D5682" i="2"/>
  <c r="D5647" i="2"/>
  <c r="E5647" i="2"/>
  <c r="E5668" i="2"/>
  <c r="E5682" i="2"/>
  <c r="D5668" i="2"/>
  <c r="D5619" i="2"/>
  <c r="D5633" i="2"/>
  <c r="E5619" i="2"/>
  <c r="E5633" i="2"/>
  <c r="D5445" i="2"/>
  <c r="D5431" i="2"/>
  <c r="E5445" i="2"/>
  <c r="E5431" i="2"/>
  <c r="D5257" i="2"/>
  <c r="E5243" i="2"/>
  <c r="E5257" i="2"/>
  <c r="D5243" i="2"/>
  <c r="E5496" i="2"/>
  <c r="D5482" i="2"/>
  <c r="D5496" i="2"/>
  <c r="E5482" i="2"/>
  <c r="G5774" i="2"/>
  <c r="G5759" i="2"/>
  <c r="G5768" i="2"/>
  <c r="G5784" i="2"/>
  <c r="G5773" i="2"/>
  <c r="G5771" i="2"/>
  <c r="E5775" i="2"/>
  <c r="G5758" i="2"/>
  <c r="G5778" i="2"/>
  <c r="G5767" i="2"/>
  <c r="G5772" i="2"/>
  <c r="G5761" i="2"/>
  <c r="G5777" i="2"/>
  <c r="G5779" i="2"/>
  <c r="D5761" i="2"/>
  <c r="G5762" i="2"/>
  <c r="G5782" i="2"/>
  <c r="G5775" i="2"/>
  <c r="G5776" i="2"/>
  <c r="G5765" i="2"/>
  <c r="G5781" i="2"/>
  <c r="G5760" i="2"/>
  <c r="E5761" i="2"/>
  <c r="G5766" i="2"/>
  <c r="G5763" i="2"/>
  <c r="G5783" i="2"/>
  <c r="G5780" i="2"/>
  <c r="G5769" i="2"/>
  <c r="G5785" i="2"/>
  <c r="G5764" i="2"/>
  <c r="D5775" i="2"/>
  <c r="G5770" i="2"/>
  <c r="G5503" i="2"/>
  <c r="G5478" i="2"/>
  <c r="G5477" i="2"/>
  <c r="G5493" i="2"/>
  <c r="G5498" i="2"/>
  <c r="G5488" i="2"/>
  <c r="E5479" i="2"/>
  <c r="G5487" i="2"/>
  <c r="G5476" i="2"/>
  <c r="G5494" i="2"/>
  <c r="G5481" i="2"/>
  <c r="G5497" i="2"/>
  <c r="G5486" i="2"/>
  <c r="G5492" i="2"/>
  <c r="E5493" i="2"/>
  <c r="G5491" i="2"/>
  <c r="G5495" i="2"/>
  <c r="G5502" i="2"/>
  <c r="G5496" i="2"/>
  <c r="G5485" i="2"/>
  <c r="G5501" i="2"/>
  <c r="G5480" i="2"/>
  <c r="D5479" i="2"/>
  <c r="G5479" i="2"/>
  <c r="G5499" i="2"/>
  <c r="G5490" i="2"/>
  <c r="G5500" i="2"/>
  <c r="G5489" i="2"/>
  <c r="G5482" i="2"/>
  <c r="G5484" i="2"/>
  <c r="D5493" i="2"/>
  <c r="G5483" i="2"/>
  <c r="D5400" i="2"/>
  <c r="E5386" i="2"/>
  <c r="E5400" i="2"/>
  <c r="D5365" i="2"/>
  <c r="E5365" i="2"/>
  <c r="D5386" i="2"/>
  <c r="E5788" i="2"/>
  <c r="D5809" i="2"/>
  <c r="D5788" i="2"/>
  <c r="D5823" i="2"/>
  <c r="E5823" i="2"/>
  <c r="E5809" i="2"/>
  <c r="D5635" i="2"/>
  <c r="E5600" i="2"/>
  <c r="E5635" i="2"/>
  <c r="D5600" i="2"/>
  <c r="D5621" i="2"/>
  <c r="E5621" i="2"/>
  <c r="E5446" i="2"/>
  <c r="G5445" i="2"/>
  <c r="G5450" i="2"/>
  <c r="G5430" i="2"/>
  <c r="G5429" i="2"/>
  <c r="G5439" i="2"/>
  <c r="G5455" i="2"/>
  <c r="G5444" i="2"/>
  <c r="D5432" i="2"/>
  <c r="G5449" i="2"/>
  <c r="G5438" i="2"/>
  <c r="G5446" i="2"/>
  <c r="G5433" i="2"/>
  <c r="G5443" i="2"/>
  <c r="G5432" i="2"/>
  <c r="G5448" i="2"/>
  <c r="D5446" i="2"/>
  <c r="G5437" i="2"/>
  <c r="G5453" i="2"/>
  <c r="G5454" i="2"/>
  <c r="G5452" i="2"/>
  <c r="G5431" i="2"/>
  <c r="G5447" i="2"/>
  <c r="G5436" i="2"/>
  <c r="E5432" i="2"/>
  <c r="G5441" i="2"/>
  <c r="G5434" i="2"/>
  <c r="G5442" i="2"/>
  <c r="G5456" i="2"/>
  <c r="G5435" i="2"/>
  <c r="G5451" i="2"/>
  <c r="G5440" i="2"/>
  <c r="D5572" i="2"/>
  <c r="E5572" i="2"/>
  <c r="D5586" i="2"/>
  <c r="E5586" i="2"/>
  <c r="D5398" i="2"/>
  <c r="E5384" i="2"/>
  <c r="D5384" i="2"/>
  <c r="E5398" i="2"/>
  <c r="E5576" i="2"/>
  <c r="E5590" i="2"/>
  <c r="D5590" i="2"/>
  <c r="D5576" i="2"/>
  <c r="E5807" i="2"/>
  <c r="D5807" i="2"/>
  <c r="E5821" i="2"/>
  <c r="D5821" i="2"/>
  <c r="E5811" i="2"/>
  <c r="D5811" i="2"/>
  <c r="D5825" i="2"/>
  <c r="E5825" i="2"/>
  <c r="D5385" i="2"/>
  <c r="G5393" i="2"/>
  <c r="G5409" i="2"/>
  <c r="G5406" i="2"/>
  <c r="G5404" i="2"/>
  <c r="G5383" i="2"/>
  <c r="G5399" i="2"/>
  <c r="G5388" i="2"/>
  <c r="D5399" i="2"/>
  <c r="G5397" i="2"/>
  <c r="G5386" i="2"/>
  <c r="G5394" i="2"/>
  <c r="G5408" i="2"/>
  <c r="G5387" i="2"/>
  <c r="G5403" i="2"/>
  <c r="G5392" i="2"/>
  <c r="E5399" i="2"/>
  <c r="G5401" i="2"/>
  <c r="G5402" i="2"/>
  <c r="G5382" i="2"/>
  <c r="G5385" i="2"/>
  <c r="G5391" i="2"/>
  <c r="G5407" i="2"/>
  <c r="G5396" i="2"/>
  <c r="E5385" i="2"/>
  <c r="G5405" i="2"/>
  <c r="G5390" i="2"/>
  <c r="G5398" i="2"/>
  <c r="G5389" i="2"/>
  <c r="G5395" i="2"/>
  <c r="G5384" i="2"/>
  <c r="G5400" i="2"/>
  <c r="D5506" i="2"/>
  <c r="E5527" i="2"/>
  <c r="D5527" i="2"/>
  <c r="E5506" i="2"/>
  <c r="E5541" i="2"/>
  <c r="D5541" i="2"/>
  <c r="D5353" i="2"/>
  <c r="D5318" i="2"/>
  <c r="E5353" i="2"/>
  <c r="E5339" i="2"/>
  <c r="E5318" i="2"/>
  <c r="D5339" i="2"/>
  <c r="E5731" i="2"/>
  <c r="D5731" i="2"/>
  <c r="D5717" i="2"/>
  <c r="E5717" i="2"/>
  <c r="E5355" i="2"/>
  <c r="D5341" i="2"/>
  <c r="E5341" i="2"/>
  <c r="D5355" i="2"/>
  <c r="D5762" i="2"/>
  <c r="E5776" i="2"/>
  <c r="E5741" i="2"/>
  <c r="D5741" i="2"/>
  <c r="D5776" i="2"/>
  <c r="E5762" i="2"/>
  <c r="E5728" i="2"/>
  <c r="G5725" i="2"/>
  <c r="G5724" i="2"/>
  <c r="G5735" i="2"/>
  <c r="G5722" i="2"/>
  <c r="G5712" i="2"/>
  <c r="G5733" i="2"/>
  <c r="G5720" i="2"/>
  <c r="D5714" i="2"/>
  <c r="G5713" i="2"/>
  <c r="G5729" i="2"/>
  <c r="G5737" i="2"/>
  <c r="G5731" i="2"/>
  <c r="G5727" i="2"/>
  <c r="G5718" i="2"/>
  <c r="G5730" i="2"/>
  <c r="D5728" i="2"/>
  <c r="G5717" i="2"/>
  <c r="G5714" i="2"/>
  <c r="G5715" i="2"/>
  <c r="G5711" i="2"/>
  <c r="G5732" i="2"/>
  <c r="G5723" i="2"/>
  <c r="G5734" i="2"/>
  <c r="E5714" i="2"/>
  <c r="G5721" i="2"/>
  <c r="G5719" i="2"/>
  <c r="G5726" i="2"/>
  <c r="G5716" i="2"/>
  <c r="G5736" i="2"/>
  <c r="G5728" i="2"/>
  <c r="G5738" i="2"/>
  <c r="G5338" i="2"/>
  <c r="G5344" i="2"/>
  <c r="E5352" i="2"/>
  <c r="G5339" i="2"/>
  <c r="G5355" i="2"/>
  <c r="G5346" i="2"/>
  <c r="G5360" i="2"/>
  <c r="G5349" i="2"/>
  <c r="G5354" i="2"/>
  <c r="G5348" i="2"/>
  <c r="D5352" i="2"/>
  <c r="G5343" i="2"/>
  <c r="G5359" i="2"/>
  <c r="G5362" i="2"/>
  <c r="G5337" i="2"/>
  <c r="G5353" i="2"/>
  <c r="G5342" i="2"/>
  <c r="G5352" i="2"/>
  <c r="D5338" i="2"/>
  <c r="G5347" i="2"/>
  <c r="G5336" i="2"/>
  <c r="G5350" i="2"/>
  <c r="G5341" i="2"/>
  <c r="G5357" i="2"/>
  <c r="G5361" i="2"/>
  <c r="G5340" i="2"/>
  <c r="E5338" i="2"/>
  <c r="G5335" i="2"/>
  <c r="G5351" i="2"/>
  <c r="G5358" i="2"/>
  <c r="G5356" i="2"/>
  <c r="G5345" i="2"/>
  <c r="D5539" i="2"/>
  <c r="D5525" i="2"/>
  <c r="E5539" i="2"/>
  <c r="E5525" i="2"/>
  <c r="D5351" i="2"/>
  <c r="D5337" i="2"/>
  <c r="E5337" i="2"/>
  <c r="E5351" i="2"/>
  <c r="D5684" i="2"/>
  <c r="D5670" i="2"/>
  <c r="E5670" i="2"/>
  <c r="E5684" i="2"/>
  <c r="D5308" i="2"/>
  <c r="E5308" i="2"/>
  <c r="D5294" i="2"/>
  <c r="E5294" i="2"/>
  <c r="D5760" i="2"/>
  <c r="E5774" i="2"/>
  <c r="E5760" i="2"/>
  <c r="D5774" i="2"/>
  <c r="G5680" i="2"/>
  <c r="G5687" i="2"/>
  <c r="D5681" i="2"/>
  <c r="G5677" i="2"/>
  <c r="G5666" i="2"/>
  <c r="G5683" i="2"/>
  <c r="G5668" i="2"/>
  <c r="G5690" i="2"/>
  <c r="G5664" i="2"/>
  <c r="G5671" i="2"/>
  <c r="E5681" i="2"/>
  <c r="G5665" i="2"/>
  <c r="G5681" i="2"/>
  <c r="G5686" i="2"/>
  <c r="G5667" i="2"/>
  <c r="G5674" i="2"/>
  <c r="G5670" i="2"/>
  <c r="G5676" i="2"/>
  <c r="D5667" i="2"/>
  <c r="G5669" i="2"/>
  <c r="G5685" i="2"/>
  <c r="G5691" i="2"/>
  <c r="G5678" i="2"/>
  <c r="G5679" i="2"/>
  <c r="G5675" i="2"/>
  <c r="G5682" i="2"/>
  <c r="E5667" i="2"/>
  <c r="G5673" i="2"/>
  <c r="G5689" i="2"/>
  <c r="G5672" i="2"/>
  <c r="G5688" i="2"/>
  <c r="G5684" i="2"/>
  <c r="G5312" i="2"/>
  <c r="G5301" i="2"/>
  <c r="G5290" i="2"/>
  <c r="G5296" i="2"/>
  <c r="E5291" i="2"/>
  <c r="G5295" i="2"/>
  <c r="G5311" i="2"/>
  <c r="G5298" i="2"/>
  <c r="G5289" i="2"/>
  <c r="G5305" i="2"/>
  <c r="G5306" i="2"/>
  <c r="G5300" i="2"/>
  <c r="D5305" i="2"/>
  <c r="G5299" i="2"/>
  <c r="G5315" i="2"/>
  <c r="G5314" i="2"/>
  <c r="G5293" i="2"/>
  <c r="G5309" i="2"/>
  <c r="G5294" i="2"/>
  <c r="G5304" i="2"/>
  <c r="E5305" i="2"/>
  <c r="G5303" i="2"/>
  <c r="G5288" i="2"/>
  <c r="G5302" i="2"/>
  <c r="G5308" i="2"/>
  <c r="G5297" i="2"/>
  <c r="G5313" i="2"/>
  <c r="G5292" i="2"/>
  <c r="D5291" i="2"/>
  <c r="G5291" i="2"/>
  <c r="G5307" i="2"/>
  <c r="G5310" i="2"/>
  <c r="D5480" i="2"/>
  <c r="D5494" i="2"/>
  <c r="E5480" i="2"/>
  <c r="D5459" i="2"/>
  <c r="E5494" i="2"/>
  <c r="E5459" i="2"/>
  <c r="D5271" i="2"/>
  <c r="D5306" i="2"/>
  <c r="E5271" i="2"/>
  <c r="E5306" i="2"/>
  <c r="E5292" i="2"/>
  <c r="D5292" i="2"/>
  <c r="D5449" i="2"/>
  <c r="E5435" i="2"/>
  <c r="E5449" i="2"/>
  <c r="D5435" i="2"/>
  <c r="G5549" i="2"/>
  <c r="G5528" i="2"/>
  <c r="E5526" i="2"/>
  <c r="G5523" i="2"/>
  <c r="G5539" i="2"/>
  <c r="G5550" i="2"/>
  <c r="G5544" i="2"/>
  <c r="G5533" i="2"/>
  <c r="G5530" i="2"/>
  <c r="G5532" i="2"/>
  <c r="D5540" i="2"/>
  <c r="G5527" i="2"/>
  <c r="G5543" i="2"/>
  <c r="G5538" i="2"/>
  <c r="G5548" i="2"/>
  <c r="G5537" i="2"/>
  <c r="G5546" i="2"/>
  <c r="G5536" i="2"/>
  <c r="E5540" i="2"/>
  <c r="G5531" i="2"/>
  <c r="G5547" i="2"/>
  <c r="G5526" i="2"/>
  <c r="G5525" i="2"/>
  <c r="G5541" i="2"/>
  <c r="G5534" i="2"/>
  <c r="G5540" i="2"/>
  <c r="D5526" i="2"/>
  <c r="G5535" i="2"/>
  <c r="G5524" i="2"/>
  <c r="G5542" i="2"/>
  <c r="G5529" i="2"/>
  <c r="G5545" i="2"/>
  <c r="D5574" i="2"/>
  <c r="D5588" i="2"/>
  <c r="D5553" i="2"/>
  <c r="E5553" i="2"/>
  <c r="E5574" i="2"/>
  <c r="E5588" i="2"/>
  <c r="D5247" i="2"/>
  <c r="D5261" i="2"/>
  <c r="E5261" i="2"/>
  <c r="E5247" i="2"/>
  <c r="D5666" i="2"/>
  <c r="D5680" i="2"/>
  <c r="E5666" i="2"/>
  <c r="E5680" i="2"/>
  <c r="D5637" i="2"/>
  <c r="D5623" i="2"/>
  <c r="E5637" i="2"/>
  <c r="E5623" i="2"/>
  <c r="E5456" i="2" l="1"/>
  <c r="E5442" i="2"/>
  <c r="D5456" i="2"/>
  <c r="D5442" i="2"/>
  <c r="E5489" i="2"/>
  <c r="D5503" i="2"/>
  <c r="D5489" i="2"/>
  <c r="E5503" i="2"/>
  <c r="D5738" i="2"/>
  <c r="E5738" i="2"/>
  <c r="D5724" i="2"/>
  <c r="E5724" i="2"/>
  <c r="D5771" i="2"/>
  <c r="E5771" i="2"/>
  <c r="E5785" i="2"/>
  <c r="D5785" i="2"/>
  <c r="E5266" i="2"/>
  <c r="E5252" i="2"/>
  <c r="D5252" i="2"/>
  <c r="D5266" i="2"/>
  <c r="E5624" i="2"/>
  <c r="D5624" i="2"/>
  <c r="D5638" i="2"/>
  <c r="E5638" i="2"/>
  <c r="D5625" i="2"/>
  <c r="E5625" i="2"/>
  <c r="E5639" i="2"/>
  <c r="D5639" i="2"/>
  <c r="E5486" i="2"/>
  <c r="E5500" i="2"/>
  <c r="D5500" i="2"/>
  <c r="D5486" i="2"/>
  <c r="E5530" i="2"/>
  <c r="D5530" i="2"/>
  <c r="D5544" i="2"/>
  <c r="E5544" i="2"/>
  <c r="D5549" i="2"/>
  <c r="E5549" i="2"/>
  <c r="E5535" i="2"/>
  <c r="D5535" i="2"/>
  <c r="D5784" i="2"/>
  <c r="E5784" i="2"/>
  <c r="E5770" i="2"/>
  <c r="D5770" i="2"/>
  <c r="E5404" i="2"/>
  <c r="E5390" i="2"/>
  <c r="D5404" i="2"/>
  <c r="D5390" i="2"/>
  <c r="D5391" i="2"/>
  <c r="E5391" i="2"/>
  <c r="E5405" i="2"/>
  <c r="D5405" i="2"/>
  <c r="D5440" i="2"/>
  <c r="D5454" i="2"/>
  <c r="E5440" i="2"/>
  <c r="E5454" i="2"/>
  <c r="D5310" i="2"/>
  <c r="D5296" i="2"/>
  <c r="E5296" i="2"/>
  <c r="E5310" i="2"/>
  <c r="E5297" i="2"/>
  <c r="D5311" i="2"/>
  <c r="E5311" i="2"/>
  <c r="D5297" i="2"/>
  <c r="E5688" i="2"/>
  <c r="E5674" i="2"/>
  <c r="D5688" i="2"/>
  <c r="D5674" i="2"/>
  <c r="E5343" i="2"/>
  <c r="D5357" i="2"/>
  <c r="E5357" i="2"/>
  <c r="D5343" i="2"/>
  <c r="D5360" i="2"/>
  <c r="E5360" i="2"/>
  <c r="D5346" i="2"/>
  <c r="E5346" i="2"/>
  <c r="E5737" i="2"/>
  <c r="D5723" i="2"/>
  <c r="E5723" i="2"/>
  <c r="D5737" i="2"/>
  <c r="D5816" i="2"/>
  <c r="D5830" i="2"/>
  <c r="E5816" i="2"/>
  <c r="E5830" i="2"/>
  <c r="D5815" i="2"/>
  <c r="E5829" i="2"/>
  <c r="D5829" i="2"/>
  <c r="E5815" i="2"/>
  <c r="D5579" i="2"/>
  <c r="D5593" i="2"/>
  <c r="E5593" i="2"/>
  <c r="E5579" i="2"/>
  <c r="D5315" i="2"/>
  <c r="E5301" i="2"/>
  <c r="E5315" i="2"/>
  <c r="D5301" i="2"/>
  <c r="E5409" i="2"/>
  <c r="D5409" i="2"/>
  <c r="D5395" i="2"/>
  <c r="E5395" i="2"/>
  <c r="D5832" i="2"/>
  <c r="E5818" i="2"/>
  <c r="D5818" i="2"/>
  <c r="E5832" i="2"/>
  <c r="D5267" i="2"/>
  <c r="D5253" i="2"/>
  <c r="E5267" i="2"/>
  <c r="E5253" i="2"/>
  <c r="D5263" i="2"/>
  <c r="E5249" i="2"/>
  <c r="D5249" i="2"/>
  <c r="E5263" i="2"/>
  <c r="D5640" i="2"/>
  <c r="D5626" i="2"/>
  <c r="E5626" i="2"/>
  <c r="E5640" i="2"/>
  <c r="E5483" i="2"/>
  <c r="D5483" i="2"/>
  <c r="D5497" i="2"/>
  <c r="E5497" i="2"/>
  <c r="D5484" i="2"/>
  <c r="E5498" i="2"/>
  <c r="D5498" i="2"/>
  <c r="E5484" i="2"/>
  <c r="D5546" i="2"/>
  <c r="D5532" i="2"/>
  <c r="E5532" i="2"/>
  <c r="E5546" i="2"/>
  <c r="E5782" i="2"/>
  <c r="D5768" i="2"/>
  <c r="D5782" i="2"/>
  <c r="E5768" i="2"/>
  <c r="E5769" i="2"/>
  <c r="D5769" i="2"/>
  <c r="D5783" i="2"/>
  <c r="E5783" i="2"/>
  <c r="D5403" i="2"/>
  <c r="E5403" i="2"/>
  <c r="D5389" i="2"/>
  <c r="E5389" i="2"/>
  <c r="E5453" i="2"/>
  <c r="E5439" i="2"/>
  <c r="D5453" i="2"/>
  <c r="D5439" i="2"/>
  <c r="D5441" i="2"/>
  <c r="E5441" i="2"/>
  <c r="E5455" i="2"/>
  <c r="D5455" i="2"/>
  <c r="D5295" i="2"/>
  <c r="E5295" i="2"/>
  <c r="D5309" i="2"/>
  <c r="E5309" i="2"/>
  <c r="E5671" i="2"/>
  <c r="E5685" i="2"/>
  <c r="D5685" i="2"/>
  <c r="D5671" i="2"/>
  <c r="D5687" i="2"/>
  <c r="D5673" i="2"/>
  <c r="E5687" i="2"/>
  <c r="E5673" i="2"/>
  <c r="E5345" i="2"/>
  <c r="D5345" i="2"/>
  <c r="D5359" i="2"/>
  <c r="E5359" i="2"/>
  <c r="E5734" i="2"/>
  <c r="E5720" i="2"/>
  <c r="D5720" i="2"/>
  <c r="D5734" i="2"/>
  <c r="E5719" i="2"/>
  <c r="D5719" i="2"/>
  <c r="D5733" i="2"/>
  <c r="E5733" i="2"/>
  <c r="E5812" i="2"/>
  <c r="D5812" i="2"/>
  <c r="E5826" i="2"/>
  <c r="D5826" i="2"/>
  <c r="D5577" i="2"/>
  <c r="E5577" i="2"/>
  <c r="E5591" i="2"/>
  <c r="D5591" i="2"/>
  <c r="E5580" i="2"/>
  <c r="E5594" i="2"/>
  <c r="D5594" i="2"/>
  <c r="D5580" i="2"/>
  <c r="D5362" i="2"/>
  <c r="D5348" i="2"/>
  <c r="E5362" i="2"/>
  <c r="E5348" i="2"/>
  <c r="D5630" i="2"/>
  <c r="D5644" i="2"/>
  <c r="E5630" i="2"/>
  <c r="E5644" i="2"/>
  <c r="D5597" i="2"/>
  <c r="E5597" i="2"/>
  <c r="E5583" i="2"/>
  <c r="D5583" i="2"/>
  <c r="E5251" i="2"/>
  <c r="E5265" i="2"/>
  <c r="D5265" i="2"/>
  <c r="D5251" i="2"/>
  <c r="E5250" i="2"/>
  <c r="E5264" i="2"/>
  <c r="D5250" i="2"/>
  <c r="D5264" i="2"/>
  <c r="E5642" i="2"/>
  <c r="D5642" i="2"/>
  <c r="E5628" i="2"/>
  <c r="D5628" i="2"/>
  <c r="E5499" i="2"/>
  <c r="D5499" i="2"/>
  <c r="E5485" i="2"/>
  <c r="D5485" i="2"/>
  <c r="E5488" i="2"/>
  <c r="D5488" i="2"/>
  <c r="D5502" i="2"/>
  <c r="E5502" i="2"/>
  <c r="D5548" i="2"/>
  <c r="E5548" i="2"/>
  <c r="D5534" i="2"/>
  <c r="E5534" i="2"/>
  <c r="D5766" i="2"/>
  <c r="E5766" i="2"/>
  <c r="E5780" i="2"/>
  <c r="D5780" i="2"/>
  <c r="D5767" i="2"/>
  <c r="E5781" i="2"/>
  <c r="D5781" i="2"/>
  <c r="E5767" i="2"/>
  <c r="E5408" i="2"/>
  <c r="D5394" i="2"/>
  <c r="D5408" i="2"/>
  <c r="E5394" i="2"/>
  <c r="D5450" i="2"/>
  <c r="E5436" i="2"/>
  <c r="E5450" i="2"/>
  <c r="D5436" i="2"/>
  <c r="D5437" i="2"/>
  <c r="D5451" i="2"/>
  <c r="E5437" i="2"/>
  <c r="E5451" i="2"/>
  <c r="E5300" i="2"/>
  <c r="E5314" i="2"/>
  <c r="D5300" i="2"/>
  <c r="D5314" i="2"/>
  <c r="E5690" i="2"/>
  <c r="E5676" i="2"/>
  <c r="D5690" i="2"/>
  <c r="D5676" i="2"/>
  <c r="E5672" i="2"/>
  <c r="E5686" i="2"/>
  <c r="D5672" i="2"/>
  <c r="D5686" i="2"/>
  <c r="E5347" i="2"/>
  <c r="E5361" i="2"/>
  <c r="D5347" i="2"/>
  <c r="D5361" i="2"/>
  <c r="D5718" i="2"/>
  <c r="D5732" i="2"/>
  <c r="E5718" i="2"/>
  <c r="E5732" i="2"/>
  <c r="D5721" i="2"/>
  <c r="E5735" i="2"/>
  <c r="E5721" i="2"/>
  <c r="D5735" i="2"/>
  <c r="D5827" i="2"/>
  <c r="E5813" i="2"/>
  <c r="D5813" i="2"/>
  <c r="E5827" i="2"/>
  <c r="E5596" i="2"/>
  <c r="D5582" i="2"/>
  <c r="E5582" i="2"/>
  <c r="D5596" i="2"/>
  <c r="E5592" i="2"/>
  <c r="E5578" i="2"/>
  <c r="D5592" i="2"/>
  <c r="D5578" i="2"/>
  <c r="E5254" i="2"/>
  <c r="D5254" i="2"/>
  <c r="D5268" i="2"/>
  <c r="E5268" i="2"/>
  <c r="E5691" i="2"/>
  <c r="D5677" i="2"/>
  <c r="D5691" i="2"/>
  <c r="E5677" i="2"/>
  <c r="E5536" i="2"/>
  <c r="E5550" i="2"/>
  <c r="D5550" i="2"/>
  <c r="D5536" i="2"/>
  <c r="E5248" i="2"/>
  <c r="D5248" i="2"/>
  <c r="D5262" i="2"/>
  <c r="E5262" i="2"/>
  <c r="D5627" i="2"/>
  <c r="D5641" i="2"/>
  <c r="E5627" i="2"/>
  <c r="E5641" i="2"/>
  <c r="D5643" i="2"/>
  <c r="E5643" i="2"/>
  <c r="E5629" i="2"/>
  <c r="D5629" i="2"/>
  <c r="E5501" i="2"/>
  <c r="E5487" i="2"/>
  <c r="D5501" i="2"/>
  <c r="D5487" i="2"/>
  <c r="D5547" i="2"/>
  <c r="D5533" i="2"/>
  <c r="E5533" i="2"/>
  <c r="E5547" i="2"/>
  <c r="E5545" i="2"/>
  <c r="E5531" i="2"/>
  <c r="D5531" i="2"/>
  <c r="D5545" i="2"/>
  <c r="E5779" i="2"/>
  <c r="D5779" i="2"/>
  <c r="D5765" i="2"/>
  <c r="E5765" i="2"/>
  <c r="D5406" i="2"/>
  <c r="E5392" i="2"/>
  <c r="D5392" i="2"/>
  <c r="E5406" i="2"/>
  <c r="D5407" i="2"/>
  <c r="E5393" i="2"/>
  <c r="D5393" i="2"/>
  <c r="E5407" i="2"/>
  <c r="E5438" i="2"/>
  <c r="E5452" i="2"/>
  <c r="D5438" i="2"/>
  <c r="D5452" i="2"/>
  <c r="D5298" i="2"/>
  <c r="D5312" i="2"/>
  <c r="E5298" i="2"/>
  <c r="E5312" i="2"/>
  <c r="E5299" i="2"/>
  <c r="E5313" i="2"/>
  <c r="D5299" i="2"/>
  <c r="D5313" i="2"/>
  <c r="E5689" i="2"/>
  <c r="E5675" i="2"/>
  <c r="D5689" i="2"/>
  <c r="D5675" i="2"/>
  <c r="E5358" i="2"/>
  <c r="E5344" i="2"/>
  <c r="D5344" i="2"/>
  <c r="D5358" i="2"/>
  <c r="D5356" i="2"/>
  <c r="E5342" i="2"/>
  <c r="D5342" i="2"/>
  <c r="E5356" i="2"/>
  <c r="E5736" i="2"/>
  <c r="D5722" i="2"/>
  <c r="D5736" i="2"/>
  <c r="E5722" i="2"/>
  <c r="D5828" i="2"/>
  <c r="D5814" i="2"/>
  <c r="E5828" i="2"/>
  <c r="E5814" i="2"/>
  <c r="E5831" i="2"/>
  <c r="D5817" i="2"/>
  <c r="E5817" i="2"/>
  <c r="D5831" i="2"/>
  <c r="D5595" i="2"/>
  <c r="E5595" i="2"/>
  <c r="E5581" i="2"/>
  <c r="D5581" i="2"/>
  <c r="E5570" i="2" l="1"/>
  <c r="E5584" i="2"/>
  <c r="D5584" i="2"/>
  <c r="D5570" i="2"/>
  <c r="D5255" i="2"/>
  <c r="D5241" i="2"/>
  <c r="E5255" i="2"/>
  <c r="E5241" i="2"/>
  <c r="D5758" i="2"/>
  <c r="E5758" i="2"/>
  <c r="D5772" i="2"/>
  <c r="E5772" i="2"/>
  <c r="D5335" i="2"/>
  <c r="D5349" i="2"/>
  <c r="E5335" i="2"/>
  <c r="E5349" i="2"/>
  <c r="D5443" i="2"/>
  <c r="E5429" i="2"/>
  <c r="E5443" i="2"/>
  <c r="D5429" i="2"/>
  <c r="E5476" i="2"/>
  <c r="E5490" i="2"/>
  <c r="D5476" i="2"/>
  <c r="D5490" i="2"/>
  <c r="E5617" i="2"/>
  <c r="D5617" i="2"/>
  <c r="E5631" i="2"/>
  <c r="D5631" i="2"/>
  <c r="E5302" i="2"/>
  <c r="D5288" i="2"/>
  <c r="E5288" i="2"/>
  <c r="D5302" i="2"/>
  <c r="D5678" i="2"/>
  <c r="E5664" i="2"/>
  <c r="D5664" i="2"/>
  <c r="E5678" i="2"/>
  <c r="E5725" i="2"/>
  <c r="D5725" i="2"/>
  <c r="E5711" i="2"/>
  <c r="D5711" i="2"/>
  <c r="E5396" i="2"/>
  <c r="E5382" i="2"/>
  <c r="D5382" i="2"/>
  <c r="D5396" i="2"/>
  <c r="D5805" i="2"/>
  <c r="D5819" i="2"/>
  <c r="E5819" i="2"/>
  <c r="E5805" i="2"/>
  <c r="E5537" i="2"/>
  <c r="D5537" i="2"/>
  <c r="E5523" i="2"/>
  <c r="D5523" i="2"/>
  <c r="E5645" i="2" l="1"/>
  <c r="D5645" i="2"/>
  <c r="D5269" i="2"/>
  <c r="E5269" i="2"/>
  <c r="D5551" i="2"/>
  <c r="E5551" i="2"/>
  <c r="G5552" i="2"/>
  <c r="G5554" i="2"/>
  <c r="G5556" i="2"/>
  <c r="G5561" i="2"/>
  <c r="G5568" i="2"/>
  <c r="G5555" i="2"/>
  <c r="G5562" i="2"/>
  <c r="G5557" i="2"/>
  <c r="G5559" i="2"/>
  <c r="G5569" i="2"/>
  <c r="G5563" i="2"/>
  <c r="G5565" i="2"/>
  <c r="G5551" i="2"/>
  <c r="D5552" i="2"/>
  <c r="G5567" i="2"/>
  <c r="G5558" i="2"/>
  <c r="E5552" i="2"/>
  <c r="G5564" i="2"/>
  <c r="G5553" i="2"/>
  <c r="G5566" i="2"/>
  <c r="G5560" i="2"/>
  <c r="G5415" i="2"/>
  <c r="G5420" i="2"/>
  <c r="G5424" i="2"/>
  <c r="G5414" i="2"/>
  <c r="G5418" i="2"/>
  <c r="G5410" i="2"/>
  <c r="G5423" i="2"/>
  <c r="G5426" i="2"/>
  <c r="G5427" i="2"/>
  <c r="G5421" i="2"/>
  <c r="G5428" i="2"/>
  <c r="G5422" i="2"/>
  <c r="G5425" i="2"/>
  <c r="G5411" i="2"/>
  <c r="D5411" i="2"/>
  <c r="G5413" i="2"/>
  <c r="G5419" i="2"/>
  <c r="E5411" i="2"/>
  <c r="G5416" i="2"/>
  <c r="G5412" i="2"/>
  <c r="G5417" i="2"/>
  <c r="G5275" i="2"/>
  <c r="E5270" i="2"/>
  <c r="G5276" i="2"/>
  <c r="G5272" i="2"/>
  <c r="G5274" i="2"/>
  <c r="G5282" i="2"/>
  <c r="G5284" i="2"/>
  <c r="G5270" i="2"/>
  <c r="G5271" i="2"/>
  <c r="G5278" i="2"/>
  <c r="G5273" i="2"/>
  <c r="G5280" i="2"/>
  <c r="G5277" i="2"/>
  <c r="G5285" i="2"/>
  <c r="G5279" i="2"/>
  <c r="G5269" i="2"/>
  <c r="G5286" i="2"/>
  <c r="G5281" i="2"/>
  <c r="G5283" i="2"/>
  <c r="G5287" i="2"/>
  <c r="D5270" i="2"/>
  <c r="D5363" i="2"/>
  <c r="E5363" i="2"/>
  <c r="G5223" i="2"/>
  <c r="D5223" i="2"/>
  <c r="G5239" i="2"/>
  <c r="G5232" i="2"/>
  <c r="G5228" i="2"/>
  <c r="G5237" i="2"/>
  <c r="G5226" i="2"/>
  <c r="G5231" i="2"/>
  <c r="G5234" i="2"/>
  <c r="G5236" i="2"/>
  <c r="G5233" i="2"/>
  <c r="G5224" i="2"/>
  <c r="E5223" i="2"/>
  <c r="G5225" i="2"/>
  <c r="G5222" i="2"/>
  <c r="G5235" i="2"/>
  <c r="G5229" i="2"/>
  <c r="G5238" i="2"/>
  <c r="G5240" i="2"/>
  <c r="G5230" i="2"/>
  <c r="G5227" i="2"/>
  <c r="D5786" i="2"/>
  <c r="E5786" i="2"/>
  <c r="D5504" i="2"/>
  <c r="E5504" i="2"/>
  <c r="D5410" i="2"/>
  <c r="E5410" i="2"/>
  <c r="G5647" i="2"/>
  <c r="G5659" i="2"/>
  <c r="G5646" i="2"/>
  <c r="G5648" i="2"/>
  <c r="G5645" i="2"/>
  <c r="G5657" i="2"/>
  <c r="G5651" i="2"/>
  <c r="G5660" i="2"/>
  <c r="G5655" i="2"/>
  <c r="G5649" i="2"/>
  <c r="G5658" i="2"/>
  <c r="G5656" i="2"/>
  <c r="E5646" i="2"/>
  <c r="D5646" i="2"/>
  <c r="G5652" i="2"/>
  <c r="G5654" i="2"/>
  <c r="G5661" i="2"/>
  <c r="G5662" i="2"/>
  <c r="G5650" i="2"/>
  <c r="G5663" i="2"/>
  <c r="G5653" i="2"/>
  <c r="G5787" i="2"/>
  <c r="G5789" i="2"/>
  <c r="G5797" i="2"/>
  <c r="G5786" i="2"/>
  <c r="E5787" i="2"/>
  <c r="G5795" i="2"/>
  <c r="G5792" i="2"/>
  <c r="G5800" i="2"/>
  <c r="G5794" i="2"/>
  <c r="G5804" i="2"/>
  <c r="G5798" i="2"/>
  <c r="G5793" i="2"/>
  <c r="G5791" i="2"/>
  <c r="G5790" i="2"/>
  <c r="G5788" i="2"/>
  <c r="D5787" i="2"/>
  <c r="G5801" i="2"/>
  <c r="G5796" i="2"/>
  <c r="G5802" i="2"/>
  <c r="G5799" i="2"/>
  <c r="G5803" i="2"/>
  <c r="G5517" i="2"/>
  <c r="D5505" i="2"/>
  <c r="G5511" i="2"/>
  <c r="G5518" i="2"/>
  <c r="G5512" i="2"/>
  <c r="G5514" i="2"/>
  <c r="G5510" i="2"/>
  <c r="G5508" i="2"/>
  <c r="G5504" i="2"/>
  <c r="G5513" i="2"/>
  <c r="G5520" i="2"/>
  <c r="G5506" i="2"/>
  <c r="G5516" i="2"/>
  <c r="G5519" i="2"/>
  <c r="G5515" i="2"/>
  <c r="G5507" i="2"/>
  <c r="G5509" i="2"/>
  <c r="G5505" i="2"/>
  <c r="E5505" i="2"/>
  <c r="G5521" i="2"/>
  <c r="G5522" i="2"/>
  <c r="D5739" i="2"/>
  <c r="E5739" i="2"/>
  <c r="E5740" i="2"/>
  <c r="G5745" i="2"/>
  <c r="G5754" i="2"/>
  <c r="G5743" i="2"/>
  <c r="D5740" i="2"/>
  <c r="G5747" i="2"/>
  <c r="G5753" i="2"/>
  <c r="G5742" i="2"/>
  <c r="G5741" i="2"/>
  <c r="G5752" i="2"/>
  <c r="G5748" i="2"/>
  <c r="G5749" i="2"/>
  <c r="G5755" i="2"/>
  <c r="G5750" i="2"/>
  <c r="G5744" i="2"/>
  <c r="G5751" i="2"/>
  <c r="G5740" i="2"/>
  <c r="G5746" i="2"/>
  <c r="G5756" i="2"/>
  <c r="G5757" i="2"/>
  <c r="G5739" i="2"/>
  <c r="D5692" i="2"/>
  <c r="E5692" i="2"/>
  <c r="D5457" i="2"/>
  <c r="E5457" i="2"/>
  <c r="E5316" i="2"/>
  <c r="D5316" i="2"/>
  <c r="E5222" i="2"/>
  <c r="D5222" i="2"/>
  <c r="G5707" i="2"/>
  <c r="G5694" i="2"/>
  <c r="G5693" i="2"/>
  <c r="G5701" i="2"/>
  <c r="G5695" i="2"/>
  <c r="G5703" i="2"/>
  <c r="G5704" i="2"/>
  <c r="G5705" i="2"/>
  <c r="G5706" i="2"/>
  <c r="G5696" i="2"/>
  <c r="G5710" i="2"/>
  <c r="G5702" i="2"/>
  <c r="G5700" i="2"/>
  <c r="G5698" i="2"/>
  <c r="G5699" i="2"/>
  <c r="E5693" i="2"/>
  <c r="G5692" i="2"/>
  <c r="G5697" i="2"/>
  <c r="G5708" i="2"/>
  <c r="D5693" i="2"/>
  <c r="G5709" i="2"/>
  <c r="G5599" i="2"/>
  <c r="G5608" i="2"/>
  <c r="G5610" i="2"/>
  <c r="G5611" i="2"/>
  <c r="G5598" i="2"/>
  <c r="G5605" i="2"/>
  <c r="G5602" i="2"/>
  <c r="G5600" i="2"/>
  <c r="G5615" i="2"/>
  <c r="G5616" i="2"/>
  <c r="G5614" i="2"/>
  <c r="G5612" i="2"/>
  <c r="E5599" i="2"/>
  <c r="G5607" i="2"/>
  <c r="G5601" i="2"/>
  <c r="G5613" i="2"/>
  <c r="D5599" i="2"/>
  <c r="G5606" i="2"/>
  <c r="G5604" i="2"/>
  <c r="G5609" i="2"/>
  <c r="G5603" i="2"/>
  <c r="G5472" i="2"/>
  <c r="G5473" i="2"/>
  <c r="G5466" i="2"/>
  <c r="G5458" i="2"/>
  <c r="G5470" i="2"/>
  <c r="G5463" i="2"/>
  <c r="G5471" i="2"/>
  <c r="G5460" i="2"/>
  <c r="E5458" i="2"/>
  <c r="G5467" i="2"/>
  <c r="G5468" i="2"/>
  <c r="G5465" i="2"/>
  <c r="G5474" i="2"/>
  <c r="G5457" i="2"/>
  <c r="G5461" i="2"/>
  <c r="G5469" i="2"/>
  <c r="G5459" i="2"/>
  <c r="D5458" i="2"/>
  <c r="G5475" i="2"/>
  <c r="G5464" i="2"/>
  <c r="G5462" i="2"/>
  <c r="G5325" i="2"/>
  <c r="G5320" i="2"/>
  <c r="G5317" i="2"/>
  <c r="G5322" i="2"/>
  <c r="G5326" i="2"/>
  <c r="G5318" i="2"/>
  <c r="G5330" i="2"/>
  <c r="G5328" i="2"/>
  <c r="G5333" i="2"/>
  <c r="G5319" i="2"/>
  <c r="E5317" i="2"/>
  <c r="G5331" i="2"/>
  <c r="G5334" i="2"/>
  <c r="G5327" i="2"/>
  <c r="G5324" i="2"/>
  <c r="G5321" i="2"/>
  <c r="G5329" i="2"/>
  <c r="G5316" i="2"/>
  <c r="G5323" i="2"/>
  <c r="D5317" i="2"/>
  <c r="G5332" i="2"/>
  <c r="E5598" i="2"/>
  <c r="D5598" i="2"/>
  <c r="G5369" i="2"/>
  <c r="G5375" i="2"/>
  <c r="G5376" i="2"/>
  <c r="G5381" i="2"/>
  <c r="D5364" i="2"/>
  <c r="G5372" i="2"/>
  <c r="G5377" i="2"/>
  <c r="G5379" i="2"/>
  <c r="G5365" i="2"/>
  <c r="G5364" i="2"/>
  <c r="G5374" i="2"/>
  <c r="G5370" i="2"/>
  <c r="G5371" i="2"/>
  <c r="G5363" i="2"/>
  <c r="G5368" i="2"/>
  <c r="G5367" i="2"/>
  <c r="G5380" i="2"/>
  <c r="E5364" i="2"/>
  <c r="G5378" i="2"/>
  <c r="G5373" i="2"/>
  <c r="G5366" i="2"/>
  <c r="D5561" i="2" l="1"/>
  <c r="E5561" i="2"/>
  <c r="D5326" i="2"/>
  <c r="E5326" i="2"/>
  <c r="E5514" i="2"/>
  <c r="D5514" i="2"/>
  <c r="E5608" i="2"/>
  <c r="D5608" i="2"/>
  <c r="E5231" i="2"/>
  <c r="D5231" i="2"/>
  <c r="D5414" i="2"/>
  <c r="E5414" i="2"/>
  <c r="E5416" i="2"/>
  <c r="D5416" i="2"/>
  <c r="D5369" i="2"/>
  <c r="E5369" i="2"/>
  <c r="D5560" i="2"/>
  <c r="E5560" i="2"/>
  <c r="E5558" i="2"/>
  <c r="D5558" i="2"/>
  <c r="D5324" i="2"/>
  <c r="E5324" i="2"/>
  <c r="D5508" i="2"/>
  <c r="E5508" i="2"/>
  <c r="D5510" i="2"/>
  <c r="E5510" i="2"/>
  <c r="E5745" i="2"/>
  <c r="D5745" i="2"/>
  <c r="D5278" i="2"/>
  <c r="E5278" i="2"/>
  <c r="E5277" i="2"/>
  <c r="D5277" i="2"/>
  <c r="D5463" i="2"/>
  <c r="E5463" i="2"/>
  <c r="D5790" i="2"/>
  <c r="E5790" i="2"/>
  <c r="E5792" i="2"/>
  <c r="D5792" i="2"/>
  <c r="D5603" i="2"/>
  <c r="E5603" i="2"/>
  <c r="D5654" i="2"/>
  <c r="E5654" i="2"/>
  <c r="D5652" i="2"/>
  <c r="E5652" i="2"/>
  <c r="E5697" i="2"/>
  <c r="D5697" i="2"/>
  <c r="E5279" i="2"/>
  <c r="D5279" i="2"/>
  <c r="E5467" i="2"/>
  <c r="D5467" i="2"/>
  <c r="E5796" i="2"/>
  <c r="D5796" i="2"/>
  <c r="E5228" i="2"/>
  <c r="D5228" i="2"/>
  <c r="D5229" i="2"/>
  <c r="E5229" i="2"/>
  <c r="E5418" i="2"/>
  <c r="D5418" i="2"/>
  <c r="E5368" i="2"/>
  <c r="D5368" i="2"/>
  <c r="D5367" i="2"/>
  <c r="E5367" i="2"/>
  <c r="D5559" i="2"/>
  <c r="E5559" i="2"/>
  <c r="D5323" i="2"/>
  <c r="E5323" i="2"/>
  <c r="E5321" i="2"/>
  <c r="D5321" i="2"/>
  <c r="D5512" i="2"/>
  <c r="E5512" i="2"/>
  <c r="D5744" i="2"/>
  <c r="E5744" i="2"/>
  <c r="E5743" i="2"/>
  <c r="D5743" i="2"/>
  <c r="D5275" i="2"/>
  <c r="E5275" i="2"/>
  <c r="D5462" i="2"/>
  <c r="E5462" i="2"/>
  <c r="E5461" i="2"/>
  <c r="D5461" i="2"/>
  <c r="D5794" i="2"/>
  <c r="E5794" i="2"/>
  <c r="D5605" i="2"/>
  <c r="E5605" i="2"/>
  <c r="E5607" i="2"/>
  <c r="D5607" i="2"/>
  <c r="D5653" i="2"/>
  <c r="E5653" i="2"/>
  <c r="D5699" i="2"/>
  <c r="E5699" i="2"/>
  <c r="D5701" i="2"/>
  <c r="E5701" i="2"/>
  <c r="E5655" i="2"/>
  <c r="D5655" i="2"/>
  <c r="D5702" i="2"/>
  <c r="E5702" i="2"/>
  <c r="E5373" i="2"/>
  <c r="D5373" i="2"/>
  <c r="E5226" i="2"/>
  <c r="D5226" i="2"/>
  <c r="E5227" i="2"/>
  <c r="D5227" i="2"/>
  <c r="E5415" i="2"/>
  <c r="D5415" i="2"/>
  <c r="E5372" i="2"/>
  <c r="D5372" i="2"/>
  <c r="E5370" i="2"/>
  <c r="D5370" i="2"/>
  <c r="E5557" i="2"/>
  <c r="D5557" i="2"/>
  <c r="D5322" i="2"/>
  <c r="E5322" i="2"/>
  <c r="D5325" i="2"/>
  <c r="E5325" i="2"/>
  <c r="D5509" i="2"/>
  <c r="E5509" i="2"/>
  <c r="D5748" i="2"/>
  <c r="E5748" i="2"/>
  <c r="E5746" i="2"/>
  <c r="D5746" i="2"/>
  <c r="D5273" i="2"/>
  <c r="E5273" i="2"/>
  <c r="E5466" i="2"/>
  <c r="D5466" i="2"/>
  <c r="E5464" i="2"/>
  <c r="D5464" i="2"/>
  <c r="E5791" i="2"/>
  <c r="D5791" i="2"/>
  <c r="D5602" i="2"/>
  <c r="E5602" i="2"/>
  <c r="E5604" i="2"/>
  <c r="D5604" i="2"/>
  <c r="E5651" i="2"/>
  <c r="D5651" i="2"/>
  <c r="E5696" i="2"/>
  <c r="D5696" i="2"/>
  <c r="D5698" i="2"/>
  <c r="E5698" i="2"/>
  <c r="D5232" i="2"/>
  <c r="E5232" i="2"/>
  <c r="D5420" i="2"/>
  <c r="E5420" i="2"/>
  <c r="E5749" i="2"/>
  <c r="D5749" i="2"/>
  <c r="E5230" i="2"/>
  <c r="D5230" i="2"/>
  <c r="D5417" i="2"/>
  <c r="E5417" i="2"/>
  <c r="D5419" i="2"/>
  <c r="E5419" i="2"/>
  <c r="D5371" i="2"/>
  <c r="E5371" i="2"/>
  <c r="E5556" i="2"/>
  <c r="D5556" i="2"/>
  <c r="D5555" i="2"/>
  <c r="E5555" i="2"/>
  <c r="E5320" i="2"/>
  <c r="D5320" i="2"/>
  <c r="D5511" i="2"/>
  <c r="E5511" i="2"/>
  <c r="E5513" i="2"/>
  <c r="D5513" i="2"/>
  <c r="D5747" i="2"/>
  <c r="E5747" i="2"/>
  <c r="D5274" i="2"/>
  <c r="E5274" i="2"/>
  <c r="E5276" i="2"/>
  <c r="D5276" i="2"/>
  <c r="D5465" i="2"/>
  <c r="E5465" i="2"/>
  <c r="D5793" i="2"/>
  <c r="E5793" i="2"/>
  <c r="E5795" i="2"/>
  <c r="D5795" i="2"/>
  <c r="E5606" i="2"/>
  <c r="D5606" i="2"/>
  <c r="D5650" i="2"/>
  <c r="E5650" i="2"/>
  <c r="D5649" i="2"/>
  <c r="E5649" i="2"/>
  <c r="D5700" i="2"/>
  <c r="E5700" i="2"/>
  <c r="G418" i="1" l="1"/>
  <c r="G427" i="1"/>
  <c r="G417" i="1"/>
  <c r="G442" i="1"/>
  <c r="G445" i="1"/>
  <c r="G412" i="1"/>
  <c r="G430" i="1"/>
  <c r="G439" i="1"/>
  <c r="G443" i="1"/>
  <c r="G420" i="1"/>
  <c r="G419" i="1"/>
  <c r="G433" i="1"/>
  <c r="G437" i="1"/>
  <c r="G407" i="1"/>
  <c r="G414" i="1"/>
  <c r="G416" i="1"/>
  <c r="G411" i="1"/>
  <c r="G429" i="1"/>
  <c r="G435" i="1"/>
  <c r="G421" i="1"/>
  <c r="G423" i="1"/>
  <c r="G431" i="1"/>
  <c r="G432" i="1"/>
  <c r="G436" i="1"/>
  <c r="G444" i="1"/>
  <c r="G438" i="1"/>
  <c r="G409" i="1"/>
  <c r="G408" i="1"/>
  <c r="G425" i="1"/>
  <c r="G422" i="1"/>
  <c r="G440" i="1"/>
  <c r="G415" i="1"/>
  <c r="G424" i="1"/>
  <c r="G441" i="1"/>
  <c r="G413" i="1"/>
  <c r="G410" i="1"/>
  <c r="G428" i="1"/>
  <c r="G434" i="1"/>
  <c r="G426" i="1"/>
</calcChain>
</file>

<file path=xl/sharedStrings.xml><?xml version="1.0" encoding="utf-8"?>
<sst xmlns="http://schemas.openxmlformats.org/spreadsheetml/2006/main" count="537" uniqueCount="72">
  <si>
    <t>map:1</t>
    <phoneticPr fontId="3" type="noConversion"/>
  </si>
  <si>
    <t>fahtherid</t>
    <phoneticPr fontId="3" type="noConversion"/>
  </si>
  <si>
    <t xml:space="preserve">des </t>
    <phoneticPr fontId="3" type="noConversion"/>
  </si>
  <si>
    <t>suit</t>
    <phoneticPr fontId="3" type="noConversion"/>
  </si>
  <si>
    <t>rand</t>
    <phoneticPr fontId="3" type="noConversion"/>
  </si>
  <si>
    <t>proLevel</t>
    <phoneticPr fontId="3" type="noConversion"/>
  </si>
  <si>
    <t>name</t>
    <phoneticPr fontId="3" type="noConversion"/>
  </si>
  <si>
    <t>map:2</t>
    <phoneticPr fontId="3" type="noConversion"/>
  </si>
  <si>
    <t>魔攻</t>
    <phoneticPr fontId="3" type="noConversion"/>
  </si>
  <si>
    <t>type</t>
    <phoneticPr fontId="3" type="noConversion"/>
  </si>
  <si>
    <t>min</t>
    <phoneticPr fontId="3" type="noConversion"/>
  </si>
  <si>
    <t>max</t>
    <phoneticPr fontId="3" type="noConversion"/>
  </si>
  <si>
    <t>per</t>
    <phoneticPr fontId="3" type="noConversion"/>
  </si>
  <si>
    <t>must</t>
    <phoneticPr fontId="3" type="noConversion"/>
  </si>
  <si>
    <t>hp</t>
    <phoneticPr fontId="3" type="noConversion"/>
  </si>
  <si>
    <t>name</t>
    <phoneticPr fontId="3" type="noConversion"/>
  </si>
  <si>
    <t>物攻</t>
    <phoneticPr fontId="3" type="noConversion"/>
  </si>
  <si>
    <t>物防</t>
    <phoneticPr fontId="3" type="noConversion"/>
  </si>
  <si>
    <t>魔防</t>
    <phoneticPr fontId="3" type="noConversion"/>
  </si>
  <si>
    <t>sp</t>
    <phoneticPr fontId="3" type="noConversion"/>
  </si>
  <si>
    <t>物理攻击</t>
    <phoneticPr fontId="3" type="noConversion"/>
  </si>
  <si>
    <t>地脉攻击</t>
    <phoneticPr fontId="3" type="noConversion"/>
  </si>
  <si>
    <t>冷却攻击</t>
    <phoneticPr fontId="3" type="noConversion"/>
  </si>
  <si>
    <t>火炎攻击</t>
    <phoneticPr fontId="3" type="noConversion"/>
  </si>
  <si>
    <t>神圣攻击</t>
    <phoneticPr fontId="3" type="noConversion"/>
  </si>
  <si>
    <t>黑暗攻击</t>
    <phoneticPr fontId="3" type="noConversion"/>
  </si>
  <si>
    <t>全抗</t>
    <phoneticPr fontId="3" type="noConversion"/>
  </si>
  <si>
    <t>物理抗性</t>
    <phoneticPr fontId="3" type="noConversion"/>
  </si>
  <si>
    <t>地脉抗性</t>
    <phoneticPr fontId="3" type="noConversion"/>
  </si>
  <si>
    <t>冷却抗性</t>
    <phoneticPr fontId="3" type="noConversion"/>
  </si>
  <si>
    <t>火炎抗性</t>
    <phoneticPr fontId="3" type="noConversion"/>
  </si>
  <si>
    <t>神圣抗性</t>
    <phoneticPr fontId="3" type="noConversion"/>
  </si>
  <si>
    <t>黑暗抗性</t>
    <phoneticPr fontId="3" type="noConversion"/>
  </si>
  <si>
    <t>name</t>
    <phoneticPr fontId="3" type="noConversion"/>
  </si>
  <si>
    <t>痛打率</t>
    <phoneticPr fontId="3" type="noConversion"/>
  </si>
  <si>
    <t>痛打伤害</t>
    <phoneticPr fontId="3" type="noConversion"/>
  </si>
  <si>
    <t>额外伤害</t>
    <phoneticPr fontId="3" type="noConversion"/>
  </si>
  <si>
    <t>飞行系</t>
    <phoneticPr fontId="3" type="noConversion"/>
  </si>
  <si>
    <t>龙系</t>
    <phoneticPr fontId="3" type="noConversion"/>
  </si>
  <si>
    <t>僵尸系</t>
    <phoneticPr fontId="3" type="noConversion"/>
  </si>
  <si>
    <t>土系</t>
    <phoneticPr fontId="3" type="noConversion"/>
  </si>
  <si>
    <t>金属系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</si>
  <si>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r>
      <rPr>
        <sz val="11"/>
        <color theme="1"/>
        <rFont val="宋体"/>
        <family val="2"/>
        <charset val="134"/>
        <scheme val="minor"/>
      </rPr>
      <t/>
    </r>
  </si>
  <si>
    <t>武器</t>
    <phoneticPr fontId="3" type="noConversion"/>
  </si>
  <si>
    <t>挂饰</t>
    <phoneticPr fontId="3" type="noConversion"/>
  </si>
  <si>
    <t>敏捷</t>
    <phoneticPr fontId="3" type="noConversion"/>
  </si>
  <si>
    <t>幸运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</si>
  <si>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1.06.xlsm!circlePer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</si>
  <si>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1.06.xlsm!circleValue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</si>
  <si>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1.06.xlsm!otherDamage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</si>
  <si>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1.06.xlsm!monsterDamage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</si>
  <si>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</si>
  <si>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1.06.xlsm!monsterDamage</t>
    </r>
    <r>
      <rPr>
        <sz val="11"/>
        <color theme="1"/>
        <rFont val="宋体"/>
        <family val="2"/>
        <charset val="134"/>
        <scheme val="minor"/>
      </rPr>
      <t/>
    </r>
  </si>
  <si>
    <t>fatherid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</si>
  <si>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</si>
  <si>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id</t>
    <phoneticPr fontId="3" type="noConversion"/>
  </si>
  <si>
    <t>longID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</si>
  <si>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1.06.xlsm!equipmentQuality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</si>
  <si>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1.06.xlsm!equipmentDistribution</t>
    </r>
    <phoneticPr fontId="3" type="noConversion"/>
  </si>
  <si>
    <t>img</t>
    <phoneticPr fontId="3" type="noConversion"/>
  </si>
  <si>
    <t>ic1022</t>
    <phoneticPr fontId="2" type="noConversion"/>
  </si>
  <si>
    <t>alchemyID</t>
    <phoneticPr fontId="3" type="noConversion"/>
  </si>
  <si>
    <t>alchemyRand</t>
    <phoneticPr fontId="3" type="noConversion"/>
  </si>
  <si>
    <t>IC0031</t>
  </si>
  <si>
    <t>IC0031</t>
    <phoneticPr fontId="3" type="noConversion"/>
  </si>
  <si>
    <t>电击攻击</t>
    <phoneticPr fontId="3" type="noConversion"/>
  </si>
  <si>
    <t>电击抗性</t>
    <phoneticPr fontId="3" type="noConversion"/>
  </si>
  <si>
    <t>type</t>
    <phoneticPr fontId="3" type="noConversion"/>
  </si>
  <si>
    <t>type3</t>
    <phoneticPr fontId="3" type="noConversion"/>
  </si>
  <si>
    <t>quality</t>
    <phoneticPr fontId="3" type="noConversion"/>
  </si>
  <si>
    <t>color</t>
    <phoneticPr fontId="3" type="noConversion"/>
  </si>
  <si>
    <t>sell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</si>
</sst>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0</xdr:row>
          <xdr:rowOff>114300</xdr:rowOff>
        </xdr:from>
        <xdr:to>
          <xdr:col>13</xdr:col>
          <xdr:colOff>447675</xdr:colOff>
          <xdr:row>2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GitHub\test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B3">
            <v>101010100</v>
          </cell>
          <cell r="C3" t="str">
            <v>破旧的锤</v>
          </cell>
          <cell r="E3">
            <v>1</v>
          </cell>
          <cell r="I3" t="str">
            <v xml:space="preserve">[1-18]攻击 </v>
          </cell>
          <cell r="J3">
            <v>0</v>
          </cell>
          <cell r="K3">
            <v>1</v>
          </cell>
          <cell r="L3">
            <v>1</v>
          </cell>
        </row>
        <row r="4">
          <cell r="B4">
            <v>101020100</v>
          </cell>
          <cell r="C4" t="str">
            <v>普通的锤</v>
          </cell>
          <cell r="E4">
            <v>1</v>
          </cell>
          <cell r="I4" t="str">
            <v xml:space="preserve">[19-39]攻击 </v>
          </cell>
          <cell r="J4">
            <v>0</v>
          </cell>
          <cell r="K4">
            <v>1</v>
          </cell>
          <cell r="L4">
            <v>2</v>
          </cell>
        </row>
        <row r="5">
          <cell r="B5">
            <v>101030100</v>
          </cell>
          <cell r="C5" t="str">
            <v>初级的锤</v>
          </cell>
          <cell r="E5">
            <v>1</v>
          </cell>
          <cell r="I5" t="str">
            <v xml:space="preserve">[40-64]攻击 </v>
          </cell>
          <cell r="J5">
            <v>0</v>
          </cell>
          <cell r="K5">
            <v>1</v>
          </cell>
          <cell r="L5">
            <v>3</v>
          </cell>
        </row>
        <row r="6">
          <cell r="B6">
            <v>101040100</v>
          </cell>
          <cell r="C6" t="str">
            <v>水晶锤</v>
          </cell>
          <cell r="E6">
            <v>1</v>
          </cell>
          <cell r="F6">
            <v>1</v>
          </cell>
          <cell r="I6" t="str">
            <v xml:space="preserve">[65-93]攻击 </v>
          </cell>
          <cell r="J6">
            <v>0</v>
          </cell>
          <cell r="K6">
            <v>1</v>
          </cell>
          <cell r="L6">
            <v>4</v>
          </cell>
        </row>
        <row r="7">
          <cell r="B7">
            <v>101050100</v>
          </cell>
          <cell r="C7" t="str">
            <v>青铜锤</v>
          </cell>
          <cell r="E7">
            <v>1</v>
          </cell>
          <cell r="F7">
            <v>1</v>
          </cell>
          <cell r="I7" t="str">
            <v xml:space="preserve">[94-126]攻击 </v>
          </cell>
          <cell r="J7">
            <v>0</v>
          </cell>
          <cell r="K7">
            <v>1</v>
          </cell>
          <cell r="L7">
            <v>5</v>
          </cell>
        </row>
        <row r="8">
          <cell r="B8">
            <v>101060100</v>
          </cell>
          <cell r="C8" t="str">
            <v>玄铁锤</v>
          </cell>
          <cell r="E8">
            <v>1</v>
          </cell>
          <cell r="F8">
            <v>1</v>
          </cell>
          <cell r="I8" t="str">
            <v xml:space="preserve">[127-163]攻击 </v>
          </cell>
          <cell r="J8">
            <v>0</v>
          </cell>
          <cell r="K8">
            <v>1</v>
          </cell>
          <cell r="L8">
            <v>6</v>
          </cell>
        </row>
        <row r="9">
          <cell r="B9">
            <v>101070100</v>
          </cell>
          <cell r="C9" t="str">
            <v>白银锤</v>
          </cell>
          <cell r="E9">
            <v>1</v>
          </cell>
          <cell r="F9">
            <v>1</v>
          </cell>
          <cell r="I9" t="str">
            <v xml:space="preserve">[164-202]攻击 </v>
          </cell>
          <cell r="J9">
            <v>0</v>
          </cell>
          <cell r="K9">
            <v>1</v>
          </cell>
          <cell r="L9">
            <v>7</v>
          </cell>
        </row>
        <row r="10">
          <cell r="B10">
            <v>101080100</v>
          </cell>
          <cell r="C10" t="str">
            <v>异灵锤</v>
          </cell>
          <cell r="E10">
            <v>1</v>
          </cell>
          <cell r="F10">
            <v>1</v>
          </cell>
          <cell r="I10" t="str">
            <v xml:space="preserve">[203-246]攻击 </v>
          </cell>
          <cell r="J10">
            <v>0</v>
          </cell>
          <cell r="K10">
            <v>1</v>
          </cell>
          <cell r="L10">
            <v>8</v>
          </cell>
        </row>
        <row r="11">
          <cell r="B11">
            <v>101090100</v>
          </cell>
          <cell r="C11" t="str">
            <v>流星锤</v>
          </cell>
          <cell r="E11">
            <v>1</v>
          </cell>
          <cell r="F11">
            <v>1</v>
          </cell>
          <cell r="I11" t="str">
            <v xml:space="preserve">[247-293]攻击 </v>
          </cell>
          <cell r="J11">
            <v>0</v>
          </cell>
          <cell r="K11">
            <v>1</v>
          </cell>
          <cell r="L11">
            <v>9</v>
          </cell>
        </row>
        <row r="12">
          <cell r="B12">
            <v>101010200</v>
          </cell>
          <cell r="C12" t="str">
            <v>破旧的刀</v>
          </cell>
          <cell r="E12">
            <v>1</v>
          </cell>
          <cell r="F12">
            <v>1</v>
          </cell>
          <cell r="I12" t="str">
            <v xml:space="preserve">[1-18]攻击 </v>
          </cell>
          <cell r="J12">
            <v>0</v>
          </cell>
          <cell r="K12">
            <v>1</v>
          </cell>
          <cell r="L12">
            <v>1</v>
          </cell>
        </row>
        <row r="13">
          <cell r="B13">
            <v>101020200</v>
          </cell>
          <cell r="C13" t="str">
            <v>普通的刀</v>
          </cell>
          <cell r="E13">
            <v>1</v>
          </cell>
          <cell r="F13">
            <v>1</v>
          </cell>
          <cell r="I13" t="str">
            <v xml:space="preserve">[19-39]攻击 </v>
          </cell>
          <cell r="J13">
            <v>0</v>
          </cell>
          <cell r="K13">
            <v>1</v>
          </cell>
          <cell r="L13">
            <v>2</v>
          </cell>
        </row>
        <row r="14">
          <cell r="B14">
            <v>101030200</v>
          </cell>
          <cell r="C14" t="str">
            <v>初级的刀</v>
          </cell>
          <cell r="E14">
            <v>1</v>
          </cell>
          <cell r="F14">
            <v>1</v>
          </cell>
          <cell r="I14" t="str">
            <v xml:space="preserve">[40-64]攻击 </v>
          </cell>
          <cell r="J14">
            <v>0</v>
          </cell>
          <cell r="K14">
            <v>1</v>
          </cell>
          <cell r="L14">
            <v>3</v>
          </cell>
        </row>
        <row r="15">
          <cell r="B15">
            <v>101040200</v>
          </cell>
          <cell r="C15" t="str">
            <v>水晶刀</v>
          </cell>
          <cell r="E15">
            <v>1</v>
          </cell>
          <cell r="F15">
            <v>1</v>
          </cell>
          <cell r="I15" t="str">
            <v xml:space="preserve">[65-93]攻击 </v>
          </cell>
          <cell r="J15">
            <v>0</v>
          </cell>
          <cell r="K15">
            <v>1</v>
          </cell>
          <cell r="L15">
            <v>4</v>
          </cell>
        </row>
        <row r="16">
          <cell r="B16">
            <v>101050200</v>
          </cell>
          <cell r="C16" t="str">
            <v>青铜刀</v>
          </cell>
          <cell r="E16">
            <v>1</v>
          </cell>
          <cell r="F16">
            <v>1</v>
          </cell>
          <cell r="I16" t="str">
            <v xml:space="preserve">[94-126]攻击 </v>
          </cell>
          <cell r="J16">
            <v>0</v>
          </cell>
          <cell r="K16">
            <v>1</v>
          </cell>
          <cell r="L16">
            <v>5</v>
          </cell>
        </row>
        <row r="17">
          <cell r="B17">
            <v>101060200</v>
          </cell>
          <cell r="C17" t="str">
            <v>玄铁刀</v>
          </cell>
          <cell r="E17">
            <v>1</v>
          </cell>
          <cell r="F17">
            <v>1</v>
          </cell>
          <cell r="I17" t="str">
            <v xml:space="preserve">[127-163]攻击 </v>
          </cell>
          <cell r="J17">
            <v>0</v>
          </cell>
          <cell r="K17">
            <v>1</v>
          </cell>
          <cell r="L17">
            <v>6</v>
          </cell>
        </row>
        <row r="18">
          <cell r="B18">
            <v>101070200</v>
          </cell>
          <cell r="C18" t="str">
            <v>白银刀</v>
          </cell>
          <cell r="E18">
            <v>1</v>
          </cell>
          <cell r="F18">
            <v>1</v>
          </cell>
          <cell r="I18" t="str">
            <v xml:space="preserve">[164-202]攻击 </v>
          </cell>
          <cell r="J18">
            <v>0</v>
          </cell>
          <cell r="K18">
            <v>1</v>
          </cell>
          <cell r="L18">
            <v>7</v>
          </cell>
        </row>
        <row r="19">
          <cell r="B19">
            <v>101080200</v>
          </cell>
          <cell r="C19" t="str">
            <v>异灵刀</v>
          </cell>
          <cell r="E19">
            <v>1</v>
          </cell>
          <cell r="F19">
            <v>1</v>
          </cell>
          <cell r="I19" t="str">
            <v xml:space="preserve">[203-246]攻击 </v>
          </cell>
          <cell r="J19">
            <v>0</v>
          </cell>
          <cell r="K19">
            <v>1</v>
          </cell>
          <cell r="L19">
            <v>8</v>
          </cell>
        </row>
        <row r="20">
          <cell r="B20">
            <v>101090200</v>
          </cell>
          <cell r="C20" t="str">
            <v>流星刀</v>
          </cell>
          <cell r="E20">
            <v>1</v>
          </cell>
          <cell r="F20">
            <v>1</v>
          </cell>
          <cell r="I20" t="str">
            <v xml:space="preserve">[247-293]攻击 </v>
          </cell>
          <cell r="J20">
            <v>0</v>
          </cell>
          <cell r="K20">
            <v>1</v>
          </cell>
          <cell r="L20">
            <v>9</v>
          </cell>
        </row>
        <row r="21">
          <cell r="B21">
            <v>101010300</v>
          </cell>
          <cell r="C21" t="str">
            <v>破旧的拳套</v>
          </cell>
          <cell r="E21">
            <v>1</v>
          </cell>
          <cell r="F21">
            <v>1</v>
          </cell>
          <cell r="I21" t="str">
            <v xml:space="preserve">[1-18]攻击 </v>
          </cell>
          <cell r="J21">
            <v>0</v>
          </cell>
          <cell r="K21">
            <v>1</v>
          </cell>
          <cell r="L21">
            <v>1</v>
          </cell>
        </row>
        <row r="22">
          <cell r="B22">
            <v>101020300</v>
          </cell>
          <cell r="C22" t="str">
            <v>普通的拳套</v>
          </cell>
          <cell r="E22">
            <v>1</v>
          </cell>
          <cell r="F22">
            <v>1</v>
          </cell>
          <cell r="I22" t="str">
            <v xml:space="preserve">[19-39]攻击 </v>
          </cell>
          <cell r="J22">
            <v>0</v>
          </cell>
          <cell r="K22">
            <v>1</v>
          </cell>
          <cell r="L22">
            <v>2</v>
          </cell>
        </row>
        <row r="23">
          <cell r="B23">
            <v>101030300</v>
          </cell>
          <cell r="C23" t="str">
            <v>初级的拳套</v>
          </cell>
          <cell r="E23">
            <v>1</v>
          </cell>
          <cell r="F23">
            <v>1</v>
          </cell>
          <cell r="I23" t="str">
            <v xml:space="preserve">[40-64]攻击 </v>
          </cell>
          <cell r="J23">
            <v>0</v>
          </cell>
          <cell r="K23">
            <v>1</v>
          </cell>
          <cell r="L23">
            <v>3</v>
          </cell>
        </row>
        <row r="24">
          <cell r="B24">
            <v>101040300</v>
          </cell>
          <cell r="C24" t="str">
            <v>水晶拳套</v>
          </cell>
          <cell r="E24">
            <v>1</v>
          </cell>
          <cell r="F24">
            <v>1</v>
          </cell>
          <cell r="I24" t="str">
            <v xml:space="preserve">[65-93]攻击 </v>
          </cell>
          <cell r="J24">
            <v>0</v>
          </cell>
          <cell r="K24">
            <v>1</v>
          </cell>
          <cell r="L24">
            <v>4</v>
          </cell>
        </row>
        <row r="25">
          <cell r="B25">
            <v>101050300</v>
          </cell>
          <cell r="C25" t="str">
            <v>青铜拳套</v>
          </cell>
          <cell r="E25">
            <v>1</v>
          </cell>
          <cell r="F25">
            <v>1</v>
          </cell>
          <cell r="I25" t="str">
            <v xml:space="preserve">[94-126]攻击 </v>
          </cell>
          <cell r="J25">
            <v>0</v>
          </cell>
          <cell r="K25">
            <v>1</v>
          </cell>
          <cell r="L25">
            <v>5</v>
          </cell>
        </row>
        <row r="26">
          <cell r="B26">
            <v>101060300</v>
          </cell>
          <cell r="C26" t="str">
            <v>玄铁拳套</v>
          </cell>
          <cell r="E26">
            <v>1</v>
          </cell>
          <cell r="F26">
            <v>1</v>
          </cell>
          <cell r="I26" t="str">
            <v xml:space="preserve">[127-163]攻击 </v>
          </cell>
          <cell r="J26">
            <v>0</v>
          </cell>
          <cell r="K26">
            <v>1</v>
          </cell>
          <cell r="L26">
            <v>6</v>
          </cell>
        </row>
        <row r="27">
          <cell r="B27">
            <v>101070300</v>
          </cell>
          <cell r="C27" t="str">
            <v>白银拳套</v>
          </cell>
          <cell r="E27">
            <v>1</v>
          </cell>
          <cell r="F27">
            <v>1</v>
          </cell>
          <cell r="I27" t="str">
            <v xml:space="preserve">[164-202]攻击 </v>
          </cell>
          <cell r="J27">
            <v>0</v>
          </cell>
          <cell r="K27">
            <v>1</v>
          </cell>
          <cell r="L27">
            <v>7</v>
          </cell>
        </row>
        <row r="28">
          <cell r="B28">
            <v>101080300</v>
          </cell>
          <cell r="C28" t="str">
            <v>异灵拳套</v>
          </cell>
          <cell r="E28">
            <v>1</v>
          </cell>
          <cell r="F28">
            <v>1</v>
          </cell>
          <cell r="I28" t="str">
            <v xml:space="preserve">[203-246]攻击 </v>
          </cell>
          <cell r="J28">
            <v>0</v>
          </cell>
          <cell r="K28">
            <v>1</v>
          </cell>
          <cell r="L28">
            <v>8</v>
          </cell>
        </row>
        <row r="29">
          <cell r="B29">
            <v>101090300</v>
          </cell>
          <cell r="C29" t="str">
            <v>流星拳套</v>
          </cell>
          <cell r="E29">
            <v>1</v>
          </cell>
          <cell r="F29">
            <v>1</v>
          </cell>
          <cell r="I29" t="str">
            <v xml:space="preserve">[247-293]攻击 </v>
          </cell>
          <cell r="J29">
            <v>0</v>
          </cell>
          <cell r="K29">
            <v>1</v>
          </cell>
          <cell r="L29">
            <v>9</v>
          </cell>
        </row>
        <row r="30">
          <cell r="B30">
            <v>101010400</v>
          </cell>
          <cell r="C30" t="str">
            <v>破旧的枪</v>
          </cell>
          <cell r="E30">
            <v>1</v>
          </cell>
          <cell r="F30">
            <v>1</v>
          </cell>
          <cell r="I30" t="str">
            <v xml:space="preserve">[1-18]攻击 </v>
          </cell>
          <cell r="J30">
            <v>0</v>
          </cell>
          <cell r="K30">
            <v>1</v>
          </cell>
          <cell r="L30">
            <v>1</v>
          </cell>
        </row>
        <row r="31">
          <cell r="B31">
            <v>101020400</v>
          </cell>
          <cell r="C31" t="str">
            <v>普通的枪</v>
          </cell>
          <cell r="E31">
            <v>1</v>
          </cell>
          <cell r="F31">
            <v>1</v>
          </cell>
          <cell r="I31" t="str">
            <v xml:space="preserve">[19-39]攻击 </v>
          </cell>
          <cell r="J31">
            <v>0</v>
          </cell>
          <cell r="K31">
            <v>1</v>
          </cell>
          <cell r="L31">
            <v>2</v>
          </cell>
        </row>
        <row r="32">
          <cell r="B32">
            <v>101030400</v>
          </cell>
          <cell r="C32" t="str">
            <v>初级的枪</v>
          </cell>
          <cell r="E32">
            <v>1</v>
          </cell>
          <cell r="F32">
            <v>1</v>
          </cell>
          <cell r="I32" t="str">
            <v xml:space="preserve">[40-64]攻击 </v>
          </cell>
          <cell r="J32">
            <v>0</v>
          </cell>
          <cell r="K32">
            <v>1</v>
          </cell>
          <cell r="L32">
            <v>3</v>
          </cell>
        </row>
        <row r="33">
          <cell r="B33">
            <v>101040400</v>
          </cell>
          <cell r="C33" t="str">
            <v>水晶枪</v>
          </cell>
          <cell r="E33">
            <v>1</v>
          </cell>
          <cell r="F33">
            <v>1</v>
          </cell>
          <cell r="I33" t="str">
            <v xml:space="preserve">[65-93]攻击 </v>
          </cell>
          <cell r="J33">
            <v>0</v>
          </cell>
          <cell r="K33">
            <v>1</v>
          </cell>
          <cell r="L33">
            <v>4</v>
          </cell>
        </row>
        <row r="34">
          <cell r="B34">
            <v>101050400</v>
          </cell>
          <cell r="C34" t="str">
            <v>青铜枪</v>
          </cell>
          <cell r="E34">
            <v>1</v>
          </cell>
          <cell r="F34">
            <v>1</v>
          </cell>
          <cell r="I34" t="str">
            <v xml:space="preserve">[94-126]攻击 </v>
          </cell>
          <cell r="J34">
            <v>0</v>
          </cell>
          <cell r="K34">
            <v>1</v>
          </cell>
          <cell r="L34">
            <v>5</v>
          </cell>
        </row>
        <row r="35">
          <cell r="B35">
            <v>101060400</v>
          </cell>
          <cell r="C35" t="str">
            <v>玄铁枪</v>
          </cell>
          <cell r="E35">
            <v>1</v>
          </cell>
          <cell r="F35">
            <v>1</v>
          </cell>
          <cell r="I35" t="str">
            <v xml:space="preserve">[127-163]攻击 </v>
          </cell>
          <cell r="J35">
            <v>0</v>
          </cell>
          <cell r="K35">
            <v>1</v>
          </cell>
          <cell r="L35">
            <v>6</v>
          </cell>
        </row>
        <row r="36">
          <cell r="B36">
            <v>101070400</v>
          </cell>
          <cell r="C36" t="str">
            <v>白银枪</v>
          </cell>
          <cell r="E36">
            <v>1</v>
          </cell>
          <cell r="F36">
            <v>1</v>
          </cell>
          <cell r="I36" t="str">
            <v xml:space="preserve">[164-202]攻击 </v>
          </cell>
          <cell r="J36">
            <v>0</v>
          </cell>
          <cell r="K36">
            <v>1</v>
          </cell>
          <cell r="L36">
            <v>7</v>
          </cell>
        </row>
        <row r="37">
          <cell r="B37">
            <v>101080400</v>
          </cell>
          <cell r="C37" t="str">
            <v>异灵枪</v>
          </cell>
          <cell r="E37">
            <v>1</v>
          </cell>
          <cell r="F37">
            <v>1</v>
          </cell>
          <cell r="I37" t="str">
            <v xml:space="preserve">[203-246]攻击 </v>
          </cell>
          <cell r="J37">
            <v>0</v>
          </cell>
          <cell r="K37">
            <v>1</v>
          </cell>
          <cell r="L37">
            <v>8</v>
          </cell>
        </row>
        <row r="38">
          <cell r="B38">
            <v>101090400</v>
          </cell>
          <cell r="C38" t="str">
            <v>流星枪</v>
          </cell>
          <cell r="E38">
            <v>1</v>
          </cell>
          <cell r="F38">
            <v>1</v>
          </cell>
          <cell r="I38" t="str">
            <v xml:space="preserve">[247-293]攻击 </v>
          </cell>
          <cell r="J38">
            <v>0</v>
          </cell>
          <cell r="K38">
            <v>1</v>
          </cell>
          <cell r="L38">
            <v>9</v>
          </cell>
        </row>
        <row r="39">
          <cell r="B39">
            <v>101010500</v>
          </cell>
          <cell r="C39" t="str">
            <v>破旧的镰刀</v>
          </cell>
          <cell r="E39">
            <v>1</v>
          </cell>
          <cell r="F39">
            <v>1</v>
          </cell>
          <cell r="I39" t="str">
            <v xml:space="preserve">[1-18]攻击 </v>
          </cell>
          <cell r="J39">
            <v>0</v>
          </cell>
          <cell r="K39">
            <v>1</v>
          </cell>
          <cell r="L39">
            <v>1</v>
          </cell>
        </row>
        <row r="40">
          <cell r="B40">
            <v>101020500</v>
          </cell>
          <cell r="C40" t="str">
            <v>普通的镰刀</v>
          </cell>
          <cell r="E40">
            <v>1</v>
          </cell>
          <cell r="F40">
            <v>1</v>
          </cell>
          <cell r="I40" t="str">
            <v xml:space="preserve">[19-39]攻击 </v>
          </cell>
          <cell r="J40">
            <v>0</v>
          </cell>
          <cell r="K40">
            <v>1</v>
          </cell>
          <cell r="L40">
            <v>2</v>
          </cell>
        </row>
        <row r="41">
          <cell r="B41">
            <v>101030500</v>
          </cell>
          <cell r="C41" t="str">
            <v>初级的镰刀</v>
          </cell>
          <cell r="E41">
            <v>1</v>
          </cell>
          <cell r="F41">
            <v>1</v>
          </cell>
          <cell r="I41" t="str">
            <v xml:space="preserve">[40-64]攻击 </v>
          </cell>
          <cell r="J41">
            <v>0</v>
          </cell>
          <cell r="K41">
            <v>1</v>
          </cell>
          <cell r="L41">
            <v>3</v>
          </cell>
        </row>
        <row r="42">
          <cell r="B42">
            <v>101040500</v>
          </cell>
          <cell r="C42" t="str">
            <v>水晶镰刀</v>
          </cell>
          <cell r="E42">
            <v>1</v>
          </cell>
          <cell r="F42">
            <v>1</v>
          </cell>
          <cell r="I42" t="str">
            <v xml:space="preserve">[65-93]攻击 </v>
          </cell>
          <cell r="J42">
            <v>0</v>
          </cell>
          <cell r="K42">
            <v>1</v>
          </cell>
          <cell r="L42">
            <v>4</v>
          </cell>
        </row>
        <row r="43">
          <cell r="B43">
            <v>101050500</v>
          </cell>
          <cell r="C43" t="str">
            <v>青铜镰刀</v>
          </cell>
          <cell r="E43">
            <v>1</v>
          </cell>
          <cell r="F43">
            <v>1</v>
          </cell>
          <cell r="I43" t="str">
            <v xml:space="preserve">[94-126]攻击 </v>
          </cell>
          <cell r="J43">
            <v>0</v>
          </cell>
          <cell r="K43">
            <v>1</v>
          </cell>
          <cell r="L43">
            <v>5</v>
          </cell>
        </row>
        <row r="44">
          <cell r="B44">
            <v>101060500</v>
          </cell>
          <cell r="C44" t="str">
            <v>玄铁镰刀</v>
          </cell>
          <cell r="E44">
            <v>1</v>
          </cell>
          <cell r="F44">
            <v>1</v>
          </cell>
          <cell r="I44" t="str">
            <v xml:space="preserve">[127-163]攻击 </v>
          </cell>
          <cell r="J44">
            <v>0</v>
          </cell>
          <cell r="K44">
            <v>1</v>
          </cell>
          <cell r="L44">
            <v>6</v>
          </cell>
        </row>
        <row r="45">
          <cell r="B45">
            <v>101070500</v>
          </cell>
          <cell r="C45" t="str">
            <v>白银镰刀</v>
          </cell>
          <cell r="E45">
            <v>1</v>
          </cell>
          <cell r="F45">
            <v>1</v>
          </cell>
          <cell r="I45" t="str">
            <v xml:space="preserve">[164-202]攻击 </v>
          </cell>
          <cell r="J45">
            <v>0</v>
          </cell>
          <cell r="K45">
            <v>1</v>
          </cell>
          <cell r="L45">
            <v>7</v>
          </cell>
        </row>
        <row r="46">
          <cell r="B46">
            <v>101080500</v>
          </cell>
          <cell r="C46" t="str">
            <v>异灵镰刀</v>
          </cell>
          <cell r="E46">
            <v>1</v>
          </cell>
          <cell r="F46">
            <v>1</v>
          </cell>
          <cell r="I46" t="str">
            <v xml:space="preserve">[203-246]攻击 </v>
          </cell>
          <cell r="J46">
            <v>0</v>
          </cell>
          <cell r="K46">
            <v>1</v>
          </cell>
          <cell r="L46">
            <v>8</v>
          </cell>
        </row>
        <row r="47">
          <cell r="B47">
            <v>101090500</v>
          </cell>
          <cell r="C47" t="str">
            <v>流星镰刀</v>
          </cell>
          <cell r="E47">
            <v>1</v>
          </cell>
          <cell r="F47">
            <v>1</v>
          </cell>
          <cell r="I47" t="str">
            <v xml:space="preserve">[247-293]攻击 </v>
          </cell>
          <cell r="J47">
            <v>0</v>
          </cell>
          <cell r="K47">
            <v>1</v>
          </cell>
          <cell r="L47">
            <v>9</v>
          </cell>
        </row>
        <row r="48">
          <cell r="B48">
            <v>101010600</v>
          </cell>
          <cell r="C48" t="str">
            <v>破旧的法杖</v>
          </cell>
          <cell r="E48">
            <v>1</v>
          </cell>
          <cell r="F48">
            <v>1</v>
          </cell>
          <cell r="I48" t="str">
            <v xml:space="preserve">[1-18]攻击 </v>
          </cell>
          <cell r="J48">
            <v>0</v>
          </cell>
          <cell r="K48">
            <v>1</v>
          </cell>
          <cell r="L48">
            <v>1</v>
          </cell>
        </row>
        <row r="49">
          <cell r="B49">
            <v>101020600</v>
          </cell>
          <cell r="C49" t="str">
            <v>普通的法杖</v>
          </cell>
          <cell r="E49">
            <v>1</v>
          </cell>
          <cell r="F49">
            <v>1</v>
          </cell>
          <cell r="I49" t="str">
            <v xml:space="preserve">[19-39]攻击 </v>
          </cell>
          <cell r="J49">
            <v>0</v>
          </cell>
          <cell r="K49">
            <v>1</v>
          </cell>
          <cell r="L49">
            <v>2</v>
          </cell>
        </row>
        <row r="50">
          <cell r="B50">
            <v>101030600</v>
          </cell>
          <cell r="C50" t="str">
            <v>初级的法杖</v>
          </cell>
          <cell r="E50">
            <v>1</v>
          </cell>
          <cell r="F50">
            <v>1</v>
          </cell>
          <cell r="I50" t="str">
            <v xml:space="preserve">[40-64]攻击 </v>
          </cell>
          <cell r="J50">
            <v>0</v>
          </cell>
          <cell r="K50">
            <v>1</v>
          </cell>
          <cell r="L50">
            <v>3</v>
          </cell>
        </row>
        <row r="51">
          <cell r="B51">
            <v>101040600</v>
          </cell>
          <cell r="C51" t="str">
            <v>水晶法杖</v>
          </cell>
          <cell r="E51">
            <v>1</v>
          </cell>
          <cell r="F51">
            <v>1</v>
          </cell>
          <cell r="I51" t="str">
            <v xml:space="preserve">[65-93]攻击 </v>
          </cell>
          <cell r="J51">
            <v>0</v>
          </cell>
          <cell r="K51">
            <v>1</v>
          </cell>
          <cell r="L51">
            <v>4</v>
          </cell>
        </row>
        <row r="52">
          <cell r="B52">
            <v>101050600</v>
          </cell>
          <cell r="C52" t="str">
            <v>青铜法杖</v>
          </cell>
          <cell r="E52">
            <v>1</v>
          </cell>
          <cell r="F52">
            <v>1</v>
          </cell>
          <cell r="I52" t="str">
            <v xml:space="preserve">[94-126]攻击 </v>
          </cell>
          <cell r="J52">
            <v>0</v>
          </cell>
          <cell r="K52">
            <v>1</v>
          </cell>
          <cell r="L52">
            <v>5</v>
          </cell>
        </row>
        <row r="53">
          <cell r="B53">
            <v>101060600</v>
          </cell>
          <cell r="C53" t="str">
            <v>玄铁法杖</v>
          </cell>
          <cell r="E53">
            <v>1</v>
          </cell>
          <cell r="F53">
            <v>1</v>
          </cell>
          <cell r="I53" t="str">
            <v xml:space="preserve">[127-163]攻击 </v>
          </cell>
          <cell r="J53">
            <v>0</v>
          </cell>
          <cell r="K53">
            <v>1</v>
          </cell>
          <cell r="L53">
            <v>6</v>
          </cell>
        </row>
        <row r="54">
          <cell r="B54">
            <v>101070600</v>
          </cell>
          <cell r="C54" t="str">
            <v>白银法杖</v>
          </cell>
          <cell r="E54">
            <v>1</v>
          </cell>
          <cell r="F54">
            <v>1</v>
          </cell>
          <cell r="I54" t="str">
            <v xml:space="preserve">[164-202]攻击 </v>
          </cell>
          <cell r="J54">
            <v>0</v>
          </cell>
          <cell r="K54">
            <v>1</v>
          </cell>
          <cell r="L54">
            <v>7</v>
          </cell>
        </row>
        <row r="55">
          <cell r="B55">
            <v>101080600</v>
          </cell>
          <cell r="C55" t="str">
            <v>异灵法杖</v>
          </cell>
          <cell r="E55">
            <v>1</v>
          </cell>
          <cell r="F55">
            <v>1</v>
          </cell>
          <cell r="I55" t="str">
            <v xml:space="preserve">[203-246]攻击 </v>
          </cell>
          <cell r="J55">
            <v>0</v>
          </cell>
          <cell r="K55">
            <v>1</v>
          </cell>
          <cell r="L55">
            <v>8</v>
          </cell>
        </row>
        <row r="56">
          <cell r="B56">
            <v>101090600</v>
          </cell>
          <cell r="C56" t="str">
            <v>流星法杖</v>
          </cell>
          <cell r="E56">
            <v>1</v>
          </cell>
          <cell r="F56">
            <v>1</v>
          </cell>
          <cell r="I56" t="str">
            <v xml:space="preserve">[247-293]攻击 </v>
          </cell>
          <cell r="J56">
            <v>0</v>
          </cell>
          <cell r="K56">
            <v>1</v>
          </cell>
          <cell r="L56">
            <v>9</v>
          </cell>
        </row>
        <row r="57">
          <cell r="B57">
            <v>101010700</v>
          </cell>
          <cell r="C57" t="str">
            <v>破旧的弓</v>
          </cell>
          <cell r="E57">
            <v>1</v>
          </cell>
          <cell r="F57">
            <v>1</v>
          </cell>
          <cell r="I57" t="str">
            <v xml:space="preserve">[1-18]攻击 </v>
          </cell>
          <cell r="J57">
            <v>0</v>
          </cell>
          <cell r="K57">
            <v>1</v>
          </cell>
          <cell r="L57">
            <v>1</v>
          </cell>
        </row>
        <row r="58">
          <cell r="B58">
            <v>101020700</v>
          </cell>
          <cell r="C58" t="str">
            <v>普通的弓</v>
          </cell>
          <cell r="E58">
            <v>1</v>
          </cell>
          <cell r="F58">
            <v>1</v>
          </cell>
          <cell r="I58" t="str">
            <v xml:space="preserve">[19-39]攻击 </v>
          </cell>
          <cell r="J58">
            <v>0</v>
          </cell>
          <cell r="K58">
            <v>1</v>
          </cell>
          <cell r="L58">
            <v>2</v>
          </cell>
        </row>
        <row r="59">
          <cell r="B59">
            <v>101030700</v>
          </cell>
          <cell r="C59" t="str">
            <v>初级的弓</v>
          </cell>
          <cell r="E59">
            <v>1</v>
          </cell>
          <cell r="F59">
            <v>1</v>
          </cell>
          <cell r="I59" t="str">
            <v xml:space="preserve">[40-64]攻击 </v>
          </cell>
          <cell r="J59">
            <v>0</v>
          </cell>
          <cell r="K59">
            <v>1</v>
          </cell>
          <cell r="L59">
            <v>3</v>
          </cell>
        </row>
        <row r="60">
          <cell r="B60">
            <v>101040700</v>
          </cell>
          <cell r="C60" t="str">
            <v>水晶弓</v>
          </cell>
          <cell r="E60">
            <v>1</v>
          </cell>
          <cell r="F60">
            <v>1</v>
          </cell>
          <cell r="I60" t="str">
            <v xml:space="preserve">[65-93]攻击 </v>
          </cell>
          <cell r="J60">
            <v>0</v>
          </cell>
          <cell r="K60">
            <v>1</v>
          </cell>
          <cell r="L60">
            <v>4</v>
          </cell>
        </row>
        <row r="61">
          <cell r="B61">
            <v>101050700</v>
          </cell>
          <cell r="C61" t="str">
            <v>青铜弓</v>
          </cell>
          <cell r="E61">
            <v>1</v>
          </cell>
          <cell r="F61">
            <v>1</v>
          </cell>
          <cell r="I61" t="str">
            <v xml:space="preserve">[94-126]攻击 </v>
          </cell>
          <cell r="J61">
            <v>0</v>
          </cell>
          <cell r="K61">
            <v>1</v>
          </cell>
          <cell r="L61">
            <v>5</v>
          </cell>
        </row>
        <row r="62">
          <cell r="B62">
            <v>101060700</v>
          </cell>
          <cell r="C62" t="str">
            <v>玄铁弓</v>
          </cell>
          <cell r="E62">
            <v>1</v>
          </cell>
          <cell r="F62">
            <v>1</v>
          </cell>
          <cell r="I62" t="str">
            <v xml:space="preserve">[127-163]攻击 </v>
          </cell>
          <cell r="J62">
            <v>0</v>
          </cell>
          <cell r="K62">
            <v>1</v>
          </cell>
          <cell r="L62">
            <v>6</v>
          </cell>
        </row>
        <row r="63">
          <cell r="B63">
            <v>101070700</v>
          </cell>
          <cell r="C63" t="str">
            <v>白银弓</v>
          </cell>
          <cell r="E63">
            <v>1</v>
          </cell>
          <cell r="F63">
            <v>1</v>
          </cell>
          <cell r="I63" t="str">
            <v xml:space="preserve">[164-202]攻击 </v>
          </cell>
          <cell r="J63">
            <v>0</v>
          </cell>
          <cell r="K63">
            <v>1</v>
          </cell>
          <cell r="L63">
            <v>7</v>
          </cell>
        </row>
        <row r="64">
          <cell r="B64">
            <v>101080700</v>
          </cell>
          <cell r="C64" t="str">
            <v>异灵弓</v>
          </cell>
          <cell r="E64">
            <v>1</v>
          </cell>
          <cell r="F64">
            <v>1</v>
          </cell>
          <cell r="I64" t="str">
            <v xml:space="preserve">[203-246]攻击 </v>
          </cell>
          <cell r="J64">
            <v>0</v>
          </cell>
          <cell r="K64">
            <v>1</v>
          </cell>
          <cell r="L64">
            <v>8</v>
          </cell>
        </row>
        <row r="65">
          <cell r="B65">
            <v>101090700</v>
          </cell>
          <cell r="C65" t="str">
            <v>流星弓</v>
          </cell>
          <cell r="E65">
            <v>1</v>
          </cell>
          <cell r="F65">
            <v>1</v>
          </cell>
          <cell r="I65" t="str">
            <v xml:space="preserve">[247-293]攻击 </v>
          </cell>
          <cell r="J65">
            <v>0</v>
          </cell>
          <cell r="K65">
            <v>1</v>
          </cell>
          <cell r="L65">
            <v>9</v>
          </cell>
        </row>
        <row r="66">
          <cell r="B66">
            <v>101010800</v>
          </cell>
          <cell r="C66" t="str">
            <v>破旧的烟斗</v>
          </cell>
          <cell r="E66">
            <v>1</v>
          </cell>
          <cell r="F66">
            <v>1</v>
          </cell>
          <cell r="I66" t="str">
            <v xml:space="preserve">[1-18]攻击 </v>
          </cell>
          <cell r="J66">
            <v>0</v>
          </cell>
          <cell r="K66">
            <v>1</v>
          </cell>
          <cell r="L66">
            <v>1</v>
          </cell>
        </row>
        <row r="67">
          <cell r="B67">
            <v>101020800</v>
          </cell>
          <cell r="C67" t="str">
            <v>普通的烟斗</v>
          </cell>
          <cell r="E67">
            <v>1</v>
          </cell>
          <cell r="F67">
            <v>1</v>
          </cell>
          <cell r="I67" t="str">
            <v xml:space="preserve">[19-39]攻击 </v>
          </cell>
          <cell r="J67">
            <v>0</v>
          </cell>
          <cell r="K67">
            <v>1</v>
          </cell>
          <cell r="L67">
            <v>2</v>
          </cell>
        </row>
        <row r="68">
          <cell r="B68">
            <v>101030800</v>
          </cell>
          <cell r="C68" t="str">
            <v>初级的烟斗</v>
          </cell>
          <cell r="E68">
            <v>1</v>
          </cell>
          <cell r="F68">
            <v>1</v>
          </cell>
          <cell r="I68" t="str">
            <v xml:space="preserve">[40-64]攻击 </v>
          </cell>
          <cell r="J68">
            <v>0</v>
          </cell>
          <cell r="K68">
            <v>1</v>
          </cell>
          <cell r="L68">
            <v>3</v>
          </cell>
        </row>
        <row r="69">
          <cell r="B69">
            <v>101040800</v>
          </cell>
          <cell r="C69" t="str">
            <v>水晶烟斗</v>
          </cell>
          <cell r="E69">
            <v>1</v>
          </cell>
          <cell r="F69">
            <v>1</v>
          </cell>
          <cell r="I69" t="str">
            <v xml:space="preserve">[65-93]攻击 </v>
          </cell>
          <cell r="J69">
            <v>0</v>
          </cell>
          <cell r="K69">
            <v>1</v>
          </cell>
          <cell r="L69">
            <v>4</v>
          </cell>
        </row>
        <row r="70">
          <cell r="B70">
            <v>101050800</v>
          </cell>
          <cell r="C70" t="str">
            <v>青铜烟斗</v>
          </cell>
          <cell r="E70">
            <v>1</v>
          </cell>
          <cell r="F70">
            <v>1</v>
          </cell>
          <cell r="I70" t="str">
            <v xml:space="preserve">[94-126]攻击 </v>
          </cell>
          <cell r="J70">
            <v>0</v>
          </cell>
          <cell r="K70">
            <v>1</v>
          </cell>
          <cell r="L70">
            <v>5</v>
          </cell>
        </row>
        <row r="71">
          <cell r="B71">
            <v>101060800</v>
          </cell>
          <cell r="C71" t="str">
            <v>玄铁烟斗</v>
          </cell>
          <cell r="E71">
            <v>1</v>
          </cell>
          <cell r="F71">
            <v>1</v>
          </cell>
          <cell r="I71" t="str">
            <v xml:space="preserve">[127-163]攻击 </v>
          </cell>
          <cell r="J71">
            <v>0</v>
          </cell>
          <cell r="K71">
            <v>1</v>
          </cell>
          <cell r="L71">
            <v>6</v>
          </cell>
        </row>
        <row r="72">
          <cell r="B72">
            <v>101070800</v>
          </cell>
          <cell r="C72" t="str">
            <v>白银烟斗</v>
          </cell>
          <cell r="E72">
            <v>1</v>
          </cell>
          <cell r="F72">
            <v>1</v>
          </cell>
          <cell r="I72" t="str">
            <v xml:space="preserve">[164-202]攻击 </v>
          </cell>
          <cell r="J72">
            <v>0</v>
          </cell>
          <cell r="K72">
            <v>1</v>
          </cell>
          <cell r="L72">
            <v>7</v>
          </cell>
        </row>
        <row r="73">
          <cell r="B73">
            <v>101080800</v>
          </cell>
          <cell r="C73" t="str">
            <v>异灵烟斗</v>
          </cell>
          <cell r="E73">
            <v>1</v>
          </cell>
          <cell r="F73">
            <v>1</v>
          </cell>
          <cell r="I73" t="str">
            <v xml:space="preserve">[203-246]攻击 </v>
          </cell>
          <cell r="J73">
            <v>0</v>
          </cell>
          <cell r="K73">
            <v>1</v>
          </cell>
          <cell r="L73">
            <v>8</v>
          </cell>
        </row>
        <row r="74">
          <cell r="B74">
            <v>101090800</v>
          </cell>
          <cell r="C74" t="str">
            <v>流星烟斗</v>
          </cell>
          <cell r="E74">
            <v>1</v>
          </cell>
          <cell r="F74">
            <v>1</v>
          </cell>
          <cell r="I74" t="str">
            <v xml:space="preserve">[247-293]攻击 </v>
          </cell>
          <cell r="J74">
            <v>0</v>
          </cell>
          <cell r="K74">
            <v>1</v>
          </cell>
          <cell r="L74">
            <v>9</v>
          </cell>
        </row>
        <row r="75">
          <cell r="B75">
            <v>101010900</v>
          </cell>
          <cell r="C75" t="str">
            <v>破旧的扇子</v>
          </cell>
          <cell r="E75">
            <v>1</v>
          </cell>
          <cell r="F75">
            <v>1</v>
          </cell>
          <cell r="I75" t="str">
            <v xml:space="preserve">[1-18]攻击 </v>
          </cell>
          <cell r="J75">
            <v>0</v>
          </cell>
          <cell r="K75">
            <v>1</v>
          </cell>
          <cell r="L75">
            <v>1</v>
          </cell>
        </row>
        <row r="76">
          <cell r="B76">
            <v>101020900</v>
          </cell>
          <cell r="C76" t="str">
            <v>普通的扇子</v>
          </cell>
          <cell r="E76">
            <v>1</v>
          </cell>
          <cell r="F76">
            <v>1</v>
          </cell>
          <cell r="I76" t="str">
            <v xml:space="preserve">[19-39]攻击 </v>
          </cell>
          <cell r="J76">
            <v>0</v>
          </cell>
          <cell r="K76">
            <v>1</v>
          </cell>
          <cell r="L76">
            <v>2</v>
          </cell>
        </row>
        <row r="77">
          <cell r="B77">
            <v>101030900</v>
          </cell>
          <cell r="C77" t="str">
            <v>初级的扇子</v>
          </cell>
          <cell r="E77">
            <v>1</v>
          </cell>
          <cell r="F77">
            <v>1</v>
          </cell>
          <cell r="I77" t="str">
            <v xml:space="preserve">[40-64]攻击 </v>
          </cell>
          <cell r="J77">
            <v>0</v>
          </cell>
          <cell r="K77">
            <v>1</v>
          </cell>
          <cell r="L77">
            <v>3</v>
          </cell>
        </row>
        <row r="78">
          <cell r="B78">
            <v>101040900</v>
          </cell>
          <cell r="C78" t="str">
            <v>水晶扇子</v>
          </cell>
          <cell r="E78">
            <v>1</v>
          </cell>
          <cell r="F78">
            <v>1</v>
          </cell>
          <cell r="I78" t="str">
            <v xml:space="preserve">[65-93]攻击 </v>
          </cell>
          <cell r="J78">
            <v>0</v>
          </cell>
          <cell r="K78">
            <v>1</v>
          </cell>
          <cell r="L78">
            <v>4</v>
          </cell>
        </row>
        <row r="79">
          <cell r="B79">
            <v>101050900</v>
          </cell>
          <cell r="C79" t="str">
            <v>青铜扇子</v>
          </cell>
          <cell r="E79">
            <v>1</v>
          </cell>
          <cell r="F79">
            <v>1</v>
          </cell>
          <cell r="I79" t="str">
            <v xml:space="preserve">[94-126]攻击 </v>
          </cell>
          <cell r="J79">
            <v>0</v>
          </cell>
          <cell r="K79">
            <v>1</v>
          </cell>
          <cell r="L79">
            <v>5</v>
          </cell>
        </row>
        <row r="80">
          <cell r="B80">
            <v>101060900</v>
          </cell>
          <cell r="C80" t="str">
            <v>玄铁扇子</v>
          </cell>
          <cell r="E80">
            <v>1</v>
          </cell>
          <cell r="F80">
            <v>1</v>
          </cell>
          <cell r="I80" t="str">
            <v xml:space="preserve">[127-163]攻击 </v>
          </cell>
          <cell r="J80">
            <v>0</v>
          </cell>
          <cell r="K80">
            <v>1</v>
          </cell>
          <cell r="L80">
            <v>6</v>
          </cell>
        </row>
        <row r="81">
          <cell r="B81">
            <v>101070900</v>
          </cell>
          <cell r="C81" t="str">
            <v>白银扇子</v>
          </cell>
          <cell r="E81">
            <v>1</v>
          </cell>
          <cell r="F81">
            <v>1</v>
          </cell>
          <cell r="I81" t="str">
            <v xml:space="preserve">[164-202]攻击 </v>
          </cell>
          <cell r="J81">
            <v>0</v>
          </cell>
          <cell r="K81">
            <v>1</v>
          </cell>
          <cell r="L81">
            <v>7</v>
          </cell>
        </row>
        <row r="82">
          <cell r="B82">
            <v>101080900</v>
          </cell>
          <cell r="C82" t="str">
            <v>异灵扇子</v>
          </cell>
          <cell r="E82">
            <v>1</v>
          </cell>
          <cell r="F82">
            <v>1</v>
          </cell>
          <cell r="I82" t="str">
            <v xml:space="preserve">[203-246]攻击 </v>
          </cell>
          <cell r="J82">
            <v>0</v>
          </cell>
          <cell r="K82">
            <v>1</v>
          </cell>
          <cell r="L82">
            <v>8</v>
          </cell>
        </row>
        <row r="83">
          <cell r="B83">
            <v>101090900</v>
          </cell>
          <cell r="C83" t="str">
            <v>流星扇子</v>
          </cell>
          <cell r="E83">
            <v>1</v>
          </cell>
          <cell r="F83">
            <v>1</v>
          </cell>
          <cell r="I83" t="str">
            <v xml:space="preserve">[247-293]攻击 </v>
          </cell>
          <cell r="J83">
            <v>0</v>
          </cell>
          <cell r="K83">
            <v>1</v>
          </cell>
          <cell r="L83">
            <v>9</v>
          </cell>
        </row>
        <row r="84">
          <cell r="B84">
            <v>101011000</v>
          </cell>
          <cell r="C84" t="str">
            <v>破旧的牙齿</v>
          </cell>
          <cell r="E84">
            <v>1</v>
          </cell>
          <cell r="F84">
            <v>1</v>
          </cell>
          <cell r="I84" t="str">
            <v xml:space="preserve">[1-18]攻击 </v>
          </cell>
          <cell r="J84">
            <v>0</v>
          </cell>
          <cell r="K84">
            <v>1</v>
          </cell>
          <cell r="L84">
            <v>1</v>
          </cell>
        </row>
        <row r="85">
          <cell r="B85">
            <v>101021000</v>
          </cell>
          <cell r="C85" t="str">
            <v>普通的牙齿</v>
          </cell>
          <cell r="E85">
            <v>1</v>
          </cell>
          <cell r="F85">
            <v>1</v>
          </cell>
          <cell r="I85" t="str">
            <v xml:space="preserve">[19-39]攻击 </v>
          </cell>
          <cell r="J85">
            <v>0</v>
          </cell>
          <cell r="K85">
            <v>1</v>
          </cell>
          <cell r="L85">
            <v>2</v>
          </cell>
        </row>
        <row r="86">
          <cell r="B86">
            <v>101031000</v>
          </cell>
          <cell r="C86" t="str">
            <v>初级的牙齿</v>
          </cell>
          <cell r="E86">
            <v>1</v>
          </cell>
          <cell r="F86">
            <v>1</v>
          </cell>
          <cell r="I86" t="str">
            <v xml:space="preserve">[40-64]攻击 </v>
          </cell>
          <cell r="J86">
            <v>0</v>
          </cell>
          <cell r="K86">
            <v>1</v>
          </cell>
          <cell r="L86">
            <v>3</v>
          </cell>
        </row>
        <row r="87">
          <cell r="B87">
            <v>101041000</v>
          </cell>
          <cell r="C87" t="str">
            <v>水晶牙齿</v>
          </cell>
          <cell r="E87">
            <v>1</v>
          </cell>
          <cell r="F87">
            <v>1</v>
          </cell>
          <cell r="I87" t="str">
            <v xml:space="preserve">[65-93]攻击 </v>
          </cell>
          <cell r="J87">
            <v>0</v>
          </cell>
          <cell r="K87">
            <v>1</v>
          </cell>
          <cell r="L87">
            <v>4</v>
          </cell>
        </row>
        <row r="88">
          <cell r="B88">
            <v>101051000</v>
          </cell>
          <cell r="C88" t="str">
            <v>青铜牙齿</v>
          </cell>
          <cell r="E88">
            <v>1</v>
          </cell>
          <cell r="F88">
            <v>1</v>
          </cell>
          <cell r="I88" t="str">
            <v xml:space="preserve">[94-126]攻击 </v>
          </cell>
          <cell r="J88">
            <v>0</v>
          </cell>
          <cell r="K88">
            <v>1</v>
          </cell>
          <cell r="L88">
            <v>5</v>
          </cell>
        </row>
        <row r="89">
          <cell r="B89">
            <v>101061000</v>
          </cell>
          <cell r="C89" t="str">
            <v>玄铁牙齿</v>
          </cell>
          <cell r="E89">
            <v>1</v>
          </cell>
          <cell r="F89">
            <v>1</v>
          </cell>
          <cell r="I89" t="str">
            <v xml:space="preserve">[127-163]攻击 </v>
          </cell>
          <cell r="J89">
            <v>0</v>
          </cell>
          <cell r="K89">
            <v>1</v>
          </cell>
          <cell r="L89">
            <v>6</v>
          </cell>
        </row>
        <row r="90">
          <cell r="B90">
            <v>101071000</v>
          </cell>
          <cell r="C90" t="str">
            <v>白银牙齿</v>
          </cell>
          <cell r="E90">
            <v>1</v>
          </cell>
          <cell r="F90">
            <v>1</v>
          </cell>
          <cell r="I90" t="str">
            <v xml:space="preserve">[164-202]攻击 </v>
          </cell>
          <cell r="J90">
            <v>0</v>
          </cell>
          <cell r="K90">
            <v>1</v>
          </cell>
          <cell r="L90">
            <v>7</v>
          </cell>
        </row>
        <row r="91">
          <cell r="B91">
            <v>101081000</v>
          </cell>
          <cell r="C91" t="str">
            <v>异灵牙齿</v>
          </cell>
          <cell r="E91">
            <v>1</v>
          </cell>
          <cell r="F91">
            <v>1</v>
          </cell>
          <cell r="I91" t="str">
            <v xml:space="preserve">[203-246]攻击 </v>
          </cell>
          <cell r="J91">
            <v>0</v>
          </cell>
          <cell r="K91">
            <v>1</v>
          </cell>
          <cell r="L91">
            <v>8</v>
          </cell>
        </row>
        <row r="92">
          <cell r="B92">
            <v>101091000</v>
          </cell>
          <cell r="C92" t="str">
            <v>流星牙齿</v>
          </cell>
          <cell r="E92">
            <v>1</v>
          </cell>
          <cell r="F92">
            <v>1</v>
          </cell>
          <cell r="I92" t="str">
            <v xml:space="preserve">[247-293]攻击 </v>
          </cell>
          <cell r="J92">
            <v>0</v>
          </cell>
          <cell r="K92">
            <v>1</v>
          </cell>
          <cell r="L92">
            <v>9</v>
          </cell>
        </row>
        <row r="93">
          <cell r="B93">
            <v>101011100</v>
          </cell>
          <cell r="C93" t="str">
            <v>破旧的球</v>
          </cell>
          <cell r="E93">
            <v>1</v>
          </cell>
          <cell r="F93">
            <v>1</v>
          </cell>
          <cell r="I93" t="str">
            <v xml:space="preserve">[1-18]攻击 </v>
          </cell>
          <cell r="J93">
            <v>0</v>
          </cell>
          <cell r="K93">
            <v>1</v>
          </cell>
          <cell r="L93">
            <v>1</v>
          </cell>
        </row>
        <row r="94">
          <cell r="B94">
            <v>101021100</v>
          </cell>
          <cell r="C94" t="str">
            <v>普通的球</v>
          </cell>
          <cell r="E94">
            <v>1</v>
          </cell>
          <cell r="F94">
            <v>1</v>
          </cell>
          <cell r="I94" t="str">
            <v xml:space="preserve">[19-39]攻击 </v>
          </cell>
          <cell r="J94">
            <v>0</v>
          </cell>
          <cell r="K94">
            <v>1</v>
          </cell>
          <cell r="L94">
            <v>2</v>
          </cell>
        </row>
        <row r="95">
          <cell r="B95">
            <v>101031100</v>
          </cell>
          <cell r="C95" t="str">
            <v>初级的球</v>
          </cell>
          <cell r="E95">
            <v>1</v>
          </cell>
          <cell r="F95">
            <v>1</v>
          </cell>
          <cell r="I95" t="str">
            <v xml:space="preserve">[40-64]攻击 </v>
          </cell>
          <cell r="J95">
            <v>0</v>
          </cell>
          <cell r="K95">
            <v>1</v>
          </cell>
          <cell r="L95">
            <v>3</v>
          </cell>
        </row>
        <row r="96">
          <cell r="B96">
            <v>101041100</v>
          </cell>
          <cell r="C96" t="str">
            <v>水晶球</v>
          </cell>
          <cell r="E96">
            <v>1</v>
          </cell>
          <cell r="F96">
            <v>1</v>
          </cell>
          <cell r="I96" t="str">
            <v xml:space="preserve">[65-93]攻击 </v>
          </cell>
          <cell r="J96">
            <v>0</v>
          </cell>
          <cell r="K96">
            <v>1</v>
          </cell>
          <cell r="L96">
            <v>4</v>
          </cell>
        </row>
        <row r="97">
          <cell r="B97">
            <v>101051100</v>
          </cell>
          <cell r="C97" t="str">
            <v>青铜球</v>
          </cell>
          <cell r="E97">
            <v>1</v>
          </cell>
          <cell r="F97">
            <v>1</v>
          </cell>
          <cell r="I97" t="str">
            <v xml:space="preserve">[94-126]攻击 </v>
          </cell>
          <cell r="J97">
            <v>0</v>
          </cell>
          <cell r="K97">
            <v>1</v>
          </cell>
          <cell r="L97">
            <v>5</v>
          </cell>
        </row>
        <row r="98">
          <cell r="B98">
            <v>101061100</v>
          </cell>
          <cell r="C98" t="str">
            <v>玄铁球</v>
          </cell>
          <cell r="E98">
            <v>1</v>
          </cell>
          <cell r="F98">
            <v>1</v>
          </cell>
          <cell r="I98" t="str">
            <v xml:space="preserve">[127-163]攻击 </v>
          </cell>
          <cell r="J98">
            <v>0</v>
          </cell>
          <cell r="K98">
            <v>1</v>
          </cell>
          <cell r="L98">
            <v>6</v>
          </cell>
        </row>
        <row r="99">
          <cell r="B99">
            <v>101071100</v>
          </cell>
          <cell r="C99" t="str">
            <v>白银球</v>
          </cell>
          <cell r="E99">
            <v>1</v>
          </cell>
          <cell r="F99">
            <v>1</v>
          </cell>
          <cell r="I99" t="str">
            <v xml:space="preserve">[164-202]攻击 </v>
          </cell>
          <cell r="J99">
            <v>0</v>
          </cell>
          <cell r="K99">
            <v>1</v>
          </cell>
          <cell r="L99">
            <v>7</v>
          </cell>
        </row>
        <row r="100">
          <cell r="B100">
            <v>101081100</v>
          </cell>
          <cell r="C100" t="str">
            <v>异灵球</v>
          </cell>
          <cell r="E100">
            <v>1</v>
          </cell>
          <cell r="F100">
            <v>1</v>
          </cell>
          <cell r="I100" t="str">
            <v xml:space="preserve">[203-246]攻击 </v>
          </cell>
          <cell r="J100">
            <v>0</v>
          </cell>
          <cell r="K100">
            <v>1</v>
          </cell>
          <cell r="L100">
            <v>8</v>
          </cell>
        </row>
        <row r="101">
          <cell r="B101">
            <v>101091100</v>
          </cell>
          <cell r="C101" t="str">
            <v>流星球</v>
          </cell>
          <cell r="E101">
            <v>1</v>
          </cell>
          <cell r="F101">
            <v>1</v>
          </cell>
          <cell r="I101" t="str">
            <v xml:space="preserve">[247-293]攻击 </v>
          </cell>
          <cell r="J101">
            <v>0</v>
          </cell>
          <cell r="K101">
            <v>1</v>
          </cell>
          <cell r="L101">
            <v>9</v>
          </cell>
        </row>
        <row r="102">
          <cell r="B102">
            <v>101011200</v>
          </cell>
          <cell r="C102" t="str">
            <v>破旧的爪</v>
          </cell>
          <cell r="E102">
            <v>1</v>
          </cell>
          <cell r="F102">
            <v>1</v>
          </cell>
          <cell r="I102" t="str">
            <v xml:space="preserve">[1-18]攻击 </v>
          </cell>
          <cell r="J102">
            <v>0</v>
          </cell>
          <cell r="K102">
            <v>1</v>
          </cell>
          <cell r="L102">
            <v>1</v>
          </cell>
        </row>
        <row r="103">
          <cell r="B103">
            <v>101021200</v>
          </cell>
          <cell r="C103" t="str">
            <v>普通的爪</v>
          </cell>
          <cell r="E103">
            <v>1</v>
          </cell>
          <cell r="F103">
            <v>1</v>
          </cell>
          <cell r="I103" t="str">
            <v xml:space="preserve">[19-39]攻击 </v>
          </cell>
          <cell r="J103">
            <v>0</v>
          </cell>
          <cell r="K103">
            <v>1</v>
          </cell>
          <cell r="L103">
            <v>2</v>
          </cell>
        </row>
        <row r="104">
          <cell r="B104">
            <v>101031200</v>
          </cell>
          <cell r="C104" t="str">
            <v>初级的爪</v>
          </cell>
          <cell r="E104">
            <v>1</v>
          </cell>
          <cell r="F104">
            <v>1</v>
          </cell>
          <cell r="I104" t="str">
            <v xml:space="preserve">[40-64]攻击 </v>
          </cell>
          <cell r="J104">
            <v>0</v>
          </cell>
          <cell r="K104">
            <v>1</v>
          </cell>
          <cell r="L104">
            <v>3</v>
          </cell>
        </row>
        <row r="105">
          <cell r="B105">
            <v>101041200</v>
          </cell>
          <cell r="C105" t="str">
            <v>水晶爪</v>
          </cell>
          <cell r="E105">
            <v>1</v>
          </cell>
          <cell r="F105">
            <v>1</v>
          </cell>
          <cell r="I105" t="str">
            <v xml:space="preserve">[65-93]攻击 </v>
          </cell>
          <cell r="J105">
            <v>0</v>
          </cell>
          <cell r="K105">
            <v>1</v>
          </cell>
          <cell r="L105">
            <v>4</v>
          </cell>
        </row>
        <row r="106">
          <cell r="B106">
            <v>101051200</v>
          </cell>
          <cell r="C106" t="str">
            <v>青铜爪</v>
          </cell>
          <cell r="E106">
            <v>1</v>
          </cell>
          <cell r="F106">
            <v>1</v>
          </cell>
          <cell r="I106" t="str">
            <v xml:space="preserve">[94-126]攻击 </v>
          </cell>
          <cell r="J106">
            <v>0</v>
          </cell>
          <cell r="K106">
            <v>1</v>
          </cell>
          <cell r="L106">
            <v>5</v>
          </cell>
        </row>
        <row r="107">
          <cell r="B107">
            <v>101061200</v>
          </cell>
          <cell r="C107" t="str">
            <v>玄铁爪</v>
          </cell>
          <cell r="E107">
            <v>1</v>
          </cell>
          <cell r="F107">
            <v>1</v>
          </cell>
          <cell r="I107" t="str">
            <v xml:space="preserve">[127-163]攻击 </v>
          </cell>
          <cell r="J107">
            <v>0</v>
          </cell>
          <cell r="K107">
            <v>1</v>
          </cell>
          <cell r="L107">
            <v>6</v>
          </cell>
        </row>
        <row r="108">
          <cell r="B108">
            <v>101071200</v>
          </cell>
          <cell r="C108" t="str">
            <v>白银爪</v>
          </cell>
          <cell r="E108">
            <v>1</v>
          </cell>
          <cell r="F108">
            <v>1</v>
          </cell>
          <cell r="I108" t="str">
            <v xml:space="preserve">[164-202]攻击 </v>
          </cell>
          <cell r="J108">
            <v>0</v>
          </cell>
          <cell r="K108">
            <v>1</v>
          </cell>
          <cell r="L108">
            <v>7</v>
          </cell>
        </row>
        <row r="109">
          <cell r="B109">
            <v>101081200</v>
          </cell>
          <cell r="C109" t="str">
            <v>异灵爪</v>
          </cell>
          <cell r="E109">
            <v>1</v>
          </cell>
          <cell r="F109">
            <v>1</v>
          </cell>
          <cell r="I109" t="str">
            <v xml:space="preserve">[203-246]攻击 </v>
          </cell>
          <cell r="J109">
            <v>0</v>
          </cell>
          <cell r="K109">
            <v>1</v>
          </cell>
          <cell r="L109">
            <v>8</v>
          </cell>
        </row>
        <row r="110">
          <cell r="B110">
            <v>101091200</v>
          </cell>
          <cell r="C110" t="str">
            <v>流星爪</v>
          </cell>
          <cell r="E110">
            <v>1</v>
          </cell>
          <cell r="F110">
            <v>1</v>
          </cell>
          <cell r="I110" t="str">
            <v xml:space="preserve">[247-293]攻击 </v>
          </cell>
          <cell r="J110">
            <v>0</v>
          </cell>
          <cell r="K110">
            <v>1</v>
          </cell>
          <cell r="L110">
            <v>9</v>
          </cell>
        </row>
        <row r="111">
          <cell r="B111">
            <v>101011300</v>
          </cell>
          <cell r="C111" t="str">
            <v>破旧的剑</v>
          </cell>
          <cell r="E111">
            <v>1</v>
          </cell>
          <cell r="F111">
            <v>1</v>
          </cell>
          <cell r="I111" t="str">
            <v xml:space="preserve">[1-18]攻击 </v>
          </cell>
          <cell r="J111">
            <v>0</v>
          </cell>
          <cell r="K111">
            <v>1</v>
          </cell>
          <cell r="L111">
            <v>1</v>
          </cell>
        </row>
        <row r="112">
          <cell r="B112">
            <v>101021300</v>
          </cell>
          <cell r="C112" t="str">
            <v>普通的剑</v>
          </cell>
          <cell r="E112">
            <v>1</v>
          </cell>
          <cell r="F112">
            <v>1</v>
          </cell>
          <cell r="I112" t="str">
            <v xml:space="preserve">[19-39]攻击 </v>
          </cell>
          <cell r="J112">
            <v>0</v>
          </cell>
          <cell r="K112">
            <v>1</v>
          </cell>
          <cell r="L112">
            <v>2</v>
          </cell>
        </row>
        <row r="113">
          <cell r="B113">
            <v>101031300</v>
          </cell>
          <cell r="C113" t="str">
            <v>初级的剑</v>
          </cell>
          <cell r="E113">
            <v>1</v>
          </cell>
          <cell r="F113">
            <v>1</v>
          </cell>
          <cell r="I113" t="str">
            <v xml:space="preserve">[40-64]攻击 </v>
          </cell>
          <cell r="J113">
            <v>0</v>
          </cell>
          <cell r="K113">
            <v>1</v>
          </cell>
          <cell r="L113">
            <v>3</v>
          </cell>
        </row>
        <row r="114">
          <cell r="B114">
            <v>101041300</v>
          </cell>
          <cell r="C114" t="str">
            <v>水晶剑</v>
          </cell>
          <cell r="E114">
            <v>1</v>
          </cell>
          <cell r="F114">
            <v>1</v>
          </cell>
          <cell r="I114" t="str">
            <v xml:space="preserve">[65-93]攻击 </v>
          </cell>
          <cell r="J114">
            <v>0</v>
          </cell>
          <cell r="K114">
            <v>1</v>
          </cell>
          <cell r="L114">
            <v>4</v>
          </cell>
        </row>
        <row r="115">
          <cell r="B115">
            <v>101051300</v>
          </cell>
          <cell r="C115" t="str">
            <v>青铜剑</v>
          </cell>
          <cell r="E115">
            <v>1</v>
          </cell>
          <cell r="F115">
            <v>1</v>
          </cell>
          <cell r="I115" t="str">
            <v xml:space="preserve">[94-126]攻击 </v>
          </cell>
          <cell r="J115">
            <v>0</v>
          </cell>
          <cell r="K115">
            <v>1</v>
          </cell>
          <cell r="L115">
            <v>5</v>
          </cell>
        </row>
        <row r="116">
          <cell r="B116">
            <v>101061300</v>
          </cell>
          <cell r="C116" t="str">
            <v>玄铁剑</v>
          </cell>
          <cell r="E116">
            <v>1</v>
          </cell>
          <cell r="F116">
            <v>1</v>
          </cell>
          <cell r="I116" t="str">
            <v xml:space="preserve">[127-163]攻击 </v>
          </cell>
          <cell r="J116">
            <v>0</v>
          </cell>
          <cell r="K116">
            <v>1</v>
          </cell>
          <cell r="L116">
            <v>6</v>
          </cell>
        </row>
        <row r="117">
          <cell r="B117">
            <v>101071300</v>
          </cell>
          <cell r="C117" t="str">
            <v>白银剑</v>
          </cell>
          <cell r="E117">
            <v>1</v>
          </cell>
          <cell r="F117">
            <v>1</v>
          </cell>
          <cell r="I117" t="str">
            <v xml:space="preserve">[164-202]攻击 </v>
          </cell>
          <cell r="J117">
            <v>0</v>
          </cell>
          <cell r="K117">
            <v>1</v>
          </cell>
          <cell r="L117">
            <v>7</v>
          </cell>
        </row>
        <row r="118">
          <cell r="B118">
            <v>101081300</v>
          </cell>
          <cell r="C118" t="str">
            <v>异灵剑</v>
          </cell>
          <cell r="E118">
            <v>1</v>
          </cell>
          <cell r="F118">
            <v>1</v>
          </cell>
          <cell r="I118" t="str">
            <v xml:space="preserve">[203-246]攻击 </v>
          </cell>
          <cell r="J118">
            <v>0</v>
          </cell>
          <cell r="K118">
            <v>1</v>
          </cell>
          <cell r="L118">
            <v>8</v>
          </cell>
        </row>
        <row r="119">
          <cell r="B119">
            <v>101091300</v>
          </cell>
          <cell r="C119" t="str">
            <v>流星剑</v>
          </cell>
          <cell r="E119">
            <v>1</v>
          </cell>
          <cell r="F119">
            <v>1</v>
          </cell>
          <cell r="I119" t="str">
            <v xml:space="preserve">[247-293]攻击 </v>
          </cell>
          <cell r="J119">
            <v>0</v>
          </cell>
          <cell r="K119">
            <v>1</v>
          </cell>
          <cell r="L119">
            <v>9</v>
          </cell>
        </row>
        <row r="120">
          <cell r="B120">
            <v>201011400</v>
          </cell>
          <cell r="C120" t="str">
            <v>破旧的戒指</v>
          </cell>
          <cell r="E120">
            <v>1</v>
          </cell>
          <cell r="F120">
            <v>2</v>
          </cell>
          <cell r="I120" t="str">
            <v xml:space="preserve">[1-31]防御 </v>
          </cell>
          <cell r="J120">
            <v>0</v>
          </cell>
          <cell r="K120">
            <v>1</v>
          </cell>
          <cell r="L120">
            <v>1</v>
          </cell>
        </row>
        <row r="121">
          <cell r="B121">
            <v>201021400</v>
          </cell>
          <cell r="C121" t="str">
            <v>普通的戒指</v>
          </cell>
          <cell r="E121">
            <v>1</v>
          </cell>
          <cell r="F121">
            <v>2</v>
          </cell>
          <cell r="I121" t="str">
            <v xml:space="preserve">[32-62]防御 </v>
          </cell>
          <cell r="J121">
            <v>0</v>
          </cell>
          <cell r="K121">
            <v>1</v>
          </cell>
          <cell r="L121">
            <v>2</v>
          </cell>
        </row>
        <row r="122">
          <cell r="B122">
            <v>201031400</v>
          </cell>
          <cell r="C122" t="str">
            <v>初级的戒指</v>
          </cell>
          <cell r="E122">
            <v>1</v>
          </cell>
          <cell r="F122">
            <v>2</v>
          </cell>
          <cell r="I122" t="str">
            <v xml:space="preserve">[63-93]防御 </v>
          </cell>
          <cell r="J122">
            <v>0</v>
          </cell>
          <cell r="K122">
            <v>1</v>
          </cell>
          <cell r="L122">
            <v>3</v>
          </cell>
        </row>
        <row r="123">
          <cell r="B123">
            <v>201041400</v>
          </cell>
          <cell r="C123" t="str">
            <v>水晶戒指</v>
          </cell>
          <cell r="E123">
            <v>1</v>
          </cell>
          <cell r="F123">
            <v>2</v>
          </cell>
          <cell r="I123" t="str">
            <v xml:space="preserve">[94-125]防御 </v>
          </cell>
          <cell r="J123">
            <v>0</v>
          </cell>
          <cell r="K123">
            <v>1</v>
          </cell>
          <cell r="L123">
            <v>4</v>
          </cell>
        </row>
        <row r="124">
          <cell r="B124">
            <v>201051400</v>
          </cell>
          <cell r="C124" t="str">
            <v>青铜戒指</v>
          </cell>
          <cell r="E124">
            <v>1</v>
          </cell>
          <cell r="F124">
            <v>2</v>
          </cell>
          <cell r="I124" t="str">
            <v xml:space="preserve">[126-156]防御 </v>
          </cell>
          <cell r="J124">
            <v>0</v>
          </cell>
          <cell r="K124">
            <v>1</v>
          </cell>
          <cell r="L124">
            <v>5</v>
          </cell>
        </row>
        <row r="125">
          <cell r="B125">
            <v>201061400</v>
          </cell>
          <cell r="C125" t="str">
            <v>玄铁戒指</v>
          </cell>
          <cell r="E125">
            <v>1</v>
          </cell>
          <cell r="F125">
            <v>2</v>
          </cell>
          <cell r="I125" t="str">
            <v xml:space="preserve">[157-187]防御 </v>
          </cell>
          <cell r="J125">
            <v>0</v>
          </cell>
          <cell r="K125">
            <v>1</v>
          </cell>
          <cell r="L125">
            <v>6</v>
          </cell>
        </row>
        <row r="126">
          <cell r="B126">
            <v>201071400</v>
          </cell>
          <cell r="C126" t="str">
            <v>白银戒指</v>
          </cell>
          <cell r="E126">
            <v>1</v>
          </cell>
          <cell r="F126">
            <v>2</v>
          </cell>
          <cell r="I126" t="str">
            <v xml:space="preserve">[188-218]防御 </v>
          </cell>
          <cell r="J126">
            <v>0</v>
          </cell>
          <cell r="K126">
            <v>1</v>
          </cell>
          <cell r="L126">
            <v>7</v>
          </cell>
        </row>
        <row r="127">
          <cell r="B127">
            <v>201081400</v>
          </cell>
          <cell r="C127" t="str">
            <v>异灵戒指</v>
          </cell>
          <cell r="E127">
            <v>1</v>
          </cell>
          <cell r="F127">
            <v>2</v>
          </cell>
          <cell r="I127" t="str">
            <v xml:space="preserve">[219-250]防御 </v>
          </cell>
          <cell r="J127">
            <v>0</v>
          </cell>
          <cell r="K127">
            <v>1</v>
          </cell>
          <cell r="L127">
            <v>8</v>
          </cell>
        </row>
        <row r="128">
          <cell r="B128">
            <v>201091400</v>
          </cell>
          <cell r="C128" t="str">
            <v>流星戒指</v>
          </cell>
          <cell r="E128">
            <v>1</v>
          </cell>
          <cell r="F128">
            <v>2</v>
          </cell>
          <cell r="I128" t="str">
            <v xml:space="preserve">[251-281]防御 </v>
          </cell>
          <cell r="J128">
            <v>0</v>
          </cell>
          <cell r="K128">
            <v>1</v>
          </cell>
          <cell r="L128">
            <v>9</v>
          </cell>
        </row>
        <row r="129">
          <cell r="B129">
            <v>301011500</v>
          </cell>
          <cell r="C129" t="str">
            <v>破旧的项链</v>
          </cell>
          <cell r="E129">
            <v>1</v>
          </cell>
          <cell r="F129">
            <v>3</v>
          </cell>
          <cell r="I129" t="str">
            <v xml:space="preserve">[1-31]防御 </v>
          </cell>
          <cell r="J129">
            <v>0</v>
          </cell>
          <cell r="K129">
            <v>1</v>
          </cell>
          <cell r="L129">
            <v>1</v>
          </cell>
        </row>
        <row r="130">
          <cell r="B130">
            <v>301021500</v>
          </cell>
          <cell r="C130" t="str">
            <v>普通的项链</v>
          </cell>
          <cell r="E130">
            <v>1</v>
          </cell>
          <cell r="F130">
            <v>3</v>
          </cell>
          <cell r="I130" t="str">
            <v xml:space="preserve">[32-62]防御 </v>
          </cell>
          <cell r="J130">
            <v>0</v>
          </cell>
          <cell r="K130">
            <v>1</v>
          </cell>
          <cell r="L130">
            <v>2</v>
          </cell>
        </row>
        <row r="131">
          <cell r="B131">
            <v>301031500</v>
          </cell>
          <cell r="C131" t="str">
            <v>初级的项链</v>
          </cell>
          <cell r="E131">
            <v>1</v>
          </cell>
          <cell r="F131">
            <v>3</v>
          </cell>
          <cell r="I131" t="str">
            <v xml:space="preserve">[63-93]防御 </v>
          </cell>
          <cell r="J131">
            <v>0</v>
          </cell>
          <cell r="K131">
            <v>1</v>
          </cell>
          <cell r="L131">
            <v>3</v>
          </cell>
        </row>
        <row r="132">
          <cell r="B132">
            <v>301041500</v>
          </cell>
          <cell r="C132" t="str">
            <v>水晶项链</v>
          </cell>
          <cell r="E132">
            <v>1</v>
          </cell>
          <cell r="F132">
            <v>3</v>
          </cell>
          <cell r="I132" t="str">
            <v xml:space="preserve">[94-125]防御 </v>
          </cell>
          <cell r="J132">
            <v>0</v>
          </cell>
          <cell r="K132">
            <v>1</v>
          </cell>
          <cell r="L132">
            <v>4</v>
          </cell>
        </row>
        <row r="133">
          <cell r="B133">
            <v>301051500</v>
          </cell>
          <cell r="C133" t="str">
            <v>青铜项链</v>
          </cell>
          <cell r="E133">
            <v>1</v>
          </cell>
          <cell r="F133">
            <v>3</v>
          </cell>
          <cell r="I133" t="str">
            <v xml:space="preserve">[126-156]防御 </v>
          </cell>
          <cell r="J133">
            <v>0</v>
          </cell>
          <cell r="K133">
            <v>1</v>
          </cell>
          <cell r="L133">
            <v>5</v>
          </cell>
        </row>
        <row r="134">
          <cell r="B134">
            <v>301061500</v>
          </cell>
          <cell r="C134" t="str">
            <v>玄铁项链</v>
          </cell>
          <cell r="E134">
            <v>1</v>
          </cell>
          <cell r="F134">
            <v>3</v>
          </cell>
          <cell r="I134" t="str">
            <v xml:space="preserve">[157-187]防御 </v>
          </cell>
          <cell r="J134">
            <v>0</v>
          </cell>
          <cell r="K134">
            <v>1</v>
          </cell>
          <cell r="L134">
            <v>6</v>
          </cell>
        </row>
        <row r="135">
          <cell r="B135">
            <v>301071500</v>
          </cell>
          <cell r="C135" t="str">
            <v>白银项链</v>
          </cell>
          <cell r="E135">
            <v>1</v>
          </cell>
          <cell r="F135">
            <v>3</v>
          </cell>
          <cell r="I135" t="str">
            <v xml:space="preserve">[188-218]防御 </v>
          </cell>
          <cell r="J135">
            <v>0</v>
          </cell>
          <cell r="K135">
            <v>1</v>
          </cell>
          <cell r="L135">
            <v>7</v>
          </cell>
        </row>
        <row r="136">
          <cell r="B136">
            <v>301081500</v>
          </cell>
          <cell r="C136" t="str">
            <v>异灵项链</v>
          </cell>
          <cell r="E136">
            <v>1</v>
          </cell>
          <cell r="F136">
            <v>3</v>
          </cell>
          <cell r="I136" t="str">
            <v xml:space="preserve">[219-250]防御 </v>
          </cell>
          <cell r="J136">
            <v>0</v>
          </cell>
          <cell r="K136">
            <v>1</v>
          </cell>
          <cell r="L136">
            <v>8</v>
          </cell>
        </row>
        <row r="137">
          <cell r="B137">
            <v>301091500</v>
          </cell>
          <cell r="C137" t="str">
            <v>流星项链</v>
          </cell>
          <cell r="E137">
            <v>1</v>
          </cell>
          <cell r="F137">
            <v>3</v>
          </cell>
          <cell r="I137" t="str">
            <v xml:space="preserve">[251-281]防御 </v>
          </cell>
          <cell r="J137">
            <v>0</v>
          </cell>
          <cell r="K137">
            <v>1</v>
          </cell>
          <cell r="L137">
            <v>9</v>
          </cell>
        </row>
        <row r="138">
          <cell r="B138">
            <v>102010100</v>
          </cell>
          <cell r="C138" t="str">
            <v>学徒颓废锤</v>
          </cell>
          <cell r="E138">
            <v>2</v>
          </cell>
          <cell r="F138">
            <v>1</v>
          </cell>
          <cell r="I138" t="str">
            <v>[1-21]攻击 +1个随机属性</v>
          </cell>
          <cell r="J138">
            <v>0</v>
          </cell>
          <cell r="K138">
            <v>2</v>
          </cell>
          <cell r="L138">
            <v>1</v>
          </cell>
        </row>
        <row r="139">
          <cell r="B139">
            <v>102020100</v>
          </cell>
          <cell r="C139" t="str">
            <v>专家玄铁锤</v>
          </cell>
          <cell r="E139">
            <v>2</v>
          </cell>
          <cell r="F139">
            <v>1</v>
          </cell>
          <cell r="I139" t="str">
            <v>[22-46]攻击 +1个随机属性</v>
          </cell>
          <cell r="J139">
            <v>0</v>
          </cell>
          <cell r="K139">
            <v>2</v>
          </cell>
          <cell r="L139">
            <v>2</v>
          </cell>
        </row>
        <row r="140">
          <cell r="B140">
            <v>102030100</v>
          </cell>
          <cell r="C140" t="str">
            <v>大师水晶锤</v>
          </cell>
          <cell r="E140">
            <v>2</v>
          </cell>
          <cell r="F140">
            <v>1</v>
          </cell>
          <cell r="I140" t="str">
            <v>[47-75]攻击 +1个随机属性</v>
          </cell>
          <cell r="J140">
            <v>0</v>
          </cell>
          <cell r="K140">
            <v>2</v>
          </cell>
          <cell r="L140">
            <v>3</v>
          </cell>
        </row>
        <row r="141">
          <cell r="B141">
            <v>102040100</v>
          </cell>
          <cell r="C141" t="str">
            <v>宗师精钢锤</v>
          </cell>
          <cell r="E141">
            <v>2</v>
          </cell>
          <cell r="F141">
            <v>1</v>
          </cell>
          <cell r="I141" t="str">
            <v>[76-109]攻击 +1个随机属性</v>
          </cell>
          <cell r="J141">
            <v>0</v>
          </cell>
          <cell r="K141">
            <v>2</v>
          </cell>
          <cell r="L141">
            <v>4</v>
          </cell>
        </row>
        <row r="142">
          <cell r="B142">
            <v>102050100</v>
          </cell>
          <cell r="C142" t="str">
            <v>显赫白银锤</v>
          </cell>
          <cell r="E142">
            <v>2</v>
          </cell>
          <cell r="F142">
            <v>1</v>
          </cell>
          <cell r="I142" t="str">
            <v>[110-148]攻击 +1个随机属性</v>
          </cell>
          <cell r="J142">
            <v>0</v>
          </cell>
          <cell r="K142">
            <v>2</v>
          </cell>
          <cell r="L142">
            <v>5</v>
          </cell>
        </row>
        <row r="143">
          <cell r="B143">
            <v>102060100</v>
          </cell>
          <cell r="C143" t="str">
            <v>尊荣虚幻锤</v>
          </cell>
          <cell r="E143">
            <v>2</v>
          </cell>
          <cell r="F143">
            <v>1</v>
          </cell>
          <cell r="I143" t="str">
            <v>[149-190]攻击 +1个随机属性</v>
          </cell>
          <cell r="J143">
            <v>0</v>
          </cell>
          <cell r="K143">
            <v>2</v>
          </cell>
          <cell r="L143">
            <v>6</v>
          </cell>
        </row>
        <row r="144">
          <cell r="B144">
            <v>102070100</v>
          </cell>
          <cell r="C144" t="str">
            <v>至尊歌德锤</v>
          </cell>
          <cell r="E144">
            <v>2</v>
          </cell>
          <cell r="F144">
            <v>1</v>
          </cell>
          <cell r="I144" t="str">
            <v>[191-236]攻击 +1个随机属性</v>
          </cell>
          <cell r="J144">
            <v>0</v>
          </cell>
          <cell r="K144">
            <v>2</v>
          </cell>
          <cell r="L144">
            <v>7</v>
          </cell>
        </row>
        <row r="145">
          <cell r="B145">
            <v>102080100</v>
          </cell>
          <cell r="C145" t="str">
            <v>绝旨空灵锤</v>
          </cell>
          <cell r="E145">
            <v>2</v>
          </cell>
          <cell r="F145">
            <v>1</v>
          </cell>
          <cell r="I145" t="str">
            <v>[237-287]攻击 +1个随机属性</v>
          </cell>
          <cell r="J145">
            <v>0</v>
          </cell>
          <cell r="K145">
            <v>2</v>
          </cell>
          <cell r="L145">
            <v>8</v>
          </cell>
        </row>
        <row r="146">
          <cell r="B146">
            <v>102090100</v>
          </cell>
          <cell r="C146" t="str">
            <v>天工混乱锤</v>
          </cell>
          <cell r="E146">
            <v>2</v>
          </cell>
          <cell r="F146">
            <v>1</v>
          </cell>
          <cell r="I146" t="str">
            <v>[288-342]攻击 +1个随机属性</v>
          </cell>
          <cell r="J146">
            <v>0</v>
          </cell>
          <cell r="K146">
            <v>2</v>
          </cell>
          <cell r="L146">
            <v>9</v>
          </cell>
        </row>
        <row r="147">
          <cell r="B147">
            <v>102010200</v>
          </cell>
          <cell r="C147" t="str">
            <v>学徒颓废刀</v>
          </cell>
          <cell r="E147">
            <v>2</v>
          </cell>
          <cell r="F147">
            <v>1</v>
          </cell>
          <cell r="I147" t="str">
            <v>[1-21]攻击 +1个随机属性</v>
          </cell>
          <cell r="J147">
            <v>0</v>
          </cell>
          <cell r="K147">
            <v>2</v>
          </cell>
          <cell r="L147">
            <v>1</v>
          </cell>
        </row>
        <row r="148">
          <cell r="B148">
            <v>102020200</v>
          </cell>
          <cell r="C148" t="str">
            <v>专家玄铁刀</v>
          </cell>
          <cell r="E148">
            <v>2</v>
          </cell>
          <cell r="F148">
            <v>1</v>
          </cell>
          <cell r="I148" t="str">
            <v>[22-46]攻击 +1个随机属性</v>
          </cell>
          <cell r="J148">
            <v>0</v>
          </cell>
          <cell r="K148">
            <v>2</v>
          </cell>
          <cell r="L148">
            <v>2</v>
          </cell>
        </row>
        <row r="149">
          <cell r="B149">
            <v>102030200</v>
          </cell>
          <cell r="C149" t="str">
            <v>大师水晶刀</v>
          </cell>
          <cell r="E149">
            <v>2</v>
          </cell>
          <cell r="F149">
            <v>1</v>
          </cell>
          <cell r="I149" t="str">
            <v>[47-75]攻击 +1个随机属性</v>
          </cell>
          <cell r="J149">
            <v>0</v>
          </cell>
          <cell r="K149">
            <v>2</v>
          </cell>
          <cell r="L149">
            <v>3</v>
          </cell>
        </row>
        <row r="150">
          <cell r="B150">
            <v>102040200</v>
          </cell>
          <cell r="C150" t="str">
            <v>宗师精钢刀</v>
          </cell>
          <cell r="E150">
            <v>2</v>
          </cell>
          <cell r="F150">
            <v>1</v>
          </cell>
          <cell r="I150" t="str">
            <v>[76-109]攻击 +1个随机属性</v>
          </cell>
          <cell r="J150">
            <v>0</v>
          </cell>
          <cell r="K150">
            <v>2</v>
          </cell>
          <cell r="L150">
            <v>4</v>
          </cell>
        </row>
        <row r="151">
          <cell r="B151">
            <v>102050200</v>
          </cell>
          <cell r="C151" t="str">
            <v>显赫白银刀</v>
          </cell>
          <cell r="E151">
            <v>2</v>
          </cell>
          <cell r="F151">
            <v>1</v>
          </cell>
          <cell r="I151" t="str">
            <v>[110-148]攻击 +1个随机属性</v>
          </cell>
          <cell r="J151">
            <v>0</v>
          </cell>
          <cell r="K151">
            <v>2</v>
          </cell>
          <cell r="L151">
            <v>5</v>
          </cell>
        </row>
        <row r="152">
          <cell r="B152">
            <v>102060200</v>
          </cell>
          <cell r="C152" t="str">
            <v>尊荣虚幻刀</v>
          </cell>
          <cell r="E152">
            <v>2</v>
          </cell>
          <cell r="F152">
            <v>1</v>
          </cell>
          <cell r="I152" t="str">
            <v>[149-190]攻击 +1个随机属性</v>
          </cell>
          <cell r="J152">
            <v>0</v>
          </cell>
          <cell r="K152">
            <v>2</v>
          </cell>
          <cell r="L152">
            <v>6</v>
          </cell>
        </row>
        <row r="153">
          <cell r="B153">
            <v>102070200</v>
          </cell>
          <cell r="C153" t="str">
            <v>至尊歌德刀</v>
          </cell>
          <cell r="E153">
            <v>2</v>
          </cell>
          <cell r="F153">
            <v>1</v>
          </cell>
          <cell r="I153" t="str">
            <v>[191-236]攻击 +1个随机属性</v>
          </cell>
          <cell r="J153">
            <v>0</v>
          </cell>
          <cell r="K153">
            <v>2</v>
          </cell>
          <cell r="L153">
            <v>7</v>
          </cell>
        </row>
        <row r="154">
          <cell r="B154">
            <v>102080200</v>
          </cell>
          <cell r="C154" t="str">
            <v>绝旨空灵刀</v>
          </cell>
          <cell r="E154">
            <v>2</v>
          </cell>
          <cell r="F154">
            <v>1</v>
          </cell>
          <cell r="I154" t="str">
            <v>[237-287]攻击 +1个随机属性</v>
          </cell>
          <cell r="J154">
            <v>0</v>
          </cell>
          <cell r="K154">
            <v>2</v>
          </cell>
          <cell r="L154">
            <v>8</v>
          </cell>
        </row>
        <row r="155">
          <cell r="B155">
            <v>102090200</v>
          </cell>
          <cell r="C155" t="str">
            <v>天工混乱刀</v>
          </cell>
          <cell r="E155">
            <v>2</v>
          </cell>
          <cell r="F155">
            <v>1</v>
          </cell>
          <cell r="I155" t="str">
            <v>[288-342]攻击 +1个随机属性</v>
          </cell>
          <cell r="J155">
            <v>0</v>
          </cell>
          <cell r="K155">
            <v>2</v>
          </cell>
          <cell r="L155">
            <v>9</v>
          </cell>
        </row>
        <row r="156">
          <cell r="B156">
            <v>102010300</v>
          </cell>
          <cell r="C156" t="str">
            <v>学徒颓废拳套</v>
          </cell>
          <cell r="E156">
            <v>2</v>
          </cell>
          <cell r="F156">
            <v>1</v>
          </cell>
          <cell r="I156" t="str">
            <v>[1-21]攻击 +1个随机属性</v>
          </cell>
          <cell r="J156">
            <v>0</v>
          </cell>
          <cell r="K156">
            <v>2</v>
          </cell>
          <cell r="L156">
            <v>1</v>
          </cell>
        </row>
        <row r="157">
          <cell r="B157">
            <v>102020300</v>
          </cell>
          <cell r="C157" t="str">
            <v>专家玄铁拳套</v>
          </cell>
          <cell r="E157">
            <v>2</v>
          </cell>
          <cell r="F157">
            <v>1</v>
          </cell>
          <cell r="I157" t="str">
            <v>[22-46]攻击 +1个随机属性</v>
          </cell>
          <cell r="J157">
            <v>0</v>
          </cell>
          <cell r="K157">
            <v>2</v>
          </cell>
          <cell r="L157">
            <v>2</v>
          </cell>
        </row>
        <row r="158">
          <cell r="B158">
            <v>102030300</v>
          </cell>
          <cell r="C158" t="str">
            <v>大师水晶拳套</v>
          </cell>
          <cell r="E158">
            <v>2</v>
          </cell>
          <cell r="F158">
            <v>1</v>
          </cell>
          <cell r="I158" t="str">
            <v>[47-75]攻击 +1个随机属性</v>
          </cell>
          <cell r="J158">
            <v>0</v>
          </cell>
          <cell r="K158">
            <v>2</v>
          </cell>
          <cell r="L158">
            <v>3</v>
          </cell>
        </row>
        <row r="159">
          <cell r="B159">
            <v>102040300</v>
          </cell>
          <cell r="C159" t="str">
            <v>宗师精钢拳套</v>
          </cell>
          <cell r="E159">
            <v>2</v>
          </cell>
          <cell r="F159">
            <v>1</v>
          </cell>
          <cell r="I159" t="str">
            <v>[76-109]攻击 +1个随机属性</v>
          </cell>
          <cell r="J159">
            <v>0</v>
          </cell>
          <cell r="K159">
            <v>2</v>
          </cell>
          <cell r="L159">
            <v>4</v>
          </cell>
        </row>
        <row r="160">
          <cell r="B160">
            <v>102050300</v>
          </cell>
          <cell r="C160" t="str">
            <v>显赫白银拳套</v>
          </cell>
          <cell r="E160">
            <v>2</v>
          </cell>
          <cell r="F160">
            <v>1</v>
          </cell>
          <cell r="I160" t="str">
            <v>[110-148]攻击 +1个随机属性</v>
          </cell>
          <cell r="J160">
            <v>0</v>
          </cell>
          <cell r="K160">
            <v>2</v>
          </cell>
          <cell r="L160">
            <v>5</v>
          </cell>
        </row>
        <row r="161">
          <cell r="B161">
            <v>102060300</v>
          </cell>
          <cell r="C161" t="str">
            <v>尊荣虚幻拳套</v>
          </cell>
          <cell r="E161">
            <v>2</v>
          </cell>
          <cell r="F161">
            <v>1</v>
          </cell>
          <cell r="I161" t="str">
            <v>[149-190]攻击 +1个随机属性</v>
          </cell>
          <cell r="J161">
            <v>0</v>
          </cell>
          <cell r="K161">
            <v>2</v>
          </cell>
          <cell r="L161">
            <v>6</v>
          </cell>
        </row>
        <row r="162">
          <cell r="B162">
            <v>102070300</v>
          </cell>
          <cell r="C162" t="str">
            <v>至尊歌德拳套</v>
          </cell>
          <cell r="E162">
            <v>2</v>
          </cell>
          <cell r="F162">
            <v>1</v>
          </cell>
          <cell r="I162" t="str">
            <v>[191-236]攻击 +1个随机属性</v>
          </cell>
          <cell r="J162">
            <v>0</v>
          </cell>
          <cell r="K162">
            <v>2</v>
          </cell>
          <cell r="L162">
            <v>7</v>
          </cell>
        </row>
        <row r="163">
          <cell r="B163">
            <v>102080300</v>
          </cell>
          <cell r="C163" t="str">
            <v>绝旨空灵拳套</v>
          </cell>
          <cell r="E163">
            <v>2</v>
          </cell>
          <cell r="F163">
            <v>1</v>
          </cell>
          <cell r="I163" t="str">
            <v>[237-287]攻击 +1个随机属性</v>
          </cell>
          <cell r="J163">
            <v>0</v>
          </cell>
          <cell r="K163">
            <v>2</v>
          </cell>
          <cell r="L163">
            <v>8</v>
          </cell>
        </row>
        <row r="164">
          <cell r="B164">
            <v>102090300</v>
          </cell>
          <cell r="C164" t="str">
            <v>天工混乱拳套</v>
          </cell>
          <cell r="E164">
            <v>2</v>
          </cell>
          <cell r="F164">
            <v>1</v>
          </cell>
          <cell r="I164" t="str">
            <v>[288-342]攻击 +1个随机属性</v>
          </cell>
          <cell r="J164">
            <v>0</v>
          </cell>
          <cell r="K164">
            <v>2</v>
          </cell>
          <cell r="L164">
            <v>9</v>
          </cell>
        </row>
        <row r="165">
          <cell r="B165">
            <v>102010400</v>
          </cell>
          <cell r="C165" t="str">
            <v>学徒颓废枪</v>
          </cell>
          <cell r="E165">
            <v>2</v>
          </cell>
          <cell r="F165">
            <v>1</v>
          </cell>
          <cell r="I165" t="str">
            <v>[1-21]攻击 +1个随机属性</v>
          </cell>
          <cell r="J165">
            <v>0</v>
          </cell>
          <cell r="K165">
            <v>2</v>
          </cell>
          <cell r="L165">
            <v>1</v>
          </cell>
        </row>
        <row r="166">
          <cell r="B166">
            <v>102020400</v>
          </cell>
          <cell r="C166" t="str">
            <v>专家玄铁枪</v>
          </cell>
          <cell r="E166">
            <v>2</v>
          </cell>
          <cell r="F166">
            <v>1</v>
          </cell>
          <cell r="I166" t="str">
            <v>[22-46]攻击 +1个随机属性</v>
          </cell>
          <cell r="J166">
            <v>0</v>
          </cell>
          <cell r="K166">
            <v>2</v>
          </cell>
          <cell r="L166">
            <v>2</v>
          </cell>
        </row>
        <row r="167">
          <cell r="B167">
            <v>102030400</v>
          </cell>
          <cell r="C167" t="str">
            <v>大师水晶枪</v>
          </cell>
          <cell r="E167">
            <v>2</v>
          </cell>
          <cell r="F167">
            <v>1</v>
          </cell>
          <cell r="I167" t="str">
            <v>[47-75]攻击 +1个随机属性</v>
          </cell>
          <cell r="J167">
            <v>0</v>
          </cell>
          <cell r="K167">
            <v>2</v>
          </cell>
          <cell r="L167">
            <v>3</v>
          </cell>
        </row>
        <row r="168">
          <cell r="B168">
            <v>102040400</v>
          </cell>
          <cell r="C168" t="str">
            <v>宗师精钢枪</v>
          </cell>
          <cell r="E168">
            <v>2</v>
          </cell>
          <cell r="F168">
            <v>1</v>
          </cell>
          <cell r="I168" t="str">
            <v>[76-109]攻击 +1个随机属性</v>
          </cell>
          <cell r="J168">
            <v>0</v>
          </cell>
          <cell r="K168">
            <v>2</v>
          </cell>
          <cell r="L168">
            <v>4</v>
          </cell>
        </row>
        <row r="169">
          <cell r="B169">
            <v>102050400</v>
          </cell>
          <cell r="C169" t="str">
            <v>显赫白银枪</v>
          </cell>
          <cell r="E169">
            <v>2</v>
          </cell>
          <cell r="F169">
            <v>1</v>
          </cell>
          <cell r="I169" t="str">
            <v>[110-148]攻击 +1个随机属性</v>
          </cell>
          <cell r="J169">
            <v>0</v>
          </cell>
          <cell r="K169">
            <v>2</v>
          </cell>
          <cell r="L169">
            <v>5</v>
          </cell>
        </row>
        <row r="170">
          <cell r="B170">
            <v>102060400</v>
          </cell>
          <cell r="C170" t="str">
            <v>尊荣虚幻枪</v>
          </cell>
          <cell r="E170">
            <v>2</v>
          </cell>
          <cell r="F170">
            <v>1</v>
          </cell>
          <cell r="I170" t="str">
            <v>[149-190]攻击 +1个随机属性</v>
          </cell>
          <cell r="J170">
            <v>0</v>
          </cell>
          <cell r="K170">
            <v>2</v>
          </cell>
          <cell r="L170">
            <v>6</v>
          </cell>
        </row>
        <row r="171">
          <cell r="B171">
            <v>102070400</v>
          </cell>
          <cell r="C171" t="str">
            <v>至尊歌德枪</v>
          </cell>
          <cell r="E171">
            <v>2</v>
          </cell>
          <cell r="F171">
            <v>1</v>
          </cell>
          <cell r="I171" t="str">
            <v>[191-236]攻击 +1个随机属性</v>
          </cell>
          <cell r="J171">
            <v>0</v>
          </cell>
          <cell r="K171">
            <v>2</v>
          </cell>
          <cell r="L171">
            <v>7</v>
          </cell>
        </row>
        <row r="172">
          <cell r="B172">
            <v>102080400</v>
          </cell>
          <cell r="C172" t="str">
            <v>绝旨空灵枪</v>
          </cell>
          <cell r="E172">
            <v>2</v>
          </cell>
          <cell r="F172">
            <v>1</v>
          </cell>
          <cell r="I172" t="str">
            <v>[237-287]攻击 +1个随机属性</v>
          </cell>
          <cell r="J172">
            <v>0</v>
          </cell>
          <cell r="K172">
            <v>2</v>
          </cell>
          <cell r="L172">
            <v>8</v>
          </cell>
        </row>
        <row r="173">
          <cell r="B173">
            <v>102090400</v>
          </cell>
          <cell r="C173" t="str">
            <v>天工混乱枪</v>
          </cell>
          <cell r="E173">
            <v>2</v>
          </cell>
          <cell r="F173">
            <v>1</v>
          </cell>
          <cell r="I173" t="str">
            <v>[288-342]攻击 +1个随机属性</v>
          </cell>
          <cell r="J173">
            <v>0</v>
          </cell>
          <cell r="K173">
            <v>2</v>
          </cell>
          <cell r="L173">
            <v>9</v>
          </cell>
        </row>
        <row r="174">
          <cell r="B174">
            <v>102010500</v>
          </cell>
          <cell r="C174" t="str">
            <v>学徒颓废镰刀</v>
          </cell>
          <cell r="E174">
            <v>2</v>
          </cell>
          <cell r="F174">
            <v>1</v>
          </cell>
          <cell r="I174" t="str">
            <v>[1-21]攻击 +1个随机属性</v>
          </cell>
          <cell r="J174">
            <v>0</v>
          </cell>
          <cell r="K174">
            <v>2</v>
          </cell>
          <cell r="L174">
            <v>1</v>
          </cell>
        </row>
        <row r="175">
          <cell r="B175">
            <v>102020500</v>
          </cell>
          <cell r="C175" t="str">
            <v>专家玄铁镰刀</v>
          </cell>
          <cell r="E175">
            <v>2</v>
          </cell>
          <cell r="F175">
            <v>1</v>
          </cell>
          <cell r="I175" t="str">
            <v>[22-46]攻击 +1个随机属性</v>
          </cell>
          <cell r="J175">
            <v>0</v>
          </cell>
          <cell r="K175">
            <v>2</v>
          </cell>
          <cell r="L175">
            <v>2</v>
          </cell>
        </row>
        <row r="176">
          <cell r="B176">
            <v>102030500</v>
          </cell>
          <cell r="C176" t="str">
            <v>大师水晶镰刀</v>
          </cell>
          <cell r="E176">
            <v>2</v>
          </cell>
          <cell r="F176">
            <v>1</v>
          </cell>
          <cell r="I176" t="str">
            <v>[47-75]攻击 +1个随机属性</v>
          </cell>
          <cell r="J176">
            <v>0</v>
          </cell>
          <cell r="K176">
            <v>2</v>
          </cell>
          <cell r="L176">
            <v>3</v>
          </cell>
        </row>
        <row r="177">
          <cell r="B177">
            <v>102040500</v>
          </cell>
          <cell r="C177" t="str">
            <v>宗师精钢镰刀</v>
          </cell>
          <cell r="E177">
            <v>2</v>
          </cell>
          <cell r="F177">
            <v>1</v>
          </cell>
          <cell r="I177" t="str">
            <v>[76-109]攻击 +1个随机属性</v>
          </cell>
          <cell r="J177">
            <v>0</v>
          </cell>
          <cell r="K177">
            <v>2</v>
          </cell>
          <cell r="L177">
            <v>4</v>
          </cell>
        </row>
        <row r="178">
          <cell r="B178">
            <v>102050500</v>
          </cell>
          <cell r="C178" t="str">
            <v>显赫白银镰刀</v>
          </cell>
          <cell r="E178">
            <v>2</v>
          </cell>
          <cell r="F178">
            <v>1</v>
          </cell>
          <cell r="I178" t="str">
            <v>[110-148]攻击 +1个随机属性</v>
          </cell>
          <cell r="J178">
            <v>0</v>
          </cell>
          <cell r="K178">
            <v>2</v>
          </cell>
          <cell r="L178">
            <v>5</v>
          </cell>
        </row>
        <row r="179">
          <cell r="B179">
            <v>102060500</v>
          </cell>
          <cell r="C179" t="str">
            <v>尊荣虚幻镰刀</v>
          </cell>
          <cell r="E179">
            <v>2</v>
          </cell>
          <cell r="F179">
            <v>1</v>
          </cell>
          <cell r="I179" t="str">
            <v>[149-190]攻击 +1个随机属性</v>
          </cell>
          <cell r="J179">
            <v>0</v>
          </cell>
          <cell r="K179">
            <v>2</v>
          </cell>
          <cell r="L179">
            <v>6</v>
          </cell>
        </row>
        <row r="180">
          <cell r="B180">
            <v>102070500</v>
          </cell>
          <cell r="C180" t="str">
            <v>至尊歌德镰刀</v>
          </cell>
          <cell r="E180">
            <v>2</v>
          </cell>
          <cell r="F180">
            <v>1</v>
          </cell>
          <cell r="I180" t="str">
            <v>[191-236]攻击 +1个随机属性</v>
          </cell>
          <cell r="J180">
            <v>0</v>
          </cell>
          <cell r="K180">
            <v>2</v>
          </cell>
          <cell r="L180">
            <v>7</v>
          </cell>
        </row>
        <row r="181">
          <cell r="B181">
            <v>102080500</v>
          </cell>
          <cell r="C181" t="str">
            <v>绝旨空灵镰刀</v>
          </cell>
          <cell r="E181">
            <v>2</v>
          </cell>
          <cell r="F181">
            <v>1</v>
          </cell>
          <cell r="I181" t="str">
            <v>[237-287]攻击 +1个随机属性</v>
          </cell>
          <cell r="J181">
            <v>0</v>
          </cell>
          <cell r="K181">
            <v>2</v>
          </cell>
          <cell r="L181">
            <v>8</v>
          </cell>
        </row>
        <row r="182">
          <cell r="B182">
            <v>102090500</v>
          </cell>
          <cell r="C182" t="str">
            <v>天工混乱镰刀</v>
          </cell>
          <cell r="E182">
            <v>2</v>
          </cell>
          <cell r="F182">
            <v>1</v>
          </cell>
          <cell r="I182" t="str">
            <v>[288-342]攻击 +1个随机属性</v>
          </cell>
          <cell r="J182">
            <v>0</v>
          </cell>
          <cell r="K182">
            <v>2</v>
          </cell>
          <cell r="L182">
            <v>9</v>
          </cell>
        </row>
        <row r="183">
          <cell r="B183">
            <v>102010600</v>
          </cell>
          <cell r="C183" t="str">
            <v>学徒颓废法杖</v>
          </cell>
          <cell r="E183">
            <v>2</v>
          </cell>
          <cell r="F183">
            <v>1</v>
          </cell>
          <cell r="I183" t="str">
            <v>[1-21]攻击 +1个随机属性</v>
          </cell>
          <cell r="J183">
            <v>0</v>
          </cell>
          <cell r="K183">
            <v>2</v>
          </cell>
          <cell r="L183">
            <v>1</v>
          </cell>
        </row>
        <row r="184">
          <cell r="B184">
            <v>102020600</v>
          </cell>
          <cell r="C184" t="str">
            <v>专家玄铁法杖</v>
          </cell>
          <cell r="E184">
            <v>2</v>
          </cell>
          <cell r="F184">
            <v>1</v>
          </cell>
          <cell r="I184" t="str">
            <v>[22-46]攻击 +1个随机属性</v>
          </cell>
          <cell r="J184">
            <v>0</v>
          </cell>
          <cell r="K184">
            <v>2</v>
          </cell>
          <cell r="L184">
            <v>2</v>
          </cell>
        </row>
        <row r="185">
          <cell r="B185">
            <v>102030600</v>
          </cell>
          <cell r="C185" t="str">
            <v>大师水晶法杖</v>
          </cell>
          <cell r="E185">
            <v>2</v>
          </cell>
          <cell r="F185">
            <v>1</v>
          </cell>
          <cell r="I185" t="str">
            <v>[47-75]攻击 +1个随机属性</v>
          </cell>
          <cell r="J185">
            <v>0</v>
          </cell>
          <cell r="K185">
            <v>2</v>
          </cell>
          <cell r="L185">
            <v>3</v>
          </cell>
        </row>
        <row r="186">
          <cell r="B186">
            <v>102040600</v>
          </cell>
          <cell r="C186" t="str">
            <v>宗师精钢法杖</v>
          </cell>
          <cell r="E186">
            <v>2</v>
          </cell>
          <cell r="F186">
            <v>1</v>
          </cell>
          <cell r="I186" t="str">
            <v>[76-109]攻击 +1个随机属性</v>
          </cell>
          <cell r="J186">
            <v>0</v>
          </cell>
          <cell r="K186">
            <v>2</v>
          </cell>
          <cell r="L186">
            <v>4</v>
          </cell>
        </row>
        <row r="187">
          <cell r="B187">
            <v>102050600</v>
          </cell>
          <cell r="C187" t="str">
            <v>显赫白银法杖</v>
          </cell>
          <cell r="E187">
            <v>2</v>
          </cell>
          <cell r="F187">
            <v>1</v>
          </cell>
          <cell r="I187" t="str">
            <v>[110-148]攻击 +1个随机属性</v>
          </cell>
          <cell r="J187">
            <v>0</v>
          </cell>
          <cell r="K187">
            <v>2</v>
          </cell>
          <cell r="L187">
            <v>5</v>
          </cell>
        </row>
        <row r="188">
          <cell r="B188">
            <v>102060600</v>
          </cell>
          <cell r="C188" t="str">
            <v>尊荣虚幻法杖</v>
          </cell>
          <cell r="E188">
            <v>2</v>
          </cell>
          <cell r="F188">
            <v>1</v>
          </cell>
          <cell r="I188" t="str">
            <v>[149-190]攻击 +1个随机属性</v>
          </cell>
          <cell r="J188">
            <v>0</v>
          </cell>
          <cell r="K188">
            <v>2</v>
          </cell>
          <cell r="L188">
            <v>6</v>
          </cell>
        </row>
        <row r="189">
          <cell r="B189">
            <v>102070600</v>
          </cell>
          <cell r="C189" t="str">
            <v>至尊歌德法杖</v>
          </cell>
          <cell r="E189">
            <v>2</v>
          </cell>
          <cell r="F189">
            <v>1</v>
          </cell>
          <cell r="I189" t="str">
            <v>[191-236]攻击 +1个随机属性</v>
          </cell>
          <cell r="J189">
            <v>0</v>
          </cell>
          <cell r="K189">
            <v>2</v>
          </cell>
          <cell r="L189">
            <v>7</v>
          </cell>
        </row>
        <row r="190">
          <cell r="B190">
            <v>102080600</v>
          </cell>
          <cell r="C190" t="str">
            <v>绝旨空灵法杖</v>
          </cell>
          <cell r="E190">
            <v>2</v>
          </cell>
          <cell r="F190">
            <v>1</v>
          </cell>
          <cell r="I190" t="str">
            <v>[237-287]攻击 +1个随机属性</v>
          </cell>
          <cell r="J190">
            <v>0</v>
          </cell>
          <cell r="K190">
            <v>2</v>
          </cell>
          <cell r="L190">
            <v>8</v>
          </cell>
        </row>
        <row r="191">
          <cell r="B191">
            <v>102090600</v>
          </cell>
          <cell r="C191" t="str">
            <v>天工混乱法杖</v>
          </cell>
          <cell r="E191">
            <v>2</v>
          </cell>
          <cell r="F191">
            <v>1</v>
          </cell>
          <cell r="I191" t="str">
            <v>[288-342]攻击 +1个随机属性</v>
          </cell>
          <cell r="J191">
            <v>0</v>
          </cell>
          <cell r="K191">
            <v>2</v>
          </cell>
          <cell r="L191">
            <v>9</v>
          </cell>
        </row>
        <row r="192">
          <cell r="B192">
            <v>102010700</v>
          </cell>
          <cell r="C192" t="str">
            <v>学徒颓废弓</v>
          </cell>
          <cell r="E192">
            <v>2</v>
          </cell>
          <cell r="F192">
            <v>1</v>
          </cell>
          <cell r="I192" t="str">
            <v>[1-21]攻击 +1个随机属性</v>
          </cell>
          <cell r="J192">
            <v>0</v>
          </cell>
          <cell r="K192">
            <v>2</v>
          </cell>
          <cell r="L192">
            <v>1</v>
          </cell>
        </row>
        <row r="193">
          <cell r="B193">
            <v>102020700</v>
          </cell>
          <cell r="C193" t="str">
            <v>专家玄铁弓</v>
          </cell>
          <cell r="E193">
            <v>2</v>
          </cell>
          <cell r="F193">
            <v>1</v>
          </cell>
          <cell r="I193" t="str">
            <v>[22-46]攻击 +1个随机属性</v>
          </cell>
          <cell r="J193">
            <v>0</v>
          </cell>
          <cell r="K193">
            <v>2</v>
          </cell>
          <cell r="L193">
            <v>2</v>
          </cell>
        </row>
        <row r="194">
          <cell r="B194">
            <v>102030700</v>
          </cell>
          <cell r="C194" t="str">
            <v>大师水晶弓</v>
          </cell>
          <cell r="E194">
            <v>2</v>
          </cell>
          <cell r="F194">
            <v>1</v>
          </cell>
          <cell r="I194" t="str">
            <v>[47-75]攻击 +1个随机属性</v>
          </cell>
          <cell r="J194">
            <v>0</v>
          </cell>
          <cell r="K194">
            <v>2</v>
          </cell>
          <cell r="L194">
            <v>3</v>
          </cell>
        </row>
        <row r="195">
          <cell r="B195">
            <v>102040700</v>
          </cell>
          <cell r="C195" t="str">
            <v>宗师精钢弓</v>
          </cell>
          <cell r="E195">
            <v>2</v>
          </cell>
          <cell r="F195">
            <v>1</v>
          </cell>
          <cell r="I195" t="str">
            <v>[76-109]攻击 +1个随机属性</v>
          </cell>
          <cell r="J195">
            <v>0</v>
          </cell>
          <cell r="K195">
            <v>2</v>
          </cell>
          <cell r="L195">
            <v>4</v>
          </cell>
        </row>
        <row r="196">
          <cell r="B196">
            <v>102050700</v>
          </cell>
          <cell r="C196" t="str">
            <v>显赫白银弓</v>
          </cell>
          <cell r="E196">
            <v>2</v>
          </cell>
          <cell r="F196">
            <v>1</v>
          </cell>
          <cell r="I196" t="str">
            <v>[110-148]攻击 +1个随机属性</v>
          </cell>
          <cell r="J196">
            <v>0</v>
          </cell>
          <cell r="K196">
            <v>2</v>
          </cell>
          <cell r="L196">
            <v>5</v>
          </cell>
        </row>
        <row r="197">
          <cell r="B197">
            <v>102060700</v>
          </cell>
          <cell r="C197" t="str">
            <v>尊荣虚幻弓</v>
          </cell>
          <cell r="E197">
            <v>2</v>
          </cell>
          <cell r="F197">
            <v>1</v>
          </cell>
          <cell r="I197" t="str">
            <v>[149-190]攻击 +1个随机属性</v>
          </cell>
          <cell r="J197">
            <v>0</v>
          </cell>
          <cell r="K197">
            <v>2</v>
          </cell>
          <cell r="L197">
            <v>6</v>
          </cell>
        </row>
        <row r="198">
          <cell r="B198">
            <v>102070700</v>
          </cell>
          <cell r="C198" t="str">
            <v>至尊歌德弓</v>
          </cell>
          <cell r="E198">
            <v>2</v>
          </cell>
          <cell r="F198">
            <v>1</v>
          </cell>
          <cell r="I198" t="str">
            <v>[191-236]攻击 +1个随机属性</v>
          </cell>
          <cell r="J198">
            <v>0</v>
          </cell>
          <cell r="K198">
            <v>2</v>
          </cell>
          <cell r="L198">
            <v>7</v>
          </cell>
        </row>
        <row r="199">
          <cell r="B199">
            <v>102080700</v>
          </cell>
          <cell r="C199" t="str">
            <v>绝旨空灵弓</v>
          </cell>
          <cell r="E199">
            <v>2</v>
          </cell>
          <cell r="F199">
            <v>1</v>
          </cell>
          <cell r="I199" t="str">
            <v>[237-287]攻击 +1个随机属性</v>
          </cell>
          <cell r="J199">
            <v>0</v>
          </cell>
          <cell r="K199">
            <v>2</v>
          </cell>
          <cell r="L199">
            <v>8</v>
          </cell>
        </row>
        <row r="200">
          <cell r="B200">
            <v>102090700</v>
          </cell>
          <cell r="C200" t="str">
            <v>天工混乱弓</v>
          </cell>
          <cell r="E200">
            <v>2</v>
          </cell>
          <cell r="F200">
            <v>1</v>
          </cell>
          <cell r="I200" t="str">
            <v>[288-342]攻击 +1个随机属性</v>
          </cell>
          <cell r="J200">
            <v>0</v>
          </cell>
          <cell r="K200">
            <v>2</v>
          </cell>
          <cell r="L200">
            <v>9</v>
          </cell>
        </row>
        <row r="201">
          <cell r="B201">
            <v>102010800</v>
          </cell>
          <cell r="C201" t="str">
            <v>学徒颓废烟斗</v>
          </cell>
          <cell r="E201">
            <v>2</v>
          </cell>
          <cell r="F201">
            <v>1</v>
          </cell>
          <cell r="I201" t="str">
            <v>[1-21]攻击 +1个随机属性</v>
          </cell>
          <cell r="J201">
            <v>0</v>
          </cell>
          <cell r="K201">
            <v>2</v>
          </cell>
          <cell r="L201">
            <v>1</v>
          </cell>
        </row>
        <row r="202">
          <cell r="B202">
            <v>102020800</v>
          </cell>
          <cell r="C202" t="str">
            <v>专家玄铁烟斗</v>
          </cell>
          <cell r="E202">
            <v>2</v>
          </cell>
          <cell r="F202">
            <v>1</v>
          </cell>
          <cell r="I202" t="str">
            <v>[22-46]攻击 +1个随机属性</v>
          </cell>
          <cell r="J202">
            <v>0</v>
          </cell>
          <cell r="K202">
            <v>2</v>
          </cell>
          <cell r="L202">
            <v>2</v>
          </cell>
        </row>
        <row r="203">
          <cell r="B203">
            <v>102030800</v>
          </cell>
          <cell r="C203" t="str">
            <v>大师水晶烟斗</v>
          </cell>
          <cell r="E203">
            <v>2</v>
          </cell>
          <cell r="F203">
            <v>1</v>
          </cell>
          <cell r="I203" t="str">
            <v>[47-75]攻击 +1个随机属性</v>
          </cell>
          <cell r="J203">
            <v>0</v>
          </cell>
          <cell r="K203">
            <v>2</v>
          </cell>
          <cell r="L203">
            <v>3</v>
          </cell>
        </row>
        <row r="204">
          <cell r="B204">
            <v>102040800</v>
          </cell>
          <cell r="C204" t="str">
            <v>宗师精钢烟斗</v>
          </cell>
          <cell r="E204">
            <v>2</v>
          </cell>
          <cell r="F204">
            <v>1</v>
          </cell>
          <cell r="I204" t="str">
            <v>[76-109]攻击 +1个随机属性</v>
          </cell>
          <cell r="J204">
            <v>0</v>
          </cell>
          <cell r="K204">
            <v>2</v>
          </cell>
          <cell r="L204">
            <v>4</v>
          </cell>
        </row>
        <row r="205">
          <cell r="B205">
            <v>102050800</v>
          </cell>
          <cell r="C205" t="str">
            <v>显赫白银烟斗</v>
          </cell>
          <cell r="E205">
            <v>2</v>
          </cell>
          <cell r="F205">
            <v>1</v>
          </cell>
          <cell r="I205" t="str">
            <v>[110-148]攻击 +1个随机属性</v>
          </cell>
          <cell r="J205">
            <v>0</v>
          </cell>
          <cell r="K205">
            <v>2</v>
          </cell>
          <cell r="L205">
            <v>5</v>
          </cell>
        </row>
        <row r="206">
          <cell r="B206">
            <v>102060800</v>
          </cell>
          <cell r="C206" t="str">
            <v>尊荣虚幻烟斗</v>
          </cell>
          <cell r="E206">
            <v>2</v>
          </cell>
          <cell r="F206">
            <v>1</v>
          </cell>
          <cell r="I206" t="str">
            <v>[149-190]攻击 +1个随机属性</v>
          </cell>
          <cell r="J206">
            <v>0</v>
          </cell>
          <cell r="K206">
            <v>2</v>
          </cell>
          <cell r="L206">
            <v>6</v>
          </cell>
        </row>
        <row r="207">
          <cell r="B207">
            <v>102070800</v>
          </cell>
          <cell r="C207" t="str">
            <v>至尊歌德烟斗</v>
          </cell>
          <cell r="E207">
            <v>2</v>
          </cell>
          <cell r="F207">
            <v>1</v>
          </cell>
          <cell r="I207" t="str">
            <v>[191-236]攻击 +1个随机属性</v>
          </cell>
          <cell r="J207">
            <v>0</v>
          </cell>
          <cell r="K207">
            <v>2</v>
          </cell>
          <cell r="L207">
            <v>7</v>
          </cell>
        </row>
        <row r="208">
          <cell r="B208">
            <v>102080800</v>
          </cell>
          <cell r="C208" t="str">
            <v>绝旨空灵烟斗</v>
          </cell>
          <cell r="E208">
            <v>2</v>
          </cell>
          <cell r="F208">
            <v>1</v>
          </cell>
          <cell r="I208" t="str">
            <v>[237-287]攻击 +1个随机属性</v>
          </cell>
          <cell r="J208">
            <v>0</v>
          </cell>
          <cell r="K208">
            <v>2</v>
          </cell>
          <cell r="L208">
            <v>8</v>
          </cell>
        </row>
        <row r="209">
          <cell r="B209">
            <v>102090800</v>
          </cell>
          <cell r="C209" t="str">
            <v>天工混乱烟斗</v>
          </cell>
          <cell r="E209">
            <v>2</v>
          </cell>
          <cell r="F209">
            <v>1</v>
          </cell>
          <cell r="I209" t="str">
            <v>[288-342]攻击 +1个随机属性</v>
          </cell>
          <cell r="J209">
            <v>0</v>
          </cell>
          <cell r="K209">
            <v>2</v>
          </cell>
          <cell r="L209">
            <v>9</v>
          </cell>
        </row>
        <row r="210">
          <cell r="B210">
            <v>102010900</v>
          </cell>
          <cell r="C210" t="str">
            <v>学徒颓废扇子</v>
          </cell>
          <cell r="E210">
            <v>2</v>
          </cell>
          <cell r="F210">
            <v>1</v>
          </cell>
          <cell r="I210" t="str">
            <v>[1-21]攻击 +1个随机属性</v>
          </cell>
          <cell r="J210">
            <v>0</v>
          </cell>
          <cell r="K210">
            <v>2</v>
          </cell>
          <cell r="L210">
            <v>1</v>
          </cell>
        </row>
        <row r="211">
          <cell r="B211">
            <v>102020900</v>
          </cell>
          <cell r="C211" t="str">
            <v>专家玄铁扇子</v>
          </cell>
          <cell r="E211">
            <v>2</v>
          </cell>
          <cell r="F211">
            <v>1</v>
          </cell>
          <cell r="I211" t="str">
            <v>[22-46]攻击 +1个随机属性</v>
          </cell>
          <cell r="J211">
            <v>0</v>
          </cell>
          <cell r="K211">
            <v>2</v>
          </cell>
          <cell r="L211">
            <v>2</v>
          </cell>
        </row>
        <row r="212">
          <cell r="B212">
            <v>102030900</v>
          </cell>
          <cell r="C212" t="str">
            <v>大师水晶扇子</v>
          </cell>
          <cell r="E212">
            <v>2</v>
          </cell>
          <cell r="F212">
            <v>1</v>
          </cell>
          <cell r="I212" t="str">
            <v>[47-75]攻击 +1个随机属性</v>
          </cell>
          <cell r="J212">
            <v>0</v>
          </cell>
          <cell r="K212">
            <v>2</v>
          </cell>
          <cell r="L212">
            <v>3</v>
          </cell>
        </row>
        <row r="213">
          <cell r="B213">
            <v>102040900</v>
          </cell>
          <cell r="C213" t="str">
            <v>宗师精钢扇子</v>
          </cell>
          <cell r="E213">
            <v>2</v>
          </cell>
          <cell r="F213">
            <v>1</v>
          </cell>
          <cell r="I213" t="str">
            <v>[76-109]攻击 +1个随机属性</v>
          </cell>
          <cell r="J213">
            <v>0</v>
          </cell>
          <cell r="K213">
            <v>2</v>
          </cell>
          <cell r="L213">
            <v>4</v>
          </cell>
        </row>
        <row r="214">
          <cell r="B214">
            <v>102050900</v>
          </cell>
          <cell r="C214" t="str">
            <v>显赫白银扇子</v>
          </cell>
          <cell r="E214">
            <v>2</v>
          </cell>
          <cell r="F214">
            <v>1</v>
          </cell>
          <cell r="I214" t="str">
            <v>[110-148]攻击 +1个随机属性</v>
          </cell>
          <cell r="J214">
            <v>0</v>
          </cell>
          <cell r="K214">
            <v>2</v>
          </cell>
          <cell r="L214">
            <v>5</v>
          </cell>
        </row>
        <row r="215">
          <cell r="B215">
            <v>102060900</v>
          </cell>
          <cell r="C215" t="str">
            <v>尊荣虚幻扇子</v>
          </cell>
          <cell r="E215">
            <v>2</v>
          </cell>
          <cell r="F215">
            <v>1</v>
          </cell>
          <cell r="I215" t="str">
            <v>[149-190]攻击 +1个随机属性</v>
          </cell>
          <cell r="J215">
            <v>0</v>
          </cell>
          <cell r="K215">
            <v>2</v>
          </cell>
          <cell r="L215">
            <v>6</v>
          </cell>
        </row>
        <row r="216">
          <cell r="B216">
            <v>102070900</v>
          </cell>
          <cell r="C216" t="str">
            <v>至尊歌德扇子</v>
          </cell>
          <cell r="E216">
            <v>2</v>
          </cell>
          <cell r="F216">
            <v>1</v>
          </cell>
          <cell r="I216" t="str">
            <v>[191-236]攻击 +1个随机属性</v>
          </cell>
          <cell r="J216">
            <v>0</v>
          </cell>
          <cell r="K216">
            <v>2</v>
          </cell>
          <cell r="L216">
            <v>7</v>
          </cell>
        </row>
        <row r="217">
          <cell r="B217">
            <v>102080900</v>
          </cell>
          <cell r="C217" t="str">
            <v>绝旨空灵扇子</v>
          </cell>
          <cell r="E217">
            <v>2</v>
          </cell>
          <cell r="F217">
            <v>1</v>
          </cell>
          <cell r="I217" t="str">
            <v>[237-287]攻击 +1个随机属性</v>
          </cell>
          <cell r="J217">
            <v>0</v>
          </cell>
          <cell r="K217">
            <v>2</v>
          </cell>
          <cell r="L217">
            <v>8</v>
          </cell>
        </row>
        <row r="218">
          <cell r="B218">
            <v>102090900</v>
          </cell>
          <cell r="C218" t="str">
            <v>天工混乱扇子</v>
          </cell>
          <cell r="E218">
            <v>2</v>
          </cell>
          <cell r="F218">
            <v>1</v>
          </cell>
          <cell r="I218" t="str">
            <v>[288-342]攻击 +1个随机属性</v>
          </cell>
          <cell r="J218">
            <v>0</v>
          </cell>
          <cell r="K218">
            <v>2</v>
          </cell>
          <cell r="L218">
            <v>9</v>
          </cell>
        </row>
        <row r="219">
          <cell r="B219">
            <v>102011000</v>
          </cell>
          <cell r="C219" t="str">
            <v>学徒颓废牙齿</v>
          </cell>
          <cell r="E219">
            <v>2</v>
          </cell>
          <cell r="F219">
            <v>1</v>
          </cell>
          <cell r="I219" t="str">
            <v>[1-21]攻击 +1个随机属性</v>
          </cell>
          <cell r="J219">
            <v>0</v>
          </cell>
          <cell r="K219">
            <v>2</v>
          </cell>
          <cell r="L219">
            <v>1</v>
          </cell>
        </row>
        <row r="220">
          <cell r="B220">
            <v>102021000</v>
          </cell>
          <cell r="C220" t="str">
            <v>专家玄铁牙齿</v>
          </cell>
          <cell r="E220">
            <v>2</v>
          </cell>
          <cell r="F220">
            <v>1</v>
          </cell>
          <cell r="I220" t="str">
            <v>[22-46]攻击 +1个随机属性</v>
          </cell>
          <cell r="J220">
            <v>0</v>
          </cell>
          <cell r="K220">
            <v>2</v>
          </cell>
          <cell r="L220">
            <v>2</v>
          </cell>
        </row>
        <row r="221">
          <cell r="B221">
            <v>102031000</v>
          </cell>
          <cell r="C221" t="str">
            <v>大师水晶牙齿</v>
          </cell>
          <cell r="E221">
            <v>2</v>
          </cell>
          <cell r="F221">
            <v>1</v>
          </cell>
          <cell r="I221" t="str">
            <v>[47-75]攻击 +1个随机属性</v>
          </cell>
          <cell r="J221">
            <v>0</v>
          </cell>
          <cell r="K221">
            <v>2</v>
          </cell>
          <cell r="L221">
            <v>3</v>
          </cell>
        </row>
        <row r="222">
          <cell r="B222">
            <v>102041000</v>
          </cell>
          <cell r="C222" t="str">
            <v>宗师精钢牙齿</v>
          </cell>
          <cell r="E222">
            <v>2</v>
          </cell>
          <cell r="F222">
            <v>1</v>
          </cell>
          <cell r="I222" t="str">
            <v>[76-109]攻击 +1个随机属性</v>
          </cell>
          <cell r="J222">
            <v>0</v>
          </cell>
          <cell r="K222">
            <v>2</v>
          </cell>
          <cell r="L222">
            <v>4</v>
          </cell>
        </row>
        <row r="223">
          <cell r="B223">
            <v>102051000</v>
          </cell>
          <cell r="C223" t="str">
            <v>显赫白银牙齿</v>
          </cell>
          <cell r="E223">
            <v>2</v>
          </cell>
          <cell r="F223">
            <v>1</v>
          </cell>
          <cell r="I223" t="str">
            <v>[110-148]攻击 +1个随机属性</v>
          </cell>
          <cell r="J223">
            <v>0</v>
          </cell>
          <cell r="K223">
            <v>2</v>
          </cell>
          <cell r="L223">
            <v>5</v>
          </cell>
        </row>
        <row r="224">
          <cell r="B224">
            <v>102061000</v>
          </cell>
          <cell r="C224" t="str">
            <v>尊荣虚幻牙齿</v>
          </cell>
          <cell r="E224">
            <v>2</v>
          </cell>
          <cell r="F224">
            <v>1</v>
          </cell>
          <cell r="I224" t="str">
            <v>[149-190]攻击 +1个随机属性</v>
          </cell>
          <cell r="J224">
            <v>0</v>
          </cell>
          <cell r="K224">
            <v>2</v>
          </cell>
          <cell r="L224">
            <v>6</v>
          </cell>
        </row>
        <row r="225">
          <cell r="B225">
            <v>102071000</v>
          </cell>
          <cell r="C225" t="str">
            <v>至尊歌德牙齿</v>
          </cell>
          <cell r="E225">
            <v>2</v>
          </cell>
          <cell r="F225">
            <v>1</v>
          </cell>
          <cell r="I225" t="str">
            <v>[191-236]攻击 +1个随机属性</v>
          </cell>
          <cell r="J225">
            <v>0</v>
          </cell>
          <cell r="K225">
            <v>2</v>
          </cell>
          <cell r="L225">
            <v>7</v>
          </cell>
        </row>
        <row r="226">
          <cell r="B226">
            <v>102081000</v>
          </cell>
          <cell r="C226" t="str">
            <v>绝旨空灵牙齿</v>
          </cell>
          <cell r="E226">
            <v>2</v>
          </cell>
          <cell r="F226">
            <v>1</v>
          </cell>
          <cell r="I226" t="str">
            <v>[237-287]攻击 +1个随机属性</v>
          </cell>
          <cell r="J226">
            <v>0</v>
          </cell>
          <cell r="K226">
            <v>2</v>
          </cell>
          <cell r="L226">
            <v>8</v>
          </cell>
        </row>
        <row r="227">
          <cell r="B227">
            <v>102091000</v>
          </cell>
          <cell r="C227" t="str">
            <v>天工混乱牙齿</v>
          </cell>
          <cell r="E227">
            <v>2</v>
          </cell>
          <cell r="F227">
            <v>1</v>
          </cell>
          <cell r="I227" t="str">
            <v>[288-342]攻击 +1个随机属性</v>
          </cell>
          <cell r="J227">
            <v>0</v>
          </cell>
          <cell r="K227">
            <v>2</v>
          </cell>
          <cell r="L227">
            <v>9</v>
          </cell>
        </row>
        <row r="228">
          <cell r="B228">
            <v>102011100</v>
          </cell>
          <cell r="C228" t="str">
            <v>学徒颓废球</v>
          </cell>
          <cell r="E228">
            <v>2</v>
          </cell>
          <cell r="F228">
            <v>1</v>
          </cell>
          <cell r="I228" t="str">
            <v>[1-21]攻击 +1个随机属性</v>
          </cell>
          <cell r="J228">
            <v>0</v>
          </cell>
          <cell r="K228">
            <v>2</v>
          </cell>
          <cell r="L228">
            <v>1</v>
          </cell>
        </row>
        <row r="229">
          <cell r="B229">
            <v>102021100</v>
          </cell>
          <cell r="C229" t="str">
            <v>专家玄铁球</v>
          </cell>
          <cell r="E229">
            <v>2</v>
          </cell>
          <cell r="F229">
            <v>1</v>
          </cell>
          <cell r="I229" t="str">
            <v>[22-46]攻击 +1个随机属性</v>
          </cell>
          <cell r="J229">
            <v>0</v>
          </cell>
          <cell r="K229">
            <v>2</v>
          </cell>
          <cell r="L229">
            <v>2</v>
          </cell>
        </row>
        <row r="230">
          <cell r="B230">
            <v>102031100</v>
          </cell>
          <cell r="C230" t="str">
            <v>大师水晶球</v>
          </cell>
          <cell r="E230">
            <v>2</v>
          </cell>
          <cell r="F230">
            <v>1</v>
          </cell>
          <cell r="I230" t="str">
            <v>[47-75]攻击 +1个随机属性</v>
          </cell>
          <cell r="J230">
            <v>0</v>
          </cell>
          <cell r="K230">
            <v>2</v>
          </cell>
          <cell r="L230">
            <v>3</v>
          </cell>
        </row>
        <row r="231">
          <cell r="B231">
            <v>102041100</v>
          </cell>
          <cell r="C231" t="str">
            <v>宗师精钢球</v>
          </cell>
          <cell r="E231">
            <v>2</v>
          </cell>
          <cell r="F231">
            <v>1</v>
          </cell>
          <cell r="I231" t="str">
            <v>[76-109]攻击 +1个随机属性</v>
          </cell>
          <cell r="J231">
            <v>0</v>
          </cell>
          <cell r="K231">
            <v>2</v>
          </cell>
          <cell r="L231">
            <v>4</v>
          </cell>
        </row>
        <row r="232">
          <cell r="B232">
            <v>102051100</v>
          </cell>
          <cell r="C232" t="str">
            <v>显赫白银球</v>
          </cell>
          <cell r="E232">
            <v>2</v>
          </cell>
          <cell r="F232">
            <v>1</v>
          </cell>
          <cell r="I232" t="str">
            <v>[110-148]攻击 +1个随机属性</v>
          </cell>
          <cell r="J232">
            <v>0</v>
          </cell>
          <cell r="K232">
            <v>2</v>
          </cell>
          <cell r="L232">
            <v>5</v>
          </cell>
        </row>
        <row r="233">
          <cell r="B233">
            <v>102061100</v>
          </cell>
          <cell r="C233" t="str">
            <v>尊荣虚幻球</v>
          </cell>
          <cell r="E233">
            <v>2</v>
          </cell>
          <cell r="F233">
            <v>1</v>
          </cell>
          <cell r="I233" t="str">
            <v>[149-190]攻击 +1个随机属性</v>
          </cell>
          <cell r="J233">
            <v>0</v>
          </cell>
          <cell r="K233">
            <v>2</v>
          </cell>
          <cell r="L233">
            <v>6</v>
          </cell>
        </row>
        <row r="234">
          <cell r="B234">
            <v>102071100</v>
          </cell>
          <cell r="C234" t="str">
            <v>至尊歌德球</v>
          </cell>
          <cell r="E234">
            <v>2</v>
          </cell>
          <cell r="F234">
            <v>1</v>
          </cell>
          <cell r="I234" t="str">
            <v>[191-236]攻击 +1个随机属性</v>
          </cell>
          <cell r="J234">
            <v>0</v>
          </cell>
          <cell r="K234">
            <v>2</v>
          </cell>
          <cell r="L234">
            <v>7</v>
          </cell>
        </row>
        <row r="235">
          <cell r="B235">
            <v>102081100</v>
          </cell>
          <cell r="C235" t="str">
            <v>绝旨空灵球</v>
          </cell>
          <cell r="E235">
            <v>2</v>
          </cell>
          <cell r="F235">
            <v>1</v>
          </cell>
          <cell r="I235" t="str">
            <v>[237-287]攻击 +1个随机属性</v>
          </cell>
          <cell r="J235">
            <v>0</v>
          </cell>
          <cell r="K235">
            <v>2</v>
          </cell>
          <cell r="L235">
            <v>8</v>
          </cell>
        </row>
        <row r="236">
          <cell r="B236">
            <v>102091100</v>
          </cell>
          <cell r="C236" t="str">
            <v>天工混乱球</v>
          </cell>
          <cell r="E236">
            <v>2</v>
          </cell>
          <cell r="F236">
            <v>1</v>
          </cell>
          <cell r="I236" t="str">
            <v>[288-342]攻击 +1个随机属性</v>
          </cell>
          <cell r="J236">
            <v>0</v>
          </cell>
          <cell r="K236">
            <v>2</v>
          </cell>
          <cell r="L236">
            <v>9</v>
          </cell>
        </row>
        <row r="237">
          <cell r="B237">
            <v>102011200</v>
          </cell>
          <cell r="C237" t="str">
            <v>学徒颓废爪</v>
          </cell>
          <cell r="E237">
            <v>2</v>
          </cell>
          <cell r="F237">
            <v>1</v>
          </cell>
          <cell r="I237" t="str">
            <v>[1-21]攻击 +1个随机属性</v>
          </cell>
          <cell r="J237">
            <v>0</v>
          </cell>
          <cell r="K237">
            <v>2</v>
          </cell>
          <cell r="L237">
            <v>1</v>
          </cell>
        </row>
        <row r="238">
          <cell r="B238">
            <v>102021200</v>
          </cell>
          <cell r="C238" t="str">
            <v>专家玄铁爪</v>
          </cell>
          <cell r="E238">
            <v>2</v>
          </cell>
          <cell r="F238">
            <v>1</v>
          </cell>
          <cell r="I238" t="str">
            <v>[22-46]攻击 +1个随机属性</v>
          </cell>
          <cell r="J238">
            <v>0</v>
          </cell>
          <cell r="K238">
            <v>2</v>
          </cell>
          <cell r="L238">
            <v>2</v>
          </cell>
        </row>
        <row r="239">
          <cell r="B239">
            <v>102031200</v>
          </cell>
          <cell r="C239" t="str">
            <v>大师水晶爪</v>
          </cell>
          <cell r="E239">
            <v>2</v>
          </cell>
          <cell r="F239">
            <v>1</v>
          </cell>
          <cell r="I239" t="str">
            <v>[47-75]攻击 +1个随机属性</v>
          </cell>
          <cell r="J239">
            <v>0</v>
          </cell>
          <cell r="K239">
            <v>2</v>
          </cell>
          <cell r="L239">
            <v>3</v>
          </cell>
        </row>
        <row r="240">
          <cell r="B240">
            <v>102041200</v>
          </cell>
          <cell r="C240" t="str">
            <v>宗师精钢爪</v>
          </cell>
          <cell r="E240">
            <v>2</v>
          </cell>
          <cell r="F240">
            <v>1</v>
          </cell>
          <cell r="I240" t="str">
            <v>[76-109]攻击 +1个随机属性</v>
          </cell>
          <cell r="J240">
            <v>0</v>
          </cell>
          <cell r="K240">
            <v>2</v>
          </cell>
          <cell r="L240">
            <v>4</v>
          </cell>
        </row>
        <row r="241">
          <cell r="B241">
            <v>102051200</v>
          </cell>
          <cell r="C241" t="str">
            <v>显赫白银爪</v>
          </cell>
          <cell r="E241">
            <v>2</v>
          </cell>
          <cell r="F241">
            <v>1</v>
          </cell>
          <cell r="I241" t="str">
            <v>[110-148]攻击 +1个随机属性</v>
          </cell>
          <cell r="J241">
            <v>0</v>
          </cell>
          <cell r="K241">
            <v>2</v>
          </cell>
          <cell r="L241">
            <v>5</v>
          </cell>
        </row>
        <row r="242">
          <cell r="B242">
            <v>102061200</v>
          </cell>
          <cell r="C242" t="str">
            <v>尊荣虚幻爪</v>
          </cell>
          <cell r="E242">
            <v>2</v>
          </cell>
          <cell r="F242">
            <v>1</v>
          </cell>
          <cell r="I242" t="str">
            <v>[149-190]攻击 +1个随机属性</v>
          </cell>
          <cell r="J242">
            <v>0</v>
          </cell>
          <cell r="K242">
            <v>2</v>
          </cell>
          <cell r="L242">
            <v>6</v>
          </cell>
        </row>
        <row r="243">
          <cell r="B243">
            <v>102071200</v>
          </cell>
          <cell r="C243" t="str">
            <v>至尊歌德爪</v>
          </cell>
          <cell r="E243">
            <v>2</v>
          </cell>
          <cell r="F243">
            <v>1</v>
          </cell>
          <cell r="I243" t="str">
            <v>[191-236]攻击 +1个随机属性</v>
          </cell>
          <cell r="J243">
            <v>0</v>
          </cell>
          <cell r="K243">
            <v>2</v>
          </cell>
          <cell r="L243">
            <v>7</v>
          </cell>
        </row>
        <row r="244">
          <cell r="B244">
            <v>102081200</v>
          </cell>
          <cell r="C244" t="str">
            <v>绝旨空灵爪</v>
          </cell>
          <cell r="E244">
            <v>2</v>
          </cell>
          <cell r="F244">
            <v>1</v>
          </cell>
          <cell r="I244" t="str">
            <v>[237-287]攻击 +1个随机属性</v>
          </cell>
          <cell r="J244">
            <v>0</v>
          </cell>
          <cell r="K244">
            <v>2</v>
          </cell>
          <cell r="L244">
            <v>8</v>
          </cell>
        </row>
        <row r="245">
          <cell r="B245">
            <v>102091200</v>
          </cell>
          <cell r="C245" t="str">
            <v>天工混乱爪</v>
          </cell>
          <cell r="E245">
            <v>2</v>
          </cell>
          <cell r="F245">
            <v>1</v>
          </cell>
          <cell r="I245" t="str">
            <v>[288-342]攻击 +1个随机属性</v>
          </cell>
          <cell r="J245">
            <v>0</v>
          </cell>
          <cell r="K245">
            <v>2</v>
          </cell>
          <cell r="L245">
            <v>9</v>
          </cell>
        </row>
        <row r="246">
          <cell r="B246">
            <v>102011300</v>
          </cell>
          <cell r="C246" t="str">
            <v>学徒颓废剑</v>
          </cell>
          <cell r="E246">
            <v>2</v>
          </cell>
          <cell r="F246">
            <v>1</v>
          </cell>
          <cell r="I246" t="str">
            <v>[1-21]攻击 +1个随机属性</v>
          </cell>
          <cell r="J246">
            <v>0</v>
          </cell>
          <cell r="K246">
            <v>2</v>
          </cell>
          <cell r="L246">
            <v>1</v>
          </cell>
        </row>
        <row r="247">
          <cell r="B247">
            <v>102021300</v>
          </cell>
          <cell r="C247" t="str">
            <v>专家玄铁剑</v>
          </cell>
          <cell r="E247">
            <v>2</v>
          </cell>
          <cell r="F247">
            <v>1</v>
          </cell>
          <cell r="I247" t="str">
            <v>[22-46]攻击 +1个随机属性</v>
          </cell>
          <cell r="J247">
            <v>0</v>
          </cell>
          <cell r="K247">
            <v>2</v>
          </cell>
          <cell r="L247">
            <v>2</v>
          </cell>
        </row>
        <row r="248">
          <cell r="B248">
            <v>102031300</v>
          </cell>
          <cell r="C248" t="str">
            <v>大师水晶剑</v>
          </cell>
          <cell r="E248">
            <v>2</v>
          </cell>
          <cell r="F248">
            <v>1</v>
          </cell>
          <cell r="I248" t="str">
            <v>[47-75]攻击 +1个随机属性</v>
          </cell>
          <cell r="J248">
            <v>0</v>
          </cell>
          <cell r="K248">
            <v>2</v>
          </cell>
          <cell r="L248">
            <v>3</v>
          </cell>
        </row>
        <row r="249">
          <cell r="B249">
            <v>102041300</v>
          </cell>
          <cell r="C249" t="str">
            <v>宗师精钢剑</v>
          </cell>
          <cell r="E249">
            <v>2</v>
          </cell>
          <cell r="F249">
            <v>1</v>
          </cell>
          <cell r="I249" t="str">
            <v>[76-109]攻击 +1个随机属性</v>
          </cell>
          <cell r="J249">
            <v>0</v>
          </cell>
          <cell r="K249">
            <v>2</v>
          </cell>
          <cell r="L249">
            <v>4</v>
          </cell>
        </row>
        <row r="250">
          <cell r="B250">
            <v>102051300</v>
          </cell>
          <cell r="C250" t="str">
            <v>显赫白银剑</v>
          </cell>
          <cell r="E250">
            <v>2</v>
          </cell>
          <cell r="F250">
            <v>1</v>
          </cell>
          <cell r="I250" t="str">
            <v>[110-148]攻击 +1个随机属性</v>
          </cell>
          <cell r="J250">
            <v>0</v>
          </cell>
          <cell r="K250">
            <v>2</v>
          </cell>
          <cell r="L250">
            <v>5</v>
          </cell>
        </row>
        <row r="251">
          <cell r="B251">
            <v>102061300</v>
          </cell>
          <cell r="C251" t="str">
            <v>尊荣虚幻剑</v>
          </cell>
          <cell r="E251">
            <v>2</v>
          </cell>
          <cell r="F251">
            <v>1</v>
          </cell>
          <cell r="I251" t="str">
            <v>[149-190]攻击 +1个随机属性</v>
          </cell>
          <cell r="J251">
            <v>0</v>
          </cell>
          <cell r="K251">
            <v>2</v>
          </cell>
          <cell r="L251">
            <v>6</v>
          </cell>
        </row>
        <row r="252">
          <cell r="B252">
            <v>102071300</v>
          </cell>
          <cell r="C252" t="str">
            <v>至尊歌德剑</v>
          </cell>
          <cell r="E252">
            <v>2</v>
          </cell>
          <cell r="F252">
            <v>1</v>
          </cell>
          <cell r="I252" t="str">
            <v>[191-236]攻击 +1个随机属性</v>
          </cell>
          <cell r="J252">
            <v>0</v>
          </cell>
          <cell r="K252">
            <v>2</v>
          </cell>
          <cell r="L252">
            <v>7</v>
          </cell>
        </row>
        <row r="253">
          <cell r="B253">
            <v>102081300</v>
          </cell>
          <cell r="C253" t="str">
            <v>绝旨空灵剑</v>
          </cell>
          <cell r="E253">
            <v>2</v>
          </cell>
          <cell r="F253">
            <v>1</v>
          </cell>
          <cell r="I253" t="str">
            <v>[237-287]攻击 +1个随机属性</v>
          </cell>
          <cell r="J253">
            <v>0</v>
          </cell>
          <cell r="K253">
            <v>2</v>
          </cell>
          <cell r="L253">
            <v>8</v>
          </cell>
        </row>
        <row r="254">
          <cell r="B254">
            <v>102091300</v>
          </cell>
          <cell r="C254" t="str">
            <v>天工混乱剑</v>
          </cell>
          <cell r="E254">
            <v>2</v>
          </cell>
          <cell r="F254">
            <v>1</v>
          </cell>
          <cell r="I254" t="str">
            <v>[288-342]攻击 +1个随机属性</v>
          </cell>
          <cell r="J254">
            <v>0</v>
          </cell>
          <cell r="K254">
            <v>2</v>
          </cell>
          <cell r="L254">
            <v>9</v>
          </cell>
        </row>
        <row r="255">
          <cell r="B255">
            <v>202011400</v>
          </cell>
          <cell r="C255" t="str">
            <v>学徒颓废戒指</v>
          </cell>
          <cell r="E255">
            <v>2</v>
          </cell>
          <cell r="F255">
            <v>2</v>
          </cell>
          <cell r="I255" t="str">
            <v>[1-36]防御 +1个随机属性</v>
          </cell>
          <cell r="J255">
            <v>0</v>
          </cell>
          <cell r="K255">
            <v>2</v>
          </cell>
          <cell r="L255">
            <v>1</v>
          </cell>
        </row>
        <row r="256">
          <cell r="B256">
            <v>202021400</v>
          </cell>
          <cell r="C256" t="str">
            <v>专家玄铁戒指</v>
          </cell>
          <cell r="E256">
            <v>2</v>
          </cell>
          <cell r="F256">
            <v>2</v>
          </cell>
          <cell r="I256" t="str">
            <v>[37-72]防御 +1个随机属性</v>
          </cell>
          <cell r="J256">
            <v>0</v>
          </cell>
          <cell r="K256">
            <v>2</v>
          </cell>
          <cell r="L256">
            <v>2</v>
          </cell>
        </row>
        <row r="257">
          <cell r="B257">
            <v>202031400</v>
          </cell>
          <cell r="C257" t="str">
            <v>大师水晶戒指</v>
          </cell>
          <cell r="E257">
            <v>2</v>
          </cell>
          <cell r="F257">
            <v>2</v>
          </cell>
          <cell r="I257" t="str">
            <v>[73-109]防御 +1个随机属性</v>
          </cell>
          <cell r="J257">
            <v>0</v>
          </cell>
          <cell r="K257">
            <v>2</v>
          </cell>
          <cell r="L257">
            <v>3</v>
          </cell>
        </row>
        <row r="258">
          <cell r="B258">
            <v>202041400</v>
          </cell>
          <cell r="C258" t="str">
            <v>宗师精钢戒指</v>
          </cell>
          <cell r="E258">
            <v>2</v>
          </cell>
          <cell r="F258">
            <v>2</v>
          </cell>
          <cell r="I258" t="str">
            <v>[110-145]防御 +1个随机属性</v>
          </cell>
          <cell r="J258">
            <v>0</v>
          </cell>
          <cell r="K258">
            <v>2</v>
          </cell>
          <cell r="L258">
            <v>4</v>
          </cell>
        </row>
        <row r="259">
          <cell r="B259">
            <v>202051400</v>
          </cell>
          <cell r="C259" t="str">
            <v>显赫白银戒指</v>
          </cell>
          <cell r="E259">
            <v>2</v>
          </cell>
          <cell r="F259">
            <v>2</v>
          </cell>
          <cell r="I259" t="str">
            <v>[146-182]防御 +1个随机属性</v>
          </cell>
          <cell r="J259">
            <v>0</v>
          </cell>
          <cell r="K259">
            <v>2</v>
          </cell>
          <cell r="L259">
            <v>5</v>
          </cell>
        </row>
        <row r="260">
          <cell r="B260">
            <v>202061400</v>
          </cell>
          <cell r="C260" t="str">
            <v>尊荣虚幻戒指</v>
          </cell>
          <cell r="E260">
            <v>2</v>
          </cell>
          <cell r="F260">
            <v>2</v>
          </cell>
          <cell r="I260" t="str">
            <v>[183-218]防御 +1个随机属性</v>
          </cell>
          <cell r="J260">
            <v>0</v>
          </cell>
          <cell r="K260">
            <v>2</v>
          </cell>
          <cell r="L260">
            <v>6</v>
          </cell>
        </row>
        <row r="261">
          <cell r="B261">
            <v>202071400</v>
          </cell>
          <cell r="C261" t="str">
            <v>至尊歌德戒指</v>
          </cell>
          <cell r="E261">
            <v>2</v>
          </cell>
          <cell r="F261">
            <v>2</v>
          </cell>
          <cell r="I261" t="str">
            <v>[219-255]防御 +1个随机属性</v>
          </cell>
          <cell r="J261">
            <v>0</v>
          </cell>
          <cell r="K261">
            <v>2</v>
          </cell>
          <cell r="L261">
            <v>7</v>
          </cell>
        </row>
        <row r="262">
          <cell r="B262">
            <v>202081400</v>
          </cell>
          <cell r="C262" t="str">
            <v>绝旨空灵戒指</v>
          </cell>
          <cell r="E262">
            <v>2</v>
          </cell>
          <cell r="F262">
            <v>2</v>
          </cell>
          <cell r="I262" t="str">
            <v>[256-291]防御 +1个随机属性</v>
          </cell>
          <cell r="J262">
            <v>0</v>
          </cell>
          <cell r="K262">
            <v>2</v>
          </cell>
          <cell r="L262">
            <v>8</v>
          </cell>
        </row>
        <row r="263">
          <cell r="B263">
            <v>202091400</v>
          </cell>
          <cell r="C263" t="str">
            <v>天工混乱戒指</v>
          </cell>
          <cell r="E263">
            <v>2</v>
          </cell>
          <cell r="F263">
            <v>2</v>
          </cell>
          <cell r="I263" t="str">
            <v>[292-328]防御 +1个随机属性</v>
          </cell>
          <cell r="J263">
            <v>0</v>
          </cell>
          <cell r="K263">
            <v>2</v>
          </cell>
          <cell r="L263">
            <v>9</v>
          </cell>
        </row>
        <row r="264">
          <cell r="B264">
            <v>302011500</v>
          </cell>
          <cell r="C264" t="str">
            <v>学徒颓废项链</v>
          </cell>
          <cell r="E264">
            <v>2</v>
          </cell>
          <cell r="F264">
            <v>3</v>
          </cell>
          <cell r="I264" t="str">
            <v>[1-36]防御 +1个随机属性</v>
          </cell>
          <cell r="J264">
            <v>0</v>
          </cell>
          <cell r="K264">
            <v>2</v>
          </cell>
          <cell r="L264">
            <v>1</v>
          </cell>
        </row>
        <row r="265">
          <cell r="B265">
            <v>302021500</v>
          </cell>
          <cell r="C265" t="str">
            <v>专家玄铁项链</v>
          </cell>
          <cell r="E265">
            <v>2</v>
          </cell>
          <cell r="F265">
            <v>3</v>
          </cell>
          <cell r="I265" t="str">
            <v>[37-72]防御 +1个随机属性</v>
          </cell>
          <cell r="J265">
            <v>0</v>
          </cell>
          <cell r="K265">
            <v>2</v>
          </cell>
          <cell r="L265">
            <v>2</v>
          </cell>
        </row>
        <row r="266">
          <cell r="B266">
            <v>302031500</v>
          </cell>
          <cell r="C266" t="str">
            <v>大师水晶项链</v>
          </cell>
          <cell r="E266">
            <v>2</v>
          </cell>
          <cell r="F266">
            <v>3</v>
          </cell>
          <cell r="I266" t="str">
            <v>[73-109]防御 +1个随机属性</v>
          </cell>
          <cell r="J266">
            <v>0</v>
          </cell>
          <cell r="K266">
            <v>2</v>
          </cell>
          <cell r="L266">
            <v>3</v>
          </cell>
        </row>
        <row r="267">
          <cell r="B267">
            <v>302041500</v>
          </cell>
          <cell r="C267" t="str">
            <v>宗师精钢项链</v>
          </cell>
          <cell r="E267">
            <v>2</v>
          </cell>
          <cell r="F267">
            <v>3</v>
          </cell>
          <cell r="I267" t="str">
            <v>[110-145]防御 +1个随机属性</v>
          </cell>
          <cell r="J267">
            <v>0</v>
          </cell>
          <cell r="K267">
            <v>2</v>
          </cell>
          <cell r="L267">
            <v>4</v>
          </cell>
        </row>
        <row r="268">
          <cell r="B268">
            <v>302051500</v>
          </cell>
          <cell r="C268" t="str">
            <v>显赫白银项链</v>
          </cell>
          <cell r="E268">
            <v>2</v>
          </cell>
          <cell r="F268">
            <v>3</v>
          </cell>
          <cell r="I268" t="str">
            <v>[146-182]防御 +1个随机属性</v>
          </cell>
          <cell r="J268">
            <v>0</v>
          </cell>
          <cell r="K268">
            <v>2</v>
          </cell>
          <cell r="L268">
            <v>5</v>
          </cell>
        </row>
        <row r="269">
          <cell r="B269">
            <v>302061500</v>
          </cell>
          <cell r="C269" t="str">
            <v>尊荣虚幻项链</v>
          </cell>
          <cell r="E269">
            <v>2</v>
          </cell>
          <cell r="F269">
            <v>3</v>
          </cell>
          <cell r="I269" t="str">
            <v>[183-218]防御 +1个随机属性</v>
          </cell>
          <cell r="J269">
            <v>0</v>
          </cell>
          <cell r="K269">
            <v>2</v>
          </cell>
          <cell r="L269">
            <v>6</v>
          </cell>
        </row>
        <row r="270">
          <cell r="B270">
            <v>302071500</v>
          </cell>
          <cell r="C270" t="str">
            <v>至尊歌德项链</v>
          </cell>
          <cell r="E270">
            <v>2</v>
          </cell>
          <cell r="F270">
            <v>3</v>
          </cell>
          <cell r="I270" t="str">
            <v>[219-255]防御 +1个随机属性</v>
          </cell>
          <cell r="J270">
            <v>0</v>
          </cell>
          <cell r="K270">
            <v>2</v>
          </cell>
          <cell r="L270">
            <v>7</v>
          </cell>
        </row>
        <row r="271">
          <cell r="B271">
            <v>302081500</v>
          </cell>
          <cell r="C271" t="str">
            <v>绝旨空灵项链</v>
          </cell>
          <cell r="E271">
            <v>2</v>
          </cell>
          <cell r="F271">
            <v>3</v>
          </cell>
          <cell r="I271" t="str">
            <v>[256-291]防御 +1个随机属性</v>
          </cell>
          <cell r="J271">
            <v>0</v>
          </cell>
          <cell r="K271">
            <v>2</v>
          </cell>
          <cell r="L271">
            <v>8</v>
          </cell>
        </row>
        <row r="272">
          <cell r="B272">
            <v>302091500</v>
          </cell>
          <cell r="C272" t="str">
            <v>天工混乱项链</v>
          </cell>
          <cell r="E272">
            <v>2</v>
          </cell>
          <cell r="F272">
            <v>3</v>
          </cell>
          <cell r="I272" t="str">
            <v>[292-328]防御 +1个随机属性</v>
          </cell>
          <cell r="J272">
            <v>0</v>
          </cell>
          <cell r="K272">
            <v>2</v>
          </cell>
          <cell r="L272">
            <v>9</v>
          </cell>
        </row>
        <row r="273">
          <cell r="B273">
            <v>103010100</v>
          </cell>
          <cell r="C273" t="str">
            <v>奥丁之锤</v>
          </cell>
          <cell r="E273">
            <v>3</v>
          </cell>
          <cell r="F273">
            <v>1</v>
          </cell>
          <cell r="I273" t="str">
            <v>[1-24]攻击 +3个随机属性</v>
          </cell>
          <cell r="J273">
            <v>0</v>
          </cell>
          <cell r="K273">
            <v>4</v>
          </cell>
          <cell r="L273">
            <v>1</v>
          </cell>
        </row>
        <row r="274">
          <cell r="B274">
            <v>103020100</v>
          </cell>
          <cell r="C274" t="str">
            <v>卢卡之锤</v>
          </cell>
          <cell r="E274">
            <v>3</v>
          </cell>
          <cell r="F274">
            <v>1</v>
          </cell>
          <cell r="I274" t="str">
            <v>[25-52]攻击 +3个随机属性</v>
          </cell>
          <cell r="J274">
            <v>0</v>
          </cell>
          <cell r="K274">
            <v>4</v>
          </cell>
          <cell r="L274">
            <v>2</v>
          </cell>
        </row>
        <row r="275">
          <cell r="B275">
            <v>103030100</v>
          </cell>
          <cell r="C275" t="str">
            <v>坎珀之锤</v>
          </cell>
          <cell r="E275">
            <v>3</v>
          </cell>
          <cell r="F275">
            <v>1</v>
          </cell>
          <cell r="I275" t="str">
            <v>[53-86]攻击 +3个随机属性</v>
          </cell>
          <cell r="J275">
            <v>0</v>
          </cell>
          <cell r="K275">
            <v>4</v>
          </cell>
          <cell r="L275">
            <v>3</v>
          </cell>
        </row>
        <row r="276">
          <cell r="B276">
            <v>103040100</v>
          </cell>
          <cell r="C276" t="str">
            <v>费恩魔锤</v>
          </cell>
          <cell r="E276">
            <v>3</v>
          </cell>
          <cell r="F276">
            <v>1</v>
          </cell>
          <cell r="I276" t="str">
            <v>[87-124]攻击 +3个随机属性</v>
          </cell>
          <cell r="J276">
            <v>0</v>
          </cell>
          <cell r="K276">
            <v>4</v>
          </cell>
          <cell r="L276">
            <v>4</v>
          </cell>
        </row>
        <row r="277">
          <cell r="B277">
            <v>103050100</v>
          </cell>
          <cell r="C277" t="str">
            <v>迪马斯之锤</v>
          </cell>
          <cell r="E277">
            <v>3</v>
          </cell>
          <cell r="F277">
            <v>1</v>
          </cell>
          <cell r="I277" t="str">
            <v>[125-169]攻击 +3个随机属性</v>
          </cell>
          <cell r="J277">
            <v>0</v>
          </cell>
          <cell r="K277">
            <v>4</v>
          </cell>
          <cell r="L277">
            <v>5</v>
          </cell>
        </row>
        <row r="278">
          <cell r="B278">
            <v>103060100</v>
          </cell>
          <cell r="C278" t="str">
            <v>酒神之锤</v>
          </cell>
          <cell r="E278">
            <v>3</v>
          </cell>
          <cell r="F278">
            <v>1</v>
          </cell>
          <cell r="I278" t="str">
            <v>[170-217]攻击 +3个随机属性</v>
          </cell>
          <cell r="J278">
            <v>0</v>
          </cell>
          <cell r="K278">
            <v>4</v>
          </cell>
          <cell r="L278">
            <v>6</v>
          </cell>
        </row>
        <row r="279">
          <cell r="B279">
            <v>103070100</v>
          </cell>
          <cell r="C279" t="str">
            <v>缪斯之锤</v>
          </cell>
          <cell r="E279">
            <v>3</v>
          </cell>
          <cell r="F279">
            <v>1</v>
          </cell>
          <cell r="I279" t="str">
            <v>[218-270]攻击 +3个随机属性</v>
          </cell>
          <cell r="J279">
            <v>0</v>
          </cell>
          <cell r="K279">
            <v>4</v>
          </cell>
          <cell r="L279">
            <v>7</v>
          </cell>
        </row>
        <row r="280">
          <cell r="B280">
            <v>103080100</v>
          </cell>
          <cell r="C280" t="str">
            <v>潘多拉之锤</v>
          </cell>
          <cell r="E280">
            <v>3</v>
          </cell>
          <cell r="F280">
            <v>1</v>
          </cell>
          <cell r="I280" t="str">
            <v>[271-328]攻击 +3个随机属性</v>
          </cell>
          <cell r="J280">
            <v>0</v>
          </cell>
          <cell r="K280">
            <v>4</v>
          </cell>
          <cell r="L280">
            <v>8</v>
          </cell>
        </row>
        <row r="281">
          <cell r="B281">
            <v>103090100</v>
          </cell>
          <cell r="C281" t="str">
            <v>盖亚之锤</v>
          </cell>
          <cell r="E281">
            <v>3</v>
          </cell>
          <cell r="F281">
            <v>1</v>
          </cell>
          <cell r="I281" t="str">
            <v>[329-390]攻击 +3个随机属性</v>
          </cell>
          <cell r="J281">
            <v>0</v>
          </cell>
          <cell r="K281">
            <v>4</v>
          </cell>
          <cell r="L281">
            <v>9</v>
          </cell>
        </row>
        <row r="282">
          <cell r="B282">
            <v>103010200</v>
          </cell>
          <cell r="C282" t="str">
            <v>奥丁之刀</v>
          </cell>
          <cell r="E282">
            <v>3</v>
          </cell>
          <cell r="F282">
            <v>1</v>
          </cell>
          <cell r="I282" t="str">
            <v>[1-24]攻击 +3个随机属性</v>
          </cell>
          <cell r="J282">
            <v>0</v>
          </cell>
          <cell r="K282">
            <v>4</v>
          </cell>
          <cell r="L282">
            <v>1</v>
          </cell>
        </row>
        <row r="283">
          <cell r="B283">
            <v>103020200</v>
          </cell>
          <cell r="C283" t="str">
            <v>卢卡之锤</v>
          </cell>
          <cell r="E283">
            <v>3</v>
          </cell>
          <cell r="F283">
            <v>1</v>
          </cell>
          <cell r="I283" t="str">
            <v>[25-52]攻击 +3个随机属性</v>
          </cell>
          <cell r="J283">
            <v>0</v>
          </cell>
          <cell r="K283">
            <v>4</v>
          </cell>
          <cell r="L283">
            <v>2</v>
          </cell>
        </row>
        <row r="284">
          <cell r="B284">
            <v>103030200</v>
          </cell>
          <cell r="C284" t="str">
            <v>坎珀之刃</v>
          </cell>
          <cell r="E284">
            <v>3</v>
          </cell>
          <cell r="F284">
            <v>1</v>
          </cell>
          <cell r="I284" t="str">
            <v>[53-86]攻击 +3个随机属性</v>
          </cell>
          <cell r="J284">
            <v>0</v>
          </cell>
          <cell r="K284">
            <v>4</v>
          </cell>
          <cell r="L284">
            <v>3</v>
          </cell>
        </row>
        <row r="285">
          <cell r="B285">
            <v>103040200</v>
          </cell>
          <cell r="C285" t="str">
            <v>费恩利刃</v>
          </cell>
          <cell r="E285">
            <v>3</v>
          </cell>
          <cell r="F285">
            <v>1</v>
          </cell>
          <cell r="I285" t="str">
            <v>[87-124]攻击 +3个随机属性</v>
          </cell>
          <cell r="J285">
            <v>0</v>
          </cell>
          <cell r="K285">
            <v>4</v>
          </cell>
          <cell r="L285">
            <v>4</v>
          </cell>
        </row>
        <row r="286">
          <cell r="B286">
            <v>103050200</v>
          </cell>
          <cell r="C286" t="str">
            <v>迪马斯之刀</v>
          </cell>
          <cell r="E286">
            <v>3</v>
          </cell>
          <cell r="F286">
            <v>1</v>
          </cell>
          <cell r="I286" t="str">
            <v>[125-169]攻击 +3个随机属性</v>
          </cell>
          <cell r="J286">
            <v>0</v>
          </cell>
          <cell r="K286">
            <v>4</v>
          </cell>
          <cell r="L286">
            <v>5</v>
          </cell>
        </row>
        <row r="287">
          <cell r="B287">
            <v>103060200</v>
          </cell>
          <cell r="C287" t="str">
            <v>酒神之刀</v>
          </cell>
          <cell r="E287">
            <v>3</v>
          </cell>
          <cell r="F287">
            <v>1</v>
          </cell>
          <cell r="I287" t="str">
            <v>[170-217]攻击 +3个随机属性</v>
          </cell>
          <cell r="J287">
            <v>0</v>
          </cell>
          <cell r="K287">
            <v>4</v>
          </cell>
          <cell r="L287">
            <v>6</v>
          </cell>
        </row>
        <row r="288">
          <cell r="B288">
            <v>103070200</v>
          </cell>
          <cell r="C288" t="str">
            <v>缪斯之刀</v>
          </cell>
          <cell r="E288">
            <v>3</v>
          </cell>
          <cell r="F288">
            <v>1</v>
          </cell>
          <cell r="I288" t="str">
            <v>[218-270]攻击 +3个随机属性</v>
          </cell>
          <cell r="J288">
            <v>0</v>
          </cell>
          <cell r="K288">
            <v>4</v>
          </cell>
          <cell r="L288">
            <v>7</v>
          </cell>
        </row>
        <row r="289">
          <cell r="B289">
            <v>103080200</v>
          </cell>
          <cell r="C289" t="str">
            <v>潘多拉之刀</v>
          </cell>
          <cell r="E289">
            <v>3</v>
          </cell>
          <cell r="F289">
            <v>1</v>
          </cell>
          <cell r="I289" t="str">
            <v>[271-328]攻击 +3个随机属性</v>
          </cell>
          <cell r="J289">
            <v>0</v>
          </cell>
          <cell r="K289">
            <v>4</v>
          </cell>
          <cell r="L289">
            <v>8</v>
          </cell>
        </row>
        <row r="290">
          <cell r="B290">
            <v>103090200</v>
          </cell>
          <cell r="C290" t="str">
            <v>宙斯之刃</v>
          </cell>
          <cell r="E290">
            <v>3</v>
          </cell>
          <cell r="F290">
            <v>1</v>
          </cell>
          <cell r="I290" t="str">
            <v>[329-390]攻击 +3个随机属性</v>
          </cell>
          <cell r="J290">
            <v>0</v>
          </cell>
          <cell r="K290">
            <v>4</v>
          </cell>
          <cell r="L290">
            <v>9</v>
          </cell>
        </row>
        <row r="291">
          <cell r="B291">
            <v>103010300</v>
          </cell>
          <cell r="C291" t="str">
            <v>奥丁拳套</v>
          </cell>
          <cell r="E291">
            <v>3</v>
          </cell>
          <cell r="F291">
            <v>1</v>
          </cell>
          <cell r="I291" t="str">
            <v>[1-24]攻击 +3个随机属性</v>
          </cell>
          <cell r="J291">
            <v>0</v>
          </cell>
          <cell r="K291">
            <v>4</v>
          </cell>
          <cell r="L291">
            <v>1</v>
          </cell>
        </row>
        <row r="292">
          <cell r="B292">
            <v>103020300</v>
          </cell>
          <cell r="C292" t="str">
            <v>卢卡拳套</v>
          </cell>
          <cell r="E292">
            <v>3</v>
          </cell>
          <cell r="F292">
            <v>1</v>
          </cell>
          <cell r="I292" t="str">
            <v>[25-52]攻击 +3个随机属性</v>
          </cell>
          <cell r="J292">
            <v>0</v>
          </cell>
          <cell r="K292">
            <v>4</v>
          </cell>
          <cell r="L292">
            <v>2</v>
          </cell>
        </row>
        <row r="293">
          <cell r="B293">
            <v>103030300</v>
          </cell>
          <cell r="C293" t="str">
            <v>坎珀拳套</v>
          </cell>
          <cell r="E293">
            <v>3</v>
          </cell>
          <cell r="F293">
            <v>1</v>
          </cell>
          <cell r="I293" t="str">
            <v>[53-86]攻击 +3个随机属性</v>
          </cell>
          <cell r="J293">
            <v>0</v>
          </cell>
          <cell r="K293">
            <v>4</v>
          </cell>
          <cell r="L293">
            <v>3</v>
          </cell>
        </row>
        <row r="294">
          <cell r="B294">
            <v>103040300</v>
          </cell>
          <cell r="C294" t="str">
            <v>费恩拳套</v>
          </cell>
          <cell r="E294">
            <v>3</v>
          </cell>
          <cell r="F294">
            <v>1</v>
          </cell>
          <cell r="I294" t="str">
            <v>[87-124]攻击 +3个随机属性</v>
          </cell>
          <cell r="J294">
            <v>0</v>
          </cell>
          <cell r="K294">
            <v>4</v>
          </cell>
          <cell r="L294">
            <v>4</v>
          </cell>
        </row>
        <row r="295">
          <cell r="B295">
            <v>103050300</v>
          </cell>
          <cell r="C295" t="str">
            <v>迪马斯拳套</v>
          </cell>
          <cell r="E295">
            <v>3</v>
          </cell>
          <cell r="F295">
            <v>1</v>
          </cell>
          <cell r="I295" t="str">
            <v>[125-169]攻击 +3个随机属性</v>
          </cell>
          <cell r="J295">
            <v>0</v>
          </cell>
          <cell r="K295">
            <v>4</v>
          </cell>
          <cell r="L295">
            <v>5</v>
          </cell>
        </row>
        <row r="296">
          <cell r="B296">
            <v>103060300</v>
          </cell>
          <cell r="C296" t="str">
            <v>酒神拳套</v>
          </cell>
          <cell r="E296">
            <v>3</v>
          </cell>
          <cell r="F296">
            <v>1</v>
          </cell>
          <cell r="I296" t="str">
            <v>[170-217]攻击 +3个随机属性</v>
          </cell>
          <cell r="J296">
            <v>0</v>
          </cell>
          <cell r="K296">
            <v>4</v>
          </cell>
          <cell r="L296">
            <v>6</v>
          </cell>
        </row>
        <row r="297">
          <cell r="B297">
            <v>103070300</v>
          </cell>
          <cell r="C297" t="str">
            <v>缪斯之拳</v>
          </cell>
          <cell r="E297">
            <v>3</v>
          </cell>
          <cell r="F297">
            <v>1</v>
          </cell>
          <cell r="I297" t="str">
            <v>[218-270]攻击 +3个随机属性</v>
          </cell>
          <cell r="J297">
            <v>0</v>
          </cell>
          <cell r="K297">
            <v>4</v>
          </cell>
          <cell r="L297">
            <v>7</v>
          </cell>
        </row>
        <row r="298">
          <cell r="B298">
            <v>103080300</v>
          </cell>
          <cell r="C298" t="str">
            <v>潘多拉拳套</v>
          </cell>
          <cell r="E298">
            <v>3</v>
          </cell>
          <cell r="F298">
            <v>1</v>
          </cell>
          <cell r="I298" t="str">
            <v>[271-328]攻击 +3个随机属性</v>
          </cell>
          <cell r="J298">
            <v>0</v>
          </cell>
          <cell r="K298">
            <v>4</v>
          </cell>
          <cell r="L298">
            <v>8</v>
          </cell>
        </row>
        <row r="299">
          <cell r="B299">
            <v>103090300</v>
          </cell>
          <cell r="C299" t="str">
            <v>卡德摩斯拳套</v>
          </cell>
          <cell r="E299">
            <v>3</v>
          </cell>
          <cell r="F299">
            <v>1</v>
          </cell>
          <cell r="I299" t="str">
            <v>[329-390]攻击 +3个随机属性</v>
          </cell>
          <cell r="J299">
            <v>0</v>
          </cell>
          <cell r="K299">
            <v>4</v>
          </cell>
          <cell r="L299">
            <v>9</v>
          </cell>
        </row>
        <row r="300">
          <cell r="B300">
            <v>103010400</v>
          </cell>
          <cell r="C300" t="str">
            <v>奥丁之枪</v>
          </cell>
          <cell r="E300">
            <v>3</v>
          </cell>
          <cell r="F300">
            <v>1</v>
          </cell>
          <cell r="I300" t="str">
            <v>[1-24]攻击 +3个随机属性</v>
          </cell>
          <cell r="J300">
            <v>0</v>
          </cell>
          <cell r="K300">
            <v>4</v>
          </cell>
          <cell r="L300">
            <v>1</v>
          </cell>
        </row>
        <row r="301">
          <cell r="B301">
            <v>103020400</v>
          </cell>
          <cell r="C301" t="str">
            <v>卢卡之枪</v>
          </cell>
          <cell r="E301">
            <v>3</v>
          </cell>
          <cell r="F301">
            <v>1</v>
          </cell>
          <cell r="I301" t="str">
            <v>[25-52]攻击 +3个随机属性</v>
          </cell>
          <cell r="J301">
            <v>0</v>
          </cell>
          <cell r="K301">
            <v>4</v>
          </cell>
          <cell r="L301">
            <v>2</v>
          </cell>
        </row>
        <row r="302">
          <cell r="B302">
            <v>103030400</v>
          </cell>
          <cell r="C302" t="str">
            <v>坎珀尖枪</v>
          </cell>
          <cell r="E302">
            <v>3</v>
          </cell>
          <cell r="F302">
            <v>1</v>
          </cell>
          <cell r="I302" t="str">
            <v>[53-86]攻击 +3个随机属性</v>
          </cell>
          <cell r="J302">
            <v>0</v>
          </cell>
          <cell r="K302">
            <v>4</v>
          </cell>
          <cell r="L302">
            <v>3</v>
          </cell>
        </row>
        <row r="303">
          <cell r="B303">
            <v>103040400</v>
          </cell>
          <cell r="C303" t="str">
            <v>费恩尖枪</v>
          </cell>
          <cell r="E303">
            <v>3</v>
          </cell>
          <cell r="F303">
            <v>1</v>
          </cell>
          <cell r="I303" t="str">
            <v>[87-124]攻击 +3个随机属性</v>
          </cell>
          <cell r="J303">
            <v>0</v>
          </cell>
          <cell r="K303">
            <v>4</v>
          </cell>
          <cell r="L303">
            <v>4</v>
          </cell>
        </row>
        <row r="304">
          <cell r="B304">
            <v>103050400</v>
          </cell>
          <cell r="C304" t="str">
            <v>迪马斯尖枪</v>
          </cell>
          <cell r="E304">
            <v>3</v>
          </cell>
          <cell r="F304">
            <v>1</v>
          </cell>
          <cell r="I304" t="str">
            <v>[125-169]攻击 +3个随机属性</v>
          </cell>
          <cell r="J304">
            <v>0</v>
          </cell>
          <cell r="K304">
            <v>4</v>
          </cell>
          <cell r="L304">
            <v>5</v>
          </cell>
        </row>
        <row r="305">
          <cell r="B305">
            <v>103060400</v>
          </cell>
          <cell r="C305" t="str">
            <v>酒神之枪</v>
          </cell>
          <cell r="E305">
            <v>3</v>
          </cell>
          <cell r="F305">
            <v>1</v>
          </cell>
          <cell r="I305" t="str">
            <v>[170-217]攻击 +3个随机属性</v>
          </cell>
          <cell r="J305">
            <v>0</v>
          </cell>
          <cell r="K305">
            <v>4</v>
          </cell>
          <cell r="L305">
            <v>6</v>
          </cell>
        </row>
        <row r="306">
          <cell r="B306">
            <v>103070400</v>
          </cell>
          <cell r="C306" t="str">
            <v>缪斯之枪</v>
          </cell>
          <cell r="E306">
            <v>3</v>
          </cell>
          <cell r="F306">
            <v>1</v>
          </cell>
          <cell r="I306" t="str">
            <v>[218-270]攻击 +3个随机属性</v>
          </cell>
          <cell r="J306">
            <v>0</v>
          </cell>
          <cell r="K306">
            <v>4</v>
          </cell>
          <cell r="L306">
            <v>7</v>
          </cell>
        </row>
        <row r="307">
          <cell r="B307">
            <v>103080400</v>
          </cell>
          <cell r="C307" t="str">
            <v>潘多拉之枪</v>
          </cell>
          <cell r="E307">
            <v>3</v>
          </cell>
          <cell r="F307">
            <v>1</v>
          </cell>
          <cell r="I307" t="str">
            <v>[271-328]攻击 +3个随机属性</v>
          </cell>
          <cell r="J307">
            <v>0</v>
          </cell>
          <cell r="K307">
            <v>4</v>
          </cell>
          <cell r="L307">
            <v>8</v>
          </cell>
        </row>
        <row r="308">
          <cell r="B308">
            <v>103090400</v>
          </cell>
          <cell r="C308" t="str">
            <v>衣卒尔之枪</v>
          </cell>
          <cell r="E308">
            <v>3</v>
          </cell>
          <cell r="F308">
            <v>1</v>
          </cell>
          <cell r="I308" t="str">
            <v>[329-390]攻击 +3个随机属性</v>
          </cell>
          <cell r="J308">
            <v>0</v>
          </cell>
          <cell r="K308">
            <v>4</v>
          </cell>
          <cell r="L308">
            <v>9</v>
          </cell>
        </row>
        <row r="309">
          <cell r="B309">
            <v>103010500</v>
          </cell>
          <cell r="C309" t="str">
            <v>奥丁镰刀</v>
          </cell>
          <cell r="E309">
            <v>3</v>
          </cell>
          <cell r="F309">
            <v>1</v>
          </cell>
          <cell r="I309" t="str">
            <v>[1-24]攻击 +3个随机属性</v>
          </cell>
          <cell r="J309">
            <v>0</v>
          </cell>
          <cell r="K309">
            <v>4</v>
          </cell>
          <cell r="L309">
            <v>1</v>
          </cell>
        </row>
        <row r="310">
          <cell r="B310">
            <v>103020500</v>
          </cell>
          <cell r="C310" t="str">
            <v>卢卡镰刀</v>
          </cell>
          <cell r="E310">
            <v>3</v>
          </cell>
          <cell r="F310">
            <v>1</v>
          </cell>
          <cell r="I310" t="str">
            <v>[25-52]攻击 +3个随机属性</v>
          </cell>
          <cell r="J310">
            <v>0</v>
          </cell>
          <cell r="K310">
            <v>4</v>
          </cell>
          <cell r="L310">
            <v>2</v>
          </cell>
        </row>
        <row r="311">
          <cell r="B311">
            <v>103030500</v>
          </cell>
          <cell r="C311" t="str">
            <v>坎珀镰刀</v>
          </cell>
          <cell r="E311">
            <v>3</v>
          </cell>
          <cell r="F311">
            <v>1</v>
          </cell>
          <cell r="I311" t="str">
            <v>[53-86]攻击 +3个随机属性</v>
          </cell>
          <cell r="J311">
            <v>0</v>
          </cell>
          <cell r="K311">
            <v>4</v>
          </cell>
          <cell r="L311">
            <v>3</v>
          </cell>
        </row>
        <row r="312">
          <cell r="B312">
            <v>103040500</v>
          </cell>
          <cell r="C312" t="str">
            <v>费恩镰刀</v>
          </cell>
          <cell r="E312">
            <v>3</v>
          </cell>
          <cell r="F312">
            <v>1</v>
          </cell>
          <cell r="I312" t="str">
            <v>[87-124]攻击 +3个随机属性</v>
          </cell>
          <cell r="J312">
            <v>0</v>
          </cell>
          <cell r="K312">
            <v>4</v>
          </cell>
          <cell r="L312">
            <v>4</v>
          </cell>
        </row>
        <row r="313">
          <cell r="B313">
            <v>103050500</v>
          </cell>
          <cell r="C313" t="str">
            <v>迪马斯镰刀</v>
          </cell>
          <cell r="E313">
            <v>3</v>
          </cell>
          <cell r="F313">
            <v>1</v>
          </cell>
          <cell r="I313" t="str">
            <v>[125-169]攻击 +3个随机属性</v>
          </cell>
          <cell r="J313">
            <v>0</v>
          </cell>
          <cell r="K313">
            <v>4</v>
          </cell>
          <cell r="L313">
            <v>5</v>
          </cell>
        </row>
        <row r="314">
          <cell r="B314">
            <v>103060500</v>
          </cell>
          <cell r="C314" t="str">
            <v>酒神镰刀</v>
          </cell>
          <cell r="E314">
            <v>3</v>
          </cell>
          <cell r="F314">
            <v>1</v>
          </cell>
          <cell r="I314" t="str">
            <v>[170-217]攻击 +3个随机属性</v>
          </cell>
          <cell r="J314">
            <v>0</v>
          </cell>
          <cell r="K314">
            <v>4</v>
          </cell>
          <cell r="L314">
            <v>6</v>
          </cell>
        </row>
        <row r="315">
          <cell r="B315">
            <v>103070500</v>
          </cell>
          <cell r="C315" t="str">
            <v>缪斯镰刀</v>
          </cell>
          <cell r="E315">
            <v>3</v>
          </cell>
          <cell r="F315">
            <v>1</v>
          </cell>
          <cell r="I315" t="str">
            <v>[218-270]攻击 +3个随机属性</v>
          </cell>
          <cell r="J315">
            <v>0</v>
          </cell>
          <cell r="K315">
            <v>4</v>
          </cell>
          <cell r="L315">
            <v>7</v>
          </cell>
        </row>
        <row r="316">
          <cell r="B316">
            <v>103080500</v>
          </cell>
          <cell r="C316" t="str">
            <v>潘多拉镰刀</v>
          </cell>
          <cell r="E316">
            <v>3</v>
          </cell>
          <cell r="F316">
            <v>1</v>
          </cell>
          <cell r="I316" t="str">
            <v>[271-328]攻击 +3个随机属性</v>
          </cell>
          <cell r="J316">
            <v>0</v>
          </cell>
          <cell r="K316">
            <v>4</v>
          </cell>
          <cell r="L316">
            <v>8</v>
          </cell>
        </row>
        <row r="317">
          <cell r="B317">
            <v>103090500</v>
          </cell>
          <cell r="C317" t="str">
            <v>塔罗斯镰刀</v>
          </cell>
          <cell r="E317">
            <v>3</v>
          </cell>
          <cell r="F317">
            <v>1</v>
          </cell>
          <cell r="I317" t="str">
            <v>[329-390]攻击 +3个随机属性</v>
          </cell>
          <cell r="J317">
            <v>0</v>
          </cell>
          <cell r="K317">
            <v>4</v>
          </cell>
          <cell r="L317">
            <v>9</v>
          </cell>
        </row>
        <row r="318">
          <cell r="B318">
            <v>103010600</v>
          </cell>
          <cell r="C318" t="str">
            <v>奥丁法杖</v>
          </cell>
          <cell r="E318">
            <v>3</v>
          </cell>
          <cell r="F318">
            <v>1</v>
          </cell>
          <cell r="I318" t="str">
            <v>[1-24]攻击 +3个随机属性</v>
          </cell>
          <cell r="J318">
            <v>0</v>
          </cell>
          <cell r="K318">
            <v>4</v>
          </cell>
          <cell r="L318">
            <v>1</v>
          </cell>
        </row>
        <row r="319">
          <cell r="B319">
            <v>103020600</v>
          </cell>
          <cell r="C319" t="str">
            <v>卢卡法杖</v>
          </cell>
          <cell r="E319">
            <v>3</v>
          </cell>
          <cell r="F319">
            <v>1</v>
          </cell>
          <cell r="I319" t="str">
            <v>[25-52]攻击 +3个随机属性</v>
          </cell>
          <cell r="J319">
            <v>0</v>
          </cell>
          <cell r="K319">
            <v>4</v>
          </cell>
          <cell r="L319">
            <v>2</v>
          </cell>
        </row>
        <row r="320">
          <cell r="B320">
            <v>103030600</v>
          </cell>
          <cell r="C320" t="str">
            <v>坎珀法杖</v>
          </cell>
          <cell r="E320">
            <v>3</v>
          </cell>
          <cell r="F320">
            <v>1</v>
          </cell>
          <cell r="I320" t="str">
            <v>[53-86]攻击 +3个随机属性</v>
          </cell>
          <cell r="J320">
            <v>0</v>
          </cell>
          <cell r="K320">
            <v>4</v>
          </cell>
          <cell r="L320">
            <v>3</v>
          </cell>
        </row>
        <row r="321">
          <cell r="B321">
            <v>103040600</v>
          </cell>
          <cell r="C321" t="str">
            <v>费恩权杖</v>
          </cell>
          <cell r="E321">
            <v>3</v>
          </cell>
          <cell r="F321">
            <v>1</v>
          </cell>
          <cell r="I321" t="str">
            <v>[87-124]攻击 +3个随机属性</v>
          </cell>
          <cell r="J321">
            <v>0</v>
          </cell>
          <cell r="K321">
            <v>4</v>
          </cell>
          <cell r="L321">
            <v>4</v>
          </cell>
        </row>
        <row r="322">
          <cell r="B322">
            <v>103050600</v>
          </cell>
          <cell r="C322" t="str">
            <v>迪马斯法杖</v>
          </cell>
          <cell r="E322">
            <v>3</v>
          </cell>
          <cell r="F322">
            <v>1</v>
          </cell>
          <cell r="I322" t="str">
            <v>[125-169]攻击 +3个随机属性</v>
          </cell>
          <cell r="J322">
            <v>0</v>
          </cell>
          <cell r="K322">
            <v>4</v>
          </cell>
          <cell r="L322">
            <v>5</v>
          </cell>
        </row>
        <row r="323">
          <cell r="B323">
            <v>103060600</v>
          </cell>
          <cell r="C323" t="str">
            <v>酒神法杖</v>
          </cell>
          <cell r="E323">
            <v>3</v>
          </cell>
          <cell r="F323">
            <v>1</v>
          </cell>
          <cell r="I323" t="str">
            <v>[170-217]攻击 +3个随机属性</v>
          </cell>
          <cell r="J323">
            <v>0</v>
          </cell>
          <cell r="K323">
            <v>4</v>
          </cell>
          <cell r="L323">
            <v>6</v>
          </cell>
        </row>
        <row r="324">
          <cell r="B324">
            <v>103070600</v>
          </cell>
          <cell r="C324" t="str">
            <v>缪斯法杖</v>
          </cell>
          <cell r="E324">
            <v>3</v>
          </cell>
          <cell r="F324">
            <v>1</v>
          </cell>
          <cell r="I324" t="str">
            <v>[218-270]攻击 +3个随机属性</v>
          </cell>
          <cell r="J324">
            <v>0</v>
          </cell>
          <cell r="K324">
            <v>4</v>
          </cell>
          <cell r="L324">
            <v>7</v>
          </cell>
        </row>
        <row r="325">
          <cell r="B325">
            <v>103080600</v>
          </cell>
          <cell r="C325" t="str">
            <v>潘多拉法杖</v>
          </cell>
          <cell r="E325">
            <v>3</v>
          </cell>
          <cell r="F325">
            <v>1</v>
          </cell>
          <cell r="I325" t="str">
            <v>[271-328]攻击 +3个随机属性</v>
          </cell>
          <cell r="J325">
            <v>0</v>
          </cell>
          <cell r="K325">
            <v>4</v>
          </cell>
          <cell r="L325">
            <v>8</v>
          </cell>
        </row>
        <row r="326">
          <cell r="B326">
            <v>103090600</v>
          </cell>
          <cell r="C326" t="str">
            <v>女神法杖</v>
          </cell>
          <cell r="E326">
            <v>3</v>
          </cell>
          <cell r="F326">
            <v>1</v>
          </cell>
          <cell r="I326" t="str">
            <v>[329-390]攻击 +3个随机属性</v>
          </cell>
          <cell r="J326">
            <v>0</v>
          </cell>
          <cell r="K326">
            <v>4</v>
          </cell>
          <cell r="L326">
            <v>9</v>
          </cell>
        </row>
        <row r="327">
          <cell r="B327">
            <v>103010700</v>
          </cell>
          <cell r="C327" t="str">
            <v>奥丁之弓</v>
          </cell>
          <cell r="E327">
            <v>3</v>
          </cell>
          <cell r="F327">
            <v>1</v>
          </cell>
          <cell r="I327" t="str">
            <v>[1-24]攻击 +3个随机属性</v>
          </cell>
          <cell r="J327">
            <v>0</v>
          </cell>
          <cell r="K327">
            <v>4</v>
          </cell>
          <cell r="L327">
            <v>1</v>
          </cell>
        </row>
        <row r="328">
          <cell r="B328">
            <v>103020700</v>
          </cell>
          <cell r="C328" t="str">
            <v>卢卡之弓</v>
          </cell>
          <cell r="E328">
            <v>3</v>
          </cell>
          <cell r="F328">
            <v>1</v>
          </cell>
          <cell r="I328" t="str">
            <v>[25-52]攻击 +3个随机属性</v>
          </cell>
          <cell r="J328">
            <v>0</v>
          </cell>
          <cell r="K328">
            <v>4</v>
          </cell>
          <cell r="L328">
            <v>2</v>
          </cell>
        </row>
        <row r="329">
          <cell r="B329">
            <v>103030700</v>
          </cell>
          <cell r="C329" t="str">
            <v>坎珀骨弓</v>
          </cell>
          <cell r="E329">
            <v>3</v>
          </cell>
          <cell r="F329">
            <v>1</v>
          </cell>
          <cell r="I329" t="str">
            <v>[53-86]攻击 +3个随机属性</v>
          </cell>
          <cell r="J329">
            <v>0</v>
          </cell>
          <cell r="K329">
            <v>4</v>
          </cell>
          <cell r="L329">
            <v>3</v>
          </cell>
        </row>
        <row r="330">
          <cell r="B330">
            <v>103040700</v>
          </cell>
          <cell r="C330" t="str">
            <v>费恩骨弓</v>
          </cell>
          <cell r="E330">
            <v>3</v>
          </cell>
          <cell r="F330">
            <v>1</v>
          </cell>
          <cell r="I330" t="str">
            <v>[87-124]攻击 +3个随机属性</v>
          </cell>
          <cell r="J330">
            <v>0</v>
          </cell>
          <cell r="K330">
            <v>4</v>
          </cell>
          <cell r="L330">
            <v>4</v>
          </cell>
        </row>
        <row r="331">
          <cell r="B331">
            <v>103050700</v>
          </cell>
          <cell r="C331" t="str">
            <v>迪马斯硬弓</v>
          </cell>
          <cell r="E331">
            <v>3</v>
          </cell>
          <cell r="F331">
            <v>1</v>
          </cell>
          <cell r="I331" t="str">
            <v>[125-169]攻击 +3个随机属性</v>
          </cell>
          <cell r="J331">
            <v>0</v>
          </cell>
          <cell r="K331">
            <v>4</v>
          </cell>
          <cell r="L331">
            <v>5</v>
          </cell>
        </row>
        <row r="332">
          <cell r="B332">
            <v>103060700</v>
          </cell>
          <cell r="C332" t="str">
            <v>酒神之弓</v>
          </cell>
          <cell r="E332">
            <v>3</v>
          </cell>
          <cell r="F332">
            <v>1</v>
          </cell>
          <cell r="I332" t="str">
            <v>[170-217]攻击 +3个随机属性</v>
          </cell>
          <cell r="J332">
            <v>0</v>
          </cell>
          <cell r="K332">
            <v>4</v>
          </cell>
          <cell r="L332">
            <v>6</v>
          </cell>
        </row>
        <row r="333">
          <cell r="B333">
            <v>103070700</v>
          </cell>
          <cell r="C333" t="str">
            <v>缪斯弓</v>
          </cell>
          <cell r="E333">
            <v>3</v>
          </cell>
          <cell r="F333">
            <v>1</v>
          </cell>
          <cell r="I333" t="str">
            <v>[218-270]攻击 +3个随机属性</v>
          </cell>
          <cell r="J333">
            <v>0</v>
          </cell>
          <cell r="K333">
            <v>4</v>
          </cell>
          <cell r="L333">
            <v>7</v>
          </cell>
        </row>
        <row r="334">
          <cell r="B334">
            <v>103080700</v>
          </cell>
          <cell r="C334" t="str">
            <v>潘多拉玉弓</v>
          </cell>
          <cell r="E334">
            <v>3</v>
          </cell>
          <cell r="F334">
            <v>1</v>
          </cell>
          <cell r="I334" t="str">
            <v>[271-328]攻击 +3个随机属性</v>
          </cell>
          <cell r="J334">
            <v>0</v>
          </cell>
          <cell r="K334">
            <v>4</v>
          </cell>
          <cell r="L334">
            <v>8</v>
          </cell>
        </row>
        <row r="335">
          <cell r="B335">
            <v>103090700</v>
          </cell>
          <cell r="C335" t="str">
            <v>泰丽儿神弓</v>
          </cell>
          <cell r="E335">
            <v>3</v>
          </cell>
          <cell r="F335">
            <v>1</v>
          </cell>
          <cell r="I335" t="str">
            <v>[329-390]攻击 +3个随机属性</v>
          </cell>
          <cell r="J335">
            <v>0</v>
          </cell>
          <cell r="K335">
            <v>4</v>
          </cell>
          <cell r="L335">
            <v>9</v>
          </cell>
        </row>
        <row r="336">
          <cell r="B336">
            <v>103010800</v>
          </cell>
          <cell r="C336" t="str">
            <v>奥丁烟斗</v>
          </cell>
          <cell r="E336">
            <v>3</v>
          </cell>
          <cell r="F336">
            <v>1</v>
          </cell>
          <cell r="I336" t="str">
            <v>[1-24]攻击 +3个随机属性</v>
          </cell>
          <cell r="J336">
            <v>0</v>
          </cell>
          <cell r="K336">
            <v>4</v>
          </cell>
          <cell r="L336">
            <v>1</v>
          </cell>
        </row>
        <row r="337">
          <cell r="B337">
            <v>103020800</v>
          </cell>
          <cell r="C337" t="str">
            <v>卢卡烟斗</v>
          </cell>
          <cell r="E337">
            <v>3</v>
          </cell>
          <cell r="F337">
            <v>1</v>
          </cell>
          <cell r="I337" t="str">
            <v>[25-52]攻击 +3个随机属性</v>
          </cell>
          <cell r="J337">
            <v>0</v>
          </cell>
          <cell r="K337">
            <v>4</v>
          </cell>
          <cell r="L337">
            <v>2</v>
          </cell>
        </row>
        <row r="338">
          <cell r="B338">
            <v>103030800</v>
          </cell>
          <cell r="C338" t="str">
            <v>坎珀烟斗</v>
          </cell>
          <cell r="E338">
            <v>3</v>
          </cell>
          <cell r="F338">
            <v>1</v>
          </cell>
          <cell r="I338" t="str">
            <v>[53-86]攻击 +3个随机属性</v>
          </cell>
          <cell r="J338">
            <v>0</v>
          </cell>
          <cell r="K338">
            <v>4</v>
          </cell>
          <cell r="L338">
            <v>3</v>
          </cell>
        </row>
        <row r="339">
          <cell r="B339">
            <v>103040800</v>
          </cell>
          <cell r="C339" t="str">
            <v>费恩烟斗</v>
          </cell>
          <cell r="E339">
            <v>3</v>
          </cell>
          <cell r="F339">
            <v>1</v>
          </cell>
          <cell r="I339" t="str">
            <v>[87-124]攻击 +3个随机属性</v>
          </cell>
          <cell r="J339">
            <v>0</v>
          </cell>
          <cell r="K339">
            <v>4</v>
          </cell>
          <cell r="L339">
            <v>4</v>
          </cell>
        </row>
        <row r="340">
          <cell r="B340">
            <v>103050800</v>
          </cell>
          <cell r="C340" t="str">
            <v>迪马斯烟斗</v>
          </cell>
          <cell r="E340">
            <v>3</v>
          </cell>
          <cell r="F340">
            <v>1</v>
          </cell>
          <cell r="I340" t="str">
            <v>[125-169]攻击 +3个随机属性</v>
          </cell>
          <cell r="J340">
            <v>0</v>
          </cell>
          <cell r="K340">
            <v>4</v>
          </cell>
          <cell r="L340">
            <v>5</v>
          </cell>
        </row>
        <row r="341">
          <cell r="B341">
            <v>103060800</v>
          </cell>
          <cell r="C341" t="str">
            <v>酒神烟斗</v>
          </cell>
          <cell r="E341">
            <v>3</v>
          </cell>
          <cell r="F341">
            <v>1</v>
          </cell>
          <cell r="I341" t="str">
            <v>[170-217]攻击 +3个随机属性</v>
          </cell>
          <cell r="J341">
            <v>0</v>
          </cell>
          <cell r="K341">
            <v>4</v>
          </cell>
          <cell r="L341">
            <v>6</v>
          </cell>
        </row>
        <row r="342">
          <cell r="B342">
            <v>103070800</v>
          </cell>
          <cell r="C342" t="str">
            <v>缪斯烟斗</v>
          </cell>
          <cell r="E342">
            <v>3</v>
          </cell>
          <cell r="F342">
            <v>1</v>
          </cell>
          <cell r="I342" t="str">
            <v>[218-270]攻击 +3个随机属性</v>
          </cell>
          <cell r="J342">
            <v>0</v>
          </cell>
          <cell r="K342">
            <v>4</v>
          </cell>
          <cell r="L342">
            <v>7</v>
          </cell>
        </row>
        <row r="343">
          <cell r="B343">
            <v>103080800</v>
          </cell>
          <cell r="C343" t="str">
            <v>潘多拉烟斗</v>
          </cell>
          <cell r="E343">
            <v>3</v>
          </cell>
          <cell r="F343">
            <v>1</v>
          </cell>
          <cell r="I343" t="str">
            <v>[271-328]攻击 +3个随机属性</v>
          </cell>
          <cell r="J343">
            <v>0</v>
          </cell>
          <cell r="K343">
            <v>4</v>
          </cell>
          <cell r="L343">
            <v>8</v>
          </cell>
        </row>
        <row r="344">
          <cell r="B344">
            <v>103090800</v>
          </cell>
          <cell r="C344" t="str">
            <v>梅西烟斗</v>
          </cell>
          <cell r="E344">
            <v>3</v>
          </cell>
          <cell r="F344">
            <v>1</v>
          </cell>
          <cell r="I344" t="str">
            <v>[329-390]攻击 +3个随机属性</v>
          </cell>
          <cell r="J344">
            <v>0</v>
          </cell>
          <cell r="K344">
            <v>4</v>
          </cell>
          <cell r="L344">
            <v>9</v>
          </cell>
        </row>
        <row r="345">
          <cell r="B345">
            <v>103010900</v>
          </cell>
          <cell r="C345" t="str">
            <v>奥丁扇子</v>
          </cell>
          <cell r="E345">
            <v>3</v>
          </cell>
          <cell r="F345">
            <v>1</v>
          </cell>
          <cell r="I345" t="str">
            <v>[1-24]攻击 +3个随机属性</v>
          </cell>
          <cell r="J345">
            <v>0</v>
          </cell>
          <cell r="K345">
            <v>4</v>
          </cell>
          <cell r="L345">
            <v>1</v>
          </cell>
        </row>
        <row r="346">
          <cell r="B346">
            <v>103020900</v>
          </cell>
          <cell r="C346" t="str">
            <v>卢卡扇子</v>
          </cell>
          <cell r="E346">
            <v>3</v>
          </cell>
          <cell r="F346">
            <v>1</v>
          </cell>
          <cell r="I346" t="str">
            <v>[25-52]攻击 +3个随机属性</v>
          </cell>
          <cell r="J346">
            <v>0</v>
          </cell>
          <cell r="K346">
            <v>4</v>
          </cell>
          <cell r="L346">
            <v>2</v>
          </cell>
        </row>
        <row r="347">
          <cell r="B347">
            <v>103030900</v>
          </cell>
          <cell r="C347" t="str">
            <v>坎珀扇子</v>
          </cell>
          <cell r="E347">
            <v>3</v>
          </cell>
          <cell r="F347">
            <v>1</v>
          </cell>
          <cell r="I347" t="str">
            <v>[53-86]攻击 +3个随机属性</v>
          </cell>
          <cell r="J347">
            <v>0</v>
          </cell>
          <cell r="K347">
            <v>4</v>
          </cell>
          <cell r="L347">
            <v>3</v>
          </cell>
        </row>
        <row r="348">
          <cell r="B348">
            <v>103040900</v>
          </cell>
          <cell r="C348" t="str">
            <v>费恩扇子</v>
          </cell>
          <cell r="E348">
            <v>3</v>
          </cell>
          <cell r="F348">
            <v>1</v>
          </cell>
          <cell r="I348" t="str">
            <v>[87-124]攻击 +3个随机属性</v>
          </cell>
          <cell r="J348">
            <v>0</v>
          </cell>
          <cell r="K348">
            <v>4</v>
          </cell>
          <cell r="L348">
            <v>4</v>
          </cell>
        </row>
        <row r="349">
          <cell r="B349">
            <v>103050900</v>
          </cell>
          <cell r="C349" t="str">
            <v>迪马斯扇子</v>
          </cell>
          <cell r="E349">
            <v>3</v>
          </cell>
          <cell r="F349">
            <v>1</v>
          </cell>
          <cell r="I349" t="str">
            <v>[125-169]攻击 +3个随机属性</v>
          </cell>
          <cell r="J349">
            <v>0</v>
          </cell>
          <cell r="K349">
            <v>4</v>
          </cell>
          <cell r="L349">
            <v>5</v>
          </cell>
        </row>
        <row r="350">
          <cell r="B350">
            <v>103060900</v>
          </cell>
          <cell r="C350" t="str">
            <v>酒神扇子</v>
          </cell>
          <cell r="E350">
            <v>3</v>
          </cell>
          <cell r="F350">
            <v>1</v>
          </cell>
          <cell r="I350" t="str">
            <v>[170-217]攻击 +3个随机属性</v>
          </cell>
          <cell r="J350">
            <v>0</v>
          </cell>
          <cell r="K350">
            <v>4</v>
          </cell>
          <cell r="L350">
            <v>6</v>
          </cell>
        </row>
        <row r="351">
          <cell r="B351">
            <v>103070900</v>
          </cell>
          <cell r="C351" t="str">
            <v>缪斯扇子</v>
          </cell>
          <cell r="E351">
            <v>3</v>
          </cell>
          <cell r="F351">
            <v>1</v>
          </cell>
          <cell r="I351" t="str">
            <v>[218-270]攻击 +3个随机属性</v>
          </cell>
          <cell r="J351">
            <v>0</v>
          </cell>
          <cell r="K351">
            <v>4</v>
          </cell>
          <cell r="L351">
            <v>7</v>
          </cell>
        </row>
        <row r="352">
          <cell r="B352">
            <v>103080900</v>
          </cell>
          <cell r="C352" t="str">
            <v>潘多拉扇子</v>
          </cell>
          <cell r="E352">
            <v>3</v>
          </cell>
          <cell r="F352">
            <v>1</v>
          </cell>
          <cell r="I352" t="str">
            <v>[271-328]攻击 +3个随机属性</v>
          </cell>
          <cell r="J352">
            <v>0</v>
          </cell>
          <cell r="K352">
            <v>4</v>
          </cell>
          <cell r="L352">
            <v>8</v>
          </cell>
        </row>
        <row r="353">
          <cell r="B353">
            <v>103090900</v>
          </cell>
          <cell r="C353" t="str">
            <v>赫拉之扇</v>
          </cell>
          <cell r="E353">
            <v>3</v>
          </cell>
          <cell r="F353">
            <v>1</v>
          </cell>
          <cell r="I353" t="str">
            <v>[329-390]攻击 +3个随机属性</v>
          </cell>
          <cell r="J353">
            <v>0</v>
          </cell>
          <cell r="K353">
            <v>4</v>
          </cell>
          <cell r="L353">
            <v>9</v>
          </cell>
        </row>
        <row r="354">
          <cell r="B354">
            <v>103011000</v>
          </cell>
          <cell r="C354" t="str">
            <v>奥丁牙齿</v>
          </cell>
          <cell r="E354">
            <v>3</v>
          </cell>
          <cell r="F354">
            <v>1</v>
          </cell>
          <cell r="I354" t="str">
            <v>[1-24]攻击 +3个随机属性</v>
          </cell>
          <cell r="J354">
            <v>0</v>
          </cell>
          <cell r="K354">
            <v>4</v>
          </cell>
          <cell r="L354">
            <v>1</v>
          </cell>
        </row>
        <row r="355">
          <cell r="B355">
            <v>103021000</v>
          </cell>
          <cell r="C355" t="str">
            <v>卢卡牙齿</v>
          </cell>
          <cell r="E355">
            <v>3</v>
          </cell>
          <cell r="F355">
            <v>1</v>
          </cell>
          <cell r="I355" t="str">
            <v>[25-52]攻击 +3个随机属性</v>
          </cell>
          <cell r="J355">
            <v>0</v>
          </cell>
          <cell r="K355">
            <v>4</v>
          </cell>
          <cell r="L355">
            <v>2</v>
          </cell>
        </row>
        <row r="356">
          <cell r="B356">
            <v>103031000</v>
          </cell>
          <cell r="C356" t="str">
            <v>坎珀牙齿</v>
          </cell>
          <cell r="E356">
            <v>3</v>
          </cell>
          <cell r="F356">
            <v>1</v>
          </cell>
          <cell r="I356" t="str">
            <v>[53-86]攻击 +3个随机属性</v>
          </cell>
          <cell r="J356">
            <v>0</v>
          </cell>
          <cell r="K356">
            <v>4</v>
          </cell>
          <cell r="L356">
            <v>3</v>
          </cell>
        </row>
        <row r="357">
          <cell r="B357">
            <v>103041000</v>
          </cell>
          <cell r="C357" t="str">
            <v>费恩牙齿</v>
          </cell>
          <cell r="E357">
            <v>3</v>
          </cell>
          <cell r="F357">
            <v>1</v>
          </cell>
          <cell r="I357" t="str">
            <v>[87-124]攻击 +3个随机属性</v>
          </cell>
          <cell r="J357">
            <v>0</v>
          </cell>
          <cell r="K357">
            <v>4</v>
          </cell>
          <cell r="L357">
            <v>4</v>
          </cell>
        </row>
        <row r="358">
          <cell r="B358">
            <v>103051000</v>
          </cell>
          <cell r="C358" t="str">
            <v>迪马斯牙齿</v>
          </cell>
          <cell r="E358">
            <v>3</v>
          </cell>
          <cell r="F358">
            <v>1</v>
          </cell>
          <cell r="I358" t="str">
            <v>[125-169]攻击 +3个随机属性</v>
          </cell>
          <cell r="J358">
            <v>0</v>
          </cell>
          <cell r="K358">
            <v>4</v>
          </cell>
          <cell r="L358">
            <v>5</v>
          </cell>
        </row>
        <row r="359">
          <cell r="B359">
            <v>103061000</v>
          </cell>
          <cell r="C359" t="str">
            <v>酒神牙齿</v>
          </cell>
          <cell r="E359">
            <v>3</v>
          </cell>
          <cell r="F359">
            <v>1</v>
          </cell>
          <cell r="I359" t="str">
            <v>[170-217]攻击 +3个随机属性</v>
          </cell>
          <cell r="J359">
            <v>0</v>
          </cell>
          <cell r="K359">
            <v>4</v>
          </cell>
          <cell r="L359">
            <v>6</v>
          </cell>
        </row>
        <row r="360">
          <cell r="B360">
            <v>103071000</v>
          </cell>
          <cell r="C360" t="str">
            <v>缪斯牙齿</v>
          </cell>
          <cell r="E360">
            <v>3</v>
          </cell>
          <cell r="F360">
            <v>1</v>
          </cell>
          <cell r="I360" t="str">
            <v>[218-270]攻击 +3个随机属性</v>
          </cell>
          <cell r="J360">
            <v>0</v>
          </cell>
          <cell r="K360">
            <v>4</v>
          </cell>
          <cell r="L360">
            <v>7</v>
          </cell>
        </row>
        <row r="361">
          <cell r="B361">
            <v>103081000</v>
          </cell>
          <cell r="C361" t="str">
            <v>潘多拉牙齿</v>
          </cell>
          <cell r="E361">
            <v>3</v>
          </cell>
          <cell r="F361">
            <v>1</v>
          </cell>
          <cell r="I361" t="str">
            <v>[271-328]攻击 +3个随机属性</v>
          </cell>
          <cell r="J361">
            <v>0</v>
          </cell>
          <cell r="K361">
            <v>4</v>
          </cell>
          <cell r="L361">
            <v>8</v>
          </cell>
        </row>
        <row r="362">
          <cell r="B362">
            <v>103091000</v>
          </cell>
          <cell r="C362" t="str">
            <v>涅琉斯牙齿</v>
          </cell>
          <cell r="E362">
            <v>3</v>
          </cell>
          <cell r="F362">
            <v>1</v>
          </cell>
          <cell r="I362" t="str">
            <v>[329-390]攻击 +3个随机属性</v>
          </cell>
          <cell r="J362">
            <v>0</v>
          </cell>
          <cell r="K362">
            <v>4</v>
          </cell>
          <cell r="L362">
            <v>9</v>
          </cell>
        </row>
        <row r="363">
          <cell r="B363">
            <v>103011100</v>
          </cell>
          <cell r="C363" t="str">
            <v>奥丁之球</v>
          </cell>
          <cell r="E363">
            <v>3</v>
          </cell>
          <cell r="F363">
            <v>1</v>
          </cell>
          <cell r="I363" t="str">
            <v>[1-24]攻击 +3个随机属性</v>
          </cell>
          <cell r="J363">
            <v>0</v>
          </cell>
          <cell r="K363">
            <v>4</v>
          </cell>
          <cell r="L363">
            <v>1</v>
          </cell>
        </row>
        <row r="364">
          <cell r="B364">
            <v>103021100</v>
          </cell>
          <cell r="C364" t="str">
            <v>卢卡之球</v>
          </cell>
          <cell r="E364">
            <v>3</v>
          </cell>
          <cell r="F364">
            <v>1</v>
          </cell>
          <cell r="I364" t="str">
            <v>[25-52]攻击 +3个随机属性</v>
          </cell>
          <cell r="J364">
            <v>0</v>
          </cell>
          <cell r="K364">
            <v>4</v>
          </cell>
          <cell r="L364">
            <v>2</v>
          </cell>
        </row>
        <row r="365">
          <cell r="B365">
            <v>103031100</v>
          </cell>
          <cell r="C365" t="str">
            <v>坎珀之球</v>
          </cell>
          <cell r="E365">
            <v>3</v>
          </cell>
          <cell r="F365">
            <v>1</v>
          </cell>
          <cell r="I365" t="str">
            <v>[53-86]攻击 +3个随机属性</v>
          </cell>
          <cell r="J365">
            <v>0</v>
          </cell>
          <cell r="K365">
            <v>4</v>
          </cell>
          <cell r="L365">
            <v>3</v>
          </cell>
        </row>
        <row r="366">
          <cell r="B366">
            <v>103041100</v>
          </cell>
          <cell r="C366" t="str">
            <v>费恩之球</v>
          </cell>
          <cell r="E366">
            <v>3</v>
          </cell>
          <cell r="F366">
            <v>1</v>
          </cell>
          <cell r="I366" t="str">
            <v>[87-124]攻击 +3个随机属性</v>
          </cell>
          <cell r="J366">
            <v>0</v>
          </cell>
          <cell r="K366">
            <v>4</v>
          </cell>
          <cell r="L366">
            <v>4</v>
          </cell>
        </row>
        <row r="367">
          <cell r="B367">
            <v>103051100</v>
          </cell>
          <cell r="C367" t="str">
            <v>迪马斯之球</v>
          </cell>
          <cell r="E367">
            <v>3</v>
          </cell>
          <cell r="F367">
            <v>1</v>
          </cell>
          <cell r="I367" t="str">
            <v>[125-169]攻击 +3个随机属性</v>
          </cell>
          <cell r="J367">
            <v>0</v>
          </cell>
          <cell r="K367">
            <v>4</v>
          </cell>
          <cell r="L367">
            <v>5</v>
          </cell>
        </row>
        <row r="368">
          <cell r="B368">
            <v>103061100</v>
          </cell>
          <cell r="C368" t="str">
            <v>酒神之球</v>
          </cell>
          <cell r="E368">
            <v>3</v>
          </cell>
          <cell r="F368">
            <v>1</v>
          </cell>
          <cell r="I368" t="str">
            <v>[170-217]攻击 +3个随机属性</v>
          </cell>
          <cell r="J368">
            <v>0</v>
          </cell>
          <cell r="K368">
            <v>4</v>
          </cell>
          <cell r="L368">
            <v>6</v>
          </cell>
        </row>
        <row r="369">
          <cell r="B369">
            <v>103071100</v>
          </cell>
          <cell r="C369" t="str">
            <v>缪斯之球</v>
          </cell>
          <cell r="E369">
            <v>3</v>
          </cell>
          <cell r="F369">
            <v>1</v>
          </cell>
          <cell r="I369" t="str">
            <v>[218-270]攻击 +3个随机属性</v>
          </cell>
          <cell r="J369">
            <v>0</v>
          </cell>
          <cell r="K369">
            <v>4</v>
          </cell>
          <cell r="L369">
            <v>7</v>
          </cell>
        </row>
        <row r="370">
          <cell r="B370">
            <v>103081100</v>
          </cell>
          <cell r="C370" t="str">
            <v>潘多拉之球</v>
          </cell>
          <cell r="E370">
            <v>3</v>
          </cell>
          <cell r="F370">
            <v>1</v>
          </cell>
          <cell r="I370" t="str">
            <v>[271-328]攻击 +3个随机属性</v>
          </cell>
          <cell r="J370">
            <v>0</v>
          </cell>
          <cell r="K370">
            <v>4</v>
          </cell>
          <cell r="L370">
            <v>8</v>
          </cell>
        </row>
        <row r="371">
          <cell r="B371">
            <v>103091100</v>
          </cell>
          <cell r="C371" t="str">
            <v>欧罗巴之球</v>
          </cell>
          <cell r="E371">
            <v>3</v>
          </cell>
          <cell r="F371">
            <v>1</v>
          </cell>
          <cell r="I371" t="str">
            <v>[329-390]攻击 +3个随机属性</v>
          </cell>
          <cell r="J371">
            <v>0</v>
          </cell>
          <cell r="K371">
            <v>4</v>
          </cell>
          <cell r="L371">
            <v>9</v>
          </cell>
        </row>
        <row r="372">
          <cell r="B372">
            <v>103011200</v>
          </cell>
          <cell r="C372" t="str">
            <v>奥丁之爪</v>
          </cell>
          <cell r="E372">
            <v>3</v>
          </cell>
          <cell r="F372">
            <v>1</v>
          </cell>
          <cell r="I372" t="str">
            <v>[1-24]攻击 +3个随机属性</v>
          </cell>
          <cell r="J372">
            <v>0</v>
          </cell>
          <cell r="K372">
            <v>4</v>
          </cell>
          <cell r="L372">
            <v>1</v>
          </cell>
        </row>
        <row r="373">
          <cell r="B373">
            <v>103021200</v>
          </cell>
          <cell r="C373" t="str">
            <v>卢卡之爪</v>
          </cell>
          <cell r="E373">
            <v>3</v>
          </cell>
          <cell r="F373">
            <v>1</v>
          </cell>
          <cell r="I373" t="str">
            <v>[25-52]攻击 +3个随机属性</v>
          </cell>
          <cell r="J373">
            <v>0</v>
          </cell>
          <cell r="K373">
            <v>4</v>
          </cell>
          <cell r="L373">
            <v>2</v>
          </cell>
        </row>
        <row r="374">
          <cell r="B374">
            <v>103031200</v>
          </cell>
          <cell r="C374" t="str">
            <v>坎珀之爪</v>
          </cell>
          <cell r="E374">
            <v>3</v>
          </cell>
          <cell r="F374">
            <v>1</v>
          </cell>
          <cell r="I374" t="str">
            <v>[53-86]攻击 +3个随机属性</v>
          </cell>
          <cell r="J374">
            <v>0</v>
          </cell>
          <cell r="K374">
            <v>4</v>
          </cell>
          <cell r="L374">
            <v>3</v>
          </cell>
        </row>
        <row r="375">
          <cell r="B375">
            <v>103041200</v>
          </cell>
          <cell r="C375" t="str">
            <v>费恩之爪</v>
          </cell>
          <cell r="E375">
            <v>3</v>
          </cell>
          <cell r="F375">
            <v>1</v>
          </cell>
          <cell r="I375" t="str">
            <v>[87-124]攻击 +3个随机属性</v>
          </cell>
          <cell r="J375">
            <v>0</v>
          </cell>
          <cell r="K375">
            <v>4</v>
          </cell>
          <cell r="L375">
            <v>4</v>
          </cell>
        </row>
        <row r="376">
          <cell r="B376">
            <v>103051200</v>
          </cell>
          <cell r="C376" t="str">
            <v>迪马斯之爪</v>
          </cell>
          <cell r="E376">
            <v>3</v>
          </cell>
          <cell r="F376">
            <v>1</v>
          </cell>
          <cell r="I376" t="str">
            <v>[125-169]攻击 +3个随机属性</v>
          </cell>
          <cell r="J376">
            <v>0</v>
          </cell>
          <cell r="K376">
            <v>4</v>
          </cell>
          <cell r="L376">
            <v>5</v>
          </cell>
        </row>
        <row r="377">
          <cell r="B377">
            <v>103061200</v>
          </cell>
          <cell r="C377" t="str">
            <v>酒神之爪</v>
          </cell>
          <cell r="E377">
            <v>3</v>
          </cell>
          <cell r="F377">
            <v>1</v>
          </cell>
          <cell r="I377" t="str">
            <v>[170-217]攻击 +3个随机属性</v>
          </cell>
          <cell r="J377">
            <v>0</v>
          </cell>
          <cell r="K377">
            <v>4</v>
          </cell>
          <cell r="L377">
            <v>6</v>
          </cell>
        </row>
        <row r="378">
          <cell r="B378">
            <v>103071200</v>
          </cell>
          <cell r="C378" t="str">
            <v>缪斯之爪</v>
          </cell>
          <cell r="E378">
            <v>3</v>
          </cell>
          <cell r="F378">
            <v>1</v>
          </cell>
          <cell r="I378" t="str">
            <v>[218-270]攻击 +3个随机属性</v>
          </cell>
          <cell r="J378">
            <v>0</v>
          </cell>
          <cell r="K378">
            <v>4</v>
          </cell>
          <cell r="L378">
            <v>7</v>
          </cell>
        </row>
        <row r="379">
          <cell r="B379">
            <v>103081200</v>
          </cell>
          <cell r="C379" t="str">
            <v>潘多拉之爪</v>
          </cell>
          <cell r="E379">
            <v>3</v>
          </cell>
          <cell r="F379">
            <v>1</v>
          </cell>
          <cell r="I379" t="str">
            <v>[271-328]攻击 +3个随机属性</v>
          </cell>
          <cell r="J379">
            <v>0</v>
          </cell>
          <cell r="K379">
            <v>4</v>
          </cell>
          <cell r="L379">
            <v>8</v>
          </cell>
        </row>
        <row r="380">
          <cell r="B380">
            <v>103091200</v>
          </cell>
          <cell r="C380" t="str">
            <v>卡帕纽斯之爪</v>
          </cell>
          <cell r="E380">
            <v>3</v>
          </cell>
          <cell r="F380">
            <v>1</v>
          </cell>
          <cell r="I380" t="str">
            <v>[329-390]攻击 +3个随机属性</v>
          </cell>
          <cell r="J380">
            <v>0</v>
          </cell>
          <cell r="K380">
            <v>4</v>
          </cell>
          <cell r="L380">
            <v>9</v>
          </cell>
        </row>
        <row r="381">
          <cell r="B381">
            <v>103011300</v>
          </cell>
          <cell r="C381" t="str">
            <v>奥丁之剑</v>
          </cell>
          <cell r="E381">
            <v>3</v>
          </cell>
          <cell r="F381">
            <v>1</v>
          </cell>
          <cell r="I381" t="str">
            <v>[1-24]攻击 +3个随机属性</v>
          </cell>
          <cell r="J381">
            <v>0</v>
          </cell>
          <cell r="K381">
            <v>4</v>
          </cell>
          <cell r="L381">
            <v>1</v>
          </cell>
        </row>
        <row r="382">
          <cell r="B382">
            <v>103021300</v>
          </cell>
          <cell r="C382" t="str">
            <v>卢卡之剑</v>
          </cell>
          <cell r="E382">
            <v>3</v>
          </cell>
          <cell r="F382">
            <v>1</v>
          </cell>
          <cell r="I382" t="str">
            <v>[25-52]攻击 +3个随机属性</v>
          </cell>
          <cell r="J382">
            <v>0</v>
          </cell>
          <cell r="K382">
            <v>4</v>
          </cell>
          <cell r="L382">
            <v>2</v>
          </cell>
        </row>
        <row r="383">
          <cell r="B383">
            <v>103031300</v>
          </cell>
          <cell r="C383" t="str">
            <v>坎珀之剑</v>
          </cell>
          <cell r="E383">
            <v>3</v>
          </cell>
          <cell r="F383">
            <v>1</v>
          </cell>
          <cell r="I383" t="str">
            <v>[53-86]攻击 +3个随机属性</v>
          </cell>
          <cell r="J383">
            <v>0</v>
          </cell>
          <cell r="K383">
            <v>4</v>
          </cell>
          <cell r="L383">
            <v>3</v>
          </cell>
        </row>
        <row r="384">
          <cell r="B384">
            <v>103041300</v>
          </cell>
          <cell r="C384" t="str">
            <v>费恩之剑</v>
          </cell>
          <cell r="E384">
            <v>3</v>
          </cell>
          <cell r="F384">
            <v>1</v>
          </cell>
          <cell r="I384" t="str">
            <v>[87-124]攻击 +3个随机属性</v>
          </cell>
          <cell r="J384">
            <v>0</v>
          </cell>
          <cell r="K384">
            <v>4</v>
          </cell>
          <cell r="L384">
            <v>4</v>
          </cell>
        </row>
        <row r="385">
          <cell r="B385">
            <v>103051300</v>
          </cell>
          <cell r="C385" t="str">
            <v>迪马斯之剑</v>
          </cell>
          <cell r="E385">
            <v>3</v>
          </cell>
          <cell r="F385">
            <v>1</v>
          </cell>
          <cell r="I385" t="str">
            <v>[125-169]攻击 +3个随机属性</v>
          </cell>
          <cell r="J385">
            <v>0</v>
          </cell>
          <cell r="K385">
            <v>4</v>
          </cell>
          <cell r="L385">
            <v>5</v>
          </cell>
        </row>
        <row r="386">
          <cell r="B386">
            <v>103061300</v>
          </cell>
          <cell r="C386" t="str">
            <v>酒神之剑</v>
          </cell>
          <cell r="E386">
            <v>3</v>
          </cell>
          <cell r="F386">
            <v>1</v>
          </cell>
          <cell r="I386" t="str">
            <v>[170-217]攻击 +3个随机属性</v>
          </cell>
          <cell r="J386">
            <v>0</v>
          </cell>
          <cell r="K386">
            <v>4</v>
          </cell>
          <cell r="L386">
            <v>6</v>
          </cell>
        </row>
        <row r="387">
          <cell r="B387">
            <v>103071300</v>
          </cell>
          <cell r="C387" t="str">
            <v>缪斯之剑</v>
          </cell>
          <cell r="E387">
            <v>3</v>
          </cell>
          <cell r="F387">
            <v>1</v>
          </cell>
          <cell r="I387" t="str">
            <v>[218-270]攻击 +3个随机属性</v>
          </cell>
          <cell r="J387">
            <v>0</v>
          </cell>
          <cell r="K387">
            <v>4</v>
          </cell>
          <cell r="L387">
            <v>7</v>
          </cell>
        </row>
        <row r="388">
          <cell r="B388">
            <v>103081300</v>
          </cell>
          <cell r="C388" t="str">
            <v>潘多拉之剑</v>
          </cell>
          <cell r="E388">
            <v>3</v>
          </cell>
          <cell r="F388">
            <v>1</v>
          </cell>
          <cell r="I388" t="str">
            <v>[271-328]攻击 +3个随机属性</v>
          </cell>
          <cell r="J388">
            <v>0</v>
          </cell>
          <cell r="K388">
            <v>4</v>
          </cell>
          <cell r="L388">
            <v>8</v>
          </cell>
        </row>
        <row r="389">
          <cell r="B389">
            <v>103091300</v>
          </cell>
          <cell r="C389" t="str">
            <v>海格力斯</v>
          </cell>
          <cell r="E389">
            <v>3</v>
          </cell>
          <cell r="F389">
            <v>1</v>
          </cell>
          <cell r="I389" t="str">
            <v>[329-390]攻击 +3个随机属性</v>
          </cell>
          <cell r="J389">
            <v>0</v>
          </cell>
          <cell r="K389">
            <v>4</v>
          </cell>
          <cell r="L389">
            <v>9</v>
          </cell>
        </row>
        <row r="390">
          <cell r="B390">
            <v>203011400</v>
          </cell>
          <cell r="C390" t="str">
            <v>希尔戒指</v>
          </cell>
          <cell r="E390">
            <v>3</v>
          </cell>
          <cell r="F390">
            <v>2</v>
          </cell>
          <cell r="I390" t="str">
            <v>[1-41]防御 +3个随机属性</v>
          </cell>
          <cell r="J390">
            <v>0</v>
          </cell>
          <cell r="K390">
            <v>4</v>
          </cell>
          <cell r="L390">
            <v>1</v>
          </cell>
        </row>
        <row r="391">
          <cell r="B391">
            <v>203021400</v>
          </cell>
          <cell r="C391" t="str">
            <v>阿蒙之星</v>
          </cell>
          <cell r="E391">
            <v>3</v>
          </cell>
          <cell r="F391">
            <v>2</v>
          </cell>
          <cell r="I391" t="str">
            <v>[42-83]防御 +3个随机属性</v>
          </cell>
          <cell r="J391">
            <v>0</v>
          </cell>
          <cell r="K391">
            <v>4</v>
          </cell>
          <cell r="L391">
            <v>2</v>
          </cell>
        </row>
        <row r="392">
          <cell r="B392">
            <v>203031400</v>
          </cell>
          <cell r="C392" t="str">
            <v>阿尔泰亚</v>
          </cell>
          <cell r="E392">
            <v>3</v>
          </cell>
          <cell r="F392">
            <v>2</v>
          </cell>
          <cell r="I392" t="str">
            <v>[84-125]防御 +3个随机属性</v>
          </cell>
          <cell r="J392">
            <v>0</v>
          </cell>
          <cell r="K392">
            <v>4</v>
          </cell>
          <cell r="L392">
            <v>3</v>
          </cell>
        </row>
        <row r="393">
          <cell r="B393">
            <v>203041400</v>
          </cell>
          <cell r="C393" t="str">
            <v>卡尔卡斯</v>
          </cell>
          <cell r="E393">
            <v>3</v>
          </cell>
          <cell r="F393">
            <v>2</v>
          </cell>
          <cell r="I393" t="str">
            <v>[126-166]防御 +3个随机属性</v>
          </cell>
          <cell r="J393">
            <v>0</v>
          </cell>
          <cell r="K393">
            <v>4</v>
          </cell>
          <cell r="L393">
            <v>4</v>
          </cell>
        </row>
        <row r="394">
          <cell r="B394">
            <v>203051400</v>
          </cell>
          <cell r="C394" t="str">
            <v>拉米亚之戒</v>
          </cell>
          <cell r="E394">
            <v>3</v>
          </cell>
          <cell r="F394">
            <v>2</v>
          </cell>
          <cell r="I394" t="str">
            <v>[167-208]防御 +3个随机属性</v>
          </cell>
          <cell r="J394">
            <v>0</v>
          </cell>
          <cell r="K394">
            <v>4</v>
          </cell>
          <cell r="L394">
            <v>5</v>
          </cell>
        </row>
        <row r="395">
          <cell r="B395">
            <v>203061400</v>
          </cell>
          <cell r="C395" t="str">
            <v>西农</v>
          </cell>
          <cell r="E395">
            <v>3</v>
          </cell>
          <cell r="F395">
            <v>2</v>
          </cell>
          <cell r="I395" t="str">
            <v>[209-250]防御 +3个随机属性</v>
          </cell>
          <cell r="J395">
            <v>0</v>
          </cell>
          <cell r="K395">
            <v>4</v>
          </cell>
          <cell r="L395">
            <v>6</v>
          </cell>
        </row>
        <row r="396">
          <cell r="B396">
            <v>203071400</v>
          </cell>
          <cell r="C396" t="str">
            <v>血魔之戒</v>
          </cell>
          <cell r="E396">
            <v>3</v>
          </cell>
          <cell r="F396">
            <v>2</v>
          </cell>
          <cell r="I396" t="str">
            <v>[251-291]防御 +3个随机属性</v>
          </cell>
          <cell r="J396">
            <v>0</v>
          </cell>
          <cell r="K396">
            <v>4</v>
          </cell>
          <cell r="L396">
            <v>7</v>
          </cell>
        </row>
        <row r="397">
          <cell r="B397">
            <v>203081400</v>
          </cell>
          <cell r="C397" t="str">
            <v>多隆之眼</v>
          </cell>
          <cell r="E397">
            <v>3</v>
          </cell>
          <cell r="F397">
            <v>2</v>
          </cell>
          <cell r="I397" t="str">
            <v>[292-333]防御 +3个随机属性</v>
          </cell>
          <cell r="J397">
            <v>0</v>
          </cell>
          <cell r="K397">
            <v>4</v>
          </cell>
          <cell r="L397">
            <v>8</v>
          </cell>
        </row>
        <row r="398">
          <cell r="B398">
            <v>203091400</v>
          </cell>
          <cell r="C398" t="str">
            <v>迅战戒指</v>
          </cell>
          <cell r="E398">
            <v>3</v>
          </cell>
          <cell r="F398">
            <v>2</v>
          </cell>
          <cell r="I398" t="str">
            <v>[334-375]防御 +3个随机属性</v>
          </cell>
          <cell r="J398">
            <v>0</v>
          </cell>
          <cell r="K398">
            <v>4</v>
          </cell>
          <cell r="L398">
            <v>9</v>
          </cell>
        </row>
        <row r="399">
          <cell r="B399">
            <v>303011500</v>
          </cell>
          <cell r="C399" t="str">
            <v>卡尔斯项链</v>
          </cell>
          <cell r="E399">
            <v>3</v>
          </cell>
          <cell r="F399">
            <v>3</v>
          </cell>
          <cell r="I399" t="str">
            <v>[1-41]防御 +3个随机属性</v>
          </cell>
          <cell r="J399">
            <v>0</v>
          </cell>
          <cell r="K399">
            <v>4</v>
          </cell>
          <cell r="L399">
            <v>1</v>
          </cell>
        </row>
        <row r="400">
          <cell r="B400">
            <v>303021500</v>
          </cell>
          <cell r="C400" t="str">
            <v>亚马逊人</v>
          </cell>
          <cell r="E400">
            <v>3</v>
          </cell>
          <cell r="F400">
            <v>3</v>
          </cell>
          <cell r="I400" t="str">
            <v>[42-83]防御 +3个随机属性</v>
          </cell>
          <cell r="J400">
            <v>0</v>
          </cell>
          <cell r="K400">
            <v>4</v>
          </cell>
          <cell r="L400">
            <v>2</v>
          </cell>
        </row>
        <row r="401">
          <cell r="B401">
            <v>303031500</v>
          </cell>
          <cell r="C401" t="str">
            <v>比奥斯</v>
          </cell>
          <cell r="E401">
            <v>3</v>
          </cell>
          <cell r="F401">
            <v>3</v>
          </cell>
          <cell r="I401" t="str">
            <v>[84-125]防御 +3个随机属性</v>
          </cell>
          <cell r="J401">
            <v>0</v>
          </cell>
          <cell r="K401">
            <v>4</v>
          </cell>
          <cell r="L401">
            <v>3</v>
          </cell>
        </row>
        <row r="402">
          <cell r="B402">
            <v>303041500</v>
          </cell>
          <cell r="C402" t="str">
            <v>卢比项链</v>
          </cell>
          <cell r="E402">
            <v>3</v>
          </cell>
          <cell r="F402">
            <v>3</v>
          </cell>
          <cell r="I402" t="str">
            <v>[126-166]防御 +3个随机属性</v>
          </cell>
          <cell r="J402">
            <v>0</v>
          </cell>
          <cell r="K402">
            <v>4</v>
          </cell>
          <cell r="L402">
            <v>4</v>
          </cell>
        </row>
        <row r="403">
          <cell r="B403">
            <v>303051500</v>
          </cell>
          <cell r="C403" t="str">
            <v>萨耳珀冬</v>
          </cell>
          <cell r="E403">
            <v>3</v>
          </cell>
          <cell r="F403">
            <v>3</v>
          </cell>
          <cell r="I403" t="str">
            <v>[167-208]防御 +3个随机属性</v>
          </cell>
          <cell r="J403">
            <v>0</v>
          </cell>
          <cell r="K403">
            <v>4</v>
          </cell>
          <cell r="L403">
            <v>5</v>
          </cell>
        </row>
        <row r="404">
          <cell r="B404">
            <v>303061500</v>
          </cell>
          <cell r="C404" t="str">
            <v>乌拉尼亚</v>
          </cell>
          <cell r="E404">
            <v>3</v>
          </cell>
          <cell r="F404">
            <v>3</v>
          </cell>
          <cell r="I404" t="str">
            <v>[209-250]防御 +3个随机属性</v>
          </cell>
          <cell r="J404">
            <v>0</v>
          </cell>
          <cell r="K404">
            <v>4</v>
          </cell>
          <cell r="L404">
            <v>6</v>
          </cell>
        </row>
        <row r="405">
          <cell r="B405">
            <v>303071500</v>
          </cell>
          <cell r="C405" t="str">
            <v>斯库卡吊坠</v>
          </cell>
          <cell r="E405">
            <v>3</v>
          </cell>
          <cell r="F405">
            <v>3</v>
          </cell>
          <cell r="I405" t="str">
            <v>[251-291]防御 +3个随机属性</v>
          </cell>
          <cell r="J405">
            <v>0</v>
          </cell>
          <cell r="K405">
            <v>4</v>
          </cell>
          <cell r="L405">
            <v>7</v>
          </cell>
        </row>
        <row r="406">
          <cell r="B406">
            <v>303081500</v>
          </cell>
          <cell r="C406" t="str">
            <v>欧罗巴项链</v>
          </cell>
          <cell r="E406">
            <v>3</v>
          </cell>
          <cell r="F406">
            <v>3</v>
          </cell>
          <cell r="I406" t="str">
            <v>[292-333]防御 +3个随机属性</v>
          </cell>
          <cell r="J406">
            <v>0</v>
          </cell>
          <cell r="K406">
            <v>4</v>
          </cell>
          <cell r="L406">
            <v>8</v>
          </cell>
        </row>
        <row r="407">
          <cell r="B407">
            <v>303091500</v>
          </cell>
          <cell r="C407" t="str">
            <v>海伦之心</v>
          </cell>
          <cell r="E407">
            <v>3</v>
          </cell>
          <cell r="F407">
            <v>3</v>
          </cell>
          <cell r="I407" t="str">
            <v>[334-375]防御 +3个随机属性</v>
          </cell>
          <cell r="J407">
            <v>0</v>
          </cell>
          <cell r="K407">
            <v>4</v>
          </cell>
          <cell r="L407">
            <v>9</v>
          </cell>
        </row>
        <row r="408">
          <cell r="B408">
            <v>104090101</v>
          </cell>
          <cell r="C408" t="str">
            <v>泰坦的力量</v>
          </cell>
          <cell r="E408">
            <v>4</v>
          </cell>
          <cell r="F408">
            <v>1</v>
          </cell>
          <cell r="I408" t="str">
            <v>[270-320]攻击 +4个随机属性 套装加成:hp+355</v>
          </cell>
          <cell r="J408">
            <v>1</v>
          </cell>
          <cell r="K408">
            <v>5</v>
          </cell>
          <cell r="L408">
            <v>9</v>
          </cell>
        </row>
        <row r="409">
          <cell r="B409">
            <v>204091401</v>
          </cell>
          <cell r="C409" t="str">
            <v>泰坦的荣耀</v>
          </cell>
          <cell r="E409">
            <v>4</v>
          </cell>
          <cell r="F409">
            <v>2</v>
          </cell>
          <cell r="I409" t="str">
            <v>[334-375]防御 +4个随机属性 套装加成:hp+355</v>
          </cell>
          <cell r="J409">
            <v>1</v>
          </cell>
          <cell r="K409">
            <v>5</v>
          </cell>
          <cell r="L409">
            <v>9</v>
          </cell>
        </row>
        <row r="410">
          <cell r="B410">
            <v>304091501</v>
          </cell>
          <cell r="C410" t="str">
            <v>泰坦的光辉</v>
          </cell>
          <cell r="E410">
            <v>4</v>
          </cell>
          <cell r="F410">
            <v>3</v>
          </cell>
          <cell r="I410" t="str">
            <v>[334-375]防御 +4个随机属性 套装加成:hp+355</v>
          </cell>
          <cell r="J410">
            <v>1</v>
          </cell>
          <cell r="K410">
            <v>5</v>
          </cell>
          <cell r="L410">
            <v>9</v>
          </cell>
        </row>
        <row r="411">
          <cell r="B411">
            <v>104090202</v>
          </cell>
          <cell r="C411" t="str">
            <v>阿波罗的利刃</v>
          </cell>
          <cell r="E411">
            <v>4</v>
          </cell>
          <cell r="F411">
            <v>1</v>
          </cell>
          <cell r="I411" t="str">
            <v>[329-390]攻击 +4个随机属性 套装加成:物攻+334物防+225</v>
          </cell>
          <cell r="J411">
            <v>2</v>
          </cell>
          <cell r="K411">
            <v>5</v>
          </cell>
          <cell r="L411">
            <v>9</v>
          </cell>
        </row>
        <row r="412">
          <cell r="B412">
            <v>204091402</v>
          </cell>
          <cell r="C412" t="str">
            <v>阿波罗的眼眸</v>
          </cell>
          <cell r="E412">
            <v>4</v>
          </cell>
          <cell r="F412">
            <v>2</v>
          </cell>
          <cell r="I412" t="str">
            <v>[334-375]防御 +4个随机属性 套装加成:物攻+334物防+225</v>
          </cell>
          <cell r="J412">
            <v>2</v>
          </cell>
          <cell r="K412">
            <v>5</v>
          </cell>
          <cell r="L412">
            <v>9</v>
          </cell>
        </row>
        <row r="413">
          <cell r="B413">
            <v>304091502</v>
          </cell>
          <cell r="C413" t="str">
            <v>阿波罗的惩戒</v>
          </cell>
          <cell r="E413">
            <v>4</v>
          </cell>
          <cell r="F413">
            <v>3</v>
          </cell>
          <cell r="I413" t="str">
            <v>[334-375]防御 +4个随机属性 套装加成:物攻+334物防+225</v>
          </cell>
          <cell r="J413">
            <v>2</v>
          </cell>
          <cell r="K413">
            <v>5</v>
          </cell>
          <cell r="L413">
            <v>9</v>
          </cell>
        </row>
        <row r="414">
          <cell r="B414">
            <v>104090303</v>
          </cell>
          <cell r="C414" t="str">
            <v>阿瑞斯之拳</v>
          </cell>
          <cell r="E414">
            <v>4</v>
          </cell>
          <cell r="F414">
            <v>1</v>
          </cell>
          <cell r="I414" t="str">
            <v>[329-390]攻击 +4个随机属性 套装加成:hp+47物攻+228物防+300敏捷+33</v>
          </cell>
          <cell r="J414">
            <v>3</v>
          </cell>
          <cell r="K414">
            <v>5</v>
          </cell>
          <cell r="L414">
            <v>9</v>
          </cell>
        </row>
        <row r="415">
          <cell r="B415">
            <v>204091403</v>
          </cell>
          <cell r="C415" t="str">
            <v>阿瑞斯之戒</v>
          </cell>
          <cell r="E415">
            <v>4</v>
          </cell>
          <cell r="F415">
            <v>2</v>
          </cell>
          <cell r="I415" t="str">
            <v>[334-375]防御 +4个随机属性 套装加成:hp+47物攻+228物防+300敏捷+33</v>
          </cell>
          <cell r="J415">
            <v>3</v>
          </cell>
          <cell r="K415">
            <v>5</v>
          </cell>
          <cell r="L415">
            <v>9</v>
          </cell>
        </row>
        <row r="416">
          <cell r="B416">
            <v>304091503</v>
          </cell>
          <cell r="C416" t="str">
            <v>阿瑞斯之魂</v>
          </cell>
          <cell r="E416">
            <v>4</v>
          </cell>
          <cell r="F416">
            <v>3</v>
          </cell>
          <cell r="I416" t="str">
            <v>[334-375]防御 +4个随机属性 套装加成:hp+47物攻+228物防+300敏捷+33</v>
          </cell>
          <cell r="J416">
            <v>3</v>
          </cell>
          <cell r="K416">
            <v>5</v>
          </cell>
          <cell r="L416">
            <v>9</v>
          </cell>
        </row>
        <row r="417">
          <cell r="B417">
            <v>104090404</v>
          </cell>
          <cell r="C417" t="str">
            <v>阿努比斯的矛</v>
          </cell>
          <cell r="E417">
            <v>4</v>
          </cell>
          <cell r="F417">
            <v>1</v>
          </cell>
          <cell r="I417" t="str">
            <v>[329-390]攻击 +4个随机属性 套装加成:hp+26魔攻+69全抗+20</v>
          </cell>
          <cell r="J417">
            <v>4</v>
          </cell>
          <cell r="K417">
            <v>5</v>
          </cell>
          <cell r="L417">
            <v>9</v>
          </cell>
        </row>
        <row r="418">
          <cell r="B418">
            <v>204091404</v>
          </cell>
          <cell r="C418" t="str">
            <v>阿努比斯的灵魂</v>
          </cell>
          <cell r="E418">
            <v>4</v>
          </cell>
          <cell r="F418">
            <v>2</v>
          </cell>
          <cell r="I418" t="str">
            <v>[334-375]防御 +4个随机属性 套装加成:hp+26魔攻+69全抗+20</v>
          </cell>
          <cell r="J418">
            <v>4</v>
          </cell>
          <cell r="K418">
            <v>5</v>
          </cell>
          <cell r="L418">
            <v>9</v>
          </cell>
        </row>
        <row r="419">
          <cell r="B419">
            <v>304091504</v>
          </cell>
          <cell r="C419" t="str">
            <v>阿努比斯的守护</v>
          </cell>
          <cell r="E419">
            <v>4</v>
          </cell>
          <cell r="F419">
            <v>3</v>
          </cell>
          <cell r="I419" t="str">
            <v>[334-375]防御 +4个随机属性 套装加成:hp+26魔攻+69全抗+20</v>
          </cell>
          <cell r="J419">
            <v>4</v>
          </cell>
          <cell r="K419">
            <v>5</v>
          </cell>
          <cell r="L419">
            <v>9</v>
          </cell>
        </row>
        <row r="420">
          <cell r="B420">
            <v>104090505</v>
          </cell>
          <cell r="C420" t="str">
            <v>赫卡忒的黑暗</v>
          </cell>
          <cell r="E420">
            <v>4</v>
          </cell>
          <cell r="F420">
            <v>1</v>
          </cell>
          <cell r="I420" t="str">
            <v>[329-390]攻击 +4个随机属性 套装加成:物攻+216魔防+150敏捷+53</v>
          </cell>
          <cell r="J420">
            <v>5</v>
          </cell>
          <cell r="K420">
            <v>5</v>
          </cell>
          <cell r="L420">
            <v>9</v>
          </cell>
        </row>
        <row r="421">
          <cell r="B421">
            <v>204091405</v>
          </cell>
          <cell r="C421" t="str">
            <v>赫卡忒的魔能</v>
          </cell>
          <cell r="E421">
            <v>4</v>
          </cell>
          <cell r="F421">
            <v>2</v>
          </cell>
          <cell r="I421" t="str">
            <v>[334-375]防御 +4个随机属性 套装加成:物攻+216魔防+150敏捷+53</v>
          </cell>
          <cell r="J421">
            <v>5</v>
          </cell>
          <cell r="K421">
            <v>5</v>
          </cell>
          <cell r="L421">
            <v>9</v>
          </cell>
        </row>
        <row r="422">
          <cell r="B422">
            <v>304091505</v>
          </cell>
          <cell r="C422" t="str">
            <v>赫卡忒的项链</v>
          </cell>
          <cell r="E422">
            <v>4</v>
          </cell>
          <cell r="F422">
            <v>3</v>
          </cell>
          <cell r="I422" t="str">
            <v>[334-375]防御 +4个随机属性 套装加成:物攻+216魔防+150敏捷+53</v>
          </cell>
          <cell r="J422">
            <v>5</v>
          </cell>
          <cell r="K422">
            <v>5</v>
          </cell>
          <cell r="L422">
            <v>9</v>
          </cell>
        </row>
        <row r="423">
          <cell r="B423">
            <v>104090606</v>
          </cell>
          <cell r="C423" t="str">
            <v>雅典娜的惊叹</v>
          </cell>
          <cell r="E423">
            <v>4</v>
          </cell>
          <cell r="F423">
            <v>1</v>
          </cell>
          <cell r="I423" t="str">
            <v>[329-390]攻击 +4个随机属性 套装加成:hp+60魔攻+247全抗+40</v>
          </cell>
          <cell r="J423">
            <v>6</v>
          </cell>
          <cell r="K423">
            <v>5</v>
          </cell>
          <cell r="L423">
            <v>9</v>
          </cell>
        </row>
        <row r="424">
          <cell r="B424">
            <v>204091406</v>
          </cell>
          <cell r="C424" t="str">
            <v>雅典娜的智慧</v>
          </cell>
          <cell r="E424">
            <v>4</v>
          </cell>
          <cell r="F424">
            <v>2</v>
          </cell>
          <cell r="I424" t="str">
            <v>[301-337]防御 +4个随机属性 套装加成:hp+60魔攻+247全抗+40</v>
          </cell>
          <cell r="J424">
            <v>6</v>
          </cell>
          <cell r="K424">
            <v>5</v>
          </cell>
          <cell r="L424">
            <v>9</v>
          </cell>
        </row>
        <row r="425">
          <cell r="B425">
            <v>304091506</v>
          </cell>
          <cell r="C425" t="str">
            <v>雅典娜的项链</v>
          </cell>
          <cell r="E425">
            <v>4</v>
          </cell>
          <cell r="F425">
            <v>3</v>
          </cell>
          <cell r="I425" t="str">
            <v>[301-337]防御 +4个随机属性 套装加成:hp+60魔攻+247全抗+40</v>
          </cell>
          <cell r="J425">
            <v>6</v>
          </cell>
          <cell r="K425">
            <v>5</v>
          </cell>
          <cell r="L425">
            <v>9</v>
          </cell>
        </row>
        <row r="426">
          <cell r="B426">
            <v>104090707</v>
          </cell>
          <cell r="C426" t="str">
            <v>丘比特之弓</v>
          </cell>
          <cell r="E426">
            <v>4</v>
          </cell>
          <cell r="F426">
            <v>1</v>
          </cell>
          <cell r="I426" t="str">
            <v>[329-390]攻击 +4个随机属性 套装加成:物攻+507物防+150魔防+300</v>
          </cell>
          <cell r="J426">
            <v>7</v>
          </cell>
          <cell r="K426">
            <v>5</v>
          </cell>
          <cell r="L426">
            <v>9</v>
          </cell>
        </row>
        <row r="427">
          <cell r="B427">
            <v>204091407</v>
          </cell>
          <cell r="C427" t="str">
            <v>丘比特的爱</v>
          </cell>
          <cell r="E427">
            <v>4</v>
          </cell>
          <cell r="F427">
            <v>2</v>
          </cell>
          <cell r="I427" t="str">
            <v>[334-375]防御 +4个随机属性 套装加成:物攻+507物防+150魔防+300</v>
          </cell>
          <cell r="J427">
            <v>7</v>
          </cell>
          <cell r="K427">
            <v>5</v>
          </cell>
          <cell r="L427">
            <v>9</v>
          </cell>
        </row>
        <row r="428">
          <cell r="B428">
            <v>304091507</v>
          </cell>
          <cell r="C428" t="str">
            <v>丘比特的永恒</v>
          </cell>
          <cell r="E428">
            <v>4</v>
          </cell>
          <cell r="F428">
            <v>3</v>
          </cell>
          <cell r="I428" t="str">
            <v>[334-375]防御 +4个随机属性 套装加成:物攻+507物防+150魔防+300</v>
          </cell>
          <cell r="J428">
            <v>7</v>
          </cell>
          <cell r="K428">
            <v>5</v>
          </cell>
          <cell r="L428">
            <v>9</v>
          </cell>
        </row>
        <row r="429">
          <cell r="B429">
            <v>104090808</v>
          </cell>
          <cell r="C429" t="str">
            <v>波塞冬的烟斗</v>
          </cell>
          <cell r="E429">
            <v>4</v>
          </cell>
          <cell r="F429">
            <v>1</v>
          </cell>
          <cell r="I429" t="str">
            <v>[329-390]攻击 +4个随机属性 套装加成:hp+80物防+300魔攻+107魔防+300敏捷+67</v>
          </cell>
          <cell r="J429">
            <v>8</v>
          </cell>
          <cell r="K429">
            <v>5</v>
          </cell>
          <cell r="L429">
            <v>9</v>
          </cell>
        </row>
        <row r="430">
          <cell r="B430">
            <v>204091408</v>
          </cell>
          <cell r="C430" t="str">
            <v>波塞冬的风暴</v>
          </cell>
          <cell r="E430">
            <v>4</v>
          </cell>
          <cell r="F430">
            <v>2</v>
          </cell>
          <cell r="I430" t="str">
            <v>[334-375]防御 +4个随机属性 套装加成:hp+80物防+300魔攻+107魔防+300敏捷+67</v>
          </cell>
          <cell r="J430">
            <v>8</v>
          </cell>
          <cell r="K430">
            <v>5</v>
          </cell>
          <cell r="L430">
            <v>9</v>
          </cell>
        </row>
        <row r="431">
          <cell r="B431">
            <v>304091508</v>
          </cell>
          <cell r="C431" t="str">
            <v>波塞冬的洪荒</v>
          </cell>
          <cell r="E431">
            <v>4</v>
          </cell>
          <cell r="F431">
            <v>3</v>
          </cell>
          <cell r="I431" t="str">
            <v>[334-375]防御 +4个随机属性 套装加成:hp+80物防+300魔攻+107魔防+300敏捷+67</v>
          </cell>
          <cell r="J431">
            <v>8</v>
          </cell>
          <cell r="K431">
            <v>5</v>
          </cell>
          <cell r="L431">
            <v>9</v>
          </cell>
        </row>
        <row r="432">
          <cell r="B432">
            <v>104090909</v>
          </cell>
          <cell r="C432" t="str">
            <v>赫柏的扇子</v>
          </cell>
          <cell r="E432">
            <v>4</v>
          </cell>
          <cell r="F432">
            <v>1</v>
          </cell>
          <cell r="I432" t="str">
            <v>[329-390]攻击 +4个随机属性 套装加成:魔攻+52全抗+20敏捷+53</v>
          </cell>
          <cell r="J432">
            <v>9</v>
          </cell>
          <cell r="K432">
            <v>5</v>
          </cell>
          <cell r="L432">
            <v>9</v>
          </cell>
        </row>
        <row r="433">
          <cell r="B433">
            <v>204091409</v>
          </cell>
          <cell r="C433" t="str">
            <v>赫柏的青春</v>
          </cell>
          <cell r="E433">
            <v>4</v>
          </cell>
          <cell r="F433">
            <v>2</v>
          </cell>
          <cell r="I433" t="str">
            <v>[334-375]防御 +4个随机属性 套装加成:魔攻+52全抗+20敏捷+53</v>
          </cell>
          <cell r="J433">
            <v>9</v>
          </cell>
          <cell r="K433">
            <v>5</v>
          </cell>
          <cell r="L433">
            <v>9</v>
          </cell>
        </row>
        <row r="434">
          <cell r="B434">
            <v>304091509</v>
          </cell>
          <cell r="C434" t="str">
            <v>赫柏的吊坠</v>
          </cell>
          <cell r="E434">
            <v>4</v>
          </cell>
          <cell r="F434">
            <v>3</v>
          </cell>
          <cell r="I434" t="str">
            <v>[334-375]防御 +4个随机属性 套装加成:魔攻+52全抗+20敏捷+53</v>
          </cell>
          <cell r="J434">
            <v>9</v>
          </cell>
          <cell r="K434">
            <v>5</v>
          </cell>
          <cell r="L434">
            <v>9</v>
          </cell>
        </row>
        <row r="435">
          <cell r="B435">
            <v>104091010</v>
          </cell>
          <cell r="C435" t="str">
            <v>彼列的谎言</v>
          </cell>
          <cell r="E435">
            <v>4</v>
          </cell>
          <cell r="F435">
            <v>1</v>
          </cell>
          <cell r="I435" t="str">
            <v>[329-390]攻击 +4个随机属性 套装加成:hp+40物攻+357物防+150魔防+150</v>
          </cell>
          <cell r="J435">
            <v>10</v>
          </cell>
          <cell r="K435">
            <v>5</v>
          </cell>
          <cell r="L435">
            <v>9</v>
          </cell>
        </row>
        <row r="436">
          <cell r="B436">
            <v>204091410</v>
          </cell>
          <cell r="C436" t="str">
            <v>彼列的幻象</v>
          </cell>
          <cell r="E436">
            <v>4</v>
          </cell>
          <cell r="F436">
            <v>2</v>
          </cell>
          <cell r="I436" t="str">
            <v>[334-375]防御 +4个随机属性 套装加成:hp+40物攻+357物防+150魔防+150</v>
          </cell>
          <cell r="J436">
            <v>10</v>
          </cell>
          <cell r="K436">
            <v>5</v>
          </cell>
          <cell r="L436">
            <v>9</v>
          </cell>
        </row>
        <row r="437">
          <cell r="B437">
            <v>304091510</v>
          </cell>
          <cell r="C437" t="str">
            <v>彼列的面目</v>
          </cell>
          <cell r="E437">
            <v>4</v>
          </cell>
          <cell r="F437">
            <v>3</v>
          </cell>
          <cell r="I437" t="str">
            <v>[334-375]防御 +4个随机属性 套装加成:hp+40物攻+357物防+150魔防+150</v>
          </cell>
          <cell r="J437">
            <v>10</v>
          </cell>
          <cell r="K437">
            <v>5</v>
          </cell>
          <cell r="L437">
            <v>9</v>
          </cell>
        </row>
        <row r="438">
          <cell r="B438">
            <v>104091111</v>
          </cell>
          <cell r="C438" t="str">
            <v>勒托之球</v>
          </cell>
          <cell r="E438">
            <v>4</v>
          </cell>
          <cell r="F438">
            <v>1</v>
          </cell>
          <cell r="I438" t="str">
            <v>[329-390]攻击 +4个随机属性 套装加成:魔攻+464全抗+40</v>
          </cell>
          <cell r="J438">
            <v>11</v>
          </cell>
          <cell r="K438">
            <v>5</v>
          </cell>
          <cell r="L438">
            <v>9</v>
          </cell>
        </row>
        <row r="439">
          <cell r="B439">
            <v>204091411</v>
          </cell>
          <cell r="C439" t="str">
            <v>勒托之戒</v>
          </cell>
          <cell r="E439">
            <v>4</v>
          </cell>
          <cell r="F439">
            <v>2</v>
          </cell>
          <cell r="I439" t="str">
            <v>[334-375]防御 +4个随机属性 套装加成:魔攻+464全抗+40</v>
          </cell>
          <cell r="J439">
            <v>11</v>
          </cell>
          <cell r="K439">
            <v>5</v>
          </cell>
          <cell r="L439">
            <v>9</v>
          </cell>
        </row>
        <row r="440">
          <cell r="B440">
            <v>304091511</v>
          </cell>
          <cell r="C440" t="str">
            <v>勒托之眼</v>
          </cell>
          <cell r="E440">
            <v>4</v>
          </cell>
          <cell r="F440">
            <v>3</v>
          </cell>
          <cell r="I440" t="str">
            <v>[334-375]防御 +4个随机属性 套装加成:魔攻+464全抗+40</v>
          </cell>
          <cell r="J440">
            <v>11</v>
          </cell>
          <cell r="K440">
            <v>5</v>
          </cell>
          <cell r="L440">
            <v>9</v>
          </cell>
        </row>
        <row r="441">
          <cell r="B441">
            <v>104091212</v>
          </cell>
          <cell r="C441" t="str">
            <v>九尾狐的爪子</v>
          </cell>
          <cell r="E441">
            <v>4</v>
          </cell>
          <cell r="F441">
            <v>1</v>
          </cell>
          <cell r="I441" t="str">
            <v>[329-390]攻击 +4个随机属性 套装加成:物攻+178物防+225魔防+75敏捷+73</v>
          </cell>
          <cell r="J441">
            <v>12</v>
          </cell>
          <cell r="K441">
            <v>5</v>
          </cell>
          <cell r="L441">
            <v>9</v>
          </cell>
        </row>
        <row r="442">
          <cell r="B442">
            <v>204091412</v>
          </cell>
          <cell r="C442" t="str">
            <v>九尾狐的指环</v>
          </cell>
          <cell r="E442">
            <v>4</v>
          </cell>
          <cell r="F442">
            <v>2</v>
          </cell>
          <cell r="I442" t="str">
            <v>[334-375]防御 +4个随机属性 套装加成:物攻+178物防+225魔防+75敏捷+73</v>
          </cell>
          <cell r="J442">
            <v>12</v>
          </cell>
          <cell r="K442">
            <v>5</v>
          </cell>
          <cell r="L442">
            <v>9</v>
          </cell>
        </row>
        <row r="443">
          <cell r="B443">
            <v>304091512</v>
          </cell>
          <cell r="C443" t="str">
            <v>九尾狐的颈圈</v>
          </cell>
          <cell r="E443">
            <v>4</v>
          </cell>
          <cell r="F443">
            <v>3</v>
          </cell>
          <cell r="I443" t="str">
            <v>[334-375]防御 +4个随机属性 套装加成:物攻+178物防+225魔防+75敏捷+73</v>
          </cell>
          <cell r="J443">
            <v>12</v>
          </cell>
          <cell r="K443">
            <v>5</v>
          </cell>
          <cell r="L443">
            <v>9</v>
          </cell>
        </row>
        <row r="444">
          <cell r="B444">
            <v>104091313</v>
          </cell>
          <cell r="C444" t="str">
            <v>泰瑞尔之剑</v>
          </cell>
          <cell r="E444">
            <v>4</v>
          </cell>
          <cell r="F444">
            <v>1</v>
          </cell>
          <cell r="I444" t="str">
            <v>[329-390]攻击 +4个随机属性 套装加成:hp+235物攻+207物防+75魔防+75</v>
          </cell>
          <cell r="J444">
            <v>13</v>
          </cell>
          <cell r="K444">
            <v>5</v>
          </cell>
          <cell r="L444">
            <v>9</v>
          </cell>
        </row>
        <row r="445">
          <cell r="B445">
            <v>204091413</v>
          </cell>
          <cell r="C445" t="str">
            <v>泰瑞尔之力</v>
          </cell>
          <cell r="E445">
            <v>4</v>
          </cell>
          <cell r="F445">
            <v>2</v>
          </cell>
          <cell r="I445" t="str">
            <v>[334-375]防御 +4个随机属性 套装加成:hp+235物攻+207物防+75魔防+75</v>
          </cell>
          <cell r="J445">
            <v>13</v>
          </cell>
          <cell r="K445">
            <v>5</v>
          </cell>
          <cell r="L445">
            <v>9</v>
          </cell>
        </row>
        <row r="446">
          <cell r="B446">
            <v>304091513</v>
          </cell>
          <cell r="C446" t="str">
            <v>泰瑞尔之威严</v>
          </cell>
          <cell r="E446">
            <v>4</v>
          </cell>
          <cell r="F446">
            <v>3</v>
          </cell>
          <cell r="I446" t="str">
            <v>[334-375]防御 +4个随机属性 套装加成:hp+235物攻+207物防+75魔防+75</v>
          </cell>
          <cell r="J446">
            <v>13</v>
          </cell>
          <cell r="K446">
            <v>5</v>
          </cell>
          <cell r="L446">
            <v>9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45"/>
  <sheetViews>
    <sheetView topLeftCell="A82" workbookViewId="0">
      <selection activeCell="G29" sqref="G29"/>
    </sheetView>
  </sheetViews>
  <sheetFormatPr defaultRowHeight="12.75" x14ac:dyDescent="0.15"/>
  <cols>
    <col min="1" max="5" width="9" style="1"/>
    <col min="6" max="6" width="21.625" style="1" customWidth="1"/>
    <col min="7" max="7" width="25.375" style="1" customWidth="1"/>
    <col min="8" max="8" width="9.875" style="1" customWidth="1"/>
    <col min="9" max="9" width="12.375" style="1" customWidth="1"/>
    <col min="10" max="16384" width="9" style="1"/>
  </cols>
  <sheetData>
    <row r="1" spans="1:19" x14ac:dyDescent="0.15">
      <c r="A1" s="1" t="s">
        <v>0</v>
      </c>
      <c r="B1" s="1" t="s">
        <v>1</v>
      </c>
      <c r="C1" s="1" t="s">
        <v>56</v>
      </c>
      <c r="D1" s="1" t="s">
        <v>55</v>
      </c>
      <c r="E1" s="1" t="s">
        <v>59</v>
      </c>
      <c r="F1" s="1" t="s">
        <v>6</v>
      </c>
      <c r="G1" s="1" t="s">
        <v>2</v>
      </c>
      <c r="H1" s="1" t="s">
        <v>61</v>
      </c>
      <c r="I1" s="1" t="s">
        <v>62</v>
      </c>
      <c r="J1" s="1" t="s">
        <v>3</v>
      </c>
      <c r="K1" s="1" t="s">
        <v>4</v>
      </c>
      <c r="L1" s="1" t="s">
        <v>5</v>
      </c>
      <c r="M1" s="1" t="s">
        <v>67</v>
      </c>
      <c r="N1" s="1" t="s">
        <v>68</v>
      </c>
      <c r="O1" s="1" t="s">
        <v>69</v>
      </c>
      <c r="P1" s="1" t="s">
        <v>70</v>
      </c>
      <c r="Q1" s="1" t="s">
        <v>71</v>
      </c>
    </row>
    <row r="2" spans="1:19" x14ac:dyDescent="0.15">
      <c r="A2" s="1">
        <v>1</v>
      </c>
      <c r="B2" s="1">
        <v>0</v>
      </c>
      <c r="C2" s="1">
        <f>[1]装备明细!B3</f>
        <v>101010100</v>
      </c>
      <c r="D2" s="1">
        <f>H2+100000</f>
        <v>200001</v>
      </c>
      <c r="E2" s="1" t="s">
        <v>64</v>
      </c>
      <c r="F2" s="1" t="str">
        <f ca="1">[1]装备明细!C3&amp;"图纸"</f>
        <v>破旧的锤图纸</v>
      </c>
      <c r="G2" s="1" t="str">
        <f ca="1">[1]装备明细!$I3</f>
        <v xml:space="preserve">[1-18]攻击 </v>
      </c>
      <c r="H2" s="1">
        <f>100001</f>
        <v>100001</v>
      </c>
      <c r="I2" s="1">
        <v>1</v>
      </c>
      <c r="J2" s="1">
        <f>[1]装备明细!J3</f>
        <v>0</v>
      </c>
      <c r="K2" s="1">
        <f>[1]装备明细!K3</f>
        <v>1</v>
      </c>
      <c r="L2" s="1">
        <f>[1]装备明细!L3</f>
        <v>1</v>
      </c>
      <c r="M2" s="1">
        <v>6</v>
      </c>
      <c r="N2" s="1">
        <f>[1]装备明细!$F6</f>
        <v>1</v>
      </c>
      <c r="O2" s="1">
        <f>[1]装备明细!$E3</f>
        <v>1</v>
      </c>
      <c r="P2" s="1">
        <f>O2</f>
        <v>1</v>
      </c>
      <c r="Q2" s="1">
        <f>O2*200+L2*20</f>
        <v>220</v>
      </c>
      <c r="R2" s="1">
        <f>IF(--MID(C2,1,1)=1,IF(S2=1,2,19),IF(S2=1,2,14))</f>
        <v>2</v>
      </c>
      <c r="S2" s="1">
        <f>--MID(C2,2,2)</f>
        <v>1</v>
      </c>
    </row>
    <row r="3" spans="1:19" x14ac:dyDescent="0.15">
      <c r="A3" s="1">
        <v>2</v>
      </c>
      <c r="B3" s="1">
        <v>0</v>
      </c>
      <c r="C3" s="1">
        <f>[1]装备明细!B4</f>
        <v>101020100</v>
      </c>
      <c r="D3" s="1">
        <f t="shared" ref="D3:D66" si="0">H3+100000</f>
        <v>200002</v>
      </c>
      <c r="E3" s="1" t="s">
        <v>64</v>
      </c>
      <c r="F3" s="1" t="str">
        <f ca="1">[1]装备明细!C4&amp;"图纸"</f>
        <v>普通的锤图纸</v>
      </c>
      <c r="G3" s="1" t="str">
        <f ca="1">[1]装备明细!$I4</f>
        <v xml:space="preserve">[19-39]攻击 </v>
      </c>
      <c r="H3" s="1">
        <f>H2+1</f>
        <v>100002</v>
      </c>
      <c r="I3" s="1">
        <v>1</v>
      </c>
      <c r="J3" s="1">
        <f>[1]装备明细!J4</f>
        <v>0</v>
      </c>
      <c r="K3" s="1">
        <f>[1]装备明细!K4</f>
        <v>1</v>
      </c>
      <c r="L3" s="1">
        <f>[1]装备明细!L4</f>
        <v>2</v>
      </c>
      <c r="M3" s="1">
        <v>6</v>
      </c>
      <c r="N3" s="1">
        <f>[1]装备明细!$F7</f>
        <v>1</v>
      </c>
      <c r="O3" s="1">
        <f>[1]装备明细!$E4</f>
        <v>1</v>
      </c>
      <c r="P3" s="1">
        <f t="shared" ref="P3:P66" si="1">O3</f>
        <v>1</v>
      </c>
      <c r="Q3" s="1">
        <f t="shared" ref="Q3:Q66" si="2">O3*200+L3*20</f>
        <v>240</v>
      </c>
      <c r="R3" s="1">
        <f t="shared" ref="R3:R66" si="3">IF(--MID(C3,1,1)=1,IF(S3=1,2,19),IF(S3=1,2,14))</f>
        <v>2</v>
      </c>
      <c r="S3" s="1">
        <f t="shared" ref="S3:S66" si="4">--MID(C3,2,2)</f>
        <v>1</v>
      </c>
    </row>
    <row r="4" spans="1:19" x14ac:dyDescent="0.15">
      <c r="A4" s="1">
        <v>3</v>
      </c>
      <c r="B4" s="1">
        <v>0</v>
      </c>
      <c r="C4" s="1">
        <f>[1]装备明细!B5</f>
        <v>101030100</v>
      </c>
      <c r="D4" s="1">
        <f t="shared" si="0"/>
        <v>200003</v>
      </c>
      <c r="E4" s="1" t="s">
        <v>63</v>
      </c>
      <c r="F4" s="1" t="str">
        <f ca="1">[1]装备明细!C5&amp;"图纸"</f>
        <v>初级的锤图纸</v>
      </c>
      <c r="G4" s="1" t="str">
        <f ca="1">[1]装备明细!$I5</f>
        <v xml:space="preserve">[40-64]攻击 </v>
      </c>
      <c r="H4" s="1">
        <f t="shared" ref="H4:H67" si="5">H3+1</f>
        <v>100003</v>
      </c>
      <c r="I4" s="1">
        <v>1</v>
      </c>
      <c r="J4" s="1">
        <f>[1]装备明细!J5</f>
        <v>0</v>
      </c>
      <c r="K4" s="1">
        <f>[1]装备明细!K5</f>
        <v>1</v>
      </c>
      <c r="L4" s="1">
        <f>[1]装备明细!L5</f>
        <v>3</v>
      </c>
      <c r="M4" s="1">
        <v>6</v>
      </c>
      <c r="N4" s="1">
        <f>[1]装备明细!$F8</f>
        <v>1</v>
      </c>
      <c r="O4" s="1">
        <f>[1]装备明细!$E5</f>
        <v>1</v>
      </c>
      <c r="P4" s="1">
        <f t="shared" si="1"/>
        <v>1</v>
      </c>
      <c r="Q4" s="1">
        <f t="shared" si="2"/>
        <v>260</v>
      </c>
      <c r="R4" s="1">
        <f t="shared" si="3"/>
        <v>2</v>
      </c>
      <c r="S4" s="1">
        <f t="shared" si="4"/>
        <v>1</v>
      </c>
    </row>
    <row r="5" spans="1:19" x14ac:dyDescent="0.15">
      <c r="A5" s="1">
        <v>4</v>
      </c>
      <c r="B5" s="1">
        <v>0</v>
      </c>
      <c r="C5" s="1">
        <f>[1]装备明细!B6</f>
        <v>101040100</v>
      </c>
      <c r="D5" s="1">
        <f t="shared" si="0"/>
        <v>200004</v>
      </c>
      <c r="E5" s="1" t="s">
        <v>63</v>
      </c>
      <c r="F5" s="1" t="str">
        <f ca="1">[1]装备明细!C6&amp;"图纸"</f>
        <v>水晶锤图纸</v>
      </c>
      <c r="G5" s="1" t="str">
        <f ca="1">[1]装备明细!$I6</f>
        <v xml:space="preserve">[65-93]攻击 </v>
      </c>
      <c r="H5" s="1">
        <f t="shared" si="5"/>
        <v>100004</v>
      </c>
      <c r="I5" s="1">
        <v>1</v>
      </c>
      <c r="J5" s="1">
        <f>[1]装备明细!J6</f>
        <v>0</v>
      </c>
      <c r="K5" s="1">
        <f>[1]装备明细!K6</f>
        <v>1</v>
      </c>
      <c r="L5" s="1">
        <f>[1]装备明细!L6</f>
        <v>4</v>
      </c>
      <c r="M5" s="1">
        <v>6</v>
      </c>
      <c r="N5" s="1">
        <f>[1]装备明细!$F9</f>
        <v>1</v>
      </c>
      <c r="O5" s="1">
        <f>[1]装备明细!$E6</f>
        <v>1</v>
      </c>
      <c r="P5" s="1">
        <f t="shared" si="1"/>
        <v>1</v>
      </c>
      <c r="Q5" s="1">
        <f t="shared" si="2"/>
        <v>280</v>
      </c>
      <c r="R5" s="1">
        <f t="shared" si="3"/>
        <v>2</v>
      </c>
      <c r="S5" s="1">
        <f t="shared" si="4"/>
        <v>1</v>
      </c>
    </row>
    <row r="6" spans="1:19" x14ac:dyDescent="0.15">
      <c r="A6" s="1">
        <v>5</v>
      </c>
      <c r="B6" s="1">
        <v>0</v>
      </c>
      <c r="C6" s="1">
        <f>[1]装备明细!B7</f>
        <v>101050100</v>
      </c>
      <c r="D6" s="1">
        <f t="shared" si="0"/>
        <v>200005</v>
      </c>
      <c r="E6" s="1" t="s">
        <v>63</v>
      </c>
      <c r="F6" s="1" t="str">
        <f ca="1">[1]装备明细!C7&amp;"图纸"</f>
        <v>青铜锤图纸</v>
      </c>
      <c r="G6" s="1" t="str">
        <f ca="1">[1]装备明细!$I7</f>
        <v xml:space="preserve">[94-126]攻击 </v>
      </c>
      <c r="H6" s="1">
        <f t="shared" si="5"/>
        <v>100005</v>
      </c>
      <c r="I6" s="1">
        <v>1</v>
      </c>
      <c r="J6" s="1">
        <f>[1]装备明细!J7</f>
        <v>0</v>
      </c>
      <c r="K6" s="1">
        <f>[1]装备明细!K7</f>
        <v>1</v>
      </c>
      <c r="L6" s="1">
        <f>[1]装备明细!L7</f>
        <v>5</v>
      </c>
      <c r="M6" s="1">
        <v>6</v>
      </c>
      <c r="N6" s="1">
        <f>[1]装备明细!$F10</f>
        <v>1</v>
      </c>
      <c r="O6" s="1">
        <f>[1]装备明细!$E7</f>
        <v>1</v>
      </c>
      <c r="P6" s="1">
        <f t="shared" si="1"/>
        <v>1</v>
      </c>
      <c r="Q6" s="1">
        <f t="shared" si="2"/>
        <v>300</v>
      </c>
      <c r="R6" s="1">
        <f t="shared" si="3"/>
        <v>2</v>
      </c>
      <c r="S6" s="1">
        <f t="shared" si="4"/>
        <v>1</v>
      </c>
    </row>
    <row r="7" spans="1:19" x14ac:dyDescent="0.15">
      <c r="A7" s="1">
        <v>6</v>
      </c>
      <c r="B7" s="1">
        <v>0</v>
      </c>
      <c r="C7" s="1">
        <f>[1]装备明细!B8</f>
        <v>101060100</v>
      </c>
      <c r="D7" s="1">
        <f t="shared" si="0"/>
        <v>200006</v>
      </c>
      <c r="E7" s="1" t="s">
        <v>63</v>
      </c>
      <c r="F7" s="1" t="str">
        <f ca="1">[1]装备明细!C8&amp;"图纸"</f>
        <v>玄铁锤图纸</v>
      </c>
      <c r="G7" s="1" t="str">
        <f ca="1">[1]装备明细!$I8</f>
        <v xml:space="preserve">[127-163]攻击 </v>
      </c>
      <c r="H7" s="1">
        <f t="shared" si="5"/>
        <v>100006</v>
      </c>
      <c r="I7" s="1">
        <v>1</v>
      </c>
      <c r="J7" s="1">
        <f>[1]装备明细!J8</f>
        <v>0</v>
      </c>
      <c r="K7" s="1">
        <f>[1]装备明细!K8</f>
        <v>1</v>
      </c>
      <c r="L7" s="1">
        <f>[1]装备明细!L8</f>
        <v>6</v>
      </c>
      <c r="M7" s="1">
        <v>6</v>
      </c>
      <c r="N7" s="1">
        <f>[1]装备明细!$F11</f>
        <v>1</v>
      </c>
      <c r="O7" s="1">
        <f>[1]装备明细!$E8</f>
        <v>1</v>
      </c>
      <c r="P7" s="1">
        <f t="shared" si="1"/>
        <v>1</v>
      </c>
      <c r="Q7" s="1">
        <f t="shared" si="2"/>
        <v>320</v>
      </c>
      <c r="R7" s="1">
        <f t="shared" si="3"/>
        <v>2</v>
      </c>
      <c r="S7" s="1">
        <f t="shared" si="4"/>
        <v>1</v>
      </c>
    </row>
    <row r="8" spans="1:19" x14ac:dyDescent="0.15">
      <c r="A8" s="1">
        <v>7</v>
      </c>
      <c r="B8" s="1">
        <v>0</v>
      </c>
      <c r="C8" s="1">
        <f>[1]装备明细!B9</f>
        <v>101070100</v>
      </c>
      <c r="D8" s="1">
        <f t="shared" si="0"/>
        <v>200007</v>
      </c>
      <c r="E8" s="1" t="s">
        <v>63</v>
      </c>
      <c r="F8" s="1" t="str">
        <f ca="1">[1]装备明细!C9&amp;"图纸"</f>
        <v>白银锤图纸</v>
      </c>
      <c r="G8" s="1" t="str">
        <f ca="1">[1]装备明细!$I9</f>
        <v xml:space="preserve">[164-202]攻击 </v>
      </c>
      <c r="H8" s="1">
        <f t="shared" si="5"/>
        <v>100007</v>
      </c>
      <c r="I8" s="1">
        <v>1</v>
      </c>
      <c r="J8" s="1">
        <f>[1]装备明细!J9</f>
        <v>0</v>
      </c>
      <c r="K8" s="1">
        <f>[1]装备明细!K9</f>
        <v>1</v>
      </c>
      <c r="L8" s="1">
        <f>[1]装备明细!L9</f>
        <v>7</v>
      </c>
      <c r="M8" s="1">
        <v>6</v>
      </c>
      <c r="N8" s="1">
        <f>[1]装备明细!$F12</f>
        <v>1</v>
      </c>
      <c r="O8" s="1">
        <f>[1]装备明细!$E9</f>
        <v>1</v>
      </c>
      <c r="P8" s="1">
        <f t="shared" si="1"/>
        <v>1</v>
      </c>
      <c r="Q8" s="1">
        <f t="shared" si="2"/>
        <v>340</v>
      </c>
      <c r="R8" s="1">
        <f t="shared" si="3"/>
        <v>2</v>
      </c>
      <c r="S8" s="1">
        <f t="shared" si="4"/>
        <v>1</v>
      </c>
    </row>
    <row r="9" spans="1:19" x14ac:dyDescent="0.15">
      <c r="A9" s="1">
        <v>8</v>
      </c>
      <c r="B9" s="1">
        <v>0</v>
      </c>
      <c r="C9" s="1">
        <f>[1]装备明细!B10</f>
        <v>101080100</v>
      </c>
      <c r="D9" s="1">
        <f t="shared" si="0"/>
        <v>200008</v>
      </c>
      <c r="E9" s="1" t="s">
        <v>63</v>
      </c>
      <c r="F9" s="1" t="str">
        <f ca="1">[1]装备明细!C10&amp;"图纸"</f>
        <v>异灵锤图纸</v>
      </c>
      <c r="G9" s="1" t="str">
        <f ca="1">[1]装备明细!$I10</f>
        <v xml:space="preserve">[203-246]攻击 </v>
      </c>
      <c r="H9" s="1">
        <f t="shared" si="5"/>
        <v>100008</v>
      </c>
      <c r="I9" s="1">
        <v>1</v>
      </c>
      <c r="J9" s="1">
        <f>[1]装备明细!J10</f>
        <v>0</v>
      </c>
      <c r="K9" s="1">
        <f>[1]装备明细!K10</f>
        <v>1</v>
      </c>
      <c r="L9" s="1">
        <f>[1]装备明细!L10</f>
        <v>8</v>
      </c>
      <c r="M9" s="1">
        <v>6</v>
      </c>
      <c r="N9" s="1">
        <f>[1]装备明细!$F13</f>
        <v>1</v>
      </c>
      <c r="O9" s="1">
        <f>[1]装备明细!$E10</f>
        <v>1</v>
      </c>
      <c r="P9" s="1">
        <f t="shared" si="1"/>
        <v>1</v>
      </c>
      <c r="Q9" s="1">
        <f t="shared" si="2"/>
        <v>360</v>
      </c>
      <c r="R9" s="1">
        <f t="shared" si="3"/>
        <v>2</v>
      </c>
      <c r="S9" s="1">
        <f t="shared" si="4"/>
        <v>1</v>
      </c>
    </row>
    <row r="10" spans="1:19" x14ac:dyDescent="0.15">
      <c r="A10" s="1">
        <v>9</v>
      </c>
      <c r="B10" s="1">
        <v>0</v>
      </c>
      <c r="C10" s="1">
        <f>[1]装备明细!B11</f>
        <v>101090100</v>
      </c>
      <c r="D10" s="1">
        <f t="shared" si="0"/>
        <v>200009</v>
      </c>
      <c r="E10" s="1" t="s">
        <v>63</v>
      </c>
      <c r="F10" s="1" t="str">
        <f ca="1">[1]装备明细!C11&amp;"图纸"</f>
        <v>流星锤图纸</v>
      </c>
      <c r="G10" s="1" t="str">
        <f ca="1">[1]装备明细!$I11</f>
        <v xml:space="preserve">[247-293]攻击 </v>
      </c>
      <c r="H10" s="1">
        <f t="shared" si="5"/>
        <v>100009</v>
      </c>
      <c r="I10" s="1">
        <v>1</v>
      </c>
      <c r="J10" s="1">
        <f>[1]装备明细!J11</f>
        <v>0</v>
      </c>
      <c r="K10" s="1">
        <f>[1]装备明细!K11</f>
        <v>1</v>
      </c>
      <c r="L10" s="1">
        <f>[1]装备明细!L11</f>
        <v>9</v>
      </c>
      <c r="M10" s="1">
        <v>6</v>
      </c>
      <c r="N10" s="1">
        <f>[1]装备明细!$F14</f>
        <v>1</v>
      </c>
      <c r="O10" s="1">
        <f>[1]装备明细!$E11</f>
        <v>1</v>
      </c>
      <c r="P10" s="1">
        <f t="shared" si="1"/>
        <v>1</v>
      </c>
      <c r="Q10" s="1">
        <f t="shared" si="2"/>
        <v>380</v>
      </c>
      <c r="R10" s="1">
        <f t="shared" si="3"/>
        <v>2</v>
      </c>
      <c r="S10" s="1">
        <f t="shared" si="4"/>
        <v>1</v>
      </c>
    </row>
    <row r="11" spans="1:19" x14ac:dyDescent="0.15">
      <c r="A11" s="1">
        <v>10</v>
      </c>
      <c r="B11" s="1">
        <v>0</v>
      </c>
      <c r="C11" s="1">
        <f>[1]装备明细!B12</f>
        <v>101010200</v>
      </c>
      <c r="D11" s="1">
        <f t="shared" si="0"/>
        <v>200010</v>
      </c>
      <c r="E11" s="1" t="s">
        <v>63</v>
      </c>
      <c r="F11" s="1" t="str">
        <f ca="1">[1]装备明细!C12&amp;"图纸"</f>
        <v>破旧的刀图纸</v>
      </c>
      <c r="G11" s="1" t="str">
        <f ca="1">[1]装备明细!$I12</f>
        <v xml:space="preserve">[1-18]攻击 </v>
      </c>
      <c r="H11" s="1">
        <f t="shared" si="5"/>
        <v>100010</v>
      </c>
      <c r="I11" s="1">
        <v>1</v>
      </c>
      <c r="J11" s="1">
        <f>[1]装备明细!J12</f>
        <v>0</v>
      </c>
      <c r="K11" s="1">
        <f>[1]装备明细!K12</f>
        <v>1</v>
      </c>
      <c r="L11" s="1">
        <f>[1]装备明细!L12</f>
        <v>1</v>
      </c>
      <c r="M11" s="1">
        <v>6</v>
      </c>
      <c r="N11" s="1">
        <f>[1]装备明细!$F15</f>
        <v>1</v>
      </c>
      <c r="O11" s="1">
        <f>[1]装备明细!$E12</f>
        <v>1</v>
      </c>
      <c r="P11" s="1">
        <f t="shared" si="1"/>
        <v>1</v>
      </c>
      <c r="Q11" s="1">
        <f t="shared" si="2"/>
        <v>220</v>
      </c>
      <c r="R11" s="1">
        <f t="shared" si="3"/>
        <v>2</v>
      </c>
      <c r="S11" s="1">
        <f t="shared" si="4"/>
        <v>1</v>
      </c>
    </row>
    <row r="12" spans="1:19" x14ac:dyDescent="0.15">
      <c r="A12" s="1">
        <v>11</v>
      </c>
      <c r="B12" s="1">
        <v>0</v>
      </c>
      <c r="C12" s="1">
        <f>[1]装备明细!B13</f>
        <v>101020200</v>
      </c>
      <c r="D12" s="1">
        <f t="shared" si="0"/>
        <v>200011</v>
      </c>
      <c r="E12" s="1" t="s">
        <v>63</v>
      </c>
      <c r="F12" s="1" t="str">
        <f ca="1">[1]装备明细!C13&amp;"图纸"</f>
        <v>普通的刀图纸</v>
      </c>
      <c r="G12" s="1" t="str">
        <f ca="1">[1]装备明细!$I13</f>
        <v xml:space="preserve">[19-39]攻击 </v>
      </c>
      <c r="H12" s="1">
        <f t="shared" si="5"/>
        <v>100011</v>
      </c>
      <c r="I12" s="1">
        <v>1</v>
      </c>
      <c r="J12" s="1">
        <f>[1]装备明细!J13</f>
        <v>0</v>
      </c>
      <c r="K12" s="1">
        <f>[1]装备明细!K13</f>
        <v>1</v>
      </c>
      <c r="L12" s="1">
        <f>[1]装备明细!L13</f>
        <v>2</v>
      </c>
      <c r="M12" s="1">
        <v>6</v>
      </c>
      <c r="N12" s="1">
        <f>[1]装备明细!$F16</f>
        <v>1</v>
      </c>
      <c r="O12" s="1">
        <f>[1]装备明细!$E13</f>
        <v>1</v>
      </c>
      <c r="P12" s="1">
        <f t="shared" si="1"/>
        <v>1</v>
      </c>
      <c r="Q12" s="1">
        <f t="shared" si="2"/>
        <v>240</v>
      </c>
      <c r="R12" s="1">
        <f t="shared" si="3"/>
        <v>2</v>
      </c>
      <c r="S12" s="1">
        <f t="shared" si="4"/>
        <v>1</v>
      </c>
    </row>
    <row r="13" spans="1:19" x14ac:dyDescent="0.15">
      <c r="A13" s="1">
        <v>12</v>
      </c>
      <c r="B13" s="1">
        <v>0</v>
      </c>
      <c r="C13" s="1">
        <f>[1]装备明细!B14</f>
        <v>101030200</v>
      </c>
      <c r="D13" s="1">
        <f t="shared" si="0"/>
        <v>200012</v>
      </c>
      <c r="E13" s="1" t="s">
        <v>63</v>
      </c>
      <c r="F13" s="1" t="str">
        <f ca="1">[1]装备明细!C14&amp;"图纸"</f>
        <v>初级的刀图纸</v>
      </c>
      <c r="G13" s="1" t="str">
        <f ca="1">[1]装备明细!$I14</f>
        <v xml:space="preserve">[40-64]攻击 </v>
      </c>
      <c r="H13" s="1">
        <f t="shared" si="5"/>
        <v>100012</v>
      </c>
      <c r="I13" s="1">
        <v>1</v>
      </c>
      <c r="J13" s="1">
        <f>[1]装备明细!J14</f>
        <v>0</v>
      </c>
      <c r="K13" s="1">
        <f>[1]装备明细!K14</f>
        <v>1</v>
      </c>
      <c r="L13" s="1">
        <f>[1]装备明细!L14</f>
        <v>3</v>
      </c>
      <c r="M13" s="1">
        <v>6</v>
      </c>
      <c r="N13" s="1">
        <f>[1]装备明细!$F17</f>
        <v>1</v>
      </c>
      <c r="O13" s="1">
        <f>[1]装备明细!$E14</f>
        <v>1</v>
      </c>
      <c r="P13" s="1">
        <f t="shared" si="1"/>
        <v>1</v>
      </c>
      <c r="Q13" s="1">
        <f t="shared" si="2"/>
        <v>260</v>
      </c>
      <c r="R13" s="1">
        <f t="shared" si="3"/>
        <v>2</v>
      </c>
      <c r="S13" s="1">
        <f t="shared" si="4"/>
        <v>1</v>
      </c>
    </row>
    <row r="14" spans="1:19" x14ac:dyDescent="0.15">
      <c r="A14" s="1">
        <v>13</v>
      </c>
      <c r="B14" s="1">
        <v>0</v>
      </c>
      <c r="C14" s="1">
        <f>[1]装备明细!B15</f>
        <v>101040200</v>
      </c>
      <c r="D14" s="1">
        <f t="shared" si="0"/>
        <v>200013</v>
      </c>
      <c r="E14" s="1" t="s">
        <v>63</v>
      </c>
      <c r="F14" s="1" t="str">
        <f ca="1">[1]装备明细!C15&amp;"图纸"</f>
        <v>水晶刀图纸</v>
      </c>
      <c r="G14" s="1" t="str">
        <f ca="1">[1]装备明细!$I15</f>
        <v xml:space="preserve">[65-93]攻击 </v>
      </c>
      <c r="H14" s="1">
        <f t="shared" si="5"/>
        <v>100013</v>
      </c>
      <c r="I14" s="1">
        <v>1</v>
      </c>
      <c r="J14" s="1">
        <f>[1]装备明细!J15</f>
        <v>0</v>
      </c>
      <c r="K14" s="1">
        <f>[1]装备明细!K15</f>
        <v>1</v>
      </c>
      <c r="L14" s="1">
        <f>[1]装备明细!L15</f>
        <v>4</v>
      </c>
      <c r="M14" s="1">
        <v>6</v>
      </c>
      <c r="N14" s="1">
        <f>[1]装备明细!$F18</f>
        <v>1</v>
      </c>
      <c r="O14" s="1">
        <f>[1]装备明细!$E15</f>
        <v>1</v>
      </c>
      <c r="P14" s="1">
        <f t="shared" si="1"/>
        <v>1</v>
      </c>
      <c r="Q14" s="1">
        <f t="shared" si="2"/>
        <v>280</v>
      </c>
      <c r="R14" s="1">
        <f t="shared" si="3"/>
        <v>2</v>
      </c>
      <c r="S14" s="1">
        <f t="shared" si="4"/>
        <v>1</v>
      </c>
    </row>
    <row r="15" spans="1:19" x14ac:dyDescent="0.15">
      <c r="A15" s="1">
        <v>14</v>
      </c>
      <c r="B15" s="1">
        <v>0</v>
      </c>
      <c r="C15" s="1">
        <f>[1]装备明细!B16</f>
        <v>101050200</v>
      </c>
      <c r="D15" s="1">
        <f t="shared" si="0"/>
        <v>200014</v>
      </c>
      <c r="E15" s="1" t="s">
        <v>63</v>
      </c>
      <c r="F15" s="1" t="str">
        <f ca="1">[1]装备明细!C16&amp;"图纸"</f>
        <v>青铜刀图纸</v>
      </c>
      <c r="G15" s="1" t="str">
        <f ca="1">[1]装备明细!$I16</f>
        <v xml:space="preserve">[94-126]攻击 </v>
      </c>
      <c r="H15" s="1">
        <f t="shared" si="5"/>
        <v>100014</v>
      </c>
      <c r="I15" s="1">
        <v>1</v>
      </c>
      <c r="J15" s="1">
        <f>[1]装备明细!J16</f>
        <v>0</v>
      </c>
      <c r="K15" s="1">
        <f>[1]装备明细!K16</f>
        <v>1</v>
      </c>
      <c r="L15" s="1">
        <f>[1]装备明细!L16</f>
        <v>5</v>
      </c>
      <c r="M15" s="1">
        <v>6</v>
      </c>
      <c r="N15" s="1">
        <f>[1]装备明细!$F19</f>
        <v>1</v>
      </c>
      <c r="O15" s="1">
        <f>[1]装备明细!$E16</f>
        <v>1</v>
      </c>
      <c r="P15" s="1">
        <f t="shared" si="1"/>
        <v>1</v>
      </c>
      <c r="Q15" s="1">
        <f t="shared" si="2"/>
        <v>300</v>
      </c>
      <c r="R15" s="1">
        <f t="shared" si="3"/>
        <v>2</v>
      </c>
      <c r="S15" s="1">
        <f t="shared" si="4"/>
        <v>1</v>
      </c>
    </row>
    <row r="16" spans="1:19" x14ac:dyDescent="0.15">
      <c r="A16" s="1">
        <v>15</v>
      </c>
      <c r="B16" s="1">
        <v>0</v>
      </c>
      <c r="C16" s="1">
        <f>[1]装备明细!B17</f>
        <v>101060200</v>
      </c>
      <c r="D16" s="1">
        <f t="shared" si="0"/>
        <v>200015</v>
      </c>
      <c r="E16" s="1" t="s">
        <v>63</v>
      </c>
      <c r="F16" s="1" t="str">
        <f ca="1">[1]装备明细!C17&amp;"图纸"</f>
        <v>玄铁刀图纸</v>
      </c>
      <c r="G16" s="1" t="str">
        <f ca="1">[1]装备明细!$I17</f>
        <v xml:space="preserve">[127-163]攻击 </v>
      </c>
      <c r="H16" s="1">
        <f t="shared" si="5"/>
        <v>100015</v>
      </c>
      <c r="I16" s="1">
        <v>1</v>
      </c>
      <c r="J16" s="1">
        <f>[1]装备明细!J17</f>
        <v>0</v>
      </c>
      <c r="K16" s="1">
        <f>[1]装备明细!K17</f>
        <v>1</v>
      </c>
      <c r="L16" s="1">
        <f>[1]装备明细!L17</f>
        <v>6</v>
      </c>
      <c r="M16" s="1">
        <v>6</v>
      </c>
      <c r="N16" s="1">
        <f>[1]装备明细!$F20</f>
        <v>1</v>
      </c>
      <c r="O16" s="1">
        <f>[1]装备明细!$E17</f>
        <v>1</v>
      </c>
      <c r="P16" s="1">
        <f t="shared" si="1"/>
        <v>1</v>
      </c>
      <c r="Q16" s="1">
        <f t="shared" si="2"/>
        <v>320</v>
      </c>
      <c r="R16" s="1">
        <f t="shared" si="3"/>
        <v>2</v>
      </c>
      <c r="S16" s="1">
        <f t="shared" si="4"/>
        <v>1</v>
      </c>
    </row>
    <row r="17" spans="1:19" x14ac:dyDescent="0.15">
      <c r="A17" s="1">
        <v>16</v>
      </c>
      <c r="B17" s="1">
        <v>0</v>
      </c>
      <c r="C17" s="1">
        <f>[1]装备明细!B18</f>
        <v>101070200</v>
      </c>
      <c r="D17" s="1">
        <f t="shared" si="0"/>
        <v>200016</v>
      </c>
      <c r="E17" s="1" t="s">
        <v>63</v>
      </c>
      <c r="F17" s="1" t="str">
        <f ca="1">[1]装备明细!C18&amp;"图纸"</f>
        <v>白银刀图纸</v>
      </c>
      <c r="G17" s="1" t="str">
        <f ca="1">[1]装备明细!$I18</f>
        <v xml:space="preserve">[164-202]攻击 </v>
      </c>
      <c r="H17" s="1">
        <f t="shared" si="5"/>
        <v>100016</v>
      </c>
      <c r="I17" s="1">
        <v>1</v>
      </c>
      <c r="J17" s="1">
        <f>[1]装备明细!J18</f>
        <v>0</v>
      </c>
      <c r="K17" s="1">
        <f>[1]装备明细!K18</f>
        <v>1</v>
      </c>
      <c r="L17" s="1">
        <f>[1]装备明细!L18</f>
        <v>7</v>
      </c>
      <c r="M17" s="1">
        <v>6</v>
      </c>
      <c r="N17" s="1">
        <f>[1]装备明细!$F21</f>
        <v>1</v>
      </c>
      <c r="O17" s="1">
        <f>[1]装备明细!$E18</f>
        <v>1</v>
      </c>
      <c r="P17" s="1">
        <f t="shared" si="1"/>
        <v>1</v>
      </c>
      <c r="Q17" s="1">
        <f t="shared" si="2"/>
        <v>340</v>
      </c>
      <c r="R17" s="1">
        <f t="shared" si="3"/>
        <v>2</v>
      </c>
      <c r="S17" s="1">
        <f t="shared" si="4"/>
        <v>1</v>
      </c>
    </row>
    <row r="18" spans="1:19" x14ac:dyDescent="0.15">
      <c r="A18" s="1">
        <v>17</v>
      </c>
      <c r="B18" s="1">
        <v>0</v>
      </c>
      <c r="C18" s="1">
        <f>[1]装备明细!B19</f>
        <v>101080200</v>
      </c>
      <c r="D18" s="1">
        <f t="shared" si="0"/>
        <v>200017</v>
      </c>
      <c r="E18" s="1" t="s">
        <v>63</v>
      </c>
      <c r="F18" s="1" t="str">
        <f ca="1">[1]装备明细!C19&amp;"图纸"</f>
        <v>异灵刀图纸</v>
      </c>
      <c r="G18" s="1" t="str">
        <f ca="1">[1]装备明细!$I19</f>
        <v xml:space="preserve">[203-246]攻击 </v>
      </c>
      <c r="H18" s="1">
        <f t="shared" si="5"/>
        <v>100017</v>
      </c>
      <c r="I18" s="1">
        <v>1</v>
      </c>
      <c r="J18" s="1">
        <f>[1]装备明细!J19</f>
        <v>0</v>
      </c>
      <c r="K18" s="1">
        <f>[1]装备明细!K19</f>
        <v>1</v>
      </c>
      <c r="L18" s="1">
        <f>[1]装备明细!L19</f>
        <v>8</v>
      </c>
      <c r="M18" s="1">
        <v>6</v>
      </c>
      <c r="N18" s="1">
        <f>[1]装备明细!$F22</f>
        <v>1</v>
      </c>
      <c r="O18" s="1">
        <f>[1]装备明细!$E19</f>
        <v>1</v>
      </c>
      <c r="P18" s="1">
        <f t="shared" si="1"/>
        <v>1</v>
      </c>
      <c r="Q18" s="1">
        <f t="shared" si="2"/>
        <v>360</v>
      </c>
      <c r="R18" s="1">
        <f t="shared" si="3"/>
        <v>2</v>
      </c>
      <c r="S18" s="1">
        <f t="shared" si="4"/>
        <v>1</v>
      </c>
    </row>
    <row r="19" spans="1:19" x14ac:dyDescent="0.15">
      <c r="A19" s="1">
        <v>18</v>
      </c>
      <c r="B19" s="1">
        <v>0</v>
      </c>
      <c r="C19" s="1">
        <f>[1]装备明细!B20</f>
        <v>101090200</v>
      </c>
      <c r="D19" s="1">
        <f t="shared" si="0"/>
        <v>200018</v>
      </c>
      <c r="E19" s="1" t="s">
        <v>63</v>
      </c>
      <c r="F19" s="1" t="str">
        <f ca="1">[1]装备明细!C20&amp;"图纸"</f>
        <v>流星刀图纸</v>
      </c>
      <c r="G19" s="1" t="str">
        <f ca="1">[1]装备明细!$I20</f>
        <v xml:space="preserve">[247-293]攻击 </v>
      </c>
      <c r="H19" s="1">
        <f t="shared" si="5"/>
        <v>100018</v>
      </c>
      <c r="I19" s="1">
        <v>1</v>
      </c>
      <c r="J19" s="1">
        <f>[1]装备明细!J20</f>
        <v>0</v>
      </c>
      <c r="K19" s="1">
        <f>[1]装备明细!K20</f>
        <v>1</v>
      </c>
      <c r="L19" s="1">
        <f>[1]装备明细!L20</f>
        <v>9</v>
      </c>
      <c r="M19" s="1">
        <v>6</v>
      </c>
      <c r="N19" s="1">
        <f>[1]装备明细!$F23</f>
        <v>1</v>
      </c>
      <c r="O19" s="1">
        <f>[1]装备明细!$E20</f>
        <v>1</v>
      </c>
      <c r="P19" s="1">
        <f t="shared" si="1"/>
        <v>1</v>
      </c>
      <c r="Q19" s="1">
        <f t="shared" si="2"/>
        <v>380</v>
      </c>
      <c r="R19" s="1">
        <f t="shared" si="3"/>
        <v>2</v>
      </c>
      <c r="S19" s="1">
        <f t="shared" si="4"/>
        <v>1</v>
      </c>
    </row>
    <row r="20" spans="1:19" x14ac:dyDescent="0.15">
      <c r="A20" s="1">
        <v>19</v>
      </c>
      <c r="B20" s="1">
        <v>0</v>
      </c>
      <c r="C20" s="1">
        <f>[1]装备明细!B21</f>
        <v>101010300</v>
      </c>
      <c r="D20" s="1">
        <f t="shared" si="0"/>
        <v>200019</v>
      </c>
      <c r="E20" s="1" t="s">
        <v>63</v>
      </c>
      <c r="F20" s="1" t="str">
        <f ca="1">[1]装备明细!C21&amp;"图纸"</f>
        <v>破旧的拳套图纸</v>
      </c>
      <c r="G20" s="1" t="str">
        <f ca="1">[1]装备明细!$I21</f>
        <v xml:space="preserve">[1-18]攻击 </v>
      </c>
      <c r="H20" s="1">
        <f t="shared" si="5"/>
        <v>100019</v>
      </c>
      <c r="I20" s="1">
        <v>1</v>
      </c>
      <c r="J20" s="1">
        <f>[1]装备明细!J21</f>
        <v>0</v>
      </c>
      <c r="K20" s="1">
        <f>[1]装备明细!K21</f>
        <v>1</v>
      </c>
      <c r="L20" s="1">
        <f>[1]装备明细!L21</f>
        <v>1</v>
      </c>
      <c r="M20" s="1">
        <v>6</v>
      </c>
      <c r="N20" s="1">
        <f>[1]装备明细!$F24</f>
        <v>1</v>
      </c>
      <c r="O20" s="1">
        <f>[1]装备明细!$E21</f>
        <v>1</v>
      </c>
      <c r="P20" s="1">
        <f t="shared" si="1"/>
        <v>1</v>
      </c>
      <c r="Q20" s="1">
        <f t="shared" si="2"/>
        <v>220</v>
      </c>
      <c r="R20" s="1">
        <f t="shared" si="3"/>
        <v>2</v>
      </c>
      <c r="S20" s="1">
        <f t="shared" si="4"/>
        <v>1</v>
      </c>
    </row>
    <row r="21" spans="1:19" x14ac:dyDescent="0.15">
      <c r="A21" s="1">
        <v>20</v>
      </c>
      <c r="B21" s="1">
        <v>0</v>
      </c>
      <c r="C21" s="1">
        <f>[1]装备明细!B22</f>
        <v>101020300</v>
      </c>
      <c r="D21" s="1">
        <f t="shared" si="0"/>
        <v>200020</v>
      </c>
      <c r="E21" s="1" t="s">
        <v>63</v>
      </c>
      <c r="F21" s="1" t="str">
        <f ca="1">[1]装备明细!C22&amp;"图纸"</f>
        <v>普通的拳套图纸</v>
      </c>
      <c r="G21" s="1" t="str">
        <f ca="1">[1]装备明细!$I22</f>
        <v xml:space="preserve">[19-39]攻击 </v>
      </c>
      <c r="H21" s="1">
        <f t="shared" si="5"/>
        <v>100020</v>
      </c>
      <c r="I21" s="1">
        <v>1</v>
      </c>
      <c r="J21" s="1">
        <f>[1]装备明细!J22</f>
        <v>0</v>
      </c>
      <c r="K21" s="1">
        <f>[1]装备明细!K22</f>
        <v>1</v>
      </c>
      <c r="L21" s="1">
        <f>[1]装备明细!L22</f>
        <v>2</v>
      </c>
      <c r="M21" s="1">
        <v>6</v>
      </c>
      <c r="N21" s="1">
        <f>[1]装备明细!$F25</f>
        <v>1</v>
      </c>
      <c r="O21" s="1">
        <f>[1]装备明细!$E22</f>
        <v>1</v>
      </c>
      <c r="P21" s="1">
        <f t="shared" si="1"/>
        <v>1</v>
      </c>
      <c r="Q21" s="1">
        <f t="shared" si="2"/>
        <v>240</v>
      </c>
      <c r="R21" s="1">
        <f t="shared" si="3"/>
        <v>2</v>
      </c>
      <c r="S21" s="1">
        <f t="shared" si="4"/>
        <v>1</v>
      </c>
    </row>
    <row r="22" spans="1:19" x14ac:dyDescent="0.15">
      <c r="A22" s="1">
        <v>21</v>
      </c>
      <c r="B22" s="1">
        <v>0</v>
      </c>
      <c r="C22" s="1">
        <f>[1]装备明细!B23</f>
        <v>101030300</v>
      </c>
      <c r="D22" s="1">
        <f t="shared" si="0"/>
        <v>200021</v>
      </c>
      <c r="E22" s="1" t="s">
        <v>63</v>
      </c>
      <c r="F22" s="1" t="str">
        <f ca="1">[1]装备明细!C23&amp;"图纸"</f>
        <v>初级的拳套图纸</v>
      </c>
      <c r="G22" s="1" t="str">
        <f ca="1">[1]装备明细!$I23</f>
        <v xml:space="preserve">[40-64]攻击 </v>
      </c>
      <c r="H22" s="1">
        <f t="shared" si="5"/>
        <v>100021</v>
      </c>
      <c r="I22" s="1">
        <v>1</v>
      </c>
      <c r="J22" s="1">
        <f>[1]装备明细!J23</f>
        <v>0</v>
      </c>
      <c r="K22" s="1">
        <f>[1]装备明细!K23</f>
        <v>1</v>
      </c>
      <c r="L22" s="1">
        <f>[1]装备明细!L23</f>
        <v>3</v>
      </c>
      <c r="M22" s="1">
        <v>6</v>
      </c>
      <c r="N22" s="1">
        <f>[1]装备明细!$F26</f>
        <v>1</v>
      </c>
      <c r="O22" s="1">
        <f>[1]装备明细!$E23</f>
        <v>1</v>
      </c>
      <c r="P22" s="1">
        <f t="shared" si="1"/>
        <v>1</v>
      </c>
      <c r="Q22" s="1">
        <f t="shared" si="2"/>
        <v>260</v>
      </c>
      <c r="R22" s="1">
        <f t="shared" si="3"/>
        <v>2</v>
      </c>
      <c r="S22" s="1">
        <f t="shared" si="4"/>
        <v>1</v>
      </c>
    </row>
    <row r="23" spans="1:19" x14ac:dyDescent="0.15">
      <c r="A23" s="1">
        <v>22</v>
      </c>
      <c r="B23" s="1">
        <v>0</v>
      </c>
      <c r="C23" s="1">
        <f>[1]装备明细!B24</f>
        <v>101040300</v>
      </c>
      <c r="D23" s="1">
        <f t="shared" si="0"/>
        <v>200022</v>
      </c>
      <c r="E23" s="1" t="s">
        <v>63</v>
      </c>
      <c r="F23" s="1" t="str">
        <f ca="1">[1]装备明细!C24&amp;"图纸"</f>
        <v>水晶拳套图纸</v>
      </c>
      <c r="G23" s="1" t="str">
        <f ca="1">[1]装备明细!$I24</f>
        <v xml:space="preserve">[65-93]攻击 </v>
      </c>
      <c r="H23" s="1">
        <f t="shared" si="5"/>
        <v>100022</v>
      </c>
      <c r="I23" s="1">
        <v>1</v>
      </c>
      <c r="J23" s="1">
        <f>[1]装备明细!J24</f>
        <v>0</v>
      </c>
      <c r="K23" s="1">
        <f>[1]装备明细!K24</f>
        <v>1</v>
      </c>
      <c r="L23" s="1">
        <f>[1]装备明细!L24</f>
        <v>4</v>
      </c>
      <c r="M23" s="1">
        <v>6</v>
      </c>
      <c r="N23" s="1">
        <f>[1]装备明细!$F27</f>
        <v>1</v>
      </c>
      <c r="O23" s="1">
        <f>[1]装备明细!$E24</f>
        <v>1</v>
      </c>
      <c r="P23" s="1">
        <f t="shared" si="1"/>
        <v>1</v>
      </c>
      <c r="Q23" s="1">
        <f t="shared" si="2"/>
        <v>280</v>
      </c>
      <c r="R23" s="1">
        <f t="shared" si="3"/>
        <v>2</v>
      </c>
      <c r="S23" s="1">
        <f t="shared" si="4"/>
        <v>1</v>
      </c>
    </row>
    <row r="24" spans="1:19" x14ac:dyDescent="0.15">
      <c r="A24" s="1">
        <v>23</v>
      </c>
      <c r="B24" s="1">
        <v>0</v>
      </c>
      <c r="C24" s="1">
        <f>[1]装备明细!B25</f>
        <v>101050300</v>
      </c>
      <c r="D24" s="1">
        <f t="shared" si="0"/>
        <v>200023</v>
      </c>
      <c r="E24" s="1" t="s">
        <v>63</v>
      </c>
      <c r="F24" s="1" t="str">
        <f ca="1">[1]装备明细!C25&amp;"图纸"</f>
        <v>青铜拳套图纸</v>
      </c>
      <c r="G24" s="1" t="str">
        <f ca="1">[1]装备明细!$I25</f>
        <v xml:space="preserve">[94-126]攻击 </v>
      </c>
      <c r="H24" s="1">
        <f t="shared" si="5"/>
        <v>100023</v>
      </c>
      <c r="I24" s="1">
        <v>1</v>
      </c>
      <c r="J24" s="1">
        <f>[1]装备明细!J25</f>
        <v>0</v>
      </c>
      <c r="K24" s="1">
        <f>[1]装备明细!K25</f>
        <v>1</v>
      </c>
      <c r="L24" s="1">
        <f>[1]装备明细!L25</f>
        <v>5</v>
      </c>
      <c r="M24" s="1">
        <v>6</v>
      </c>
      <c r="N24" s="1">
        <f>[1]装备明细!$F28</f>
        <v>1</v>
      </c>
      <c r="O24" s="1">
        <f>[1]装备明细!$E25</f>
        <v>1</v>
      </c>
      <c r="P24" s="1">
        <f t="shared" si="1"/>
        <v>1</v>
      </c>
      <c r="Q24" s="1">
        <f t="shared" si="2"/>
        <v>300</v>
      </c>
      <c r="R24" s="1">
        <f t="shared" si="3"/>
        <v>2</v>
      </c>
      <c r="S24" s="1">
        <f t="shared" si="4"/>
        <v>1</v>
      </c>
    </row>
    <row r="25" spans="1:19" x14ac:dyDescent="0.15">
      <c r="A25" s="1">
        <v>24</v>
      </c>
      <c r="B25" s="1">
        <v>0</v>
      </c>
      <c r="C25" s="1">
        <f>[1]装备明细!B26</f>
        <v>101060300</v>
      </c>
      <c r="D25" s="1">
        <f t="shared" si="0"/>
        <v>200024</v>
      </c>
      <c r="E25" s="1" t="s">
        <v>63</v>
      </c>
      <c r="F25" s="1" t="str">
        <f ca="1">[1]装备明细!C26&amp;"图纸"</f>
        <v>玄铁拳套图纸</v>
      </c>
      <c r="G25" s="1" t="str">
        <f ca="1">[1]装备明细!$I26</f>
        <v xml:space="preserve">[127-163]攻击 </v>
      </c>
      <c r="H25" s="1">
        <f t="shared" si="5"/>
        <v>100024</v>
      </c>
      <c r="I25" s="1">
        <v>1</v>
      </c>
      <c r="J25" s="1">
        <f>[1]装备明细!J26</f>
        <v>0</v>
      </c>
      <c r="K25" s="1">
        <f>[1]装备明细!K26</f>
        <v>1</v>
      </c>
      <c r="L25" s="1">
        <f>[1]装备明细!L26</f>
        <v>6</v>
      </c>
      <c r="M25" s="1">
        <v>6</v>
      </c>
      <c r="N25" s="1">
        <f>[1]装备明细!$F29</f>
        <v>1</v>
      </c>
      <c r="O25" s="1">
        <f>[1]装备明细!$E26</f>
        <v>1</v>
      </c>
      <c r="P25" s="1">
        <f t="shared" si="1"/>
        <v>1</v>
      </c>
      <c r="Q25" s="1">
        <f t="shared" si="2"/>
        <v>320</v>
      </c>
      <c r="R25" s="1">
        <f t="shared" si="3"/>
        <v>2</v>
      </c>
      <c r="S25" s="1">
        <f t="shared" si="4"/>
        <v>1</v>
      </c>
    </row>
    <row r="26" spans="1:19" x14ac:dyDescent="0.15">
      <c r="A26" s="1">
        <v>25</v>
      </c>
      <c r="B26" s="1">
        <v>0</v>
      </c>
      <c r="C26" s="1">
        <f>[1]装备明细!B27</f>
        <v>101070300</v>
      </c>
      <c r="D26" s="1">
        <f t="shared" si="0"/>
        <v>200025</v>
      </c>
      <c r="E26" s="1" t="s">
        <v>63</v>
      </c>
      <c r="F26" s="1" t="str">
        <f ca="1">[1]装备明细!C27&amp;"图纸"</f>
        <v>白银拳套图纸</v>
      </c>
      <c r="G26" s="1" t="str">
        <f ca="1">[1]装备明细!$I27</f>
        <v xml:space="preserve">[164-202]攻击 </v>
      </c>
      <c r="H26" s="1">
        <f t="shared" si="5"/>
        <v>100025</v>
      </c>
      <c r="I26" s="1">
        <v>1</v>
      </c>
      <c r="J26" s="1">
        <f>[1]装备明细!J27</f>
        <v>0</v>
      </c>
      <c r="K26" s="1">
        <f>[1]装备明细!K27</f>
        <v>1</v>
      </c>
      <c r="L26" s="1">
        <f>[1]装备明细!L27</f>
        <v>7</v>
      </c>
      <c r="M26" s="1">
        <v>6</v>
      </c>
      <c r="N26" s="1">
        <f>[1]装备明细!$F30</f>
        <v>1</v>
      </c>
      <c r="O26" s="1">
        <f>[1]装备明细!$E27</f>
        <v>1</v>
      </c>
      <c r="P26" s="1">
        <f t="shared" si="1"/>
        <v>1</v>
      </c>
      <c r="Q26" s="1">
        <f t="shared" si="2"/>
        <v>340</v>
      </c>
      <c r="R26" s="1">
        <f t="shared" si="3"/>
        <v>2</v>
      </c>
      <c r="S26" s="1">
        <f t="shared" si="4"/>
        <v>1</v>
      </c>
    </row>
    <row r="27" spans="1:19" x14ac:dyDescent="0.15">
      <c r="A27" s="1">
        <v>26</v>
      </c>
      <c r="B27" s="1">
        <v>0</v>
      </c>
      <c r="C27" s="1">
        <f>[1]装备明细!B28</f>
        <v>101080300</v>
      </c>
      <c r="D27" s="1">
        <f t="shared" si="0"/>
        <v>200026</v>
      </c>
      <c r="E27" s="1" t="s">
        <v>63</v>
      </c>
      <c r="F27" s="1" t="str">
        <f ca="1">[1]装备明细!C28&amp;"图纸"</f>
        <v>异灵拳套图纸</v>
      </c>
      <c r="G27" s="1" t="str">
        <f ca="1">[1]装备明细!$I28</f>
        <v xml:space="preserve">[203-246]攻击 </v>
      </c>
      <c r="H27" s="1">
        <f t="shared" si="5"/>
        <v>100026</v>
      </c>
      <c r="I27" s="1">
        <v>1</v>
      </c>
      <c r="J27" s="1">
        <f>[1]装备明细!J28</f>
        <v>0</v>
      </c>
      <c r="K27" s="1">
        <f>[1]装备明细!K28</f>
        <v>1</v>
      </c>
      <c r="L27" s="1">
        <f>[1]装备明细!L28</f>
        <v>8</v>
      </c>
      <c r="M27" s="1">
        <v>6</v>
      </c>
      <c r="N27" s="1">
        <f>[1]装备明细!$F31</f>
        <v>1</v>
      </c>
      <c r="O27" s="1">
        <f>[1]装备明细!$E28</f>
        <v>1</v>
      </c>
      <c r="P27" s="1">
        <f t="shared" si="1"/>
        <v>1</v>
      </c>
      <c r="Q27" s="1">
        <f t="shared" si="2"/>
        <v>360</v>
      </c>
      <c r="R27" s="1">
        <f t="shared" si="3"/>
        <v>2</v>
      </c>
      <c r="S27" s="1">
        <f t="shared" si="4"/>
        <v>1</v>
      </c>
    </row>
    <row r="28" spans="1:19" x14ac:dyDescent="0.15">
      <c r="A28" s="1">
        <v>27</v>
      </c>
      <c r="B28" s="1">
        <v>0</v>
      </c>
      <c r="C28" s="1">
        <f>[1]装备明细!B29</f>
        <v>101090300</v>
      </c>
      <c r="D28" s="1">
        <f t="shared" si="0"/>
        <v>200027</v>
      </c>
      <c r="E28" s="1" t="s">
        <v>63</v>
      </c>
      <c r="F28" s="1" t="str">
        <f ca="1">[1]装备明细!C29&amp;"图纸"</f>
        <v>流星拳套图纸</v>
      </c>
      <c r="G28" s="1" t="str">
        <f ca="1">[1]装备明细!$I29</f>
        <v xml:space="preserve">[247-293]攻击 </v>
      </c>
      <c r="H28" s="1">
        <f t="shared" si="5"/>
        <v>100027</v>
      </c>
      <c r="I28" s="1">
        <v>1</v>
      </c>
      <c r="J28" s="1">
        <f>[1]装备明细!J29</f>
        <v>0</v>
      </c>
      <c r="K28" s="1">
        <f>[1]装备明细!K29</f>
        <v>1</v>
      </c>
      <c r="L28" s="1">
        <f>[1]装备明细!L29</f>
        <v>9</v>
      </c>
      <c r="M28" s="1">
        <v>6</v>
      </c>
      <c r="N28" s="1">
        <f>[1]装备明细!$F32</f>
        <v>1</v>
      </c>
      <c r="O28" s="1">
        <f>[1]装备明细!$E29</f>
        <v>1</v>
      </c>
      <c r="P28" s="1">
        <f t="shared" si="1"/>
        <v>1</v>
      </c>
      <c r="Q28" s="1">
        <f t="shared" si="2"/>
        <v>380</v>
      </c>
      <c r="R28" s="1">
        <f t="shared" si="3"/>
        <v>2</v>
      </c>
      <c r="S28" s="1">
        <f t="shared" si="4"/>
        <v>1</v>
      </c>
    </row>
    <row r="29" spans="1:19" x14ac:dyDescent="0.15">
      <c r="A29" s="1">
        <v>28</v>
      </c>
      <c r="B29" s="1">
        <v>0</v>
      </c>
      <c r="C29" s="1">
        <f>[1]装备明细!B30</f>
        <v>101010400</v>
      </c>
      <c r="D29" s="1">
        <f t="shared" si="0"/>
        <v>200028</v>
      </c>
      <c r="E29" s="1" t="s">
        <v>63</v>
      </c>
      <c r="F29" s="1" t="str">
        <f ca="1">[1]装备明细!C30&amp;"图纸"</f>
        <v>破旧的枪图纸</v>
      </c>
      <c r="G29" s="1" t="str">
        <f ca="1">[1]装备明细!$I30</f>
        <v xml:space="preserve">[1-18]攻击 </v>
      </c>
      <c r="H29" s="1">
        <f t="shared" si="5"/>
        <v>100028</v>
      </c>
      <c r="I29" s="1">
        <v>1</v>
      </c>
      <c r="J29" s="1">
        <f>[1]装备明细!J30</f>
        <v>0</v>
      </c>
      <c r="K29" s="1">
        <f>[1]装备明细!K30</f>
        <v>1</v>
      </c>
      <c r="L29" s="1">
        <f>[1]装备明细!L30</f>
        <v>1</v>
      </c>
      <c r="M29" s="1">
        <v>6</v>
      </c>
      <c r="N29" s="1">
        <f>[1]装备明细!$F33</f>
        <v>1</v>
      </c>
      <c r="O29" s="1">
        <f>[1]装备明细!$E30</f>
        <v>1</v>
      </c>
      <c r="P29" s="1">
        <f t="shared" si="1"/>
        <v>1</v>
      </c>
      <c r="Q29" s="1">
        <f t="shared" si="2"/>
        <v>220</v>
      </c>
      <c r="R29" s="1">
        <f t="shared" si="3"/>
        <v>2</v>
      </c>
      <c r="S29" s="1">
        <f t="shared" si="4"/>
        <v>1</v>
      </c>
    </row>
    <row r="30" spans="1:19" x14ac:dyDescent="0.15">
      <c r="A30" s="1">
        <v>29</v>
      </c>
      <c r="B30" s="1">
        <v>0</v>
      </c>
      <c r="C30" s="1">
        <f>[1]装备明细!B31</f>
        <v>101020400</v>
      </c>
      <c r="D30" s="1">
        <f t="shared" si="0"/>
        <v>200029</v>
      </c>
      <c r="E30" s="1" t="s">
        <v>63</v>
      </c>
      <c r="F30" s="1" t="str">
        <f ca="1">[1]装备明细!C31&amp;"图纸"</f>
        <v>普通的枪图纸</v>
      </c>
      <c r="G30" s="1" t="str">
        <f ca="1">[1]装备明细!$I31</f>
        <v xml:space="preserve">[19-39]攻击 </v>
      </c>
      <c r="H30" s="1">
        <f t="shared" si="5"/>
        <v>100029</v>
      </c>
      <c r="I30" s="1">
        <v>1</v>
      </c>
      <c r="J30" s="1">
        <f>[1]装备明细!J31</f>
        <v>0</v>
      </c>
      <c r="K30" s="1">
        <f>[1]装备明细!K31</f>
        <v>1</v>
      </c>
      <c r="L30" s="1">
        <f>[1]装备明细!L31</f>
        <v>2</v>
      </c>
      <c r="M30" s="1">
        <v>6</v>
      </c>
      <c r="N30" s="1">
        <f>[1]装备明细!$F34</f>
        <v>1</v>
      </c>
      <c r="O30" s="1">
        <f>[1]装备明细!$E31</f>
        <v>1</v>
      </c>
      <c r="P30" s="1">
        <f t="shared" si="1"/>
        <v>1</v>
      </c>
      <c r="Q30" s="1">
        <f t="shared" si="2"/>
        <v>240</v>
      </c>
      <c r="R30" s="1">
        <f t="shared" si="3"/>
        <v>2</v>
      </c>
      <c r="S30" s="1">
        <f t="shared" si="4"/>
        <v>1</v>
      </c>
    </row>
    <row r="31" spans="1:19" x14ac:dyDescent="0.15">
      <c r="A31" s="1">
        <v>30</v>
      </c>
      <c r="B31" s="1">
        <v>0</v>
      </c>
      <c r="C31" s="1">
        <f>[1]装备明细!B32</f>
        <v>101030400</v>
      </c>
      <c r="D31" s="1">
        <f t="shared" si="0"/>
        <v>200030</v>
      </c>
      <c r="E31" s="1" t="s">
        <v>63</v>
      </c>
      <c r="F31" s="1" t="str">
        <f ca="1">[1]装备明细!C32&amp;"图纸"</f>
        <v>初级的枪图纸</v>
      </c>
      <c r="G31" s="1" t="str">
        <f ca="1">[1]装备明细!$I32</f>
        <v xml:space="preserve">[40-64]攻击 </v>
      </c>
      <c r="H31" s="1">
        <f t="shared" si="5"/>
        <v>100030</v>
      </c>
      <c r="I31" s="1">
        <v>1</v>
      </c>
      <c r="J31" s="1">
        <f>[1]装备明细!J32</f>
        <v>0</v>
      </c>
      <c r="K31" s="1">
        <f>[1]装备明细!K32</f>
        <v>1</v>
      </c>
      <c r="L31" s="1">
        <f>[1]装备明细!L32</f>
        <v>3</v>
      </c>
      <c r="M31" s="1">
        <v>6</v>
      </c>
      <c r="N31" s="1">
        <f>[1]装备明细!$F35</f>
        <v>1</v>
      </c>
      <c r="O31" s="1">
        <f>[1]装备明细!$E32</f>
        <v>1</v>
      </c>
      <c r="P31" s="1">
        <f t="shared" si="1"/>
        <v>1</v>
      </c>
      <c r="Q31" s="1">
        <f t="shared" si="2"/>
        <v>260</v>
      </c>
      <c r="R31" s="1">
        <f t="shared" si="3"/>
        <v>2</v>
      </c>
      <c r="S31" s="1">
        <f t="shared" si="4"/>
        <v>1</v>
      </c>
    </row>
    <row r="32" spans="1:19" x14ac:dyDescent="0.15">
      <c r="A32" s="1">
        <v>31</v>
      </c>
      <c r="B32" s="1">
        <v>0</v>
      </c>
      <c r="C32" s="1">
        <f>[1]装备明细!B33</f>
        <v>101040400</v>
      </c>
      <c r="D32" s="1">
        <f t="shared" si="0"/>
        <v>200031</v>
      </c>
      <c r="E32" s="1" t="s">
        <v>63</v>
      </c>
      <c r="F32" s="1" t="str">
        <f ca="1">[1]装备明细!C33&amp;"图纸"</f>
        <v>水晶枪图纸</v>
      </c>
      <c r="G32" s="1" t="str">
        <f ca="1">[1]装备明细!$I33</f>
        <v xml:space="preserve">[65-93]攻击 </v>
      </c>
      <c r="H32" s="1">
        <f t="shared" si="5"/>
        <v>100031</v>
      </c>
      <c r="I32" s="1">
        <v>1</v>
      </c>
      <c r="J32" s="1">
        <f>[1]装备明细!J33</f>
        <v>0</v>
      </c>
      <c r="K32" s="1">
        <f>[1]装备明细!K33</f>
        <v>1</v>
      </c>
      <c r="L32" s="1">
        <f>[1]装备明细!L33</f>
        <v>4</v>
      </c>
      <c r="M32" s="1">
        <v>6</v>
      </c>
      <c r="N32" s="1">
        <f>[1]装备明细!$F36</f>
        <v>1</v>
      </c>
      <c r="O32" s="1">
        <f>[1]装备明细!$E33</f>
        <v>1</v>
      </c>
      <c r="P32" s="1">
        <f t="shared" si="1"/>
        <v>1</v>
      </c>
      <c r="Q32" s="1">
        <f t="shared" si="2"/>
        <v>280</v>
      </c>
      <c r="R32" s="1">
        <f t="shared" si="3"/>
        <v>2</v>
      </c>
      <c r="S32" s="1">
        <f t="shared" si="4"/>
        <v>1</v>
      </c>
    </row>
    <row r="33" spans="1:19" x14ac:dyDescent="0.15">
      <c r="A33" s="1">
        <v>32</v>
      </c>
      <c r="B33" s="1">
        <v>0</v>
      </c>
      <c r="C33" s="1">
        <f>[1]装备明细!B34</f>
        <v>101050400</v>
      </c>
      <c r="D33" s="1">
        <f t="shared" si="0"/>
        <v>200032</v>
      </c>
      <c r="E33" s="1" t="s">
        <v>63</v>
      </c>
      <c r="F33" s="1" t="str">
        <f ca="1">[1]装备明细!C34&amp;"图纸"</f>
        <v>青铜枪图纸</v>
      </c>
      <c r="G33" s="1" t="str">
        <f ca="1">[1]装备明细!$I34</f>
        <v xml:space="preserve">[94-126]攻击 </v>
      </c>
      <c r="H33" s="1">
        <f t="shared" si="5"/>
        <v>100032</v>
      </c>
      <c r="I33" s="1">
        <v>1</v>
      </c>
      <c r="J33" s="1">
        <f>[1]装备明细!J34</f>
        <v>0</v>
      </c>
      <c r="K33" s="1">
        <f>[1]装备明细!K34</f>
        <v>1</v>
      </c>
      <c r="L33" s="1">
        <f>[1]装备明细!L34</f>
        <v>5</v>
      </c>
      <c r="M33" s="1">
        <v>6</v>
      </c>
      <c r="N33" s="1">
        <f>[1]装备明细!$F37</f>
        <v>1</v>
      </c>
      <c r="O33" s="1">
        <f>[1]装备明细!$E34</f>
        <v>1</v>
      </c>
      <c r="P33" s="1">
        <f t="shared" si="1"/>
        <v>1</v>
      </c>
      <c r="Q33" s="1">
        <f t="shared" si="2"/>
        <v>300</v>
      </c>
      <c r="R33" s="1">
        <f t="shared" si="3"/>
        <v>2</v>
      </c>
      <c r="S33" s="1">
        <f t="shared" si="4"/>
        <v>1</v>
      </c>
    </row>
    <row r="34" spans="1:19" x14ac:dyDescent="0.15">
      <c r="A34" s="1">
        <v>33</v>
      </c>
      <c r="B34" s="1">
        <v>0</v>
      </c>
      <c r="C34" s="1">
        <f>[1]装备明细!B35</f>
        <v>101060400</v>
      </c>
      <c r="D34" s="1">
        <f t="shared" si="0"/>
        <v>200033</v>
      </c>
      <c r="E34" s="1" t="s">
        <v>63</v>
      </c>
      <c r="F34" s="1" t="str">
        <f ca="1">[1]装备明细!C35&amp;"图纸"</f>
        <v>玄铁枪图纸</v>
      </c>
      <c r="G34" s="1" t="str">
        <f ca="1">[1]装备明细!$I35</f>
        <v xml:space="preserve">[127-163]攻击 </v>
      </c>
      <c r="H34" s="1">
        <f t="shared" si="5"/>
        <v>100033</v>
      </c>
      <c r="I34" s="1">
        <v>1</v>
      </c>
      <c r="J34" s="1">
        <f>[1]装备明细!J35</f>
        <v>0</v>
      </c>
      <c r="K34" s="1">
        <f>[1]装备明细!K35</f>
        <v>1</v>
      </c>
      <c r="L34" s="1">
        <f>[1]装备明细!L35</f>
        <v>6</v>
      </c>
      <c r="M34" s="1">
        <v>6</v>
      </c>
      <c r="N34" s="1">
        <f>[1]装备明细!$F38</f>
        <v>1</v>
      </c>
      <c r="O34" s="1">
        <f>[1]装备明细!$E35</f>
        <v>1</v>
      </c>
      <c r="P34" s="1">
        <f t="shared" si="1"/>
        <v>1</v>
      </c>
      <c r="Q34" s="1">
        <f t="shared" si="2"/>
        <v>320</v>
      </c>
      <c r="R34" s="1">
        <f t="shared" si="3"/>
        <v>2</v>
      </c>
      <c r="S34" s="1">
        <f t="shared" si="4"/>
        <v>1</v>
      </c>
    </row>
    <row r="35" spans="1:19" x14ac:dyDescent="0.15">
      <c r="A35" s="1">
        <v>34</v>
      </c>
      <c r="B35" s="1">
        <v>0</v>
      </c>
      <c r="C35" s="1">
        <f>[1]装备明细!B36</f>
        <v>101070400</v>
      </c>
      <c r="D35" s="1">
        <f t="shared" si="0"/>
        <v>200034</v>
      </c>
      <c r="E35" s="1" t="s">
        <v>63</v>
      </c>
      <c r="F35" s="1" t="str">
        <f ca="1">[1]装备明细!C36&amp;"图纸"</f>
        <v>白银枪图纸</v>
      </c>
      <c r="G35" s="1" t="str">
        <f ca="1">[1]装备明细!$I36</f>
        <v xml:space="preserve">[164-202]攻击 </v>
      </c>
      <c r="H35" s="1">
        <f t="shared" si="5"/>
        <v>100034</v>
      </c>
      <c r="I35" s="1">
        <v>1</v>
      </c>
      <c r="J35" s="1">
        <f>[1]装备明细!J36</f>
        <v>0</v>
      </c>
      <c r="K35" s="1">
        <f>[1]装备明细!K36</f>
        <v>1</v>
      </c>
      <c r="L35" s="1">
        <f>[1]装备明细!L36</f>
        <v>7</v>
      </c>
      <c r="M35" s="1">
        <v>6</v>
      </c>
      <c r="N35" s="1">
        <f>[1]装备明细!$F39</f>
        <v>1</v>
      </c>
      <c r="O35" s="1">
        <f>[1]装备明细!$E36</f>
        <v>1</v>
      </c>
      <c r="P35" s="1">
        <f t="shared" si="1"/>
        <v>1</v>
      </c>
      <c r="Q35" s="1">
        <f t="shared" si="2"/>
        <v>340</v>
      </c>
      <c r="R35" s="1">
        <f t="shared" si="3"/>
        <v>2</v>
      </c>
      <c r="S35" s="1">
        <f t="shared" si="4"/>
        <v>1</v>
      </c>
    </row>
    <row r="36" spans="1:19" x14ac:dyDescent="0.15">
      <c r="A36" s="1">
        <v>35</v>
      </c>
      <c r="B36" s="1">
        <v>0</v>
      </c>
      <c r="C36" s="1">
        <f>[1]装备明细!B37</f>
        <v>101080400</v>
      </c>
      <c r="D36" s="1">
        <f t="shared" si="0"/>
        <v>200035</v>
      </c>
      <c r="E36" s="1" t="s">
        <v>63</v>
      </c>
      <c r="F36" s="1" t="str">
        <f ca="1">[1]装备明细!C37&amp;"图纸"</f>
        <v>异灵枪图纸</v>
      </c>
      <c r="G36" s="1" t="str">
        <f ca="1">[1]装备明细!$I37</f>
        <v xml:space="preserve">[203-246]攻击 </v>
      </c>
      <c r="H36" s="1">
        <f t="shared" si="5"/>
        <v>100035</v>
      </c>
      <c r="I36" s="1">
        <v>1</v>
      </c>
      <c r="J36" s="1">
        <f>[1]装备明细!J37</f>
        <v>0</v>
      </c>
      <c r="K36" s="1">
        <f>[1]装备明细!K37</f>
        <v>1</v>
      </c>
      <c r="L36" s="1">
        <f>[1]装备明细!L37</f>
        <v>8</v>
      </c>
      <c r="M36" s="1">
        <v>6</v>
      </c>
      <c r="N36" s="1">
        <f>[1]装备明细!$F40</f>
        <v>1</v>
      </c>
      <c r="O36" s="1">
        <f>[1]装备明细!$E37</f>
        <v>1</v>
      </c>
      <c r="P36" s="1">
        <f t="shared" si="1"/>
        <v>1</v>
      </c>
      <c r="Q36" s="1">
        <f t="shared" si="2"/>
        <v>360</v>
      </c>
      <c r="R36" s="1">
        <f t="shared" si="3"/>
        <v>2</v>
      </c>
      <c r="S36" s="1">
        <f t="shared" si="4"/>
        <v>1</v>
      </c>
    </row>
    <row r="37" spans="1:19" x14ac:dyDescent="0.15">
      <c r="A37" s="1">
        <v>36</v>
      </c>
      <c r="B37" s="1">
        <v>0</v>
      </c>
      <c r="C37" s="1">
        <f>[1]装备明细!B38</f>
        <v>101090400</v>
      </c>
      <c r="D37" s="1">
        <f t="shared" si="0"/>
        <v>200036</v>
      </c>
      <c r="E37" s="1" t="s">
        <v>63</v>
      </c>
      <c r="F37" s="1" t="str">
        <f ca="1">[1]装备明细!C38&amp;"图纸"</f>
        <v>流星枪图纸</v>
      </c>
      <c r="G37" s="1" t="str">
        <f ca="1">[1]装备明细!$I38</f>
        <v xml:space="preserve">[247-293]攻击 </v>
      </c>
      <c r="H37" s="1">
        <f t="shared" si="5"/>
        <v>100036</v>
      </c>
      <c r="I37" s="1">
        <v>1</v>
      </c>
      <c r="J37" s="1">
        <f>[1]装备明细!J38</f>
        <v>0</v>
      </c>
      <c r="K37" s="1">
        <f>[1]装备明细!K38</f>
        <v>1</v>
      </c>
      <c r="L37" s="1">
        <f>[1]装备明细!L38</f>
        <v>9</v>
      </c>
      <c r="M37" s="1">
        <v>6</v>
      </c>
      <c r="N37" s="1">
        <f>[1]装备明细!$F41</f>
        <v>1</v>
      </c>
      <c r="O37" s="1">
        <f>[1]装备明细!$E38</f>
        <v>1</v>
      </c>
      <c r="P37" s="1">
        <f t="shared" si="1"/>
        <v>1</v>
      </c>
      <c r="Q37" s="1">
        <f t="shared" si="2"/>
        <v>380</v>
      </c>
      <c r="R37" s="1">
        <f t="shared" si="3"/>
        <v>2</v>
      </c>
      <c r="S37" s="1">
        <f t="shared" si="4"/>
        <v>1</v>
      </c>
    </row>
    <row r="38" spans="1:19" x14ac:dyDescent="0.15">
      <c r="A38" s="1">
        <v>37</v>
      </c>
      <c r="B38" s="1">
        <v>0</v>
      </c>
      <c r="C38" s="1">
        <f>[1]装备明细!B39</f>
        <v>101010500</v>
      </c>
      <c r="D38" s="1">
        <f t="shared" si="0"/>
        <v>200037</v>
      </c>
      <c r="E38" s="1" t="s">
        <v>63</v>
      </c>
      <c r="F38" s="1" t="str">
        <f ca="1">[1]装备明细!C39&amp;"图纸"</f>
        <v>破旧的镰刀图纸</v>
      </c>
      <c r="G38" s="1" t="str">
        <f ca="1">[1]装备明细!$I39</f>
        <v xml:space="preserve">[1-18]攻击 </v>
      </c>
      <c r="H38" s="1">
        <f t="shared" si="5"/>
        <v>100037</v>
      </c>
      <c r="I38" s="1">
        <v>1</v>
      </c>
      <c r="J38" s="1">
        <f>[1]装备明细!J39</f>
        <v>0</v>
      </c>
      <c r="K38" s="1">
        <f>[1]装备明细!K39</f>
        <v>1</v>
      </c>
      <c r="L38" s="1">
        <f>[1]装备明细!L39</f>
        <v>1</v>
      </c>
      <c r="M38" s="1">
        <v>6</v>
      </c>
      <c r="N38" s="1">
        <f>[1]装备明细!$F42</f>
        <v>1</v>
      </c>
      <c r="O38" s="1">
        <f>[1]装备明细!$E39</f>
        <v>1</v>
      </c>
      <c r="P38" s="1">
        <f t="shared" si="1"/>
        <v>1</v>
      </c>
      <c r="Q38" s="1">
        <f t="shared" si="2"/>
        <v>220</v>
      </c>
      <c r="R38" s="1">
        <f t="shared" si="3"/>
        <v>2</v>
      </c>
      <c r="S38" s="1">
        <f t="shared" si="4"/>
        <v>1</v>
      </c>
    </row>
    <row r="39" spans="1:19" x14ac:dyDescent="0.15">
      <c r="A39" s="1">
        <v>38</v>
      </c>
      <c r="B39" s="1">
        <v>0</v>
      </c>
      <c r="C39" s="1">
        <f>[1]装备明细!B40</f>
        <v>101020500</v>
      </c>
      <c r="D39" s="1">
        <f t="shared" si="0"/>
        <v>200038</v>
      </c>
      <c r="E39" s="1" t="s">
        <v>63</v>
      </c>
      <c r="F39" s="1" t="str">
        <f ca="1">[1]装备明细!C40&amp;"图纸"</f>
        <v>普通的镰刀图纸</v>
      </c>
      <c r="G39" s="1" t="str">
        <f ca="1">[1]装备明细!$I40</f>
        <v xml:space="preserve">[19-39]攻击 </v>
      </c>
      <c r="H39" s="1">
        <f t="shared" si="5"/>
        <v>100038</v>
      </c>
      <c r="I39" s="1">
        <v>1</v>
      </c>
      <c r="J39" s="1">
        <f>[1]装备明细!J40</f>
        <v>0</v>
      </c>
      <c r="K39" s="1">
        <f>[1]装备明细!K40</f>
        <v>1</v>
      </c>
      <c r="L39" s="1">
        <f>[1]装备明细!L40</f>
        <v>2</v>
      </c>
      <c r="M39" s="1">
        <v>6</v>
      </c>
      <c r="N39" s="1">
        <f>[1]装备明细!$F43</f>
        <v>1</v>
      </c>
      <c r="O39" s="1">
        <f>[1]装备明细!$E40</f>
        <v>1</v>
      </c>
      <c r="P39" s="1">
        <f t="shared" si="1"/>
        <v>1</v>
      </c>
      <c r="Q39" s="1">
        <f t="shared" si="2"/>
        <v>240</v>
      </c>
      <c r="R39" s="1">
        <f t="shared" si="3"/>
        <v>2</v>
      </c>
      <c r="S39" s="1">
        <f t="shared" si="4"/>
        <v>1</v>
      </c>
    </row>
    <row r="40" spans="1:19" x14ac:dyDescent="0.15">
      <c r="A40" s="1">
        <v>39</v>
      </c>
      <c r="B40" s="1">
        <v>0</v>
      </c>
      <c r="C40" s="1">
        <f>[1]装备明细!B41</f>
        <v>101030500</v>
      </c>
      <c r="D40" s="1">
        <f t="shared" si="0"/>
        <v>200039</v>
      </c>
      <c r="E40" s="1" t="s">
        <v>63</v>
      </c>
      <c r="F40" s="1" t="str">
        <f ca="1">[1]装备明细!C41&amp;"图纸"</f>
        <v>初级的镰刀图纸</v>
      </c>
      <c r="G40" s="1" t="str">
        <f ca="1">[1]装备明细!$I41</f>
        <v xml:space="preserve">[40-64]攻击 </v>
      </c>
      <c r="H40" s="1">
        <f t="shared" si="5"/>
        <v>100039</v>
      </c>
      <c r="I40" s="1">
        <v>1</v>
      </c>
      <c r="J40" s="1">
        <f>[1]装备明细!J41</f>
        <v>0</v>
      </c>
      <c r="K40" s="1">
        <f>[1]装备明细!K41</f>
        <v>1</v>
      </c>
      <c r="L40" s="1">
        <f>[1]装备明细!L41</f>
        <v>3</v>
      </c>
      <c r="M40" s="1">
        <v>6</v>
      </c>
      <c r="N40" s="1">
        <f>[1]装备明细!$F44</f>
        <v>1</v>
      </c>
      <c r="O40" s="1">
        <f>[1]装备明细!$E41</f>
        <v>1</v>
      </c>
      <c r="P40" s="1">
        <f t="shared" si="1"/>
        <v>1</v>
      </c>
      <c r="Q40" s="1">
        <f t="shared" si="2"/>
        <v>260</v>
      </c>
      <c r="R40" s="1">
        <f t="shared" si="3"/>
        <v>2</v>
      </c>
      <c r="S40" s="1">
        <f t="shared" si="4"/>
        <v>1</v>
      </c>
    </row>
    <row r="41" spans="1:19" x14ac:dyDescent="0.15">
      <c r="A41" s="1">
        <v>40</v>
      </c>
      <c r="B41" s="1">
        <v>0</v>
      </c>
      <c r="C41" s="1">
        <f>[1]装备明细!B42</f>
        <v>101040500</v>
      </c>
      <c r="D41" s="1">
        <f t="shared" si="0"/>
        <v>200040</v>
      </c>
      <c r="E41" s="1" t="s">
        <v>63</v>
      </c>
      <c r="F41" s="1" t="str">
        <f ca="1">[1]装备明细!C42&amp;"图纸"</f>
        <v>水晶镰刀图纸</v>
      </c>
      <c r="G41" s="1" t="str">
        <f ca="1">[1]装备明细!$I42</f>
        <v xml:space="preserve">[65-93]攻击 </v>
      </c>
      <c r="H41" s="1">
        <f t="shared" si="5"/>
        <v>100040</v>
      </c>
      <c r="I41" s="1">
        <v>1</v>
      </c>
      <c r="J41" s="1">
        <f>[1]装备明细!J42</f>
        <v>0</v>
      </c>
      <c r="K41" s="1">
        <f>[1]装备明细!K42</f>
        <v>1</v>
      </c>
      <c r="L41" s="1">
        <f>[1]装备明细!L42</f>
        <v>4</v>
      </c>
      <c r="M41" s="1">
        <v>6</v>
      </c>
      <c r="N41" s="1">
        <f>[1]装备明细!$F45</f>
        <v>1</v>
      </c>
      <c r="O41" s="1">
        <f>[1]装备明细!$E42</f>
        <v>1</v>
      </c>
      <c r="P41" s="1">
        <f t="shared" si="1"/>
        <v>1</v>
      </c>
      <c r="Q41" s="1">
        <f t="shared" si="2"/>
        <v>280</v>
      </c>
      <c r="R41" s="1">
        <f t="shared" si="3"/>
        <v>2</v>
      </c>
      <c r="S41" s="1">
        <f t="shared" si="4"/>
        <v>1</v>
      </c>
    </row>
    <row r="42" spans="1:19" x14ac:dyDescent="0.15">
      <c r="A42" s="1">
        <v>41</v>
      </c>
      <c r="B42" s="1">
        <v>0</v>
      </c>
      <c r="C42" s="1">
        <f>[1]装备明细!B43</f>
        <v>101050500</v>
      </c>
      <c r="D42" s="1">
        <f t="shared" si="0"/>
        <v>200041</v>
      </c>
      <c r="E42" s="1" t="s">
        <v>63</v>
      </c>
      <c r="F42" s="1" t="str">
        <f ca="1">[1]装备明细!C43&amp;"图纸"</f>
        <v>青铜镰刀图纸</v>
      </c>
      <c r="G42" s="1" t="str">
        <f ca="1">[1]装备明细!$I43</f>
        <v xml:space="preserve">[94-126]攻击 </v>
      </c>
      <c r="H42" s="1">
        <f t="shared" si="5"/>
        <v>100041</v>
      </c>
      <c r="I42" s="1">
        <v>1</v>
      </c>
      <c r="J42" s="1">
        <f>[1]装备明细!J43</f>
        <v>0</v>
      </c>
      <c r="K42" s="1">
        <f>[1]装备明细!K43</f>
        <v>1</v>
      </c>
      <c r="L42" s="1">
        <f>[1]装备明细!L43</f>
        <v>5</v>
      </c>
      <c r="M42" s="1">
        <v>6</v>
      </c>
      <c r="N42" s="1">
        <f>[1]装备明细!$F46</f>
        <v>1</v>
      </c>
      <c r="O42" s="1">
        <f>[1]装备明细!$E43</f>
        <v>1</v>
      </c>
      <c r="P42" s="1">
        <f t="shared" si="1"/>
        <v>1</v>
      </c>
      <c r="Q42" s="1">
        <f t="shared" si="2"/>
        <v>300</v>
      </c>
      <c r="R42" s="1">
        <f t="shared" si="3"/>
        <v>2</v>
      </c>
      <c r="S42" s="1">
        <f t="shared" si="4"/>
        <v>1</v>
      </c>
    </row>
    <row r="43" spans="1:19" x14ac:dyDescent="0.15">
      <c r="A43" s="1">
        <v>42</v>
      </c>
      <c r="B43" s="1">
        <v>0</v>
      </c>
      <c r="C43" s="1">
        <f>[1]装备明细!B44</f>
        <v>101060500</v>
      </c>
      <c r="D43" s="1">
        <f t="shared" si="0"/>
        <v>200042</v>
      </c>
      <c r="E43" s="1" t="s">
        <v>63</v>
      </c>
      <c r="F43" s="1" t="str">
        <f ca="1">[1]装备明细!C44&amp;"图纸"</f>
        <v>玄铁镰刀图纸</v>
      </c>
      <c r="G43" s="1" t="str">
        <f ca="1">[1]装备明细!$I44</f>
        <v xml:space="preserve">[127-163]攻击 </v>
      </c>
      <c r="H43" s="1">
        <f t="shared" si="5"/>
        <v>100042</v>
      </c>
      <c r="I43" s="1">
        <v>1</v>
      </c>
      <c r="J43" s="1">
        <f>[1]装备明细!J44</f>
        <v>0</v>
      </c>
      <c r="K43" s="1">
        <f>[1]装备明细!K44</f>
        <v>1</v>
      </c>
      <c r="L43" s="1">
        <f>[1]装备明细!L44</f>
        <v>6</v>
      </c>
      <c r="M43" s="1">
        <v>6</v>
      </c>
      <c r="N43" s="1">
        <f>[1]装备明细!$F47</f>
        <v>1</v>
      </c>
      <c r="O43" s="1">
        <f>[1]装备明细!$E44</f>
        <v>1</v>
      </c>
      <c r="P43" s="1">
        <f t="shared" si="1"/>
        <v>1</v>
      </c>
      <c r="Q43" s="1">
        <f t="shared" si="2"/>
        <v>320</v>
      </c>
      <c r="R43" s="1">
        <f t="shared" si="3"/>
        <v>2</v>
      </c>
      <c r="S43" s="1">
        <f t="shared" si="4"/>
        <v>1</v>
      </c>
    </row>
    <row r="44" spans="1:19" x14ac:dyDescent="0.15">
      <c r="A44" s="1">
        <v>43</v>
      </c>
      <c r="B44" s="1">
        <v>0</v>
      </c>
      <c r="C44" s="1">
        <f>[1]装备明细!B45</f>
        <v>101070500</v>
      </c>
      <c r="D44" s="1">
        <f t="shared" si="0"/>
        <v>200043</v>
      </c>
      <c r="E44" s="1" t="s">
        <v>63</v>
      </c>
      <c r="F44" s="1" t="str">
        <f ca="1">[1]装备明细!C45&amp;"图纸"</f>
        <v>白银镰刀图纸</v>
      </c>
      <c r="G44" s="1" t="str">
        <f ca="1">[1]装备明细!$I45</f>
        <v xml:space="preserve">[164-202]攻击 </v>
      </c>
      <c r="H44" s="1">
        <f t="shared" si="5"/>
        <v>100043</v>
      </c>
      <c r="I44" s="1">
        <v>1</v>
      </c>
      <c r="J44" s="1">
        <f>[1]装备明细!J45</f>
        <v>0</v>
      </c>
      <c r="K44" s="1">
        <f>[1]装备明细!K45</f>
        <v>1</v>
      </c>
      <c r="L44" s="1">
        <f>[1]装备明细!L45</f>
        <v>7</v>
      </c>
      <c r="M44" s="1">
        <v>6</v>
      </c>
      <c r="N44" s="1">
        <f>[1]装备明细!$F48</f>
        <v>1</v>
      </c>
      <c r="O44" s="1">
        <f>[1]装备明细!$E45</f>
        <v>1</v>
      </c>
      <c r="P44" s="1">
        <f t="shared" si="1"/>
        <v>1</v>
      </c>
      <c r="Q44" s="1">
        <f t="shared" si="2"/>
        <v>340</v>
      </c>
      <c r="R44" s="1">
        <f t="shared" si="3"/>
        <v>2</v>
      </c>
      <c r="S44" s="1">
        <f t="shared" si="4"/>
        <v>1</v>
      </c>
    </row>
    <row r="45" spans="1:19" x14ac:dyDescent="0.15">
      <c r="A45" s="1">
        <v>44</v>
      </c>
      <c r="B45" s="1">
        <v>0</v>
      </c>
      <c r="C45" s="1">
        <f>[1]装备明细!B46</f>
        <v>101080500</v>
      </c>
      <c r="D45" s="1">
        <f t="shared" si="0"/>
        <v>200044</v>
      </c>
      <c r="E45" s="1" t="s">
        <v>63</v>
      </c>
      <c r="F45" s="1" t="str">
        <f ca="1">[1]装备明细!C46&amp;"图纸"</f>
        <v>异灵镰刀图纸</v>
      </c>
      <c r="G45" s="1" t="str">
        <f ca="1">[1]装备明细!$I46</f>
        <v xml:space="preserve">[203-246]攻击 </v>
      </c>
      <c r="H45" s="1">
        <f t="shared" si="5"/>
        <v>100044</v>
      </c>
      <c r="I45" s="1">
        <v>1</v>
      </c>
      <c r="J45" s="1">
        <f>[1]装备明细!J46</f>
        <v>0</v>
      </c>
      <c r="K45" s="1">
        <f>[1]装备明细!K46</f>
        <v>1</v>
      </c>
      <c r="L45" s="1">
        <f>[1]装备明细!L46</f>
        <v>8</v>
      </c>
      <c r="M45" s="1">
        <v>6</v>
      </c>
      <c r="N45" s="1">
        <f>[1]装备明细!$F49</f>
        <v>1</v>
      </c>
      <c r="O45" s="1">
        <f>[1]装备明细!$E46</f>
        <v>1</v>
      </c>
      <c r="P45" s="1">
        <f t="shared" si="1"/>
        <v>1</v>
      </c>
      <c r="Q45" s="1">
        <f t="shared" si="2"/>
        <v>360</v>
      </c>
      <c r="R45" s="1">
        <f t="shared" si="3"/>
        <v>2</v>
      </c>
      <c r="S45" s="1">
        <f t="shared" si="4"/>
        <v>1</v>
      </c>
    </row>
    <row r="46" spans="1:19" x14ac:dyDescent="0.15">
      <c r="A46" s="1">
        <v>45</v>
      </c>
      <c r="B46" s="1">
        <v>0</v>
      </c>
      <c r="C46" s="1">
        <f>[1]装备明细!B47</f>
        <v>101090500</v>
      </c>
      <c r="D46" s="1">
        <f t="shared" si="0"/>
        <v>200045</v>
      </c>
      <c r="E46" s="1" t="s">
        <v>63</v>
      </c>
      <c r="F46" s="1" t="str">
        <f ca="1">[1]装备明细!C47&amp;"图纸"</f>
        <v>流星镰刀图纸</v>
      </c>
      <c r="G46" s="1" t="str">
        <f ca="1">[1]装备明细!$I47</f>
        <v xml:space="preserve">[247-293]攻击 </v>
      </c>
      <c r="H46" s="1">
        <f t="shared" si="5"/>
        <v>100045</v>
      </c>
      <c r="I46" s="1">
        <v>1</v>
      </c>
      <c r="J46" s="1">
        <f>[1]装备明细!J47</f>
        <v>0</v>
      </c>
      <c r="K46" s="1">
        <f>[1]装备明细!K47</f>
        <v>1</v>
      </c>
      <c r="L46" s="1">
        <f>[1]装备明细!L47</f>
        <v>9</v>
      </c>
      <c r="M46" s="1">
        <v>6</v>
      </c>
      <c r="N46" s="1">
        <f>[1]装备明细!$F50</f>
        <v>1</v>
      </c>
      <c r="O46" s="1">
        <f>[1]装备明细!$E47</f>
        <v>1</v>
      </c>
      <c r="P46" s="1">
        <f t="shared" si="1"/>
        <v>1</v>
      </c>
      <c r="Q46" s="1">
        <f t="shared" si="2"/>
        <v>380</v>
      </c>
      <c r="R46" s="1">
        <f t="shared" si="3"/>
        <v>2</v>
      </c>
      <c r="S46" s="1">
        <f t="shared" si="4"/>
        <v>1</v>
      </c>
    </row>
    <row r="47" spans="1:19" x14ac:dyDescent="0.15">
      <c r="A47" s="1">
        <v>46</v>
      </c>
      <c r="B47" s="1">
        <v>0</v>
      </c>
      <c r="C47" s="1">
        <f>[1]装备明细!B48</f>
        <v>101010600</v>
      </c>
      <c r="D47" s="1">
        <f t="shared" si="0"/>
        <v>200046</v>
      </c>
      <c r="E47" s="1" t="s">
        <v>63</v>
      </c>
      <c r="F47" s="1" t="str">
        <f ca="1">[1]装备明细!C48&amp;"图纸"</f>
        <v>破旧的法杖图纸</v>
      </c>
      <c r="G47" s="1" t="str">
        <f ca="1">[1]装备明细!$I48</f>
        <v xml:space="preserve">[1-18]攻击 </v>
      </c>
      <c r="H47" s="1">
        <f t="shared" si="5"/>
        <v>100046</v>
      </c>
      <c r="I47" s="1">
        <v>1</v>
      </c>
      <c r="J47" s="1">
        <f>[1]装备明细!J48</f>
        <v>0</v>
      </c>
      <c r="K47" s="1">
        <f>[1]装备明细!K48</f>
        <v>1</v>
      </c>
      <c r="L47" s="1">
        <f>[1]装备明细!L48</f>
        <v>1</v>
      </c>
      <c r="M47" s="1">
        <v>6</v>
      </c>
      <c r="N47" s="1">
        <f>[1]装备明细!$F51</f>
        <v>1</v>
      </c>
      <c r="O47" s="1">
        <f>[1]装备明细!$E48</f>
        <v>1</v>
      </c>
      <c r="P47" s="1">
        <f t="shared" si="1"/>
        <v>1</v>
      </c>
      <c r="Q47" s="1">
        <f t="shared" si="2"/>
        <v>220</v>
      </c>
      <c r="R47" s="1">
        <f t="shared" si="3"/>
        <v>2</v>
      </c>
      <c r="S47" s="1">
        <f t="shared" si="4"/>
        <v>1</v>
      </c>
    </row>
    <row r="48" spans="1:19" x14ac:dyDescent="0.15">
      <c r="A48" s="1">
        <v>47</v>
      </c>
      <c r="B48" s="1">
        <v>0</v>
      </c>
      <c r="C48" s="1">
        <f>[1]装备明细!B49</f>
        <v>101020600</v>
      </c>
      <c r="D48" s="1">
        <f t="shared" si="0"/>
        <v>200047</v>
      </c>
      <c r="E48" s="1" t="s">
        <v>63</v>
      </c>
      <c r="F48" s="1" t="str">
        <f ca="1">[1]装备明细!C49&amp;"图纸"</f>
        <v>普通的法杖图纸</v>
      </c>
      <c r="G48" s="1" t="str">
        <f ca="1">[1]装备明细!$I49</f>
        <v xml:space="preserve">[19-39]攻击 </v>
      </c>
      <c r="H48" s="1">
        <f t="shared" si="5"/>
        <v>100047</v>
      </c>
      <c r="I48" s="1">
        <v>1</v>
      </c>
      <c r="J48" s="1">
        <f>[1]装备明细!J49</f>
        <v>0</v>
      </c>
      <c r="K48" s="1">
        <f>[1]装备明细!K49</f>
        <v>1</v>
      </c>
      <c r="L48" s="1">
        <f>[1]装备明细!L49</f>
        <v>2</v>
      </c>
      <c r="M48" s="1">
        <v>6</v>
      </c>
      <c r="N48" s="1">
        <f>[1]装备明细!$F52</f>
        <v>1</v>
      </c>
      <c r="O48" s="1">
        <f>[1]装备明细!$E49</f>
        <v>1</v>
      </c>
      <c r="P48" s="1">
        <f t="shared" si="1"/>
        <v>1</v>
      </c>
      <c r="Q48" s="1">
        <f t="shared" si="2"/>
        <v>240</v>
      </c>
      <c r="R48" s="1">
        <f t="shared" si="3"/>
        <v>2</v>
      </c>
      <c r="S48" s="1">
        <f t="shared" si="4"/>
        <v>1</v>
      </c>
    </row>
    <row r="49" spans="1:19" x14ac:dyDescent="0.15">
      <c r="A49" s="1">
        <v>48</v>
      </c>
      <c r="B49" s="1">
        <v>0</v>
      </c>
      <c r="C49" s="1">
        <f>[1]装备明细!B50</f>
        <v>101030600</v>
      </c>
      <c r="D49" s="1">
        <f t="shared" si="0"/>
        <v>200048</v>
      </c>
      <c r="E49" s="1" t="s">
        <v>63</v>
      </c>
      <c r="F49" s="1" t="str">
        <f ca="1">[1]装备明细!C50&amp;"图纸"</f>
        <v>初级的法杖图纸</v>
      </c>
      <c r="G49" s="1" t="str">
        <f ca="1">[1]装备明细!$I50</f>
        <v xml:space="preserve">[40-64]攻击 </v>
      </c>
      <c r="H49" s="1">
        <f t="shared" si="5"/>
        <v>100048</v>
      </c>
      <c r="I49" s="1">
        <v>1</v>
      </c>
      <c r="J49" s="1">
        <f>[1]装备明细!J50</f>
        <v>0</v>
      </c>
      <c r="K49" s="1">
        <f>[1]装备明细!K50</f>
        <v>1</v>
      </c>
      <c r="L49" s="1">
        <f>[1]装备明细!L50</f>
        <v>3</v>
      </c>
      <c r="M49" s="1">
        <v>6</v>
      </c>
      <c r="N49" s="1">
        <f>[1]装备明细!$F53</f>
        <v>1</v>
      </c>
      <c r="O49" s="1">
        <f>[1]装备明细!$E50</f>
        <v>1</v>
      </c>
      <c r="P49" s="1">
        <f t="shared" si="1"/>
        <v>1</v>
      </c>
      <c r="Q49" s="1">
        <f t="shared" si="2"/>
        <v>260</v>
      </c>
      <c r="R49" s="1">
        <f t="shared" si="3"/>
        <v>2</v>
      </c>
      <c r="S49" s="1">
        <f t="shared" si="4"/>
        <v>1</v>
      </c>
    </row>
    <row r="50" spans="1:19" x14ac:dyDescent="0.15">
      <c r="A50" s="1">
        <v>49</v>
      </c>
      <c r="B50" s="1">
        <v>0</v>
      </c>
      <c r="C50" s="1">
        <f>[1]装备明细!B51</f>
        <v>101040600</v>
      </c>
      <c r="D50" s="1">
        <f t="shared" si="0"/>
        <v>200049</v>
      </c>
      <c r="E50" s="1" t="s">
        <v>63</v>
      </c>
      <c r="F50" s="1" t="str">
        <f ca="1">[1]装备明细!C51&amp;"图纸"</f>
        <v>水晶法杖图纸</v>
      </c>
      <c r="G50" s="1" t="str">
        <f ca="1">[1]装备明细!$I51</f>
        <v xml:space="preserve">[65-93]攻击 </v>
      </c>
      <c r="H50" s="1">
        <f t="shared" si="5"/>
        <v>100049</v>
      </c>
      <c r="I50" s="1">
        <v>1</v>
      </c>
      <c r="J50" s="1">
        <f>[1]装备明细!J51</f>
        <v>0</v>
      </c>
      <c r="K50" s="1">
        <f>[1]装备明细!K51</f>
        <v>1</v>
      </c>
      <c r="L50" s="1">
        <f>[1]装备明细!L51</f>
        <v>4</v>
      </c>
      <c r="M50" s="1">
        <v>6</v>
      </c>
      <c r="N50" s="1">
        <f>[1]装备明细!$F54</f>
        <v>1</v>
      </c>
      <c r="O50" s="1">
        <f>[1]装备明细!$E51</f>
        <v>1</v>
      </c>
      <c r="P50" s="1">
        <f t="shared" si="1"/>
        <v>1</v>
      </c>
      <c r="Q50" s="1">
        <f t="shared" si="2"/>
        <v>280</v>
      </c>
      <c r="R50" s="1">
        <f t="shared" si="3"/>
        <v>2</v>
      </c>
      <c r="S50" s="1">
        <f t="shared" si="4"/>
        <v>1</v>
      </c>
    </row>
    <row r="51" spans="1:19" x14ac:dyDescent="0.15">
      <c r="A51" s="1">
        <v>50</v>
      </c>
      <c r="B51" s="1">
        <v>0</v>
      </c>
      <c r="C51" s="1">
        <f>[1]装备明细!B52</f>
        <v>101050600</v>
      </c>
      <c r="D51" s="1">
        <f t="shared" si="0"/>
        <v>200050</v>
      </c>
      <c r="E51" s="1" t="s">
        <v>63</v>
      </c>
      <c r="F51" s="1" t="str">
        <f ca="1">[1]装备明细!C52&amp;"图纸"</f>
        <v>青铜法杖图纸</v>
      </c>
      <c r="G51" s="1" t="str">
        <f ca="1">[1]装备明细!$I52</f>
        <v xml:space="preserve">[94-126]攻击 </v>
      </c>
      <c r="H51" s="1">
        <f t="shared" si="5"/>
        <v>100050</v>
      </c>
      <c r="I51" s="1">
        <v>1</v>
      </c>
      <c r="J51" s="1">
        <f>[1]装备明细!J52</f>
        <v>0</v>
      </c>
      <c r="K51" s="1">
        <f>[1]装备明细!K52</f>
        <v>1</v>
      </c>
      <c r="L51" s="1">
        <f>[1]装备明细!L52</f>
        <v>5</v>
      </c>
      <c r="M51" s="1">
        <v>6</v>
      </c>
      <c r="N51" s="1">
        <f>[1]装备明细!$F55</f>
        <v>1</v>
      </c>
      <c r="O51" s="1">
        <f>[1]装备明细!$E52</f>
        <v>1</v>
      </c>
      <c r="P51" s="1">
        <f t="shared" si="1"/>
        <v>1</v>
      </c>
      <c r="Q51" s="1">
        <f t="shared" si="2"/>
        <v>300</v>
      </c>
      <c r="R51" s="1">
        <f t="shared" si="3"/>
        <v>2</v>
      </c>
      <c r="S51" s="1">
        <f t="shared" si="4"/>
        <v>1</v>
      </c>
    </row>
    <row r="52" spans="1:19" x14ac:dyDescent="0.15">
      <c r="A52" s="1">
        <v>51</v>
      </c>
      <c r="B52" s="1">
        <v>0</v>
      </c>
      <c r="C52" s="1">
        <f>[1]装备明细!B53</f>
        <v>101060600</v>
      </c>
      <c r="D52" s="1">
        <f t="shared" si="0"/>
        <v>200051</v>
      </c>
      <c r="E52" s="1" t="s">
        <v>63</v>
      </c>
      <c r="F52" s="1" t="str">
        <f ca="1">[1]装备明细!C53&amp;"图纸"</f>
        <v>玄铁法杖图纸</v>
      </c>
      <c r="G52" s="1" t="str">
        <f ca="1">[1]装备明细!$I53</f>
        <v xml:space="preserve">[127-163]攻击 </v>
      </c>
      <c r="H52" s="1">
        <f t="shared" si="5"/>
        <v>100051</v>
      </c>
      <c r="I52" s="1">
        <v>1</v>
      </c>
      <c r="J52" s="1">
        <f>[1]装备明细!J53</f>
        <v>0</v>
      </c>
      <c r="K52" s="1">
        <f>[1]装备明细!K53</f>
        <v>1</v>
      </c>
      <c r="L52" s="1">
        <f>[1]装备明细!L53</f>
        <v>6</v>
      </c>
      <c r="M52" s="1">
        <v>6</v>
      </c>
      <c r="N52" s="1">
        <f>[1]装备明细!$F56</f>
        <v>1</v>
      </c>
      <c r="O52" s="1">
        <f>[1]装备明细!$E53</f>
        <v>1</v>
      </c>
      <c r="P52" s="1">
        <f t="shared" si="1"/>
        <v>1</v>
      </c>
      <c r="Q52" s="1">
        <f t="shared" si="2"/>
        <v>320</v>
      </c>
      <c r="R52" s="1">
        <f t="shared" si="3"/>
        <v>2</v>
      </c>
      <c r="S52" s="1">
        <f t="shared" si="4"/>
        <v>1</v>
      </c>
    </row>
    <row r="53" spans="1:19" x14ac:dyDescent="0.15">
      <c r="A53" s="1">
        <v>52</v>
      </c>
      <c r="B53" s="1">
        <v>0</v>
      </c>
      <c r="C53" s="1">
        <f>[1]装备明细!B54</f>
        <v>101070600</v>
      </c>
      <c r="D53" s="1">
        <f t="shared" si="0"/>
        <v>200052</v>
      </c>
      <c r="E53" s="1" t="s">
        <v>63</v>
      </c>
      <c r="F53" s="1" t="str">
        <f ca="1">[1]装备明细!C54&amp;"图纸"</f>
        <v>白银法杖图纸</v>
      </c>
      <c r="G53" s="1" t="str">
        <f ca="1">[1]装备明细!$I54</f>
        <v xml:space="preserve">[164-202]攻击 </v>
      </c>
      <c r="H53" s="1">
        <f t="shared" si="5"/>
        <v>100052</v>
      </c>
      <c r="I53" s="1">
        <v>1</v>
      </c>
      <c r="J53" s="1">
        <f>[1]装备明细!J54</f>
        <v>0</v>
      </c>
      <c r="K53" s="1">
        <f>[1]装备明细!K54</f>
        <v>1</v>
      </c>
      <c r="L53" s="1">
        <f>[1]装备明细!L54</f>
        <v>7</v>
      </c>
      <c r="M53" s="1">
        <v>6</v>
      </c>
      <c r="N53" s="1">
        <f>[1]装备明细!$F57</f>
        <v>1</v>
      </c>
      <c r="O53" s="1">
        <f>[1]装备明细!$E54</f>
        <v>1</v>
      </c>
      <c r="P53" s="1">
        <f t="shared" si="1"/>
        <v>1</v>
      </c>
      <c r="Q53" s="1">
        <f t="shared" si="2"/>
        <v>340</v>
      </c>
      <c r="R53" s="1">
        <f t="shared" si="3"/>
        <v>2</v>
      </c>
      <c r="S53" s="1">
        <f t="shared" si="4"/>
        <v>1</v>
      </c>
    </row>
    <row r="54" spans="1:19" x14ac:dyDescent="0.15">
      <c r="A54" s="1">
        <v>53</v>
      </c>
      <c r="B54" s="1">
        <v>0</v>
      </c>
      <c r="C54" s="1">
        <f>[1]装备明细!B55</f>
        <v>101080600</v>
      </c>
      <c r="D54" s="1">
        <f t="shared" si="0"/>
        <v>200053</v>
      </c>
      <c r="E54" s="1" t="s">
        <v>63</v>
      </c>
      <c r="F54" s="1" t="str">
        <f ca="1">[1]装备明细!C55&amp;"图纸"</f>
        <v>异灵法杖图纸</v>
      </c>
      <c r="G54" s="1" t="str">
        <f ca="1">[1]装备明细!$I55</f>
        <v xml:space="preserve">[203-246]攻击 </v>
      </c>
      <c r="H54" s="1">
        <f t="shared" si="5"/>
        <v>100053</v>
      </c>
      <c r="I54" s="1">
        <v>1</v>
      </c>
      <c r="J54" s="1">
        <f>[1]装备明细!J55</f>
        <v>0</v>
      </c>
      <c r="K54" s="1">
        <f>[1]装备明细!K55</f>
        <v>1</v>
      </c>
      <c r="L54" s="1">
        <f>[1]装备明细!L55</f>
        <v>8</v>
      </c>
      <c r="M54" s="1">
        <v>6</v>
      </c>
      <c r="N54" s="1">
        <f>[1]装备明细!$F58</f>
        <v>1</v>
      </c>
      <c r="O54" s="1">
        <f>[1]装备明细!$E55</f>
        <v>1</v>
      </c>
      <c r="P54" s="1">
        <f t="shared" si="1"/>
        <v>1</v>
      </c>
      <c r="Q54" s="1">
        <f t="shared" si="2"/>
        <v>360</v>
      </c>
      <c r="R54" s="1">
        <f t="shared" si="3"/>
        <v>2</v>
      </c>
      <c r="S54" s="1">
        <f t="shared" si="4"/>
        <v>1</v>
      </c>
    </row>
    <row r="55" spans="1:19" x14ac:dyDescent="0.15">
      <c r="A55" s="1">
        <v>54</v>
      </c>
      <c r="B55" s="1">
        <v>0</v>
      </c>
      <c r="C55" s="1">
        <f>[1]装备明细!B56</f>
        <v>101090600</v>
      </c>
      <c r="D55" s="1">
        <f t="shared" si="0"/>
        <v>200054</v>
      </c>
      <c r="E55" s="1" t="s">
        <v>63</v>
      </c>
      <c r="F55" s="1" t="str">
        <f ca="1">[1]装备明细!C56&amp;"图纸"</f>
        <v>流星法杖图纸</v>
      </c>
      <c r="G55" s="1" t="str">
        <f ca="1">[1]装备明细!$I56</f>
        <v xml:space="preserve">[247-293]攻击 </v>
      </c>
      <c r="H55" s="1">
        <f t="shared" si="5"/>
        <v>100054</v>
      </c>
      <c r="I55" s="1">
        <v>1</v>
      </c>
      <c r="J55" s="1">
        <f>[1]装备明细!J56</f>
        <v>0</v>
      </c>
      <c r="K55" s="1">
        <f>[1]装备明细!K56</f>
        <v>1</v>
      </c>
      <c r="L55" s="1">
        <f>[1]装备明细!L56</f>
        <v>9</v>
      </c>
      <c r="M55" s="1">
        <v>6</v>
      </c>
      <c r="N55" s="1">
        <f>[1]装备明细!$F59</f>
        <v>1</v>
      </c>
      <c r="O55" s="1">
        <f>[1]装备明细!$E56</f>
        <v>1</v>
      </c>
      <c r="P55" s="1">
        <f t="shared" si="1"/>
        <v>1</v>
      </c>
      <c r="Q55" s="1">
        <f t="shared" si="2"/>
        <v>380</v>
      </c>
      <c r="R55" s="1">
        <f t="shared" si="3"/>
        <v>2</v>
      </c>
      <c r="S55" s="1">
        <f t="shared" si="4"/>
        <v>1</v>
      </c>
    </row>
    <row r="56" spans="1:19" x14ac:dyDescent="0.15">
      <c r="A56" s="1">
        <v>55</v>
      </c>
      <c r="B56" s="1">
        <v>0</v>
      </c>
      <c r="C56" s="1">
        <f>[1]装备明细!B57</f>
        <v>101010700</v>
      </c>
      <c r="D56" s="1">
        <f t="shared" si="0"/>
        <v>200055</v>
      </c>
      <c r="E56" s="1" t="s">
        <v>63</v>
      </c>
      <c r="F56" s="1" t="str">
        <f ca="1">[1]装备明细!C57&amp;"图纸"</f>
        <v>破旧的弓图纸</v>
      </c>
      <c r="G56" s="1" t="str">
        <f ca="1">[1]装备明细!$I57</f>
        <v xml:space="preserve">[1-18]攻击 </v>
      </c>
      <c r="H56" s="1">
        <f t="shared" si="5"/>
        <v>100055</v>
      </c>
      <c r="I56" s="1">
        <v>1</v>
      </c>
      <c r="J56" s="1">
        <f>[1]装备明细!J57</f>
        <v>0</v>
      </c>
      <c r="K56" s="1">
        <f>[1]装备明细!K57</f>
        <v>1</v>
      </c>
      <c r="L56" s="1">
        <f>[1]装备明细!L57</f>
        <v>1</v>
      </c>
      <c r="M56" s="1">
        <v>6</v>
      </c>
      <c r="N56" s="1">
        <f>[1]装备明细!$F60</f>
        <v>1</v>
      </c>
      <c r="O56" s="1">
        <f>[1]装备明细!$E57</f>
        <v>1</v>
      </c>
      <c r="P56" s="1">
        <f t="shared" si="1"/>
        <v>1</v>
      </c>
      <c r="Q56" s="1">
        <f t="shared" si="2"/>
        <v>220</v>
      </c>
      <c r="R56" s="1">
        <f t="shared" si="3"/>
        <v>2</v>
      </c>
      <c r="S56" s="1">
        <f t="shared" si="4"/>
        <v>1</v>
      </c>
    </row>
    <row r="57" spans="1:19" x14ac:dyDescent="0.15">
      <c r="A57" s="1">
        <v>56</v>
      </c>
      <c r="B57" s="1">
        <v>0</v>
      </c>
      <c r="C57" s="1">
        <f>[1]装备明细!B58</f>
        <v>101020700</v>
      </c>
      <c r="D57" s="1">
        <f t="shared" si="0"/>
        <v>200056</v>
      </c>
      <c r="E57" s="1" t="s">
        <v>63</v>
      </c>
      <c r="F57" s="1" t="str">
        <f ca="1">[1]装备明细!C58&amp;"图纸"</f>
        <v>普通的弓图纸</v>
      </c>
      <c r="G57" s="1" t="str">
        <f ca="1">[1]装备明细!$I58</f>
        <v xml:space="preserve">[19-39]攻击 </v>
      </c>
      <c r="H57" s="1">
        <f t="shared" si="5"/>
        <v>100056</v>
      </c>
      <c r="I57" s="1">
        <v>1</v>
      </c>
      <c r="J57" s="1">
        <f>[1]装备明细!J58</f>
        <v>0</v>
      </c>
      <c r="K57" s="1">
        <f>[1]装备明细!K58</f>
        <v>1</v>
      </c>
      <c r="L57" s="1">
        <f>[1]装备明细!L58</f>
        <v>2</v>
      </c>
      <c r="M57" s="1">
        <v>6</v>
      </c>
      <c r="N57" s="1">
        <f>[1]装备明细!$F61</f>
        <v>1</v>
      </c>
      <c r="O57" s="1">
        <f>[1]装备明细!$E58</f>
        <v>1</v>
      </c>
      <c r="P57" s="1">
        <f t="shared" si="1"/>
        <v>1</v>
      </c>
      <c r="Q57" s="1">
        <f t="shared" si="2"/>
        <v>240</v>
      </c>
      <c r="R57" s="1">
        <f t="shared" si="3"/>
        <v>2</v>
      </c>
      <c r="S57" s="1">
        <f t="shared" si="4"/>
        <v>1</v>
      </c>
    </row>
    <row r="58" spans="1:19" x14ac:dyDescent="0.15">
      <c r="A58" s="1">
        <v>57</v>
      </c>
      <c r="B58" s="1">
        <v>0</v>
      </c>
      <c r="C58" s="1">
        <f>[1]装备明细!B59</f>
        <v>101030700</v>
      </c>
      <c r="D58" s="1">
        <f t="shared" si="0"/>
        <v>200057</v>
      </c>
      <c r="E58" s="1" t="s">
        <v>63</v>
      </c>
      <c r="F58" s="1" t="str">
        <f ca="1">[1]装备明细!C59&amp;"图纸"</f>
        <v>初级的弓图纸</v>
      </c>
      <c r="G58" s="1" t="str">
        <f ca="1">[1]装备明细!$I59</f>
        <v xml:space="preserve">[40-64]攻击 </v>
      </c>
      <c r="H58" s="1">
        <f t="shared" si="5"/>
        <v>100057</v>
      </c>
      <c r="I58" s="1">
        <v>1</v>
      </c>
      <c r="J58" s="1">
        <f>[1]装备明细!J59</f>
        <v>0</v>
      </c>
      <c r="K58" s="1">
        <f>[1]装备明细!K59</f>
        <v>1</v>
      </c>
      <c r="L58" s="1">
        <f>[1]装备明细!L59</f>
        <v>3</v>
      </c>
      <c r="M58" s="1">
        <v>6</v>
      </c>
      <c r="N58" s="1">
        <f>[1]装备明细!$F62</f>
        <v>1</v>
      </c>
      <c r="O58" s="1">
        <f>[1]装备明细!$E59</f>
        <v>1</v>
      </c>
      <c r="P58" s="1">
        <f t="shared" si="1"/>
        <v>1</v>
      </c>
      <c r="Q58" s="1">
        <f t="shared" si="2"/>
        <v>260</v>
      </c>
      <c r="R58" s="1">
        <f t="shared" si="3"/>
        <v>2</v>
      </c>
      <c r="S58" s="1">
        <f t="shared" si="4"/>
        <v>1</v>
      </c>
    </row>
    <row r="59" spans="1:19" x14ac:dyDescent="0.15">
      <c r="A59" s="1">
        <v>58</v>
      </c>
      <c r="B59" s="1">
        <v>0</v>
      </c>
      <c r="C59" s="1">
        <f>[1]装备明细!B60</f>
        <v>101040700</v>
      </c>
      <c r="D59" s="1">
        <f t="shared" si="0"/>
        <v>200058</v>
      </c>
      <c r="E59" s="1" t="s">
        <v>63</v>
      </c>
      <c r="F59" s="1" t="str">
        <f ca="1">[1]装备明细!C60&amp;"图纸"</f>
        <v>水晶弓图纸</v>
      </c>
      <c r="G59" s="1" t="str">
        <f ca="1">[1]装备明细!$I60</f>
        <v xml:space="preserve">[65-93]攻击 </v>
      </c>
      <c r="H59" s="1">
        <f t="shared" si="5"/>
        <v>100058</v>
      </c>
      <c r="I59" s="1">
        <v>1</v>
      </c>
      <c r="J59" s="1">
        <f>[1]装备明细!J60</f>
        <v>0</v>
      </c>
      <c r="K59" s="1">
        <f>[1]装备明细!K60</f>
        <v>1</v>
      </c>
      <c r="L59" s="1">
        <f>[1]装备明细!L60</f>
        <v>4</v>
      </c>
      <c r="M59" s="1">
        <v>6</v>
      </c>
      <c r="N59" s="1">
        <f>[1]装备明细!$F63</f>
        <v>1</v>
      </c>
      <c r="O59" s="1">
        <f>[1]装备明细!$E60</f>
        <v>1</v>
      </c>
      <c r="P59" s="1">
        <f t="shared" si="1"/>
        <v>1</v>
      </c>
      <c r="Q59" s="1">
        <f t="shared" si="2"/>
        <v>280</v>
      </c>
      <c r="R59" s="1">
        <f t="shared" si="3"/>
        <v>2</v>
      </c>
      <c r="S59" s="1">
        <f t="shared" si="4"/>
        <v>1</v>
      </c>
    </row>
    <row r="60" spans="1:19" x14ac:dyDescent="0.15">
      <c r="A60" s="1">
        <v>59</v>
      </c>
      <c r="B60" s="1">
        <v>0</v>
      </c>
      <c r="C60" s="1">
        <f>[1]装备明细!B61</f>
        <v>101050700</v>
      </c>
      <c r="D60" s="1">
        <f t="shared" si="0"/>
        <v>200059</v>
      </c>
      <c r="E60" s="1" t="s">
        <v>63</v>
      </c>
      <c r="F60" s="1" t="str">
        <f ca="1">[1]装备明细!C61&amp;"图纸"</f>
        <v>青铜弓图纸</v>
      </c>
      <c r="G60" s="1" t="str">
        <f ca="1">[1]装备明细!$I61</f>
        <v xml:space="preserve">[94-126]攻击 </v>
      </c>
      <c r="H60" s="1">
        <f t="shared" si="5"/>
        <v>100059</v>
      </c>
      <c r="I60" s="1">
        <v>1</v>
      </c>
      <c r="J60" s="1">
        <f>[1]装备明细!J61</f>
        <v>0</v>
      </c>
      <c r="K60" s="1">
        <f>[1]装备明细!K61</f>
        <v>1</v>
      </c>
      <c r="L60" s="1">
        <f>[1]装备明细!L61</f>
        <v>5</v>
      </c>
      <c r="M60" s="1">
        <v>6</v>
      </c>
      <c r="N60" s="1">
        <f>[1]装备明细!$F64</f>
        <v>1</v>
      </c>
      <c r="O60" s="1">
        <f>[1]装备明细!$E61</f>
        <v>1</v>
      </c>
      <c r="P60" s="1">
        <f t="shared" si="1"/>
        <v>1</v>
      </c>
      <c r="Q60" s="1">
        <f t="shared" si="2"/>
        <v>300</v>
      </c>
      <c r="R60" s="1">
        <f t="shared" si="3"/>
        <v>2</v>
      </c>
      <c r="S60" s="1">
        <f t="shared" si="4"/>
        <v>1</v>
      </c>
    </row>
    <row r="61" spans="1:19" x14ac:dyDescent="0.15">
      <c r="A61" s="1">
        <v>60</v>
      </c>
      <c r="B61" s="1">
        <v>0</v>
      </c>
      <c r="C61" s="1">
        <f>[1]装备明细!B62</f>
        <v>101060700</v>
      </c>
      <c r="D61" s="1">
        <f t="shared" si="0"/>
        <v>200060</v>
      </c>
      <c r="E61" s="1" t="s">
        <v>63</v>
      </c>
      <c r="F61" s="1" t="str">
        <f ca="1">[1]装备明细!C62&amp;"图纸"</f>
        <v>玄铁弓图纸</v>
      </c>
      <c r="G61" s="1" t="str">
        <f ca="1">[1]装备明细!$I62</f>
        <v xml:space="preserve">[127-163]攻击 </v>
      </c>
      <c r="H61" s="1">
        <f t="shared" si="5"/>
        <v>100060</v>
      </c>
      <c r="I61" s="1">
        <v>1</v>
      </c>
      <c r="J61" s="1">
        <f>[1]装备明细!J62</f>
        <v>0</v>
      </c>
      <c r="K61" s="1">
        <f>[1]装备明细!K62</f>
        <v>1</v>
      </c>
      <c r="L61" s="1">
        <f>[1]装备明细!L62</f>
        <v>6</v>
      </c>
      <c r="M61" s="1">
        <v>6</v>
      </c>
      <c r="N61" s="1">
        <f>[1]装备明细!$F65</f>
        <v>1</v>
      </c>
      <c r="O61" s="1">
        <f>[1]装备明细!$E62</f>
        <v>1</v>
      </c>
      <c r="P61" s="1">
        <f t="shared" si="1"/>
        <v>1</v>
      </c>
      <c r="Q61" s="1">
        <f t="shared" si="2"/>
        <v>320</v>
      </c>
      <c r="R61" s="1">
        <f t="shared" si="3"/>
        <v>2</v>
      </c>
      <c r="S61" s="1">
        <f t="shared" si="4"/>
        <v>1</v>
      </c>
    </row>
    <row r="62" spans="1:19" x14ac:dyDescent="0.15">
      <c r="A62" s="1">
        <v>61</v>
      </c>
      <c r="B62" s="1">
        <v>0</v>
      </c>
      <c r="C62" s="1">
        <f>[1]装备明细!B63</f>
        <v>101070700</v>
      </c>
      <c r="D62" s="1">
        <f t="shared" si="0"/>
        <v>200061</v>
      </c>
      <c r="E62" s="1" t="s">
        <v>63</v>
      </c>
      <c r="F62" s="1" t="str">
        <f ca="1">[1]装备明细!C63&amp;"图纸"</f>
        <v>白银弓图纸</v>
      </c>
      <c r="G62" s="1" t="str">
        <f ca="1">[1]装备明细!$I63</f>
        <v xml:space="preserve">[164-202]攻击 </v>
      </c>
      <c r="H62" s="1">
        <f t="shared" si="5"/>
        <v>100061</v>
      </c>
      <c r="I62" s="1">
        <v>1</v>
      </c>
      <c r="J62" s="1">
        <f>[1]装备明细!J63</f>
        <v>0</v>
      </c>
      <c r="K62" s="1">
        <f>[1]装备明细!K63</f>
        <v>1</v>
      </c>
      <c r="L62" s="1">
        <f>[1]装备明细!L63</f>
        <v>7</v>
      </c>
      <c r="M62" s="1">
        <v>6</v>
      </c>
      <c r="N62" s="1">
        <f>[1]装备明细!$F66</f>
        <v>1</v>
      </c>
      <c r="O62" s="1">
        <f>[1]装备明细!$E63</f>
        <v>1</v>
      </c>
      <c r="P62" s="1">
        <f t="shared" si="1"/>
        <v>1</v>
      </c>
      <c r="Q62" s="1">
        <f t="shared" si="2"/>
        <v>340</v>
      </c>
      <c r="R62" s="1">
        <f t="shared" si="3"/>
        <v>2</v>
      </c>
      <c r="S62" s="1">
        <f t="shared" si="4"/>
        <v>1</v>
      </c>
    </row>
    <row r="63" spans="1:19" x14ac:dyDescent="0.15">
      <c r="A63" s="1">
        <v>62</v>
      </c>
      <c r="B63" s="1">
        <v>0</v>
      </c>
      <c r="C63" s="1">
        <f>[1]装备明细!B64</f>
        <v>101080700</v>
      </c>
      <c r="D63" s="1">
        <f t="shared" si="0"/>
        <v>200062</v>
      </c>
      <c r="E63" s="1" t="s">
        <v>63</v>
      </c>
      <c r="F63" s="1" t="str">
        <f ca="1">[1]装备明细!C64&amp;"图纸"</f>
        <v>异灵弓图纸</v>
      </c>
      <c r="G63" s="1" t="str">
        <f ca="1">[1]装备明细!$I64</f>
        <v xml:space="preserve">[203-246]攻击 </v>
      </c>
      <c r="H63" s="1">
        <f t="shared" si="5"/>
        <v>100062</v>
      </c>
      <c r="I63" s="1">
        <v>1</v>
      </c>
      <c r="J63" s="1">
        <f>[1]装备明细!J64</f>
        <v>0</v>
      </c>
      <c r="K63" s="1">
        <f>[1]装备明细!K64</f>
        <v>1</v>
      </c>
      <c r="L63" s="1">
        <f>[1]装备明细!L64</f>
        <v>8</v>
      </c>
      <c r="M63" s="1">
        <v>6</v>
      </c>
      <c r="N63" s="1">
        <f>[1]装备明细!$F67</f>
        <v>1</v>
      </c>
      <c r="O63" s="1">
        <f>[1]装备明细!$E64</f>
        <v>1</v>
      </c>
      <c r="P63" s="1">
        <f t="shared" si="1"/>
        <v>1</v>
      </c>
      <c r="Q63" s="1">
        <f t="shared" si="2"/>
        <v>360</v>
      </c>
      <c r="R63" s="1">
        <f t="shared" si="3"/>
        <v>2</v>
      </c>
      <c r="S63" s="1">
        <f t="shared" si="4"/>
        <v>1</v>
      </c>
    </row>
    <row r="64" spans="1:19" x14ac:dyDescent="0.15">
      <c r="A64" s="1">
        <v>63</v>
      </c>
      <c r="B64" s="1">
        <v>0</v>
      </c>
      <c r="C64" s="1">
        <f>[1]装备明细!B65</f>
        <v>101090700</v>
      </c>
      <c r="D64" s="1">
        <f t="shared" si="0"/>
        <v>200063</v>
      </c>
      <c r="E64" s="1" t="s">
        <v>63</v>
      </c>
      <c r="F64" s="1" t="str">
        <f ca="1">[1]装备明细!C65&amp;"图纸"</f>
        <v>流星弓图纸</v>
      </c>
      <c r="G64" s="1" t="str">
        <f ca="1">[1]装备明细!$I65</f>
        <v xml:space="preserve">[247-293]攻击 </v>
      </c>
      <c r="H64" s="1">
        <f t="shared" si="5"/>
        <v>100063</v>
      </c>
      <c r="I64" s="1">
        <v>1</v>
      </c>
      <c r="J64" s="1">
        <f>[1]装备明细!J65</f>
        <v>0</v>
      </c>
      <c r="K64" s="1">
        <f>[1]装备明细!K65</f>
        <v>1</v>
      </c>
      <c r="L64" s="1">
        <f>[1]装备明细!L65</f>
        <v>9</v>
      </c>
      <c r="M64" s="1">
        <v>6</v>
      </c>
      <c r="N64" s="1">
        <f>[1]装备明细!$F68</f>
        <v>1</v>
      </c>
      <c r="O64" s="1">
        <f>[1]装备明细!$E65</f>
        <v>1</v>
      </c>
      <c r="P64" s="1">
        <f t="shared" si="1"/>
        <v>1</v>
      </c>
      <c r="Q64" s="1">
        <f t="shared" si="2"/>
        <v>380</v>
      </c>
      <c r="R64" s="1">
        <f t="shared" si="3"/>
        <v>2</v>
      </c>
      <c r="S64" s="1">
        <f t="shared" si="4"/>
        <v>1</v>
      </c>
    </row>
    <row r="65" spans="1:19" x14ac:dyDescent="0.15">
      <c r="A65" s="1">
        <v>64</v>
      </c>
      <c r="B65" s="1">
        <v>0</v>
      </c>
      <c r="C65" s="1">
        <f>[1]装备明细!B66</f>
        <v>101010800</v>
      </c>
      <c r="D65" s="1">
        <f t="shared" si="0"/>
        <v>200064</v>
      </c>
      <c r="E65" s="1" t="s">
        <v>63</v>
      </c>
      <c r="F65" s="1" t="str">
        <f ca="1">[1]装备明细!C66&amp;"图纸"</f>
        <v>破旧的烟斗图纸</v>
      </c>
      <c r="G65" s="1" t="str">
        <f ca="1">[1]装备明细!$I66</f>
        <v xml:space="preserve">[1-18]攻击 </v>
      </c>
      <c r="H65" s="1">
        <f t="shared" si="5"/>
        <v>100064</v>
      </c>
      <c r="I65" s="1">
        <v>1</v>
      </c>
      <c r="J65" s="1">
        <f>[1]装备明细!J66</f>
        <v>0</v>
      </c>
      <c r="K65" s="1">
        <f>[1]装备明细!K66</f>
        <v>1</v>
      </c>
      <c r="L65" s="1">
        <f>[1]装备明细!L66</f>
        <v>1</v>
      </c>
      <c r="M65" s="1">
        <v>6</v>
      </c>
      <c r="N65" s="1">
        <f>[1]装备明细!$F69</f>
        <v>1</v>
      </c>
      <c r="O65" s="1">
        <f>[1]装备明细!$E66</f>
        <v>1</v>
      </c>
      <c r="P65" s="1">
        <f t="shared" si="1"/>
        <v>1</v>
      </c>
      <c r="Q65" s="1">
        <f t="shared" si="2"/>
        <v>220</v>
      </c>
      <c r="R65" s="1">
        <f t="shared" si="3"/>
        <v>2</v>
      </c>
      <c r="S65" s="1">
        <f t="shared" si="4"/>
        <v>1</v>
      </c>
    </row>
    <row r="66" spans="1:19" x14ac:dyDescent="0.15">
      <c r="A66" s="1">
        <v>65</v>
      </c>
      <c r="B66" s="1">
        <v>0</v>
      </c>
      <c r="C66" s="1">
        <f>[1]装备明细!B67</f>
        <v>101020800</v>
      </c>
      <c r="D66" s="1">
        <f t="shared" si="0"/>
        <v>200065</v>
      </c>
      <c r="E66" s="1" t="s">
        <v>63</v>
      </c>
      <c r="F66" s="1" t="str">
        <f ca="1">[1]装备明细!C67&amp;"图纸"</f>
        <v>普通的烟斗图纸</v>
      </c>
      <c r="G66" s="1" t="str">
        <f ca="1">[1]装备明细!$I67</f>
        <v xml:space="preserve">[19-39]攻击 </v>
      </c>
      <c r="H66" s="1">
        <f t="shared" si="5"/>
        <v>100065</v>
      </c>
      <c r="I66" s="1">
        <v>1</v>
      </c>
      <c r="J66" s="1">
        <f>[1]装备明细!J67</f>
        <v>0</v>
      </c>
      <c r="K66" s="1">
        <f>[1]装备明细!K67</f>
        <v>1</v>
      </c>
      <c r="L66" s="1">
        <f>[1]装备明细!L67</f>
        <v>2</v>
      </c>
      <c r="M66" s="1">
        <v>6</v>
      </c>
      <c r="N66" s="1">
        <f>[1]装备明细!$F70</f>
        <v>1</v>
      </c>
      <c r="O66" s="1">
        <f>[1]装备明细!$E67</f>
        <v>1</v>
      </c>
      <c r="P66" s="1">
        <f t="shared" si="1"/>
        <v>1</v>
      </c>
      <c r="Q66" s="1">
        <f t="shared" si="2"/>
        <v>240</v>
      </c>
      <c r="R66" s="1">
        <f t="shared" si="3"/>
        <v>2</v>
      </c>
      <c r="S66" s="1">
        <f t="shared" si="4"/>
        <v>1</v>
      </c>
    </row>
    <row r="67" spans="1:19" x14ac:dyDescent="0.15">
      <c r="A67" s="1">
        <v>66</v>
      </c>
      <c r="B67" s="1">
        <v>0</v>
      </c>
      <c r="C67" s="1">
        <f>[1]装备明细!B68</f>
        <v>101030800</v>
      </c>
      <c r="D67" s="1">
        <f t="shared" ref="D67:D130" si="6">H67+100000</f>
        <v>200066</v>
      </c>
      <c r="E67" s="1" t="s">
        <v>63</v>
      </c>
      <c r="F67" s="1" t="str">
        <f ca="1">[1]装备明细!C68&amp;"图纸"</f>
        <v>初级的烟斗图纸</v>
      </c>
      <c r="G67" s="1" t="str">
        <f ca="1">[1]装备明细!$I68</f>
        <v xml:space="preserve">[40-64]攻击 </v>
      </c>
      <c r="H67" s="1">
        <f t="shared" si="5"/>
        <v>100066</v>
      </c>
      <c r="I67" s="1">
        <v>1</v>
      </c>
      <c r="J67" s="1">
        <f>[1]装备明细!J68</f>
        <v>0</v>
      </c>
      <c r="K67" s="1">
        <f>[1]装备明细!K68</f>
        <v>1</v>
      </c>
      <c r="L67" s="1">
        <f>[1]装备明细!L68</f>
        <v>3</v>
      </c>
      <c r="M67" s="1">
        <v>6</v>
      </c>
      <c r="N67" s="1">
        <f>[1]装备明细!$F71</f>
        <v>1</v>
      </c>
      <c r="O67" s="1">
        <f>[1]装备明细!$E68</f>
        <v>1</v>
      </c>
      <c r="P67" s="1">
        <f t="shared" ref="P67:P130" si="7">O67</f>
        <v>1</v>
      </c>
      <c r="Q67" s="1">
        <f t="shared" ref="Q67:Q130" si="8">O67*200+L67*20</f>
        <v>260</v>
      </c>
      <c r="R67" s="1">
        <f t="shared" ref="R67:R130" si="9">IF(--MID(C67,1,1)=1,IF(S67=1,2,19),IF(S67=1,2,14))</f>
        <v>2</v>
      </c>
      <c r="S67" s="1">
        <f t="shared" ref="S67:S130" si="10">--MID(C67,2,2)</f>
        <v>1</v>
      </c>
    </row>
    <row r="68" spans="1:19" x14ac:dyDescent="0.15">
      <c r="A68" s="1">
        <v>67</v>
      </c>
      <c r="B68" s="1">
        <v>0</v>
      </c>
      <c r="C68" s="1">
        <f>[1]装备明细!B69</f>
        <v>101040800</v>
      </c>
      <c r="D68" s="1">
        <f t="shared" si="6"/>
        <v>200067</v>
      </c>
      <c r="E68" s="1" t="s">
        <v>63</v>
      </c>
      <c r="F68" s="1" t="str">
        <f ca="1">[1]装备明细!C69&amp;"图纸"</f>
        <v>水晶烟斗图纸</v>
      </c>
      <c r="G68" s="1" t="str">
        <f ca="1">[1]装备明细!$I69</f>
        <v xml:space="preserve">[65-93]攻击 </v>
      </c>
      <c r="H68" s="1">
        <f t="shared" ref="H68:H131" si="11">H67+1</f>
        <v>100067</v>
      </c>
      <c r="I68" s="1">
        <v>1</v>
      </c>
      <c r="J68" s="1">
        <f>[1]装备明细!J69</f>
        <v>0</v>
      </c>
      <c r="K68" s="1">
        <f>[1]装备明细!K69</f>
        <v>1</v>
      </c>
      <c r="L68" s="1">
        <f>[1]装备明细!L69</f>
        <v>4</v>
      </c>
      <c r="M68" s="1">
        <v>6</v>
      </c>
      <c r="N68" s="1">
        <f>[1]装备明细!$F72</f>
        <v>1</v>
      </c>
      <c r="O68" s="1">
        <f>[1]装备明细!$E69</f>
        <v>1</v>
      </c>
      <c r="P68" s="1">
        <f t="shared" si="7"/>
        <v>1</v>
      </c>
      <c r="Q68" s="1">
        <f t="shared" si="8"/>
        <v>280</v>
      </c>
      <c r="R68" s="1">
        <f t="shared" si="9"/>
        <v>2</v>
      </c>
      <c r="S68" s="1">
        <f t="shared" si="10"/>
        <v>1</v>
      </c>
    </row>
    <row r="69" spans="1:19" x14ac:dyDescent="0.15">
      <c r="A69" s="1">
        <v>68</v>
      </c>
      <c r="B69" s="1">
        <v>0</v>
      </c>
      <c r="C69" s="1">
        <f>[1]装备明细!B70</f>
        <v>101050800</v>
      </c>
      <c r="D69" s="1">
        <f t="shared" si="6"/>
        <v>200068</v>
      </c>
      <c r="E69" s="1" t="s">
        <v>63</v>
      </c>
      <c r="F69" s="1" t="str">
        <f ca="1">[1]装备明细!C70&amp;"图纸"</f>
        <v>青铜烟斗图纸</v>
      </c>
      <c r="G69" s="1" t="str">
        <f ca="1">[1]装备明细!$I70</f>
        <v xml:space="preserve">[94-126]攻击 </v>
      </c>
      <c r="H69" s="1">
        <f t="shared" si="11"/>
        <v>100068</v>
      </c>
      <c r="I69" s="1">
        <v>1</v>
      </c>
      <c r="J69" s="1">
        <f>[1]装备明细!J70</f>
        <v>0</v>
      </c>
      <c r="K69" s="1">
        <f>[1]装备明细!K70</f>
        <v>1</v>
      </c>
      <c r="L69" s="1">
        <f>[1]装备明细!L70</f>
        <v>5</v>
      </c>
      <c r="M69" s="1">
        <v>6</v>
      </c>
      <c r="N69" s="1">
        <f>[1]装备明细!$F73</f>
        <v>1</v>
      </c>
      <c r="O69" s="1">
        <f>[1]装备明细!$E70</f>
        <v>1</v>
      </c>
      <c r="P69" s="1">
        <f t="shared" si="7"/>
        <v>1</v>
      </c>
      <c r="Q69" s="1">
        <f t="shared" si="8"/>
        <v>300</v>
      </c>
      <c r="R69" s="1">
        <f t="shared" si="9"/>
        <v>2</v>
      </c>
      <c r="S69" s="1">
        <f t="shared" si="10"/>
        <v>1</v>
      </c>
    </row>
    <row r="70" spans="1:19" x14ac:dyDescent="0.15">
      <c r="A70" s="1">
        <v>69</v>
      </c>
      <c r="B70" s="1">
        <v>0</v>
      </c>
      <c r="C70" s="1">
        <f>[1]装备明细!B71</f>
        <v>101060800</v>
      </c>
      <c r="D70" s="1">
        <f t="shared" si="6"/>
        <v>200069</v>
      </c>
      <c r="E70" s="1" t="s">
        <v>63</v>
      </c>
      <c r="F70" s="1" t="str">
        <f ca="1">[1]装备明细!C71&amp;"图纸"</f>
        <v>玄铁烟斗图纸</v>
      </c>
      <c r="G70" s="1" t="str">
        <f ca="1">[1]装备明细!$I71</f>
        <v xml:space="preserve">[127-163]攻击 </v>
      </c>
      <c r="H70" s="1">
        <f t="shared" si="11"/>
        <v>100069</v>
      </c>
      <c r="I70" s="1">
        <v>1</v>
      </c>
      <c r="J70" s="1">
        <f>[1]装备明细!J71</f>
        <v>0</v>
      </c>
      <c r="K70" s="1">
        <f>[1]装备明细!K71</f>
        <v>1</v>
      </c>
      <c r="L70" s="1">
        <f>[1]装备明细!L71</f>
        <v>6</v>
      </c>
      <c r="M70" s="1">
        <v>6</v>
      </c>
      <c r="N70" s="1">
        <f>[1]装备明细!$F74</f>
        <v>1</v>
      </c>
      <c r="O70" s="1">
        <f>[1]装备明细!$E71</f>
        <v>1</v>
      </c>
      <c r="P70" s="1">
        <f t="shared" si="7"/>
        <v>1</v>
      </c>
      <c r="Q70" s="1">
        <f t="shared" si="8"/>
        <v>320</v>
      </c>
      <c r="R70" s="1">
        <f t="shared" si="9"/>
        <v>2</v>
      </c>
      <c r="S70" s="1">
        <f t="shared" si="10"/>
        <v>1</v>
      </c>
    </row>
    <row r="71" spans="1:19" x14ac:dyDescent="0.15">
      <c r="A71" s="1">
        <v>70</v>
      </c>
      <c r="B71" s="1">
        <v>0</v>
      </c>
      <c r="C71" s="1">
        <f>[1]装备明细!B72</f>
        <v>101070800</v>
      </c>
      <c r="D71" s="1">
        <f t="shared" si="6"/>
        <v>200070</v>
      </c>
      <c r="E71" s="1" t="s">
        <v>63</v>
      </c>
      <c r="F71" s="1" t="str">
        <f ca="1">[1]装备明细!C72&amp;"图纸"</f>
        <v>白银烟斗图纸</v>
      </c>
      <c r="G71" s="1" t="str">
        <f ca="1">[1]装备明细!$I72</f>
        <v xml:space="preserve">[164-202]攻击 </v>
      </c>
      <c r="H71" s="1">
        <f t="shared" si="11"/>
        <v>100070</v>
      </c>
      <c r="I71" s="1">
        <v>1</v>
      </c>
      <c r="J71" s="1">
        <f>[1]装备明细!J72</f>
        <v>0</v>
      </c>
      <c r="K71" s="1">
        <f>[1]装备明细!K72</f>
        <v>1</v>
      </c>
      <c r="L71" s="1">
        <f>[1]装备明细!L72</f>
        <v>7</v>
      </c>
      <c r="M71" s="1">
        <v>6</v>
      </c>
      <c r="N71" s="1">
        <f>[1]装备明细!$F75</f>
        <v>1</v>
      </c>
      <c r="O71" s="1">
        <f>[1]装备明细!$E72</f>
        <v>1</v>
      </c>
      <c r="P71" s="1">
        <f t="shared" si="7"/>
        <v>1</v>
      </c>
      <c r="Q71" s="1">
        <f t="shared" si="8"/>
        <v>340</v>
      </c>
      <c r="R71" s="1">
        <f t="shared" si="9"/>
        <v>2</v>
      </c>
      <c r="S71" s="1">
        <f t="shared" si="10"/>
        <v>1</v>
      </c>
    </row>
    <row r="72" spans="1:19" x14ac:dyDescent="0.15">
      <c r="A72" s="1">
        <v>71</v>
      </c>
      <c r="B72" s="1">
        <v>0</v>
      </c>
      <c r="C72" s="1">
        <f>[1]装备明细!B73</f>
        <v>101080800</v>
      </c>
      <c r="D72" s="1">
        <f t="shared" si="6"/>
        <v>200071</v>
      </c>
      <c r="E72" s="1" t="s">
        <v>63</v>
      </c>
      <c r="F72" s="1" t="str">
        <f ca="1">[1]装备明细!C73&amp;"图纸"</f>
        <v>异灵烟斗图纸</v>
      </c>
      <c r="G72" s="1" t="str">
        <f ca="1">[1]装备明细!$I73</f>
        <v xml:space="preserve">[203-246]攻击 </v>
      </c>
      <c r="H72" s="1">
        <f t="shared" si="11"/>
        <v>100071</v>
      </c>
      <c r="I72" s="1">
        <v>1</v>
      </c>
      <c r="J72" s="1">
        <f>[1]装备明细!J73</f>
        <v>0</v>
      </c>
      <c r="K72" s="1">
        <f>[1]装备明细!K73</f>
        <v>1</v>
      </c>
      <c r="L72" s="1">
        <f>[1]装备明细!L73</f>
        <v>8</v>
      </c>
      <c r="M72" s="1">
        <v>6</v>
      </c>
      <c r="N72" s="1">
        <f>[1]装备明细!$F76</f>
        <v>1</v>
      </c>
      <c r="O72" s="1">
        <f>[1]装备明细!$E73</f>
        <v>1</v>
      </c>
      <c r="P72" s="1">
        <f t="shared" si="7"/>
        <v>1</v>
      </c>
      <c r="Q72" s="1">
        <f t="shared" si="8"/>
        <v>360</v>
      </c>
      <c r="R72" s="1">
        <f t="shared" si="9"/>
        <v>2</v>
      </c>
      <c r="S72" s="1">
        <f t="shared" si="10"/>
        <v>1</v>
      </c>
    </row>
    <row r="73" spans="1:19" x14ac:dyDescent="0.15">
      <c r="A73" s="1">
        <v>72</v>
      </c>
      <c r="B73" s="1">
        <v>0</v>
      </c>
      <c r="C73" s="1">
        <f>[1]装备明细!B74</f>
        <v>101090800</v>
      </c>
      <c r="D73" s="1">
        <f t="shared" si="6"/>
        <v>200072</v>
      </c>
      <c r="E73" s="1" t="s">
        <v>63</v>
      </c>
      <c r="F73" s="1" t="str">
        <f ca="1">[1]装备明细!C74&amp;"图纸"</f>
        <v>流星烟斗图纸</v>
      </c>
      <c r="G73" s="1" t="str">
        <f ca="1">[1]装备明细!$I74</f>
        <v xml:space="preserve">[247-293]攻击 </v>
      </c>
      <c r="H73" s="1">
        <f t="shared" si="11"/>
        <v>100072</v>
      </c>
      <c r="I73" s="1">
        <v>1</v>
      </c>
      <c r="J73" s="1">
        <f>[1]装备明细!J74</f>
        <v>0</v>
      </c>
      <c r="K73" s="1">
        <f>[1]装备明细!K74</f>
        <v>1</v>
      </c>
      <c r="L73" s="1">
        <f>[1]装备明细!L74</f>
        <v>9</v>
      </c>
      <c r="M73" s="1">
        <v>6</v>
      </c>
      <c r="N73" s="1">
        <f>[1]装备明细!$F77</f>
        <v>1</v>
      </c>
      <c r="O73" s="1">
        <f>[1]装备明细!$E74</f>
        <v>1</v>
      </c>
      <c r="P73" s="1">
        <f t="shared" si="7"/>
        <v>1</v>
      </c>
      <c r="Q73" s="1">
        <f t="shared" si="8"/>
        <v>380</v>
      </c>
      <c r="R73" s="1">
        <f t="shared" si="9"/>
        <v>2</v>
      </c>
      <c r="S73" s="1">
        <f t="shared" si="10"/>
        <v>1</v>
      </c>
    </row>
    <row r="74" spans="1:19" x14ac:dyDescent="0.15">
      <c r="A74" s="1">
        <v>73</v>
      </c>
      <c r="B74" s="1">
        <v>0</v>
      </c>
      <c r="C74" s="1">
        <f>[1]装备明细!B75</f>
        <v>101010900</v>
      </c>
      <c r="D74" s="1">
        <f t="shared" si="6"/>
        <v>200073</v>
      </c>
      <c r="E74" s="1" t="s">
        <v>63</v>
      </c>
      <c r="F74" s="1" t="str">
        <f ca="1">[1]装备明细!C75&amp;"图纸"</f>
        <v>破旧的扇子图纸</v>
      </c>
      <c r="G74" s="1" t="str">
        <f ca="1">[1]装备明细!$I75</f>
        <v xml:space="preserve">[1-18]攻击 </v>
      </c>
      <c r="H74" s="1">
        <f t="shared" si="11"/>
        <v>100073</v>
      </c>
      <c r="I74" s="1">
        <v>1</v>
      </c>
      <c r="J74" s="1">
        <f>[1]装备明细!J75</f>
        <v>0</v>
      </c>
      <c r="K74" s="1">
        <f>[1]装备明细!K75</f>
        <v>1</v>
      </c>
      <c r="L74" s="1">
        <f>[1]装备明细!L75</f>
        <v>1</v>
      </c>
      <c r="M74" s="1">
        <v>6</v>
      </c>
      <c r="N74" s="1">
        <f>[1]装备明细!$F78</f>
        <v>1</v>
      </c>
      <c r="O74" s="1">
        <f>[1]装备明细!$E75</f>
        <v>1</v>
      </c>
      <c r="P74" s="1">
        <f t="shared" si="7"/>
        <v>1</v>
      </c>
      <c r="Q74" s="1">
        <f t="shared" si="8"/>
        <v>220</v>
      </c>
      <c r="R74" s="1">
        <f t="shared" si="9"/>
        <v>2</v>
      </c>
      <c r="S74" s="1">
        <f t="shared" si="10"/>
        <v>1</v>
      </c>
    </row>
    <row r="75" spans="1:19" x14ac:dyDescent="0.15">
      <c r="A75" s="1">
        <v>74</v>
      </c>
      <c r="B75" s="1">
        <v>0</v>
      </c>
      <c r="C75" s="1">
        <f>[1]装备明细!B76</f>
        <v>101020900</v>
      </c>
      <c r="D75" s="1">
        <f t="shared" si="6"/>
        <v>200074</v>
      </c>
      <c r="E75" s="1" t="s">
        <v>63</v>
      </c>
      <c r="F75" s="1" t="str">
        <f ca="1">[1]装备明细!C76&amp;"图纸"</f>
        <v>普通的扇子图纸</v>
      </c>
      <c r="G75" s="1" t="str">
        <f ca="1">[1]装备明细!$I76</f>
        <v xml:space="preserve">[19-39]攻击 </v>
      </c>
      <c r="H75" s="1">
        <f t="shared" si="11"/>
        <v>100074</v>
      </c>
      <c r="I75" s="1">
        <v>1</v>
      </c>
      <c r="J75" s="1">
        <f>[1]装备明细!J76</f>
        <v>0</v>
      </c>
      <c r="K75" s="1">
        <f>[1]装备明细!K76</f>
        <v>1</v>
      </c>
      <c r="L75" s="1">
        <f>[1]装备明细!L76</f>
        <v>2</v>
      </c>
      <c r="M75" s="1">
        <v>6</v>
      </c>
      <c r="N75" s="1">
        <f>[1]装备明细!$F79</f>
        <v>1</v>
      </c>
      <c r="O75" s="1">
        <f>[1]装备明细!$E76</f>
        <v>1</v>
      </c>
      <c r="P75" s="1">
        <f t="shared" si="7"/>
        <v>1</v>
      </c>
      <c r="Q75" s="1">
        <f t="shared" si="8"/>
        <v>240</v>
      </c>
      <c r="R75" s="1">
        <f t="shared" si="9"/>
        <v>2</v>
      </c>
      <c r="S75" s="1">
        <f t="shared" si="10"/>
        <v>1</v>
      </c>
    </row>
    <row r="76" spans="1:19" x14ac:dyDescent="0.15">
      <c r="A76" s="1">
        <v>75</v>
      </c>
      <c r="B76" s="1">
        <v>0</v>
      </c>
      <c r="C76" s="1">
        <f>[1]装备明细!B77</f>
        <v>101030900</v>
      </c>
      <c r="D76" s="1">
        <f t="shared" si="6"/>
        <v>200075</v>
      </c>
      <c r="E76" s="1" t="s">
        <v>63</v>
      </c>
      <c r="F76" s="1" t="str">
        <f ca="1">[1]装备明细!C77&amp;"图纸"</f>
        <v>初级的扇子图纸</v>
      </c>
      <c r="G76" s="1" t="str">
        <f ca="1">[1]装备明细!$I77</f>
        <v xml:space="preserve">[40-64]攻击 </v>
      </c>
      <c r="H76" s="1">
        <f t="shared" si="11"/>
        <v>100075</v>
      </c>
      <c r="I76" s="1">
        <v>1</v>
      </c>
      <c r="J76" s="1">
        <f>[1]装备明细!J77</f>
        <v>0</v>
      </c>
      <c r="K76" s="1">
        <f>[1]装备明细!K77</f>
        <v>1</v>
      </c>
      <c r="L76" s="1">
        <f>[1]装备明细!L77</f>
        <v>3</v>
      </c>
      <c r="M76" s="1">
        <v>6</v>
      </c>
      <c r="N76" s="1">
        <f>[1]装备明细!$F80</f>
        <v>1</v>
      </c>
      <c r="O76" s="1">
        <f>[1]装备明细!$E77</f>
        <v>1</v>
      </c>
      <c r="P76" s="1">
        <f t="shared" si="7"/>
        <v>1</v>
      </c>
      <c r="Q76" s="1">
        <f t="shared" si="8"/>
        <v>260</v>
      </c>
      <c r="R76" s="1">
        <f t="shared" si="9"/>
        <v>2</v>
      </c>
      <c r="S76" s="1">
        <f t="shared" si="10"/>
        <v>1</v>
      </c>
    </row>
    <row r="77" spans="1:19" x14ac:dyDescent="0.15">
      <c r="A77" s="1">
        <v>76</v>
      </c>
      <c r="B77" s="1">
        <v>0</v>
      </c>
      <c r="C77" s="1">
        <f>[1]装备明细!B78</f>
        <v>101040900</v>
      </c>
      <c r="D77" s="1">
        <f t="shared" si="6"/>
        <v>200076</v>
      </c>
      <c r="E77" s="1" t="s">
        <v>63</v>
      </c>
      <c r="F77" s="1" t="str">
        <f ca="1">[1]装备明细!C78&amp;"图纸"</f>
        <v>水晶扇子图纸</v>
      </c>
      <c r="G77" s="1" t="str">
        <f ca="1">[1]装备明细!$I78</f>
        <v xml:space="preserve">[65-93]攻击 </v>
      </c>
      <c r="H77" s="1">
        <f t="shared" si="11"/>
        <v>100076</v>
      </c>
      <c r="I77" s="1">
        <v>1</v>
      </c>
      <c r="J77" s="1">
        <f>[1]装备明细!J78</f>
        <v>0</v>
      </c>
      <c r="K77" s="1">
        <f>[1]装备明细!K78</f>
        <v>1</v>
      </c>
      <c r="L77" s="1">
        <f>[1]装备明细!L78</f>
        <v>4</v>
      </c>
      <c r="M77" s="1">
        <v>6</v>
      </c>
      <c r="N77" s="1">
        <f>[1]装备明细!$F81</f>
        <v>1</v>
      </c>
      <c r="O77" s="1">
        <f>[1]装备明细!$E78</f>
        <v>1</v>
      </c>
      <c r="P77" s="1">
        <f t="shared" si="7"/>
        <v>1</v>
      </c>
      <c r="Q77" s="1">
        <f t="shared" si="8"/>
        <v>280</v>
      </c>
      <c r="R77" s="1">
        <f t="shared" si="9"/>
        <v>2</v>
      </c>
      <c r="S77" s="1">
        <f t="shared" si="10"/>
        <v>1</v>
      </c>
    </row>
    <row r="78" spans="1:19" x14ac:dyDescent="0.15">
      <c r="A78" s="1">
        <v>77</v>
      </c>
      <c r="B78" s="1">
        <v>0</v>
      </c>
      <c r="C78" s="1">
        <f>[1]装备明细!B79</f>
        <v>101050900</v>
      </c>
      <c r="D78" s="1">
        <f t="shared" si="6"/>
        <v>200077</v>
      </c>
      <c r="E78" s="1" t="s">
        <v>63</v>
      </c>
      <c r="F78" s="1" t="str">
        <f ca="1">[1]装备明细!C79&amp;"图纸"</f>
        <v>青铜扇子图纸</v>
      </c>
      <c r="G78" s="1" t="str">
        <f ca="1">[1]装备明细!$I79</f>
        <v xml:space="preserve">[94-126]攻击 </v>
      </c>
      <c r="H78" s="1">
        <f t="shared" si="11"/>
        <v>100077</v>
      </c>
      <c r="I78" s="1">
        <v>1</v>
      </c>
      <c r="J78" s="1">
        <f>[1]装备明细!J79</f>
        <v>0</v>
      </c>
      <c r="K78" s="1">
        <f>[1]装备明细!K79</f>
        <v>1</v>
      </c>
      <c r="L78" s="1">
        <f>[1]装备明细!L79</f>
        <v>5</v>
      </c>
      <c r="M78" s="1">
        <v>6</v>
      </c>
      <c r="N78" s="1">
        <f>[1]装备明细!$F82</f>
        <v>1</v>
      </c>
      <c r="O78" s="1">
        <f>[1]装备明细!$E79</f>
        <v>1</v>
      </c>
      <c r="P78" s="1">
        <f t="shared" si="7"/>
        <v>1</v>
      </c>
      <c r="Q78" s="1">
        <f t="shared" si="8"/>
        <v>300</v>
      </c>
      <c r="R78" s="1">
        <f t="shared" si="9"/>
        <v>2</v>
      </c>
      <c r="S78" s="1">
        <f t="shared" si="10"/>
        <v>1</v>
      </c>
    </row>
    <row r="79" spans="1:19" x14ac:dyDescent="0.15">
      <c r="A79" s="1">
        <v>78</v>
      </c>
      <c r="B79" s="1">
        <v>0</v>
      </c>
      <c r="C79" s="1">
        <f>[1]装备明细!B80</f>
        <v>101060900</v>
      </c>
      <c r="D79" s="1">
        <f t="shared" si="6"/>
        <v>200078</v>
      </c>
      <c r="E79" s="1" t="s">
        <v>63</v>
      </c>
      <c r="F79" s="1" t="str">
        <f ca="1">[1]装备明细!C80&amp;"图纸"</f>
        <v>玄铁扇子图纸</v>
      </c>
      <c r="G79" s="1" t="str">
        <f ca="1">[1]装备明细!$I80</f>
        <v xml:space="preserve">[127-163]攻击 </v>
      </c>
      <c r="H79" s="1">
        <f t="shared" si="11"/>
        <v>100078</v>
      </c>
      <c r="I79" s="1">
        <v>1</v>
      </c>
      <c r="J79" s="1">
        <f>[1]装备明细!J80</f>
        <v>0</v>
      </c>
      <c r="K79" s="1">
        <f>[1]装备明细!K80</f>
        <v>1</v>
      </c>
      <c r="L79" s="1">
        <f>[1]装备明细!L80</f>
        <v>6</v>
      </c>
      <c r="M79" s="1">
        <v>6</v>
      </c>
      <c r="N79" s="1">
        <f>[1]装备明细!$F83</f>
        <v>1</v>
      </c>
      <c r="O79" s="1">
        <f>[1]装备明细!$E80</f>
        <v>1</v>
      </c>
      <c r="P79" s="1">
        <f t="shared" si="7"/>
        <v>1</v>
      </c>
      <c r="Q79" s="1">
        <f t="shared" si="8"/>
        <v>320</v>
      </c>
      <c r="R79" s="1">
        <f t="shared" si="9"/>
        <v>2</v>
      </c>
      <c r="S79" s="1">
        <f t="shared" si="10"/>
        <v>1</v>
      </c>
    </row>
    <row r="80" spans="1:19" x14ac:dyDescent="0.15">
      <c r="A80" s="1">
        <v>79</v>
      </c>
      <c r="B80" s="1">
        <v>0</v>
      </c>
      <c r="C80" s="1">
        <f>[1]装备明细!B81</f>
        <v>101070900</v>
      </c>
      <c r="D80" s="1">
        <f t="shared" si="6"/>
        <v>200079</v>
      </c>
      <c r="E80" s="1" t="s">
        <v>63</v>
      </c>
      <c r="F80" s="1" t="str">
        <f ca="1">[1]装备明细!C81&amp;"图纸"</f>
        <v>白银扇子图纸</v>
      </c>
      <c r="G80" s="1" t="str">
        <f ca="1">[1]装备明细!$I81</f>
        <v xml:space="preserve">[164-202]攻击 </v>
      </c>
      <c r="H80" s="1">
        <f t="shared" si="11"/>
        <v>100079</v>
      </c>
      <c r="I80" s="1">
        <v>1</v>
      </c>
      <c r="J80" s="1">
        <f>[1]装备明细!J81</f>
        <v>0</v>
      </c>
      <c r="K80" s="1">
        <f>[1]装备明细!K81</f>
        <v>1</v>
      </c>
      <c r="L80" s="1">
        <f>[1]装备明细!L81</f>
        <v>7</v>
      </c>
      <c r="M80" s="1">
        <v>6</v>
      </c>
      <c r="N80" s="1">
        <f>[1]装备明细!$F84</f>
        <v>1</v>
      </c>
      <c r="O80" s="1">
        <f>[1]装备明细!$E81</f>
        <v>1</v>
      </c>
      <c r="P80" s="1">
        <f t="shared" si="7"/>
        <v>1</v>
      </c>
      <c r="Q80" s="1">
        <f t="shared" si="8"/>
        <v>340</v>
      </c>
      <c r="R80" s="1">
        <f t="shared" si="9"/>
        <v>2</v>
      </c>
      <c r="S80" s="1">
        <f t="shared" si="10"/>
        <v>1</v>
      </c>
    </row>
    <row r="81" spans="1:19" x14ac:dyDescent="0.15">
      <c r="A81" s="1">
        <v>80</v>
      </c>
      <c r="B81" s="1">
        <v>0</v>
      </c>
      <c r="C81" s="1">
        <f>[1]装备明细!B82</f>
        <v>101080900</v>
      </c>
      <c r="D81" s="1">
        <f t="shared" si="6"/>
        <v>200080</v>
      </c>
      <c r="E81" s="1" t="s">
        <v>63</v>
      </c>
      <c r="F81" s="1" t="str">
        <f ca="1">[1]装备明细!C82&amp;"图纸"</f>
        <v>异灵扇子图纸</v>
      </c>
      <c r="G81" s="1" t="str">
        <f ca="1">[1]装备明细!$I82</f>
        <v xml:space="preserve">[203-246]攻击 </v>
      </c>
      <c r="H81" s="1">
        <f t="shared" si="11"/>
        <v>100080</v>
      </c>
      <c r="I81" s="1">
        <v>1</v>
      </c>
      <c r="J81" s="1">
        <f>[1]装备明细!J82</f>
        <v>0</v>
      </c>
      <c r="K81" s="1">
        <f>[1]装备明细!K82</f>
        <v>1</v>
      </c>
      <c r="L81" s="1">
        <f>[1]装备明细!L82</f>
        <v>8</v>
      </c>
      <c r="M81" s="1">
        <v>6</v>
      </c>
      <c r="N81" s="1">
        <f>[1]装备明细!$F85</f>
        <v>1</v>
      </c>
      <c r="O81" s="1">
        <f>[1]装备明细!$E82</f>
        <v>1</v>
      </c>
      <c r="P81" s="1">
        <f t="shared" si="7"/>
        <v>1</v>
      </c>
      <c r="Q81" s="1">
        <f t="shared" si="8"/>
        <v>360</v>
      </c>
      <c r="R81" s="1">
        <f t="shared" si="9"/>
        <v>2</v>
      </c>
      <c r="S81" s="1">
        <f t="shared" si="10"/>
        <v>1</v>
      </c>
    </row>
    <row r="82" spans="1:19" x14ac:dyDescent="0.15">
      <c r="A82" s="1">
        <v>81</v>
      </c>
      <c r="B82" s="1">
        <v>0</v>
      </c>
      <c r="C82" s="1">
        <f>[1]装备明细!B83</f>
        <v>101090900</v>
      </c>
      <c r="D82" s="1">
        <f t="shared" si="6"/>
        <v>200081</v>
      </c>
      <c r="E82" s="1" t="s">
        <v>63</v>
      </c>
      <c r="F82" s="1" t="str">
        <f ca="1">[1]装备明细!C83&amp;"图纸"</f>
        <v>流星扇子图纸</v>
      </c>
      <c r="G82" s="1" t="str">
        <f ca="1">[1]装备明细!$I83</f>
        <v xml:space="preserve">[247-293]攻击 </v>
      </c>
      <c r="H82" s="1">
        <f t="shared" si="11"/>
        <v>100081</v>
      </c>
      <c r="I82" s="1">
        <v>1</v>
      </c>
      <c r="J82" s="1">
        <f>[1]装备明细!J83</f>
        <v>0</v>
      </c>
      <c r="K82" s="1">
        <f>[1]装备明细!K83</f>
        <v>1</v>
      </c>
      <c r="L82" s="1">
        <f>[1]装备明细!L83</f>
        <v>9</v>
      </c>
      <c r="M82" s="1">
        <v>6</v>
      </c>
      <c r="N82" s="1">
        <f>[1]装备明细!$F86</f>
        <v>1</v>
      </c>
      <c r="O82" s="1">
        <f>[1]装备明细!$E83</f>
        <v>1</v>
      </c>
      <c r="P82" s="1">
        <f t="shared" si="7"/>
        <v>1</v>
      </c>
      <c r="Q82" s="1">
        <f t="shared" si="8"/>
        <v>380</v>
      </c>
      <c r="R82" s="1">
        <f t="shared" si="9"/>
        <v>2</v>
      </c>
      <c r="S82" s="1">
        <f t="shared" si="10"/>
        <v>1</v>
      </c>
    </row>
    <row r="83" spans="1:19" x14ac:dyDescent="0.15">
      <c r="A83" s="1">
        <v>82</v>
      </c>
      <c r="B83" s="1">
        <v>0</v>
      </c>
      <c r="C83" s="1">
        <f>[1]装备明细!B84</f>
        <v>101011000</v>
      </c>
      <c r="D83" s="1">
        <f t="shared" si="6"/>
        <v>200082</v>
      </c>
      <c r="E83" s="1" t="s">
        <v>63</v>
      </c>
      <c r="F83" s="1" t="str">
        <f ca="1">[1]装备明细!C84&amp;"图纸"</f>
        <v>破旧的牙齿图纸</v>
      </c>
      <c r="G83" s="1" t="str">
        <f ca="1">[1]装备明细!$I84</f>
        <v xml:space="preserve">[1-18]攻击 </v>
      </c>
      <c r="H83" s="1">
        <f t="shared" si="11"/>
        <v>100082</v>
      </c>
      <c r="I83" s="1">
        <v>1</v>
      </c>
      <c r="J83" s="1">
        <f>[1]装备明细!J84</f>
        <v>0</v>
      </c>
      <c r="K83" s="1">
        <f>[1]装备明细!K84</f>
        <v>1</v>
      </c>
      <c r="L83" s="1">
        <f>[1]装备明细!L84</f>
        <v>1</v>
      </c>
      <c r="M83" s="1">
        <v>6</v>
      </c>
      <c r="N83" s="1">
        <f>[1]装备明细!$F87</f>
        <v>1</v>
      </c>
      <c r="O83" s="1">
        <f>[1]装备明细!$E84</f>
        <v>1</v>
      </c>
      <c r="P83" s="1">
        <f t="shared" si="7"/>
        <v>1</v>
      </c>
      <c r="Q83" s="1">
        <f t="shared" si="8"/>
        <v>220</v>
      </c>
      <c r="R83" s="1">
        <f t="shared" si="9"/>
        <v>2</v>
      </c>
      <c r="S83" s="1">
        <f t="shared" si="10"/>
        <v>1</v>
      </c>
    </row>
    <row r="84" spans="1:19" x14ac:dyDescent="0.15">
      <c r="A84" s="1">
        <v>83</v>
      </c>
      <c r="B84" s="1">
        <v>0</v>
      </c>
      <c r="C84" s="1">
        <f>[1]装备明细!B85</f>
        <v>101021000</v>
      </c>
      <c r="D84" s="1">
        <f t="shared" si="6"/>
        <v>200083</v>
      </c>
      <c r="E84" s="1" t="s">
        <v>63</v>
      </c>
      <c r="F84" s="1" t="str">
        <f ca="1">[1]装备明细!C85&amp;"图纸"</f>
        <v>普通的牙齿图纸</v>
      </c>
      <c r="G84" s="1" t="str">
        <f ca="1">[1]装备明细!$I85</f>
        <v xml:space="preserve">[19-39]攻击 </v>
      </c>
      <c r="H84" s="1">
        <f t="shared" si="11"/>
        <v>100083</v>
      </c>
      <c r="I84" s="1">
        <v>1</v>
      </c>
      <c r="J84" s="1">
        <f>[1]装备明细!J85</f>
        <v>0</v>
      </c>
      <c r="K84" s="1">
        <f>[1]装备明细!K85</f>
        <v>1</v>
      </c>
      <c r="L84" s="1">
        <f>[1]装备明细!L85</f>
        <v>2</v>
      </c>
      <c r="M84" s="1">
        <v>6</v>
      </c>
      <c r="N84" s="1">
        <f>[1]装备明细!$F88</f>
        <v>1</v>
      </c>
      <c r="O84" s="1">
        <f>[1]装备明细!$E85</f>
        <v>1</v>
      </c>
      <c r="P84" s="1">
        <f t="shared" si="7"/>
        <v>1</v>
      </c>
      <c r="Q84" s="1">
        <f t="shared" si="8"/>
        <v>240</v>
      </c>
      <c r="R84" s="1">
        <f t="shared" si="9"/>
        <v>2</v>
      </c>
      <c r="S84" s="1">
        <f t="shared" si="10"/>
        <v>1</v>
      </c>
    </row>
    <row r="85" spans="1:19" x14ac:dyDescent="0.15">
      <c r="A85" s="1">
        <v>84</v>
      </c>
      <c r="B85" s="1">
        <v>0</v>
      </c>
      <c r="C85" s="1">
        <f>[1]装备明细!B86</f>
        <v>101031000</v>
      </c>
      <c r="D85" s="1">
        <f t="shared" si="6"/>
        <v>200084</v>
      </c>
      <c r="E85" s="1" t="s">
        <v>63</v>
      </c>
      <c r="F85" s="1" t="str">
        <f ca="1">[1]装备明细!C86&amp;"图纸"</f>
        <v>初级的牙齿图纸</v>
      </c>
      <c r="G85" s="1" t="str">
        <f ca="1">[1]装备明细!$I86</f>
        <v xml:space="preserve">[40-64]攻击 </v>
      </c>
      <c r="H85" s="1">
        <f t="shared" si="11"/>
        <v>100084</v>
      </c>
      <c r="I85" s="1">
        <v>1</v>
      </c>
      <c r="J85" s="1">
        <f>[1]装备明细!J86</f>
        <v>0</v>
      </c>
      <c r="K85" s="1">
        <f>[1]装备明细!K86</f>
        <v>1</v>
      </c>
      <c r="L85" s="1">
        <f>[1]装备明细!L86</f>
        <v>3</v>
      </c>
      <c r="M85" s="1">
        <v>6</v>
      </c>
      <c r="N85" s="1">
        <f>[1]装备明细!$F89</f>
        <v>1</v>
      </c>
      <c r="O85" s="1">
        <f>[1]装备明细!$E86</f>
        <v>1</v>
      </c>
      <c r="P85" s="1">
        <f t="shared" si="7"/>
        <v>1</v>
      </c>
      <c r="Q85" s="1">
        <f t="shared" si="8"/>
        <v>260</v>
      </c>
      <c r="R85" s="1">
        <f t="shared" si="9"/>
        <v>2</v>
      </c>
      <c r="S85" s="1">
        <f t="shared" si="10"/>
        <v>1</v>
      </c>
    </row>
    <row r="86" spans="1:19" x14ac:dyDescent="0.15">
      <c r="A86" s="1">
        <v>85</v>
      </c>
      <c r="B86" s="1">
        <v>0</v>
      </c>
      <c r="C86" s="1">
        <f>[1]装备明细!B87</f>
        <v>101041000</v>
      </c>
      <c r="D86" s="1">
        <f t="shared" si="6"/>
        <v>200085</v>
      </c>
      <c r="E86" s="1" t="s">
        <v>63</v>
      </c>
      <c r="F86" s="1" t="str">
        <f ca="1">[1]装备明细!C87&amp;"图纸"</f>
        <v>水晶牙齿图纸</v>
      </c>
      <c r="G86" s="1" t="str">
        <f ca="1">[1]装备明细!$I87</f>
        <v xml:space="preserve">[65-93]攻击 </v>
      </c>
      <c r="H86" s="1">
        <f t="shared" si="11"/>
        <v>100085</v>
      </c>
      <c r="I86" s="1">
        <v>1</v>
      </c>
      <c r="J86" s="1">
        <f>[1]装备明细!J87</f>
        <v>0</v>
      </c>
      <c r="K86" s="1">
        <f>[1]装备明细!K87</f>
        <v>1</v>
      </c>
      <c r="L86" s="1">
        <f>[1]装备明细!L87</f>
        <v>4</v>
      </c>
      <c r="M86" s="1">
        <v>6</v>
      </c>
      <c r="N86" s="1">
        <f>[1]装备明细!$F90</f>
        <v>1</v>
      </c>
      <c r="O86" s="1">
        <f>[1]装备明细!$E87</f>
        <v>1</v>
      </c>
      <c r="P86" s="1">
        <f t="shared" si="7"/>
        <v>1</v>
      </c>
      <c r="Q86" s="1">
        <f t="shared" si="8"/>
        <v>280</v>
      </c>
      <c r="R86" s="1">
        <f t="shared" si="9"/>
        <v>2</v>
      </c>
      <c r="S86" s="1">
        <f t="shared" si="10"/>
        <v>1</v>
      </c>
    </row>
    <row r="87" spans="1:19" x14ac:dyDescent="0.15">
      <c r="A87" s="1">
        <v>86</v>
      </c>
      <c r="B87" s="1">
        <v>0</v>
      </c>
      <c r="C87" s="1">
        <f>[1]装备明细!B88</f>
        <v>101051000</v>
      </c>
      <c r="D87" s="1">
        <f t="shared" si="6"/>
        <v>200086</v>
      </c>
      <c r="E87" s="1" t="s">
        <v>63</v>
      </c>
      <c r="F87" s="1" t="str">
        <f ca="1">[1]装备明细!C88&amp;"图纸"</f>
        <v>青铜牙齿图纸</v>
      </c>
      <c r="G87" s="1" t="str">
        <f ca="1">[1]装备明细!$I88</f>
        <v xml:space="preserve">[94-126]攻击 </v>
      </c>
      <c r="H87" s="1">
        <f t="shared" si="11"/>
        <v>100086</v>
      </c>
      <c r="I87" s="1">
        <v>1</v>
      </c>
      <c r="J87" s="1">
        <f>[1]装备明细!J88</f>
        <v>0</v>
      </c>
      <c r="K87" s="1">
        <f>[1]装备明细!K88</f>
        <v>1</v>
      </c>
      <c r="L87" s="1">
        <f>[1]装备明细!L88</f>
        <v>5</v>
      </c>
      <c r="M87" s="1">
        <v>6</v>
      </c>
      <c r="N87" s="1">
        <f>[1]装备明细!$F91</f>
        <v>1</v>
      </c>
      <c r="O87" s="1">
        <f>[1]装备明细!$E88</f>
        <v>1</v>
      </c>
      <c r="P87" s="1">
        <f t="shared" si="7"/>
        <v>1</v>
      </c>
      <c r="Q87" s="1">
        <f t="shared" si="8"/>
        <v>300</v>
      </c>
      <c r="R87" s="1">
        <f t="shared" si="9"/>
        <v>2</v>
      </c>
      <c r="S87" s="1">
        <f t="shared" si="10"/>
        <v>1</v>
      </c>
    </row>
    <row r="88" spans="1:19" x14ac:dyDescent="0.15">
      <c r="A88" s="1">
        <v>87</v>
      </c>
      <c r="B88" s="1">
        <v>0</v>
      </c>
      <c r="C88" s="1">
        <f>[1]装备明细!B89</f>
        <v>101061000</v>
      </c>
      <c r="D88" s="1">
        <f t="shared" si="6"/>
        <v>200087</v>
      </c>
      <c r="E88" s="1" t="s">
        <v>63</v>
      </c>
      <c r="F88" s="1" t="str">
        <f ca="1">[1]装备明细!C89&amp;"图纸"</f>
        <v>玄铁牙齿图纸</v>
      </c>
      <c r="G88" s="1" t="str">
        <f ca="1">[1]装备明细!$I89</f>
        <v xml:space="preserve">[127-163]攻击 </v>
      </c>
      <c r="H88" s="1">
        <f t="shared" si="11"/>
        <v>100087</v>
      </c>
      <c r="I88" s="1">
        <v>1</v>
      </c>
      <c r="J88" s="1">
        <f>[1]装备明细!J89</f>
        <v>0</v>
      </c>
      <c r="K88" s="1">
        <f>[1]装备明细!K89</f>
        <v>1</v>
      </c>
      <c r="L88" s="1">
        <f>[1]装备明细!L89</f>
        <v>6</v>
      </c>
      <c r="M88" s="1">
        <v>6</v>
      </c>
      <c r="N88" s="1">
        <f>[1]装备明细!$F92</f>
        <v>1</v>
      </c>
      <c r="O88" s="1">
        <f>[1]装备明细!$E89</f>
        <v>1</v>
      </c>
      <c r="P88" s="1">
        <f t="shared" si="7"/>
        <v>1</v>
      </c>
      <c r="Q88" s="1">
        <f t="shared" si="8"/>
        <v>320</v>
      </c>
      <c r="R88" s="1">
        <f t="shared" si="9"/>
        <v>2</v>
      </c>
      <c r="S88" s="1">
        <f t="shared" si="10"/>
        <v>1</v>
      </c>
    </row>
    <row r="89" spans="1:19" x14ac:dyDescent="0.15">
      <c r="A89" s="1">
        <v>88</v>
      </c>
      <c r="B89" s="1">
        <v>0</v>
      </c>
      <c r="C89" s="1">
        <f>[1]装备明细!B90</f>
        <v>101071000</v>
      </c>
      <c r="D89" s="1">
        <f t="shared" si="6"/>
        <v>200088</v>
      </c>
      <c r="E89" s="1" t="s">
        <v>63</v>
      </c>
      <c r="F89" s="1" t="str">
        <f ca="1">[1]装备明细!C90&amp;"图纸"</f>
        <v>白银牙齿图纸</v>
      </c>
      <c r="G89" s="1" t="str">
        <f ca="1">[1]装备明细!$I90</f>
        <v xml:space="preserve">[164-202]攻击 </v>
      </c>
      <c r="H89" s="1">
        <f t="shared" si="11"/>
        <v>100088</v>
      </c>
      <c r="I89" s="1">
        <v>1</v>
      </c>
      <c r="J89" s="1">
        <f>[1]装备明细!J90</f>
        <v>0</v>
      </c>
      <c r="K89" s="1">
        <f>[1]装备明细!K90</f>
        <v>1</v>
      </c>
      <c r="L89" s="1">
        <f>[1]装备明细!L90</f>
        <v>7</v>
      </c>
      <c r="M89" s="1">
        <v>6</v>
      </c>
      <c r="N89" s="1">
        <f>[1]装备明细!$F93</f>
        <v>1</v>
      </c>
      <c r="O89" s="1">
        <f>[1]装备明细!$E90</f>
        <v>1</v>
      </c>
      <c r="P89" s="1">
        <f t="shared" si="7"/>
        <v>1</v>
      </c>
      <c r="Q89" s="1">
        <f t="shared" si="8"/>
        <v>340</v>
      </c>
      <c r="R89" s="1">
        <f t="shared" si="9"/>
        <v>2</v>
      </c>
      <c r="S89" s="1">
        <f t="shared" si="10"/>
        <v>1</v>
      </c>
    </row>
    <row r="90" spans="1:19" x14ac:dyDescent="0.15">
      <c r="A90" s="1">
        <v>89</v>
      </c>
      <c r="B90" s="1">
        <v>0</v>
      </c>
      <c r="C90" s="1">
        <f>[1]装备明细!B91</f>
        <v>101081000</v>
      </c>
      <c r="D90" s="1">
        <f t="shared" si="6"/>
        <v>200089</v>
      </c>
      <c r="E90" s="1" t="s">
        <v>63</v>
      </c>
      <c r="F90" s="1" t="str">
        <f ca="1">[1]装备明细!C91&amp;"图纸"</f>
        <v>异灵牙齿图纸</v>
      </c>
      <c r="G90" s="1" t="str">
        <f ca="1">[1]装备明细!$I91</f>
        <v xml:space="preserve">[203-246]攻击 </v>
      </c>
      <c r="H90" s="1">
        <f t="shared" si="11"/>
        <v>100089</v>
      </c>
      <c r="I90" s="1">
        <v>1</v>
      </c>
      <c r="J90" s="1">
        <f>[1]装备明细!J91</f>
        <v>0</v>
      </c>
      <c r="K90" s="1">
        <f>[1]装备明细!K91</f>
        <v>1</v>
      </c>
      <c r="L90" s="1">
        <f>[1]装备明细!L91</f>
        <v>8</v>
      </c>
      <c r="M90" s="1">
        <v>6</v>
      </c>
      <c r="N90" s="1">
        <f>[1]装备明细!$F94</f>
        <v>1</v>
      </c>
      <c r="O90" s="1">
        <f>[1]装备明细!$E91</f>
        <v>1</v>
      </c>
      <c r="P90" s="1">
        <f t="shared" si="7"/>
        <v>1</v>
      </c>
      <c r="Q90" s="1">
        <f t="shared" si="8"/>
        <v>360</v>
      </c>
      <c r="R90" s="1">
        <f t="shared" si="9"/>
        <v>2</v>
      </c>
      <c r="S90" s="1">
        <f t="shared" si="10"/>
        <v>1</v>
      </c>
    </row>
    <row r="91" spans="1:19" x14ac:dyDescent="0.15">
      <c r="A91" s="1">
        <v>90</v>
      </c>
      <c r="B91" s="1">
        <v>0</v>
      </c>
      <c r="C91" s="1">
        <f>[1]装备明细!B92</f>
        <v>101091000</v>
      </c>
      <c r="D91" s="1">
        <f t="shared" si="6"/>
        <v>200090</v>
      </c>
      <c r="E91" s="1" t="s">
        <v>63</v>
      </c>
      <c r="F91" s="1" t="str">
        <f ca="1">[1]装备明细!C92&amp;"图纸"</f>
        <v>流星牙齿图纸</v>
      </c>
      <c r="G91" s="1" t="str">
        <f ca="1">[1]装备明细!$I92</f>
        <v xml:space="preserve">[247-293]攻击 </v>
      </c>
      <c r="H91" s="1">
        <f t="shared" si="11"/>
        <v>100090</v>
      </c>
      <c r="I91" s="1">
        <v>1</v>
      </c>
      <c r="J91" s="1">
        <f>[1]装备明细!J92</f>
        <v>0</v>
      </c>
      <c r="K91" s="1">
        <f>[1]装备明细!K92</f>
        <v>1</v>
      </c>
      <c r="L91" s="1">
        <f>[1]装备明细!L92</f>
        <v>9</v>
      </c>
      <c r="M91" s="1">
        <v>6</v>
      </c>
      <c r="N91" s="1">
        <f>[1]装备明细!$F95</f>
        <v>1</v>
      </c>
      <c r="O91" s="1">
        <f>[1]装备明细!$E92</f>
        <v>1</v>
      </c>
      <c r="P91" s="1">
        <f t="shared" si="7"/>
        <v>1</v>
      </c>
      <c r="Q91" s="1">
        <f t="shared" si="8"/>
        <v>380</v>
      </c>
      <c r="R91" s="1">
        <f t="shared" si="9"/>
        <v>2</v>
      </c>
      <c r="S91" s="1">
        <f t="shared" si="10"/>
        <v>1</v>
      </c>
    </row>
    <row r="92" spans="1:19" x14ac:dyDescent="0.15">
      <c r="A92" s="1">
        <v>91</v>
      </c>
      <c r="B92" s="1">
        <v>0</v>
      </c>
      <c r="C92" s="1">
        <f>[1]装备明细!B93</f>
        <v>101011100</v>
      </c>
      <c r="D92" s="1">
        <f t="shared" si="6"/>
        <v>200091</v>
      </c>
      <c r="E92" s="1" t="s">
        <v>63</v>
      </c>
      <c r="F92" s="1" t="str">
        <f ca="1">[1]装备明细!C93&amp;"图纸"</f>
        <v>破旧的球图纸</v>
      </c>
      <c r="G92" s="1" t="str">
        <f ca="1">[1]装备明细!$I93</f>
        <v xml:space="preserve">[1-18]攻击 </v>
      </c>
      <c r="H92" s="1">
        <f t="shared" si="11"/>
        <v>100091</v>
      </c>
      <c r="I92" s="1">
        <v>1</v>
      </c>
      <c r="J92" s="1">
        <f>[1]装备明细!J93</f>
        <v>0</v>
      </c>
      <c r="K92" s="1">
        <f>[1]装备明细!K93</f>
        <v>1</v>
      </c>
      <c r="L92" s="1">
        <f>[1]装备明细!L93</f>
        <v>1</v>
      </c>
      <c r="M92" s="1">
        <v>6</v>
      </c>
      <c r="N92" s="1">
        <f>[1]装备明细!$F96</f>
        <v>1</v>
      </c>
      <c r="O92" s="1">
        <f>[1]装备明细!$E93</f>
        <v>1</v>
      </c>
      <c r="P92" s="1">
        <f t="shared" si="7"/>
        <v>1</v>
      </c>
      <c r="Q92" s="1">
        <f t="shared" si="8"/>
        <v>220</v>
      </c>
      <c r="R92" s="1">
        <f t="shared" si="9"/>
        <v>2</v>
      </c>
      <c r="S92" s="1">
        <f t="shared" si="10"/>
        <v>1</v>
      </c>
    </row>
    <row r="93" spans="1:19" x14ac:dyDescent="0.15">
      <c r="A93" s="1">
        <v>92</v>
      </c>
      <c r="B93" s="1">
        <v>0</v>
      </c>
      <c r="C93" s="1">
        <f>[1]装备明细!B94</f>
        <v>101021100</v>
      </c>
      <c r="D93" s="1">
        <f t="shared" si="6"/>
        <v>200092</v>
      </c>
      <c r="E93" s="1" t="s">
        <v>63</v>
      </c>
      <c r="F93" s="1" t="str">
        <f ca="1">[1]装备明细!C94&amp;"图纸"</f>
        <v>普通的球图纸</v>
      </c>
      <c r="G93" s="1" t="str">
        <f ca="1">[1]装备明细!$I94</f>
        <v xml:space="preserve">[19-39]攻击 </v>
      </c>
      <c r="H93" s="1">
        <f t="shared" si="11"/>
        <v>100092</v>
      </c>
      <c r="I93" s="1">
        <v>1</v>
      </c>
      <c r="J93" s="1">
        <f>[1]装备明细!J94</f>
        <v>0</v>
      </c>
      <c r="K93" s="1">
        <f>[1]装备明细!K94</f>
        <v>1</v>
      </c>
      <c r="L93" s="1">
        <f>[1]装备明细!L94</f>
        <v>2</v>
      </c>
      <c r="M93" s="1">
        <v>6</v>
      </c>
      <c r="N93" s="1">
        <f>[1]装备明细!$F97</f>
        <v>1</v>
      </c>
      <c r="O93" s="1">
        <f>[1]装备明细!$E94</f>
        <v>1</v>
      </c>
      <c r="P93" s="1">
        <f t="shared" si="7"/>
        <v>1</v>
      </c>
      <c r="Q93" s="1">
        <f t="shared" si="8"/>
        <v>240</v>
      </c>
      <c r="R93" s="1">
        <f t="shared" si="9"/>
        <v>2</v>
      </c>
      <c r="S93" s="1">
        <f t="shared" si="10"/>
        <v>1</v>
      </c>
    </row>
    <row r="94" spans="1:19" x14ac:dyDescent="0.15">
      <c r="A94" s="1">
        <v>93</v>
      </c>
      <c r="B94" s="1">
        <v>0</v>
      </c>
      <c r="C94" s="1">
        <f>[1]装备明细!B95</f>
        <v>101031100</v>
      </c>
      <c r="D94" s="1">
        <f t="shared" si="6"/>
        <v>200093</v>
      </c>
      <c r="E94" s="1" t="s">
        <v>63</v>
      </c>
      <c r="F94" s="1" t="str">
        <f ca="1">[1]装备明细!C95&amp;"图纸"</f>
        <v>初级的球图纸</v>
      </c>
      <c r="G94" s="1" t="str">
        <f ca="1">[1]装备明细!$I95</f>
        <v xml:space="preserve">[40-64]攻击 </v>
      </c>
      <c r="H94" s="1">
        <f t="shared" si="11"/>
        <v>100093</v>
      </c>
      <c r="I94" s="1">
        <v>1</v>
      </c>
      <c r="J94" s="1">
        <f>[1]装备明细!J95</f>
        <v>0</v>
      </c>
      <c r="K94" s="1">
        <f>[1]装备明细!K95</f>
        <v>1</v>
      </c>
      <c r="L94" s="1">
        <f>[1]装备明细!L95</f>
        <v>3</v>
      </c>
      <c r="M94" s="1">
        <v>6</v>
      </c>
      <c r="N94" s="1">
        <f>[1]装备明细!$F98</f>
        <v>1</v>
      </c>
      <c r="O94" s="1">
        <f>[1]装备明细!$E95</f>
        <v>1</v>
      </c>
      <c r="P94" s="1">
        <f t="shared" si="7"/>
        <v>1</v>
      </c>
      <c r="Q94" s="1">
        <f t="shared" si="8"/>
        <v>260</v>
      </c>
      <c r="R94" s="1">
        <f t="shared" si="9"/>
        <v>2</v>
      </c>
      <c r="S94" s="1">
        <f t="shared" si="10"/>
        <v>1</v>
      </c>
    </row>
    <row r="95" spans="1:19" x14ac:dyDescent="0.15">
      <c r="A95" s="1">
        <v>94</v>
      </c>
      <c r="B95" s="1">
        <v>0</v>
      </c>
      <c r="C95" s="1">
        <f>[1]装备明细!B96</f>
        <v>101041100</v>
      </c>
      <c r="D95" s="1">
        <f t="shared" si="6"/>
        <v>200094</v>
      </c>
      <c r="E95" s="1" t="s">
        <v>63</v>
      </c>
      <c r="F95" s="1" t="str">
        <f ca="1">[1]装备明细!C96&amp;"图纸"</f>
        <v>水晶球图纸</v>
      </c>
      <c r="G95" s="1" t="str">
        <f ca="1">[1]装备明细!$I96</f>
        <v xml:space="preserve">[65-93]攻击 </v>
      </c>
      <c r="H95" s="1">
        <f t="shared" si="11"/>
        <v>100094</v>
      </c>
      <c r="I95" s="1">
        <v>1</v>
      </c>
      <c r="J95" s="1">
        <f>[1]装备明细!J96</f>
        <v>0</v>
      </c>
      <c r="K95" s="1">
        <f>[1]装备明细!K96</f>
        <v>1</v>
      </c>
      <c r="L95" s="1">
        <f>[1]装备明细!L96</f>
        <v>4</v>
      </c>
      <c r="M95" s="1">
        <v>6</v>
      </c>
      <c r="N95" s="1">
        <f>[1]装备明细!$F99</f>
        <v>1</v>
      </c>
      <c r="O95" s="1">
        <f>[1]装备明细!$E96</f>
        <v>1</v>
      </c>
      <c r="P95" s="1">
        <f t="shared" si="7"/>
        <v>1</v>
      </c>
      <c r="Q95" s="1">
        <f t="shared" si="8"/>
        <v>280</v>
      </c>
      <c r="R95" s="1">
        <f t="shared" si="9"/>
        <v>2</v>
      </c>
      <c r="S95" s="1">
        <f t="shared" si="10"/>
        <v>1</v>
      </c>
    </row>
    <row r="96" spans="1:19" x14ac:dyDescent="0.15">
      <c r="A96" s="1">
        <v>95</v>
      </c>
      <c r="B96" s="1">
        <v>0</v>
      </c>
      <c r="C96" s="1">
        <f>[1]装备明细!B97</f>
        <v>101051100</v>
      </c>
      <c r="D96" s="1">
        <f t="shared" si="6"/>
        <v>200095</v>
      </c>
      <c r="E96" s="1" t="s">
        <v>63</v>
      </c>
      <c r="F96" s="1" t="str">
        <f ca="1">[1]装备明细!C97&amp;"图纸"</f>
        <v>青铜球图纸</v>
      </c>
      <c r="G96" s="1" t="str">
        <f ca="1">[1]装备明细!$I97</f>
        <v xml:space="preserve">[94-126]攻击 </v>
      </c>
      <c r="H96" s="1">
        <f t="shared" si="11"/>
        <v>100095</v>
      </c>
      <c r="I96" s="1">
        <v>1</v>
      </c>
      <c r="J96" s="1">
        <f>[1]装备明细!J97</f>
        <v>0</v>
      </c>
      <c r="K96" s="1">
        <f>[1]装备明细!K97</f>
        <v>1</v>
      </c>
      <c r="L96" s="1">
        <f>[1]装备明细!L97</f>
        <v>5</v>
      </c>
      <c r="M96" s="1">
        <v>6</v>
      </c>
      <c r="N96" s="1">
        <f>[1]装备明细!$F100</f>
        <v>1</v>
      </c>
      <c r="O96" s="1">
        <f>[1]装备明细!$E97</f>
        <v>1</v>
      </c>
      <c r="P96" s="1">
        <f t="shared" si="7"/>
        <v>1</v>
      </c>
      <c r="Q96" s="1">
        <f t="shared" si="8"/>
        <v>300</v>
      </c>
      <c r="R96" s="1">
        <f t="shared" si="9"/>
        <v>2</v>
      </c>
      <c r="S96" s="1">
        <f t="shared" si="10"/>
        <v>1</v>
      </c>
    </row>
    <row r="97" spans="1:19" x14ac:dyDescent="0.15">
      <c r="A97" s="1">
        <v>96</v>
      </c>
      <c r="B97" s="1">
        <v>0</v>
      </c>
      <c r="C97" s="1">
        <f>[1]装备明细!B98</f>
        <v>101061100</v>
      </c>
      <c r="D97" s="1">
        <f t="shared" si="6"/>
        <v>200096</v>
      </c>
      <c r="E97" s="1" t="s">
        <v>63</v>
      </c>
      <c r="F97" s="1" t="str">
        <f ca="1">[1]装备明细!C98&amp;"图纸"</f>
        <v>玄铁球图纸</v>
      </c>
      <c r="G97" s="1" t="str">
        <f ca="1">[1]装备明细!$I98</f>
        <v xml:space="preserve">[127-163]攻击 </v>
      </c>
      <c r="H97" s="1">
        <f t="shared" si="11"/>
        <v>100096</v>
      </c>
      <c r="I97" s="1">
        <v>1</v>
      </c>
      <c r="J97" s="1">
        <f>[1]装备明细!J98</f>
        <v>0</v>
      </c>
      <c r="K97" s="1">
        <f>[1]装备明细!K98</f>
        <v>1</v>
      </c>
      <c r="L97" s="1">
        <f>[1]装备明细!L98</f>
        <v>6</v>
      </c>
      <c r="M97" s="1">
        <v>6</v>
      </c>
      <c r="N97" s="1">
        <f>[1]装备明细!$F101</f>
        <v>1</v>
      </c>
      <c r="O97" s="1">
        <f>[1]装备明细!$E98</f>
        <v>1</v>
      </c>
      <c r="P97" s="1">
        <f t="shared" si="7"/>
        <v>1</v>
      </c>
      <c r="Q97" s="1">
        <f t="shared" si="8"/>
        <v>320</v>
      </c>
      <c r="R97" s="1">
        <f t="shared" si="9"/>
        <v>2</v>
      </c>
      <c r="S97" s="1">
        <f t="shared" si="10"/>
        <v>1</v>
      </c>
    </row>
    <row r="98" spans="1:19" x14ac:dyDescent="0.15">
      <c r="A98" s="1">
        <v>97</v>
      </c>
      <c r="B98" s="1">
        <v>0</v>
      </c>
      <c r="C98" s="1">
        <f>[1]装备明细!B99</f>
        <v>101071100</v>
      </c>
      <c r="D98" s="1">
        <f t="shared" si="6"/>
        <v>200097</v>
      </c>
      <c r="E98" s="1" t="s">
        <v>63</v>
      </c>
      <c r="F98" s="1" t="str">
        <f ca="1">[1]装备明细!C99&amp;"图纸"</f>
        <v>白银球图纸</v>
      </c>
      <c r="G98" s="1" t="str">
        <f ca="1">[1]装备明细!$I99</f>
        <v xml:space="preserve">[164-202]攻击 </v>
      </c>
      <c r="H98" s="1">
        <f t="shared" si="11"/>
        <v>100097</v>
      </c>
      <c r="I98" s="1">
        <v>1</v>
      </c>
      <c r="J98" s="1">
        <f>[1]装备明细!J99</f>
        <v>0</v>
      </c>
      <c r="K98" s="1">
        <f>[1]装备明细!K99</f>
        <v>1</v>
      </c>
      <c r="L98" s="1">
        <f>[1]装备明细!L99</f>
        <v>7</v>
      </c>
      <c r="M98" s="1">
        <v>6</v>
      </c>
      <c r="N98" s="1">
        <f>[1]装备明细!$F102</f>
        <v>1</v>
      </c>
      <c r="O98" s="1">
        <f>[1]装备明细!$E99</f>
        <v>1</v>
      </c>
      <c r="P98" s="1">
        <f t="shared" si="7"/>
        <v>1</v>
      </c>
      <c r="Q98" s="1">
        <f t="shared" si="8"/>
        <v>340</v>
      </c>
      <c r="R98" s="1">
        <f t="shared" si="9"/>
        <v>2</v>
      </c>
      <c r="S98" s="1">
        <f t="shared" si="10"/>
        <v>1</v>
      </c>
    </row>
    <row r="99" spans="1:19" x14ac:dyDescent="0.15">
      <c r="A99" s="1">
        <v>98</v>
      </c>
      <c r="B99" s="1">
        <v>0</v>
      </c>
      <c r="C99" s="1">
        <f>[1]装备明细!B100</f>
        <v>101081100</v>
      </c>
      <c r="D99" s="1">
        <f t="shared" si="6"/>
        <v>200098</v>
      </c>
      <c r="E99" s="1" t="s">
        <v>63</v>
      </c>
      <c r="F99" s="1" t="str">
        <f ca="1">[1]装备明细!C100&amp;"图纸"</f>
        <v>异灵球图纸</v>
      </c>
      <c r="G99" s="1" t="str">
        <f ca="1">[1]装备明细!$I100</f>
        <v xml:space="preserve">[203-246]攻击 </v>
      </c>
      <c r="H99" s="1">
        <f t="shared" si="11"/>
        <v>100098</v>
      </c>
      <c r="I99" s="1">
        <v>1</v>
      </c>
      <c r="J99" s="1">
        <f>[1]装备明细!J100</f>
        <v>0</v>
      </c>
      <c r="K99" s="1">
        <f>[1]装备明细!K100</f>
        <v>1</v>
      </c>
      <c r="L99" s="1">
        <f>[1]装备明细!L100</f>
        <v>8</v>
      </c>
      <c r="M99" s="1">
        <v>6</v>
      </c>
      <c r="N99" s="1">
        <f>[1]装备明细!$F103</f>
        <v>1</v>
      </c>
      <c r="O99" s="1">
        <f>[1]装备明细!$E100</f>
        <v>1</v>
      </c>
      <c r="P99" s="1">
        <f t="shared" si="7"/>
        <v>1</v>
      </c>
      <c r="Q99" s="1">
        <f t="shared" si="8"/>
        <v>360</v>
      </c>
      <c r="R99" s="1">
        <f t="shared" si="9"/>
        <v>2</v>
      </c>
      <c r="S99" s="1">
        <f t="shared" si="10"/>
        <v>1</v>
      </c>
    </row>
    <row r="100" spans="1:19" x14ac:dyDescent="0.15">
      <c r="A100" s="1">
        <v>99</v>
      </c>
      <c r="B100" s="1">
        <v>0</v>
      </c>
      <c r="C100" s="1">
        <f>[1]装备明细!B101</f>
        <v>101091100</v>
      </c>
      <c r="D100" s="1">
        <f t="shared" si="6"/>
        <v>200099</v>
      </c>
      <c r="E100" s="1" t="s">
        <v>63</v>
      </c>
      <c r="F100" s="1" t="str">
        <f ca="1">[1]装备明细!C101&amp;"图纸"</f>
        <v>流星球图纸</v>
      </c>
      <c r="G100" s="1" t="str">
        <f ca="1">[1]装备明细!$I101</f>
        <v xml:space="preserve">[247-293]攻击 </v>
      </c>
      <c r="H100" s="1">
        <f t="shared" si="11"/>
        <v>100099</v>
      </c>
      <c r="I100" s="1">
        <v>1</v>
      </c>
      <c r="J100" s="1">
        <f>[1]装备明细!J101</f>
        <v>0</v>
      </c>
      <c r="K100" s="1">
        <f>[1]装备明细!K101</f>
        <v>1</v>
      </c>
      <c r="L100" s="1">
        <f>[1]装备明细!L101</f>
        <v>9</v>
      </c>
      <c r="M100" s="1">
        <v>6</v>
      </c>
      <c r="N100" s="1">
        <f>[1]装备明细!$F104</f>
        <v>1</v>
      </c>
      <c r="O100" s="1">
        <f>[1]装备明细!$E101</f>
        <v>1</v>
      </c>
      <c r="P100" s="1">
        <f t="shared" si="7"/>
        <v>1</v>
      </c>
      <c r="Q100" s="1">
        <f t="shared" si="8"/>
        <v>380</v>
      </c>
      <c r="R100" s="1">
        <f t="shared" si="9"/>
        <v>2</v>
      </c>
      <c r="S100" s="1">
        <f t="shared" si="10"/>
        <v>1</v>
      </c>
    </row>
    <row r="101" spans="1:19" x14ac:dyDescent="0.15">
      <c r="A101" s="1">
        <v>100</v>
      </c>
      <c r="B101" s="1">
        <v>0</v>
      </c>
      <c r="C101" s="1">
        <f>[1]装备明细!B102</f>
        <v>101011200</v>
      </c>
      <c r="D101" s="1">
        <f t="shared" si="6"/>
        <v>200100</v>
      </c>
      <c r="E101" s="1" t="s">
        <v>63</v>
      </c>
      <c r="F101" s="1" t="str">
        <f ca="1">[1]装备明细!C102&amp;"图纸"</f>
        <v>破旧的爪图纸</v>
      </c>
      <c r="G101" s="1" t="str">
        <f ca="1">[1]装备明细!$I102</f>
        <v xml:space="preserve">[1-18]攻击 </v>
      </c>
      <c r="H101" s="1">
        <f t="shared" si="11"/>
        <v>100100</v>
      </c>
      <c r="I101" s="1">
        <v>1</v>
      </c>
      <c r="J101" s="1">
        <f>[1]装备明细!J102</f>
        <v>0</v>
      </c>
      <c r="K101" s="1">
        <f>[1]装备明细!K102</f>
        <v>1</v>
      </c>
      <c r="L101" s="1">
        <f>[1]装备明细!L102</f>
        <v>1</v>
      </c>
      <c r="M101" s="1">
        <v>6</v>
      </c>
      <c r="N101" s="1">
        <f>[1]装备明细!$F105</f>
        <v>1</v>
      </c>
      <c r="O101" s="1">
        <f>[1]装备明细!$E102</f>
        <v>1</v>
      </c>
      <c r="P101" s="1">
        <f t="shared" si="7"/>
        <v>1</v>
      </c>
      <c r="Q101" s="1">
        <f t="shared" si="8"/>
        <v>220</v>
      </c>
      <c r="R101" s="1">
        <f t="shared" si="9"/>
        <v>2</v>
      </c>
      <c r="S101" s="1">
        <f t="shared" si="10"/>
        <v>1</v>
      </c>
    </row>
    <row r="102" spans="1:19" x14ac:dyDescent="0.15">
      <c r="A102" s="1">
        <v>101</v>
      </c>
      <c r="B102" s="1">
        <v>0</v>
      </c>
      <c r="C102" s="1">
        <f>[1]装备明细!B103</f>
        <v>101021200</v>
      </c>
      <c r="D102" s="1">
        <f t="shared" si="6"/>
        <v>200101</v>
      </c>
      <c r="E102" s="1" t="s">
        <v>63</v>
      </c>
      <c r="F102" s="1" t="str">
        <f ca="1">[1]装备明细!C103&amp;"图纸"</f>
        <v>普通的爪图纸</v>
      </c>
      <c r="G102" s="1" t="str">
        <f ca="1">[1]装备明细!$I103</f>
        <v xml:space="preserve">[19-39]攻击 </v>
      </c>
      <c r="H102" s="1">
        <f t="shared" si="11"/>
        <v>100101</v>
      </c>
      <c r="I102" s="1">
        <v>1</v>
      </c>
      <c r="J102" s="1">
        <f>[1]装备明细!J103</f>
        <v>0</v>
      </c>
      <c r="K102" s="1">
        <f>[1]装备明细!K103</f>
        <v>1</v>
      </c>
      <c r="L102" s="1">
        <f>[1]装备明细!L103</f>
        <v>2</v>
      </c>
      <c r="M102" s="1">
        <v>6</v>
      </c>
      <c r="N102" s="1">
        <f>[1]装备明细!$F106</f>
        <v>1</v>
      </c>
      <c r="O102" s="1">
        <f>[1]装备明细!$E103</f>
        <v>1</v>
      </c>
      <c r="P102" s="1">
        <f t="shared" si="7"/>
        <v>1</v>
      </c>
      <c r="Q102" s="1">
        <f t="shared" si="8"/>
        <v>240</v>
      </c>
      <c r="R102" s="1">
        <f t="shared" si="9"/>
        <v>2</v>
      </c>
      <c r="S102" s="1">
        <f t="shared" si="10"/>
        <v>1</v>
      </c>
    </row>
    <row r="103" spans="1:19" x14ac:dyDescent="0.15">
      <c r="A103" s="1">
        <v>102</v>
      </c>
      <c r="B103" s="1">
        <v>0</v>
      </c>
      <c r="C103" s="1">
        <f>[1]装备明细!B104</f>
        <v>101031200</v>
      </c>
      <c r="D103" s="1">
        <f t="shared" si="6"/>
        <v>200102</v>
      </c>
      <c r="E103" s="1" t="s">
        <v>63</v>
      </c>
      <c r="F103" s="1" t="str">
        <f ca="1">[1]装备明细!C104&amp;"图纸"</f>
        <v>初级的爪图纸</v>
      </c>
      <c r="G103" s="1" t="str">
        <f ca="1">[1]装备明细!$I104</f>
        <v xml:space="preserve">[40-64]攻击 </v>
      </c>
      <c r="H103" s="1">
        <f t="shared" si="11"/>
        <v>100102</v>
      </c>
      <c r="I103" s="1">
        <v>1</v>
      </c>
      <c r="J103" s="1">
        <f>[1]装备明细!J104</f>
        <v>0</v>
      </c>
      <c r="K103" s="1">
        <f>[1]装备明细!K104</f>
        <v>1</v>
      </c>
      <c r="L103" s="1">
        <f>[1]装备明细!L104</f>
        <v>3</v>
      </c>
      <c r="M103" s="1">
        <v>6</v>
      </c>
      <c r="N103" s="1">
        <f>[1]装备明细!$F107</f>
        <v>1</v>
      </c>
      <c r="O103" s="1">
        <f>[1]装备明细!$E104</f>
        <v>1</v>
      </c>
      <c r="P103" s="1">
        <f t="shared" si="7"/>
        <v>1</v>
      </c>
      <c r="Q103" s="1">
        <f t="shared" si="8"/>
        <v>260</v>
      </c>
      <c r="R103" s="1">
        <f t="shared" si="9"/>
        <v>2</v>
      </c>
      <c r="S103" s="1">
        <f t="shared" si="10"/>
        <v>1</v>
      </c>
    </row>
    <row r="104" spans="1:19" x14ac:dyDescent="0.15">
      <c r="A104" s="1">
        <v>103</v>
      </c>
      <c r="B104" s="1">
        <v>0</v>
      </c>
      <c r="C104" s="1">
        <f>[1]装备明细!B105</f>
        <v>101041200</v>
      </c>
      <c r="D104" s="1">
        <f t="shared" si="6"/>
        <v>200103</v>
      </c>
      <c r="E104" s="1" t="s">
        <v>63</v>
      </c>
      <c r="F104" s="1" t="str">
        <f ca="1">[1]装备明细!C105&amp;"图纸"</f>
        <v>水晶爪图纸</v>
      </c>
      <c r="G104" s="1" t="str">
        <f ca="1">[1]装备明细!$I105</f>
        <v xml:space="preserve">[65-93]攻击 </v>
      </c>
      <c r="H104" s="1">
        <f t="shared" si="11"/>
        <v>100103</v>
      </c>
      <c r="I104" s="1">
        <v>1</v>
      </c>
      <c r="J104" s="1">
        <f>[1]装备明细!J105</f>
        <v>0</v>
      </c>
      <c r="K104" s="1">
        <f>[1]装备明细!K105</f>
        <v>1</v>
      </c>
      <c r="L104" s="1">
        <f>[1]装备明细!L105</f>
        <v>4</v>
      </c>
      <c r="M104" s="1">
        <v>6</v>
      </c>
      <c r="N104" s="1">
        <f>[1]装备明细!$F108</f>
        <v>1</v>
      </c>
      <c r="O104" s="1">
        <f>[1]装备明细!$E105</f>
        <v>1</v>
      </c>
      <c r="P104" s="1">
        <f t="shared" si="7"/>
        <v>1</v>
      </c>
      <c r="Q104" s="1">
        <f t="shared" si="8"/>
        <v>280</v>
      </c>
      <c r="R104" s="1">
        <f t="shared" si="9"/>
        <v>2</v>
      </c>
      <c r="S104" s="1">
        <f t="shared" si="10"/>
        <v>1</v>
      </c>
    </row>
    <row r="105" spans="1:19" x14ac:dyDescent="0.15">
      <c r="A105" s="1">
        <v>104</v>
      </c>
      <c r="B105" s="1">
        <v>0</v>
      </c>
      <c r="C105" s="1">
        <f>[1]装备明细!B106</f>
        <v>101051200</v>
      </c>
      <c r="D105" s="1">
        <f t="shared" si="6"/>
        <v>200104</v>
      </c>
      <c r="E105" s="1" t="s">
        <v>63</v>
      </c>
      <c r="F105" s="1" t="str">
        <f ca="1">[1]装备明细!C106&amp;"图纸"</f>
        <v>青铜爪图纸</v>
      </c>
      <c r="G105" s="1" t="str">
        <f ca="1">[1]装备明细!$I106</f>
        <v xml:space="preserve">[94-126]攻击 </v>
      </c>
      <c r="H105" s="1">
        <f t="shared" si="11"/>
        <v>100104</v>
      </c>
      <c r="I105" s="1">
        <v>1</v>
      </c>
      <c r="J105" s="1">
        <f>[1]装备明细!J106</f>
        <v>0</v>
      </c>
      <c r="K105" s="1">
        <f>[1]装备明细!K106</f>
        <v>1</v>
      </c>
      <c r="L105" s="1">
        <f>[1]装备明细!L106</f>
        <v>5</v>
      </c>
      <c r="M105" s="1">
        <v>6</v>
      </c>
      <c r="N105" s="1">
        <f>[1]装备明细!$F109</f>
        <v>1</v>
      </c>
      <c r="O105" s="1">
        <f>[1]装备明细!$E106</f>
        <v>1</v>
      </c>
      <c r="P105" s="1">
        <f t="shared" si="7"/>
        <v>1</v>
      </c>
      <c r="Q105" s="1">
        <f t="shared" si="8"/>
        <v>300</v>
      </c>
      <c r="R105" s="1">
        <f t="shared" si="9"/>
        <v>2</v>
      </c>
      <c r="S105" s="1">
        <f t="shared" si="10"/>
        <v>1</v>
      </c>
    </row>
    <row r="106" spans="1:19" x14ac:dyDescent="0.15">
      <c r="A106" s="1">
        <v>105</v>
      </c>
      <c r="B106" s="1">
        <v>0</v>
      </c>
      <c r="C106" s="1">
        <f>[1]装备明细!B107</f>
        <v>101061200</v>
      </c>
      <c r="D106" s="1">
        <f t="shared" si="6"/>
        <v>200105</v>
      </c>
      <c r="E106" s="1" t="s">
        <v>63</v>
      </c>
      <c r="F106" s="1" t="str">
        <f ca="1">[1]装备明细!C107&amp;"图纸"</f>
        <v>玄铁爪图纸</v>
      </c>
      <c r="G106" s="1" t="str">
        <f ca="1">[1]装备明细!$I107</f>
        <v xml:space="preserve">[127-163]攻击 </v>
      </c>
      <c r="H106" s="1">
        <f t="shared" si="11"/>
        <v>100105</v>
      </c>
      <c r="I106" s="1">
        <v>1</v>
      </c>
      <c r="J106" s="1">
        <f>[1]装备明细!J107</f>
        <v>0</v>
      </c>
      <c r="K106" s="1">
        <f>[1]装备明细!K107</f>
        <v>1</v>
      </c>
      <c r="L106" s="1">
        <f>[1]装备明细!L107</f>
        <v>6</v>
      </c>
      <c r="M106" s="1">
        <v>6</v>
      </c>
      <c r="N106" s="1">
        <f>[1]装备明细!$F110</f>
        <v>1</v>
      </c>
      <c r="O106" s="1">
        <f>[1]装备明细!$E107</f>
        <v>1</v>
      </c>
      <c r="P106" s="1">
        <f t="shared" si="7"/>
        <v>1</v>
      </c>
      <c r="Q106" s="1">
        <f t="shared" si="8"/>
        <v>320</v>
      </c>
      <c r="R106" s="1">
        <f t="shared" si="9"/>
        <v>2</v>
      </c>
      <c r="S106" s="1">
        <f t="shared" si="10"/>
        <v>1</v>
      </c>
    </row>
    <row r="107" spans="1:19" x14ac:dyDescent="0.15">
      <c r="A107" s="1">
        <v>106</v>
      </c>
      <c r="B107" s="1">
        <v>0</v>
      </c>
      <c r="C107" s="1">
        <f>[1]装备明细!B108</f>
        <v>101071200</v>
      </c>
      <c r="D107" s="1">
        <f t="shared" si="6"/>
        <v>200106</v>
      </c>
      <c r="E107" s="1" t="s">
        <v>63</v>
      </c>
      <c r="F107" s="1" t="str">
        <f ca="1">[1]装备明细!C108&amp;"图纸"</f>
        <v>白银爪图纸</v>
      </c>
      <c r="G107" s="1" t="str">
        <f ca="1">[1]装备明细!$I108</f>
        <v xml:space="preserve">[164-202]攻击 </v>
      </c>
      <c r="H107" s="1">
        <f t="shared" si="11"/>
        <v>100106</v>
      </c>
      <c r="I107" s="1">
        <v>1</v>
      </c>
      <c r="J107" s="1">
        <f>[1]装备明细!J108</f>
        <v>0</v>
      </c>
      <c r="K107" s="1">
        <f>[1]装备明细!K108</f>
        <v>1</v>
      </c>
      <c r="L107" s="1">
        <f>[1]装备明细!L108</f>
        <v>7</v>
      </c>
      <c r="M107" s="1">
        <v>6</v>
      </c>
      <c r="N107" s="1">
        <f>[1]装备明细!$F111</f>
        <v>1</v>
      </c>
      <c r="O107" s="1">
        <f>[1]装备明细!$E108</f>
        <v>1</v>
      </c>
      <c r="P107" s="1">
        <f t="shared" si="7"/>
        <v>1</v>
      </c>
      <c r="Q107" s="1">
        <f t="shared" si="8"/>
        <v>340</v>
      </c>
      <c r="R107" s="1">
        <f t="shared" si="9"/>
        <v>2</v>
      </c>
      <c r="S107" s="1">
        <f t="shared" si="10"/>
        <v>1</v>
      </c>
    </row>
    <row r="108" spans="1:19" x14ac:dyDescent="0.15">
      <c r="A108" s="1">
        <v>107</v>
      </c>
      <c r="B108" s="1">
        <v>0</v>
      </c>
      <c r="C108" s="1">
        <f>[1]装备明细!B109</f>
        <v>101081200</v>
      </c>
      <c r="D108" s="1">
        <f t="shared" si="6"/>
        <v>200107</v>
      </c>
      <c r="E108" s="1" t="s">
        <v>63</v>
      </c>
      <c r="F108" s="1" t="str">
        <f ca="1">[1]装备明细!C109&amp;"图纸"</f>
        <v>异灵爪图纸</v>
      </c>
      <c r="G108" s="1" t="str">
        <f ca="1">[1]装备明细!$I109</f>
        <v xml:space="preserve">[203-246]攻击 </v>
      </c>
      <c r="H108" s="1">
        <f t="shared" si="11"/>
        <v>100107</v>
      </c>
      <c r="I108" s="1">
        <v>1</v>
      </c>
      <c r="J108" s="1">
        <f>[1]装备明细!J109</f>
        <v>0</v>
      </c>
      <c r="K108" s="1">
        <f>[1]装备明细!K109</f>
        <v>1</v>
      </c>
      <c r="L108" s="1">
        <f>[1]装备明细!L109</f>
        <v>8</v>
      </c>
      <c r="M108" s="1">
        <v>6</v>
      </c>
      <c r="N108" s="1">
        <f>[1]装备明细!$F112</f>
        <v>1</v>
      </c>
      <c r="O108" s="1">
        <f>[1]装备明细!$E109</f>
        <v>1</v>
      </c>
      <c r="P108" s="1">
        <f t="shared" si="7"/>
        <v>1</v>
      </c>
      <c r="Q108" s="1">
        <f t="shared" si="8"/>
        <v>360</v>
      </c>
      <c r="R108" s="1">
        <f t="shared" si="9"/>
        <v>2</v>
      </c>
      <c r="S108" s="1">
        <f t="shared" si="10"/>
        <v>1</v>
      </c>
    </row>
    <row r="109" spans="1:19" x14ac:dyDescent="0.15">
      <c r="A109" s="1">
        <v>108</v>
      </c>
      <c r="B109" s="1">
        <v>0</v>
      </c>
      <c r="C109" s="1">
        <f>[1]装备明细!B110</f>
        <v>101091200</v>
      </c>
      <c r="D109" s="1">
        <f t="shared" si="6"/>
        <v>200108</v>
      </c>
      <c r="E109" s="1" t="s">
        <v>63</v>
      </c>
      <c r="F109" s="1" t="str">
        <f ca="1">[1]装备明细!C110&amp;"图纸"</f>
        <v>流星爪图纸</v>
      </c>
      <c r="G109" s="1" t="str">
        <f ca="1">[1]装备明细!$I110</f>
        <v xml:space="preserve">[247-293]攻击 </v>
      </c>
      <c r="H109" s="1">
        <f t="shared" si="11"/>
        <v>100108</v>
      </c>
      <c r="I109" s="1">
        <v>1</v>
      </c>
      <c r="J109" s="1">
        <f>[1]装备明细!J110</f>
        <v>0</v>
      </c>
      <c r="K109" s="1">
        <f>[1]装备明细!K110</f>
        <v>1</v>
      </c>
      <c r="L109" s="1">
        <f>[1]装备明细!L110</f>
        <v>9</v>
      </c>
      <c r="M109" s="1">
        <v>6</v>
      </c>
      <c r="N109" s="1">
        <f>[1]装备明细!$F113</f>
        <v>1</v>
      </c>
      <c r="O109" s="1">
        <f>[1]装备明细!$E110</f>
        <v>1</v>
      </c>
      <c r="P109" s="1">
        <f t="shared" si="7"/>
        <v>1</v>
      </c>
      <c r="Q109" s="1">
        <f t="shared" si="8"/>
        <v>380</v>
      </c>
      <c r="R109" s="1">
        <f t="shared" si="9"/>
        <v>2</v>
      </c>
      <c r="S109" s="1">
        <f t="shared" si="10"/>
        <v>1</v>
      </c>
    </row>
    <row r="110" spans="1:19" x14ac:dyDescent="0.15">
      <c r="A110" s="1">
        <v>109</v>
      </c>
      <c r="B110" s="1">
        <v>0</v>
      </c>
      <c r="C110" s="1">
        <f>[1]装备明细!B111</f>
        <v>101011300</v>
      </c>
      <c r="D110" s="1">
        <f t="shared" si="6"/>
        <v>200109</v>
      </c>
      <c r="E110" s="1" t="s">
        <v>63</v>
      </c>
      <c r="F110" s="1" t="str">
        <f ca="1">[1]装备明细!C111&amp;"图纸"</f>
        <v>破旧的剑图纸</v>
      </c>
      <c r="G110" s="1" t="str">
        <f ca="1">[1]装备明细!$I111</f>
        <v xml:space="preserve">[1-18]攻击 </v>
      </c>
      <c r="H110" s="1">
        <f t="shared" si="11"/>
        <v>100109</v>
      </c>
      <c r="I110" s="1">
        <v>1</v>
      </c>
      <c r="J110" s="1">
        <f>[1]装备明细!J111</f>
        <v>0</v>
      </c>
      <c r="K110" s="1">
        <f>[1]装备明细!K111</f>
        <v>1</v>
      </c>
      <c r="L110" s="1">
        <f>[1]装备明细!L111</f>
        <v>1</v>
      </c>
      <c r="M110" s="1">
        <v>6</v>
      </c>
      <c r="N110" s="1">
        <f>[1]装备明细!$F114</f>
        <v>1</v>
      </c>
      <c r="O110" s="1">
        <f>[1]装备明细!$E111</f>
        <v>1</v>
      </c>
      <c r="P110" s="1">
        <f t="shared" si="7"/>
        <v>1</v>
      </c>
      <c r="Q110" s="1">
        <f t="shared" si="8"/>
        <v>220</v>
      </c>
      <c r="R110" s="1">
        <f t="shared" si="9"/>
        <v>2</v>
      </c>
      <c r="S110" s="1">
        <f t="shared" si="10"/>
        <v>1</v>
      </c>
    </row>
    <row r="111" spans="1:19" x14ac:dyDescent="0.15">
      <c r="A111" s="1">
        <v>110</v>
      </c>
      <c r="B111" s="1">
        <v>0</v>
      </c>
      <c r="C111" s="1">
        <f>[1]装备明细!B112</f>
        <v>101021300</v>
      </c>
      <c r="D111" s="1">
        <f t="shared" si="6"/>
        <v>200110</v>
      </c>
      <c r="E111" s="1" t="s">
        <v>63</v>
      </c>
      <c r="F111" s="1" t="str">
        <f ca="1">[1]装备明细!C112&amp;"图纸"</f>
        <v>普通的剑图纸</v>
      </c>
      <c r="G111" s="1" t="str">
        <f ca="1">[1]装备明细!$I112</f>
        <v xml:space="preserve">[19-39]攻击 </v>
      </c>
      <c r="H111" s="1">
        <f t="shared" si="11"/>
        <v>100110</v>
      </c>
      <c r="I111" s="1">
        <v>1</v>
      </c>
      <c r="J111" s="1">
        <f>[1]装备明细!J112</f>
        <v>0</v>
      </c>
      <c r="K111" s="1">
        <f>[1]装备明细!K112</f>
        <v>1</v>
      </c>
      <c r="L111" s="1">
        <f>[1]装备明细!L112</f>
        <v>2</v>
      </c>
      <c r="M111" s="1">
        <v>6</v>
      </c>
      <c r="N111" s="1">
        <f>[1]装备明细!$F115</f>
        <v>1</v>
      </c>
      <c r="O111" s="1">
        <f>[1]装备明细!$E112</f>
        <v>1</v>
      </c>
      <c r="P111" s="1">
        <f t="shared" si="7"/>
        <v>1</v>
      </c>
      <c r="Q111" s="1">
        <f t="shared" si="8"/>
        <v>240</v>
      </c>
      <c r="R111" s="1">
        <f t="shared" si="9"/>
        <v>2</v>
      </c>
      <c r="S111" s="1">
        <f t="shared" si="10"/>
        <v>1</v>
      </c>
    </row>
    <row r="112" spans="1:19" x14ac:dyDescent="0.15">
      <c r="A112" s="1">
        <v>111</v>
      </c>
      <c r="B112" s="1">
        <v>0</v>
      </c>
      <c r="C112" s="1">
        <f>[1]装备明细!B113</f>
        <v>101031300</v>
      </c>
      <c r="D112" s="1">
        <f t="shared" si="6"/>
        <v>200111</v>
      </c>
      <c r="E112" s="1" t="s">
        <v>63</v>
      </c>
      <c r="F112" s="1" t="str">
        <f ca="1">[1]装备明细!C113&amp;"图纸"</f>
        <v>初级的剑图纸</v>
      </c>
      <c r="G112" s="1" t="str">
        <f ca="1">[1]装备明细!$I113</f>
        <v xml:space="preserve">[40-64]攻击 </v>
      </c>
      <c r="H112" s="1">
        <f t="shared" si="11"/>
        <v>100111</v>
      </c>
      <c r="I112" s="1">
        <v>1</v>
      </c>
      <c r="J112" s="1">
        <f>[1]装备明细!J113</f>
        <v>0</v>
      </c>
      <c r="K112" s="1">
        <f>[1]装备明细!K113</f>
        <v>1</v>
      </c>
      <c r="L112" s="1">
        <f>[1]装备明细!L113</f>
        <v>3</v>
      </c>
      <c r="M112" s="1">
        <v>6</v>
      </c>
      <c r="N112" s="1">
        <f>[1]装备明细!$F116</f>
        <v>1</v>
      </c>
      <c r="O112" s="1">
        <f>[1]装备明细!$E113</f>
        <v>1</v>
      </c>
      <c r="P112" s="1">
        <f t="shared" si="7"/>
        <v>1</v>
      </c>
      <c r="Q112" s="1">
        <f t="shared" si="8"/>
        <v>260</v>
      </c>
      <c r="R112" s="1">
        <f t="shared" si="9"/>
        <v>2</v>
      </c>
      <c r="S112" s="1">
        <f t="shared" si="10"/>
        <v>1</v>
      </c>
    </row>
    <row r="113" spans="1:19" x14ac:dyDescent="0.15">
      <c r="A113" s="1">
        <v>112</v>
      </c>
      <c r="B113" s="1">
        <v>0</v>
      </c>
      <c r="C113" s="1">
        <f>[1]装备明细!B114</f>
        <v>101041300</v>
      </c>
      <c r="D113" s="1">
        <f t="shared" si="6"/>
        <v>200112</v>
      </c>
      <c r="E113" s="1" t="s">
        <v>63</v>
      </c>
      <c r="F113" s="1" t="str">
        <f ca="1">[1]装备明细!C114&amp;"图纸"</f>
        <v>水晶剑图纸</v>
      </c>
      <c r="G113" s="1" t="str">
        <f ca="1">[1]装备明细!$I114</f>
        <v xml:space="preserve">[65-93]攻击 </v>
      </c>
      <c r="H113" s="1">
        <f t="shared" si="11"/>
        <v>100112</v>
      </c>
      <c r="I113" s="1">
        <v>1</v>
      </c>
      <c r="J113" s="1">
        <f>[1]装备明细!J114</f>
        <v>0</v>
      </c>
      <c r="K113" s="1">
        <f>[1]装备明细!K114</f>
        <v>1</v>
      </c>
      <c r="L113" s="1">
        <f>[1]装备明细!L114</f>
        <v>4</v>
      </c>
      <c r="M113" s="1">
        <v>6</v>
      </c>
      <c r="N113" s="1">
        <f>[1]装备明细!$F117</f>
        <v>1</v>
      </c>
      <c r="O113" s="1">
        <f>[1]装备明细!$E114</f>
        <v>1</v>
      </c>
      <c r="P113" s="1">
        <f t="shared" si="7"/>
        <v>1</v>
      </c>
      <c r="Q113" s="1">
        <f t="shared" si="8"/>
        <v>280</v>
      </c>
      <c r="R113" s="1">
        <f t="shared" si="9"/>
        <v>2</v>
      </c>
      <c r="S113" s="1">
        <f t="shared" si="10"/>
        <v>1</v>
      </c>
    </row>
    <row r="114" spans="1:19" x14ac:dyDescent="0.15">
      <c r="A114" s="1">
        <v>113</v>
      </c>
      <c r="B114" s="1">
        <v>0</v>
      </c>
      <c r="C114" s="1">
        <f>[1]装备明细!B115</f>
        <v>101051300</v>
      </c>
      <c r="D114" s="1">
        <f t="shared" si="6"/>
        <v>200113</v>
      </c>
      <c r="E114" s="1" t="s">
        <v>63</v>
      </c>
      <c r="F114" s="1" t="str">
        <f ca="1">[1]装备明细!C115&amp;"图纸"</f>
        <v>青铜剑图纸</v>
      </c>
      <c r="G114" s="1" t="str">
        <f ca="1">[1]装备明细!$I115</f>
        <v xml:space="preserve">[94-126]攻击 </v>
      </c>
      <c r="H114" s="1">
        <f t="shared" si="11"/>
        <v>100113</v>
      </c>
      <c r="I114" s="1">
        <v>1</v>
      </c>
      <c r="J114" s="1">
        <f>[1]装备明细!J115</f>
        <v>0</v>
      </c>
      <c r="K114" s="1">
        <f>[1]装备明细!K115</f>
        <v>1</v>
      </c>
      <c r="L114" s="1">
        <f>[1]装备明细!L115</f>
        <v>5</v>
      </c>
      <c r="M114" s="1">
        <v>6</v>
      </c>
      <c r="N114" s="1">
        <f>[1]装备明细!$F118</f>
        <v>1</v>
      </c>
      <c r="O114" s="1">
        <f>[1]装备明细!$E115</f>
        <v>1</v>
      </c>
      <c r="P114" s="1">
        <f t="shared" si="7"/>
        <v>1</v>
      </c>
      <c r="Q114" s="1">
        <f t="shared" si="8"/>
        <v>300</v>
      </c>
      <c r="R114" s="1">
        <f t="shared" si="9"/>
        <v>2</v>
      </c>
      <c r="S114" s="1">
        <f t="shared" si="10"/>
        <v>1</v>
      </c>
    </row>
    <row r="115" spans="1:19" x14ac:dyDescent="0.15">
      <c r="A115" s="1">
        <v>114</v>
      </c>
      <c r="B115" s="1">
        <v>0</v>
      </c>
      <c r="C115" s="1">
        <f>[1]装备明细!B116</f>
        <v>101061300</v>
      </c>
      <c r="D115" s="1">
        <f t="shared" si="6"/>
        <v>200114</v>
      </c>
      <c r="E115" s="1" t="s">
        <v>63</v>
      </c>
      <c r="F115" s="1" t="str">
        <f ca="1">[1]装备明细!C116&amp;"图纸"</f>
        <v>玄铁剑图纸</v>
      </c>
      <c r="G115" s="1" t="str">
        <f ca="1">[1]装备明细!$I116</f>
        <v xml:space="preserve">[127-163]攻击 </v>
      </c>
      <c r="H115" s="1">
        <f t="shared" si="11"/>
        <v>100114</v>
      </c>
      <c r="I115" s="1">
        <v>1</v>
      </c>
      <c r="J115" s="1">
        <f>[1]装备明细!J116</f>
        <v>0</v>
      </c>
      <c r="K115" s="1">
        <f>[1]装备明细!K116</f>
        <v>1</v>
      </c>
      <c r="L115" s="1">
        <f>[1]装备明细!L116</f>
        <v>6</v>
      </c>
      <c r="M115" s="1">
        <v>6</v>
      </c>
      <c r="N115" s="1">
        <f>[1]装备明细!$F119</f>
        <v>1</v>
      </c>
      <c r="O115" s="1">
        <f>[1]装备明细!$E116</f>
        <v>1</v>
      </c>
      <c r="P115" s="1">
        <f t="shared" si="7"/>
        <v>1</v>
      </c>
      <c r="Q115" s="1">
        <f t="shared" si="8"/>
        <v>320</v>
      </c>
      <c r="R115" s="1">
        <f t="shared" si="9"/>
        <v>2</v>
      </c>
      <c r="S115" s="1">
        <f t="shared" si="10"/>
        <v>1</v>
      </c>
    </row>
    <row r="116" spans="1:19" x14ac:dyDescent="0.15">
      <c r="A116" s="1">
        <v>115</v>
      </c>
      <c r="B116" s="1">
        <v>0</v>
      </c>
      <c r="C116" s="1">
        <f>[1]装备明细!B117</f>
        <v>101071300</v>
      </c>
      <c r="D116" s="1">
        <f t="shared" si="6"/>
        <v>200115</v>
      </c>
      <c r="E116" s="1" t="s">
        <v>63</v>
      </c>
      <c r="F116" s="1" t="str">
        <f ca="1">[1]装备明细!C117&amp;"图纸"</f>
        <v>白银剑图纸</v>
      </c>
      <c r="G116" s="1" t="str">
        <f ca="1">[1]装备明细!$I117</f>
        <v xml:space="preserve">[164-202]攻击 </v>
      </c>
      <c r="H116" s="1">
        <f t="shared" si="11"/>
        <v>100115</v>
      </c>
      <c r="I116" s="1">
        <v>1</v>
      </c>
      <c r="J116" s="1">
        <f>[1]装备明细!J117</f>
        <v>0</v>
      </c>
      <c r="K116" s="1">
        <f>[1]装备明细!K117</f>
        <v>1</v>
      </c>
      <c r="L116" s="1">
        <f>[1]装备明细!L117</f>
        <v>7</v>
      </c>
      <c r="M116" s="1">
        <v>6</v>
      </c>
      <c r="N116" s="1">
        <f>[1]装备明细!$F120</f>
        <v>2</v>
      </c>
      <c r="O116" s="1">
        <f>[1]装备明细!$E117</f>
        <v>1</v>
      </c>
      <c r="P116" s="1">
        <f t="shared" si="7"/>
        <v>1</v>
      </c>
      <c r="Q116" s="1">
        <f t="shared" si="8"/>
        <v>340</v>
      </c>
      <c r="R116" s="1">
        <f t="shared" si="9"/>
        <v>2</v>
      </c>
      <c r="S116" s="1">
        <f t="shared" si="10"/>
        <v>1</v>
      </c>
    </row>
    <row r="117" spans="1:19" x14ac:dyDescent="0.15">
      <c r="A117" s="1">
        <v>116</v>
      </c>
      <c r="B117" s="1">
        <v>0</v>
      </c>
      <c r="C117" s="1">
        <f>[1]装备明细!B118</f>
        <v>101081300</v>
      </c>
      <c r="D117" s="1">
        <f t="shared" si="6"/>
        <v>200116</v>
      </c>
      <c r="E117" s="1" t="s">
        <v>63</v>
      </c>
      <c r="F117" s="1" t="str">
        <f ca="1">[1]装备明细!C118&amp;"图纸"</f>
        <v>异灵剑图纸</v>
      </c>
      <c r="G117" s="1" t="str">
        <f ca="1">[1]装备明细!$I118</f>
        <v xml:space="preserve">[203-246]攻击 </v>
      </c>
      <c r="H117" s="1">
        <f t="shared" si="11"/>
        <v>100116</v>
      </c>
      <c r="I117" s="1">
        <v>1</v>
      </c>
      <c r="J117" s="1">
        <f>[1]装备明细!J118</f>
        <v>0</v>
      </c>
      <c r="K117" s="1">
        <f>[1]装备明细!K118</f>
        <v>1</v>
      </c>
      <c r="L117" s="1">
        <f>[1]装备明细!L118</f>
        <v>8</v>
      </c>
      <c r="M117" s="1">
        <v>6</v>
      </c>
      <c r="N117" s="1">
        <f>[1]装备明细!$F121</f>
        <v>2</v>
      </c>
      <c r="O117" s="1">
        <f>[1]装备明细!$E118</f>
        <v>1</v>
      </c>
      <c r="P117" s="1">
        <f t="shared" si="7"/>
        <v>1</v>
      </c>
      <c r="Q117" s="1">
        <f t="shared" si="8"/>
        <v>360</v>
      </c>
      <c r="R117" s="1">
        <f t="shared" si="9"/>
        <v>2</v>
      </c>
      <c r="S117" s="1">
        <f t="shared" si="10"/>
        <v>1</v>
      </c>
    </row>
    <row r="118" spans="1:19" x14ac:dyDescent="0.15">
      <c r="A118" s="1">
        <v>117</v>
      </c>
      <c r="B118" s="1">
        <v>0</v>
      </c>
      <c r="C118" s="1">
        <f>[1]装备明细!B119</f>
        <v>101091300</v>
      </c>
      <c r="D118" s="1">
        <f t="shared" si="6"/>
        <v>200117</v>
      </c>
      <c r="E118" s="1" t="s">
        <v>63</v>
      </c>
      <c r="F118" s="1" t="str">
        <f ca="1">[1]装备明细!C119&amp;"图纸"</f>
        <v>流星剑图纸</v>
      </c>
      <c r="G118" s="1" t="str">
        <f ca="1">[1]装备明细!$I119</f>
        <v xml:space="preserve">[247-293]攻击 </v>
      </c>
      <c r="H118" s="1">
        <f t="shared" si="11"/>
        <v>100117</v>
      </c>
      <c r="I118" s="1">
        <v>1</v>
      </c>
      <c r="J118" s="1">
        <f>[1]装备明细!J119</f>
        <v>0</v>
      </c>
      <c r="K118" s="1">
        <f>[1]装备明细!K119</f>
        <v>1</v>
      </c>
      <c r="L118" s="1">
        <f>[1]装备明细!L119</f>
        <v>9</v>
      </c>
      <c r="M118" s="1">
        <v>6</v>
      </c>
      <c r="N118" s="1">
        <f>[1]装备明细!$F122</f>
        <v>2</v>
      </c>
      <c r="O118" s="1">
        <f>[1]装备明细!$E119</f>
        <v>1</v>
      </c>
      <c r="P118" s="1">
        <f t="shared" si="7"/>
        <v>1</v>
      </c>
      <c r="Q118" s="1">
        <f t="shared" si="8"/>
        <v>380</v>
      </c>
      <c r="R118" s="1">
        <f t="shared" si="9"/>
        <v>2</v>
      </c>
      <c r="S118" s="1">
        <f t="shared" si="10"/>
        <v>1</v>
      </c>
    </row>
    <row r="119" spans="1:19" x14ac:dyDescent="0.15">
      <c r="A119" s="1">
        <v>118</v>
      </c>
      <c r="B119" s="1">
        <v>0</v>
      </c>
      <c r="C119" s="1">
        <f>[1]装备明细!B120</f>
        <v>201011400</v>
      </c>
      <c r="D119" s="1">
        <f t="shared" si="6"/>
        <v>200118</v>
      </c>
      <c r="E119" s="1" t="s">
        <v>63</v>
      </c>
      <c r="F119" s="1" t="str">
        <f ca="1">[1]装备明细!C120&amp;"图纸"</f>
        <v>破旧的戒指图纸</v>
      </c>
      <c r="G119" s="1" t="str">
        <f ca="1">[1]装备明细!$I120</f>
        <v xml:space="preserve">[1-31]防御 </v>
      </c>
      <c r="H119" s="1">
        <f t="shared" si="11"/>
        <v>100118</v>
      </c>
      <c r="I119" s="1">
        <v>1</v>
      </c>
      <c r="J119" s="1">
        <f>[1]装备明细!J120</f>
        <v>0</v>
      </c>
      <c r="K119" s="1">
        <f>[1]装备明细!K120</f>
        <v>1</v>
      </c>
      <c r="L119" s="1">
        <f>[1]装备明细!L120</f>
        <v>1</v>
      </c>
      <c r="M119" s="1">
        <v>6</v>
      </c>
      <c r="N119" s="1">
        <f>[1]装备明细!$F123</f>
        <v>2</v>
      </c>
      <c r="O119" s="1">
        <f>[1]装备明细!$E120</f>
        <v>1</v>
      </c>
      <c r="P119" s="1">
        <f t="shared" si="7"/>
        <v>1</v>
      </c>
      <c r="Q119" s="1">
        <f t="shared" si="8"/>
        <v>220</v>
      </c>
      <c r="R119" s="1">
        <f t="shared" si="9"/>
        <v>2</v>
      </c>
      <c r="S119" s="1">
        <f t="shared" si="10"/>
        <v>1</v>
      </c>
    </row>
    <row r="120" spans="1:19" x14ac:dyDescent="0.15">
      <c r="A120" s="1">
        <v>119</v>
      </c>
      <c r="B120" s="1">
        <v>0</v>
      </c>
      <c r="C120" s="1">
        <f>[1]装备明细!B121</f>
        <v>201021400</v>
      </c>
      <c r="D120" s="1">
        <f t="shared" si="6"/>
        <v>200119</v>
      </c>
      <c r="E120" s="1" t="s">
        <v>63</v>
      </c>
      <c r="F120" s="1" t="str">
        <f ca="1">[1]装备明细!C121&amp;"图纸"</f>
        <v>普通的戒指图纸</v>
      </c>
      <c r="G120" s="1" t="str">
        <f ca="1">[1]装备明细!$I121</f>
        <v xml:space="preserve">[32-62]防御 </v>
      </c>
      <c r="H120" s="1">
        <f t="shared" si="11"/>
        <v>100119</v>
      </c>
      <c r="I120" s="1">
        <v>1</v>
      </c>
      <c r="J120" s="1">
        <f>[1]装备明细!J121</f>
        <v>0</v>
      </c>
      <c r="K120" s="1">
        <f>[1]装备明细!K121</f>
        <v>1</v>
      </c>
      <c r="L120" s="1">
        <f>[1]装备明细!L121</f>
        <v>2</v>
      </c>
      <c r="M120" s="1">
        <v>6</v>
      </c>
      <c r="N120" s="1">
        <f>[1]装备明细!$F124</f>
        <v>2</v>
      </c>
      <c r="O120" s="1">
        <f>[1]装备明细!$E121</f>
        <v>1</v>
      </c>
      <c r="P120" s="1">
        <f t="shared" si="7"/>
        <v>1</v>
      </c>
      <c r="Q120" s="1">
        <f t="shared" si="8"/>
        <v>240</v>
      </c>
      <c r="R120" s="1">
        <f t="shared" si="9"/>
        <v>2</v>
      </c>
      <c r="S120" s="1">
        <f t="shared" si="10"/>
        <v>1</v>
      </c>
    </row>
    <row r="121" spans="1:19" x14ac:dyDescent="0.15">
      <c r="A121" s="1">
        <v>120</v>
      </c>
      <c r="B121" s="1">
        <v>0</v>
      </c>
      <c r="C121" s="1">
        <f>[1]装备明细!B122</f>
        <v>201031400</v>
      </c>
      <c r="D121" s="1">
        <f t="shared" si="6"/>
        <v>200120</v>
      </c>
      <c r="E121" s="1" t="s">
        <v>63</v>
      </c>
      <c r="F121" s="1" t="str">
        <f ca="1">[1]装备明细!C122&amp;"图纸"</f>
        <v>初级的戒指图纸</v>
      </c>
      <c r="G121" s="1" t="str">
        <f ca="1">[1]装备明细!$I122</f>
        <v xml:space="preserve">[63-93]防御 </v>
      </c>
      <c r="H121" s="1">
        <f t="shared" si="11"/>
        <v>100120</v>
      </c>
      <c r="I121" s="1">
        <v>1</v>
      </c>
      <c r="J121" s="1">
        <f>[1]装备明细!J122</f>
        <v>0</v>
      </c>
      <c r="K121" s="1">
        <f>[1]装备明细!K122</f>
        <v>1</v>
      </c>
      <c r="L121" s="1">
        <f>[1]装备明细!L122</f>
        <v>3</v>
      </c>
      <c r="M121" s="1">
        <v>6</v>
      </c>
      <c r="N121" s="1">
        <f>[1]装备明细!$F125</f>
        <v>2</v>
      </c>
      <c r="O121" s="1">
        <f>[1]装备明细!$E122</f>
        <v>1</v>
      </c>
      <c r="P121" s="1">
        <f t="shared" si="7"/>
        <v>1</v>
      </c>
      <c r="Q121" s="1">
        <f t="shared" si="8"/>
        <v>260</v>
      </c>
      <c r="R121" s="1">
        <f t="shared" si="9"/>
        <v>2</v>
      </c>
      <c r="S121" s="1">
        <f t="shared" si="10"/>
        <v>1</v>
      </c>
    </row>
    <row r="122" spans="1:19" x14ac:dyDescent="0.15">
      <c r="A122" s="1">
        <v>121</v>
      </c>
      <c r="B122" s="1">
        <v>0</v>
      </c>
      <c r="C122" s="1">
        <f>[1]装备明细!B123</f>
        <v>201041400</v>
      </c>
      <c r="D122" s="1">
        <f t="shared" si="6"/>
        <v>200121</v>
      </c>
      <c r="E122" s="1" t="s">
        <v>63</v>
      </c>
      <c r="F122" s="1" t="str">
        <f ca="1">[1]装备明细!C123&amp;"图纸"</f>
        <v>水晶戒指图纸</v>
      </c>
      <c r="G122" s="1" t="str">
        <f ca="1">[1]装备明细!$I123</f>
        <v xml:space="preserve">[94-125]防御 </v>
      </c>
      <c r="H122" s="1">
        <f t="shared" si="11"/>
        <v>100121</v>
      </c>
      <c r="I122" s="1">
        <v>1</v>
      </c>
      <c r="J122" s="1">
        <f>[1]装备明细!J123</f>
        <v>0</v>
      </c>
      <c r="K122" s="1">
        <f>[1]装备明细!K123</f>
        <v>1</v>
      </c>
      <c r="L122" s="1">
        <f>[1]装备明细!L123</f>
        <v>4</v>
      </c>
      <c r="M122" s="1">
        <v>6</v>
      </c>
      <c r="N122" s="1">
        <f>[1]装备明细!$F126</f>
        <v>2</v>
      </c>
      <c r="O122" s="1">
        <f>[1]装备明细!$E123</f>
        <v>1</v>
      </c>
      <c r="P122" s="1">
        <f t="shared" si="7"/>
        <v>1</v>
      </c>
      <c r="Q122" s="1">
        <f t="shared" si="8"/>
        <v>280</v>
      </c>
      <c r="R122" s="1">
        <f t="shared" si="9"/>
        <v>2</v>
      </c>
      <c r="S122" s="1">
        <f t="shared" si="10"/>
        <v>1</v>
      </c>
    </row>
    <row r="123" spans="1:19" x14ac:dyDescent="0.15">
      <c r="A123" s="1">
        <v>122</v>
      </c>
      <c r="B123" s="1">
        <v>0</v>
      </c>
      <c r="C123" s="1">
        <f>[1]装备明细!B124</f>
        <v>201051400</v>
      </c>
      <c r="D123" s="1">
        <f t="shared" si="6"/>
        <v>200122</v>
      </c>
      <c r="E123" s="1" t="s">
        <v>63</v>
      </c>
      <c r="F123" s="1" t="str">
        <f ca="1">[1]装备明细!C124&amp;"图纸"</f>
        <v>青铜戒指图纸</v>
      </c>
      <c r="G123" s="1" t="str">
        <f ca="1">[1]装备明细!$I124</f>
        <v xml:space="preserve">[126-156]防御 </v>
      </c>
      <c r="H123" s="1">
        <f t="shared" si="11"/>
        <v>100122</v>
      </c>
      <c r="I123" s="1">
        <v>1</v>
      </c>
      <c r="J123" s="1">
        <f>[1]装备明细!J124</f>
        <v>0</v>
      </c>
      <c r="K123" s="1">
        <f>[1]装备明细!K124</f>
        <v>1</v>
      </c>
      <c r="L123" s="1">
        <f>[1]装备明细!L124</f>
        <v>5</v>
      </c>
      <c r="M123" s="1">
        <v>6</v>
      </c>
      <c r="N123" s="1">
        <f>[1]装备明细!$F127</f>
        <v>2</v>
      </c>
      <c r="O123" s="1">
        <f>[1]装备明细!$E124</f>
        <v>1</v>
      </c>
      <c r="P123" s="1">
        <f t="shared" si="7"/>
        <v>1</v>
      </c>
      <c r="Q123" s="1">
        <f t="shared" si="8"/>
        <v>300</v>
      </c>
      <c r="R123" s="1">
        <f t="shared" si="9"/>
        <v>2</v>
      </c>
      <c r="S123" s="1">
        <f t="shared" si="10"/>
        <v>1</v>
      </c>
    </row>
    <row r="124" spans="1:19" x14ac:dyDescent="0.15">
      <c r="A124" s="1">
        <v>123</v>
      </c>
      <c r="B124" s="1">
        <v>0</v>
      </c>
      <c r="C124" s="1">
        <f>[1]装备明细!B125</f>
        <v>201061400</v>
      </c>
      <c r="D124" s="1">
        <f t="shared" si="6"/>
        <v>200123</v>
      </c>
      <c r="E124" s="1" t="s">
        <v>63</v>
      </c>
      <c r="F124" s="1" t="str">
        <f ca="1">[1]装备明细!C125&amp;"图纸"</f>
        <v>玄铁戒指图纸</v>
      </c>
      <c r="G124" s="1" t="str">
        <f ca="1">[1]装备明细!$I125</f>
        <v xml:space="preserve">[157-187]防御 </v>
      </c>
      <c r="H124" s="1">
        <f t="shared" si="11"/>
        <v>100123</v>
      </c>
      <c r="I124" s="1">
        <v>1</v>
      </c>
      <c r="J124" s="1">
        <f>[1]装备明细!J125</f>
        <v>0</v>
      </c>
      <c r="K124" s="1">
        <f>[1]装备明细!K125</f>
        <v>1</v>
      </c>
      <c r="L124" s="1">
        <f>[1]装备明细!L125</f>
        <v>6</v>
      </c>
      <c r="M124" s="1">
        <v>6</v>
      </c>
      <c r="N124" s="1">
        <f>[1]装备明细!$F128</f>
        <v>2</v>
      </c>
      <c r="O124" s="1">
        <f>[1]装备明细!$E125</f>
        <v>1</v>
      </c>
      <c r="P124" s="1">
        <f t="shared" si="7"/>
        <v>1</v>
      </c>
      <c r="Q124" s="1">
        <f t="shared" si="8"/>
        <v>320</v>
      </c>
      <c r="R124" s="1">
        <f t="shared" si="9"/>
        <v>2</v>
      </c>
      <c r="S124" s="1">
        <f t="shared" si="10"/>
        <v>1</v>
      </c>
    </row>
    <row r="125" spans="1:19" x14ac:dyDescent="0.15">
      <c r="A125" s="1">
        <v>124</v>
      </c>
      <c r="B125" s="1">
        <v>0</v>
      </c>
      <c r="C125" s="1">
        <f>[1]装备明细!B126</f>
        <v>201071400</v>
      </c>
      <c r="D125" s="1">
        <f t="shared" si="6"/>
        <v>200124</v>
      </c>
      <c r="E125" s="1" t="s">
        <v>63</v>
      </c>
      <c r="F125" s="1" t="str">
        <f ca="1">[1]装备明细!C126&amp;"图纸"</f>
        <v>白银戒指图纸</v>
      </c>
      <c r="G125" s="1" t="str">
        <f ca="1">[1]装备明细!$I126</f>
        <v xml:space="preserve">[188-218]防御 </v>
      </c>
      <c r="H125" s="1">
        <f t="shared" si="11"/>
        <v>100124</v>
      </c>
      <c r="I125" s="1">
        <v>1</v>
      </c>
      <c r="J125" s="1">
        <f>[1]装备明细!J126</f>
        <v>0</v>
      </c>
      <c r="K125" s="1">
        <f>[1]装备明细!K126</f>
        <v>1</v>
      </c>
      <c r="L125" s="1">
        <f>[1]装备明细!L126</f>
        <v>7</v>
      </c>
      <c r="M125" s="1">
        <v>6</v>
      </c>
      <c r="N125" s="1">
        <f>[1]装备明细!$F129</f>
        <v>3</v>
      </c>
      <c r="O125" s="1">
        <f>[1]装备明细!$E126</f>
        <v>1</v>
      </c>
      <c r="P125" s="1">
        <f t="shared" si="7"/>
        <v>1</v>
      </c>
      <c r="Q125" s="1">
        <f t="shared" si="8"/>
        <v>340</v>
      </c>
      <c r="R125" s="1">
        <f t="shared" si="9"/>
        <v>2</v>
      </c>
      <c r="S125" s="1">
        <f t="shared" si="10"/>
        <v>1</v>
      </c>
    </row>
    <row r="126" spans="1:19" x14ac:dyDescent="0.15">
      <c r="A126" s="1">
        <v>125</v>
      </c>
      <c r="B126" s="1">
        <v>0</v>
      </c>
      <c r="C126" s="1">
        <f>[1]装备明细!B127</f>
        <v>201081400</v>
      </c>
      <c r="D126" s="1">
        <f t="shared" si="6"/>
        <v>200125</v>
      </c>
      <c r="E126" s="1" t="s">
        <v>63</v>
      </c>
      <c r="F126" s="1" t="str">
        <f ca="1">[1]装备明细!C127&amp;"图纸"</f>
        <v>异灵戒指图纸</v>
      </c>
      <c r="G126" s="1" t="str">
        <f ca="1">[1]装备明细!$I127</f>
        <v xml:space="preserve">[219-250]防御 </v>
      </c>
      <c r="H126" s="1">
        <f t="shared" si="11"/>
        <v>100125</v>
      </c>
      <c r="I126" s="1">
        <v>1</v>
      </c>
      <c r="J126" s="1">
        <f>[1]装备明细!J127</f>
        <v>0</v>
      </c>
      <c r="K126" s="1">
        <f>[1]装备明细!K127</f>
        <v>1</v>
      </c>
      <c r="L126" s="1">
        <f>[1]装备明细!L127</f>
        <v>8</v>
      </c>
      <c r="M126" s="1">
        <v>6</v>
      </c>
      <c r="N126" s="1">
        <f>[1]装备明细!$F130</f>
        <v>3</v>
      </c>
      <c r="O126" s="1">
        <f>[1]装备明细!$E127</f>
        <v>1</v>
      </c>
      <c r="P126" s="1">
        <f t="shared" si="7"/>
        <v>1</v>
      </c>
      <c r="Q126" s="1">
        <f t="shared" si="8"/>
        <v>360</v>
      </c>
      <c r="R126" s="1">
        <f t="shared" si="9"/>
        <v>2</v>
      </c>
      <c r="S126" s="1">
        <f t="shared" si="10"/>
        <v>1</v>
      </c>
    </row>
    <row r="127" spans="1:19" x14ac:dyDescent="0.15">
      <c r="A127" s="1">
        <v>126</v>
      </c>
      <c r="B127" s="1">
        <v>0</v>
      </c>
      <c r="C127" s="1">
        <f>[1]装备明细!B128</f>
        <v>201091400</v>
      </c>
      <c r="D127" s="1">
        <f t="shared" si="6"/>
        <v>200126</v>
      </c>
      <c r="E127" s="1" t="s">
        <v>63</v>
      </c>
      <c r="F127" s="1" t="str">
        <f ca="1">[1]装备明细!C128&amp;"图纸"</f>
        <v>流星戒指图纸</v>
      </c>
      <c r="G127" s="1" t="str">
        <f ca="1">[1]装备明细!$I128</f>
        <v xml:space="preserve">[251-281]防御 </v>
      </c>
      <c r="H127" s="1">
        <f t="shared" si="11"/>
        <v>100126</v>
      </c>
      <c r="I127" s="1">
        <v>1</v>
      </c>
      <c r="J127" s="1">
        <f>[1]装备明细!J128</f>
        <v>0</v>
      </c>
      <c r="K127" s="1">
        <f>[1]装备明细!K128</f>
        <v>1</v>
      </c>
      <c r="L127" s="1">
        <f>[1]装备明细!L128</f>
        <v>9</v>
      </c>
      <c r="M127" s="1">
        <v>6</v>
      </c>
      <c r="N127" s="1">
        <f>[1]装备明细!$F131</f>
        <v>3</v>
      </c>
      <c r="O127" s="1">
        <f>[1]装备明细!$E128</f>
        <v>1</v>
      </c>
      <c r="P127" s="1">
        <f t="shared" si="7"/>
        <v>1</v>
      </c>
      <c r="Q127" s="1">
        <f t="shared" si="8"/>
        <v>380</v>
      </c>
      <c r="R127" s="1">
        <f t="shared" si="9"/>
        <v>2</v>
      </c>
      <c r="S127" s="1">
        <f t="shared" si="10"/>
        <v>1</v>
      </c>
    </row>
    <row r="128" spans="1:19" x14ac:dyDescent="0.15">
      <c r="A128" s="1">
        <v>127</v>
      </c>
      <c r="B128" s="1">
        <v>0</v>
      </c>
      <c r="C128" s="1">
        <f>[1]装备明细!B129</f>
        <v>301011500</v>
      </c>
      <c r="D128" s="1">
        <f t="shared" si="6"/>
        <v>200127</v>
      </c>
      <c r="E128" s="1" t="s">
        <v>63</v>
      </c>
      <c r="F128" s="1" t="str">
        <f ca="1">[1]装备明细!C129&amp;"图纸"</f>
        <v>破旧的项链图纸</v>
      </c>
      <c r="G128" s="1" t="str">
        <f ca="1">[1]装备明细!$I129</f>
        <v xml:space="preserve">[1-31]防御 </v>
      </c>
      <c r="H128" s="1">
        <f t="shared" si="11"/>
        <v>100127</v>
      </c>
      <c r="I128" s="1">
        <v>1</v>
      </c>
      <c r="J128" s="1">
        <f>[1]装备明细!J129</f>
        <v>0</v>
      </c>
      <c r="K128" s="1">
        <f>[1]装备明细!K129</f>
        <v>1</v>
      </c>
      <c r="L128" s="1">
        <f>[1]装备明细!L129</f>
        <v>1</v>
      </c>
      <c r="M128" s="1">
        <v>6</v>
      </c>
      <c r="N128" s="1">
        <f>[1]装备明细!$F132</f>
        <v>3</v>
      </c>
      <c r="O128" s="1">
        <f>[1]装备明细!$E129</f>
        <v>1</v>
      </c>
      <c r="P128" s="1">
        <f t="shared" si="7"/>
        <v>1</v>
      </c>
      <c r="Q128" s="1">
        <f t="shared" si="8"/>
        <v>220</v>
      </c>
      <c r="R128" s="1">
        <f t="shared" si="9"/>
        <v>2</v>
      </c>
      <c r="S128" s="1">
        <f t="shared" si="10"/>
        <v>1</v>
      </c>
    </row>
    <row r="129" spans="1:19" x14ac:dyDescent="0.15">
      <c r="A129" s="1">
        <v>128</v>
      </c>
      <c r="B129" s="1">
        <v>0</v>
      </c>
      <c r="C129" s="1">
        <f>[1]装备明细!B130</f>
        <v>301021500</v>
      </c>
      <c r="D129" s="1">
        <f t="shared" si="6"/>
        <v>200128</v>
      </c>
      <c r="E129" s="1" t="s">
        <v>63</v>
      </c>
      <c r="F129" s="1" t="str">
        <f ca="1">[1]装备明细!C130&amp;"图纸"</f>
        <v>普通的项链图纸</v>
      </c>
      <c r="G129" s="1" t="str">
        <f ca="1">[1]装备明细!$I130</f>
        <v xml:space="preserve">[32-62]防御 </v>
      </c>
      <c r="H129" s="1">
        <f t="shared" si="11"/>
        <v>100128</v>
      </c>
      <c r="I129" s="1">
        <v>1</v>
      </c>
      <c r="J129" s="1">
        <f>[1]装备明细!J130</f>
        <v>0</v>
      </c>
      <c r="K129" s="1">
        <f>[1]装备明细!K130</f>
        <v>1</v>
      </c>
      <c r="L129" s="1">
        <f>[1]装备明细!L130</f>
        <v>2</v>
      </c>
      <c r="M129" s="1">
        <v>6</v>
      </c>
      <c r="N129" s="1">
        <f>[1]装备明细!$F133</f>
        <v>3</v>
      </c>
      <c r="O129" s="1">
        <f>[1]装备明细!$E130</f>
        <v>1</v>
      </c>
      <c r="P129" s="1">
        <f t="shared" si="7"/>
        <v>1</v>
      </c>
      <c r="Q129" s="1">
        <f t="shared" si="8"/>
        <v>240</v>
      </c>
      <c r="R129" s="1">
        <f t="shared" si="9"/>
        <v>2</v>
      </c>
      <c r="S129" s="1">
        <f t="shared" si="10"/>
        <v>1</v>
      </c>
    </row>
    <row r="130" spans="1:19" x14ac:dyDescent="0.15">
      <c r="A130" s="1">
        <v>129</v>
      </c>
      <c r="B130" s="1">
        <v>0</v>
      </c>
      <c r="C130" s="1">
        <f>[1]装备明细!B131</f>
        <v>301031500</v>
      </c>
      <c r="D130" s="1">
        <f t="shared" si="6"/>
        <v>200129</v>
      </c>
      <c r="E130" s="1" t="s">
        <v>63</v>
      </c>
      <c r="F130" s="1" t="str">
        <f ca="1">[1]装备明细!C131&amp;"图纸"</f>
        <v>初级的项链图纸</v>
      </c>
      <c r="G130" s="1" t="str">
        <f ca="1">[1]装备明细!$I131</f>
        <v xml:space="preserve">[63-93]防御 </v>
      </c>
      <c r="H130" s="1">
        <f t="shared" si="11"/>
        <v>100129</v>
      </c>
      <c r="I130" s="1">
        <v>1</v>
      </c>
      <c r="J130" s="1">
        <f>[1]装备明细!J131</f>
        <v>0</v>
      </c>
      <c r="K130" s="1">
        <f>[1]装备明细!K131</f>
        <v>1</v>
      </c>
      <c r="L130" s="1">
        <f>[1]装备明细!L131</f>
        <v>3</v>
      </c>
      <c r="M130" s="1">
        <v>6</v>
      </c>
      <c r="N130" s="1">
        <f>[1]装备明细!$F134</f>
        <v>3</v>
      </c>
      <c r="O130" s="1">
        <f>[1]装备明细!$E131</f>
        <v>1</v>
      </c>
      <c r="P130" s="1">
        <f t="shared" si="7"/>
        <v>1</v>
      </c>
      <c r="Q130" s="1">
        <f t="shared" si="8"/>
        <v>260</v>
      </c>
      <c r="R130" s="1">
        <f t="shared" si="9"/>
        <v>2</v>
      </c>
      <c r="S130" s="1">
        <f t="shared" si="10"/>
        <v>1</v>
      </c>
    </row>
    <row r="131" spans="1:19" x14ac:dyDescent="0.15">
      <c r="A131" s="1">
        <v>130</v>
      </c>
      <c r="B131" s="1">
        <v>0</v>
      </c>
      <c r="C131" s="1">
        <f>[1]装备明细!B132</f>
        <v>301041500</v>
      </c>
      <c r="D131" s="1">
        <f t="shared" ref="D131:D194" si="12">H131+100000</f>
        <v>200130</v>
      </c>
      <c r="E131" s="1" t="s">
        <v>63</v>
      </c>
      <c r="F131" s="1" t="str">
        <f ca="1">[1]装备明细!C132&amp;"图纸"</f>
        <v>水晶项链图纸</v>
      </c>
      <c r="G131" s="1" t="str">
        <f ca="1">[1]装备明细!$I132</f>
        <v xml:space="preserve">[94-125]防御 </v>
      </c>
      <c r="H131" s="1">
        <f t="shared" si="11"/>
        <v>100130</v>
      </c>
      <c r="I131" s="1">
        <v>1</v>
      </c>
      <c r="J131" s="1">
        <f>[1]装备明细!J132</f>
        <v>0</v>
      </c>
      <c r="K131" s="1">
        <f>[1]装备明细!K132</f>
        <v>1</v>
      </c>
      <c r="L131" s="1">
        <f>[1]装备明细!L132</f>
        <v>4</v>
      </c>
      <c r="M131" s="1">
        <v>6</v>
      </c>
      <c r="N131" s="1">
        <f>[1]装备明细!$F135</f>
        <v>3</v>
      </c>
      <c r="O131" s="1">
        <f>[1]装备明细!$E132</f>
        <v>1</v>
      </c>
      <c r="P131" s="1">
        <f t="shared" ref="P131:P194" si="13">O131</f>
        <v>1</v>
      </c>
      <c r="Q131" s="1">
        <f t="shared" ref="Q131:Q194" si="14">O131*200+L131*20</f>
        <v>280</v>
      </c>
      <c r="R131" s="1">
        <f t="shared" ref="R131:R194" si="15">IF(--MID(C131,1,1)=1,IF(S131=1,2,19),IF(S131=1,2,14))</f>
        <v>2</v>
      </c>
      <c r="S131" s="1">
        <f t="shared" ref="S131:S194" si="16">--MID(C131,2,2)</f>
        <v>1</v>
      </c>
    </row>
    <row r="132" spans="1:19" x14ac:dyDescent="0.15">
      <c r="A132" s="1">
        <v>131</v>
      </c>
      <c r="B132" s="1">
        <v>0</v>
      </c>
      <c r="C132" s="1">
        <f>[1]装备明细!B133</f>
        <v>301051500</v>
      </c>
      <c r="D132" s="1">
        <f t="shared" si="12"/>
        <v>200131</v>
      </c>
      <c r="E132" s="1" t="s">
        <v>63</v>
      </c>
      <c r="F132" s="1" t="str">
        <f ca="1">[1]装备明细!C133&amp;"图纸"</f>
        <v>青铜项链图纸</v>
      </c>
      <c r="G132" s="1" t="str">
        <f ca="1">[1]装备明细!$I133</f>
        <v xml:space="preserve">[126-156]防御 </v>
      </c>
      <c r="H132" s="1">
        <f t="shared" ref="H132:H195" si="17">H131+1</f>
        <v>100131</v>
      </c>
      <c r="I132" s="1">
        <v>1</v>
      </c>
      <c r="J132" s="1">
        <f>[1]装备明细!J133</f>
        <v>0</v>
      </c>
      <c r="K132" s="1">
        <f>[1]装备明细!K133</f>
        <v>1</v>
      </c>
      <c r="L132" s="1">
        <f>[1]装备明细!L133</f>
        <v>5</v>
      </c>
      <c r="M132" s="1">
        <v>6</v>
      </c>
      <c r="N132" s="1">
        <f>[1]装备明细!$F136</f>
        <v>3</v>
      </c>
      <c r="O132" s="1">
        <f>[1]装备明细!$E133</f>
        <v>1</v>
      </c>
      <c r="P132" s="1">
        <f t="shared" si="13"/>
        <v>1</v>
      </c>
      <c r="Q132" s="1">
        <f t="shared" si="14"/>
        <v>300</v>
      </c>
      <c r="R132" s="1">
        <f t="shared" si="15"/>
        <v>2</v>
      </c>
      <c r="S132" s="1">
        <f t="shared" si="16"/>
        <v>1</v>
      </c>
    </row>
    <row r="133" spans="1:19" x14ac:dyDescent="0.15">
      <c r="A133" s="1">
        <v>132</v>
      </c>
      <c r="B133" s="1">
        <v>0</v>
      </c>
      <c r="C133" s="1">
        <f>[1]装备明细!B134</f>
        <v>301061500</v>
      </c>
      <c r="D133" s="1">
        <f t="shared" si="12"/>
        <v>200132</v>
      </c>
      <c r="E133" s="1" t="s">
        <v>63</v>
      </c>
      <c r="F133" s="1" t="str">
        <f ca="1">[1]装备明细!C134&amp;"图纸"</f>
        <v>玄铁项链图纸</v>
      </c>
      <c r="G133" s="1" t="str">
        <f ca="1">[1]装备明细!$I134</f>
        <v xml:space="preserve">[157-187]防御 </v>
      </c>
      <c r="H133" s="1">
        <f t="shared" si="17"/>
        <v>100132</v>
      </c>
      <c r="I133" s="1">
        <v>1</v>
      </c>
      <c r="J133" s="1">
        <f>[1]装备明细!J134</f>
        <v>0</v>
      </c>
      <c r="K133" s="1">
        <f>[1]装备明细!K134</f>
        <v>1</v>
      </c>
      <c r="L133" s="1">
        <f>[1]装备明细!L134</f>
        <v>6</v>
      </c>
      <c r="M133" s="1">
        <v>6</v>
      </c>
      <c r="N133" s="1">
        <f>[1]装备明细!$F137</f>
        <v>3</v>
      </c>
      <c r="O133" s="1">
        <f>[1]装备明细!$E134</f>
        <v>1</v>
      </c>
      <c r="P133" s="1">
        <f t="shared" si="13"/>
        <v>1</v>
      </c>
      <c r="Q133" s="1">
        <f t="shared" si="14"/>
        <v>320</v>
      </c>
      <c r="R133" s="1">
        <f t="shared" si="15"/>
        <v>2</v>
      </c>
      <c r="S133" s="1">
        <f t="shared" si="16"/>
        <v>1</v>
      </c>
    </row>
    <row r="134" spans="1:19" x14ac:dyDescent="0.15">
      <c r="A134" s="1">
        <v>133</v>
      </c>
      <c r="B134" s="1">
        <v>0</v>
      </c>
      <c r="C134" s="1">
        <f>[1]装备明细!B135</f>
        <v>301071500</v>
      </c>
      <c r="D134" s="1">
        <f t="shared" si="12"/>
        <v>200133</v>
      </c>
      <c r="E134" s="1" t="s">
        <v>63</v>
      </c>
      <c r="F134" s="1" t="str">
        <f ca="1">[1]装备明细!C135&amp;"图纸"</f>
        <v>白银项链图纸</v>
      </c>
      <c r="G134" s="1" t="str">
        <f ca="1">[1]装备明细!$I135</f>
        <v xml:space="preserve">[188-218]防御 </v>
      </c>
      <c r="H134" s="1">
        <f t="shared" si="17"/>
        <v>100133</v>
      </c>
      <c r="I134" s="1">
        <v>1</v>
      </c>
      <c r="J134" s="1">
        <f>[1]装备明细!J135</f>
        <v>0</v>
      </c>
      <c r="K134" s="1">
        <f>[1]装备明细!K135</f>
        <v>1</v>
      </c>
      <c r="L134" s="1">
        <f>[1]装备明细!L135</f>
        <v>7</v>
      </c>
      <c r="M134" s="1">
        <v>6</v>
      </c>
      <c r="N134" s="1">
        <f>[1]装备明细!$F138</f>
        <v>1</v>
      </c>
      <c r="O134" s="1">
        <f>[1]装备明细!$E135</f>
        <v>1</v>
      </c>
      <c r="P134" s="1">
        <f t="shared" si="13"/>
        <v>1</v>
      </c>
      <c r="Q134" s="1">
        <f t="shared" si="14"/>
        <v>340</v>
      </c>
      <c r="R134" s="1">
        <f t="shared" si="15"/>
        <v>2</v>
      </c>
      <c r="S134" s="1">
        <f t="shared" si="16"/>
        <v>1</v>
      </c>
    </row>
    <row r="135" spans="1:19" x14ac:dyDescent="0.15">
      <c r="A135" s="1">
        <v>134</v>
      </c>
      <c r="B135" s="1">
        <v>0</v>
      </c>
      <c r="C135" s="1">
        <f>[1]装备明细!B136</f>
        <v>301081500</v>
      </c>
      <c r="D135" s="1">
        <f t="shared" si="12"/>
        <v>200134</v>
      </c>
      <c r="E135" s="1" t="s">
        <v>63</v>
      </c>
      <c r="F135" s="1" t="str">
        <f ca="1">[1]装备明细!C136&amp;"图纸"</f>
        <v>异灵项链图纸</v>
      </c>
      <c r="G135" s="1" t="str">
        <f ca="1">[1]装备明细!$I136</f>
        <v xml:space="preserve">[219-250]防御 </v>
      </c>
      <c r="H135" s="1">
        <f t="shared" si="17"/>
        <v>100134</v>
      </c>
      <c r="I135" s="1">
        <v>1</v>
      </c>
      <c r="J135" s="1">
        <f>[1]装备明细!J136</f>
        <v>0</v>
      </c>
      <c r="K135" s="1">
        <f>[1]装备明细!K136</f>
        <v>1</v>
      </c>
      <c r="L135" s="1">
        <f>[1]装备明细!L136</f>
        <v>8</v>
      </c>
      <c r="M135" s="1">
        <v>6</v>
      </c>
      <c r="N135" s="1">
        <f>[1]装备明细!$F139</f>
        <v>1</v>
      </c>
      <c r="O135" s="1">
        <f>[1]装备明细!$E136</f>
        <v>1</v>
      </c>
      <c r="P135" s="1">
        <f t="shared" si="13"/>
        <v>1</v>
      </c>
      <c r="Q135" s="1">
        <f t="shared" si="14"/>
        <v>360</v>
      </c>
      <c r="R135" s="1">
        <f t="shared" si="15"/>
        <v>2</v>
      </c>
      <c r="S135" s="1">
        <f t="shared" si="16"/>
        <v>1</v>
      </c>
    </row>
    <row r="136" spans="1:19" x14ac:dyDescent="0.15">
      <c r="A136" s="1">
        <v>135</v>
      </c>
      <c r="B136" s="1">
        <v>0</v>
      </c>
      <c r="C136" s="1">
        <f>[1]装备明细!B137</f>
        <v>301091500</v>
      </c>
      <c r="D136" s="1">
        <f t="shared" si="12"/>
        <v>200135</v>
      </c>
      <c r="E136" s="1" t="s">
        <v>63</v>
      </c>
      <c r="F136" s="1" t="str">
        <f ca="1">[1]装备明细!C137&amp;"图纸"</f>
        <v>流星项链图纸</v>
      </c>
      <c r="G136" s="1" t="str">
        <f ca="1">[1]装备明细!$I137</f>
        <v xml:space="preserve">[251-281]防御 </v>
      </c>
      <c r="H136" s="1">
        <f t="shared" si="17"/>
        <v>100135</v>
      </c>
      <c r="I136" s="1">
        <v>1</v>
      </c>
      <c r="J136" s="1">
        <f>[1]装备明细!J137</f>
        <v>0</v>
      </c>
      <c r="K136" s="1">
        <f>[1]装备明细!K137</f>
        <v>1</v>
      </c>
      <c r="L136" s="1">
        <f>[1]装备明细!L137</f>
        <v>9</v>
      </c>
      <c r="M136" s="1">
        <v>6</v>
      </c>
      <c r="N136" s="1">
        <f>[1]装备明细!$F140</f>
        <v>1</v>
      </c>
      <c r="O136" s="1">
        <f>[1]装备明细!$E137</f>
        <v>1</v>
      </c>
      <c r="P136" s="1">
        <f t="shared" si="13"/>
        <v>1</v>
      </c>
      <c r="Q136" s="1">
        <f t="shared" si="14"/>
        <v>380</v>
      </c>
      <c r="R136" s="1">
        <f t="shared" si="15"/>
        <v>2</v>
      </c>
      <c r="S136" s="1">
        <f t="shared" si="16"/>
        <v>1</v>
      </c>
    </row>
    <row r="137" spans="1:19" x14ac:dyDescent="0.15">
      <c r="A137" s="1">
        <v>136</v>
      </c>
      <c r="B137" s="1">
        <v>0</v>
      </c>
      <c r="C137" s="1">
        <f>[1]装备明细!B138</f>
        <v>102010100</v>
      </c>
      <c r="D137" s="1">
        <f t="shared" si="12"/>
        <v>200136</v>
      </c>
      <c r="E137" s="1" t="s">
        <v>63</v>
      </c>
      <c r="F137" s="1" t="str">
        <f ca="1">[1]装备明细!C138&amp;"图纸"</f>
        <v>学徒颓废锤图纸</v>
      </c>
      <c r="G137" s="1" t="str">
        <f ca="1">[1]装备明细!$I138</f>
        <v>[1-21]攻击 +1个随机属性</v>
      </c>
      <c r="H137" s="1">
        <f t="shared" si="17"/>
        <v>100136</v>
      </c>
      <c r="I137" s="1">
        <v>1</v>
      </c>
      <c r="J137" s="1">
        <f>[1]装备明细!J138</f>
        <v>0</v>
      </c>
      <c r="K137" s="1">
        <f>[1]装备明细!K138</f>
        <v>2</v>
      </c>
      <c r="L137" s="1">
        <f>[1]装备明细!L138</f>
        <v>1</v>
      </c>
      <c r="M137" s="1">
        <v>6</v>
      </c>
      <c r="N137" s="1">
        <f>[1]装备明细!$F141</f>
        <v>1</v>
      </c>
      <c r="O137" s="1">
        <f>[1]装备明细!$E138</f>
        <v>2</v>
      </c>
      <c r="P137" s="1">
        <f t="shared" si="13"/>
        <v>2</v>
      </c>
      <c r="Q137" s="1">
        <f t="shared" si="14"/>
        <v>420</v>
      </c>
      <c r="R137" s="1">
        <f t="shared" si="15"/>
        <v>19</v>
      </c>
      <c r="S137" s="1">
        <f t="shared" si="16"/>
        <v>2</v>
      </c>
    </row>
    <row r="138" spans="1:19" x14ac:dyDescent="0.15">
      <c r="A138" s="1">
        <v>137</v>
      </c>
      <c r="B138" s="1">
        <v>0</v>
      </c>
      <c r="C138" s="1">
        <f>[1]装备明细!B139</f>
        <v>102020100</v>
      </c>
      <c r="D138" s="1">
        <f t="shared" si="12"/>
        <v>200137</v>
      </c>
      <c r="E138" s="1" t="s">
        <v>63</v>
      </c>
      <c r="F138" s="1" t="str">
        <f ca="1">[1]装备明细!C139&amp;"图纸"</f>
        <v>专家玄铁锤图纸</v>
      </c>
      <c r="G138" s="1" t="str">
        <f ca="1">[1]装备明细!$I139</f>
        <v>[22-46]攻击 +1个随机属性</v>
      </c>
      <c r="H138" s="1">
        <f t="shared" si="17"/>
        <v>100137</v>
      </c>
      <c r="I138" s="1">
        <v>1</v>
      </c>
      <c r="J138" s="1">
        <f>[1]装备明细!J139</f>
        <v>0</v>
      </c>
      <c r="K138" s="1">
        <f>[1]装备明细!K139</f>
        <v>2</v>
      </c>
      <c r="L138" s="1">
        <f>[1]装备明细!L139</f>
        <v>2</v>
      </c>
      <c r="M138" s="1">
        <v>6</v>
      </c>
      <c r="N138" s="1">
        <f>[1]装备明细!$F142</f>
        <v>1</v>
      </c>
      <c r="O138" s="1">
        <f>[1]装备明细!$E139</f>
        <v>2</v>
      </c>
      <c r="P138" s="1">
        <f t="shared" si="13"/>
        <v>2</v>
      </c>
      <c r="Q138" s="1">
        <f t="shared" si="14"/>
        <v>440</v>
      </c>
      <c r="R138" s="1">
        <f t="shared" si="15"/>
        <v>19</v>
      </c>
      <c r="S138" s="1">
        <f t="shared" si="16"/>
        <v>2</v>
      </c>
    </row>
    <row r="139" spans="1:19" x14ac:dyDescent="0.15">
      <c r="A139" s="1">
        <v>138</v>
      </c>
      <c r="B139" s="1">
        <v>0</v>
      </c>
      <c r="C139" s="1">
        <f>[1]装备明细!B140</f>
        <v>102030100</v>
      </c>
      <c r="D139" s="1">
        <f t="shared" si="12"/>
        <v>200138</v>
      </c>
      <c r="E139" s="1" t="s">
        <v>63</v>
      </c>
      <c r="F139" s="1" t="str">
        <f ca="1">[1]装备明细!C140&amp;"图纸"</f>
        <v>大师水晶锤图纸</v>
      </c>
      <c r="G139" s="1" t="str">
        <f ca="1">[1]装备明细!$I140</f>
        <v>[47-75]攻击 +1个随机属性</v>
      </c>
      <c r="H139" s="1">
        <f t="shared" si="17"/>
        <v>100138</v>
      </c>
      <c r="I139" s="1">
        <v>1</v>
      </c>
      <c r="J139" s="1">
        <f>[1]装备明细!J140</f>
        <v>0</v>
      </c>
      <c r="K139" s="1">
        <f>[1]装备明细!K140</f>
        <v>2</v>
      </c>
      <c r="L139" s="1">
        <f>[1]装备明细!L140</f>
        <v>3</v>
      </c>
      <c r="M139" s="1">
        <v>6</v>
      </c>
      <c r="N139" s="1">
        <f>[1]装备明细!$F143</f>
        <v>1</v>
      </c>
      <c r="O139" s="1">
        <f>[1]装备明细!$E140</f>
        <v>2</v>
      </c>
      <c r="P139" s="1">
        <f t="shared" si="13"/>
        <v>2</v>
      </c>
      <c r="Q139" s="1">
        <f t="shared" si="14"/>
        <v>460</v>
      </c>
      <c r="R139" s="1">
        <f t="shared" si="15"/>
        <v>19</v>
      </c>
      <c r="S139" s="1">
        <f t="shared" si="16"/>
        <v>2</v>
      </c>
    </row>
    <row r="140" spans="1:19" x14ac:dyDescent="0.15">
      <c r="A140" s="1">
        <v>139</v>
      </c>
      <c r="B140" s="1">
        <v>0</v>
      </c>
      <c r="C140" s="1">
        <f>[1]装备明细!B141</f>
        <v>102040100</v>
      </c>
      <c r="D140" s="1">
        <f t="shared" si="12"/>
        <v>200139</v>
      </c>
      <c r="E140" s="1" t="s">
        <v>63</v>
      </c>
      <c r="F140" s="1" t="str">
        <f ca="1">[1]装备明细!C141&amp;"图纸"</f>
        <v>宗师精钢锤图纸</v>
      </c>
      <c r="G140" s="1" t="str">
        <f ca="1">[1]装备明细!$I141</f>
        <v>[76-109]攻击 +1个随机属性</v>
      </c>
      <c r="H140" s="1">
        <f t="shared" si="17"/>
        <v>100139</v>
      </c>
      <c r="I140" s="1">
        <v>1</v>
      </c>
      <c r="J140" s="1">
        <f>[1]装备明细!J141</f>
        <v>0</v>
      </c>
      <c r="K140" s="1">
        <f>[1]装备明细!K141</f>
        <v>2</v>
      </c>
      <c r="L140" s="1">
        <f>[1]装备明细!L141</f>
        <v>4</v>
      </c>
      <c r="M140" s="1">
        <v>6</v>
      </c>
      <c r="N140" s="1">
        <f>[1]装备明细!$F144</f>
        <v>1</v>
      </c>
      <c r="O140" s="1">
        <f>[1]装备明细!$E141</f>
        <v>2</v>
      </c>
      <c r="P140" s="1">
        <f t="shared" si="13"/>
        <v>2</v>
      </c>
      <c r="Q140" s="1">
        <f t="shared" si="14"/>
        <v>480</v>
      </c>
      <c r="R140" s="1">
        <f t="shared" si="15"/>
        <v>19</v>
      </c>
      <c r="S140" s="1">
        <f t="shared" si="16"/>
        <v>2</v>
      </c>
    </row>
    <row r="141" spans="1:19" x14ac:dyDescent="0.15">
      <c r="A141" s="1">
        <v>140</v>
      </c>
      <c r="B141" s="1">
        <v>0</v>
      </c>
      <c r="C141" s="1">
        <f>[1]装备明细!B142</f>
        <v>102050100</v>
      </c>
      <c r="D141" s="1">
        <f t="shared" si="12"/>
        <v>200140</v>
      </c>
      <c r="E141" s="1" t="s">
        <v>63</v>
      </c>
      <c r="F141" s="1" t="str">
        <f ca="1">[1]装备明细!C142&amp;"图纸"</f>
        <v>显赫白银锤图纸</v>
      </c>
      <c r="G141" s="1" t="str">
        <f ca="1">[1]装备明细!$I142</f>
        <v>[110-148]攻击 +1个随机属性</v>
      </c>
      <c r="H141" s="1">
        <f t="shared" si="17"/>
        <v>100140</v>
      </c>
      <c r="I141" s="1">
        <v>1</v>
      </c>
      <c r="J141" s="1">
        <f>[1]装备明细!J142</f>
        <v>0</v>
      </c>
      <c r="K141" s="1">
        <f>[1]装备明细!K142</f>
        <v>2</v>
      </c>
      <c r="L141" s="1">
        <f>[1]装备明细!L142</f>
        <v>5</v>
      </c>
      <c r="M141" s="1">
        <v>6</v>
      </c>
      <c r="N141" s="1">
        <f>[1]装备明细!$F145</f>
        <v>1</v>
      </c>
      <c r="O141" s="1">
        <f>[1]装备明细!$E142</f>
        <v>2</v>
      </c>
      <c r="P141" s="1">
        <f t="shared" si="13"/>
        <v>2</v>
      </c>
      <c r="Q141" s="1">
        <f t="shared" si="14"/>
        <v>500</v>
      </c>
      <c r="R141" s="1">
        <f t="shared" si="15"/>
        <v>19</v>
      </c>
      <c r="S141" s="1">
        <f t="shared" si="16"/>
        <v>2</v>
      </c>
    </row>
    <row r="142" spans="1:19" x14ac:dyDescent="0.15">
      <c r="A142" s="1">
        <v>141</v>
      </c>
      <c r="B142" s="1">
        <v>0</v>
      </c>
      <c r="C142" s="1">
        <f>[1]装备明细!B143</f>
        <v>102060100</v>
      </c>
      <c r="D142" s="1">
        <f t="shared" si="12"/>
        <v>200141</v>
      </c>
      <c r="E142" s="1" t="s">
        <v>63</v>
      </c>
      <c r="F142" s="1" t="str">
        <f ca="1">[1]装备明细!C143&amp;"图纸"</f>
        <v>尊荣虚幻锤图纸</v>
      </c>
      <c r="G142" s="1" t="str">
        <f ca="1">[1]装备明细!$I143</f>
        <v>[149-190]攻击 +1个随机属性</v>
      </c>
      <c r="H142" s="1">
        <f t="shared" si="17"/>
        <v>100141</v>
      </c>
      <c r="I142" s="1">
        <v>1</v>
      </c>
      <c r="J142" s="1">
        <f>[1]装备明细!J143</f>
        <v>0</v>
      </c>
      <c r="K142" s="1">
        <f>[1]装备明细!K143</f>
        <v>2</v>
      </c>
      <c r="L142" s="1">
        <f>[1]装备明细!L143</f>
        <v>6</v>
      </c>
      <c r="M142" s="1">
        <v>6</v>
      </c>
      <c r="N142" s="1">
        <f>[1]装备明细!$F146</f>
        <v>1</v>
      </c>
      <c r="O142" s="1">
        <f>[1]装备明细!$E143</f>
        <v>2</v>
      </c>
      <c r="P142" s="1">
        <f t="shared" si="13"/>
        <v>2</v>
      </c>
      <c r="Q142" s="1">
        <f t="shared" si="14"/>
        <v>520</v>
      </c>
      <c r="R142" s="1">
        <f t="shared" si="15"/>
        <v>19</v>
      </c>
      <c r="S142" s="1">
        <f t="shared" si="16"/>
        <v>2</v>
      </c>
    </row>
    <row r="143" spans="1:19" x14ac:dyDescent="0.15">
      <c r="A143" s="1">
        <v>142</v>
      </c>
      <c r="B143" s="1">
        <v>0</v>
      </c>
      <c r="C143" s="1">
        <f>[1]装备明细!B144</f>
        <v>102070100</v>
      </c>
      <c r="D143" s="1">
        <f t="shared" si="12"/>
        <v>200142</v>
      </c>
      <c r="E143" s="1" t="s">
        <v>63</v>
      </c>
      <c r="F143" s="1" t="str">
        <f ca="1">[1]装备明细!C144&amp;"图纸"</f>
        <v>至尊歌德锤图纸</v>
      </c>
      <c r="G143" s="1" t="str">
        <f ca="1">[1]装备明细!$I144</f>
        <v>[191-236]攻击 +1个随机属性</v>
      </c>
      <c r="H143" s="1">
        <f t="shared" si="17"/>
        <v>100142</v>
      </c>
      <c r="I143" s="1">
        <v>1</v>
      </c>
      <c r="J143" s="1">
        <f>[1]装备明细!J144</f>
        <v>0</v>
      </c>
      <c r="K143" s="1">
        <f>[1]装备明细!K144</f>
        <v>2</v>
      </c>
      <c r="L143" s="1">
        <f>[1]装备明细!L144</f>
        <v>7</v>
      </c>
      <c r="M143" s="1">
        <v>6</v>
      </c>
      <c r="N143" s="1">
        <f>[1]装备明细!$F147</f>
        <v>1</v>
      </c>
      <c r="O143" s="1">
        <f>[1]装备明细!$E144</f>
        <v>2</v>
      </c>
      <c r="P143" s="1">
        <f t="shared" si="13"/>
        <v>2</v>
      </c>
      <c r="Q143" s="1">
        <f t="shared" si="14"/>
        <v>540</v>
      </c>
      <c r="R143" s="1">
        <f t="shared" si="15"/>
        <v>19</v>
      </c>
      <c r="S143" s="1">
        <f t="shared" si="16"/>
        <v>2</v>
      </c>
    </row>
    <row r="144" spans="1:19" x14ac:dyDescent="0.15">
      <c r="A144" s="1">
        <v>143</v>
      </c>
      <c r="B144" s="1">
        <v>0</v>
      </c>
      <c r="C144" s="1">
        <f>[1]装备明细!B145</f>
        <v>102080100</v>
      </c>
      <c r="D144" s="1">
        <f t="shared" si="12"/>
        <v>200143</v>
      </c>
      <c r="E144" s="1" t="s">
        <v>63</v>
      </c>
      <c r="F144" s="1" t="str">
        <f ca="1">[1]装备明细!C145&amp;"图纸"</f>
        <v>绝旨空灵锤图纸</v>
      </c>
      <c r="G144" s="1" t="str">
        <f ca="1">[1]装备明细!$I145</f>
        <v>[237-287]攻击 +1个随机属性</v>
      </c>
      <c r="H144" s="1">
        <f t="shared" si="17"/>
        <v>100143</v>
      </c>
      <c r="I144" s="1">
        <v>1</v>
      </c>
      <c r="J144" s="1">
        <f>[1]装备明细!J145</f>
        <v>0</v>
      </c>
      <c r="K144" s="1">
        <f>[1]装备明细!K145</f>
        <v>2</v>
      </c>
      <c r="L144" s="1">
        <f>[1]装备明细!L145</f>
        <v>8</v>
      </c>
      <c r="M144" s="1">
        <v>6</v>
      </c>
      <c r="N144" s="1">
        <f>[1]装备明细!$F148</f>
        <v>1</v>
      </c>
      <c r="O144" s="1">
        <f>[1]装备明细!$E145</f>
        <v>2</v>
      </c>
      <c r="P144" s="1">
        <f t="shared" si="13"/>
        <v>2</v>
      </c>
      <c r="Q144" s="1">
        <f t="shared" si="14"/>
        <v>560</v>
      </c>
      <c r="R144" s="1">
        <f t="shared" si="15"/>
        <v>19</v>
      </c>
      <c r="S144" s="1">
        <f t="shared" si="16"/>
        <v>2</v>
      </c>
    </row>
    <row r="145" spans="1:19" x14ac:dyDescent="0.15">
      <c r="A145" s="1">
        <v>144</v>
      </c>
      <c r="B145" s="1">
        <v>0</v>
      </c>
      <c r="C145" s="1">
        <f>[1]装备明细!B146</f>
        <v>102090100</v>
      </c>
      <c r="D145" s="1">
        <f t="shared" si="12"/>
        <v>200144</v>
      </c>
      <c r="E145" s="1" t="s">
        <v>63</v>
      </c>
      <c r="F145" s="1" t="str">
        <f ca="1">[1]装备明细!C146&amp;"图纸"</f>
        <v>天工混乱锤图纸</v>
      </c>
      <c r="G145" s="1" t="str">
        <f ca="1">[1]装备明细!$I146</f>
        <v>[288-342]攻击 +1个随机属性</v>
      </c>
      <c r="H145" s="1">
        <f t="shared" si="17"/>
        <v>100144</v>
      </c>
      <c r="I145" s="1">
        <v>1</v>
      </c>
      <c r="J145" s="1">
        <f>[1]装备明细!J146</f>
        <v>0</v>
      </c>
      <c r="K145" s="1">
        <f>[1]装备明细!K146</f>
        <v>2</v>
      </c>
      <c r="L145" s="1">
        <f>[1]装备明细!L146</f>
        <v>9</v>
      </c>
      <c r="M145" s="1">
        <v>6</v>
      </c>
      <c r="N145" s="1">
        <f>[1]装备明细!$F149</f>
        <v>1</v>
      </c>
      <c r="O145" s="1">
        <f>[1]装备明细!$E146</f>
        <v>2</v>
      </c>
      <c r="P145" s="1">
        <f t="shared" si="13"/>
        <v>2</v>
      </c>
      <c r="Q145" s="1">
        <f t="shared" si="14"/>
        <v>580</v>
      </c>
      <c r="R145" s="1">
        <f t="shared" si="15"/>
        <v>19</v>
      </c>
      <c r="S145" s="1">
        <f t="shared" si="16"/>
        <v>2</v>
      </c>
    </row>
    <row r="146" spans="1:19" x14ac:dyDescent="0.15">
      <c r="A146" s="1">
        <v>145</v>
      </c>
      <c r="B146" s="1">
        <v>0</v>
      </c>
      <c r="C146" s="1">
        <f>[1]装备明细!B147</f>
        <v>102010200</v>
      </c>
      <c r="D146" s="1">
        <f t="shared" si="12"/>
        <v>200145</v>
      </c>
      <c r="E146" s="1" t="s">
        <v>63</v>
      </c>
      <c r="F146" s="1" t="str">
        <f ca="1">[1]装备明细!C147&amp;"图纸"</f>
        <v>学徒颓废刀图纸</v>
      </c>
      <c r="G146" s="1" t="str">
        <f ca="1">[1]装备明细!$I147</f>
        <v>[1-21]攻击 +1个随机属性</v>
      </c>
      <c r="H146" s="1">
        <f t="shared" si="17"/>
        <v>100145</v>
      </c>
      <c r="I146" s="1">
        <v>1</v>
      </c>
      <c r="J146" s="1">
        <f>[1]装备明细!J147</f>
        <v>0</v>
      </c>
      <c r="K146" s="1">
        <f>[1]装备明细!K147</f>
        <v>2</v>
      </c>
      <c r="L146" s="1">
        <f>[1]装备明细!L147</f>
        <v>1</v>
      </c>
      <c r="M146" s="1">
        <v>6</v>
      </c>
      <c r="N146" s="1">
        <f>[1]装备明细!$F150</f>
        <v>1</v>
      </c>
      <c r="O146" s="1">
        <f>[1]装备明细!$E147</f>
        <v>2</v>
      </c>
      <c r="P146" s="1">
        <f t="shared" si="13"/>
        <v>2</v>
      </c>
      <c r="Q146" s="1">
        <f t="shared" si="14"/>
        <v>420</v>
      </c>
      <c r="R146" s="1">
        <f t="shared" si="15"/>
        <v>19</v>
      </c>
      <c r="S146" s="1">
        <f t="shared" si="16"/>
        <v>2</v>
      </c>
    </row>
    <row r="147" spans="1:19" x14ac:dyDescent="0.15">
      <c r="A147" s="1">
        <v>146</v>
      </c>
      <c r="B147" s="1">
        <v>0</v>
      </c>
      <c r="C147" s="1">
        <f>[1]装备明细!B148</f>
        <v>102020200</v>
      </c>
      <c r="D147" s="1">
        <f t="shared" si="12"/>
        <v>200146</v>
      </c>
      <c r="E147" s="1" t="s">
        <v>63</v>
      </c>
      <c r="F147" s="1" t="str">
        <f ca="1">[1]装备明细!C148&amp;"图纸"</f>
        <v>专家玄铁刀图纸</v>
      </c>
      <c r="G147" s="1" t="str">
        <f ca="1">[1]装备明细!$I148</f>
        <v>[22-46]攻击 +1个随机属性</v>
      </c>
      <c r="H147" s="1">
        <f t="shared" si="17"/>
        <v>100146</v>
      </c>
      <c r="I147" s="1">
        <v>1</v>
      </c>
      <c r="J147" s="1">
        <f>[1]装备明细!J148</f>
        <v>0</v>
      </c>
      <c r="K147" s="1">
        <f>[1]装备明细!K148</f>
        <v>2</v>
      </c>
      <c r="L147" s="1">
        <f>[1]装备明细!L148</f>
        <v>2</v>
      </c>
      <c r="M147" s="1">
        <v>6</v>
      </c>
      <c r="N147" s="1">
        <f>[1]装备明细!$F151</f>
        <v>1</v>
      </c>
      <c r="O147" s="1">
        <f>[1]装备明细!$E148</f>
        <v>2</v>
      </c>
      <c r="P147" s="1">
        <f t="shared" si="13"/>
        <v>2</v>
      </c>
      <c r="Q147" s="1">
        <f t="shared" si="14"/>
        <v>440</v>
      </c>
      <c r="R147" s="1">
        <f t="shared" si="15"/>
        <v>19</v>
      </c>
      <c r="S147" s="1">
        <f t="shared" si="16"/>
        <v>2</v>
      </c>
    </row>
    <row r="148" spans="1:19" x14ac:dyDescent="0.15">
      <c r="A148" s="1">
        <v>147</v>
      </c>
      <c r="B148" s="1">
        <v>0</v>
      </c>
      <c r="C148" s="1">
        <f>[1]装备明细!B149</f>
        <v>102030200</v>
      </c>
      <c r="D148" s="1">
        <f t="shared" si="12"/>
        <v>200147</v>
      </c>
      <c r="E148" s="1" t="s">
        <v>63</v>
      </c>
      <c r="F148" s="1" t="str">
        <f ca="1">[1]装备明细!C149&amp;"图纸"</f>
        <v>大师水晶刀图纸</v>
      </c>
      <c r="G148" s="1" t="str">
        <f ca="1">[1]装备明细!$I149</f>
        <v>[47-75]攻击 +1个随机属性</v>
      </c>
      <c r="H148" s="1">
        <f t="shared" si="17"/>
        <v>100147</v>
      </c>
      <c r="I148" s="1">
        <v>1</v>
      </c>
      <c r="J148" s="1">
        <f>[1]装备明细!J149</f>
        <v>0</v>
      </c>
      <c r="K148" s="1">
        <f>[1]装备明细!K149</f>
        <v>2</v>
      </c>
      <c r="L148" s="1">
        <f>[1]装备明细!L149</f>
        <v>3</v>
      </c>
      <c r="M148" s="1">
        <v>6</v>
      </c>
      <c r="N148" s="1">
        <f>[1]装备明细!$F152</f>
        <v>1</v>
      </c>
      <c r="O148" s="1">
        <f>[1]装备明细!$E149</f>
        <v>2</v>
      </c>
      <c r="P148" s="1">
        <f t="shared" si="13"/>
        <v>2</v>
      </c>
      <c r="Q148" s="1">
        <f t="shared" si="14"/>
        <v>460</v>
      </c>
      <c r="R148" s="1">
        <f t="shared" si="15"/>
        <v>19</v>
      </c>
      <c r="S148" s="1">
        <f t="shared" si="16"/>
        <v>2</v>
      </c>
    </row>
    <row r="149" spans="1:19" x14ac:dyDescent="0.15">
      <c r="A149" s="1">
        <v>148</v>
      </c>
      <c r="B149" s="1">
        <v>0</v>
      </c>
      <c r="C149" s="1">
        <f>[1]装备明细!B150</f>
        <v>102040200</v>
      </c>
      <c r="D149" s="1">
        <f t="shared" si="12"/>
        <v>200148</v>
      </c>
      <c r="E149" s="1" t="s">
        <v>63</v>
      </c>
      <c r="F149" s="1" t="str">
        <f ca="1">[1]装备明细!C150&amp;"图纸"</f>
        <v>宗师精钢刀图纸</v>
      </c>
      <c r="G149" s="1" t="str">
        <f ca="1">[1]装备明细!$I150</f>
        <v>[76-109]攻击 +1个随机属性</v>
      </c>
      <c r="H149" s="1">
        <f t="shared" si="17"/>
        <v>100148</v>
      </c>
      <c r="I149" s="1">
        <v>1</v>
      </c>
      <c r="J149" s="1">
        <f>[1]装备明细!J150</f>
        <v>0</v>
      </c>
      <c r="K149" s="1">
        <f>[1]装备明细!K150</f>
        <v>2</v>
      </c>
      <c r="L149" s="1">
        <f>[1]装备明细!L150</f>
        <v>4</v>
      </c>
      <c r="M149" s="1">
        <v>6</v>
      </c>
      <c r="N149" s="1">
        <f>[1]装备明细!$F153</f>
        <v>1</v>
      </c>
      <c r="O149" s="1">
        <f>[1]装备明细!$E150</f>
        <v>2</v>
      </c>
      <c r="P149" s="1">
        <f t="shared" si="13"/>
        <v>2</v>
      </c>
      <c r="Q149" s="1">
        <f t="shared" si="14"/>
        <v>480</v>
      </c>
      <c r="R149" s="1">
        <f t="shared" si="15"/>
        <v>19</v>
      </c>
      <c r="S149" s="1">
        <f t="shared" si="16"/>
        <v>2</v>
      </c>
    </row>
    <row r="150" spans="1:19" x14ac:dyDescent="0.15">
      <c r="A150" s="1">
        <v>149</v>
      </c>
      <c r="B150" s="1">
        <v>0</v>
      </c>
      <c r="C150" s="1">
        <f>[1]装备明细!B151</f>
        <v>102050200</v>
      </c>
      <c r="D150" s="1">
        <f t="shared" si="12"/>
        <v>200149</v>
      </c>
      <c r="E150" s="1" t="s">
        <v>63</v>
      </c>
      <c r="F150" s="1" t="str">
        <f ca="1">[1]装备明细!C151&amp;"图纸"</f>
        <v>显赫白银刀图纸</v>
      </c>
      <c r="G150" s="1" t="str">
        <f ca="1">[1]装备明细!$I151</f>
        <v>[110-148]攻击 +1个随机属性</v>
      </c>
      <c r="H150" s="1">
        <f t="shared" si="17"/>
        <v>100149</v>
      </c>
      <c r="I150" s="1">
        <v>1</v>
      </c>
      <c r="J150" s="1">
        <f>[1]装备明细!J151</f>
        <v>0</v>
      </c>
      <c r="K150" s="1">
        <f>[1]装备明细!K151</f>
        <v>2</v>
      </c>
      <c r="L150" s="1">
        <f>[1]装备明细!L151</f>
        <v>5</v>
      </c>
      <c r="M150" s="1">
        <v>6</v>
      </c>
      <c r="N150" s="1">
        <f>[1]装备明细!$F154</f>
        <v>1</v>
      </c>
      <c r="O150" s="1">
        <f>[1]装备明细!$E151</f>
        <v>2</v>
      </c>
      <c r="P150" s="1">
        <f t="shared" si="13"/>
        <v>2</v>
      </c>
      <c r="Q150" s="1">
        <f t="shared" si="14"/>
        <v>500</v>
      </c>
      <c r="R150" s="1">
        <f t="shared" si="15"/>
        <v>19</v>
      </c>
      <c r="S150" s="1">
        <f t="shared" si="16"/>
        <v>2</v>
      </c>
    </row>
    <row r="151" spans="1:19" x14ac:dyDescent="0.15">
      <c r="A151" s="1">
        <v>150</v>
      </c>
      <c r="B151" s="1">
        <v>0</v>
      </c>
      <c r="C151" s="1">
        <f>[1]装备明细!B152</f>
        <v>102060200</v>
      </c>
      <c r="D151" s="1">
        <f t="shared" si="12"/>
        <v>200150</v>
      </c>
      <c r="E151" s="1" t="s">
        <v>63</v>
      </c>
      <c r="F151" s="1" t="str">
        <f ca="1">[1]装备明细!C152&amp;"图纸"</f>
        <v>尊荣虚幻刀图纸</v>
      </c>
      <c r="G151" s="1" t="str">
        <f ca="1">[1]装备明细!$I152</f>
        <v>[149-190]攻击 +1个随机属性</v>
      </c>
      <c r="H151" s="1">
        <f t="shared" si="17"/>
        <v>100150</v>
      </c>
      <c r="I151" s="1">
        <v>1</v>
      </c>
      <c r="J151" s="1">
        <f>[1]装备明细!J152</f>
        <v>0</v>
      </c>
      <c r="K151" s="1">
        <f>[1]装备明细!K152</f>
        <v>2</v>
      </c>
      <c r="L151" s="1">
        <f>[1]装备明细!L152</f>
        <v>6</v>
      </c>
      <c r="M151" s="1">
        <v>6</v>
      </c>
      <c r="N151" s="1">
        <f>[1]装备明细!$F155</f>
        <v>1</v>
      </c>
      <c r="O151" s="1">
        <f>[1]装备明细!$E152</f>
        <v>2</v>
      </c>
      <c r="P151" s="1">
        <f t="shared" si="13"/>
        <v>2</v>
      </c>
      <c r="Q151" s="1">
        <f t="shared" si="14"/>
        <v>520</v>
      </c>
      <c r="R151" s="1">
        <f t="shared" si="15"/>
        <v>19</v>
      </c>
      <c r="S151" s="1">
        <f t="shared" si="16"/>
        <v>2</v>
      </c>
    </row>
    <row r="152" spans="1:19" x14ac:dyDescent="0.15">
      <c r="A152" s="1">
        <v>151</v>
      </c>
      <c r="B152" s="1">
        <v>0</v>
      </c>
      <c r="C152" s="1">
        <f>[1]装备明细!B153</f>
        <v>102070200</v>
      </c>
      <c r="D152" s="1">
        <f t="shared" si="12"/>
        <v>200151</v>
      </c>
      <c r="E152" s="1" t="s">
        <v>63</v>
      </c>
      <c r="F152" s="1" t="str">
        <f ca="1">[1]装备明细!C153&amp;"图纸"</f>
        <v>至尊歌德刀图纸</v>
      </c>
      <c r="G152" s="1" t="str">
        <f ca="1">[1]装备明细!$I153</f>
        <v>[191-236]攻击 +1个随机属性</v>
      </c>
      <c r="H152" s="1">
        <f t="shared" si="17"/>
        <v>100151</v>
      </c>
      <c r="I152" s="1">
        <v>1</v>
      </c>
      <c r="J152" s="1">
        <f>[1]装备明细!J153</f>
        <v>0</v>
      </c>
      <c r="K152" s="1">
        <f>[1]装备明细!K153</f>
        <v>2</v>
      </c>
      <c r="L152" s="1">
        <f>[1]装备明细!L153</f>
        <v>7</v>
      </c>
      <c r="M152" s="1">
        <v>6</v>
      </c>
      <c r="N152" s="1">
        <f>[1]装备明细!$F156</f>
        <v>1</v>
      </c>
      <c r="O152" s="1">
        <f>[1]装备明细!$E153</f>
        <v>2</v>
      </c>
      <c r="P152" s="1">
        <f t="shared" si="13"/>
        <v>2</v>
      </c>
      <c r="Q152" s="1">
        <f t="shared" si="14"/>
        <v>540</v>
      </c>
      <c r="R152" s="1">
        <f t="shared" si="15"/>
        <v>19</v>
      </c>
      <c r="S152" s="1">
        <f t="shared" si="16"/>
        <v>2</v>
      </c>
    </row>
    <row r="153" spans="1:19" x14ac:dyDescent="0.15">
      <c r="A153" s="1">
        <v>152</v>
      </c>
      <c r="B153" s="1">
        <v>0</v>
      </c>
      <c r="C153" s="1">
        <f>[1]装备明细!B154</f>
        <v>102080200</v>
      </c>
      <c r="D153" s="1">
        <f t="shared" si="12"/>
        <v>200152</v>
      </c>
      <c r="E153" s="1" t="s">
        <v>63</v>
      </c>
      <c r="F153" s="1" t="str">
        <f ca="1">[1]装备明细!C154&amp;"图纸"</f>
        <v>绝旨空灵刀图纸</v>
      </c>
      <c r="G153" s="1" t="str">
        <f ca="1">[1]装备明细!$I154</f>
        <v>[237-287]攻击 +1个随机属性</v>
      </c>
      <c r="H153" s="1">
        <f t="shared" si="17"/>
        <v>100152</v>
      </c>
      <c r="I153" s="1">
        <v>1</v>
      </c>
      <c r="J153" s="1">
        <f>[1]装备明细!J154</f>
        <v>0</v>
      </c>
      <c r="K153" s="1">
        <f>[1]装备明细!K154</f>
        <v>2</v>
      </c>
      <c r="L153" s="1">
        <f>[1]装备明细!L154</f>
        <v>8</v>
      </c>
      <c r="M153" s="1">
        <v>6</v>
      </c>
      <c r="N153" s="1">
        <f>[1]装备明细!$F157</f>
        <v>1</v>
      </c>
      <c r="O153" s="1">
        <f>[1]装备明细!$E154</f>
        <v>2</v>
      </c>
      <c r="P153" s="1">
        <f t="shared" si="13"/>
        <v>2</v>
      </c>
      <c r="Q153" s="1">
        <f t="shared" si="14"/>
        <v>560</v>
      </c>
      <c r="R153" s="1">
        <f t="shared" si="15"/>
        <v>19</v>
      </c>
      <c r="S153" s="1">
        <f t="shared" si="16"/>
        <v>2</v>
      </c>
    </row>
    <row r="154" spans="1:19" x14ac:dyDescent="0.15">
      <c r="A154" s="1">
        <v>153</v>
      </c>
      <c r="B154" s="1">
        <v>0</v>
      </c>
      <c r="C154" s="1">
        <f>[1]装备明细!B155</f>
        <v>102090200</v>
      </c>
      <c r="D154" s="1">
        <f t="shared" si="12"/>
        <v>200153</v>
      </c>
      <c r="E154" s="1" t="s">
        <v>63</v>
      </c>
      <c r="F154" s="1" t="str">
        <f ca="1">[1]装备明细!C155&amp;"图纸"</f>
        <v>天工混乱刀图纸</v>
      </c>
      <c r="G154" s="1" t="str">
        <f ca="1">[1]装备明细!$I155</f>
        <v>[288-342]攻击 +1个随机属性</v>
      </c>
      <c r="H154" s="1">
        <f t="shared" si="17"/>
        <v>100153</v>
      </c>
      <c r="I154" s="1">
        <v>1</v>
      </c>
      <c r="J154" s="1">
        <f>[1]装备明细!J155</f>
        <v>0</v>
      </c>
      <c r="K154" s="1">
        <f>[1]装备明细!K155</f>
        <v>2</v>
      </c>
      <c r="L154" s="1">
        <f>[1]装备明细!L155</f>
        <v>9</v>
      </c>
      <c r="M154" s="1">
        <v>6</v>
      </c>
      <c r="N154" s="1">
        <f>[1]装备明细!$F158</f>
        <v>1</v>
      </c>
      <c r="O154" s="1">
        <f>[1]装备明细!$E155</f>
        <v>2</v>
      </c>
      <c r="P154" s="1">
        <f t="shared" si="13"/>
        <v>2</v>
      </c>
      <c r="Q154" s="1">
        <f t="shared" si="14"/>
        <v>580</v>
      </c>
      <c r="R154" s="1">
        <f t="shared" si="15"/>
        <v>19</v>
      </c>
      <c r="S154" s="1">
        <f t="shared" si="16"/>
        <v>2</v>
      </c>
    </row>
    <row r="155" spans="1:19" x14ac:dyDescent="0.15">
      <c r="A155" s="1">
        <v>154</v>
      </c>
      <c r="B155" s="1">
        <v>0</v>
      </c>
      <c r="C155" s="1">
        <f>[1]装备明细!B156</f>
        <v>102010300</v>
      </c>
      <c r="D155" s="1">
        <f t="shared" si="12"/>
        <v>200154</v>
      </c>
      <c r="E155" s="1" t="s">
        <v>63</v>
      </c>
      <c r="F155" s="1" t="str">
        <f ca="1">[1]装备明细!C156&amp;"图纸"</f>
        <v>学徒颓废拳套图纸</v>
      </c>
      <c r="G155" s="1" t="str">
        <f ca="1">[1]装备明细!$I156</f>
        <v>[1-21]攻击 +1个随机属性</v>
      </c>
      <c r="H155" s="1">
        <f t="shared" si="17"/>
        <v>100154</v>
      </c>
      <c r="I155" s="1">
        <v>1</v>
      </c>
      <c r="J155" s="1">
        <f>[1]装备明细!J156</f>
        <v>0</v>
      </c>
      <c r="K155" s="1">
        <f>[1]装备明细!K156</f>
        <v>2</v>
      </c>
      <c r="L155" s="1">
        <f>[1]装备明细!L156</f>
        <v>1</v>
      </c>
      <c r="M155" s="1">
        <v>6</v>
      </c>
      <c r="N155" s="1">
        <f>[1]装备明细!$F159</f>
        <v>1</v>
      </c>
      <c r="O155" s="1">
        <f>[1]装备明细!$E156</f>
        <v>2</v>
      </c>
      <c r="P155" s="1">
        <f t="shared" si="13"/>
        <v>2</v>
      </c>
      <c r="Q155" s="1">
        <f t="shared" si="14"/>
        <v>420</v>
      </c>
      <c r="R155" s="1">
        <f t="shared" si="15"/>
        <v>19</v>
      </c>
      <c r="S155" s="1">
        <f t="shared" si="16"/>
        <v>2</v>
      </c>
    </row>
    <row r="156" spans="1:19" x14ac:dyDescent="0.15">
      <c r="A156" s="1">
        <v>155</v>
      </c>
      <c r="B156" s="1">
        <v>0</v>
      </c>
      <c r="C156" s="1">
        <f>[1]装备明细!B157</f>
        <v>102020300</v>
      </c>
      <c r="D156" s="1">
        <f t="shared" si="12"/>
        <v>200155</v>
      </c>
      <c r="E156" s="1" t="s">
        <v>63</v>
      </c>
      <c r="F156" s="1" t="str">
        <f ca="1">[1]装备明细!C157&amp;"图纸"</f>
        <v>专家玄铁拳套图纸</v>
      </c>
      <c r="G156" s="1" t="str">
        <f ca="1">[1]装备明细!$I157</f>
        <v>[22-46]攻击 +1个随机属性</v>
      </c>
      <c r="H156" s="1">
        <f t="shared" si="17"/>
        <v>100155</v>
      </c>
      <c r="I156" s="1">
        <v>1</v>
      </c>
      <c r="J156" s="1">
        <f>[1]装备明细!J157</f>
        <v>0</v>
      </c>
      <c r="K156" s="1">
        <f>[1]装备明细!K157</f>
        <v>2</v>
      </c>
      <c r="L156" s="1">
        <f>[1]装备明细!L157</f>
        <v>2</v>
      </c>
      <c r="M156" s="1">
        <v>6</v>
      </c>
      <c r="N156" s="1">
        <f>[1]装备明细!$F160</f>
        <v>1</v>
      </c>
      <c r="O156" s="1">
        <f>[1]装备明细!$E157</f>
        <v>2</v>
      </c>
      <c r="P156" s="1">
        <f t="shared" si="13"/>
        <v>2</v>
      </c>
      <c r="Q156" s="1">
        <f t="shared" si="14"/>
        <v>440</v>
      </c>
      <c r="R156" s="1">
        <f t="shared" si="15"/>
        <v>19</v>
      </c>
      <c r="S156" s="1">
        <f t="shared" si="16"/>
        <v>2</v>
      </c>
    </row>
    <row r="157" spans="1:19" x14ac:dyDescent="0.15">
      <c r="A157" s="1">
        <v>156</v>
      </c>
      <c r="B157" s="1">
        <v>0</v>
      </c>
      <c r="C157" s="1">
        <f>[1]装备明细!B158</f>
        <v>102030300</v>
      </c>
      <c r="D157" s="1">
        <f t="shared" si="12"/>
        <v>200156</v>
      </c>
      <c r="E157" s="1" t="s">
        <v>63</v>
      </c>
      <c r="F157" s="1" t="str">
        <f ca="1">[1]装备明细!C158&amp;"图纸"</f>
        <v>大师水晶拳套图纸</v>
      </c>
      <c r="G157" s="1" t="str">
        <f ca="1">[1]装备明细!$I158</f>
        <v>[47-75]攻击 +1个随机属性</v>
      </c>
      <c r="H157" s="1">
        <f t="shared" si="17"/>
        <v>100156</v>
      </c>
      <c r="I157" s="1">
        <v>1</v>
      </c>
      <c r="J157" s="1">
        <f>[1]装备明细!J158</f>
        <v>0</v>
      </c>
      <c r="K157" s="1">
        <f>[1]装备明细!K158</f>
        <v>2</v>
      </c>
      <c r="L157" s="1">
        <f>[1]装备明细!L158</f>
        <v>3</v>
      </c>
      <c r="M157" s="1">
        <v>6</v>
      </c>
      <c r="N157" s="1">
        <f>[1]装备明细!$F161</f>
        <v>1</v>
      </c>
      <c r="O157" s="1">
        <f>[1]装备明细!$E158</f>
        <v>2</v>
      </c>
      <c r="P157" s="1">
        <f t="shared" si="13"/>
        <v>2</v>
      </c>
      <c r="Q157" s="1">
        <f t="shared" si="14"/>
        <v>460</v>
      </c>
      <c r="R157" s="1">
        <f t="shared" si="15"/>
        <v>19</v>
      </c>
      <c r="S157" s="1">
        <f t="shared" si="16"/>
        <v>2</v>
      </c>
    </row>
    <row r="158" spans="1:19" x14ac:dyDescent="0.15">
      <c r="A158" s="1">
        <v>157</v>
      </c>
      <c r="B158" s="1">
        <v>0</v>
      </c>
      <c r="C158" s="1">
        <f>[1]装备明细!B159</f>
        <v>102040300</v>
      </c>
      <c r="D158" s="1">
        <f t="shared" si="12"/>
        <v>200157</v>
      </c>
      <c r="E158" s="1" t="s">
        <v>63</v>
      </c>
      <c r="F158" s="1" t="str">
        <f ca="1">[1]装备明细!C159&amp;"图纸"</f>
        <v>宗师精钢拳套图纸</v>
      </c>
      <c r="G158" s="1" t="str">
        <f ca="1">[1]装备明细!$I159</f>
        <v>[76-109]攻击 +1个随机属性</v>
      </c>
      <c r="H158" s="1">
        <f t="shared" si="17"/>
        <v>100157</v>
      </c>
      <c r="I158" s="1">
        <v>1</v>
      </c>
      <c r="J158" s="1">
        <f>[1]装备明细!J159</f>
        <v>0</v>
      </c>
      <c r="K158" s="1">
        <f>[1]装备明细!K159</f>
        <v>2</v>
      </c>
      <c r="L158" s="1">
        <f>[1]装备明细!L159</f>
        <v>4</v>
      </c>
      <c r="M158" s="1">
        <v>6</v>
      </c>
      <c r="N158" s="1">
        <f>[1]装备明细!$F162</f>
        <v>1</v>
      </c>
      <c r="O158" s="1">
        <f>[1]装备明细!$E159</f>
        <v>2</v>
      </c>
      <c r="P158" s="1">
        <f t="shared" si="13"/>
        <v>2</v>
      </c>
      <c r="Q158" s="1">
        <f t="shared" si="14"/>
        <v>480</v>
      </c>
      <c r="R158" s="1">
        <f t="shared" si="15"/>
        <v>19</v>
      </c>
      <c r="S158" s="1">
        <f t="shared" si="16"/>
        <v>2</v>
      </c>
    </row>
    <row r="159" spans="1:19" x14ac:dyDescent="0.15">
      <c r="A159" s="1">
        <v>158</v>
      </c>
      <c r="B159" s="1">
        <v>0</v>
      </c>
      <c r="C159" s="1">
        <f>[1]装备明细!B160</f>
        <v>102050300</v>
      </c>
      <c r="D159" s="1">
        <f t="shared" si="12"/>
        <v>200158</v>
      </c>
      <c r="E159" s="1" t="s">
        <v>63</v>
      </c>
      <c r="F159" s="1" t="str">
        <f ca="1">[1]装备明细!C160&amp;"图纸"</f>
        <v>显赫白银拳套图纸</v>
      </c>
      <c r="G159" s="1" t="str">
        <f ca="1">[1]装备明细!$I160</f>
        <v>[110-148]攻击 +1个随机属性</v>
      </c>
      <c r="H159" s="1">
        <f t="shared" si="17"/>
        <v>100158</v>
      </c>
      <c r="I159" s="1">
        <v>1</v>
      </c>
      <c r="J159" s="1">
        <f>[1]装备明细!J160</f>
        <v>0</v>
      </c>
      <c r="K159" s="1">
        <f>[1]装备明细!K160</f>
        <v>2</v>
      </c>
      <c r="L159" s="1">
        <f>[1]装备明细!L160</f>
        <v>5</v>
      </c>
      <c r="M159" s="1">
        <v>6</v>
      </c>
      <c r="N159" s="1">
        <f>[1]装备明细!$F163</f>
        <v>1</v>
      </c>
      <c r="O159" s="1">
        <f>[1]装备明细!$E160</f>
        <v>2</v>
      </c>
      <c r="P159" s="1">
        <f t="shared" si="13"/>
        <v>2</v>
      </c>
      <c r="Q159" s="1">
        <f t="shared" si="14"/>
        <v>500</v>
      </c>
      <c r="R159" s="1">
        <f t="shared" si="15"/>
        <v>19</v>
      </c>
      <c r="S159" s="1">
        <f t="shared" si="16"/>
        <v>2</v>
      </c>
    </row>
    <row r="160" spans="1:19" x14ac:dyDescent="0.15">
      <c r="A160" s="1">
        <v>159</v>
      </c>
      <c r="B160" s="1">
        <v>0</v>
      </c>
      <c r="C160" s="1">
        <f>[1]装备明细!B161</f>
        <v>102060300</v>
      </c>
      <c r="D160" s="1">
        <f t="shared" si="12"/>
        <v>200159</v>
      </c>
      <c r="E160" s="1" t="s">
        <v>63</v>
      </c>
      <c r="F160" s="1" t="str">
        <f ca="1">[1]装备明细!C161&amp;"图纸"</f>
        <v>尊荣虚幻拳套图纸</v>
      </c>
      <c r="G160" s="1" t="str">
        <f ca="1">[1]装备明细!$I161</f>
        <v>[149-190]攻击 +1个随机属性</v>
      </c>
      <c r="H160" s="1">
        <f t="shared" si="17"/>
        <v>100159</v>
      </c>
      <c r="I160" s="1">
        <v>1</v>
      </c>
      <c r="J160" s="1">
        <f>[1]装备明细!J161</f>
        <v>0</v>
      </c>
      <c r="K160" s="1">
        <f>[1]装备明细!K161</f>
        <v>2</v>
      </c>
      <c r="L160" s="1">
        <f>[1]装备明细!L161</f>
        <v>6</v>
      </c>
      <c r="M160" s="1">
        <v>6</v>
      </c>
      <c r="N160" s="1">
        <f>[1]装备明细!$F164</f>
        <v>1</v>
      </c>
      <c r="O160" s="1">
        <f>[1]装备明细!$E161</f>
        <v>2</v>
      </c>
      <c r="P160" s="1">
        <f t="shared" si="13"/>
        <v>2</v>
      </c>
      <c r="Q160" s="1">
        <f t="shared" si="14"/>
        <v>520</v>
      </c>
      <c r="R160" s="1">
        <f t="shared" si="15"/>
        <v>19</v>
      </c>
      <c r="S160" s="1">
        <f t="shared" si="16"/>
        <v>2</v>
      </c>
    </row>
    <row r="161" spans="1:19" x14ac:dyDescent="0.15">
      <c r="A161" s="1">
        <v>160</v>
      </c>
      <c r="B161" s="1">
        <v>0</v>
      </c>
      <c r="C161" s="1">
        <f>[1]装备明细!B162</f>
        <v>102070300</v>
      </c>
      <c r="D161" s="1">
        <f t="shared" si="12"/>
        <v>200160</v>
      </c>
      <c r="E161" s="1" t="s">
        <v>63</v>
      </c>
      <c r="F161" s="1" t="str">
        <f ca="1">[1]装备明细!C162&amp;"图纸"</f>
        <v>至尊歌德拳套图纸</v>
      </c>
      <c r="G161" s="1" t="str">
        <f ca="1">[1]装备明细!$I162</f>
        <v>[191-236]攻击 +1个随机属性</v>
      </c>
      <c r="H161" s="1">
        <f t="shared" si="17"/>
        <v>100160</v>
      </c>
      <c r="I161" s="1">
        <v>1</v>
      </c>
      <c r="J161" s="1">
        <f>[1]装备明细!J162</f>
        <v>0</v>
      </c>
      <c r="K161" s="1">
        <f>[1]装备明细!K162</f>
        <v>2</v>
      </c>
      <c r="L161" s="1">
        <f>[1]装备明细!L162</f>
        <v>7</v>
      </c>
      <c r="M161" s="1">
        <v>6</v>
      </c>
      <c r="N161" s="1">
        <f>[1]装备明细!$F165</f>
        <v>1</v>
      </c>
      <c r="O161" s="1">
        <f>[1]装备明细!$E162</f>
        <v>2</v>
      </c>
      <c r="P161" s="1">
        <f t="shared" si="13"/>
        <v>2</v>
      </c>
      <c r="Q161" s="1">
        <f t="shared" si="14"/>
        <v>540</v>
      </c>
      <c r="R161" s="1">
        <f t="shared" si="15"/>
        <v>19</v>
      </c>
      <c r="S161" s="1">
        <f t="shared" si="16"/>
        <v>2</v>
      </c>
    </row>
    <row r="162" spans="1:19" x14ac:dyDescent="0.15">
      <c r="A162" s="1">
        <v>161</v>
      </c>
      <c r="B162" s="1">
        <v>0</v>
      </c>
      <c r="C162" s="1">
        <f>[1]装备明细!B163</f>
        <v>102080300</v>
      </c>
      <c r="D162" s="1">
        <f t="shared" si="12"/>
        <v>200161</v>
      </c>
      <c r="E162" s="1" t="s">
        <v>63</v>
      </c>
      <c r="F162" s="1" t="str">
        <f ca="1">[1]装备明细!C163&amp;"图纸"</f>
        <v>绝旨空灵拳套图纸</v>
      </c>
      <c r="G162" s="1" t="str">
        <f ca="1">[1]装备明细!$I163</f>
        <v>[237-287]攻击 +1个随机属性</v>
      </c>
      <c r="H162" s="1">
        <f t="shared" si="17"/>
        <v>100161</v>
      </c>
      <c r="I162" s="1">
        <v>1</v>
      </c>
      <c r="J162" s="1">
        <f>[1]装备明细!J163</f>
        <v>0</v>
      </c>
      <c r="K162" s="1">
        <f>[1]装备明细!K163</f>
        <v>2</v>
      </c>
      <c r="L162" s="1">
        <f>[1]装备明细!L163</f>
        <v>8</v>
      </c>
      <c r="M162" s="1">
        <v>6</v>
      </c>
      <c r="N162" s="1">
        <f>[1]装备明细!$F166</f>
        <v>1</v>
      </c>
      <c r="O162" s="1">
        <f>[1]装备明细!$E163</f>
        <v>2</v>
      </c>
      <c r="P162" s="1">
        <f t="shared" si="13"/>
        <v>2</v>
      </c>
      <c r="Q162" s="1">
        <f t="shared" si="14"/>
        <v>560</v>
      </c>
      <c r="R162" s="1">
        <f t="shared" si="15"/>
        <v>19</v>
      </c>
      <c r="S162" s="1">
        <f t="shared" si="16"/>
        <v>2</v>
      </c>
    </row>
    <row r="163" spans="1:19" x14ac:dyDescent="0.15">
      <c r="A163" s="1">
        <v>162</v>
      </c>
      <c r="B163" s="1">
        <v>0</v>
      </c>
      <c r="C163" s="1">
        <f>[1]装备明细!B164</f>
        <v>102090300</v>
      </c>
      <c r="D163" s="1">
        <f t="shared" si="12"/>
        <v>200162</v>
      </c>
      <c r="E163" s="1" t="s">
        <v>63</v>
      </c>
      <c r="F163" s="1" t="str">
        <f ca="1">[1]装备明细!C164&amp;"图纸"</f>
        <v>天工混乱拳套图纸</v>
      </c>
      <c r="G163" s="1" t="str">
        <f ca="1">[1]装备明细!$I164</f>
        <v>[288-342]攻击 +1个随机属性</v>
      </c>
      <c r="H163" s="1">
        <f t="shared" si="17"/>
        <v>100162</v>
      </c>
      <c r="I163" s="1">
        <v>1</v>
      </c>
      <c r="J163" s="1">
        <f>[1]装备明细!J164</f>
        <v>0</v>
      </c>
      <c r="K163" s="1">
        <f>[1]装备明细!K164</f>
        <v>2</v>
      </c>
      <c r="L163" s="1">
        <f>[1]装备明细!L164</f>
        <v>9</v>
      </c>
      <c r="M163" s="1">
        <v>6</v>
      </c>
      <c r="N163" s="1">
        <f>[1]装备明细!$F167</f>
        <v>1</v>
      </c>
      <c r="O163" s="1">
        <f>[1]装备明细!$E164</f>
        <v>2</v>
      </c>
      <c r="P163" s="1">
        <f t="shared" si="13"/>
        <v>2</v>
      </c>
      <c r="Q163" s="1">
        <f t="shared" si="14"/>
        <v>580</v>
      </c>
      <c r="R163" s="1">
        <f t="shared" si="15"/>
        <v>19</v>
      </c>
      <c r="S163" s="1">
        <f t="shared" si="16"/>
        <v>2</v>
      </c>
    </row>
    <row r="164" spans="1:19" x14ac:dyDescent="0.15">
      <c r="A164" s="1">
        <v>163</v>
      </c>
      <c r="B164" s="1">
        <v>0</v>
      </c>
      <c r="C164" s="1">
        <f>[1]装备明细!B165</f>
        <v>102010400</v>
      </c>
      <c r="D164" s="1">
        <f t="shared" si="12"/>
        <v>200163</v>
      </c>
      <c r="E164" s="1" t="s">
        <v>63</v>
      </c>
      <c r="F164" s="1" t="str">
        <f ca="1">[1]装备明细!C165&amp;"图纸"</f>
        <v>学徒颓废枪图纸</v>
      </c>
      <c r="G164" s="1" t="str">
        <f ca="1">[1]装备明细!$I165</f>
        <v>[1-21]攻击 +1个随机属性</v>
      </c>
      <c r="H164" s="1">
        <f t="shared" si="17"/>
        <v>100163</v>
      </c>
      <c r="I164" s="1">
        <v>1</v>
      </c>
      <c r="J164" s="1">
        <f>[1]装备明细!J165</f>
        <v>0</v>
      </c>
      <c r="K164" s="1">
        <f>[1]装备明细!K165</f>
        <v>2</v>
      </c>
      <c r="L164" s="1">
        <f>[1]装备明细!L165</f>
        <v>1</v>
      </c>
      <c r="M164" s="1">
        <v>6</v>
      </c>
      <c r="N164" s="1">
        <f>[1]装备明细!$F168</f>
        <v>1</v>
      </c>
      <c r="O164" s="1">
        <f>[1]装备明细!$E165</f>
        <v>2</v>
      </c>
      <c r="P164" s="1">
        <f t="shared" si="13"/>
        <v>2</v>
      </c>
      <c r="Q164" s="1">
        <f t="shared" si="14"/>
        <v>420</v>
      </c>
      <c r="R164" s="1">
        <f t="shared" si="15"/>
        <v>19</v>
      </c>
      <c r="S164" s="1">
        <f t="shared" si="16"/>
        <v>2</v>
      </c>
    </row>
    <row r="165" spans="1:19" x14ac:dyDescent="0.15">
      <c r="A165" s="1">
        <v>164</v>
      </c>
      <c r="B165" s="1">
        <v>0</v>
      </c>
      <c r="C165" s="1">
        <f>[1]装备明细!B166</f>
        <v>102020400</v>
      </c>
      <c r="D165" s="1">
        <f t="shared" si="12"/>
        <v>200164</v>
      </c>
      <c r="E165" s="1" t="s">
        <v>63</v>
      </c>
      <c r="F165" s="1" t="str">
        <f ca="1">[1]装备明细!C166&amp;"图纸"</f>
        <v>专家玄铁枪图纸</v>
      </c>
      <c r="G165" s="1" t="str">
        <f ca="1">[1]装备明细!$I166</f>
        <v>[22-46]攻击 +1个随机属性</v>
      </c>
      <c r="H165" s="1">
        <f t="shared" si="17"/>
        <v>100164</v>
      </c>
      <c r="I165" s="1">
        <v>1</v>
      </c>
      <c r="J165" s="1">
        <f>[1]装备明细!J166</f>
        <v>0</v>
      </c>
      <c r="K165" s="1">
        <f>[1]装备明细!K166</f>
        <v>2</v>
      </c>
      <c r="L165" s="1">
        <f>[1]装备明细!L166</f>
        <v>2</v>
      </c>
      <c r="M165" s="1">
        <v>6</v>
      </c>
      <c r="N165" s="1">
        <f>[1]装备明细!$F169</f>
        <v>1</v>
      </c>
      <c r="O165" s="1">
        <f>[1]装备明细!$E166</f>
        <v>2</v>
      </c>
      <c r="P165" s="1">
        <f t="shared" si="13"/>
        <v>2</v>
      </c>
      <c r="Q165" s="1">
        <f t="shared" si="14"/>
        <v>440</v>
      </c>
      <c r="R165" s="1">
        <f t="shared" si="15"/>
        <v>19</v>
      </c>
      <c r="S165" s="1">
        <f t="shared" si="16"/>
        <v>2</v>
      </c>
    </row>
    <row r="166" spans="1:19" x14ac:dyDescent="0.15">
      <c r="A166" s="1">
        <v>165</v>
      </c>
      <c r="B166" s="1">
        <v>0</v>
      </c>
      <c r="C166" s="1">
        <f>[1]装备明细!B167</f>
        <v>102030400</v>
      </c>
      <c r="D166" s="1">
        <f t="shared" si="12"/>
        <v>200165</v>
      </c>
      <c r="E166" s="1" t="s">
        <v>63</v>
      </c>
      <c r="F166" s="1" t="str">
        <f ca="1">[1]装备明细!C167&amp;"图纸"</f>
        <v>大师水晶枪图纸</v>
      </c>
      <c r="G166" s="1" t="str">
        <f ca="1">[1]装备明细!$I167</f>
        <v>[47-75]攻击 +1个随机属性</v>
      </c>
      <c r="H166" s="1">
        <f t="shared" si="17"/>
        <v>100165</v>
      </c>
      <c r="I166" s="1">
        <v>1</v>
      </c>
      <c r="J166" s="1">
        <f>[1]装备明细!J167</f>
        <v>0</v>
      </c>
      <c r="K166" s="1">
        <f>[1]装备明细!K167</f>
        <v>2</v>
      </c>
      <c r="L166" s="1">
        <f>[1]装备明细!L167</f>
        <v>3</v>
      </c>
      <c r="M166" s="1">
        <v>6</v>
      </c>
      <c r="N166" s="1">
        <f>[1]装备明细!$F170</f>
        <v>1</v>
      </c>
      <c r="O166" s="1">
        <f>[1]装备明细!$E167</f>
        <v>2</v>
      </c>
      <c r="P166" s="1">
        <f t="shared" si="13"/>
        <v>2</v>
      </c>
      <c r="Q166" s="1">
        <f t="shared" si="14"/>
        <v>460</v>
      </c>
      <c r="R166" s="1">
        <f t="shared" si="15"/>
        <v>19</v>
      </c>
      <c r="S166" s="1">
        <f t="shared" si="16"/>
        <v>2</v>
      </c>
    </row>
    <row r="167" spans="1:19" x14ac:dyDescent="0.15">
      <c r="A167" s="1">
        <v>166</v>
      </c>
      <c r="B167" s="1">
        <v>0</v>
      </c>
      <c r="C167" s="1">
        <f>[1]装备明细!B168</f>
        <v>102040400</v>
      </c>
      <c r="D167" s="1">
        <f t="shared" si="12"/>
        <v>200166</v>
      </c>
      <c r="E167" s="1" t="s">
        <v>63</v>
      </c>
      <c r="F167" s="1" t="str">
        <f ca="1">[1]装备明细!C168&amp;"图纸"</f>
        <v>宗师精钢枪图纸</v>
      </c>
      <c r="G167" s="1" t="str">
        <f ca="1">[1]装备明细!$I168</f>
        <v>[76-109]攻击 +1个随机属性</v>
      </c>
      <c r="H167" s="1">
        <f t="shared" si="17"/>
        <v>100166</v>
      </c>
      <c r="I167" s="1">
        <v>1</v>
      </c>
      <c r="J167" s="1">
        <f>[1]装备明细!J168</f>
        <v>0</v>
      </c>
      <c r="K167" s="1">
        <f>[1]装备明细!K168</f>
        <v>2</v>
      </c>
      <c r="L167" s="1">
        <f>[1]装备明细!L168</f>
        <v>4</v>
      </c>
      <c r="M167" s="1">
        <v>6</v>
      </c>
      <c r="N167" s="1">
        <f>[1]装备明细!$F171</f>
        <v>1</v>
      </c>
      <c r="O167" s="1">
        <f>[1]装备明细!$E168</f>
        <v>2</v>
      </c>
      <c r="P167" s="1">
        <f t="shared" si="13"/>
        <v>2</v>
      </c>
      <c r="Q167" s="1">
        <f t="shared" si="14"/>
        <v>480</v>
      </c>
      <c r="R167" s="1">
        <f t="shared" si="15"/>
        <v>19</v>
      </c>
      <c r="S167" s="1">
        <f t="shared" si="16"/>
        <v>2</v>
      </c>
    </row>
    <row r="168" spans="1:19" x14ac:dyDescent="0.15">
      <c r="A168" s="1">
        <v>167</v>
      </c>
      <c r="B168" s="1">
        <v>0</v>
      </c>
      <c r="C168" s="1">
        <f>[1]装备明细!B169</f>
        <v>102050400</v>
      </c>
      <c r="D168" s="1">
        <f t="shared" si="12"/>
        <v>200167</v>
      </c>
      <c r="E168" s="1" t="s">
        <v>63</v>
      </c>
      <c r="F168" s="1" t="str">
        <f ca="1">[1]装备明细!C169&amp;"图纸"</f>
        <v>显赫白银枪图纸</v>
      </c>
      <c r="G168" s="1" t="str">
        <f ca="1">[1]装备明细!$I169</f>
        <v>[110-148]攻击 +1个随机属性</v>
      </c>
      <c r="H168" s="1">
        <f t="shared" si="17"/>
        <v>100167</v>
      </c>
      <c r="I168" s="1">
        <v>1</v>
      </c>
      <c r="J168" s="1">
        <f>[1]装备明细!J169</f>
        <v>0</v>
      </c>
      <c r="K168" s="1">
        <f>[1]装备明细!K169</f>
        <v>2</v>
      </c>
      <c r="L168" s="1">
        <f>[1]装备明细!L169</f>
        <v>5</v>
      </c>
      <c r="M168" s="1">
        <v>6</v>
      </c>
      <c r="N168" s="1">
        <f>[1]装备明细!$F172</f>
        <v>1</v>
      </c>
      <c r="O168" s="1">
        <f>[1]装备明细!$E169</f>
        <v>2</v>
      </c>
      <c r="P168" s="1">
        <f t="shared" si="13"/>
        <v>2</v>
      </c>
      <c r="Q168" s="1">
        <f t="shared" si="14"/>
        <v>500</v>
      </c>
      <c r="R168" s="1">
        <f t="shared" si="15"/>
        <v>19</v>
      </c>
      <c r="S168" s="1">
        <f t="shared" si="16"/>
        <v>2</v>
      </c>
    </row>
    <row r="169" spans="1:19" x14ac:dyDescent="0.15">
      <c r="A169" s="1">
        <v>168</v>
      </c>
      <c r="B169" s="1">
        <v>0</v>
      </c>
      <c r="C169" s="1">
        <f>[1]装备明细!B170</f>
        <v>102060400</v>
      </c>
      <c r="D169" s="1">
        <f t="shared" si="12"/>
        <v>200168</v>
      </c>
      <c r="E169" s="1" t="s">
        <v>63</v>
      </c>
      <c r="F169" s="1" t="str">
        <f ca="1">[1]装备明细!C170&amp;"图纸"</f>
        <v>尊荣虚幻枪图纸</v>
      </c>
      <c r="G169" s="1" t="str">
        <f ca="1">[1]装备明细!$I170</f>
        <v>[149-190]攻击 +1个随机属性</v>
      </c>
      <c r="H169" s="1">
        <f t="shared" si="17"/>
        <v>100168</v>
      </c>
      <c r="I169" s="1">
        <v>1</v>
      </c>
      <c r="J169" s="1">
        <f>[1]装备明细!J170</f>
        <v>0</v>
      </c>
      <c r="K169" s="1">
        <f>[1]装备明细!K170</f>
        <v>2</v>
      </c>
      <c r="L169" s="1">
        <f>[1]装备明细!L170</f>
        <v>6</v>
      </c>
      <c r="M169" s="1">
        <v>6</v>
      </c>
      <c r="N169" s="1">
        <f>[1]装备明细!$F173</f>
        <v>1</v>
      </c>
      <c r="O169" s="1">
        <f>[1]装备明细!$E170</f>
        <v>2</v>
      </c>
      <c r="P169" s="1">
        <f t="shared" si="13"/>
        <v>2</v>
      </c>
      <c r="Q169" s="1">
        <f t="shared" si="14"/>
        <v>520</v>
      </c>
      <c r="R169" s="1">
        <f t="shared" si="15"/>
        <v>19</v>
      </c>
      <c r="S169" s="1">
        <f t="shared" si="16"/>
        <v>2</v>
      </c>
    </row>
    <row r="170" spans="1:19" x14ac:dyDescent="0.15">
      <c r="A170" s="1">
        <v>169</v>
      </c>
      <c r="B170" s="1">
        <v>0</v>
      </c>
      <c r="C170" s="1">
        <f>[1]装备明细!B171</f>
        <v>102070400</v>
      </c>
      <c r="D170" s="1">
        <f t="shared" si="12"/>
        <v>200169</v>
      </c>
      <c r="E170" s="1" t="s">
        <v>63</v>
      </c>
      <c r="F170" s="1" t="str">
        <f ca="1">[1]装备明细!C171&amp;"图纸"</f>
        <v>至尊歌德枪图纸</v>
      </c>
      <c r="G170" s="1" t="str">
        <f ca="1">[1]装备明细!$I171</f>
        <v>[191-236]攻击 +1个随机属性</v>
      </c>
      <c r="H170" s="1">
        <f t="shared" si="17"/>
        <v>100169</v>
      </c>
      <c r="I170" s="1">
        <v>1</v>
      </c>
      <c r="J170" s="1">
        <f>[1]装备明细!J171</f>
        <v>0</v>
      </c>
      <c r="K170" s="1">
        <f>[1]装备明细!K171</f>
        <v>2</v>
      </c>
      <c r="L170" s="1">
        <f>[1]装备明细!L171</f>
        <v>7</v>
      </c>
      <c r="M170" s="1">
        <v>6</v>
      </c>
      <c r="N170" s="1">
        <f>[1]装备明细!$F174</f>
        <v>1</v>
      </c>
      <c r="O170" s="1">
        <f>[1]装备明细!$E171</f>
        <v>2</v>
      </c>
      <c r="P170" s="1">
        <f t="shared" si="13"/>
        <v>2</v>
      </c>
      <c r="Q170" s="1">
        <f t="shared" si="14"/>
        <v>540</v>
      </c>
      <c r="R170" s="1">
        <f t="shared" si="15"/>
        <v>19</v>
      </c>
      <c r="S170" s="1">
        <f t="shared" si="16"/>
        <v>2</v>
      </c>
    </row>
    <row r="171" spans="1:19" x14ac:dyDescent="0.15">
      <c r="A171" s="1">
        <v>170</v>
      </c>
      <c r="B171" s="1">
        <v>0</v>
      </c>
      <c r="C171" s="1">
        <f>[1]装备明细!B172</f>
        <v>102080400</v>
      </c>
      <c r="D171" s="1">
        <f t="shared" si="12"/>
        <v>200170</v>
      </c>
      <c r="E171" s="1" t="s">
        <v>63</v>
      </c>
      <c r="F171" s="1" t="str">
        <f ca="1">[1]装备明细!C172&amp;"图纸"</f>
        <v>绝旨空灵枪图纸</v>
      </c>
      <c r="G171" s="1" t="str">
        <f ca="1">[1]装备明细!$I172</f>
        <v>[237-287]攻击 +1个随机属性</v>
      </c>
      <c r="H171" s="1">
        <f t="shared" si="17"/>
        <v>100170</v>
      </c>
      <c r="I171" s="1">
        <v>1</v>
      </c>
      <c r="J171" s="1">
        <f>[1]装备明细!J172</f>
        <v>0</v>
      </c>
      <c r="K171" s="1">
        <f>[1]装备明细!K172</f>
        <v>2</v>
      </c>
      <c r="L171" s="1">
        <f>[1]装备明细!L172</f>
        <v>8</v>
      </c>
      <c r="M171" s="1">
        <v>6</v>
      </c>
      <c r="N171" s="1">
        <f>[1]装备明细!$F175</f>
        <v>1</v>
      </c>
      <c r="O171" s="1">
        <f>[1]装备明细!$E172</f>
        <v>2</v>
      </c>
      <c r="P171" s="1">
        <f t="shared" si="13"/>
        <v>2</v>
      </c>
      <c r="Q171" s="1">
        <f t="shared" si="14"/>
        <v>560</v>
      </c>
      <c r="R171" s="1">
        <f t="shared" si="15"/>
        <v>19</v>
      </c>
      <c r="S171" s="1">
        <f t="shared" si="16"/>
        <v>2</v>
      </c>
    </row>
    <row r="172" spans="1:19" x14ac:dyDescent="0.15">
      <c r="A172" s="1">
        <v>171</v>
      </c>
      <c r="B172" s="1">
        <v>0</v>
      </c>
      <c r="C172" s="1">
        <f>[1]装备明细!B173</f>
        <v>102090400</v>
      </c>
      <c r="D172" s="1">
        <f t="shared" si="12"/>
        <v>200171</v>
      </c>
      <c r="E172" s="1" t="s">
        <v>63</v>
      </c>
      <c r="F172" s="1" t="str">
        <f ca="1">[1]装备明细!C173&amp;"图纸"</f>
        <v>天工混乱枪图纸</v>
      </c>
      <c r="G172" s="1" t="str">
        <f ca="1">[1]装备明细!$I173</f>
        <v>[288-342]攻击 +1个随机属性</v>
      </c>
      <c r="H172" s="1">
        <f t="shared" si="17"/>
        <v>100171</v>
      </c>
      <c r="I172" s="1">
        <v>1</v>
      </c>
      <c r="J172" s="1">
        <f>[1]装备明细!J173</f>
        <v>0</v>
      </c>
      <c r="K172" s="1">
        <f>[1]装备明细!K173</f>
        <v>2</v>
      </c>
      <c r="L172" s="1">
        <f>[1]装备明细!L173</f>
        <v>9</v>
      </c>
      <c r="M172" s="1">
        <v>6</v>
      </c>
      <c r="N172" s="1">
        <f>[1]装备明细!$F176</f>
        <v>1</v>
      </c>
      <c r="O172" s="1">
        <f>[1]装备明细!$E173</f>
        <v>2</v>
      </c>
      <c r="P172" s="1">
        <f t="shared" si="13"/>
        <v>2</v>
      </c>
      <c r="Q172" s="1">
        <f t="shared" si="14"/>
        <v>580</v>
      </c>
      <c r="R172" s="1">
        <f t="shared" si="15"/>
        <v>19</v>
      </c>
      <c r="S172" s="1">
        <f t="shared" si="16"/>
        <v>2</v>
      </c>
    </row>
    <row r="173" spans="1:19" x14ac:dyDescent="0.15">
      <c r="A173" s="1">
        <v>172</v>
      </c>
      <c r="B173" s="1">
        <v>0</v>
      </c>
      <c r="C173" s="1">
        <f>[1]装备明细!B174</f>
        <v>102010500</v>
      </c>
      <c r="D173" s="1">
        <f t="shared" si="12"/>
        <v>200172</v>
      </c>
      <c r="E173" s="1" t="s">
        <v>63</v>
      </c>
      <c r="F173" s="1" t="str">
        <f ca="1">[1]装备明细!C174&amp;"图纸"</f>
        <v>学徒颓废镰刀图纸</v>
      </c>
      <c r="G173" s="1" t="str">
        <f ca="1">[1]装备明细!$I174</f>
        <v>[1-21]攻击 +1个随机属性</v>
      </c>
      <c r="H173" s="1">
        <f t="shared" si="17"/>
        <v>100172</v>
      </c>
      <c r="I173" s="1">
        <v>1</v>
      </c>
      <c r="J173" s="1">
        <f>[1]装备明细!J174</f>
        <v>0</v>
      </c>
      <c r="K173" s="1">
        <f>[1]装备明细!K174</f>
        <v>2</v>
      </c>
      <c r="L173" s="1">
        <f>[1]装备明细!L174</f>
        <v>1</v>
      </c>
      <c r="M173" s="1">
        <v>6</v>
      </c>
      <c r="N173" s="1">
        <f>[1]装备明细!$F177</f>
        <v>1</v>
      </c>
      <c r="O173" s="1">
        <f>[1]装备明细!$E174</f>
        <v>2</v>
      </c>
      <c r="P173" s="1">
        <f t="shared" si="13"/>
        <v>2</v>
      </c>
      <c r="Q173" s="1">
        <f t="shared" si="14"/>
        <v>420</v>
      </c>
      <c r="R173" s="1">
        <f t="shared" si="15"/>
        <v>19</v>
      </c>
      <c r="S173" s="1">
        <f t="shared" si="16"/>
        <v>2</v>
      </c>
    </row>
    <row r="174" spans="1:19" x14ac:dyDescent="0.15">
      <c r="A174" s="1">
        <v>173</v>
      </c>
      <c r="B174" s="1">
        <v>0</v>
      </c>
      <c r="C174" s="1">
        <f>[1]装备明细!B175</f>
        <v>102020500</v>
      </c>
      <c r="D174" s="1">
        <f t="shared" si="12"/>
        <v>200173</v>
      </c>
      <c r="E174" s="1" t="s">
        <v>63</v>
      </c>
      <c r="F174" s="1" t="str">
        <f ca="1">[1]装备明细!C175&amp;"图纸"</f>
        <v>专家玄铁镰刀图纸</v>
      </c>
      <c r="G174" s="1" t="str">
        <f ca="1">[1]装备明细!$I175</f>
        <v>[22-46]攻击 +1个随机属性</v>
      </c>
      <c r="H174" s="1">
        <f t="shared" si="17"/>
        <v>100173</v>
      </c>
      <c r="I174" s="1">
        <v>1</v>
      </c>
      <c r="J174" s="1">
        <f>[1]装备明细!J175</f>
        <v>0</v>
      </c>
      <c r="K174" s="1">
        <f>[1]装备明细!K175</f>
        <v>2</v>
      </c>
      <c r="L174" s="1">
        <f>[1]装备明细!L175</f>
        <v>2</v>
      </c>
      <c r="M174" s="1">
        <v>6</v>
      </c>
      <c r="N174" s="1">
        <f>[1]装备明细!$F178</f>
        <v>1</v>
      </c>
      <c r="O174" s="1">
        <f>[1]装备明细!$E175</f>
        <v>2</v>
      </c>
      <c r="P174" s="1">
        <f t="shared" si="13"/>
        <v>2</v>
      </c>
      <c r="Q174" s="1">
        <f t="shared" si="14"/>
        <v>440</v>
      </c>
      <c r="R174" s="1">
        <f t="shared" si="15"/>
        <v>19</v>
      </c>
      <c r="S174" s="1">
        <f t="shared" si="16"/>
        <v>2</v>
      </c>
    </row>
    <row r="175" spans="1:19" x14ac:dyDescent="0.15">
      <c r="A175" s="1">
        <v>174</v>
      </c>
      <c r="B175" s="1">
        <v>0</v>
      </c>
      <c r="C175" s="1">
        <f>[1]装备明细!B176</f>
        <v>102030500</v>
      </c>
      <c r="D175" s="1">
        <f t="shared" si="12"/>
        <v>200174</v>
      </c>
      <c r="E175" s="1" t="s">
        <v>63</v>
      </c>
      <c r="F175" s="1" t="str">
        <f ca="1">[1]装备明细!C176&amp;"图纸"</f>
        <v>大师水晶镰刀图纸</v>
      </c>
      <c r="G175" s="1" t="str">
        <f ca="1">[1]装备明细!$I176</f>
        <v>[47-75]攻击 +1个随机属性</v>
      </c>
      <c r="H175" s="1">
        <f t="shared" si="17"/>
        <v>100174</v>
      </c>
      <c r="I175" s="1">
        <v>1</v>
      </c>
      <c r="J175" s="1">
        <f>[1]装备明细!J176</f>
        <v>0</v>
      </c>
      <c r="K175" s="1">
        <f>[1]装备明细!K176</f>
        <v>2</v>
      </c>
      <c r="L175" s="1">
        <f>[1]装备明细!L176</f>
        <v>3</v>
      </c>
      <c r="M175" s="1">
        <v>6</v>
      </c>
      <c r="N175" s="1">
        <f>[1]装备明细!$F179</f>
        <v>1</v>
      </c>
      <c r="O175" s="1">
        <f>[1]装备明细!$E176</f>
        <v>2</v>
      </c>
      <c r="P175" s="1">
        <f t="shared" si="13"/>
        <v>2</v>
      </c>
      <c r="Q175" s="1">
        <f t="shared" si="14"/>
        <v>460</v>
      </c>
      <c r="R175" s="1">
        <f t="shared" si="15"/>
        <v>19</v>
      </c>
      <c r="S175" s="1">
        <f t="shared" si="16"/>
        <v>2</v>
      </c>
    </row>
    <row r="176" spans="1:19" x14ac:dyDescent="0.15">
      <c r="A176" s="1">
        <v>175</v>
      </c>
      <c r="B176" s="1">
        <v>0</v>
      </c>
      <c r="C176" s="1">
        <f>[1]装备明细!B177</f>
        <v>102040500</v>
      </c>
      <c r="D176" s="1">
        <f t="shared" si="12"/>
        <v>200175</v>
      </c>
      <c r="E176" s="1" t="s">
        <v>63</v>
      </c>
      <c r="F176" s="1" t="str">
        <f ca="1">[1]装备明细!C177&amp;"图纸"</f>
        <v>宗师精钢镰刀图纸</v>
      </c>
      <c r="G176" s="1" t="str">
        <f ca="1">[1]装备明细!$I177</f>
        <v>[76-109]攻击 +1个随机属性</v>
      </c>
      <c r="H176" s="1">
        <f t="shared" si="17"/>
        <v>100175</v>
      </c>
      <c r="I176" s="1">
        <v>1</v>
      </c>
      <c r="J176" s="1">
        <f>[1]装备明细!J177</f>
        <v>0</v>
      </c>
      <c r="K176" s="1">
        <f>[1]装备明细!K177</f>
        <v>2</v>
      </c>
      <c r="L176" s="1">
        <f>[1]装备明细!L177</f>
        <v>4</v>
      </c>
      <c r="M176" s="1">
        <v>6</v>
      </c>
      <c r="N176" s="1">
        <f>[1]装备明细!$F180</f>
        <v>1</v>
      </c>
      <c r="O176" s="1">
        <f>[1]装备明细!$E177</f>
        <v>2</v>
      </c>
      <c r="P176" s="1">
        <f t="shared" si="13"/>
        <v>2</v>
      </c>
      <c r="Q176" s="1">
        <f t="shared" si="14"/>
        <v>480</v>
      </c>
      <c r="R176" s="1">
        <f t="shared" si="15"/>
        <v>19</v>
      </c>
      <c r="S176" s="1">
        <f t="shared" si="16"/>
        <v>2</v>
      </c>
    </row>
    <row r="177" spans="1:19" x14ac:dyDescent="0.15">
      <c r="A177" s="1">
        <v>176</v>
      </c>
      <c r="B177" s="1">
        <v>0</v>
      </c>
      <c r="C177" s="1">
        <f>[1]装备明细!B178</f>
        <v>102050500</v>
      </c>
      <c r="D177" s="1">
        <f t="shared" si="12"/>
        <v>200176</v>
      </c>
      <c r="E177" s="1" t="s">
        <v>63</v>
      </c>
      <c r="F177" s="1" t="str">
        <f ca="1">[1]装备明细!C178&amp;"图纸"</f>
        <v>显赫白银镰刀图纸</v>
      </c>
      <c r="G177" s="1" t="str">
        <f ca="1">[1]装备明细!$I178</f>
        <v>[110-148]攻击 +1个随机属性</v>
      </c>
      <c r="H177" s="1">
        <f t="shared" si="17"/>
        <v>100176</v>
      </c>
      <c r="I177" s="1">
        <v>1</v>
      </c>
      <c r="J177" s="1">
        <f>[1]装备明细!J178</f>
        <v>0</v>
      </c>
      <c r="K177" s="1">
        <f>[1]装备明细!K178</f>
        <v>2</v>
      </c>
      <c r="L177" s="1">
        <f>[1]装备明细!L178</f>
        <v>5</v>
      </c>
      <c r="M177" s="1">
        <v>6</v>
      </c>
      <c r="N177" s="1">
        <f>[1]装备明细!$F181</f>
        <v>1</v>
      </c>
      <c r="O177" s="1">
        <f>[1]装备明细!$E178</f>
        <v>2</v>
      </c>
      <c r="P177" s="1">
        <f t="shared" si="13"/>
        <v>2</v>
      </c>
      <c r="Q177" s="1">
        <f t="shared" si="14"/>
        <v>500</v>
      </c>
      <c r="R177" s="1">
        <f t="shared" si="15"/>
        <v>19</v>
      </c>
      <c r="S177" s="1">
        <f t="shared" si="16"/>
        <v>2</v>
      </c>
    </row>
    <row r="178" spans="1:19" x14ac:dyDescent="0.15">
      <c r="A178" s="1">
        <v>177</v>
      </c>
      <c r="B178" s="1">
        <v>0</v>
      </c>
      <c r="C178" s="1">
        <f>[1]装备明细!B179</f>
        <v>102060500</v>
      </c>
      <c r="D178" s="1">
        <f t="shared" si="12"/>
        <v>200177</v>
      </c>
      <c r="E178" s="1" t="s">
        <v>63</v>
      </c>
      <c r="F178" s="1" t="str">
        <f ca="1">[1]装备明细!C179&amp;"图纸"</f>
        <v>尊荣虚幻镰刀图纸</v>
      </c>
      <c r="G178" s="1" t="str">
        <f ca="1">[1]装备明细!$I179</f>
        <v>[149-190]攻击 +1个随机属性</v>
      </c>
      <c r="H178" s="1">
        <f t="shared" si="17"/>
        <v>100177</v>
      </c>
      <c r="I178" s="1">
        <v>1</v>
      </c>
      <c r="J178" s="1">
        <f>[1]装备明细!J179</f>
        <v>0</v>
      </c>
      <c r="K178" s="1">
        <f>[1]装备明细!K179</f>
        <v>2</v>
      </c>
      <c r="L178" s="1">
        <f>[1]装备明细!L179</f>
        <v>6</v>
      </c>
      <c r="M178" s="1">
        <v>6</v>
      </c>
      <c r="N178" s="1">
        <f>[1]装备明细!$F182</f>
        <v>1</v>
      </c>
      <c r="O178" s="1">
        <f>[1]装备明细!$E179</f>
        <v>2</v>
      </c>
      <c r="P178" s="1">
        <f t="shared" si="13"/>
        <v>2</v>
      </c>
      <c r="Q178" s="1">
        <f t="shared" si="14"/>
        <v>520</v>
      </c>
      <c r="R178" s="1">
        <f t="shared" si="15"/>
        <v>19</v>
      </c>
      <c r="S178" s="1">
        <f t="shared" si="16"/>
        <v>2</v>
      </c>
    </row>
    <row r="179" spans="1:19" x14ac:dyDescent="0.15">
      <c r="A179" s="1">
        <v>178</v>
      </c>
      <c r="B179" s="1">
        <v>0</v>
      </c>
      <c r="C179" s="1">
        <f>[1]装备明细!B180</f>
        <v>102070500</v>
      </c>
      <c r="D179" s="1">
        <f t="shared" si="12"/>
        <v>200178</v>
      </c>
      <c r="E179" s="1" t="s">
        <v>63</v>
      </c>
      <c r="F179" s="1" t="str">
        <f ca="1">[1]装备明细!C180&amp;"图纸"</f>
        <v>至尊歌德镰刀图纸</v>
      </c>
      <c r="G179" s="1" t="str">
        <f ca="1">[1]装备明细!$I180</f>
        <v>[191-236]攻击 +1个随机属性</v>
      </c>
      <c r="H179" s="1">
        <f t="shared" si="17"/>
        <v>100178</v>
      </c>
      <c r="I179" s="1">
        <v>1</v>
      </c>
      <c r="J179" s="1">
        <f>[1]装备明细!J180</f>
        <v>0</v>
      </c>
      <c r="K179" s="1">
        <f>[1]装备明细!K180</f>
        <v>2</v>
      </c>
      <c r="L179" s="1">
        <f>[1]装备明细!L180</f>
        <v>7</v>
      </c>
      <c r="M179" s="1">
        <v>6</v>
      </c>
      <c r="N179" s="1">
        <f>[1]装备明细!$F183</f>
        <v>1</v>
      </c>
      <c r="O179" s="1">
        <f>[1]装备明细!$E180</f>
        <v>2</v>
      </c>
      <c r="P179" s="1">
        <f t="shared" si="13"/>
        <v>2</v>
      </c>
      <c r="Q179" s="1">
        <f t="shared" si="14"/>
        <v>540</v>
      </c>
      <c r="R179" s="1">
        <f t="shared" si="15"/>
        <v>19</v>
      </c>
      <c r="S179" s="1">
        <f t="shared" si="16"/>
        <v>2</v>
      </c>
    </row>
    <row r="180" spans="1:19" x14ac:dyDescent="0.15">
      <c r="A180" s="1">
        <v>179</v>
      </c>
      <c r="B180" s="1">
        <v>0</v>
      </c>
      <c r="C180" s="1">
        <f>[1]装备明细!B181</f>
        <v>102080500</v>
      </c>
      <c r="D180" s="1">
        <f t="shared" si="12"/>
        <v>200179</v>
      </c>
      <c r="E180" s="1" t="s">
        <v>63</v>
      </c>
      <c r="F180" s="1" t="str">
        <f ca="1">[1]装备明细!C181&amp;"图纸"</f>
        <v>绝旨空灵镰刀图纸</v>
      </c>
      <c r="G180" s="1" t="str">
        <f ca="1">[1]装备明细!$I181</f>
        <v>[237-287]攻击 +1个随机属性</v>
      </c>
      <c r="H180" s="1">
        <f t="shared" si="17"/>
        <v>100179</v>
      </c>
      <c r="I180" s="1">
        <v>1</v>
      </c>
      <c r="J180" s="1">
        <f>[1]装备明细!J181</f>
        <v>0</v>
      </c>
      <c r="K180" s="1">
        <f>[1]装备明细!K181</f>
        <v>2</v>
      </c>
      <c r="L180" s="1">
        <f>[1]装备明细!L181</f>
        <v>8</v>
      </c>
      <c r="M180" s="1">
        <v>6</v>
      </c>
      <c r="N180" s="1">
        <f>[1]装备明细!$F184</f>
        <v>1</v>
      </c>
      <c r="O180" s="1">
        <f>[1]装备明细!$E181</f>
        <v>2</v>
      </c>
      <c r="P180" s="1">
        <f t="shared" si="13"/>
        <v>2</v>
      </c>
      <c r="Q180" s="1">
        <f t="shared" si="14"/>
        <v>560</v>
      </c>
      <c r="R180" s="1">
        <f t="shared" si="15"/>
        <v>19</v>
      </c>
      <c r="S180" s="1">
        <f t="shared" si="16"/>
        <v>2</v>
      </c>
    </row>
    <row r="181" spans="1:19" x14ac:dyDescent="0.15">
      <c r="A181" s="1">
        <v>180</v>
      </c>
      <c r="B181" s="1">
        <v>0</v>
      </c>
      <c r="C181" s="1">
        <f>[1]装备明细!B182</f>
        <v>102090500</v>
      </c>
      <c r="D181" s="1">
        <f t="shared" si="12"/>
        <v>200180</v>
      </c>
      <c r="E181" s="1" t="s">
        <v>63</v>
      </c>
      <c r="F181" s="1" t="str">
        <f ca="1">[1]装备明细!C182&amp;"图纸"</f>
        <v>天工混乱镰刀图纸</v>
      </c>
      <c r="G181" s="1" t="str">
        <f ca="1">[1]装备明细!$I182</f>
        <v>[288-342]攻击 +1个随机属性</v>
      </c>
      <c r="H181" s="1">
        <f t="shared" si="17"/>
        <v>100180</v>
      </c>
      <c r="I181" s="1">
        <v>1</v>
      </c>
      <c r="J181" s="1">
        <f>[1]装备明细!J182</f>
        <v>0</v>
      </c>
      <c r="K181" s="1">
        <f>[1]装备明细!K182</f>
        <v>2</v>
      </c>
      <c r="L181" s="1">
        <f>[1]装备明细!L182</f>
        <v>9</v>
      </c>
      <c r="M181" s="1">
        <v>6</v>
      </c>
      <c r="N181" s="1">
        <f>[1]装备明细!$F185</f>
        <v>1</v>
      </c>
      <c r="O181" s="1">
        <f>[1]装备明细!$E182</f>
        <v>2</v>
      </c>
      <c r="P181" s="1">
        <f t="shared" si="13"/>
        <v>2</v>
      </c>
      <c r="Q181" s="1">
        <f t="shared" si="14"/>
        <v>580</v>
      </c>
      <c r="R181" s="1">
        <f t="shared" si="15"/>
        <v>19</v>
      </c>
      <c r="S181" s="1">
        <f t="shared" si="16"/>
        <v>2</v>
      </c>
    </row>
    <row r="182" spans="1:19" x14ac:dyDescent="0.15">
      <c r="A182" s="1">
        <v>181</v>
      </c>
      <c r="B182" s="1">
        <v>0</v>
      </c>
      <c r="C182" s="1">
        <f>[1]装备明细!B183</f>
        <v>102010600</v>
      </c>
      <c r="D182" s="1">
        <f t="shared" si="12"/>
        <v>200181</v>
      </c>
      <c r="E182" s="1" t="s">
        <v>63</v>
      </c>
      <c r="F182" s="1" t="str">
        <f ca="1">[1]装备明细!C183&amp;"图纸"</f>
        <v>学徒颓废法杖图纸</v>
      </c>
      <c r="G182" s="1" t="str">
        <f ca="1">[1]装备明细!$I183</f>
        <v>[1-21]攻击 +1个随机属性</v>
      </c>
      <c r="H182" s="1">
        <f t="shared" si="17"/>
        <v>100181</v>
      </c>
      <c r="I182" s="1">
        <v>1</v>
      </c>
      <c r="J182" s="1">
        <f>[1]装备明细!J183</f>
        <v>0</v>
      </c>
      <c r="K182" s="1">
        <f>[1]装备明细!K183</f>
        <v>2</v>
      </c>
      <c r="L182" s="1">
        <f>[1]装备明细!L183</f>
        <v>1</v>
      </c>
      <c r="M182" s="1">
        <v>6</v>
      </c>
      <c r="N182" s="1">
        <f>[1]装备明细!$F186</f>
        <v>1</v>
      </c>
      <c r="O182" s="1">
        <f>[1]装备明细!$E183</f>
        <v>2</v>
      </c>
      <c r="P182" s="1">
        <f t="shared" si="13"/>
        <v>2</v>
      </c>
      <c r="Q182" s="1">
        <f t="shared" si="14"/>
        <v>420</v>
      </c>
      <c r="R182" s="1">
        <f t="shared" si="15"/>
        <v>19</v>
      </c>
      <c r="S182" s="1">
        <f t="shared" si="16"/>
        <v>2</v>
      </c>
    </row>
    <row r="183" spans="1:19" x14ac:dyDescent="0.15">
      <c r="A183" s="1">
        <v>182</v>
      </c>
      <c r="B183" s="1">
        <v>0</v>
      </c>
      <c r="C183" s="1">
        <f>[1]装备明细!B184</f>
        <v>102020600</v>
      </c>
      <c r="D183" s="1">
        <f t="shared" si="12"/>
        <v>200182</v>
      </c>
      <c r="E183" s="1" t="s">
        <v>63</v>
      </c>
      <c r="F183" s="1" t="str">
        <f ca="1">[1]装备明细!C184&amp;"图纸"</f>
        <v>专家玄铁法杖图纸</v>
      </c>
      <c r="G183" s="1" t="str">
        <f ca="1">[1]装备明细!$I184</f>
        <v>[22-46]攻击 +1个随机属性</v>
      </c>
      <c r="H183" s="1">
        <f t="shared" si="17"/>
        <v>100182</v>
      </c>
      <c r="I183" s="1">
        <v>1</v>
      </c>
      <c r="J183" s="1">
        <f>[1]装备明细!J184</f>
        <v>0</v>
      </c>
      <c r="K183" s="1">
        <f>[1]装备明细!K184</f>
        <v>2</v>
      </c>
      <c r="L183" s="1">
        <f>[1]装备明细!L184</f>
        <v>2</v>
      </c>
      <c r="M183" s="1">
        <v>6</v>
      </c>
      <c r="N183" s="1">
        <f>[1]装备明细!$F187</f>
        <v>1</v>
      </c>
      <c r="O183" s="1">
        <f>[1]装备明细!$E184</f>
        <v>2</v>
      </c>
      <c r="P183" s="1">
        <f t="shared" si="13"/>
        <v>2</v>
      </c>
      <c r="Q183" s="1">
        <f t="shared" si="14"/>
        <v>440</v>
      </c>
      <c r="R183" s="1">
        <f t="shared" si="15"/>
        <v>19</v>
      </c>
      <c r="S183" s="1">
        <f t="shared" si="16"/>
        <v>2</v>
      </c>
    </row>
    <row r="184" spans="1:19" x14ac:dyDescent="0.15">
      <c r="A184" s="1">
        <v>183</v>
      </c>
      <c r="B184" s="1">
        <v>0</v>
      </c>
      <c r="C184" s="1">
        <f>[1]装备明细!B185</f>
        <v>102030600</v>
      </c>
      <c r="D184" s="1">
        <f t="shared" si="12"/>
        <v>200183</v>
      </c>
      <c r="E184" s="1" t="s">
        <v>63</v>
      </c>
      <c r="F184" s="1" t="str">
        <f ca="1">[1]装备明细!C185&amp;"图纸"</f>
        <v>大师水晶法杖图纸</v>
      </c>
      <c r="G184" s="1" t="str">
        <f ca="1">[1]装备明细!$I185</f>
        <v>[47-75]攻击 +1个随机属性</v>
      </c>
      <c r="H184" s="1">
        <f t="shared" si="17"/>
        <v>100183</v>
      </c>
      <c r="I184" s="1">
        <v>1</v>
      </c>
      <c r="J184" s="1">
        <f>[1]装备明细!J185</f>
        <v>0</v>
      </c>
      <c r="K184" s="1">
        <f>[1]装备明细!K185</f>
        <v>2</v>
      </c>
      <c r="L184" s="1">
        <f>[1]装备明细!L185</f>
        <v>3</v>
      </c>
      <c r="M184" s="1">
        <v>6</v>
      </c>
      <c r="N184" s="1">
        <f>[1]装备明细!$F188</f>
        <v>1</v>
      </c>
      <c r="O184" s="1">
        <f>[1]装备明细!$E185</f>
        <v>2</v>
      </c>
      <c r="P184" s="1">
        <f t="shared" si="13"/>
        <v>2</v>
      </c>
      <c r="Q184" s="1">
        <f t="shared" si="14"/>
        <v>460</v>
      </c>
      <c r="R184" s="1">
        <f t="shared" si="15"/>
        <v>19</v>
      </c>
      <c r="S184" s="1">
        <f t="shared" si="16"/>
        <v>2</v>
      </c>
    </row>
    <row r="185" spans="1:19" x14ac:dyDescent="0.15">
      <c r="A185" s="1">
        <v>184</v>
      </c>
      <c r="B185" s="1">
        <v>0</v>
      </c>
      <c r="C185" s="1">
        <f>[1]装备明细!B186</f>
        <v>102040600</v>
      </c>
      <c r="D185" s="1">
        <f t="shared" si="12"/>
        <v>200184</v>
      </c>
      <c r="E185" s="1" t="s">
        <v>63</v>
      </c>
      <c r="F185" s="1" t="str">
        <f ca="1">[1]装备明细!C186&amp;"图纸"</f>
        <v>宗师精钢法杖图纸</v>
      </c>
      <c r="G185" s="1" t="str">
        <f ca="1">[1]装备明细!$I186</f>
        <v>[76-109]攻击 +1个随机属性</v>
      </c>
      <c r="H185" s="1">
        <f t="shared" si="17"/>
        <v>100184</v>
      </c>
      <c r="I185" s="1">
        <v>1</v>
      </c>
      <c r="J185" s="1">
        <f>[1]装备明细!J186</f>
        <v>0</v>
      </c>
      <c r="K185" s="1">
        <f>[1]装备明细!K186</f>
        <v>2</v>
      </c>
      <c r="L185" s="1">
        <f>[1]装备明细!L186</f>
        <v>4</v>
      </c>
      <c r="M185" s="1">
        <v>6</v>
      </c>
      <c r="N185" s="1">
        <f>[1]装备明细!$F189</f>
        <v>1</v>
      </c>
      <c r="O185" s="1">
        <f>[1]装备明细!$E186</f>
        <v>2</v>
      </c>
      <c r="P185" s="1">
        <f t="shared" si="13"/>
        <v>2</v>
      </c>
      <c r="Q185" s="1">
        <f t="shared" si="14"/>
        <v>480</v>
      </c>
      <c r="R185" s="1">
        <f t="shared" si="15"/>
        <v>19</v>
      </c>
      <c r="S185" s="1">
        <f t="shared" si="16"/>
        <v>2</v>
      </c>
    </row>
    <row r="186" spans="1:19" x14ac:dyDescent="0.15">
      <c r="A186" s="1">
        <v>185</v>
      </c>
      <c r="B186" s="1">
        <v>0</v>
      </c>
      <c r="C186" s="1">
        <f>[1]装备明细!B187</f>
        <v>102050600</v>
      </c>
      <c r="D186" s="1">
        <f t="shared" si="12"/>
        <v>200185</v>
      </c>
      <c r="E186" s="1" t="s">
        <v>63</v>
      </c>
      <c r="F186" s="1" t="str">
        <f ca="1">[1]装备明细!C187&amp;"图纸"</f>
        <v>显赫白银法杖图纸</v>
      </c>
      <c r="G186" s="1" t="str">
        <f ca="1">[1]装备明细!$I187</f>
        <v>[110-148]攻击 +1个随机属性</v>
      </c>
      <c r="H186" s="1">
        <f t="shared" si="17"/>
        <v>100185</v>
      </c>
      <c r="I186" s="1">
        <v>1</v>
      </c>
      <c r="J186" s="1">
        <f>[1]装备明细!J187</f>
        <v>0</v>
      </c>
      <c r="K186" s="1">
        <f>[1]装备明细!K187</f>
        <v>2</v>
      </c>
      <c r="L186" s="1">
        <f>[1]装备明细!L187</f>
        <v>5</v>
      </c>
      <c r="M186" s="1">
        <v>6</v>
      </c>
      <c r="N186" s="1">
        <f>[1]装备明细!$F190</f>
        <v>1</v>
      </c>
      <c r="O186" s="1">
        <f>[1]装备明细!$E187</f>
        <v>2</v>
      </c>
      <c r="P186" s="1">
        <f t="shared" si="13"/>
        <v>2</v>
      </c>
      <c r="Q186" s="1">
        <f t="shared" si="14"/>
        <v>500</v>
      </c>
      <c r="R186" s="1">
        <f t="shared" si="15"/>
        <v>19</v>
      </c>
      <c r="S186" s="1">
        <f t="shared" si="16"/>
        <v>2</v>
      </c>
    </row>
    <row r="187" spans="1:19" x14ac:dyDescent="0.15">
      <c r="A187" s="1">
        <v>186</v>
      </c>
      <c r="B187" s="1">
        <v>0</v>
      </c>
      <c r="C187" s="1">
        <f>[1]装备明细!B188</f>
        <v>102060600</v>
      </c>
      <c r="D187" s="1">
        <f t="shared" si="12"/>
        <v>200186</v>
      </c>
      <c r="E187" s="1" t="s">
        <v>63</v>
      </c>
      <c r="F187" s="1" t="str">
        <f ca="1">[1]装备明细!C188&amp;"图纸"</f>
        <v>尊荣虚幻法杖图纸</v>
      </c>
      <c r="G187" s="1" t="str">
        <f ca="1">[1]装备明细!$I188</f>
        <v>[149-190]攻击 +1个随机属性</v>
      </c>
      <c r="H187" s="1">
        <f t="shared" si="17"/>
        <v>100186</v>
      </c>
      <c r="I187" s="1">
        <v>1</v>
      </c>
      <c r="J187" s="1">
        <f>[1]装备明细!J188</f>
        <v>0</v>
      </c>
      <c r="K187" s="1">
        <f>[1]装备明细!K188</f>
        <v>2</v>
      </c>
      <c r="L187" s="1">
        <f>[1]装备明细!L188</f>
        <v>6</v>
      </c>
      <c r="M187" s="1">
        <v>6</v>
      </c>
      <c r="N187" s="1">
        <f>[1]装备明细!$F191</f>
        <v>1</v>
      </c>
      <c r="O187" s="1">
        <f>[1]装备明细!$E188</f>
        <v>2</v>
      </c>
      <c r="P187" s="1">
        <f t="shared" si="13"/>
        <v>2</v>
      </c>
      <c r="Q187" s="1">
        <f t="shared" si="14"/>
        <v>520</v>
      </c>
      <c r="R187" s="1">
        <f t="shared" si="15"/>
        <v>19</v>
      </c>
      <c r="S187" s="1">
        <f t="shared" si="16"/>
        <v>2</v>
      </c>
    </row>
    <row r="188" spans="1:19" x14ac:dyDescent="0.15">
      <c r="A188" s="1">
        <v>187</v>
      </c>
      <c r="B188" s="1">
        <v>0</v>
      </c>
      <c r="C188" s="1">
        <f>[1]装备明细!B189</f>
        <v>102070600</v>
      </c>
      <c r="D188" s="1">
        <f t="shared" si="12"/>
        <v>200187</v>
      </c>
      <c r="E188" s="1" t="s">
        <v>63</v>
      </c>
      <c r="F188" s="1" t="str">
        <f ca="1">[1]装备明细!C189&amp;"图纸"</f>
        <v>至尊歌德法杖图纸</v>
      </c>
      <c r="G188" s="1" t="str">
        <f ca="1">[1]装备明细!$I189</f>
        <v>[191-236]攻击 +1个随机属性</v>
      </c>
      <c r="H188" s="1">
        <f t="shared" si="17"/>
        <v>100187</v>
      </c>
      <c r="I188" s="1">
        <v>1</v>
      </c>
      <c r="J188" s="1">
        <f>[1]装备明细!J189</f>
        <v>0</v>
      </c>
      <c r="K188" s="1">
        <f>[1]装备明细!K189</f>
        <v>2</v>
      </c>
      <c r="L188" s="1">
        <f>[1]装备明细!L189</f>
        <v>7</v>
      </c>
      <c r="M188" s="1">
        <v>6</v>
      </c>
      <c r="N188" s="1">
        <f>[1]装备明细!$F192</f>
        <v>1</v>
      </c>
      <c r="O188" s="1">
        <f>[1]装备明细!$E189</f>
        <v>2</v>
      </c>
      <c r="P188" s="1">
        <f t="shared" si="13"/>
        <v>2</v>
      </c>
      <c r="Q188" s="1">
        <f t="shared" si="14"/>
        <v>540</v>
      </c>
      <c r="R188" s="1">
        <f t="shared" si="15"/>
        <v>19</v>
      </c>
      <c r="S188" s="1">
        <f t="shared" si="16"/>
        <v>2</v>
      </c>
    </row>
    <row r="189" spans="1:19" x14ac:dyDescent="0.15">
      <c r="A189" s="1">
        <v>188</v>
      </c>
      <c r="B189" s="1">
        <v>0</v>
      </c>
      <c r="C189" s="1">
        <f>[1]装备明细!B190</f>
        <v>102080600</v>
      </c>
      <c r="D189" s="1">
        <f t="shared" si="12"/>
        <v>200188</v>
      </c>
      <c r="E189" s="1" t="s">
        <v>63</v>
      </c>
      <c r="F189" s="1" t="str">
        <f ca="1">[1]装备明细!C190&amp;"图纸"</f>
        <v>绝旨空灵法杖图纸</v>
      </c>
      <c r="G189" s="1" t="str">
        <f ca="1">[1]装备明细!$I190</f>
        <v>[237-287]攻击 +1个随机属性</v>
      </c>
      <c r="H189" s="1">
        <f t="shared" si="17"/>
        <v>100188</v>
      </c>
      <c r="I189" s="1">
        <v>1</v>
      </c>
      <c r="J189" s="1">
        <f>[1]装备明细!J190</f>
        <v>0</v>
      </c>
      <c r="K189" s="1">
        <f>[1]装备明细!K190</f>
        <v>2</v>
      </c>
      <c r="L189" s="1">
        <f>[1]装备明细!L190</f>
        <v>8</v>
      </c>
      <c r="M189" s="1">
        <v>6</v>
      </c>
      <c r="N189" s="1">
        <f>[1]装备明细!$F193</f>
        <v>1</v>
      </c>
      <c r="O189" s="1">
        <f>[1]装备明细!$E190</f>
        <v>2</v>
      </c>
      <c r="P189" s="1">
        <f t="shared" si="13"/>
        <v>2</v>
      </c>
      <c r="Q189" s="1">
        <f t="shared" si="14"/>
        <v>560</v>
      </c>
      <c r="R189" s="1">
        <f t="shared" si="15"/>
        <v>19</v>
      </c>
      <c r="S189" s="1">
        <f t="shared" si="16"/>
        <v>2</v>
      </c>
    </row>
    <row r="190" spans="1:19" x14ac:dyDescent="0.15">
      <c r="A190" s="1">
        <v>189</v>
      </c>
      <c r="B190" s="1">
        <v>0</v>
      </c>
      <c r="C190" s="1">
        <f>[1]装备明细!B191</f>
        <v>102090600</v>
      </c>
      <c r="D190" s="1">
        <f t="shared" si="12"/>
        <v>200189</v>
      </c>
      <c r="E190" s="1" t="s">
        <v>63</v>
      </c>
      <c r="F190" s="1" t="str">
        <f ca="1">[1]装备明细!C191&amp;"图纸"</f>
        <v>天工混乱法杖图纸</v>
      </c>
      <c r="G190" s="1" t="str">
        <f ca="1">[1]装备明细!$I191</f>
        <v>[288-342]攻击 +1个随机属性</v>
      </c>
      <c r="H190" s="1">
        <f t="shared" si="17"/>
        <v>100189</v>
      </c>
      <c r="I190" s="1">
        <v>1</v>
      </c>
      <c r="J190" s="1">
        <f>[1]装备明细!J191</f>
        <v>0</v>
      </c>
      <c r="K190" s="1">
        <f>[1]装备明细!K191</f>
        <v>2</v>
      </c>
      <c r="L190" s="1">
        <f>[1]装备明细!L191</f>
        <v>9</v>
      </c>
      <c r="M190" s="1">
        <v>6</v>
      </c>
      <c r="N190" s="1">
        <f>[1]装备明细!$F194</f>
        <v>1</v>
      </c>
      <c r="O190" s="1">
        <f>[1]装备明细!$E191</f>
        <v>2</v>
      </c>
      <c r="P190" s="1">
        <f t="shared" si="13"/>
        <v>2</v>
      </c>
      <c r="Q190" s="1">
        <f t="shared" si="14"/>
        <v>580</v>
      </c>
      <c r="R190" s="1">
        <f t="shared" si="15"/>
        <v>19</v>
      </c>
      <c r="S190" s="1">
        <f t="shared" si="16"/>
        <v>2</v>
      </c>
    </row>
    <row r="191" spans="1:19" x14ac:dyDescent="0.15">
      <c r="A191" s="1">
        <v>190</v>
      </c>
      <c r="B191" s="1">
        <v>0</v>
      </c>
      <c r="C191" s="1">
        <f>[1]装备明细!B192</f>
        <v>102010700</v>
      </c>
      <c r="D191" s="1">
        <f t="shared" si="12"/>
        <v>200190</v>
      </c>
      <c r="E191" s="1" t="s">
        <v>63</v>
      </c>
      <c r="F191" s="1" t="str">
        <f ca="1">[1]装备明细!C192&amp;"图纸"</f>
        <v>学徒颓废弓图纸</v>
      </c>
      <c r="G191" s="1" t="str">
        <f ca="1">[1]装备明细!$I192</f>
        <v>[1-21]攻击 +1个随机属性</v>
      </c>
      <c r="H191" s="1">
        <f t="shared" si="17"/>
        <v>100190</v>
      </c>
      <c r="I191" s="1">
        <v>1</v>
      </c>
      <c r="J191" s="1">
        <f>[1]装备明细!J192</f>
        <v>0</v>
      </c>
      <c r="K191" s="1">
        <f>[1]装备明细!K192</f>
        <v>2</v>
      </c>
      <c r="L191" s="1">
        <f>[1]装备明细!L192</f>
        <v>1</v>
      </c>
      <c r="M191" s="1">
        <v>6</v>
      </c>
      <c r="N191" s="1">
        <f>[1]装备明细!$F195</f>
        <v>1</v>
      </c>
      <c r="O191" s="1">
        <f>[1]装备明细!$E192</f>
        <v>2</v>
      </c>
      <c r="P191" s="1">
        <f t="shared" si="13"/>
        <v>2</v>
      </c>
      <c r="Q191" s="1">
        <f t="shared" si="14"/>
        <v>420</v>
      </c>
      <c r="R191" s="1">
        <f t="shared" si="15"/>
        <v>19</v>
      </c>
      <c r="S191" s="1">
        <f t="shared" si="16"/>
        <v>2</v>
      </c>
    </row>
    <row r="192" spans="1:19" x14ac:dyDescent="0.15">
      <c r="A192" s="1">
        <v>191</v>
      </c>
      <c r="B192" s="1">
        <v>0</v>
      </c>
      <c r="C192" s="1">
        <f>[1]装备明细!B193</f>
        <v>102020700</v>
      </c>
      <c r="D192" s="1">
        <f t="shared" si="12"/>
        <v>200191</v>
      </c>
      <c r="E192" s="1" t="s">
        <v>63</v>
      </c>
      <c r="F192" s="1" t="str">
        <f ca="1">[1]装备明细!C193&amp;"图纸"</f>
        <v>专家玄铁弓图纸</v>
      </c>
      <c r="G192" s="1" t="str">
        <f ca="1">[1]装备明细!$I193</f>
        <v>[22-46]攻击 +1个随机属性</v>
      </c>
      <c r="H192" s="1">
        <f t="shared" si="17"/>
        <v>100191</v>
      </c>
      <c r="I192" s="1">
        <v>1</v>
      </c>
      <c r="J192" s="1">
        <f>[1]装备明细!J193</f>
        <v>0</v>
      </c>
      <c r="K192" s="1">
        <f>[1]装备明细!K193</f>
        <v>2</v>
      </c>
      <c r="L192" s="1">
        <f>[1]装备明细!L193</f>
        <v>2</v>
      </c>
      <c r="M192" s="1">
        <v>6</v>
      </c>
      <c r="N192" s="1">
        <f>[1]装备明细!$F196</f>
        <v>1</v>
      </c>
      <c r="O192" s="1">
        <f>[1]装备明细!$E193</f>
        <v>2</v>
      </c>
      <c r="P192" s="1">
        <f t="shared" si="13"/>
        <v>2</v>
      </c>
      <c r="Q192" s="1">
        <f t="shared" si="14"/>
        <v>440</v>
      </c>
      <c r="R192" s="1">
        <f t="shared" si="15"/>
        <v>19</v>
      </c>
      <c r="S192" s="1">
        <f t="shared" si="16"/>
        <v>2</v>
      </c>
    </row>
    <row r="193" spans="1:19" x14ac:dyDescent="0.15">
      <c r="A193" s="1">
        <v>192</v>
      </c>
      <c r="B193" s="1">
        <v>0</v>
      </c>
      <c r="C193" s="1">
        <f>[1]装备明细!B194</f>
        <v>102030700</v>
      </c>
      <c r="D193" s="1">
        <f t="shared" si="12"/>
        <v>200192</v>
      </c>
      <c r="E193" s="1" t="s">
        <v>63</v>
      </c>
      <c r="F193" s="1" t="str">
        <f ca="1">[1]装备明细!C194&amp;"图纸"</f>
        <v>大师水晶弓图纸</v>
      </c>
      <c r="G193" s="1" t="str">
        <f ca="1">[1]装备明细!$I194</f>
        <v>[47-75]攻击 +1个随机属性</v>
      </c>
      <c r="H193" s="1">
        <f t="shared" si="17"/>
        <v>100192</v>
      </c>
      <c r="I193" s="1">
        <v>1</v>
      </c>
      <c r="J193" s="1">
        <f>[1]装备明细!J194</f>
        <v>0</v>
      </c>
      <c r="K193" s="1">
        <f>[1]装备明细!K194</f>
        <v>2</v>
      </c>
      <c r="L193" s="1">
        <f>[1]装备明细!L194</f>
        <v>3</v>
      </c>
      <c r="M193" s="1">
        <v>6</v>
      </c>
      <c r="N193" s="1">
        <f>[1]装备明细!$F197</f>
        <v>1</v>
      </c>
      <c r="O193" s="1">
        <f>[1]装备明细!$E194</f>
        <v>2</v>
      </c>
      <c r="P193" s="1">
        <f t="shared" si="13"/>
        <v>2</v>
      </c>
      <c r="Q193" s="1">
        <f t="shared" si="14"/>
        <v>460</v>
      </c>
      <c r="R193" s="1">
        <f t="shared" si="15"/>
        <v>19</v>
      </c>
      <c r="S193" s="1">
        <f t="shared" si="16"/>
        <v>2</v>
      </c>
    </row>
    <row r="194" spans="1:19" x14ac:dyDescent="0.15">
      <c r="A194" s="1">
        <v>193</v>
      </c>
      <c r="B194" s="1">
        <v>0</v>
      </c>
      <c r="C194" s="1">
        <f>[1]装备明细!B195</f>
        <v>102040700</v>
      </c>
      <c r="D194" s="1">
        <f t="shared" si="12"/>
        <v>200193</v>
      </c>
      <c r="E194" s="1" t="s">
        <v>63</v>
      </c>
      <c r="F194" s="1" t="str">
        <f ca="1">[1]装备明细!C195&amp;"图纸"</f>
        <v>宗师精钢弓图纸</v>
      </c>
      <c r="G194" s="1" t="str">
        <f ca="1">[1]装备明细!$I195</f>
        <v>[76-109]攻击 +1个随机属性</v>
      </c>
      <c r="H194" s="1">
        <f t="shared" si="17"/>
        <v>100193</v>
      </c>
      <c r="I194" s="1">
        <v>1</v>
      </c>
      <c r="J194" s="1">
        <f>[1]装备明细!J195</f>
        <v>0</v>
      </c>
      <c r="K194" s="1">
        <f>[1]装备明细!K195</f>
        <v>2</v>
      </c>
      <c r="L194" s="1">
        <f>[1]装备明细!L195</f>
        <v>4</v>
      </c>
      <c r="M194" s="1">
        <v>6</v>
      </c>
      <c r="N194" s="1">
        <f>[1]装备明细!$F198</f>
        <v>1</v>
      </c>
      <c r="O194" s="1">
        <f>[1]装备明细!$E195</f>
        <v>2</v>
      </c>
      <c r="P194" s="1">
        <f t="shared" si="13"/>
        <v>2</v>
      </c>
      <c r="Q194" s="1">
        <f t="shared" si="14"/>
        <v>480</v>
      </c>
      <c r="R194" s="1">
        <f t="shared" si="15"/>
        <v>19</v>
      </c>
      <c r="S194" s="1">
        <f t="shared" si="16"/>
        <v>2</v>
      </c>
    </row>
    <row r="195" spans="1:19" x14ac:dyDescent="0.15">
      <c r="A195" s="1">
        <v>194</v>
      </c>
      <c r="B195" s="1">
        <v>0</v>
      </c>
      <c r="C195" s="1">
        <f>[1]装备明细!B196</f>
        <v>102050700</v>
      </c>
      <c r="D195" s="1">
        <f t="shared" ref="D195:D258" si="18">H195+100000</f>
        <v>200194</v>
      </c>
      <c r="E195" s="1" t="s">
        <v>63</v>
      </c>
      <c r="F195" s="1" t="str">
        <f ca="1">[1]装备明细!C196&amp;"图纸"</f>
        <v>显赫白银弓图纸</v>
      </c>
      <c r="G195" s="1" t="str">
        <f ca="1">[1]装备明细!$I196</f>
        <v>[110-148]攻击 +1个随机属性</v>
      </c>
      <c r="H195" s="1">
        <f t="shared" si="17"/>
        <v>100194</v>
      </c>
      <c r="I195" s="1">
        <v>1</v>
      </c>
      <c r="J195" s="1">
        <f>[1]装备明细!J196</f>
        <v>0</v>
      </c>
      <c r="K195" s="1">
        <f>[1]装备明细!K196</f>
        <v>2</v>
      </c>
      <c r="L195" s="1">
        <f>[1]装备明细!L196</f>
        <v>5</v>
      </c>
      <c r="M195" s="1">
        <v>6</v>
      </c>
      <c r="N195" s="1">
        <f>[1]装备明细!$F199</f>
        <v>1</v>
      </c>
      <c r="O195" s="1">
        <f>[1]装备明细!$E196</f>
        <v>2</v>
      </c>
      <c r="P195" s="1">
        <f t="shared" ref="P195:P258" si="19">O195</f>
        <v>2</v>
      </c>
      <c r="Q195" s="1">
        <f t="shared" ref="Q195:Q258" si="20">O195*200+L195*20</f>
        <v>500</v>
      </c>
      <c r="R195" s="1">
        <f t="shared" ref="R195:R258" si="21">IF(--MID(C195,1,1)=1,IF(S195=1,2,19),IF(S195=1,2,14))</f>
        <v>19</v>
      </c>
      <c r="S195" s="1">
        <f t="shared" ref="S195:S258" si="22">--MID(C195,2,2)</f>
        <v>2</v>
      </c>
    </row>
    <row r="196" spans="1:19" x14ac:dyDescent="0.15">
      <c r="A196" s="1">
        <v>195</v>
      </c>
      <c r="B196" s="1">
        <v>0</v>
      </c>
      <c r="C196" s="1">
        <f>[1]装备明细!B197</f>
        <v>102060700</v>
      </c>
      <c r="D196" s="1">
        <f t="shared" si="18"/>
        <v>200195</v>
      </c>
      <c r="E196" s="1" t="s">
        <v>63</v>
      </c>
      <c r="F196" s="1" t="str">
        <f ca="1">[1]装备明细!C197&amp;"图纸"</f>
        <v>尊荣虚幻弓图纸</v>
      </c>
      <c r="G196" s="1" t="str">
        <f ca="1">[1]装备明细!$I197</f>
        <v>[149-190]攻击 +1个随机属性</v>
      </c>
      <c r="H196" s="1">
        <f t="shared" ref="H196:H259" si="23">H195+1</f>
        <v>100195</v>
      </c>
      <c r="I196" s="1">
        <v>1</v>
      </c>
      <c r="J196" s="1">
        <f>[1]装备明细!J197</f>
        <v>0</v>
      </c>
      <c r="K196" s="1">
        <f>[1]装备明细!K197</f>
        <v>2</v>
      </c>
      <c r="L196" s="1">
        <f>[1]装备明细!L197</f>
        <v>6</v>
      </c>
      <c r="M196" s="1">
        <v>6</v>
      </c>
      <c r="N196" s="1">
        <f>[1]装备明细!$F200</f>
        <v>1</v>
      </c>
      <c r="O196" s="1">
        <f>[1]装备明细!$E197</f>
        <v>2</v>
      </c>
      <c r="P196" s="1">
        <f t="shared" si="19"/>
        <v>2</v>
      </c>
      <c r="Q196" s="1">
        <f t="shared" si="20"/>
        <v>520</v>
      </c>
      <c r="R196" s="1">
        <f t="shared" si="21"/>
        <v>19</v>
      </c>
      <c r="S196" s="1">
        <f t="shared" si="22"/>
        <v>2</v>
      </c>
    </row>
    <row r="197" spans="1:19" x14ac:dyDescent="0.15">
      <c r="A197" s="1">
        <v>196</v>
      </c>
      <c r="B197" s="1">
        <v>0</v>
      </c>
      <c r="C197" s="1">
        <f>[1]装备明细!B198</f>
        <v>102070700</v>
      </c>
      <c r="D197" s="1">
        <f t="shared" si="18"/>
        <v>200196</v>
      </c>
      <c r="E197" s="1" t="s">
        <v>63</v>
      </c>
      <c r="F197" s="1" t="str">
        <f ca="1">[1]装备明细!C198&amp;"图纸"</f>
        <v>至尊歌德弓图纸</v>
      </c>
      <c r="G197" s="1" t="str">
        <f ca="1">[1]装备明细!$I198</f>
        <v>[191-236]攻击 +1个随机属性</v>
      </c>
      <c r="H197" s="1">
        <f t="shared" si="23"/>
        <v>100196</v>
      </c>
      <c r="I197" s="1">
        <v>1</v>
      </c>
      <c r="J197" s="1">
        <f>[1]装备明细!J198</f>
        <v>0</v>
      </c>
      <c r="K197" s="1">
        <f>[1]装备明细!K198</f>
        <v>2</v>
      </c>
      <c r="L197" s="1">
        <f>[1]装备明细!L198</f>
        <v>7</v>
      </c>
      <c r="M197" s="1">
        <v>6</v>
      </c>
      <c r="N197" s="1">
        <f>[1]装备明细!$F201</f>
        <v>1</v>
      </c>
      <c r="O197" s="1">
        <f>[1]装备明细!$E198</f>
        <v>2</v>
      </c>
      <c r="P197" s="1">
        <f t="shared" si="19"/>
        <v>2</v>
      </c>
      <c r="Q197" s="1">
        <f t="shared" si="20"/>
        <v>540</v>
      </c>
      <c r="R197" s="1">
        <f t="shared" si="21"/>
        <v>19</v>
      </c>
      <c r="S197" s="1">
        <f t="shared" si="22"/>
        <v>2</v>
      </c>
    </row>
    <row r="198" spans="1:19" x14ac:dyDescent="0.15">
      <c r="A198" s="1">
        <v>197</v>
      </c>
      <c r="B198" s="1">
        <v>0</v>
      </c>
      <c r="C198" s="1">
        <f>[1]装备明细!B199</f>
        <v>102080700</v>
      </c>
      <c r="D198" s="1">
        <f t="shared" si="18"/>
        <v>200197</v>
      </c>
      <c r="E198" s="1" t="s">
        <v>63</v>
      </c>
      <c r="F198" s="1" t="str">
        <f ca="1">[1]装备明细!C199&amp;"图纸"</f>
        <v>绝旨空灵弓图纸</v>
      </c>
      <c r="G198" s="1" t="str">
        <f ca="1">[1]装备明细!$I199</f>
        <v>[237-287]攻击 +1个随机属性</v>
      </c>
      <c r="H198" s="1">
        <f t="shared" si="23"/>
        <v>100197</v>
      </c>
      <c r="I198" s="1">
        <v>1</v>
      </c>
      <c r="J198" s="1">
        <f>[1]装备明细!J199</f>
        <v>0</v>
      </c>
      <c r="K198" s="1">
        <f>[1]装备明细!K199</f>
        <v>2</v>
      </c>
      <c r="L198" s="1">
        <f>[1]装备明细!L199</f>
        <v>8</v>
      </c>
      <c r="M198" s="1">
        <v>6</v>
      </c>
      <c r="N198" s="1">
        <f>[1]装备明细!$F202</f>
        <v>1</v>
      </c>
      <c r="O198" s="1">
        <f>[1]装备明细!$E199</f>
        <v>2</v>
      </c>
      <c r="P198" s="1">
        <f t="shared" si="19"/>
        <v>2</v>
      </c>
      <c r="Q198" s="1">
        <f t="shared" si="20"/>
        <v>560</v>
      </c>
      <c r="R198" s="1">
        <f t="shared" si="21"/>
        <v>19</v>
      </c>
      <c r="S198" s="1">
        <f t="shared" si="22"/>
        <v>2</v>
      </c>
    </row>
    <row r="199" spans="1:19" x14ac:dyDescent="0.15">
      <c r="A199" s="1">
        <v>198</v>
      </c>
      <c r="B199" s="1">
        <v>0</v>
      </c>
      <c r="C199" s="1">
        <f>[1]装备明细!B200</f>
        <v>102090700</v>
      </c>
      <c r="D199" s="1">
        <f t="shared" si="18"/>
        <v>200198</v>
      </c>
      <c r="E199" s="1" t="s">
        <v>63</v>
      </c>
      <c r="F199" s="1" t="str">
        <f ca="1">[1]装备明细!C200&amp;"图纸"</f>
        <v>天工混乱弓图纸</v>
      </c>
      <c r="G199" s="1" t="str">
        <f ca="1">[1]装备明细!$I200</f>
        <v>[288-342]攻击 +1个随机属性</v>
      </c>
      <c r="H199" s="1">
        <f t="shared" si="23"/>
        <v>100198</v>
      </c>
      <c r="I199" s="1">
        <v>1</v>
      </c>
      <c r="J199" s="1">
        <f>[1]装备明细!J200</f>
        <v>0</v>
      </c>
      <c r="K199" s="1">
        <f>[1]装备明细!K200</f>
        <v>2</v>
      </c>
      <c r="L199" s="1">
        <f>[1]装备明细!L200</f>
        <v>9</v>
      </c>
      <c r="M199" s="1">
        <v>6</v>
      </c>
      <c r="N199" s="1">
        <f>[1]装备明细!$F203</f>
        <v>1</v>
      </c>
      <c r="O199" s="1">
        <f>[1]装备明细!$E200</f>
        <v>2</v>
      </c>
      <c r="P199" s="1">
        <f t="shared" si="19"/>
        <v>2</v>
      </c>
      <c r="Q199" s="1">
        <f t="shared" si="20"/>
        <v>580</v>
      </c>
      <c r="R199" s="1">
        <f t="shared" si="21"/>
        <v>19</v>
      </c>
      <c r="S199" s="1">
        <f t="shared" si="22"/>
        <v>2</v>
      </c>
    </row>
    <row r="200" spans="1:19" x14ac:dyDescent="0.15">
      <c r="A200" s="1">
        <v>199</v>
      </c>
      <c r="B200" s="1">
        <v>0</v>
      </c>
      <c r="C200" s="1">
        <f>[1]装备明细!B201</f>
        <v>102010800</v>
      </c>
      <c r="D200" s="1">
        <f t="shared" si="18"/>
        <v>200199</v>
      </c>
      <c r="E200" s="1" t="s">
        <v>63</v>
      </c>
      <c r="F200" s="1" t="str">
        <f ca="1">[1]装备明细!C201&amp;"图纸"</f>
        <v>学徒颓废烟斗图纸</v>
      </c>
      <c r="G200" s="1" t="str">
        <f ca="1">[1]装备明细!$I201</f>
        <v>[1-21]攻击 +1个随机属性</v>
      </c>
      <c r="H200" s="1">
        <f t="shared" si="23"/>
        <v>100199</v>
      </c>
      <c r="I200" s="1">
        <v>1</v>
      </c>
      <c r="J200" s="1">
        <f>[1]装备明细!J201</f>
        <v>0</v>
      </c>
      <c r="K200" s="1">
        <f>[1]装备明细!K201</f>
        <v>2</v>
      </c>
      <c r="L200" s="1">
        <f>[1]装备明细!L201</f>
        <v>1</v>
      </c>
      <c r="M200" s="1">
        <v>6</v>
      </c>
      <c r="N200" s="1">
        <f>[1]装备明细!$F204</f>
        <v>1</v>
      </c>
      <c r="O200" s="1">
        <f>[1]装备明细!$E201</f>
        <v>2</v>
      </c>
      <c r="P200" s="1">
        <f t="shared" si="19"/>
        <v>2</v>
      </c>
      <c r="Q200" s="1">
        <f t="shared" si="20"/>
        <v>420</v>
      </c>
      <c r="R200" s="1">
        <f t="shared" si="21"/>
        <v>19</v>
      </c>
      <c r="S200" s="1">
        <f t="shared" si="22"/>
        <v>2</v>
      </c>
    </row>
    <row r="201" spans="1:19" x14ac:dyDescent="0.15">
      <c r="A201" s="1">
        <v>200</v>
      </c>
      <c r="B201" s="1">
        <v>0</v>
      </c>
      <c r="C201" s="1">
        <f>[1]装备明细!B202</f>
        <v>102020800</v>
      </c>
      <c r="D201" s="1">
        <f t="shared" si="18"/>
        <v>200200</v>
      </c>
      <c r="E201" s="1" t="s">
        <v>63</v>
      </c>
      <c r="F201" s="1" t="str">
        <f ca="1">[1]装备明细!C202&amp;"图纸"</f>
        <v>专家玄铁烟斗图纸</v>
      </c>
      <c r="G201" s="1" t="str">
        <f ca="1">[1]装备明细!$I202</f>
        <v>[22-46]攻击 +1个随机属性</v>
      </c>
      <c r="H201" s="1">
        <f t="shared" si="23"/>
        <v>100200</v>
      </c>
      <c r="I201" s="1">
        <v>1</v>
      </c>
      <c r="J201" s="1">
        <f>[1]装备明细!J202</f>
        <v>0</v>
      </c>
      <c r="K201" s="1">
        <f>[1]装备明细!K202</f>
        <v>2</v>
      </c>
      <c r="L201" s="1">
        <f>[1]装备明细!L202</f>
        <v>2</v>
      </c>
      <c r="M201" s="1">
        <v>6</v>
      </c>
      <c r="N201" s="1">
        <f>[1]装备明细!$F205</f>
        <v>1</v>
      </c>
      <c r="O201" s="1">
        <f>[1]装备明细!$E202</f>
        <v>2</v>
      </c>
      <c r="P201" s="1">
        <f t="shared" si="19"/>
        <v>2</v>
      </c>
      <c r="Q201" s="1">
        <f t="shared" si="20"/>
        <v>440</v>
      </c>
      <c r="R201" s="1">
        <f t="shared" si="21"/>
        <v>19</v>
      </c>
      <c r="S201" s="1">
        <f t="shared" si="22"/>
        <v>2</v>
      </c>
    </row>
    <row r="202" spans="1:19" x14ac:dyDescent="0.15">
      <c r="A202" s="1">
        <v>201</v>
      </c>
      <c r="B202" s="1">
        <v>0</v>
      </c>
      <c r="C202" s="1">
        <f>[1]装备明细!B203</f>
        <v>102030800</v>
      </c>
      <c r="D202" s="1">
        <f t="shared" si="18"/>
        <v>200201</v>
      </c>
      <c r="E202" s="1" t="s">
        <v>63</v>
      </c>
      <c r="F202" s="1" t="str">
        <f ca="1">[1]装备明细!C203&amp;"图纸"</f>
        <v>大师水晶烟斗图纸</v>
      </c>
      <c r="G202" s="1" t="str">
        <f ca="1">[1]装备明细!$I203</f>
        <v>[47-75]攻击 +1个随机属性</v>
      </c>
      <c r="H202" s="1">
        <f t="shared" si="23"/>
        <v>100201</v>
      </c>
      <c r="I202" s="1">
        <v>1</v>
      </c>
      <c r="J202" s="1">
        <f>[1]装备明细!J203</f>
        <v>0</v>
      </c>
      <c r="K202" s="1">
        <f>[1]装备明细!K203</f>
        <v>2</v>
      </c>
      <c r="L202" s="1">
        <f>[1]装备明细!L203</f>
        <v>3</v>
      </c>
      <c r="M202" s="1">
        <v>6</v>
      </c>
      <c r="N202" s="1">
        <f>[1]装备明细!$F206</f>
        <v>1</v>
      </c>
      <c r="O202" s="1">
        <f>[1]装备明细!$E203</f>
        <v>2</v>
      </c>
      <c r="P202" s="1">
        <f t="shared" si="19"/>
        <v>2</v>
      </c>
      <c r="Q202" s="1">
        <f t="shared" si="20"/>
        <v>460</v>
      </c>
      <c r="R202" s="1">
        <f t="shared" si="21"/>
        <v>19</v>
      </c>
      <c r="S202" s="1">
        <f t="shared" si="22"/>
        <v>2</v>
      </c>
    </row>
    <row r="203" spans="1:19" x14ac:dyDescent="0.15">
      <c r="A203" s="1">
        <v>202</v>
      </c>
      <c r="B203" s="1">
        <v>0</v>
      </c>
      <c r="C203" s="1">
        <f>[1]装备明细!B204</f>
        <v>102040800</v>
      </c>
      <c r="D203" s="1">
        <f t="shared" si="18"/>
        <v>200202</v>
      </c>
      <c r="E203" s="1" t="s">
        <v>63</v>
      </c>
      <c r="F203" s="1" t="str">
        <f ca="1">[1]装备明细!C204&amp;"图纸"</f>
        <v>宗师精钢烟斗图纸</v>
      </c>
      <c r="G203" s="1" t="str">
        <f ca="1">[1]装备明细!$I204</f>
        <v>[76-109]攻击 +1个随机属性</v>
      </c>
      <c r="H203" s="1">
        <f t="shared" si="23"/>
        <v>100202</v>
      </c>
      <c r="I203" s="1">
        <v>1</v>
      </c>
      <c r="J203" s="1">
        <f>[1]装备明细!J204</f>
        <v>0</v>
      </c>
      <c r="K203" s="1">
        <f>[1]装备明细!K204</f>
        <v>2</v>
      </c>
      <c r="L203" s="1">
        <f>[1]装备明细!L204</f>
        <v>4</v>
      </c>
      <c r="M203" s="1">
        <v>6</v>
      </c>
      <c r="N203" s="1">
        <f>[1]装备明细!$F207</f>
        <v>1</v>
      </c>
      <c r="O203" s="1">
        <f>[1]装备明细!$E204</f>
        <v>2</v>
      </c>
      <c r="P203" s="1">
        <f t="shared" si="19"/>
        <v>2</v>
      </c>
      <c r="Q203" s="1">
        <f t="shared" si="20"/>
        <v>480</v>
      </c>
      <c r="R203" s="1">
        <f t="shared" si="21"/>
        <v>19</v>
      </c>
      <c r="S203" s="1">
        <f t="shared" si="22"/>
        <v>2</v>
      </c>
    </row>
    <row r="204" spans="1:19" x14ac:dyDescent="0.15">
      <c r="A204" s="1">
        <v>203</v>
      </c>
      <c r="B204" s="1">
        <v>0</v>
      </c>
      <c r="C204" s="1">
        <f>[1]装备明细!B205</f>
        <v>102050800</v>
      </c>
      <c r="D204" s="1">
        <f t="shared" si="18"/>
        <v>200203</v>
      </c>
      <c r="E204" s="1" t="s">
        <v>63</v>
      </c>
      <c r="F204" s="1" t="str">
        <f ca="1">[1]装备明细!C205&amp;"图纸"</f>
        <v>显赫白银烟斗图纸</v>
      </c>
      <c r="G204" s="1" t="str">
        <f ca="1">[1]装备明细!$I205</f>
        <v>[110-148]攻击 +1个随机属性</v>
      </c>
      <c r="H204" s="1">
        <f t="shared" si="23"/>
        <v>100203</v>
      </c>
      <c r="I204" s="1">
        <v>1</v>
      </c>
      <c r="J204" s="1">
        <f>[1]装备明细!J205</f>
        <v>0</v>
      </c>
      <c r="K204" s="1">
        <f>[1]装备明细!K205</f>
        <v>2</v>
      </c>
      <c r="L204" s="1">
        <f>[1]装备明细!L205</f>
        <v>5</v>
      </c>
      <c r="M204" s="1">
        <v>6</v>
      </c>
      <c r="N204" s="1">
        <f>[1]装备明细!$F208</f>
        <v>1</v>
      </c>
      <c r="O204" s="1">
        <f>[1]装备明细!$E205</f>
        <v>2</v>
      </c>
      <c r="P204" s="1">
        <f t="shared" si="19"/>
        <v>2</v>
      </c>
      <c r="Q204" s="1">
        <f t="shared" si="20"/>
        <v>500</v>
      </c>
      <c r="R204" s="1">
        <f t="shared" si="21"/>
        <v>19</v>
      </c>
      <c r="S204" s="1">
        <f t="shared" si="22"/>
        <v>2</v>
      </c>
    </row>
    <row r="205" spans="1:19" x14ac:dyDescent="0.15">
      <c r="A205" s="1">
        <v>204</v>
      </c>
      <c r="B205" s="1">
        <v>0</v>
      </c>
      <c r="C205" s="1">
        <f>[1]装备明细!B206</f>
        <v>102060800</v>
      </c>
      <c r="D205" s="1">
        <f t="shared" si="18"/>
        <v>200204</v>
      </c>
      <c r="E205" s="1" t="s">
        <v>63</v>
      </c>
      <c r="F205" s="1" t="str">
        <f ca="1">[1]装备明细!C206&amp;"图纸"</f>
        <v>尊荣虚幻烟斗图纸</v>
      </c>
      <c r="G205" s="1" t="str">
        <f ca="1">[1]装备明细!$I206</f>
        <v>[149-190]攻击 +1个随机属性</v>
      </c>
      <c r="H205" s="1">
        <f t="shared" si="23"/>
        <v>100204</v>
      </c>
      <c r="I205" s="1">
        <v>1</v>
      </c>
      <c r="J205" s="1">
        <f>[1]装备明细!J206</f>
        <v>0</v>
      </c>
      <c r="K205" s="1">
        <f>[1]装备明细!K206</f>
        <v>2</v>
      </c>
      <c r="L205" s="1">
        <f>[1]装备明细!L206</f>
        <v>6</v>
      </c>
      <c r="M205" s="1">
        <v>6</v>
      </c>
      <c r="N205" s="1">
        <f>[1]装备明细!$F209</f>
        <v>1</v>
      </c>
      <c r="O205" s="1">
        <f>[1]装备明细!$E206</f>
        <v>2</v>
      </c>
      <c r="P205" s="1">
        <f t="shared" si="19"/>
        <v>2</v>
      </c>
      <c r="Q205" s="1">
        <f t="shared" si="20"/>
        <v>520</v>
      </c>
      <c r="R205" s="1">
        <f t="shared" si="21"/>
        <v>19</v>
      </c>
      <c r="S205" s="1">
        <f t="shared" si="22"/>
        <v>2</v>
      </c>
    </row>
    <row r="206" spans="1:19" x14ac:dyDescent="0.15">
      <c r="A206" s="1">
        <v>205</v>
      </c>
      <c r="B206" s="1">
        <v>0</v>
      </c>
      <c r="C206" s="1">
        <f>[1]装备明细!B207</f>
        <v>102070800</v>
      </c>
      <c r="D206" s="1">
        <f t="shared" si="18"/>
        <v>200205</v>
      </c>
      <c r="E206" s="1" t="s">
        <v>63</v>
      </c>
      <c r="F206" s="1" t="str">
        <f ca="1">[1]装备明细!C207&amp;"图纸"</f>
        <v>至尊歌德烟斗图纸</v>
      </c>
      <c r="G206" s="1" t="str">
        <f ca="1">[1]装备明细!$I207</f>
        <v>[191-236]攻击 +1个随机属性</v>
      </c>
      <c r="H206" s="1">
        <f t="shared" si="23"/>
        <v>100205</v>
      </c>
      <c r="I206" s="1">
        <v>1</v>
      </c>
      <c r="J206" s="1">
        <f>[1]装备明细!J207</f>
        <v>0</v>
      </c>
      <c r="K206" s="1">
        <f>[1]装备明细!K207</f>
        <v>2</v>
      </c>
      <c r="L206" s="1">
        <f>[1]装备明细!L207</f>
        <v>7</v>
      </c>
      <c r="M206" s="1">
        <v>6</v>
      </c>
      <c r="N206" s="1">
        <f>[1]装备明细!$F210</f>
        <v>1</v>
      </c>
      <c r="O206" s="1">
        <f>[1]装备明细!$E207</f>
        <v>2</v>
      </c>
      <c r="P206" s="1">
        <f t="shared" si="19"/>
        <v>2</v>
      </c>
      <c r="Q206" s="1">
        <f t="shared" si="20"/>
        <v>540</v>
      </c>
      <c r="R206" s="1">
        <f t="shared" si="21"/>
        <v>19</v>
      </c>
      <c r="S206" s="1">
        <f t="shared" si="22"/>
        <v>2</v>
      </c>
    </row>
    <row r="207" spans="1:19" x14ac:dyDescent="0.15">
      <c r="A207" s="1">
        <v>206</v>
      </c>
      <c r="B207" s="1">
        <v>0</v>
      </c>
      <c r="C207" s="1">
        <f>[1]装备明细!B208</f>
        <v>102080800</v>
      </c>
      <c r="D207" s="1">
        <f t="shared" si="18"/>
        <v>200206</v>
      </c>
      <c r="E207" s="1" t="s">
        <v>63</v>
      </c>
      <c r="F207" s="1" t="str">
        <f ca="1">[1]装备明细!C208&amp;"图纸"</f>
        <v>绝旨空灵烟斗图纸</v>
      </c>
      <c r="G207" s="1" t="str">
        <f ca="1">[1]装备明细!$I208</f>
        <v>[237-287]攻击 +1个随机属性</v>
      </c>
      <c r="H207" s="1">
        <f t="shared" si="23"/>
        <v>100206</v>
      </c>
      <c r="I207" s="1">
        <v>1</v>
      </c>
      <c r="J207" s="1">
        <f>[1]装备明细!J208</f>
        <v>0</v>
      </c>
      <c r="K207" s="1">
        <f>[1]装备明细!K208</f>
        <v>2</v>
      </c>
      <c r="L207" s="1">
        <f>[1]装备明细!L208</f>
        <v>8</v>
      </c>
      <c r="M207" s="1">
        <v>6</v>
      </c>
      <c r="N207" s="1">
        <f>[1]装备明细!$F211</f>
        <v>1</v>
      </c>
      <c r="O207" s="1">
        <f>[1]装备明细!$E208</f>
        <v>2</v>
      </c>
      <c r="P207" s="1">
        <f t="shared" si="19"/>
        <v>2</v>
      </c>
      <c r="Q207" s="1">
        <f t="shared" si="20"/>
        <v>560</v>
      </c>
      <c r="R207" s="1">
        <f t="shared" si="21"/>
        <v>19</v>
      </c>
      <c r="S207" s="1">
        <f t="shared" si="22"/>
        <v>2</v>
      </c>
    </row>
    <row r="208" spans="1:19" x14ac:dyDescent="0.15">
      <c r="A208" s="1">
        <v>207</v>
      </c>
      <c r="B208" s="1">
        <v>0</v>
      </c>
      <c r="C208" s="1">
        <f>[1]装备明细!B209</f>
        <v>102090800</v>
      </c>
      <c r="D208" s="1">
        <f t="shared" si="18"/>
        <v>200207</v>
      </c>
      <c r="E208" s="1" t="s">
        <v>63</v>
      </c>
      <c r="F208" s="1" t="str">
        <f ca="1">[1]装备明细!C209&amp;"图纸"</f>
        <v>天工混乱烟斗图纸</v>
      </c>
      <c r="G208" s="1" t="str">
        <f ca="1">[1]装备明细!$I209</f>
        <v>[288-342]攻击 +1个随机属性</v>
      </c>
      <c r="H208" s="1">
        <f t="shared" si="23"/>
        <v>100207</v>
      </c>
      <c r="I208" s="1">
        <v>1</v>
      </c>
      <c r="J208" s="1">
        <f>[1]装备明细!J209</f>
        <v>0</v>
      </c>
      <c r="K208" s="1">
        <f>[1]装备明细!K209</f>
        <v>2</v>
      </c>
      <c r="L208" s="1">
        <f>[1]装备明细!L209</f>
        <v>9</v>
      </c>
      <c r="M208" s="1">
        <v>6</v>
      </c>
      <c r="N208" s="1">
        <f>[1]装备明细!$F212</f>
        <v>1</v>
      </c>
      <c r="O208" s="1">
        <f>[1]装备明细!$E209</f>
        <v>2</v>
      </c>
      <c r="P208" s="1">
        <f t="shared" si="19"/>
        <v>2</v>
      </c>
      <c r="Q208" s="1">
        <f t="shared" si="20"/>
        <v>580</v>
      </c>
      <c r="R208" s="1">
        <f t="shared" si="21"/>
        <v>19</v>
      </c>
      <c r="S208" s="1">
        <f t="shared" si="22"/>
        <v>2</v>
      </c>
    </row>
    <row r="209" spans="1:19" x14ac:dyDescent="0.15">
      <c r="A209" s="1">
        <v>208</v>
      </c>
      <c r="B209" s="1">
        <v>0</v>
      </c>
      <c r="C209" s="1">
        <f>[1]装备明细!B210</f>
        <v>102010900</v>
      </c>
      <c r="D209" s="1">
        <f t="shared" si="18"/>
        <v>200208</v>
      </c>
      <c r="E209" s="1" t="s">
        <v>63</v>
      </c>
      <c r="F209" s="1" t="str">
        <f ca="1">[1]装备明细!C210&amp;"图纸"</f>
        <v>学徒颓废扇子图纸</v>
      </c>
      <c r="G209" s="1" t="str">
        <f ca="1">[1]装备明细!$I210</f>
        <v>[1-21]攻击 +1个随机属性</v>
      </c>
      <c r="H209" s="1">
        <f t="shared" si="23"/>
        <v>100208</v>
      </c>
      <c r="I209" s="1">
        <v>1</v>
      </c>
      <c r="J209" s="1">
        <f>[1]装备明细!J210</f>
        <v>0</v>
      </c>
      <c r="K209" s="1">
        <f>[1]装备明细!K210</f>
        <v>2</v>
      </c>
      <c r="L209" s="1">
        <f>[1]装备明细!L210</f>
        <v>1</v>
      </c>
      <c r="M209" s="1">
        <v>6</v>
      </c>
      <c r="N209" s="1">
        <f>[1]装备明细!$F213</f>
        <v>1</v>
      </c>
      <c r="O209" s="1">
        <f>[1]装备明细!$E210</f>
        <v>2</v>
      </c>
      <c r="P209" s="1">
        <f t="shared" si="19"/>
        <v>2</v>
      </c>
      <c r="Q209" s="1">
        <f t="shared" si="20"/>
        <v>420</v>
      </c>
      <c r="R209" s="1">
        <f t="shared" si="21"/>
        <v>19</v>
      </c>
      <c r="S209" s="1">
        <f t="shared" si="22"/>
        <v>2</v>
      </c>
    </row>
    <row r="210" spans="1:19" x14ac:dyDescent="0.15">
      <c r="A210" s="1">
        <v>209</v>
      </c>
      <c r="B210" s="1">
        <v>0</v>
      </c>
      <c r="C210" s="1">
        <f>[1]装备明细!B211</f>
        <v>102020900</v>
      </c>
      <c r="D210" s="1">
        <f t="shared" si="18"/>
        <v>200209</v>
      </c>
      <c r="E210" s="1" t="s">
        <v>63</v>
      </c>
      <c r="F210" s="1" t="str">
        <f ca="1">[1]装备明细!C211&amp;"图纸"</f>
        <v>专家玄铁扇子图纸</v>
      </c>
      <c r="G210" s="1" t="str">
        <f ca="1">[1]装备明细!$I211</f>
        <v>[22-46]攻击 +1个随机属性</v>
      </c>
      <c r="H210" s="1">
        <f t="shared" si="23"/>
        <v>100209</v>
      </c>
      <c r="I210" s="1">
        <v>1</v>
      </c>
      <c r="J210" s="1">
        <f>[1]装备明细!J211</f>
        <v>0</v>
      </c>
      <c r="K210" s="1">
        <f>[1]装备明细!K211</f>
        <v>2</v>
      </c>
      <c r="L210" s="1">
        <f>[1]装备明细!L211</f>
        <v>2</v>
      </c>
      <c r="M210" s="1">
        <v>6</v>
      </c>
      <c r="N210" s="1">
        <f>[1]装备明细!$F214</f>
        <v>1</v>
      </c>
      <c r="O210" s="1">
        <f>[1]装备明细!$E211</f>
        <v>2</v>
      </c>
      <c r="P210" s="1">
        <f t="shared" si="19"/>
        <v>2</v>
      </c>
      <c r="Q210" s="1">
        <f t="shared" si="20"/>
        <v>440</v>
      </c>
      <c r="R210" s="1">
        <f t="shared" si="21"/>
        <v>19</v>
      </c>
      <c r="S210" s="1">
        <f t="shared" si="22"/>
        <v>2</v>
      </c>
    </row>
    <row r="211" spans="1:19" x14ac:dyDescent="0.15">
      <c r="A211" s="1">
        <v>210</v>
      </c>
      <c r="B211" s="1">
        <v>0</v>
      </c>
      <c r="C211" s="1">
        <f>[1]装备明细!B212</f>
        <v>102030900</v>
      </c>
      <c r="D211" s="1">
        <f t="shared" si="18"/>
        <v>200210</v>
      </c>
      <c r="E211" s="1" t="s">
        <v>63</v>
      </c>
      <c r="F211" s="1" t="str">
        <f ca="1">[1]装备明细!C212&amp;"图纸"</f>
        <v>大师水晶扇子图纸</v>
      </c>
      <c r="G211" s="1" t="str">
        <f ca="1">[1]装备明细!$I212</f>
        <v>[47-75]攻击 +1个随机属性</v>
      </c>
      <c r="H211" s="1">
        <f t="shared" si="23"/>
        <v>100210</v>
      </c>
      <c r="I211" s="1">
        <v>1</v>
      </c>
      <c r="J211" s="1">
        <f>[1]装备明细!J212</f>
        <v>0</v>
      </c>
      <c r="K211" s="1">
        <f>[1]装备明细!K212</f>
        <v>2</v>
      </c>
      <c r="L211" s="1">
        <f>[1]装备明细!L212</f>
        <v>3</v>
      </c>
      <c r="M211" s="1">
        <v>6</v>
      </c>
      <c r="N211" s="1">
        <f>[1]装备明细!$F215</f>
        <v>1</v>
      </c>
      <c r="O211" s="1">
        <f>[1]装备明细!$E212</f>
        <v>2</v>
      </c>
      <c r="P211" s="1">
        <f t="shared" si="19"/>
        <v>2</v>
      </c>
      <c r="Q211" s="1">
        <f t="shared" si="20"/>
        <v>460</v>
      </c>
      <c r="R211" s="1">
        <f t="shared" si="21"/>
        <v>19</v>
      </c>
      <c r="S211" s="1">
        <f t="shared" si="22"/>
        <v>2</v>
      </c>
    </row>
    <row r="212" spans="1:19" x14ac:dyDescent="0.15">
      <c r="A212" s="1">
        <v>211</v>
      </c>
      <c r="B212" s="1">
        <v>0</v>
      </c>
      <c r="C212" s="1">
        <f>[1]装备明细!B213</f>
        <v>102040900</v>
      </c>
      <c r="D212" s="1">
        <f t="shared" si="18"/>
        <v>200211</v>
      </c>
      <c r="E212" s="1" t="s">
        <v>63</v>
      </c>
      <c r="F212" s="1" t="str">
        <f ca="1">[1]装备明细!C213&amp;"图纸"</f>
        <v>宗师精钢扇子图纸</v>
      </c>
      <c r="G212" s="1" t="str">
        <f ca="1">[1]装备明细!$I213</f>
        <v>[76-109]攻击 +1个随机属性</v>
      </c>
      <c r="H212" s="1">
        <f t="shared" si="23"/>
        <v>100211</v>
      </c>
      <c r="I212" s="1">
        <v>1</v>
      </c>
      <c r="J212" s="1">
        <f>[1]装备明细!J213</f>
        <v>0</v>
      </c>
      <c r="K212" s="1">
        <f>[1]装备明细!K213</f>
        <v>2</v>
      </c>
      <c r="L212" s="1">
        <f>[1]装备明细!L213</f>
        <v>4</v>
      </c>
      <c r="M212" s="1">
        <v>6</v>
      </c>
      <c r="N212" s="1">
        <f>[1]装备明细!$F216</f>
        <v>1</v>
      </c>
      <c r="O212" s="1">
        <f>[1]装备明细!$E213</f>
        <v>2</v>
      </c>
      <c r="P212" s="1">
        <f t="shared" si="19"/>
        <v>2</v>
      </c>
      <c r="Q212" s="1">
        <f t="shared" si="20"/>
        <v>480</v>
      </c>
      <c r="R212" s="1">
        <f t="shared" si="21"/>
        <v>19</v>
      </c>
      <c r="S212" s="1">
        <f t="shared" si="22"/>
        <v>2</v>
      </c>
    </row>
    <row r="213" spans="1:19" x14ac:dyDescent="0.15">
      <c r="A213" s="1">
        <v>212</v>
      </c>
      <c r="B213" s="1">
        <v>0</v>
      </c>
      <c r="C213" s="1">
        <f>[1]装备明细!B214</f>
        <v>102050900</v>
      </c>
      <c r="D213" s="1">
        <f t="shared" si="18"/>
        <v>200212</v>
      </c>
      <c r="E213" s="1" t="s">
        <v>63</v>
      </c>
      <c r="F213" s="1" t="str">
        <f ca="1">[1]装备明细!C214&amp;"图纸"</f>
        <v>显赫白银扇子图纸</v>
      </c>
      <c r="G213" s="1" t="str">
        <f ca="1">[1]装备明细!$I214</f>
        <v>[110-148]攻击 +1个随机属性</v>
      </c>
      <c r="H213" s="1">
        <f t="shared" si="23"/>
        <v>100212</v>
      </c>
      <c r="I213" s="1">
        <v>1</v>
      </c>
      <c r="J213" s="1">
        <f>[1]装备明细!J214</f>
        <v>0</v>
      </c>
      <c r="K213" s="1">
        <f>[1]装备明细!K214</f>
        <v>2</v>
      </c>
      <c r="L213" s="1">
        <f>[1]装备明细!L214</f>
        <v>5</v>
      </c>
      <c r="M213" s="1">
        <v>6</v>
      </c>
      <c r="N213" s="1">
        <f>[1]装备明细!$F217</f>
        <v>1</v>
      </c>
      <c r="O213" s="1">
        <f>[1]装备明细!$E214</f>
        <v>2</v>
      </c>
      <c r="P213" s="1">
        <f t="shared" si="19"/>
        <v>2</v>
      </c>
      <c r="Q213" s="1">
        <f t="shared" si="20"/>
        <v>500</v>
      </c>
      <c r="R213" s="1">
        <f t="shared" si="21"/>
        <v>19</v>
      </c>
      <c r="S213" s="1">
        <f t="shared" si="22"/>
        <v>2</v>
      </c>
    </row>
    <row r="214" spans="1:19" x14ac:dyDescent="0.15">
      <c r="A214" s="1">
        <v>213</v>
      </c>
      <c r="B214" s="1">
        <v>0</v>
      </c>
      <c r="C214" s="1">
        <f>[1]装备明细!B215</f>
        <v>102060900</v>
      </c>
      <c r="D214" s="1">
        <f t="shared" si="18"/>
        <v>200213</v>
      </c>
      <c r="E214" s="1" t="s">
        <v>63</v>
      </c>
      <c r="F214" s="1" t="str">
        <f ca="1">[1]装备明细!C215&amp;"图纸"</f>
        <v>尊荣虚幻扇子图纸</v>
      </c>
      <c r="G214" s="1" t="str">
        <f ca="1">[1]装备明细!$I215</f>
        <v>[149-190]攻击 +1个随机属性</v>
      </c>
      <c r="H214" s="1">
        <f t="shared" si="23"/>
        <v>100213</v>
      </c>
      <c r="I214" s="1">
        <v>1</v>
      </c>
      <c r="J214" s="1">
        <f>[1]装备明细!J215</f>
        <v>0</v>
      </c>
      <c r="K214" s="1">
        <f>[1]装备明细!K215</f>
        <v>2</v>
      </c>
      <c r="L214" s="1">
        <f>[1]装备明细!L215</f>
        <v>6</v>
      </c>
      <c r="M214" s="1">
        <v>6</v>
      </c>
      <c r="N214" s="1">
        <f>[1]装备明细!$F218</f>
        <v>1</v>
      </c>
      <c r="O214" s="1">
        <f>[1]装备明细!$E215</f>
        <v>2</v>
      </c>
      <c r="P214" s="1">
        <f t="shared" si="19"/>
        <v>2</v>
      </c>
      <c r="Q214" s="1">
        <f t="shared" si="20"/>
        <v>520</v>
      </c>
      <c r="R214" s="1">
        <f t="shared" si="21"/>
        <v>19</v>
      </c>
      <c r="S214" s="1">
        <f t="shared" si="22"/>
        <v>2</v>
      </c>
    </row>
    <row r="215" spans="1:19" x14ac:dyDescent="0.15">
      <c r="A215" s="1">
        <v>214</v>
      </c>
      <c r="B215" s="1">
        <v>0</v>
      </c>
      <c r="C215" s="1">
        <f>[1]装备明细!B216</f>
        <v>102070900</v>
      </c>
      <c r="D215" s="1">
        <f t="shared" si="18"/>
        <v>200214</v>
      </c>
      <c r="E215" s="1" t="s">
        <v>63</v>
      </c>
      <c r="F215" s="1" t="str">
        <f ca="1">[1]装备明细!C216&amp;"图纸"</f>
        <v>至尊歌德扇子图纸</v>
      </c>
      <c r="G215" s="1" t="str">
        <f ca="1">[1]装备明细!$I216</f>
        <v>[191-236]攻击 +1个随机属性</v>
      </c>
      <c r="H215" s="1">
        <f t="shared" si="23"/>
        <v>100214</v>
      </c>
      <c r="I215" s="1">
        <v>1</v>
      </c>
      <c r="J215" s="1">
        <f>[1]装备明细!J216</f>
        <v>0</v>
      </c>
      <c r="K215" s="1">
        <f>[1]装备明细!K216</f>
        <v>2</v>
      </c>
      <c r="L215" s="1">
        <f>[1]装备明细!L216</f>
        <v>7</v>
      </c>
      <c r="M215" s="1">
        <v>6</v>
      </c>
      <c r="N215" s="1">
        <f>[1]装备明细!$F219</f>
        <v>1</v>
      </c>
      <c r="O215" s="1">
        <f>[1]装备明细!$E216</f>
        <v>2</v>
      </c>
      <c r="P215" s="1">
        <f t="shared" si="19"/>
        <v>2</v>
      </c>
      <c r="Q215" s="1">
        <f t="shared" si="20"/>
        <v>540</v>
      </c>
      <c r="R215" s="1">
        <f t="shared" si="21"/>
        <v>19</v>
      </c>
      <c r="S215" s="1">
        <f t="shared" si="22"/>
        <v>2</v>
      </c>
    </row>
    <row r="216" spans="1:19" x14ac:dyDescent="0.15">
      <c r="A216" s="1">
        <v>215</v>
      </c>
      <c r="B216" s="1">
        <v>0</v>
      </c>
      <c r="C216" s="1">
        <f>[1]装备明细!B217</f>
        <v>102080900</v>
      </c>
      <c r="D216" s="1">
        <f t="shared" si="18"/>
        <v>200215</v>
      </c>
      <c r="E216" s="1" t="s">
        <v>63</v>
      </c>
      <c r="F216" s="1" t="str">
        <f ca="1">[1]装备明细!C217&amp;"图纸"</f>
        <v>绝旨空灵扇子图纸</v>
      </c>
      <c r="G216" s="1" t="str">
        <f ca="1">[1]装备明细!$I217</f>
        <v>[237-287]攻击 +1个随机属性</v>
      </c>
      <c r="H216" s="1">
        <f t="shared" si="23"/>
        <v>100215</v>
      </c>
      <c r="I216" s="1">
        <v>1</v>
      </c>
      <c r="J216" s="1">
        <f>[1]装备明细!J217</f>
        <v>0</v>
      </c>
      <c r="K216" s="1">
        <f>[1]装备明细!K217</f>
        <v>2</v>
      </c>
      <c r="L216" s="1">
        <f>[1]装备明细!L217</f>
        <v>8</v>
      </c>
      <c r="M216" s="1">
        <v>6</v>
      </c>
      <c r="N216" s="1">
        <f>[1]装备明细!$F220</f>
        <v>1</v>
      </c>
      <c r="O216" s="1">
        <f>[1]装备明细!$E217</f>
        <v>2</v>
      </c>
      <c r="P216" s="1">
        <f t="shared" si="19"/>
        <v>2</v>
      </c>
      <c r="Q216" s="1">
        <f t="shared" si="20"/>
        <v>560</v>
      </c>
      <c r="R216" s="1">
        <f t="shared" si="21"/>
        <v>19</v>
      </c>
      <c r="S216" s="1">
        <f t="shared" si="22"/>
        <v>2</v>
      </c>
    </row>
    <row r="217" spans="1:19" x14ac:dyDescent="0.15">
      <c r="A217" s="1">
        <v>216</v>
      </c>
      <c r="B217" s="1">
        <v>0</v>
      </c>
      <c r="C217" s="1">
        <f>[1]装备明细!B218</f>
        <v>102090900</v>
      </c>
      <c r="D217" s="1">
        <f t="shared" si="18"/>
        <v>200216</v>
      </c>
      <c r="E217" s="1" t="s">
        <v>63</v>
      </c>
      <c r="F217" s="1" t="str">
        <f ca="1">[1]装备明细!C218&amp;"图纸"</f>
        <v>天工混乱扇子图纸</v>
      </c>
      <c r="G217" s="1" t="str">
        <f ca="1">[1]装备明细!$I218</f>
        <v>[288-342]攻击 +1个随机属性</v>
      </c>
      <c r="H217" s="1">
        <f t="shared" si="23"/>
        <v>100216</v>
      </c>
      <c r="I217" s="1">
        <v>1</v>
      </c>
      <c r="J217" s="1">
        <f>[1]装备明细!J218</f>
        <v>0</v>
      </c>
      <c r="K217" s="1">
        <f>[1]装备明细!K218</f>
        <v>2</v>
      </c>
      <c r="L217" s="1">
        <f>[1]装备明细!L218</f>
        <v>9</v>
      </c>
      <c r="M217" s="1">
        <v>6</v>
      </c>
      <c r="N217" s="1">
        <f>[1]装备明细!$F221</f>
        <v>1</v>
      </c>
      <c r="O217" s="1">
        <f>[1]装备明细!$E218</f>
        <v>2</v>
      </c>
      <c r="P217" s="1">
        <f t="shared" si="19"/>
        <v>2</v>
      </c>
      <c r="Q217" s="1">
        <f t="shared" si="20"/>
        <v>580</v>
      </c>
      <c r="R217" s="1">
        <f t="shared" si="21"/>
        <v>19</v>
      </c>
      <c r="S217" s="1">
        <f t="shared" si="22"/>
        <v>2</v>
      </c>
    </row>
    <row r="218" spans="1:19" x14ac:dyDescent="0.15">
      <c r="A218" s="1">
        <v>217</v>
      </c>
      <c r="B218" s="1">
        <v>0</v>
      </c>
      <c r="C218" s="1">
        <f>[1]装备明细!B219</f>
        <v>102011000</v>
      </c>
      <c r="D218" s="1">
        <f t="shared" si="18"/>
        <v>200217</v>
      </c>
      <c r="E218" s="1" t="s">
        <v>63</v>
      </c>
      <c r="F218" s="1" t="str">
        <f ca="1">[1]装备明细!C219&amp;"图纸"</f>
        <v>学徒颓废牙齿图纸</v>
      </c>
      <c r="G218" s="1" t="str">
        <f ca="1">[1]装备明细!$I219</f>
        <v>[1-21]攻击 +1个随机属性</v>
      </c>
      <c r="H218" s="1">
        <f t="shared" si="23"/>
        <v>100217</v>
      </c>
      <c r="I218" s="1">
        <v>1</v>
      </c>
      <c r="J218" s="1">
        <f>[1]装备明细!J219</f>
        <v>0</v>
      </c>
      <c r="K218" s="1">
        <f>[1]装备明细!K219</f>
        <v>2</v>
      </c>
      <c r="L218" s="1">
        <f>[1]装备明细!L219</f>
        <v>1</v>
      </c>
      <c r="M218" s="1">
        <v>6</v>
      </c>
      <c r="N218" s="1">
        <f>[1]装备明细!$F222</f>
        <v>1</v>
      </c>
      <c r="O218" s="1">
        <f>[1]装备明细!$E219</f>
        <v>2</v>
      </c>
      <c r="P218" s="1">
        <f t="shared" si="19"/>
        <v>2</v>
      </c>
      <c r="Q218" s="1">
        <f t="shared" si="20"/>
        <v>420</v>
      </c>
      <c r="R218" s="1">
        <f t="shared" si="21"/>
        <v>19</v>
      </c>
      <c r="S218" s="1">
        <f t="shared" si="22"/>
        <v>2</v>
      </c>
    </row>
    <row r="219" spans="1:19" x14ac:dyDescent="0.15">
      <c r="A219" s="1">
        <v>218</v>
      </c>
      <c r="B219" s="1">
        <v>0</v>
      </c>
      <c r="C219" s="1">
        <f>[1]装备明细!B220</f>
        <v>102021000</v>
      </c>
      <c r="D219" s="1">
        <f t="shared" si="18"/>
        <v>200218</v>
      </c>
      <c r="E219" s="1" t="s">
        <v>63</v>
      </c>
      <c r="F219" s="1" t="str">
        <f ca="1">[1]装备明细!C220&amp;"图纸"</f>
        <v>专家玄铁牙齿图纸</v>
      </c>
      <c r="G219" s="1" t="str">
        <f ca="1">[1]装备明细!$I220</f>
        <v>[22-46]攻击 +1个随机属性</v>
      </c>
      <c r="H219" s="1">
        <f t="shared" si="23"/>
        <v>100218</v>
      </c>
      <c r="I219" s="1">
        <v>1</v>
      </c>
      <c r="J219" s="1">
        <f>[1]装备明细!J220</f>
        <v>0</v>
      </c>
      <c r="K219" s="1">
        <f>[1]装备明细!K220</f>
        <v>2</v>
      </c>
      <c r="L219" s="1">
        <f>[1]装备明细!L220</f>
        <v>2</v>
      </c>
      <c r="M219" s="1">
        <v>6</v>
      </c>
      <c r="N219" s="1">
        <f>[1]装备明细!$F223</f>
        <v>1</v>
      </c>
      <c r="O219" s="1">
        <f>[1]装备明细!$E220</f>
        <v>2</v>
      </c>
      <c r="P219" s="1">
        <f t="shared" si="19"/>
        <v>2</v>
      </c>
      <c r="Q219" s="1">
        <f t="shared" si="20"/>
        <v>440</v>
      </c>
      <c r="R219" s="1">
        <f t="shared" si="21"/>
        <v>19</v>
      </c>
      <c r="S219" s="1">
        <f t="shared" si="22"/>
        <v>2</v>
      </c>
    </row>
    <row r="220" spans="1:19" x14ac:dyDescent="0.15">
      <c r="A220" s="1">
        <v>219</v>
      </c>
      <c r="B220" s="1">
        <v>0</v>
      </c>
      <c r="C220" s="1">
        <f>[1]装备明细!B221</f>
        <v>102031000</v>
      </c>
      <c r="D220" s="1">
        <f t="shared" si="18"/>
        <v>200219</v>
      </c>
      <c r="E220" s="1" t="s">
        <v>63</v>
      </c>
      <c r="F220" s="1" t="str">
        <f ca="1">[1]装备明细!C221&amp;"图纸"</f>
        <v>大师水晶牙齿图纸</v>
      </c>
      <c r="G220" s="1" t="str">
        <f ca="1">[1]装备明细!$I221</f>
        <v>[47-75]攻击 +1个随机属性</v>
      </c>
      <c r="H220" s="1">
        <f t="shared" si="23"/>
        <v>100219</v>
      </c>
      <c r="I220" s="1">
        <v>1</v>
      </c>
      <c r="J220" s="1">
        <f>[1]装备明细!J221</f>
        <v>0</v>
      </c>
      <c r="K220" s="1">
        <f>[1]装备明细!K221</f>
        <v>2</v>
      </c>
      <c r="L220" s="1">
        <f>[1]装备明细!L221</f>
        <v>3</v>
      </c>
      <c r="M220" s="1">
        <v>6</v>
      </c>
      <c r="N220" s="1">
        <f>[1]装备明细!$F224</f>
        <v>1</v>
      </c>
      <c r="O220" s="1">
        <f>[1]装备明细!$E221</f>
        <v>2</v>
      </c>
      <c r="P220" s="1">
        <f t="shared" si="19"/>
        <v>2</v>
      </c>
      <c r="Q220" s="1">
        <f t="shared" si="20"/>
        <v>460</v>
      </c>
      <c r="R220" s="1">
        <f t="shared" si="21"/>
        <v>19</v>
      </c>
      <c r="S220" s="1">
        <f t="shared" si="22"/>
        <v>2</v>
      </c>
    </row>
    <row r="221" spans="1:19" x14ac:dyDescent="0.15">
      <c r="A221" s="1">
        <v>220</v>
      </c>
      <c r="B221" s="1">
        <v>0</v>
      </c>
      <c r="C221" s="1">
        <f>[1]装备明细!B222</f>
        <v>102041000</v>
      </c>
      <c r="D221" s="1">
        <f t="shared" si="18"/>
        <v>200220</v>
      </c>
      <c r="E221" s="1" t="s">
        <v>63</v>
      </c>
      <c r="F221" s="1" t="str">
        <f ca="1">[1]装备明细!C222&amp;"图纸"</f>
        <v>宗师精钢牙齿图纸</v>
      </c>
      <c r="G221" s="1" t="str">
        <f ca="1">[1]装备明细!$I222</f>
        <v>[76-109]攻击 +1个随机属性</v>
      </c>
      <c r="H221" s="1">
        <f t="shared" si="23"/>
        <v>100220</v>
      </c>
      <c r="I221" s="1">
        <v>1</v>
      </c>
      <c r="J221" s="1">
        <f>[1]装备明细!J222</f>
        <v>0</v>
      </c>
      <c r="K221" s="1">
        <f>[1]装备明细!K222</f>
        <v>2</v>
      </c>
      <c r="L221" s="1">
        <f>[1]装备明细!L222</f>
        <v>4</v>
      </c>
      <c r="M221" s="1">
        <v>6</v>
      </c>
      <c r="N221" s="1">
        <f>[1]装备明细!$F225</f>
        <v>1</v>
      </c>
      <c r="O221" s="1">
        <f>[1]装备明细!$E222</f>
        <v>2</v>
      </c>
      <c r="P221" s="1">
        <f t="shared" si="19"/>
        <v>2</v>
      </c>
      <c r="Q221" s="1">
        <f t="shared" si="20"/>
        <v>480</v>
      </c>
      <c r="R221" s="1">
        <f t="shared" si="21"/>
        <v>19</v>
      </c>
      <c r="S221" s="1">
        <f t="shared" si="22"/>
        <v>2</v>
      </c>
    </row>
    <row r="222" spans="1:19" x14ac:dyDescent="0.15">
      <c r="A222" s="1">
        <v>221</v>
      </c>
      <c r="B222" s="1">
        <v>0</v>
      </c>
      <c r="C222" s="1">
        <f>[1]装备明细!B223</f>
        <v>102051000</v>
      </c>
      <c r="D222" s="1">
        <f t="shared" si="18"/>
        <v>200221</v>
      </c>
      <c r="E222" s="1" t="s">
        <v>63</v>
      </c>
      <c r="F222" s="1" t="str">
        <f ca="1">[1]装备明细!C223&amp;"图纸"</f>
        <v>显赫白银牙齿图纸</v>
      </c>
      <c r="G222" s="1" t="str">
        <f ca="1">[1]装备明细!$I223</f>
        <v>[110-148]攻击 +1个随机属性</v>
      </c>
      <c r="H222" s="1">
        <f t="shared" si="23"/>
        <v>100221</v>
      </c>
      <c r="I222" s="1">
        <v>1</v>
      </c>
      <c r="J222" s="1">
        <f>[1]装备明细!J223</f>
        <v>0</v>
      </c>
      <c r="K222" s="1">
        <f>[1]装备明细!K223</f>
        <v>2</v>
      </c>
      <c r="L222" s="1">
        <f>[1]装备明细!L223</f>
        <v>5</v>
      </c>
      <c r="M222" s="1">
        <v>6</v>
      </c>
      <c r="N222" s="1">
        <f>[1]装备明细!$F226</f>
        <v>1</v>
      </c>
      <c r="O222" s="1">
        <f>[1]装备明细!$E223</f>
        <v>2</v>
      </c>
      <c r="P222" s="1">
        <f t="shared" si="19"/>
        <v>2</v>
      </c>
      <c r="Q222" s="1">
        <f t="shared" si="20"/>
        <v>500</v>
      </c>
      <c r="R222" s="1">
        <f t="shared" si="21"/>
        <v>19</v>
      </c>
      <c r="S222" s="1">
        <f t="shared" si="22"/>
        <v>2</v>
      </c>
    </row>
    <row r="223" spans="1:19" x14ac:dyDescent="0.15">
      <c r="A223" s="1">
        <v>222</v>
      </c>
      <c r="B223" s="1">
        <v>0</v>
      </c>
      <c r="C223" s="1">
        <f>[1]装备明细!B224</f>
        <v>102061000</v>
      </c>
      <c r="D223" s="1">
        <f t="shared" si="18"/>
        <v>200222</v>
      </c>
      <c r="E223" s="1" t="s">
        <v>63</v>
      </c>
      <c r="F223" s="1" t="str">
        <f ca="1">[1]装备明细!C224&amp;"图纸"</f>
        <v>尊荣虚幻牙齿图纸</v>
      </c>
      <c r="G223" s="1" t="str">
        <f ca="1">[1]装备明细!$I224</f>
        <v>[149-190]攻击 +1个随机属性</v>
      </c>
      <c r="H223" s="1">
        <f t="shared" si="23"/>
        <v>100222</v>
      </c>
      <c r="I223" s="1">
        <v>1</v>
      </c>
      <c r="J223" s="1">
        <f>[1]装备明细!J224</f>
        <v>0</v>
      </c>
      <c r="K223" s="1">
        <f>[1]装备明细!K224</f>
        <v>2</v>
      </c>
      <c r="L223" s="1">
        <f>[1]装备明细!L224</f>
        <v>6</v>
      </c>
      <c r="M223" s="1">
        <v>6</v>
      </c>
      <c r="N223" s="1">
        <f>[1]装备明细!$F227</f>
        <v>1</v>
      </c>
      <c r="O223" s="1">
        <f>[1]装备明细!$E224</f>
        <v>2</v>
      </c>
      <c r="P223" s="1">
        <f t="shared" si="19"/>
        <v>2</v>
      </c>
      <c r="Q223" s="1">
        <f t="shared" si="20"/>
        <v>520</v>
      </c>
      <c r="R223" s="1">
        <f t="shared" si="21"/>
        <v>19</v>
      </c>
      <c r="S223" s="1">
        <f t="shared" si="22"/>
        <v>2</v>
      </c>
    </row>
    <row r="224" spans="1:19" x14ac:dyDescent="0.15">
      <c r="A224" s="1">
        <v>223</v>
      </c>
      <c r="B224" s="1">
        <v>0</v>
      </c>
      <c r="C224" s="1">
        <f>[1]装备明细!B225</f>
        <v>102071000</v>
      </c>
      <c r="D224" s="1">
        <f t="shared" si="18"/>
        <v>200223</v>
      </c>
      <c r="E224" s="1" t="s">
        <v>63</v>
      </c>
      <c r="F224" s="1" t="str">
        <f ca="1">[1]装备明细!C225&amp;"图纸"</f>
        <v>至尊歌德牙齿图纸</v>
      </c>
      <c r="G224" s="1" t="str">
        <f ca="1">[1]装备明细!$I225</f>
        <v>[191-236]攻击 +1个随机属性</v>
      </c>
      <c r="H224" s="1">
        <f t="shared" si="23"/>
        <v>100223</v>
      </c>
      <c r="I224" s="1">
        <v>1</v>
      </c>
      <c r="J224" s="1">
        <f>[1]装备明细!J225</f>
        <v>0</v>
      </c>
      <c r="K224" s="1">
        <f>[1]装备明细!K225</f>
        <v>2</v>
      </c>
      <c r="L224" s="1">
        <f>[1]装备明细!L225</f>
        <v>7</v>
      </c>
      <c r="M224" s="1">
        <v>6</v>
      </c>
      <c r="N224" s="1">
        <f>[1]装备明细!$F228</f>
        <v>1</v>
      </c>
      <c r="O224" s="1">
        <f>[1]装备明细!$E225</f>
        <v>2</v>
      </c>
      <c r="P224" s="1">
        <f t="shared" si="19"/>
        <v>2</v>
      </c>
      <c r="Q224" s="1">
        <f t="shared" si="20"/>
        <v>540</v>
      </c>
      <c r="R224" s="1">
        <f t="shared" si="21"/>
        <v>19</v>
      </c>
      <c r="S224" s="1">
        <f t="shared" si="22"/>
        <v>2</v>
      </c>
    </row>
    <row r="225" spans="1:19" x14ac:dyDescent="0.15">
      <c r="A225" s="1">
        <v>224</v>
      </c>
      <c r="B225" s="1">
        <v>0</v>
      </c>
      <c r="C225" s="1">
        <f>[1]装备明细!B226</f>
        <v>102081000</v>
      </c>
      <c r="D225" s="1">
        <f t="shared" si="18"/>
        <v>200224</v>
      </c>
      <c r="E225" s="1" t="s">
        <v>63</v>
      </c>
      <c r="F225" s="1" t="str">
        <f ca="1">[1]装备明细!C226&amp;"图纸"</f>
        <v>绝旨空灵牙齿图纸</v>
      </c>
      <c r="G225" s="1" t="str">
        <f ca="1">[1]装备明细!$I226</f>
        <v>[237-287]攻击 +1个随机属性</v>
      </c>
      <c r="H225" s="1">
        <f t="shared" si="23"/>
        <v>100224</v>
      </c>
      <c r="I225" s="1">
        <v>1</v>
      </c>
      <c r="J225" s="1">
        <f>[1]装备明细!J226</f>
        <v>0</v>
      </c>
      <c r="K225" s="1">
        <f>[1]装备明细!K226</f>
        <v>2</v>
      </c>
      <c r="L225" s="1">
        <f>[1]装备明细!L226</f>
        <v>8</v>
      </c>
      <c r="M225" s="1">
        <v>6</v>
      </c>
      <c r="N225" s="1">
        <f>[1]装备明细!$F229</f>
        <v>1</v>
      </c>
      <c r="O225" s="1">
        <f>[1]装备明细!$E226</f>
        <v>2</v>
      </c>
      <c r="P225" s="1">
        <f t="shared" si="19"/>
        <v>2</v>
      </c>
      <c r="Q225" s="1">
        <f t="shared" si="20"/>
        <v>560</v>
      </c>
      <c r="R225" s="1">
        <f t="shared" si="21"/>
        <v>19</v>
      </c>
      <c r="S225" s="1">
        <f t="shared" si="22"/>
        <v>2</v>
      </c>
    </row>
    <row r="226" spans="1:19" x14ac:dyDescent="0.15">
      <c r="A226" s="1">
        <v>225</v>
      </c>
      <c r="B226" s="1">
        <v>0</v>
      </c>
      <c r="C226" s="1">
        <f>[1]装备明细!B227</f>
        <v>102091000</v>
      </c>
      <c r="D226" s="1">
        <f t="shared" si="18"/>
        <v>200225</v>
      </c>
      <c r="E226" s="1" t="s">
        <v>63</v>
      </c>
      <c r="F226" s="1" t="str">
        <f ca="1">[1]装备明细!C227&amp;"图纸"</f>
        <v>天工混乱牙齿图纸</v>
      </c>
      <c r="G226" s="1" t="str">
        <f ca="1">[1]装备明细!$I227</f>
        <v>[288-342]攻击 +1个随机属性</v>
      </c>
      <c r="H226" s="1">
        <f t="shared" si="23"/>
        <v>100225</v>
      </c>
      <c r="I226" s="1">
        <v>1</v>
      </c>
      <c r="J226" s="1">
        <f>[1]装备明细!J227</f>
        <v>0</v>
      </c>
      <c r="K226" s="1">
        <f>[1]装备明细!K227</f>
        <v>2</v>
      </c>
      <c r="L226" s="1">
        <f>[1]装备明细!L227</f>
        <v>9</v>
      </c>
      <c r="M226" s="1">
        <v>6</v>
      </c>
      <c r="N226" s="1">
        <f>[1]装备明细!$F230</f>
        <v>1</v>
      </c>
      <c r="O226" s="1">
        <f>[1]装备明细!$E227</f>
        <v>2</v>
      </c>
      <c r="P226" s="1">
        <f t="shared" si="19"/>
        <v>2</v>
      </c>
      <c r="Q226" s="1">
        <f t="shared" si="20"/>
        <v>580</v>
      </c>
      <c r="R226" s="1">
        <f t="shared" si="21"/>
        <v>19</v>
      </c>
      <c r="S226" s="1">
        <f t="shared" si="22"/>
        <v>2</v>
      </c>
    </row>
    <row r="227" spans="1:19" x14ac:dyDescent="0.15">
      <c r="A227" s="1">
        <v>226</v>
      </c>
      <c r="B227" s="1">
        <v>0</v>
      </c>
      <c r="C227" s="1">
        <f>[1]装备明细!B228</f>
        <v>102011100</v>
      </c>
      <c r="D227" s="1">
        <f t="shared" si="18"/>
        <v>200226</v>
      </c>
      <c r="E227" s="1" t="s">
        <v>63</v>
      </c>
      <c r="F227" s="1" t="str">
        <f ca="1">[1]装备明细!C228&amp;"图纸"</f>
        <v>学徒颓废球图纸</v>
      </c>
      <c r="G227" s="1" t="str">
        <f ca="1">[1]装备明细!$I228</f>
        <v>[1-21]攻击 +1个随机属性</v>
      </c>
      <c r="H227" s="1">
        <f t="shared" si="23"/>
        <v>100226</v>
      </c>
      <c r="I227" s="1">
        <v>1</v>
      </c>
      <c r="J227" s="1">
        <f>[1]装备明细!J228</f>
        <v>0</v>
      </c>
      <c r="K227" s="1">
        <f>[1]装备明细!K228</f>
        <v>2</v>
      </c>
      <c r="L227" s="1">
        <f>[1]装备明细!L228</f>
        <v>1</v>
      </c>
      <c r="M227" s="1">
        <v>6</v>
      </c>
      <c r="N227" s="1">
        <f>[1]装备明细!$F231</f>
        <v>1</v>
      </c>
      <c r="O227" s="1">
        <f>[1]装备明细!$E228</f>
        <v>2</v>
      </c>
      <c r="P227" s="1">
        <f t="shared" si="19"/>
        <v>2</v>
      </c>
      <c r="Q227" s="1">
        <f t="shared" si="20"/>
        <v>420</v>
      </c>
      <c r="R227" s="1">
        <f t="shared" si="21"/>
        <v>19</v>
      </c>
      <c r="S227" s="1">
        <f t="shared" si="22"/>
        <v>2</v>
      </c>
    </row>
    <row r="228" spans="1:19" x14ac:dyDescent="0.15">
      <c r="A228" s="1">
        <v>227</v>
      </c>
      <c r="B228" s="1">
        <v>0</v>
      </c>
      <c r="C228" s="1">
        <f>[1]装备明细!B229</f>
        <v>102021100</v>
      </c>
      <c r="D228" s="1">
        <f t="shared" si="18"/>
        <v>200227</v>
      </c>
      <c r="E228" s="1" t="s">
        <v>63</v>
      </c>
      <c r="F228" s="1" t="str">
        <f ca="1">[1]装备明细!C229&amp;"图纸"</f>
        <v>专家玄铁球图纸</v>
      </c>
      <c r="G228" s="1" t="str">
        <f ca="1">[1]装备明细!$I229</f>
        <v>[22-46]攻击 +1个随机属性</v>
      </c>
      <c r="H228" s="1">
        <f t="shared" si="23"/>
        <v>100227</v>
      </c>
      <c r="I228" s="1">
        <v>1</v>
      </c>
      <c r="J228" s="1">
        <f>[1]装备明细!J229</f>
        <v>0</v>
      </c>
      <c r="K228" s="1">
        <f>[1]装备明细!K229</f>
        <v>2</v>
      </c>
      <c r="L228" s="1">
        <f>[1]装备明细!L229</f>
        <v>2</v>
      </c>
      <c r="M228" s="1">
        <v>6</v>
      </c>
      <c r="N228" s="1">
        <f>[1]装备明细!$F232</f>
        <v>1</v>
      </c>
      <c r="O228" s="1">
        <f>[1]装备明细!$E229</f>
        <v>2</v>
      </c>
      <c r="P228" s="1">
        <f t="shared" si="19"/>
        <v>2</v>
      </c>
      <c r="Q228" s="1">
        <f t="shared" si="20"/>
        <v>440</v>
      </c>
      <c r="R228" s="1">
        <f t="shared" si="21"/>
        <v>19</v>
      </c>
      <c r="S228" s="1">
        <f t="shared" si="22"/>
        <v>2</v>
      </c>
    </row>
    <row r="229" spans="1:19" x14ac:dyDescent="0.15">
      <c r="A229" s="1">
        <v>228</v>
      </c>
      <c r="B229" s="1">
        <v>0</v>
      </c>
      <c r="C229" s="1">
        <f>[1]装备明细!B230</f>
        <v>102031100</v>
      </c>
      <c r="D229" s="1">
        <f t="shared" si="18"/>
        <v>200228</v>
      </c>
      <c r="E229" s="1" t="s">
        <v>63</v>
      </c>
      <c r="F229" s="1" t="str">
        <f ca="1">[1]装备明细!C230&amp;"图纸"</f>
        <v>大师水晶球图纸</v>
      </c>
      <c r="G229" s="1" t="str">
        <f ca="1">[1]装备明细!$I230</f>
        <v>[47-75]攻击 +1个随机属性</v>
      </c>
      <c r="H229" s="1">
        <f t="shared" si="23"/>
        <v>100228</v>
      </c>
      <c r="I229" s="1">
        <v>1</v>
      </c>
      <c r="J229" s="1">
        <f>[1]装备明细!J230</f>
        <v>0</v>
      </c>
      <c r="K229" s="1">
        <f>[1]装备明细!K230</f>
        <v>2</v>
      </c>
      <c r="L229" s="1">
        <f>[1]装备明细!L230</f>
        <v>3</v>
      </c>
      <c r="M229" s="1">
        <v>6</v>
      </c>
      <c r="N229" s="1">
        <f>[1]装备明细!$F233</f>
        <v>1</v>
      </c>
      <c r="O229" s="1">
        <f>[1]装备明细!$E230</f>
        <v>2</v>
      </c>
      <c r="P229" s="1">
        <f t="shared" si="19"/>
        <v>2</v>
      </c>
      <c r="Q229" s="1">
        <f t="shared" si="20"/>
        <v>460</v>
      </c>
      <c r="R229" s="1">
        <f t="shared" si="21"/>
        <v>19</v>
      </c>
      <c r="S229" s="1">
        <f t="shared" si="22"/>
        <v>2</v>
      </c>
    </row>
    <row r="230" spans="1:19" x14ac:dyDescent="0.15">
      <c r="A230" s="1">
        <v>229</v>
      </c>
      <c r="B230" s="1">
        <v>0</v>
      </c>
      <c r="C230" s="1">
        <f>[1]装备明细!B231</f>
        <v>102041100</v>
      </c>
      <c r="D230" s="1">
        <f t="shared" si="18"/>
        <v>200229</v>
      </c>
      <c r="E230" s="1" t="s">
        <v>63</v>
      </c>
      <c r="F230" s="1" t="str">
        <f ca="1">[1]装备明细!C231&amp;"图纸"</f>
        <v>宗师精钢球图纸</v>
      </c>
      <c r="G230" s="1" t="str">
        <f ca="1">[1]装备明细!$I231</f>
        <v>[76-109]攻击 +1个随机属性</v>
      </c>
      <c r="H230" s="1">
        <f t="shared" si="23"/>
        <v>100229</v>
      </c>
      <c r="I230" s="1">
        <v>1</v>
      </c>
      <c r="J230" s="1">
        <f>[1]装备明细!J231</f>
        <v>0</v>
      </c>
      <c r="K230" s="1">
        <f>[1]装备明细!K231</f>
        <v>2</v>
      </c>
      <c r="L230" s="1">
        <f>[1]装备明细!L231</f>
        <v>4</v>
      </c>
      <c r="M230" s="1">
        <v>6</v>
      </c>
      <c r="N230" s="1">
        <f>[1]装备明细!$F234</f>
        <v>1</v>
      </c>
      <c r="O230" s="1">
        <f>[1]装备明细!$E231</f>
        <v>2</v>
      </c>
      <c r="P230" s="1">
        <f t="shared" si="19"/>
        <v>2</v>
      </c>
      <c r="Q230" s="1">
        <f t="shared" si="20"/>
        <v>480</v>
      </c>
      <c r="R230" s="1">
        <f t="shared" si="21"/>
        <v>19</v>
      </c>
      <c r="S230" s="1">
        <f t="shared" si="22"/>
        <v>2</v>
      </c>
    </row>
    <row r="231" spans="1:19" x14ac:dyDescent="0.15">
      <c r="A231" s="1">
        <v>230</v>
      </c>
      <c r="B231" s="1">
        <v>0</v>
      </c>
      <c r="C231" s="1">
        <f>[1]装备明细!B232</f>
        <v>102051100</v>
      </c>
      <c r="D231" s="1">
        <f t="shared" si="18"/>
        <v>200230</v>
      </c>
      <c r="E231" s="1" t="s">
        <v>63</v>
      </c>
      <c r="F231" s="1" t="str">
        <f ca="1">[1]装备明细!C232&amp;"图纸"</f>
        <v>显赫白银球图纸</v>
      </c>
      <c r="G231" s="1" t="str">
        <f ca="1">[1]装备明细!$I232</f>
        <v>[110-148]攻击 +1个随机属性</v>
      </c>
      <c r="H231" s="1">
        <f t="shared" si="23"/>
        <v>100230</v>
      </c>
      <c r="I231" s="1">
        <v>1</v>
      </c>
      <c r="J231" s="1">
        <f>[1]装备明细!J232</f>
        <v>0</v>
      </c>
      <c r="K231" s="1">
        <f>[1]装备明细!K232</f>
        <v>2</v>
      </c>
      <c r="L231" s="1">
        <f>[1]装备明细!L232</f>
        <v>5</v>
      </c>
      <c r="M231" s="1">
        <v>6</v>
      </c>
      <c r="N231" s="1">
        <f>[1]装备明细!$F235</f>
        <v>1</v>
      </c>
      <c r="O231" s="1">
        <f>[1]装备明细!$E232</f>
        <v>2</v>
      </c>
      <c r="P231" s="1">
        <f t="shared" si="19"/>
        <v>2</v>
      </c>
      <c r="Q231" s="1">
        <f t="shared" si="20"/>
        <v>500</v>
      </c>
      <c r="R231" s="1">
        <f t="shared" si="21"/>
        <v>19</v>
      </c>
      <c r="S231" s="1">
        <f t="shared" si="22"/>
        <v>2</v>
      </c>
    </row>
    <row r="232" spans="1:19" x14ac:dyDescent="0.15">
      <c r="A232" s="1">
        <v>231</v>
      </c>
      <c r="B232" s="1">
        <v>0</v>
      </c>
      <c r="C232" s="1">
        <f>[1]装备明细!B233</f>
        <v>102061100</v>
      </c>
      <c r="D232" s="1">
        <f t="shared" si="18"/>
        <v>200231</v>
      </c>
      <c r="E232" s="1" t="s">
        <v>63</v>
      </c>
      <c r="F232" s="1" t="str">
        <f ca="1">[1]装备明细!C233&amp;"图纸"</f>
        <v>尊荣虚幻球图纸</v>
      </c>
      <c r="G232" s="1" t="str">
        <f ca="1">[1]装备明细!$I233</f>
        <v>[149-190]攻击 +1个随机属性</v>
      </c>
      <c r="H232" s="1">
        <f t="shared" si="23"/>
        <v>100231</v>
      </c>
      <c r="I232" s="1">
        <v>1</v>
      </c>
      <c r="J232" s="1">
        <f>[1]装备明细!J233</f>
        <v>0</v>
      </c>
      <c r="K232" s="1">
        <f>[1]装备明细!K233</f>
        <v>2</v>
      </c>
      <c r="L232" s="1">
        <f>[1]装备明细!L233</f>
        <v>6</v>
      </c>
      <c r="M232" s="1">
        <v>6</v>
      </c>
      <c r="N232" s="1">
        <f>[1]装备明细!$F236</f>
        <v>1</v>
      </c>
      <c r="O232" s="1">
        <f>[1]装备明细!$E233</f>
        <v>2</v>
      </c>
      <c r="P232" s="1">
        <f t="shared" si="19"/>
        <v>2</v>
      </c>
      <c r="Q232" s="1">
        <f t="shared" si="20"/>
        <v>520</v>
      </c>
      <c r="R232" s="1">
        <f t="shared" si="21"/>
        <v>19</v>
      </c>
      <c r="S232" s="1">
        <f t="shared" si="22"/>
        <v>2</v>
      </c>
    </row>
    <row r="233" spans="1:19" x14ac:dyDescent="0.15">
      <c r="A233" s="1">
        <v>232</v>
      </c>
      <c r="B233" s="1">
        <v>0</v>
      </c>
      <c r="C233" s="1">
        <f>[1]装备明细!B234</f>
        <v>102071100</v>
      </c>
      <c r="D233" s="1">
        <f t="shared" si="18"/>
        <v>200232</v>
      </c>
      <c r="E233" s="1" t="s">
        <v>63</v>
      </c>
      <c r="F233" s="1" t="str">
        <f ca="1">[1]装备明细!C234&amp;"图纸"</f>
        <v>至尊歌德球图纸</v>
      </c>
      <c r="G233" s="1" t="str">
        <f ca="1">[1]装备明细!$I234</f>
        <v>[191-236]攻击 +1个随机属性</v>
      </c>
      <c r="H233" s="1">
        <f t="shared" si="23"/>
        <v>100232</v>
      </c>
      <c r="I233" s="1">
        <v>1</v>
      </c>
      <c r="J233" s="1">
        <f>[1]装备明细!J234</f>
        <v>0</v>
      </c>
      <c r="K233" s="1">
        <f>[1]装备明细!K234</f>
        <v>2</v>
      </c>
      <c r="L233" s="1">
        <f>[1]装备明细!L234</f>
        <v>7</v>
      </c>
      <c r="M233" s="1">
        <v>6</v>
      </c>
      <c r="N233" s="1">
        <f>[1]装备明细!$F237</f>
        <v>1</v>
      </c>
      <c r="O233" s="1">
        <f>[1]装备明细!$E234</f>
        <v>2</v>
      </c>
      <c r="P233" s="1">
        <f t="shared" si="19"/>
        <v>2</v>
      </c>
      <c r="Q233" s="1">
        <f t="shared" si="20"/>
        <v>540</v>
      </c>
      <c r="R233" s="1">
        <f t="shared" si="21"/>
        <v>19</v>
      </c>
      <c r="S233" s="1">
        <f t="shared" si="22"/>
        <v>2</v>
      </c>
    </row>
    <row r="234" spans="1:19" x14ac:dyDescent="0.15">
      <c r="A234" s="1">
        <v>233</v>
      </c>
      <c r="B234" s="1">
        <v>0</v>
      </c>
      <c r="C234" s="1">
        <f>[1]装备明细!B235</f>
        <v>102081100</v>
      </c>
      <c r="D234" s="1">
        <f t="shared" si="18"/>
        <v>200233</v>
      </c>
      <c r="E234" s="1" t="s">
        <v>63</v>
      </c>
      <c r="F234" s="1" t="str">
        <f ca="1">[1]装备明细!C235&amp;"图纸"</f>
        <v>绝旨空灵球图纸</v>
      </c>
      <c r="G234" s="1" t="str">
        <f ca="1">[1]装备明细!$I235</f>
        <v>[237-287]攻击 +1个随机属性</v>
      </c>
      <c r="H234" s="1">
        <f t="shared" si="23"/>
        <v>100233</v>
      </c>
      <c r="I234" s="1">
        <v>1</v>
      </c>
      <c r="J234" s="1">
        <f>[1]装备明细!J235</f>
        <v>0</v>
      </c>
      <c r="K234" s="1">
        <f>[1]装备明细!K235</f>
        <v>2</v>
      </c>
      <c r="L234" s="1">
        <f>[1]装备明细!L235</f>
        <v>8</v>
      </c>
      <c r="M234" s="1">
        <v>6</v>
      </c>
      <c r="N234" s="1">
        <f>[1]装备明细!$F238</f>
        <v>1</v>
      </c>
      <c r="O234" s="1">
        <f>[1]装备明细!$E235</f>
        <v>2</v>
      </c>
      <c r="P234" s="1">
        <f t="shared" si="19"/>
        <v>2</v>
      </c>
      <c r="Q234" s="1">
        <f t="shared" si="20"/>
        <v>560</v>
      </c>
      <c r="R234" s="1">
        <f t="shared" si="21"/>
        <v>19</v>
      </c>
      <c r="S234" s="1">
        <f t="shared" si="22"/>
        <v>2</v>
      </c>
    </row>
    <row r="235" spans="1:19" x14ac:dyDescent="0.15">
      <c r="A235" s="1">
        <v>234</v>
      </c>
      <c r="B235" s="1">
        <v>0</v>
      </c>
      <c r="C235" s="1">
        <f>[1]装备明细!B236</f>
        <v>102091100</v>
      </c>
      <c r="D235" s="1">
        <f t="shared" si="18"/>
        <v>200234</v>
      </c>
      <c r="E235" s="1" t="s">
        <v>63</v>
      </c>
      <c r="F235" s="1" t="str">
        <f ca="1">[1]装备明细!C236&amp;"图纸"</f>
        <v>天工混乱球图纸</v>
      </c>
      <c r="G235" s="1" t="str">
        <f ca="1">[1]装备明细!$I236</f>
        <v>[288-342]攻击 +1个随机属性</v>
      </c>
      <c r="H235" s="1">
        <f t="shared" si="23"/>
        <v>100234</v>
      </c>
      <c r="I235" s="1">
        <v>1</v>
      </c>
      <c r="J235" s="1">
        <f>[1]装备明细!J236</f>
        <v>0</v>
      </c>
      <c r="K235" s="1">
        <f>[1]装备明细!K236</f>
        <v>2</v>
      </c>
      <c r="L235" s="1">
        <f>[1]装备明细!L236</f>
        <v>9</v>
      </c>
      <c r="M235" s="1">
        <v>6</v>
      </c>
      <c r="N235" s="1">
        <f>[1]装备明细!$F239</f>
        <v>1</v>
      </c>
      <c r="O235" s="1">
        <f>[1]装备明细!$E236</f>
        <v>2</v>
      </c>
      <c r="P235" s="1">
        <f t="shared" si="19"/>
        <v>2</v>
      </c>
      <c r="Q235" s="1">
        <f t="shared" si="20"/>
        <v>580</v>
      </c>
      <c r="R235" s="1">
        <f t="shared" si="21"/>
        <v>19</v>
      </c>
      <c r="S235" s="1">
        <f t="shared" si="22"/>
        <v>2</v>
      </c>
    </row>
    <row r="236" spans="1:19" x14ac:dyDescent="0.15">
      <c r="A236" s="1">
        <v>235</v>
      </c>
      <c r="B236" s="1">
        <v>0</v>
      </c>
      <c r="C236" s="1">
        <f>[1]装备明细!B237</f>
        <v>102011200</v>
      </c>
      <c r="D236" s="1">
        <f t="shared" si="18"/>
        <v>200235</v>
      </c>
      <c r="E236" s="1" t="s">
        <v>63</v>
      </c>
      <c r="F236" s="1" t="str">
        <f ca="1">[1]装备明细!C237&amp;"图纸"</f>
        <v>学徒颓废爪图纸</v>
      </c>
      <c r="G236" s="1" t="str">
        <f ca="1">[1]装备明细!$I237</f>
        <v>[1-21]攻击 +1个随机属性</v>
      </c>
      <c r="H236" s="1">
        <f t="shared" si="23"/>
        <v>100235</v>
      </c>
      <c r="I236" s="1">
        <v>1</v>
      </c>
      <c r="J236" s="1">
        <f>[1]装备明细!J237</f>
        <v>0</v>
      </c>
      <c r="K236" s="1">
        <f>[1]装备明细!K237</f>
        <v>2</v>
      </c>
      <c r="L236" s="1">
        <f>[1]装备明细!L237</f>
        <v>1</v>
      </c>
      <c r="M236" s="1">
        <v>6</v>
      </c>
      <c r="N236" s="1">
        <f>[1]装备明细!$F240</f>
        <v>1</v>
      </c>
      <c r="O236" s="1">
        <f>[1]装备明细!$E237</f>
        <v>2</v>
      </c>
      <c r="P236" s="1">
        <f t="shared" si="19"/>
        <v>2</v>
      </c>
      <c r="Q236" s="1">
        <f t="shared" si="20"/>
        <v>420</v>
      </c>
      <c r="R236" s="1">
        <f t="shared" si="21"/>
        <v>19</v>
      </c>
      <c r="S236" s="1">
        <f t="shared" si="22"/>
        <v>2</v>
      </c>
    </row>
    <row r="237" spans="1:19" x14ac:dyDescent="0.15">
      <c r="A237" s="1">
        <v>236</v>
      </c>
      <c r="B237" s="1">
        <v>0</v>
      </c>
      <c r="C237" s="1">
        <f>[1]装备明细!B238</f>
        <v>102021200</v>
      </c>
      <c r="D237" s="1">
        <f t="shared" si="18"/>
        <v>200236</v>
      </c>
      <c r="E237" s="1" t="s">
        <v>63</v>
      </c>
      <c r="F237" s="1" t="str">
        <f ca="1">[1]装备明细!C238&amp;"图纸"</f>
        <v>专家玄铁爪图纸</v>
      </c>
      <c r="G237" s="1" t="str">
        <f ca="1">[1]装备明细!$I238</f>
        <v>[22-46]攻击 +1个随机属性</v>
      </c>
      <c r="H237" s="1">
        <f t="shared" si="23"/>
        <v>100236</v>
      </c>
      <c r="I237" s="1">
        <v>1</v>
      </c>
      <c r="J237" s="1">
        <f>[1]装备明细!J238</f>
        <v>0</v>
      </c>
      <c r="K237" s="1">
        <f>[1]装备明细!K238</f>
        <v>2</v>
      </c>
      <c r="L237" s="1">
        <f>[1]装备明细!L238</f>
        <v>2</v>
      </c>
      <c r="M237" s="1">
        <v>6</v>
      </c>
      <c r="N237" s="1">
        <f>[1]装备明细!$F241</f>
        <v>1</v>
      </c>
      <c r="O237" s="1">
        <f>[1]装备明细!$E238</f>
        <v>2</v>
      </c>
      <c r="P237" s="1">
        <f t="shared" si="19"/>
        <v>2</v>
      </c>
      <c r="Q237" s="1">
        <f t="shared" si="20"/>
        <v>440</v>
      </c>
      <c r="R237" s="1">
        <f t="shared" si="21"/>
        <v>19</v>
      </c>
      <c r="S237" s="1">
        <f t="shared" si="22"/>
        <v>2</v>
      </c>
    </row>
    <row r="238" spans="1:19" x14ac:dyDescent="0.15">
      <c r="A238" s="1">
        <v>237</v>
      </c>
      <c r="B238" s="1">
        <v>0</v>
      </c>
      <c r="C238" s="1">
        <f>[1]装备明细!B239</f>
        <v>102031200</v>
      </c>
      <c r="D238" s="1">
        <f t="shared" si="18"/>
        <v>200237</v>
      </c>
      <c r="E238" s="1" t="s">
        <v>63</v>
      </c>
      <c r="F238" s="1" t="str">
        <f ca="1">[1]装备明细!C239&amp;"图纸"</f>
        <v>大师水晶爪图纸</v>
      </c>
      <c r="G238" s="1" t="str">
        <f ca="1">[1]装备明细!$I239</f>
        <v>[47-75]攻击 +1个随机属性</v>
      </c>
      <c r="H238" s="1">
        <f t="shared" si="23"/>
        <v>100237</v>
      </c>
      <c r="I238" s="1">
        <v>1</v>
      </c>
      <c r="J238" s="1">
        <f>[1]装备明细!J239</f>
        <v>0</v>
      </c>
      <c r="K238" s="1">
        <f>[1]装备明细!K239</f>
        <v>2</v>
      </c>
      <c r="L238" s="1">
        <f>[1]装备明细!L239</f>
        <v>3</v>
      </c>
      <c r="M238" s="1">
        <v>6</v>
      </c>
      <c r="N238" s="1">
        <f>[1]装备明细!$F242</f>
        <v>1</v>
      </c>
      <c r="O238" s="1">
        <f>[1]装备明细!$E239</f>
        <v>2</v>
      </c>
      <c r="P238" s="1">
        <f t="shared" si="19"/>
        <v>2</v>
      </c>
      <c r="Q238" s="1">
        <f t="shared" si="20"/>
        <v>460</v>
      </c>
      <c r="R238" s="1">
        <f t="shared" si="21"/>
        <v>19</v>
      </c>
      <c r="S238" s="1">
        <f t="shared" si="22"/>
        <v>2</v>
      </c>
    </row>
    <row r="239" spans="1:19" x14ac:dyDescent="0.15">
      <c r="A239" s="1">
        <v>238</v>
      </c>
      <c r="B239" s="1">
        <v>0</v>
      </c>
      <c r="C239" s="1">
        <f>[1]装备明细!B240</f>
        <v>102041200</v>
      </c>
      <c r="D239" s="1">
        <f t="shared" si="18"/>
        <v>200238</v>
      </c>
      <c r="E239" s="1" t="s">
        <v>63</v>
      </c>
      <c r="F239" s="1" t="str">
        <f ca="1">[1]装备明细!C240&amp;"图纸"</f>
        <v>宗师精钢爪图纸</v>
      </c>
      <c r="G239" s="1" t="str">
        <f ca="1">[1]装备明细!$I240</f>
        <v>[76-109]攻击 +1个随机属性</v>
      </c>
      <c r="H239" s="1">
        <f t="shared" si="23"/>
        <v>100238</v>
      </c>
      <c r="I239" s="1">
        <v>1</v>
      </c>
      <c r="J239" s="1">
        <f>[1]装备明细!J240</f>
        <v>0</v>
      </c>
      <c r="K239" s="1">
        <f>[1]装备明细!K240</f>
        <v>2</v>
      </c>
      <c r="L239" s="1">
        <f>[1]装备明细!L240</f>
        <v>4</v>
      </c>
      <c r="M239" s="1">
        <v>6</v>
      </c>
      <c r="N239" s="1">
        <f>[1]装备明细!$F243</f>
        <v>1</v>
      </c>
      <c r="O239" s="1">
        <f>[1]装备明细!$E240</f>
        <v>2</v>
      </c>
      <c r="P239" s="1">
        <f t="shared" si="19"/>
        <v>2</v>
      </c>
      <c r="Q239" s="1">
        <f t="shared" si="20"/>
        <v>480</v>
      </c>
      <c r="R239" s="1">
        <f t="shared" si="21"/>
        <v>19</v>
      </c>
      <c r="S239" s="1">
        <f t="shared" si="22"/>
        <v>2</v>
      </c>
    </row>
    <row r="240" spans="1:19" x14ac:dyDescent="0.15">
      <c r="A240" s="1">
        <v>239</v>
      </c>
      <c r="B240" s="1">
        <v>0</v>
      </c>
      <c r="C240" s="1">
        <f>[1]装备明细!B241</f>
        <v>102051200</v>
      </c>
      <c r="D240" s="1">
        <f t="shared" si="18"/>
        <v>200239</v>
      </c>
      <c r="E240" s="1" t="s">
        <v>63</v>
      </c>
      <c r="F240" s="1" t="str">
        <f ca="1">[1]装备明细!C241&amp;"图纸"</f>
        <v>显赫白银爪图纸</v>
      </c>
      <c r="G240" s="1" t="str">
        <f ca="1">[1]装备明细!$I241</f>
        <v>[110-148]攻击 +1个随机属性</v>
      </c>
      <c r="H240" s="1">
        <f t="shared" si="23"/>
        <v>100239</v>
      </c>
      <c r="I240" s="1">
        <v>1</v>
      </c>
      <c r="J240" s="1">
        <f>[1]装备明细!J241</f>
        <v>0</v>
      </c>
      <c r="K240" s="1">
        <f>[1]装备明细!K241</f>
        <v>2</v>
      </c>
      <c r="L240" s="1">
        <f>[1]装备明细!L241</f>
        <v>5</v>
      </c>
      <c r="M240" s="1">
        <v>6</v>
      </c>
      <c r="N240" s="1">
        <f>[1]装备明细!$F244</f>
        <v>1</v>
      </c>
      <c r="O240" s="1">
        <f>[1]装备明细!$E241</f>
        <v>2</v>
      </c>
      <c r="P240" s="1">
        <f t="shared" si="19"/>
        <v>2</v>
      </c>
      <c r="Q240" s="1">
        <f t="shared" si="20"/>
        <v>500</v>
      </c>
      <c r="R240" s="1">
        <f t="shared" si="21"/>
        <v>19</v>
      </c>
      <c r="S240" s="1">
        <f t="shared" si="22"/>
        <v>2</v>
      </c>
    </row>
    <row r="241" spans="1:19" x14ac:dyDescent="0.15">
      <c r="A241" s="1">
        <v>240</v>
      </c>
      <c r="B241" s="1">
        <v>0</v>
      </c>
      <c r="C241" s="1">
        <f>[1]装备明细!B242</f>
        <v>102061200</v>
      </c>
      <c r="D241" s="1">
        <f t="shared" si="18"/>
        <v>200240</v>
      </c>
      <c r="E241" s="1" t="s">
        <v>63</v>
      </c>
      <c r="F241" s="1" t="str">
        <f ca="1">[1]装备明细!C242&amp;"图纸"</f>
        <v>尊荣虚幻爪图纸</v>
      </c>
      <c r="G241" s="1" t="str">
        <f ca="1">[1]装备明细!$I242</f>
        <v>[149-190]攻击 +1个随机属性</v>
      </c>
      <c r="H241" s="1">
        <f t="shared" si="23"/>
        <v>100240</v>
      </c>
      <c r="I241" s="1">
        <v>1</v>
      </c>
      <c r="J241" s="1">
        <f>[1]装备明细!J242</f>
        <v>0</v>
      </c>
      <c r="K241" s="1">
        <f>[1]装备明细!K242</f>
        <v>2</v>
      </c>
      <c r="L241" s="1">
        <f>[1]装备明细!L242</f>
        <v>6</v>
      </c>
      <c r="M241" s="1">
        <v>6</v>
      </c>
      <c r="N241" s="1">
        <f>[1]装备明细!$F245</f>
        <v>1</v>
      </c>
      <c r="O241" s="1">
        <f>[1]装备明细!$E242</f>
        <v>2</v>
      </c>
      <c r="P241" s="1">
        <f t="shared" si="19"/>
        <v>2</v>
      </c>
      <c r="Q241" s="1">
        <f t="shared" si="20"/>
        <v>520</v>
      </c>
      <c r="R241" s="1">
        <f t="shared" si="21"/>
        <v>19</v>
      </c>
      <c r="S241" s="1">
        <f t="shared" si="22"/>
        <v>2</v>
      </c>
    </row>
    <row r="242" spans="1:19" x14ac:dyDescent="0.15">
      <c r="A242" s="1">
        <v>241</v>
      </c>
      <c r="B242" s="1">
        <v>0</v>
      </c>
      <c r="C242" s="1">
        <f>[1]装备明细!B243</f>
        <v>102071200</v>
      </c>
      <c r="D242" s="1">
        <f t="shared" si="18"/>
        <v>200241</v>
      </c>
      <c r="E242" s="1" t="s">
        <v>63</v>
      </c>
      <c r="F242" s="1" t="str">
        <f ca="1">[1]装备明细!C243&amp;"图纸"</f>
        <v>至尊歌德爪图纸</v>
      </c>
      <c r="G242" s="1" t="str">
        <f ca="1">[1]装备明细!$I243</f>
        <v>[191-236]攻击 +1个随机属性</v>
      </c>
      <c r="H242" s="1">
        <f t="shared" si="23"/>
        <v>100241</v>
      </c>
      <c r="I242" s="1">
        <v>1</v>
      </c>
      <c r="J242" s="1">
        <f>[1]装备明细!J243</f>
        <v>0</v>
      </c>
      <c r="K242" s="1">
        <f>[1]装备明细!K243</f>
        <v>2</v>
      </c>
      <c r="L242" s="1">
        <f>[1]装备明细!L243</f>
        <v>7</v>
      </c>
      <c r="M242" s="1">
        <v>6</v>
      </c>
      <c r="N242" s="1">
        <f>[1]装备明细!$F246</f>
        <v>1</v>
      </c>
      <c r="O242" s="1">
        <f>[1]装备明细!$E243</f>
        <v>2</v>
      </c>
      <c r="P242" s="1">
        <f t="shared" si="19"/>
        <v>2</v>
      </c>
      <c r="Q242" s="1">
        <f t="shared" si="20"/>
        <v>540</v>
      </c>
      <c r="R242" s="1">
        <f t="shared" si="21"/>
        <v>19</v>
      </c>
      <c r="S242" s="1">
        <f t="shared" si="22"/>
        <v>2</v>
      </c>
    </row>
    <row r="243" spans="1:19" x14ac:dyDescent="0.15">
      <c r="A243" s="1">
        <v>242</v>
      </c>
      <c r="B243" s="1">
        <v>0</v>
      </c>
      <c r="C243" s="1">
        <f>[1]装备明细!B244</f>
        <v>102081200</v>
      </c>
      <c r="D243" s="1">
        <f t="shared" si="18"/>
        <v>200242</v>
      </c>
      <c r="E243" s="1" t="s">
        <v>63</v>
      </c>
      <c r="F243" s="1" t="str">
        <f ca="1">[1]装备明细!C244&amp;"图纸"</f>
        <v>绝旨空灵爪图纸</v>
      </c>
      <c r="G243" s="1" t="str">
        <f ca="1">[1]装备明细!$I244</f>
        <v>[237-287]攻击 +1个随机属性</v>
      </c>
      <c r="H243" s="1">
        <f t="shared" si="23"/>
        <v>100242</v>
      </c>
      <c r="I243" s="1">
        <v>1</v>
      </c>
      <c r="J243" s="1">
        <f>[1]装备明细!J244</f>
        <v>0</v>
      </c>
      <c r="K243" s="1">
        <f>[1]装备明细!K244</f>
        <v>2</v>
      </c>
      <c r="L243" s="1">
        <f>[1]装备明细!L244</f>
        <v>8</v>
      </c>
      <c r="M243" s="1">
        <v>6</v>
      </c>
      <c r="N243" s="1">
        <f>[1]装备明细!$F247</f>
        <v>1</v>
      </c>
      <c r="O243" s="1">
        <f>[1]装备明细!$E244</f>
        <v>2</v>
      </c>
      <c r="P243" s="1">
        <f t="shared" si="19"/>
        <v>2</v>
      </c>
      <c r="Q243" s="1">
        <f t="shared" si="20"/>
        <v>560</v>
      </c>
      <c r="R243" s="1">
        <f t="shared" si="21"/>
        <v>19</v>
      </c>
      <c r="S243" s="1">
        <f t="shared" si="22"/>
        <v>2</v>
      </c>
    </row>
    <row r="244" spans="1:19" x14ac:dyDescent="0.15">
      <c r="A244" s="1">
        <v>243</v>
      </c>
      <c r="B244" s="1">
        <v>0</v>
      </c>
      <c r="C244" s="1">
        <f>[1]装备明细!B245</f>
        <v>102091200</v>
      </c>
      <c r="D244" s="1">
        <f t="shared" si="18"/>
        <v>200243</v>
      </c>
      <c r="E244" s="1" t="s">
        <v>63</v>
      </c>
      <c r="F244" s="1" t="str">
        <f ca="1">[1]装备明细!C245&amp;"图纸"</f>
        <v>天工混乱爪图纸</v>
      </c>
      <c r="G244" s="1" t="str">
        <f ca="1">[1]装备明细!$I245</f>
        <v>[288-342]攻击 +1个随机属性</v>
      </c>
      <c r="H244" s="1">
        <f t="shared" si="23"/>
        <v>100243</v>
      </c>
      <c r="I244" s="1">
        <v>1</v>
      </c>
      <c r="J244" s="1">
        <f>[1]装备明细!J245</f>
        <v>0</v>
      </c>
      <c r="K244" s="1">
        <f>[1]装备明细!K245</f>
        <v>2</v>
      </c>
      <c r="L244" s="1">
        <f>[1]装备明细!L245</f>
        <v>9</v>
      </c>
      <c r="M244" s="1">
        <v>6</v>
      </c>
      <c r="N244" s="1">
        <f>[1]装备明细!$F248</f>
        <v>1</v>
      </c>
      <c r="O244" s="1">
        <f>[1]装备明细!$E245</f>
        <v>2</v>
      </c>
      <c r="P244" s="1">
        <f t="shared" si="19"/>
        <v>2</v>
      </c>
      <c r="Q244" s="1">
        <f t="shared" si="20"/>
        <v>580</v>
      </c>
      <c r="R244" s="1">
        <f t="shared" si="21"/>
        <v>19</v>
      </c>
      <c r="S244" s="1">
        <f t="shared" si="22"/>
        <v>2</v>
      </c>
    </row>
    <row r="245" spans="1:19" x14ac:dyDescent="0.15">
      <c r="A245" s="1">
        <v>244</v>
      </c>
      <c r="B245" s="1">
        <v>0</v>
      </c>
      <c r="C245" s="1">
        <f>[1]装备明细!B246</f>
        <v>102011300</v>
      </c>
      <c r="D245" s="1">
        <f t="shared" si="18"/>
        <v>200244</v>
      </c>
      <c r="E245" s="1" t="s">
        <v>63</v>
      </c>
      <c r="F245" s="1" t="str">
        <f ca="1">[1]装备明细!C246&amp;"图纸"</f>
        <v>学徒颓废剑图纸</v>
      </c>
      <c r="G245" s="1" t="str">
        <f ca="1">[1]装备明细!$I246</f>
        <v>[1-21]攻击 +1个随机属性</v>
      </c>
      <c r="H245" s="1">
        <f t="shared" si="23"/>
        <v>100244</v>
      </c>
      <c r="I245" s="1">
        <v>1</v>
      </c>
      <c r="J245" s="1">
        <f>[1]装备明细!J246</f>
        <v>0</v>
      </c>
      <c r="K245" s="1">
        <f>[1]装备明细!K246</f>
        <v>2</v>
      </c>
      <c r="L245" s="1">
        <f>[1]装备明细!L246</f>
        <v>1</v>
      </c>
      <c r="M245" s="1">
        <v>6</v>
      </c>
      <c r="N245" s="1">
        <f>[1]装备明细!$F249</f>
        <v>1</v>
      </c>
      <c r="O245" s="1">
        <f>[1]装备明细!$E246</f>
        <v>2</v>
      </c>
      <c r="P245" s="1">
        <f t="shared" si="19"/>
        <v>2</v>
      </c>
      <c r="Q245" s="1">
        <f t="shared" si="20"/>
        <v>420</v>
      </c>
      <c r="R245" s="1">
        <f t="shared" si="21"/>
        <v>19</v>
      </c>
      <c r="S245" s="1">
        <f t="shared" si="22"/>
        <v>2</v>
      </c>
    </row>
    <row r="246" spans="1:19" x14ac:dyDescent="0.15">
      <c r="A246" s="1">
        <v>245</v>
      </c>
      <c r="B246" s="1">
        <v>0</v>
      </c>
      <c r="C246" s="1">
        <f>[1]装备明细!B247</f>
        <v>102021300</v>
      </c>
      <c r="D246" s="1">
        <f t="shared" si="18"/>
        <v>200245</v>
      </c>
      <c r="E246" s="1" t="s">
        <v>63</v>
      </c>
      <c r="F246" s="1" t="str">
        <f ca="1">[1]装备明细!C247&amp;"图纸"</f>
        <v>专家玄铁剑图纸</v>
      </c>
      <c r="G246" s="1" t="str">
        <f ca="1">[1]装备明细!$I247</f>
        <v>[22-46]攻击 +1个随机属性</v>
      </c>
      <c r="H246" s="1">
        <f t="shared" si="23"/>
        <v>100245</v>
      </c>
      <c r="I246" s="1">
        <v>1</v>
      </c>
      <c r="J246" s="1">
        <f>[1]装备明细!J247</f>
        <v>0</v>
      </c>
      <c r="K246" s="1">
        <f>[1]装备明细!K247</f>
        <v>2</v>
      </c>
      <c r="L246" s="1">
        <f>[1]装备明细!L247</f>
        <v>2</v>
      </c>
      <c r="M246" s="1">
        <v>6</v>
      </c>
      <c r="N246" s="1">
        <f>[1]装备明细!$F250</f>
        <v>1</v>
      </c>
      <c r="O246" s="1">
        <f>[1]装备明细!$E247</f>
        <v>2</v>
      </c>
      <c r="P246" s="1">
        <f t="shared" si="19"/>
        <v>2</v>
      </c>
      <c r="Q246" s="1">
        <f t="shared" si="20"/>
        <v>440</v>
      </c>
      <c r="R246" s="1">
        <f t="shared" si="21"/>
        <v>19</v>
      </c>
      <c r="S246" s="1">
        <f t="shared" si="22"/>
        <v>2</v>
      </c>
    </row>
    <row r="247" spans="1:19" x14ac:dyDescent="0.15">
      <c r="A247" s="1">
        <v>246</v>
      </c>
      <c r="B247" s="1">
        <v>0</v>
      </c>
      <c r="C247" s="1">
        <f>[1]装备明细!B248</f>
        <v>102031300</v>
      </c>
      <c r="D247" s="1">
        <f t="shared" si="18"/>
        <v>200246</v>
      </c>
      <c r="E247" s="1" t="s">
        <v>63</v>
      </c>
      <c r="F247" s="1" t="str">
        <f ca="1">[1]装备明细!C248&amp;"图纸"</f>
        <v>大师水晶剑图纸</v>
      </c>
      <c r="G247" s="1" t="str">
        <f ca="1">[1]装备明细!$I248</f>
        <v>[47-75]攻击 +1个随机属性</v>
      </c>
      <c r="H247" s="1">
        <f t="shared" si="23"/>
        <v>100246</v>
      </c>
      <c r="I247" s="1">
        <v>1</v>
      </c>
      <c r="J247" s="1">
        <f>[1]装备明细!J248</f>
        <v>0</v>
      </c>
      <c r="K247" s="1">
        <f>[1]装备明细!K248</f>
        <v>2</v>
      </c>
      <c r="L247" s="1">
        <f>[1]装备明细!L248</f>
        <v>3</v>
      </c>
      <c r="M247" s="1">
        <v>6</v>
      </c>
      <c r="N247" s="1">
        <f>[1]装备明细!$F251</f>
        <v>1</v>
      </c>
      <c r="O247" s="1">
        <f>[1]装备明细!$E248</f>
        <v>2</v>
      </c>
      <c r="P247" s="1">
        <f t="shared" si="19"/>
        <v>2</v>
      </c>
      <c r="Q247" s="1">
        <f t="shared" si="20"/>
        <v>460</v>
      </c>
      <c r="R247" s="1">
        <f t="shared" si="21"/>
        <v>19</v>
      </c>
      <c r="S247" s="1">
        <f t="shared" si="22"/>
        <v>2</v>
      </c>
    </row>
    <row r="248" spans="1:19" x14ac:dyDescent="0.15">
      <c r="A248" s="1">
        <v>247</v>
      </c>
      <c r="B248" s="1">
        <v>0</v>
      </c>
      <c r="C248" s="1">
        <f>[1]装备明细!B249</f>
        <v>102041300</v>
      </c>
      <c r="D248" s="1">
        <f t="shared" si="18"/>
        <v>200247</v>
      </c>
      <c r="E248" s="1" t="s">
        <v>63</v>
      </c>
      <c r="F248" s="1" t="str">
        <f ca="1">[1]装备明细!C249&amp;"图纸"</f>
        <v>宗师精钢剑图纸</v>
      </c>
      <c r="G248" s="1" t="str">
        <f ca="1">[1]装备明细!$I249</f>
        <v>[76-109]攻击 +1个随机属性</v>
      </c>
      <c r="H248" s="1">
        <f t="shared" si="23"/>
        <v>100247</v>
      </c>
      <c r="I248" s="1">
        <v>1</v>
      </c>
      <c r="J248" s="1">
        <f>[1]装备明细!J249</f>
        <v>0</v>
      </c>
      <c r="K248" s="1">
        <f>[1]装备明细!K249</f>
        <v>2</v>
      </c>
      <c r="L248" s="1">
        <f>[1]装备明细!L249</f>
        <v>4</v>
      </c>
      <c r="M248" s="1">
        <v>6</v>
      </c>
      <c r="N248" s="1">
        <f>[1]装备明细!$F252</f>
        <v>1</v>
      </c>
      <c r="O248" s="1">
        <f>[1]装备明细!$E249</f>
        <v>2</v>
      </c>
      <c r="P248" s="1">
        <f t="shared" si="19"/>
        <v>2</v>
      </c>
      <c r="Q248" s="1">
        <f t="shared" si="20"/>
        <v>480</v>
      </c>
      <c r="R248" s="1">
        <f t="shared" si="21"/>
        <v>19</v>
      </c>
      <c r="S248" s="1">
        <f t="shared" si="22"/>
        <v>2</v>
      </c>
    </row>
    <row r="249" spans="1:19" x14ac:dyDescent="0.15">
      <c r="A249" s="1">
        <v>248</v>
      </c>
      <c r="B249" s="1">
        <v>0</v>
      </c>
      <c r="C249" s="1">
        <f>[1]装备明细!B250</f>
        <v>102051300</v>
      </c>
      <c r="D249" s="1">
        <f t="shared" si="18"/>
        <v>200248</v>
      </c>
      <c r="E249" s="1" t="s">
        <v>63</v>
      </c>
      <c r="F249" s="1" t="str">
        <f ca="1">[1]装备明细!C250&amp;"图纸"</f>
        <v>显赫白银剑图纸</v>
      </c>
      <c r="G249" s="1" t="str">
        <f ca="1">[1]装备明细!$I250</f>
        <v>[110-148]攻击 +1个随机属性</v>
      </c>
      <c r="H249" s="1">
        <f t="shared" si="23"/>
        <v>100248</v>
      </c>
      <c r="I249" s="1">
        <v>1</v>
      </c>
      <c r="J249" s="1">
        <f>[1]装备明细!J250</f>
        <v>0</v>
      </c>
      <c r="K249" s="1">
        <f>[1]装备明细!K250</f>
        <v>2</v>
      </c>
      <c r="L249" s="1">
        <f>[1]装备明细!L250</f>
        <v>5</v>
      </c>
      <c r="M249" s="1">
        <v>6</v>
      </c>
      <c r="N249" s="1">
        <f>[1]装备明细!$F253</f>
        <v>1</v>
      </c>
      <c r="O249" s="1">
        <f>[1]装备明细!$E250</f>
        <v>2</v>
      </c>
      <c r="P249" s="1">
        <f t="shared" si="19"/>
        <v>2</v>
      </c>
      <c r="Q249" s="1">
        <f t="shared" si="20"/>
        <v>500</v>
      </c>
      <c r="R249" s="1">
        <f t="shared" si="21"/>
        <v>19</v>
      </c>
      <c r="S249" s="1">
        <f t="shared" si="22"/>
        <v>2</v>
      </c>
    </row>
    <row r="250" spans="1:19" x14ac:dyDescent="0.15">
      <c r="A250" s="1">
        <v>249</v>
      </c>
      <c r="B250" s="1">
        <v>0</v>
      </c>
      <c r="C250" s="1">
        <f>[1]装备明细!B251</f>
        <v>102061300</v>
      </c>
      <c r="D250" s="1">
        <f t="shared" si="18"/>
        <v>200249</v>
      </c>
      <c r="E250" s="1" t="s">
        <v>63</v>
      </c>
      <c r="F250" s="1" t="str">
        <f ca="1">[1]装备明细!C251&amp;"图纸"</f>
        <v>尊荣虚幻剑图纸</v>
      </c>
      <c r="G250" s="1" t="str">
        <f ca="1">[1]装备明细!$I251</f>
        <v>[149-190]攻击 +1个随机属性</v>
      </c>
      <c r="H250" s="1">
        <f t="shared" si="23"/>
        <v>100249</v>
      </c>
      <c r="I250" s="1">
        <v>1</v>
      </c>
      <c r="J250" s="1">
        <f>[1]装备明细!J251</f>
        <v>0</v>
      </c>
      <c r="K250" s="1">
        <f>[1]装备明细!K251</f>
        <v>2</v>
      </c>
      <c r="L250" s="1">
        <f>[1]装备明细!L251</f>
        <v>6</v>
      </c>
      <c r="M250" s="1">
        <v>6</v>
      </c>
      <c r="N250" s="1">
        <f>[1]装备明细!$F254</f>
        <v>1</v>
      </c>
      <c r="O250" s="1">
        <f>[1]装备明细!$E251</f>
        <v>2</v>
      </c>
      <c r="P250" s="1">
        <f t="shared" si="19"/>
        <v>2</v>
      </c>
      <c r="Q250" s="1">
        <f t="shared" si="20"/>
        <v>520</v>
      </c>
      <c r="R250" s="1">
        <f t="shared" si="21"/>
        <v>19</v>
      </c>
      <c r="S250" s="1">
        <f t="shared" si="22"/>
        <v>2</v>
      </c>
    </row>
    <row r="251" spans="1:19" x14ac:dyDescent="0.15">
      <c r="A251" s="1">
        <v>250</v>
      </c>
      <c r="B251" s="1">
        <v>0</v>
      </c>
      <c r="C251" s="1">
        <f>[1]装备明细!B252</f>
        <v>102071300</v>
      </c>
      <c r="D251" s="1">
        <f t="shared" si="18"/>
        <v>200250</v>
      </c>
      <c r="E251" s="1" t="s">
        <v>63</v>
      </c>
      <c r="F251" s="1" t="str">
        <f ca="1">[1]装备明细!C252&amp;"图纸"</f>
        <v>至尊歌德剑图纸</v>
      </c>
      <c r="G251" s="1" t="str">
        <f ca="1">[1]装备明细!$I252</f>
        <v>[191-236]攻击 +1个随机属性</v>
      </c>
      <c r="H251" s="1">
        <f t="shared" si="23"/>
        <v>100250</v>
      </c>
      <c r="I251" s="1">
        <v>1</v>
      </c>
      <c r="J251" s="1">
        <f>[1]装备明细!J252</f>
        <v>0</v>
      </c>
      <c r="K251" s="1">
        <f>[1]装备明细!K252</f>
        <v>2</v>
      </c>
      <c r="L251" s="1">
        <f>[1]装备明细!L252</f>
        <v>7</v>
      </c>
      <c r="M251" s="1">
        <v>6</v>
      </c>
      <c r="N251" s="1">
        <f>[1]装备明细!$F255</f>
        <v>2</v>
      </c>
      <c r="O251" s="1">
        <f>[1]装备明细!$E252</f>
        <v>2</v>
      </c>
      <c r="P251" s="1">
        <f t="shared" si="19"/>
        <v>2</v>
      </c>
      <c r="Q251" s="1">
        <f t="shared" si="20"/>
        <v>540</v>
      </c>
      <c r="R251" s="1">
        <f t="shared" si="21"/>
        <v>19</v>
      </c>
      <c r="S251" s="1">
        <f t="shared" si="22"/>
        <v>2</v>
      </c>
    </row>
    <row r="252" spans="1:19" x14ac:dyDescent="0.15">
      <c r="A252" s="1">
        <v>251</v>
      </c>
      <c r="B252" s="1">
        <v>0</v>
      </c>
      <c r="C252" s="1">
        <f>[1]装备明细!B253</f>
        <v>102081300</v>
      </c>
      <c r="D252" s="1">
        <f t="shared" si="18"/>
        <v>200251</v>
      </c>
      <c r="E252" s="1" t="s">
        <v>63</v>
      </c>
      <c r="F252" s="1" t="str">
        <f ca="1">[1]装备明细!C253&amp;"图纸"</f>
        <v>绝旨空灵剑图纸</v>
      </c>
      <c r="G252" s="1" t="str">
        <f ca="1">[1]装备明细!$I253</f>
        <v>[237-287]攻击 +1个随机属性</v>
      </c>
      <c r="H252" s="1">
        <f t="shared" si="23"/>
        <v>100251</v>
      </c>
      <c r="I252" s="1">
        <v>1</v>
      </c>
      <c r="J252" s="1">
        <f>[1]装备明细!J253</f>
        <v>0</v>
      </c>
      <c r="K252" s="1">
        <f>[1]装备明细!K253</f>
        <v>2</v>
      </c>
      <c r="L252" s="1">
        <f>[1]装备明细!L253</f>
        <v>8</v>
      </c>
      <c r="M252" s="1">
        <v>6</v>
      </c>
      <c r="N252" s="1">
        <f>[1]装备明细!$F256</f>
        <v>2</v>
      </c>
      <c r="O252" s="1">
        <f>[1]装备明细!$E253</f>
        <v>2</v>
      </c>
      <c r="P252" s="1">
        <f t="shared" si="19"/>
        <v>2</v>
      </c>
      <c r="Q252" s="1">
        <f t="shared" si="20"/>
        <v>560</v>
      </c>
      <c r="R252" s="1">
        <f t="shared" si="21"/>
        <v>19</v>
      </c>
      <c r="S252" s="1">
        <f t="shared" si="22"/>
        <v>2</v>
      </c>
    </row>
    <row r="253" spans="1:19" x14ac:dyDescent="0.15">
      <c r="A253" s="1">
        <v>252</v>
      </c>
      <c r="B253" s="1">
        <v>0</v>
      </c>
      <c r="C253" s="1">
        <f>[1]装备明细!B254</f>
        <v>102091300</v>
      </c>
      <c r="D253" s="1">
        <f t="shared" si="18"/>
        <v>200252</v>
      </c>
      <c r="E253" s="1" t="s">
        <v>63</v>
      </c>
      <c r="F253" s="1" t="str">
        <f ca="1">[1]装备明细!C254&amp;"图纸"</f>
        <v>天工混乱剑图纸</v>
      </c>
      <c r="G253" s="1" t="str">
        <f ca="1">[1]装备明细!$I254</f>
        <v>[288-342]攻击 +1个随机属性</v>
      </c>
      <c r="H253" s="1">
        <f t="shared" si="23"/>
        <v>100252</v>
      </c>
      <c r="I253" s="1">
        <v>1</v>
      </c>
      <c r="J253" s="1">
        <f>[1]装备明细!J254</f>
        <v>0</v>
      </c>
      <c r="K253" s="1">
        <f>[1]装备明细!K254</f>
        <v>2</v>
      </c>
      <c r="L253" s="1">
        <f>[1]装备明细!L254</f>
        <v>9</v>
      </c>
      <c r="M253" s="1">
        <v>6</v>
      </c>
      <c r="N253" s="1">
        <f>[1]装备明细!$F257</f>
        <v>2</v>
      </c>
      <c r="O253" s="1">
        <f>[1]装备明细!$E254</f>
        <v>2</v>
      </c>
      <c r="P253" s="1">
        <f t="shared" si="19"/>
        <v>2</v>
      </c>
      <c r="Q253" s="1">
        <f t="shared" si="20"/>
        <v>580</v>
      </c>
      <c r="R253" s="1">
        <f t="shared" si="21"/>
        <v>19</v>
      </c>
      <c r="S253" s="1">
        <f t="shared" si="22"/>
        <v>2</v>
      </c>
    </row>
    <row r="254" spans="1:19" x14ac:dyDescent="0.15">
      <c r="A254" s="1">
        <v>253</v>
      </c>
      <c r="B254" s="1">
        <v>0</v>
      </c>
      <c r="C254" s="1">
        <f>[1]装备明细!B255</f>
        <v>202011400</v>
      </c>
      <c r="D254" s="1">
        <f t="shared" si="18"/>
        <v>200253</v>
      </c>
      <c r="E254" s="1" t="s">
        <v>63</v>
      </c>
      <c r="F254" s="1" t="str">
        <f ca="1">[1]装备明细!C255&amp;"图纸"</f>
        <v>学徒颓废戒指图纸</v>
      </c>
      <c r="G254" s="1" t="str">
        <f ca="1">[1]装备明细!$I255</f>
        <v>[1-36]防御 +1个随机属性</v>
      </c>
      <c r="H254" s="1">
        <f t="shared" si="23"/>
        <v>100253</v>
      </c>
      <c r="I254" s="1">
        <v>1</v>
      </c>
      <c r="J254" s="1">
        <f>[1]装备明细!J255</f>
        <v>0</v>
      </c>
      <c r="K254" s="1">
        <f>[1]装备明细!K255</f>
        <v>2</v>
      </c>
      <c r="L254" s="1">
        <f>[1]装备明细!L255</f>
        <v>1</v>
      </c>
      <c r="M254" s="1">
        <v>6</v>
      </c>
      <c r="N254" s="1">
        <f>[1]装备明细!$F258</f>
        <v>2</v>
      </c>
      <c r="O254" s="1">
        <f>[1]装备明细!$E255</f>
        <v>2</v>
      </c>
      <c r="P254" s="1">
        <f t="shared" si="19"/>
        <v>2</v>
      </c>
      <c r="Q254" s="1">
        <f t="shared" si="20"/>
        <v>420</v>
      </c>
      <c r="R254" s="1">
        <f t="shared" si="21"/>
        <v>14</v>
      </c>
      <c r="S254" s="1">
        <f t="shared" si="22"/>
        <v>2</v>
      </c>
    </row>
    <row r="255" spans="1:19" x14ac:dyDescent="0.15">
      <c r="A255" s="1">
        <v>254</v>
      </c>
      <c r="B255" s="1">
        <v>0</v>
      </c>
      <c r="C255" s="1">
        <f>[1]装备明细!B256</f>
        <v>202021400</v>
      </c>
      <c r="D255" s="1">
        <f t="shared" si="18"/>
        <v>200254</v>
      </c>
      <c r="E255" s="1" t="s">
        <v>63</v>
      </c>
      <c r="F255" s="1" t="str">
        <f ca="1">[1]装备明细!C256&amp;"图纸"</f>
        <v>专家玄铁戒指图纸</v>
      </c>
      <c r="G255" s="1" t="str">
        <f ca="1">[1]装备明细!$I256</f>
        <v>[37-72]防御 +1个随机属性</v>
      </c>
      <c r="H255" s="1">
        <f t="shared" si="23"/>
        <v>100254</v>
      </c>
      <c r="I255" s="1">
        <v>1</v>
      </c>
      <c r="J255" s="1">
        <f>[1]装备明细!J256</f>
        <v>0</v>
      </c>
      <c r="K255" s="1">
        <f>[1]装备明细!K256</f>
        <v>2</v>
      </c>
      <c r="L255" s="1">
        <f>[1]装备明细!L256</f>
        <v>2</v>
      </c>
      <c r="M255" s="1">
        <v>6</v>
      </c>
      <c r="N255" s="1">
        <f>[1]装备明细!$F259</f>
        <v>2</v>
      </c>
      <c r="O255" s="1">
        <f>[1]装备明细!$E256</f>
        <v>2</v>
      </c>
      <c r="P255" s="1">
        <f t="shared" si="19"/>
        <v>2</v>
      </c>
      <c r="Q255" s="1">
        <f t="shared" si="20"/>
        <v>440</v>
      </c>
      <c r="R255" s="1">
        <f t="shared" si="21"/>
        <v>14</v>
      </c>
      <c r="S255" s="1">
        <f t="shared" si="22"/>
        <v>2</v>
      </c>
    </row>
    <row r="256" spans="1:19" x14ac:dyDescent="0.15">
      <c r="A256" s="1">
        <v>255</v>
      </c>
      <c r="B256" s="1">
        <v>0</v>
      </c>
      <c r="C256" s="1">
        <f>[1]装备明细!B257</f>
        <v>202031400</v>
      </c>
      <c r="D256" s="1">
        <f t="shared" si="18"/>
        <v>200255</v>
      </c>
      <c r="E256" s="1" t="s">
        <v>63</v>
      </c>
      <c r="F256" s="1" t="str">
        <f ca="1">[1]装备明细!C257&amp;"图纸"</f>
        <v>大师水晶戒指图纸</v>
      </c>
      <c r="G256" s="1" t="str">
        <f ca="1">[1]装备明细!$I257</f>
        <v>[73-109]防御 +1个随机属性</v>
      </c>
      <c r="H256" s="1">
        <f t="shared" si="23"/>
        <v>100255</v>
      </c>
      <c r="I256" s="1">
        <v>1</v>
      </c>
      <c r="J256" s="1">
        <f>[1]装备明细!J257</f>
        <v>0</v>
      </c>
      <c r="K256" s="1">
        <f>[1]装备明细!K257</f>
        <v>2</v>
      </c>
      <c r="L256" s="1">
        <f>[1]装备明细!L257</f>
        <v>3</v>
      </c>
      <c r="M256" s="1">
        <v>6</v>
      </c>
      <c r="N256" s="1">
        <f>[1]装备明细!$F260</f>
        <v>2</v>
      </c>
      <c r="O256" s="1">
        <f>[1]装备明细!$E257</f>
        <v>2</v>
      </c>
      <c r="P256" s="1">
        <f t="shared" si="19"/>
        <v>2</v>
      </c>
      <c r="Q256" s="1">
        <f t="shared" si="20"/>
        <v>460</v>
      </c>
      <c r="R256" s="1">
        <f t="shared" si="21"/>
        <v>14</v>
      </c>
      <c r="S256" s="1">
        <f t="shared" si="22"/>
        <v>2</v>
      </c>
    </row>
    <row r="257" spans="1:19" x14ac:dyDescent="0.15">
      <c r="A257" s="1">
        <v>256</v>
      </c>
      <c r="B257" s="1">
        <v>0</v>
      </c>
      <c r="C257" s="1">
        <f>[1]装备明细!B258</f>
        <v>202041400</v>
      </c>
      <c r="D257" s="1">
        <f t="shared" si="18"/>
        <v>200256</v>
      </c>
      <c r="E257" s="1" t="s">
        <v>63</v>
      </c>
      <c r="F257" s="1" t="str">
        <f ca="1">[1]装备明细!C258&amp;"图纸"</f>
        <v>宗师精钢戒指图纸</v>
      </c>
      <c r="G257" s="1" t="str">
        <f ca="1">[1]装备明细!$I258</f>
        <v>[110-145]防御 +1个随机属性</v>
      </c>
      <c r="H257" s="1">
        <f t="shared" si="23"/>
        <v>100256</v>
      </c>
      <c r="I257" s="1">
        <v>1</v>
      </c>
      <c r="J257" s="1">
        <f>[1]装备明细!J258</f>
        <v>0</v>
      </c>
      <c r="K257" s="1">
        <f>[1]装备明细!K258</f>
        <v>2</v>
      </c>
      <c r="L257" s="1">
        <f>[1]装备明细!L258</f>
        <v>4</v>
      </c>
      <c r="M257" s="1">
        <v>6</v>
      </c>
      <c r="N257" s="1">
        <f>[1]装备明细!$F261</f>
        <v>2</v>
      </c>
      <c r="O257" s="1">
        <f>[1]装备明细!$E258</f>
        <v>2</v>
      </c>
      <c r="P257" s="1">
        <f t="shared" si="19"/>
        <v>2</v>
      </c>
      <c r="Q257" s="1">
        <f t="shared" si="20"/>
        <v>480</v>
      </c>
      <c r="R257" s="1">
        <f t="shared" si="21"/>
        <v>14</v>
      </c>
      <c r="S257" s="1">
        <f t="shared" si="22"/>
        <v>2</v>
      </c>
    </row>
    <row r="258" spans="1:19" x14ac:dyDescent="0.15">
      <c r="A258" s="1">
        <v>257</v>
      </c>
      <c r="B258" s="1">
        <v>0</v>
      </c>
      <c r="C258" s="1">
        <f>[1]装备明细!B259</f>
        <v>202051400</v>
      </c>
      <c r="D258" s="1">
        <f t="shared" si="18"/>
        <v>200257</v>
      </c>
      <c r="E258" s="1" t="s">
        <v>63</v>
      </c>
      <c r="F258" s="1" t="str">
        <f ca="1">[1]装备明细!C259&amp;"图纸"</f>
        <v>显赫白银戒指图纸</v>
      </c>
      <c r="G258" s="1" t="str">
        <f ca="1">[1]装备明细!$I259</f>
        <v>[146-182]防御 +1个随机属性</v>
      </c>
      <c r="H258" s="1">
        <f t="shared" si="23"/>
        <v>100257</v>
      </c>
      <c r="I258" s="1">
        <v>1</v>
      </c>
      <c r="J258" s="1">
        <f>[1]装备明细!J259</f>
        <v>0</v>
      </c>
      <c r="K258" s="1">
        <f>[1]装备明细!K259</f>
        <v>2</v>
      </c>
      <c r="L258" s="1">
        <f>[1]装备明细!L259</f>
        <v>5</v>
      </c>
      <c r="M258" s="1">
        <v>6</v>
      </c>
      <c r="N258" s="1">
        <f>[1]装备明细!$F262</f>
        <v>2</v>
      </c>
      <c r="O258" s="1">
        <f>[1]装备明细!$E259</f>
        <v>2</v>
      </c>
      <c r="P258" s="1">
        <f t="shared" si="19"/>
        <v>2</v>
      </c>
      <c r="Q258" s="1">
        <f t="shared" si="20"/>
        <v>500</v>
      </c>
      <c r="R258" s="1">
        <f t="shared" si="21"/>
        <v>14</v>
      </c>
      <c r="S258" s="1">
        <f t="shared" si="22"/>
        <v>2</v>
      </c>
    </row>
    <row r="259" spans="1:19" x14ac:dyDescent="0.15">
      <c r="A259" s="1">
        <v>258</v>
      </c>
      <c r="B259" s="1">
        <v>0</v>
      </c>
      <c r="C259" s="1">
        <f>[1]装备明细!B260</f>
        <v>202061400</v>
      </c>
      <c r="D259" s="1">
        <f t="shared" ref="D259:D322" si="24">H259+100000</f>
        <v>200258</v>
      </c>
      <c r="E259" s="1" t="s">
        <v>63</v>
      </c>
      <c r="F259" s="1" t="str">
        <f ca="1">[1]装备明细!C260&amp;"图纸"</f>
        <v>尊荣虚幻戒指图纸</v>
      </c>
      <c r="G259" s="1" t="str">
        <f ca="1">[1]装备明细!$I260</f>
        <v>[183-218]防御 +1个随机属性</v>
      </c>
      <c r="H259" s="1">
        <f t="shared" si="23"/>
        <v>100258</v>
      </c>
      <c r="I259" s="1">
        <v>1</v>
      </c>
      <c r="J259" s="1">
        <f>[1]装备明细!J260</f>
        <v>0</v>
      </c>
      <c r="K259" s="1">
        <f>[1]装备明细!K260</f>
        <v>2</v>
      </c>
      <c r="L259" s="1">
        <f>[1]装备明细!L260</f>
        <v>6</v>
      </c>
      <c r="M259" s="1">
        <v>6</v>
      </c>
      <c r="N259" s="1">
        <f>[1]装备明细!$F263</f>
        <v>2</v>
      </c>
      <c r="O259" s="1">
        <f>[1]装备明细!$E260</f>
        <v>2</v>
      </c>
      <c r="P259" s="1">
        <f t="shared" ref="P259:P322" si="25">O259</f>
        <v>2</v>
      </c>
      <c r="Q259" s="1">
        <f t="shared" ref="Q259:Q322" si="26">O259*200+L259*20</f>
        <v>520</v>
      </c>
      <c r="R259" s="1">
        <f t="shared" ref="R259:R322" si="27">IF(--MID(C259,1,1)=1,IF(S259=1,2,19),IF(S259=1,2,14))</f>
        <v>14</v>
      </c>
      <c r="S259" s="1">
        <f t="shared" ref="S259:S322" si="28">--MID(C259,2,2)</f>
        <v>2</v>
      </c>
    </row>
    <row r="260" spans="1:19" x14ac:dyDescent="0.15">
      <c r="A260" s="1">
        <v>259</v>
      </c>
      <c r="B260" s="1">
        <v>0</v>
      </c>
      <c r="C260" s="1">
        <f>[1]装备明细!B261</f>
        <v>202071400</v>
      </c>
      <c r="D260" s="1">
        <f t="shared" si="24"/>
        <v>200259</v>
      </c>
      <c r="E260" s="1" t="s">
        <v>63</v>
      </c>
      <c r="F260" s="1" t="str">
        <f ca="1">[1]装备明细!C261&amp;"图纸"</f>
        <v>至尊歌德戒指图纸</v>
      </c>
      <c r="G260" s="1" t="str">
        <f ca="1">[1]装备明细!$I261</f>
        <v>[219-255]防御 +1个随机属性</v>
      </c>
      <c r="H260" s="1">
        <f t="shared" ref="H260:H323" si="29">H259+1</f>
        <v>100259</v>
      </c>
      <c r="I260" s="1">
        <v>1</v>
      </c>
      <c r="J260" s="1">
        <f>[1]装备明细!J261</f>
        <v>0</v>
      </c>
      <c r="K260" s="1">
        <f>[1]装备明细!K261</f>
        <v>2</v>
      </c>
      <c r="L260" s="1">
        <f>[1]装备明细!L261</f>
        <v>7</v>
      </c>
      <c r="M260" s="1">
        <v>6</v>
      </c>
      <c r="N260" s="1">
        <f>[1]装备明细!$F264</f>
        <v>3</v>
      </c>
      <c r="O260" s="1">
        <f>[1]装备明细!$E261</f>
        <v>2</v>
      </c>
      <c r="P260" s="1">
        <f t="shared" si="25"/>
        <v>2</v>
      </c>
      <c r="Q260" s="1">
        <f t="shared" si="26"/>
        <v>540</v>
      </c>
      <c r="R260" s="1">
        <f t="shared" si="27"/>
        <v>14</v>
      </c>
      <c r="S260" s="1">
        <f t="shared" si="28"/>
        <v>2</v>
      </c>
    </row>
    <row r="261" spans="1:19" x14ac:dyDescent="0.15">
      <c r="A261" s="1">
        <v>260</v>
      </c>
      <c r="B261" s="1">
        <v>0</v>
      </c>
      <c r="C261" s="1">
        <f>[1]装备明细!B262</f>
        <v>202081400</v>
      </c>
      <c r="D261" s="1">
        <f t="shared" si="24"/>
        <v>200260</v>
      </c>
      <c r="E261" s="1" t="s">
        <v>63</v>
      </c>
      <c r="F261" s="1" t="str">
        <f ca="1">[1]装备明细!C262&amp;"图纸"</f>
        <v>绝旨空灵戒指图纸</v>
      </c>
      <c r="G261" s="1" t="str">
        <f ca="1">[1]装备明细!$I262</f>
        <v>[256-291]防御 +1个随机属性</v>
      </c>
      <c r="H261" s="1">
        <f t="shared" si="29"/>
        <v>100260</v>
      </c>
      <c r="I261" s="1">
        <v>1</v>
      </c>
      <c r="J261" s="1">
        <f>[1]装备明细!J262</f>
        <v>0</v>
      </c>
      <c r="K261" s="1">
        <f>[1]装备明细!K262</f>
        <v>2</v>
      </c>
      <c r="L261" s="1">
        <f>[1]装备明细!L262</f>
        <v>8</v>
      </c>
      <c r="M261" s="1">
        <v>6</v>
      </c>
      <c r="N261" s="1">
        <f>[1]装备明细!$F265</f>
        <v>3</v>
      </c>
      <c r="O261" s="1">
        <f>[1]装备明细!$E262</f>
        <v>2</v>
      </c>
      <c r="P261" s="1">
        <f t="shared" si="25"/>
        <v>2</v>
      </c>
      <c r="Q261" s="1">
        <f t="shared" si="26"/>
        <v>560</v>
      </c>
      <c r="R261" s="1">
        <f t="shared" si="27"/>
        <v>14</v>
      </c>
      <c r="S261" s="1">
        <f t="shared" si="28"/>
        <v>2</v>
      </c>
    </row>
    <row r="262" spans="1:19" x14ac:dyDescent="0.15">
      <c r="A262" s="1">
        <v>261</v>
      </c>
      <c r="B262" s="1">
        <v>0</v>
      </c>
      <c r="C262" s="1">
        <f>[1]装备明细!B263</f>
        <v>202091400</v>
      </c>
      <c r="D262" s="1">
        <f t="shared" si="24"/>
        <v>200261</v>
      </c>
      <c r="E262" s="1" t="s">
        <v>63</v>
      </c>
      <c r="F262" s="1" t="str">
        <f ca="1">[1]装备明细!C263&amp;"图纸"</f>
        <v>天工混乱戒指图纸</v>
      </c>
      <c r="G262" s="1" t="str">
        <f ca="1">[1]装备明细!$I263</f>
        <v>[292-328]防御 +1个随机属性</v>
      </c>
      <c r="H262" s="1">
        <f t="shared" si="29"/>
        <v>100261</v>
      </c>
      <c r="I262" s="1">
        <v>1</v>
      </c>
      <c r="J262" s="1">
        <f>[1]装备明细!J263</f>
        <v>0</v>
      </c>
      <c r="K262" s="1">
        <f>[1]装备明细!K263</f>
        <v>2</v>
      </c>
      <c r="L262" s="1">
        <f>[1]装备明细!L263</f>
        <v>9</v>
      </c>
      <c r="M262" s="1">
        <v>6</v>
      </c>
      <c r="N262" s="1">
        <f>[1]装备明细!$F266</f>
        <v>3</v>
      </c>
      <c r="O262" s="1">
        <f>[1]装备明细!$E263</f>
        <v>2</v>
      </c>
      <c r="P262" s="1">
        <f t="shared" si="25"/>
        <v>2</v>
      </c>
      <c r="Q262" s="1">
        <f t="shared" si="26"/>
        <v>580</v>
      </c>
      <c r="R262" s="1">
        <f t="shared" si="27"/>
        <v>14</v>
      </c>
      <c r="S262" s="1">
        <f t="shared" si="28"/>
        <v>2</v>
      </c>
    </row>
    <row r="263" spans="1:19" x14ac:dyDescent="0.15">
      <c r="A263" s="1">
        <v>262</v>
      </c>
      <c r="B263" s="1">
        <v>0</v>
      </c>
      <c r="C263" s="1">
        <f>[1]装备明细!B264</f>
        <v>302011500</v>
      </c>
      <c r="D263" s="1">
        <f t="shared" si="24"/>
        <v>200262</v>
      </c>
      <c r="E263" s="1" t="s">
        <v>63</v>
      </c>
      <c r="F263" s="1" t="str">
        <f ca="1">[1]装备明细!C264&amp;"图纸"</f>
        <v>学徒颓废项链图纸</v>
      </c>
      <c r="G263" s="1" t="str">
        <f ca="1">[1]装备明细!$I264</f>
        <v>[1-36]防御 +1个随机属性</v>
      </c>
      <c r="H263" s="1">
        <f t="shared" si="29"/>
        <v>100262</v>
      </c>
      <c r="I263" s="1">
        <v>1</v>
      </c>
      <c r="J263" s="1">
        <f>[1]装备明细!J264</f>
        <v>0</v>
      </c>
      <c r="K263" s="1">
        <f>[1]装备明细!K264</f>
        <v>2</v>
      </c>
      <c r="L263" s="1">
        <f>[1]装备明细!L264</f>
        <v>1</v>
      </c>
      <c r="M263" s="1">
        <v>6</v>
      </c>
      <c r="N263" s="1">
        <f>[1]装备明细!$F267</f>
        <v>3</v>
      </c>
      <c r="O263" s="1">
        <f>[1]装备明细!$E264</f>
        <v>2</v>
      </c>
      <c r="P263" s="1">
        <f t="shared" si="25"/>
        <v>2</v>
      </c>
      <c r="Q263" s="1">
        <f t="shared" si="26"/>
        <v>420</v>
      </c>
      <c r="R263" s="1">
        <f t="shared" si="27"/>
        <v>14</v>
      </c>
      <c r="S263" s="1">
        <f t="shared" si="28"/>
        <v>2</v>
      </c>
    </row>
    <row r="264" spans="1:19" x14ac:dyDescent="0.15">
      <c r="A264" s="1">
        <v>263</v>
      </c>
      <c r="B264" s="1">
        <v>0</v>
      </c>
      <c r="C264" s="1">
        <f>[1]装备明细!B265</f>
        <v>302021500</v>
      </c>
      <c r="D264" s="1">
        <f t="shared" si="24"/>
        <v>200263</v>
      </c>
      <c r="E264" s="1" t="s">
        <v>63</v>
      </c>
      <c r="F264" s="1" t="str">
        <f ca="1">[1]装备明细!C265&amp;"图纸"</f>
        <v>专家玄铁项链图纸</v>
      </c>
      <c r="G264" s="1" t="str">
        <f ca="1">[1]装备明细!$I265</f>
        <v>[37-72]防御 +1个随机属性</v>
      </c>
      <c r="H264" s="1">
        <f t="shared" si="29"/>
        <v>100263</v>
      </c>
      <c r="I264" s="1">
        <v>1</v>
      </c>
      <c r="J264" s="1">
        <f>[1]装备明细!J265</f>
        <v>0</v>
      </c>
      <c r="K264" s="1">
        <f>[1]装备明细!K265</f>
        <v>2</v>
      </c>
      <c r="L264" s="1">
        <f>[1]装备明细!L265</f>
        <v>2</v>
      </c>
      <c r="M264" s="1">
        <v>6</v>
      </c>
      <c r="N264" s="1">
        <f>[1]装备明细!$F268</f>
        <v>3</v>
      </c>
      <c r="O264" s="1">
        <f>[1]装备明细!$E265</f>
        <v>2</v>
      </c>
      <c r="P264" s="1">
        <f t="shared" si="25"/>
        <v>2</v>
      </c>
      <c r="Q264" s="1">
        <f t="shared" si="26"/>
        <v>440</v>
      </c>
      <c r="R264" s="1">
        <f t="shared" si="27"/>
        <v>14</v>
      </c>
      <c r="S264" s="1">
        <f t="shared" si="28"/>
        <v>2</v>
      </c>
    </row>
    <row r="265" spans="1:19" x14ac:dyDescent="0.15">
      <c r="A265" s="1">
        <v>264</v>
      </c>
      <c r="B265" s="1">
        <v>0</v>
      </c>
      <c r="C265" s="1">
        <f>[1]装备明细!B266</f>
        <v>302031500</v>
      </c>
      <c r="D265" s="1">
        <f t="shared" si="24"/>
        <v>200264</v>
      </c>
      <c r="E265" s="1" t="s">
        <v>63</v>
      </c>
      <c r="F265" s="1" t="str">
        <f ca="1">[1]装备明细!C266&amp;"图纸"</f>
        <v>大师水晶项链图纸</v>
      </c>
      <c r="G265" s="1" t="str">
        <f ca="1">[1]装备明细!$I266</f>
        <v>[73-109]防御 +1个随机属性</v>
      </c>
      <c r="H265" s="1">
        <f t="shared" si="29"/>
        <v>100264</v>
      </c>
      <c r="I265" s="1">
        <v>1</v>
      </c>
      <c r="J265" s="1">
        <f>[1]装备明细!J266</f>
        <v>0</v>
      </c>
      <c r="K265" s="1">
        <f>[1]装备明细!K266</f>
        <v>2</v>
      </c>
      <c r="L265" s="1">
        <f>[1]装备明细!L266</f>
        <v>3</v>
      </c>
      <c r="M265" s="1">
        <v>6</v>
      </c>
      <c r="N265" s="1">
        <f>[1]装备明细!$F269</f>
        <v>3</v>
      </c>
      <c r="O265" s="1">
        <f>[1]装备明细!$E266</f>
        <v>2</v>
      </c>
      <c r="P265" s="1">
        <f t="shared" si="25"/>
        <v>2</v>
      </c>
      <c r="Q265" s="1">
        <f t="shared" si="26"/>
        <v>460</v>
      </c>
      <c r="R265" s="1">
        <f t="shared" si="27"/>
        <v>14</v>
      </c>
      <c r="S265" s="1">
        <f t="shared" si="28"/>
        <v>2</v>
      </c>
    </row>
    <row r="266" spans="1:19" x14ac:dyDescent="0.15">
      <c r="A266" s="1">
        <v>265</v>
      </c>
      <c r="B266" s="1">
        <v>0</v>
      </c>
      <c r="C266" s="1">
        <f>[1]装备明细!B267</f>
        <v>302041500</v>
      </c>
      <c r="D266" s="1">
        <f t="shared" si="24"/>
        <v>200265</v>
      </c>
      <c r="E266" s="1" t="s">
        <v>63</v>
      </c>
      <c r="F266" s="1" t="str">
        <f ca="1">[1]装备明细!C267&amp;"图纸"</f>
        <v>宗师精钢项链图纸</v>
      </c>
      <c r="G266" s="1" t="str">
        <f ca="1">[1]装备明细!$I267</f>
        <v>[110-145]防御 +1个随机属性</v>
      </c>
      <c r="H266" s="1">
        <f t="shared" si="29"/>
        <v>100265</v>
      </c>
      <c r="I266" s="1">
        <v>1</v>
      </c>
      <c r="J266" s="1">
        <f>[1]装备明细!J267</f>
        <v>0</v>
      </c>
      <c r="K266" s="1">
        <f>[1]装备明细!K267</f>
        <v>2</v>
      </c>
      <c r="L266" s="1">
        <f>[1]装备明细!L267</f>
        <v>4</v>
      </c>
      <c r="M266" s="1">
        <v>6</v>
      </c>
      <c r="N266" s="1">
        <f>[1]装备明细!$F270</f>
        <v>3</v>
      </c>
      <c r="O266" s="1">
        <f>[1]装备明细!$E267</f>
        <v>2</v>
      </c>
      <c r="P266" s="1">
        <f t="shared" si="25"/>
        <v>2</v>
      </c>
      <c r="Q266" s="1">
        <f t="shared" si="26"/>
        <v>480</v>
      </c>
      <c r="R266" s="1">
        <f t="shared" si="27"/>
        <v>14</v>
      </c>
      <c r="S266" s="1">
        <f t="shared" si="28"/>
        <v>2</v>
      </c>
    </row>
    <row r="267" spans="1:19" x14ac:dyDescent="0.15">
      <c r="A267" s="1">
        <v>266</v>
      </c>
      <c r="B267" s="1">
        <v>0</v>
      </c>
      <c r="C267" s="1">
        <f>[1]装备明细!B268</f>
        <v>302051500</v>
      </c>
      <c r="D267" s="1">
        <f t="shared" si="24"/>
        <v>200266</v>
      </c>
      <c r="E267" s="1" t="s">
        <v>63</v>
      </c>
      <c r="F267" s="1" t="str">
        <f ca="1">[1]装备明细!C268&amp;"图纸"</f>
        <v>显赫白银项链图纸</v>
      </c>
      <c r="G267" s="1" t="str">
        <f ca="1">[1]装备明细!$I268</f>
        <v>[146-182]防御 +1个随机属性</v>
      </c>
      <c r="H267" s="1">
        <f t="shared" si="29"/>
        <v>100266</v>
      </c>
      <c r="I267" s="1">
        <v>1</v>
      </c>
      <c r="J267" s="1">
        <f>[1]装备明细!J268</f>
        <v>0</v>
      </c>
      <c r="K267" s="1">
        <f>[1]装备明细!K268</f>
        <v>2</v>
      </c>
      <c r="L267" s="1">
        <f>[1]装备明细!L268</f>
        <v>5</v>
      </c>
      <c r="M267" s="1">
        <v>6</v>
      </c>
      <c r="N267" s="1">
        <f>[1]装备明细!$F271</f>
        <v>3</v>
      </c>
      <c r="O267" s="1">
        <f>[1]装备明细!$E268</f>
        <v>2</v>
      </c>
      <c r="P267" s="1">
        <f t="shared" si="25"/>
        <v>2</v>
      </c>
      <c r="Q267" s="1">
        <f t="shared" si="26"/>
        <v>500</v>
      </c>
      <c r="R267" s="1">
        <f t="shared" si="27"/>
        <v>14</v>
      </c>
      <c r="S267" s="1">
        <f t="shared" si="28"/>
        <v>2</v>
      </c>
    </row>
    <row r="268" spans="1:19" x14ac:dyDescent="0.15">
      <c r="A268" s="1">
        <v>267</v>
      </c>
      <c r="B268" s="1">
        <v>0</v>
      </c>
      <c r="C268" s="1">
        <f>[1]装备明细!B269</f>
        <v>302061500</v>
      </c>
      <c r="D268" s="1">
        <f t="shared" si="24"/>
        <v>200267</v>
      </c>
      <c r="E268" s="1" t="s">
        <v>63</v>
      </c>
      <c r="F268" s="1" t="str">
        <f ca="1">[1]装备明细!C269&amp;"图纸"</f>
        <v>尊荣虚幻项链图纸</v>
      </c>
      <c r="G268" s="1" t="str">
        <f ca="1">[1]装备明细!$I269</f>
        <v>[183-218]防御 +1个随机属性</v>
      </c>
      <c r="H268" s="1">
        <f t="shared" si="29"/>
        <v>100267</v>
      </c>
      <c r="I268" s="1">
        <v>1</v>
      </c>
      <c r="J268" s="1">
        <f>[1]装备明细!J269</f>
        <v>0</v>
      </c>
      <c r="K268" s="1">
        <f>[1]装备明细!K269</f>
        <v>2</v>
      </c>
      <c r="L268" s="1">
        <f>[1]装备明细!L269</f>
        <v>6</v>
      </c>
      <c r="M268" s="1">
        <v>6</v>
      </c>
      <c r="N268" s="1">
        <f>[1]装备明细!$F272</f>
        <v>3</v>
      </c>
      <c r="O268" s="1">
        <f>[1]装备明细!$E269</f>
        <v>2</v>
      </c>
      <c r="P268" s="1">
        <f t="shared" si="25"/>
        <v>2</v>
      </c>
      <c r="Q268" s="1">
        <f t="shared" si="26"/>
        <v>520</v>
      </c>
      <c r="R268" s="1">
        <f t="shared" si="27"/>
        <v>14</v>
      </c>
      <c r="S268" s="1">
        <f t="shared" si="28"/>
        <v>2</v>
      </c>
    </row>
    <row r="269" spans="1:19" x14ac:dyDescent="0.15">
      <c r="A269" s="1">
        <v>268</v>
      </c>
      <c r="B269" s="1">
        <v>0</v>
      </c>
      <c r="C269" s="1">
        <f>[1]装备明细!B270</f>
        <v>302071500</v>
      </c>
      <c r="D269" s="1">
        <f t="shared" si="24"/>
        <v>200268</v>
      </c>
      <c r="E269" s="1" t="s">
        <v>63</v>
      </c>
      <c r="F269" s="1" t="str">
        <f ca="1">[1]装备明细!C270&amp;"图纸"</f>
        <v>至尊歌德项链图纸</v>
      </c>
      <c r="G269" s="1" t="str">
        <f ca="1">[1]装备明细!$I270</f>
        <v>[219-255]防御 +1个随机属性</v>
      </c>
      <c r="H269" s="1">
        <f t="shared" si="29"/>
        <v>100268</v>
      </c>
      <c r="I269" s="1">
        <v>1</v>
      </c>
      <c r="J269" s="1">
        <f>[1]装备明细!J270</f>
        <v>0</v>
      </c>
      <c r="K269" s="1">
        <f>[1]装备明细!K270</f>
        <v>2</v>
      </c>
      <c r="L269" s="1">
        <f>[1]装备明细!L270</f>
        <v>7</v>
      </c>
      <c r="M269" s="1">
        <v>6</v>
      </c>
      <c r="N269" s="1">
        <f>[1]装备明细!$F273</f>
        <v>1</v>
      </c>
      <c r="O269" s="1">
        <f>[1]装备明细!$E270</f>
        <v>2</v>
      </c>
      <c r="P269" s="1">
        <f t="shared" si="25"/>
        <v>2</v>
      </c>
      <c r="Q269" s="1">
        <f t="shared" si="26"/>
        <v>540</v>
      </c>
      <c r="R269" s="1">
        <f t="shared" si="27"/>
        <v>14</v>
      </c>
      <c r="S269" s="1">
        <f t="shared" si="28"/>
        <v>2</v>
      </c>
    </row>
    <row r="270" spans="1:19" x14ac:dyDescent="0.15">
      <c r="A270" s="1">
        <v>269</v>
      </c>
      <c r="B270" s="1">
        <v>0</v>
      </c>
      <c r="C270" s="1">
        <f>[1]装备明细!B271</f>
        <v>302081500</v>
      </c>
      <c r="D270" s="1">
        <f t="shared" si="24"/>
        <v>200269</v>
      </c>
      <c r="E270" s="1" t="s">
        <v>63</v>
      </c>
      <c r="F270" s="1" t="str">
        <f ca="1">[1]装备明细!C271&amp;"图纸"</f>
        <v>绝旨空灵项链图纸</v>
      </c>
      <c r="G270" s="1" t="str">
        <f ca="1">[1]装备明细!$I271</f>
        <v>[256-291]防御 +1个随机属性</v>
      </c>
      <c r="H270" s="1">
        <f t="shared" si="29"/>
        <v>100269</v>
      </c>
      <c r="I270" s="1">
        <v>1</v>
      </c>
      <c r="J270" s="1">
        <f>[1]装备明细!J271</f>
        <v>0</v>
      </c>
      <c r="K270" s="1">
        <f>[1]装备明细!K271</f>
        <v>2</v>
      </c>
      <c r="L270" s="1">
        <f>[1]装备明细!L271</f>
        <v>8</v>
      </c>
      <c r="M270" s="1">
        <v>6</v>
      </c>
      <c r="N270" s="1">
        <f>[1]装备明细!$F274</f>
        <v>1</v>
      </c>
      <c r="O270" s="1">
        <f>[1]装备明细!$E271</f>
        <v>2</v>
      </c>
      <c r="P270" s="1">
        <f t="shared" si="25"/>
        <v>2</v>
      </c>
      <c r="Q270" s="1">
        <f t="shared" si="26"/>
        <v>560</v>
      </c>
      <c r="R270" s="1">
        <f t="shared" si="27"/>
        <v>14</v>
      </c>
      <c r="S270" s="1">
        <f t="shared" si="28"/>
        <v>2</v>
      </c>
    </row>
    <row r="271" spans="1:19" x14ac:dyDescent="0.15">
      <c r="A271" s="1">
        <v>270</v>
      </c>
      <c r="B271" s="1">
        <v>0</v>
      </c>
      <c r="C271" s="1">
        <f>[1]装备明细!B272</f>
        <v>302091500</v>
      </c>
      <c r="D271" s="1">
        <f t="shared" si="24"/>
        <v>200270</v>
      </c>
      <c r="E271" s="1" t="s">
        <v>63</v>
      </c>
      <c r="F271" s="1" t="str">
        <f ca="1">[1]装备明细!C272&amp;"图纸"</f>
        <v>天工混乱项链图纸</v>
      </c>
      <c r="G271" s="1" t="str">
        <f ca="1">[1]装备明细!$I272</f>
        <v>[292-328]防御 +1个随机属性</v>
      </c>
      <c r="H271" s="1">
        <f t="shared" si="29"/>
        <v>100270</v>
      </c>
      <c r="I271" s="1">
        <v>1</v>
      </c>
      <c r="J271" s="1">
        <f>[1]装备明细!J272</f>
        <v>0</v>
      </c>
      <c r="K271" s="1">
        <f>[1]装备明细!K272</f>
        <v>2</v>
      </c>
      <c r="L271" s="1">
        <f>[1]装备明细!L272</f>
        <v>9</v>
      </c>
      <c r="M271" s="1">
        <v>6</v>
      </c>
      <c r="N271" s="1">
        <f>[1]装备明细!$F275</f>
        <v>1</v>
      </c>
      <c r="O271" s="1">
        <f>[1]装备明细!$E272</f>
        <v>2</v>
      </c>
      <c r="P271" s="1">
        <f t="shared" si="25"/>
        <v>2</v>
      </c>
      <c r="Q271" s="1">
        <f t="shared" si="26"/>
        <v>580</v>
      </c>
      <c r="R271" s="1">
        <f t="shared" si="27"/>
        <v>14</v>
      </c>
      <c r="S271" s="1">
        <f t="shared" si="28"/>
        <v>2</v>
      </c>
    </row>
    <row r="272" spans="1:19" x14ac:dyDescent="0.15">
      <c r="A272" s="1">
        <v>271</v>
      </c>
      <c r="B272" s="1">
        <v>0</v>
      </c>
      <c r="C272" s="1">
        <f>[1]装备明细!B273</f>
        <v>103010100</v>
      </c>
      <c r="D272" s="1">
        <f t="shared" si="24"/>
        <v>200271</v>
      </c>
      <c r="E272" s="1" t="s">
        <v>63</v>
      </c>
      <c r="F272" s="1" t="str">
        <f ca="1">[1]装备明细!C273&amp;"图纸"</f>
        <v>奥丁之锤图纸</v>
      </c>
      <c r="G272" s="1" t="str">
        <f ca="1">[1]装备明细!$I273</f>
        <v>[1-24]攻击 +3个随机属性</v>
      </c>
      <c r="H272" s="1">
        <f t="shared" si="29"/>
        <v>100271</v>
      </c>
      <c r="I272" s="1">
        <v>1</v>
      </c>
      <c r="J272" s="1">
        <f>[1]装备明细!J273</f>
        <v>0</v>
      </c>
      <c r="K272" s="1">
        <f>[1]装备明细!K273</f>
        <v>4</v>
      </c>
      <c r="L272" s="1">
        <f>[1]装备明细!L273</f>
        <v>1</v>
      </c>
      <c r="M272" s="1">
        <v>6</v>
      </c>
      <c r="N272" s="1">
        <f>[1]装备明细!$F276</f>
        <v>1</v>
      </c>
      <c r="O272" s="1">
        <f>[1]装备明细!$E273</f>
        <v>3</v>
      </c>
      <c r="P272" s="1">
        <f t="shared" si="25"/>
        <v>3</v>
      </c>
      <c r="Q272" s="1">
        <f t="shared" si="26"/>
        <v>620</v>
      </c>
      <c r="R272" s="1">
        <f t="shared" si="27"/>
        <v>19</v>
      </c>
      <c r="S272" s="1">
        <f t="shared" si="28"/>
        <v>3</v>
      </c>
    </row>
    <row r="273" spans="1:19" x14ac:dyDescent="0.15">
      <c r="A273" s="1">
        <v>272</v>
      </c>
      <c r="B273" s="1">
        <v>0</v>
      </c>
      <c r="C273" s="1">
        <f>[1]装备明细!B274</f>
        <v>103020100</v>
      </c>
      <c r="D273" s="1">
        <f t="shared" si="24"/>
        <v>200272</v>
      </c>
      <c r="E273" s="1" t="s">
        <v>63</v>
      </c>
      <c r="F273" s="1" t="str">
        <f ca="1">[1]装备明细!C274&amp;"图纸"</f>
        <v>卢卡之锤图纸</v>
      </c>
      <c r="G273" s="1" t="str">
        <f ca="1">[1]装备明细!$I274</f>
        <v>[25-52]攻击 +3个随机属性</v>
      </c>
      <c r="H273" s="1">
        <f t="shared" si="29"/>
        <v>100272</v>
      </c>
      <c r="I273" s="1">
        <v>1</v>
      </c>
      <c r="J273" s="1">
        <f>[1]装备明细!J274</f>
        <v>0</v>
      </c>
      <c r="K273" s="1">
        <f>[1]装备明细!K274</f>
        <v>4</v>
      </c>
      <c r="L273" s="1">
        <f>[1]装备明细!L274</f>
        <v>2</v>
      </c>
      <c r="M273" s="1">
        <v>6</v>
      </c>
      <c r="N273" s="1">
        <f>[1]装备明细!$F277</f>
        <v>1</v>
      </c>
      <c r="O273" s="1">
        <f>[1]装备明细!$E274</f>
        <v>3</v>
      </c>
      <c r="P273" s="1">
        <f t="shared" si="25"/>
        <v>3</v>
      </c>
      <c r="Q273" s="1">
        <f t="shared" si="26"/>
        <v>640</v>
      </c>
      <c r="R273" s="1">
        <f t="shared" si="27"/>
        <v>19</v>
      </c>
      <c r="S273" s="1">
        <f t="shared" si="28"/>
        <v>3</v>
      </c>
    </row>
    <row r="274" spans="1:19" x14ac:dyDescent="0.15">
      <c r="A274" s="1">
        <v>273</v>
      </c>
      <c r="B274" s="1">
        <v>0</v>
      </c>
      <c r="C274" s="1">
        <f>[1]装备明细!B275</f>
        <v>103030100</v>
      </c>
      <c r="D274" s="1">
        <f t="shared" si="24"/>
        <v>200273</v>
      </c>
      <c r="E274" s="1" t="s">
        <v>63</v>
      </c>
      <c r="F274" s="1" t="str">
        <f ca="1">[1]装备明细!C275&amp;"图纸"</f>
        <v>坎珀之锤图纸</v>
      </c>
      <c r="G274" s="1" t="str">
        <f ca="1">[1]装备明细!$I275</f>
        <v>[53-86]攻击 +3个随机属性</v>
      </c>
      <c r="H274" s="1">
        <f t="shared" si="29"/>
        <v>100273</v>
      </c>
      <c r="I274" s="1">
        <v>1</v>
      </c>
      <c r="J274" s="1">
        <f>[1]装备明细!J275</f>
        <v>0</v>
      </c>
      <c r="K274" s="1">
        <f>[1]装备明细!K275</f>
        <v>4</v>
      </c>
      <c r="L274" s="1">
        <f>[1]装备明细!L275</f>
        <v>3</v>
      </c>
      <c r="M274" s="1">
        <v>6</v>
      </c>
      <c r="N274" s="1">
        <f>[1]装备明细!$F278</f>
        <v>1</v>
      </c>
      <c r="O274" s="1">
        <f>[1]装备明细!$E275</f>
        <v>3</v>
      </c>
      <c r="P274" s="1">
        <f t="shared" si="25"/>
        <v>3</v>
      </c>
      <c r="Q274" s="1">
        <f t="shared" si="26"/>
        <v>660</v>
      </c>
      <c r="R274" s="1">
        <f t="shared" si="27"/>
        <v>19</v>
      </c>
      <c r="S274" s="1">
        <f t="shared" si="28"/>
        <v>3</v>
      </c>
    </row>
    <row r="275" spans="1:19" x14ac:dyDescent="0.15">
      <c r="A275" s="1">
        <v>274</v>
      </c>
      <c r="B275" s="1">
        <v>0</v>
      </c>
      <c r="C275" s="1">
        <f>[1]装备明细!B276</f>
        <v>103040100</v>
      </c>
      <c r="D275" s="1">
        <f t="shared" si="24"/>
        <v>200274</v>
      </c>
      <c r="E275" s="1" t="s">
        <v>63</v>
      </c>
      <c r="F275" s="1" t="str">
        <f ca="1">[1]装备明细!C276&amp;"图纸"</f>
        <v>费恩魔锤图纸</v>
      </c>
      <c r="G275" s="1" t="str">
        <f ca="1">[1]装备明细!$I276</f>
        <v>[87-124]攻击 +3个随机属性</v>
      </c>
      <c r="H275" s="1">
        <f t="shared" si="29"/>
        <v>100274</v>
      </c>
      <c r="I275" s="1">
        <v>1</v>
      </c>
      <c r="J275" s="1">
        <f>[1]装备明细!J276</f>
        <v>0</v>
      </c>
      <c r="K275" s="1">
        <f>[1]装备明细!K276</f>
        <v>4</v>
      </c>
      <c r="L275" s="1">
        <f>[1]装备明细!L276</f>
        <v>4</v>
      </c>
      <c r="M275" s="1">
        <v>6</v>
      </c>
      <c r="N275" s="1">
        <f>[1]装备明细!$F279</f>
        <v>1</v>
      </c>
      <c r="O275" s="1">
        <f>[1]装备明细!$E276</f>
        <v>3</v>
      </c>
      <c r="P275" s="1">
        <f t="shared" si="25"/>
        <v>3</v>
      </c>
      <c r="Q275" s="1">
        <f t="shared" si="26"/>
        <v>680</v>
      </c>
      <c r="R275" s="1">
        <f t="shared" si="27"/>
        <v>19</v>
      </c>
      <c r="S275" s="1">
        <f t="shared" si="28"/>
        <v>3</v>
      </c>
    </row>
    <row r="276" spans="1:19" x14ac:dyDescent="0.15">
      <c r="A276" s="1">
        <v>275</v>
      </c>
      <c r="B276" s="1">
        <v>0</v>
      </c>
      <c r="C276" s="1">
        <f>[1]装备明细!B277</f>
        <v>103050100</v>
      </c>
      <c r="D276" s="1">
        <f t="shared" si="24"/>
        <v>200275</v>
      </c>
      <c r="E276" s="1" t="s">
        <v>63</v>
      </c>
      <c r="F276" s="1" t="str">
        <f ca="1">[1]装备明细!C277&amp;"图纸"</f>
        <v>迪马斯之锤图纸</v>
      </c>
      <c r="G276" s="1" t="str">
        <f ca="1">[1]装备明细!$I277</f>
        <v>[125-169]攻击 +3个随机属性</v>
      </c>
      <c r="H276" s="1">
        <f t="shared" si="29"/>
        <v>100275</v>
      </c>
      <c r="I276" s="1">
        <v>1</v>
      </c>
      <c r="J276" s="1">
        <f>[1]装备明细!J277</f>
        <v>0</v>
      </c>
      <c r="K276" s="1">
        <f>[1]装备明细!K277</f>
        <v>4</v>
      </c>
      <c r="L276" s="1">
        <f>[1]装备明细!L277</f>
        <v>5</v>
      </c>
      <c r="M276" s="1">
        <v>6</v>
      </c>
      <c r="N276" s="1">
        <f>[1]装备明细!$F280</f>
        <v>1</v>
      </c>
      <c r="O276" s="1">
        <f>[1]装备明细!$E277</f>
        <v>3</v>
      </c>
      <c r="P276" s="1">
        <f t="shared" si="25"/>
        <v>3</v>
      </c>
      <c r="Q276" s="1">
        <f t="shared" si="26"/>
        <v>700</v>
      </c>
      <c r="R276" s="1">
        <f t="shared" si="27"/>
        <v>19</v>
      </c>
      <c r="S276" s="1">
        <f t="shared" si="28"/>
        <v>3</v>
      </c>
    </row>
    <row r="277" spans="1:19" x14ac:dyDescent="0.15">
      <c r="A277" s="1">
        <v>276</v>
      </c>
      <c r="B277" s="1">
        <v>0</v>
      </c>
      <c r="C277" s="1">
        <f>[1]装备明细!B278</f>
        <v>103060100</v>
      </c>
      <c r="D277" s="1">
        <f t="shared" si="24"/>
        <v>200276</v>
      </c>
      <c r="E277" s="1" t="s">
        <v>63</v>
      </c>
      <c r="F277" s="1" t="str">
        <f ca="1">[1]装备明细!C278&amp;"图纸"</f>
        <v>酒神之锤图纸</v>
      </c>
      <c r="G277" s="1" t="str">
        <f ca="1">[1]装备明细!$I278</f>
        <v>[170-217]攻击 +3个随机属性</v>
      </c>
      <c r="H277" s="1">
        <f t="shared" si="29"/>
        <v>100276</v>
      </c>
      <c r="I277" s="1">
        <v>1</v>
      </c>
      <c r="J277" s="1">
        <f>[1]装备明细!J278</f>
        <v>0</v>
      </c>
      <c r="K277" s="1">
        <f>[1]装备明细!K278</f>
        <v>4</v>
      </c>
      <c r="L277" s="1">
        <f>[1]装备明细!L278</f>
        <v>6</v>
      </c>
      <c r="M277" s="1">
        <v>6</v>
      </c>
      <c r="N277" s="1">
        <f>[1]装备明细!$F281</f>
        <v>1</v>
      </c>
      <c r="O277" s="1">
        <f>[1]装备明细!$E278</f>
        <v>3</v>
      </c>
      <c r="P277" s="1">
        <f t="shared" si="25"/>
        <v>3</v>
      </c>
      <c r="Q277" s="1">
        <f t="shared" si="26"/>
        <v>720</v>
      </c>
      <c r="R277" s="1">
        <f t="shared" si="27"/>
        <v>19</v>
      </c>
      <c r="S277" s="1">
        <f t="shared" si="28"/>
        <v>3</v>
      </c>
    </row>
    <row r="278" spans="1:19" x14ac:dyDescent="0.15">
      <c r="A278" s="1">
        <v>277</v>
      </c>
      <c r="B278" s="1">
        <v>0</v>
      </c>
      <c r="C278" s="1">
        <f>[1]装备明细!B279</f>
        <v>103070100</v>
      </c>
      <c r="D278" s="1">
        <f t="shared" si="24"/>
        <v>200277</v>
      </c>
      <c r="E278" s="1" t="s">
        <v>63</v>
      </c>
      <c r="F278" s="1" t="str">
        <f ca="1">[1]装备明细!C279&amp;"图纸"</f>
        <v>缪斯之锤图纸</v>
      </c>
      <c r="G278" s="1" t="str">
        <f ca="1">[1]装备明细!$I279</f>
        <v>[218-270]攻击 +3个随机属性</v>
      </c>
      <c r="H278" s="1">
        <f t="shared" si="29"/>
        <v>100277</v>
      </c>
      <c r="I278" s="1">
        <v>1</v>
      </c>
      <c r="J278" s="1">
        <f>[1]装备明细!J279</f>
        <v>0</v>
      </c>
      <c r="K278" s="1">
        <f>[1]装备明细!K279</f>
        <v>4</v>
      </c>
      <c r="L278" s="1">
        <f>[1]装备明细!L279</f>
        <v>7</v>
      </c>
      <c r="M278" s="1">
        <v>6</v>
      </c>
      <c r="N278" s="1">
        <f>[1]装备明细!$F282</f>
        <v>1</v>
      </c>
      <c r="O278" s="1">
        <f>[1]装备明细!$E279</f>
        <v>3</v>
      </c>
      <c r="P278" s="1">
        <f t="shared" si="25"/>
        <v>3</v>
      </c>
      <c r="Q278" s="1">
        <f t="shared" si="26"/>
        <v>740</v>
      </c>
      <c r="R278" s="1">
        <f t="shared" si="27"/>
        <v>19</v>
      </c>
      <c r="S278" s="1">
        <f t="shared" si="28"/>
        <v>3</v>
      </c>
    </row>
    <row r="279" spans="1:19" x14ac:dyDescent="0.15">
      <c r="A279" s="1">
        <v>278</v>
      </c>
      <c r="B279" s="1">
        <v>0</v>
      </c>
      <c r="C279" s="1">
        <f>[1]装备明细!B280</f>
        <v>103080100</v>
      </c>
      <c r="D279" s="1">
        <f t="shared" si="24"/>
        <v>200278</v>
      </c>
      <c r="E279" s="1" t="s">
        <v>63</v>
      </c>
      <c r="F279" s="1" t="str">
        <f ca="1">[1]装备明细!C280&amp;"图纸"</f>
        <v>潘多拉之锤图纸</v>
      </c>
      <c r="G279" s="1" t="str">
        <f ca="1">[1]装备明细!$I280</f>
        <v>[271-328]攻击 +3个随机属性</v>
      </c>
      <c r="H279" s="1">
        <f t="shared" si="29"/>
        <v>100278</v>
      </c>
      <c r="I279" s="1">
        <v>1</v>
      </c>
      <c r="J279" s="1">
        <f>[1]装备明细!J280</f>
        <v>0</v>
      </c>
      <c r="K279" s="1">
        <f>[1]装备明细!K280</f>
        <v>4</v>
      </c>
      <c r="L279" s="1">
        <f>[1]装备明细!L280</f>
        <v>8</v>
      </c>
      <c r="M279" s="1">
        <v>6</v>
      </c>
      <c r="N279" s="1">
        <f>[1]装备明细!$F283</f>
        <v>1</v>
      </c>
      <c r="O279" s="1">
        <f>[1]装备明细!$E280</f>
        <v>3</v>
      </c>
      <c r="P279" s="1">
        <f t="shared" si="25"/>
        <v>3</v>
      </c>
      <c r="Q279" s="1">
        <f t="shared" si="26"/>
        <v>760</v>
      </c>
      <c r="R279" s="1">
        <f t="shared" si="27"/>
        <v>19</v>
      </c>
      <c r="S279" s="1">
        <f t="shared" si="28"/>
        <v>3</v>
      </c>
    </row>
    <row r="280" spans="1:19" x14ac:dyDescent="0.15">
      <c r="A280" s="1">
        <v>279</v>
      </c>
      <c r="B280" s="1">
        <v>0</v>
      </c>
      <c r="C280" s="1">
        <f>[1]装备明细!B281</f>
        <v>103090100</v>
      </c>
      <c r="D280" s="1">
        <f t="shared" si="24"/>
        <v>200279</v>
      </c>
      <c r="E280" s="1" t="s">
        <v>63</v>
      </c>
      <c r="F280" s="1" t="str">
        <f ca="1">[1]装备明细!C281&amp;"图纸"</f>
        <v>盖亚之锤图纸</v>
      </c>
      <c r="G280" s="1" t="str">
        <f ca="1">[1]装备明细!$I281</f>
        <v>[329-390]攻击 +3个随机属性</v>
      </c>
      <c r="H280" s="1">
        <f t="shared" si="29"/>
        <v>100279</v>
      </c>
      <c r="I280" s="1">
        <v>1</v>
      </c>
      <c r="J280" s="1">
        <f>[1]装备明细!J281</f>
        <v>0</v>
      </c>
      <c r="K280" s="1">
        <f>[1]装备明细!K281</f>
        <v>4</v>
      </c>
      <c r="L280" s="1">
        <f>[1]装备明细!L281</f>
        <v>9</v>
      </c>
      <c r="M280" s="1">
        <v>6</v>
      </c>
      <c r="N280" s="1">
        <f>[1]装备明细!$F284</f>
        <v>1</v>
      </c>
      <c r="O280" s="1">
        <f>[1]装备明细!$E281</f>
        <v>3</v>
      </c>
      <c r="P280" s="1">
        <f t="shared" si="25"/>
        <v>3</v>
      </c>
      <c r="Q280" s="1">
        <f t="shared" si="26"/>
        <v>780</v>
      </c>
      <c r="R280" s="1">
        <f t="shared" si="27"/>
        <v>19</v>
      </c>
      <c r="S280" s="1">
        <f t="shared" si="28"/>
        <v>3</v>
      </c>
    </row>
    <row r="281" spans="1:19" x14ac:dyDescent="0.15">
      <c r="A281" s="1">
        <v>280</v>
      </c>
      <c r="B281" s="1">
        <v>0</v>
      </c>
      <c r="C281" s="1">
        <f>[1]装备明细!B282</f>
        <v>103010200</v>
      </c>
      <c r="D281" s="1">
        <f t="shared" si="24"/>
        <v>200280</v>
      </c>
      <c r="E281" s="1" t="s">
        <v>63</v>
      </c>
      <c r="F281" s="1" t="str">
        <f ca="1">[1]装备明细!C282&amp;"图纸"</f>
        <v>奥丁之刀图纸</v>
      </c>
      <c r="G281" s="1" t="str">
        <f ca="1">[1]装备明细!$I282</f>
        <v>[1-24]攻击 +3个随机属性</v>
      </c>
      <c r="H281" s="1">
        <f t="shared" si="29"/>
        <v>100280</v>
      </c>
      <c r="I281" s="1">
        <v>1</v>
      </c>
      <c r="J281" s="1">
        <f>[1]装备明细!J282</f>
        <v>0</v>
      </c>
      <c r="K281" s="1">
        <f>[1]装备明细!K282</f>
        <v>4</v>
      </c>
      <c r="L281" s="1">
        <f>[1]装备明细!L282</f>
        <v>1</v>
      </c>
      <c r="M281" s="1">
        <v>6</v>
      </c>
      <c r="N281" s="1">
        <f>[1]装备明细!$F285</f>
        <v>1</v>
      </c>
      <c r="O281" s="1">
        <f>[1]装备明细!$E282</f>
        <v>3</v>
      </c>
      <c r="P281" s="1">
        <f t="shared" si="25"/>
        <v>3</v>
      </c>
      <c r="Q281" s="1">
        <f t="shared" si="26"/>
        <v>620</v>
      </c>
      <c r="R281" s="1">
        <f t="shared" si="27"/>
        <v>19</v>
      </c>
      <c r="S281" s="1">
        <f t="shared" si="28"/>
        <v>3</v>
      </c>
    </row>
    <row r="282" spans="1:19" x14ac:dyDescent="0.15">
      <c r="A282" s="1">
        <v>281</v>
      </c>
      <c r="B282" s="1">
        <v>0</v>
      </c>
      <c r="C282" s="1">
        <f>[1]装备明细!B283</f>
        <v>103020200</v>
      </c>
      <c r="D282" s="1">
        <f t="shared" si="24"/>
        <v>200281</v>
      </c>
      <c r="E282" s="1" t="s">
        <v>63</v>
      </c>
      <c r="F282" s="1" t="str">
        <f ca="1">[1]装备明细!C283&amp;"图纸"</f>
        <v>卢卡之锤图纸</v>
      </c>
      <c r="G282" s="1" t="str">
        <f ca="1">[1]装备明细!$I283</f>
        <v>[25-52]攻击 +3个随机属性</v>
      </c>
      <c r="H282" s="1">
        <f t="shared" si="29"/>
        <v>100281</v>
      </c>
      <c r="I282" s="1">
        <v>1</v>
      </c>
      <c r="J282" s="1">
        <f>[1]装备明细!J283</f>
        <v>0</v>
      </c>
      <c r="K282" s="1">
        <f>[1]装备明细!K283</f>
        <v>4</v>
      </c>
      <c r="L282" s="1">
        <f>[1]装备明细!L283</f>
        <v>2</v>
      </c>
      <c r="M282" s="1">
        <v>6</v>
      </c>
      <c r="N282" s="1">
        <f>[1]装备明细!$F286</f>
        <v>1</v>
      </c>
      <c r="O282" s="1">
        <f>[1]装备明细!$E283</f>
        <v>3</v>
      </c>
      <c r="P282" s="1">
        <f t="shared" si="25"/>
        <v>3</v>
      </c>
      <c r="Q282" s="1">
        <f t="shared" si="26"/>
        <v>640</v>
      </c>
      <c r="R282" s="1">
        <f t="shared" si="27"/>
        <v>19</v>
      </c>
      <c r="S282" s="1">
        <f t="shared" si="28"/>
        <v>3</v>
      </c>
    </row>
    <row r="283" spans="1:19" x14ac:dyDescent="0.15">
      <c r="A283" s="1">
        <v>282</v>
      </c>
      <c r="B283" s="1">
        <v>0</v>
      </c>
      <c r="C283" s="1">
        <f>[1]装备明细!B284</f>
        <v>103030200</v>
      </c>
      <c r="D283" s="1">
        <f t="shared" si="24"/>
        <v>200282</v>
      </c>
      <c r="E283" s="1" t="s">
        <v>63</v>
      </c>
      <c r="F283" s="1" t="str">
        <f ca="1">[1]装备明细!C284&amp;"图纸"</f>
        <v>坎珀之刃图纸</v>
      </c>
      <c r="G283" s="1" t="str">
        <f ca="1">[1]装备明细!$I284</f>
        <v>[53-86]攻击 +3个随机属性</v>
      </c>
      <c r="H283" s="1">
        <f t="shared" si="29"/>
        <v>100282</v>
      </c>
      <c r="I283" s="1">
        <v>1</v>
      </c>
      <c r="J283" s="1">
        <f>[1]装备明细!J284</f>
        <v>0</v>
      </c>
      <c r="K283" s="1">
        <f>[1]装备明细!K284</f>
        <v>4</v>
      </c>
      <c r="L283" s="1">
        <f>[1]装备明细!L284</f>
        <v>3</v>
      </c>
      <c r="M283" s="1">
        <v>6</v>
      </c>
      <c r="N283" s="1">
        <f>[1]装备明细!$F287</f>
        <v>1</v>
      </c>
      <c r="O283" s="1">
        <f>[1]装备明细!$E284</f>
        <v>3</v>
      </c>
      <c r="P283" s="1">
        <f t="shared" si="25"/>
        <v>3</v>
      </c>
      <c r="Q283" s="1">
        <f t="shared" si="26"/>
        <v>660</v>
      </c>
      <c r="R283" s="1">
        <f t="shared" si="27"/>
        <v>19</v>
      </c>
      <c r="S283" s="1">
        <f t="shared" si="28"/>
        <v>3</v>
      </c>
    </row>
    <row r="284" spans="1:19" x14ac:dyDescent="0.15">
      <c r="A284" s="1">
        <v>283</v>
      </c>
      <c r="B284" s="1">
        <v>0</v>
      </c>
      <c r="C284" s="1">
        <f>[1]装备明细!B285</f>
        <v>103040200</v>
      </c>
      <c r="D284" s="1">
        <f t="shared" si="24"/>
        <v>200283</v>
      </c>
      <c r="E284" s="1" t="s">
        <v>63</v>
      </c>
      <c r="F284" s="1" t="str">
        <f ca="1">[1]装备明细!C285&amp;"图纸"</f>
        <v>费恩利刃图纸</v>
      </c>
      <c r="G284" s="1" t="str">
        <f ca="1">[1]装备明细!$I285</f>
        <v>[87-124]攻击 +3个随机属性</v>
      </c>
      <c r="H284" s="1">
        <f t="shared" si="29"/>
        <v>100283</v>
      </c>
      <c r="I284" s="1">
        <v>1</v>
      </c>
      <c r="J284" s="1">
        <f>[1]装备明细!J285</f>
        <v>0</v>
      </c>
      <c r="K284" s="1">
        <f>[1]装备明细!K285</f>
        <v>4</v>
      </c>
      <c r="L284" s="1">
        <f>[1]装备明细!L285</f>
        <v>4</v>
      </c>
      <c r="M284" s="1">
        <v>6</v>
      </c>
      <c r="N284" s="1">
        <f>[1]装备明细!$F288</f>
        <v>1</v>
      </c>
      <c r="O284" s="1">
        <f>[1]装备明细!$E285</f>
        <v>3</v>
      </c>
      <c r="P284" s="1">
        <f t="shared" si="25"/>
        <v>3</v>
      </c>
      <c r="Q284" s="1">
        <f t="shared" si="26"/>
        <v>680</v>
      </c>
      <c r="R284" s="1">
        <f t="shared" si="27"/>
        <v>19</v>
      </c>
      <c r="S284" s="1">
        <f t="shared" si="28"/>
        <v>3</v>
      </c>
    </row>
    <row r="285" spans="1:19" x14ac:dyDescent="0.15">
      <c r="A285" s="1">
        <v>284</v>
      </c>
      <c r="B285" s="1">
        <v>0</v>
      </c>
      <c r="C285" s="1">
        <f>[1]装备明细!B286</f>
        <v>103050200</v>
      </c>
      <c r="D285" s="1">
        <f t="shared" si="24"/>
        <v>200284</v>
      </c>
      <c r="E285" s="1" t="s">
        <v>63</v>
      </c>
      <c r="F285" s="1" t="str">
        <f ca="1">[1]装备明细!C286&amp;"图纸"</f>
        <v>迪马斯之刀图纸</v>
      </c>
      <c r="G285" s="1" t="str">
        <f ca="1">[1]装备明细!$I286</f>
        <v>[125-169]攻击 +3个随机属性</v>
      </c>
      <c r="H285" s="1">
        <f t="shared" si="29"/>
        <v>100284</v>
      </c>
      <c r="I285" s="1">
        <v>1</v>
      </c>
      <c r="J285" s="1">
        <f>[1]装备明细!J286</f>
        <v>0</v>
      </c>
      <c r="K285" s="1">
        <f>[1]装备明细!K286</f>
        <v>4</v>
      </c>
      <c r="L285" s="1">
        <f>[1]装备明细!L286</f>
        <v>5</v>
      </c>
      <c r="M285" s="1">
        <v>6</v>
      </c>
      <c r="N285" s="1">
        <f>[1]装备明细!$F289</f>
        <v>1</v>
      </c>
      <c r="O285" s="1">
        <f>[1]装备明细!$E286</f>
        <v>3</v>
      </c>
      <c r="P285" s="1">
        <f t="shared" si="25"/>
        <v>3</v>
      </c>
      <c r="Q285" s="1">
        <f t="shared" si="26"/>
        <v>700</v>
      </c>
      <c r="R285" s="1">
        <f t="shared" si="27"/>
        <v>19</v>
      </c>
      <c r="S285" s="1">
        <f t="shared" si="28"/>
        <v>3</v>
      </c>
    </row>
    <row r="286" spans="1:19" x14ac:dyDescent="0.15">
      <c r="A286" s="1">
        <v>285</v>
      </c>
      <c r="B286" s="1">
        <v>0</v>
      </c>
      <c r="C286" s="1">
        <f>[1]装备明细!B287</f>
        <v>103060200</v>
      </c>
      <c r="D286" s="1">
        <f t="shared" si="24"/>
        <v>200285</v>
      </c>
      <c r="E286" s="1" t="s">
        <v>63</v>
      </c>
      <c r="F286" s="1" t="str">
        <f ca="1">[1]装备明细!C287&amp;"图纸"</f>
        <v>酒神之刀图纸</v>
      </c>
      <c r="G286" s="1" t="str">
        <f ca="1">[1]装备明细!$I287</f>
        <v>[170-217]攻击 +3个随机属性</v>
      </c>
      <c r="H286" s="1">
        <f t="shared" si="29"/>
        <v>100285</v>
      </c>
      <c r="I286" s="1">
        <v>1</v>
      </c>
      <c r="J286" s="1">
        <f>[1]装备明细!J287</f>
        <v>0</v>
      </c>
      <c r="K286" s="1">
        <f>[1]装备明细!K287</f>
        <v>4</v>
      </c>
      <c r="L286" s="1">
        <f>[1]装备明细!L287</f>
        <v>6</v>
      </c>
      <c r="M286" s="1">
        <v>6</v>
      </c>
      <c r="N286" s="1">
        <f>[1]装备明细!$F290</f>
        <v>1</v>
      </c>
      <c r="O286" s="1">
        <f>[1]装备明细!$E287</f>
        <v>3</v>
      </c>
      <c r="P286" s="1">
        <f t="shared" si="25"/>
        <v>3</v>
      </c>
      <c r="Q286" s="1">
        <f t="shared" si="26"/>
        <v>720</v>
      </c>
      <c r="R286" s="1">
        <f t="shared" si="27"/>
        <v>19</v>
      </c>
      <c r="S286" s="1">
        <f t="shared" si="28"/>
        <v>3</v>
      </c>
    </row>
    <row r="287" spans="1:19" x14ac:dyDescent="0.15">
      <c r="A287" s="1">
        <v>286</v>
      </c>
      <c r="B287" s="1">
        <v>0</v>
      </c>
      <c r="C287" s="1">
        <f>[1]装备明细!B288</f>
        <v>103070200</v>
      </c>
      <c r="D287" s="1">
        <f t="shared" si="24"/>
        <v>200286</v>
      </c>
      <c r="E287" s="1" t="s">
        <v>63</v>
      </c>
      <c r="F287" s="1" t="str">
        <f ca="1">[1]装备明细!C288&amp;"图纸"</f>
        <v>缪斯之刀图纸</v>
      </c>
      <c r="G287" s="1" t="str">
        <f ca="1">[1]装备明细!$I288</f>
        <v>[218-270]攻击 +3个随机属性</v>
      </c>
      <c r="H287" s="1">
        <f t="shared" si="29"/>
        <v>100286</v>
      </c>
      <c r="I287" s="1">
        <v>1</v>
      </c>
      <c r="J287" s="1">
        <f>[1]装备明细!J288</f>
        <v>0</v>
      </c>
      <c r="K287" s="1">
        <f>[1]装备明细!K288</f>
        <v>4</v>
      </c>
      <c r="L287" s="1">
        <f>[1]装备明细!L288</f>
        <v>7</v>
      </c>
      <c r="M287" s="1">
        <v>6</v>
      </c>
      <c r="N287" s="1">
        <f>[1]装备明细!$F291</f>
        <v>1</v>
      </c>
      <c r="O287" s="1">
        <f>[1]装备明细!$E288</f>
        <v>3</v>
      </c>
      <c r="P287" s="1">
        <f t="shared" si="25"/>
        <v>3</v>
      </c>
      <c r="Q287" s="1">
        <f t="shared" si="26"/>
        <v>740</v>
      </c>
      <c r="R287" s="1">
        <f t="shared" si="27"/>
        <v>19</v>
      </c>
      <c r="S287" s="1">
        <f t="shared" si="28"/>
        <v>3</v>
      </c>
    </row>
    <row r="288" spans="1:19" x14ac:dyDescent="0.15">
      <c r="A288" s="1">
        <v>287</v>
      </c>
      <c r="B288" s="1">
        <v>0</v>
      </c>
      <c r="C288" s="1">
        <f>[1]装备明细!B289</f>
        <v>103080200</v>
      </c>
      <c r="D288" s="1">
        <f t="shared" si="24"/>
        <v>200287</v>
      </c>
      <c r="E288" s="1" t="s">
        <v>63</v>
      </c>
      <c r="F288" s="1" t="str">
        <f ca="1">[1]装备明细!C289&amp;"图纸"</f>
        <v>潘多拉之刀图纸</v>
      </c>
      <c r="G288" s="1" t="str">
        <f ca="1">[1]装备明细!$I289</f>
        <v>[271-328]攻击 +3个随机属性</v>
      </c>
      <c r="H288" s="1">
        <f t="shared" si="29"/>
        <v>100287</v>
      </c>
      <c r="I288" s="1">
        <v>1</v>
      </c>
      <c r="J288" s="1">
        <f>[1]装备明细!J289</f>
        <v>0</v>
      </c>
      <c r="K288" s="1">
        <f>[1]装备明细!K289</f>
        <v>4</v>
      </c>
      <c r="L288" s="1">
        <f>[1]装备明细!L289</f>
        <v>8</v>
      </c>
      <c r="M288" s="1">
        <v>6</v>
      </c>
      <c r="N288" s="1">
        <f>[1]装备明细!$F292</f>
        <v>1</v>
      </c>
      <c r="O288" s="1">
        <f>[1]装备明细!$E289</f>
        <v>3</v>
      </c>
      <c r="P288" s="1">
        <f t="shared" si="25"/>
        <v>3</v>
      </c>
      <c r="Q288" s="1">
        <f t="shared" si="26"/>
        <v>760</v>
      </c>
      <c r="R288" s="1">
        <f t="shared" si="27"/>
        <v>19</v>
      </c>
      <c r="S288" s="1">
        <f t="shared" si="28"/>
        <v>3</v>
      </c>
    </row>
    <row r="289" spans="1:19" x14ac:dyDescent="0.15">
      <c r="A289" s="1">
        <v>288</v>
      </c>
      <c r="B289" s="1">
        <v>0</v>
      </c>
      <c r="C289" s="1">
        <f>[1]装备明细!B290</f>
        <v>103090200</v>
      </c>
      <c r="D289" s="1">
        <f t="shared" si="24"/>
        <v>200288</v>
      </c>
      <c r="E289" s="1" t="s">
        <v>63</v>
      </c>
      <c r="F289" s="1" t="str">
        <f ca="1">[1]装备明细!C290&amp;"图纸"</f>
        <v>宙斯之刃图纸</v>
      </c>
      <c r="G289" s="1" t="str">
        <f ca="1">[1]装备明细!$I290</f>
        <v>[329-390]攻击 +3个随机属性</v>
      </c>
      <c r="H289" s="1">
        <f t="shared" si="29"/>
        <v>100288</v>
      </c>
      <c r="I289" s="1">
        <v>1</v>
      </c>
      <c r="J289" s="1">
        <f>[1]装备明细!J290</f>
        <v>0</v>
      </c>
      <c r="K289" s="1">
        <f>[1]装备明细!K290</f>
        <v>4</v>
      </c>
      <c r="L289" s="1">
        <f>[1]装备明细!L290</f>
        <v>9</v>
      </c>
      <c r="M289" s="1">
        <v>6</v>
      </c>
      <c r="N289" s="1">
        <f>[1]装备明细!$F293</f>
        <v>1</v>
      </c>
      <c r="O289" s="1">
        <f>[1]装备明细!$E290</f>
        <v>3</v>
      </c>
      <c r="P289" s="1">
        <f t="shared" si="25"/>
        <v>3</v>
      </c>
      <c r="Q289" s="1">
        <f t="shared" si="26"/>
        <v>780</v>
      </c>
      <c r="R289" s="1">
        <f t="shared" si="27"/>
        <v>19</v>
      </c>
      <c r="S289" s="1">
        <f t="shared" si="28"/>
        <v>3</v>
      </c>
    </row>
    <row r="290" spans="1:19" x14ac:dyDescent="0.15">
      <c r="A290" s="1">
        <v>289</v>
      </c>
      <c r="B290" s="1">
        <v>0</v>
      </c>
      <c r="C290" s="1">
        <f>[1]装备明细!B291</f>
        <v>103010300</v>
      </c>
      <c r="D290" s="1">
        <f t="shared" si="24"/>
        <v>200289</v>
      </c>
      <c r="E290" s="1" t="s">
        <v>63</v>
      </c>
      <c r="F290" s="1" t="str">
        <f ca="1">[1]装备明细!C291&amp;"图纸"</f>
        <v>奥丁拳套图纸</v>
      </c>
      <c r="G290" s="1" t="str">
        <f ca="1">[1]装备明细!$I291</f>
        <v>[1-24]攻击 +3个随机属性</v>
      </c>
      <c r="H290" s="1">
        <f t="shared" si="29"/>
        <v>100289</v>
      </c>
      <c r="I290" s="1">
        <v>1</v>
      </c>
      <c r="J290" s="1">
        <f>[1]装备明细!J291</f>
        <v>0</v>
      </c>
      <c r="K290" s="1">
        <f>[1]装备明细!K291</f>
        <v>4</v>
      </c>
      <c r="L290" s="1">
        <f>[1]装备明细!L291</f>
        <v>1</v>
      </c>
      <c r="M290" s="1">
        <v>6</v>
      </c>
      <c r="N290" s="1">
        <f>[1]装备明细!$F294</f>
        <v>1</v>
      </c>
      <c r="O290" s="1">
        <f>[1]装备明细!$E291</f>
        <v>3</v>
      </c>
      <c r="P290" s="1">
        <f t="shared" si="25"/>
        <v>3</v>
      </c>
      <c r="Q290" s="1">
        <f t="shared" si="26"/>
        <v>620</v>
      </c>
      <c r="R290" s="1">
        <f t="shared" si="27"/>
        <v>19</v>
      </c>
      <c r="S290" s="1">
        <f t="shared" si="28"/>
        <v>3</v>
      </c>
    </row>
    <row r="291" spans="1:19" x14ac:dyDescent="0.15">
      <c r="A291" s="1">
        <v>290</v>
      </c>
      <c r="B291" s="1">
        <v>0</v>
      </c>
      <c r="C291" s="1">
        <f>[1]装备明细!B292</f>
        <v>103020300</v>
      </c>
      <c r="D291" s="1">
        <f t="shared" si="24"/>
        <v>200290</v>
      </c>
      <c r="E291" s="1" t="s">
        <v>63</v>
      </c>
      <c r="F291" s="1" t="str">
        <f ca="1">[1]装备明细!C292&amp;"图纸"</f>
        <v>卢卡拳套图纸</v>
      </c>
      <c r="G291" s="1" t="str">
        <f ca="1">[1]装备明细!$I292</f>
        <v>[25-52]攻击 +3个随机属性</v>
      </c>
      <c r="H291" s="1">
        <f t="shared" si="29"/>
        <v>100290</v>
      </c>
      <c r="I291" s="1">
        <v>1</v>
      </c>
      <c r="J291" s="1">
        <f>[1]装备明细!J292</f>
        <v>0</v>
      </c>
      <c r="K291" s="1">
        <f>[1]装备明细!K292</f>
        <v>4</v>
      </c>
      <c r="L291" s="1">
        <f>[1]装备明细!L292</f>
        <v>2</v>
      </c>
      <c r="M291" s="1">
        <v>6</v>
      </c>
      <c r="N291" s="1">
        <f>[1]装备明细!$F295</f>
        <v>1</v>
      </c>
      <c r="O291" s="1">
        <f>[1]装备明细!$E292</f>
        <v>3</v>
      </c>
      <c r="P291" s="1">
        <f t="shared" si="25"/>
        <v>3</v>
      </c>
      <c r="Q291" s="1">
        <f t="shared" si="26"/>
        <v>640</v>
      </c>
      <c r="R291" s="1">
        <f t="shared" si="27"/>
        <v>19</v>
      </c>
      <c r="S291" s="1">
        <f t="shared" si="28"/>
        <v>3</v>
      </c>
    </row>
    <row r="292" spans="1:19" x14ac:dyDescent="0.15">
      <c r="A292" s="1">
        <v>291</v>
      </c>
      <c r="B292" s="1">
        <v>0</v>
      </c>
      <c r="C292" s="1">
        <f>[1]装备明细!B293</f>
        <v>103030300</v>
      </c>
      <c r="D292" s="1">
        <f t="shared" si="24"/>
        <v>200291</v>
      </c>
      <c r="E292" s="1" t="s">
        <v>63</v>
      </c>
      <c r="F292" s="1" t="str">
        <f ca="1">[1]装备明细!C293&amp;"图纸"</f>
        <v>坎珀拳套图纸</v>
      </c>
      <c r="G292" s="1" t="str">
        <f ca="1">[1]装备明细!$I293</f>
        <v>[53-86]攻击 +3个随机属性</v>
      </c>
      <c r="H292" s="1">
        <f t="shared" si="29"/>
        <v>100291</v>
      </c>
      <c r="I292" s="1">
        <v>1</v>
      </c>
      <c r="J292" s="1">
        <f>[1]装备明细!J293</f>
        <v>0</v>
      </c>
      <c r="K292" s="1">
        <f>[1]装备明细!K293</f>
        <v>4</v>
      </c>
      <c r="L292" s="1">
        <f>[1]装备明细!L293</f>
        <v>3</v>
      </c>
      <c r="M292" s="1">
        <v>6</v>
      </c>
      <c r="N292" s="1">
        <f>[1]装备明细!$F296</f>
        <v>1</v>
      </c>
      <c r="O292" s="1">
        <f>[1]装备明细!$E293</f>
        <v>3</v>
      </c>
      <c r="P292" s="1">
        <f t="shared" si="25"/>
        <v>3</v>
      </c>
      <c r="Q292" s="1">
        <f t="shared" si="26"/>
        <v>660</v>
      </c>
      <c r="R292" s="1">
        <f t="shared" si="27"/>
        <v>19</v>
      </c>
      <c r="S292" s="1">
        <f t="shared" si="28"/>
        <v>3</v>
      </c>
    </row>
    <row r="293" spans="1:19" x14ac:dyDescent="0.15">
      <c r="A293" s="1">
        <v>292</v>
      </c>
      <c r="B293" s="1">
        <v>0</v>
      </c>
      <c r="C293" s="1">
        <f>[1]装备明细!B294</f>
        <v>103040300</v>
      </c>
      <c r="D293" s="1">
        <f t="shared" si="24"/>
        <v>200292</v>
      </c>
      <c r="E293" s="1" t="s">
        <v>63</v>
      </c>
      <c r="F293" s="1" t="str">
        <f ca="1">[1]装备明细!C294&amp;"图纸"</f>
        <v>费恩拳套图纸</v>
      </c>
      <c r="G293" s="1" t="str">
        <f ca="1">[1]装备明细!$I294</f>
        <v>[87-124]攻击 +3个随机属性</v>
      </c>
      <c r="H293" s="1">
        <f t="shared" si="29"/>
        <v>100292</v>
      </c>
      <c r="I293" s="1">
        <v>1</v>
      </c>
      <c r="J293" s="1">
        <f>[1]装备明细!J294</f>
        <v>0</v>
      </c>
      <c r="K293" s="1">
        <f>[1]装备明细!K294</f>
        <v>4</v>
      </c>
      <c r="L293" s="1">
        <f>[1]装备明细!L294</f>
        <v>4</v>
      </c>
      <c r="M293" s="1">
        <v>6</v>
      </c>
      <c r="N293" s="1">
        <f>[1]装备明细!$F297</f>
        <v>1</v>
      </c>
      <c r="O293" s="1">
        <f>[1]装备明细!$E294</f>
        <v>3</v>
      </c>
      <c r="P293" s="1">
        <f t="shared" si="25"/>
        <v>3</v>
      </c>
      <c r="Q293" s="1">
        <f t="shared" si="26"/>
        <v>680</v>
      </c>
      <c r="R293" s="1">
        <f t="shared" si="27"/>
        <v>19</v>
      </c>
      <c r="S293" s="1">
        <f t="shared" si="28"/>
        <v>3</v>
      </c>
    </row>
    <row r="294" spans="1:19" x14ac:dyDescent="0.15">
      <c r="A294" s="1">
        <v>293</v>
      </c>
      <c r="B294" s="1">
        <v>0</v>
      </c>
      <c r="C294" s="1">
        <f>[1]装备明细!B295</f>
        <v>103050300</v>
      </c>
      <c r="D294" s="1">
        <f t="shared" si="24"/>
        <v>200293</v>
      </c>
      <c r="E294" s="1" t="s">
        <v>63</v>
      </c>
      <c r="F294" s="1" t="str">
        <f ca="1">[1]装备明细!C295&amp;"图纸"</f>
        <v>迪马斯拳套图纸</v>
      </c>
      <c r="G294" s="1" t="str">
        <f ca="1">[1]装备明细!$I295</f>
        <v>[125-169]攻击 +3个随机属性</v>
      </c>
      <c r="H294" s="1">
        <f t="shared" si="29"/>
        <v>100293</v>
      </c>
      <c r="I294" s="1">
        <v>1</v>
      </c>
      <c r="J294" s="1">
        <f>[1]装备明细!J295</f>
        <v>0</v>
      </c>
      <c r="K294" s="1">
        <f>[1]装备明细!K295</f>
        <v>4</v>
      </c>
      <c r="L294" s="1">
        <f>[1]装备明细!L295</f>
        <v>5</v>
      </c>
      <c r="M294" s="1">
        <v>6</v>
      </c>
      <c r="N294" s="1">
        <f>[1]装备明细!$F298</f>
        <v>1</v>
      </c>
      <c r="O294" s="1">
        <f>[1]装备明细!$E295</f>
        <v>3</v>
      </c>
      <c r="P294" s="1">
        <f t="shared" si="25"/>
        <v>3</v>
      </c>
      <c r="Q294" s="1">
        <f t="shared" si="26"/>
        <v>700</v>
      </c>
      <c r="R294" s="1">
        <f t="shared" si="27"/>
        <v>19</v>
      </c>
      <c r="S294" s="1">
        <f t="shared" si="28"/>
        <v>3</v>
      </c>
    </row>
    <row r="295" spans="1:19" x14ac:dyDescent="0.15">
      <c r="A295" s="1">
        <v>294</v>
      </c>
      <c r="B295" s="1">
        <v>0</v>
      </c>
      <c r="C295" s="1">
        <f>[1]装备明细!B296</f>
        <v>103060300</v>
      </c>
      <c r="D295" s="1">
        <f t="shared" si="24"/>
        <v>200294</v>
      </c>
      <c r="E295" s="1" t="s">
        <v>63</v>
      </c>
      <c r="F295" s="1" t="str">
        <f ca="1">[1]装备明细!C296&amp;"图纸"</f>
        <v>酒神拳套图纸</v>
      </c>
      <c r="G295" s="1" t="str">
        <f ca="1">[1]装备明细!$I296</f>
        <v>[170-217]攻击 +3个随机属性</v>
      </c>
      <c r="H295" s="1">
        <f t="shared" si="29"/>
        <v>100294</v>
      </c>
      <c r="I295" s="1">
        <v>1</v>
      </c>
      <c r="J295" s="1">
        <f>[1]装备明细!J296</f>
        <v>0</v>
      </c>
      <c r="K295" s="1">
        <f>[1]装备明细!K296</f>
        <v>4</v>
      </c>
      <c r="L295" s="1">
        <f>[1]装备明细!L296</f>
        <v>6</v>
      </c>
      <c r="M295" s="1">
        <v>6</v>
      </c>
      <c r="N295" s="1">
        <f>[1]装备明细!$F299</f>
        <v>1</v>
      </c>
      <c r="O295" s="1">
        <f>[1]装备明细!$E296</f>
        <v>3</v>
      </c>
      <c r="P295" s="1">
        <f t="shared" si="25"/>
        <v>3</v>
      </c>
      <c r="Q295" s="1">
        <f t="shared" si="26"/>
        <v>720</v>
      </c>
      <c r="R295" s="1">
        <f t="shared" si="27"/>
        <v>19</v>
      </c>
      <c r="S295" s="1">
        <f t="shared" si="28"/>
        <v>3</v>
      </c>
    </row>
    <row r="296" spans="1:19" x14ac:dyDescent="0.15">
      <c r="A296" s="1">
        <v>295</v>
      </c>
      <c r="B296" s="1">
        <v>0</v>
      </c>
      <c r="C296" s="1">
        <f>[1]装备明细!B297</f>
        <v>103070300</v>
      </c>
      <c r="D296" s="1">
        <f t="shared" si="24"/>
        <v>200295</v>
      </c>
      <c r="E296" s="1" t="s">
        <v>63</v>
      </c>
      <c r="F296" s="1" t="str">
        <f ca="1">[1]装备明细!C297&amp;"图纸"</f>
        <v>缪斯之拳图纸</v>
      </c>
      <c r="G296" s="1" t="str">
        <f ca="1">[1]装备明细!$I297</f>
        <v>[218-270]攻击 +3个随机属性</v>
      </c>
      <c r="H296" s="1">
        <f t="shared" si="29"/>
        <v>100295</v>
      </c>
      <c r="I296" s="1">
        <v>1</v>
      </c>
      <c r="J296" s="1">
        <f>[1]装备明细!J297</f>
        <v>0</v>
      </c>
      <c r="K296" s="1">
        <f>[1]装备明细!K297</f>
        <v>4</v>
      </c>
      <c r="L296" s="1">
        <f>[1]装备明细!L297</f>
        <v>7</v>
      </c>
      <c r="M296" s="1">
        <v>6</v>
      </c>
      <c r="N296" s="1">
        <f>[1]装备明细!$F300</f>
        <v>1</v>
      </c>
      <c r="O296" s="1">
        <f>[1]装备明细!$E297</f>
        <v>3</v>
      </c>
      <c r="P296" s="1">
        <f t="shared" si="25"/>
        <v>3</v>
      </c>
      <c r="Q296" s="1">
        <f t="shared" si="26"/>
        <v>740</v>
      </c>
      <c r="R296" s="1">
        <f t="shared" si="27"/>
        <v>19</v>
      </c>
      <c r="S296" s="1">
        <f t="shared" si="28"/>
        <v>3</v>
      </c>
    </row>
    <row r="297" spans="1:19" x14ac:dyDescent="0.15">
      <c r="A297" s="1">
        <v>296</v>
      </c>
      <c r="B297" s="1">
        <v>0</v>
      </c>
      <c r="C297" s="1">
        <f>[1]装备明细!B298</f>
        <v>103080300</v>
      </c>
      <c r="D297" s="1">
        <f t="shared" si="24"/>
        <v>200296</v>
      </c>
      <c r="E297" s="1" t="s">
        <v>63</v>
      </c>
      <c r="F297" s="1" t="str">
        <f ca="1">[1]装备明细!C298&amp;"图纸"</f>
        <v>潘多拉拳套图纸</v>
      </c>
      <c r="G297" s="1" t="str">
        <f ca="1">[1]装备明细!$I298</f>
        <v>[271-328]攻击 +3个随机属性</v>
      </c>
      <c r="H297" s="1">
        <f t="shared" si="29"/>
        <v>100296</v>
      </c>
      <c r="I297" s="1">
        <v>1</v>
      </c>
      <c r="J297" s="1">
        <f>[1]装备明细!J298</f>
        <v>0</v>
      </c>
      <c r="K297" s="1">
        <f>[1]装备明细!K298</f>
        <v>4</v>
      </c>
      <c r="L297" s="1">
        <f>[1]装备明细!L298</f>
        <v>8</v>
      </c>
      <c r="M297" s="1">
        <v>6</v>
      </c>
      <c r="N297" s="1">
        <f>[1]装备明细!$F301</f>
        <v>1</v>
      </c>
      <c r="O297" s="1">
        <f>[1]装备明细!$E298</f>
        <v>3</v>
      </c>
      <c r="P297" s="1">
        <f t="shared" si="25"/>
        <v>3</v>
      </c>
      <c r="Q297" s="1">
        <f t="shared" si="26"/>
        <v>760</v>
      </c>
      <c r="R297" s="1">
        <f t="shared" si="27"/>
        <v>19</v>
      </c>
      <c r="S297" s="1">
        <f t="shared" si="28"/>
        <v>3</v>
      </c>
    </row>
    <row r="298" spans="1:19" x14ac:dyDescent="0.15">
      <c r="A298" s="1">
        <v>297</v>
      </c>
      <c r="B298" s="1">
        <v>0</v>
      </c>
      <c r="C298" s="1">
        <f>[1]装备明细!B299</f>
        <v>103090300</v>
      </c>
      <c r="D298" s="1">
        <f t="shared" si="24"/>
        <v>200297</v>
      </c>
      <c r="E298" s="1" t="s">
        <v>63</v>
      </c>
      <c r="F298" s="1" t="str">
        <f ca="1">[1]装备明细!C299&amp;"图纸"</f>
        <v>卡德摩斯拳套图纸</v>
      </c>
      <c r="G298" s="1" t="str">
        <f ca="1">[1]装备明细!$I299</f>
        <v>[329-390]攻击 +3个随机属性</v>
      </c>
      <c r="H298" s="1">
        <f t="shared" si="29"/>
        <v>100297</v>
      </c>
      <c r="I298" s="1">
        <v>1</v>
      </c>
      <c r="J298" s="1">
        <f>[1]装备明细!J299</f>
        <v>0</v>
      </c>
      <c r="K298" s="1">
        <f>[1]装备明细!K299</f>
        <v>4</v>
      </c>
      <c r="L298" s="1">
        <f>[1]装备明细!L299</f>
        <v>9</v>
      </c>
      <c r="M298" s="1">
        <v>6</v>
      </c>
      <c r="N298" s="1">
        <f>[1]装备明细!$F302</f>
        <v>1</v>
      </c>
      <c r="O298" s="1">
        <f>[1]装备明细!$E299</f>
        <v>3</v>
      </c>
      <c r="P298" s="1">
        <f t="shared" si="25"/>
        <v>3</v>
      </c>
      <c r="Q298" s="1">
        <f t="shared" si="26"/>
        <v>780</v>
      </c>
      <c r="R298" s="1">
        <f t="shared" si="27"/>
        <v>19</v>
      </c>
      <c r="S298" s="1">
        <f t="shared" si="28"/>
        <v>3</v>
      </c>
    </row>
    <row r="299" spans="1:19" x14ac:dyDescent="0.15">
      <c r="A299" s="1">
        <v>298</v>
      </c>
      <c r="B299" s="1">
        <v>0</v>
      </c>
      <c r="C299" s="1">
        <f>[1]装备明细!B300</f>
        <v>103010400</v>
      </c>
      <c r="D299" s="1">
        <f t="shared" si="24"/>
        <v>200298</v>
      </c>
      <c r="E299" s="1" t="s">
        <v>63</v>
      </c>
      <c r="F299" s="1" t="str">
        <f ca="1">[1]装备明细!C300&amp;"图纸"</f>
        <v>奥丁之枪图纸</v>
      </c>
      <c r="G299" s="1" t="str">
        <f ca="1">[1]装备明细!$I300</f>
        <v>[1-24]攻击 +3个随机属性</v>
      </c>
      <c r="H299" s="1">
        <f t="shared" si="29"/>
        <v>100298</v>
      </c>
      <c r="I299" s="1">
        <v>1</v>
      </c>
      <c r="J299" s="1">
        <f>[1]装备明细!J300</f>
        <v>0</v>
      </c>
      <c r="K299" s="1">
        <f>[1]装备明细!K300</f>
        <v>4</v>
      </c>
      <c r="L299" s="1">
        <f>[1]装备明细!L300</f>
        <v>1</v>
      </c>
      <c r="M299" s="1">
        <v>6</v>
      </c>
      <c r="N299" s="1">
        <f>[1]装备明细!$F303</f>
        <v>1</v>
      </c>
      <c r="O299" s="1">
        <f>[1]装备明细!$E300</f>
        <v>3</v>
      </c>
      <c r="P299" s="1">
        <f t="shared" si="25"/>
        <v>3</v>
      </c>
      <c r="Q299" s="1">
        <f t="shared" si="26"/>
        <v>620</v>
      </c>
      <c r="R299" s="1">
        <f t="shared" si="27"/>
        <v>19</v>
      </c>
      <c r="S299" s="1">
        <f t="shared" si="28"/>
        <v>3</v>
      </c>
    </row>
    <row r="300" spans="1:19" x14ac:dyDescent="0.15">
      <c r="A300" s="1">
        <v>299</v>
      </c>
      <c r="B300" s="1">
        <v>0</v>
      </c>
      <c r="C300" s="1">
        <f>[1]装备明细!B301</f>
        <v>103020400</v>
      </c>
      <c r="D300" s="1">
        <f t="shared" si="24"/>
        <v>200299</v>
      </c>
      <c r="E300" s="1" t="s">
        <v>63</v>
      </c>
      <c r="F300" s="1" t="str">
        <f ca="1">[1]装备明细!C301&amp;"图纸"</f>
        <v>卢卡之枪图纸</v>
      </c>
      <c r="G300" s="1" t="str">
        <f ca="1">[1]装备明细!$I301</f>
        <v>[25-52]攻击 +3个随机属性</v>
      </c>
      <c r="H300" s="1">
        <f t="shared" si="29"/>
        <v>100299</v>
      </c>
      <c r="I300" s="1">
        <v>1</v>
      </c>
      <c r="J300" s="1">
        <f>[1]装备明细!J301</f>
        <v>0</v>
      </c>
      <c r="K300" s="1">
        <f>[1]装备明细!K301</f>
        <v>4</v>
      </c>
      <c r="L300" s="1">
        <f>[1]装备明细!L301</f>
        <v>2</v>
      </c>
      <c r="M300" s="1">
        <v>6</v>
      </c>
      <c r="N300" s="1">
        <f>[1]装备明细!$F304</f>
        <v>1</v>
      </c>
      <c r="O300" s="1">
        <f>[1]装备明细!$E301</f>
        <v>3</v>
      </c>
      <c r="P300" s="1">
        <f t="shared" si="25"/>
        <v>3</v>
      </c>
      <c r="Q300" s="1">
        <f t="shared" si="26"/>
        <v>640</v>
      </c>
      <c r="R300" s="1">
        <f t="shared" si="27"/>
        <v>19</v>
      </c>
      <c r="S300" s="1">
        <f t="shared" si="28"/>
        <v>3</v>
      </c>
    </row>
    <row r="301" spans="1:19" x14ac:dyDescent="0.15">
      <c r="A301" s="1">
        <v>300</v>
      </c>
      <c r="B301" s="1">
        <v>0</v>
      </c>
      <c r="C301" s="1">
        <f>[1]装备明细!B302</f>
        <v>103030400</v>
      </c>
      <c r="D301" s="1">
        <f t="shared" si="24"/>
        <v>200300</v>
      </c>
      <c r="E301" s="1" t="s">
        <v>63</v>
      </c>
      <c r="F301" s="1" t="str">
        <f ca="1">[1]装备明细!C302&amp;"图纸"</f>
        <v>坎珀尖枪图纸</v>
      </c>
      <c r="G301" s="1" t="str">
        <f ca="1">[1]装备明细!$I302</f>
        <v>[53-86]攻击 +3个随机属性</v>
      </c>
      <c r="H301" s="1">
        <f t="shared" si="29"/>
        <v>100300</v>
      </c>
      <c r="I301" s="1">
        <v>1</v>
      </c>
      <c r="J301" s="1">
        <f>[1]装备明细!J302</f>
        <v>0</v>
      </c>
      <c r="K301" s="1">
        <f>[1]装备明细!K302</f>
        <v>4</v>
      </c>
      <c r="L301" s="1">
        <f>[1]装备明细!L302</f>
        <v>3</v>
      </c>
      <c r="M301" s="1">
        <v>6</v>
      </c>
      <c r="N301" s="1">
        <f>[1]装备明细!$F305</f>
        <v>1</v>
      </c>
      <c r="O301" s="1">
        <f>[1]装备明细!$E302</f>
        <v>3</v>
      </c>
      <c r="P301" s="1">
        <f t="shared" si="25"/>
        <v>3</v>
      </c>
      <c r="Q301" s="1">
        <f t="shared" si="26"/>
        <v>660</v>
      </c>
      <c r="R301" s="1">
        <f t="shared" si="27"/>
        <v>19</v>
      </c>
      <c r="S301" s="1">
        <f t="shared" si="28"/>
        <v>3</v>
      </c>
    </row>
    <row r="302" spans="1:19" x14ac:dyDescent="0.15">
      <c r="A302" s="1">
        <v>301</v>
      </c>
      <c r="B302" s="1">
        <v>0</v>
      </c>
      <c r="C302" s="1">
        <f>[1]装备明细!B303</f>
        <v>103040400</v>
      </c>
      <c r="D302" s="1">
        <f t="shared" si="24"/>
        <v>200301</v>
      </c>
      <c r="E302" s="1" t="s">
        <v>63</v>
      </c>
      <c r="F302" s="1" t="str">
        <f ca="1">[1]装备明细!C303&amp;"图纸"</f>
        <v>费恩尖枪图纸</v>
      </c>
      <c r="G302" s="1" t="str">
        <f ca="1">[1]装备明细!$I303</f>
        <v>[87-124]攻击 +3个随机属性</v>
      </c>
      <c r="H302" s="1">
        <f t="shared" si="29"/>
        <v>100301</v>
      </c>
      <c r="I302" s="1">
        <v>1</v>
      </c>
      <c r="J302" s="1">
        <f>[1]装备明细!J303</f>
        <v>0</v>
      </c>
      <c r="K302" s="1">
        <f>[1]装备明细!K303</f>
        <v>4</v>
      </c>
      <c r="L302" s="1">
        <f>[1]装备明细!L303</f>
        <v>4</v>
      </c>
      <c r="M302" s="1">
        <v>6</v>
      </c>
      <c r="N302" s="1">
        <f>[1]装备明细!$F306</f>
        <v>1</v>
      </c>
      <c r="O302" s="1">
        <f>[1]装备明细!$E303</f>
        <v>3</v>
      </c>
      <c r="P302" s="1">
        <f t="shared" si="25"/>
        <v>3</v>
      </c>
      <c r="Q302" s="1">
        <f t="shared" si="26"/>
        <v>680</v>
      </c>
      <c r="R302" s="1">
        <f t="shared" si="27"/>
        <v>19</v>
      </c>
      <c r="S302" s="1">
        <f t="shared" si="28"/>
        <v>3</v>
      </c>
    </row>
    <row r="303" spans="1:19" x14ac:dyDescent="0.15">
      <c r="A303" s="1">
        <v>302</v>
      </c>
      <c r="B303" s="1">
        <v>0</v>
      </c>
      <c r="C303" s="1">
        <f>[1]装备明细!B304</f>
        <v>103050400</v>
      </c>
      <c r="D303" s="1">
        <f t="shared" si="24"/>
        <v>200302</v>
      </c>
      <c r="E303" s="1" t="s">
        <v>63</v>
      </c>
      <c r="F303" s="1" t="str">
        <f ca="1">[1]装备明细!C304&amp;"图纸"</f>
        <v>迪马斯尖枪图纸</v>
      </c>
      <c r="G303" s="1" t="str">
        <f ca="1">[1]装备明细!$I304</f>
        <v>[125-169]攻击 +3个随机属性</v>
      </c>
      <c r="H303" s="1">
        <f t="shared" si="29"/>
        <v>100302</v>
      </c>
      <c r="I303" s="1">
        <v>1</v>
      </c>
      <c r="J303" s="1">
        <f>[1]装备明细!J304</f>
        <v>0</v>
      </c>
      <c r="K303" s="1">
        <f>[1]装备明细!K304</f>
        <v>4</v>
      </c>
      <c r="L303" s="1">
        <f>[1]装备明细!L304</f>
        <v>5</v>
      </c>
      <c r="M303" s="1">
        <v>6</v>
      </c>
      <c r="N303" s="1">
        <f>[1]装备明细!$F307</f>
        <v>1</v>
      </c>
      <c r="O303" s="1">
        <f>[1]装备明细!$E304</f>
        <v>3</v>
      </c>
      <c r="P303" s="1">
        <f t="shared" si="25"/>
        <v>3</v>
      </c>
      <c r="Q303" s="1">
        <f t="shared" si="26"/>
        <v>700</v>
      </c>
      <c r="R303" s="1">
        <f t="shared" si="27"/>
        <v>19</v>
      </c>
      <c r="S303" s="1">
        <f t="shared" si="28"/>
        <v>3</v>
      </c>
    </row>
    <row r="304" spans="1:19" x14ac:dyDescent="0.15">
      <c r="A304" s="1">
        <v>303</v>
      </c>
      <c r="B304" s="1">
        <v>0</v>
      </c>
      <c r="C304" s="1">
        <f>[1]装备明细!B305</f>
        <v>103060400</v>
      </c>
      <c r="D304" s="1">
        <f t="shared" si="24"/>
        <v>200303</v>
      </c>
      <c r="E304" s="1" t="s">
        <v>63</v>
      </c>
      <c r="F304" s="1" t="str">
        <f ca="1">[1]装备明细!C305&amp;"图纸"</f>
        <v>酒神之枪图纸</v>
      </c>
      <c r="G304" s="1" t="str">
        <f ca="1">[1]装备明细!$I305</f>
        <v>[170-217]攻击 +3个随机属性</v>
      </c>
      <c r="H304" s="1">
        <f t="shared" si="29"/>
        <v>100303</v>
      </c>
      <c r="I304" s="1">
        <v>1</v>
      </c>
      <c r="J304" s="1">
        <f>[1]装备明细!J305</f>
        <v>0</v>
      </c>
      <c r="K304" s="1">
        <f>[1]装备明细!K305</f>
        <v>4</v>
      </c>
      <c r="L304" s="1">
        <f>[1]装备明细!L305</f>
        <v>6</v>
      </c>
      <c r="M304" s="1">
        <v>6</v>
      </c>
      <c r="N304" s="1">
        <f>[1]装备明细!$F308</f>
        <v>1</v>
      </c>
      <c r="O304" s="1">
        <f>[1]装备明细!$E305</f>
        <v>3</v>
      </c>
      <c r="P304" s="1">
        <f t="shared" si="25"/>
        <v>3</v>
      </c>
      <c r="Q304" s="1">
        <f t="shared" si="26"/>
        <v>720</v>
      </c>
      <c r="R304" s="1">
        <f t="shared" si="27"/>
        <v>19</v>
      </c>
      <c r="S304" s="1">
        <f t="shared" si="28"/>
        <v>3</v>
      </c>
    </row>
    <row r="305" spans="1:19" x14ac:dyDescent="0.15">
      <c r="A305" s="1">
        <v>304</v>
      </c>
      <c r="B305" s="1">
        <v>0</v>
      </c>
      <c r="C305" s="1">
        <f>[1]装备明细!B306</f>
        <v>103070400</v>
      </c>
      <c r="D305" s="1">
        <f t="shared" si="24"/>
        <v>200304</v>
      </c>
      <c r="E305" s="1" t="s">
        <v>63</v>
      </c>
      <c r="F305" s="1" t="str">
        <f ca="1">[1]装备明细!C306&amp;"图纸"</f>
        <v>缪斯之枪图纸</v>
      </c>
      <c r="G305" s="1" t="str">
        <f ca="1">[1]装备明细!$I306</f>
        <v>[218-270]攻击 +3个随机属性</v>
      </c>
      <c r="H305" s="1">
        <f t="shared" si="29"/>
        <v>100304</v>
      </c>
      <c r="I305" s="1">
        <v>1</v>
      </c>
      <c r="J305" s="1">
        <f>[1]装备明细!J306</f>
        <v>0</v>
      </c>
      <c r="K305" s="1">
        <f>[1]装备明细!K306</f>
        <v>4</v>
      </c>
      <c r="L305" s="1">
        <f>[1]装备明细!L306</f>
        <v>7</v>
      </c>
      <c r="M305" s="1">
        <v>6</v>
      </c>
      <c r="N305" s="1">
        <f>[1]装备明细!$F309</f>
        <v>1</v>
      </c>
      <c r="O305" s="1">
        <f>[1]装备明细!$E306</f>
        <v>3</v>
      </c>
      <c r="P305" s="1">
        <f t="shared" si="25"/>
        <v>3</v>
      </c>
      <c r="Q305" s="1">
        <f t="shared" si="26"/>
        <v>740</v>
      </c>
      <c r="R305" s="1">
        <f t="shared" si="27"/>
        <v>19</v>
      </c>
      <c r="S305" s="1">
        <f t="shared" si="28"/>
        <v>3</v>
      </c>
    </row>
    <row r="306" spans="1:19" x14ac:dyDescent="0.15">
      <c r="A306" s="1">
        <v>305</v>
      </c>
      <c r="B306" s="1">
        <v>0</v>
      </c>
      <c r="C306" s="1">
        <f>[1]装备明细!B307</f>
        <v>103080400</v>
      </c>
      <c r="D306" s="1">
        <f t="shared" si="24"/>
        <v>200305</v>
      </c>
      <c r="E306" s="1" t="s">
        <v>63</v>
      </c>
      <c r="F306" s="1" t="str">
        <f ca="1">[1]装备明细!C307&amp;"图纸"</f>
        <v>潘多拉之枪图纸</v>
      </c>
      <c r="G306" s="1" t="str">
        <f ca="1">[1]装备明细!$I307</f>
        <v>[271-328]攻击 +3个随机属性</v>
      </c>
      <c r="H306" s="1">
        <f t="shared" si="29"/>
        <v>100305</v>
      </c>
      <c r="I306" s="1">
        <v>1</v>
      </c>
      <c r="J306" s="1">
        <f>[1]装备明细!J307</f>
        <v>0</v>
      </c>
      <c r="K306" s="1">
        <f>[1]装备明细!K307</f>
        <v>4</v>
      </c>
      <c r="L306" s="1">
        <f>[1]装备明细!L307</f>
        <v>8</v>
      </c>
      <c r="M306" s="1">
        <v>6</v>
      </c>
      <c r="N306" s="1">
        <f>[1]装备明细!$F310</f>
        <v>1</v>
      </c>
      <c r="O306" s="1">
        <f>[1]装备明细!$E307</f>
        <v>3</v>
      </c>
      <c r="P306" s="1">
        <f t="shared" si="25"/>
        <v>3</v>
      </c>
      <c r="Q306" s="1">
        <f t="shared" si="26"/>
        <v>760</v>
      </c>
      <c r="R306" s="1">
        <f t="shared" si="27"/>
        <v>19</v>
      </c>
      <c r="S306" s="1">
        <f t="shared" si="28"/>
        <v>3</v>
      </c>
    </row>
    <row r="307" spans="1:19" x14ac:dyDescent="0.15">
      <c r="A307" s="1">
        <v>306</v>
      </c>
      <c r="B307" s="1">
        <v>0</v>
      </c>
      <c r="C307" s="1">
        <f>[1]装备明细!B308</f>
        <v>103090400</v>
      </c>
      <c r="D307" s="1">
        <f t="shared" si="24"/>
        <v>200306</v>
      </c>
      <c r="E307" s="1" t="s">
        <v>63</v>
      </c>
      <c r="F307" s="1" t="str">
        <f ca="1">[1]装备明细!C308&amp;"图纸"</f>
        <v>衣卒尔之枪图纸</v>
      </c>
      <c r="G307" s="1" t="str">
        <f ca="1">[1]装备明细!$I308</f>
        <v>[329-390]攻击 +3个随机属性</v>
      </c>
      <c r="H307" s="1">
        <f t="shared" si="29"/>
        <v>100306</v>
      </c>
      <c r="I307" s="1">
        <v>1</v>
      </c>
      <c r="J307" s="1">
        <f>[1]装备明细!J308</f>
        <v>0</v>
      </c>
      <c r="K307" s="1">
        <f>[1]装备明细!K308</f>
        <v>4</v>
      </c>
      <c r="L307" s="1">
        <f>[1]装备明细!L308</f>
        <v>9</v>
      </c>
      <c r="M307" s="1">
        <v>6</v>
      </c>
      <c r="N307" s="1">
        <f>[1]装备明细!$F311</f>
        <v>1</v>
      </c>
      <c r="O307" s="1">
        <f>[1]装备明细!$E308</f>
        <v>3</v>
      </c>
      <c r="P307" s="1">
        <f t="shared" si="25"/>
        <v>3</v>
      </c>
      <c r="Q307" s="1">
        <f t="shared" si="26"/>
        <v>780</v>
      </c>
      <c r="R307" s="1">
        <f t="shared" si="27"/>
        <v>19</v>
      </c>
      <c r="S307" s="1">
        <f t="shared" si="28"/>
        <v>3</v>
      </c>
    </row>
    <row r="308" spans="1:19" x14ac:dyDescent="0.15">
      <c r="A308" s="1">
        <v>307</v>
      </c>
      <c r="B308" s="1">
        <v>0</v>
      </c>
      <c r="C308" s="1">
        <f>[1]装备明细!B309</f>
        <v>103010500</v>
      </c>
      <c r="D308" s="1">
        <f t="shared" si="24"/>
        <v>200307</v>
      </c>
      <c r="E308" s="1" t="s">
        <v>63</v>
      </c>
      <c r="F308" s="1" t="str">
        <f ca="1">[1]装备明细!C309&amp;"图纸"</f>
        <v>奥丁镰刀图纸</v>
      </c>
      <c r="G308" s="1" t="str">
        <f ca="1">[1]装备明细!$I309</f>
        <v>[1-24]攻击 +3个随机属性</v>
      </c>
      <c r="H308" s="1">
        <f t="shared" si="29"/>
        <v>100307</v>
      </c>
      <c r="I308" s="1">
        <v>1</v>
      </c>
      <c r="J308" s="1">
        <f>[1]装备明细!J309</f>
        <v>0</v>
      </c>
      <c r="K308" s="1">
        <f>[1]装备明细!K309</f>
        <v>4</v>
      </c>
      <c r="L308" s="1">
        <f>[1]装备明细!L309</f>
        <v>1</v>
      </c>
      <c r="M308" s="1">
        <v>6</v>
      </c>
      <c r="N308" s="1">
        <f>[1]装备明细!$F312</f>
        <v>1</v>
      </c>
      <c r="O308" s="1">
        <f>[1]装备明细!$E309</f>
        <v>3</v>
      </c>
      <c r="P308" s="1">
        <f t="shared" si="25"/>
        <v>3</v>
      </c>
      <c r="Q308" s="1">
        <f t="shared" si="26"/>
        <v>620</v>
      </c>
      <c r="R308" s="1">
        <f t="shared" si="27"/>
        <v>19</v>
      </c>
      <c r="S308" s="1">
        <f t="shared" si="28"/>
        <v>3</v>
      </c>
    </row>
    <row r="309" spans="1:19" x14ac:dyDescent="0.15">
      <c r="A309" s="1">
        <v>308</v>
      </c>
      <c r="B309" s="1">
        <v>0</v>
      </c>
      <c r="C309" s="1">
        <f>[1]装备明细!B310</f>
        <v>103020500</v>
      </c>
      <c r="D309" s="1">
        <f t="shared" si="24"/>
        <v>200308</v>
      </c>
      <c r="E309" s="1" t="s">
        <v>63</v>
      </c>
      <c r="F309" s="1" t="str">
        <f ca="1">[1]装备明细!C310&amp;"图纸"</f>
        <v>卢卡镰刀图纸</v>
      </c>
      <c r="G309" s="1" t="str">
        <f ca="1">[1]装备明细!$I310</f>
        <v>[25-52]攻击 +3个随机属性</v>
      </c>
      <c r="H309" s="1">
        <f t="shared" si="29"/>
        <v>100308</v>
      </c>
      <c r="I309" s="1">
        <v>1</v>
      </c>
      <c r="J309" s="1">
        <f>[1]装备明细!J310</f>
        <v>0</v>
      </c>
      <c r="K309" s="1">
        <f>[1]装备明细!K310</f>
        <v>4</v>
      </c>
      <c r="L309" s="1">
        <f>[1]装备明细!L310</f>
        <v>2</v>
      </c>
      <c r="M309" s="1">
        <v>6</v>
      </c>
      <c r="N309" s="1">
        <f>[1]装备明细!$F313</f>
        <v>1</v>
      </c>
      <c r="O309" s="1">
        <f>[1]装备明细!$E310</f>
        <v>3</v>
      </c>
      <c r="P309" s="1">
        <f t="shared" si="25"/>
        <v>3</v>
      </c>
      <c r="Q309" s="1">
        <f t="shared" si="26"/>
        <v>640</v>
      </c>
      <c r="R309" s="1">
        <f t="shared" si="27"/>
        <v>19</v>
      </c>
      <c r="S309" s="1">
        <f t="shared" si="28"/>
        <v>3</v>
      </c>
    </row>
    <row r="310" spans="1:19" x14ac:dyDescent="0.15">
      <c r="A310" s="1">
        <v>309</v>
      </c>
      <c r="B310" s="1">
        <v>0</v>
      </c>
      <c r="C310" s="1">
        <f>[1]装备明细!B311</f>
        <v>103030500</v>
      </c>
      <c r="D310" s="1">
        <f t="shared" si="24"/>
        <v>200309</v>
      </c>
      <c r="E310" s="1" t="s">
        <v>63</v>
      </c>
      <c r="F310" s="1" t="str">
        <f ca="1">[1]装备明细!C311&amp;"图纸"</f>
        <v>坎珀镰刀图纸</v>
      </c>
      <c r="G310" s="1" t="str">
        <f ca="1">[1]装备明细!$I311</f>
        <v>[53-86]攻击 +3个随机属性</v>
      </c>
      <c r="H310" s="1">
        <f t="shared" si="29"/>
        <v>100309</v>
      </c>
      <c r="I310" s="1">
        <v>1</v>
      </c>
      <c r="J310" s="1">
        <f>[1]装备明细!J311</f>
        <v>0</v>
      </c>
      <c r="K310" s="1">
        <f>[1]装备明细!K311</f>
        <v>4</v>
      </c>
      <c r="L310" s="1">
        <f>[1]装备明细!L311</f>
        <v>3</v>
      </c>
      <c r="M310" s="1">
        <v>6</v>
      </c>
      <c r="N310" s="1">
        <f>[1]装备明细!$F314</f>
        <v>1</v>
      </c>
      <c r="O310" s="1">
        <f>[1]装备明细!$E311</f>
        <v>3</v>
      </c>
      <c r="P310" s="1">
        <f t="shared" si="25"/>
        <v>3</v>
      </c>
      <c r="Q310" s="1">
        <f t="shared" si="26"/>
        <v>660</v>
      </c>
      <c r="R310" s="1">
        <f t="shared" si="27"/>
        <v>19</v>
      </c>
      <c r="S310" s="1">
        <f t="shared" si="28"/>
        <v>3</v>
      </c>
    </row>
    <row r="311" spans="1:19" x14ac:dyDescent="0.15">
      <c r="A311" s="1">
        <v>310</v>
      </c>
      <c r="B311" s="1">
        <v>0</v>
      </c>
      <c r="C311" s="1">
        <f>[1]装备明细!B312</f>
        <v>103040500</v>
      </c>
      <c r="D311" s="1">
        <f t="shared" si="24"/>
        <v>200310</v>
      </c>
      <c r="E311" s="1" t="s">
        <v>63</v>
      </c>
      <c r="F311" s="1" t="str">
        <f ca="1">[1]装备明细!C312&amp;"图纸"</f>
        <v>费恩镰刀图纸</v>
      </c>
      <c r="G311" s="1" t="str">
        <f ca="1">[1]装备明细!$I312</f>
        <v>[87-124]攻击 +3个随机属性</v>
      </c>
      <c r="H311" s="1">
        <f t="shared" si="29"/>
        <v>100310</v>
      </c>
      <c r="I311" s="1">
        <v>1</v>
      </c>
      <c r="J311" s="1">
        <f>[1]装备明细!J312</f>
        <v>0</v>
      </c>
      <c r="K311" s="1">
        <f>[1]装备明细!K312</f>
        <v>4</v>
      </c>
      <c r="L311" s="1">
        <f>[1]装备明细!L312</f>
        <v>4</v>
      </c>
      <c r="M311" s="1">
        <v>6</v>
      </c>
      <c r="N311" s="1">
        <f>[1]装备明细!$F315</f>
        <v>1</v>
      </c>
      <c r="O311" s="1">
        <f>[1]装备明细!$E312</f>
        <v>3</v>
      </c>
      <c r="P311" s="1">
        <f t="shared" si="25"/>
        <v>3</v>
      </c>
      <c r="Q311" s="1">
        <f t="shared" si="26"/>
        <v>680</v>
      </c>
      <c r="R311" s="1">
        <f t="shared" si="27"/>
        <v>19</v>
      </c>
      <c r="S311" s="1">
        <f t="shared" si="28"/>
        <v>3</v>
      </c>
    </row>
    <row r="312" spans="1:19" x14ac:dyDescent="0.15">
      <c r="A312" s="1">
        <v>311</v>
      </c>
      <c r="B312" s="1">
        <v>0</v>
      </c>
      <c r="C312" s="1">
        <f>[1]装备明细!B313</f>
        <v>103050500</v>
      </c>
      <c r="D312" s="1">
        <f t="shared" si="24"/>
        <v>200311</v>
      </c>
      <c r="E312" s="1" t="s">
        <v>63</v>
      </c>
      <c r="F312" s="1" t="str">
        <f ca="1">[1]装备明细!C313&amp;"图纸"</f>
        <v>迪马斯镰刀图纸</v>
      </c>
      <c r="G312" s="1" t="str">
        <f ca="1">[1]装备明细!$I313</f>
        <v>[125-169]攻击 +3个随机属性</v>
      </c>
      <c r="H312" s="1">
        <f t="shared" si="29"/>
        <v>100311</v>
      </c>
      <c r="I312" s="1">
        <v>1</v>
      </c>
      <c r="J312" s="1">
        <f>[1]装备明细!J313</f>
        <v>0</v>
      </c>
      <c r="K312" s="1">
        <f>[1]装备明细!K313</f>
        <v>4</v>
      </c>
      <c r="L312" s="1">
        <f>[1]装备明细!L313</f>
        <v>5</v>
      </c>
      <c r="M312" s="1">
        <v>6</v>
      </c>
      <c r="N312" s="1">
        <f>[1]装备明细!$F316</f>
        <v>1</v>
      </c>
      <c r="O312" s="1">
        <f>[1]装备明细!$E313</f>
        <v>3</v>
      </c>
      <c r="P312" s="1">
        <f t="shared" si="25"/>
        <v>3</v>
      </c>
      <c r="Q312" s="1">
        <f t="shared" si="26"/>
        <v>700</v>
      </c>
      <c r="R312" s="1">
        <f t="shared" si="27"/>
        <v>19</v>
      </c>
      <c r="S312" s="1">
        <f t="shared" si="28"/>
        <v>3</v>
      </c>
    </row>
    <row r="313" spans="1:19" x14ac:dyDescent="0.15">
      <c r="A313" s="1">
        <v>312</v>
      </c>
      <c r="B313" s="1">
        <v>0</v>
      </c>
      <c r="C313" s="1">
        <f>[1]装备明细!B314</f>
        <v>103060500</v>
      </c>
      <c r="D313" s="1">
        <f t="shared" si="24"/>
        <v>200312</v>
      </c>
      <c r="E313" s="1" t="s">
        <v>63</v>
      </c>
      <c r="F313" s="1" t="str">
        <f ca="1">[1]装备明细!C314&amp;"图纸"</f>
        <v>酒神镰刀图纸</v>
      </c>
      <c r="G313" s="1" t="str">
        <f ca="1">[1]装备明细!$I314</f>
        <v>[170-217]攻击 +3个随机属性</v>
      </c>
      <c r="H313" s="1">
        <f t="shared" si="29"/>
        <v>100312</v>
      </c>
      <c r="I313" s="1">
        <v>1</v>
      </c>
      <c r="J313" s="1">
        <f>[1]装备明细!J314</f>
        <v>0</v>
      </c>
      <c r="K313" s="1">
        <f>[1]装备明细!K314</f>
        <v>4</v>
      </c>
      <c r="L313" s="1">
        <f>[1]装备明细!L314</f>
        <v>6</v>
      </c>
      <c r="M313" s="1">
        <v>6</v>
      </c>
      <c r="N313" s="1">
        <f>[1]装备明细!$F317</f>
        <v>1</v>
      </c>
      <c r="O313" s="1">
        <f>[1]装备明细!$E314</f>
        <v>3</v>
      </c>
      <c r="P313" s="1">
        <f t="shared" si="25"/>
        <v>3</v>
      </c>
      <c r="Q313" s="1">
        <f t="shared" si="26"/>
        <v>720</v>
      </c>
      <c r="R313" s="1">
        <f t="shared" si="27"/>
        <v>19</v>
      </c>
      <c r="S313" s="1">
        <f t="shared" si="28"/>
        <v>3</v>
      </c>
    </row>
    <row r="314" spans="1:19" x14ac:dyDescent="0.15">
      <c r="A314" s="1">
        <v>313</v>
      </c>
      <c r="B314" s="1">
        <v>0</v>
      </c>
      <c r="C314" s="1">
        <f>[1]装备明细!B315</f>
        <v>103070500</v>
      </c>
      <c r="D314" s="1">
        <f t="shared" si="24"/>
        <v>200313</v>
      </c>
      <c r="E314" s="1" t="s">
        <v>63</v>
      </c>
      <c r="F314" s="1" t="str">
        <f ca="1">[1]装备明细!C315&amp;"图纸"</f>
        <v>缪斯镰刀图纸</v>
      </c>
      <c r="G314" s="1" t="str">
        <f ca="1">[1]装备明细!$I315</f>
        <v>[218-270]攻击 +3个随机属性</v>
      </c>
      <c r="H314" s="1">
        <f t="shared" si="29"/>
        <v>100313</v>
      </c>
      <c r="I314" s="1">
        <v>1</v>
      </c>
      <c r="J314" s="1">
        <f>[1]装备明细!J315</f>
        <v>0</v>
      </c>
      <c r="K314" s="1">
        <f>[1]装备明细!K315</f>
        <v>4</v>
      </c>
      <c r="L314" s="1">
        <f>[1]装备明细!L315</f>
        <v>7</v>
      </c>
      <c r="M314" s="1">
        <v>6</v>
      </c>
      <c r="N314" s="1">
        <f>[1]装备明细!$F318</f>
        <v>1</v>
      </c>
      <c r="O314" s="1">
        <f>[1]装备明细!$E315</f>
        <v>3</v>
      </c>
      <c r="P314" s="1">
        <f t="shared" si="25"/>
        <v>3</v>
      </c>
      <c r="Q314" s="1">
        <f t="shared" si="26"/>
        <v>740</v>
      </c>
      <c r="R314" s="1">
        <f t="shared" si="27"/>
        <v>19</v>
      </c>
      <c r="S314" s="1">
        <f t="shared" si="28"/>
        <v>3</v>
      </c>
    </row>
    <row r="315" spans="1:19" x14ac:dyDescent="0.15">
      <c r="A315" s="1">
        <v>314</v>
      </c>
      <c r="B315" s="1">
        <v>0</v>
      </c>
      <c r="C315" s="1">
        <f>[1]装备明细!B316</f>
        <v>103080500</v>
      </c>
      <c r="D315" s="1">
        <f t="shared" si="24"/>
        <v>200314</v>
      </c>
      <c r="E315" s="1" t="s">
        <v>63</v>
      </c>
      <c r="F315" s="1" t="str">
        <f ca="1">[1]装备明细!C316&amp;"图纸"</f>
        <v>潘多拉镰刀图纸</v>
      </c>
      <c r="G315" s="1" t="str">
        <f ca="1">[1]装备明细!$I316</f>
        <v>[271-328]攻击 +3个随机属性</v>
      </c>
      <c r="H315" s="1">
        <f t="shared" si="29"/>
        <v>100314</v>
      </c>
      <c r="I315" s="1">
        <v>1</v>
      </c>
      <c r="J315" s="1">
        <f>[1]装备明细!J316</f>
        <v>0</v>
      </c>
      <c r="K315" s="1">
        <f>[1]装备明细!K316</f>
        <v>4</v>
      </c>
      <c r="L315" s="1">
        <f>[1]装备明细!L316</f>
        <v>8</v>
      </c>
      <c r="M315" s="1">
        <v>6</v>
      </c>
      <c r="N315" s="1">
        <f>[1]装备明细!$F319</f>
        <v>1</v>
      </c>
      <c r="O315" s="1">
        <f>[1]装备明细!$E316</f>
        <v>3</v>
      </c>
      <c r="P315" s="1">
        <f t="shared" si="25"/>
        <v>3</v>
      </c>
      <c r="Q315" s="1">
        <f t="shared" si="26"/>
        <v>760</v>
      </c>
      <c r="R315" s="1">
        <f t="shared" si="27"/>
        <v>19</v>
      </c>
      <c r="S315" s="1">
        <f t="shared" si="28"/>
        <v>3</v>
      </c>
    </row>
    <row r="316" spans="1:19" x14ac:dyDescent="0.15">
      <c r="A316" s="1">
        <v>315</v>
      </c>
      <c r="B316" s="1">
        <v>0</v>
      </c>
      <c r="C316" s="1">
        <f>[1]装备明细!B317</f>
        <v>103090500</v>
      </c>
      <c r="D316" s="1">
        <f t="shared" si="24"/>
        <v>200315</v>
      </c>
      <c r="E316" s="1" t="s">
        <v>63</v>
      </c>
      <c r="F316" s="1" t="str">
        <f ca="1">[1]装备明细!C317&amp;"图纸"</f>
        <v>塔罗斯镰刀图纸</v>
      </c>
      <c r="G316" s="1" t="str">
        <f ca="1">[1]装备明细!$I317</f>
        <v>[329-390]攻击 +3个随机属性</v>
      </c>
      <c r="H316" s="1">
        <f t="shared" si="29"/>
        <v>100315</v>
      </c>
      <c r="I316" s="1">
        <v>1</v>
      </c>
      <c r="J316" s="1">
        <f>[1]装备明细!J317</f>
        <v>0</v>
      </c>
      <c r="K316" s="1">
        <f>[1]装备明细!K317</f>
        <v>4</v>
      </c>
      <c r="L316" s="1">
        <f>[1]装备明细!L317</f>
        <v>9</v>
      </c>
      <c r="M316" s="1">
        <v>6</v>
      </c>
      <c r="N316" s="1">
        <f>[1]装备明细!$F320</f>
        <v>1</v>
      </c>
      <c r="O316" s="1">
        <f>[1]装备明细!$E317</f>
        <v>3</v>
      </c>
      <c r="P316" s="1">
        <f t="shared" si="25"/>
        <v>3</v>
      </c>
      <c r="Q316" s="1">
        <f t="shared" si="26"/>
        <v>780</v>
      </c>
      <c r="R316" s="1">
        <f t="shared" si="27"/>
        <v>19</v>
      </c>
      <c r="S316" s="1">
        <f t="shared" si="28"/>
        <v>3</v>
      </c>
    </row>
    <row r="317" spans="1:19" x14ac:dyDescent="0.15">
      <c r="A317" s="1">
        <v>316</v>
      </c>
      <c r="B317" s="1">
        <v>0</v>
      </c>
      <c r="C317" s="1">
        <f>[1]装备明细!B318</f>
        <v>103010600</v>
      </c>
      <c r="D317" s="1">
        <f t="shared" si="24"/>
        <v>200316</v>
      </c>
      <c r="E317" s="1" t="s">
        <v>63</v>
      </c>
      <c r="F317" s="1" t="str">
        <f ca="1">[1]装备明细!C318&amp;"图纸"</f>
        <v>奥丁法杖图纸</v>
      </c>
      <c r="G317" s="1" t="str">
        <f ca="1">[1]装备明细!$I318</f>
        <v>[1-24]攻击 +3个随机属性</v>
      </c>
      <c r="H317" s="1">
        <f t="shared" si="29"/>
        <v>100316</v>
      </c>
      <c r="I317" s="1">
        <v>1</v>
      </c>
      <c r="J317" s="1">
        <f>[1]装备明细!J318</f>
        <v>0</v>
      </c>
      <c r="K317" s="1">
        <f>[1]装备明细!K318</f>
        <v>4</v>
      </c>
      <c r="L317" s="1">
        <f>[1]装备明细!L318</f>
        <v>1</v>
      </c>
      <c r="M317" s="1">
        <v>6</v>
      </c>
      <c r="N317" s="1">
        <f>[1]装备明细!$F321</f>
        <v>1</v>
      </c>
      <c r="O317" s="1">
        <f>[1]装备明细!$E318</f>
        <v>3</v>
      </c>
      <c r="P317" s="1">
        <f t="shared" si="25"/>
        <v>3</v>
      </c>
      <c r="Q317" s="1">
        <f t="shared" si="26"/>
        <v>620</v>
      </c>
      <c r="R317" s="1">
        <f t="shared" si="27"/>
        <v>19</v>
      </c>
      <c r="S317" s="1">
        <f t="shared" si="28"/>
        <v>3</v>
      </c>
    </row>
    <row r="318" spans="1:19" x14ac:dyDescent="0.15">
      <c r="A318" s="1">
        <v>317</v>
      </c>
      <c r="B318" s="1">
        <v>0</v>
      </c>
      <c r="C318" s="1">
        <f>[1]装备明细!B319</f>
        <v>103020600</v>
      </c>
      <c r="D318" s="1">
        <f t="shared" si="24"/>
        <v>200317</v>
      </c>
      <c r="E318" s="1" t="s">
        <v>63</v>
      </c>
      <c r="F318" s="1" t="str">
        <f ca="1">[1]装备明细!C319&amp;"图纸"</f>
        <v>卢卡法杖图纸</v>
      </c>
      <c r="G318" s="1" t="str">
        <f ca="1">[1]装备明细!$I319</f>
        <v>[25-52]攻击 +3个随机属性</v>
      </c>
      <c r="H318" s="1">
        <f t="shared" si="29"/>
        <v>100317</v>
      </c>
      <c r="I318" s="1">
        <v>1</v>
      </c>
      <c r="J318" s="1">
        <f>[1]装备明细!J319</f>
        <v>0</v>
      </c>
      <c r="K318" s="1">
        <f>[1]装备明细!K319</f>
        <v>4</v>
      </c>
      <c r="L318" s="1">
        <f>[1]装备明细!L319</f>
        <v>2</v>
      </c>
      <c r="M318" s="1">
        <v>6</v>
      </c>
      <c r="N318" s="1">
        <f>[1]装备明细!$F322</f>
        <v>1</v>
      </c>
      <c r="O318" s="1">
        <f>[1]装备明细!$E319</f>
        <v>3</v>
      </c>
      <c r="P318" s="1">
        <f t="shared" si="25"/>
        <v>3</v>
      </c>
      <c r="Q318" s="1">
        <f t="shared" si="26"/>
        <v>640</v>
      </c>
      <c r="R318" s="1">
        <f t="shared" si="27"/>
        <v>19</v>
      </c>
      <c r="S318" s="1">
        <f t="shared" si="28"/>
        <v>3</v>
      </c>
    </row>
    <row r="319" spans="1:19" x14ac:dyDescent="0.15">
      <c r="A319" s="1">
        <v>318</v>
      </c>
      <c r="B319" s="1">
        <v>0</v>
      </c>
      <c r="C319" s="1">
        <f>[1]装备明细!B320</f>
        <v>103030600</v>
      </c>
      <c r="D319" s="1">
        <f t="shared" si="24"/>
        <v>200318</v>
      </c>
      <c r="E319" s="1" t="s">
        <v>63</v>
      </c>
      <c r="F319" s="1" t="str">
        <f ca="1">[1]装备明细!C320&amp;"图纸"</f>
        <v>坎珀法杖图纸</v>
      </c>
      <c r="G319" s="1" t="str">
        <f ca="1">[1]装备明细!$I320</f>
        <v>[53-86]攻击 +3个随机属性</v>
      </c>
      <c r="H319" s="1">
        <f t="shared" si="29"/>
        <v>100318</v>
      </c>
      <c r="I319" s="1">
        <v>1</v>
      </c>
      <c r="J319" s="1">
        <f>[1]装备明细!J320</f>
        <v>0</v>
      </c>
      <c r="K319" s="1">
        <f>[1]装备明细!K320</f>
        <v>4</v>
      </c>
      <c r="L319" s="1">
        <f>[1]装备明细!L320</f>
        <v>3</v>
      </c>
      <c r="M319" s="1">
        <v>6</v>
      </c>
      <c r="N319" s="1">
        <f>[1]装备明细!$F323</f>
        <v>1</v>
      </c>
      <c r="O319" s="1">
        <f>[1]装备明细!$E320</f>
        <v>3</v>
      </c>
      <c r="P319" s="1">
        <f t="shared" si="25"/>
        <v>3</v>
      </c>
      <c r="Q319" s="1">
        <f t="shared" si="26"/>
        <v>660</v>
      </c>
      <c r="R319" s="1">
        <f t="shared" si="27"/>
        <v>19</v>
      </c>
      <c r="S319" s="1">
        <f t="shared" si="28"/>
        <v>3</v>
      </c>
    </row>
    <row r="320" spans="1:19" x14ac:dyDescent="0.15">
      <c r="A320" s="1">
        <v>319</v>
      </c>
      <c r="B320" s="1">
        <v>0</v>
      </c>
      <c r="C320" s="1">
        <f>[1]装备明细!B321</f>
        <v>103040600</v>
      </c>
      <c r="D320" s="1">
        <f t="shared" si="24"/>
        <v>200319</v>
      </c>
      <c r="E320" s="1" t="s">
        <v>63</v>
      </c>
      <c r="F320" s="1" t="str">
        <f ca="1">[1]装备明细!C321&amp;"图纸"</f>
        <v>费恩权杖图纸</v>
      </c>
      <c r="G320" s="1" t="str">
        <f ca="1">[1]装备明细!$I321</f>
        <v>[87-124]攻击 +3个随机属性</v>
      </c>
      <c r="H320" s="1">
        <f t="shared" si="29"/>
        <v>100319</v>
      </c>
      <c r="I320" s="1">
        <v>1</v>
      </c>
      <c r="J320" s="1">
        <f>[1]装备明细!J321</f>
        <v>0</v>
      </c>
      <c r="K320" s="1">
        <f>[1]装备明细!K321</f>
        <v>4</v>
      </c>
      <c r="L320" s="1">
        <f>[1]装备明细!L321</f>
        <v>4</v>
      </c>
      <c r="M320" s="1">
        <v>6</v>
      </c>
      <c r="N320" s="1">
        <f>[1]装备明细!$F324</f>
        <v>1</v>
      </c>
      <c r="O320" s="1">
        <f>[1]装备明细!$E321</f>
        <v>3</v>
      </c>
      <c r="P320" s="1">
        <f t="shared" si="25"/>
        <v>3</v>
      </c>
      <c r="Q320" s="1">
        <f t="shared" si="26"/>
        <v>680</v>
      </c>
      <c r="R320" s="1">
        <f t="shared" si="27"/>
        <v>19</v>
      </c>
      <c r="S320" s="1">
        <f t="shared" si="28"/>
        <v>3</v>
      </c>
    </row>
    <row r="321" spans="1:19" x14ac:dyDescent="0.15">
      <c r="A321" s="1">
        <v>320</v>
      </c>
      <c r="B321" s="1">
        <v>0</v>
      </c>
      <c r="C321" s="1">
        <f>[1]装备明细!B322</f>
        <v>103050600</v>
      </c>
      <c r="D321" s="1">
        <f t="shared" si="24"/>
        <v>200320</v>
      </c>
      <c r="E321" s="1" t="s">
        <v>63</v>
      </c>
      <c r="F321" s="1" t="str">
        <f ca="1">[1]装备明细!C322&amp;"图纸"</f>
        <v>迪马斯法杖图纸</v>
      </c>
      <c r="G321" s="1" t="str">
        <f ca="1">[1]装备明细!$I322</f>
        <v>[125-169]攻击 +3个随机属性</v>
      </c>
      <c r="H321" s="1">
        <f t="shared" si="29"/>
        <v>100320</v>
      </c>
      <c r="I321" s="1">
        <v>1</v>
      </c>
      <c r="J321" s="1">
        <f>[1]装备明细!J322</f>
        <v>0</v>
      </c>
      <c r="K321" s="1">
        <f>[1]装备明细!K322</f>
        <v>4</v>
      </c>
      <c r="L321" s="1">
        <f>[1]装备明细!L322</f>
        <v>5</v>
      </c>
      <c r="M321" s="1">
        <v>6</v>
      </c>
      <c r="N321" s="1">
        <f>[1]装备明细!$F325</f>
        <v>1</v>
      </c>
      <c r="O321" s="1">
        <f>[1]装备明细!$E322</f>
        <v>3</v>
      </c>
      <c r="P321" s="1">
        <f t="shared" si="25"/>
        <v>3</v>
      </c>
      <c r="Q321" s="1">
        <f t="shared" si="26"/>
        <v>700</v>
      </c>
      <c r="R321" s="1">
        <f t="shared" si="27"/>
        <v>19</v>
      </c>
      <c r="S321" s="1">
        <f t="shared" si="28"/>
        <v>3</v>
      </c>
    </row>
    <row r="322" spans="1:19" x14ac:dyDescent="0.15">
      <c r="A322" s="1">
        <v>321</v>
      </c>
      <c r="B322" s="1">
        <v>0</v>
      </c>
      <c r="C322" s="1">
        <f>[1]装备明细!B323</f>
        <v>103060600</v>
      </c>
      <c r="D322" s="1">
        <f t="shared" si="24"/>
        <v>200321</v>
      </c>
      <c r="E322" s="1" t="s">
        <v>63</v>
      </c>
      <c r="F322" s="1" t="str">
        <f ca="1">[1]装备明细!C323&amp;"图纸"</f>
        <v>酒神法杖图纸</v>
      </c>
      <c r="G322" s="1" t="str">
        <f ca="1">[1]装备明细!$I323</f>
        <v>[170-217]攻击 +3个随机属性</v>
      </c>
      <c r="H322" s="1">
        <f t="shared" si="29"/>
        <v>100321</v>
      </c>
      <c r="I322" s="1">
        <v>1</v>
      </c>
      <c r="J322" s="1">
        <f>[1]装备明细!J323</f>
        <v>0</v>
      </c>
      <c r="K322" s="1">
        <f>[1]装备明细!K323</f>
        <v>4</v>
      </c>
      <c r="L322" s="1">
        <f>[1]装备明细!L323</f>
        <v>6</v>
      </c>
      <c r="M322" s="1">
        <v>6</v>
      </c>
      <c r="N322" s="1">
        <f>[1]装备明细!$F326</f>
        <v>1</v>
      </c>
      <c r="O322" s="1">
        <f>[1]装备明细!$E323</f>
        <v>3</v>
      </c>
      <c r="P322" s="1">
        <f t="shared" si="25"/>
        <v>3</v>
      </c>
      <c r="Q322" s="1">
        <f t="shared" si="26"/>
        <v>720</v>
      </c>
      <c r="R322" s="1">
        <f t="shared" si="27"/>
        <v>19</v>
      </c>
      <c r="S322" s="1">
        <f t="shared" si="28"/>
        <v>3</v>
      </c>
    </row>
    <row r="323" spans="1:19" x14ac:dyDescent="0.15">
      <c r="A323" s="1">
        <v>322</v>
      </c>
      <c r="B323" s="1">
        <v>0</v>
      </c>
      <c r="C323" s="1">
        <f>[1]装备明细!B324</f>
        <v>103070600</v>
      </c>
      <c r="D323" s="1">
        <f t="shared" ref="D323:D386" si="30">H323+100000</f>
        <v>200322</v>
      </c>
      <c r="E323" s="1" t="s">
        <v>63</v>
      </c>
      <c r="F323" s="1" t="str">
        <f ca="1">[1]装备明细!C324&amp;"图纸"</f>
        <v>缪斯法杖图纸</v>
      </c>
      <c r="G323" s="1" t="str">
        <f ca="1">[1]装备明细!$I324</f>
        <v>[218-270]攻击 +3个随机属性</v>
      </c>
      <c r="H323" s="1">
        <f t="shared" si="29"/>
        <v>100322</v>
      </c>
      <c r="I323" s="1">
        <v>1</v>
      </c>
      <c r="J323" s="1">
        <f>[1]装备明细!J324</f>
        <v>0</v>
      </c>
      <c r="K323" s="1">
        <f>[1]装备明细!K324</f>
        <v>4</v>
      </c>
      <c r="L323" s="1">
        <f>[1]装备明细!L324</f>
        <v>7</v>
      </c>
      <c r="M323" s="1">
        <v>6</v>
      </c>
      <c r="N323" s="1">
        <f>[1]装备明细!$F327</f>
        <v>1</v>
      </c>
      <c r="O323" s="1">
        <f>[1]装备明细!$E324</f>
        <v>3</v>
      </c>
      <c r="P323" s="1">
        <f t="shared" ref="P323:P386" si="31">O323</f>
        <v>3</v>
      </c>
      <c r="Q323" s="1">
        <f t="shared" ref="Q323:Q386" si="32">O323*200+L323*20</f>
        <v>740</v>
      </c>
      <c r="R323" s="1">
        <f t="shared" ref="R323:R386" si="33">IF(--MID(C323,1,1)=1,IF(S323=1,2,19),IF(S323=1,2,14))</f>
        <v>19</v>
      </c>
      <c r="S323" s="1">
        <f t="shared" ref="S323:S386" si="34">--MID(C323,2,2)</f>
        <v>3</v>
      </c>
    </row>
    <row r="324" spans="1:19" x14ac:dyDescent="0.15">
      <c r="A324" s="1">
        <v>323</v>
      </c>
      <c r="B324" s="1">
        <v>0</v>
      </c>
      <c r="C324" s="1">
        <f>[1]装备明细!B325</f>
        <v>103080600</v>
      </c>
      <c r="D324" s="1">
        <f t="shared" si="30"/>
        <v>200323</v>
      </c>
      <c r="E324" s="1" t="s">
        <v>63</v>
      </c>
      <c r="F324" s="1" t="str">
        <f ca="1">[1]装备明细!C325&amp;"图纸"</f>
        <v>潘多拉法杖图纸</v>
      </c>
      <c r="G324" s="1" t="str">
        <f ca="1">[1]装备明细!$I325</f>
        <v>[271-328]攻击 +3个随机属性</v>
      </c>
      <c r="H324" s="1">
        <f t="shared" ref="H324:H387" si="35">H323+1</f>
        <v>100323</v>
      </c>
      <c r="I324" s="1">
        <v>1</v>
      </c>
      <c r="J324" s="1">
        <f>[1]装备明细!J325</f>
        <v>0</v>
      </c>
      <c r="K324" s="1">
        <f>[1]装备明细!K325</f>
        <v>4</v>
      </c>
      <c r="L324" s="1">
        <f>[1]装备明细!L325</f>
        <v>8</v>
      </c>
      <c r="M324" s="1">
        <v>6</v>
      </c>
      <c r="N324" s="1">
        <f>[1]装备明细!$F328</f>
        <v>1</v>
      </c>
      <c r="O324" s="1">
        <f>[1]装备明细!$E325</f>
        <v>3</v>
      </c>
      <c r="P324" s="1">
        <f t="shared" si="31"/>
        <v>3</v>
      </c>
      <c r="Q324" s="1">
        <f t="shared" si="32"/>
        <v>760</v>
      </c>
      <c r="R324" s="1">
        <f t="shared" si="33"/>
        <v>19</v>
      </c>
      <c r="S324" s="1">
        <f t="shared" si="34"/>
        <v>3</v>
      </c>
    </row>
    <row r="325" spans="1:19" x14ac:dyDescent="0.15">
      <c r="A325" s="1">
        <v>324</v>
      </c>
      <c r="B325" s="1">
        <v>0</v>
      </c>
      <c r="C325" s="1">
        <f>[1]装备明细!B326</f>
        <v>103090600</v>
      </c>
      <c r="D325" s="1">
        <f t="shared" si="30"/>
        <v>200324</v>
      </c>
      <c r="E325" s="1" t="s">
        <v>63</v>
      </c>
      <c r="F325" s="1" t="str">
        <f ca="1">[1]装备明细!C326&amp;"图纸"</f>
        <v>女神法杖图纸</v>
      </c>
      <c r="G325" s="1" t="str">
        <f ca="1">[1]装备明细!$I326</f>
        <v>[329-390]攻击 +3个随机属性</v>
      </c>
      <c r="H325" s="1">
        <f t="shared" si="35"/>
        <v>100324</v>
      </c>
      <c r="I325" s="1">
        <v>1</v>
      </c>
      <c r="J325" s="1">
        <f>[1]装备明细!J326</f>
        <v>0</v>
      </c>
      <c r="K325" s="1">
        <f>[1]装备明细!K326</f>
        <v>4</v>
      </c>
      <c r="L325" s="1">
        <f>[1]装备明细!L326</f>
        <v>9</v>
      </c>
      <c r="M325" s="1">
        <v>6</v>
      </c>
      <c r="N325" s="1">
        <f>[1]装备明细!$F329</f>
        <v>1</v>
      </c>
      <c r="O325" s="1">
        <f>[1]装备明细!$E326</f>
        <v>3</v>
      </c>
      <c r="P325" s="1">
        <f t="shared" si="31"/>
        <v>3</v>
      </c>
      <c r="Q325" s="1">
        <f t="shared" si="32"/>
        <v>780</v>
      </c>
      <c r="R325" s="1">
        <f t="shared" si="33"/>
        <v>19</v>
      </c>
      <c r="S325" s="1">
        <f t="shared" si="34"/>
        <v>3</v>
      </c>
    </row>
    <row r="326" spans="1:19" x14ac:dyDescent="0.15">
      <c r="A326" s="1">
        <v>325</v>
      </c>
      <c r="B326" s="1">
        <v>0</v>
      </c>
      <c r="C326" s="1">
        <f>[1]装备明细!B327</f>
        <v>103010700</v>
      </c>
      <c r="D326" s="1">
        <f t="shared" si="30"/>
        <v>200325</v>
      </c>
      <c r="E326" s="1" t="s">
        <v>63</v>
      </c>
      <c r="F326" s="1" t="str">
        <f ca="1">[1]装备明细!C327&amp;"图纸"</f>
        <v>奥丁之弓图纸</v>
      </c>
      <c r="G326" s="1" t="str">
        <f ca="1">[1]装备明细!$I327</f>
        <v>[1-24]攻击 +3个随机属性</v>
      </c>
      <c r="H326" s="1">
        <f t="shared" si="35"/>
        <v>100325</v>
      </c>
      <c r="I326" s="1">
        <v>1</v>
      </c>
      <c r="J326" s="1">
        <f>[1]装备明细!J327</f>
        <v>0</v>
      </c>
      <c r="K326" s="1">
        <f>[1]装备明细!K327</f>
        <v>4</v>
      </c>
      <c r="L326" s="1">
        <f>[1]装备明细!L327</f>
        <v>1</v>
      </c>
      <c r="M326" s="1">
        <v>6</v>
      </c>
      <c r="N326" s="1">
        <f>[1]装备明细!$F330</f>
        <v>1</v>
      </c>
      <c r="O326" s="1">
        <f>[1]装备明细!$E327</f>
        <v>3</v>
      </c>
      <c r="P326" s="1">
        <f t="shared" si="31"/>
        <v>3</v>
      </c>
      <c r="Q326" s="1">
        <f t="shared" si="32"/>
        <v>620</v>
      </c>
      <c r="R326" s="1">
        <f t="shared" si="33"/>
        <v>19</v>
      </c>
      <c r="S326" s="1">
        <f t="shared" si="34"/>
        <v>3</v>
      </c>
    </row>
    <row r="327" spans="1:19" x14ac:dyDescent="0.15">
      <c r="A327" s="1">
        <v>326</v>
      </c>
      <c r="B327" s="1">
        <v>0</v>
      </c>
      <c r="C327" s="1">
        <f>[1]装备明细!B328</f>
        <v>103020700</v>
      </c>
      <c r="D327" s="1">
        <f t="shared" si="30"/>
        <v>200326</v>
      </c>
      <c r="E327" s="1" t="s">
        <v>63</v>
      </c>
      <c r="F327" s="1" t="str">
        <f ca="1">[1]装备明细!C328&amp;"图纸"</f>
        <v>卢卡之弓图纸</v>
      </c>
      <c r="G327" s="1" t="str">
        <f ca="1">[1]装备明细!$I328</f>
        <v>[25-52]攻击 +3个随机属性</v>
      </c>
      <c r="H327" s="1">
        <f t="shared" si="35"/>
        <v>100326</v>
      </c>
      <c r="I327" s="1">
        <v>1</v>
      </c>
      <c r="J327" s="1">
        <f>[1]装备明细!J328</f>
        <v>0</v>
      </c>
      <c r="K327" s="1">
        <f>[1]装备明细!K328</f>
        <v>4</v>
      </c>
      <c r="L327" s="1">
        <f>[1]装备明细!L328</f>
        <v>2</v>
      </c>
      <c r="M327" s="1">
        <v>6</v>
      </c>
      <c r="N327" s="1">
        <f>[1]装备明细!$F331</f>
        <v>1</v>
      </c>
      <c r="O327" s="1">
        <f>[1]装备明细!$E328</f>
        <v>3</v>
      </c>
      <c r="P327" s="1">
        <f t="shared" si="31"/>
        <v>3</v>
      </c>
      <c r="Q327" s="1">
        <f t="shared" si="32"/>
        <v>640</v>
      </c>
      <c r="R327" s="1">
        <f t="shared" si="33"/>
        <v>19</v>
      </c>
      <c r="S327" s="1">
        <f t="shared" si="34"/>
        <v>3</v>
      </c>
    </row>
    <row r="328" spans="1:19" x14ac:dyDescent="0.15">
      <c r="A328" s="1">
        <v>327</v>
      </c>
      <c r="B328" s="1">
        <v>0</v>
      </c>
      <c r="C328" s="1">
        <f>[1]装备明细!B329</f>
        <v>103030700</v>
      </c>
      <c r="D328" s="1">
        <f t="shared" si="30"/>
        <v>200327</v>
      </c>
      <c r="E328" s="1" t="s">
        <v>63</v>
      </c>
      <c r="F328" s="1" t="str">
        <f ca="1">[1]装备明细!C329&amp;"图纸"</f>
        <v>坎珀骨弓图纸</v>
      </c>
      <c r="G328" s="1" t="str">
        <f ca="1">[1]装备明细!$I329</f>
        <v>[53-86]攻击 +3个随机属性</v>
      </c>
      <c r="H328" s="1">
        <f t="shared" si="35"/>
        <v>100327</v>
      </c>
      <c r="I328" s="1">
        <v>1</v>
      </c>
      <c r="J328" s="1">
        <f>[1]装备明细!J329</f>
        <v>0</v>
      </c>
      <c r="K328" s="1">
        <f>[1]装备明细!K329</f>
        <v>4</v>
      </c>
      <c r="L328" s="1">
        <f>[1]装备明细!L329</f>
        <v>3</v>
      </c>
      <c r="M328" s="1">
        <v>6</v>
      </c>
      <c r="N328" s="1">
        <f>[1]装备明细!$F332</f>
        <v>1</v>
      </c>
      <c r="O328" s="1">
        <f>[1]装备明细!$E329</f>
        <v>3</v>
      </c>
      <c r="P328" s="1">
        <f t="shared" si="31"/>
        <v>3</v>
      </c>
      <c r="Q328" s="1">
        <f t="shared" si="32"/>
        <v>660</v>
      </c>
      <c r="R328" s="1">
        <f t="shared" si="33"/>
        <v>19</v>
      </c>
      <c r="S328" s="1">
        <f t="shared" si="34"/>
        <v>3</v>
      </c>
    </row>
    <row r="329" spans="1:19" x14ac:dyDescent="0.15">
      <c r="A329" s="1">
        <v>328</v>
      </c>
      <c r="B329" s="1">
        <v>0</v>
      </c>
      <c r="C329" s="1">
        <f>[1]装备明细!B330</f>
        <v>103040700</v>
      </c>
      <c r="D329" s="1">
        <f t="shared" si="30"/>
        <v>200328</v>
      </c>
      <c r="E329" s="1" t="s">
        <v>63</v>
      </c>
      <c r="F329" s="1" t="str">
        <f ca="1">[1]装备明细!C330&amp;"图纸"</f>
        <v>费恩骨弓图纸</v>
      </c>
      <c r="G329" s="1" t="str">
        <f ca="1">[1]装备明细!$I330</f>
        <v>[87-124]攻击 +3个随机属性</v>
      </c>
      <c r="H329" s="1">
        <f t="shared" si="35"/>
        <v>100328</v>
      </c>
      <c r="I329" s="1">
        <v>1</v>
      </c>
      <c r="J329" s="1">
        <f>[1]装备明细!J330</f>
        <v>0</v>
      </c>
      <c r="K329" s="1">
        <f>[1]装备明细!K330</f>
        <v>4</v>
      </c>
      <c r="L329" s="1">
        <f>[1]装备明细!L330</f>
        <v>4</v>
      </c>
      <c r="M329" s="1">
        <v>6</v>
      </c>
      <c r="N329" s="1">
        <f>[1]装备明细!$F333</f>
        <v>1</v>
      </c>
      <c r="O329" s="1">
        <f>[1]装备明细!$E330</f>
        <v>3</v>
      </c>
      <c r="P329" s="1">
        <f t="shared" si="31"/>
        <v>3</v>
      </c>
      <c r="Q329" s="1">
        <f t="shared" si="32"/>
        <v>680</v>
      </c>
      <c r="R329" s="1">
        <f t="shared" si="33"/>
        <v>19</v>
      </c>
      <c r="S329" s="1">
        <f t="shared" si="34"/>
        <v>3</v>
      </c>
    </row>
    <row r="330" spans="1:19" x14ac:dyDescent="0.15">
      <c r="A330" s="1">
        <v>329</v>
      </c>
      <c r="B330" s="1">
        <v>0</v>
      </c>
      <c r="C330" s="1">
        <f>[1]装备明细!B331</f>
        <v>103050700</v>
      </c>
      <c r="D330" s="1">
        <f t="shared" si="30"/>
        <v>200329</v>
      </c>
      <c r="E330" s="1" t="s">
        <v>63</v>
      </c>
      <c r="F330" s="1" t="str">
        <f ca="1">[1]装备明细!C331&amp;"图纸"</f>
        <v>迪马斯硬弓图纸</v>
      </c>
      <c r="G330" s="1" t="str">
        <f ca="1">[1]装备明细!$I331</f>
        <v>[125-169]攻击 +3个随机属性</v>
      </c>
      <c r="H330" s="1">
        <f t="shared" si="35"/>
        <v>100329</v>
      </c>
      <c r="I330" s="1">
        <v>1</v>
      </c>
      <c r="J330" s="1">
        <f>[1]装备明细!J331</f>
        <v>0</v>
      </c>
      <c r="K330" s="1">
        <f>[1]装备明细!K331</f>
        <v>4</v>
      </c>
      <c r="L330" s="1">
        <f>[1]装备明细!L331</f>
        <v>5</v>
      </c>
      <c r="M330" s="1">
        <v>6</v>
      </c>
      <c r="N330" s="1">
        <f>[1]装备明细!$F334</f>
        <v>1</v>
      </c>
      <c r="O330" s="1">
        <f>[1]装备明细!$E331</f>
        <v>3</v>
      </c>
      <c r="P330" s="1">
        <f t="shared" si="31"/>
        <v>3</v>
      </c>
      <c r="Q330" s="1">
        <f t="shared" si="32"/>
        <v>700</v>
      </c>
      <c r="R330" s="1">
        <f t="shared" si="33"/>
        <v>19</v>
      </c>
      <c r="S330" s="1">
        <f t="shared" si="34"/>
        <v>3</v>
      </c>
    </row>
    <row r="331" spans="1:19" x14ac:dyDescent="0.15">
      <c r="A331" s="1">
        <v>330</v>
      </c>
      <c r="B331" s="1">
        <v>0</v>
      </c>
      <c r="C331" s="1">
        <f>[1]装备明细!B332</f>
        <v>103060700</v>
      </c>
      <c r="D331" s="1">
        <f t="shared" si="30"/>
        <v>200330</v>
      </c>
      <c r="E331" s="1" t="s">
        <v>63</v>
      </c>
      <c r="F331" s="1" t="str">
        <f ca="1">[1]装备明细!C332&amp;"图纸"</f>
        <v>酒神之弓图纸</v>
      </c>
      <c r="G331" s="1" t="str">
        <f ca="1">[1]装备明细!$I332</f>
        <v>[170-217]攻击 +3个随机属性</v>
      </c>
      <c r="H331" s="1">
        <f t="shared" si="35"/>
        <v>100330</v>
      </c>
      <c r="I331" s="1">
        <v>1</v>
      </c>
      <c r="J331" s="1">
        <f>[1]装备明细!J332</f>
        <v>0</v>
      </c>
      <c r="K331" s="1">
        <f>[1]装备明细!K332</f>
        <v>4</v>
      </c>
      <c r="L331" s="1">
        <f>[1]装备明细!L332</f>
        <v>6</v>
      </c>
      <c r="M331" s="1">
        <v>6</v>
      </c>
      <c r="N331" s="1">
        <f>[1]装备明细!$F335</f>
        <v>1</v>
      </c>
      <c r="O331" s="1">
        <f>[1]装备明细!$E332</f>
        <v>3</v>
      </c>
      <c r="P331" s="1">
        <f t="shared" si="31"/>
        <v>3</v>
      </c>
      <c r="Q331" s="1">
        <f t="shared" si="32"/>
        <v>720</v>
      </c>
      <c r="R331" s="1">
        <f t="shared" si="33"/>
        <v>19</v>
      </c>
      <c r="S331" s="1">
        <f t="shared" si="34"/>
        <v>3</v>
      </c>
    </row>
    <row r="332" spans="1:19" x14ac:dyDescent="0.15">
      <c r="A332" s="1">
        <v>331</v>
      </c>
      <c r="B332" s="1">
        <v>0</v>
      </c>
      <c r="C332" s="1">
        <f>[1]装备明细!B333</f>
        <v>103070700</v>
      </c>
      <c r="D332" s="1">
        <f t="shared" si="30"/>
        <v>200331</v>
      </c>
      <c r="E332" s="1" t="s">
        <v>63</v>
      </c>
      <c r="F332" s="1" t="str">
        <f ca="1">[1]装备明细!C333&amp;"图纸"</f>
        <v>缪斯弓图纸</v>
      </c>
      <c r="G332" s="1" t="str">
        <f ca="1">[1]装备明细!$I333</f>
        <v>[218-270]攻击 +3个随机属性</v>
      </c>
      <c r="H332" s="1">
        <f t="shared" si="35"/>
        <v>100331</v>
      </c>
      <c r="I332" s="1">
        <v>1</v>
      </c>
      <c r="J332" s="1">
        <f>[1]装备明细!J333</f>
        <v>0</v>
      </c>
      <c r="K332" s="1">
        <f>[1]装备明细!K333</f>
        <v>4</v>
      </c>
      <c r="L332" s="1">
        <f>[1]装备明细!L333</f>
        <v>7</v>
      </c>
      <c r="M332" s="1">
        <v>6</v>
      </c>
      <c r="N332" s="1">
        <f>[1]装备明细!$F336</f>
        <v>1</v>
      </c>
      <c r="O332" s="1">
        <f>[1]装备明细!$E333</f>
        <v>3</v>
      </c>
      <c r="P332" s="1">
        <f t="shared" si="31"/>
        <v>3</v>
      </c>
      <c r="Q332" s="1">
        <f t="shared" si="32"/>
        <v>740</v>
      </c>
      <c r="R332" s="1">
        <f t="shared" si="33"/>
        <v>19</v>
      </c>
      <c r="S332" s="1">
        <f t="shared" si="34"/>
        <v>3</v>
      </c>
    </row>
    <row r="333" spans="1:19" x14ac:dyDescent="0.15">
      <c r="A333" s="1">
        <v>332</v>
      </c>
      <c r="B333" s="1">
        <v>0</v>
      </c>
      <c r="C333" s="1">
        <f>[1]装备明细!B334</f>
        <v>103080700</v>
      </c>
      <c r="D333" s="1">
        <f t="shared" si="30"/>
        <v>200332</v>
      </c>
      <c r="E333" s="1" t="s">
        <v>63</v>
      </c>
      <c r="F333" s="1" t="str">
        <f ca="1">[1]装备明细!C334&amp;"图纸"</f>
        <v>潘多拉玉弓图纸</v>
      </c>
      <c r="G333" s="1" t="str">
        <f ca="1">[1]装备明细!$I334</f>
        <v>[271-328]攻击 +3个随机属性</v>
      </c>
      <c r="H333" s="1">
        <f t="shared" si="35"/>
        <v>100332</v>
      </c>
      <c r="I333" s="1">
        <v>1</v>
      </c>
      <c r="J333" s="1">
        <f>[1]装备明细!J334</f>
        <v>0</v>
      </c>
      <c r="K333" s="1">
        <f>[1]装备明细!K334</f>
        <v>4</v>
      </c>
      <c r="L333" s="1">
        <f>[1]装备明细!L334</f>
        <v>8</v>
      </c>
      <c r="M333" s="1">
        <v>6</v>
      </c>
      <c r="N333" s="1">
        <f>[1]装备明细!$F337</f>
        <v>1</v>
      </c>
      <c r="O333" s="1">
        <f>[1]装备明细!$E334</f>
        <v>3</v>
      </c>
      <c r="P333" s="1">
        <f t="shared" si="31"/>
        <v>3</v>
      </c>
      <c r="Q333" s="1">
        <f t="shared" si="32"/>
        <v>760</v>
      </c>
      <c r="R333" s="1">
        <f t="shared" si="33"/>
        <v>19</v>
      </c>
      <c r="S333" s="1">
        <f t="shared" si="34"/>
        <v>3</v>
      </c>
    </row>
    <row r="334" spans="1:19" x14ac:dyDescent="0.15">
      <c r="A334" s="1">
        <v>333</v>
      </c>
      <c r="B334" s="1">
        <v>0</v>
      </c>
      <c r="C334" s="1">
        <f>[1]装备明细!B335</f>
        <v>103090700</v>
      </c>
      <c r="D334" s="1">
        <f t="shared" si="30"/>
        <v>200333</v>
      </c>
      <c r="E334" s="1" t="s">
        <v>63</v>
      </c>
      <c r="F334" s="1" t="str">
        <f ca="1">[1]装备明细!C335&amp;"图纸"</f>
        <v>泰丽儿神弓图纸</v>
      </c>
      <c r="G334" s="1" t="str">
        <f ca="1">[1]装备明细!$I335</f>
        <v>[329-390]攻击 +3个随机属性</v>
      </c>
      <c r="H334" s="1">
        <f t="shared" si="35"/>
        <v>100333</v>
      </c>
      <c r="I334" s="1">
        <v>1</v>
      </c>
      <c r="J334" s="1">
        <f>[1]装备明细!J335</f>
        <v>0</v>
      </c>
      <c r="K334" s="1">
        <f>[1]装备明细!K335</f>
        <v>4</v>
      </c>
      <c r="L334" s="1">
        <f>[1]装备明细!L335</f>
        <v>9</v>
      </c>
      <c r="M334" s="1">
        <v>6</v>
      </c>
      <c r="N334" s="1">
        <f>[1]装备明细!$F338</f>
        <v>1</v>
      </c>
      <c r="O334" s="1">
        <f>[1]装备明细!$E335</f>
        <v>3</v>
      </c>
      <c r="P334" s="1">
        <f t="shared" si="31"/>
        <v>3</v>
      </c>
      <c r="Q334" s="1">
        <f t="shared" si="32"/>
        <v>780</v>
      </c>
      <c r="R334" s="1">
        <f t="shared" si="33"/>
        <v>19</v>
      </c>
      <c r="S334" s="1">
        <f t="shared" si="34"/>
        <v>3</v>
      </c>
    </row>
    <row r="335" spans="1:19" x14ac:dyDescent="0.15">
      <c r="A335" s="1">
        <v>334</v>
      </c>
      <c r="B335" s="1">
        <v>0</v>
      </c>
      <c r="C335" s="1">
        <f>[1]装备明细!B336</f>
        <v>103010800</v>
      </c>
      <c r="D335" s="1">
        <f t="shared" si="30"/>
        <v>200334</v>
      </c>
      <c r="E335" s="1" t="s">
        <v>63</v>
      </c>
      <c r="F335" s="1" t="str">
        <f ca="1">[1]装备明细!C336&amp;"图纸"</f>
        <v>奥丁烟斗图纸</v>
      </c>
      <c r="G335" s="1" t="str">
        <f ca="1">[1]装备明细!$I336</f>
        <v>[1-24]攻击 +3个随机属性</v>
      </c>
      <c r="H335" s="1">
        <f t="shared" si="35"/>
        <v>100334</v>
      </c>
      <c r="I335" s="1">
        <v>1</v>
      </c>
      <c r="J335" s="1">
        <f>[1]装备明细!J336</f>
        <v>0</v>
      </c>
      <c r="K335" s="1">
        <f>[1]装备明细!K336</f>
        <v>4</v>
      </c>
      <c r="L335" s="1">
        <f>[1]装备明细!L336</f>
        <v>1</v>
      </c>
      <c r="M335" s="1">
        <v>6</v>
      </c>
      <c r="N335" s="1">
        <f>[1]装备明细!$F339</f>
        <v>1</v>
      </c>
      <c r="O335" s="1">
        <f>[1]装备明细!$E336</f>
        <v>3</v>
      </c>
      <c r="P335" s="1">
        <f t="shared" si="31"/>
        <v>3</v>
      </c>
      <c r="Q335" s="1">
        <f t="shared" si="32"/>
        <v>620</v>
      </c>
      <c r="R335" s="1">
        <f t="shared" si="33"/>
        <v>19</v>
      </c>
      <c r="S335" s="1">
        <f t="shared" si="34"/>
        <v>3</v>
      </c>
    </row>
    <row r="336" spans="1:19" x14ac:dyDescent="0.15">
      <c r="A336" s="1">
        <v>335</v>
      </c>
      <c r="B336" s="1">
        <v>0</v>
      </c>
      <c r="C336" s="1">
        <f>[1]装备明细!B337</f>
        <v>103020800</v>
      </c>
      <c r="D336" s="1">
        <f t="shared" si="30"/>
        <v>200335</v>
      </c>
      <c r="E336" s="1" t="s">
        <v>63</v>
      </c>
      <c r="F336" s="1" t="str">
        <f ca="1">[1]装备明细!C337&amp;"图纸"</f>
        <v>卢卡烟斗图纸</v>
      </c>
      <c r="G336" s="1" t="str">
        <f ca="1">[1]装备明细!$I337</f>
        <v>[25-52]攻击 +3个随机属性</v>
      </c>
      <c r="H336" s="1">
        <f t="shared" si="35"/>
        <v>100335</v>
      </c>
      <c r="I336" s="1">
        <v>1</v>
      </c>
      <c r="J336" s="1">
        <f>[1]装备明细!J337</f>
        <v>0</v>
      </c>
      <c r="K336" s="1">
        <f>[1]装备明细!K337</f>
        <v>4</v>
      </c>
      <c r="L336" s="1">
        <f>[1]装备明细!L337</f>
        <v>2</v>
      </c>
      <c r="M336" s="1">
        <v>6</v>
      </c>
      <c r="N336" s="1">
        <f>[1]装备明细!$F340</f>
        <v>1</v>
      </c>
      <c r="O336" s="1">
        <f>[1]装备明细!$E337</f>
        <v>3</v>
      </c>
      <c r="P336" s="1">
        <f t="shared" si="31"/>
        <v>3</v>
      </c>
      <c r="Q336" s="1">
        <f t="shared" si="32"/>
        <v>640</v>
      </c>
      <c r="R336" s="1">
        <f t="shared" si="33"/>
        <v>19</v>
      </c>
      <c r="S336" s="1">
        <f t="shared" si="34"/>
        <v>3</v>
      </c>
    </row>
    <row r="337" spans="1:19" x14ac:dyDescent="0.15">
      <c r="A337" s="1">
        <v>336</v>
      </c>
      <c r="B337" s="1">
        <v>0</v>
      </c>
      <c r="C337" s="1">
        <f>[1]装备明细!B338</f>
        <v>103030800</v>
      </c>
      <c r="D337" s="1">
        <f t="shared" si="30"/>
        <v>200336</v>
      </c>
      <c r="E337" s="1" t="s">
        <v>63</v>
      </c>
      <c r="F337" s="1" t="str">
        <f ca="1">[1]装备明细!C338&amp;"图纸"</f>
        <v>坎珀烟斗图纸</v>
      </c>
      <c r="G337" s="1" t="str">
        <f ca="1">[1]装备明细!$I338</f>
        <v>[53-86]攻击 +3个随机属性</v>
      </c>
      <c r="H337" s="1">
        <f t="shared" si="35"/>
        <v>100336</v>
      </c>
      <c r="I337" s="1">
        <v>1</v>
      </c>
      <c r="J337" s="1">
        <f>[1]装备明细!J338</f>
        <v>0</v>
      </c>
      <c r="K337" s="1">
        <f>[1]装备明细!K338</f>
        <v>4</v>
      </c>
      <c r="L337" s="1">
        <f>[1]装备明细!L338</f>
        <v>3</v>
      </c>
      <c r="M337" s="1">
        <v>6</v>
      </c>
      <c r="N337" s="1">
        <f>[1]装备明细!$F341</f>
        <v>1</v>
      </c>
      <c r="O337" s="1">
        <f>[1]装备明细!$E338</f>
        <v>3</v>
      </c>
      <c r="P337" s="1">
        <f t="shared" si="31"/>
        <v>3</v>
      </c>
      <c r="Q337" s="1">
        <f t="shared" si="32"/>
        <v>660</v>
      </c>
      <c r="R337" s="1">
        <f t="shared" si="33"/>
        <v>19</v>
      </c>
      <c r="S337" s="1">
        <f t="shared" si="34"/>
        <v>3</v>
      </c>
    </row>
    <row r="338" spans="1:19" x14ac:dyDescent="0.15">
      <c r="A338" s="1">
        <v>337</v>
      </c>
      <c r="B338" s="1">
        <v>0</v>
      </c>
      <c r="C338" s="1">
        <f>[1]装备明细!B339</f>
        <v>103040800</v>
      </c>
      <c r="D338" s="1">
        <f t="shared" si="30"/>
        <v>200337</v>
      </c>
      <c r="E338" s="1" t="s">
        <v>63</v>
      </c>
      <c r="F338" s="1" t="str">
        <f ca="1">[1]装备明细!C339&amp;"图纸"</f>
        <v>费恩烟斗图纸</v>
      </c>
      <c r="G338" s="1" t="str">
        <f ca="1">[1]装备明细!$I339</f>
        <v>[87-124]攻击 +3个随机属性</v>
      </c>
      <c r="H338" s="1">
        <f t="shared" si="35"/>
        <v>100337</v>
      </c>
      <c r="I338" s="1">
        <v>1</v>
      </c>
      <c r="J338" s="1">
        <f>[1]装备明细!J339</f>
        <v>0</v>
      </c>
      <c r="K338" s="1">
        <f>[1]装备明细!K339</f>
        <v>4</v>
      </c>
      <c r="L338" s="1">
        <f>[1]装备明细!L339</f>
        <v>4</v>
      </c>
      <c r="M338" s="1">
        <v>6</v>
      </c>
      <c r="N338" s="1">
        <f>[1]装备明细!$F342</f>
        <v>1</v>
      </c>
      <c r="O338" s="1">
        <f>[1]装备明细!$E339</f>
        <v>3</v>
      </c>
      <c r="P338" s="1">
        <f t="shared" si="31"/>
        <v>3</v>
      </c>
      <c r="Q338" s="1">
        <f t="shared" si="32"/>
        <v>680</v>
      </c>
      <c r="R338" s="1">
        <f t="shared" si="33"/>
        <v>19</v>
      </c>
      <c r="S338" s="1">
        <f t="shared" si="34"/>
        <v>3</v>
      </c>
    </row>
    <row r="339" spans="1:19" x14ac:dyDescent="0.15">
      <c r="A339" s="1">
        <v>338</v>
      </c>
      <c r="B339" s="1">
        <v>0</v>
      </c>
      <c r="C339" s="1">
        <f>[1]装备明细!B340</f>
        <v>103050800</v>
      </c>
      <c r="D339" s="1">
        <f t="shared" si="30"/>
        <v>200338</v>
      </c>
      <c r="E339" s="1" t="s">
        <v>63</v>
      </c>
      <c r="F339" s="1" t="str">
        <f ca="1">[1]装备明细!C340&amp;"图纸"</f>
        <v>迪马斯烟斗图纸</v>
      </c>
      <c r="G339" s="1" t="str">
        <f ca="1">[1]装备明细!$I340</f>
        <v>[125-169]攻击 +3个随机属性</v>
      </c>
      <c r="H339" s="1">
        <f t="shared" si="35"/>
        <v>100338</v>
      </c>
      <c r="I339" s="1">
        <v>1</v>
      </c>
      <c r="J339" s="1">
        <f>[1]装备明细!J340</f>
        <v>0</v>
      </c>
      <c r="K339" s="1">
        <f>[1]装备明细!K340</f>
        <v>4</v>
      </c>
      <c r="L339" s="1">
        <f>[1]装备明细!L340</f>
        <v>5</v>
      </c>
      <c r="M339" s="1">
        <v>6</v>
      </c>
      <c r="N339" s="1">
        <f>[1]装备明细!$F343</f>
        <v>1</v>
      </c>
      <c r="O339" s="1">
        <f>[1]装备明细!$E340</f>
        <v>3</v>
      </c>
      <c r="P339" s="1">
        <f t="shared" si="31"/>
        <v>3</v>
      </c>
      <c r="Q339" s="1">
        <f t="shared" si="32"/>
        <v>700</v>
      </c>
      <c r="R339" s="1">
        <f t="shared" si="33"/>
        <v>19</v>
      </c>
      <c r="S339" s="1">
        <f t="shared" si="34"/>
        <v>3</v>
      </c>
    </row>
    <row r="340" spans="1:19" x14ac:dyDescent="0.15">
      <c r="A340" s="1">
        <v>339</v>
      </c>
      <c r="B340" s="1">
        <v>0</v>
      </c>
      <c r="C340" s="1">
        <f>[1]装备明细!B341</f>
        <v>103060800</v>
      </c>
      <c r="D340" s="1">
        <f t="shared" si="30"/>
        <v>200339</v>
      </c>
      <c r="E340" s="1" t="s">
        <v>63</v>
      </c>
      <c r="F340" s="1" t="str">
        <f ca="1">[1]装备明细!C341&amp;"图纸"</f>
        <v>酒神烟斗图纸</v>
      </c>
      <c r="G340" s="1" t="str">
        <f ca="1">[1]装备明细!$I341</f>
        <v>[170-217]攻击 +3个随机属性</v>
      </c>
      <c r="H340" s="1">
        <f t="shared" si="35"/>
        <v>100339</v>
      </c>
      <c r="I340" s="1">
        <v>1</v>
      </c>
      <c r="J340" s="1">
        <f>[1]装备明细!J341</f>
        <v>0</v>
      </c>
      <c r="K340" s="1">
        <f>[1]装备明细!K341</f>
        <v>4</v>
      </c>
      <c r="L340" s="1">
        <f>[1]装备明细!L341</f>
        <v>6</v>
      </c>
      <c r="M340" s="1">
        <v>6</v>
      </c>
      <c r="N340" s="1">
        <f>[1]装备明细!$F344</f>
        <v>1</v>
      </c>
      <c r="O340" s="1">
        <f>[1]装备明细!$E341</f>
        <v>3</v>
      </c>
      <c r="P340" s="1">
        <f t="shared" si="31"/>
        <v>3</v>
      </c>
      <c r="Q340" s="1">
        <f t="shared" si="32"/>
        <v>720</v>
      </c>
      <c r="R340" s="1">
        <f t="shared" si="33"/>
        <v>19</v>
      </c>
      <c r="S340" s="1">
        <f t="shared" si="34"/>
        <v>3</v>
      </c>
    </row>
    <row r="341" spans="1:19" x14ac:dyDescent="0.15">
      <c r="A341" s="1">
        <v>340</v>
      </c>
      <c r="B341" s="1">
        <v>0</v>
      </c>
      <c r="C341" s="1">
        <f>[1]装备明细!B342</f>
        <v>103070800</v>
      </c>
      <c r="D341" s="1">
        <f t="shared" si="30"/>
        <v>200340</v>
      </c>
      <c r="E341" s="1" t="s">
        <v>63</v>
      </c>
      <c r="F341" s="1" t="str">
        <f ca="1">[1]装备明细!C342&amp;"图纸"</f>
        <v>缪斯烟斗图纸</v>
      </c>
      <c r="G341" s="1" t="str">
        <f ca="1">[1]装备明细!$I342</f>
        <v>[218-270]攻击 +3个随机属性</v>
      </c>
      <c r="H341" s="1">
        <f t="shared" si="35"/>
        <v>100340</v>
      </c>
      <c r="I341" s="1">
        <v>1</v>
      </c>
      <c r="J341" s="1">
        <f>[1]装备明细!J342</f>
        <v>0</v>
      </c>
      <c r="K341" s="1">
        <f>[1]装备明细!K342</f>
        <v>4</v>
      </c>
      <c r="L341" s="1">
        <f>[1]装备明细!L342</f>
        <v>7</v>
      </c>
      <c r="M341" s="1">
        <v>6</v>
      </c>
      <c r="N341" s="1">
        <f>[1]装备明细!$F345</f>
        <v>1</v>
      </c>
      <c r="O341" s="1">
        <f>[1]装备明细!$E342</f>
        <v>3</v>
      </c>
      <c r="P341" s="1">
        <f t="shared" si="31"/>
        <v>3</v>
      </c>
      <c r="Q341" s="1">
        <f t="shared" si="32"/>
        <v>740</v>
      </c>
      <c r="R341" s="1">
        <f t="shared" si="33"/>
        <v>19</v>
      </c>
      <c r="S341" s="1">
        <f t="shared" si="34"/>
        <v>3</v>
      </c>
    </row>
    <row r="342" spans="1:19" x14ac:dyDescent="0.15">
      <c r="A342" s="1">
        <v>341</v>
      </c>
      <c r="B342" s="1">
        <v>0</v>
      </c>
      <c r="C342" s="1">
        <f>[1]装备明细!B343</f>
        <v>103080800</v>
      </c>
      <c r="D342" s="1">
        <f t="shared" si="30"/>
        <v>200341</v>
      </c>
      <c r="E342" s="1" t="s">
        <v>63</v>
      </c>
      <c r="F342" s="1" t="str">
        <f ca="1">[1]装备明细!C343&amp;"图纸"</f>
        <v>潘多拉烟斗图纸</v>
      </c>
      <c r="G342" s="1" t="str">
        <f ca="1">[1]装备明细!$I343</f>
        <v>[271-328]攻击 +3个随机属性</v>
      </c>
      <c r="H342" s="1">
        <f t="shared" si="35"/>
        <v>100341</v>
      </c>
      <c r="I342" s="1">
        <v>1</v>
      </c>
      <c r="J342" s="1">
        <f>[1]装备明细!J343</f>
        <v>0</v>
      </c>
      <c r="K342" s="1">
        <f>[1]装备明细!K343</f>
        <v>4</v>
      </c>
      <c r="L342" s="1">
        <f>[1]装备明细!L343</f>
        <v>8</v>
      </c>
      <c r="M342" s="1">
        <v>6</v>
      </c>
      <c r="N342" s="1">
        <f>[1]装备明细!$F346</f>
        <v>1</v>
      </c>
      <c r="O342" s="1">
        <f>[1]装备明细!$E343</f>
        <v>3</v>
      </c>
      <c r="P342" s="1">
        <f t="shared" si="31"/>
        <v>3</v>
      </c>
      <c r="Q342" s="1">
        <f t="shared" si="32"/>
        <v>760</v>
      </c>
      <c r="R342" s="1">
        <f t="shared" si="33"/>
        <v>19</v>
      </c>
      <c r="S342" s="1">
        <f t="shared" si="34"/>
        <v>3</v>
      </c>
    </row>
    <row r="343" spans="1:19" x14ac:dyDescent="0.15">
      <c r="A343" s="1">
        <v>342</v>
      </c>
      <c r="B343" s="1">
        <v>0</v>
      </c>
      <c r="C343" s="1">
        <f>[1]装备明细!B344</f>
        <v>103090800</v>
      </c>
      <c r="D343" s="1">
        <f t="shared" si="30"/>
        <v>200342</v>
      </c>
      <c r="E343" s="1" t="s">
        <v>63</v>
      </c>
      <c r="F343" s="1" t="str">
        <f ca="1">[1]装备明细!C344&amp;"图纸"</f>
        <v>梅西烟斗图纸</v>
      </c>
      <c r="G343" s="1" t="str">
        <f ca="1">[1]装备明细!$I344</f>
        <v>[329-390]攻击 +3个随机属性</v>
      </c>
      <c r="H343" s="1">
        <f t="shared" si="35"/>
        <v>100342</v>
      </c>
      <c r="I343" s="1">
        <v>1</v>
      </c>
      <c r="J343" s="1">
        <f>[1]装备明细!J344</f>
        <v>0</v>
      </c>
      <c r="K343" s="1">
        <f>[1]装备明细!K344</f>
        <v>4</v>
      </c>
      <c r="L343" s="1">
        <f>[1]装备明细!L344</f>
        <v>9</v>
      </c>
      <c r="M343" s="1">
        <v>6</v>
      </c>
      <c r="N343" s="1">
        <f>[1]装备明细!$F347</f>
        <v>1</v>
      </c>
      <c r="O343" s="1">
        <f>[1]装备明细!$E344</f>
        <v>3</v>
      </c>
      <c r="P343" s="1">
        <f t="shared" si="31"/>
        <v>3</v>
      </c>
      <c r="Q343" s="1">
        <f t="shared" si="32"/>
        <v>780</v>
      </c>
      <c r="R343" s="1">
        <f t="shared" si="33"/>
        <v>19</v>
      </c>
      <c r="S343" s="1">
        <f t="shared" si="34"/>
        <v>3</v>
      </c>
    </row>
    <row r="344" spans="1:19" x14ac:dyDescent="0.15">
      <c r="A344" s="1">
        <v>343</v>
      </c>
      <c r="B344" s="1">
        <v>0</v>
      </c>
      <c r="C344" s="1">
        <f>[1]装备明细!B345</f>
        <v>103010900</v>
      </c>
      <c r="D344" s="1">
        <f t="shared" si="30"/>
        <v>200343</v>
      </c>
      <c r="E344" s="1" t="s">
        <v>63</v>
      </c>
      <c r="F344" s="1" t="str">
        <f ca="1">[1]装备明细!C345&amp;"图纸"</f>
        <v>奥丁扇子图纸</v>
      </c>
      <c r="G344" s="1" t="str">
        <f ca="1">[1]装备明细!$I345</f>
        <v>[1-24]攻击 +3个随机属性</v>
      </c>
      <c r="H344" s="1">
        <f t="shared" si="35"/>
        <v>100343</v>
      </c>
      <c r="I344" s="1">
        <v>1</v>
      </c>
      <c r="J344" s="1">
        <f>[1]装备明细!J345</f>
        <v>0</v>
      </c>
      <c r="K344" s="1">
        <f>[1]装备明细!K345</f>
        <v>4</v>
      </c>
      <c r="L344" s="1">
        <f>[1]装备明细!L345</f>
        <v>1</v>
      </c>
      <c r="M344" s="1">
        <v>6</v>
      </c>
      <c r="N344" s="1">
        <f>[1]装备明细!$F348</f>
        <v>1</v>
      </c>
      <c r="O344" s="1">
        <f>[1]装备明细!$E345</f>
        <v>3</v>
      </c>
      <c r="P344" s="1">
        <f t="shared" si="31"/>
        <v>3</v>
      </c>
      <c r="Q344" s="1">
        <f t="shared" si="32"/>
        <v>620</v>
      </c>
      <c r="R344" s="1">
        <f t="shared" si="33"/>
        <v>19</v>
      </c>
      <c r="S344" s="1">
        <f t="shared" si="34"/>
        <v>3</v>
      </c>
    </row>
    <row r="345" spans="1:19" x14ac:dyDescent="0.15">
      <c r="A345" s="1">
        <v>344</v>
      </c>
      <c r="B345" s="1">
        <v>0</v>
      </c>
      <c r="C345" s="1">
        <f>[1]装备明细!B346</f>
        <v>103020900</v>
      </c>
      <c r="D345" s="1">
        <f t="shared" si="30"/>
        <v>200344</v>
      </c>
      <c r="E345" s="1" t="s">
        <v>63</v>
      </c>
      <c r="F345" s="1" t="str">
        <f ca="1">[1]装备明细!C346&amp;"图纸"</f>
        <v>卢卡扇子图纸</v>
      </c>
      <c r="G345" s="1" t="str">
        <f ca="1">[1]装备明细!$I346</f>
        <v>[25-52]攻击 +3个随机属性</v>
      </c>
      <c r="H345" s="1">
        <f t="shared" si="35"/>
        <v>100344</v>
      </c>
      <c r="I345" s="1">
        <v>1</v>
      </c>
      <c r="J345" s="1">
        <f>[1]装备明细!J346</f>
        <v>0</v>
      </c>
      <c r="K345" s="1">
        <f>[1]装备明细!K346</f>
        <v>4</v>
      </c>
      <c r="L345" s="1">
        <f>[1]装备明细!L346</f>
        <v>2</v>
      </c>
      <c r="M345" s="1">
        <v>6</v>
      </c>
      <c r="N345" s="1">
        <f>[1]装备明细!$F349</f>
        <v>1</v>
      </c>
      <c r="O345" s="1">
        <f>[1]装备明细!$E346</f>
        <v>3</v>
      </c>
      <c r="P345" s="1">
        <f t="shared" si="31"/>
        <v>3</v>
      </c>
      <c r="Q345" s="1">
        <f t="shared" si="32"/>
        <v>640</v>
      </c>
      <c r="R345" s="1">
        <f t="shared" si="33"/>
        <v>19</v>
      </c>
      <c r="S345" s="1">
        <f t="shared" si="34"/>
        <v>3</v>
      </c>
    </row>
    <row r="346" spans="1:19" x14ac:dyDescent="0.15">
      <c r="A346" s="1">
        <v>345</v>
      </c>
      <c r="B346" s="1">
        <v>0</v>
      </c>
      <c r="C346" s="1">
        <f>[1]装备明细!B347</f>
        <v>103030900</v>
      </c>
      <c r="D346" s="1">
        <f t="shared" si="30"/>
        <v>200345</v>
      </c>
      <c r="E346" s="1" t="s">
        <v>63</v>
      </c>
      <c r="F346" s="1" t="str">
        <f ca="1">[1]装备明细!C347&amp;"图纸"</f>
        <v>坎珀扇子图纸</v>
      </c>
      <c r="G346" s="1" t="str">
        <f ca="1">[1]装备明细!$I347</f>
        <v>[53-86]攻击 +3个随机属性</v>
      </c>
      <c r="H346" s="1">
        <f t="shared" si="35"/>
        <v>100345</v>
      </c>
      <c r="I346" s="1">
        <v>1</v>
      </c>
      <c r="J346" s="1">
        <f>[1]装备明细!J347</f>
        <v>0</v>
      </c>
      <c r="K346" s="1">
        <f>[1]装备明细!K347</f>
        <v>4</v>
      </c>
      <c r="L346" s="1">
        <f>[1]装备明细!L347</f>
        <v>3</v>
      </c>
      <c r="M346" s="1">
        <v>6</v>
      </c>
      <c r="N346" s="1">
        <f>[1]装备明细!$F350</f>
        <v>1</v>
      </c>
      <c r="O346" s="1">
        <f>[1]装备明细!$E347</f>
        <v>3</v>
      </c>
      <c r="P346" s="1">
        <f t="shared" si="31"/>
        <v>3</v>
      </c>
      <c r="Q346" s="1">
        <f t="shared" si="32"/>
        <v>660</v>
      </c>
      <c r="R346" s="1">
        <f t="shared" si="33"/>
        <v>19</v>
      </c>
      <c r="S346" s="1">
        <f t="shared" si="34"/>
        <v>3</v>
      </c>
    </row>
    <row r="347" spans="1:19" x14ac:dyDescent="0.15">
      <c r="A347" s="1">
        <v>346</v>
      </c>
      <c r="B347" s="1">
        <v>0</v>
      </c>
      <c r="C347" s="1">
        <f>[1]装备明细!B348</f>
        <v>103040900</v>
      </c>
      <c r="D347" s="1">
        <f t="shared" si="30"/>
        <v>200346</v>
      </c>
      <c r="E347" s="1" t="s">
        <v>63</v>
      </c>
      <c r="F347" s="1" t="str">
        <f ca="1">[1]装备明细!C348&amp;"图纸"</f>
        <v>费恩扇子图纸</v>
      </c>
      <c r="G347" s="1" t="str">
        <f ca="1">[1]装备明细!$I348</f>
        <v>[87-124]攻击 +3个随机属性</v>
      </c>
      <c r="H347" s="1">
        <f t="shared" si="35"/>
        <v>100346</v>
      </c>
      <c r="I347" s="1">
        <v>1</v>
      </c>
      <c r="J347" s="1">
        <f>[1]装备明细!J348</f>
        <v>0</v>
      </c>
      <c r="K347" s="1">
        <f>[1]装备明细!K348</f>
        <v>4</v>
      </c>
      <c r="L347" s="1">
        <f>[1]装备明细!L348</f>
        <v>4</v>
      </c>
      <c r="M347" s="1">
        <v>6</v>
      </c>
      <c r="N347" s="1">
        <f>[1]装备明细!$F351</f>
        <v>1</v>
      </c>
      <c r="O347" s="1">
        <f>[1]装备明细!$E348</f>
        <v>3</v>
      </c>
      <c r="P347" s="1">
        <f t="shared" si="31"/>
        <v>3</v>
      </c>
      <c r="Q347" s="1">
        <f t="shared" si="32"/>
        <v>680</v>
      </c>
      <c r="R347" s="1">
        <f t="shared" si="33"/>
        <v>19</v>
      </c>
      <c r="S347" s="1">
        <f t="shared" si="34"/>
        <v>3</v>
      </c>
    </row>
    <row r="348" spans="1:19" x14ac:dyDescent="0.15">
      <c r="A348" s="1">
        <v>347</v>
      </c>
      <c r="B348" s="1">
        <v>0</v>
      </c>
      <c r="C348" s="1">
        <f>[1]装备明细!B349</f>
        <v>103050900</v>
      </c>
      <c r="D348" s="1">
        <f t="shared" si="30"/>
        <v>200347</v>
      </c>
      <c r="E348" s="1" t="s">
        <v>63</v>
      </c>
      <c r="F348" s="1" t="str">
        <f ca="1">[1]装备明细!C349&amp;"图纸"</f>
        <v>迪马斯扇子图纸</v>
      </c>
      <c r="G348" s="1" t="str">
        <f ca="1">[1]装备明细!$I349</f>
        <v>[125-169]攻击 +3个随机属性</v>
      </c>
      <c r="H348" s="1">
        <f t="shared" si="35"/>
        <v>100347</v>
      </c>
      <c r="I348" s="1">
        <v>1</v>
      </c>
      <c r="J348" s="1">
        <f>[1]装备明细!J349</f>
        <v>0</v>
      </c>
      <c r="K348" s="1">
        <f>[1]装备明细!K349</f>
        <v>4</v>
      </c>
      <c r="L348" s="1">
        <f>[1]装备明细!L349</f>
        <v>5</v>
      </c>
      <c r="M348" s="1">
        <v>6</v>
      </c>
      <c r="N348" s="1">
        <f>[1]装备明细!$F352</f>
        <v>1</v>
      </c>
      <c r="O348" s="1">
        <f>[1]装备明细!$E349</f>
        <v>3</v>
      </c>
      <c r="P348" s="1">
        <f t="shared" si="31"/>
        <v>3</v>
      </c>
      <c r="Q348" s="1">
        <f t="shared" si="32"/>
        <v>700</v>
      </c>
      <c r="R348" s="1">
        <f t="shared" si="33"/>
        <v>19</v>
      </c>
      <c r="S348" s="1">
        <f t="shared" si="34"/>
        <v>3</v>
      </c>
    </row>
    <row r="349" spans="1:19" x14ac:dyDescent="0.15">
      <c r="A349" s="1">
        <v>348</v>
      </c>
      <c r="B349" s="1">
        <v>0</v>
      </c>
      <c r="C349" s="1">
        <f>[1]装备明细!B350</f>
        <v>103060900</v>
      </c>
      <c r="D349" s="1">
        <f t="shared" si="30"/>
        <v>200348</v>
      </c>
      <c r="E349" s="1" t="s">
        <v>63</v>
      </c>
      <c r="F349" s="1" t="str">
        <f ca="1">[1]装备明细!C350&amp;"图纸"</f>
        <v>酒神扇子图纸</v>
      </c>
      <c r="G349" s="1" t="str">
        <f ca="1">[1]装备明细!$I350</f>
        <v>[170-217]攻击 +3个随机属性</v>
      </c>
      <c r="H349" s="1">
        <f t="shared" si="35"/>
        <v>100348</v>
      </c>
      <c r="I349" s="1">
        <v>1</v>
      </c>
      <c r="J349" s="1">
        <f>[1]装备明细!J350</f>
        <v>0</v>
      </c>
      <c r="K349" s="1">
        <f>[1]装备明细!K350</f>
        <v>4</v>
      </c>
      <c r="L349" s="1">
        <f>[1]装备明细!L350</f>
        <v>6</v>
      </c>
      <c r="M349" s="1">
        <v>6</v>
      </c>
      <c r="N349" s="1">
        <f>[1]装备明细!$F353</f>
        <v>1</v>
      </c>
      <c r="O349" s="1">
        <f>[1]装备明细!$E350</f>
        <v>3</v>
      </c>
      <c r="P349" s="1">
        <f t="shared" si="31"/>
        <v>3</v>
      </c>
      <c r="Q349" s="1">
        <f t="shared" si="32"/>
        <v>720</v>
      </c>
      <c r="R349" s="1">
        <f t="shared" si="33"/>
        <v>19</v>
      </c>
      <c r="S349" s="1">
        <f t="shared" si="34"/>
        <v>3</v>
      </c>
    </row>
    <row r="350" spans="1:19" x14ac:dyDescent="0.15">
      <c r="A350" s="1">
        <v>349</v>
      </c>
      <c r="B350" s="1">
        <v>0</v>
      </c>
      <c r="C350" s="1">
        <f>[1]装备明细!B351</f>
        <v>103070900</v>
      </c>
      <c r="D350" s="1">
        <f t="shared" si="30"/>
        <v>200349</v>
      </c>
      <c r="E350" s="1" t="s">
        <v>63</v>
      </c>
      <c r="F350" s="1" t="str">
        <f ca="1">[1]装备明细!C351&amp;"图纸"</f>
        <v>缪斯扇子图纸</v>
      </c>
      <c r="G350" s="1" t="str">
        <f ca="1">[1]装备明细!$I351</f>
        <v>[218-270]攻击 +3个随机属性</v>
      </c>
      <c r="H350" s="1">
        <f t="shared" si="35"/>
        <v>100349</v>
      </c>
      <c r="I350" s="1">
        <v>1</v>
      </c>
      <c r="J350" s="1">
        <f>[1]装备明细!J351</f>
        <v>0</v>
      </c>
      <c r="K350" s="1">
        <f>[1]装备明细!K351</f>
        <v>4</v>
      </c>
      <c r="L350" s="1">
        <f>[1]装备明细!L351</f>
        <v>7</v>
      </c>
      <c r="M350" s="1">
        <v>6</v>
      </c>
      <c r="N350" s="1">
        <f>[1]装备明细!$F354</f>
        <v>1</v>
      </c>
      <c r="O350" s="1">
        <f>[1]装备明细!$E351</f>
        <v>3</v>
      </c>
      <c r="P350" s="1">
        <f t="shared" si="31"/>
        <v>3</v>
      </c>
      <c r="Q350" s="1">
        <f t="shared" si="32"/>
        <v>740</v>
      </c>
      <c r="R350" s="1">
        <f t="shared" si="33"/>
        <v>19</v>
      </c>
      <c r="S350" s="1">
        <f t="shared" si="34"/>
        <v>3</v>
      </c>
    </row>
    <row r="351" spans="1:19" x14ac:dyDescent="0.15">
      <c r="A351" s="1">
        <v>350</v>
      </c>
      <c r="B351" s="1">
        <v>0</v>
      </c>
      <c r="C351" s="1">
        <f>[1]装备明细!B352</f>
        <v>103080900</v>
      </c>
      <c r="D351" s="1">
        <f t="shared" si="30"/>
        <v>200350</v>
      </c>
      <c r="E351" s="1" t="s">
        <v>63</v>
      </c>
      <c r="F351" s="1" t="str">
        <f ca="1">[1]装备明细!C352&amp;"图纸"</f>
        <v>潘多拉扇子图纸</v>
      </c>
      <c r="G351" s="1" t="str">
        <f ca="1">[1]装备明细!$I352</f>
        <v>[271-328]攻击 +3个随机属性</v>
      </c>
      <c r="H351" s="1">
        <f t="shared" si="35"/>
        <v>100350</v>
      </c>
      <c r="I351" s="1">
        <v>1</v>
      </c>
      <c r="J351" s="1">
        <f>[1]装备明细!J352</f>
        <v>0</v>
      </c>
      <c r="K351" s="1">
        <f>[1]装备明细!K352</f>
        <v>4</v>
      </c>
      <c r="L351" s="1">
        <f>[1]装备明细!L352</f>
        <v>8</v>
      </c>
      <c r="M351" s="1">
        <v>6</v>
      </c>
      <c r="N351" s="1">
        <f>[1]装备明细!$F355</f>
        <v>1</v>
      </c>
      <c r="O351" s="1">
        <f>[1]装备明细!$E352</f>
        <v>3</v>
      </c>
      <c r="P351" s="1">
        <f t="shared" si="31"/>
        <v>3</v>
      </c>
      <c r="Q351" s="1">
        <f t="shared" si="32"/>
        <v>760</v>
      </c>
      <c r="R351" s="1">
        <f t="shared" si="33"/>
        <v>19</v>
      </c>
      <c r="S351" s="1">
        <f t="shared" si="34"/>
        <v>3</v>
      </c>
    </row>
    <row r="352" spans="1:19" x14ac:dyDescent="0.15">
      <c r="A352" s="1">
        <v>351</v>
      </c>
      <c r="B352" s="1">
        <v>0</v>
      </c>
      <c r="C352" s="1">
        <f>[1]装备明细!B353</f>
        <v>103090900</v>
      </c>
      <c r="D352" s="1">
        <f t="shared" si="30"/>
        <v>200351</v>
      </c>
      <c r="E352" s="1" t="s">
        <v>63</v>
      </c>
      <c r="F352" s="1" t="str">
        <f ca="1">[1]装备明细!C353&amp;"图纸"</f>
        <v>赫拉之扇图纸</v>
      </c>
      <c r="G352" s="1" t="str">
        <f ca="1">[1]装备明细!$I353</f>
        <v>[329-390]攻击 +3个随机属性</v>
      </c>
      <c r="H352" s="1">
        <f t="shared" si="35"/>
        <v>100351</v>
      </c>
      <c r="I352" s="1">
        <v>1</v>
      </c>
      <c r="J352" s="1">
        <f>[1]装备明细!J353</f>
        <v>0</v>
      </c>
      <c r="K352" s="1">
        <f>[1]装备明细!K353</f>
        <v>4</v>
      </c>
      <c r="L352" s="1">
        <f>[1]装备明细!L353</f>
        <v>9</v>
      </c>
      <c r="M352" s="1">
        <v>6</v>
      </c>
      <c r="N352" s="1">
        <f>[1]装备明细!$F356</f>
        <v>1</v>
      </c>
      <c r="O352" s="1">
        <f>[1]装备明细!$E353</f>
        <v>3</v>
      </c>
      <c r="P352" s="1">
        <f t="shared" si="31"/>
        <v>3</v>
      </c>
      <c r="Q352" s="1">
        <f t="shared" si="32"/>
        <v>780</v>
      </c>
      <c r="R352" s="1">
        <f t="shared" si="33"/>
        <v>19</v>
      </c>
      <c r="S352" s="1">
        <f t="shared" si="34"/>
        <v>3</v>
      </c>
    </row>
    <row r="353" spans="1:19" x14ac:dyDescent="0.15">
      <c r="A353" s="1">
        <v>352</v>
      </c>
      <c r="B353" s="1">
        <v>0</v>
      </c>
      <c r="C353" s="1">
        <f>[1]装备明细!B354</f>
        <v>103011000</v>
      </c>
      <c r="D353" s="1">
        <f t="shared" si="30"/>
        <v>200352</v>
      </c>
      <c r="E353" s="1" t="s">
        <v>63</v>
      </c>
      <c r="F353" s="1" t="str">
        <f ca="1">[1]装备明细!C354&amp;"图纸"</f>
        <v>奥丁牙齿图纸</v>
      </c>
      <c r="G353" s="1" t="str">
        <f ca="1">[1]装备明细!$I354</f>
        <v>[1-24]攻击 +3个随机属性</v>
      </c>
      <c r="H353" s="1">
        <f t="shared" si="35"/>
        <v>100352</v>
      </c>
      <c r="I353" s="1">
        <v>1</v>
      </c>
      <c r="J353" s="1">
        <f>[1]装备明细!J354</f>
        <v>0</v>
      </c>
      <c r="K353" s="1">
        <f>[1]装备明细!K354</f>
        <v>4</v>
      </c>
      <c r="L353" s="1">
        <f>[1]装备明细!L354</f>
        <v>1</v>
      </c>
      <c r="M353" s="1">
        <v>6</v>
      </c>
      <c r="N353" s="1">
        <f>[1]装备明细!$F357</f>
        <v>1</v>
      </c>
      <c r="O353" s="1">
        <f>[1]装备明细!$E354</f>
        <v>3</v>
      </c>
      <c r="P353" s="1">
        <f t="shared" si="31"/>
        <v>3</v>
      </c>
      <c r="Q353" s="1">
        <f t="shared" si="32"/>
        <v>620</v>
      </c>
      <c r="R353" s="1">
        <f t="shared" si="33"/>
        <v>19</v>
      </c>
      <c r="S353" s="1">
        <f t="shared" si="34"/>
        <v>3</v>
      </c>
    </row>
    <row r="354" spans="1:19" x14ac:dyDescent="0.15">
      <c r="A354" s="1">
        <v>353</v>
      </c>
      <c r="B354" s="1">
        <v>0</v>
      </c>
      <c r="C354" s="1">
        <f>[1]装备明细!B355</f>
        <v>103021000</v>
      </c>
      <c r="D354" s="1">
        <f t="shared" si="30"/>
        <v>200353</v>
      </c>
      <c r="E354" s="1" t="s">
        <v>63</v>
      </c>
      <c r="F354" s="1" t="str">
        <f ca="1">[1]装备明细!C355&amp;"图纸"</f>
        <v>卢卡牙齿图纸</v>
      </c>
      <c r="G354" s="1" t="str">
        <f ca="1">[1]装备明细!$I355</f>
        <v>[25-52]攻击 +3个随机属性</v>
      </c>
      <c r="H354" s="1">
        <f t="shared" si="35"/>
        <v>100353</v>
      </c>
      <c r="I354" s="1">
        <v>1</v>
      </c>
      <c r="J354" s="1">
        <f>[1]装备明细!J355</f>
        <v>0</v>
      </c>
      <c r="K354" s="1">
        <f>[1]装备明细!K355</f>
        <v>4</v>
      </c>
      <c r="L354" s="1">
        <f>[1]装备明细!L355</f>
        <v>2</v>
      </c>
      <c r="M354" s="1">
        <v>6</v>
      </c>
      <c r="N354" s="1">
        <f>[1]装备明细!$F358</f>
        <v>1</v>
      </c>
      <c r="O354" s="1">
        <f>[1]装备明细!$E355</f>
        <v>3</v>
      </c>
      <c r="P354" s="1">
        <f t="shared" si="31"/>
        <v>3</v>
      </c>
      <c r="Q354" s="1">
        <f t="shared" si="32"/>
        <v>640</v>
      </c>
      <c r="R354" s="1">
        <f t="shared" si="33"/>
        <v>19</v>
      </c>
      <c r="S354" s="1">
        <f t="shared" si="34"/>
        <v>3</v>
      </c>
    </row>
    <row r="355" spans="1:19" x14ac:dyDescent="0.15">
      <c r="A355" s="1">
        <v>354</v>
      </c>
      <c r="B355" s="1">
        <v>0</v>
      </c>
      <c r="C355" s="1">
        <f>[1]装备明细!B356</f>
        <v>103031000</v>
      </c>
      <c r="D355" s="1">
        <f t="shared" si="30"/>
        <v>200354</v>
      </c>
      <c r="E355" s="1" t="s">
        <v>63</v>
      </c>
      <c r="F355" s="1" t="str">
        <f ca="1">[1]装备明细!C356&amp;"图纸"</f>
        <v>坎珀牙齿图纸</v>
      </c>
      <c r="G355" s="1" t="str">
        <f ca="1">[1]装备明细!$I356</f>
        <v>[53-86]攻击 +3个随机属性</v>
      </c>
      <c r="H355" s="1">
        <f t="shared" si="35"/>
        <v>100354</v>
      </c>
      <c r="I355" s="1">
        <v>1</v>
      </c>
      <c r="J355" s="1">
        <f>[1]装备明细!J356</f>
        <v>0</v>
      </c>
      <c r="K355" s="1">
        <f>[1]装备明细!K356</f>
        <v>4</v>
      </c>
      <c r="L355" s="1">
        <f>[1]装备明细!L356</f>
        <v>3</v>
      </c>
      <c r="M355" s="1">
        <v>6</v>
      </c>
      <c r="N355" s="1">
        <f>[1]装备明细!$F359</f>
        <v>1</v>
      </c>
      <c r="O355" s="1">
        <f>[1]装备明细!$E356</f>
        <v>3</v>
      </c>
      <c r="P355" s="1">
        <f t="shared" si="31"/>
        <v>3</v>
      </c>
      <c r="Q355" s="1">
        <f t="shared" si="32"/>
        <v>660</v>
      </c>
      <c r="R355" s="1">
        <f t="shared" si="33"/>
        <v>19</v>
      </c>
      <c r="S355" s="1">
        <f t="shared" si="34"/>
        <v>3</v>
      </c>
    </row>
    <row r="356" spans="1:19" x14ac:dyDescent="0.15">
      <c r="A356" s="1">
        <v>355</v>
      </c>
      <c r="B356" s="1">
        <v>0</v>
      </c>
      <c r="C356" s="1">
        <f>[1]装备明细!B357</f>
        <v>103041000</v>
      </c>
      <c r="D356" s="1">
        <f t="shared" si="30"/>
        <v>200355</v>
      </c>
      <c r="E356" s="1" t="s">
        <v>63</v>
      </c>
      <c r="F356" s="1" t="str">
        <f ca="1">[1]装备明细!C357&amp;"图纸"</f>
        <v>费恩牙齿图纸</v>
      </c>
      <c r="G356" s="1" t="str">
        <f ca="1">[1]装备明细!$I357</f>
        <v>[87-124]攻击 +3个随机属性</v>
      </c>
      <c r="H356" s="1">
        <f t="shared" si="35"/>
        <v>100355</v>
      </c>
      <c r="I356" s="1">
        <v>1</v>
      </c>
      <c r="J356" s="1">
        <f>[1]装备明细!J357</f>
        <v>0</v>
      </c>
      <c r="K356" s="1">
        <f>[1]装备明细!K357</f>
        <v>4</v>
      </c>
      <c r="L356" s="1">
        <f>[1]装备明细!L357</f>
        <v>4</v>
      </c>
      <c r="M356" s="1">
        <v>6</v>
      </c>
      <c r="N356" s="1">
        <f>[1]装备明细!$F360</f>
        <v>1</v>
      </c>
      <c r="O356" s="1">
        <f>[1]装备明细!$E357</f>
        <v>3</v>
      </c>
      <c r="P356" s="1">
        <f t="shared" si="31"/>
        <v>3</v>
      </c>
      <c r="Q356" s="1">
        <f t="shared" si="32"/>
        <v>680</v>
      </c>
      <c r="R356" s="1">
        <f t="shared" si="33"/>
        <v>19</v>
      </c>
      <c r="S356" s="1">
        <f t="shared" si="34"/>
        <v>3</v>
      </c>
    </row>
    <row r="357" spans="1:19" x14ac:dyDescent="0.15">
      <c r="A357" s="1">
        <v>356</v>
      </c>
      <c r="B357" s="1">
        <v>0</v>
      </c>
      <c r="C357" s="1">
        <f>[1]装备明细!B358</f>
        <v>103051000</v>
      </c>
      <c r="D357" s="1">
        <f t="shared" si="30"/>
        <v>200356</v>
      </c>
      <c r="E357" s="1" t="s">
        <v>63</v>
      </c>
      <c r="F357" s="1" t="str">
        <f ca="1">[1]装备明细!C358&amp;"图纸"</f>
        <v>迪马斯牙齿图纸</v>
      </c>
      <c r="G357" s="1" t="str">
        <f ca="1">[1]装备明细!$I358</f>
        <v>[125-169]攻击 +3个随机属性</v>
      </c>
      <c r="H357" s="1">
        <f t="shared" si="35"/>
        <v>100356</v>
      </c>
      <c r="I357" s="1">
        <v>1</v>
      </c>
      <c r="J357" s="1">
        <f>[1]装备明细!J358</f>
        <v>0</v>
      </c>
      <c r="K357" s="1">
        <f>[1]装备明细!K358</f>
        <v>4</v>
      </c>
      <c r="L357" s="1">
        <f>[1]装备明细!L358</f>
        <v>5</v>
      </c>
      <c r="M357" s="1">
        <v>6</v>
      </c>
      <c r="N357" s="1">
        <f>[1]装备明细!$F361</f>
        <v>1</v>
      </c>
      <c r="O357" s="1">
        <f>[1]装备明细!$E358</f>
        <v>3</v>
      </c>
      <c r="P357" s="1">
        <f t="shared" si="31"/>
        <v>3</v>
      </c>
      <c r="Q357" s="1">
        <f t="shared" si="32"/>
        <v>700</v>
      </c>
      <c r="R357" s="1">
        <f t="shared" si="33"/>
        <v>19</v>
      </c>
      <c r="S357" s="1">
        <f t="shared" si="34"/>
        <v>3</v>
      </c>
    </row>
    <row r="358" spans="1:19" x14ac:dyDescent="0.15">
      <c r="A358" s="1">
        <v>357</v>
      </c>
      <c r="B358" s="1">
        <v>0</v>
      </c>
      <c r="C358" s="1">
        <f>[1]装备明细!B359</f>
        <v>103061000</v>
      </c>
      <c r="D358" s="1">
        <f t="shared" si="30"/>
        <v>200357</v>
      </c>
      <c r="E358" s="1" t="s">
        <v>63</v>
      </c>
      <c r="F358" s="1" t="str">
        <f ca="1">[1]装备明细!C359&amp;"图纸"</f>
        <v>酒神牙齿图纸</v>
      </c>
      <c r="G358" s="1" t="str">
        <f ca="1">[1]装备明细!$I359</f>
        <v>[170-217]攻击 +3个随机属性</v>
      </c>
      <c r="H358" s="1">
        <f t="shared" si="35"/>
        <v>100357</v>
      </c>
      <c r="I358" s="1">
        <v>1</v>
      </c>
      <c r="J358" s="1">
        <f>[1]装备明细!J359</f>
        <v>0</v>
      </c>
      <c r="K358" s="1">
        <f>[1]装备明细!K359</f>
        <v>4</v>
      </c>
      <c r="L358" s="1">
        <f>[1]装备明细!L359</f>
        <v>6</v>
      </c>
      <c r="M358" s="1">
        <v>6</v>
      </c>
      <c r="N358" s="1">
        <f>[1]装备明细!$F362</f>
        <v>1</v>
      </c>
      <c r="O358" s="1">
        <f>[1]装备明细!$E359</f>
        <v>3</v>
      </c>
      <c r="P358" s="1">
        <f t="shared" si="31"/>
        <v>3</v>
      </c>
      <c r="Q358" s="1">
        <f t="shared" si="32"/>
        <v>720</v>
      </c>
      <c r="R358" s="1">
        <f t="shared" si="33"/>
        <v>19</v>
      </c>
      <c r="S358" s="1">
        <f t="shared" si="34"/>
        <v>3</v>
      </c>
    </row>
    <row r="359" spans="1:19" x14ac:dyDescent="0.15">
      <c r="A359" s="1">
        <v>358</v>
      </c>
      <c r="B359" s="1">
        <v>0</v>
      </c>
      <c r="C359" s="1">
        <f>[1]装备明细!B360</f>
        <v>103071000</v>
      </c>
      <c r="D359" s="1">
        <f t="shared" si="30"/>
        <v>200358</v>
      </c>
      <c r="E359" s="1" t="s">
        <v>63</v>
      </c>
      <c r="F359" s="1" t="str">
        <f ca="1">[1]装备明细!C360&amp;"图纸"</f>
        <v>缪斯牙齿图纸</v>
      </c>
      <c r="G359" s="1" t="str">
        <f ca="1">[1]装备明细!$I360</f>
        <v>[218-270]攻击 +3个随机属性</v>
      </c>
      <c r="H359" s="1">
        <f t="shared" si="35"/>
        <v>100358</v>
      </c>
      <c r="I359" s="1">
        <v>1</v>
      </c>
      <c r="J359" s="1">
        <f>[1]装备明细!J360</f>
        <v>0</v>
      </c>
      <c r="K359" s="1">
        <f>[1]装备明细!K360</f>
        <v>4</v>
      </c>
      <c r="L359" s="1">
        <f>[1]装备明细!L360</f>
        <v>7</v>
      </c>
      <c r="M359" s="1">
        <v>6</v>
      </c>
      <c r="N359" s="1">
        <f>[1]装备明细!$F363</f>
        <v>1</v>
      </c>
      <c r="O359" s="1">
        <f>[1]装备明细!$E360</f>
        <v>3</v>
      </c>
      <c r="P359" s="1">
        <f t="shared" si="31"/>
        <v>3</v>
      </c>
      <c r="Q359" s="1">
        <f t="shared" si="32"/>
        <v>740</v>
      </c>
      <c r="R359" s="1">
        <f t="shared" si="33"/>
        <v>19</v>
      </c>
      <c r="S359" s="1">
        <f t="shared" si="34"/>
        <v>3</v>
      </c>
    </row>
    <row r="360" spans="1:19" x14ac:dyDescent="0.15">
      <c r="A360" s="1">
        <v>359</v>
      </c>
      <c r="B360" s="1">
        <v>0</v>
      </c>
      <c r="C360" s="1">
        <f>[1]装备明细!B361</f>
        <v>103081000</v>
      </c>
      <c r="D360" s="1">
        <f t="shared" si="30"/>
        <v>200359</v>
      </c>
      <c r="E360" s="1" t="s">
        <v>63</v>
      </c>
      <c r="F360" s="1" t="str">
        <f ca="1">[1]装备明细!C361&amp;"图纸"</f>
        <v>潘多拉牙齿图纸</v>
      </c>
      <c r="G360" s="1" t="str">
        <f ca="1">[1]装备明细!$I361</f>
        <v>[271-328]攻击 +3个随机属性</v>
      </c>
      <c r="H360" s="1">
        <f t="shared" si="35"/>
        <v>100359</v>
      </c>
      <c r="I360" s="1">
        <v>1</v>
      </c>
      <c r="J360" s="1">
        <f>[1]装备明细!J361</f>
        <v>0</v>
      </c>
      <c r="K360" s="1">
        <f>[1]装备明细!K361</f>
        <v>4</v>
      </c>
      <c r="L360" s="1">
        <f>[1]装备明细!L361</f>
        <v>8</v>
      </c>
      <c r="M360" s="1">
        <v>6</v>
      </c>
      <c r="N360" s="1">
        <f>[1]装备明细!$F364</f>
        <v>1</v>
      </c>
      <c r="O360" s="1">
        <f>[1]装备明细!$E361</f>
        <v>3</v>
      </c>
      <c r="P360" s="1">
        <f t="shared" si="31"/>
        <v>3</v>
      </c>
      <c r="Q360" s="1">
        <f t="shared" si="32"/>
        <v>760</v>
      </c>
      <c r="R360" s="1">
        <f t="shared" si="33"/>
        <v>19</v>
      </c>
      <c r="S360" s="1">
        <f t="shared" si="34"/>
        <v>3</v>
      </c>
    </row>
    <row r="361" spans="1:19" x14ac:dyDescent="0.15">
      <c r="A361" s="1">
        <v>360</v>
      </c>
      <c r="B361" s="1">
        <v>0</v>
      </c>
      <c r="C361" s="1">
        <f>[1]装备明细!B362</f>
        <v>103091000</v>
      </c>
      <c r="D361" s="1">
        <f t="shared" si="30"/>
        <v>200360</v>
      </c>
      <c r="E361" s="1" t="s">
        <v>63</v>
      </c>
      <c r="F361" s="1" t="str">
        <f ca="1">[1]装备明细!C362&amp;"图纸"</f>
        <v>涅琉斯牙齿图纸</v>
      </c>
      <c r="G361" s="1" t="str">
        <f ca="1">[1]装备明细!$I362</f>
        <v>[329-390]攻击 +3个随机属性</v>
      </c>
      <c r="H361" s="1">
        <f t="shared" si="35"/>
        <v>100360</v>
      </c>
      <c r="I361" s="1">
        <v>1</v>
      </c>
      <c r="J361" s="1">
        <f>[1]装备明细!J362</f>
        <v>0</v>
      </c>
      <c r="K361" s="1">
        <f>[1]装备明细!K362</f>
        <v>4</v>
      </c>
      <c r="L361" s="1">
        <f>[1]装备明细!L362</f>
        <v>9</v>
      </c>
      <c r="M361" s="1">
        <v>6</v>
      </c>
      <c r="N361" s="1">
        <f>[1]装备明细!$F365</f>
        <v>1</v>
      </c>
      <c r="O361" s="1">
        <f>[1]装备明细!$E362</f>
        <v>3</v>
      </c>
      <c r="P361" s="1">
        <f t="shared" si="31"/>
        <v>3</v>
      </c>
      <c r="Q361" s="1">
        <f t="shared" si="32"/>
        <v>780</v>
      </c>
      <c r="R361" s="1">
        <f t="shared" si="33"/>
        <v>19</v>
      </c>
      <c r="S361" s="1">
        <f t="shared" si="34"/>
        <v>3</v>
      </c>
    </row>
    <row r="362" spans="1:19" x14ac:dyDescent="0.15">
      <c r="A362" s="1">
        <v>361</v>
      </c>
      <c r="B362" s="1">
        <v>0</v>
      </c>
      <c r="C362" s="1">
        <f>[1]装备明细!B363</f>
        <v>103011100</v>
      </c>
      <c r="D362" s="1">
        <f t="shared" si="30"/>
        <v>200361</v>
      </c>
      <c r="E362" s="1" t="s">
        <v>63</v>
      </c>
      <c r="F362" s="1" t="str">
        <f ca="1">[1]装备明细!C363&amp;"图纸"</f>
        <v>奥丁之球图纸</v>
      </c>
      <c r="G362" s="1" t="str">
        <f ca="1">[1]装备明细!$I363</f>
        <v>[1-24]攻击 +3个随机属性</v>
      </c>
      <c r="H362" s="1">
        <f t="shared" si="35"/>
        <v>100361</v>
      </c>
      <c r="I362" s="1">
        <v>1</v>
      </c>
      <c r="J362" s="1">
        <f>[1]装备明细!J363</f>
        <v>0</v>
      </c>
      <c r="K362" s="1">
        <f>[1]装备明细!K363</f>
        <v>4</v>
      </c>
      <c r="L362" s="1">
        <f>[1]装备明细!L363</f>
        <v>1</v>
      </c>
      <c r="M362" s="1">
        <v>6</v>
      </c>
      <c r="N362" s="1">
        <f>[1]装备明细!$F366</f>
        <v>1</v>
      </c>
      <c r="O362" s="1">
        <f>[1]装备明细!$E363</f>
        <v>3</v>
      </c>
      <c r="P362" s="1">
        <f t="shared" si="31"/>
        <v>3</v>
      </c>
      <c r="Q362" s="1">
        <f t="shared" si="32"/>
        <v>620</v>
      </c>
      <c r="R362" s="1">
        <f t="shared" si="33"/>
        <v>19</v>
      </c>
      <c r="S362" s="1">
        <f t="shared" si="34"/>
        <v>3</v>
      </c>
    </row>
    <row r="363" spans="1:19" x14ac:dyDescent="0.15">
      <c r="A363" s="1">
        <v>362</v>
      </c>
      <c r="B363" s="1">
        <v>0</v>
      </c>
      <c r="C363" s="1">
        <f>[1]装备明细!B364</f>
        <v>103021100</v>
      </c>
      <c r="D363" s="1">
        <f t="shared" si="30"/>
        <v>200362</v>
      </c>
      <c r="E363" s="1" t="s">
        <v>63</v>
      </c>
      <c r="F363" s="1" t="str">
        <f ca="1">[1]装备明细!C364&amp;"图纸"</f>
        <v>卢卡之球图纸</v>
      </c>
      <c r="G363" s="1" t="str">
        <f ca="1">[1]装备明细!$I364</f>
        <v>[25-52]攻击 +3个随机属性</v>
      </c>
      <c r="H363" s="1">
        <f t="shared" si="35"/>
        <v>100362</v>
      </c>
      <c r="I363" s="1">
        <v>1</v>
      </c>
      <c r="J363" s="1">
        <f>[1]装备明细!J364</f>
        <v>0</v>
      </c>
      <c r="K363" s="1">
        <f>[1]装备明细!K364</f>
        <v>4</v>
      </c>
      <c r="L363" s="1">
        <f>[1]装备明细!L364</f>
        <v>2</v>
      </c>
      <c r="M363" s="1">
        <v>6</v>
      </c>
      <c r="N363" s="1">
        <f>[1]装备明细!$F367</f>
        <v>1</v>
      </c>
      <c r="O363" s="1">
        <f>[1]装备明细!$E364</f>
        <v>3</v>
      </c>
      <c r="P363" s="1">
        <f t="shared" si="31"/>
        <v>3</v>
      </c>
      <c r="Q363" s="1">
        <f t="shared" si="32"/>
        <v>640</v>
      </c>
      <c r="R363" s="1">
        <f t="shared" si="33"/>
        <v>19</v>
      </c>
      <c r="S363" s="1">
        <f t="shared" si="34"/>
        <v>3</v>
      </c>
    </row>
    <row r="364" spans="1:19" x14ac:dyDescent="0.15">
      <c r="A364" s="1">
        <v>363</v>
      </c>
      <c r="B364" s="1">
        <v>0</v>
      </c>
      <c r="C364" s="1">
        <f>[1]装备明细!B365</f>
        <v>103031100</v>
      </c>
      <c r="D364" s="1">
        <f t="shared" si="30"/>
        <v>200363</v>
      </c>
      <c r="E364" s="1" t="s">
        <v>63</v>
      </c>
      <c r="F364" s="1" t="str">
        <f ca="1">[1]装备明细!C365&amp;"图纸"</f>
        <v>坎珀之球图纸</v>
      </c>
      <c r="G364" s="1" t="str">
        <f ca="1">[1]装备明细!$I365</f>
        <v>[53-86]攻击 +3个随机属性</v>
      </c>
      <c r="H364" s="1">
        <f t="shared" si="35"/>
        <v>100363</v>
      </c>
      <c r="I364" s="1">
        <v>1</v>
      </c>
      <c r="J364" s="1">
        <f>[1]装备明细!J365</f>
        <v>0</v>
      </c>
      <c r="K364" s="1">
        <f>[1]装备明细!K365</f>
        <v>4</v>
      </c>
      <c r="L364" s="1">
        <f>[1]装备明细!L365</f>
        <v>3</v>
      </c>
      <c r="M364" s="1">
        <v>6</v>
      </c>
      <c r="N364" s="1">
        <f>[1]装备明细!$F368</f>
        <v>1</v>
      </c>
      <c r="O364" s="1">
        <f>[1]装备明细!$E365</f>
        <v>3</v>
      </c>
      <c r="P364" s="1">
        <f t="shared" si="31"/>
        <v>3</v>
      </c>
      <c r="Q364" s="1">
        <f t="shared" si="32"/>
        <v>660</v>
      </c>
      <c r="R364" s="1">
        <f t="shared" si="33"/>
        <v>19</v>
      </c>
      <c r="S364" s="1">
        <f t="shared" si="34"/>
        <v>3</v>
      </c>
    </row>
    <row r="365" spans="1:19" x14ac:dyDescent="0.15">
      <c r="A365" s="1">
        <v>364</v>
      </c>
      <c r="B365" s="1">
        <v>0</v>
      </c>
      <c r="C365" s="1">
        <f>[1]装备明细!B366</f>
        <v>103041100</v>
      </c>
      <c r="D365" s="1">
        <f t="shared" si="30"/>
        <v>200364</v>
      </c>
      <c r="E365" s="1" t="s">
        <v>63</v>
      </c>
      <c r="F365" s="1" t="str">
        <f ca="1">[1]装备明细!C366&amp;"图纸"</f>
        <v>费恩之球图纸</v>
      </c>
      <c r="G365" s="1" t="str">
        <f ca="1">[1]装备明细!$I366</f>
        <v>[87-124]攻击 +3个随机属性</v>
      </c>
      <c r="H365" s="1">
        <f t="shared" si="35"/>
        <v>100364</v>
      </c>
      <c r="I365" s="1">
        <v>1</v>
      </c>
      <c r="J365" s="1">
        <f>[1]装备明细!J366</f>
        <v>0</v>
      </c>
      <c r="K365" s="1">
        <f>[1]装备明细!K366</f>
        <v>4</v>
      </c>
      <c r="L365" s="1">
        <f>[1]装备明细!L366</f>
        <v>4</v>
      </c>
      <c r="M365" s="1">
        <v>6</v>
      </c>
      <c r="N365" s="1">
        <f>[1]装备明细!$F369</f>
        <v>1</v>
      </c>
      <c r="O365" s="1">
        <f>[1]装备明细!$E366</f>
        <v>3</v>
      </c>
      <c r="P365" s="1">
        <f t="shared" si="31"/>
        <v>3</v>
      </c>
      <c r="Q365" s="1">
        <f t="shared" si="32"/>
        <v>680</v>
      </c>
      <c r="R365" s="1">
        <f t="shared" si="33"/>
        <v>19</v>
      </c>
      <c r="S365" s="1">
        <f t="shared" si="34"/>
        <v>3</v>
      </c>
    </row>
    <row r="366" spans="1:19" x14ac:dyDescent="0.15">
      <c r="A366" s="1">
        <v>365</v>
      </c>
      <c r="B366" s="1">
        <v>0</v>
      </c>
      <c r="C366" s="1">
        <f>[1]装备明细!B367</f>
        <v>103051100</v>
      </c>
      <c r="D366" s="1">
        <f t="shared" si="30"/>
        <v>200365</v>
      </c>
      <c r="E366" s="1" t="s">
        <v>63</v>
      </c>
      <c r="F366" s="1" t="str">
        <f ca="1">[1]装备明细!C367&amp;"图纸"</f>
        <v>迪马斯之球图纸</v>
      </c>
      <c r="G366" s="1" t="str">
        <f ca="1">[1]装备明细!$I367</f>
        <v>[125-169]攻击 +3个随机属性</v>
      </c>
      <c r="H366" s="1">
        <f t="shared" si="35"/>
        <v>100365</v>
      </c>
      <c r="I366" s="1">
        <v>1</v>
      </c>
      <c r="J366" s="1">
        <f>[1]装备明细!J367</f>
        <v>0</v>
      </c>
      <c r="K366" s="1">
        <f>[1]装备明细!K367</f>
        <v>4</v>
      </c>
      <c r="L366" s="1">
        <f>[1]装备明细!L367</f>
        <v>5</v>
      </c>
      <c r="M366" s="1">
        <v>6</v>
      </c>
      <c r="N366" s="1">
        <f>[1]装备明细!$F370</f>
        <v>1</v>
      </c>
      <c r="O366" s="1">
        <f>[1]装备明细!$E367</f>
        <v>3</v>
      </c>
      <c r="P366" s="1">
        <f t="shared" si="31"/>
        <v>3</v>
      </c>
      <c r="Q366" s="1">
        <f t="shared" si="32"/>
        <v>700</v>
      </c>
      <c r="R366" s="1">
        <f t="shared" si="33"/>
        <v>19</v>
      </c>
      <c r="S366" s="1">
        <f t="shared" si="34"/>
        <v>3</v>
      </c>
    </row>
    <row r="367" spans="1:19" x14ac:dyDescent="0.15">
      <c r="A367" s="1">
        <v>366</v>
      </c>
      <c r="B367" s="1">
        <v>0</v>
      </c>
      <c r="C367" s="1">
        <f>[1]装备明细!B368</f>
        <v>103061100</v>
      </c>
      <c r="D367" s="1">
        <f t="shared" si="30"/>
        <v>200366</v>
      </c>
      <c r="E367" s="1" t="s">
        <v>63</v>
      </c>
      <c r="F367" s="1" t="str">
        <f ca="1">[1]装备明细!C368&amp;"图纸"</f>
        <v>酒神之球图纸</v>
      </c>
      <c r="G367" s="1" t="str">
        <f ca="1">[1]装备明细!$I368</f>
        <v>[170-217]攻击 +3个随机属性</v>
      </c>
      <c r="H367" s="1">
        <f t="shared" si="35"/>
        <v>100366</v>
      </c>
      <c r="I367" s="1">
        <v>1</v>
      </c>
      <c r="J367" s="1">
        <f>[1]装备明细!J368</f>
        <v>0</v>
      </c>
      <c r="K367" s="1">
        <f>[1]装备明细!K368</f>
        <v>4</v>
      </c>
      <c r="L367" s="1">
        <f>[1]装备明细!L368</f>
        <v>6</v>
      </c>
      <c r="M367" s="1">
        <v>6</v>
      </c>
      <c r="N367" s="1">
        <f>[1]装备明细!$F371</f>
        <v>1</v>
      </c>
      <c r="O367" s="1">
        <f>[1]装备明细!$E368</f>
        <v>3</v>
      </c>
      <c r="P367" s="1">
        <f t="shared" si="31"/>
        <v>3</v>
      </c>
      <c r="Q367" s="1">
        <f t="shared" si="32"/>
        <v>720</v>
      </c>
      <c r="R367" s="1">
        <f t="shared" si="33"/>
        <v>19</v>
      </c>
      <c r="S367" s="1">
        <f t="shared" si="34"/>
        <v>3</v>
      </c>
    </row>
    <row r="368" spans="1:19" x14ac:dyDescent="0.15">
      <c r="A368" s="1">
        <v>367</v>
      </c>
      <c r="B368" s="1">
        <v>0</v>
      </c>
      <c r="C368" s="1">
        <f>[1]装备明细!B369</f>
        <v>103071100</v>
      </c>
      <c r="D368" s="1">
        <f t="shared" si="30"/>
        <v>200367</v>
      </c>
      <c r="E368" s="1" t="s">
        <v>63</v>
      </c>
      <c r="F368" s="1" t="str">
        <f ca="1">[1]装备明细!C369&amp;"图纸"</f>
        <v>缪斯之球图纸</v>
      </c>
      <c r="G368" s="1" t="str">
        <f ca="1">[1]装备明细!$I369</f>
        <v>[218-270]攻击 +3个随机属性</v>
      </c>
      <c r="H368" s="1">
        <f t="shared" si="35"/>
        <v>100367</v>
      </c>
      <c r="I368" s="1">
        <v>1</v>
      </c>
      <c r="J368" s="1">
        <f>[1]装备明细!J369</f>
        <v>0</v>
      </c>
      <c r="K368" s="1">
        <f>[1]装备明细!K369</f>
        <v>4</v>
      </c>
      <c r="L368" s="1">
        <f>[1]装备明细!L369</f>
        <v>7</v>
      </c>
      <c r="M368" s="1">
        <v>6</v>
      </c>
      <c r="N368" s="1">
        <f>[1]装备明细!$F372</f>
        <v>1</v>
      </c>
      <c r="O368" s="1">
        <f>[1]装备明细!$E369</f>
        <v>3</v>
      </c>
      <c r="P368" s="1">
        <f t="shared" si="31"/>
        <v>3</v>
      </c>
      <c r="Q368" s="1">
        <f t="shared" si="32"/>
        <v>740</v>
      </c>
      <c r="R368" s="1">
        <f t="shared" si="33"/>
        <v>19</v>
      </c>
      <c r="S368" s="1">
        <f t="shared" si="34"/>
        <v>3</v>
      </c>
    </row>
    <row r="369" spans="1:19" x14ac:dyDescent="0.15">
      <c r="A369" s="1">
        <v>368</v>
      </c>
      <c r="B369" s="1">
        <v>0</v>
      </c>
      <c r="C369" s="1">
        <f>[1]装备明细!B370</f>
        <v>103081100</v>
      </c>
      <c r="D369" s="1">
        <f t="shared" si="30"/>
        <v>200368</v>
      </c>
      <c r="E369" s="1" t="s">
        <v>63</v>
      </c>
      <c r="F369" s="1" t="str">
        <f ca="1">[1]装备明细!C370&amp;"图纸"</f>
        <v>潘多拉之球图纸</v>
      </c>
      <c r="G369" s="1" t="str">
        <f ca="1">[1]装备明细!$I370</f>
        <v>[271-328]攻击 +3个随机属性</v>
      </c>
      <c r="H369" s="1">
        <f t="shared" si="35"/>
        <v>100368</v>
      </c>
      <c r="I369" s="1">
        <v>1</v>
      </c>
      <c r="J369" s="1">
        <f>[1]装备明细!J370</f>
        <v>0</v>
      </c>
      <c r="K369" s="1">
        <f>[1]装备明细!K370</f>
        <v>4</v>
      </c>
      <c r="L369" s="1">
        <f>[1]装备明细!L370</f>
        <v>8</v>
      </c>
      <c r="M369" s="1">
        <v>6</v>
      </c>
      <c r="N369" s="1">
        <f>[1]装备明细!$F373</f>
        <v>1</v>
      </c>
      <c r="O369" s="1">
        <f>[1]装备明细!$E370</f>
        <v>3</v>
      </c>
      <c r="P369" s="1">
        <f t="shared" si="31"/>
        <v>3</v>
      </c>
      <c r="Q369" s="1">
        <f t="shared" si="32"/>
        <v>760</v>
      </c>
      <c r="R369" s="1">
        <f t="shared" si="33"/>
        <v>19</v>
      </c>
      <c r="S369" s="1">
        <f t="shared" si="34"/>
        <v>3</v>
      </c>
    </row>
    <row r="370" spans="1:19" x14ac:dyDescent="0.15">
      <c r="A370" s="1">
        <v>369</v>
      </c>
      <c r="B370" s="1">
        <v>0</v>
      </c>
      <c r="C370" s="1">
        <f>[1]装备明细!B371</f>
        <v>103091100</v>
      </c>
      <c r="D370" s="1">
        <f t="shared" si="30"/>
        <v>200369</v>
      </c>
      <c r="E370" s="1" t="s">
        <v>63</v>
      </c>
      <c r="F370" s="1" t="str">
        <f ca="1">[1]装备明细!C371&amp;"图纸"</f>
        <v>欧罗巴之球图纸</v>
      </c>
      <c r="G370" s="1" t="str">
        <f ca="1">[1]装备明细!$I371</f>
        <v>[329-390]攻击 +3个随机属性</v>
      </c>
      <c r="H370" s="1">
        <f t="shared" si="35"/>
        <v>100369</v>
      </c>
      <c r="I370" s="1">
        <v>1</v>
      </c>
      <c r="J370" s="1">
        <f>[1]装备明细!J371</f>
        <v>0</v>
      </c>
      <c r="K370" s="1">
        <f>[1]装备明细!K371</f>
        <v>4</v>
      </c>
      <c r="L370" s="1">
        <f>[1]装备明细!L371</f>
        <v>9</v>
      </c>
      <c r="M370" s="1">
        <v>6</v>
      </c>
      <c r="N370" s="1">
        <f>[1]装备明细!$F374</f>
        <v>1</v>
      </c>
      <c r="O370" s="1">
        <f>[1]装备明细!$E371</f>
        <v>3</v>
      </c>
      <c r="P370" s="1">
        <f t="shared" si="31"/>
        <v>3</v>
      </c>
      <c r="Q370" s="1">
        <f t="shared" si="32"/>
        <v>780</v>
      </c>
      <c r="R370" s="1">
        <f t="shared" si="33"/>
        <v>19</v>
      </c>
      <c r="S370" s="1">
        <f t="shared" si="34"/>
        <v>3</v>
      </c>
    </row>
    <row r="371" spans="1:19" x14ac:dyDescent="0.15">
      <c r="A371" s="1">
        <v>370</v>
      </c>
      <c r="B371" s="1">
        <v>0</v>
      </c>
      <c r="C371" s="1">
        <f>[1]装备明细!B372</f>
        <v>103011200</v>
      </c>
      <c r="D371" s="1">
        <f t="shared" si="30"/>
        <v>200370</v>
      </c>
      <c r="E371" s="1" t="s">
        <v>63</v>
      </c>
      <c r="F371" s="1" t="str">
        <f ca="1">[1]装备明细!C372&amp;"图纸"</f>
        <v>奥丁之爪图纸</v>
      </c>
      <c r="G371" s="1" t="str">
        <f ca="1">[1]装备明细!$I372</f>
        <v>[1-24]攻击 +3个随机属性</v>
      </c>
      <c r="H371" s="1">
        <f t="shared" si="35"/>
        <v>100370</v>
      </c>
      <c r="I371" s="1">
        <v>1</v>
      </c>
      <c r="J371" s="1">
        <f>[1]装备明细!J372</f>
        <v>0</v>
      </c>
      <c r="K371" s="1">
        <f>[1]装备明细!K372</f>
        <v>4</v>
      </c>
      <c r="L371" s="1">
        <f>[1]装备明细!L372</f>
        <v>1</v>
      </c>
      <c r="M371" s="1">
        <v>6</v>
      </c>
      <c r="N371" s="1">
        <f>[1]装备明细!$F375</f>
        <v>1</v>
      </c>
      <c r="O371" s="1">
        <f>[1]装备明细!$E372</f>
        <v>3</v>
      </c>
      <c r="P371" s="1">
        <f t="shared" si="31"/>
        <v>3</v>
      </c>
      <c r="Q371" s="1">
        <f t="shared" si="32"/>
        <v>620</v>
      </c>
      <c r="R371" s="1">
        <f t="shared" si="33"/>
        <v>19</v>
      </c>
      <c r="S371" s="1">
        <f t="shared" si="34"/>
        <v>3</v>
      </c>
    </row>
    <row r="372" spans="1:19" x14ac:dyDescent="0.15">
      <c r="A372" s="1">
        <v>371</v>
      </c>
      <c r="B372" s="1">
        <v>0</v>
      </c>
      <c r="C372" s="1">
        <f>[1]装备明细!B373</f>
        <v>103021200</v>
      </c>
      <c r="D372" s="1">
        <f t="shared" si="30"/>
        <v>200371</v>
      </c>
      <c r="E372" s="1" t="s">
        <v>63</v>
      </c>
      <c r="F372" s="1" t="str">
        <f ca="1">[1]装备明细!C373&amp;"图纸"</f>
        <v>卢卡之爪图纸</v>
      </c>
      <c r="G372" s="1" t="str">
        <f ca="1">[1]装备明细!$I373</f>
        <v>[25-52]攻击 +3个随机属性</v>
      </c>
      <c r="H372" s="1">
        <f t="shared" si="35"/>
        <v>100371</v>
      </c>
      <c r="I372" s="1">
        <v>1</v>
      </c>
      <c r="J372" s="1">
        <f>[1]装备明细!J373</f>
        <v>0</v>
      </c>
      <c r="K372" s="1">
        <f>[1]装备明细!K373</f>
        <v>4</v>
      </c>
      <c r="L372" s="1">
        <f>[1]装备明细!L373</f>
        <v>2</v>
      </c>
      <c r="M372" s="1">
        <v>6</v>
      </c>
      <c r="N372" s="1">
        <f>[1]装备明细!$F376</f>
        <v>1</v>
      </c>
      <c r="O372" s="1">
        <f>[1]装备明细!$E373</f>
        <v>3</v>
      </c>
      <c r="P372" s="1">
        <f t="shared" si="31"/>
        <v>3</v>
      </c>
      <c r="Q372" s="1">
        <f t="shared" si="32"/>
        <v>640</v>
      </c>
      <c r="R372" s="1">
        <f t="shared" si="33"/>
        <v>19</v>
      </c>
      <c r="S372" s="1">
        <f t="shared" si="34"/>
        <v>3</v>
      </c>
    </row>
    <row r="373" spans="1:19" x14ac:dyDescent="0.15">
      <c r="A373" s="1">
        <v>372</v>
      </c>
      <c r="B373" s="1">
        <v>0</v>
      </c>
      <c r="C373" s="1">
        <f>[1]装备明细!B374</f>
        <v>103031200</v>
      </c>
      <c r="D373" s="1">
        <f t="shared" si="30"/>
        <v>200372</v>
      </c>
      <c r="E373" s="1" t="s">
        <v>63</v>
      </c>
      <c r="F373" s="1" t="str">
        <f ca="1">[1]装备明细!C374&amp;"图纸"</f>
        <v>坎珀之爪图纸</v>
      </c>
      <c r="G373" s="1" t="str">
        <f ca="1">[1]装备明细!$I374</f>
        <v>[53-86]攻击 +3个随机属性</v>
      </c>
      <c r="H373" s="1">
        <f t="shared" si="35"/>
        <v>100372</v>
      </c>
      <c r="I373" s="1">
        <v>1</v>
      </c>
      <c r="J373" s="1">
        <f>[1]装备明细!J374</f>
        <v>0</v>
      </c>
      <c r="K373" s="1">
        <f>[1]装备明细!K374</f>
        <v>4</v>
      </c>
      <c r="L373" s="1">
        <f>[1]装备明细!L374</f>
        <v>3</v>
      </c>
      <c r="M373" s="1">
        <v>6</v>
      </c>
      <c r="N373" s="1">
        <f>[1]装备明细!$F377</f>
        <v>1</v>
      </c>
      <c r="O373" s="1">
        <f>[1]装备明细!$E374</f>
        <v>3</v>
      </c>
      <c r="P373" s="1">
        <f t="shared" si="31"/>
        <v>3</v>
      </c>
      <c r="Q373" s="1">
        <f t="shared" si="32"/>
        <v>660</v>
      </c>
      <c r="R373" s="1">
        <f t="shared" si="33"/>
        <v>19</v>
      </c>
      <c r="S373" s="1">
        <f t="shared" si="34"/>
        <v>3</v>
      </c>
    </row>
    <row r="374" spans="1:19" x14ac:dyDescent="0.15">
      <c r="A374" s="1">
        <v>373</v>
      </c>
      <c r="B374" s="1">
        <v>0</v>
      </c>
      <c r="C374" s="1">
        <f>[1]装备明细!B375</f>
        <v>103041200</v>
      </c>
      <c r="D374" s="1">
        <f t="shared" si="30"/>
        <v>200373</v>
      </c>
      <c r="E374" s="1" t="s">
        <v>63</v>
      </c>
      <c r="F374" s="1" t="str">
        <f ca="1">[1]装备明细!C375&amp;"图纸"</f>
        <v>费恩之爪图纸</v>
      </c>
      <c r="G374" s="1" t="str">
        <f ca="1">[1]装备明细!$I375</f>
        <v>[87-124]攻击 +3个随机属性</v>
      </c>
      <c r="H374" s="1">
        <f t="shared" si="35"/>
        <v>100373</v>
      </c>
      <c r="I374" s="1">
        <v>1</v>
      </c>
      <c r="J374" s="1">
        <f>[1]装备明细!J375</f>
        <v>0</v>
      </c>
      <c r="K374" s="1">
        <f>[1]装备明细!K375</f>
        <v>4</v>
      </c>
      <c r="L374" s="1">
        <f>[1]装备明细!L375</f>
        <v>4</v>
      </c>
      <c r="M374" s="1">
        <v>6</v>
      </c>
      <c r="N374" s="1">
        <f>[1]装备明细!$F378</f>
        <v>1</v>
      </c>
      <c r="O374" s="1">
        <f>[1]装备明细!$E375</f>
        <v>3</v>
      </c>
      <c r="P374" s="1">
        <f t="shared" si="31"/>
        <v>3</v>
      </c>
      <c r="Q374" s="1">
        <f t="shared" si="32"/>
        <v>680</v>
      </c>
      <c r="R374" s="1">
        <f t="shared" si="33"/>
        <v>19</v>
      </c>
      <c r="S374" s="1">
        <f t="shared" si="34"/>
        <v>3</v>
      </c>
    </row>
    <row r="375" spans="1:19" x14ac:dyDescent="0.15">
      <c r="A375" s="1">
        <v>374</v>
      </c>
      <c r="B375" s="1">
        <v>0</v>
      </c>
      <c r="C375" s="1">
        <f>[1]装备明细!B376</f>
        <v>103051200</v>
      </c>
      <c r="D375" s="1">
        <f t="shared" si="30"/>
        <v>200374</v>
      </c>
      <c r="E375" s="1" t="s">
        <v>63</v>
      </c>
      <c r="F375" s="1" t="str">
        <f ca="1">[1]装备明细!C376&amp;"图纸"</f>
        <v>迪马斯之爪图纸</v>
      </c>
      <c r="G375" s="1" t="str">
        <f ca="1">[1]装备明细!$I376</f>
        <v>[125-169]攻击 +3个随机属性</v>
      </c>
      <c r="H375" s="1">
        <f t="shared" si="35"/>
        <v>100374</v>
      </c>
      <c r="I375" s="1">
        <v>1</v>
      </c>
      <c r="J375" s="1">
        <f>[1]装备明细!J376</f>
        <v>0</v>
      </c>
      <c r="K375" s="1">
        <f>[1]装备明细!K376</f>
        <v>4</v>
      </c>
      <c r="L375" s="1">
        <f>[1]装备明细!L376</f>
        <v>5</v>
      </c>
      <c r="M375" s="1">
        <v>6</v>
      </c>
      <c r="N375" s="1">
        <f>[1]装备明细!$F379</f>
        <v>1</v>
      </c>
      <c r="O375" s="1">
        <f>[1]装备明细!$E376</f>
        <v>3</v>
      </c>
      <c r="P375" s="1">
        <f t="shared" si="31"/>
        <v>3</v>
      </c>
      <c r="Q375" s="1">
        <f t="shared" si="32"/>
        <v>700</v>
      </c>
      <c r="R375" s="1">
        <f t="shared" si="33"/>
        <v>19</v>
      </c>
      <c r="S375" s="1">
        <f t="shared" si="34"/>
        <v>3</v>
      </c>
    </row>
    <row r="376" spans="1:19" x14ac:dyDescent="0.15">
      <c r="A376" s="1">
        <v>375</v>
      </c>
      <c r="B376" s="1">
        <v>0</v>
      </c>
      <c r="C376" s="1">
        <f>[1]装备明细!B377</f>
        <v>103061200</v>
      </c>
      <c r="D376" s="1">
        <f t="shared" si="30"/>
        <v>200375</v>
      </c>
      <c r="E376" s="1" t="s">
        <v>63</v>
      </c>
      <c r="F376" s="1" t="str">
        <f ca="1">[1]装备明细!C377&amp;"图纸"</f>
        <v>酒神之爪图纸</v>
      </c>
      <c r="G376" s="1" t="str">
        <f ca="1">[1]装备明细!$I377</f>
        <v>[170-217]攻击 +3个随机属性</v>
      </c>
      <c r="H376" s="1">
        <f t="shared" si="35"/>
        <v>100375</v>
      </c>
      <c r="I376" s="1">
        <v>1</v>
      </c>
      <c r="J376" s="1">
        <f>[1]装备明细!J377</f>
        <v>0</v>
      </c>
      <c r="K376" s="1">
        <f>[1]装备明细!K377</f>
        <v>4</v>
      </c>
      <c r="L376" s="1">
        <f>[1]装备明细!L377</f>
        <v>6</v>
      </c>
      <c r="M376" s="1">
        <v>6</v>
      </c>
      <c r="N376" s="1">
        <f>[1]装备明细!$F380</f>
        <v>1</v>
      </c>
      <c r="O376" s="1">
        <f>[1]装备明细!$E377</f>
        <v>3</v>
      </c>
      <c r="P376" s="1">
        <f t="shared" si="31"/>
        <v>3</v>
      </c>
      <c r="Q376" s="1">
        <f t="shared" si="32"/>
        <v>720</v>
      </c>
      <c r="R376" s="1">
        <f t="shared" si="33"/>
        <v>19</v>
      </c>
      <c r="S376" s="1">
        <f t="shared" si="34"/>
        <v>3</v>
      </c>
    </row>
    <row r="377" spans="1:19" x14ac:dyDescent="0.15">
      <c r="A377" s="1">
        <v>376</v>
      </c>
      <c r="B377" s="1">
        <v>0</v>
      </c>
      <c r="C377" s="1">
        <f>[1]装备明细!B378</f>
        <v>103071200</v>
      </c>
      <c r="D377" s="1">
        <f t="shared" si="30"/>
        <v>200376</v>
      </c>
      <c r="E377" s="1" t="s">
        <v>63</v>
      </c>
      <c r="F377" s="1" t="str">
        <f ca="1">[1]装备明细!C378&amp;"图纸"</f>
        <v>缪斯之爪图纸</v>
      </c>
      <c r="G377" s="1" t="str">
        <f ca="1">[1]装备明细!$I378</f>
        <v>[218-270]攻击 +3个随机属性</v>
      </c>
      <c r="H377" s="1">
        <f t="shared" si="35"/>
        <v>100376</v>
      </c>
      <c r="I377" s="1">
        <v>1</v>
      </c>
      <c r="J377" s="1">
        <f>[1]装备明细!J378</f>
        <v>0</v>
      </c>
      <c r="K377" s="1">
        <f>[1]装备明细!K378</f>
        <v>4</v>
      </c>
      <c r="L377" s="1">
        <f>[1]装备明细!L378</f>
        <v>7</v>
      </c>
      <c r="M377" s="1">
        <v>6</v>
      </c>
      <c r="N377" s="1">
        <f>[1]装备明细!$F381</f>
        <v>1</v>
      </c>
      <c r="O377" s="1">
        <f>[1]装备明细!$E378</f>
        <v>3</v>
      </c>
      <c r="P377" s="1">
        <f t="shared" si="31"/>
        <v>3</v>
      </c>
      <c r="Q377" s="1">
        <f t="shared" si="32"/>
        <v>740</v>
      </c>
      <c r="R377" s="1">
        <f t="shared" si="33"/>
        <v>19</v>
      </c>
      <c r="S377" s="1">
        <f t="shared" si="34"/>
        <v>3</v>
      </c>
    </row>
    <row r="378" spans="1:19" x14ac:dyDescent="0.15">
      <c r="A378" s="1">
        <v>377</v>
      </c>
      <c r="B378" s="1">
        <v>0</v>
      </c>
      <c r="C378" s="1">
        <f>[1]装备明细!B379</f>
        <v>103081200</v>
      </c>
      <c r="D378" s="1">
        <f t="shared" si="30"/>
        <v>200377</v>
      </c>
      <c r="E378" s="1" t="s">
        <v>63</v>
      </c>
      <c r="F378" s="1" t="str">
        <f ca="1">[1]装备明细!C379&amp;"图纸"</f>
        <v>潘多拉之爪图纸</v>
      </c>
      <c r="G378" s="1" t="str">
        <f ca="1">[1]装备明细!$I379</f>
        <v>[271-328]攻击 +3个随机属性</v>
      </c>
      <c r="H378" s="1">
        <f t="shared" si="35"/>
        <v>100377</v>
      </c>
      <c r="I378" s="1">
        <v>1</v>
      </c>
      <c r="J378" s="1">
        <f>[1]装备明细!J379</f>
        <v>0</v>
      </c>
      <c r="K378" s="1">
        <f>[1]装备明细!K379</f>
        <v>4</v>
      </c>
      <c r="L378" s="1">
        <f>[1]装备明细!L379</f>
        <v>8</v>
      </c>
      <c r="M378" s="1">
        <v>6</v>
      </c>
      <c r="N378" s="1">
        <f>[1]装备明细!$F382</f>
        <v>1</v>
      </c>
      <c r="O378" s="1">
        <f>[1]装备明细!$E379</f>
        <v>3</v>
      </c>
      <c r="P378" s="1">
        <f t="shared" si="31"/>
        <v>3</v>
      </c>
      <c r="Q378" s="1">
        <f t="shared" si="32"/>
        <v>760</v>
      </c>
      <c r="R378" s="1">
        <f t="shared" si="33"/>
        <v>19</v>
      </c>
      <c r="S378" s="1">
        <f t="shared" si="34"/>
        <v>3</v>
      </c>
    </row>
    <row r="379" spans="1:19" x14ac:dyDescent="0.15">
      <c r="A379" s="1">
        <v>378</v>
      </c>
      <c r="B379" s="1">
        <v>0</v>
      </c>
      <c r="C379" s="1">
        <f>[1]装备明细!B380</f>
        <v>103091200</v>
      </c>
      <c r="D379" s="1">
        <f t="shared" si="30"/>
        <v>200378</v>
      </c>
      <c r="E379" s="1" t="s">
        <v>63</v>
      </c>
      <c r="F379" s="1" t="str">
        <f ca="1">[1]装备明细!C380&amp;"图纸"</f>
        <v>卡帕纽斯之爪图纸</v>
      </c>
      <c r="G379" s="1" t="str">
        <f ca="1">[1]装备明细!$I380</f>
        <v>[329-390]攻击 +3个随机属性</v>
      </c>
      <c r="H379" s="1">
        <f t="shared" si="35"/>
        <v>100378</v>
      </c>
      <c r="I379" s="1">
        <v>1</v>
      </c>
      <c r="J379" s="1">
        <f>[1]装备明细!J380</f>
        <v>0</v>
      </c>
      <c r="K379" s="1">
        <f>[1]装备明细!K380</f>
        <v>4</v>
      </c>
      <c r="L379" s="1">
        <f>[1]装备明细!L380</f>
        <v>9</v>
      </c>
      <c r="M379" s="1">
        <v>6</v>
      </c>
      <c r="N379" s="1">
        <f>[1]装备明细!$F383</f>
        <v>1</v>
      </c>
      <c r="O379" s="1">
        <f>[1]装备明细!$E380</f>
        <v>3</v>
      </c>
      <c r="P379" s="1">
        <f t="shared" si="31"/>
        <v>3</v>
      </c>
      <c r="Q379" s="1">
        <f t="shared" si="32"/>
        <v>780</v>
      </c>
      <c r="R379" s="1">
        <f t="shared" si="33"/>
        <v>19</v>
      </c>
      <c r="S379" s="1">
        <f t="shared" si="34"/>
        <v>3</v>
      </c>
    </row>
    <row r="380" spans="1:19" x14ac:dyDescent="0.15">
      <c r="A380" s="1">
        <v>379</v>
      </c>
      <c r="B380" s="1">
        <v>0</v>
      </c>
      <c r="C380" s="1">
        <f>[1]装备明细!B381</f>
        <v>103011300</v>
      </c>
      <c r="D380" s="1">
        <f t="shared" si="30"/>
        <v>200379</v>
      </c>
      <c r="E380" s="1" t="s">
        <v>63</v>
      </c>
      <c r="F380" s="1" t="str">
        <f ca="1">[1]装备明细!C381&amp;"图纸"</f>
        <v>奥丁之剑图纸</v>
      </c>
      <c r="G380" s="1" t="str">
        <f ca="1">[1]装备明细!$I381</f>
        <v>[1-24]攻击 +3个随机属性</v>
      </c>
      <c r="H380" s="1">
        <f t="shared" si="35"/>
        <v>100379</v>
      </c>
      <c r="I380" s="1">
        <v>1</v>
      </c>
      <c r="J380" s="1">
        <f>[1]装备明细!J381</f>
        <v>0</v>
      </c>
      <c r="K380" s="1">
        <f>[1]装备明细!K381</f>
        <v>4</v>
      </c>
      <c r="L380" s="1">
        <f>[1]装备明细!L381</f>
        <v>1</v>
      </c>
      <c r="M380" s="1">
        <v>6</v>
      </c>
      <c r="N380" s="1">
        <f>[1]装备明细!$F384</f>
        <v>1</v>
      </c>
      <c r="O380" s="1">
        <f>[1]装备明细!$E381</f>
        <v>3</v>
      </c>
      <c r="P380" s="1">
        <f t="shared" si="31"/>
        <v>3</v>
      </c>
      <c r="Q380" s="1">
        <f t="shared" si="32"/>
        <v>620</v>
      </c>
      <c r="R380" s="1">
        <f t="shared" si="33"/>
        <v>19</v>
      </c>
      <c r="S380" s="1">
        <f t="shared" si="34"/>
        <v>3</v>
      </c>
    </row>
    <row r="381" spans="1:19" x14ac:dyDescent="0.15">
      <c r="A381" s="1">
        <v>380</v>
      </c>
      <c r="B381" s="1">
        <v>0</v>
      </c>
      <c r="C381" s="1">
        <f>[1]装备明细!B382</f>
        <v>103021300</v>
      </c>
      <c r="D381" s="1">
        <f t="shared" si="30"/>
        <v>200380</v>
      </c>
      <c r="E381" s="1" t="s">
        <v>63</v>
      </c>
      <c r="F381" s="1" t="str">
        <f ca="1">[1]装备明细!C382&amp;"图纸"</f>
        <v>卢卡之剑图纸</v>
      </c>
      <c r="G381" s="1" t="str">
        <f ca="1">[1]装备明细!$I382</f>
        <v>[25-52]攻击 +3个随机属性</v>
      </c>
      <c r="H381" s="1">
        <f t="shared" si="35"/>
        <v>100380</v>
      </c>
      <c r="I381" s="1">
        <v>1</v>
      </c>
      <c r="J381" s="1">
        <f>[1]装备明细!J382</f>
        <v>0</v>
      </c>
      <c r="K381" s="1">
        <f>[1]装备明细!K382</f>
        <v>4</v>
      </c>
      <c r="L381" s="1">
        <f>[1]装备明细!L382</f>
        <v>2</v>
      </c>
      <c r="M381" s="1">
        <v>6</v>
      </c>
      <c r="N381" s="1">
        <f>[1]装备明细!$F385</f>
        <v>1</v>
      </c>
      <c r="O381" s="1">
        <f>[1]装备明细!$E382</f>
        <v>3</v>
      </c>
      <c r="P381" s="1">
        <f t="shared" si="31"/>
        <v>3</v>
      </c>
      <c r="Q381" s="1">
        <f t="shared" si="32"/>
        <v>640</v>
      </c>
      <c r="R381" s="1">
        <f t="shared" si="33"/>
        <v>19</v>
      </c>
      <c r="S381" s="1">
        <f t="shared" si="34"/>
        <v>3</v>
      </c>
    </row>
    <row r="382" spans="1:19" x14ac:dyDescent="0.15">
      <c r="A382" s="1">
        <v>381</v>
      </c>
      <c r="B382" s="1">
        <v>0</v>
      </c>
      <c r="C382" s="1">
        <f>[1]装备明细!B383</f>
        <v>103031300</v>
      </c>
      <c r="D382" s="1">
        <f t="shared" si="30"/>
        <v>200381</v>
      </c>
      <c r="E382" s="1" t="s">
        <v>63</v>
      </c>
      <c r="F382" s="1" t="str">
        <f ca="1">[1]装备明细!C383&amp;"图纸"</f>
        <v>坎珀之剑图纸</v>
      </c>
      <c r="G382" s="1" t="str">
        <f ca="1">[1]装备明细!$I383</f>
        <v>[53-86]攻击 +3个随机属性</v>
      </c>
      <c r="H382" s="1">
        <f t="shared" si="35"/>
        <v>100381</v>
      </c>
      <c r="I382" s="1">
        <v>1</v>
      </c>
      <c r="J382" s="1">
        <f>[1]装备明细!J383</f>
        <v>0</v>
      </c>
      <c r="K382" s="1">
        <f>[1]装备明细!K383</f>
        <v>4</v>
      </c>
      <c r="L382" s="1">
        <f>[1]装备明细!L383</f>
        <v>3</v>
      </c>
      <c r="M382" s="1">
        <v>6</v>
      </c>
      <c r="N382" s="1">
        <f>[1]装备明细!$F386</f>
        <v>1</v>
      </c>
      <c r="O382" s="1">
        <f>[1]装备明细!$E383</f>
        <v>3</v>
      </c>
      <c r="P382" s="1">
        <f t="shared" si="31"/>
        <v>3</v>
      </c>
      <c r="Q382" s="1">
        <f t="shared" si="32"/>
        <v>660</v>
      </c>
      <c r="R382" s="1">
        <f t="shared" si="33"/>
        <v>19</v>
      </c>
      <c r="S382" s="1">
        <f t="shared" si="34"/>
        <v>3</v>
      </c>
    </row>
    <row r="383" spans="1:19" x14ac:dyDescent="0.15">
      <c r="A383" s="1">
        <v>382</v>
      </c>
      <c r="B383" s="1">
        <v>0</v>
      </c>
      <c r="C383" s="1">
        <f>[1]装备明细!B384</f>
        <v>103041300</v>
      </c>
      <c r="D383" s="1">
        <f t="shared" si="30"/>
        <v>200382</v>
      </c>
      <c r="E383" s="1" t="s">
        <v>63</v>
      </c>
      <c r="F383" s="1" t="str">
        <f ca="1">[1]装备明细!C384&amp;"图纸"</f>
        <v>费恩之剑图纸</v>
      </c>
      <c r="G383" s="1" t="str">
        <f ca="1">[1]装备明细!$I384</f>
        <v>[87-124]攻击 +3个随机属性</v>
      </c>
      <c r="H383" s="1">
        <f t="shared" si="35"/>
        <v>100382</v>
      </c>
      <c r="I383" s="1">
        <v>1</v>
      </c>
      <c r="J383" s="1">
        <f>[1]装备明细!J384</f>
        <v>0</v>
      </c>
      <c r="K383" s="1">
        <f>[1]装备明细!K384</f>
        <v>4</v>
      </c>
      <c r="L383" s="1">
        <f>[1]装备明细!L384</f>
        <v>4</v>
      </c>
      <c r="M383" s="1">
        <v>6</v>
      </c>
      <c r="N383" s="1">
        <f>[1]装备明细!$F387</f>
        <v>1</v>
      </c>
      <c r="O383" s="1">
        <f>[1]装备明细!$E384</f>
        <v>3</v>
      </c>
      <c r="P383" s="1">
        <f t="shared" si="31"/>
        <v>3</v>
      </c>
      <c r="Q383" s="1">
        <f t="shared" si="32"/>
        <v>680</v>
      </c>
      <c r="R383" s="1">
        <f t="shared" si="33"/>
        <v>19</v>
      </c>
      <c r="S383" s="1">
        <f t="shared" si="34"/>
        <v>3</v>
      </c>
    </row>
    <row r="384" spans="1:19" x14ac:dyDescent="0.15">
      <c r="A384" s="1">
        <v>383</v>
      </c>
      <c r="B384" s="1">
        <v>0</v>
      </c>
      <c r="C384" s="1">
        <f>[1]装备明细!B385</f>
        <v>103051300</v>
      </c>
      <c r="D384" s="1">
        <f t="shared" si="30"/>
        <v>200383</v>
      </c>
      <c r="E384" s="1" t="s">
        <v>63</v>
      </c>
      <c r="F384" s="1" t="str">
        <f ca="1">[1]装备明细!C385&amp;"图纸"</f>
        <v>迪马斯之剑图纸</v>
      </c>
      <c r="G384" s="1" t="str">
        <f ca="1">[1]装备明细!$I385</f>
        <v>[125-169]攻击 +3个随机属性</v>
      </c>
      <c r="H384" s="1">
        <f t="shared" si="35"/>
        <v>100383</v>
      </c>
      <c r="I384" s="1">
        <v>1</v>
      </c>
      <c r="J384" s="1">
        <f>[1]装备明细!J385</f>
        <v>0</v>
      </c>
      <c r="K384" s="1">
        <f>[1]装备明细!K385</f>
        <v>4</v>
      </c>
      <c r="L384" s="1">
        <f>[1]装备明细!L385</f>
        <v>5</v>
      </c>
      <c r="M384" s="1">
        <v>6</v>
      </c>
      <c r="N384" s="1">
        <f>[1]装备明细!$F388</f>
        <v>1</v>
      </c>
      <c r="O384" s="1">
        <f>[1]装备明细!$E385</f>
        <v>3</v>
      </c>
      <c r="P384" s="1">
        <f t="shared" si="31"/>
        <v>3</v>
      </c>
      <c r="Q384" s="1">
        <f t="shared" si="32"/>
        <v>700</v>
      </c>
      <c r="R384" s="1">
        <f t="shared" si="33"/>
        <v>19</v>
      </c>
      <c r="S384" s="1">
        <f t="shared" si="34"/>
        <v>3</v>
      </c>
    </row>
    <row r="385" spans="1:19" x14ac:dyDescent="0.15">
      <c r="A385" s="1">
        <v>384</v>
      </c>
      <c r="B385" s="1">
        <v>0</v>
      </c>
      <c r="C385" s="1">
        <f>[1]装备明细!B386</f>
        <v>103061300</v>
      </c>
      <c r="D385" s="1">
        <f t="shared" si="30"/>
        <v>200384</v>
      </c>
      <c r="E385" s="1" t="s">
        <v>63</v>
      </c>
      <c r="F385" s="1" t="str">
        <f ca="1">[1]装备明细!C386&amp;"图纸"</f>
        <v>酒神之剑图纸</v>
      </c>
      <c r="G385" s="1" t="str">
        <f ca="1">[1]装备明细!$I386</f>
        <v>[170-217]攻击 +3个随机属性</v>
      </c>
      <c r="H385" s="1">
        <f t="shared" si="35"/>
        <v>100384</v>
      </c>
      <c r="I385" s="1">
        <v>1</v>
      </c>
      <c r="J385" s="1">
        <f>[1]装备明细!J386</f>
        <v>0</v>
      </c>
      <c r="K385" s="1">
        <f>[1]装备明细!K386</f>
        <v>4</v>
      </c>
      <c r="L385" s="1">
        <f>[1]装备明细!L386</f>
        <v>6</v>
      </c>
      <c r="M385" s="1">
        <v>6</v>
      </c>
      <c r="N385" s="1">
        <f>[1]装备明细!$F389</f>
        <v>1</v>
      </c>
      <c r="O385" s="1">
        <f>[1]装备明细!$E386</f>
        <v>3</v>
      </c>
      <c r="P385" s="1">
        <f t="shared" si="31"/>
        <v>3</v>
      </c>
      <c r="Q385" s="1">
        <f t="shared" si="32"/>
        <v>720</v>
      </c>
      <c r="R385" s="1">
        <f t="shared" si="33"/>
        <v>19</v>
      </c>
      <c r="S385" s="1">
        <f t="shared" si="34"/>
        <v>3</v>
      </c>
    </row>
    <row r="386" spans="1:19" x14ac:dyDescent="0.15">
      <c r="A386" s="1">
        <v>385</v>
      </c>
      <c r="B386" s="1">
        <v>0</v>
      </c>
      <c r="C386" s="1">
        <f>[1]装备明细!B387</f>
        <v>103071300</v>
      </c>
      <c r="D386" s="1">
        <f t="shared" si="30"/>
        <v>200385</v>
      </c>
      <c r="E386" s="1" t="s">
        <v>63</v>
      </c>
      <c r="F386" s="1" t="str">
        <f ca="1">[1]装备明细!C387&amp;"图纸"</f>
        <v>缪斯之剑图纸</v>
      </c>
      <c r="G386" s="1" t="str">
        <f ca="1">[1]装备明细!$I387</f>
        <v>[218-270]攻击 +3个随机属性</v>
      </c>
      <c r="H386" s="1">
        <f t="shared" si="35"/>
        <v>100385</v>
      </c>
      <c r="I386" s="1">
        <v>1</v>
      </c>
      <c r="J386" s="1">
        <f>[1]装备明细!J387</f>
        <v>0</v>
      </c>
      <c r="K386" s="1">
        <f>[1]装备明细!K387</f>
        <v>4</v>
      </c>
      <c r="L386" s="1">
        <f>[1]装备明细!L387</f>
        <v>7</v>
      </c>
      <c r="M386" s="1">
        <v>6</v>
      </c>
      <c r="N386" s="1">
        <f>[1]装备明细!$F390</f>
        <v>2</v>
      </c>
      <c r="O386" s="1">
        <f>[1]装备明细!$E387</f>
        <v>3</v>
      </c>
      <c r="P386" s="1">
        <f t="shared" si="31"/>
        <v>3</v>
      </c>
      <c r="Q386" s="1">
        <f t="shared" si="32"/>
        <v>740</v>
      </c>
      <c r="R386" s="1">
        <f t="shared" si="33"/>
        <v>19</v>
      </c>
      <c r="S386" s="1">
        <f t="shared" si="34"/>
        <v>3</v>
      </c>
    </row>
    <row r="387" spans="1:19" x14ac:dyDescent="0.15">
      <c r="A387" s="1">
        <v>386</v>
      </c>
      <c r="B387" s="1">
        <v>0</v>
      </c>
      <c r="C387" s="1">
        <f>[1]装备明细!B388</f>
        <v>103081300</v>
      </c>
      <c r="D387" s="1">
        <f t="shared" ref="D387:D445" si="36">H387+100000</f>
        <v>200386</v>
      </c>
      <c r="E387" s="1" t="s">
        <v>63</v>
      </c>
      <c r="F387" s="1" t="str">
        <f ca="1">[1]装备明细!C388&amp;"图纸"</f>
        <v>潘多拉之剑图纸</v>
      </c>
      <c r="G387" s="1" t="str">
        <f ca="1">[1]装备明细!$I388</f>
        <v>[271-328]攻击 +3个随机属性</v>
      </c>
      <c r="H387" s="1">
        <f t="shared" si="35"/>
        <v>100386</v>
      </c>
      <c r="I387" s="1">
        <v>1</v>
      </c>
      <c r="J387" s="1">
        <f>[1]装备明细!J388</f>
        <v>0</v>
      </c>
      <c r="K387" s="1">
        <f>[1]装备明细!K388</f>
        <v>4</v>
      </c>
      <c r="L387" s="1">
        <f>[1]装备明细!L388</f>
        <v>8</v>
      </c>
      <c r="M387" s="1">
        <v>6</v>
      </c>
      <c r="N387" s="1">
        <f>[1]装备明细!$F391</f>
        <v>2</v>
      </c>
      <c r="O387" s="1">
        <f>[1]装备明细!$E388</f>
        <v>3</v>
      </c>
      <c r="P387" s="1">
        <f t="shared" ref="P387:P445" si="37">O387</f>
        <v>3</v>
      </c>
      <c r="Q387" s="1">
        <f t="shared" ref="Q387:Q445" si="38">O387*200+L387*20</f>
        <v>760</v>
      </c>
      <c r="R387" s="1">
        <f t="shared" ref="R387:R445" si="39">IF(--MID(C387,1,1)=1,IF(S387=1,2,19),IF(S387=1,2,14))</f>
        <v>19</v>
      </c>
      <c r="S387" s="1">
        <f t="shared" ref="S387:S445" si="40">--MID(C387,2,2)</f>
        <v>3</v>
      </c>
    </row>
    <row r="388" spans="1:19" x14ac:dyDescent="0.15">
      <c r="A388" s="1">
        <v>387</v>
      </c>
      <c r="B388" s="1">
        <v>0</v>
      </c>
      <c r="C388" s="1">
        <f>[1]装备明细!B389</f>
        <v>103091300</v>
      </c>
      <c r="D388" s="1">
        <f t="shared" si="36"/>
        <v>200387</v>
      </c>
      <c r="E388" s="1" t="s">
        <v>63</v>
      </c>
      <c r="F388" s="1" t="str">
        <f ca="1">[1]装备明细!C389&amp;"图纸"</f>
        <v>海格力斯图纸</v>
      </c>
      <c r="G388" s="1" t="str">
        <f ca="1">[1]装备明细!$I389</f>
        <v>[329-390]攻击 +3个随机属性</v>
      </c>
      <c r="H388" s="1">
        <f t="shared" ref="H388:H445" si="41">H387+1</f>
        <v>100387</v>
      </c>
      <c r="I388" s="1">
        <v>1</v>
      </c>
      <c r="J388" s="1">
        <f>[1]装备明细!J389</f>
        <v>0</v>
      </c>
      <c r="K388" s="1">
        <f>[1]装备明细!K389</f>
        <v>4</v>
      </c>
      <c r="L388" s="1">
        <f>[1]装备明细!L389</f>
        <v>9</v>
      </c>
      <c r="M388" s="1">
        <v>6</v>
      </c>
      <c r="N388" s="1">
        <f>[1]装备明细!$F392</f>
        <v>2</v>
      </c>
      <c r="O388" s="1">
        <f>[1]装备明细!$E389</f>
        <v>3</v>
      </c>
      <c r="P388" s="1">
        <f t="shared" si="37"/>
        <v>3</v>
      </c>
      <c r="Q388" s="1">
        <f t="shared" si="38"/>
        <v>780</v>
      </c>
      <c r="R388" s="1">
        <f t="shared" si="39"/>
        <v>19</v>
      </c>
      <c r="S388" s="1">
        <f t="shared" si="40"/>
        <v>3</v>
      </c>
    </row>
    <row r="389" spans="1:19" x14ac:dyDescent="0.15">
      <c r="A389" s="1">
        <v>388</v>
      </c>
      <c r="B389" s="1">
        <v>0</v>
      </c>
      <c r="C389" s="1">
        <f>[1]装备明细!B390</f>
        <v>203011400</v>
      </c>
      <c r="D389" s="1">
        <f t="shared" si="36"/>
        <v>200388</v>
      </c>
      <c r="E389" s="1" t="s">
        <v>63</v>
      </c>
      <c r="F389" s="1" t="str">
        <f ca="1">[1]装备明细!C390&amp;"图纸"</f>
        <v>希尔戒指图纸</v>
      </c>
      <c r="G389" s="1" t="str">
        <f ca="1">[1]装备明细!$I390</f>
        <v>[1-41]防御 +3个随机属性</v>
      </c>
      <c r="H389" s="1">
        <f t="shared" si="41"/>
        <v>100388</v>
      </c>
      <c r="I389" s="1">
        <v>1</v>
      </c>
      <c r="J389" s="1">
        <f>[1]装备明细!J390</f>
        <v>0</v>
      </c>
      <c r="K389" s="1">
        <f>[1]装备明细!K390</f>
        <v>4</v>
      </c>
      <c r="L389" s="1">
        <f>[1]装备明细!L390</f>
        <v>1</v>
      </c>
      <c r="M389" s="1">
        <v>6</v>
      </c>
      <c r="N389" s="1">
        <f>[1]装备明细!$F393</f>
        <v>2</v>
      </c>
      <c r="O389" s="1">
        <f>[1]装备明细!$E390</f>
        <v>3</v>
      </c>
      <c r="P389" s="1">
        <f t="shared" si="37"/>
        <v>3</v>
      </c>
      <c r="Q389" s="1">
        <f t="shared" si="38"/>
        <v>620</v>
      </c>
      <c r="R389" s="1">
        <f t="shared" si="39"/>
        <v>14</v>
      </c>
      <c r="S389" s="1">
        <f t="shared" si="40"/>
        <v>3</v>
      </c>
    </row>
    <row r="390" spans="1:19" x14ac:dyDescent="0.15">
      <c r="A390" s="1">
        <v>389</v>
      </c>
      <c r="B390" s="1">
        <v>0</v>
      </c>
      <c r="C390" s="1">
        <f>[1]装备明细!B391</f>
        <v>203021400</v>
      </c>
      <c r="D390" s="1">
        <f t="shared" si="36"/>
        <v>200389</v>
      </c>
      <c r="E390" s="1" t="s">
        <v>63</v>
      </c>
      <c r="F390" s="1" t="str">
        <f ca="1">[1]装备明细!C391&amp;"图纸"</f>
        <v>阿蒙之星图纸</v>
      </c>
      <c r="G390" s="1" t="str">
        <f ca="1">[1]装备明细!$I391</f>
        <v>[42-83]防御 +3个随机属性</v>
      </c>
      <c r="H390" s="1">
        <f t="shared" si="41"/>
        <v>100389</v>
      </c>
      <c r="I390" s="1">
        <v>1</v>
      </c>
      <c r="J390" s="1">
        <f>[1]装备明细!J391</f>
        <v>0</v>
      </c>
      <c r="K390" s="1">
        <f>[1]装备明细!K391</f>
        <v>4</v>
      </c>
      <c r="L390" s="1">
        <f>[1]装备明细!L391</f>
        <v>2</v>
      </c>
      <c r="M390" s="1">
        <v>6</v>
      </c>
      <c r="N390" s="1">
        <f>[1]装备明细!$F394</f>
        <v>2</v>
      </c>
      <c r="O390" s="1">
        <f>[1]装备明细!$E391</f>
        <v>3</v>
      </c>
      <c r="P390" s="1">
        <f t="shared" si="37"/>
        <v>3</v>
      </c>
      <c r="Q390" s="1">
        <f t="shared" si="38"/>
        <v>640</v>
      </c>
      <c r="R390" s="1">
        <f t="shared" si="39"/>
        <v>14</v>
      </c>
      <c r="S390" s="1">
        <f t="shared" si="40"/>
        <v>3</v>
      </c>
    </row>
    <row r="391" spans="1:19" x14ac:dyDescent="0.15">
      <c r="A391" s="1">
        <v>390</v>
      </c>
      <c r="B391" s="1">
        <v>0</v>
      </c>
      <c r="C391" s="1">
        <f>[1]装备明细!B392</f>
        <v>203031400</v>
      </c>
      <c r="D391" s="1">
        <f t="shared" si="36"/>
        <v>200390</v>
      </c>
      <c r="E391" s="1" t="s">
        <v>63</v>
      </c>
      <c r="F391" s="1" t="str">
        <f ca="1">[1]装备明细!C392&amp;"图纸"</f>
        <v>阿尔泰亚图纸</v>
      </c>
      <c r="G391" s="1" t="str">
        <f ca="1">[1]装备明细!$I392</f>
        <v>[84-125]防御 +3个随机属性</v>
      </c>
      <c r="H391" s="1">
        <f t="shared" si="41"/>
        <v>100390</v>
      </c>
      <c r="I391" s="1">
        <v>1</v>
      </c>
      <c r="J391" s="1">
        <f>[1]装备明细!J392</f>
        <v>0</v>
      </c>
      <c r="K391" s="1">
        <f>[1]装备明细!K392</f>
        <v>4</v>
      </c>
      <c r="L391" s="1">
        <f>[1]装备明细!L392</f>
        <v>3</v>
      </c>
      <c r="M391" s="1">
        <v>6</v>
      </c>
      <c r="N391" s="1">
        <f>[1]装备明细!$F395</f>
        <v>2</v>
      </c>
      <c r="O391" s="1">
        <f>[1]装备明细!$E392</f>
        <v>3</v>
      </c>
      <c r="P391" s="1">
        <f t="shared" si="37"/>
        <v>3</v>
      </c>
      <c r="Q391" s="1">
        <f t="shared" si="38"/>
        <v>660</v>
      </c>
      <c r="R391" s="1">
        <f t="shared" si="39"/>
        <v>14</v>
      </c>
      <c r="S391" s="1">
        <f t="shared" si="40"/>
        <v>3</v>
      </c>
    </row>
    <row r="392" spans="1:19" x14ac:dyDescent="0.15">
      <c r="A392" s="1">
        <v>391</v>
      </c>
      <c r="B392" s="1">
        <v>0</v>
      </c>
      <c r="C392" s="1">
        <f>[1]装备明细!B393</f>
        <v>203041400</v>
      </c>
      <c r="D392" s="1">
        <f t="shared" si="36"/>
        <v>200391</v>
      </c>
      <c r="E392" s="1" t="s">
        <v>63</v>
      </c>
      <c r="F392" s="1" t="str">
        <f ca="1">[1]装备明细!C393&amp;"图纸"</f>
        <v>卡尔卡斯图纸</v>
      </c>
      <c r="G392" s="1" t="str">
        <f ca="1">[1]装备明细!$I393</f>
        <v>[126-166]防御 +3个随机属性</v>
      </c>
      <c r="H392" s="1">
        <f t="shared" si="41"/>
        <v>100391</v>
      </c>
      <c r="I392" s="1">
        <v>1</v>
      </c>
      <c r="J392" s="1">
        <f>[1]装备明细!J393</f>
        <v>0</v>
      </c>
      <c r="K392" s="1">
        <f>[1]装备明细!K393</f>
        <v>4</v>
      </c>
      <c r="L392" s="1">
        <f>[1]装备明细!L393</f>
        <v>4</v>
      </c>
      <c r="M392" s="1">
        <v>6</v>
      </c>
      <c r="N392" s="1">
        <f>[1]装备明细!$F396</f>
        <v>2</v>
      </c>
      <c r="O392" s="1">
        <f>[1]装备明细!$E393</f>
        <v>3</v>
      </c>
      <c r="P392" s="1">
        <f t="shared" si="37"/>
        <v>3</v>
      </c>
      <c r="Q392" s="1">
        <f t="shared" si="38"/>
        <v>680</v>
      </c>
      <c r="R392" s="1">
        <f t="shared" si="39"/>
        <v>14</v>
      </c>
      <c r="S392" s="1">
        <f t="shared" si="40"/>
        <v>3</v>
      </c>
    </row>
    <row r="393" spans="1:19" x14ac:dyDescent="0.15">
      <c r="A393" s="1">
        <v>392</v>
      </c>
      <c r="B393" s="1">
        <v>0</v>
      </c>
      <c r="C393" s="1">
        <f>[1]装备明细!B394</f>
        <v>203051400</v>
      </c>
      <c r="D393" s="1">
        <f t="shared" si="36"/>
        <v>200392</v>
      </c>
      <c r="E393" s="1" t="s">
        <v>63</v>
      </c>
      <c r="F393" s="1" t="str">
        <f ca="1">[1]装备明细!C394&amp;"图纸"</f>
        <v>拉米亚之戒图纸</v>
      </c>
      <c r="G393" s="1" t="str">
        <f ca="1">[1]装备明细!$I394</f>
        <v>[167-208]防御 +3个随机属性</v>
      </c>
      <c r="H393" s="1">
        <f t="shared" si="41"/>
        <v>100392</v>
      </c>
      <c r="I393" s="1">
        <v>1</v>
      </c>
      <c r="J393" s="1">
        <f>[1]装备明细!J394</f>
        <v>0</v>
      </c>
      <c r="K393" s="1">
        <f>[1]装备明细!K394</f>
        <v>4</v>
      </c>
      <c r="L393" s="1">
        <f>[1]装备明细!L394</f>
        <v>5</v>
      </c>
      <c r="M393" s="1">
        <v>6</v>
      </c>
      <c r="N393" s="1">
        <f>[1]装备明细!$F397</f>
        <v>2</v>
      </c>
      <c r="O393" s="1">
        <f>[1]装备明细!$E394</f>
        <v>3</v>
      </c>
      <c r="P393" s="1">
        <f t="shared" si="37"/>
        <v>3</v>
      </c>
      <c r="Q393" s="1">
        <f t="shared" si="38"/>
        <v>700</v>
      </c>
      <c r="R393" s="1">
        <f t="shared" si="39"/>
        <v>14</v>
      </c>
      <c r="S393" s="1">
        <f t="shared" si="40"/>
        <v>3</v>
      </c>
    </row>
    <row r="394" spans="1:19" x14ac:dyDescent="0.15">
      <c r="A394" s="1">
        <v>393</v>
      </c>
      <c r="B394" s="1">
        <v>0</v>
      </c>
      <c r="C394" s="1">
        <f>[1]装备明细!B395</f>
        <v>203061400</v>
      </c>
      <c r="D394" s="1">
        <f t="shared" si="36"/>
        <v>200393</v>
      </c>
      <c r="E394" s="1" t="s">
        <v>63</v>
      </c>
      <c r="F394" s="1" t="str">
        <f ca="1">[1]装备明细!C395&amp;"图纸"</f>
        <v>西农图纸</v>
      </c>
      <c r="G394" s="1" t="str">
        <f ca="1">[1]装备明细!$I395</f>
        <v>[209-250]防御 +3个随机属性</v>
      </c>
      <c r="H394" s="1">
        <f t="shared" si="41"/>
        <v>100393</v>
      </c>
      <c r="I394" s="1">
        <v>1</v>
      </c>
      <c r="J394" s="1">
        <f>[1]装备明细!J395</f>
        <v>0</v>
      </c>
      <c r="K394" s="1">
        <f>[1]装备明细!K395</f>
        <v>4</v>
      </c>
      <c r="L394" s="1">
        <f>[1]装备明细!L395</f>
        <v>6</v>
      </c>
      <c r="M394" s="1">
        <v>6</v>
      </c>
      <c r="N394" s="1">
        <f>[1]装备明细!$F398</f>
        <v>2</v>
      </c>
      <c r="O394" s="1">
        <f>[1]装备明细!$E395</f>
        <v>3</v>
      </c>
      <c r="P394" s="1">
        <f t="shared" si="37"/>
        <v>3</v>
      </c>
      <c r="Q394" s="1">
        <f t="shared" si="38"/>
        <v>720</v>
      </c>
      <c r="R394" s="1">
        <f t="shared" si="39"/>
        <v>14</v>
      </c>
      <c r="S394" s="1">
        <f t="shared" si="40"/>
        <v>3</v>
      </c>
    </row>
    <row r="395" spans="1:19" x14ac:dyDescent="0.15">
      <c r="A395" s="1">
        <v>394</v>
      </c>
      <c r="B395" s="1">
        <v>0</v>
      </c>
      <c r="C395" s="1">
        <f>[1]装备明细!B396</f>
        <v>203071400</v>
      </c>
      <c r="D395" s="1">
        <f t="shared" si="36"/>
        <v>200394</v>
      </c>
      <c r="E395" s="1" t="s">
        <v>63</v>
      </c>
      <c r="F395" s="1" t="str">
        <f ca="1">[1]装备明细!C396&amp;"图纸"</f>
        <v>血魔之戒图纸</v>
      </c>
      <c r="G395" s="1" t="str">
        <f ca="1">[1]装备明细!$I396</f>
        <v>[251-291]防御 +3个随机属性</v>
      </c>
      <c r="H395" s="1">
        <f t="shared" si="41"/>
        <v>100394</v>
      </c>
      <c r="I395" s="1">
        <v>1</v>
      </c>
      <c r="J395" s="1">
        <f>[1]装备明细!J396</f>
        <v>0</v>
      </c>
      <c r="K395" s="1">
        <f>[1]装备明细!K396</f>
        <v>4</v>
      </c>
      <c r="L395" s="1">
        <f>[1]装备明细!L396</f>
        <v>7</v>
      </c>
      <c r="M395" s="1">
        <v>6</v>
      </c>
      <c r="N395" s="1">
        <f>[1]装备明细!$F399</f>
        <v>3</v>
      </c>
      <c r="O395" s="1">
        <f>[1]装备明细!$E396</f>
        <v>3</v>
      </c>
      <c r="P395" s="1">
        <f t="shared" si="37"/>
        <v>3</v>
      </c>
      <c r="Q395" s="1">
        <f t="shared" si="38"/>
        <v>740</v>
      </c>
      <c r="R395" s="1">
        <f t="shared" si="39"/>
        <v>14</v>
      </c>
      <c r="S395" s="1">
        <f t="shared" si="40"/>
        <v>3</v>
      </c>
    </row>
    <row r="396" spans="1:19" x14ac:dyDescent="0.15">
      <c r="A396" s="1">
        <v>395</v>
      </c>
      <c r="B396" s="1">
        <v>0</v>
      </c>
      <c r="C396" s="1">
        <f>[1]装备明细!B397</f>
        <v>203081400</v>
      </c>
      <c r="D396" s="1">
        <f t="shared" si="36"/>
        <v>200395</v>
      </c>
      <c r="E396" s="1" t="s">
        <v>63</v>
      </c>
      <c r="F396" s="1" t="str">
        <f ca="1">[1]装备明细!C397&amp;"图纸"</f>
        <v>多隆之眼图纸</v>
      </c>
      <c r="G396" s="1" t="str">
        <f ca="1">[1]装备明细!$I397</f>
        <v>[292-333]防御 +3个随机属性</v>
      </c>
      <c r="H396" s="1">
        <f t="shared" si="41"/>
        <v>100395</v>
      </c>
      <c r="I396" s="1">
        <v>1</v>
      </c>
      <c r="J396" s="1">
        <f>[1]装备明细!J397</f>
        <v>0</v>
      </c>
      <c r="K396" s="1">
        <f>[1]装备明细!K397</f>
        <v>4</v>
      </c>
      <c r="L396" s="1">
        <f>[1]装备明细!L397</f>
        <v>8</v>
      </c>
      <c r="M396" s="1">
        <v>6</v>
      </c>
      <c r="N396" s="1">
        <f>[1]装备明细!$F400</f>
        <v>3</v>
      </c>
      <c r="O396" s="1">
        <f>[1]装备明细!$E397</f>
        <v>3</v>
      </c>
      <c r="P396" s="1">
        <f t="shared" si="37"/>
        <v>3</v>
      </c>
      <c r="Q396" s="1">
        <f t="shared" si="38"/>
        <v>760</v>
      </c>
      <c r="R396" s="1">
        <f t="shared" si="39"/>
        <v>14</v>
      </c>
      <c r="S396" s="1">
        <f t="shared" si="40"/>
        <v>3</v>
      </c>
    </row>
    <row r="397" spans="1:19" x14ac:dyDescent="0.15">
      <c r="A397" s="1">
        <v>396</v>
      </c>
      <c r="B397" s="1">
        <v>0</v>
      </c>
      <c r="C397" s="1">
        <f>[1]装备明细!B398</f>
        <v>203091400</v>
      </c>
      <c r="D397" s="1">
        <f t="shared" si="36"/>
        <v>200396</v>
      </c>
      <c r="E397" s="1" t="s">
        <v>63</v>
      </c>
      <c r="F397" s="1" t="str">
        <f ca="1">[1]装备明细!C398&amp;"图纸"</f>
        <v>迅战戒指图纸</v>
      </c>
      <c r="G397" s="1" t="str">
        <f ca="1">[1]装备明细!$I398</f>
        <v>[334-375]防御 +3个随机属性</v>
      </c>
      <c r="H397" s="1">
        <f t="shared" si="41"/>
        <v>100396</v>
      </c>
      <c r="I397" s="1">
        <v>1</v>
      </c>
      <c r="J397" s="1">
        <f>[1]装备明细!J398</f>
        <v>0</v>
      </c>
      <c r="K397" s="1">
        <f>[1]装备明细!K398</f>
        <v>4</v>
      </c>
      <c r="L397" s="1">
        <f>[1]装备明细!L398</f>
        <v>9</v>
      </c>
      <c r="M397" s="1">
        <v>6</v>
      </c>
      <c r="N397" s="1">
        <f>[1]装备明细!$F401</f>
        <v>3</v>
      </c>
      <c r="O397" s="1">
        <f>[1]装备明细!$E398</f>
        <v>3</v>
      </c>
      <c r="P397" s="1">
        <f t="shared" si="37"/>
        <v>3</v>
      </c>
      <c r="Q397" s="1">
        <f t="shared" si="38"/>
        <v>780</v>
      </c>
      <c r="R397" s="1">
        <f t="shared" si="39"/>
        <v>14</v>
      </c>
      <c r="S397" s="1">
        <f t="shared" si="40"/>
        <v>3</v>
      </c>
    </row>
    <row r="398" spans="1:19" x14ac:dyDescent="0.15">
      <c r="A398" s="1">
        <v>397</v>
      </c>
      <c r="B398" s="1">
        <v>0</v>
      </c>
      <c r="C398" s="1">
        <f>[1]装备明细!B399</f>
        <v>303011500</v>
      </c>
      <c r="D398" s="1">
        <f t="shared" si="36"/>
        <v>200397</v>
      </c>
      <c r="E398" s="1" t="s">
        <v>63</v>
      </c>
      <c r="F398" s="1" t="str">
        <f ca="1">[1]装备明细!C399&amp;"图纸"</f>
        <v>卡尔斯项链图纸</v>
      </c>
      <c r="G398" s="1" t="str">
        <f ca="1">[1]装备明细!$I399</f>
        <v>[1-41]防御 +3个随机属性</v>
      </c>
      <c r="H398" s="1">
        <f t="shared" si="41"/>
        <v>100397</v>
      </c>
      <c r="I398" s="1">
        <v>1</v>
      </c>
      <c r="J398" s="1">
        <f>[1]装备明细!J399</f>
        <v>0</v>
      </c>
      <c r="K398" s="1">
        <f>[1]装备明细!K399</f>
        <v>4</v>
      </c>
      <c r="L398" s="1">
        <f>[1]装备明细!L399</f>
        <v>1</v>
      </c>
      <c r="M398" s="1">
        <v>6</v>
      </c>
      <c r="N398" s="1">
        <f>[1]装备明细!$F402</f>
        <v>3</v>
      </c>
      <c r="O398" s="1">
        <f>[1]装备明细!$E399</f>
        <v>3</v>
      </c>
      <c r="P398" s="1">
        <f t="shared" si="37"/>
        <v>3</v>
      </c>
      <c r="Q398" s="1">
        <f t="shared" si="38"/>
        <v>620</v>
      </c>
      <c r="R398" s="1">
        <f t="shared" si="39"/>
        <v>14</v>
      </c>
      <c r="S398" s="1">
        <f t="shared" si="40"/>
        <v>3</v>
      </c>
    </row>
    <row r="399" spans="1:19" x14ac:dyDescent="0.15">
      <c r="A399" s="1">
        <v>398</v>
      </c>
      <c r="B399" s="1">
        <v>0</v>
      </c>
      <c r="C399" s="1">
        <f>[1]装备明细!B400</f>
        <v>303021500</v>
      </c>
      <c r="D399" s="1">
        <f t="shared" si="36"/>
        <v>200398</v>
      </c>
      <c r="E399" s="1" t="s">
        <v>63</v>
      </c>
      <c r="F399" s="1" t="str">
        <f ca="1">[1]装备明细!C400&amp;"图纸"</f>
        <v>亚马逊人图纸</v>
      </c>
      <c r="G399" s="1" t="str">
        <f ca="1">[1]装备明细!$I400</f>
        <v>[42-83]防御 +3个随机属性</v>
      </c>
      <c r="H399" s="1">
        <f t="shared" si="41"/>
        <v>100398</v>
      </c>
      <c r="I399" s="1">
        <v>1</v>
      </c>
      <c r="J399" s="1">
        <f>[1]装备明细!J400</f>
        <v>0</v>
      </c>
      <c r="K399" s="1">
        <f>[1]装备明细!K400</f>
        <v>4</v>
      </c>
      <c r="L399" s="1">
        <f>[1]装备明细!L400</f>
        <v>2</v>
      </c>
      <c r="M399" s="1">
        <v>6</v>
      </c>
      <c r="N399" s="1">
        <f>[1]装备明细!$F403</f>
        <v>3</v>
      </c>
      <c r="O399" s="1">
        <f>[1]装备明细!$E400</f>
        <v>3</v>
      </c>
      <c r="P399" s="1">
        <f t="shared" si="37"/>
        <v>3</v>
      </c>
      <c r="Q399" s="1">
        <f t="shared" si="38"/>
        <v>640</v>
      </c>
      <c r="R399" s="1">
        <f t="shared" si="39"/>
        <v>14</v>
      </c>
      <c r="S399" s="1">
        <f t="shared" si="40"/>
        <v>3</v>
      </c>
    </row>
    <row r="400" spans="1:19" x14ac:dyDescent="0.15">
      <c r="A400" s="1">
        <v>399</v>
      </c>
      <c r="B400" s="1">
        <v>0</v>
      </c>
      <c r="C400" s="1">
        <f>[1]装备明细!B401</f>
        <v>303031500</v>
      </c>
      <c r="D400" s="1">
        <f t="shared" si="36"/>
        <v>200399</v>
      </c>
      <c r="E400" s="1" t="s">
        <v>63</v>
      </c>
      <c r="F400" s="1" t="str">
        <f ca="1">[1]装备明细!C401&amp;"图纸"</f>
        <v>比奥斯图纸</v>
      </c>
      <c r="G400" s="1" t="str">
        <f ca="1">[1]装备明细!$I401</f>
        <v>[84-125]防御 +3个随机属性</v>
      </c>
      <c r="H400" s="1">
        <f t="shared" si="41"/>
        <v>100399</v>
      </c>
      <c r="I400" s="1">
        <v>1</v>
      </c>
      <c r="J400" s="1">
        <f>[1]装备明细!J401</f>
        <v>0</v>
      </c>
      <c r="K400" s="1">
        <f>[1]装备明细!K401</f>
        <v>4</v>
      </c>
      <c r="L400" s="1">
        <f>[1]装备明细!L401</f>
        <v>3</v>
      </c>
      <c r="M400" s="1">
        <v>6</v>
      </c>
      <c r="N400" s="1">
        <f>[1]装备明细!$F404</f>
        <v>3</v>
      </c>
      <c r="O400" s="1">
        <f>[1]装备明细!$E401</f>
        <v>3</v>
      </c>
      <c r="P400" s="1">
        <f t="shared" si="37"/>
        <v>3</v>
      </c>
      <c r="Q400" s="1">
        <f t="shared" si="38"/>
        <v>660</v>
      </c>
      <c r="R400" s="1">
        <f t="shared" si="39"/>
        <v>14</v>
      </c>
      <c r="S400" s="1">
        <f t="shared" si="40"/>
        <v>3</v>
      </c>
    </row>
    <row r="401" spans="1:19" x14ac:dyDescent="0.15">
      <c r="A401" s="1">
        <v>400</v>
      </c>
      <c r="B401" s="1">
        <v>0</v>
      </c>
      <c r="C401" s="1">
        <f>[1]装备明细!B402</f>
        <v>303041500</v>
      </c>
      <c r="D401" s="1">
        <f t="shared" si="36"/>
        <v>200400</v>
      </c>
      <c r="E401" s="1" t="s">
        <v>63</v>
      </c>
      <c r="F401" s="1" t="str">
        <f ca="1">[1]装备明细!C402&amp;"图纸"</f>
        <v>卢比项链图纸</v>
      </c>
      <c r="G401" s="1" t="str">
        <f ca="1">[1]装备明细!$I402</f>
        <v>[126-166]防御 +3个随机属性</v>
      </c>
      <c r="H401" s="1">
        <f t="shared" si="41"/>
        <v>100400</v>
      </c>
      <c r="I401" s="1">
        <v>1</v>
      </c>
      <c r="J401" s="1">
        <f>[1]装备明细!J402</f>
        <v>0</v>
      </c>
      <c r="K401" s="1">
        <f>[1]装备明细!K402</f>
        <v>4</v>
      </c>
      <c r="L401" s="1">
        <f>[1]装备明细!L402</f>
        <v>4</v>
      </c>
      <c r="M401" s="1">
        <v>6</v>
      </c>
      <c r="N401" s="1">
        <f>[1]装备明细!$F405</f>
        <v>3</v>
      </c>
      <c r="O401" s="1">
        <f>[1]装备明细!$E402</f>
        <v>3</v>
      </c>
      <c r="P401" s="1">
        <f t="shared" si="37"/>
        <v>3</v>
      </c>
      <c r="Q401" s="1">
        <f t="shared" si="38"/>
        <v>680</v>
      </c>
      <c r="R401" s="1">
        <f t="shared" si="39"/>
        <v>14</v>
      </c>
      <c r="S401" s="1">
        <f t="shared" si="40"/>
        <v>3</v>
      </c>
    </row>
    <row r="402" spans="1:19" x14ac:dyDescent="0.15">
      <c r="A402" s="1">
        <v>401</v>
      </c>
      <c r="B402" s="1">
        <v>0</v>
      </c>
      <c r="C402" s="1">
        <f>[1]装备明细!B403</f>
        <v>303051500</v>
      </c>
      <c r="D402" s="1">
        <f t="shared" si="36"/>
        <v>200401</v>
      </c>
      <c r="E402" s="1" t="s">
        <v>63</v>
      </c>
      <c r="F402" s="1" t="str">
        <f ca="1">[1]装备明细!C403&amp;"图纸"</f>
        <v>萨耳珀冬图纸</v>
      </c>
      <c r="G402" s="1" t="str">
        <f ca="1">[1]装备明细!$I403</f>
        <v>[167-208]防御 +3个随机属性</v>
      </c>
      <c r="H402" s="1">
        <f t="shared" si="41"/>
        <v>100401</v>
      </c>
      <c r="I402" s="1">
        <v>1</v>
      </c>
      <c r="J402" s="1">
        <f>[1]装备明细!J403</f>
        <v>0</v>
      </c>
      <c r="K402" s="1">
        <f>[1]装备明细!K403</f>
        <v>4</v>
      </c>
      <c r="L402" s="1">
        <f>[1]装备明细!L403</f>
        <v>5</v>
      </c>
      <c r="M402" s="1">
        <v>6</v>
      </c>
      <c r="N402" s="1">
        <f>[1]装备明细!$F406</f>
        <v>3</v>
      </c>
      <c r="O402" s="1">
        <f>[1]装备明细!$E403</f>
        <v>3</v>
      </c>
      <c r="P402" s="1">
        <f t="shared" si="37"/>
        <v>3</v>
      </c>
      <c r="Q402" s="1">
        <f t="shared" si="38"/>
        <v>700</v>
      </c>
      <c r="R402" s="1">
        <f t="shared" si="39"/>
        <v>14</v>
      </c>
      <c r="S402" s="1">
        <f t="shared" si="40"/>
        <v>3</v>
      </c>
    </row>
    <row r="403" spans="1:19" x14ac:dyDescent="0.15">
      <c r="A403" s="1">
        <v>402</v>
      </c>
      <c r="B403" s="1">
        <v>0</v>
      </c>
      <c r="C403" s="1">
        <f>[1]装备明细!B404</f>
        <v>303061500</v>
      </c>
      <c r="D403" s="1">
        <f t="shared" si="36"/>
        <v>200402</v>
      </c>
      <c r="E403" s="1" t="s">
        <v>63</v>
      </c>
      <c r="F403" s="1" t="str">
        <f ca="1">[1]装备明细!C404&amp;"图纸"</f>
        <v>乌拉尼亚图纸</v>
      </c>
      <c r="G403" s="1" t="str">
        <f ca="1">[1]装备明细!$I404</f>
        <v>[209-250]防御 +3个随机属性</v>
      </c>
      <c r="H403" s="1">
        <f t="shared" si="41"/>
        <v>100402</v>
      </c>
      <c r="I403" s="1">
        <v>1</v>
      </c>
      <c r="J403" s="1">
        <f>[1]装备明细!J404</f>
        <v>0</v>
      </c>
      <c r="K403" s="1">
        <f>[1]装备明细!K404</f>
        <v>4</v>
      </c>
      <c r="L403" s="1">
        <f>[1]装备明细!L404</f>
        <v>6</v>
      </c>
      <c r="M403" s="1">
        <v>6</v>
      </c>
      <c r="N403" s="1">
        <f>[1]装备明细!$F407</f>
        <v>3</v>
      </c>
      <c r="O403" s="1">
        <f>[1]装备明细!$E404</f>
        <v>3</v>
      </c>
      <c r="P403" s="1">
        <f t="shared" si="37"/>
        <v>3</v>
      </c>
      <c r="Q403" s="1">
        <f t="shared" si="38"/>
        <v>720</v>
      </c>
      <c r="R403" s="1">
        <f t="shared" si="39"/>
        <v>14</v>
      </c>
      <c r="S403" s="1">
        <f t="shared" si="40"/>
        <v>3</v>
      </c>
    </row>
    <row r="404" spans="1:19" x14ac:dyDescent="0.15">
      <c r="A404" s="1">
        <v>403</v>
      </c>
      <c r="B404" s="1">
        <v>0</v>
      </c>
      <c r="C404" s="1">
        <f>[1]装备明细!B405</f>
        <v>303071500</v>
      </c>
      <c r="D404" s="1">
        <f t="shared" si="36"/>
        <v>200403</v>
      </c>
      <c r="E404" s="1" t="s">
        <v>63</v>
      </c>
      <c r="F404" s="1" t="str">
        <f ca="1">[1]装备明细!C405&amp;"图纸"</f>
        <v>斯库卡吊坠图纸</v>
      </c>
      <c r="G404" s="1" t="str">
        <f ca="1">[1]装备明细!$I405</f>
        <v>[251-291]防御 +3个随机属性</v>
      </c>
      <c r="H404" s="1">
        <f t="shared" si="41"/>
        <v>100403</v>
      </c>
      <c r="I404" s="1">
        <v>1</v>
      </c>
      <c r="J404" s="1">
        <f>[1]装备明细!J405</f>
        <v>0</v>
      </c>
      <c r="K404" s="1">
        <f>[1]装备明细!K405</f>
        <v>4</v>
      </c>
      <c r="L404" s="1">
        <f>[1]装备明细!L405</f>
        <v>7</v>
      </c>
      <c r="M404" s="1">
        <v>6</v>
      </c>
      <c r="N404" s="1">
        <f>[1]装备明细!$F408</f>
        <v>1</v>
      </c>
      <c r="O404" s="1">
        <f>[1]装备明细!$E405</f>
        <v>3</v>
      </c>
      <c r="P404" s="1">
        <f t="shared" si="37"/>
        <v>3</v>
      </c>
      <c r="Q404" s="1">
        <f t="shared" si="38"/>
        <v>740</v>
      </c>
      <c r="R404" s="1">
        <f t="shared" si="39"/>
        <v>14</v>
      </c>
      <c r="S404" s="1">
        <f t="shared" si="40"/>
        <v>3</v>
      </c>
    </row>
    <row r="405" spans="1:19" x14ac:dyDescent="0.15">
      <c r="A405" s="1">
        <v>404</v>
      </c>
      <c r="B405" s="1">
        <v>0</v>
      </c>
      <c r="C405" s="1">
        <f>[1]装备明细!B406</f>
        <v>303081500</v>
      </c>
      <c r="D405" s="1">
        <f t="shared" si="36"/>
        <v>200404</v>
      </c>
      <c r="E405" s="1" t="s">
        <v>63</v>
      </c>
      <c r="F405" s="1" t="str">
        <f ca="1">[1]装备明细!C406&amp;"图纸"</f>
        <v>欧罗巴项链图纸</v>
      </c>
      <c r="G405" s="1" t="str">
        <f ca="1">[1]装备明细!$I406</f>
        <v>[292-333]防御 +3个随机属性</v>
      </c>
      <c r="H405" s="1">
        <f t="shared" si="41"/>
        <v>100404</v>
      </c>
      <c r="I405" s="1">
        <v>1</v>
      </c>
      <c r="J405" s="1">
        <f>[1]装备明细!J406</f>
        <v>0</v>
      </c>
      <c r="K405" s="1">
        <f>[1]装备明细!K406</f>
        <v>4</v>
      </c>
      <c r="L405" s="1">
        <f>[1]装备明细!L406</f>
        <v>8</v>
      </c>
      <c r="M405" s="1">
        <v>6</v>
      </c>
      <c r="N405" s="1">
        <f>[1]装备明细!$F409</f>
        <v>2</v>
      </c>
      <c r="O405" s="1">
        <f>[1]装备明细!$E406</f>
        <v>3</v>
      </c>
      <c r="P405" s="1">
        <f t="shared" si="37"/>
        <v>3</v>
      </c>
      <c r="Q405" s="1">
        <f t="shared" si="38"/>
        <v>760</v>
      </c>
      <c r="R405" s="1">
        <f t="shared" si="39"/>
        <v>14</v>
      </c>
      <c r="S405" s="1">
        <f t="shared" si="40"/>
        <v>3</v>
      </c>
    </row>
    <row r="406" spans="1:19" x14ac:dyDescent="0.15">
      <c r="A406" s="1">
        <v>405</v>
      </c>
      <c r="B406" s="1">
        <v>0</v>
      </c>
      <c r="C406" s="1">
        <f>[1]装备明细!B407</f>
        <v>303091500</v>
      </c>
      <c r="D406" s="1">
        <f t="shared" si="36"/>
        <v>200405</v>
      </c>
      <c r="E406" s="1" t="s">
        <v>63</v>
      </c>
      <c r="F406" s="1" t="str">
        <f ca="1">[1]装备明细!C407&amp;"图纸"</f>
        <v>海伦之心图纸</v>
      </c>
      <c r="G406" s="1" t="str">
        <f ca="1">[1]装备明细!$I407</f>
        <v>[334-375]防御 +3个随机属性</v>
      </c>
      <c r="H406" s="1">
        <f t="shared" si="41"/>
        <v>100405</v>
      </c>
      <c r="I406" s="1">
        <v>1</v>
      </c>
      <c r="J406" s="1">
        <f>[1]装备明细!J407</f>
        <v>0</v>
      </c>
      <c r="K406" s="1">
        <f>[1]装备明细!K407</f>
        <v>4</v>
      </c>
      <c r="L406" s="1">
        <f>[1]装备明细!L407</f>
        <v>9</v>
      </c>
      <c r="M406" s="1">
        <v>6</v>
      </c>
      <c r="N406" s="1">
        <f>[1]装备明细!$F410</f>
        <v>3</v>
      </c>
      <c r="O406" s="1">
        <f>[1]装备明细!$E407</f>
        <v>3</v>
      </c>
      <c r="P406" s="1">
        <f t="shared" si="37"/>
        <v>3</v>
      </c>
      <c r="Q406" s="1">
        <f t="shared" si="38"/>
        <v>780</v>
      </c>
      <c r="R406" s="1">
        <f t="shared" si="39"/>
        <v>14</v>
      </c>
      <c r="S406" s="1">
        <f t="shared" si="40"/>
        <v>3</v>
      </c>
    </row>
    <row r="407" spans="1:19" x14ac:dyDescent="0.15">
      <c r="A407" s="1">
        <v>406</v>
      </c>
      <c r="B407" s="1">
        <v>0</v>
      </c>
      <c r="C407" s="1">
        <f>[1]装备明细!B408</f>
        <v>104090101</v>
      </c>
      <c r="D407" s="1">
        <f t="shared" si="36"/>
        <v>200406</v>
      </c>
      <c r="E407" s="1" t="s">
        <v>63</v>
      </c>
      <c r="F407" s="1" t="str">
        <f ca="1">[1]装备明细!C408&amp;"图纸"</f>
        <v>泰坦的力量图纸</v>
      </c>
      <c r="G407" s="1" t="str">
        <f ca="1">[1]装备明细!$I408</f>
        <v>[270-320]攻击 +4个随机属性 套装加成:hp+355</v>
      </c>
      <c r="H407" s="1">
        <f t="shared" si="41"/>
        <v>100406</v>
      </c>
      <c r="I407" s="1">
        <v>1</v>
      </c>
      <c r="J407" s="1">
        <f>[1]装备明细!J408</f>
        <v>1</v>
      </c>
      <c r="K407" s="1">
        <f>[1]装备明细!K408</f>
        <v>5</v>
      </c>
      <c r="L407" s="1">
        <f>[1]装备明细!L408</f>
        <v>9</v>
      </c>
      <c r="M407" s="1">
        <v>6</v>
      </c>
      <c r="N407" s="1">
        <f>[1]装备明细!$F411</f>
        <v>1</v>
      </c>
      <c r="O407" s="1">
        <f>[1]装备明细!$E408</f>
        <v>4</v>
      </c>
      <c r="P407" s="1">
        <f t="shared" si="37"/>
        <v>4</v>
      </c>
      <c r="Q407" s="1">
        <f t="shared" si="38"/>
        <v>980</v>
      </c>
      <c r="R407" s="1">
        <f t="shared" si="39"/>
        <v>19</v>
      </c>
      <c r="S407" s="1">
        <f t="shared" si="40"/>
        <v>4</v>
      </c>
    </row>
    <row r="408" spans="1:19" x14ac:dyDescent="0.15">
      <c r="A408" s="1">
        <v>407</v>
      </c>
      <c r="B408" s="1">
        <v>0</v>
      </c>
      <c r="C408" s="1">
        <f>[1]装备明细!B409</f>
        <v>204091401</v>
      </c>
      <c r="D408" s="1">
        <f t="shared" si="36"/>
        <v>200407</v>
      </c>
      <c r="E408" s="1" t="s">
        <v>63</v>
      </c>
      <c r="F408" s="1" t="str">
        <f ca="1">[1]装备明细!C409&amp;"图纸"</f>
        <v>泰坦的荣耀图纸</v>
      </c>
      <c r="G408" s="1" t="str">
        <f ca="1">[1]装备明细!$I409</f>
        <v>[334-375]防御 +4个随机属性 套装加成:hp+355</v>
      </c>
      <c r="H408" s="1">
        <f t="shared" si="41"/>
        <v>100407</v>
      </c>
      <c r="I408" s="1">
        <v>1</v>
      </c>
      <c r="J408" s="1">
        <f>[1]装备明细!J409</f>
        <v>1</v>
      </c>
      <c r="K408" s="1">
        <f>[1]装备明细!K409</f>
        <v>5</v>
      </c>
      <c r="L408" s="1">
        <f>[1]装备明细!L409</f>
        <v>9</v>
      </c>
      <c r="M408" s="1">
        <v>6</v>
      </c>
      <c r="N408" s="1">
        <f>[1]装备明细!$F412</f>
        <v>2</v>
      </c>
      <c r="O408" s="1">
        <f>[1]装备明细!$E409</f>
        <v>4</v>
      </c>
      <c r="P408" s="1">
        <f t="shared" si="37"/>
        <v>4</v>
      </c>
      <c r="Q408" s="1">
        <f t="shared" si="38"/>
        <v>980</v>
      </c>
      <c r="R408" s="1">
        <f t="shared" si="39"/>
        <v>14</v>
      </c>
      <c r="S408" s="1">
        <f t="shared" si="40"/>
        <v>4</v>
      </c>
    </row>
    <row r="409" spans="1:19" x14ac:dyDescent="0.15">
      <c r="A409" s="1">
        <v>408</v>
      </c>
      <c r="B409" s="1">
        <v>0</v>
      </c>
      <c r="C409" s="1">
        <f>[1]装备明细!B410</f>
        <v>304091501</v>
      </c>
      <c r="D409" s="1">
        <f t="shared" si="36"/>
        <v>200408</v>
      </c>
      <c r="E409" s="1" t="s">
        <v>63</v>
      </c>
      <c r="F409" s="1" t="str">
        <f ca="1">[1]装备明细!C410&amp;"图纸"</f>
        <v>泰坦的光辉图纸</v>
      </c>
      <c r="G409" s="1" t="str">
        <f ca="1">[1]装备明细!$I410</f>
        <v>[334-375]防御 +4个随机属性 套装加成:hp+355</v>
      </c>
      <c r="H409" s="1">
        <f t="shared" si="41"/>
        <v>100408</v>
      </c>
      <c r="I409" s="1">
        <v>1</v>
      </c>
      <c r="J409" s="1">
        <f>[1]装备明细!J410</f>
        <v>1</v>
      </c>
      <c r="K409" s="1">
        <f>[1]装备明细!K410</f>
        <v>5</v>
      </c>
      <c r="L409" s="1">
        <f>[1]装备明细!L410</f>
        <v>9</v>
      </c>
      <c r="M409" s="1">
        <v>6</v>
      </c>
      <c r="N409" s="1">
        <f>[1]装备明细!$F413</f>
        <v>3</v>
      </c>
      <c r="O409" s="1">
        <f>[1]装备明细!$E410</f>
        <v>4</v>
      </c>
      <c r="P409" s="1">
        <f t="shared" si="37"/>
        <v>4</v>
      </c>
      <c r="Q409" s="1">
        <f t="shared" si="38"/>
        <v>980</v>
      </c>
      <c r="R409" s="1">
        <f t="shared" si="39"/>
        <v>14</v>
      </c>
      <c r="S409" s="1">
        <f t="shared" si="40"/>
        <v>4</v>
      </c>
    </row>
    <row r="410" spans="1:19" x14ac:dyDescent="0.15">
      <c r="A410" s="1">
        <v>409</v>
      </c>
      <c r="B410" s="1">
        <v>0</v>
      </c>
      <c r="C410" s="1">
        <f>[1]装备明细!B411</f>
        <v>104090202</v>
      </c>
      <c r="D410" s="1">
        <f t="shared" si="36"/>
        <v>200409</v>
      </c>
      <c r="E410" s="1" t="s">
        <v>63</v>
      </c>
      <c r="F410" s="1" t="str">
        <f ca="1">[1]装备明细!C411&amp;"图纸"</f>
        <v>阿波罗的利刃图纸</v>
      </c>
      <c r="G410" s="1" t="str">
        <f ca="1">[1]装备明细!$I411</f>
        <v>[329-390]攻击 +4个随机属性 套装加成:物攻+334物防+225</v>
      </c>
      <c r="H410" s="1">
        <f t="shared" si="41"/>
        <v>100409</v>
      </c>
      <c r="I410" s="1">
        <v>1</v>
      </c>
      <c r="J410" s="1">
        <f>[1]装备明细!J411</f>
        <v>2</v>
      </c>
      <c r="K410" s="1">
        <f>[1]装备明细!K411</f>
        <v>5</v>
      </c>
      <c r="L410" s="1">
        <f>[1]装备明细!L411</f>
        <v>9</v>
      </c>
      <c r="M410" s="1">
        <v>6</v>
      </c>
      <c r="N410" s="1">
        <f>[1]装备明细!$F414</f>
        <v>1</v>
      </c>
      <c r="O410" s="1">
        <f>[1]装备明细!$E411</f>
        <v>4</v>
      </c>
      <c r="P410" s="1">
        <f t="shared" si="37"/>
        <v>4</v>
      </c>
      <c r="Q410" s="1">
        <f t="shared" si="38"/>
        <v>980</v>
      </c>
      <c r="R410" s="1">
        <f t="shared" si="39"/>
        <v>19</v>
      </c>
      <c r="S410" s="1">
        <f t="shared" si="40"/>
        <v>4</v>
      </c>
    </row>
    <row r="411" spans="1:19" x14ac:dyDescent="0.15">
      <c r="A411" s="1">
        <v>410</v>
      </c>
      <c r="B411" s="1">
        <v>0</v>
      </c>
      <c r="C411" s="1">
        <f>[1]装备明细!B412</f>
        <v>204091402</v>
      </c>
      <c r="D411" s="1">
        <f t="shared" si="36"/>
        <v>200410</v>
      </c>
      <c r="E411" s="1" t="s">
        <v>63</v>
      </c>
      <c r="F411" s="1" t="str">
        <f ca="1">[1]装备明细!C412&amp;"图纸"</f>
        <v>阿波罗的眼眸图纸</v>
      </c>
      <c r="G411" s="1" t="str">
        <f ca="1">[1]装备明细!$I412</f>
        <v>[334-375]防御 +4个随机属性 套装加成:物攻+334物防+225</v>
      </c>
      <c r="H411" s="1">
        <f t="shared" si="41"/>
        <v>100410</v>
      </c>
      <c r="I411" s="1">
        <v>1</v>
      </c>
      <c r="J411" s="1">
        <f>[1]装备明细!J412</f>
        <v>2</v>
      </c>
      <c r="K411" s="1">
        <f>[1]装备明细!K412</f>
        <v>5</v>
      </c>
      <c r="L411" s="1">
        <f>[1]装备明细!L412</f>
        <v>9</v>
      </c>
      <c r="M411" s="1">
        <v>6</v>
      </c>
      <c r="N411" s="1">
        <f>[1]装备明细!$F415</f>
        <v>2</v>
      </c>
      <c r="O411" s="1">
        <f>[1]装备明细!$E412</f>
        <v>4</v>
      </c>
      <c r="P411" s="1">
        <f t="shared" si="37"/>
        <v>4</v>
      </c>
      <c r="Q411" s="1">
        <f t="shared" si="38"/>
        <v>980</v>
      </c>
      <c r="R411" s="1">
        <f t="shared" si="39"/>
        <v>14</v>
      </c>
      <c r="S411" s="1">
        <f t="shared" si="40"/>
        <v>4</v>
      </c>
    </row>
    <row r="412" spans="1:19" x14ac:dyDescent="0.15">
      <c r="A412" s="1">
        <v>411</v>
      </c>
      <c r="B412" s="1">
        <v>0</v>
      </c>
      <c r="C412" s="1">
        <f>[1]装备明细!B413</f>
        <v>304091502</v>
      </c>
      <c r="D412" s="1">
        <f t="shared" si="36"/>
        <v>200411</v>
      </c>
      <c r="E412" s="1" t="s">
        <v>63</v>
      </c>
      <c r="F412" s="1" t="str">
        <f ca="1">[1]装备明细!C413&amp;"图纸"</f>
        <v>阿波罗的惩戒图纸</v>
      </c>
      <c r="G412" s="1" t="str">
        <f ca="1">[1]装备明细!$I413</f>
        <v>[334-375]防御 +4个随机属性 套装加成:物攻+334物防+225</v>
      </c>
      <c r="H412" s="1">
        <f t="shared" si="41"/>
        <v>100411</v>
      </c>
      <c r="I412" s="1">
        <v>1</v>
      </c>
      <c r="J412" s="1">
        <f>[1]装备明细!J413</f>
        <v>2</v>
      </c>
      <c r="K412" s="1">
        <f>[1]装备明细!K413</f>
        <v>5</v>
      </c>
      <c r="L412" s="1">
        <f>[1]装备明细!L413</f>
        <v>9</v>
      </c>
      <c r="M412" s="1">
        <v>6</v>
      </c>
      <c r="N412" s="1">
        <f>[1]装备明细!$F416</f>
        <v>3</v>
      </c>
      <c r="O412" s="1">
        <f>[1]装备明细!$E413</f>
        <v>4</v>
      </c>
      <c r="P412" s="1">
        <f t="shared" si="37"/>
        <v>4</v>
      </c>
      <c r="Q412" s="1">
        <f t="shared" si="38"/>
        <v>980</v>
      </c>
      <c r="R412" s="1">
        <f t="shared" si="39"/>
        <v>14</v>
      </c>
      <c r="S412" s="1">
        <f t="shared" si="40"/>
        <v>4</v>
      </c>
    </row>
    <row r="413" spans="1:19" x14ac:dyDescent="0.15">
      <c r="A413" s="1">
        <v>412</v>
      </c>
      <c r="B413" s="1">
        <v>0</v>
      </c>
      <c r="C413" s="1">
        <f>[1]装备明细!B414</f>
        <v>104090303</v>
      </c>
      <c r="D413" s="1">
        <f t="shared" si="36"/>
        <v>200412</v>
      </c>
      <c r="E413" s="1" t="s">
        <v>63</v>
      </c>
      <c r="F413" s="1" t="str">
        <f ca="1">[1]装备明细!C414&amp;"图纸"</f>
        <v>阿瑞斯之拳图纸</v>
      </c>
      <c r="G413" s="1" t="str">
        <f ca="1">[1]装备明细!$I414</f>
        <v>[329-390]攻击 +4个随机属性 套装加成:hp+47物攻+228物防+300敏捷+33</v>
      </c>
      <c r="H413" s="1">
        <f t="shared" si="41"/>
        <v>100412</v>
      </c>
      <c r="I413" s="1">
        <v>1</v>
      </c>
      <c r="J413" s="1">
        <f>[1]装备明细!J414</f>
        <v>3</v>
      </c>
      <c r="K413" s="1">
        <f>[1]装备明细!K414</f>
        <v>5</v>
      </c>
      <c r="L413" s="1">
        <f>[1]装备明细!L414</f>
        <v>9</v>
      </c>
      <c r="M413" s="1">
        <v>6</v>
      </c>
      <c r="N413" s="1">
        <f>[1]装备明细!$F417</f>
        <v>1</v>
      </c>
      <c r="O413" s="1">
        <f>[1]装备明细!$E414</f>
        <v>4</v>
      </c>
      <c r="P413" s="1">
        <f t="shared" si="37"/>
        <v>4</v>
      </c>
      <c r="Q413" s="1">
        <f t="shared" si="38"/>
        <v>980</v>
      </c>
      <c r="R413" s="1">
        <f t="shared" si="39"/>
        <v>19</v>
      </c>
      <c r="S413" s="1">
        <f t="shared" si="40"/>
        <v>4</v>
      </c>
    </row>
    <row r="414" spans="1:19" x14ac:dyDescent="0.15">
      <c r="A414" s="1">
        <v>413</v>
      </c>
      <c r="B414" s="1">
        <v>0</v>
      </c>
      <c r="C414" s="1">
        <f>[1]装备明细!B415</f>
        <v>204091403</v>
      </c>
      <c r="D414" s="1">
        <f t="shared" si="36"/>
        <v>200413</v>
      </c>
      <c r="E414" s="1" t="s">
        <v>63</v>
      </c>
      <c r="F414" s="1" t="str">
        <f ca="1">[1]装备明细!C415&amp;"图纸"</f>
        <v>阿瑞斯之戒图纸</v>
      </c>
      <c r="G414" s="1" t="str">
        <f ca="1">[1]装备明细!$I415</f>
        <v>[334-375]防御 +4个随机属性 套装加成:hp+47物攻+228物防+300敏捷+33</v>
      </c>
      <c r="H414" s="1">
        <f t="shared" si="41"/>
        <v>100413</v>
      </c>
      <c r="I414" s="1">
        <v>1</v>
      </c>
      <c r="J414" s="1">
        <f>[1]装备明细!J415</f>
        <v>3</v>
      </c>
      <c r="K414" s="1">
        <f>[1]装备明细!K415</f>
        <v>5</v>
      </c>
      <c r="L414" s="1">
        <f>[1]装备明细!L415</f>
        <v>9</v>
      </c>
      <c r="M414" s="1">
        <v>6</v>
      </c>
      <c r="N414" s="1">
        <f>[1]装备明细!$F418</f>
        <v>2</v>
      </c>
      <c r="O414" s="1">
        <f>[1]装备明细!$E415</f>
        <v>4</v>
      </c>
      <c r="P414" s="1">
        <f t="shared" si="37"/>
        <v>4</v>
      </c>
      <c r="Q414" s="1">
        <f t="shared" si="38"/>
        <v>980</v>
      </c>
      <c r="R414" s="1">
        <f t="shared" si="39"/>
        <v>14</v>
      </c>
      <c r="S414" s="1">
        <f t="shared" si="40"/>
        <v>4</v>
      </c>
    </row>
    <row r="415" spans="1:19" x14ac:dyDescent="0.15">
      <c r="A415" s="1">
        <v>414</v>
      </c>
      <c r="B415" s="1">
        <v>0</v>
      </c>
      <c r="C415" s="1">
        <f>[1]装备明细!B416</f>
        <v>304091503</v>
      </c>
      <c r="D415" s="1">
        <f t="shared" si="36"/>
        <v>200414</v>
      </c>
      <c r="E415" s="1" t="s">
        <v>63</v>
      </c>
      <c r="F415" s="1" t="str">
        <f ca="1">[1]装备明细!C416&amp;"图纸"</f>
        <v>阿瑞斯之魂图纸</v>
      </c>
      <c r="G415" s="1" t="str">
        <f ca="1">[1]装备明细!$I416</f>
        <v>[334-375]防御 +4个随机属性 套装加成:hp+47物攻+228物防+300敏捷+33</v>
      </c>
      <c r="H415" s="1">
        <f t="shared" si="41"/>
        <v>100414</v>
      </c>
      <c r="I415" s="1">
        <v>1</v>
      </c>
      <c r="J415" s="1">
        <f>[1]装备明细!J416</f>
        <v>3</v>
      </c>
      <c r="K415" s="1">
        <f>[1]装备明细!K416</f>
        <v>5</v>
      </c>
      <c r="L415" s="1">
        <f>[1]装备明细!L416</f>
        <v>9</v>
      </c>
      <c r="M415" s="1">
        <v>6</v>
      </c>
      <c r="N415" s="1">
        <f>[1]装备明细!$F419</f>
        <v>3</v>
      </c>
      <c r="O415" s="1">
        <f>[1]装备明细!$E416</f>
        <v>4</v>
      </c>
      <c r="P415" s="1">
        <f t="shared" si="37"/>
        <v>4</v>
      </c>
      <c r="Q415" s="1">
        <f t="shared" si="38"/>
        <v>980</v>
      </c>
      <c r="R415" s="1">
        <f t="shared" si="39"/>
        <v>14</v>
      </c>
      <c r="S415" s="1">
        <f t="shared" si="40"/>
        <v>4</v>
      </c>
    </row>
    <row r="416" spans="1:19" x14ac:dyDescent="0.15">
      <c r="A416" s="1">
        <v>415</v>
      </c>
      <c r="B416" s="1">
        <v>0</v>
      </c>
      <c r="C416" s="1">
        <f>[1]装备明细!B417</f>
        <v>104090404</v>
      </c>
      <c r="D416" s="1">
        <f t="shared" si="36"/>
        <v>200415</v>
      </c>
      <c r="E416" s="1" t="s">
        <v>63</v>
      </c>
      <c r="F416" s="1" t="str">
        <f ca="1">[1]装备明细!C417&amp;"图纸"</f>
        <v>阿努比斯的矛图纸</v>
      </c>
      <c r="G416" s="1" t="str">
        <f ca="1">[1]装备明细!$I417</f>
        <v>[329-390]攻击 +4个随机属性 套装加成:hp+26魔攻+69全抗+20</v>
      </c>
      <c r="H416" s="1">
        <f t="shared" si="41"/>
        <v>100415</v>
      </c>
      <c r="I416" s="1">
        <v>1</v>
      </c>
      <c r="J416" s="1">
        <f>[1]装备明细!J417</f>
        <v>4</v>
      </c>
      <c r="K416" s="1">
        <f>[1]装备明细!K417</f>
        <v>5</v>
      </c>
      <c r="L416" s="1">
        <f>[1]装备明细!L417</f>
        <v>9</v>
      </c>
      <c r="M416" s="1">
        <v>6</v>
      </c>
      <c r="N416" s="1">
        <f>[1]装备明细!$F420</f>
        <v>1</v>
      </c>
      <c r="O416" s="1">
        <f>[1]装备明细!$E417</f>
        <v>4</v>
      </c>
      <c r="P416" s="1">
        <f t="shared" si="37"/>
        <v>4</v>
      </c>
      <c r="Q416" s="1">
        <f t="shared" si="38"/>
        <v>980</v>
      </c>
      <c r="R416" s="1">
        <f t="shared" si="39"/>
        <v>19</v>
      </c>
      <c r="S416" s="1">
        <f t="shared" si="40"/>
        <v>4</v>
      </c>
    </row>
    <row r="417" spans="1:19" x14ac:dyDescent="0.15">
      <c r="A417" s="1">
        <v>416</v>
      </c>
      <c r="B417" s="1">
        <v>0</v>
      </c>
      <c r="C417" s="1">
        <f>[1]装备明细!B418</f>
        <v>204091404</v>
      </c>
      <c r="D417" s="1">
        <f t="shared" si="36"/>
        <v>200416</v>
      </c>
      <c r="E417" s="1" t="s">
        <v>63</v>
      </c>
      <c r="F417" s="1" t="str">
        <f ca="1">[1]装备明细!C418&amp;"图纸"</f>
        <v>阿努比斯的灵魂图纸</v>
      </c>
      <c r="G417" s="1" t="str">
        <f ca="1">[1]装备明细!$I418</f>
        <v>[334-375]防御 +4个随机属性 套装加成:hp+26魔攻+69全抗+20</v>
      </c>
      <c r="H417" s="1">
        <f t="shared" si="41"/>
        <v>100416</v>
      </c>
      <c r="I417" s="1">
        <v>1</v>
      </c>
      <c r="J417" s="1">
        <f>[1]装备明细!J418</f>
        <v>4</v>
      </c>
      <c r="K417" s="1">
        <f>[1]装备明细!K418</f>
        <v>5</v>
      </c>
      <c r="L417" s="1">
        <f>[1]装备明细!L418</f>
        <v>9</v>
      </c>
      <c r="M417" s="1">
        <v>6</v>
      </c>
      <c r="N417" s="1">
        <f>[1]装备明细!$F421</f>
        <v>2</v>
      </c>
      <c r="O417" s="1">
        <f>[1]装备明细!$E418</f>
        <v>4</v>
      </c>
      <c r="P417" s="1">
        <f t="shared" si="37"/>
        <v>4</v>
      </c>
      <c r="Q417" s="1">
        <f t="shared" si="38"/>
        <v>980</v>
      </c>
      <c r="R417" s="1">
        <f t="shared" si="39"/>
        <v>14</v>
      </c>
      <c r="S417" s="1">
        <f t="shared" si="40"/>
        <v>4</v>
      </c>
    </row>
    <row r="418" spans="1:19" x14ac:dyDescent="0.15">
      <c r="A418" s="1">
        <v>417</v>
      </c>
      <c r="B418" s="1">
        <v>0</v>
      </c>
      <c r="C418" s="1">
        <f>[1]装备明细!B419</f>
        <v>304091504</v>
      </c>
      <c r="D418" s="1">
        <f t="shared" si="36"/>
        <v>200417</v>
      </c>
      <c r="E418" s="1" t="s">
        <v>63</v>
      </c>
      <c r="F418" s="1" t="str">
        <f ca="1">[1]装备明细!C419&amp;"图纸"</f>
        <v>阿努比斯的守护图纸</v>
      </c>
      <c r="G418" s="1" t="str">
        <f ca="1">[1]装备明细!$I419</f>
        <v>[334-375]防御 +4个随机属性 套装加成:hp+26魔攻+69全抗+20</v>
      </c>
      <c r="H418" s="1">
        <f t="shared" si="41"/>
        <v>100417</v>
      </c>
      <c r="I418" s="1">
        <v>1</v>
      </c>
      <c r="J418" s="1">
        <f>[1]装备明细!J419</f>
        <v>4</v>
      </c>
      <c r="K418" s="1">
        <f>[1]装备明细!K419</f>
        <v>5</v>
      </c>
      <c r="L418" s="1">
        <f>[1]装备明细!L419</f>
        <v>9</v>
      </c>
      <c r="M418" s="1">
        <v>6</v>
      </c>
      <c r="N418" s="1">
        <f>[1]装备明细!$F422</f>
        <v>3</v>
      </c>
      <c r="O418" s="1">
        <f>[1]装备明细!$E419</f>
        <v>4</v>
      </c>
      <c r="P418" s="1">
        <f t="shared" si="37"/>
        <v>4</v>
      </c>
      <c r="Q418" s="1">
        <f t="shared" si="38"/>
        <v>980</v>
      </c>
      <c r="R418" s="1">
        <f t="shared" si="39"/>
        <v>14</v>
      </c>
      <c r="S418" s="1">
        <f t="shared" si="40"/>
        <v>4</v>
      </c>
    </row>
    <row r="419" spans="1:19" x14ac:dyDescent="0.15">
      <c r="A419" s="1">
        <v>418</v>
      </c>
      <c r="B419" s="1">
        <v>0</v>
      </c>
      <c r="C419" s="1">
        <f>[1]装备明细!B420</f>
        <v>104090505</v>
      </c>
      <c r="D419" s="1">
        <f t="shared" si="36"/>
        <v>200418</v>
      </c>
      <c r="E419" s="1" t="s">
        <v>63</v>
      </c>
      <c r="F419" s="1" t="str">
        <f ca="1">[1]装备明细!C420&amp;"图纸"</f>
        <v>赫卡忒的黑暗图纸</v>
      </c>
      <c r="G419" s="1" t="str">
        <f ca="1">[1]装备明细!$I420</f>
        <v>[329-390]攻击 +4个随机属性 套装加成:物攻+216魔防+150敏捷+53</v>
      </c>
      <c r="H419" s="1">
        <f t="shared" si="41"/>
        <v>100418</v>
      </c>
      <c r="I419" s="1">
        <v>1</v>
      </c>
      <c r="J419" s="1">
        <f>[1]装备明细!J420</f>
        <v>5</v>
      </c>
      <c r="K419" s="1">
        <f>[1]装备明细!K420</f>
        <v>5</v>
      </c>
      <c r="L419" s="1">
        <f>[1]装备明细!L420</f>
        <v>9</v>
      </c>
      <c r="M419" s="1">
        <v>6</v>
      </c>
      <c r="N419" s="1">
        <f>[1]装备明细!$F423</f>
        <v>1</v>
      </c>
      <c r="O419" s="1">
        <f>[1]装备明细!$E420</f>
        <v>4</v>
      </c>
      <c r="P419" s="1">
        <f t="shared" si="37"/>
        <v>4</v>
      </c>
      <c r="Q419" s="1">
        <f t="shared" si="38"/>
        <v>980</v>
      </c>
      <c r="R419" s="1">
        <f t="shared" si="39"/>
        <v>19</v>
      </c>
      <c r="S419" s="1">
        <f t="shared" si="40"/>
        <v>4</v>
      </c>
    </row>
    <row r="420" spans="1:19" x14ac:dyDescent="0.15">
      <c r="A420" s="1">
        <v>419</v>
      </c>
      <c r="B420" s="1">
        <v>0</v>
      </c>
      <c r="C420" s="1">
        <f>[1]装备明细!B421</f>
        <v>204091405</v>
      </c>
      <c r="D420" s="1">
        <f t="shared" si="36"/>
        <v>200419</v>
      </c>
      <c r="E420" s="1" t="s">
        <v>63</v>
      </c>
      <c r="F420" s="1" t="str">
        <f ca="1">[1]装备明细!C421&amp;"图纸"</f>
        <v>赫卡忒的魔能图纸</v>
      </c>
      <c r="G420" s="1" t="str">
        <f ca="1">[1]装备明细!$I421</f>
        <v>[334-375]防御 +4个随机属性 套装加成:物攻+216魔防+150敏捷+53</v>
      </c>
      <c r="H420" s="1">
        <f t="shared" si="41"/>
        <v>100419</v>
      </c>
      <c r="I420" s="1">
        <v>1</v>
      </c>
      <c r="J420" s="1">
        <f>[1]装备明细!J421</f>
        <v>5</v>
      </c>
      <c r="K420" s="1">
        <f>[1]装备明细!K421</f>
        <v>5</v>
      </c>
      <c r="L420" s="1">
        <f>[1]装备明细!L421</f>
        <v>9</v>
      </c>
      <c r="M420" s="1">
        <v>6</v>
      </c>
      <c r="N420" s="1">
        <f>[1]装备明细!$F424</f>
        <v>2</v>
      </c>
      <c r="O420" s="1">
        <f>[1]装备明细!$E421</f>
        <v>4</v>
      </c>
      <c r="P420" s="1">
        <f t="shared" si="37"/>
        <v>4</v>
      </c>
      <c r="Q420" s="1">
        <f t="shared" si="38"/>
        <v>980</v>
      </c>
      <c r="R420" s="1">
        <f t="shared" si="39"/>
        <v>14</v>
      </c>
      <c r="S420" s="1">
        <f t="shared" si="40"/>
        <v>4</v>
      </c>
    </row>
    <row r="421" spans="1:19" x14ac:dyDescent="0.15">
      <c r="A421" s="1">
        <v>420</v>
      </c>
      <c r="B421" s="1">
        <v>0</v>
      </c>
      <c r="C421" s="1">
        <f>[1]装备明细!B422</f>
        <v>304091505</v>
      </c>
      <c r="D421" s="1">
        <f t="shared" si="36"/>
        <v>200420</v>
      </c>
      <c r="E421" s="1" t="s">
        <v>63</v>
      </c>
      <c r="F421" s="1" t="str">
        <f ca="1">[1]装备明细!C422&amp;"图纸"</f>
        <v>赫卡忒的项链图纸</v>
      </c>
      <c r="G421" s="1" t="str">
        <f ca="1">[1]装备明细!$I422</f>
        <v>[334-375]防御 +4个随机属性 套装加成:物攻+216魔防+150敏捷+53</v>
      </c>
      <c r="H421" s="1">
        <f t="shared" si="41"/>
        <v>100420</v>
      </c>
      <c r="I421" s="1">
        <v>1</v>
      </c>
      <c r="J421" s="1">
        <f>[1]装备明细!J422</f>
        <v>5</v>
      </c>
      <c r="K421" s="1">
        <f>[1]装备明细!K422</f>
        <v>5</v>
      </c>
      <c r="L421" s="1">
        <f>[1]装备明细!L422</f>
        <v>9</v>
      </c>
      <c r="M421" s="1">
        <v>6</v>
      </c>
      <c r="N421" s="1">
        <f>[1]装备明细!$F425</f>
        <v>3</v>
      </c>
      <c r="O421" s="1">
        <f>[1]装备明细!$E422</f>
        <v>4</v>
      </c>
      <c r="P421" s="1">
        <f t="shared" si="37"/>
        <v>4</v>
      </c>
      <c r="Q421" s="1">
        <f t="shared" si="38"/>
        <v>980</v>
      </c>
      <c r="R421" s="1">
        <f t="shared" si="39"/>
        <v>14</v>
      </c>
      <c r="S421" s="1">
        <f t="shared" si="40"/>
        <v>4</v>
      </c>
    </row>
    <row r="422" spans="1:19" x14ac:dyDescent="0.15">
      <c r="A422" s="1">
        <v>421</v>
      </c>
      <c r="B422" s="1">
        <v>0</v>
      </c>
      <c r="C422" s="1">
        <f>[1]装备明细!B423</f>
        <v>104090606</v>
      </c>
      <c r="D422" s="1">
        <f t="shared" si="36"/>
        <v>200421</v>
      </c>
      <c r="E422" s="1" t="s">
        <v>63</v>
      </c>
      <c r="F422" s="1" t="str">
        <f ca="1">[1]装备明细!C423&amp;"图纸"</f>
        <v>雅典娜的惊叹图纸</v>
      </c>
      <c r="G422" s="1" t="str">
        <f ca="1">[1]装备明细!$I423</f>
        <v>[329-390]攻击 +4个随机属性 套装加成:hp+60魔攻+247全抗+40</v>
      </c>
      <c r="H422" s="1">
        <f t="shared" si="41"/>
        <v>100421</v>
      </c>
      <c r="I422" s="1">
        <v>1</v>
      </c>
      <c r="J422" s="1">
        <f>[1]装备明细!J423</f>
        <v>6</v>
      </c>
      <c r="K422" s="1">
        <f>[1]装备明细!K423</f>
        <v>5</v>
      </c>
      <c r="L422" s="1">
        <f>[1]装备明细!L423</f>
        <v>9</v>
      </c>
      <c r="M422" s="1">
        <v>6</v>
      </c>
      <c r="N422" s="1">
        <f>[1]装备明细!$F426</f>
        <v>1</v>
      </c>
      <c r="O422" s="1">
        <f>[1]装备明细!$E423</f>
        <v>4</v>
      </c>
      <c r="P422" s="1">
        <f t="shared" si="37"/>
        <v>4</v>
      </c>
      <c r="Q422" s="1">
        <f t="shared" si="38"/>
        <v>980</v>
      </c>
      <c r="R422" s="1">
        <f t="shared" si="39"/>
        <v>19</v>
      </c>
      <c r="S422" s="1">
        <f t="shared" si="40"/>
        <v>4</v>
      </c>
    </row>
    <row r="423" spans="1:19" x14ac:dyDescent="0.15">
      <c r="A423" s="1">
        <v>422</v>
      </c>
      <c r="B423" s="1">
        <v>0</v>
      </c>
      <c r="C423" s="1">
        <f>[1]装备明细!B424</f>
        <v>204091406</v>
      </c>
      <c r="D423" s="1">
        <f t="shared" si="36"/>
        <v>200422</v>
      </c>
      <c r="E423" s="1" t="s">
        <v>63</v>
      </c>
      <c r="F423" s="1" t="str">
        <f ca="1">[1]装备明细!C424&amp;"图纸"</f>
        <v>雅典娜的智慧图纸</v>
      </c>
      <c r="G423" s="1" t="str">
        <f ca="1">[1]装备明细!$I424</f>
        <v>[301-337]防御 +4个随机属性 套装加成:hp+60魔攻+247全抗+40</v>
      </c>
      <c r="H423" s="1">
        <f t="shared" si="41"/>
        <v>100422</v>
      </c>
      <c r="I423" s="1">
        <v>1</v>
      </c>
      <c r="J423" s="1">
        <f>[1]装备明细!J424</f>
        <v>6</v>
      </c>
      <c r="K423" s="1">
        <f>[1]装备明细!K424</f>
        <v>5</v>
      </c>
      <c r="L423" s="1">
        <f>[1]装备明细!L424</f>
        <v>9</v>
      </c>
      <c r="M423" s="1">
        <v>6</v>
      </c>
      <c r="N423" s="1">
        <f>[1]装备明细!$F427</f>
        <v>2</v>
      </c>
      <c r="O423" s="1">
        <f>[1]装备明细!$E424</f>
        <v>4</v>
      </c>
      <c r="P423" s="1">
        <f t="shared" si="37"/>
        <v>4</v>
      </c>
      <c r="Q423" s="1">
        <f t="shared" si="38"/>
        <v>980</v>
      </c>
      <c r="R423" s="1">
        <f t="shared" si="39"/>
        <v>14</v>
      </c>
      <c r="S423" s="1">
        <f t="shared" si="40"/>
        <v>4</v>
      </c>
    </row>
    <row r="424" spans="1:19" x14ac:dyDescent="0.15">
      <c r="A424" s="1">
        <v>423</v>
      </c>
      <c r="B424" s="1">
        <v>0</v>
      </c>
      <c r="C424" s="1">
        <f>[1]装备明细!B425</f>
        <v>304091506</v>
      </c>
      <c r="D424" s="1">
        <f t="shared" si="36"/>
        <v>200423</v>
      </c>
      <c r="E424" s="1" t="s">
        <v>63</v>
      </c>
      <c r="F424" s="1" t="str">
        <f ca="1">[1]装备明细!C425&amp;"图纸"</f>
        <v>雅典娜的项链图纸</v>
      </c>
      <c r="G424" s="1" t="str">
        <f ca="1">[1]装备明细!$I425</f>
        <v>[301-337]防御 +4个随机属性 套装加成:hp+60魔攻+247全抗+40</v>
      </c>
      <c r="H424" s="1">
        <f t="shared" si="41"/>
        <v>100423</v>
      </c>
      <c r="I424" s="1">
        <v>1</v>
      </c>
      <c r="J424" s="1">
        <f>[1]装备明细!J425</f>
        <v>6</v>
      </c>
      <c r="K424" s="1">
        <f>[1]装备明细!K425</f>
        <v>5</v>
      </c>
      <c r="L424" s="1">
        <f>[1]装备明细!L425</f>
        <v>9</v>
      </c>
      <c r="M424" s="1">
        <v>6</v>
      </c>
      <c r="N424" s="1">
        <f>[1]装备明细!$F428</f>
        <v>3</v>
      </c>
      <c r="O424" s="1">
        <f>[1]装备明细!$E425</f>
        <v>4</v>
      </c>
      <c r="P424" s="1">
        <f t="shared" si="37"/>
        <v>4</v>
      </c>
      <c r="Q424" s="1">
        <f t="shared" si="38"/>
        <v>980</v>
      </c>
      <c r="R424" s="1">
        <f t="shared" si="39"/>
        <v>14</v>
      </c>
      <c r="S424" s="1">
        <f t="shared" si="40"/>
        <v>4</v>
      </c>
    </row>
    <row r="425" spans="1:19" x14ac:dyDescent="0.15">
      <c r="A425" s="1">
        <v>424</v>
      </c>
      <c r="B425" s="1">
        <v>0</v>
      </c>
      <c r="C425" s="1">
        <f>[1]装备明细!B426</f>
        <v>104090707</v>
      </c>
      <c r="D425" s="1">
        <f t="shared" si="36"/>
        <v>200424</v>
      </c>
      <c r="E425" s="1" t="s">
        <v>63</v>
      </c>
      <c r="F425" s="1" t="str">
        <f ca="1">[1]装备明细!C426&amp;"图纸"</f>
        <v>丘比特之弓图纸</v>
      </c>
      <c r="G425" s="1" t="str">
        <f ca="1">[1]装备明细!$I426</f>
        <v>[329-390]攻击 +4个随机属性 套装加成:物攻+507物防+150魔防+300</v>
      </c>
      <c r="H425" s="1">
        <f t="shared" si="41"/>
        <v>100424</v>
      </c>
      <c r="I425" s="1">
        <v>1</v>
      </c>
      <c r="J425" s="1">
        <f>[1]装备明细!J426</f>
        <v>7</v>
      </c>
      <c r="K425" s="1">
        <f>[1]装备明细!K426</f>
        <v>5</v>
      </c>
      <c r="L425" s="1">
        <f>[1]装备明细!L426</f>
        <v>9</v>
      </c>
      <c r="M425" s="1">
        <v>6</v>
      </c>
      <c r="N425" s="1">
        <f>[1]装备明细!$F429</f>
        <v>1</v>
      </c>
      <c r="O425" s="1">
        <f>[1]装备明细!$E426</f>
        <v>4</v>
      </c>
      <c r="P425" s="1">
        <f t="shared" si="37"/>
        <v>4</v>
      </c>
      <c r="Q425" s="1">
        <f t="shared" si="38"/>
        <v>980</v>
      </c>
      <c r="R425" s="1">
        <f t="shared" si="39"/>
        <v>19</v>
      </c>
      <c r="S425" s="1">
        <f t="shared" si="40"/>
        <v>4</v>
      </c>
    </row>
    <row r="426" spans="1:19" x14ac:dyDescent="0.15">
      <c r="A426" s="1">
        <v>425</v>
      </c>
      <c r="B426" s="1">
        <v>0</v>
      </c>
      <c r="C426" s="1">
        <f>[1]装备明细!B427</f>
        <v>204091407</v>
      </c>
      <c r="D426" s="1">
        <f t="shared" si="36"/>
        <v>200425</v>
      </c>
      <c r="E426" s="1" t="s">
        <v>63</v>
      </c>
      <c r="F426" s="1" t="str">
        <f ca="1">[1]装备明细!C427&amp;"图纸"</f>
        <v>丘比特的爱图纸</v>
      </c>
      <c r="G426" s="1" t="str">
        <f ca="1">[1]装备明细!$I427</f>
        <v>[334-375]防御 +4个随机属性 套装加成:物攻+507物防+150魔防+300</v>
      </c>
      <c r="H426" s="1">
        <f t="shared" si="41"/>
        <v>100425</v>
      </c>
      <c r="I426" s="1">
        <v>1</v>
      </c>
      <c r="J426" s="1">
        <f>[1]装备明细!J427</f>
        <v>7</v>
      </c>
      <c r="K426" s="1">
        <f>[1]装备明细!K427</f>
        <v>5</v>
      </c>
      <c r="L426" s="1">
        <f>[1]装备明细!L427</f>
        <v>9</v>
      </c>
      <c r="M426" s="1">
        <v>6</v>
      </c>
      <c r="N426" s="1">
        <f>[1]装备明细!$F430</f>
        <v>2</v>
      </c>
      <c r="O426" s="1">
        <f>[1]装备明细!$E427</f>
        <v>4</v>
      </c>
      <c r="P426" s="1">
        <f t="shared" si="37"/>
        <v>4</v>
      </c>
      <c r="Q426" s="1">
        <f t="shared" si="38"/>
        <v>980</v>
      </c>
      <c r="R426" s="1">
        <f t="shared" si="39"/>
        <v>14</v>
      </c>
      <c r="S426" s="1">
        <f t="shared" si="40"/>
        <v>4</v>
      </c>
    </row>
    <row r="427" spans="1:19" x14ac:dyDescent="0.15">
      <c r="A427" s="1">
        <v>426</v>
      </c>
      <c r="B427" s="1">
        <v>0</v>
      </c>
      <c r="C427" s="1">
        <f>[1]装备明细!B428</f>
        <v>304091507</v>
      </c>
      <c r="D427" s="1">
        <f t="shared" si="36"/>
        <v>200426</v>
      </c>
      <c r="E427" s="1" t="s">
        <v>63</v>
      </c>
      <c r="F427" s="1" t="str">
        <f ca="1">[1]装备明细!C428&amp;"图纸"</f>
        <v>丘比特的永恒图纸</v>
      </c>
      <c r="G427" s="1" t="str">
        <f ca="1">[1]装备明细!$I428</f>
        <v>[334-375]防御 +4个随机属性 套装加成:物攻+507物防+150魔防+300</v>
      </c>
      <c r="H427" s="1">
        <f t="shared" si="41"/>
        <v>100426</v>
      </c>
      <c r="I427" s="1">
        <v>1</v>
      </c>
      <c r="J427" s="1">
        <f>[1]装备明细!J428</f>
        <v>7</v>
      </c>
      <c r="K427" s="1">
        <f>[1]装备明细!K428</f>
        <v>5</v>
      </c>
      <c r="L427" s="1">
        <f>[1]装备明细!L428</f>
        <v>9</v>
      </c>
      <c r="M427" s="1">
        <v>6</v>
      </c>
      <c r="N427" s="1">
        <f>[1]装备明细!$F431</f>
        <v>3</v>
      </c>
      <c r="O427" s="1">
        <f>[1]装备明细!$E428</f>
        <v>4</v>
      </c>
      <c r="P427" s="1">
        <f t="shared" si="37"/>
        <v>4</v>
      </c>
      <c r="Q427" s="1">
        <f t="shared" si="38"/>
        <v>980</v>
      </c>
      <c r="R427" s="1">
        <f t="shared" si="39"/>
        <v>14</v>
      </c>
      <c r="S427" s="1">
        <f t="shared" si="40"/>
        <v>4</v>
      </c>
    </row>
    <row r="428" spans="1:19" x14ac:dyDescent="0.15">
      <c r="A428" s="1">
        <v>427</v>
      </c>
      <c r="B428" s="1">
        <v>0</v>
      </c>
      <c r="C428" s="1">
        <f>[1]装备明细!B429</f>
        <v>104090808</v>
      </c>
      <c r="D428" s="1">
        <f t="shared" si="36"/>
        <v>200427</v>
      </c>
      <c r="E428" s="1" t="s">
        <v>63</v>
      </c>
      <c r="F428" s="1" t="str">
        <f ca="1">[1]装备明细!C429&amp;"图纸"</f>
        <v>波塞冬的烟斗图纸</v>
      </c>
      <c r="G428" s="1" t="str">
        <f ca="1">[1]装备明细!$I429</f>
        <v>[329-390]攻击 +4个随机属性 套装加成:hp+80物防+300魔攻+107魔防+300敏捷+67</v>
      </c>
      <c r="H428" s="1">
        <f t="shared" si="41"/>
        <v>100427</v>
      </c>
      <c r="I428" s="1">
        <v>1</v>
      </c>
      <c r="J428" s="1">
        <f>[1]装备明细!J429</f>
        <v>8</v>
      </c>
      <c r="K428" s="1">
        <f>[1]装备明细!K429</f>
        <v>5</v>
      </c>
      <c r="L428" s="1">
        <f>[1]装备明细!L429</f>
        <v>9</v>
      </c>
      <c r="M428" s="1">
        <v>6</v>
      </c>
      <c r="N428" s="1">
        <f>[1]装备明细!$F432</f>
        <v>1</v>
      </c>
      <c r="O428" s="1">
        <f>[1]装备明细!$E429</f>
        <v>4</v>
      </c>
      <c r="P428" s="1">
        <f t="shared" si="37"/>
        <v>4</v>
      </c>
      <c r="Q428" s="1">
        <f t="shared" si="38"/>
        <v>980</v>
      </c>
      <c r="R428" s="1">
        <f t="shared" si="39"/>
        <v>19</v>
      </c>
      <c r="S428" s="1">
        <f t="shared" si="40"/>
        <v>4</v>
      </c>
    </row>
    <row r="429" spans="1:19" x14ac:dyDescent="0.15">
      <c r="A429" s="1">
        <v>428</v>
      </c>
      <c r="B429" s="1">
        <v>0</v>
      </c>
      <c r="C429" s="1">
        <f>[1]装备明细!B430</f>
        <v>204091408</v>
      </c>
      <c r="D429" s="1">
        <f t="shared" si="36"/>
        <v>200428</v>
      </c>
      <c r="E429" s="1" t="s">
        <v>63</v>
      </c>
      <c r="F429" s="1" t="str">
        <f ca="1">[1]装备明细!C430&amp;"图纸"</f>
        <v>波塞冬的风暴图纸</v>
      </c>
      <c r="G429" s="1" t="str">
        <f ca="1">[1]装备明细!$I430</f>
        <v>[334-375]防御 +4个随机属性 套装加成:hp+80物防+300魔攻+107魔防+300敏捷+67</v>
      </c>
      <c r="H429" s="1">
        <f t="shared" si="41"/>
        <v>100428</v>
      </c>
      <c r="I429" s="1">
        <v>1</v>
      </c>
      <c r="J429" s="1">
        <f>[1]装备明细!J430</f>
        <v>8</v>
      </c>
      <c r="K429" s="1">
        <f>[1]装备明细!K430</f>
        <v>5</v>
      </c>
      <c r="L429" s="1">
        <f>[1]装备明细!L430</f>
        <v>9</v>
      </c>
      <c r="M429" s="1">
        <v>6</v>
      </c>
      <c r="N429" s="1">
        <f>[1]装备明细!$F433</f>
        <v>2</v>
      </c>
      <c r="O429" s="1">
        <f>[1]装备明细!$E430</f>
        <v>4</v>
      </c>
      <c r="P429" s="1">
        <f t="shared" si="37"/>
        <v>4</v>
      </c>
      <c r="Q429" s="1">
        <f t="shared" si="38"/>
        <v>980</v>
      </c>
      <c r="R429" s="1">
        <f t="shared" si="39"/>
        <v>14</v>
      </c>
      <c r="S429" s="1">
        <f t="shared" si="40"/>
        <v>4</v>
      </c>
    </row>
    <row r="430" spans="1:19" x14ac:dyDescent="0.15">
      <c r="A430" s="1">
        <v>429</v>
      </c>
      <c r="B430" s="1">
        <v>0</v>
      </c>
      <c r="C430" s="1">
        <f>[1]装备明细!B431</f>
        <v>304091508</v>
      </c>
      <c r="D430" s="1">
        <f t="shared" si="36"/>
        <v>200429</v>
      </c>
      <c r="E430" s="1" t="s">
        <v>63</v>
      </c>
      <c r="F430" s="1" t="str">
        <f ca="1">[1]装备明细!C431&amp;"图纸"</f>
        <v>波塞冬的洪荒图纸</v>
      </c>
      <c r="G430" s="1" t="str">
        <f ca="1">[1]装备明细!$I431</f>
        <v>[334-375]防御 +4个随机属性 套装加成:hp+80物防+300魔攻+107魔防+300敏捷+67</v>
      </c>
      <c r="H430" s="1">
        <f t="shared" si="41"/>
        <v>100429</v>
      </c>
      <c r="I430" s="1">
        <v>1</v>
      </c>
      <c r="J430" s="1">
        <f>[1]装备明细!J431</f>
        <v>8</v>
      </c>
      <c r="K430" s="1">
        <f>[1]装备明细!K431</f>
        <v>5</v>
      </c>
      <c r="L430" s="1">
        <f>[1]装备明细!L431</f>
        <v>9</v>
      </c>
      <c r="M430" s="1">
        <v>6</v>
      </c>
      <c r="N430" s="1">
        <f>[1]装备明细!$F434</f>
        <v>3</v>
      </c>
      <c r="O430" s="1">
        <f>[1]装备明细!$E431</f>
        <v>4</v>
      </c>
      <c r="P430" s="1">
        <f t="shared" si="37"/>
        <v>4</v>
      </c>
      <c r="Q430" s="1">
        <f t="shared" si="38"/>
        <v>980</v>
      </c>
      <c r="R430" s="1">
        <f t="shared" si="39"/>
        <v>14</v>
      </c>
      <c r="S430" s="1">
        <f t="shared" si="40"/>
        <v>4</v>
      </c>
    </row>
    <row r="431" spans="1:19" x14ac:dyDescent="0.15">
      <c r="A431" s="1">
        <v>430</v>
      </c>
      <c r="B431" s="1">
        <v>0</v>
      </c>
      <c r="C431" s="1">
        <f>[1]装备明细!B432</f>
        <v>104090909</v>
      </c>
      <c r="D431" s="1">
        <f t="shared" si="36"/>
        <v>200430</v>
      </c>
      <c r="E431" s="1" t="s">
        <v>63</v>
      </c>
      <c r="F431" s="1" t="str">
        <f ca="1">[1]装备明细!C432&amp;"图纸"</f>
        <v>赫柏的扇子图纸</v>
      </c>
      <c r="G431" s="1" t="str">
        <f ca="1">[1]装备明细!$I432</f>
        <v>[329-390]攻击 +4个随机属性 套装加成:魔攻+52全抗+20敏捷+53</v>
      </c>
      <c r="H431" s="1">
        <f t="shared" si="41"/>
        <v>100430</v>
      </c>
      <c r="I431" s="1">
        <v>1</v>
      </c>
      <c r="J431" s="1">
        <f>[1]装备明细!J432</f>
        <v>9</v>
      </c>
      <c r="K431" s="1">
        <f>[1]装备明细!K432</f>
        <v>5</v>
      </c>
      <c r="L431" s="1">
        <f>[1]装备明细!L432</f>
        <v>9</v>
      </c>
      <c r="M431" s="1">
        <v>6</v>
      </c>
      <c r="N431" s="1">
        <f>[1]装备明细!$F435</f>
        <v>1</v>
      </c>
      <c r="O431" s="1">
        <f>[1]装备明细!$E432</f>
        <v>4</v>
      </c>
      <c r="P431" s="1">
        <f t="shared" si="37"/>
        <v>4</v>
      </c>
      <c r="Q431" s="1">
        <f t="shared" si="38"/>
        <v>980</v>
      </c>
      <c r="R431" s="1">
        <f t="shared" si="39"/>
        <v>19</v>
      </c>
      <c r="S431" s="1">
        <f t="shared" si="40"/>
        <v>4</v>
      </c>
    </row>
    <row r="432" spans="1:19" x14ac:dyDescent="0.15">
      <c r="A432" s="1">
        <v>431</v>
      </c>
      <c r="B432" s="1">
        <v>0</v>
      </c>
      <c r="C432" s="1">
        <f>[1]装备明细!B433</f>
        <v>204091409</v>
      </c>
      <c r="D432" s="1">
        <f t="shared" si="36"/>
        <v>200431</v>
      </c>
      <c r="E432" s="1" t="s">
        <v>63</v>
      </c>
      <c r="F432" s="1" t="str">
        <f ca="1">[1]装备明细!C433&amp;"图纸"</f>
        <v>赫柏的青春图纸</v>
      </c>
      <c r="G432" s="1" t="str">
        <f ca="1">[1]装备明细!$I433</f>
        <v>[334-375]防御 +4个随机属性 套装加成:魔攻+52全抗+20敏捷+53</v>
      </c>
      <c r="H432" s="1">
        <f t="shared" si="41"/>
        <v>100431</v>
      </c>
      <c r="I432" s="1">
        <v>1</v>
      </c>
      <c r="J432" s="1">
        <f>[1]装备明细!J433</f>
        <v>9</v>
      </c>
      <c r="K432" s="1">
        <f>[1]装备明细!K433</f>
        <v>5</v>
      </c>
      <c r="L432" s="1">
        <f>[1]装备明细!L433</f>
        <v>9</v>
      </c>
      <c r="M432" s="1">
        <v>6</v>
      </c>
      <c r="N432" s="1">
        <f>[1]装备明细!$F436</f>
        <v>2</v>
      </c>
      <c r="O432" s="1">
        <f>[1]装备明细!$E433</f>
        <v>4</v>
      </c>
      <c r="P432" s="1">
        <f t="shared" si="37"/>
        <v>4</v>
      </c>
      <c r="Q432" s="1">
        <f t="shared" si="38"/>
        <v>980</v>
      </c>
      <c r="R432" s="1">
        <f t="shared" si="39"/>
        <v>14</v>
      </c>
      <c r="S432" s="1">
        <f t="shared" si="40"/>
        <v>4</v>
      </c>
    </row>
    <row r="433" spans="1:19" x14ac:dyDescent="0.15">
      <c r="A433" s="1">
        <v>432</v>
      </c>
      <c r="B433" s="1">
        <v>0</v>
      </c>
      <c r="C433" s="1">
        <f>[1]装备明细!B434</f>
        <v>304091509</v>
      </c>
      <c r="D433" s="1">
        <f t="shared" si="36"/>
        <v>200432</v>
      </c>
      <c r="E433" s="1" t="s">
        <v>63</v>
      </c>
      <c r="F433" s="1" t="str">
        <f ca="1">[1]装备明细!C434&amp;"图纸"</f>
        <v>赫柏的吊坠图纸</v>
      </c>
      <c r="G433" s="1" t="str">
        <f ca="1">[1]装备明细!$I434</f>
        <v>[334-375]防御 +4个随机属性 套装加成:魔攻+52全抗+20敏捷+53</v>
      </c>
      <c r="H433" s="1">
        <f t="shared" si="41"/>
        <v>100432</v>
      </c>
      <c r="I433" s="1">
        <v>1</v>
      </c>
      <c r="J433" s="1">
        <f>[1]装备明细!J434</f>
        <v>9</v>
      </c>
      <c r="K433" s="1">
        <f>[1]装备明细!K434</f>
        <v>5</v>
      </c>
      <c r="L433" s="1">
        <f>[1]装备明细!L434</f>
        <v>9</v>
      </c>
      <c r="M433" s="1">
        <v>6</v>
      </c>
      <c r="N433" s="1">
        <f>[1]装备明细!$F437</f>
        <v>3</v>
      </c>
      <c r="O433" s="1">
        <f>[1]装备明细!$E434</f>
        <v>4</v>
      </c>
      <c r="P433" s="1">
        <f t="shared" si="37"/>
        <v>4</v>
      </c>
      <c r="Q433" s="1">
        <f t="shared" si="38"/>
        <v>980</v>
      </c>
      <c r="R433" s="1">
        <f t="shared" si="39"/>
        <v>14</v>
      </c>
      <c r="S433" s="1">
        <f t="shared" si="40"/>
        <v>4</v>
      </c>
    </row>
    <row r="434" spans="1:19" x14ac:dyDescent="0.15">
      <c r="A434" s="1">
        <v>433</v>
      </c>
      <c r="B434" s="1">
        <v>0</v>
      </c>
      <c r="C434" s="1">
        <f>[1]装备明细!B435</f>
        <v>104091010</v>
      </c>
      <c r="D434" s="1">
        <f t="shared" si="36"/>
        <v>200433</v>
      </c>
      <c r="E434" s="1" t="s">
        <v>63</v>
      </c>
      <c r="F434" s="1" t="str">
        <f ca="1">[1]装备明细!C435&amp;"图纸"</f>
        <v>彼列的谎言图纸</v>
      </c>
      <c r="G434" s="1" t="str">
        <f ca="1">[1]装备明细!$I435</f>
        <v>[329-390]攻击 +4个随机属性 套装加成:hp+40物攻+357物防+150魔防+150</v>
      </c>
      <c r="H434" s="1">
        <f t="shared" si="41"/>
        <v>100433</v>
      </c>
      <c r="I434" s="1">
        <v>1</v>
      </c>
      <c r="J434" s="1">
        <f>[1]装备明细!J435</f>
        <v>10</v>
      </c>
      <c r="K434" s="1">
        <f>[1]装备明细!K435</f>
        <v>5</v>
      </c>
      <c r="L434" s="1">
        <f>[1]装备明细!L435</f>
        <v>9</v>
      </c>
      <c r="M434" s="1">
        <v>6</v>
      </c>
      <c r="N434" s="1">
        <f>[1]装备明细!$F438</f>
        <v>1</v>
      </c>
      <c r="O434" s="1">
        <f>[1]装备明细!$E435</f>
        <v>4</v>
      </c>
      <c r="P434" s="1">
        <f t="shared" si="37"/>
        <v>4</v>
      </c>
      <c r="Q434" s="1">
        <f t="shared" si="38"/>
        <v>980</v>
      </c>
      <c r="R434" s="1">
        <f t="shared" si="39"/>
        <v>19</v>
      </c>
      <c r="S434" s="1">
        <f t="shared" si="40"/>
        <v>4</v>
      </c>
    </row>
    <row r="435" spans="1:19" x14ac:dyDescent="0.15">
      <c r="A435" s="1">
        <v>434</v>
      </c>
      <c r="B435" s="1">
        <v>0</v>
      </c>
      <c r="C435" s="1">
        <f>[1]装备明细!B436</f>
        <v>204091410</v>
      </c>
      <c r="D435" s="1">
        <f t="shared" si="36"/>
        <v>200434</v>
      </c>
      <c r="E435" s="1" t="s">
        <v>63</v>
      </c>
      <c r="F435" s="1" t="str">
        <f ca="1">[1]装备明细!C436&amp;"图纸"</f>
        <v>彼列的幻象图纸</v>
      </c>
      <c r="G435" s="1" t="str">
        <f ca="1">[1]装备明细!$I436</f>
        <v>[334-375]防御 +4个随机属性 套装加成:hp+40物攻+357物防+150魔防+150</v>
      </c>
      <c r="H435" s="1">
        <f t="shared" si="41"/>
        <v>100434</v>
      </c>
      <c r="I435" s="1">
        <v>1</v>
      </c>
      <c r="J435" s="1">
        <f>[1]装备明细!J436</f>
        <v>10</v>
      </c>
      <c r="K435" s="1">
        <f>[1]装备明细!K436</f>
        <v>5</v>
      </c>
      <c r="L435" s="1">
        <f>[1]装备明细!L436</f>
        <v>9</v>
      </c>
      <c r="M435" s="1">
        <v>6</v>
      </c>
      <c r="N435" s="1">
        <f>[1]装备明细!$F439</f>
        <v>2</v>
      </c>
      <c r="O435" s="1">
        <f>[1]装备明细!$E436</f>
        <v>4</v>
      </c>
      <c r="P435" s="1">
        <f t="shared" si="37"/>
        <v>4</v>
      </c>
      <c r="Q435" s="1">
        <f t="shared" si="38"/>
        <v>980</v>
      </c>
      <c r="R435" s="1">
        <f t="shared" si="39"/>
        <v>14</v>
      </c>
      <c r="S435" s="1">
        <f t="shared" si="40"/>
        <v>4</v>
      </c>
    </row>
    <row r="436" spans="1:19" x14ac:dyDescent="0.15">
      <c r="A436" s="1">
        <v>435</v>
      </c>
      <c r="B436" s="1">
        <v>0</v>
      </c>
      <c r="C436" s="1">
        <f>[1]装备明细!B437</f>
        <v>304091510</v>
      </c>
      <c r="D436" s="1">
        <f t="shared" si="36"/>
        <v>200435</v>
      </c>
      <c r="E436" s="1" t="s">
        <v>63</v>
      </c>
      <c r="F436" s="1" t="str">
        <f ca="1">[1]装备明细!C437&amp;"图纸"</f>
        <v>彼列的面目图纸</v>
      </c>
      <c r="G436" s="1" t="str">
        <f ca="1">[1]装备明细!$I437</f>
        <v>[334-375]防御 +4个随机属性 套装加成:hp+40物攻+357物防+150魔防+150</v>
      </c>
      <c r="H436" s="1">
        <f t="shared" si="41"/>
        <v>100435</v>
      </c>
      <c r="I436" s="1">
        <v>1</v>
      </c>
      <c r="J436" s="1">
        <f>[1]装备明细!J437</f>
        <v>10</v>
      </c>
      <c r="K436" s="1">
        <f>[1]装备明细!K437</f>
        <v>5</v>
      </c>
      <c r="L436" s="1">
        <f>[1]装备明细!L437</f>
        <v>9</v>
      </c>
      <c r="M436" s="1">
        <v>6</v>
      </c>
      <c r="N436" s="1">
        <f>[1]装备明细!$F440</f>
        <v>3</v>
      </c>
      <c r="O436" s="1">
        <f>[1]装备明细!$E437</f>
        <v>4</v>
      </c>
      <c r="P436" s="1">
        <f t="shared" si="37"/>
        <v>4</v>
      </c>
      <c r="Q436" s="1">
        <f t="shared" si="38"/>
        <v>980</v>
      </c>
      <c r="R436" s="1">
        <f t="shared" si="39"/>
        <v>14</v>
      </c>
      <c r="S436" s="1">
        <f t="shared" si="40"/>
        <v>4</v>
      </c>
    </row>
    <row r="437" spans="1:19" x14ac:dyDescent="0.15">
      <c r="A437" s="1">
        <v>436</v>
      </c>
      <c r="B437" s="1">
        <v>0</v>
      </c>
      <c r="C437" s="1">
        <f>[1]装备明细!B438</f>
        <v>104091111</v>
      </c>
      <c r="D437" s="1">
        <f t="shared" si="36"/>
        <v>200436</v>
      </c>
      <c r="E437" s="1" t="s">
        <v>63</v>
      </c>
      <c r="F437" s="1" t="str">
        <f ca="1">[1]装备明细!C438&amp;"图纸"</f>
        <v>勒托之球图纸</v>
      </c>
      <c r="G437" s="1" t="str">
        <f ca="1">[1]装备明细!$I438</f>
        <v>[329-390]攻击 +4个随机属性 套装加成:魔攻+464全抗+40</v>
      </c>
      <c r="H437" s="1">
        <f t="shared" si="41"/>
        <v>100436</v>
      </c>
      <c r="I437" s="1">
        <v>1</v>
      </c>
      <c r="J437" s="1">
        <f>[1]装备明细!J438</f>
        <v>11</v>
      </c>
      <c r="K437" s="1">
        <f>[1]装备明细!K438</f>
        <v>5</v>
      </c>
      <c r="L437" s="1">
        <f>[1]装备明细!L438</f>
        <v>9</v>
      </c>
      <c r="M437" s="1">
        <v>6</v>
      </c>
      <c r="N437" s="1">
        <f>[1]装备明细!$F441</f>
        <v>1</v>
      </c>
      <c r="O437" s="1">
        <f>[1]装备明细!$E438</f>
        <v>4</v>
      </c>
      <c r="P437" s="1">
        <f t="shared" si="37"/>
        <v>4</v>
      </c>
      <c r="Q437" s="1">
        <f t="shared" si="38"/>
        <v>980</v>
      </c>
      <c r="R437" s="1">
        <f t="shared" si="39"/>
        <v>19</v>
      </c>
      <c r="S437" s="1">
        <f t="shared" si="40"/>
        <v>4</v>
      </c>
    </row>
    <row r="438" spans="1:19" x14ac:dyDescent="0.15">
      <c r="A438" s="1">
        <v>437</v>
      </c>
      <c r="B438" s="1">
        <v>0</v>
      </c>
      <c r="C438" s="1">
        <f>[1]装备明细!B439</f>
        <v>204091411</v>
      </c>
      <c r="D438" s="1">
        <f t="shared" si="36"/>
        <v>200437</v>
      </c>
      <c r="E438" s="1" t="s">
        <v>63</v>
      </c>
      <c r="F438" s="1" t="str">
        <f ca="1">[1]装备明细!C439&amp;"图纸"</f>
        <v>勒托之戒图纸</v>
      </c>
      <c r="G438" s="1" t="str">
        <f ca="1">[1]装备明细!$I439</f>
        <v>[334-375]防御 +4个随机属性 套装加成:魔攻+464全抗+40</v>
      </c>
      <c r="H438" s="1">
        <f t="shared" si="41"/>
        <v>100437</v>
      </c>
      <c r="I438" s="1">
        <v>1</v>
      </c>
      <c r="J438" s="1">
        <f>[1]装备明细!J439</f>
        <v>11</v>
      </c>
      <c r="K438" s="1">
        <f>[1]装备明细!K439</f>
        <v>5</v>
      </c>
      <c r="L438" s="1">
        <f>[1]装备明细!L439</f>
        <v>9</v>
      </c>
      <c r="M438" s="1">
        <v>6</v>
      </c>
      <c r="N438" s="1">
        <f>[1]装备明细!$F442</f>
        <v>2</v>
      </c>
      <c r="O438" s="1">
        <f>[1]装备明细!$E439</f>
        <v>4</v>
      </c>
      <c r="P438" s="1">
        <f t="shared" si="37"/>
        <v>4</v>
      </c>
      <c r="Q438" s="1">
        <f t="shared" si="38"/>
        <v>980</v>
      </c>
      <c r="R438" s="1">
        <f t="shared" si="39"/>
        <v>14</v>
      </c>
      <c r="S438" s="1">
        <f t="shared" si="40"/>
        <v>4</v>
      </c>
    </row>
    <row r="439" spans="1:19" x14ac:dyDescent="0.15">
      <c r="A439" s="1">
        <v>438</v>
      </c>
      <c r="B439" s="1">
        <v>0</v>
      </c>
      <c r="C439" s="1">
        <f>[1]装备明细!B440</f>
        <v>304091511</v>
      </c>
      <c r="D439" s="1">
        <f t="shared" si="36"/>
        <v>200438</v>
      </c>
      <c r="E439" s="1" t="s">
        <v>63</v>
      </c>
      <c r="F439" s="1" t="str">
        <f ca="1">[1]装备明细!C440&amp;"图纸"</f>
        <v>勒托之眼图纸</v>
      </c>
      <c r="G439" s="1" t="str">
        <f ca="1">[1]装备明细!$I440</f>
        <v>[334-375]防御 +4个随机属性 套装加成:魔攻+464全抗+40</v>
      </c>
      <c r="H439" s="1">
        <f t="shared" si="41"/>
        <v>100438</v>
      </c>
      <c r="I439" s="1">
        <v>1</v>
      </c>
      <c r="J439" s="1">
        <f>[1]装备明细!J440</f>
        <v>11</v>
      </c>
      <c r="K439" s="1">
        <f>[1]装备明细!K440</f>
        <v>5</v>
      </c>
      <c r="L439" s="1">
        <f>[1]装备明细!L440</f>
        <v>9</v>
      </c>
      <c r="M439" s="1">
        <v>6</v>
      </c>
      <c r="N439" s="1">
        <f>[1]装备明细!$F443</f>
        <v>3</v>
      </c>
      <c r="O439" s="1">
        <f>[1]装备明细!$E440</f>
        <v>4</v>
      </c>
      <c r="P439" s="1">
        <f t="shared" si="37"/>
        <v>4</v>
      </c>
      <c r="Q439" s="1">
        <f t="shared" si="38"/>
        <v>980</v>
      </c>
      <c r="R439" s="1">
        <f t="shared" si="39"/>
        <v>14</v>
      </c>
      <c r="S439" s="1">
        <f t="shared" si="40"/>
        <v>4</v>
      </c>
    </row>
    <row r="440" spans="1:19" x14ac:dyDescent="0.15">
      <c r="A440" s="1">
        <v>439</v>
      </c>
      <c r="B440" s="1">
        <v>0</v>
      </c>
      <c r="C440" s="1">
        <f>[1]装备明细!B441</f>
        <v>104091212</v>
      </c>
      <c r="D440" s="1">
        <f t="shared" si="36"/>
        <v>200439</v>
      </c>
      <c r="E440" s="1" t="s">
        <v>63</v>
      </c>
      <c r="F440" s="1" t="str">
        <f ca="1">[1]装备明细!C441&amp;"图纸"</f>
        <v>九尾狐的爪子图纸</v>
      </c>
      <c r="G440" s="1" t="str">
        <f ca="1">[1]装备明细!$I441</f>
        <v>[329-390]攻击 +4个随机属性 套装加成:物攻+178物防+225魔防+75敏捷+73</v>
      </c>
      <c r="H440" s="1">
        <f t="shared" si="41"/>
        <v>100439</v>
      </c>
      <c r="I440" s="1">
        <v>1</v>
      </c>
      <c r="J440" s="1">
        <f>[1]装备明细!J441</f>
        <v>12</v>
      </c>
      <c r="K440" s="1">
        <f>[1]装备明细!K441</f>
        <v>5</v>
      </c>
      <c r="L440" s="1">
        <f>[1]装备明细!L441</f>
        <v>9</v>
      </c>
      <c r="M440" s="1">
        <v>6</v>
      </c>
      <c r="N440" s="1">
        <f>[1]装备明细!$F444</f>
        <v>1</v>
      </c>
      <c r="O440" s="1">
        <f>[1]装备明细!$E441</f>
        <v>4</v>
      </c>
      <c r="P440" s="1">
        <f t="shared" si="37"/>
        <v>4</v>
      </c>
      <c r="Q440" s="1">
        <f t="shared" si="38"/>
        <v>980</v>
      </c>
      <c r="R440" s="1">
        <f t="shared" si="39"/>
        <v>19</v>
      </c>
      <c r="S440" s="1">
        <f t="shared" si="40"/>
        <v>4</v>
      </c>
    </row>
    <row r="441" spans="1:19" x14ac:dyDescent="0.15">
      <c r="A441" s="1">
        <v>440</v>
      </c>
      <c r="B441" s="1">
        <v>0</v>
      </c>
      <c r="C441" s="1">
        <f>[1]装备明细!B442</f>
        <v>204091412</v>
      </c>
      <c r="D441" s="1">
        <f t="shared" si="36"/>
        <v>200440</v>
      </c>
      <c r="E441" s="1" t="s">
        <v>63</v>
      </c>
      <c r="F441" s="1" t="str">
        <f ca="1">[1]装备明细!C442&amp;"图纸"</f>
        <v>九尾狐的指环图纸</v>
      </c>
      <c r="G441" s="1" t="str">
        <f ca="1">[1]装备明细!$I442</f>
        <v>[334-375]防御 +4个随机属性 套装加成:物攻+178物防+225魔防+75敏捷+73</v>
      </c>
      <c r="H441" s="1">
        <f t="shared" si="41"/>
        <v>100440</v>
      </c>
      <c r="I441" s="1">
        <v>1</v>
      </c>
      <c r="J441" s="1">
        <f>[1]装备明细!J442</f>
        <v>12</v>
      </c>
      <c r="K441" s="1">
        <f>[1]装备明细!K442</f>
        <v>5</v>
      </c>
      <c r="L441" s="1">
        <f>[1]装备明细!L442</f>
        <v>9</v>
      </c>
      <c r="M441" s="1">
        <v>6</v>
      </c>
      <c r="N441" s="1">
        <f>[1]装备明细!$F445</f>
        <v>2</v>
      </c>
      <c r="O441" s="1">
        <f>[1]装备明细!$E442</f>
        <v>4</v>
      </c>
      <c r="P441" s="1">
        <f t="shared" si="37"/>
        <v>4</v>
      </c>
      <c r="Q441" s="1">
        <f t="shared" si="38"/>
        <v>980</v>
      </c>
      <c r="R441" s="1">
        <f t="shared" si="39"/>
        <v>14</v>
      </c>
      <c r="S441" s="1">
        <f t="shared" si="40"/>
        <v>4</v>
      </c>
    </row>
    <row r="442" spans="1:19" x14ac:dyDescent="0.15">
      <c r="A442" s="1">
        <v>441</v>
      </c>
      <c r="B442" s="1">
        <v>0</v>
      </c>
      <c r="C442" s="1">
        <f>[1]装备明细!B443</f>
        <v>304091512</v>
      </c>
      <c r="D442" s="1">
        <f t="shared" si="36"/>
        <v>200441</v>
      </c>
      <c r="E442" s="1" t="s">
        <v>63</v>
      </c>
      <c r="F442" s="1" t="str">
        <f ca="1">[1]装备明细!C443&amp;"图纸"</f>
        <v>九尾狐的颈圈图纸</v>
      </c>
      <c r="G442" s="1" t="str">
        <f ca="1">[1]装备明细!$I443</f>
        <v>[334-375]防御 +4个随机属性 套装加成:物攻+178物防+225魔防+75敏捷+73</v>
      </c>
      <c r="H442" s="1">
        <f t="shared" si="41"/>
        <v>100441</v>
      </c>
      <c r="I442" s="1">
        <v>1</v>
      </c>
      <c r="J442" s="1">
        <f>[1]装备明细!J443</f>
        <v>12</v>
      </c>
      <c r="K442" s="1">
        <f>[1]装备明细!K443</f>
        <v>5</v>
      </c>
      <c r="L442" s="1">
        <f>[1]装备明细!L443</f>
        <v>9</v>
      </c>
      <c r="M442" s="1">
        <v>6</v>
      </c>
      <c r="N442" s="1">
        <f>[1]装备明细!$F446</f>
        <v>3</v>
      </c>
      <c r="O442" s="1">
        <f>[1]装备明细!$E443</f>
        <v>4</v>
      </c>
      <c r="P442" s="1">
        <f t="shared" si="37"/>
        <v>4</v>
      </c>
      <c r="Q442" s="1">
        <f t="shared" si="38"/>
        <v>980</v>
      </c>
      <c r="R442" s="1">
        <f t="shared" si="39"/>
        <v>14</v>
      </c>
      <c r="S442" s="1">
        <f t="shared" si="40"/>
        <v>4</v>
      </c>
    </row>
    <row r="443" spans="1:19" x14ac:dyDescent="0.15">
      <c r="A443" s="1">
        <v>442</v>
      </c>
      <c r="B443" s="1">
        <v>0</v>
      </c>
      <c r="C443" s="1">
        <f>[1]装备明细!B444</f>
        <v>104091313</v>
      </c>
      <c r="D443" s="1">
        <f t="shared" si="36"/>
        <v>200442</v>
      </c>
      <c r="E443" s="1" t="s">
        <v>63</v>
      </c>
      <c r="F443" s="1" t="str">
        <f ca="1">[1]装备明细!C444&amp;"图纸"</f>
        <v>泰瑞尔之剑图纸</v>
      </c>
      <c r="G443" s="1" t="str">
        <f ca="1">[1]装备明细!$I444</f>
        <v>[329-390]攻击 +4个随机属性 套装加成:hp+235物攻+207物防+75魔防+75</v>
      </c>
      <c r="H443" s="1">
        <f t="shared" si="41"/>
        <v>100442</v>
      </c>
      <c r="I443" s="1">
        <v>1</v>
      </c>
      <c r="J443" s="1">
        <f>[1]装备明细!J444</f>
        <v>13</v>
      </c>
      <c r="K443" s="1">
        <f>[1]装备明细!K444</f>
        <v>5</v>
      </c>
      <c r="L443" s="1">
        <f>[1]装备明细!L444</f>
        <v>9</v>
      </c>
      <c r="M443" s="1">
        <v>6</v>
      </c>
      <c r="N443" s="1">
        <f>[1]装备明细!$F447</f>
        <v>0</v>
      </c>
      <c r="O443" s="1">
        <f>[1]装备明细!$E444</f>
        <v>4</v>
      </c>
      <c r="P443" s="1">
        <f t="shared" si="37"/>
        <v>4</v>
      </c>
      <c r="Q443" s="1">
        <f t="shared" si="38"/>
        <v>980</v>
      </c>
      <c r="R443" s="1">
        <f t="shared" si="39"/>
        <v>19</v>
      </c>
      <c r="S443" s="1">
        <f t="shared" si="40"/>
        <v>4</v>
      </c>
    </row>
    <row r="444" spans="1:19" x14ac:dyDescent="0.15">
      <c r="A444" s="1">
        <v>443</v>
      </c>
      <c r="B444" s="1">
        <v>0</v>
      </c>
      <c r="C444" s="1">
        <f>[1]装备明细!B445</f>
        <v>204091413</v>
      </c>
      <c r="D444" s="1">
        <f t="shared" si="36"/>
        <v>200443</v>
      </c>
      <c r="E444" s="1" t="s">
        <v>63</v>
      </c>
      <c r="F444" s="1" t="str">
        <f ca="1">[1]装备明细!C445&amp;"图纸"</f>
        <v>泰瑞尔之力图纸</v>
      </c>
      <c r="G444" s="1" t="str">
        <f ca="1">[1]装备明细!$I445</f>
        <v>[334-375]防御 +4个随机属性 套装加成:hp+235物攻+207物防+75魔防+75</v>
      </c>
      <c r="H444" s="1">
        <f t="shared" si="41"/>
        <v>100443</v>
      </c>
      <c r="I444" s="1">
        <v>1</v>
      </c>
      <c r="J444" s="1">
        <f>[1]装备明细!J445</f>
        <v>13</v>
      </c>
      <c r="K444" s="1">
        <f>[1]装备明细!K445</f>
        <v>5</v>
      </c>
      <c r="L444" s="1">
        <f>[1]装备明细!L445</f>
        <v>9</v>
      </c>
      <c r="M444" s="1">
        <v>6</v>
      </c>
      <c r="N444" s="1">
        <f>[1]装备明细!$F448</f>
        <v>0</v>
      </c>
      <c r="O444" s="1">
        <f>[1]装备明细!$E445</f>
        <v>4</v>
      </c>
      <c r="P444" s="1">
        <f t="shared" si="37"/>
        <v>4</v>
      </c>
      <c r="Q444" s="1">
        <f t="shared" si="38"/>
        <v>980</v>
      </c>
      <c r="R444" s="1">
        <f t="shared" si="39"/>
        <v>14</v>
      </c>
      <c r="S444" s="1">
        <f t="shared" si="40"/>
        <v>4</v>
      </c>
    </row>
    <row r="445" spans="1:19" x14ac:dyDescent="0.15">
      <c r="A445" s="1">
        <v>444</v>
      </c>
      <c r="B445" s="1">
        <v>0</v>
      </c>
      <c r="C445" s="1">
        <f>[1]装备明细!B446</f>
        <v>304091513</v>
      </c>
      <c r="D445" s="1">
        <f t="shared" si="36"/>
        <v>200444</v>
      </c>
      <c r="E445" s="1" t="s">
        <v>63</v>
      </c>
      <c r="F445" s="1" t="str">
        <f ca="1">[1]装备明细!C446&amp;"图纸"</f>
        <v>泰瑞尔之威严图纸</v>
      </c>
      <c r="G445" s="1" t="str">
        <f ca="1">[1]装备明细!$I446</f>
        <v>[334-375]防御 +4个随机属性 套装加成:hp+235物攻+207物防+75魔防+75</v>
      </c>
      <c r="H445" s="1">
        <f t="shared" si="41"/>
        <v>100444</v>
      </c>
      <c r="I445" s="1">
        <v>1</v>
      </c>
      <c r="J445" s="1">
        <f>[1]装备明细!J446</f>
        <v>13</v>
      </c>
      <c r="K445" s="1">
        <f>[1]装备明细!K446</f>
        <v>5</v>
      </c>
      <c r="L445" s="1">
        <f>[1]装备明细!L446</f>
        <v>9</v>
      </c>
      <c r="M445" s="1">
        <v>6</v>
      </c>
      <c r="N445" s="1">
        <f>[1]装备明细!$F449</f>
        <v>0</v>
      </c>
      <c r="O445" s="1">
        <f>[1]装备明细!$E446</f>
        <v>4</v>
      </c>
      <c r="P445" s="1">
        <f t="shared" si="37"/>
        <v>4</v>
      </c>
      <c r="Q445" s="1">
        <f t="shared" si="38"/>
        <v>980</v>
      </c>
      <c r="R445" s="1">
        <f t="shared" si="39"/>
        <v>14</v>
      </c>
      <c r="S445" s="1">
        <f t="shared" si="40"/>
        <v>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O5832"/>
  <sheetViews>
    <sheetView tabSelected="1" topLeftCell="A5804" workbookViewId="0">
      <selection activeCell="B5827" sqref="B5827"/>
    </sheetView>
  </sheetViews>
  <sheetFormatPr defaultRowHeight="12.75" x14ac:dyDescent="0.15"/>
  <cols>
    <col min="1" max="1" width="9" style="1"/>
    <col min="2" max="2" width="12.125" style="1" customWidth="1"/>
    <col min="3" max="3" width="9" style="1"/>
    <col min="4" max="5" width="9" style="5"/>
    <col min="6" max="8" width="9" style="1"/>
    <col min="9" max="9" width="31.625" style="1" customWidth="1"/>
    <col min="10" max="10" width="32.125" style="1" customWidth="1"/>
    <col min="11" max="16" width="9" style="1"/>
    <col min="17" max="17" width="26.625" style="1" customWidth="1"/>
    <col min="18" max="16384" width="9" style="1"/>
  </cols>
  <sheetData>
    <row r="1" spans="1:17" x14ac:dyDescent="0.15">
      <c r="A1" s="1" t="s">
        <v>7</v>
      </c>
      <c r="B1" s="1" t="s">
        <v>53</v>
      </c>
      <c r="C1" s="1" t="s">
        <v>9</v>
      </c>
      <c r="D1" s="5" t="s">
        <v>10</v>
      </c>
      <c r="E1" s="5" t="s">
        <v>11</v>
      </c>
      <c r="F1" s="1" t="s">
        <v>12</v>
      </c>
      <c r="G1" s="1" t="s">
        <v>13</v>
      </c>
    </row>
    <row r="2" spans="1:17" x14ac:dyDescent="0.15">
      <c r="A2" s="1">
        <v>1</v>
      </c>
      <c r="B2" s="1">
        <v>101010100</v>
      </c>
      <c r="C2" s="1">
        <v>3</v>
      </c>
      <c r="D2" s="5">
        <f ca="1">IF(getQuality(B2)&lt;4,getOtherMin(B2,C2,INDIRECT(J$2),INDIRECT(I2),test),getMin(B2,C2,INDIRECT(J$2),INDIRECT(I2),test))</f>
        <v>1</v>
      </c>
      <c r="E2" s="5">
        <f ca="1">IF(getQuality(B2)&lt;4,getOtherMax(B2,C2,INDIRECT(J$2),INDIRECT(I2),test),getMax(B2,C2,INDIRECT(J$2),INDIRECT(I2),test))</f>
        <v>18.007406798785986</v>
      </c>
      <c r="F2" s="1" t="str">
        <f>getper(B2,C2)</f>
        <v>80</v>
      </c>
      <c r="G2" s="1" t="str">
        <f>getMust(B2,C2)</f>
        <v/>
      </c>
      <c r="I2" s="1" t="str">
        <f t="shared" ref="I2:I65" si="0">IF(C2&lt;100,VLOOKUP(C2,test,3,FALSE),VLOOKUP(C2,test1,3,FALSE))</f>
        <v>威尔新数值1.06.xlsm!suitPower</v>
      </c>
      <c r="J2" s="1" t="s">
        <v>57</v>
      </c>
    </row>
    <row r="3" spans="1:17" x14ac:dyDescent="0.15">
      <c r="A3" s="1">
        <v>2</v>
      </c>
      <c r="B3" s="1">
        <v>101010100</v>
      </c>
      <c r="C3" s="1">
        <v>5</v>
      </c>
      <c r="D3" s="5">
        <f ca="1">IF(getQuality(B3)&lt;4,getOtherMin(B3,C3,INDIRECT(J$2),INDIRECT(I3),test),getMin(B3,C3,INDIRECT(J$2),INDIRECT(I3),test))</f>
        <v>1</v>
      </c>
      <c r="E3" s="5">
        <f ca="1">IF(getQuality(B3)&lt;4,getOtherMax(B3,C3,INDIRECT(J$2),INDIRECT(I3),test),getMax(B3,C3,INDIRECT(J$2),INDIRECT(I3),test))</f>
        <v>18.007406798785986</v>
      </c>
      <c r="F3" s="1" t="str">
        <f t="shared" ref="F3:F66" si="1">getper(B3,C3)</f>
        <v>20</v>
      </c>
      <c r="G3" s="1" t="str">
        <f t="shared" ref="G3:G66" si="2">getMust(B3,C3)</f>
        <v/>
      </c>
      <c r="I3" s="1" t="str">
        <f t="shared" si="0"/>
        <v>威尔新数值1.06.xlsm!suitPower</v>
      </c>
      <c r="J3" s="1" t="s">
        <v>58</v>
      </c>
    </row>
    <row r="4" spans="1:17" x14ac:dyDescent="0.15">
      <c r="A4" s="1">
        <v>3</v>
      </c>
      <c r="B4" s="1">
        <v>101020100</v>
      </c>
      <c r="C4" s="1">
        <f>C2</f>
        <v>3</v>
      </c>
      <c r="D4" s="5">
        <f ca="1">IF(getQuality(B4)&lt;4,getOtherMin(B4,C4,INDIRECT(J$2),INDIRECT(I4),test),getMin(B4,C4,INDIRECT(J$2),INDIRECT(I4),test))</f>
        <v>19.007406798785986</v>
      </c>
      <c r="E4" s="5">
        <f ca="1">IF(getQuality(B4)&lt;4,getOtherMax(B4,C4,INDIRECT(J$2),INDIRECT(I4),test),getMax(B4,C4,INDIRECT(J$2),INDIRECT(I4),test))</f>
        <v>39.616294957329167</v>
      </c>
      <c r="F4" s="1" t="str">
        <f t="shared" si="1"/>
        <v>80</v>
      </c>
      <c r="G4" s="1" t="str">
        <f t="shared" si="2"/>
        <v/>
      </c>
      <c r="I4" s="1" t="str">
        <f t="shared" si="0"/>
        <v>威尔新数值1.06.xlsm!suitPower</v>
      </c>
    </row>
    <row r="5" spans="1:17" x14ac:dyDescent="0.15">
      <c r="A5" s="1">
        <v>4</v>
      </c>
      <c r="B5" s="1">
        <v>101020100</v>
      </c>
      <c r="C5" s="1">
        <f t="shared" ref="C5:C68" si="3">C3</f>
        <v>5</v>
      </c>
      <c r="D5" s="5">
        <f ca="1">IF(getQuality(B5)&lt;4,getOtherMin(B5,C5,INDIRECT(J$2),INDIRECT(I5),test),getMin(B5,C5,INDIRECT(J$2),INDIRECT(I5),test))</f>
        <v>19.007406798785986</v>
      </c>
      <c r="E5" s="5">
        <f ca="1">IF(getQuality(B5)&lt;4,getOtherMax(B5,C5,INDIRECT(J$2),INDIRECT(I5),test),getMax(B5,C5,INDIRECT(J$2),INDIRECT(I5),test))</f>
        <v>39.616294957329167</v>
      </c>
      <c r="F5" s="1" t="str">
        <f t="shared" si="1"/>
        <v>20</v>
      </c>
      <c r="G5" s="1" t="str">
        <f t="shared" si="2"/>
        <v/>
      </c>
      <c r="I5" s="1" t="str">
        <f t="shared" si="0"/>
        <v>威尔新数值1.06.xlsm!suitPower</v>
      </c>
    </row>
    <row r="6" spans="1:17" x14ac:dyDescent="0.15">
      <c r="A6" s="1">
        <v>5</v>
      </c>
      <c r="B6" s="1">
        <v>101030100</v>
      </c>
      <c r="C6" s="1">
        <f t="shared" si="3"/>
        <v>3</v>
      </c>
      <c r="D6" s="5">
        <f ca="1">IF(getQuality(B6)&lt;4,getOtherMin(B6,C6,INDIRECT(J$2),INDIRECT(I6),test),getMin(B6,C6,INDIRECT(J$2),INDIRECT(I6),test))</f>
        <v>40.616294957329167</v>
      </c>
      <c r="E6" s="5">
        <f ca="1">IF(getQuality(B6)&lt;4,getOtherMax(B6,C6,INDIRECT(J$2),INDIRECT(I6),test),getMax(B6,C6,INDIRECT(J$2),INDIRECT(I6),test))</f>
        <v>64.826664475629542</v>
      </c>
      <c r="F6" s="1" t="str">
        <f t="shared" si="1"/>
        <v>80</v>
      </c>
      <c r="G6" s="1" t="str">
        <f t="shared" si="2"/>
        <v/>
      </c>
      <c r="I6" s="1" t="str">
        <f t="shared" si="0"/>
        <v>威尔新数值1.06.xlsm!suitPower</v>
      </c>
      <c r="O6" s="3"/>
      <c r="P6" s="3" t="s">
        <v>15</v>
      </c>
      <c r="Q6" s="3"/>
    </row>
    <row r="7" spans="1:17" x14ac:dyDescent="0.15">
      <c r="A7" s="1">
        <v>6</v>
      </c>
      <c r="B7" s="1">
        <v>101030100</v>
      </c>
      <c r="C7" s="1">
        <f t="shared" si="3"/>
        <v>5</v>
      </c>
      <c r="D7" s="5">
        <f ca="1">IF(getQuality(B7)&lt;4,getOtherMin(B7,C7,INDIRECT(J$2),INDIRECT(I7),test),getMin(B7,C7,INDIRECT(J$2),INDIRECT(I7),test))</f>
        <v>40.616294957329167</v>
      </c>
      <c r="E7" s="5">
        <f ca="1">IF(getQuality(B7)&lt;4,getOtherMax(B7,C7,INDIRECT(J$2),INDIRECT(I7),test),getMax(B7,C7,INDIRECT(J$2),INDIRECT(I7),test))</f>
        <v>64.826664475629542</v>
      </c>
      <c r="F7" s="1" t="str">
        <f t="shared" si="1"/>
        <v>20</v>
      </c>
      <c r="G7" s="1" t="str">
        <f t="shared" si="2"/>
        <v/>
      </c>
      <c r="I7" s="1" t="str">
        <f t="shared" si="0"/>
        <v>威尔新数值1.06.xlsm!suitPower</v>
      </c>
      <c r="O7" s="3">
        <v>1</v>
      </c>
      <c r="P7" s="3" t="s">
        <v>14</v>
      </c>
      <c r="Q7" s="3" t="s">
        <v>51</v>
      </c>
    </row>
    <row r="8" spans="1:17" x14ac:dyDescent="0.15">
      <c r="A8" s="1">
        <v>7</v>
      </c>
      <c r="B8" s="1">
        <v>101040100</v>
      </c>
      <c r="C8" s="1">
        <f t="shared" si="3"/>
        <v>3</v>
      </c>
      <c r="D8" s="5">
        <f ca="1">IF(getQuality(B8)&lt;4,getOtherMin(B8,C8,INDIRECT(J$2),INDIRECT(I8),test),getMin(B8,C8,INDIRECT(J$2),INDIRECT(I8),test))</f>
        <v>65.826664475629542</v>
      </c>
      <c r="E8" s="5">
        <f ca="1">IF(getQuality(B8)&lt;4,getOtherMax(B8,C8,INDIRECT(J$2),INDIRECT(I8),test),getMax(B8,C8,INDIRECT(J$2),INDIRECT(I8),test))</f>
        <v>93.638515353687112</v>
      </c>
      <c r="F8" s="1" t="str">
        <f t="shared" si="1"/>
        <v>80</v>
      </c>
      <c r="G8" s="1" t="str">
        <f t="shared" si="2"/>
        <v/>
      </c>
      <c r="I8" s="1" t="str">
        <f t="shared" si="0"/>
        <v>威尔新数值1.06.xlsm!suitPower</v>
      </c>
      <c r="O8" s="3">
        <v>2</v>
      </c>
      <c r="P8" s="3" t="s">
        <v>19</v>
      </c>
      <c r="Q8" s="3" t="s">
        <v>51</v>
      </c>
    </row>
    <row r="9" spans="1:17" ht="13.5" x14ac:dyDescent="0.15">
      <c r="A9" s="1">
        <v>8</v>
      </c>
      <c r="B9" s="1">
        <v>101040100</v>
      </c>
      <c r="C9" s="1">
        <f t="shared" si="3"/>
        <v>5</v>
      </c>
      <c r="D9" s="5">
        <f ca="1">IF(getQuality(B9)&lt;4,getOtherMin(B9,C9,INDIRECT(J$2),INDIRECT(I9),test),getMin(B9,C9,INDIRECT(J$2),INDIRECT(I9),test))</f>
        <v>65.826664475629542</v>
      </c>
      <c r="E9" s="5">
        <f ca="1">IF(getQuality(B9)&lt;4,getOtherMax(B9,C9,INDIRECT(J$2),INDIRECT(I9),test),getMax(B9,C9,INDIRECT(J$2),INDIRECT(I9),test))</f>
        <v>93.638515353687112</v>
      </c>
      <c r="F9" s="1" t="str">
        <f t="shared" si="1"/>
        <v>20</v>
      </c>
      <c r="G9" s="1" t="str">
        <f t="shared" si="2"/>
        <v/>
      </c>
      <c r="I9" s="1" t="str">
        <f t="shared" si="0"/>
        <v>威尔新数值1.06.xlsm!suitPower</v>
      </c>
      <c r="O9" s="3">
        <v>3</v>
      </c>
      <c r="P9" s="4" t="s">
        <v>16</v>
      </c>
      <c r="Q9" s="3" t="s">
        <v>54</v>
      </c>
    </row>
    <row r="10" spans="1:17" ht="13.5" x14ac:dyDescent="0.15">
      <c r="A10" s="1">
        <v>9</v>
      </c>
      <c r="B10" s="1">
        <v>101050100</v>
      </c>
      <c r="C10" s="1">
        <f t="shared" si="3"/>
        <v>3</v>
      </c>
      <c r="D10" s="5">
        <f ca="1">IF(getQuality(B10)&lt;4,getOtherMin(B10,C10,INDIRECT(J$2),INDIRECT(I10),test),getMin(B10,C10,INDIRECT(J$2),INDIRECT(I10),test))</f>
        <v>94.638515353687112</v>
      </c>
      <c r="E10" s="5">
        <f ca="1">IF(getQuality(B10)&lt;4,getOtherMax(B10,C10,INDIRECT(J$2),INDIRECT(I10),test),getMax(B10,C10,INDIRECT(J$2),INDIRECT(I10),test))</f>
        <v>126.8703660823558</v>
      </c>
      <c r="F10" s="1" t="str">
        <f t="shared" si="1"/>
        <v>80</v>
      </c>
      <c r="G10" s="1" t="str">
        <f t="shared" si="2"/>
        <v/>
      </c>
      <c r="I10" s="1" t="str">
        <f t="shared" si="0"/>
        <v>威尔新数值1.06.xlsm!suitPower</v>
      </c>
      <c r="O10" s="3">
        <v>4</v>
      </c>
      <c r="P10" s="4" t="s">
        <v>17</v>
      </c>
      <c r="Q10" s="3" t="s">
        <v>42</v>
      </c>
    </row>
    <row r="11" spans="1:17" ht="13.5" x14ac:dyDescent="0.15">
      <c r="A11" s="1">
        <v>10</v>
      </c>
      <c r="B11" s="1">
        <v>101050100</v>
      </c>
      <c r="C11" s="1">
        <f t="shared" si="3"/>
        <v>5</v>
      </c>
      <c r="D11" s="5">
        <f ca="1">IF(getQuality(B11)&lt;4,getOtherMin(B11,C11,INDIRECT(J$2),INDIRECT(I11),test),getMin(B11,C11,INDIRECT(J$2),INDIRECT(I11),test))</f>
        <v>94.638515353687112</v>
      </c>
      <c r="E11" s="5">
        <f ca="1">IF(getQuality(B11)&lt;4,getOtherMax(B11,C11,INDIRECT(J$2),INDIRECT(I11),test),getMax(B11,C11,INDIRECT(J$2),INDIRECT(I11),test))</f>
        <v>126.8703660823558</v>
      </c>
      <c r="F11" s="1" t="str">
        <f t="shared" si="1"/>
        <v>20</v>
      </c>
      <c r="G11" s="1" t="str">
        <f t="shared" si="2"/>
        <v/>
      </c>
      <c r="I11" s="1" t="str">
        <f t="shared" si="0"/>
        <v>威尔新数值1.06.xlsm!suitPower</v>
      </c>
      <c r="L11" s="2" t="s">
        <v>43</v>
      </c>
      <c r="M11" s="2" t="s">
        <v>44</v>
      </c>
      <c r="O11" s="3">
        <v>5</v>
      </c>
      <c r="P11" s="4" t="s">
        <v>8</v>
      </c>
      <c r="Q11" s="3" t="s">
        <v>42</v>
      </c>
    </row>
    <row r="12" spans="1:17" ht="13.5" x14ac:dyDescent="0.15">
      <c r="A12" s="1">
        <v>11</v>
      </c>
      <c r="B12" s="1">
        <v>101060100</v>
      </c>
      <c r="C12" s="1">
        <f t="shared" si="3"/>
        <v>3</v>
      </c>
      <c r="D12" s="5">
        <f ca="1">IF(getQuality(B12)&lt;4,getOtherMin(B12,C12,INDIRECT(J$2),INDIRECT(I12),test),getMin(B12,C12,INDIRECT(J$2),INDIRECT(I12),test))</f>
        <v>127.8703660823558</v>
      </c>
      <c r="E12" s="5">
        <f ca="1">IF(getQuality(B12)&lt;4,getOtherMax(B12,C12,INDIRECT(J$2),INDIRECT(I12),test),getMax(B12,C12,INDIRECT(J$2),INDIRECT(I12),test))</f>
        <v>163.04888337809854</v>
      </c>
      <c r="F12" s="1" t="str">
        <f t="shared" si="1"/>
        <v>80</v>
      </c>
      <c r="G12" s="1" t="str">
        <f t="shared" si="2"/>
        <v/>
      </c>
      <c r="I12" s="1" t="str">
        <f t="shared" si="0"/>
        <v>威尔新数值1.06.xlsm!suitPower</v>
      </c>
      <c r="L12" s="3">
        <v>3</v>
      </c>
      <c r="M12" s="3">
        <v>1</v>
      </c>
      <c r="O12" s="3">
        <v>6</v>
      </c>
      <c r="P12" s="4" t="s">
        <v>18</v>
      </c>
      <c r="Q12" s="3" t="s">
        <v>42</v>
      </c>
    </row>
    <row r="13" spans="1:17" ht="13.5" x14ac:dyDescent="0.15">
      <c r="A13" s="1">
        <v>12</v>
      </c>
      <c r="B13" s="1">
        <v>101060100</v>
      </c>
      <c r="C13" s="1">
        <f t="shared" si="3"/>
        <v>5</v>
      </c>
      <c r="D13" s="5">
        <f ca="1">IF(getQuality(B13)&lt;4,getOtherMin(B13,C13,INDIRECT(J$2),INDIRECT(I13),test),getMin(B13,C13,INDIRECT(J$2),INDIRECT(I13),test))</f>
        <v>127.8703660823558</v>
      </c>
      <c r="E13" s="5">
        <f ca="1">IF(getQuality(B13)&lt;4,getOtherMax(B13,C13,INDIRECT(J$2),INDIRECT(I13),test),getMax(B13,C13,INDIRECT(J$2),INDIRECT(I13),test))</f>
        <v>163.04888337809854</v>
      </c>
      <c r="F13" s="1" t="str">
        <f t="shared" si="1"/>
        <v>20</v>
      </c>
      <c r="G13" s="1" t="str">
        <f t="shared" si="2"/>
        <v/>
      </c>
      <c r="I13" s="1" t="str">
        <f t="shared" si="0"/>
        <v>威尔新数值1.06.xlsm!suitPower</v>
      </c>
      <c r="L13" s="3">
        <v>5</v>
      </c>
      <c r="M13" s="3">
        <v>2</v>
      </c>
      <c r="O13" s="3">
        <v>7</v>
      </c>
      <c r="P13" s="4" t="s">
        <v>45</v>
      </c>
      <c r="Q13" s="3" t="s">
        <v>42</v>
      </c>
    </row>
    <row r="14" spans="1:17" ht="13.5" x14ac:dyDescent="0.15">
      <c r="A14" s="1">
        <v>13</v>
      </c>
      <c r="B14" s="1">
        <v>101070100</v>
      </c>
      <c r="C14" s="1">
        <f t="shared" si="3"/>
        <v>3</v>
      </c>
      <c r="D14" s="5">
        <f ca="1">IF(getQuality(B14)&lt;4,getOtherMin(B14,C14,INDIRECT(J$2),INDIRECT(I14),test),getMin(B14,C14,INDIRECT(J$2),INDIRECT(I14),test))</f>
        <v>164.04888337809854</v>
      </c>
      <c r="E14" s="5">
        <f ca="1">IF(getQuality(B14)&lt;4,getOtherMax(B14,C14,INDIRECT(J$2),INDIRECT(I14),test),getMax(B14,C14,INDIRECT(J$2),INDIRECT(I14),test))</f>
        <v>202.82888203359849</v>
      </c>
      <c r="F14" s="1" t="str">
        <f t="shared" si="1"/>
        <v>80</v>
      </c>
      <c r="G14" s="1" t="str">
        <f t="shared" si="2"/>
        <v/>
      </c>
      <c r="I14" s="1" t="str">
        <f t="shared" si="0"/>
        <v>威尔新数值1.06.xlsm!suitPower</v>
      </c>
      <c r="L14" s="3">
        <v>7</v>
      </c>
      <c r="M14" s="3">
        <v>4</v>
      </c>
      <c r="O14" s="3">
        <v>8</v>
      </c>
      <c r="P14" s="4" t="s">
        <v>46</v>
      </c>
      <c r="Q14" s="3" t="s">
        <v>42</v>
      </c>
    </row>
    <row r="15" spans="1:17" ht="13.5" x14ac:dyDescent="0.15">
      <c r="A15" s="1">
        <v>14</v>
      </c>
      <c r="B15" s="1">
        <v>101070100</v>
      </c>
      <c r="C15" s="1">
        <f t="shared" si="3"/>
        <v>5</v>
      </c>
      <c r="D15" s="5">
        <f ca="1">IF(getQuality(B15)&lt;4,getOtherMin(B15,C15,INDIRECT(J$2),INDIRECT(I15),test),getMin(B15,C15,INDIRECT(J$2),INDIRECT(I15),test))</f>
        <v>164.04888337809854</v>
      </c>
      <c r="E15" s="5">
        <f ca="1">IF(getQuality(B15)&lt;4,getOtherMax(B15,C15,INDIRECT(J$2),INDIRECT(I15),test),getMax(B15,C15,INDIRECT(J$2),INDIRECT(I15),test))</f>
        <v>202.82888203359849</v>
      </c>
      <c r="F15" s="1" t="str">
        <f t="shared" si="1"/>
        <v>20</v>
      </c>
      <c r="G15" s="1" t="str">
        <f t="shared" si="2"/>
        <v/>
      </c>
      <c r="I15" s="1" t="str">
        <f t="shared" si="0"/>
        <v>威尔新数值1.06.xlsm!suitPower</v>
      </c>
      <c r="L15" s="3">
        <v>8</v>
      </c>
      <c r="M15" s="3">
        <v>6</v>
      </c>
      <c r="O15" s="3">
        <v>9</v>
      </c>
      <c r="P15" s="4" t="s">
        <v>20</v>
      </c>
      <c r="Q15" s="3" t="s">
        <v>42</v>
      </c>
    </row>
    <row r="16" spans="1:17" ht="13.5" x14ac:dyDescent="0.15">
      <c r="A16" s="1">
        <v>15</v>
      </c>
      <c r="B16" s="1">
        <v>101080100</v>
      </c>
      <c r="C16" s="1">
        <f t="shared" si="3"/>
        <v>3</v>
      </c>
      <c r="D16" s="5">
        <f ca="1">IF(getQuality(B16)&lt;4,getOtherMin(B16,C16,INDIRECT(J$2),INDIRECT(I16),test),getMin(B16,C16,INDIRECT(J$2),INDIRECT(I16),test))</f>
        <v>203.82888203359849</v>
      </c>
      <c r="E16" s="5">
        <f ca="1">IF(getQuality(B16)&lt;4,getOtherMax(B16,C16,INDIRECT(J$2),INDIRECT(I16),test),getMax(B16,C16,INDIRECT(J$2),INDIRECT(I16),test))</f>
        <v>246.21036204885561</v>
      </c>
      <c r="F16" s="1" t="str">
        <f t="shared" si="1"/>
        <v>80</v>
      </c>
      <c r="G16" s="1" t="str">
        <f t="shared" si="2"/>
        <v/>
      </c>
      <c r="I16" s="1" t="str">
        <f t="shared" si="0"/>
        <v>威尔新数值1.06.xlsm!suitPower</v>
      </c>
      <c r="L16" s="3">
        <v>9</v>
      </c>
      <c r="M16" s="3">
        <v>7</v>
      </c>
      <c r="O16" s="3">
        <v>10</v>
      </c>
      <c r="P16" s="4" t="s">
        <v>21</v>
      </c>
      <c r="Q16" s="3" t="s">
        <v>42</v>
      </c>
    </row>
    <row r="17" spans="1:17" ht="13.5" x14ac:dyDescent="0.15">
      <c r="A17" s="1">
        <v>16</v>
      </c>
      <c r="B17" s="1">
        <v>101080100</v>
      </c>
      <c r="C17" s="1">
        <f t="shared" si="3"/>
        <v>5</v>
      </c>
      <c r="D17" s="5">
        <f ca="1">IF(getQuality(B17)&lt;4,getOtherMin(B17,C17,INDIRECT(J$2),INDIRECT(I17),test),getMin(B17,C17,INDIRECT(J$2),INDIRECT(I17),test))</f>
        <v>203.82888203359849</v>
      </c>
      <c r="E17" s="5">
        <f ca="1">IF(getQuality(B17)&lt;4,getOtherMax(B17,C17,INDIRECT(J$2),INDIRECT(I17),test),getMax(B17,C17,INDIRECT(J$2),INDIRECT(I17),test))</f>
        <v>246.21036204885561</v>
      </c>
      <c r="F17" s="1" t="str">
        <f t="shared" si="1"/>
        <v>20</v>
      </c>
      <c r="G17" s="1" t="str">
        <f t="shared" si="2"/>
        <v/>
      </c>
      <c r="I17" s="1" t="str">
        <f t="shared" si="0"/>
        <v>威尔新数值1.06.xlsm!suitPower</v>
      </c>
      <c r="L17" s="3">
        <v>10</v>
      </c>
      <c r="M17" s="3">
        <v>8</v>
      </c>
      <c r="O17" s="3">
        <v>11</v>
      </c>
      <c r="P17" s="4" t="s">
        <v>22</v>
      </c>
      <c r="Q17" s="3" t="s">
        <v>42</v>
      </c>
    </row>
    <row r="18" spans="1:17" ht="13.5" x14ac:dyDescent="0.15">
      <c r="A18" s="1">
        <v>17</v>
      </c>
      <c r="B18" s="1">
        <v>101090100</v>
      </c>
      <c r="C18" s="1">
        <f t="shared" si="3"/>
        <v>3</v>
      </c>
      <c r="D18" s="5">
        <f ca="1">IF(getQuality(B18)&lt;4,getOtherMin(B18,C18,INDIRECT(J$2),INDIRECT(I18),test),getMin(B18,C18,INDIRECT(J$2),INDIRECT(I18),test))</f>
        <v>247.21036204885561</v>
      </c>
      <c r="E18" s="5">
        <f ca="1">IF(getQuality(B18)&lt;4,getOtherMax(B18,C18,INDIRECT(J$2),INDIRECT(I18),test),getMax(B18,C18,INDIRECT(J$2),INDIRECT(I18),test))</f>
        <v>293.19332342386997</v>
      </c>
      <c r="F18" s="1" t="str">
        <f t="shared" si="1"/>
        <v>80</v>
      </c>
      <c r="G18" s="1" t="str">
        <f t="shared" si="2"/>
        <v/>
      </c>
      <c r="I18" s="1" t="str">
        <f t="shared" si="0"/>
        <v>威尔新数值1.06.xlsm!suitPower</v>
      </c>
      <c r="L18" s="3">
        <v>11</v>
      </c>
      <c r="M18" s="3">
        <v>16</v>
      </c>
      <c r="O18" s="3">
        <v>12</v>
      </c>
      <c r="P18" s="4" t="s">
        <v>23</v>
      </c>
      <c r="Q18" s="3" t="s">
        <v>42</v>
      </c>
    </row>
    <row r="19" spans="1:17" ht="13.5" x14ac:dyDescent="0.15">
      <c r="A19" s="1">
        <v>18</v>
      </c>
      <c r="B19" s="1">
        <v>101090100</v>
      </c>
      <c r="C19" s="1">
        <f t="shared" si="3"/>
        <v>5</v>
      </c>
      <c r="D19" s="5">
        <f ca="1">IF(getQuality(B19)&lt;4,getOtherMin(B19,C19,INDIRECT(J$2),INDIRECT(I19),test),getMin(B19,C19,INDIRECT(J$2),INDIRECT(I19),test))</f>
        <v>247.21036204885561</v>
      </c>
      <c r="E19" s="5">
        <f ca="1">IF(getQuality(B19)&lt;4,getOtherMax(B19,C19,INDIRECT(J$2),INDIRECT(I19),test),getMax(B19,C19,INDIRECT(J$2),INDIRECT(I19),test))</f>
        <v>293.19332342386997</v>
      </c>
      <c r="F19" s="1" t="str">
        <f t="shared" si="1"/>
        <v>20</v>
      </c>
      <c r="G19" s="1" t="str">
        <f t="shared" si="2"/>
        <v/>
      </c>
      <c r="I19" s="1" t="str">
        <f t="shared" si="0"/>
        <v>威尔新数值1.06.xlsm!suitPower</v>
      </c>
      <c r="L19" s="3">
        <v>12</v>
      </c>
      <c r="M19" s="3">
        <v>17</v>
      </c>
      <c r="O19" s="3">
        <v>13</v>
      </c>
      <c r="P19" s="4" t="s">
        <v>24</v>
      </c>
      <c r="Q19" s="3" t="s">
        <v>42</v>
      </c>
    </row>
    <row r="20" spans="1:17" ht="13.5" x14ac:dyDescent="0.15">
      <c r="A20" s="1">
        <v>19</v>
      </c>
      <c r="B20" s="1">
        <v>101010200</v>
      </c>
      <c r="C20" s="1">
        <f t="shared" si="3"/>
        <v>3</v>
      </c>
      <c r="D20" s="5">
        <f ca="1">IF(getQuality(B20)&lt;4,getOtherMin(B20,C20,INDIRECT(J$2),INDIRECT(I20),test),getMin(B20,C20,INDIRECT(J$2),INDIRECT(I20),test))</f>
        <v>1</v>
      </c>
      <c r="E20" s="5">
        <f ca="1">IF(getQuality(B20)&lt;4,getOtherMax(B20,C20,INDIRECT(J$2),INDIRECT(I20),test),getMax(B20,C20,INDIRECT(J$2),INDIRECT(I20),test))</f>
        <v>18.007406798785986</v>
      </c>
      <c r="F20" s="1" t="str">
        <f t="shared" si="1"/>
        <v>80</v>
      </c>
      <c r="G20" s="1" t="str">
        <f t="shared" si="2"/>
        <v/>
      </c>
      <c r="I20" s="1" t="str">
        <f t="shared" si="0"/>
        <v>威尔新数值1.06.xlsm!suitPower</v>
      </c>
      <c r="L20" s="3">
        <v>13</v>
      </c>
      <c r="M20" s="3">
        <v>18</v>
      </c>
      <c r="O20" s="3">
        <v>14</v>
      </c>
      <c r="P20" s="4" t="s">
        <v>25</v>
      </c>
      <c r="Q20" s="3" t="s">
        <v>42</v>
      </c>
    </row>
    <row r="21" spans="1:17" ht="13.5" x14ac:dyDescent="0.15">
      <c r="A21" s="1">
        <v>20</v>
      </c>
      <c r="B21" s="1">
        <v>101010200</v>
      </c>
      <c r="C21" s="1">
        <f t="shared" si="3"/>
        <v>5</v>
      </c>
      <c r="D21" s="5">
        <f ca="1">IF(getQuality(B21)&lt;4,getOtherMin(B21,C21,INDIRECT(J$2),INDIRECT(I21),test),getMin(B21,C21,INDIRECT(J$2),INDIRECT(I21),test))</f>
        <v>1</v>
      </c>
      <c r="E21" s="5">
        <f ca="1">IF(getQuality(B21)&lt;4,getOtherMax(B21,C21,INDIRECT(J$2),INDIRECT(I21),test),getMax(B21,C21,INDIRECT(J$2),INDIRECT(I21),test))</f>
        <v>18.007406798785986</v>
      </c>
      <c r="F21" s="1" t="str">
        <f t="shared" si="1"/>
        <v>20</v>
      </c>
      <c r="G21" s="1" t="str">
        <f t="shared" si="2"/>
        <v/>
      </c>
      <c r="I21" s="1" t="str">
        <f t="shared" si="0"/>
        <v>威尔新数值1.06.xlsm!suitPower</v>
      </c>
      <c r="L21" s="3">
        <v>14</v>
      </c>
      <c r="M21" s="3">
        <v>19</v>
      </c>
      <c r="O21" s="3">
        <v>15</v>
      </c>
      <c r="P21" s="4" t="s">
        <v>65</v>
      </c>
      <c r="Q21" s="3" t="s">
        <v>42</v>
      </c>
    </row>
    <row r="22" spans="1:17" ht="13.5" x14ac:dyDescent="0.15">
      <c r="A22" s="1">
        <v>21</v>
      </c>
      <c r="B22" s="1">
        <v>101020200</v>
      </c>
      <c r="C22" s="1">
        <f t="shared" si="3"/>
        <v>3</v>
      </c>
      <c r="D22" s="5">
        <f ca="1">IF(getQuality(B22)&lt;4,getOtherMin(B22,C22,INDIRECT(J$2),INDIRECT(I22),test),getMin(B22,C22,INDIRECT(J$2),INDIRECT(I22),test))</f>
        <v>19.007406798785986</v>
      </c>
      <c r="E22" s="5">
        <f ca="1">IF(getQuality(B22)&lt;4,getOtherMax(B22,C22,INDIRECT(J$2),INDIRECT(I22),test),getMax(B22,C22,INDIRECT(J$2),INDIRECT(I22),test))</f>
        <v>39.616294957329167</v>
      </c>
      <c r="F22" s="1" t="str">
        <f t="shared" si="1"/>
        <v>80</v>
      </c>
      <c r="G22" s="1" t="str">
        <f t="shared" si="2"/>
        <v/>
      </c>
      <c r="I22" s="1" t="str">
        <f t="shared" si="0"/>
        <v>威尔新数值1.06.xlsm!suitPower</v>
      </c>
      <c r="L22" s="3">
        <v>15</v>
      </c>
      <c r="M22" s="3">
        <v>20</v>
      </c>
      <c r="O22" s="3">
        <v>16</v>
      </c>
      <c r="P22" s="4" t="s">
        <v>26</v>
      </c>
      <c r="Q22" s="3" t="s">
        <v>42</v>
      </c>
    </row>
    <row r="23" spans="1:17" ht="13.5" x14ac:dyDescent="0.15">
      <c r="A23" s="1">
        <v>22</v>
      </c>
      <c r="B23" s="1">
        <v>101020200</v>
      </c>
      <c r="C23" s="1">
        <f t="shared" si="3"/>
        <v>5</v>
      </c>
      <c r="D23" s="5">
        <f ca="1">IF(getQuality(B23)&lt;4,getOtherMin(B23,C23,INDIRECT(J$2),INDIRECT(I23),test),getMin(B23,C23,INDIRECT(J$2),INDIRECT(I23),test))</f>
        <v>19.007406798785986</v>
      </c>
      <c r="E23" s="5">
        <f ca="1">IF(getQuality(B23)&lt;4,getOtherMax(B23,C23,INDIRECT(J$2),INDIRECT(I23),test),getMax(B23,C23,INDIRECT(J$2),INDIRECT(I23),test))</f>
        <v>39.616294957329167</v>
      </c>
      <c r="F23" s="1" t="str">
        <f t="shared" si="1"/>
        <v>20</v>
      </c>
      <c r="G23" s="1" t="str">
        <f t="shared" si="2"/>
        <v/>
      </c>
      <c r="I23" s="1" t="str">
        <f t="shared" si="0"/>
        <v>威尔新数值1.06.xlsm!suitPower</v>
      </c>
      <c r="L23" s="3">
        <v>101</v>
      </c>
      <c r="M23" s="3">
        <v>21</v>
      </c>
      <c r="O23" s="3">
        <v>17</v>
      </c>
      <c r="P23" s="4" t="s">
        <v>27</v>
      </c>
      <c r="Q23" s="3" t="s">
        <v>42</v>
      </c>
    </row>
    <row r="24" spans="1:17" ht="13.5" x14ac:dyDescent="0.15">
      <c r="A24" s="1">
        <v>23</v>
      </c>
      <c r="B24" s="1">
        <v>101030200</v>
      </c>
      <c r="C24" s="1">
        <f t="shared" si="3"/>
        <v>3</v>
      </c>
      <c r="D24" s="5">
        <f ca="1">IF(getQuality(B24)&lt;4,getOtherMin(B24,C24,INDIRECT(J$2),INDIRECT(I24),test),getMin(B24,C24,INDIRECT(J$2),INDIRECT(I24),test))</f>
        <v>40.616294957329167</v>
      </c>
      <c r="E24" s="5">
        <f ca="1">IF(getQuality(B24)&lt;4,getOtherMax(B24,C24,INDIRECT(J$2),INDIRECT(I24),test),getMax(B24,C24,INDIRECT(J$2),INDIRECT(I24),test))</f>
        <v>64.826664475629542</v>
      </c>
      <c r="F24" s="1" t="str">
        <f t="shared" si="1"/>
        <v>80</v>
      </c>
      <c r="G24" s="1" t="str">
        <f t="shared" si="2"/>
        <v/>
      </c>
      <c r="I24" s="1" t="str">
        <f t="shared" si="0"/>
        <v>威尔新数值1.06.xlsm!suitPower</v>
      </c>
      <c r="L24" s="3">
        <v>102</v>
      </c>
      <c r="M24" s="3">
        <v>22</v>
      </c>
      <c r="O24" s="3">
        <v>18</v>
      </c>
      <c r="P24" s="4" t="s">
        <v>28</v>
      </c>
      <c r="Q24" s="3" t="s">
        <v>42</v>
      </c>
    </row>
    <row r="25" spans="1:17" ht="13.5" x14ac:dyDescent="0.15">
      <c r="A25" s="1">
        <v>24</v>
      </c>
      <c r="B25" s="1">
        <v>101030200</v>
      </c>
      <c r="C25" s="1">
        <f t="shared" si="3"/>
        <v>5</v>
      </c>
      <c r="D25" s="5">
        <f ca="1">IF(getQuality(B25)&lt;4,getOtherMin(B25,C25,INDIRECT(J$2),INDIRECT(I25),test),getMin(B25,C25,INDIRECT(J$2),INDIRECT(I25),test))</f>
        <v>40.616294957329167</v>
      </c>
      <c r="E25" s="5">
        <f ca="1">IF(getQuality(B25)&lt;4,getOtherMax(B25,C25,INDIRECT(J$2),INDIRECT(I25),test),getMax(B25,C25,INDIRECT(J$2),INDIRECT(I25),test))</f>
        <v>64.826664475629542</v>
      </c>
      <c r="F25" s="1" t="str">
        <f t="shared" si="1"/>
        <v>20</v>
      </c>
      <c r="G25" s="1" t="str">
        <f t="shared" si="2"/>
        <v/>
      </c>
      <c r="I25" s="1" t="str">
        <f t="shared" si="0"/>
        <v>威尔新数值1.06.xlsm!suitPower</v>
      </c>
      <c r="L25" s="3">
        <v>103</v>
      </c>
      <c r="M25" s="3">
        <v>23</v>
      </c>
      <c r="O25" s="3">
        <v>19</v>
      </c>
      <c r="P25" s="4" t="s">
        <v>29</v>
      </c>
      <c r="Q25" s="3" t="s">
        <v>42</v>
      </c>
    </row>
    <row r="26" spans="1:17" ht="13.5" x14ac:dyDescent="0.15">
      <c r="A26" s="1">
        <v>25</v>
      </c>
      <c r="B26" s="1">
        <v>101040200</v>
      </c>
      <c r="C26" s="1">
        <f t="shared" si="3"/>
        <v>3</v>
      </c>
      <c r="D26" s="5">
        <f ca="1">IF(getQuality(B26)&lt;4,getOtherMin(B26,C26,INDIRECT(J$2),INDIRECT(I26),test),getMin(B26,C26,INDIRECT(J$2),INDIRECT(I26),test))</f>
        <v>65.826664475629542</v>
      </c>
      <c r="E26" s="5">
        <f ca="1">IF(getQuality(B26)&lt;4,getOtherMax(B26,C26,INDIRECT(J$2),INDIRECT(I26),test),getMax(B26,C26,INDIRECT(J$2),INDIRECT(I26),test))</f>
        <v>93.638515353687112</v>
      </c>
      <c r="F26" s="1" t="str">
        <f t="shared" si="1"/>
        <v>80</v>
      </c>
      <c r="G26" s="1" t="str">
        <f t="shared" si="2"/>
        <v/>
      </c>
      <c r="I26" s="1" t="str">
        <f t="shared" si="0"/>
        <v>威尔新数值1.06.xlsm!suitPower</v>
      </c>
      <c r="L26" s="3">
        <v>104</v>
      </c>
      <c r="M26" s="3"/>
      <c r="O26" s="3">
        <v>20</v>
      </c>
      <c r="P26" s="4" t="s">
        <v>30</v>
      </c>
      <c r="Q26" s="3" t="s">
        <v>42</v>
      </c>
    </row>
    <row r="27" spans="1:17" ht="13.5" x14ac:dyDescent="0.15">
      <c r="A27" s="1">
        <v>26</v>
      </c>
      <c r="B27" s="1">
        <v>101040200</v>
      </c>
      <c r="C27" s="1">
        <f t="shared" si="3"/>
        <v>5</v>
      </c>
      <c r="D27" s="5">
        <f ca="1">IF(getQuality(B27)&lt;4,getOtherMin(B27,C27,INDIRECT(J$2),INDIRECT(I27),test),getMin(B27,C27,INDIRECT(J$2),INDIRECT(I27),test))</f>
        <v>65.826664475629542</v>
      </c>
      <c r="E27" s="5">
        <f ca="1">IF(getQuality(B27)&lt;4,getOtherMax(B27,C27,INDIRECT(J$2),INDIRECT(I27),test),getMax(B27,C27,INDIRECT(J$2),INDIRECT(I27),test))</f>
        <v>93.638515353687112</v>
      </c>
      <c r="F27" s="1" t="str">
        <f t="shared" si="1"/>
        <v>20</v>
      </c>
      <c r="G27" s="1" t="str">
        <f t="shared" si="2"/>
        <v/>
      </c>
      <c r="I27" s="1" t="str">
        <f t="shared" si="0"/>
        <v>威尔新数值1.06.xlsm!suitPower</v>
      </c>
      <c r="L27" s="3">
        <v>105</v>
      </c>
      <c r="M27" s="3"/>
      <c r="O27" s="3">
        <v>21</v>
      </c>
      <c r="P27" s="4" t="s">
        <v>31</v>
      </c>
      <c r="Q27" s="3" t="s">
        <v>42</v>
      </c>
    </row>
    <row r="28" spans="1:17" ht="13.5" x14ac:dyDescent="0.15">
      <c r="A28" s="1">
        <v>27</v>
      </c>
      <c r="B28" s="1">
        <v>101050200</v>
      </c>
      <c r="C28" s="1">
        <f t="shared" si="3"/>
        <v>3</v>
      </c>
      <c r="D28" s="5">
        <f ca="1">IF(getQuality(B28)&lt;4,getOtherMin(B28,C28,INDIRECT(J$2),INDIRECT(I28),test),getMin(B28,C28,INDIRECT(J$2),INDIRECT(I28),test))</f>
        <v>94.638515353687112</v>
      </c>
      <c r="E28" s="5">
        <f ca="1">IF(getQuality(B28)&lt;4,getOtherMax(B28,C28,INDIRECT(J$2),INDIRECT(I28),test),getMax(B28,C28,INDIRECT(J$2),INDIRECT(I28),test))</f>
        <v>126.8703660823558</v>
      </c>
      <c r="F28" s="1" t="str">
        <f t="shared" si="1"/>
        <v>80</v>
      </c>
      <c r="G28" s="1" t="str">
        <f t="shared" si="2"/>
        <v/>
      </c>
      <c r="I28" s="1" t="str">
        <f t="shared" si="0"/>
        <v>威尔新数值1.06.xlsm!suitPower</v>
      </c>
      <c r="L28" s="3">
        <v>106</v>
      </c>
      <c r="M28" s="3"/>
      <c r="O28" s="3">
        <v>22</v>
      </c>
      <c r="P28" s="4" t="s">
        <v>32</v>
      </c>
      <c r="Q28" s="3" t="s">
        <v>42</v>
      </c>
    </row>
    <row r="29" spans="1:17" ht="13.5" x14ac:dyDescent="0.15">
      <c r="A29" s="1">
        <v>28</v>
      </c>
      <c r="B29" s="1">
        <v>101050200</v>
      </c>
      <c r="C29" s="1">
        <f t="shared" si="3"/>
        <v>5</v>
      </c>
      <c r="D29" s="5">
        <f ca="1">IF(getQuality(B29)&lt;4,getOtherMin(B29,C29,INDIRECT(J$2),INDIRECT(I29),test),getMin(B29,C29,INDIRECT(J$2),INDIRECT(I29),test))</f>
        <v>94.638515353687112</v>
      </c>
      <c r="E29" s="5">
        <f ca="1">IF(getQuality(B29)&lt;4,getOtherMax(B29,C29,INDIRECT(J$2),INDIRECT(I29),test),getMax(B29,C29,INDIRECT(J$2),INDIRECT(I29),test))</f>
        <v>126.8703660823558</v>
      </c>
      <c r="F29" s="1" t="str">
        <f t="shared" si="1"/>
        <v>20</v>
      </c>
      <c r="G29" s="1" t="str">
        <f t="shared" si="2"/>
        <v/>
      </c>
      <c r="I29" s="1" t="str">
        <f t="shared" si="0"/>
        <v>威尔新数值1.06.xlsm!suitPower</v>
      </c>
      <c r="L29" s="3">
        <v>107</v>
      </c>
      <c r="M29" s="3"/>
      <c r="O29" s="3">
        <v>23</v>
      </c>
      <c r="P29" s="4" t="s">
        <v>66</v>
      </c>
      <c r="Q29" s="3" t="s">
        <v>42</v>
      </c>
    </row>
    <row r="30" spans="1:17" x14ac:dyDescent="0.15">
      <c r="A30" s="1">
        <v>29</v>
      </c>
      <c r="B30" s="1">
        <v>101060200</v>
      </c>
      <c r="C30" s="1">
        <f t="shared" si="3"/>
        <v>3</v>
      </c>
      <c r="D30" s="5">
        <f ca="1">IF(getQuality(B30)&lt;4,getOtherMin(B30,C30,INDIRECT(J$2),INDIRECT(I30),test),getMin(B30,C30,INDIRECT(J$2),INDIRECT(I30),test))</f>
        <v>127.8703660823558</v>
      </c>
      <c r="E30" s="5">
        <f ca="1">IF(getQuality(B30)&lt;4,getOtherMax(B30,C30,INDIRECT(J$2),INDIRECT(I30),test),getMax(B30,C30,INDIRECT(J$2),INDIRECT(I30),test))</f>
        <v>163.04888337809854</v>
      </c>
      <c r="F30" s="1" t="str">
        <f t="shared" si="1"/>
        <v>80</v>
      </c>
      <c r="G30" s="1" t="str">
        <f t="shared" si="2"/>
        <v/>
      </c>
      <c r="I30" s="1" t="str">
        <f t="shared" si="0"/>
        <v>威尔新数值1.06.xlsm!suitPower</v>
      </c>
      <c r="L30" s="3">
        <v>108</v>
      </c>
    </row>
    <row r="31" spans="1:17" x14ac:dyDescent="0.15">
      <c r="A31" s="1">
        <v>30</v>
      </c>
      <c r="B31" s="1">
        <v>101060200</v>
      </c>
      <c r="C31" s="1">
        <f t="shared" si="3"/>
        <v>5</v>
      </c>
      <c r="D31" s="5">
        <f ca="1">IF(getQuality(B31)&lt;4,getOtherMin(B31,C31,INDIRECT(J$2),INDIRECT(I31),test),getMin(B31,C31,INDIRECT(J$2),INDIRECT(I31),test))</f>
        <v>127.8703660823558</v>
      </c>
      <c r="E31" s="5">
        <f ca="1">IF(getQuality(B31)&lt;4,getOtherMax(B31,C31,INDIRECT(J$2),INDIRECT(I31),test),getMax(B31,C31,INDIRECT(J$2),INDIRECT(I31),test))</f>
        <v>163.04888337809854</v>
      </c>
      <c r="F31" s="1" t="str">
        <f t="shared" si="1"/>
        <v>20</v>
      </c>
      <c r="G31" s="1" t="str">
        <f t="shared" si="2"/>
        <v/>
      </c>
      <c r="I31" s="1" t="str">
        <f t="shared" si="0"/>
        <v>威尔新数值1.06.xlsm!suitPower</v>
      </c>
    </row>
    <row r="32" spans="1:17" x14ac:dyDescent="0.15">
      <c r="A32" s="1">
        <v>31</v>
      </c>
      <c r="B32" s="1">
        <v>101070200</v>
      </c>
      <c r="C32" s="1">
        <f t="shared" si="3"/>
        <v>3</v>
      </c>
      <c r="D32" s="5">
        <f ca="1">IF(getQuality(B32)&lt;4,getOtherMin(B32,C32,INDIRECT(J$2),INDIRECT(I32),test),getMin(B32,C32,INDIRECT(J$2),INDIRECT(I32),test))</f>
        <v>164.04888337809854</v>
      </c>
      <c r="E32" s="5">
        <f ca="1">IF(getQuality(B32)&lt;4,getOtherMax(B32,C32,INDIRECT(J$2),INDIRECT(I32),test),getMax(B32,C32,INDIRECT(J$2),INDIRECT(I32),test))</f>
        <v>202.82888203359849</v>
      </c>
      <c r="F32" s="1" t="str">
        <f t="shared" si="1"/>
        <v>80</v>
      </c>
      <c r="G32" s="1" t="str">
        <f t="shared" si="2"/>
        <v/>
      </c>
      <c r="I32" s="1" t="str">
        <f t="shared" si="0"/>
        <v>威尔新数值1.06.xlsm!suitPower</v>
      </c>
    </row>
    <row r="33" spans="1:17" x14ac:dyDescent="0.15">
      <c r="A33" s="1">
        <v>32</v>
      </c>
      <c r="B33" s="1">
        <v>101070200</v>
      </c>
      <c r="C33" s="1">
        <f t="shared" si="3"/>
        <v>5</v>
      </c>
      <c r="D33" s="5">
        <f ca="1">IF(getQuality(B33)&lt;4,getOtherMin(B33,C33,INDIRECT(J$2),INDIRECT(I33),test),getMin(B33,C33,INDIRECT(J$2),INDIRECT(I33),test))</f>
        <v>164.04888337809854</v>
      </c>
      <c r="E33" s="5">
        <f ca="1">IF(getQuality(B33)&lt;4,getOtherMax(B33,C33,INDIRECT(J$2),INDIRECT(I33),test),getMax(B33,C33,INDIRECT(J$2),INDIRECT(I33),test))</f>
        <v>202.82888203359849</v>
      </c>
      <c r="F33" s="1" t="str">
        <f t="shared" si="1"/>
        <v>20</v>
      </c>
      <c r="G33" s="1" t="str">
        <f t="shared" si="2"/>
        <v/>
      </c>
      <c r="I33" s="1" t="str">
        <f t="shared" si="0"/>
        <v>威尔新数值1.06.xlsm!suitPower</v>
      </c>
    </row>
    <row r="34" spans="1:17" x14ac:dyDescent="0.15">
      <c r="A34" s="1">
        <v>33</v>
      </c>
      <c r="B34" s="1">
        <v>101080200</v>
      </c>
      <c r="C34" s="1">
        <f t="shared" si="3"/>
        <v>3</v>
      </c>
      <c r="D34" s="5">
        <f ca="1">IF(getQuality(B34)&lt;4,getOtherMin(B34,C34,INDIRECT(J$2),INDIRECT(I34),test),getMin(B34,C34,INDIRECT(J$2),INDIRECT(I34),test))</f>
        <v>203.82888203359849</v>
      </c>
      <c r="E34" s="5">
        <f ca="1">IF(getQuality(B34)&lt;4,getOtherMax(B34,C34,INDIRECT(J$2),INDIRECT(I34),test),getMax(B34,C34,INDIRECT(J$2),INDIRECT(I34),test))</f>
        <v>246.21036204885561</v>
      </c>
      <c r="F34" s="1" t="str">
        <f t="shared" si="1"/>
        <v>80</v>
      </c>
      <c r="G34" s="1" t="str">
        <f t="shared" si="2"/>
        <v/>
      </c>
      <c r="I34" s="1" t="str">
        <f t="shared" si="0"/>
        <v>威尔新数值1.06.xlsm!suitPower</v>
      </c>
    </row>
    <row r="35" spans="1:17" x14ac:dyDescent="0.15">
      <c r="A35" s="1">
        <v>34</v>
      </c>
      <c r="B35" s="1">
        <v>101080200</v>
      </c>
      <c r="C35" s="1">
        <f t="shared" si="3"/>
        <v>5</v>
      </c>
      <c r="D35" s="5">
        <f ca="1">IF(getQuality(B35)&lt;4,getOtherMin(B35,C35,INDIRECT(J$2),INDIRECT(I35),test),getMin(B35,C35,INDIRECT(J$2),INDIRECT(I35),test))</f>
        <v>203.82888203359849</v>
      </c>
      <c r="E35" s="5">
        <f ca="1">IF(getQuality(B35)&lt;4,getOtherMax(B35,C35,INDIRECT(J$2),INDIRECT(I35),test),getMax(B35,C35,INDIRECT(J$2),INDIRECT(I35),test))</f>
        <v>246.21036204885561</v>
      </c>
      <c r="F35" s="1" t="str">
        <f t="shared" si="1"/>
        <v>20</v>
      </c>
      <c r="G35" s="1" t="str">
        <f t="shared" si="2"/>
        <v/>
      </c>
      <c r="I35" s="1" t="str">
        <f t="shared" si="0"/>
        <v>威尔新数值1.06.xlsm!suitPower</v>
      </c>
    </row>
    <row r="36" spans="1:17" x14ac:dyDescent="0.15">
      <c r="A36" s="1">
        <v>35</v>
      </c>
      <c r="B36" s="1">
        <v>101090200</v>
      </c>
      <c r="C36" s="1">
        <f t="shared" si="3"/>
        <v>3</v>
      </c>
      <c r="D36" s="5">
        <f ca="1">IF(getQuality(B36)&lt;4,getOtherMin(B36,C36,INDIRECT(J$2),INDIRECT(I36),test),getMin(B36,C36,INDIRECT(J$2),INDIRECT(I36),test))</f>
        <v>247.21036204885561</v>
      </c>
      <c r="E36" s="5">
        <f ca="1">IF(getQuality(B36)&lt;4,getOtherMax(B36,C36,INDIRECT(J$2),INDIRECT(I36),test),getMax(B36,C36,INDIRECT(J$2),INDIRECT(I36),test))</f>
        <v>293.19332342386997</v>
      </c>
      <c r="F36" s="1" t="str">
        <f t="shared" si="1"/>
        <v>80</v>
      </c>
      <c r="G36" s="1" t="str">
        <f t="shared" si="2"/>
        <v/>
      </c>
      <c r="I36" s="1" t="str">
        <f t="shared" si="0"/>
        <v>威尔新数值1.06.xlsm!suitPower</v>
      </c>
    </row>
    <row r="37" spans="1:17" x14ac:dyDescent="0.15">
      <c r="A37" s="1">
        <v>36</v>
      </c>
      <c r="B37" s="1">
        <v>101090200</v>
      </c>
      <c r="C37" s="1">
        <f t="shared" si="3"/>
        <v>5</v>
      </c>
      <c r="D37" s="5">
        <f ca="1">IF(getQuality(B37)&lt;4,getOtherMin(B37,C37,INDIRECT(J$2),INDIRECT(I37),test),getMin(B37,C37,INDIRECT(J$2),INDIRECT(I37),test))</f>
        <v>247.21036204885561</v>
      </c>
      <c r="E37" s="5">
        <f ca="1">IF(getQuality(B37)&lt;4,getOtherMax(B37,C37,INDIRECT(J$2),INDIRECT(I37),test),getMax(B37,C37,INDIRECT(J$2),INDIRECT(I37),test))</f>
        <v>293.19332342386997</v>
      </c>
      <c r="F37" s="1" t="str">
        <f t="shared" si="1"/>
        <v>20</v>
      </c>
      <c r="G37" s="1" t="str">
        <f t="shared" si="2"/>
        <v/>
      </c>
      <c r="I37" s="1" t="str">
        <f t="shared" si="0"/>
        <v>威尔新数值1.06.xlsm!suitPower</v>
      </c>
    </row>
    <row r="38" spans="1:17" x14ac:dyDescent="0.15">
      <c r="A38" s="1">
        <v>37</v>
      </c>
      <c r="B38" s="1">
        <v>101010300</v>
      </c>
      <c r="C38" s="1">
        <f t="shared" si="3"/>
        <v>3</v>
      </c>
      <c r="D38" s="5">
        <f ca="1">IF(getQuality(B38)&lt;4,getOtherMin(B38,C38,INDIRECT(J$2),INDIRECT(I38),test),getMin(B38,C38,INDIRECT(J$2),INDIRECT(I38),test))</f>
        <v>1</v>
      </c>
      <c r="E38" s="5">
        <f ca="1">IF(getQuality(B38)&lt;4,getOtherMax(B38,C38,INDIRECT(J$2),INDIRECT(I38),test),getMax(B38,C38,INDIRECT(J$2),INDIRECT(I38),test))</f>
        <v>18.007406798785986</v>
      </c>
      <c r="F38" s="1" t="str">
        <f t="shared" si="1"/>
        <v>80</v>
      </c>
      <c r="G38" s="1" t="str">
        <f t="shared" si="2"/>
        <v/>
      </c>
      <c r="I38" s="1" t="str">
        <f t="shared" si="0"/>
        <v>威尔新数值1.06.xlsm!suitPower</v>
      </c>
      <c r="O38" s="3"/>
      <c r="P38" s="3" t="s">
        <v>33</v>
      </c>
      <c r="Q38" s="3"/>
    </row>
    <row r="39" spans="1:17" x14ac:dyDescent="0.15">
      <c r="A39" s="1">
        <v>38</v>
      </c>
      <c r="B39" s="1">
        <v>101010300</v>
      </c>
      <c r="C39" s="1">
        <f t="shared" si="3"/>
        <v>5</v>
      </c>
      <c r="D39" s="5">
        <f ca="1">IF(getQuality(B39)&lt;4,getOtherMin(B39,C39,INDIRECT(J$2),INDIRECT(I39),test),getMin(B39,C39,INDIRECT(J$2),INDIRECT(I39),test))</f>
        <v>1</v>
      </c>
      <c r="E39" s="5">
        <f ca="1">IF(getQuality(B39)&lt;4,getOtherMax(B39,C39,INDIRECT(J$2),INDIRECT(I39),test),getMax(B39,C39,INDIRECT(J$2),INDIRECT(I39),test))</f>
        <v>18.007406798785986</v>
      </c>
      <c r="F39" s="1" t="str">
        <f t="shared" si="1"/>
        <v>20</v>
      </c>
      <c r="G39" s="1" t="str">
        <f t="shared" si="2"/>
        <v/>
      </c>
      <c r="I39" s="1" t="str">
        <f t="shared" si="0"/>
        <v>威尔新数值1.06.xlsm!suitPower</v>
      </c>
      <c r="O39" s="3">
        <v>101</v>
      </c>
      <c r="P39" s="4" t="s">
        <v>34</v>
      </c>
      <c r="Q39" s="3" t="s">
        <v>47</v>
      </c>
    </row>
    <row r="40" spans="1:17" x14ac:dyDescent="0.15">
      <c r="A40" s="1">
        <v>39</v>
      </c>
      <c r="B40" s="1">
        <v>101020300</v>
      </c>
      <c r="C40" s="1">
        <f t="shared" si="3"/>
        <v>3</v>
      </c>
      <c r="D40" s="5">
        <f ca="1">IF(getQuality(B40)&lt;4,getOtherMin(B40,C40,INDIRECT(J$2),INDIRECT(I40),test),getMin(B40,C40,INDIRECT(J$2),INDIRECT(I40),test))</f>
        <v>19.007406798785986</v>
      </c>
      <c r="E40" s="5">
        <f ca="1">IF(getQuality(B40)&lt;4,getOtherMax(B40,C40,INDIRECT(J$2),INDIRECT(I40),test),getMax(B40,C40,INDIRECT(J$2),INDIRECT(I40),test))</f>
        <v>39.616294957329167</v>
      </c>
      <c r="F40" s="1" t="str">
        <f t="shared" si="1"/>
        <v>80</v>
      </c>
      <c r="G40" s="1" t="str">
        <f t="shared" si="2"/>
        <v/>
      </c>
      <c r="I40" s="1" t="str">
        <f t="shared" si="0"/>
        <v>威尔新数值1.06.xlsm!suitPower</v>
      </c>
      <c r="O40" s="3">
        <v>102</v>
      </c>
      <c r="P40" s="4" t="s">
        <v>35</v>
      </c>
      <c r="Q40" s="3" t="s">
        <v>48</v>
      </c>
    </row>
    <row r="41" spans="1:17" x14ac:dyDescent="0.15">
      <c r="A41" s="1">
        <v>40</v>
      </c>
      <c r="B41" s="1">
        <v>101020300</v>
      </c>
      <c r="C41" s="1">
        <f t="shared" si="3"/>
        <v>5</v>
      </c>
      <c r="D41" s="5">
        <f ca="1">IF(getQuality(B41)&lt;4,getOtherMin(B41,C41,INDIRECT(J$2),INDIRECT(I41),test),getMin(B41,C41,INDIRECT(J$2),INDIRECT(I41),test))</f>
        <v>19.007406798785986</v>
      </c>
      <c r="E41" s="5">
        <f ca="1">IF(getQuality(B41)&lt;4,getOtherMax(B41,C41,INDIRECT(J$2),INDIRECT(I41),test),getMax(B41,C41,INDIRECT(J$2),INDIRECT(I41),test))</f>
        <v>39.616294957329167</v>
      </c>
      <c r="F41" s="1" t="str">
        <f t="shared" si="1"/>
        <v>20</v>
      </c>
      <c r="G41" s="1" t="str">
        <f t="shared" si="2"/>
        <v/>
      </c>
      <c r="I41" s="1" t="str">
        <f t="shared" si="0"/>
        <v>威尔新数值1.06.xlsm!suitPower</v>
      </c>
      <c r="O41" s="3">
        <v>103</v>
      </c>
      <c r="P41" s="4" t="s">
        <v>36</v>
      </c>
      <c r="Q41" s="3" t="s">
        <v>49</v>
      </c>
    </row>
    <row r="42" spans="1:17" x14ac:dyDescent="0.15">
      <c r="A42" s="1">
        <v>41</v>
      </c>
      <c r="B42" s="1">
        <v>101030300</v>
      </c>
      <c r="C42" s="1">
        <f t="shared" si="3"/>
        <v>3</v>
      </c>
      <c r="D42" s="5">
        <f ca="1">IF(getQuality(B42)&lt;4,getOtherMin(B42,C42,INDIRECT(J$2),INDIRECT(I42),test),getMin(B42,C42,INDIRECT(J$2),INDIRECT(I42),test))</f>
        <v>40.616294957329167</v>
      </c>
      <c r="E42" s="5">
        <f ca="1">IF(getQuality(B42)&lt;4,getOtherMax(B42,C42,INDIRECT(J$2),INDIRECT(I42),test),getMax(B42,C42,INDIRECT(J$2),INDIRECT(I42),test))</f>
        <v>64.826664475629542</v>
      </c>
      <c r="F42" s="1" t="str">
        <f t="shared" si="1"/>
        <v>80</v>
      </c>
      <c r="G42" s="1" t="str">
        <f t="shared" si="2"/>
        <v/>
      </c>
      <c r="I42" s="1" t="str">
        <f t="shared" si="0"/>
        <v>威尔新数值1.06.xlsm!suitPower</v>
      </c>
      <c r="O42" s="3">
        <v>104</v>
      </c>
      <c r="P42" s="4" t="s">
        <v>37</v>
      </c>
      <c r="Q42" s="3" t="s">
        <v>50</v>
      </c>
    </row>
    <row r="43" spans="1:17" x14ac:dyDescent="0.15">
      <c r="A43" s="1">
        <v>42</v>
      </c>
      <c r="B43" s="1">
        <v>101030300</v>
      </c>
      <c r="C43" s="1">
        <f t="shared" si="3"/>
        <v>5</v>
      </c>
      <c r="D43" s="5">
        <f ca="1">IF(getQuality(B43)&lt;4,getOtherMin(B43,C43,INDIRECT(J$2),INDIRECT(I43),test),getMin(B43,C43,INDIRECT(J$2),INDIRECT(I43),test))</f>
        <v>40.616294957329167</v>
      </c>
      <c r="E43" s="5">
        <f ca="1">IF(getQuality(B43)&lt;4,getOtherMax(B43,C43,INDIRECT(J$2),INDIRECT(I43),test),getMax(B43,C43,INDIRECT(J$2),INDIRECT(I43),test))</f>
        <v>64.826664475629542</v>
      </c>
      <c r="F43" s="1" t="str">
        <f t="shared" si="1"/>
        <v>20</v>
      </c>
      <c r="G43" s="1" t="str">
        <f t="shared" si="2"/>
        <v/>
      </c>
      <c r="I43" s="1" t="str">
        <f t="shared" si="0"/>
        <v>威尔新数值1.06.xlsm!suitPower</v>
      </c>
      <c r="O43" s="3">
        <v>105</v>
      </c>
      <c r="P43" s="4" t="s">
        <v>38</v>
      </c>
      <c r="Q43" s="3" t="s">
        <v>50</v>
      </c>
    </row>
    <row r="44" spans="1:17" ht="13.5" x14ac:dyDescent="0.15">
      <c r="A44" s="1">
        <v>43</v>
      </c>
      <c r="B44" s="1">
        <v>101040300</v>
      </c>
      <c r="C44" s="1">
        <f t="shared" si="3"/>
        <v>3</v>
      </c>
      <c r="D44" s="5">
        <f ca="1">IF(getQuality(B44)&lt;4,getOtherMin(B44,C44,INDIRECT(J$2),INDIRECT(I44),test),getMin(B44,C44,INDIRECT(J$2),INDIRECT(I44),test))</f>
        <v>65.826664475629542</v>
      </c>
      <c r="E44" s="5">
        <f ca="1">IF(getQuality(B44)&lt;4,getOtherMax(B44,C44,INDIRECT(J$2),INDIRECT(I44),test),getMax(B44,C44,INDIRECT(J$2),INDIRECT(I44),test))</f>
        <v>93.638515353687112</v>
      </c>
      <c r="F44" s="1" t="str">
        <f t="shared" si="1"/>
        <v>80</v>
      </c>
      <c r="G44" s="1" t="str">
        <f t="shared" si="2"/>
        <v/>
      </c>
      <c r="I44" s="1" t="str">
        <f t="shared" si="0"/>
        <v>威尔新数值1.06.xlsm!suitPower</v>
      </c>
      <c r="O44" s="3">
        <v>106</v>
      </c>
      <c r="P44" s="4" t="s">
        <v>39</v>
      </c>
      <c r="Q44" s="3" t="s">
        <v>52</v>
      </c>
    </row>
    <row r="45" spans="1:17" ht="13.5" x14ac:dyDescent="0.15">
      <c r="A45" s="1">
        <v>44</v>
      </c>
      <c r="B45" s="1">
        <v>101040300</v>
      </c>
      <c r="C45" s="1">
        <f t="shared" si="3"/>
        <v>5</v>
      </c>
      <c r="D45" s="5">
        <f ca="1">IF(getQuality(B45)&lt;4,getOtherMin(B45,C45,INDIRECT(J$2),INDIRECT(I45),test),getMin(B45,C45,INDIRECT(J$2),INDIRECT(I45),test))</f>
        <v>65.826664475629542</v>
      </c>
      <c r="E45" s="5">
        <f ca="1">IF(getQuality(B45)&lt;4,getOtherMax(B45,C45,INDIRECT(J$2),INDIRECT(I45),test),getMax(B45,C45,INDIRECT(J$2),INDIRECT(I45),test))</f>
        <v>93.638515353687112</v>
      </c>
      <c r="F45" s="1" t="str">
        <f t="shared" si="1"/>
        <v>20</v>
      </c>
      <c r="G45" s="1" t="str">
        <f t="shared" si="2"/>
        <v/>
      </c>
      <c r="I45" s="1" t="str">
        <f t="shared" si="0"/>
        <v>威尔新数值1.06.xlsm!suitPower</v>
      </c>
      <c r="O45" s="3">
        <v>107</v>
      </c>
      <c r="P45" s="4" t="s">
        <v>40</v>
      </c>
      <c r="Q45" s="3" t="s">
        <v>52</v>
      </c>
    </row>
    <row r="46" spans="1:17" ht="13.5" x14ac:dyDescent="0.15">
      <c r="A46" s="1">
        <v>45</v>
      </c>
      <c r="B46" s="1">
        <v>101050300</v>
      </c>
      <c r="C46" s="1">
        <f t="shared" si="3"/>
        <v>3</v>
      </c>
      <c r="D46" s="5">
        <f ca="1">IF(getQuality(B46)&lt;4,getOtherMin(B46,C46,INDIRECT(J$2),INDIRECT(I46),test),getMin(B46,C46,INDIRECT(J$2),INDIRECT(I46),test))</f>
        <v>94.638515353687112</v>
      </c>
      <c r="E46" s="5">
        <f ca="1">IF(getQuality(B46)&lt;4,getOtherMax(B46,C46,INDIRECT(J$2),INDIRECT(I46),test),getMax(B46,C46,INDIRECT(J$2),INDIRECT(I46),test))</f>
        <v>126.8703660823558</v>
      </c>
      <c r="F46" s="1" t="str">
        <f t="shared" si="1"/>
        <v>80</v>
      </c>
      <c r="G46" s="1" t="str">
        <f t="shared" si="2"/>
        <v/>
      </c>
      <c r="I46" s="1" t="str">
        <f t="shared" si="0"/>
        <v>威尔新数值1.06.xlsm!suitPower</v>
      </c>
      <c r="O46" s="3">
        <v>108</v>
      </c>
      <c r="P46" s="4" t="s">
        <v>41</v>
      </c>
      <c r="Q46" s="3" t="s">
        <v>52</v>
      </c>
    </row>
    <row r="47" spans="1:17" x14ac:dyDescent="0.15">
      <c r="A47" s="1">
        <v>46</v>
      </c>
      <c r="B47" s="1">
        <v>101050300</v>
      </c>
      <c r="C47" s="1">
        <f t="shared" si="3"/>
        <v>5</v>
      </c>
      <c r="D47" s="5">
        <f ca="1">IF(getQuality(B47)&lt;4,getOtherMin(B47,C47,INDIRECT(J$2),INDIRECT(I47),test),getMin(B47,C47,INDIRECT(J$2),INDIRECT(I47),test))</f>
        <v>94.638515353687112</v>
      </c>
      <c r="E47" s="5">
        <f ca="1">IF(getQuality(B47)&lt;4,getOtherMax(B47,C47,INDIRECT(J$2),INDIRECT(I47),test),getMax(B47,C47,INDIRECT(J$2),INDIRECT(I47),test))</f>
        <v>126.8703660823558</v>
      </c>
      <c r="F47" s="1" t="str">
        <f t="shared" si="1"/>
        <v>20</v>
      </c>
      <c r="G47" s="1" t="str">
        <f t="shared" si="2"/>
        <v/>
      </c>
      <c r="I47" s="1" t="str">
        <f t="shared" si="0"/>
        <v>威尔新数值1.06.xlsm!suitPower</v>
      </c>
    </row>
    <row r="48" spans="1:17" x14ac:dyDescent="0.15">
      <c r="A48" s="1">
        <v>47</v>
      </c>
      <c r="B48" s="1">
        <v>101060300</v>
      </c>
      <c r="C48" s="1">
        <f t="shared" si="3"/>
        <v>3</v>
      </c>
      <c r="D48" s="5">
        <f ca="1">IF(getQuality(B48)&lt;4,getOtherMin(B48,C48,INDIRECT(J$2),INDIRECT(I48),test),getMin(B48,C48,INDIRECT(J$2),INDIRECT(I48),test))</f>
        <v>127.8703660823558</v>
      </c>
      <c r="E48" s="5">
        <f ca="1">IF(getQuality(B48)&lt;4,getOtherMax(B48,C48,INDIRECT(J$2),INDIRECT(I48),test),getMax(B48,C48,INDIRECT(J$2),INDIRECT(I48),test))</f>
        <v>163.04888337809854</v>
      </c>
      <c r="F48" s="1" t="str">
        <f t="shared" si="1"/>
        <v>80</v>
      </c>
      <c r="G48" s="1" t="str">
        <f t="shared" si="2"/>
        <v/>
      </c>
      <c r="I48" s="1" t="str">
        <f t="shared" si="0"/>
        <v>威尔新数值1.06.xlsm!suitPower</v>
      </c>
    </row>
    <row r="49" spans="1:41" x14ac:dyDescent="0.15">
      <c r="A49" s="1">
        <v>48</v>
      </c>
      <c r="B49" s="1">
        <v>101060300</v>
      </c>
      <c r="C49" s="1">
        <f t="shared" si="3"/>
        <v>5</v>
      </c>
      <c r="D49" s="5">
        <f ca="1">IF(getQuality(B49)&lt;4,getOtherMin(B49,C49,INDIRECT(J$2),INDIRECT(I49),test),getMin(B49,C49,INDIRECT(J$2),INDIRECT(I49),test))</f>
        <v>127.8703660823558</v>
      </c>
      <c r="E49" s="5">
        <f ca="1">IF(getQuality(B49)&lt;4,getOtherMax(B49,C49,INDIRECT(J$2),INDIRECT(I49),test),getMax(B49,C49,INDIRECT(J$2),INDIRECT(I49),test))</f>
        <v>163.04888337809854</v>
      </c>
      <c r="F49" s="1" t="str">
        <f t="shared" si="1"/>
        <v>20</v>
      </c>
      <c r="G49" s="1" t="str">
        <f t="shared" si="2"/>
        <v/>
      </c>
      <c r="I49" s="1" t="str">
        <f t="shared" si="0"/>
        <v>威尔新数值1.06.xlsm!suitPower</v>
      </c>
    </row>
    <row r="50" spans="1:41" x14ac:dyDescent="0.15">
      <c r="A50" s="1">
        <v>49</v>
      </c>
      <c r="B50" s="1">
        <v>101070300</v>
      </c>
      <c r="C50" s="1">
        <f t="shared" si="3"/>
        <v>3</v>
      </c>
      <c r="D50" s="5">
        <f ca="1">IF(getQuality(B50)&lt;4,getOtherMin(B50,C50,INDIRECT(J$2),INDIRECT(I50),test),getMin(B50,C50,INDIRECT(J$2),INDIRECT(I50),test))</f>
        <v>164.04888337809854</v>
      </c>
      <c r="E50" s="5">
        <f ca="1">IF(getQuality(B50)&lt;4,getOtherMax(B50,C50,INDIRECT(J$2),INDIRECT(I50),test),getMax(B50,C50,INDIRECT(J$2),INDIRECT(I50),test))</f>
        <v>202.82888203359849</v>
      </c>
      <c r="F50" s="1" t="str">
        <f t="shared" si="1"/>
        <v>80</v>
      </c>
      <c r="G50" s="1" t="str">
        <f t="shared" si="2"/>
        <v/>
      </c>
      <c r="I50" s="1" t="str">
        <f t="shared" si="0"/>
        <v>威尔新数值1.06.xlsm!suitPower</v>
      </c>
    </row>
    <row r="51" spans="1:41" x14ac:dyDescent="0.15">
      <c r="A51" s="1">
        <v>50</v>
      </c>
      <c r="B51" s="1">
        <v>101070300</v>
      </c>
      <c r="C51" s="1">
        <f t="shared" si="3"/>
        <v>5</v>
      </c>
      <c r="D51" s="5">
        <f ca="1">IF(getQuality(B51)&lt;4,getOtherMin(B51,C51,INDIRECT(J$2),INDIRECT(I51),test),getMin(B51,C51,INDIRECT(J$2),INDIRECT(I51),test))</f>
        <v>164.04888337809854</v>
      </c>
      <c r="E51" s="5">
        <f ca="1">IF(getQuality(B51)&lt;4,getOtherMax(B51,C51,INDIRECT(J$2),INDIRECT(I51),test),getMax(B51,C51,INDIRECT(J$2),INDIRECT(I51),test))</f>
        <v>202.82888203359849</v>
      </c>
      <c r="F51" s="1" t="str">
        <f t="shared" si="1"/>
        <v>20</v>
      </c>
      <c r="G51" s="1" t="str">
        <f t="shared" si="2"/>
        <v/>
      </c>
      <c r="H51" s="2"/>
      <c r="I51" s="1" t="str">
        <f t="shared" si="0"/>
        <v>威尔新数值1.06.xlsm!suitPower</v>
      </c>
      <c r="J51" s="2"/>
      <c r="K51" s="2"/>
      <c r="L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</row>
    <row r="52" spans="1:41" x14ac:dyDescent="0.15">
      <c r="A52" s="1">
        <v>51</v>
      </c>
      <c r="B52" s="1">
        <v>101080300</v>
      </c>
      <c r="C52" s="1">
        <f t="shared" si="3"/>
        <v>3</v>
      </c>
      <c r="D52" s="5">
        <f ca="1">IF(getQuality(B52)&lt;4,getOtherMin(B52,C52,INDIRECT(J$2),INDIRECT(I52),test),getMin(B52,C52,INDIRECT(J$2),INDIRECT(I52),test))</f>
        <v>203.82888203359849</v>
      </c>
      <c r="E52" s="5">
        <f ca="1">IF(getQuality(B52)&lt;4,getOtherMax(B52,C52,INDIRECT(J$2),INDIRECT(I52),test),getMax(B52,C52,INDIRECT(J$2),INDIRECT(I52),test))</f>
        <v>246.21036204885561</v>
      </c>
      <c r="F52" s="1" t="str">
        <f t="shared" si="1"/>
        <v>80</v>
      </c>
      <c r="G52" s="1" t="str">
        <f t="shared" si="2"/>
        <v/>
      </c>
      <c r="I52" s="1" t="str">
        <f t="shared" si="0"/>
        <v>威尔新数值1.06.xlsm!suitPower</v>
      </c>
      <c r="P52" s="2"/>
      <c r="Q52" s="2"/>
    </row>
    <row r="53" spans="1:41" x14ac:dyDescent="0.15">
      <c r="A53" s="1">
        <v>52</v>
      </c>
      <c r="B53" s="1">
        <v>101080300</v>
      </c>
      <c r="C53" s="1">
        <f t="shared" si="3"/>
        <v>5</v>
      </c>
      <c r="D53" s="5">
        <f ca="1">IF(getQuality(B53)&lt;4,getOtherMin(B53,C53,INDIRECT(J$2),INDIRECT(I53),test),getMin(B53,C53,INDIRECT(J$2),INDIRECT(I53),test))</f>
        <v>203.82888203359849</v>
      </c>
      <c r="E53" s="5">
        <f ca="1">IF(getQuality(B53)&lt;4,getOtherMax(B53,C53,INDIRECT(J$2),INDIRECT(I53),test),getMax(B53,C53,INDIRECT(J$2),INDIRECT(I53),test))</f>
        <v>246.21036204885561</v>
      </c>
      <c r="F53" s="1" t="str">
        <f t="shared" si="1"/>
        <v>20</v>
      </c>
      <c r="G53" s="1" t="str">
        <f t="shared" si="2"/>
        <v/>
      </c>
      <c r="I53" s="1" t="str">
        <f t="shared" si="0"/>
        <v>威尔新数值1.06.xlsm!suitPower</v>
      </c>
    </row>
    <row r="54" spans="1:41" x14ac:dyDescent="0.15">
      <c r="A54" s="1">
        <v>53</v>
      </c>
      <c r="B54" s="1">
        <v>101090300</v>
      </c>
      <c r="C54" s="1">
        <f t="shared" si="3"/>
        <v>3</v>
      </c>
      <c r="D54" s="5">
        <f ca="1">IF(getQuality(B54)&lt;4,getOtherMin(B54,C54,INDIRECT(J$2),INDIRECT(I54),test),getMin(B54,C54,INDIRECT(J$2),INDIRECT(I54),test))</f>
        <v>247.21036204885561</v>
      </c>
      <c r="E54" s="5">
        <f ca="1">IF(getQuality(B54)&lt;4,getOtherMax(B54,C54,INDIRECT(J$2),INDIRECT(I54),test),getMax(B54,C54,INDIRECT(J$2),INDIRECT(I54),test))</f>
        <v>293.19332342386997</v>
      </c>
      <c r="F54" s="1" t="str">
        <f t="shared" si="1"/>
        <v>80</v>
      </c>
      <c r="G54" s="1" t="str">
        <f t="shared" si="2"/>
        <v/>
      </c>
      <c r="I54" s="1" t="str">
        <f t="shared" si="0"/>
        <v>威尔新数值1.06.xlsm!suitPower</v>
      </c>
    </row>
    <row r="55" spans="1:41" x14ac:dyDescent="0.15">
      <c r="A55" s="1">
        <v>54</v>
      </c>
      <c r="B55" s="1">
        <v>101090300</v>
      </c>
      <c r="C55" s="1">
        <f t="shared" si="3"/>
        <v>5</v>
      </c>
      <c r="D55" s="5">
        <f ca="1">IF(getQuality(B55)&lt;4,getOtherMin(B55,C55,INDIRECT(J$2),INDIRECT(I55),test),getMin(B55,C55,INDIRECT(J$2),INDIRECT(I55),test))</f>
        <v>247.21036204885561</v>
      </c>
      <c r="E55" s="5">
        <f ca="1">IF(getQuality(B55)&lt;4,getOtherMax(B55,C55,INDIRECT(J$2),INDIRECT(I55),test),getMax(B55,C55,INDIRECT(J$2),INDIRECT(I55),test))</f>
        <v>293.19332342386997</v>
      </c>
      <c r="F55" s="1" t="str">
        <f t="shared" si="1"/>
        <v>20</v>
      </c>
      <c r="G55" s="1" t="str">
        <f t="shared" si="2"/>
        <v/>
      </c>
      <c r="I55" s="1" t="str">
        <f t="shared" si="0"/>
        <v>威尔新数值1.06.xlsm!suitPower</v>
      </c>
    </row>
    <row r="56" spans="1:41" x14ac:dyDescent="0.15">
      <c r="A56" s="1">
        <v>55</v>
      </c>
      <c r="B56" s="1">
        <v>101010400</v>
      </c>
      <c r="C56" s="1">
        <f t="shared" si="3"/>
        <v>3</v>
      </c>
      <c r="D56" s="5">
        <f ca="1">IF(getQuality(B56)&lt;4,getOtherMin(B56,C56,INDIRECT(J$2),INDIRECT(I56),test),getMin(B56,C56,INDIRECT(J$2),INDIRECT(I56),test))</f>
        <v>1</v>
      </c>
      <c r="E56" s="5">
        <f ca="1">IF(getQuality(B56)&lt;4,getOtherMax(B56,C56,INDIRECT(J$2),INDIRECT(I56),test),getMax(B56,C56,INDIRECT(J$2),INDIRECT(I56),test))</f>
        <v>18.007406798785986</v>
      </c>
      <c r="F56" s="1" t="str">
        <f t="shared" si="1"/>
        <v>20</v>
      </c>
      <c r="G56" s="1" t="str">
        <f t="shared" si="2"/>
        <v/>
      </c>
      <c r="I56" s="1" t="str">
        <f t="shared" si="0"/>
        <v>威尔新数值1.06.xlsm!suitPower</v>
      </c>
    </row>
    <row r="57" spans="1:41" x14ac:dyDescent="0.15">
      <c r="A57" s="1">
        <v>56</v>
      </c>
      <c r="B57" s="1">
        <v>101010400</v>
      </c>
      <c r="C57" s="1">
        <f t="shared" si="3"/>
        <v>5</v>
      </c>
      <c r="D57" s="5">
        <f ca="1">IF(getQuality(B57)&lt;4,getOtherMin(B57,C57,INDIRECT(J$2),INDIRECT(I57),test),getMin(B57,C57,INDIRECT(J$2),INDIRECT(I57),test))</f>
        <v>1</v>
      </c>
      <c r="E57" s="5">
        <f ca="1">IF(getQuality(B57)&lt;4,getOtherMax(B57,C57,INDIRECT(J$2),INDIRECT(I57),test),getMax(B57,C57,INDIRECT(J$2),INDIRECT(I57),test))</f>
        <v>18.007406798785986</v>
      </c>
      <c r="F57" s="1" t="str">
        <f t="shared" si="1"/>
        <v>80</v>
      </c>
      <c r="G57" s="1" t="str">
        <f t="shared" si="2"/>
        <v/>
      </c>
      <c r="I57" s="1" t="str">
        <f t="shared" si="0"/>
        <v>威尔新数值1.06.xlsm!suitPower</v>
      </c>
    </row>
    <row r="58" spans="1:41" x14ac:dyDescent="0.15">
      <c r="A58" s="1">
        <v>57</v>
      </c>
      <c r="B58" s="1">
        <v>101020400</v>
      </c>
      <c r="C58" s="1">
        <f t="shared" si="3"/>
        <v>3</v>
      </c>
      <c r="D58" s="5">
        <f ca="1">IF(getQuality(B58)&lt;4,getOtherMin(B58,C58,INDIRECT(J$2),INDIRECT(I58),test),getMin(B58,C58,INDIRECT(J$2),INDIRECT(I58),test))</f>
        <v>19.007406798785986</v>
      </c>
      <c r="E58" s="5">
        <f ca="1">IF(getQuality(B58)&lt;4,getOtherMax(B58,C58,INDIRECT(J$2),INDIRECT(I58),test),getMax(B58,C58,INDIRECT(J$2),INDIRECT(I58),test))</f>
        <v>39.616294957329167</v>
      </c>
      <c r="F58" s="1" t="str">
        <f t="shared" si="1"/>
        <v>20</v>
      </c>
      <c r="G58" s="1" t="str">
        <f t="shared" si="2"/>
        <v/>
      </c>
      <c r="I58" s="1" t="str">
        <f t="shared" si="0"/>
        <v>威尔新数值1.06.xlsm!suitPower</v>
      </c>
    </row>
    <row r="59" spans="1:41" x14ac:dyDescent="0.15">
      <c r="A59" s="1">
        <v>58</v>
      </c>
      <c r="B59" s="1">
        <v>101020400</v>
      </c>
      <c r="C59" s="1">
        <f t="shared" si="3"/>
        <v>5</v>
      </c>
      <c r="D59" s="5">
        <f ca="1">IF(getQuality(B59)&lt;4,getOtherMin(B59,C59,INDIRECT(J$2),INDIRECT(I59),test),getMin(B59,C59,INDIRECT(J$2),INDIRECT(I59),test))</f>
        <v>19.007406798785986</v>
      </c>
      <c r="E59" s="5">
        <f ca="1">IF(getQuality(B59)&lt;4,getOtherMax(B59,C59,INDIRECT(J$2),INDIRECT(I59),test),getMax(B59,C59,INDIRECT(J$2),INDIRECT(I59),test))</f>
        <v>39.616294957329167</v>
      </c>
      <c r="F59" s="1" t="str">
        <f t="shared" si="1"/>
        <v>80</v>
      </c>
      <c r="G59" s="1" t="str">
        <f t="shared" si="2"/>
        <v/>
      </c>
      <c r="I59" s="1" t="str">
        <f t="shared" si="0"/>
        <v>威尔新数值1.06.xlsm!suitPower</v>
      </c>
    </row>
    <row r="60" spans="1:41" x14ac:dyDescent="0.15">
      <c r="A60" s="1">
        <v>59</v>
      </c>
      <c r="B60" s="1">
        <v>101030400</v>
      </c>
      <c r="C60" s="1">
        <f t="shared" si="3"/>
        <v>3</v>
      </c>
      <c r="D60" s="5">
        <f ca="1">IF(getQuality(B60)&lt;4,getOtherMin(B60,C60,INDIRECT(J$2),INDIRECT(I60),test),getMin(B60,C60,INDIRECT(J$2),INDIRECT(I60),test))</f>
        <v>40.616294957329167</v>
      </c>
      <c r="E60" s="5">
        <f ca="1">IF(getQuality(B60)&lt;4,getOtherMax(B60,C60,INDIRECT(J$2),INDIRECT(I60),test),getMax(B60,C60,INDIRECT(J$2),INDIRECT(I60),test))</f>
        <v>64.826664475629542</v>
      </c>
      <c r="F60" s="1" t="str">
        <f t="shared" si="1"/>
        <v>20</v>
      </c>
      <c r="G60" s="1" t="str">
        <f t="shared" si="2"/>
        <v/>
      </c>
      <c r="I60" s="1" t="str">
        <f t="shared" si="0"/>
        <v>威尔新数值1.06.xlsm!suitPower</v>
      </c>
    </row>
    <row r="61" spans="1:41" x14ac:dyDescent="0.15">
      <c r="A61" s="1">
        <v>60</v>
      </c>
      <c r="B61" s="1">
        <v>101030400</v>
      </c>
      <c r="C61" s="1">
        <f t="shared" si="3"/>
        <v>5</v>
      </c>
      <c r="D61" s="5">
        <f ca="1">IF(getQuality(B61)&lt;4,getOtherMin(B61,C61,INDIRECT(J$2),INDIRECT(I61),test),getMin(B61,C61,INDIRECT(J$2),INDIRECT(I61),test))</f>
        <v>40.616294957329167</v>
      </c>
      <c r="E61" s="5">
        <f ca="1">IF(getQuality(B61)&lt;4,getOtherMax(B61,C61,INDIRECT(J$2),INDIRECT(I61),test),getMax(B61,C61,INDIRECT(J$2),INDIRECT(I61),test))</f>
        <v>64.826664475629542</v>
      </c>
      <c r="F61" s="1" t="str">
        <f t="shared" si="1"/>
        <v>80</v>
      </c>
      <c r="G61" s="1" t="str">
        <f t="shared" si="2"/>
        <v/>
      </c>
      <c r="I61" s="1" t="str">
        <f t="shared" si="0"/>
        <v>威尔新数值1.06.xlsm!suitPower</v>
      </c>
    </row>
    <row r="62" spans="1:41" x14ac:dyDescent="0.15">
      <c r="A62" s="1">
        <v>61</v>
      </c>
      <c r="B62" s="1">
        <v>101040400</v>
      </c>
      <c r="C62" s="1">
        <f t="shared" si="3"/>
        <v>3</v>
      </c>
      <c r="D62" s="5">
        <f ca="1">IF(getQuality(B62)&lt;4,getOtherMin(B62,C62,INDIRECT(J$2),INDIRECT(I62),test),getMin(B62,C62,INDIRECT(J$2),INDIRECT(I62),test))</f>
        <v>65.826664475629542</v>
      </c>
      <c r="E62" s="5">
        <f ca="1">IF(getQuality(B62)&lt;4,getOtherMax(B62,C62,INDIRECT(J$2),INDIRECT(I62),test),getMax(B62,C62,INDIRECT(J$2),INDIRECT(I62),test))</f>
        <v>93.638515353687112</v>
      </c>
      <c r="F62" s="1" t="str">
        <f t="shared" si="1"/>
        <v>20</v>
      </c>
      <c r="G62" s="1" t="str">
        <f t="shared" si="2"/>
        <v/>
      </c>
      <c r="I62" s="1" t="str">
        <f t="shared" si="0"/>
        <v>威尔新数值1.06.xlsm!suitPower</v>
      </c>
    </row>
    <row r="63" spans="1:41" x14ac:dyDescent="0.15">
      <c r="A63" s="1">
        <v>62</v>
      </c>
      <c r="B63" s="1">
        <v>101040400</v>
      </c>
      <c r="C63" s="1">
        <f t="shared" si="3"/>
        <v>5</v>
      </c>
      <c r="D63" s="5">
        <f ca="1">IF(getQuality(B63)&lt;4,getOtherMin(B63,C63,INDIRECT(J$2),INDIRECT(I63),test),getMin(B63,C63,INDIRECT(J$2),INDIRECT(I63),test))</f>
        <v>65.826664475629542</v>
      </c>
      <c r="E63" s="5">
        <f ca="1">IF(getQuality(B63)&lt;4,getOtherMax(B63,C63,INDIRECT(J$2),INDIRECT(I63),test),getMax(B63,C63,INDIRECT(J$2),INDIRECT(I63),test))</f>
        <v>93.638515353687112</v>
      </c>
      <c r="F63" s="1" t="str">
        <f t="shared" si="1"/>
        <v>80</v>
      </c>
      <c r="G63" s="1" t="str">
        <f t="shared" si="2"/>
        <v/>
      </c>
      <c r="I63" s="1" t="str">
        <f t="shared" si="0"/>
        <v>威尔新数值1.06.xlsm!suitPower</v>
      </c>
    </row>
    <row r="64" spans="1:41" x14ac:dyDescent="0.15">
      <c r="A64" s="1">
        <v>63</v>
      </c>
      <c r="B64" s="1">
        <v>101050400</v>
      </c>
      <c r="C64" s="1">
        <f t="shared" si="3"/>
        <v>3</v>
      </c>
      <c r="D64" s="5">
        <f ca="1">IF(getQuality(B64)&lt;4,getOtherMin(B64,C64,INDIRECT(J$2),INDIRECT(I64),test),getMin(B64,C64,INDIRECT(J$2),INDIRECT(I64),test))</f>
        <v>94.638515353687112</v>
      </c>
      <c r="E64" s="5">
        <f ca="1">IF(getQuality(B64)&lt;4,getOtherMax(B64,C64,INDIRECT(J$2),INDIRECT(I64),test),getMax(B64,C64,INDIRECT(J$2),INDIRECT(I64),test))</f>
        <v>126.8703660823558</v>
      </c>
      <c r="F64" s="1" t="str">
        <f t="shared" si="1"/>
        <v>20</v>
      </c>
      <c r="G64" s="1" t="str">
        <f t="shared" si="2"/>
        <v/>
      </c>
      <c r="I64" s="1" t="str">
        <f t="shared" si="0"/>
        <v>威尔新数值1.06.xlsm!suitPower</v>
      </c>
    </row>
    <row r="65" spans="1:12" ht="13.5" x14ac:dyDescent="0.15">
      <c r="A65" s="1">
        <v>64</v>
      </c>
      <c r="B65" s="1">
        <v>101050400</v>
      </c>
      <c r="C65" s="1">
        <f t="shared" si="3"/>
        <v>5</v>
      </c>
      <c r="D65" s="5">
        <f ca="1">IF(getQuality(B65)&lt;4,getOtherMin(B65,C65,INDIRECT(J$2),INDIRECT(I65),test),getMin(B65,C65,INDIRECT(J$2),INDIRECT(I65),test))</f>
        <v>94.638515353687112</v>
      </c>
      <c r="E65" s="5">
        <f ca="1">IF(getQuality(B65)&lt;4,getOtherMax(B65,C65,INDIRECT(J$2),INDIRECT(I65),test),getMax(B65,C65,INDIRECT(J$2),INDIRECT(I65),test))</f>
        <v>126.8703660823558</v>
      </c>
      <c r="F65" s="1" t="str">
        <f t="shared" si="1"/>
        <v>80</v>
      </c>
      <c r="G65" s="1" t="str">
        <f t="shared" si="2"/>
        <v/>
      </c>
      <c r="I65" s="1" t="str">
        <f t="shared" si="0"/>
        <v>威尔新数值1.06.xlsm!suitPower</v>
      </c>
      <c r="L65" s="6" t="s">
        <v>60</v>
      </c>
    </row>
    <row r="66" spans="1:12" x14ac:dyDescent="0.15">
      <c r="A66" s="1">
        <v>65</v>
      </c>
      <c r="B66" s="1">
        <v>101060400</v>
      </c>
      <c r="C66" s="1">
        <f t="shared" si="3"/>
        <v>3</v>
      </c>
      <c r="D66" s="5">
        <f ca="1">IF(getQuality(B66)&lt;4,getOtherMin(B66,C66,INDIRECT(J$2),INDIRECT(I66),test),getMin(B66,C66,INDIRECT(J$2),INDIRECT(I66),test))</f>
        <v>127.8703660823558</v>
      </c>
      <c r="E66" s="5">
        <f ca="1">IF(getQuality(B66)&lt;4,getOtherMax(B66,C66,INDIRECT(J$2),INDIRECT(I66),test),getMax(B66,C66,INDIRECT(J$2),INDIRECT(I66),test))</f>
        <v>163.04888337809854</v>
      </c>
      <c r="F66" s="1" t="str">
        <f t="shared" si="1"/>
        <v>20</v>
      </c>
      <c r="G66" s="1" t="str">
        <f t="shared" si="2"/>
        <v/>
      </c>
      <c r="I66" s="1" t="str">
        <f t="shared" ref="I66:I129" si="4">IF(C66&lt;100,VLOOKUP(C66,test,3,FALSE),VLOOKUP(C66,test1,3,FALSE))</f>
        <v>威尔新数值1.06.xlsm!suitPower</v>
      </c>
    </row>
    <row r="67" spans="1:12" x14ac:dyDescent="0.15">
      <c r="A67" s="1">
        <v>66</v>
      </c>
      <c r="B67" s="1">
        <v>101060400</v>
      </c>
      <c r="C67" s="1">
        <f t="shared" si="3"/>
        <v>5</v>
      </c>
      <c r="D67" s="5">
        <f ca="1">IF(getQuality(B67)&lt;4,getOtherMin(B67,C67,INDIRECT(J$2),INDIRECT(I67),test),getMin(B67,C67,INDIRECT(J$2),INDIRECT(I67),test))</f>
        <v>127.8703660823558</v>
      </c>
      <c r="E67" s="5">
        <f ca="1">IF(getQuality(B67)&lt;4,getOtherMax(B67,C67,INDIRECT(J$2),INDIRECT(I67),test),getMax(B67,C67,INDIRECT(J$2),INDIRECT(I67),test))</f>
        <v>163.04888337809854</v>
      </c>
      <c r="F67" s="1" t="str">
        <f t="shared" ref="F67:F130" si="5">getper(B67,C67)</f>
        <v>80</v>
      </c>
      <c r="G67" s="1" t="str">
        <f t="shared" ref="G67:G130" si="6">getMust(B67,C67)</f>
        <v/>
      </c>
      <c r="I67" s="1" t="str">
        <f t="shared" si="4"/>
        <v>威尔新数值1.06.xlsm!suitPower</v>
      </c>
    </row>
    <row r="68" spans="1:12" x14ac:dyDescent="0.15">
      <c r="A68" s="1">
        <v>67</v>
      </c>
      <c r="B68" s="1">
        <v>101070400</v>
      </c>
      <c r="C68" s="1">
        <f t="shared" si="3"/>
        <v>3</v>
      </c>
      <c r="D68" s="5">
        <f ca="1">IF(getQuality(B68)&lt;4,getOtherMin(B68,C68,INDIRECT(J$2),INDIRECT(I68),test),getMin(B68,C68,INDIRECT(J$2),INDIRECT(I68),test))</f>
        <v>164.04888337809854</v>
      </c>
      <c r="E68" s="5">
        <f ca="1">IF(getQuality(B68)&lt;4,getOtherMax(B68,C68,INDIRECT(J$2),INDIRECT(I68),test),getMax(B68,C68,INDIRECT(J$2),INDIRECT(I68),test))</f>
        <v>202.82888203359849</v>
      </c>
      <c r="F68" s="1" t="str">
        <f t="shared" si="5"/>
        <v>20</v>
      </c>
      <c r="G68" s="1" t="str">
        <f t="shared" si="6"/>
        <v/>
      </c>
      <c r="I68" s="1" t="str">
        <f t="shared" si="4"/>
        <v>威尔新数值1.06.xlsm!suitPower</v>
      </c>
    </row>
    <row r="69" spans="1:12" x14ac:dyDescent="0.15">
      <c r="A69" s="1">
        <v>68</v>
      </c>
      <c r="B69" s="1">
        <v>101070400</v>
      </c>
      <c r="C69" s="1">
        <f t="shared" ref="C69:C132" si="7">C67</f>
        <v>5</v>
      </c>
      <c r="D69" s="5">
        <f ca="1">IF(getQuality(B69)&lt;4,getOtherMin(B69,C69,INDIRECT(J$2),INDIRECT(I69),test),getMin(B69,C69,INDIRECT(J$2),INDIRECT(I69),test))</f>
        <v>164.04888337809854</v>
      </c>
      <c r="E69" s="5">
        <f ca="1">IF(getQuality(B69)&lt;4,getOtherMax(B69,C69,INDIRECT(J$2),INDIRECT(I69),test),getMax(B69,C69,INDIRECT(J$2),INDIRECT(I69),test))</f>
        <v>202.82888203359849</v>
      </c>
      <c r="F69" s="1" t="str">
        <f t="shared" si="5"/>
        <v>80</v>
      </c>
      <c r="G69" s="1" t="str">
        <f t="shared" si="6"/>
        <v/>
      </c>
      <c r="I69" s="1" t="str">
        <f t="shared" si="4"/>
        <v>威尔新数值1.06.xlsm!suitPower</v>
      </c>
    </row>
    <row r="70" spans="1:12" x14ac:dyDescent="0.15">
      <c r="A70" s="1">
        <v>69</v>
      </c>
      <c r="B70" s="1">
        <v>101080400</v>
      </c>
      <c r="C70" s="1">
        <f t="shared" si="7"/>
        <v>3</v>
      </c>
      <c r="D70" s="5">
        <f ca="1">IF(getQuality(B70)&lt;4,getOtherMin(B70,C70,INDIRECT(J$2),INDIRECT(I70),test),getMin(B70,C70,INDIRECT(J$2),INDIRECT(I70),test))</f>
        <v>203.82888203359849</v>
      </c>
      <c r="E70" s="5">
        <f ca="1">IF(getQuality(B70)&lt;4,getOtherMax(B70,C70,INDIRECT(J$2),INDIRECT(I70),test),getMax(B70,C70,INDIRECT(J$2),INDIRECT(I70),test))</f>
        <v>246.21036204885561</v>
      </c>
      <c r="F70" s="1" t="str">
        <f t="shared" si="5"/>
        <v>20</v>
      </c>
      <c r="G70" s="1" t="str">
        <f t="shared" si="6"/>
        <v/>
      </c>
      <c r="I70" s="1" t="str">
        <f t="shared" si="4"/>
        <v>威尔新数值1.06.xlsm!suitPower</v>
      </c>
    </row>
    <row r="71" spans="1:12" x14ac:dyDescent="0.15">
      <c r="A71" s="1">
        <v>70</v>
      </c>
      <c r="B71" s="1">
        <v>101080400</v>
      </c>
      <c r="C71" s="1">
        <f t="shared" si="7"/>
        <v>5</v>
      </c>
      <c r="D71" s="5">
        <f ca="1">IF(getQuality(B71)&lt;4,getOtherMin(B71,C71,INDIRECT(J$2),INDIRECT(I71),test),getMin(B71,C71,INDIRECT(J$2),INDIRECT(I71),test))</f>
        <v>203.82888203359849</v>
      </c>
      <c r="E71" s="5">
        <f ca="1">IF(getQuality(B71)&lt;4,getOtherMax(B71,C71,INDIRECT(J$2),INDIRECT(I71),test),getMax(B71,C71,INDIRECT(J$2),INDIRECT(I71),test))</f>
        <v>246.21036204885561</v>
      </c>
      <c r="F71" s="1" t="str">
        <f t="shared" si="5"/>
        <v>80</v>
      </c>
      <c r="G71" s="1" t="str">
        <f t="shared" si="6"/>
        <v/>
      </c>
      <c r="I71" s="1" t="str">
        <f t="shared" si="4"/>
        <v>威尔新数值1.06.xlsm!suitPower</v>
      </c>
    </row>
    <row r="72" spans="1:12" x14ac:dyDescent="0.15">
      <c r="A72" s="1">
        <v>71</v>
      </c>
      <c r="B72" s="1">
        <v>101090400</v>
      </c>
      <c r="C72" s="1">
        <f t="shared" si="7"/>
        <v>3</v>
      </c>
      <c r="D72" s="5">
        <f ca="1">IF(getQuality(B72)&lt;4,getOtherMin(B72,C72,INDIRECT(J$2),INDIRECT(I72),test),getMin(B72,C72,INDIRECT(J$2),INDIRECT(I72),test))</f>
        <v>247.21036204885561</v>
      </c>
      <c r="E72" s="5">
        <f ca="1">IF(getQuality(B72)&lt;4,getOtherMax(B72,C72,INDIRECT(J$2),INDIRECT(I72),test),getMax(B72,C72,INDIRECT(J$2),INDIRECT(I72),test))</f>
        <v>293.19332342386997</v>
      </c>
      <c r="F72" s="1" t="str">
        <f t="shared" si="5"/>
        <v>20</v>
      </c>
      <c r="G72" s="1" t="str">
        <f t="shared" si="6"/>
        <v/>
      </c>
      <c r="I72" s="1" t="str">
        <f t="shared" si="4"/>
        <v>威尔新数值1.06.xlsm!suitPower</v>
      </c>
    </row>
    <row r="73" spans="1:12" x14ac:dyDescent="0.15">
      <c r="A73" s="1">
        <v>72</v>
      </c>
      <c r="B73" s="1">
        <v>101090400</v>
      </c>
      <c r="C73" s="1">
        <f t="shared" si="7"/>
        <v>5</v>
      </c>
      <c r="D73" s="5">
        <f ca="1">IF(getQuality(B73)&lt;4,getOtherMin(B73,C73,INDIRECT(J$2),INDIRECT(I73),test),getMin(B73,C73,INDIRECT(J$2),INDIRECT(I73),test))</f>
        <v>247.21036204885561</v>
      </c>
      <c r="E73" s="5">
        <f ca="1">IF(getQuality(B73)&lt;4,getOtherMax(B73,C73,INDIRECT(J$2),INDIRECT(I73),test),getMax(B73,C73,INDIRECT(J$2),INDIRECT(I73),test))</f>
        <v>293.19332342386997</v>
      </c>
      <c r="F73" s="1" t="str">
        <f t="shared" si="5"/>
        <v>80</v>
      </c>
      <c r="G73" s="1" t="str">
        <f t="shared" si="6"/>
        <v/>
      </c>
      <c r="I73" s="1" t="str">
        <f t="shared" si="4"/>
        <v>威尔新数值1.06.xlsm!suitPower</v>
      </c>
    </row>
    <row r="74" spans="1:12" x14ac:dyDescent="0.15">
      <c r="A74" s="1">
        <v>73</v>
      </c>
      <c r="B74" s="1">
        <v>101010500</v>
      </c>
      <c r="C74" s="1">
        <f t="shared" si="7"/>
        <v>3</v>
      </c>
      <c r="D74" s="5">
        <f ca="1">IF(getQuality(B74)&lt;4,getOtherMin(B74,C74,INDIRECT(J$2),INDIRECT(I74),test),getMin(B74,C74,INDIRECT(J$2),INDIRECT(I74),test))</f>
        <v>1</v>
      </c>
      <c r="E74" s="5">
        <f ca="1">IF(getQuality(B74)&lt;4,getOtherMax(B74,C74,INDIRECT(J$2),INDIRECT(I74),test),getMax(B74,C74,INDIRECT(J$2),INDIRECT(I74),test))</f>
        <v>18.007406798785986</v>
      </c>
      <c r="F74" s="1" t="str">
        <f t="shared" si="5"/>
        <v>80</v>
      </c>
      <c r="G74" s="1" t="str">
        <f t="shared" si="6"/>
        <v/>
      </c>
      <c r="I74" s="1" t="str">
        <f t="shared" si="4"/>
        <v>威尔新数值1.06.xlsm!suitPower</v>
      </c>
    </row>
    <row r="75" spans="1:12" x14ac:dyDescent="0.15">
      <c r="A75" s="1">
        <v>74</v>
      </c>
      <c r="B75" s="1">
        <v>101010500</v>
      </c>
      <c r="C75" s="1">
        <f t="shared" si="7"/>
        <v>5</v>
      </c>
      <c r="D75" s="5">
        <f ca="1">IF(getQuality(B75)&lt;4,getOtherMin(B75,C75,INDIRECT(J$2),INDIRECT(I75),test),getMin(B75,C75,INDIRECT(J$2),INDIRECT(I75),test))</f>
        <v>1</v>
      </c>
      <c r="E75" s="5">
        <f ca="1">IF(getQuality(B75)&lt;4,getOtherMax(B75,C75,INDIRECT(J$2),INDIRECT(I75),test),getMax(B75,C75,INDIRECT(J$2),INDIRECT(I75),test))</f>
        <v>18.007406798785986</v>
      </c>
      <c r="F75" s="1" t="str">
        <f t="shared" si="5"/>
        <v>20</v>
      </c>
      <c r="G75" s="1" t="str">
        <f t="shared" si="6"/>
        <v/>
      </c>
      <c r="I75" s="1" t="str">
        <f t="shared" si="4"/>
        <v>威尔新数值1.06.xlsm!suitPower</v>
      </c>
    </row>
    <row r="76" spans="1:12" x14ac:dyDescent="0.15">
      <c r="A76" s="1">
        <v>75</v>
      </c>
      <c r="B76" s="1">
        <v>101020500</v>
      </c>
      <c r="C76" s="1">
        <f t="shared" si="7"/>
        <v>3</v>
      </c>
      <c r="D76" s="5">
        <f ca="1">IF(getQuality(B76)&lt;4,getOtherMin(B76,C76,INDIRECT(J$2),INDIRECT(I76),test),getMin(B76,C76,INDIRECT(J$2),INDIRECT(I76),test))</f>
        <v>19.007406798785986</v>
      </c>
      <c r="E76" s="5">
        <f ca="1">IF(getQuality(B76)&lt;4,getOtherMax(B76,C76,INDIRECT(J$2),INDIRECT(I76),test),getMax(B76,C76,INDIRECT(J$2),INDIRECT(I76),test))</f>
        <v>39.616294957329167</v>
      </c>
      <c r="F76" s="1" t="str">
        <f t="shared" si="5"/>
        <v>80</v>
      </c>
      <c r="G76" s="1" t="str">
        <f t="shared" si="6"/>
        <v/>
      </c>
      <c r="I76" s="1" t="str">
        <f t="shared" si="4"/>
        <v>威尔新数值1.06.xlsm!suitPower</v>
      </c>
    </row>
    <row r="77" spans="1:12" x14ac:dyDescent="0.15">
      <c r="A77" s="1">
        <v>76</v>
      </c>
      <c r="B77" s="1">
        <v>101020500</v>
      </c>
      <c r="C77" s="1">
        <f t="shared" si="7"/>
        <v>5</v>
      </c>
      <c r="D77" s="5">
        <f ca="1">IF(getQuality(B77)&lt;4,getOtherMin(B77,C77,INDIRECT(J$2),INDIRECT(I77),test),getMin(B77,C77,INDIRECT(J$2),INDIRECT(I77),test))</f>
        <v>19.007406798785986</v>
      </c>
      <c r="E77" s="5">
        <f ca="1">IF(getQuality(B77)&lt;4,getOtherMax(B77,C77,INDIRECT(J$2),INDIRECT(I77),test),getMax(B77,C77,INDIRECT(J$2),INDIRECT(I77),test))</f>
        <v>39.616294957329167</v>
      </c>
      <c r="F77" s="1" t="str">
        <f t="shared" si="5"/>
        <v>20</v>
      </c>
      <c r="G77" s="1" t="str">
        <f t="shared" si="6"/>
        <v/>
      </c>
      <c r="I77" s="1" t="str">
        <f t="shared" si="4"/>
        <v>威尔新数值1.06.xlsm!suitPower</v>
      </c>
    </row>
    <row r="78" spans="1:12" x14ac:dyDescent="0.15">
      <c r="A78" s="1">
        <v>77</v>
      </c>
      <c r="B78" s="1">
        <v>101030500</v>
      </c>
      <c r="C78" s="1">
        <f t="shared" si="7"/>
        <v>3</v>
      </c>
      <c r="D78" s="5">
        <f ca="1">IF(getQuality(B78)&lt;4,getOtherMin(B78,C78,INDIRECT(J$2),INDIRECT(I78),test),getMin(B78,C78,INDIRECT(J$2),INDIRECT(I78),test))</f>
        <v>40.616294957329167</v>
      </c>
      <c r="E78" s="5">
        <f ca="1">IF(getQuality(B78)&lt;4,getOtherMax(B78,C78,INDIRECT(J$2),INDIRECT(I78),test),getMax(B78,C78,INDIRECT(J$2),INDIRECT(I78),test))</f>
        <v>64.826664475629542</v>
      </c>
      <c r="F78" s="1" t="str">
        <f t="shared" si="5"/>
        <v>80</v>
      </c>
      <c r="G78" s="1" t="str">
        <f t="shared" si="6"/>
        <v/>
      </c>
      <c r="I78" s="1" t="str">
        <f t="shared" si="4"/>
        <v>威尔新数值1.06.xlsm!suitPower</v>
      </c>
    </row>
    <row r="79" spans="1:12" x14ac:dyDescent="0.15">
      <c r="A79" s="1">
        <v>78</v>
      </c>
      <c r="B79" s="1">
        <v>101030500</v>
      </c>
      <c r="C79" s="1">
        <f t="shared" si="7"/>
        <v>5</v>
      </c>
      <c r="D79" s="5">
        <f ca="1">IF(getQuality(B79)&lt;4,getOtherMin(B79,C79,INDIRECT(J$2),INDIRECT(I79),test),getMin(B79,C79,INDIRECT(J$2),INDIRECT(I79),test))</f>
        <v>40.616294957329167</v>
      </c>
      <c r="E79" s="5">
        <f ca="1">IF(getQuality(B79)&lt;4,getOtherMax(B79,C79,INDIRECT(J$2),INDIRECT(I79),test),getMax(B79,C79,INDIRECT(J$2),INDIRECT(I79),test))</f>
        <v>64.826664475629542</v>
      </c>
      <c r="F79" s="1" t="str">
        <f t="shared" si="5"/>
        <v>20</v>
      </c>
      <c r="G79" s="1" t="str">
        <f t="shared" si="6"/>
        <v/>
      </c>
      <c r="I79" s="1" t="str">
        <f t="shared" si="4"/>
        <v>威尔新数值1.06.xlsm!suitPower</v>
      </c>
    </row>
    <row r="80" spans="1:12" x14ac:dyDescent="0.15">
      <c r="A80" s="1">
        <v>79</v>
      </c>
      <c r="B80" s="1">
        <v>101040500</v>
      </c>
      <c r="C80" s="1">
        <f t="shared" si="7"/>
        <v>3</v>
      </c>
      <c r="D80" s="5">
        <f ca="1">IF(getQuality(B80)&lt;4,getOtherMin(B80,C80,INDIRECT(J$2),INDIRECT(I80),test),getMin(B80,C80,INDIRECT(J$2),INDIRECT(I80),test))</f>
        <v>65.826664475629542</v>
      </c>
      <c r="E80" s="5">
        <f ca="1">IF(getQuality(B80)&lt;4,getOtherMax(B80,C80,INDIRECT(J$2),INDIRECT(I80),test),getMax(B80,C80,INDIRECT(J$2),INDIRECT(I80),test))</f>
        <v>93.638515353687112</v>
      </c>
      <c r="F80" s="1" t="str">
        <f t="shared" si="5"/>
        <v>80</v>
      </c>
      <c r="G80" s="1" t="str">
        <f t="shared" si="6"/>
        <v/>
      </c>
      <c r="I80" s="1" t="str">
        <f t="shared" si="4"/>
        <v>威尔新数值1.06.xlsm!suitPower</v>
      </c>
    </row>
    <row r="81" spans="1:9" x14ac:dyDescent="0.15">
      <c r="A81" s="1">
        <v>80</v>
      </c>
      <c r="B81" s="1">
        <v>101040500</v>
      </c>
      <c r="C81" s="1">
        <f t="shared" si="7"/>
        <v>5</v>
      </c>
      <c r="D81" s="5">
        <f ca="1">IF(getQuality(B81)&lt;4,getOtherMin(B81,C81,INDIRECT(J$2),INDIRECT(I81),test),getMin(B81,C81,INDIRECT(J$2),INDIRECT(I81),test))</f>
        <v>65.826664475629542</v>
      </c>
      <c r="E81" s="5">
        <f ca="1">IF(getQuality(B81)&lt;4,getOtherMax(B81,C81,INDIRECT(J$2),INDIRECT(I81),test),getMax(B81,C81,INDIRECT(J$2),INDIRECT(I81),test))</f>
        <v>93.638515353687112</v>
      </c>
      <c r="F81" s="1" t="str">
        <f t="shared" si="5"/>
        <v>20</v>
      </c>
      <c r="G81" s="1" t="str">
        <f t="shared" si="6"/>
        <v/>
      </c>
      <c r="I81" s="1" t="str">
        <f t="shared" si="4"/>
        <v>威尔新数值1.06.xlsm!suitPower</v>
      </c>
    </row>
    <row r="82" spans="1:9" x14ac:dyDescent="0.15">
      <c r="A82" s="1">
        <v>81</v>
      </c>
      <c r="B82" s="1">
        <v>101050500</v>
      </c>
      <c r="C82" s="1">
        <f t="shared" si="7"/>
        <v>3</v>
      </c>
      <c r="D82" s="5">
        <f ca="1">IF(getQuality(B82)&lt;4,getOtherMin(B82,C82,INDIRECT(J$2),INDIRECT(I82),test),getMin(B82,C82,INDIRECT(J$2),INDIRECT(I82),test))</f>
        <v>94.638515353687112</v>
      </c>
      <c r="E82" s="5">
        <f ca="1">IF(getQuality(B82)&lt;4,getOtherMax(B82,C82,INDIRECT(J$2),INDIRECT(I82),test),getMax(B82,C82,INDIRECT(J$2),INDIRECT(I82),test))</f>
        <v>126.8703660823558</v>
      </c>
      <c r="F82" s="1" t="str">
        <f t="shared" si="5"/>
        <v>80</v>
      </c>
      <c r="G82" s="1" t="str">
        <f t="shared" si="6"/>
        <v/>
      </c>
      <c r="I82" s="1" t="str">
        <f t="shared" si="4"/>
        <v>威尔新数值1.06.xlsm!suitPower</v>
      </c>
    </row>
    <row r="83" spans="1:9" x14ac:dyDescent="0.15">
      <c r="A83" s="1">
        <v>82</v>
      </c>
      <c r="B83" s="1">
        <v>101050500</v>
      </c>
      <c r="C83" s="1">
        <f t="shared" si="7"/>
        <v>5</v>
      </c>
      <c r="D83" s="5">
        <f ca="1">IF(getQuality(B83)&lt;4,getOtherMin(B83,C83,INDIRECT(J$2),INDIRECT(I83),test),getMin(B83,C83,INDIRECT(J$2),INDIRECT(I83),test))</f>
        <v>94.638515353687112</v>
      </c>
      <c r="E83" s="5">
        <f ca="1">IF(getQuality(B83)&lt;4,getOtherMax(B83,C83,INDIRECT(J$2),INDIRECT(I83),test),getMax(B83,C83,INDIRECT(J$2),INDIRECT(I83),test))</f>
        <v>126.8703660823558</v>
      </c>
      <c r="F83" s="1" t="str">
        <f t="shared" si="5"/>
        <v>20</v>
      </c>
      <c r="G83" s="1" t="str">
        <f t="shared" si="6"/>
        <v/>
      </c>
      <c r="I83" s="1" t="str">
        <f t="shared" si="4"/>
        <v>威尔新数值1.06.xlsm!suitPower</v>
      </c>
    </row>
    <row r="84" spans="1:9" x14ac:dyDescent="0.15">
      <c r="A84" s="1">
        <v>83</v>
      </c>
      <c r="B84" s="1">
        <v>101060500</v>
      </c>
      <c r="C84" s="1">
        <f t="shared" si="7"/>
        <v>3</v>
      </c>
      <c r="D84" s="5">
        <f ca="1">IF(getQuality(B84)&lt;4,getOtherMin(B84,C84,INDIRECT(J$2),INDIRECT(I84),test),getMin(B84,C84,INDIRECT(J$2),INDIRECT(I84),test))</f>
        <v>127.8703660823558</v>
      </c>
      <c r="E84" s="5">
        <f ca="1">IF(getQuality(B84)&lt;4,getOtherMax(B84,C84,INDIRECT(J$2),INDIRECT(I84),test),getMax(B84,C84,INDIRECT(J$2),INDIRECT(I84),test))</f>
        <v>163.04888337809854</v>
      </c>
      <c r="F84" s="1" t="str">
        <f t="shared" si="5"/>
        <v>80</v>
      </c>
      <c r="G84" s="1" t="str">
        <f t="shared" si="6"/>
        <v/>
      </c>
      <c r="I84" s="1" t="str">
        <f t="shared" si="4"/>
        <v>威尔新数值1.06.xlsm!suitPower</v>
      </c>
    </row>
    <row r="85" spans="1:9" x14ac:dyDescent="0.15">
      <c r="A85" s="1">
        <v>84</v>
      </c>
      <c r="B85" s="1">
        <v>101060500</v>
      </c>
      <c r="C85" s="1">
        <f t="shared" si="7"/>
        <v>5</v>
      </c>
      <c r="D85" s="5">
        <f ca="1">IF(getQuality(B85)&lt;4,getOtherMin(B85,C85,INDIRECT(J$2),INDIRECT(I85),test),getMin(B85,C85,INDIRECT(J$2),INDIRECT(I85),test))</f>
        <v>127.8703660823558</v>
      </c>
      <c r="E85" s="5">
        <f ca="1">IF(getQuality(B85)&lt;4,getOtherMax(B85,C85,INDIRECT(J$2),INDIRECT(I85),test),getMax(B85,C85,INDIRECT(J$2),INDIRECT(I85),test))</f>
        <v>163.04888337809854</v>
      </c>
      <c r="F85" s="1" t="str">
        <f t="shared" si="5"/>
        <v>20</v>
      </c>
      <c r="G85" s="1" t="str">
        <f t="shared" si="6"/>
        <v/>
      </c>
      <c r="I85" s="1" t="str">
        <f t="shared" si="4"/>
        <v>威尔新数值1.06.xlsm!suitPower</v>
      </c>
    </row>
    <row r="86" spans="1:9" x14ac:dyDescent="0.15">
      <c r="A86" s="1">
        <v>85</v>
      </c>
      <c r="B86" s="1">
        <v>101070500</v>
      </c>
      <c r="C86" s="1">
        <f t="shared" si="7"/>
        <v>3</v>
      </c>
      <c r="D86" s="5">
        <f ca="1">IF(getQuality(B86)&lt;4,getOtherMin(B86,C86,INDIRECT(J$2),INDIRECT(I86),test),getMin(B86,C86,INDIRECT(J$2),INDIRECT(I86),test))</f>
        <v>164.04888337809854</v>
      </c>
      <c r="E86" s="5">
        <f ca="1">IF(getQuality(B86)&lt;4,getOtherMax(B86,C86,INDIRECT(J$2),INDIRECT(I86),test),getMax(B86,C86,INDIRECT(J$2),INDIRECT(I86),test))</f>
        <v>202.82888203359849</v>
      </c>
      <c r="F86" s="1" t="str">
        <f t="shared" si="5"/>
        <v>80</v>
      </c>
      <c r="G86" s="1" t="str">
        <f t="shared" si="6"/>
        <v/>
      </c>
      <c r="I86" s="1" t="str">
        <f t="shared" si="4"/>
        <v>威尔新数值1.06.xlsm!suitPower</v>
      </c>
    </row>
    <row r="87" spans="1:9" x14ac:dyDescent="0.15">
      <c r="A87" s="1">
        <v>86</v>
      </c>
      <c r="B87" s="1">
        <v>101070500</v>
      </c>
      <c r="C87" s="1">
        <f t="shared" si="7"/>
        <v>5</v>
      </c>
      <c r="D87" s="5">
        <f ca="1">IF(getQuality(B87)&lt;4,getOtherMin(B87,C87,INDIRECT(J$2),INDIRECT(I87),test),getMin(B87,C87,INDIRECT(J$2),INDIRECT(I87),test))</f>
        <v>164.04888337809854</v>
      </c>
      <c r="E87" s="5">
        <f ca="1">IF(getQuality(B87)&lt;4,getOtherMax(B87,C87,INDIRECT(J$2),INDIRECT(I87),test),getMax(B87,C87,INDIRECT(J$2),INDIRECT(I87),test))</f>
        <v>202.82888203359849</v>
      </c>
      <c r="F87" s="1" t="str">
        <f t="shared" si="5"/>
        <v>20</v>
      </c>
      <c r="G87" s="1" t="str">
        <f t="shared" si="6"/>
        <v/>
      </c>
      <c r="I87" s="1" t="str">
        <f t="shared" si="4"/>
        <v>威尔新数值1.06.xlsm!suitPower</v>
      </c>
    </row>
    <row r="88" spans="1:9" x14ac:dyDescent="0.15">
      <c r="A88" s="1">
        <v>87</v>
      </c>
      <c r="B88" s="1">
        <v>101080500</v>
      </c>
      <c r="C88" s="1">
        <f t="shared" si="7"/>
        <v>3</v>
      </c>
      <c r="D88" s="5">
        <f ca="1">IF(getQuality(B88)&lt;4,getOtherMin(B88,C88,INDIRECT(J$2),INDIRECT(I88),test),getMin(B88,C88,INDIRECT(J$2),INDIRECT(I88),test))</f>
        <v>203.82888203359849</v>
      </c>
      <c r="E88" s="5">
        <f ca="1">IF(getQuality(B88)&lt;4,getOtherMax(B88,C88,INDIRECT(J$2),INDIRECT(I88),test),getMax(B88,C88,INDIRECT(J$2),INDIRECT(I88),test))</f>
        <v>246.21036204885561</v>
      </c>
      <c r="F88" s="1" t="str">
        <f t="shared" si="5"/>
        <v>80</v>
      </c>
      <c r="G88" s="1" t="str">
        <f t="shared" si="6"/>
        <v/>
      </c>
      <c r="I88" s="1" t="str">
        <f t="shared" si="4"/>
        <v>威尔新数值1.06.xlsm!suitPower</v>
      </c>
    </row>
    <row r="89" spans="1:9" x14ac:dyDescent="0.15">
      <c r="A89" s="1">
        <v>88</v>
      </c>
      <c r="B89" s="1">
        <v>101080500</v>
      </c>
      <c r="C89" s="1">
        <f t="shared" si="7"/>
        <v>5</v>
      </c>
      <c r="D89" s="5">
        <f ca="1">IF(getQuality(B89)&lt;4,getOtherMin(B89,C89,INDIRECT(J$2),INDIRECT(I89),test),getMin(B89,C89,INDIRECT(J$2),INDIRECT(I89),test))</f>
        <v>203.82888203359849</v>
      </c>
      <c r="E89" s="5">
        <f ca="1">IF(getQuality(B89)&lt;4,getOtherMax(B89,C89,INDIRECT(J$2),INDIRECT(I89),test),getMax(B89,C89,INDIRECT(J$2),INDIRECT(I89),test))</f>
        <v>246.21036204885561</v>
      </c>
      <c r="F89" s="1" t="str">
        <f t="shared" si="5"/>
        <v>20</v>
      </c>
      <c r="G89" s="1" t="str">
        <f t="shared" si="6"/>
        <v/>
      </c>
      <c r="I89" s="1" t="str">
        <f t="shared" si="4"/>
        <v>威尔新数值1.06.xlsm!suitPower</v>
      </c>
    </row>
    <row r="90" spans="1:9" x14ac:dyDescent="0.15">
      <c r="A90" s="1">
        <v>89</v>
      </c>
      <c r="B90" s="1">
        <v>101090500</v>
      </c>
      <c r="C90" s="1">
        <f t="shared" si="7"/>
        <v>3</v>
      </c>
      <c r="D90" s="5">
        <f ca="1">IF(getQuality(B90)&lt;4,getOtherMin(B90,C90,INDIRECT(J$2),INDIRECT(I90),test),getMin(B90,C90,INDIRECT(J$2),INDIRECT(I90),test))</f>
        <v>247.21036204885561</v>
      </c>
      <c r="E90" s="5">
        <f ca="1">IF(getQuality(B90)&lt;4,getOtherMax(B90,C90,INDIRECT(J$2),INDIRECT(I90),test),getMax(B90,C90,INDIRECT(J$2),INDIRECT(I90),test))</f>
        <v>293.19332342386997</v>
      </c>
      <c r="F90" s="1" t="str">
        <f t="shared" si="5"/>
        <v>80</v>
      </c>
      <c r="G90" s="1" t="str">
        <f t="shared" si="6"/>
        <v/>
      </c>
      <c r="I90" s="1" t="str">
        <f t="shared" si="4"/>
        <v>威尔新数值1.06.xlsm!suitPower</v>
      </c>
    </row>
    <row r="91" spans="1:9" x14ac:dyDescent="0.15">
      <c r="A91" s="1">
        <v>90</v>
      </c>
      <c r="B91" s="1">
        <v>101090500</v>
      </c>
      <c r="C91" s="1">
        <f t="shared" si="7"/>
        <v>5</v>
      </c>
      <c r="D91" s="5">
        <f ca="1">IF(getQuality(B91)&lt;4,getOtherMin(B91,C91,INDIRECT(J$2),INDIRECT(I91),test),getMin(B91,C91,INDIRECT(J$2),INDIRECT(I91),test))</f>
        <v>247.21036204885561</v>
      </c>
      <c r="E91" s="5">
        <f ca="1">IF(getQuality(B91)&lt;4,getOtherMax(B91,C91,INDIRECT(J$2),INDIRECT(I91),test),getMax(B91,C91,INDIRECT(J$2),INDIRECT(I91),test))</f>
        <v>293.19332342386997</v>
      </c>
      <c r="F91" s="1" t="str">
        <f t="shared" si="5"/>
        <v>20</v>
      </c>
      <c r="G91" s="1" t="str">
        <f t="shared" si="6"/>
        <v/>
      </c>
      <c r="I91" s="1" t="str">
        <f t="shared" si="4"/>
        <v>威尔新数值1.06.xlsm!suitPower</v>
      </c>
    </row>
    <row r="92" spans="1:9" x14ac:dyDescent="0.15">
      <c r="A92" s="1">
        <v>91</v>
      </c>
      <c r="B92" s="1">
        <v>101010600</v>
      </c>
      <c r="C92" s="1">
        <f t="shared" si="7"/>
        <v>3</v>
      </c>
      <c r="D92" s="5">
        <f ca="1">IF(getQuality(B92)&lt;4,getOtherMin(B92,C92,INDIRECT(J$2),INDIRECT(I92),test),getMin(B92,C92,INDIRECT(J$2),INDIRECT(I92),test))</f>
        <v>1</v>
      </c>
      <c r="E92" s="5">
        <f ca="1">IF(getQuality(B92)&lt;4,getOtherMax(B92,C92,INDIRECT(J$2),INDIRECT(I92),test),getMax(B92,C92,INDIRECT(J$2),INDIRECT(I92),test))</f>
        <v>18.007406798785986</v>
      </c>
      <c r="F92" s="1" t="str">
        <f t="shared" si="5"/>
        <v>20</v>
      </c>
      <c r="G92" s="1" t="str">
        <f t="shared" si="6"/>
        <v/>
      </c>
      <c r="I92" s="1" t="str">
        <f t="shared" si="4"/>
        <v>威尔新数值1.06.xlsm!suitPower</v>
      </c>
    </row>
    <row r="93" spans="1:9" x14ac:dyDescent="0.15">
      <c r="A93" s="1">
        <v>92</v>
      </c>
      <c r="B93" s="1">
        <v>101010600</v>
      </c>
      <c r="C93" s="1">
        <f t="shared" si="7"/>
        <v>5</v>
      </c>
      <c r="D93" s="5">
        <f ca="1">IF(getQuality(B93)&lt;4,getOtherMin(B93,C93,INDIRECT(J$2),INDIRECT(I93),test),getMin(B93,C93,INDIRECT(J$2),INDIRECT(I93),test))</f>
        <v>1</v>
      </c>
      <c r="E93" s="5">
        <f ca="1">IF(getQuality(B93)&lt;4,getOtherMax(B93,C93,INDIRECT(J$2),INDIRECT(I93),test),getMax(B93,C93,INDIRECT(J$2),INDIRECT(I93),test))</f>
        <v>18.007406798785986</v>
      </c>
      <c r="F93" s="1" t="str">
        <f t="shared" si="5"/>
        <v>80</v>
      </c>
      <c r="G93" s="1" t="str">
        <f t="shared" si="6"/>
        <v/>
      </c>
      <c r="I93" s="1" t="str">
        <f t="shared" si="4"/>
        <v>威尔新数值1.06.xlsm!suitPower</v>
      </c>
    </row>
    <row r="94" spans="1:9" x14ac:dyDescent="0.15">
      <c r="A94" s="1">
        <v>93</v>
      </c>
      <c r="B94" s="1">
        <v>101020600</v>
      </c>
      <c r="C94" s="1">
        <f t="shared" si="7"/>
        <v>3</v>
      </c>
      <c r="D94" s="5">
        <f ca="1">IF(getQuality(B94)&lt;4,getOtherMin(B94,C94,INDIRECT(J$2),INDIRECT(I94),test),getMin(B94,C94,INDIRECT(J$2),INDIRECT(I94),test))</f>
        <v>19.007406798785986</v>
      </c>
      <c r="E94" s="5">
        <f ca="1">IF(getQuality(B94)&lt;4,getOtherMax(B94,C94,INDIRECT(J$2),INDIRECT(I94),test),getMax(B94,C94,INDIRECT(J$2),INDIRECT(I94),test))</f>
        <v>39.616294957329167</v>
      </c>
      <c r="F94" s="1" t="str">
        <f t="shared" si="5"/>
        <v>20</v>
      </c>
      <c r="G94" s="1" t="str">
        <f t="shared" si="6"/>
        <v/>
      </c>
      <c r="I94" s="1" t="str">
        <f t="shared" si="4"/>
        <v>威尔新数值1.06.xlsm!suitPower</v>
      </c>
    </row>
    <row r="95" spans="1:9" x14ac:dyDescent="0.15">
      <c r="A95" s="1">
        <v>94</v>
      </c>
      <c r="B95" s="1">
        <v>101020600</v>
      </c>
      <c r="C95" s="1">
        <f t="shared" si="7"/>
        <v>5</v>
      </c>
      <c r="D95" s="5">
        <f ca="1">IF(getQuality(B95)&lt;4,getOtherMin(B95,C95,INDIRECT(J$2),INDIRECT(I95),test),getMin(B95,C95,INDIRECT(J$2),INDIRECT(I95),test))</f>
        <v>19.007406798785986</v>
      </c>
      <c r="E95" s="5">
        <f ca="1">IF(getQuality(B95)&lt;4,getOtherMax(B95,C95,INDIRECT(J$2),INDIRECT(I95),test),getMax(B95,C95,INDIRECT(J$2),INDIRECT(I95),test))</f>
        <v>39.616294957329167</v>
      </c>
      <c r="F95" s="1" t="str">
        <f t="shared" si="5"/>
        <v>80</v>
      </c>
      <c r="G95" s="1" t="str">
        <f t="shared" si="6"/>
        <v/>
      </c>
      <c r="I95" s="1" t="str">
        <f t="shared" si="4"/>
        <v>威尔新数值1.06.xlsm!suitPower</v>
      </c>
    </row>
    <row r="96" spans="1:9" x14ac:dyDescent="0.15">
      <c r="A96" s="1">
        <v>95</v>
      </c>
      <c r="B96" s="1">
        <v>101030600</v>
      </c>
      <c r="C96" s="1">
        <f t="shared" si="7"/>
        <v>3</v>
      </c>
      <c r="D96" s="5">
        <f ca="1">IF(getQuality(B96)&lt;4,getOtherMin(B96,C96,INDIRECT(J$2),INDIRECT(I96),test),getMin(B96,C96,INDIRECT(J$2),INDIRECT(I96),test))</f>
        <v>40.616294957329167</v>
      </c>
      <c r="E96" s="5">
        <f ca="1">IF(getQuality(B96)&lt;4,getOtherMax(B96,C96,INDIRECT(J$2),INDIRECT(I96),test),getMax(B96,C96,INDIRECT(J$2),INDIRECT(I96),test))</f>
        <v>64.826664475629542</v>
      </c>
      <c r="F96" s="1" t="str">
        <f t="shared" si="5"/>
        <v>20</v>
      </c>
      <c r="G96" s="1" t="str">
        <f t="shared" si="6"/>
        <v/>
      </c>
      <c r="I96" s="1" t="str">
        <f t="shared" si="4"/>
        <v>威尔新数值1.06.xlsm!suitPower</v>
      </c>
    </row>
    <row r="97" spans="1:9" x14ac:dyDescent="0.15">
      <c r="A97" s="1">
        <v>96</v>
      </c>
      <c r="B97" s="1">
        <v>101030600</v>
      </c>
      <c r="C97" s="1">
        <f t="shared" si="7"/>
        <v>5</v>
      </c>
      <c r="D97" s="5">
        <f ca="1">IF(getQuality(B97)&lt;4,getOtherMin(B97,C97,INDIRECT(J$2),INDIRECT(I97),test),getMin(B97,C97,INDIRECT(J$2),INDIRECT(I97),test))</f>
        <v>40.616294957329167</v>
      </c>
      <c r="E97" s="5">
        <f ca="1">IF(getQuality(B97)&lt;4,getOtherMax(B97,C97,INDIRECT(J$2),INDIRECT(I97),test),getMax(B97,C97,INDIRECT(J$2),INDIRECT(I97),test))</f>
        <v>64.826664475629542</v>
      </c>
      <c r="F97" s="1" t="str">
        <f t="shared" si="5"/>
        <v>80</v>
      </c>
      <c r="G97" s="1" t="str">
        <f t="shared" si="6"/>
        <v/>
      </c>
      <c r="I97" s="1" t="str">
        <f t="shared" si="4"/>
        <v>威尔新数值1.06.xlsm!suitPower</v>
      </c>
    </row>
    <row r="98" spans="1:9" x14ac:dyDescent="0.15">
      <c r="A98" s="1">
        <v>97</v>
      </c>
      <c r="B98" s="1">
        <v>101040600</v>
      </c>
      <c r="C98" s="1">
        <f t="shared" si="7"/>
        <v>3</v>
      </c>
      <c r="D98" s="5">
        <f ca="1">IF(getQuality(B98)&lt;4,getOtherMin(B98,C98,INDIRECT(J$2),INDIRECT(I98),test),getMin(B98,C98,INDIRECT(J$2),INDIRECT(I98),test))</f>
        <v>65.826664475629542</v>
      </c>
      <c r="E98" s="5">
        <f ca="1">IF(getQuality(B98)&lt;4,getOtherMax(B98,C98,INDIRECT(J$2),INDIRECT(I98),test),getMax(B98,C98,INDIRECT(J$2),INDIRECT(I98),test))</f>
        <v>93.638515353687112</v>
      </c>
      <c r="F98" s="1" t="str">
        <f t="shared" si="5"/>
        <v>20</v>
      </c>
      <c r="G98" s="1" t="str">
        <f t="shared" si="6"/>
        <v/>
      </c>
      <c r="I98" s="1" t="str">
        <f t="shared" si="4"/>
        <v>威尔新数值1.06.xlsm!suitPower</v>
      </c>
    </row>
    <row r="99" spans="1:9" x14ac:dyDescent="0.15">
      <c r="A99" s="1">
        <v>98</v>
      </c>
      <c r="B99" s="1">
        <v>101040600</v>
      </c>
      <c r="C99" s="1">
        <f t="shared" si="7"/>
        <v>5</v>
      </c>
      <c r="D99" s="5">
        <f ca="1">IF(getQuality(B99)&lt;4,getOtherMin(B99,C99,INDIRECT(J$2),INDIRECT(I99),test),getMin(B99,C99,INDIRECT(J$2),INDIRECT(I99),test))</f>
        <v>65.826664475629542</v>
      </c>
      <c r="E99" s="5">
        <f ca="1">IF(getQuality(B99)&lt;4,getOtherMax(B99,C99,INDIRECT(J$2),INDIRECT(I99),test),getMax(B99,C99,INDIRECT(J$2),INDIRECT(I99),test))</f>
        <v>93.638515353687112</v>
      </c>
      <c r="F99" s="1" t="str">
        <f t="shared" si="5"/>
        <v>80</v>
      </c>
      <c r="G99" s="1" t="str">
        <f t="shared" si="6"/>
        <v/>
      </c>
      <c r="I99" s="1" t="str">
        <f t="shared" si="4"/>
        <v>威尔新数值1.06.xlsm!suitPower</v>
      </c>
    </row>
    <row r="100" spans="1:9" x14ac:dyDescent="0.15">
      <c r="A100" s="1">
        <v>99</v>
      </c>
      <c r="B100" s="1">
        <v>101050600</v>
      </c>
      <c r="C100" s="1">
        <f t="shared" si="7"/>
        <v>3</v>
      </c>
      <c r="D100" s="5">
        <f ca="1">IF(getQuality(B100)&lt;4,getOtherMin(B100,C100,INDIRECT(J$2),INDIRECT(I100),test),getMin(B100,C100,INDIRECT(J$2),INDIRECT(I100),test))</f>
        <v>94.638515353687112</v>
      </c>
      <c r="E100" s="5">
        <f ca="1">IF(getQuality(B100)&lt;4,getOtherMax(B100,C100,INDIRECT(J$2),INDIRECT(I100),test),getMax(B100,C100,INDIRECT(J$2),INDIRECT(I100),test))</f>
        <v>126.8703660823558</v>
      </c>
      <c r="F100" s="1" t="str">
        <f t="shared" si="5"/>
        <v>20</v>
      </c>
      <c r="G100" s="1" t="str">
        <f t="shared" si="6"/>
        <v/>
      </c>
      <c r="I100" s="1" t="str">
        <f t="shared" si="4"/>
        <v>威尔新数值1.06.xlsm!suitPower</v>
      </c>
    </row>
    <row r="101" spans="1:9" x14ac:dyDescent="0.15">
      <c r="A101" s="1">
        <v>100</v>
      </c>
      <c r="B101" s="1">
        <v>101050600</v>
      </c>
      <c r="C101" s="1">
        <f t="shared" si="7"/>
        <v>5</v>
      </c>
      <c r="D101" s="5">
        <f ca="1">IF(getQuality(B101)&lt;4,getOtherMin(B101,C101,INDIRECT(J$2),INDIRECT(I101),test),getMin(B101,C101,INDIRECT(J$2),INDIRECT(I101),test))</f>
        <v>94.638515353687112</v>
      </c>
      <c r="E101" s="5">
        <f ca="1">IF(getQuality(B101)&lt;4,getOtherMax(B101,C101,INDIRECT(J$2),INDIRECT(I101),test),getMax(B101,C101,INDIRECT(J$2),INDIRECT(I101),test))</f>
        <v>126.8703660823558</v>
      </c>
      <c r="F101" s="1" t="str">
        <f t="shared" si="5"/>
        <v>80</v>
      </c>
      <c r="G101" s="1" t="str">
        <f t="shared" si="6"/>
        <v/>
      </c>
      <c r="I101" s="1" t="str">
        <f t="shared" si="4"/>
        <v>威尔新数值1.06.xlsm!suitPower</v>
      </c>
    </row>
    <row r="102" spans="1:9" x14ac:dyDescent="0.15">
      <c r="A102" s="1">
        <v>101</v>
      </c>
      <c r="B102" s="1">
        <v>101060600</v>
      </c>
      <c r="C102" s="1">
        <f t="shared" si="7"/>
        <v>3</v>
      </c>
      <c r="D102" s="5">
        <f ca="1">IF(getQuality(B102)&lt;4,getOtherMin(B102,C102,INDIRECT(J$2),INDIRECT(I102),test),getMin(B102,C102,INDIRECT(J$2),INDIRECT(I102),test))</f>
        <v>127.8703660823558</v>
      </c>
      <c r="E102" s="5">
        <f ca="1">IF(getQuality(B102)&lt;4,getOtherMax(B102,C102,INDIRECT(J$2),INDIRECT(I102),test),getMax(B102,C102,INDIRECT(J$2),INDIRECT(I102),test))</f>
        <v>163.04888337809854</v>
      </c>
      <c r="F102" s="1" t="str">
        <f t="shared" si="5"/>
        <v>20</v>
      </c>
      <c r="G102" s="1" t="str">
        <f t="shared" si="6"/>
        <v/>
      </c>
      <c r="I102" s="1" t="str">
        <f t="shared" si="4"/>
        <v>威尔新数值1.06.xlsm!suitPower</v>
      </c>
    </row>
    <row r="103" spans="1:9" x14ac:dyDescent="0.15">
      <c r="A103" s="1">
        <v>102</v>
      </c>
      <c r="B103" s="1">
        <v>101060600</v>
      </c>
      <c r="C103" s="1">
        <f t="shared" si="7"/>
        <v>5</v>
      </c>
      <c r="D103" s="5">
        <f ca="1">IF(getQuality(B103)&lt;4,getOtherMin(B103,C103,INDIRECT(J$2),INDIRECT(I103),test),getMin(B103,C103,INDIRECT(J$2),INDIRECT(I103),test))</f>
        <v>127.8703660823558</v>
      </c>
      <c r="E103" s="5">
        <f ca="1">IF(getQuality(B103)&lt;4,getOtherMax(B103,C103,INDIRECT(J$2),INDIRECT(I103),test),getMax(B103,C103,INDIRECT(J$2),INDIRECT(I103),test))</f>
        <v>163.04888337809854</v>
      </c>
      <c r="F103" s="1" t="str">
        <f t="shared" si="5"/>
        <v>80</v>
      </c>
      <c r="G103" s="1" t="str">
        <f t="shared" si="6"/>
        <v/>
      </c>
      <c r="I103" s="1" t="str">
        <f t="shared" si="4"/>
        <v>威尔新数值1.06.xlsm!suitPower</v>
      </c>
    </row>
    <row r="104" spans="1:9" x14ac:dyDescent="0.15">
      <c r="A104" s="1">
        <v>103</v>
      </c>
      <c r="B104" s="1">
        <v>101070600</v>
      </c>
      <c r="C104" s="1">
        <f t="shared" si="7"/>
        <v>3</v>
      </c>
      <c r="D104" s="5">
        <f ca="1">IF(getQuality(B104)&lt;4,getOtherMin(B104,C104,INDIRECT(J$2),INDIRECT(I104),test),getMin(B104,C104,INDIRECT(J$2),INDIRECT(I104),test))</f>
        <v>164.04888337809854</v>
      </c>
      <c r="E104" s="5">
        <f ca="1">IF(getQuality(B104)&lt;4,getOtherMax(B104,C104,INDIRECT(J$2),INDIRECT(I104),test),getMax(B104,C104,INDIRECT(J$2),INDIRECT(I104),test))</f>
        <v>202.82888203359849</v>
      </c>
      <c r="F104" s="1" t="str">
        <f t="shared" si="5"/>
        <v>20</v>
      </c>
      <c r="G104" s="1" t="str">
        <f t="shared" si="6"/>
        <v/>
      </c>
      <c r="I104" s="1" t="str">
        <f t="shared" si="4"/>
        <v>威尔新数值1.06.xlsm!suitPower</v>
      </c>
    </row>
    <row r="105" spans="1:9" x14ac:dyDescent="0.15">
      <c r="A105" s="1">
        <v>104</v>
      </c>
      <c r="B105" s="1">
        <v>101070600</v>
      </c>
      <c r="C105" s="1">
        <f t="shared" si="7"/>
        <v>5</v>
      </c>
      <c r="D105" s="5">
        <f ca="1">IF(getQuality(B105)&lt;4,getOtherMin(B105,C105,INDIRECT(J$2),INDIRECT(I105),test),getMin(B105,C105,INDIRECT(J$2),INDIRECT(I105),test))</f>
        <v>164.04888337809854</v>
      </c>
      <c r="E105" s="5">
        <f ca="1">IF(getQuality(B105)&lt;4,getOtherMax(B105,C105,INDIRECT(J$2),INDIRECT(I105),test),getMax(B105,C105,INDIRECT(J$2),INDIRECT(I105),test))</f>
        <v>202.82888203359849</v>
      </c>
      <c r="F105" s="1" t="str">
        <f t="shared" si="5"/>
        <v>80</v>
      </c>
      <c r="G105" s="1" t="str">
        <f t="shared" si="6"/>
        <v/>
      </c>
      <c r="I105" s="1" t="str">
        <f t="shared" si="4"/>
        <v>威尔新数值1.06.xlsm!suitPower</v>
      </c>
    </row>
    <row r="106" spans="1:9" x14ac:dyDescent="0.15">
      <c r="A106" s="1">
        <v>105</v>
      </c>
      <c r="B106" s="1">
        <v>101080600</v>
      </c>
      <c r="C106" s="1">
        <f t="shared" si="7"/>
        <v>3</v>
      </c>
      <c r="D106" s="5">
        <f ca="1">IF(getQuality(B106)&lt;4,getOtherMin(B106,C106,INDIRECT(J$2),INDIRECT(I106),test),getMin(B106,C106,INDIRECT(J$2),INDIRECT(I106),test))</f>
        <v>203.82888203359849</v>
      </c>
      <c r="E106" s="5">
        <f ca="1">IF(getQuality(B106)&lt;4,getOtherMax(B106,C106,INDIRECT(J$2),INDIRECT(I106),test),getMax(B106,C106,INDIRECT(J$2),INDIRECT(I106),test))</f>
        <v>246.21036204885561</v>
      </c>
      <c r="F106" s="1" t="str">
        <f t="shared" si="5"/>
        <v>20</v>
      </c>
      <c r="G106" s="1" t="str">
        <f t="shared" si="6"/>
        <v/>
      </c>
      <c r="I106" s="1" t="str">
        <f t="shared" si="4"/>
        <v>威尔新数值1.06.xlsm!suitPower</v>
      </c>
    </row>
    <row r="107" spans="1:9" x14ac:dyDescent="0.15">
      <c r="A107" s="1">
        <v>106</v>
      </c>
      <c r="B107" s="1">
        <v>101080600</v>
      </c>
      <c r="C107" s="1">
        <f t="shared" si="7"/>
        <v>5</v>
      </c>
      <c r="D107" s="5">
        <f ca="1">IF(getQuality(B107)&lt;4,getOtherMin(B107,C107,INDIRECT(J$2),INDIRECT(I107),test),getMin(B107,C107,INDIRECT(J$2),INDIRECT(I107),test))</f>
        <v>203.82888203359849</v>
      </c>
      <c r="E107" s="5">
        <f ca="1">IF(getQuality(B107)&lt;4,getOtherMax(B107,C107,INDIRECT(J$2),INDIRECT(I107),test),getMax(B107,C107,INDIRECT(J$2),INDIRECT(I107),test))</f>
        <v>246.21036204885561</v>
      </c>
      <c r="F107" s="1" t="str">
        <f t="shared" si="5"/>
        <v>80</v>
      </c>
      <c r="G107" s="1" t="str">
        <f t="shared" si="6"/>
        <v/>
      </c>
      <c r="I107" s="1" t="str">
        <f t="shared" si="4"/>
        <v>威尔新数值1.06.xlsm!suitPower</v>
      </c>
    </row>
    <row r="108" spans="1:9" x14ac:dyDescent="0.15">
      <c r="A108" s="1">
        <v>107</v>
      </c>
      <c r="B108" s="1">
        <v>101090600</v>
      </c>
      <c r="C108" s="1">
        <f t="shared" si="7"/>
        <v>3</v>
      </c>
      <c r="D108" s="5">
        <f ca="1">IF(getQuality(B108)&lt;4,getOtherMin(B108,C108,INDIRECT(J$2),INDIRECT(I108),test),getMin(B108,C108,INDIRECT(J$2),INDIRECT(I108),test))</f>
        <v>247.21036204885561</v>
      </c>
      <c r="E108" s="5">
        <f ca="1">IF(getQuality(B108)&lt;4,getOtherMax(B108,C108,INDIRECT(J$2),INDIRECT(I108),test),getMax(B108,C108,INDIRECT(J$2),INDIRECT(I108),test))</f>
        <v>293.19332342386997</v>
      </c>
      <c r="F108" s="1" t="str">
        <f t="shared" si="5"/>
        <v>20</v>
      </c>
      <c r="G108" s="1" t="str">
        <f t="shared" si="6"/>
        <v/>
      </c>
      <c r="I108" s="1" t="str">
        <f t="shared" si="4"/>
        <v>威尔新数值1.06.xlsm!suitPower</v>
      </c>
    </row>
    <row r="109" spans="1:9" x14ac:dyDescent="0.15">
      <c r="A109" s="1">
        <v>108</v>
      </c>
      <c r="B109" s="1">
        <v>101090600</v>
      </c>
      <c r="C109" s="1">
        <f t="shared" si="7"/>
        <v>5</v>
      </c>
      <c r="D109" s="5">
        <f ca="1">IF(getQuality(B109)&lt;4,getOtherMin(B109,C109,INDIRECT(J$2),INDIRECT(I109),test),getMin(B109,C109,INDIRECT(J$2),INDIRECT(I109),test))</f>
        <v>247.21036204885561</v>
      </c>
      <c r="E109" s="5">
        <f ca="1">IF(getQuality(B109)&lt;4,getOtherMax(B109,C109,INDIRECT(J$2),INDIRECT(I109),test),getMax(B109,C109,INDIRECT(J$2),INDIRECT(I109),test))</f>
        <v>293.19332342386997</v>
      </c>
      <c r="F109" s="1" t="str">
        <f t="shared" si="5"/>
        <v>80</v>
      </c>
      <c r="G109" s="1" t="str">
        <f t="shared" si="6"/>
        <v/>
      </c>
      <c r="I109" s="1" t="str">
        <f t="shared" si="4"/>
        <v>威尔新数值1.06.xlsm!suitPower</v>
      </c>
    </row>
    <row r="110" spans="1:9" x14ac:dyDescent="0.15">
      <c r="A110" s="1">
        <v>109</v>
      </c>
      <c r="B110" s="1">
        <v>101010700</v>
      </c>
      <c r="C110" s="1">
        <f t="shared" si="7"/>
        <v>3</v>
      </c>
      <c r="D110" s="5">
        <f ca="1">IF(getQuality(B110)&lt;4,getOtherMin(B110,C110,INDIRECT(J$2),INDIRECT(I110),test),getMin(B110,C110,INDIRECT(J$2),INDIRECT(I110),test))</f>
        <v>1</v>
      </c>
      <c r="E110" s="5">
        <f ca="1">IF(getQuality(B110)&lt;4,getOtherMax(B110,C110,INDIRECT(J$2),INDIRECT(I110),test),getMax(B110,C110,INDIRECT(J$2),INDIRECT(I110),test))</f>
        <v>18.007406798785986</v>
      </c>
      <c r="F110" s="1" t="str">
        <f t="shared" si="5"/>
        <v>80</v>
      </c>
      <c r="G110" s="1" t="str">
        <f t="shared" si="6"/>
        <v/>
      </c>
      <c r="I110" s="1" t="str">
        <f t="shared" si="4"/>
        <v>威尔新数值1.06.xlsm!suitPower</v>
      </c>
    </row>
    <row r="111" spans="1:9" x14ac:dyDescent="0.15">
      <c r="A111" s="1">
        <v>110</v>
      </c>
      <c r="B111" s="1">
        <v>101010700</v>
      </c>
      <c r="C111" s="1">
        <f t="shared" si="7"/>
        <v>5</v>
      </c>
      <c r="D111" s="5">
        <f ca="1">IF(getQuality(B111)&lt;4,getOtherMin(B111,C111,INDIRECT(J$2),INDIRECT(I111),test),getMin(B111,C111,INDIRECT(J$2),INDIRECT(I111),test))</f>
        <v>1</v>
      </c>
      <c r="E111" s="5">
        <f ca="1">IF(getQuality(B111)&lt;4,getOtherMax(B111,C111,INDIRECT(J$2),INDIRECT(I111),test),getMax(B111,C111,INDIRECT(J$2),INDIRECT(I111),test))</f>
        <v>18.007406798785986</v>
      </c>
      <c r="F111" s="1" t="str">
        <f t="shared" si="5"/>
        <v>20</v>
      </c>
      <c r="G111" s="1" t="str">
        <f t="shared" si="6"/>
        <v/>
      </c>
      <c r="I111" s="1" t="str">
        <f t="shared" si="4"/>
        <v>威尔新数值1.06.xlsm!suitPower</v>
      </c>
    </row>
    <row r="112" spans="1:9" x14ac:dyDescent="0.15">
      <c r="A112" s="1">
        <v>111</v>
      </c>
      <c r="B112" s="1">
        <v>101020700</v>
      </c>
      <c r="C112" s="1">
        <f t="shared" si="7"/>
        <v>3</v>
      </c>
      <c r="D112" s="5">
        <f ca="1">IF(getQuality(B112)&lt;4,getOtherMin(B112,C112,INDIRECT(J$2),INDIRECT(I112),test),getMin(B112,C112,INDIRECT(J$2),INDIRECT(I112),test))</f>
        <v>19.007406798785986</v>
      </c>
      <c r="E112" s="5">
        <f ca="1">IF(getQuality(B112)&lt;4,getOtherMax(B112,C112,INDIRECT(J$2),INDIRECT(I112),test),getMax(B112,C112,INDIRECT(J$2),INDIRECT(I112),test))</f>
        <v>39.616294957329167</v>
      </c>
      <c r="F112" s="1" t="str">
        <f t="shared" si="5"/>
        <v>80</v>
      </c>
      <c r="G112" s="1" t="str">
        <f t="shared" si="6"/>
        <v/>
      </c>
      <c r="I112" s="1" t="str">
        <f t="shared" si="4"/>
        <v>威尔新数值1.06.xlsm!suitPower</v>
      </c>
    </row>
    <row r="113" spans="1:9" x14ac:dyDescent="0.15">
      <c r="A113" s="1">
        <v>112</v>
      </c>
      <c r="B113" s="1">
        <v>101020700</v>
      </c>
      <c r="C113" s="1">
        <f t="shared" si="7"/>
        <v>5</v>
      </c>
      <c r="D113" s="5">
        <f ca="1">IF(getQuality(B113)&lt;4,getOtherMin(B113,C113,INDIRECT(J$2),INDIRECT(I113),test),getMin(B113,C113,INDIRECT(J$2),INDIRECT(I113),test))</f>
        <v>19.007406798785986</v>
      </c>
      <c r="E113" s="5">
        <f ca="1">IF(getQuality(B113)&lt;4,getOtherMax(B113,C113,INDIRECT(J$2),INDIRECT(I113),test),getMax(B113,C113,INDIRECT(J$2),INDIRECT(I113),test))</f>
        <v>39.616294957329167</v>
      </c>
      <c r="F113" s="1" t="str">
        <f t="shared" si="5"/>
        <v>20</v>
      </c>
      <c r="G113" s="1" t="str">
        <f t="shared" si="6"/>
        <v/>
      </c>
      <c r="I113" s="1" t="str">
        <f t="shared" si="4"/>
        <v>威尔新数值1.06.xlsm!suitPower</v>
      </c>
    </row>
    <row r="114" spans="1:9" x14ac:dyDescent="0.15">
      <c r="A114" s="1">
        <v>113</v>
      </c>
      <c r="B114" s="1">
        <v>101030700</v>
      </c>
      <c r="C114" s="1">
        <f t="shared" si="7"/>
        <v>3</v>
      </c>
      <c r="D114" s="5">
        <f ca="1">IF(getQuality(B114)&lt;4,getOtherMin(B114,C114,INDIRECT(J$2),INDIRECT(I114),test),getMin(B114,C114,INDIRECT(J$2),INDIRECT(I114),test))</f>
        <v>40.616294957329167</v>
      </c>
      <c r="E114" s="5">
        <f ca="1">IF(getQuality(B114)&lt;4,getOtherMax(B114,C114,INDIRECT(J$2),INDIRECT(I114),test),getMax(B114,C114,INDIRECT(J$2),INDIRECT(I114),test))</f>
        <v>64.826664475629542</v>
      </c>
      <c r="F114" s="1" t="str">
        <f t="shared" si="5"/>
        <v>80</v>
      </c>
      <c r="G114" s="1" t="str">
        <f t="shared" si="6"/>
        <v/>
      </c>
      <c r="I114" s="1" t="str">
        <f t="shared" si="4"/>
        <v>威尔新数值1.06.xlsm!suitPower</v>
      </c>
    </row>
    <row r="115" spans="1:9" x14ac:dyDescent="0.15">
      <c r="A115" s="1">
        <v>114</v>
      </c>
      <c r="B115" s="1">
        <v>101030700</v>
      </c>
      <c r="C115" s="1">
        <f t="shared" si="7"/>
        <v>5</v>
      </c>
      <c r="D115" s="5">
        <f ca="1">IF(getQuality(B115)&lt;4,getOtherMin(B115,C115,INDIRECT(J$2),INDIRECT(I115),test),getMin(B115,C115,INDIRECT(J$2),INDIRECT(I115),test))</f>
        <v>40.616294957329167</v>
      </c>
      <c r="E115" s="5">
        <f ca="1">IF(getQuality(B115)&lt;4,getOtherMax(B115,C115,INDIRECT(J$2),INDIRECT(I115),test),getMax(B115,C115,INDIRECT(J$2),INDIRECT(I115),test))</f>
        <v>64.826664475629542</v>
      </c>
      <c r="F115" s="1" t="str">
        <f t="shared" si="5"/>
        <v>20</v>
      </c>
      <c r="G115" s="1" t="str">
        <f t="shared" si="6"/>
        <v/>
      </c>
      <c r="I115" s="1" t="str">
        <f t="shared" si="4"/>
        <v>威尔新数值1.06.xlsm!suitPower</v>
      </c>
    </row>
    <row r="116" spans="1:9" x14ac:dyDescent="0.15">
      <c r="A116" s="1">
        <v>115</v>
      </c>
      <c r="B116" s="1">
        <v>101040700</v>
      </c>
      <c r="C116" s="1">
        <f t="shared" si="7"/>
        <v>3</v>
      </c>
      <c r="D116" s="5">
        <f ca="1">IF(getQuality(B116)&lt;4,getOtherMin(B116,C116,INDIRECT(J$2),INDIRECT(I116),test),getMin(B116,C116,INDIRECT(J$2),INDIRECT(I116),test))</f>
        <v>65.826664475629542</v>
      </c>
      <c r="E116" s="5">
        <f ca="1">IF(getQuality(B116)&lt;4,getOtherMax(B116,C116,INDIRECT(J$2),INDIRECT(I116),test),getMax(B116,C116,INDIRECT(J$2),INDIRECT(I116),test))</f>
        <v>93.638515353687112</v>
      </c>
      <c r="F116" s="1" t="str">
        <f t="shared" si="5"/>
        <v>80</v>
      </c>
      <c r="G116" s="1" t="str">
        <f t="shared" si="6"/>
        <v/>
      </c>
      <c r="I116" s="1" t="str">
        <f t="shared" si="4"/>
        <v>威尔新数值1.06.xlsm!suitPower</v>
      </c>
    </row>
    <row r="117" spans="1:9" x14ac:dyDescent="0.15">
      <c r="A117" s="1">
        <v>116</v>
      </c>
      <c r="B117" s="1">
        <v>101040700</v>
      </c>
      <c r="C117" s="1">
        <f t="shared" si="7"/>
        <v>5</v>
      </c>
      <c r="D117" s="5">
        <f ca="1">IF(getQuality(B117)&lt;4,getOtherMin(B117,C117,INDIRECT(J$2),INDIRECT(I117),test),getMin(B117,C117,INDIRECT(J$2),INDIRECT(I117),test))</f>
        <v>65.826664475629542</v>
      </c>
      <c r="E117" s="5">
        <f ca="1">IF(getQuality(B117)&lt;4,getOtherMax(B117,C117,INDIRECT(J$2),INDIRECT(I117),test),getMax(B117,C117,INDIRECT(J$2),INDIRECT(I117),test))</f>
        <v>93.638515353687112</v>
      </c>
      <c r="F117" s="1" t="str">
        <f t="shared" si="5"/>
        <v>20</v>
      </c>
      <c r="G117" s="1" t="str">
        <f t="shared" si="6"/>
        <v/>
      </c>
      <c r="I117" s="1" t="str">
        <f t="shared" si="4"/>
        <v>威尔新数值1.06.xlsm!suitPower</v>
      </c>
    </row>
    <row r="118" spans="1:9" x14ac:dyDescent="0.15">
      <c r="A118" s="1">
        <v>117</v>
      </c>
      <c r="B118" s="1">
        <v>101050700</v>
      </c>
      <c r="C118" s="1">
        <f t="shared" si="7"/>
        <v>3</v>
      </c>
      <c r="D118" s="5">
        <f ca="1">IF(getQuality(B118)&lt;4,getOtherMin(B118,C118,INDIRECT(J$2),INDIRECT(I118),test),getMin(B118,C118,INDIRECT(J$2),INDIRECT(I118),test))</f>
        <v>94.638515353687112</v>
      </c>
      <c r="E118" s="5">
        <f ca="1">IF(getQuality(B118)&lt;4,getOtherMax(B118,C118,INDIRECT(J$2),INDIRECT(I118),test),getMax(B118,C118,INDIRECT(J$2),INDIRECT(I118),test))</f>
        <v>126.8703660823558</v>
      </c>
      <c r="F118" s="1" t="str">
        <f t="shared" si="5"/>
        <v>80</v>
      </c>
      <c r="G118" s="1" t="str">
        <f t="shared" si="6"/>
        <v/>
      </c>
      <c r="I118" s="1" t="str">
        <f t="shared" si="4"/>
        <v>威尔新数值1.06.xlsm!suitPower</v>
      </c>
    </row>
    <row r="119" spans="1:9" x14ac:dyDescent="0.15">
      <c r="A119" s="1">
        <v>118</v>
      </c>
      <c r="B119" s="1">
        <v>101050700</v>
      </c>
      <c r="C119" s="1">
        <f t="shared" si="7"/>
        <v>5</v>
      </c>
      <c r="D119" s="5">
        <f ca="1">IF(getQuality(B119)&lt;4,getOtherMin(B119,C119,INDIRECT(J$2),INDIRECT(I119),test),getMin(B119,C119,INDIRECT(J$2),INDIRECT(I119),test))</f>
        <v>94.638515353687112</v>
      </c>
      <c r="E119" s="5">
        <f ca="1">IF(getQuality(B119)&lt;4,getOtherMax(B119,C119,INDIRECT(J$2),INDIRECT(I119),test),getMax(B119,C119,INDIRECT(J$2),INDIRECT(I119),test))</f>
        <v>126.8703660823558</v>
      </c>
      <c r="F119" s="1" t="str">
        <f t="shared" si="5"/>
        <v>20</v>
      </c>
      <c r="G119" s="1" t="str">
        <f t="shared" si="6"/>
        <v/>
      </c>
      <c r="I119" s="1" t="str">
        <f t="shared" si="4"/>
        <v>威尔新数值1.06.xlsm!suitPower</v>
      </c>
    </row>
    <row r="120" spans="1:9" x14ac:dyDescent="0.15">
      <c r="A120" s="1">
        <v>119</v>
      </c>
      <c r="B120" s="1">
        <v>101060700</v>
      </c>
      <c r="C120" s="1">
        <f t="shared" si="7"/>
        <v>3</v>
      </c>
      <c r="D120" s="5">
        <f ca="1">IF(getQuality(B120)&lt;4,getOtherMin(B120,C120,INDIRECT(J$2),INDIRECT(I120),test),getMin(B120,C120,INDIRECT(J$2),INDIRECT(I120),test))</f>
        <v>127.8703660823558</v>
      </c>
      <c r="E120" s="5">
        <f ca="1">IF(getQuality(B120)&lt;4,getOtherMax(B120,C120,INDIRECT(J$2),INDIRECT(I120),test),getMax(B120,C120,INDIRECT(J$2),INDIRECT(I120),test))</f>
        <v>163.04888337809854</v>
      </c>
      <c r="F120" s="1" t="str">
        <f t="shared" si="5"/>
        <v>80</v>
      </c>
      <c r="G120" s="1" t="str">
        <f t="shared" si="6"/>
        <v/>
      </c>
      <c r="I120" s="1" t="str">
        <f t="shared" si="4"/>
        <v>威尔新数值1.06.xlsm!suitPower</v>
      </c>
    </row>
    <row r="121" spans="1:9" x14ac:dyDescent="0.15">
      <c r="A121" s="1">
        <v>120</v>
      </c>
      <c r="B121" s="1">
        <v>101060700</v>
      </c>
      <c r="C121" s="1">
        <f t="shared" si="7"/>
        <v>5</v>
      </c>
      <c r="D121" s="5">
        <f ca="1">IF(getQuality(B121)&lt;4,getOtherMin(B121,C121,INDIRECT(J$2),INDIRECT(I121),test),getMin(B121,C121,INDIRECT(J$2),INDIRECT(I121),test))</f>
        <v>127.8703660823558</v>
      </c>
      <c r="E121" s="5">
        <f ca="1">IF(getQuality(B121)&lt;4,getOtherMax(B121,C121,INDIRECT(J$2),INDIRECT(I121),test),getMax(B121,C121,INDIRECT(J$2),INDIRECT(I121),test))</f>
        <v>163.04888337809854</v>
      </c>
      <c r="F121" s="1" t="str">
        <f t="shared" si="5"/>
        <v>20</v>
      </c>
      <c r="G121" s="1" t="str">
        <f t="shared" si="6"/>
        <v/>
      </c>
      <c r="I121" s="1" t="str">
        <f t="shared" si="4"/>
        <v>威尔新数值1.06.xlsm!suitPower</v>
      </c>
    </row>
    <row r="122" spans="1:9" x14ac:dyDescent="0.15">
      <c r="A122" s="1">
        <v>121</v>
      </c>
      <c r="B122" s="1">
        <v>101070700</v>
      </c>
      <c r="C122" s="1">
        <f t="shared" si="7"/>
        <v>3</v>
      </c>
      <c r="D122" s="5">
        <f ca="1">IF(getQuality(B122)&lt;4,getOtherMin(B122,C122,INDIRECT(J$2),INDIRECT(I122),test),getMin(B122,C122,INDIRECT(J$2),INDIRECT(I122),test))</f>
        <v>164.04888337809854</v>
      </c>
      <c r="E122" s="5">
        <f ca="1">IF(getQuality(B122)&lt;4,getOtherMax(B122,C122,INDIRECT(J$2),INDIRECT(I122),test),getMax(B122,C122,INDIRECT(J$2),INDIRECT(I122),test))</f>
        <v>202.82888203359849</v>
      </c>
      <c r="F122" s="1" t="str">
        <f t="shared" si="5"/>
        <v>80</v>
      </c>
      <c r="G122" s="1" t="str">
        <f t="shared" si="6"/>
        <v/>
      </c>
      <c r="I122" s="1" t="str">
        <f t="shared" si="4"/>
        <v>威尔新数值1.06.xlsm!suitPower</v>
      </c>
    </row>
    <row r="123" spans="1:9" x14ac:dyDescent="0.15">
      <c r="A123" s="1">
        <v>122</v>
      </c>
      <c r="B123" s="1">
        <v>101070700</v>
      </c>
      <c r="C123" s="1">
        <f t="shared" si="7"/>
        <v>5</v>
      </c>
      <c r="D123" s="5">
        <f ca="1">IF(getQuality(B123)&lt;4,getOtherMin(B123,C123,INDIRECT(J$2),INDIRECT(I123),test),getMin(B123,C123,INDIRECT(J$2),INDIRECT(I123),test))</f>
        <v>164.04888337809854</v>
      </c>
      <c r="E123" s="5">
        <f ca="1">IF(getQuality(B123)&lt;4,getOtherMax(B123,C123,INDIRECT(J$2),INDIRECT(I123),test),getMax(B123,C123,INDIRECT(J$2),INDIRECT(I123),test))</f>
        <v>202.82888203359849</v>
      </c>
      <c r="F123" s="1" t="str">
        <f t="shared" si="5"/>
        <v>20</v>
      </c>
      <c r="G123" s="1" t="str">
        <f t="shared" si="6"/>
        <v/>
      </c>
      <c r="I123" s="1" t="str">
        <f t="shared" si="4"/>
        <v>威尔新数值1.06.xlsm!suitPower</v>
      </c>
    </row>
    <row r="124" spans="1:9" x14ac:dyDescent="0.15">
      <c r="A124" s="1">
        <v>123</v>
      </c>
      <c r="B124" s="1">
        <v>101080700</v>
      </c>
      <c r="C124" s="1">
        <f t="shared" si="7"/>
        <v>3</v>
      </c>
      <c r="D124" s="5">
        <f ca="1">IF(getQuality(B124)&lt;4,getOtherMin(B124,C124,INDIRECT(J$2),INDIRECT(I124),test),getMin(B124,C124,INDIRECT(J$2),INDIRECT(I124),test))</f>
        <v>203.82888203359849</v>
      </c>
      <c r="E124" s="5">
        <f ca="1">IF(getQuality(B124)&lt;4,getOtherMax(B124,C124,INDIRECT(J$2),INDIRECT(I124),test),getMax(B124,C124,INDIRECT(J$2),INDIRECT(I124),test))</f>
        <v>246.21036204885561</v>
      </c>
      <c r="F124" s="1" t="str">
        <f t="shared" si="5"/>
        <v>80</v>
      </c>
      <c r="G124" s="1" t="str">
        <f t="shared" si="6"/>
        <v/>
      </c>
      <c r="I124" s="1" t="str">
        <f t="shared" si="4"/>
        <v>威尔新数值1.06.xlsm!suitPower</v>
      </c>
    </row>
    <row r="125" spans="1:9" x14ac:dyDescent="0.15">
      <c r="A125" s="1">
        <v>124</v>
      </c>
      <c r="B125" s="1">
        <v>101080700</v>
      </c>
      <c r="C125" s="1">
        <f t="shared" si="7"/>
        <v>5</v>
      </c>
      <c r="D125" s="5">
        <f ca="1">IF(getQuality(B125)&lt;4,getOtherMin(B125,C125,INDIRECT(J$2),INDIRECT(I125),test),getMin(B125,C125,INDIRECT(J$2),INDIRECT(I125),test))</f>
        <v>203.82888203359849</v>
      </c>
      <c r="E125" s="5">
        <f ca="1">IF(getQuality(B125)&lt;4,getOtherMax(B125,C125,INDIRECT(J$2),INDIRECT(I125),test),getMax(B125,C125,INDIRECT(J$2),INDIRECT(I125),test))</f>
        <v>246.21036204885561</v>
      </c>
      <c r="F125" s="1" t="str">
        <f t="shared" si="5"/>
        <v>20</v>
      </c>
      <c r="G125" s="1" t="str">
        <f t="shared" si="6"/>
        <v/>
      </c>
      <c r="I125" s="1" t="str">
        <f t="shared" si="4"/>
        <v>威尔新数值1.06.xlsm!suitPower</v>
      </c>
    </row>
    <row r="126" spans="1:9" x14ac:dyDescent="0.15">
      <c r="A126" s="1">
        <v>125</v>
      </c>
      <c r="B126" s="1">
        <v>101090700</v>
      </c>
      <c r="C126" s="1">
        <f t="shared" si="7"/>
        <v>3</v>
      </c>
      <c r="D126" s="5">
        <f ca="1">IF(getQuality(B126)&lt;4,getOtherMin(B126,C126,INDIRECT(J$2),INDIRECT(I126),test),getMin(B126,C126,INDIRECT(J$2),INDIRECT(I126),test))</f>
        <v>247.21036204885561</v>
      </c>
      <c r="E126" s="5">
        <f ca="1">IF(getQuality(B126)&lt;4,getOtherMax(B126,C126,INDIRECT(J$2),INDIRECT(I126),test),getMax(B126,C126,INDIRECT(J$2),INDIRECT(I126),test))</f>
        <v>293.19332342386997</v>
      </c>
      <c r="F126" s="1" t="str">
        <f t="shared" si="5"/>
        <v>80</v>
      </c>
      <c r="G126" s="1" t="str">
        <f t="shared" si="6"/>
        <v/>
      </c>
      <c r="I126" s="1" t="str">
        <f t="shared" si="4"/>
        <v>威尔新数值1.06.xlsm!suitPower</v>
      </c>
    </row>
    <row r="127" spans="1:9" x14ac:dyDescent="0.15">
      <c r="A127" s="1">
        <v>126</v>
      </c>
      <c r="B127" s="1">
        <v>101090700</v>
      </c>
      <c r="C127" s="1">
        <f t="shared" si="7"/>
        <v>5</v>
      </c>
      <c r="D127" s="5">
        <f ca="1">IF(getQuality(B127)&lt;4,getOtherMin(B127,C127,INDIRECT(J$2),INDIRECT(I127),test),getMin(B127,C127,INDIRECT(J$2),INDIRECT(I127),test))</f>
        <v>247.21036204885561</v>
      </c>
      <c r="E127" s="5">
        <f ca="1">IF(getQuality(B127)&lt;4,getOtherMax(B127,C127,INDIRECT(J$2),INDIRECT(I127),test),getMax(B127,C127,INDIRECT(J$2),INDIRECT(I127),test))</f>
        <v>293.19332342386997</v>
      </c>
      <c r="F127" s="1" t="str">
        <f t="shared" si="5"/>
        <v>20</v>
      </c>
      <c r="G127" s="1" t="str">
        <f t="shared" si="6"/>
        <v/>
      </c>
      <c r="I127" s="1" t="str">
        <f t="shared" si="4"/>
        <v>威尔新数值1.06.xlsm!suitPower</v>
      </c>
    </row>
    <row r="128" spans="1:9" x14ac:dyDescent="0.15">
      <c r="A128" s="1">
        <v>127</v>
      </c>
      <c r="B128" s="1">
        <v>101010800</v>
      </c>
      <c r="C128" s="1">
        <f t="shared" si="7"/>
        <v>3</v>
      </c>
      <c r="D128" s="5">
        <f ca="1">IF(getQuality(B128)&lt;4,getOtherMin(B128,C128,INDIRECT(J$2),INDIRECT(I128),test),getMin(B128,C128,INDIRECT(J$2),INDIRECT(I128),test))</f>
        <v>1</v>
      </c>
      <c r="E128" s="5">
        <f ca="1">IF(getQuality(B128)&lt;4,getOtherMax(B128,C128,INDIRECT(J$2),INDIRECT(I128),test),getMax(B128,C128,INDIRECT(J$2),INDIRECT(I128),test))</f>
        <v>18.007406798785986</v>
      </c>
      <c r="F128" s="1" t="str">
        <f t="shared" si="5"/>
        <v>20</v>
      </c>
      <c r="G128" s="1" t="str">
        <f t="shared" si="6"/>
        <v/>
      </c>
      <c r="I128" s="1" t="str">
        <f t="shared" si="4"/>
        <v>威尔新数值1.06.xlsm!suitPower</v>
      </c>
    </row>
    <row r="129" spans="1:9" x14ac:dyDescent="0.15">
      <c r="A129" s="1">
        <v>128</v>
      </c>
      <c r="B129" s="1">
        <v>101010800</v>
      </c>
      <c r="C129" s="1">
        <f t="shared" si="7"/>
        <v>5</v>
      </c>
      <c r="D129" s="5">
        <f ca="1">IF(getQuality(B129)&lt;4,getOtherMin(B129,C129,INDIRECT(J$2),INDIRECT(I129),test),getMin(B129,C129,INDIRECT(J$2),INDIRECT(I129),test))</f>
        <v>1</v>
      </c>
      <c r="E129" s="5">
        <f ca="1">IF(getQuality(B129)&lt;4,getOtherMax(B129,C129,INDIRECT(J$2),INDIRECT(I129),test),getMax(B129,C129,INDIRECT(J$2),INDIRECT(I129),test))</f>
        <v>18.007406798785986</v>
      </c>
      <c r="F129" s="1" t="str">
        <f t="shared" si="5"/>
        <v>80</v>
      </c>
      <c r="G129" s="1" t="str">
        <f t="shared" si="6"/>
        <v/>
      </c>
      <c r="I129" s="1" t="str">
        <f t="shared" si="4"/>
        <v>威尔新数值1.06.xlsm!suitPower</v>
      </c>
    </row>
    <row r="130" spans="1:9" x14ac:dyDescent="0.15">
      <c r="A130" s="1">
        <v>129</v>
      </c>
      <c r="B130" s="1">
        <v>101020800</v>
      </c>
      <c r="C130" s="1">
        <f t="shared" si="7"/>
        <v>3</v>
      </c>
      <c r="D130" s="5">
        <f ca="1">IF(getQuality(B130)&lt;4,getOtherMin(B130,C130,INDIRECT(J$2),INDIRECT(I130),test),getMin(B130,C130,INDIRECT(J$2),INDIRECT(I130),test))</f>
        <v>19.007406798785986</v>
      </c>
      <c r="E130" s="5">
        <f ca="1">IF(getQuality(B130)&lt;4,getOtherMax(B130,C130,INDIRECT(J$2),INDIRECT(I130),test),getMax(B130,C130,INDIRECT(J$2),INDIRECT(I130),test))</f>
        <v>39.616294957329167</v>
      </c>
      <c r="F130" s="1" t="str">
        <f t="shared" si="5"/>
        <v>20</v>
      </c>
      <c r="G130" s="1" t="str">
        <f t="shared" si="6"/>
        <v/>
      </c>
      <c r="I130" s="1" t="str">
        <f t="shared" ref="I130:I193" si="8">IF(C130&lt;100,VLOOKUP(C130,test,3,FALSE),VLOOKUP(C130,test1,3,FALSE))</f>
        <v>威尔新数值1.06.xlsm!suitPower</v>
      </c>
    </row>
    <row r="131" spans="1:9" x14ac:dyDescent="0.15">
      <c r="A131" s="1">
        <v>130</v>
      </c>
      <c r="B131" s="1">
        <v>101020800</v>
      </c>
      <c r="C131" s="1">
        <f t="shared" si="7"/>
        <v>5</v>
      </c>
      <c r="D131" s="5">
        <f ca="1">IF(getQuality(B131)&lt;4,getOtherMin(B131,C131,INDIRECT(J$2),INDIRECT(I131),test),getMin(B131,C131,INDIRECT(J$2),INDIRECT(I131),test))</f>
        <v>19.007406798785986</v>
      </c>
      <c r="E131" s="5">
        <f ca="1">IF(getQuality(B131)&lt;4,getOtherMax(B131,C131,INDIRECT(J$2),INDIRECT(I131),test),getMax(B131,C131,INDIRECT(J$2),INDIRECT(I131),test))</f>
        <v>39.616294957329167</v>
      </c>
      <c r="F131" s="1" t="str">
        <f t="shared" ref="F131:F194" si="9">getper(B131,C131)</f>
        <v>80</v>
      </c>
      <c r="G131" s="1" t="str">
        <f t="shared" ref="G131:G194" si="10">getMust(B131,C131)</f>
        <v/>
      </c>
      <c r="I131" s="1" t="str">
        <f t="shared" si="8"/>
        <v>威尔新数值1.06.xlsm!suitPower</v>
      </c>
    </row>
    <row r="132" spans="1:9" x14ac:dyDescent="0.15">
      <c r="A132" s="1">
        <v>131</v>
      </c>
      <c r="B132" s="1">
        <v>101030800</v>
      </c>
      <c r="C132" s="1">
        <f t="shared" si="7"/>
        <v>3</v>
      </c>
      <c r="D132" s="5">
        <f ca="1">IF(getQuality(B132)&lt;4,getOtherMin(B132,C132,INDIRECT(J$2),INDIRECT(I132),test),getMin(B132,C132,INDIRECT(J$2),INDIRECT(I132),test))</f>
        <v>40.616294957329167</v>
      </c>
      <c r="E132" s="5">
        <f ca="1">IF(getQuality(B132)&lt;4,getOtherMax(B132,C132,INDIRECT(J$2),INDIRECT(I132),test),getMax(B132,C132,INDIRECT(J$2),INDIRECT(I132),test))</f>
        <v>64.826664475629542</v>
      </c>
      <c r="F132" s="1" t="str">
        <f t="shared" si="9"/>
        <v>20</v>
      </c>
      <c r="G132" s="1" t="str">
        <f t="shared" si="10"/>
        <v/>
      </c>
      <c r="I132" s="1" t="str">
        <f t="shared" si="8"/>
        <v>威尔新数值1.06.xlsm!suitPower</v>
      </c>
    </row>
    <row r="133" spans="1:9" x14ac:dyDescent="0.15">
      <c r="A133" s="1">
        <v>132</v>
      </c>
      <c r="B133" s="1">
        <v>101030800</v>
      </c>
      <c r="C133" s="1">
        <f t="shared" ref="C133:C196" si="11">C131</f>
        <v>5</v>
      </c>
      <c r="D133" s="5">
        <f ca="1">IF(getQuality(B133)&lt;4,getOtherMin(B133,C133,INDIRECT(J$2),INDIRECT(I133),test),getMin(B133,C133,INDIRECT(J$2),INDIRECT(I133),test))</f>
        <v>40.616294957329167</v>
      </c>
      <c r="E133" s="5">
        <f ca="1">IF(getQuality(B133)&lt;4,getOtherMax(B133,C133,INDIRECT(J$2),INDIRECT(I133),test),getMax(B133,C133,INDIRECT(J$2),INDIRECT(I133),test))</f>
        <v>64.826664475629542</v>
      </c>
      <c r="F133" s="1" t="str">
        <f t="shared" si="9"/>
        <v>80</v>
      </c>
      <c r="G133" s="1" t="str">
        <f t="shared" si="10"/>
        <v/>
      </c>
      <c r="I133" s="1" t="str">
        <f t="shared" si="8"/>
        <v>威尔新数值1.06.xlsm!suitPower</v>
      </c>
    </row>
    <row r="134" spans="1:9" x14ac:dyDescent="0.15">
      <c r="A134" s="1">
        <v>133</v>
      </c>
      <c r="B134" s="1">
        <v>101040800</v>
      </c>
      <c r="C134" s="1">
        <f t="shared" si="11"/>
        <v>3</v>
      </c>
      <c r="D134" s="5">
        <f ca="1">IF(getQuality(B134)&lt;4,getOtherMin(B134,C134,INDIRECT(J$2),INDIRECT(I134),test),getMin(B134,C134,INDIRECT(J$2),INDIRECT(I134),test))</f>
        <v>65.826664475629542</v>
      </c>
      <c r="E134" s="5">
        <f ca="1">IF(getQuality(B134)&lt;4,getOtherMax(B134,C134,INDIRECT(J$2),INDIRECT(I134),test),getMax(B134,C134,INDIRECT(J$2),INDIRECT(I134),test))</f>
        <v>93.638515353687112</v>
      </c>
      <c r="F134" s="1" t="str">
        <f t="shared" si="9"/>
        <v>20</v>
      </c>
      <c r="G134" s="1" t="str">
        <f t="shared" si="10"/>
        <v/>
      </c>
      <c r="I134" s="1" t="str">
        <f t="shared" si="8"/>
        <v>威尔新数值1.06.xlsm!suitPower</v>
      </c>
    </row>
    <row r="135" spans="1:9" x14ac:dyDescent="0.15">
      <c r="A135" s="1">
        <v>134</v>
      </c>
      <c r="B135" s="1">
        <v>101040800</v>
      </c>
      <c r="C135" s="1">
        <f t="shared" si="11"/>
        <v>5</v>
      </c>
      <c r="D135" s="5">
        <f ca="1">IF(getQuality(B135)&lt;4,getOtherMin(B135,C135,INDIRECT(J$2),INDIRECT(I135),test),getMin(B135,C135,INDIRECT(J$2),INDIRECT(I135),test))</f>
        <v>65.826664475629542</v>
      </c>
      <c r="E135" s="5">
        <f ca="1">IF(getQuality(B135)&lt;4,getOtherMax(B135,C135,INDIRECT(J$2),INDIRECT(I135),test),getMax(B135,C135,INDIRECT(J$2),INDIRECT(I135),test))</f>
        <v>93.638515353687112</v>
      </c>
      <c r="F135" s="1" t="str">
        <f t="shared" si="9"/>
        <v>80</v>
      </c>
      <c r="G135" s="1" t="str">
        <f t="shared" si="10"/>
        <v/>
      </c>
      <c r="I135" s="1" t="str">
        <f t="shared" si="8"/>
        <v>威尔新数值1.06.xlsm!suitPower</v>
      </c>
    </row>
    <row r="136" spans="1:9" x14ac:dyDescent="0.15">
      <c r="A136" s="1">
        <v>135</v>
      </c>
      <c r="B136" s="1">
        <v>101050800</v>
      </c>
      <c r="C136" s="1">
        <f t="shared" si="11"/>
        <v>3</v>
      </c>
      <c r="D136" s="5">
        <f ca="1">IF(getQuality(B136)&lt;4,getOtherMin(B136,C136,INDIRECT(J$2),INDIRECT(I136),test),getMin(B136,C136,INDIRECT(J$2),INDIRECT(I136),test))</f>
        <v>94.638515353687112</v>
      </c>
      <c r="E136" s="5">
        <f ca="1">IF(getQuality(B136)&lt;4,getOtherMax(B136,C136,INDIRECT(J$2),INDIRECT(I136),test),getMax(B136,C136,INDIRECT(J$2),INDIRECT(I136),test))</f>
        <v>126.8703660823558</v>
      </c>
      <c r="F136" s="1" t="str">
        <f t="shared" si="9"/>
        <v>20</v>
      </c>
      <c r="G136" s="1" t="str">
        <f t="shared" si="10"/>
        <v/>
      </c>
      <c r="I136" s="1" t="str">
        <f t="shared" si="8"/>
        <v>威尔新数值1.06.xlsm!suitPower</v>
      </c>
    </row>
    <row r="137" spans="1:9" x14ac:dyDescent="0.15">
      <c r="A137" s="1">
        <v>136</v>
      </c>
      <c r="B137" s="1">
        <v>101050800</v>
      </c>
      <c r="C137" s="1">
        <f t="shared" si="11"/>
        <v>5</v>
      </c>
      <c r="D137" s="5">
        <f ca="1">IF(getQuality(B137)&lt;4,getOtherMin(B137,C137,INDIRECT(J$2),INDIRECT(I137),test),getMin(B137,C137,INDIRECT(J$2),INDIRECT(I137),test))</f>
        <v>94.638515353687112</v>
      </c>
      <c r="E137" s="5">
        <f ca="1">IF(getQuality(B137)&lt;4,getOtherMax(B137,C137,INDIRECT(J$2),INDIRECT(I137),test),getMax(B137,C137,INDIRECT(J$2),INDIRECT(I137),test))</f>
        <v>126.8703660823558</v>
      </c>
      <c r="F137" s="1" t="str">
        <f t="shared" si="9"/>
        <v>80</v>
      </c>
      <c r="G137" s="1" t="str">
        <f t="shared" si="10"/>
        <v/>
      </c>
      <c r="I137" s="1" t="str">
        <f t="shared" si="8"/>
        <v>威尔新数值1.06.xlsm!suitPower</v>
      </c>
    </row>
    <row r="138" spans="1:9" x14ac:dyDescent="0.15">
      <c r="A138" s="1">
        <v>137</v>
      </c>
      <c r="B138" s="1">
        <v>101060800</v>
      </c>
      <c r="C138" s="1">
        <f t="shared" si="11"/>
        <v>3</v>
      </c>
      <c r="D138" s="5">
        <f ca="1">IF(getQuality(B138)&lt;4,getOtherMin(B138,C138,INDIRECT(J$2),INDIRECT(I138),test),getMin(B138,C138,INDIRECT(J$2),INDIRECT(I138),test))</f>
        <v>127.8703660823558</v>
      </c>
      <c r="E138" s="5">
        <f ca="1">IF(getQuality(B138)&lt;4,getOtherMax(B138,C138,INDIRECT(J$2),INDIRECT(I138),test),getMax(B138,C138,INDIRECT(J$2),INDIRECT(I138),test))</f>
        <v>163.04888337809854</v>
      </c>
      <c r="F138" s="1" t="str">
        <f t="shared" si="9"/>
        <v>20</v>
      </c>
      <c r="G138" s="1" t="str">
        <f t="shared" si="10"/>
        <v/>
      </c>
      <c r="I138" s="1" t="str">
        <f t="shared" si="8"/>
        <v>威尔新数值1.06.xlsm!suitPower</v>
      </c>
    </row>
    <row r="139" spans="1:9" x14ac:dyDescent="0.15">
      <c r="A139" s="1">
        <v>138</v>
      </c>
      <c r="B139" s="1">
        <v>101060800</v>
      </c>
      <c r="C139" s="1">
        <f t="shared" si="11"/>
        <v>5</v>
      </c>
      <c r="D139" s="5">
        <f ca="1">IF(getQuality(B139)&lt;4,getOtherMin(B139,C139,INDIRECT(J$2),INDIRECT(I139),test),getMin(B139,C139,INDIRECT(J$2),INDIRECT(I139),test))</f>
        <v>127.8703660823558</v>
      </c>
      <c r="E139" s="5">
        <f ca="1">IF(getQuality(B139)&lt;4,getOtherMax(B139,C139,INDIRECT(J$2),INDIRECT(I139),test),getMax(B139,C139,INDIRECT(J$2),INDIRECT(I139),test))</f>
        <v>163.04888337809854</v>
      </c>
      <c r="F139" s="1" t="str">
        <f t="shared" si="9"/>
        <v>80</v>
      </c>
      <c r="G139" s="1" t="str">
        <f t="shared" si="10"/>
        <v/>
      </c>
      <c r="I139" s="1" t="str">
        <f t="shared" si="8"/>
        <v>威尔新数值1.06.xlsm!suitPower</v>
      </c>
    </row>
    <row r="140" spans="1:9" x14ac:dyDescent="0.15">
      <c r="A140" s="1">
        <v>139</v>
      </c>
      <c r="B140" s="1">
        <v>101070800</v>
      </c>
      <c r="C140" s="1">
        <f t="shared" si="11"/>
        <v>3</v>
      </c>
      <c r="D140" s="5">
        <f ca="1">IF(getQuality(B140)&lt;4,getOtherMin(B140,C140,INDIRECT(J$2),INDIRECT(I140),test),getMin(B140,C140,INDIRECT(J$2),INDIRECT(I140),test))</f>
        <v>164.04888337809854</v>
      </c>
      <c r="E140" s="5">
        <f ca="1">IF(getQuality(B140)&lt;4,getOtherMax(B140,C140,INDIRECT(J$2),INDIRECT(I140),test),getMax(B140,C140,INDIRECT(J$2),INDIRECT(I140),test))</f>
        <v>202.82888203359849</v>
      </c>
      <c r="F140" s="1" t="str">
        <f t="shared" si="9"/>
        <v>20</v>
      </c>
      <c r="G140" s="1" t="str">
        <f t="shared" si="10"/>
        <v/>
      </c>
      <c r="I140" s="1" t="str">
        <f t="shared" si="8"/>
        <v>威尔新数值1.06.xlsm!suitPower</v>
      </c>
    </row>
    <row r="141" spans="1:9" x14ac:dyDescent="0.15">
      <c r="A141" s="1">
        <v>140</v>
      </c>
      <c r="B141" s="1">
        <v>101070800</v>
      </c>
      <c r="C141" s="1">
        <f t="shared" si="11"/>
        <v>5</v>
      </c>
      <c r="D141" s="5">
        <f ca="1">IF(getQuality(B141)&lt;4,getOtherMin(B141,C141,INDIRECT(J$2),INDIRECT(I141),test),getMin(B141,C141,INDIRECT(J$2),INDIRECT(I141),test))</f>
        <v>164.04888337809854</v>
      </c>
      <c r="E141" s="5">
        <f ca="1">IF(getQuality(B141)&lt;4,getOtherMax(B141,C141,INDIRECT(J$2),INDIRECT(I141),test),getMax(B141,C141,INDIRECT(J$2),INDIRECT(I141),test))</f>
        <v>202.82888203359849</v>
      </c>
      <c r="F141" s="1" t="str">
        <f t="shared" si="9"/>
        <v>80</v>
      </c>
      <c r="G141" s="1" t="str">
        <f t="shared" si="10"/>
        <v/>
      </c>
      <c r="I141" s="1" t="str">
        <f t="shared" si="8"/>
        <v>威尔新数值1.06.xlsm!suitPower</v>
      </c>
    </row>
    <row r="142" spans="1:9" x14ac:dyDescent="0.15">
      <c r="A142" s="1">
        <v>141</v>
      </c>
      <c r="B142" s="1">
        <v>101080800</v>
      </c>
      <c r="C142" s="1">
        <f t="shared" si="11"/>
        <v>3</v>
      </c>
      <c r="D142" s="5">
        <f ca="1">IF(getQuality(B142)&lt;4,getOtherMin(B142,C142,INDIRECT(J$2),INDIRECT(I142),test),getMin(B142,C142,INDIRECT(J$2),INDIRECT(I142),test))</f>
        <v>203.82888203359849</v>
      </c>
      <c r="E142" s="5">
        <f ca="1">IF(getQuality(B142)&lt;4,getOtherMax(B142,C142,INDIRECT(J$2),INDIRECT(I142),test),getMax(B142,C142,INDIRECT(J$2),INDIRECT(I142),test))</f>
        <v>246.21036204885561</v>
      </c>
      <c r="F142" s="1" t="str">
        <f t="shared" si="9"/>
        <v>20</v>
      </c>
      <c r="G142" s="1" t="str">
        <f t="shared" si="10"/>
        <v/>
      </c>
      <c r="I142" s="1" t="str">
        <f t="shared" si="8"/>
        <v>威尔新数值1.06.xlsm!suitPower</v>
      </c>
    </row>
    <row r="143" spans="1:9" x14ac:dyDescent="0.15">
      <c r="A143" s="1">
        <v>142</v>
      </c>
      <c r="B143" s="1">
        <v>101080800</v>
      </c>
      <c r="C143" s="1">
        <f t="shared" si="11"/>
        <v>5</v>
      </c>
      <c r="D143" s="5">
        <f ca="1">IF(getQuality(B143)&lt;4,getOtherMin(B143,C143,INDIRECT(J$2),INDIRECT(I143),test),getMin(B143,C143,INDIRECT(J$2),INDIRECT(I143),test))</f>
        <v>203.82888203359849</v>
      </c>
      <c r="E143" s="5">
        <f ca="1">IF(getQuality(B143)&lt;4,getOtherMax(B143,C143,INDIRECT(J$2),INDIRECT(I143),test),getMax(B143,C143,INDIRECT(J$2),INDIRECT(I143),test))</f>
        <v>246.21036204885561</v>
      </c>
      <c r="F143" s="1" t="str">
        <f t="shared" si="9"/>
        <v>80</v>
      </c>
      <c r="G143" s="1" t="str">
        <f t="shared" si="10"/>
        <v/>
      </c>
      <c r="I143" s="1" t="str">
        <f t="shared" si="8"/>
        <v>威尔新数值1.06.xlsm!suitPower</v>
      </c>
    </row>
    <row r="144" spans="1:9" x14ac:dyDescent="0.15">
      <c r="A144" s="1">
        <v>143</v>
      </c>
      <c r="B144" s="1">
        <v>101090800</v>
      </c>
      <c r="C144" s="1">
        <f t="shared" si="11"/>
        <v>3</v>
      </c>
      <c r="D144" s="5">
        <f ca="1">IF(getQuality(B144)&lt;4,getOtherMin(B144,C144,INDIRECT(J$2),INDIRECT(I144),test),getMin(B144,C144,INDIRECT(J$2),INDIRECT(I144),test))</f>
        <v>247.21036204885561</v>
      </c>
      <c r="E144" s="5">
        <f ca="1">IF(getQuality(B144)&lt;4,getOtherMax(B144,C144,INDIRECT(J$2),INDIRECT(I144),test),getMax(B144,C144,INDIRECT(J$2),INDIRECT(I144),test))</f>
        <v>293.19332342386997</v>
      </c>
      <c r="F144" s="1" t="str">
        <f t="shared" si="9"/>
        <v>20</v>
      </c>
      <c r="G144" s="1" t="str">
        <f t="shared" si="10"/>
        <v/>
      </c>
      <c r="I144" s="1" t="str">
        <f t="shared" si="8"/>
        <v>威尔新数值1.06.xlsm!suitPower</v>
      </c>
    </row>
    <row r="145" spans="1:9" x14ac:dyDescent="0.15">
      <c r="A145" s="1">
        <v>144</v>
      </c>
      <c r="B145" s="1">
        <v>101090800</v>
      </c>
      <c r="C145" s="1">
        <f t="shared" si="11"/>
        <v>5</v>
      </c>
      <c r="D145" s="5">
        <f ca="1">IF(getQuality(B145)&lt;4,getOtherMin(B145,C145,INDIRECT(J$2),INDIRECT(I145),test),getMin(B145,C145,INDIRECT(J$2),INDIRECT(I145),test))</f>
        <v>247.21036204885561</v>
      </c>
      <c r="E145" s="5">
        <f ca="1">IF(getQuality(B145)&lt;4,getOtherMax(B145,C145,INDIRECT(J$2),INDIRECT(I145),test),getMax(B145,C145,INDIRECT(J$2),INDIRECT(I145),test))</f>
        <v>293.19332342386997</v>
      </c>
      <c r="F145" s="1" t="str">
        <f t="shared" si="9"/>
        <v>80</v>
      </c>
      <c r="G145" s="1" t="str">
        <f t="shared" si="10"/>
        <v/>
      </c>
      <c r="I145" s="1" t="str">
        <f t="shared" si="8"/>
        <v>威尔新数值1.06.xlsm!suitPower</v>
      </c>
    </row>
    <row r="146" spans="1:9" x14ac:dyDescent="0.15">
      <c r="A146" s="1">
        <v>145</v>
      </c>
      <c r="B146" s="1">
        <v>101010900</v>
      </c>
      <c r="C146" s="1">
        <f t="shared" si="11"/>
        <v>3</v>
      </c>
      <c r="D146" s="5">
        <f ca="1">IF(getQuality(B146)&lt;4,getOtherMin(B146,C146,INDIRECT(J$2),INDIRECT(I146),test),getMin(B146,C146,INDIRECT(J$2),INDIRECT(I146),test))</f>
        <v>1</v>
      </c>
      <c r="E146" s="5">
        <f ca="1">IF(getQuality(B146)&lt;4,getOtherMax(B146,C146,INDIRECT(J$2),INDIRECT(I146),test),getMax(B146,C146,INDIRECT(J$2),INDIRECT(I146),test))</f>
        <v>18.007406798785986</v>
      </c>
      <c r="F146" s="1" t="str">
        <f t="shared" si="9"/>
        <v>20</v>
      </c>
      <c r="G146" s="1" t="str">
        <f t="shared" si="10"/>
        <v/>
      </c>
      <c r="I146" s="1" t="str">
        <f t="shared" si="8"/>
        <v>威尔新数值1.06.xlsm!suitPower</v>
      </c>
    </row>
    <row r="147" spans="1:9" x14ac:dyDescent="0.15">
      <c r="A147" s="1">
        <v>146</v>
      </c>
      <c r="B147" s="1">
        <v>101010900</v>
      </c>
      <c r="C147" s="1">
        <f t="shared" si="11"/>
        <v>5</v>
      </c>
      <c r="D147" s="5">
        <f ca="1">IF(getQuality(B147)&lt;4,getOtherMin(B147,C147,INDIRECT(J$2),INDIRECT(I147),test),getMin(B147,C147,INDIRECT(J$2),INDIRECT(I147),test))</f>
        <v>1</v>
      </c>
      <c r="E147" s="5">
        <f ca="1">IF(getQuality(B147)&lt;4,getOtherMax(B147,C147,INDIRECT(J$2),INDIRECT(I147),test),getMax(B147,C147,INDIRECT(J$2),INDIRECT(I147),test))</f>
        <v>18.007406798785986</v>
      </c>
      <c r="F147" s="1" t="str">
        <f t="shared" si="9"/>
        <v>80</v>
      </c>
      <c r="G147" s="1" t="str">
        <f t="shared" si="10"/>
        <v/>
      </c>
      <c r="I147" s="1" t="str">
        <f t="shared" si="8"/>
        <v>威尔新数值1.06.xlsm!suitPower</v>
      </c>
    </row>
    <row r="148" spans="1:9" x14ac:dyDescent="0.15">
      <c r="A148" s="1">
        <v>147</v>
      </c>
      <c r="B148" s="1">
        <v>101020900</v>
      </c>
      <c r="C148" s="1">
        <f t="shared" si="11"/>
        <v>3</v>
      </c>
      <c r="D148" s="5">
        <f ca="1">IF(getQuality(B148)&lt;4,getOtherMin(B148,C148,INDIRECT(J$2),INDIRECT(I148),test),getMin(B148,C148,INDIRECT(J$2),INDIRECT(I148),test))</f>
        <v>19.007406798785986</v>
      </c>
      <c r="E148" s="5">
        <f ca="1">IF(getQuality(B148)&lt;4,getOtherMax(B148,C148,INDIRECT(J$2),INDIRECT(I148),test),getMax(B148,C148,INDIRECT(J$2),INDIRECT(I148),test))</f>
        <v>39.616294957329167</v>
      </c>
      <c r="F148" s="1" t="str">
        <f t="shared" si="9"/>
        <v>20</v>
      </c>
      <c r="G148" s="1" t="str">
        <f t="shared" si="10"/>
        <v/>
      </c>
      <c r="I148" s="1" t="str">
        <f t="shared" si="8"/>
        <v>威尔新数值1.06.xlsm!suitPower</v>
      </c>
    </row>
    <row r="149" spans="1:9" x14ac:dyDescent="0.15">
      <c r="A149" s="1">
        <v>148</v>
      </c>
      <c r="B149" s="1">
        <v>101020900</v>
      </c>
      <c r="C149" s="1">
        <f t="shared" si="11"/>
        <v>5</v>
      </c>
      <c r="D149" s="5">
        <f ca="1">IF(getQuality(B149)&lt;4,getOtherMin(B149,C149,INDIRECT(J$2),INDIRECT(I149),test),getMin(B149,C149,INDIRECT(J$2),INDIRECT(I149),test))</f>
        <v>19.007406798785986</v>
      </c>
      <c r="E149" s="5">
        <f ca="1">IF(getQuality(B149)&lt;4,getOtherMax(B149,C149,INDIRECT(J$2),INDIRECT(I149),test),getMax(B149,C149,INDIRECT(J$2),INDIRECT(I149),test))</f>
        <v>39.616294957329167</v>
      </c>
      <c r="F149" s="1" t="str">
        <f t="shared" si="9"/>
        <v>80</v>
      </c>
      <c r="G149" s="1" t="str">
        <f t="shared" si="10"/>
        <v/>
      </c>
      <c r="I149" s="1" t="str">
        <f t="shared" si="8"/>
        <v>威尔新数值1.06.xlsm!suitPower</v>
      </c>
    </row>
    <row r="150" spans="1:9" x14ac:dyDescent="0.15">
      <c r="A150" s="1">
        <v>149</v>
      </c>
      <c r="B150" s="1">
        <v>101030900</v>
      </c>
      <c r="C150" s="1">
        <f t="shared" si="11"/>
        <v>3</v>
      </c>
      <c r="D150" s="5">
        <f ca="1">IF(getQuality(B150)&lt;4,getOtherMin(B150,C150,INDIRECT(J$2),INDIRECT(I150),test),getMin(B150,C150,INDIRECT(J$2),INDIRECT(I150),test))</f>
        <v>40.616294957329167</v>
      </c>
      <c r="E150" s="5">
        <f ca="1">IF(getQuality(B150)&lt;4,getOtherMax(B150,C150,INDIRECT(J$2),INDIRECT(I150),test),getMax(B150,C150,INDIRECT(J$2),INDIRECT(I150),test))</f>
        <v>64.826664475629542</v>
      </c>
      <c r="F150" s="1" t="str">
        <f t="shared" si="9"/>
        <v>20</v>
      </c>
      <c r="G150" s="1" t="str">
        <f t="shared" si="10"/>
        <v/>
      </c>
      <c r="I150" s="1" t="str">
        <f t="shared" si="8"/>
        <v>威尔新数值1.06.xlsm!suitPower</v>
      </c>
    </row>
    <row r="151" spans="1:9" x14ac:dyDescent="0.15">
      <c r="A151" s="1">
        <v>150</v>
      </c>
      <c r="B151" s="1">
        <v>101030900</v>
      </c>
      <c r="C151" s="1">
        <f t="shared" si="11"/>
        <v>5</v>
      </c>
      <c r="D151" s="5">
        <f ca="1">IF(getQuality(B151)&lt;4,getOtherMin(B151,C151,INDIRECT(J$2),INDIRECT(I151),test),getMin(B151,C151,INDIRECT(J$2),INDIRECT(I151),test))</f>
        <v>40.616294957329167</v>
      </c>
      <c r="E151" s="5">
        <f ca="1">IF(getQuality(B151)&lt;4,getOtherMax(B151,C151,INDIRECT(J$2),INDIRECT(I151),test),getMax(B151,C151,INDIRECT(J$2),INDIRECT(I151),test))</f>
        <v>64.826664475629542</v>
      </c>
      <c r="F151" s="1" t="str">
        <f t="shared" si="9"/>
        <v>80</v>
      </c>
      <c r="G151" s="1" t="str">
        <f t="shared" si="10"/>
        <v/>
      </c>
      <c r="I151" s="1" t="str">
        <f t="shared" si="8"/>
        <v>威尔新数值1.06.xlsm!suitPower</v>
      </c>
    </row>
    <row r="152" spans="1:9" x14ac:dyDescent="0.15">
      <c r="A152" s="1">
        <v>151</v>
      </c>
      <c r="B152" s="1">
        <v>101040900</v>
      </c>
      <c r="C152" s="1">
        <f t="shared" si="11"/>
        <v>3</v>
      </c>
      <c r="D152" s="5">
        <f ca="1">IF(getQuality(B152)&lt;4,getOtherMin(B152,C152,INDIRECT(J$2),INDIRECT(I152),test),getMin(B152,C152,INDIRECT(J$2),INDIRECT(I152),test))</f>
        <v>65.826664475629542</v>
      </c>
      <c r="E152" s="5">
        <f ca="1">IF(getQuality(B152)&lt;4,getOtherMax(B152,C152,INDIRECT(J$2),INDIRECT(I152),test),getMax(B152,C152,INDIRECT(J$2),INDIRECT(I152),test))</f>
        <v>93.638515353687112</v>
      </c>
      <c r="F152" s="1" t="str">
        <f t="shared" si="9"/>
        <v>20</v>
      </c>
      <c r="G152" s="1" t="str">
        <f t="shared" si="10"/>
        <v/>
      </c>
      <c r="I152" s="1" t="str">
        <f t="shared" si="8"/>
        <v>威尔新数值1.06.xlsm!suitPower</v>
      </c>
    </row>
    <row r="153" spans="1:9" x14ac:dyDescent="0.15">
      <c r="A153" s="1">
        <v>152</v>
      </c>
      <c r="B153" s="1">
        <v>101040900</v>
      </c>
      <c r="C153" s="1">
        <f t="shared" si="11"/>
        <v>5</v>
      </c>
      <c r="D153" s="5">
        <f ca="1">IF(getQuality(B153)&lt;4,getOtherMin(B153,C153,INDIRECT(J$2),INDIRECT(I153),test),getMin(B153,C153,INDIRECT(J$2),INDIRECT(I153),test))</f>
        <v>65.826664475629542</v>
      </c>
      <c r="E153" s="5">
        <f ca="1">IF(getQuality(B153)&lt;4,getOtherMax(B153,C153,INDIRECT(J$2),INDIRECT(I153),test),getMax(B153,C153,INDIRECT(J$2),INDIRECT(I153),test))</f>
        <v>93.638515353687112</v>
      </c>
      <c r="F153" s="1" t="str">
        <f t="shared" si="9"/>
        <v>80</v>
      </c>
      <c r="G153" s="1" t="str">
        <f t="shared" si="10"/>
        <v/>
      </c>
      <c r="I153" s="1" t="str">
        <f t="shared" si="8"/>
        <v>威尔新数值1.06.xlsm!suitPower</v>
      </c>
    </row>
    <row r="154" spans="1:9" x14ac:dyDescent="0.15">
      <c r="A154" s="1">
        <v>153</v>
      </c>
      <c r="B154" s="1">
        <v>101050900</v>
      </c>
      <c r="C154" s="1">
        <f t="shared" si="11"/>
        <v>3</v>
      </c>
      <c r="D154" s="5">
        <f ca="1">IF(getQuality(B154)&lt;4,getOtherMin(B154,C154,INDIRECT(J$2),INDIRECT(I154),test),getMin(B154,C154,INDIRECT(J$2),INDIRECT(I154),test))</f>
        <v>94.638515353687112</v>
      </c>
      <c r="E154" s="5">
        <f ca="1">IF(getQuality(B154)&lt;4,getOtherMax(B154,C154,INDIRECT(J$2),INDIRECT(I154),test),getMax(B154,C154,INDIRECT(J$2),INDIRECT(I154),test))</f>
        <v>126.8703660823558</v>
      </c>
      <c r="F154" s="1" t="str">
        <f t="shared" si="9"/>
        <v>20</v>
      </c>
      <c r="G154" s="1" t="str">
        <f t="shared" si="10"/>
        <v/>
      </c>
      <c r="I154" s="1" t="str">
        <f t="shared" si="8"/>
        <v>威尔新数值1.06.xlsm!suitPower</v>
      </c>
    </row>
    <row r="155" spans="1:9" x14ac:dyDescent="0.15">
      <c r="A155" s="1">
        <v>154</v>
      </c>
      <c r="B155" s="1">
        <v>101050900</v>
      </c>
      <c r="C155" s="1">
        <f t="shared" si="11"/>
        <v>5</v>
      </c>
      <c r="D155" s="5">
        <f ca="1">IF(getQuality(B155)&lt;4,getOtherMin(B155,C155,INDIRECT(J$2),INDIRECT(I155),test),getMin(B155,C155,INDIRECT(J$2),INDIRECT(I155),test))</f>
        <v>94.638515353687112</v>
      </c>
      <c r="E155" s="5">
        <f ca="1">IF(getQuality(B155)&lt;4,getOtherMax(B155,C155,INDIRECT(J$2),INDIRECT(I155),test),getMax(B155,C155,INDIRECT(J$2),INDIRECT(I155),test))</f>
        <v>126.8703660823558</v>
      </c>
      <c r="F155" s="1" t="str">
        <f t="shared" si="9"/>
        <v>80</v>
      </c>
      <c r="G155" s="1" t="str">
        <f t="shared" si="10"/>
        <v/>
      </c>
      <c r="I155" s="1" t="str">
        <f t="shared" si="8"/>
        <v>威尔新数值1.06.xlsm!suitPower</v>
      </c>
    </row>
    <row r="156" spans="1:9" x14ac:dyDescent="0.15">
      <c r="A156" s="1">
        <v>155</v>
      </c>
      <c r="B156" s="1">
        <v>101060900</v>
      </c>
      <c r="C156" s="1">
        <f t="shared" si="11"/>
        <v>3</v>
      </c>
      <c r="D156" s="5">
        <f ca="1">IF(getQuality(B156)&lt;4,getOtherMin(B156,C156,INDIRECT(J$2),INDIRECT(I156),test),getMin(B156,C156,INDIRECT(J$2),INDIRECT(I156),test))</f>
        <v>127.8703660823558</v>
      </c>
      <c r="E156" s="5">
        <f ca="1">IF(getQuality(B156)&lt;4,getOtherMax(B156,C156,INDIRECT(J$2),INDIRECT(I156),test),getMax(B156,C156,INDIRECT(J$2),INDIRECT(I156),test))</f>
        <v>163.04888337809854</v>
      </c>
      <c r="F156" s="1" t="str">
        <f t="shared" si="9"/>
        <v>20</v>
      </c>
      <c r="G156" s="1" t="str">
        <f t="shared" si="10"/>
        <v/>
      </c>
      <c r="I156" s="1" t="str">
        <f t="shared" si="8"/>
        <v>威尔新数值1.06.xlsm!suitPower</v>
      </c>
    </row>
    <row r="157" spans="1:9" x14ac:dyDescent="0.15">
      <c r="A157" s="1">
        <v>156</v>
      </c>
      <c r="B157" s="1">
        <v>101060900</v>
      </c>
      <c r="C157" s="1">
        <f t="shared" si="11"/>
        <v>5</v>
      </c>
      <c r="D157" s="5">
        <f ca="1">IF(getQuality(B157)&lt;4,getOtherMin(B157,C157,INDIRECT(J$2),INDIRECT(I157),test),getMin(B157,C157,INDIRECT(J$2),INDIRECT(I157),test))</f>
        <v>127.8703660823558</v>
      </c>
      <c r="E157" s="5">
        <f ca="1">IF(getQuality(B157)&lt;4,getOtherMax(B157,C157,INDIRECT(J$2),INDIRECT(I157),test),getMax(B157,C157,INDIRECT(J$2),INDIRECT(I157),test))</f>
        <v>163.04888337809854</v>
      </c>
      <c r="F157" s="1" t="str">
        <f t="shared" si="9"/>
        <v>80</v>
      </c>
      <c r="G157" s="1" t="str">
        <f t="shared" si="10"/>
        <v/>
      </c>
      <c r="I157" s="1" t="str">
        <f t="shared" si="8"/>
        <v>威尔新数值1.06.xlsm!suitPower</v>
      </c>
    </row>
    <row r="158" spans="1:9" x14ac:dyDescent="0.15">
      <c r="A158" s="1">
        <v>157</v>
      </c>
      <c r="B158" s="1">
        <v>101070900</v>
      </c>
      <c r="C158" s="1">
        <f t="shared" si="11"/>
        <v>3</v>
      </c>
      <c r="D158" s="5">
        <f ca="1">IF(getQuality(B158)&lt;4,getOtherMin(B158,C158,INDIRECT(J$2),INDIRECT(I158),test),getMin(B158,C158,INDIRECT(J$2),INDIRECT(I158),test))</f>
        <v>164.04888337809854</v>
      </c>
      <c r="E158" s="5">
        <f ca="1">IF(getQuality(B158)&lt;4,getOtherMax(B158,C158,INDIRECT(J$2),INDIRECT(I158),test),getMax(B158,C158,INDIRECT(J$2),INDIRECT(I158),test))</f>
        <v>202.82888203359849</v>
      </c>
      <c r="F158" s="1" t="str">
        <f t="shared" si="9"/>
        <v>20</v>
      </c>
      <c r="G158" s="1" t="str">
        <f t="shared" si="10"/>
        <v/>
      </c>
      <c r="I158" s="1" t="str">
        <f t="shared" si="8"/>
        <v>威尔新数值1.06.xlsm!suitPower</v>
      </c>
    </row>
    <row r="159" spans="1:9" x14ac:dyDescent="0.15">
      <c r="A159" s="1">
        <v>158</v>
      </c>
      <c r="B159" s="1">
        <v>101070900</v>
      </c>
      <c r="C159" s="1">
        <f t="shared" si="11"/>
        <v>5</v>
      </c>
      <c r="D159" s="5">
        <f ca="1">IF(getQuality(B159)&lt;4,getOtherMin(B159,C159,INDIRECT(J$2),INDIRECT(I159),test),getMin(B159,C159,INDIRECT(J$2),INDIRECT(I159),test))</f>
        <v>164.04888337809854</v>
      </c>
      <c r="E159" s="5">
        <f ca="1">IF(getQuality(B159)&lt;4,getOtherMax(B159,C159,INDIRECT(J$2),INDIRECT(I159),test),getMax(B159,C159,INDIRECT(J$2),INDIRECT(I159),test))</f>
        <v>202.82888203359849</v>
      </c>
      <c r="F159" s="1" t="str">
        <f t="shared" si="9"/>
        <v>80</v>
      </c>
      <c r="G159" s="1" t="str">
        <f t="shared" si="10"/>
        <v/>
      </c>
      <c r="I159" s="1" t="str">
        <f t="shared" si="8"/>
        <v>威尔新数值1.06.xlsm!suitPower</v>
      </c>
    </row>
    <row r="160" spans="1:9" x14ac:dyDescent="0.15">
      <c r="A160" s="1">
        <v>159</v>
      </c>
      <c r="B160" s="1">
        <v>101080900</v>
      </c>
      <c r="C160" s="1">
        <f t="shared" si="11"/>
        <v>3</v>
      </c>
      <c r="D160" s="5">
        <f ca="1">IF(getQuality(B160)&lt;4,getOtherMin(B160,C160,INDIRECT(J$2),INDIRECT(I160),test),getMin(B160,C160,INDIRECT(J$2),INDIRECT(I160),test))</f>
        <v>203.82888203359849</v>
      </c>
      <c r="E160" s="5">
        <f ca="1">IF(getQuality(B160)&lt;4,getOtherMax(B160,C160,INDIRECT(J$2),INDIRECT(I160),test),getMax(B160,C160,INDIRECT(J$2),INDIRECT(I160),test))</f>
        <v>246.21036204885561</v>
      </c>
      <c r="F160" s="1" t="str">
        <f t="shared" si="9"/>
        <v>20</v>
      </c>
      <c r="G160" s="1" t="str">
        <f t="shared" si="10"/>
        <v/>
      </c>
      <c r="I160" s="1" t="str">
        <f t="shared" si="8"/>
        <v>威尔新数值1.06.xlsm!suitPower</v>
      </c>
    </row>
    <row r="161" spans="1:9" x14ac:dyDescent="0.15">
      <c r="A161" s="1">
        <v>160</v>
      </c>
      <c r="B161" s="1">
        <v>101080900</v>
      </c>
      <c r="C161" s="1">
        <f t="shared" si="11"/>
        <v>5</v>
      </c>
      <c r="D161" s="5">
        <f ca="1">IF(getQuality(B161)&lt;4,getOtherMin(B161,C161,INDIRECT(J$2),INDIRECT(I161),test),getMin(B161,C161,INDIRECT(J$2),INDIRECT(I161),test))</f>
        <v>203.82888203359849</v>
      </c>
      <c r="E161" s="5">
        <f ca="1">IF(getQuality(B161)&lt;4,getOtherMax(B161,C161,INDIRECT(J$2),INDIRECT(I161),test),getMax(B161,C161,INDIRECT(J$2),INDIRECT(I161),test))</f>
        <v>246.21036204885561</v>
      </c>
      <c r="F161" s="1" t="str">
        <f t="shared" si="9"/>
        <v>80</v>
      </c>
      <c r="G161" s="1" t="str">
        <f t="shared" si="10"/>
        <v/>
      </c>
      <c r="I161" s="1" t="str">
        <f t="shared" si="8"/>
        <v>威尔新数值1.06.xlsm!suitPower</v>
      </c>
    </row>
    <row r="162" spans="1:9" x14ac:dyDescent="0.15">
      <c r="A162" s="1">
        <v>161</v>
      </c>
      <c r="B162" s="1">
        <v>101090900</v>
      </c>
      <c r="C162" s="1">
        <f t="shared" si="11"/>
        <v>3</v>
      </c>
      <c r="D162" s="5">
        <f ca="1">IF(getQuality(B162)&lt;4,getOtherMin(B162,C162,INDIRECT(J$2),INDIRECT(I162),test),getMin(B162,C162,INDIRECT(J$2),INDIRECT(I162),test))</f>
        <v>247.21036204885561</v>
      </c>
      <c r="E162" s="5">
        <f ca="1">IF(getQuality(B162)&lt;4,getOtherMax(B162,C162,INDIRECT(J$2),INDIRECT(I162),test),getMax(B162,C162,INDIRECT(J$2),INDIRECT(I162),test))</f>
        <v>293.19332342386997</v>
      </c>
      <c r="F162" s="1" t="str">
        <f t="shared" si="9"/>
        <v>20</v>
      </c>
      <c r="G162" s="1" t="str">
        <f t="shared" si="10"/>
        <v/>
      </c>
      <c r="I162" s="1" t="str">
        <f t="shared" si="8"/>
        <v>威尔新数值1.06.xlsm!suitPower</v>
      </c>
    </row>
    <row r="163" spans="1:9" x14ac:dyDescent="0.15">
      <c r="A163" s="1">
        <v>162</v>
      </c>
      <c r="B163" s="1">
        <v>101090900</v>
      </c>
      <c r="C163" s="1">
        <f t="shared" si="11"/>
        <v>5</v>
      </c>
      <c r="D163" s="5">
        <f ca="1">IF(getQuality(B163)&lt;4,getOtherMin(B163,C163,INDIRECT(J$2),INDIRECT(I163),test),getMin(B163,C163,INDIRECT(J$2),INDIRECT(I163),test))</f>
        <v>247.21036204885561</v>
      </c>
      <c r="E163" s="5">
        <f ca="1">IF(getQuality(B163)&lt;4,getOtherMax(B163,C163,INDIRECT(J$2),INDIRECT(I163),test),getMax(B163,C163,INDIRECT(J$2),INDIRECT(I163),test))</f>
        <v>293.19332342386997</v>
      </c>
      <c r="F163" s="1" t="str">
        <f t="shared" si="9"/>
        <v>80</v>
      </c>
      <c r="G163" s="1" t="str">
        <f t="shared" si="10"/>
        <v/>
      </c>
      <c r="I163" s="1" t="str">
        <f t="shared" si="8"/>
        <v>威尔新数值1.06.xlsm!suitPower</v>
      </c>
    </row>
    <row r="164" spans="1:9" x14ac:dyDescent="0.15">
      <c r="A164" s="1">
        <v>163</v>
      </c>
      <c r="B164" s="1">
        <v>101011000</v>
      </c>
      <c r="C164" s="1">
        <f t="shared" si="11"/>
        <v>3</v>
      </c>
      <c r="D164" s="5">
        <f ca="1">IF(getQuality(B164)&lt;4,getOtherMin(B164,C164,INDIRECT(J$2),INDIRECT(I164),test),getMin(B164,C164,INDIRECT(J$2),INDIRECT(I164),test))</f>
        <v>1</v>
      </c>
      <c r="E164" s="5">
        <f ca="1">IF(getQuality(B164)&lt;4,getOtherMax(B164,C164,INDIRECT(J$2),INDIRECT(I164),test),getMax(B164,C164,INDIRECT(J$2),INDIRECT(I164),test))</f>
        <v>18.007406798785986</v>
      </c>
      <c r="F164" s="1" t="str">
        <f t="shared" si="9"/>
        <v>80</v>
      </c>
      <c r="G164" s="1" t="str">
        <f t="shared" si="10"/>
        <v/>
      </c>
      <c r="I164" s="1" t="str">
        <f t="shared" si="8"/>
        <v>威尔新数值1.06.xlsm!suitPower</v>
      </c>
    </row>
    <row r="165" spans="1:9" x14ac:dyDescent="0.15">
      <c r="A165" s="1">
        <v>164</v>
      </c>
      <c r="B165" s="1">
        <v>101011000</v>
      </c>
      <c r="C165" s="1">
        <f t="shared" si="11"/>
        <v>5</v>
      </c>
      <c r="D165" s="5">
        <f ca="1">IF(getQuality(B165)&lt;4,getOtherMin(B165,C165,INDIRECT(J$2),INDIRECT(I165),test),getMin(B165,C165,INDIRECT(J$2),INDIRECT(I165),test))</f>
        <v>1</v>
      </c>
      <c r="E165" s="5">
        <f ca="1">IF(getQuality(B165)&lt;4,getOtherMax(B165,C165,INDIRECT(J$2),INDIRECT(I165),test),getMax(B165,C165,INDIRECT(J$2),INDIRECT(I165),test))</f>
        <v>18.007406798785986</v>
      </c>
      <c r="F165" s="1" t="str">
        <f t="shared" si="9"/>
        <v>20</v>
      </c>
      <c r="G165" s="1" t="str">
        <f t="shared" si="10"/>
        <v/>
      </c>
      <c r="I165" s="1" t="str">
        <f t="shared" si="8"/>
        <v>威尔新数值1.06.xlsm!suitPower</v>
      </c>
    </row>
    <row r="166" spans="1:9" x14ac:dyDescent="0.15">
      <c r="A166" s="1">
        <v>165</v>
      </c>
      <c r="B166" s="1">
        <v>101021000</v>
      </c>
      <c r="C166" s="1">
        <f t="shared" si="11"/>
        <v>3</v>
      </c>
      <c r="D166" s="5">
        <f ca="1">IF(getQuality(B166)&lt;4,getOtherMin(B166,C166,INDIRECT(J$2),INDIRECT(I166),test),getMin(B166,C166,INDIRECT(J$2),INDIRECT(I166),test))</f>
        <v>19.007406798785986</v>
      </c>
      <c r="E166" s="5">
        <f ca="1">IF(getQuality(B166)&lt;4,getOtherMax(B166,C166,INDIRECT(J$2),INDIRECT(I166),test),getMax(B166,C166,INDIRECT(J$2),INDIRECT(I166),test))</f>
        <v>39.616294957329167</v>
      </c>
      <c r="F166" s="1" t="str">
        <f t="shared" si="9"/>
        <v>80</v>
      </c>
      <c r="G166" s="1" t="str">
        <f t="shared" si="10"/>
        <v/>
      </c>
      <c r="I166" s="1" t="str">
        <f t="shared" si="8"/>
        <v>威尔新数值1.06.xlsm!suitPower</v>
      </c>
    </row>
    <row r="167" spans="1:9" x14ac:dyDescent="0.15">
      <c r="A167" s="1">
        <v>166</v>
      </c>
      <c r="B167" s="1">
        <v>101021000</v>
      </c>
      <c r="C167" s="1">
        <f t="shared" si="11"/>
        <v>5</v>
      </c>
      <c r="D167" s="5">
        <f ca="1">IF(getQuality(B167)&lt;4,getOtherMin(B167,C167,INDIRECT(J$2),INDIRECT(I167),test),getMin(B167,C167,INDIRECT(J$2),INDIRECT(I167),test))</f>
        <v>19.007406798785986</v>
      </c>
      <c r="E167" s="5">
        <f ca="1">IF(getQuality(B167)&lt;4,getOtherMax(B167,C167,INDIRECT(J$2),INDIRECT(I167),test),getMax(B167,C167,INDIRECT(J$2),INDIRECT(I167),test))</f>
        <v>39.616294957329167</v>
      </c>
      <c r="F167" s="1" t="str">
        <f t="shared" si="9"/>
        <v>20</v>
      </c>
      <c r="G167" s="1" t="str">
        <f t="shared" si="10"/>
        <v/>
      </c>
      <c r="I167" s="1" t="str">
        <f t="shared" si="8"/>
        <v>威尔新数值1.06.xlsm!suitPower</v>
      </c>
    </row>
    <row r="168" spans="1:9" x14ac:dyDescent="0.15">
      <c r="A168" s="1">
        <v>167</v>
      </c>
      <c r="B168" s="1">
        <v>101031000</v>
      </c>
      <c r="C168" s="1">
        <f t="shared" si="11"/>
        <v>3</v>
      </c>
      <c r="D168" s="5">
        <f ca="1">IF(getQuality(B168)&lt;4,getOtherMin(B168,C168,INDIRECT(J$2),INDIRECT(I168),test),getMin(B168,C168,INDIRECT(J$2),INDIRECT(I168),test))</f>
        <v>40.616294957329167</v>
      </c>
      <c r="E168" s="5">
        <f ca="1">IF(getQuality(B168)&lt;4,getOtherMax(B168,C168,INDIRECT(J$2),INDIRECT(I168),test),getMax(B168,C168,INDIRECT(J$2),INDIRECT(I168),test))</f>
        <v>64.826664475629542</v>
      </c>
      <c r="F168" s="1" t="str">
        <f t="shared" si="9"/>
        <v>80</v>
      </c>
      <c r="G168" s="1" t="str">
        <f t="shared" si="10"/>
        <v/>
      </c>
      <c r="I168" s="1" t="str">
        <f t="shared" si="8"/>
        <v>威尔新数值1.06.xlsm!suitPower</v>
      </c>
    </row>
    <row r="169" spans="1:9" x14ac:dyDescent="0.15">
      <c r="A169" s="1">
        <v>168</v>
      </c>
      <c r="B169" s="1">
        <v>101031000</v>
      </c>
      <c r="C169" s="1">
        <f t="shared" si="11"/>
        <v>5</v>
      </c>
      <c r="D169" s="5">
        <f ca="1">IF(getQuality(B169)&lt;4,getOtherMin(B169,C169,INDIRECT(J$2),INDIRECT(I169),test),getMin(B169,C169,INDIRECT(J$2),INDIRECT(I169),test))</f>
        <v>40.616294957329167</v>
      </c>
      <c r="E169" s="5">
        <f ca="1">IF(getQuality(B169)&lt;4,getOtherMax(B169,C169,INDIRECT(J$2),INDIRECT(I169),test),getMax(B169,C169,INDIRECT(J$2),INDIRECT(I169),test))</f>
        <v>64.826664475629542</v>
      </c>
      <c r="F169" s="1" t="str">
        <f t="shared" si="9"/>
        <v>20</v>
      </c>
      <c r="G169" s="1" t="str">
        <f t="shared" si="10"/>
        <v/>
      </c>
      <c r="I169" s="1" t="str">
        <f t="shared" si="8"/>
        <v>威尔新数值1.06.xlsm!suitPower</v>
      </c>
    </row>
    <row r="170" spans="1:9" x14ac:dyDescent="0.15">
      <c r="A170" s="1">
        <v>169</v>
      </c>
      <c r="B170" s="1">
        <v>101041000</v>
      </c>
      <c r="C170" s="1">
        <f t="shared" si="11"/>
        <v>3</v>
      </c>
      <c r="D170" s="5">
        <f ca="1">IF(getQuality(B170)&lt;4,getOtherMin(B170,C170,INDIRECT(J$2),INDIRECT(I170),test),getMin(B170,C170,INDIRECT(J$2),INDIRECT(I170),test))</f>
        <v>65.826664475629542</v>
      </c>
      <c r="E170" s="5">
        <f ca="1">IF(getQuality(B170)&lt;4,getOtherMax(B170,C170,INDIRECT(J$2),INDIRECT(I170),test),getMax(B170,C170,INDIRECT(J$2),INDIRECT(I170),test))</f>
        <v>93.638515353687112</v>
      </c>
      <c r="F170" s="1" t="str">
        <f t="shared" si="9"/>
        <v>80</v>
      </c>
      <c r="G170" s="1" t="str">
        <f t="shared" si="10"/>
        <v/>
      </c>
      <c r="I170" s="1" t="str">
        <f t="shared" si="8"/>
        <v>威尔新数值1.06.xlsm!suitPower</v>
      </c>
    </row>
    <row r="171" spans="1:9" x14ac:dyDescent="0.15">
      <c r="A171" s="1">
        <v>170</v>
      </c>
      <c r="B171" s="1">
        <v>101041000</v>
      </c>
      <c r="C171" s="1">
        <f t="shared" si="11"/>
        <v>5</v>
      </c>
      <c r="D171" s="5">
        <f ca="1">IF(getQuality(B171)&lt;4,getOtherMin(B171,C171,INDIRECT(J$2),INDIRECT(I171),test),getMin(B171,C171,INDIRECT(J$2),INDIRECT(I171),test))</f>
        <v>65.826664475629542</v>
      </c>
      <c r="E171" s="5">
        <f ca="1">IF(getQuality(B171)&lt;4,getOtherMax(B171,C171,INDIRECT(J$2),INDIRECT(I171),test),getMax(B171,C171,INDIRECT(J$2),INDIRECT(I171),test))</f>
        <v>93.638515353687112</v>
      </c>
      <c r="F171" s="1" t="str">
        <f t="shared" si="9"/>
        <v>20</v>
      </c>
      <c r="G171" s="1" t="str">
        <f t="shared" si="10"/>
        <v/>
      </c>
      <c r="I171" s="1" t="str">
        <f t="shared" si="8"/>
        <v>威尔新数值1.06.xlsm!suitPower</v>
      </c>
    </row>
    <row r="172" spans="1:9" x14ac:dyDescent="0.15">
      <c r="A172" s="1">
        <v>171</v>
      </c>
      <c r="B172" s="1">
        <v>101051000</v>
      </c>
      <c r="C172" s="1">
        <f t="shared" si="11"/>
        <v>3</v>
      </c>
      <c r="D172" s="5">
        <f ca="1">IF(getQuality(B172)&lt;4,getOtherMin(B172,C172,INDIRECT(J$2),INDIRECT(I172),test),getMin(B172,C172,INDIRECT(J$2),INDIRECT(I172),test))</f>
        <v>94.638515353687112</v>
      </c>
      <c r="E172" s="5">
        <f ca="1">IF(getQuality(B172)&lt;4,getOtherMax(B172,C172,INDIRECT(J$2),INDIRECT(I172),test),getMax(B172,C172,INDIRECT(J$2),INDIRECT(I172),test))</f>
        <v>126.8703660823558</v>
      </c>
      <c r="F172" s="1" t="str">
        <f t="shared" si="9"/>
        <v>80</v>
      </c>
      <c r="G172" s="1" t="str">
        <f t="shared" si="10"/>
        <v/>
      </c>
      <c r="I172" s="1" t="str">
        <f t="shared" si="8"/>
        <v>威尔新数值1.06.xlsm!suitPower</v>
      </c>
    </row>
    <row r="173" spans="1:9" x14ac:dyDescent="0.15">
      <c r="A173" s="1">
        <v>172</v>
      </c>
      <c r="B173" s="1">
        <v>101051000</v>
      </c>
      <c r="C173" s="1">
        <f t="shared" si="11"/>
        <v>5</v>
      </c>
      <c r="D173" s="5">
        <f ca="1">IF(getQuality(B173)&lt;4,getOtherMin(B173,C173,INDIRECT(J$2),INDIRECT(I173),test),getMin(B173,C173,INDIRECT(J$2),INDIRECT(I173),test))</f>
        <v>94.638515353687112</v>
      </c>
      <c r="E173" s="5">
        <f ca="1">IF(getQuality(B173)&lt;4,getOtherMax(B173,C173,INDIRECT(J$2),INDIRECT(I173),test),getMax(B173,C173,INDIRECT(J$2),INDIRECT(I173),test))</f>
        <v>126.8703660823558</v>
      </c>
      <c r="F173" s="1" t="str">
        <f t="shared" si="9"/>
        <v>20</v>
      </c>
      <c r="G173" s="1" t="str">
        <f t="shared" si="10"/>
        <v/>
      </c>
      <c r="I173" s="1" t="str">
        <f t="shared" si="8"/>
        <v>威尔新数值1.06.xlsm!suitPower</v>
      </c>
    </row>
    <row r="174" spans="1:9" x14ac:dyDescent="0.15">
      <c r="A174" s="1">
        <v>173</v>
      </c>
      <c r="B174" s="1">
        <v>101061000</v>
      </c>
      <c r="C174" s="1">
        <f t="shared" si="11"/>
        <v>3</v>
      </c>
      <c r="D174" s="5">
        <f ca="1">IF(getQuality(B174)&lt;4,getOtherMin(B174,C174,INDIRECT(J$2),INDIRECT(I174),test),getMin(B174,C174,INDIRECT(J$2),INDIRECT(I174),test))</f>
        <v>127.8703660823558</v>
      </c>
      <c r="E174" s="5">
        <f ca="1">IF(getQuality(B174)&lt;4,getOtherMax(B174,C174,INDIRECT(J$2),INDIRECT(I174),test),getMax(B174,C174,INDIRECT(J$2),INDIRECT(I174),test))</f>
        <v>163.04888337809854</v>
      </c>
      <c r="F174" s="1" t="str">
        <f t="shared" si="9"/>
        <v>80</v>
      </c>
      <c r="G174" s="1" t="str">
        <f t="shared" si="10"/>
        <v/>
      </c>
      <c r="I174" s="1" t="str">
        <f t="shared" si="8"/>
        <v>威尔新数值1.06.xlsm!suitPower</v>
      </c>
    </row>
    <row r="175" spans="1:9" x14ac:dyDescent="0.15">
      <c r="A175" s="1">
        <v>174</v>
      </c>
      <c r="B175" s="1">
        <v>101061000</v>
      </c>
      <c r="C175" s="1">
        <f t="shared" si="11"/>
        <v>5</v>
      </c>
      <c r="D175" s="5">
        <f ca="1">IF(getQuality(B175)&lt;4,getOtherMin(B175,C175,INDIRECT(J$2),INDIRECT(I175),test),getMin(B175,C175,INDIRECT(J$2),INDIRECT(I175),test))</f>
        <v>127.8703660823558</v>
      </c>
      <c r="E175" s="5">
        <f ca="1">IF(getQuality(B175)&lt;4,getOtherMax(B175,C175,INDIRECT(J$2),INDIRECT(I175),test),getMax(B175,C175,INDIRECT(J$2),INDIRECT(I175),test))</f>
        <v>163.04888337809854</v>
      </c>
      <c r="F175" s="1" t="str">
        <f t="shared" si="9"/>
        <v>20</v>
      </c>
      <c r="G175" s="1" t="str">
        <f t="shared" si="10"/>
        <v/>
      </c>
      <c r="I175" s="1" t="str">
        <f t="shared" si="8"/>
        <v>威尔新数值1.06.xlsm!suitPower</v>
      </c>
    </row>
    <row r="176" spans="1:9" x14ac:dyDescent="0.15">
      <c r="A176" s="1">
        <v>175</v>
      </c>
      <c r="B176" s="1">
        <v>101071000</v>
      </c>
      <c r="C176" s="1">
        <f t="shared" si="11"/>
        <v>3</v>
      </c>
      <c r="D176" s="5">
        <f ca="1">IF(getQuality(B176)&lt;4,getOtherMin(B176,C176,INDIRECT(J$2),INDIRECT(I176),test),getMin(B176,C176,INDIRECT(J$2),INDIRECT(I176),test))</f>
        <v>164.04888337809854</v>
      </c>
      <c r="E176" s="5">
        <f ca="1">IF(getQuality(B176)&lt;4,getOtherMax(B176,C176,INDIRECT(J$2),INDIRECT(I176),test),getMax(B176,C176,INDIRECT(J$2),INDIRECT(I176),test))</f>
        <v>202.82888203359849</v>
      </c>
      <c r="F176" s="1" t="str">
        <f t="shared" si="9"/>
        <v>80</v>
      </c>
      <c r="G176" s="1" t="str">
        <f t="shared" si="10"/>
        <v/>
      </c>
      <c r="I176" s="1" t="str">
        <f t="shared" si="8"/>
        <v>威尔新数值1.06.xlsm!suitPower</v>
      </c>
    </row>
    <row r="177" spans="1:9" x14ac:dyDescent="0.15">
      <c r="A177" s="1">
        <v>176</v>
      </c>
      <c r="B177" s="1">
        <v>101071000</v>
      </c>
      <c r="C177" s="1">
        <f t="shared" si="11"/>
        <v>5</v>
      </c>
      <c r="D177" s="5">
        <f ca="1">IF(getQuality(B177)&lt;4,getOtherMin(B177,C177,INDIRECT(J$2),INDIRECT(I177),test),getMin(B177,C177,INDIRECT(J$2),INDIRECT(I177),test))</f>
        <v>164.04888337809854</v>
      </c>
      <c r="E177" s="5">
        <f ca="1">IF(getQuality(B177)&lt;4,getOtherMax(B177,C177,INDIRECT(J$2),INDIRECT(I177),test),getMax(B177,C177,INDIRECT(J$2),INDIRECT(I177),test))</f>
        <v>202.82888203359849</v>
      </c>
      <c r="F177" s="1" t="str">
        <f t="shared" si="9"/>
        <v>20</v>
      </c>
      <c r="G177" s="1" t="str">
        <f t="shared" si="10"/>
        <v/>
      </c>
      <c r="I177" s="1" t="str">
        <f t="shared" si="8"/>
        <v>威尔新数值1.06.xlsm!suitPower</v>
      </c>
    </row>
    <row r="178" spans="1:9" x14ac:dyDescent="0.15">
      <c r="A178" s="1">
        <v>177</v>
      </c>
      <c r="B178" s="1">
        <v>101081000</v>
      </c>
      <c r="C178" s="1">
        <f t="shared" si="11"/>
        <v>3</v>
      </c>
      <c r="D178" s="5">
        <f ca="1">IF(getQuality(B178)&lt;4,getOtherMin(B178,C178,INDIRECT(J$2),INDIRECT(I178),test),getMin(B178,C178,INDIRECT(J$2),INDIRECT(I178),test))</f>
        <v>203.82888203359849</v>
      </c>
      <c r="E178" s="5">
        <f ca="1">IF(getQuality(B178)&lt;4,getOtherMax(B178,C178,INDIRECT(J$2),INDIRECT(I178),test),getMax(B178,C178,INDIRECT(J$2),INDIRECT(I178),test))</f>
        <v>246.21036204885561</v>
      </c>
      <c r="F178" s="1" t="str">
        <f t="shared" si="9"/>
        <v>80</v>
      </c>
      <c r="G178" s="1" t="str">
        <f t="shared" si="10"/>
        <v/>
      </c>
      <c r="I178" s="1" t="str">
        <f t="shared" si="8"/>
        <v>威尔新数值1.06.xlsm!suitPower</v>
      </c>
    </row>
    <row r="179" spans="1:9" x14ac:dyDescent="0.15">
      <c r="A179" s="1">
        <v>178</v>
      </c>
      <c r="B179" s="1">
        <v>101081000</v>
      </c>
      <c r="C179" s="1">
        <f t="shared" si="11"/>
        <v>5</v>
      </c>
      <c r="D179" s="5">
        <f ca="1">IF(getQuality(B179)&lt;4,getOtherMin(B179,C179,INDIRECT(J$2),INDIRECT(I179),test),getMin(B179,C179,INDIRECT(J$2),INDIRECT(I179),test))</f>
        <v>203.82888203359849</v>
      </c>
      <c r="E179" s="5">
        <f ca="1">IF(getQuality(B179)&lt;4,getOtherMax(B179,C179,INDIRECT(J$2),INDIRECT(I179),test),getMax(B179,C179,INDIRECT(J$2),INDIRECT(I179),test))</f>
        <v>246.21036204885561</v>
      </c>
      <c r="F179" s="1" t="str">
        <f t="shared" si="9"/>
        <v>20</v>
      </c>
      <c r="G179" s="1" t="str">
        <f t="shared" si="10"/>
        <v/>
      </c>
      <c r="I179" s="1" t="str">
        <f t="shared" si="8"/>
        <v>威尔新数值1.06.xlsm!suitPower</v>
      </c>
    </row>
    <row r="180" spans="1:9" x14ac:dyDescent="0.15">
      <c r="A180" s="1">
        <v>179</v>
      </c>
      <c r="B180" s="1">
        <v>101091000</v>
      </c>
      <c r="C180" s="1">
        <f t="shared" si="11"/>
        <v>3</v>
      </c>
      <c r="D180" s="5">
        <f ca="1">IF(getQuality(B180)&lt;4,getOtherMin(B180,C180,INDIRECT(J$2),INDIRECT(I180),test),getMin(B180,C180,INDIRECT(J$2),INDIRECT(I180),test))</f>
        <v>247.21036204885561</v>
      </c>
      <c r="E180" s="5">
        <f ca="1">IF(getQuality(B180)&lt;4,getOtherMax(B180,C180,INDIRECT(J$2),INDIRECT(I180),test),getMax(B180,C180,INDIRECT(J$2),INDIRECT(I180),test))</f>
        <v>293.19332342386997</v>
      </c>
      <c r="F180" s="1" t="str">
        <f t="shared" si="9"/>
        <v>80</v>
      </c>
      <c r="G180" s="1" t="str">
        <f t="shared" si="10"/>
        <v/>
      </c>
      <c r="I180" s="1" t="str">
        <f t="shared" si="8"/>
        <v>威尔新数值1.06.xlsm!suitPower</v>
      </c>
    </row>
    <row r="181" spans="1:9" x14ac:dyDescent="0.15">
      <c r="A181" s="1">
        <v>180</v>
      </c>
      <c r="B181" s="1">
        <v>101091000</v>
      </c>
      <c r="C181" s="1">
        <f t="shared" si="11"/>
        <v>5</v>
      </c>
      <c r="D181" s="5">
        <f ca="1">IF(getQuality(B181)&lt;4,getOtherMin(B181,C181,INDIRECT(J$2),INDIRECT(I181),test),getMin(B181,C181,INDIRECT(J$2),INDIRECT(I181),test))</f>
        <v>247.21036204885561</v>
      </c>
      <c r="E181" s="5">
        <f ca="1">IF(getQuality(B181)&lt;4,getOtherMax(B181,C181,INDIRECT(J$2),INDIRECT(I181),test),getMax(B181,C181,INDIRECT(J$2),INDIRECT(I181),test))</f>
        <v>293.19332342386997</v>
      </c>
      <c r="F181" s="1" t="str">
        <f t="shared" si="9"/>
        <v>20</v>
      </c>
      <c r="G181" s="1" t="str">
        <f t="shared" si="10"/>
        <v/>
      </c>
      <c r="I181" s="1" t="str">
        <f t="shared" si="8"/>
        <v>威尔新数值1.06.xlsm!suitPower</v>
      </c>
    </row>
    <row r="182" spans="1:9" x14ac:dyDescent="0.15">
      <c r="A182" s="1">
        <v>181</v>
      </c>
      <c r="B182" s="1">
        <v>101011100</v>
      </c>
      <c r="C182" s="1">
        <f t="shared" si="11"/>
        <v>3</v>
      </c>
      <c r="D182" s="5">
        <f ca="1">IF(getQuality(B182)&lt;4,getOtherMin(B182,C182,INDIRECT(J$2),INDIRECT(I182),test),getMin(B182,C182,INDIRECT(J$2),INDIRECT(I182),test))</f>
        <v>1</v>
      </c>
      <c r="E182" s="5">
        <f ca="1">IF(getQuality(B182)&lt;4,getOtherMax(B182,C182,INDIRECT(J$2),INDIRECT(I182),test),getMax(B182,C182,INDIRECT(J$2),INDIRECT(I182),test))</f>
        <v>18.007406798785986</v>
      </c>
      <c r="F182" s="1" t="str">
        <f t="shared" si="9"/>
        <v>20</v>
      </c>
      <c r="G182" s="1" t="str">
        <f t="shared" si="10"/>
        <v/>
      </c>
      <c r="I182" s="1" t="str">
        <f t="shared" si="8"/>
        <v>威尔新数值1.06.xlsm!suitPower</v>
      </c>
    </row>
    <row r="183" spans="1:9" x14ac:dyDescent="0.15">
      <c r="A183" s="1">
        <v>182</v>
      </c>
      <c r="B183" s="1">
        <v>101011100</v>
      </c>
      <c r="C183" s="1">
        <f t="shared" si="11"/>
        <v>5</v>
      </c>
      <c r="D183" s="5">
        <f ca="1">IF(getQuality(B183)&lt;4,getOtherMin(B183,C183,INDIRECT(J$2),INDIRECT(I183),test),getMin(B183,C183,INDIRECT(J$2),INDIRECT(I183),test))</f>
        <v>1</v>
      </c>
      <c r="E183" s="5">
        <f ca="1">IF(getQuality(B183)&lt;4,getOtherMax(B183,C183,INDIRECT(J$2),INDIRECT(I183),test),getMax(B183,C183,INDIRECT(J$2),INDIRECT(I183),test))</f>
        <v>18.007406798785986</v>
      </c>
      <c r="F183" s="1" t="str">
        <f t="shared" si="9"/>
        <v>80</v>
      </c>
      <c r="G183" s="1" t="str">
        <f t="shared" si="10"/>
        <v/>
      </c>
      <c r="I183" s="1" t="str">
        <f t="shared" si="8"/>
        <v>威尔新数值1.06.xlsm!suitPower</v>
      </c>
    </row>
    <row r="184" spans="1:9" x14ac:dyDescent="0.15">
      <c r="A184" s="1">
        <v>183</v>
      </c>
      <c r="B184" s="1">
        <v>101021100</v>
      </c>
      <c r="C184" s="1">
        <f t="shared" si="11"/>
        <v>3</v>
      </c>
      <c r="D184" s="5">
        <f ca="1">IF(getQuality(B184)&lt;4,getOtherMin(B184,C184,INDIRECT(J$2),INDIRECT(I184),test),getMin(B184,C184,INDIRECT(J$2),INDIRECT(I184),test))</f>
        <v>19.007406798785986</v>
      </c>
      <c r="E184" s="5">
        <f ca="1">IF(getQuality(B184)&lt;4,getOtherMax(B184,C184,INDIRECT(J$2),INDIRECT(I184),test),getMax(B184,C184,INDIRECT(J$2),INDIRECT(I184),test))</f>
        <v>39.616294957329167</v>
      </c>
      <c r="F184" s="1" t="str">
        <f t="shared" si="9"/>
        <v>20</v>
      </c>
      <c r="G184" s="1" t="str">
        <f t="shared" si="10"/>
        <v/>
      </c>
      <c r="I184" s="1" t="str">
        <f t="shared" si="8"/>
        <v>威尔新数值1.06.xlsm!suitPower</v>
      </c>
    </row>
    <row r="185" spans="1:9" x14ac:dyDescent="0.15">
      <c r="A185" s="1">
        <v>184</v>
      </c>
      <c r="B185" s="1">
        <v>101021100</v>
      </c>
      <c r="C185" s="1">
        <f t="shared" si="11"/>
        <v>5</v>
      </c>
      <c r="D185" s="5">
        <f ca="1">IF(getQuality(B185)&lt;4,getOtherMin(B185,C185,INDIRECT(J$2),INDIRECT(I185),test),getMin(B185,C185,INDIRECT(J$2),INDIRECT(I185),test))</f>
        <v>19.007406798785986</v>
      </c>
      <c r="E185" s="5">
        <f ca="1">IF(getQuality(B185)&lt;4,getOtherMax(B185,C185,INDIRECT(J$2),INDIRECT(I185),test),getMax(B185,C185,INDIRECT(J$2),INDIRECT(I185),test))</f>
        <v>39.616294957329167</v>
      </c>
      <c r="F185" s="1" t="str">
        <f t="shared" si="9"/>
        <v>80</v>
      </c>
      <c r="G185" s="1" t="str">
        <f t="shared" si="10"/>
        <v/>
      </c>
      <c r="I185" s="1" t="str">
        <f t="shared" si="8"/>
        <v>威尔新数值1.06.xlsm!suitPower</v>
      </c>
    </row>
    <row r="186" spans="1:9" x14ac:dyDescent="0.15">
      <c r="A186" s="1">
        <v>185</v>
      </c>
      <c r="B186" s="1">
        <v>101031100</v>
      </c>
      <c r="C186" s="1">
        <f t="shared" si="11"/>
        <v>3</v>
      </c>
      <c r="D186" s="5">
        <f ca="1">IF(getQuality(B186)&lt;4,getOtherMin(B186,C186,INDIRECT(J$2),INDIRECT(I186),test),getMin(B186,C186,INDIRECT(J$2),INDIRECT(I186),test))</f>
        <v>40.616294957329167</v>
      </c>
      <c r="E186" s="5">
        <f ca="1">IF(getQuality(B186)&lt;4,getOtherMax(B186,C186,INDIRECT(J$2),INDIRECT(I186),test),getMax(B186,C186,INDIRECT(J$2),INDIRECT(I186),test))</f>
        <v>64.826664475629542</v>
      </c>
      <c r="F186" s="1" t="str">
        <f t="shared" si="9"/>
        <v>20</v>
      </c>
      <c r="G186" s="1" t="str">
        <f t="shared" si="10"/>
        <v/>
      </c>
      <c r="I186" s="1" t="str">
        <f t="shared" si="8"/>
        <v>威尔新数值1.06.xlsm!suitPower</v>
      </c>
    </row>
    <row r="187" spans="1:9" x14ac:dyDescent="0.15">
      <c r="A187" s="1">
        <v>186</v>
      </c>
      <c r="B187" s="1">
        <v>101031100</v>
      </c>
      <c r="C187" s="1">
        <f t="shared" si="11"/>
        <v>5</v>
      </c>
      <c r="D187" s="5">
        <f ca="1">IF(getQuality(B187)&lt;4,getOtherMin(B187,C187,INDIRECT(J$2),INDIRECT(I187),test),getMin(B187,C187,INDIRECT(J$2),INDIRECT(I187),test))</f>
        <v>40.616294957329167</v>
      </c>
      <c r="E187" s="5">
        <f ca="1">IF(getQuality(B187)&lt;4,getOtherMax(B187,C187,INDIRECT(J$2),INDIRECT(I187),test),getMax(B187,C187,INDIRECT(J$2),INDIRECT(I187),test))</f>
        <v>64.826664475629542</v>
      </c>
      <c r="F187" s="1" t="str">
        <f t="shared" si="9"/>
        <v>80</v>
      </c>
      <c r="G187" s="1" t="str">
        <f t="shared" si="10"/>
        <v/>
      </c>
      <c r="I187" s="1" t="str">
        <f t="shared" si="8"/>
        <v>威尔新数值1.06.xlsm!suitPower</v>
      </c>
    </row>
    <row r="188" spans="1:9" x14ac:dyDescent="0.15">
      <c r="A188" s="1">
        <v>187</v>
      </c>
      <c r="B188" s="1">
        <v>101041100</v>
      </c>
      <c r="C188" s="1">
        <f t="shared" si="11"/>
        <v>3</v>
      </c>
      <c r="D188" s="5">
        <f ca="1">IF(getQuality(B188)&lt;4,getOtherMin(B188,C188,INDIRECT(J$2),INDIRECT(I188),test),getMin(B188,C188,INDIRECT(J$2),INDIRECT(I188),test))</f>
        <v>65.826664475629542</v>
      </c>
      <c r="E188" s="5">
        <f ca="1">IF(getQuality(B188)&lt;4,getOtherMax(B188,C188,INDIRECT(J$2),INDIRECT(I188),test),getMax(B188,C188,INDIRECT(J$2),INDIRECT(I188),test))</f>
        <v>93.638515353687112</v>
      </c>
      <c r="F188" s="1" t="str">
        <f t="shared" si="9"/>
        <v>20</v>
      </c>
      <c r="G188" s="1" t="str">
        <f t="shared" si="10"/>
        <v/>
      </c>
      <c r="I188" s="1" t="str">
        <f t="shared" si="8"/>
        <v>威尔新数值1.06.xlsm!suitPower</v>
      </c>
    </row>
    <row r="189" spans="1:9" x14ac:dyDescent="0.15">
      <c r="A189" s="1">
        <v>188</v>
      </c>
      <c r="B189" s="1">
        <v>101041100</v>
      </c>
      <c r="C189" s="1">
        <f t="shared" si="11"/>
        <v>5</v>
      </c>
      <c r="D189" s="5">
        <f ca="1">IF(getQuality(B189)&lt;4,getOtherMin(B189,C189,INDIRECT(J$2),INDIRECT(I189),test),getMin(B189,C189,INDIRECT(J$2),INDIRECT(I189),test))</f>
        <v>65.826664475629542</v>
      </c>
      <c r="E189" s="5">
        <f ca="1">IF(getQuality(B189)&lt;4,getOtherMax(B189,C189,INDIRECT(J$2),INDIRECT(I189),test),getMax(B189,C189,INDIRECT(J$2),INDIRECT(I189),test))</f>
        <v>93.638515353687112</v>
      </c>
      <c r="F189" s="1" t="str">
        <f t="shared" si="9"/>
        <v>80</v>
      </c>
      <c r="G189" s="1" t="str">
        <f t="shared" si="10"/>
        <v/>
      </c>
      <c r="I189" s="1" t="str">
        <f t="shared" si="8"/>
        <v>威尔新数值1.06.xlsm!suitPower</v>
      </c>
    </row>
    <row r="190" spans="1:9" x14ac:dyDescent="0.15">
      <c r="A190" s="1">
        <v>189</v>
      </c>
      <c r="B190" s="1">
        <v>101051100</v>
      </c>
      <c r="C190" s="1">
        <f t="shared" si="11"/>
        <v>3</v>
      </c>
      <c r="D190" s="5">
        <f ca="1">IF(getQuality(B190)&lt;4,getOtherMin(B190,C190,INDIRECT(J$2),INDIRECT(I190),test),getMin(B190,C190,INDIRECT(J$2),INDIRECT(I190),test))</f>
        <v>94.638515353687112</v>
      </c>
      <c r="E190" s="5">
        <f ca="1">IF(getQuality(B190)&lt;4,getOtherMax(B190,C190,INDIRECT(J$2),INDIRECT(I190),test),getMax(B190,C190,INDIRECT(J$2),INDIRECT(I190),test))</f>
        <v>126.8703660823558</v>
      </c>
      <c r="F190" s="1" t="str">
        <f t="shared" si="9"/>
        <v>20</v>
      </c>
      <c r="G190" s="1" t="str">
        <f t="shared" si="10"/>
        <v/>
      </c>
      <c r="I190" s="1" t="str">
        <f t="shared" si="8"/>
        <v>威尔新数值1.06.xlsm!suitPower</v>
      </c>
    </row>
    <row r="191" spans="1:9" x14ac:dyDescent="0.15">
      <c r="A191" s="1">
        <v>190</v>
      </c>
      <c r="B191" s="1">
        <v>101051100</v>
      </c>
      <c r="C191" s="1">
        <f t="shared" si="11"/>
        <v>5</v>
      </c>
      <c r="D191" s="5">
        <f ca="1">IF(getQuality(B191)&lt;4,getOtherMin(B191,C191,INDIRECT(J$2),INDIRECT(I191),test),getMin(B191,C191,INDIRECT(J$2),INDIRECT(I191),test))</f>
        <v>94.638515353687112</v>
      </c>
      <c r="E191" s="5">
        <f ca="1">IF(getQuality(B191)&lt;4,getOtherMax(B191,C191,INDIRECT(J$2),INDIRECT(I191),test),getMax(B191,C191,INDIRECT(J$2),INDIRECT(I191),test))</f>
        <v>126.8703660823558</v>
      </c>
      <c r="F191" s="1" t="str">
        <f t="shared" si="9"/>
        <v>80</v>
      </c>
      <c r="G191" s="1" t="str">
        <f t="shared" si="10"/>
        <v/>
      </c>
      <c r="I191" s="1" t="str">
        <f t="shared" si="8"/>
        <v>威尔新数值1.06.xlsm!suitPower</v>
      </c>
    </row>
    <row r="192" spans="1:9" x14ac:dyDescent="0.15">
      <c r="A192" s="1">
        <v>191</v>
      </c>
      <c r="B192" s="1">
        <v>101061100</v>
      </c>
      <c r="C192" s="1">
        <f t="shared" si="11"/>
        <v>3</v>
      </c>
      <c r="D192" s="5">
        <f ca="1">IF(getQuality(B192)&lt;4,getOtherMin(B192,C192,INDIRECT(J$2),INDIRECT(I192),test),getMin(B192,C192,INDIRECT(J$2),INDIRECT(I192),test))</f>
        <v>127.8703660823558</v>
      </c>
      <c r="E192" s="5">
        <f ca="1">IF(getQuality(B192)&lt;4,getOtherMax(B192,C192,INDIRECT(J$2),INDIRECT(I192),test),getMax(B192,C192,INDIRECT(J$2),INDIRECT(I192),test))</f>
        <v>163.04888337809854</v>
      </c>
      <c r="F192" s="1" t="str">
        <f t="shared" si="9"/>
        <v>20</v>
      </c>
      <c r="G192" s="1" t="str">
        <f t="shared" si="10"/>
        <v/>
      </c>
      <c r="I192" s="1" t="str">
        <f t="shared" si="8"/>
        <v>威尔新数值1.06.xlsm!suitPower</v>
      </c>
    </row>
    <row r="193" spans="1:9" x14ac:dyDescent="0.15">
      <c r="A193" s="1">
        <v>192</v>
      </c>
      <c r="B193" s="1">
        <v>101061100</v>
      </c>
      <c r="C193" s="1">
        <f t="shared" si="11"/>
        <v>5</v>
      </c>
      <c r="D193" s="5">
        <f ca="1">IF(getQuality(B193)&lt;4,getOtherMin(B193,C193,INDIRECT(J$2),INDIRECT(I193),test),getMin(B193,C193,INDIRECT(J$2),INDIRECT(I193),test))</f>
        <v>127.8703660823558</v>
      </c>
      <c r="E193" s="5">
        <f ca="1">IF(getQuality(B193)&lt;4,getOtherMax(B193,C193,INDIRECT(J$2),INDIRECT(I193),test),getMax(B193,C193,INDIRECT(J$2),INDIRECT(I193),test))</f>
        <v>163.04888337809854</v>
      </c>
      <c r="F193" s="1" t="str">
        <f t="shared" si="9"/>
        <v>80</v>
      </c>
      <c r="G193" s="1" t="str">
        <f t="shared" si="10"/>
        <v/>
      </c>
      <c r="I193" s="1" t="str">
        <f t="shared" si="8"/>
        <v>威尔新数值1.06.xlsm!suitPower</v>
      </c>
    </row>
    <row r="194" spans="1:9" x14ac:dyDescent="0.15">
      <c r="A194" s="1">
        <v>193</v>
      </c>
      <c r="B194" s="1">
        <v>101071100</v>
      </c>
      <c r="C194" s="1">
        <f t="shared" si="11"/>
        <v>3</v>
      </c>
      <c r="D194" s="5">
        <f ca="1">IF(getQuality(B194)&lt;4,getOtherMin(B194,C194,INDIRECT(J$2),INDIRECT(I194),test),getMin(B194,C194,INDIRECT(J$2),INDIRECT(I194),test))</f>
        <v>164.04888337809854</v>
      </c>
      <c r="E194" s="5">
        <f ca="1">IF(getQuality(B194)&lt;4,getOtherMax(B194,C194,INDIRECT(J$2),INDIRECT(I194),test),getMax(B194,C194,INDIRECT(J$2),INDIRECT(I194),test))</f>
        <v>202.82888203359849</v>
      </c>
      <c r="F194" s="1" t="str">
        <f t="shared" si="9"/>
        <v>20</v>
      </c>
      <c r="G194" s="1" t="str">
        <f t="shared" si="10"/>
        <v/>
      </c>
      <c r="I194" s="1" t="str">
        <f t="shared" ref="I194:I257" si="12">IF(C194&lt;100,VLOOKUP(C194,test,3,FALSE),VLOOKUP(C194,test1,3,FALSE))</f>
        <v>威尔新数值1.06.xlsm!suitPower</v>
      </c>
    </row>
    <row r="195" spans="1:9" x14ac:dyDescent="0.15">
      <c r="A195" s="1">
        <v>194</v>
      </c>
      <c r="B195" s="1">
        <v>101071100</v>
      </c>
      <c r="C195" s="1">
        <f t="shared" si="11"/>
        <v>5</v>
      </c>
      <c r="D195" s="5">
        <f ca="1">IF(getQuality(B195)&lt;4,getOtherMin(B195,C195,INDIRECT(J$2),INDIRECT(I195),test),getMin(B195,C195,INDIRECT(J$2),INDIRECT(I195),test))</f>
        <v>164.04888337809854</v>
      </c>
      <c r="E195" s="5">
        <f ca="1">IF(getQuality(B195)&lt;4,getOtherMax(B195,C195,INDIRECT(J$2),INDIRECT(I195),test),getMax(B195,C195,INDIRECT(J$2),INDIRECT(I195),test))</f>
        <v>202.82888203359849</v>
      </c>
      <c r="F195" s="1" t="str">
        <f t="shared" ref="F195:F258" si="13">getper(B195,C195)</f>
        <v>80</v>
      </c>
      <c r="G195" s="1" t="str">
        <f t="shared" ref="G195:G258" si="14">getMust(B195,C195)</f>
        <v/>
      </c>
      <c r="I195" s="1" t="str">
        <f t="shared" si="12"/>
        <v>威尔新数值1.06.xlsm!suitPower</v>
      </c>
    </row>
    <row r="196" spans="1:9" x14ac:dyDescent="0.15">
      <c r="A196" s="1">
        <v>195</v>
      </c>
      <c r="B196" s="1">
        <v>101081100</v>
      </c>
      <c r="C196" s="1">
        <f t="shared" si="11"/>
        <v>3</v>
      </c>
      <c r="D196" s="5">
        <f ca="1">IF(getQuality(B196)&lt;4,getOtherMin(B196,C196,INDIRECT(J$2),INDIRECT(I196),test),getMin(B196,C196,INDIRECT(J$2),INDIRECT(I196),test))</f>
        <v>203.82888203359849</v>
      </c>
      <c r="E196" s="5">
        <f ca="1">IF(getQuality(B196)&lt;4,getOtherMax(B196,C196,INDIRECT(J$2),INDIRECT(I196),test),getMax(B196,C196,INDIRECT(J$2),INDIRECT(I196),test))</f>
        <v>246.21036204885561</v>
      </c>
      <c r="F196" s="1" t="str">
        <f t="shared" si="13"/>
        <v>20</v>
      </c>
      <c r="G196" s="1" t="str">
        <f t="shared" si="14"/>
        <v/>
      </c>
      <c r="I196" s="1" t="str">
        <f t="shared" si="12"/>
        <v>威尔新数值1.06.xlsm!suitPower</v>
      </c>
    </row>
    <row r="197" spans="1:9" x14ac:dyDescent="0.15">
      <c r="A197" s="1">
        <v>196</v>
      </c>
      <c r="B197" s="1">
        <v>101081100</v>
      </c>
      <c r="C197" s="1">
        <f t="shared" ref="C197:C235" si="15">C195</f>
        <v>5</v>
      </c>
      <c r="D197" s="5">
        <f ca="1">IF(getQuality(B197)&lt;4,getOtherMin(B197,C197,INDIRECT(J$2),INDIRECT(I197),test),getMin(B197,C197,INDIRECT(J$2),INDIRECT(I197),test))</f>
        <v>203.82888203359849</v>
      </c>
      <c r="E197" s="5">
        <f ca="1">IF(getQuality(B197)&lt;4,getOtherMax(B197,C197,INDIRECT(J$2),INDIRECT(I197),test),getMax(B197,C197,INDIRECT(J$2),INDIRECT(I197),test))</f>
        <v>246.21036204885561</v>
      </c>
      <c r="F197" s="1" t="str">
        <f t="shared" si="13"/>
        <v>80</v>
      </c>
      <c r="G197" s="1" t="str">
        <f t="shared" si="14"/>
        <v/>
      </c>
      <c r="I197" s="1" t="str">
        <f t="shared" si="12"/>
        <v>威尔新数值1.06.xlsm!suitPower</v>
      </c>
    </row>
    <row r="198" spans="1:9" x14ac:dyDescent="0.15">
      <c r="A198" s="1">
        <v>197</v>
      </c>
      <c r="B198" s="1">
        <v>101091100</v>
      </c>
      <c r="C198" s="1">
        <f t="shared" si="15"/>
        <v>3</v>
      </c>
      <c r="D198" s="5">
        <f ca="1">IF(getQuality(B198)&lt;4,getOtherMin(B198,C198,INDIRECT(J$2),INDIRECT(I198),test),getMin(B198,C198,INDIRECT(J$2),INDIRECT(I198),test))</f>
        <v>247.21036204885561</v>
      </c>
      <c r="E198" s="5">
        <f ca="1">IF(getQuality(B198)&lt;4,getOtherMax(B198,C198,INDIRECT(J$2),INDIRECT(I198),test),getMax(B198,C198,INDIRECT(J$2),INDIRECT(I198),test))</f>
        <v>293.19332342386997</v>
      </c>
      <c r="F198" s="1" t="str">
        <f t="shared" si="13"/>
        <v>20</v>
      </c>
      <c r="G198" s="1" t="str">
        <f t="shared" si="14"/>
        <v/>
      </c>
      <c r="I198" s="1" t="str">
        <f t="shared" si="12"/>
        <v>威尔新数值1.06.xlsm!suitPower</v>
      </c>
    </row>
    <row r="199" spans="1:9" x14ac:dyDescent="0.15">
      <c r="A199" s="1">
        <v>198</v>
      </c>
      <c r="B199" s="1">
        <v>101091100</v>
      </c>
      <c r="C199" s="1">
        <f t="shared" si="15"/>
        <v>5</v>
      </c>
      <c r="D199" s="5">
        <f ca="1">IF(getQuality(B199)&lt;4,getOtherMin(B199,C199,INDIRECT(J$2),INDIRECT(I199),test),getMin(B199,C199,INDIRECT(J$2),INDIRECT(I199),test))</f>
        <v>247.21036204885561</v>
      </c>
      <c r="E199" s="5">
        <f ca="1">IF(getQuality(B199)&lt;4,getOtherMax(B199,C199,INDIRECT(J$2),INDIRECT(I199),test),getMax(B199,C199,INDIRECT(J$2),INDIRECT(I199),test))</f>
        <v>293.19332342386997</v>
      </c>
      <c r="F199" s="1" t="str">
        <f t="shared" si="13"/>
        <v>80</v>
      </c>
      <c r="G199" s="1" t="str">
        <f t="shared" si="14"/>
        <v/>
      </c>
      <c r="I199" s="1" t="str">
        <f t="shared" si="12"/>
        <v>威尔新数值1.06.xlsm!suitPower</v>
      </c>
    </row>
    <row r="200" spans="1:9" x14ac:dyDescent="0.15">
      <c r="A200" s="1">
        <v>199</v>
      </c>
      <c r="B200" s="1">
        <v>101011200</v>
      </c>
      <c r="C200" s="1">
        <f t="shared" si="15"/>
        <v>3</v>
      </c>
      <c r="D200" s="5">
        <f ca="1">IF(getQuality(B200)&lt;4,getOtherMin(B200,C200,INDIRECT(J$2),INDIRECT(I200),test),getMin(B200,C200,INDIRECT(J$2),INDIRECT(I200),test))</f>
        <v>1</v>
      </c>
      <c r="E200" s="5">
        <f ca="1">IF(getQuality(B200)&lt;4,getOtherMax(B200,C200,INDIRECT(J$2),INDIRECT(I200),test),getMax(B200,C200,INDIRECT(J$2),INDIRECT(I200),test))</f>
        <v>18.007406798785986</v>
      </c>
      <c r="F200" s="1" t="str">
        <f t="shared" si="13"/>
        <v>80</v>
      </c>
      <c r="G200" s="1" t="str">
        <f t="shared" si="14"/>
        <v/>
      </c>
      <c r="I200" s="1" t="str">
        <f t="shared" si="12"/>
        <v>威尔新数值1.06.xlsm!suitPower</v>
      </c>
    </row>
    <row r="201" spans="1:9" x14ac:dyDescent="0.15">
      <c r="A201" s="1">
        <v>200</v>
      </c>
      <c r="B201" s="1">
        <v>101011200</v>
      </c>
      <c r="C201" s="1">
        <f t="shared" si="15"/>
        <v>5</v>
      </c>
      <c r="D201" s="5">
        <f ca="1">IF(getQuality(B201)&lt;4,getOtherMin(B201,C201,INDIRECT(J$2),INDIRECT(I201),test),getMin(B201,C201,INDIRECT(J$2),INDIRECT(I201),test))</f>
        <v>1</v>
      </c>
      <c r="E201" s="5">
        <f ca="1">IF(getQuality(B201)&lt;4,getOtherMax(B201,C201,INDIRECT(J$2),INDIRECT(I201),test),getMax(B201,C201,INDIRECT(J$2),INDIRECT(I201),test))</f>
        <v>18.007406798785986</v>
      </c>
      <c r="F201" s="1" t="str">
        <f t="shared" si="13"/>
        <v>20</v>
      </c>
      <c r="G201" s="1" t="str">
        <f t="shared" si="14"/>
        <v/>
      </c>
      <c r="I201" s="1" t="str">
        <f t="shared" si="12"/>
        <v>威尔新数值1.06.xlsm!suitPower</v>
      </c>
    </row>
    <row r="202" spans="1:9" x14ac:dyDescent="0.15">
      <c r="A202" s="1">
        <v>201</v>
      </c>
      <c r="B202" s="1">
        <v>101021200</v>
      </c>
      <c r="C202" s="1">
        <f t="shared" si="15"/>
        <v>3</v>
      </c>
      <c r="D202" s="5">
        <f ca="1">IF(getQuality(B202)&lt;4,getOtherMin(B202,C202,INDIRECT(J$2),INDIRECT(I202),test),getMin(B202,C202,INDIRECT(J$2),INDIRECT(I202),test))</f>
        <v>19.007406798785986</v>
      </c>
      <c r="E202" s="5">
        <f ca="1">IF(getQuality(B202)&lt;4,getOtherMax(B202,C202,INDIRECT(J$2),INDIRECT(I202),test),getMax(B202,C202,INDIRECT(J$2),INDIRECT(I202),test))</f>
        <v>39.616294957329167</v>
      </c>
      <c r="F202" s="1" t="str">
        <f t="shared" si="13"/>
        <v>80</v>
      </c>
      <c r="G202" s="1" t="str">
        <f t="shared" si="14"/>
        <v/>
      </c>
      <c r="I202" s="1" t="str">
        <f t="shared" si="12"/>
        <v>威尔新数值1.06.xlsm!suitPower</v>
      </c>
    </row>
    <row r="203" spans="1:9" x14ac:dyDescent="0.15">
      <c r="A203" s="1">
        <v>202</v>
      </c>
      <c r="B203" s="1">
        <v>101021200</v>
      </c>
      <c r="C203" s="1">
        <f t="shared" si="15"/>
        <v>5</v>
      </c>
      <c r="D203" s="5">
        <f ca="1">IF(getQuality(B203)&lt;4,getOtherMin(B203,C203,INDIRECT(J$2),INDIRECT(I203),test),getMin(B203,C203,INDIRECT(J$2),INDIRECT(I203),test))</f>
        <v>19.007406798785986</v>
      </c>
      <c r="E203" s="5">
        <f ca="1">IF(getQuality(B203)&lt;4,getOtherMax(B203,C203,INDIRECT(J$2),INDIRECT(I203),test),getMax(B203,C203,INDIRECT(J$2),INDIRECT(I203),test))</f>
        <v>39.616294957329167</v>
      </c>
      <c r="F203" s="1" t="str">
        <f t="shared" si="13"/>
        <v>20</v>
      </c>
      <c r="G203" s="1" t="str">
        <f t="shared" si="14"/>
        <v/>
      </c>
      <c r="I203" s="1" t="str">
        <f t="shared" si="12"/>
        <v>威尔新数值1.06.xlsm!suitPower</v>
      </c>
    </row>
    <row r="204" spans="1:9" x14ac:dyDescent="0.15">
      <c r="A204" s="1">
        <v>203</v>
      </c>
      <c r="B204" s="1">
        <v>101031200</v>
      </c>
      <c r="C204" s="1">
        <f t="shared" si="15"/>
        <v>3</v>
      </c>
      <c r="D204" s="5">
        <f ca="1">IF(getQuality(B204)&lt;4,getOtherMin(B204,C204,INDIRECT(J$2),INDIRECT(I204),test),getMin(B204,C204,INDIRECT(J$2),INDIRECT(I204),test))</f>
        <v>40.616294957329167</v>
      </c>
      <c r="E204" s="5">
        <f ca="1">IF(getQuality(B204)&lt;4,getOtherMax(B204,C204,INDIRECT(J$2),INDIRECT(I204),test),getMax(B204,C204,INDIRECT(J$2),INDIRECT(I204),test))</f>
        <v>64.826664475629542</v>
      </c>
      <c r="F204" s="1" t="str">
        <f t="shared" si="13"/>
        <v>80</v>
      </c>
      <c r="G204" s="1" t="str">
        <f t="shared" si="14"/>
        <v/>
      </c>
      <c r="I204" s="1" t="str">
        <f t="shared" si="12"/>
        <v>威尔新数值1.06.xlsm!suitPower</v>
      </c>
    </row>
    <row r="205" spans="1:9" x14ac:dyDescent="0.15">
      <c r="A205" s="1">
        <v>204</v>
      </c>
      <c r="B205" s="1">
        <v>101031200</v>
      </c>
      <c r="C205" s="1">
        <f t="shared" si="15"/>
        <v>5</v>
      </c>
      <c r="D205" s="5">
        <f ca="1">IF(getQuality(B205)&lt;4,getOtherMin(B205,C205,INDIRECT(J$2),INDIRECT(I205),test),getMin(B205,C205,INDIRECT(J$2),INDIRECT(I205),test))</f>
        <v>40.616294957329167</v>
      </c>
      <c r="E205" s="5">
        <f ca="1">IF(getQuality(B205)&lt;4,getOtherMax(B205,C205,INDIRECT(J$2),INDIRECT(I205),test),getMax(B205,C205,INDIRECT(J$2),INDIRECT(I205),test))</f>
        <v>64.826664475629542</v>
      </c>
      <c r="F205" s="1" t="str">
        <f t="shared" si="13"/>
        <v>20</v>
      </c>
      <c r="G205" s="1" t="str">
        <f t="shared" si="14"/>
        <v/>
      </c>
      <c r="I205" s="1" t="str">
        <f t="shared" si="12"/>
        <v>威尔新数值1.06.xlsm!suitPower</v>
      </c>
    </row>
    <row r="206" spans="1:9" x14ac:dyDescent="0.15">
      <c r="A206" s="1">
        <v>205</v>
      </c>
      <c r="B206" s="1">
        <v>101041200</v>
      </c>
      <c r="C206" s="1">
        <f t="shared" si="15"/>
        <v>3</v>
      </c>
      <c r="D206" s="5">
        <f ca="1">IF(getQuality(B206)&lt;4,getOtherMin(B206,C206,INDIRECT(J$2),INDIRECT(I206),test),getMin(B206,C206,INDIRECT(J$2),INDIRECT(I206),test))</f>
        <v>65.826664475629542</v>
      </c>
      <c r="E206" s="5">
        <f ca="1">IF(getQuality(B206)&lt;4,getOtherMax(B206,C206,INDIRECT(J$2),INDIRECT(I206),test),getMax(B206,C206,INDIRECT(J$2),INDIRECT(I206),test))</f>
        <v>93.638515353687112</v>
      </c>
      <c r="F206" s="1" t="str">
        <f t="shared" si="13"/>
        <v>80</v>
      </c>
      <c r="G206" s="1" t="str">
        <f t="shared" si="14"/>
        <v/>
      </c>
      <c r="I206" s="1" t="str">
        <f t="shared" si="12"/>
        <v>威尔新数值1.06.xlsm!suitPower</v>
      </c>
    </row>
    <row r="207" spans="1:9" x14ac:dyDescent="0.15">
      <c r="A207" s="1">
        <v>206</v>
      </c>
      <c r="B207" s="1">
        <v>101041200</v>
      </c>
      <c r="C207" s="1">
        <f t="shared" si="15"/>
        <v>5</v>
      </c>
      <c r="D207" s="5">
        <f ca="1">IF(getQuality(B207)&lt;4,getOtherMin(B207,C207,INDIRECT(J$2),INDIRECT(I207),test),getMin(B207,C207,INDIRECT(J$2),INDIRECT(I207),test))</f>
        <v>65.826664475629542</v>
      </c>
      <c r="E207" s="5">
        <f ca="1">IF(getQuality(B207)&lt;4,getOtherMax(B207,C207,INDIRECT(J$2),INDIRECT(I207),test),getMax(B207,C207,INDIRECT(J$2),INDIRECT(I207),test))</f>
        <v>93.638515353687112</v>
      </c>
      <c r="F207" s="1" t="str">
        <f t="shared" si="13"/>
        <v>20</v>
      </c>
      <c r="G207" s="1" t="str">
        <f t="shared" si="14"/>
        <v/>
      </c>
      <c r="I207" s="1" t="str">
        <f t="shared" si="12"/>
        <v>威尔新数值1.06.xlsm!suitPower</v>
      </c>
    </row>
    <row r="208" spans="1:9" x14ac:dyDescent="0.15">
      <c r="A208" s="1">
        <v>207</v>
      </c>
      <c r="B208" s="1">
        <v>101051200</v>
      </c>
      <c r="C208" s="1">
        <f t="shared" si="15"/>
        <v>3</v>
      </c>
      <c r="D208" s="5">
        <f ca="1">IF(getQuality(B208)&lt;4,getOtherMin(B208,C208,INDIRECT(J$2),INDIRECT(I208),test),getMin(B208,C208,INDIRECT(J$2),INDIRECT(I208),test))</f>
        <v>94.638515353687112</v>
      </c>
      <c r="E208" s="5">
        <f ca="1">IF(getQuality(B208)&lt;4,getOtherMax(B208,C208,INDIRECT(J$2),INDIRECT(I208),test),getMax(B208,C208,INDIRECT(J$2),INDIRECT(I208),test))</f>
        <v>126.8703660823558</v>
      </c>
      <c r="F208" s="1" t="str">
        <f t="shared" si="13"/>
        <v>80</v>
      </c>
      <c r="G208" s="1" t="str">
        <f t="shared" si="14"/>
        <v/>
      </c>
      <c r="I208" s="1" t="str">
        <f t="shared" si="12"/>
        <v>威尔新数值1.06.xlsm!suitPower</v>
      </c>
    </row>
    <row r="209" spans="1:9" x14ac:dyDescent="0.15">
      <c r="A209" s="1">
        <v>208</v>
      </c>
      <c r="B209" s="1">
        <v>101051200</v>
      </c>
      <c r="C209" s="1">
        <f t="shared" si="15"/>
        <v>5</v>
      </c>
      <c r="D209" s="5">
        <f ca="1">IF(getQuality(B209)&lt;4,getOtherMin(B209,C209,INDIRECT(J$2),INDIRECT(I209),test),getMin(B209,C209,INDIRECT(J$2),INDIRECT(I209),test))</f>
        <v>94.638515353687112</v>
      </c>
      <c r="E209" s="5">
        <f ca="1">IF(getQuality(B209)&lt;4,getOtherMax(B209,C209,INDIRECT(J$2),INDIRECT(I209),test),getMax(B209,C209,INDIRECT(J$2),INDIRECT(I209),test))</f>
        <v>126.8703660823558</v>
      </c>
      <c r="F209" s="1" t="str">
        <f t="shared" si="13"/>
        <v>20</v>
      </c>
      <c r="G209" s="1" t="str">
        <f t="shared" si="14"/>
        <v/>
      </c>
      <c r="I209" s="1" t="str">
        <f t="shared" si="12"/>
        <v>威尔新数值1.06.xlsm!suitPower</v>
      </c>
    </row>
    <row r="210" spans="1:9" x14ac:dyDescent="0.15">
      <c r="A210" s="1">
        <v>209</v>
      </c>
      <c r="B210" s="1">
        <v>101061200</v>
      </c>
      <c r="C210" s="1">
        <f t="shared" si="15"/>
        <v>3</v>
      </c>
      <c r="D210" s="5">
        <f ca="1">IF(getQuality(B210)&lt;4,getOtherMin(B210,C210,INDIRECT(J$2),INDIRECT(I210),test),getMin(B210,C210,INDIRECT(J$2),INDIRECT(I210),test))</f>
        <v>127.8703660823558</v>
      </c>
      <c r="E210" s="5">
        <f ca="1">IF(getQuality(B210)&lt;4,getOtherMax(B210,C210,INDIRECT(J$2),INDIRECT(I210),test),getMax(B210,C210,INDIRECT(J$2),INDIRECT(I210),test))</f>
        <v>163.04888337809854</v>
      </c>
      <c r="F210" s="1" t="str">
        <f t="shared" si="13"/>
        <v>80</v>
      </c>
      <c r="G210" s="1" t="str">
        <f t="shared" si="14"/>
        <v/>
      </c>
      <c r="I210" s="1" t="str">
        <f t="shared" si="12"/>
        <v>威尔新数值1.06.xlsm!suitPower</v>
      </c>
    </row>
    <row r="211" spans="1:9" x14ac:dyDescent="0.15">
      <c r="A211" s="1">
        <v>210</v>
      </c>
      <c r="B211" s="1">
        <v>101061200</v>
      </c>
      <c r="C211" s="1">
        <f t="shared" si="15"/>
        <v>5</v>
      </c>
      <c r="D211" s="5">
        <f ca="1">IF(getQuality(B211)&lt;4,getOtherMin(B211,C211,INDIRECT(J$2),INDIRECT(I211),test),getMin(B211,C211,INDIRECT(J$2),INDIRECT(I211),test))</f>
        <v>127.8703660823558</v>
      </c>
      <c r="E211" s="5">
        <f ca="1">IF(getQuality(B211)&lt;4,getOtherMax(B211,C211,INDIRECT(J$2),INDIRECT(I211),test),getMax(B211,C211,INDIRECT(J$2),INDIRECT(I211),test))</f>
        <v>163.04888337809854</v>
      </c>
      <c r="F211" s="1" t="str">
        <f t="shared" si="13"/>
        <v>20</v>
      </c>
      <c r="G211" s="1" t="str">
        <f t="shared" si="14"/>
        <v/>
      </c>
      <c r="I211" s="1" t="str">
        <f t="shared" si="12"/>
        <v>威尔新数值1.06.xlsm!suitPower</v>
      </c>
    </row>
    <row r="212" spans="1:9" x14ac:dyDescent="0.15">
      <c r="A212" s="1">
        <v>211</v>
      </c>
      <c r="B212" s="1">
        <v>101071200</v>
      </c>
      <c r="C212" s="1">
        <f t="shared" si="15"/>
        <v>3</v>
      </c>
      <c r="D212" s="5">
        <f ca="1">IF(getQuality(B212)&lt;4,getOtherMin(B212,C212,INDIRECT(J$2),INDIRECT(I212),test),getMin(B212,C212,INDIRECT(J$2),INDIRECT(I212),test))</f>
        <v>164.04888337809854</v>
      </c>
      <c r="E212" s="5">
        <f ca="1">IF(getQuality(B212)&lt;4,getOtherMax(B212,C212,INDIRECT(J$2),INDIRECT(I212),test),getMax(B212,C212,INDIRECT(J$2),INDIRECT(I212),test))</f>
        <v>202.82888203359849</v>
      </c>
      <c r="F212" s="1" t="str">
        <f t="shared" si="13"/>
        <v>80</v>
      </c>
      <c r="G212" s="1" t="str">
        <f t="shared" si="14"/>
        <v/>
      </c>
      <c r="I212" s="1" t="str">
        <f t="shared" si="12"/>
        <v>威尔新数值1.06.xlsm!suitPower</v>
      </c>
    </row>
    <row r="213" spans="1:9" x14ac:dyDescent="0.15">
      <c r="A213" s="1">
        <v>212</v>
      </c>
      <c r="B213" s="1">
        <v>101071200</v>
      </c>
      <c r="C213" s="1">
        <f t="shared" si="15"/>
        <v>5</v>
      </c>
      <c r="D213" s="5">
        <f ca="1">IF(getQuality(B213)&lt;4,getOtherMin(B213,C213,INDIRECT(J$2),INDIRECT(I213),test),getMin(B213,C213,INDIRECT(J$2),INDIRECT(I213),test))</f>
        <v>164.04888337809854</v>
      </c>
      <c r="E213" s="5">
        <f ca="1">IF(getQuality(B213)&lt;4,getOtherMax(B213,C213,INDIRECT(J$2),INDIRECT(I213),test),getMax(B213,C213,INDIRECT(J$2),INDIRECT(I213),test))</f>
        <v>202.82888203359849</v>
      </c>
      <c r="F213" s="1" t="str">
        <f t="shared" si="13"/>
        <v>20</v>
      </c>
      <c r="G213" s="1" t="str">
        <f t="shared" si="14"/>
        <v/>
      </c>
      <c r="I213" s="1" t="str">
        <f t="shared" si="12"/>
        <v>威尔新数值1.06.xlsm!suitPower</v>
      </c>
    </row>
    <row r="214" spans="1:9" x14ac:dyDescent="0.15">
      <c r="A214" s="1">
        <v>213</v>
      </c>
      <c r="B214" s="1">
        <v>101081200</v>
      </c>
      <c r="C214" s="1">
        <f t="shared" si="15"/>
        <v>3</v>
      </c>
      <c r="D214" s="5">
        <f ca="1">IF(getQuality(B214)&lt;4,getOtherMin(B214,C214,INDIRECT(J$2),INDIRECT(I214),test),getMin(B214,C214,INDIRECT(J$2),INDIRECT(I214),test))</f>
        <v>203.82888203359849</v>
      </c>
      <c r="E214" s="5">
        <f ca="1">IF(getQuality(B214)&lt;4,getOtherMax(B214,C214,INDIRECT(J$2),INDIRECT(I214),test),getMax(B214,C214,INDIRECT(J$2),INDIRECT(I214),test))</f>
        <v>246.21036204885561</v>
      </c>
      <c r="F214" s="1" t="str">
        <f t="shared" si="13"/>
        <v>80</v>
      </c>
      <c r="G214" s="1" t="str">
        <f t="shared" si="14"/>
        <v/>
      </c>
      <c r="I214" s="1" t="str">
        <f t="shared" si="12"/>
        <v>威尔新数值1.06.xlsm!suitPower</v>
      </c>
    </row>
    <row r="215" spans="1:9" x14ac:dyDescent="0.15">
      <c r="A215" s="1">
        <v>214</v>
      </c>
      <c r="B215" s="1">
        <v>101081200</v>
      </c>
      <c r="C215" s="1">
        <f t="shared" si="15"/>
        <v>5</v>
      </c>
      <c r="D215" s="5">
        <f ca="1">IF(getQuality(B215)&lt;4,getOtherMin(B215,C215,INDIRECT(J$2),INDIRECT(I215),test),getMin(B215,C215,INDIRECT(J$2),INDIRECT(I215),test))</f>
        <v>203.82888203359849</v>
      </c>
      <c r="E215" s="5">
        <f ca="1">IF(getQuality(B215)&lt;4,getOtherMax(B215,C215,INDIRECT(J$2),INDIRECT(I215),test),getMax(B215,C215,INDIRECT(J$2),INDIRECT(I215),test))</f>
        <v>246.21036204885561</v>
      </c>
      <c r="F215" s="1" t="str">
        <f t="shared" si="13"/>
        <v>20</v>
      </c>
      <c r="G215" s="1" t="str">
        <f t="shared" si="14"/>
        <v/>
      </c>
      <c r="I215" s="1" t="str">
        <f t="shared" si="12"/>
        <v>威尔新数值1.06.xlsm!suitPower</v>
      </c>
    </row>
    <row r="216" spans="1:9" x14ac:dyDescent="0.15">
      <c r="A216" s="1">
        <v>215</v>
      </c>
      <c r="B216" s="1">
        <v>101091200</v>
      </c>
      <c r="C216" s="1">
        <f t="shared" si="15"/>
        <v>3</v>
      </c>
      <c r="D216" s="5">
        <f ca="1">IF(getQuality(B216)&lt;4,getOtherMin(B216,C216,INDIRECT(J$2),INDIRECT(I216),test),getMin(B216,C216,INDIRECT(J$2),INDIRECT(I216),test))</f>
        <v>247.21036204885561</v>
      </c>
      <c r="E216" s="5">
        <f ca="1">IF(getQuality(B216)&lt;4,getOtherMax(B216,C216,INDIRECT(J$2),INDIRECT(I216),test),getMax(B216,C216,INDIRECT(J$2),INDIRECT(I216),test))</f>
        <v>293.19332342386997</v>
      </c>
      <c r="F216" s="1" t="str">
        <f t="shared" si="13"/>
        <v>80</v>
      </c>
      <c r="G216" s="1" t="str">
        <f t="shared" si="14"/>
        <v/>
      </c>
      <c r="I216" s="1" t="str">
        <f t="shared" si="12"/>
        <v>威尔新数值1.06.xlsm!suitPower</v>
      </c>
    </row>
    <row r="217" spans="1:9" x14ac:dyDescent="0.15">
      <c r="A217" s="1">
        <v>216</v>
      </c>
      <c r="B217" s="1">
        <v>101091200</v>
      </c>
      <c r="C217" s="1">
        <f t="shared" si="15"/>
        <v>5</v>
      </c>
      <c r="D217" s="5">
        <f ca="1">IF(getQuality(B217)&lt;4,getOtherMin(B217,C217,INDIRECT(J$2),INDIRECT(I217),test),getMin(B217,C217,INDIRECT(J$2),INDIRECT(I217),test))</f>
        <v>247.21036204885561</v>
      </c>
      <c r="E217" s="5">
        <f ca="1">IF(getQuality(B217)&lt;4,getOtherMax(B217,C217,INDIRECT(J$2),INDIRECT(I217),test),getMax(B217,C217,INDIRECT(J$2),INDIRECT(I217),test))</f>
        <v>293.19332342386997</v>
      </c>
      <c r="F217" s="1" t="str">
        <f t="shared" si="13"/>
        <v>20</v>
      </c>
      <c r="G217" s="1" t="str">
        <f t="shared" si="14"/>
        <v/>
      </c>
      <c r="I217" s="1" t="str">
        <f t="shared" si="12"/>
        <v>威尔新数值1.06.xlsm!suitPower</v>
      </c>
    </row>
    <row r="218" spans="1:9" x14ac:dyDescent="0.15">
      <c r="A218" s="1">
        <v>217</v>
      </c>
      <c r="B218" s="1">
        <v>101011300</v>
      </c>
      <c r="C218" s="1">
        <f t="shared" si="15"/>
        <v>3</v>
      </c>
      <c r="D218" s="5">
        <f ca="1">IF(getQuality(B218)&lt;4,getOtherMin(B218,C218,INDIRECT(J$2),INDIRECT(I218),test),getMin(B218,C218,INDIRECT(J$2),INDIRECT(I218),test))</f>
        <v>1</v>
      </c>
      <c r="E218" s="5">
        <f ca="1">IF(getQuality(B218)&lt;4,getOtherMax(B218,C218,INDIRECT(J$2),INDIRECT(I218),test),getMax(B218,C218,INDIRECT(J$2),INDIRECT(I218),test))</f>
        <v>18.007406798785986</v>
      </c>
      <c r="F218" s="1" t="str">
        <f t="shared" si="13"/>
        <v>80</v>
      </c>
      <c r="G218" s="1" t="str">
        <f t="shared" si="14"/>
        <v/>
      </c>
      <c r="I218" s="1" t="str">
        <f t="shared" si="12"/>
        <v>威尔新数值1.06.xlsm!suitPower</v>
      </c>
    </row>
    <row r="219" spans="1:9" x14ac:dyDescent="0.15">
      <c r="A219" s="1">
        <v>218</v>
      </c>
      <c r="B219" s="1">
        <v>101011300</v>
      </c>
      <c r="C219" s="1">
        <f t="shared" si="15"/>
        <v>5</v>
      </c>
      <c r="D219" s="5">
        <f ca="1">IF(getQuality(B219)&lt;4,getOtherMin(B219,C219,INDIRECT(J$2),INDIRECT(I219),test),getMin(B219,C219,INDIRECT(J$2),INDIRECT(I219),test))</f>
        <v>1</v>
      </c>
      <c r="E219" s="5">
        <f ca="1">IF(getQuality(B219)&lt;4,getOtherMax(B219,C219,INDIRECT(J$2),INDIRECT(I219),test),getMax(B219,C219,INDIRECT(J$2),INDIRECT(I219),test))</f>
        <v>18.007406798785986</v>
      </c>
      <c r="F219" s="1" t="str">
        <f t="shared" si="13"/>
        <v>20</v>
      </c>
      <c r="G219" s="1" t="str">
        <f t="shared" si="14"/>
        <v/>
      </c>
      <c r="I219" s="1" t="str">
        <f t="shared" si="12"/>
        <v>威尔新数值1.06.xlsm!suitPower</v>
      </c>
    </row>
    <row r="220" spans="1:9" x14ac:dyDescent="0.15">
      <c r="A220" s="1">
        <v>219</v>
      </c>
      <c r="B220" s="1">
        <v>101021300</v>
      </c>
      <c r="C220" s="1">
        <f t="shared" si="15"/>
        <v>3</v>
      </c>
      <c r="D220" s="5">
        <f ca="1">IF(getQuality(B220)&lt;4,getOtherMin(B220,C220,INDIRECT(J$2),INDIRECT(I220),test),getMin(B220,C220,INDIRECT(J$2),INDIRECT(I220),test))</f>
        <v>19.007406798785986</v>
      </c>
      <c r="E220" s="5">
        <f ca="1">IF(getQuality(B220)&lt;4,getOtherMax(B220,C220,INDIRECT(J$2),INDIRECT(I220),test),getMax(B220,C220,INDIRECT(J$2),INDIRECT(I220),test))</f>
        <v>39.616294957329167</v>
      </c>
      <c r="F220" s="1" t="str">
        <f t="shared" si="13"/>
        <v>80</v>
      </c>
      <c r="G220" s="1" t="str">
        <f t="shared" si="14"/>
        <v/>
      </c>
      <c r="I220" s="1" t="str">
        <f t="shared" si="12"/>
        <v>威尔新数值1.06.xlsm!suitPower</v>
      </c>
    </row>
    <row r="221" spans="1:9" x14ac:dyDescent="0.15">
      <c r="A221" s="1">
        <v>220</v>
      </c>
      <c r="B221" s="1">
        <v>101021300</v>
      </c>
      <c r="C221" s="1">
        <f t="shared" si="15"/>
        <v>5</v>
      </c>
      <c r="D221" s="5">
        <f ca="1">IF(getQuality(B221)&lt;4,getOtherMin(B221,C221,INDIRECT(J$2),INDIRECT(I221),test),getMin(B221,C221,INDIRECT(J$2),INDIRECT(I221),test))</f>
        <v>19.007406798785986</v>
      </c>
      <c r="E221" s="5">
        <f ca="1">IF(getQuality(B221)&lt;4,getOtherMax(B221,C221,INDIRECT(J$2),INDIRECT(I221),test),getMax(B221,C221,INDIRECT(J$2),INDIRECT(I221),test))</f>
        <v>39.616294957329167</v>
      </c>
      <c r="F221" s="1" t="str">
        <f t="shared" si="13"/>
        <v>20</v>
      </c>
      <c r="G221" s="1" t="str">
        <f t="shared" si="14"/>
        <v/>
      </c>
      <c r="I221" s="1" t="str">
        <f t="shared" si="12"/>
        <v>威尔新数值1.06.xlsm!suitPower</v>
      </c>
    </row>
    <row r="222" spans="1:9" x14ac:dyDescent="0.15">
      <c r="A222" s="1">
        <v>221</v>
      </c>
      <c r="B222" s="1">
        <v>101031300</v>
      </c>
      <c r="C222" s="1">
        <f t="shared" si="15"/>
        <v>3</v>
      </c>
      <c r="D222" s="5">
        <f ca="1">IF(getQuality(B222)&lt;4,getOtherMin(B222,C222,INDIRECT(J$2),INDIRECT(I222),test),getMin(B222,C222,INDIRECT(J$2),INDIRECT(I222),test))</f>
        <v>40.616294957329167</v>
      </c>
      <c r="E222" s="5">
        <f ca="1">IF(getQuality(B222)&lt;4,getOtherMax(B222,C222,INDIRECT(J$2),INDIRECT(I222),test),getMax(B222,C222,INDIRECT(J$2),INDIRECT(I222),test))</f>
        <v>64.826664475629542</v>
      </c>
      <c r="F222" s="1" t="str">
        <f t="shared" si="13"/>
        <v>80</v>
      </c>
      <c r="G222" s="1" t="str">
        <f t="shared" si="14"/>
        <v/>
      </c>
      <c r="I222" s="1" t="str">
        <f t="shared" si="12"/>
        <v>威尔新数值1.06.xlsm!suitPower</v>
      </c>
    </row>
    <row r="223" spans="1:9" x14ac:dyDescent="0.15">
      <c r="A223" s="1">
        <v>222</v>
      </c>
      <c r="B223" s="1">
        <v>101031300</v>
      </c>
      <c r="C223" s="1">
        <f t="shared" si="15"/>
        <v>5</v>
      </c>
      <c r="D223" s="5">
        <f ca="1">IF(getQuality(B223)&lt;4,getOtherMin(B223,C223,INDIRECT(J$2),INDIRECT(I223),test),getMin(B223,C223,INDIRECT(J$2),INDIRECT(I223),test))</f>
        <v>40.616294957329167</v>
      </c>
      <c r="E223" s="5">
        <f ca="1">IF(getQuality(B223)&lt;4,getOtherMax(B223,C223,INDIRECT(J$2),INDIRECT(I223),test),getMax(B223,C223,INDIRECT(J$2),INDIRECT(I223),test))</f>
        <v>64.826664475629542</v>
      </c>
      <c r="F223" s="1" t="str">
        <f t="shared" si="13"/>
        <v>20</v>
      </c>
      <c r="G223" s="1" t="str">
        <f t="shared" si="14"/>
        <v/>
      </c>
      <c r="I223" s="1" t="str">
        <f t="shared" si="12"/>
        <v>威尔新数值1.06.xlsm!suitPower</v>
      </c>
    </row>
    <row r="224" spans="1:9" x14ac:dyDescent="0.15">
      <c r="A224" s="1">
        <v>223</v>
      </c>
      <c r="B224" s="1">
        <v>101041300</v>
      </c>
      <c r="C224" s="1">
        <f t="shared" si="15"/>
        <v>3</v>
      </c>
      <c r="D224" s="5">
        <f ca="1">IF(getQuality(B224)&lt;4,getOtherMin(B224,C224,INDIRECT(J$2),INDIRECT(I224),test),getMin(B224,C224,INDIRECT(J$2),INDIRECT(I224),test))</f>
        <v>65.826664475629542</v>
      </c>
      <c r="E224" s="5">
        <f ca="1">IF(getQuality(B224)&lt;4,getOtherMax(B224,C224,INDIRECT(J$2),INDIRECT(I224),test),getMax(B224,C224,INDIRECT(J$2),INDIRECT(I224),test))</f>
        <v>93.638515353687112</v>
      </c>
      <c r="F224" s="1" t="str">
        <f t="shared" si="13"/>
        <v>80</v>
      </c>
      <c r="G224" s="1" t="str">
        <f t="shared" si="14"/>
        <v/>
      </c>
      <c r="I224" s="1" t="str">
        <f t="shared" si="12"/>
        <v>威尔新数值1.06.xlsm!suitPower</v>
      </c>
    </row>
    <row r="225" spans="1:9" x14ac:dyDescent="0.15">
      <c r="A225" s="1">
        <v>224</v>
      </c>
      <c r="B225" s="1">
        <v>101041300</v>
      </c>
      <c r="C225" s="1">
        <f t="shared" si="15"/>
        <v>5</v>
      </c>
      <c r="D225" s="5">
        <f ca="1">IF(getQuality(B225)&lt;4,getOtherMin(B225,C225,INDIRECT(J$2),INDIRECT(I225),test),getMin(B225,C225,INDIRECT(J$2),INDIRECT(I225),test))</f>
        <v>65.826664475629542</v>
      </c>
      <c r="E225" s="5">
        <f ca="1">IF(getQuality(B225)&lt;4,getOtherMax(B225,C225,INDIRECT(J$2),INDIRECT(I225),test),getMax(B225,C225,INDIRECT(J$2),INDIRECT(I225),test))</f>
        <v>93.638515353687112</v>
      </c>
      <c r="F225" s="1" t="str">
        <f t="shared" si="13"/>
        <v>20</v>
      </c>
      <c r="G225" s="1" t="str">
        <f t="shared" si="14"/>
        <v/>
      </c>
      <c r="I225" s="1" t="str">
        <f t="shared" si="12"/>
        <v>威尔新数值1.06.xlsm!suitPower</v>
      </c>
    </row>
    <row r="226" spans="1:9" x14ac:dyDescent="0.15">
      <c r="A226" s="1">
        <v>225</v>
      </c>
      <c r="B226" s="1">
        <v>101051300</v>
      </c>
      <c r="C226" s="1">
        <f t="shared" si="15"/>
        <v>3</v>
      </c>
      <c r="D226" s="5">
        <f ca="1">IF(getQuality(B226)&lt;4,getOtherMin(B226,C226,INDIRECT(J$2),INDIRECT(I226),test),getMin(B226,C226,INDIRECT(J$2),INDIRECT(I226),test))</f>
        <v>94.638515353687112</v>
      </c>
      <c r="E226" s="5">
        <f ca="1">IF(getQuality(B226)&lt;4,getOtherMax(B226,C226,INDIRECT(J$2),INDIRECT(I226),test),getMax(B226,C226,INDIRECT(J$2),INDIRECT(I226),test))</f>
        <v>126.8703660823558</v>
      </c>
      <c r="F226" s="1" t="str">
        <f t="shared" si="13"/>
        <v>80</v>
      </c>
      <c r="G226" s="1" t="str">
        <f t="shared" si="14"/>
        <v/>
      </c>
      <c r="I226" s="1" t="str">
        <f t="shared" si="12"/>
        <v>威尔新数值1.06.xlsm!suitPower</v>
      </c>
    </row>
    <row r="227" spans="1:9" x14ac:dyDescent="0.15">
      <c r="A227" s="1">
        <v>226</v>
      </c>
      <c r="B227" s="1">
        <v>101051300</v>
      </c>
      <c r="C227" s="1">
        <f t="shared" si="15"/>
        <v>5</v>
      </c>
      <c r="D227" s="5">
        <f ca="1">IF(getQuality(B227)&lt;4,getOtherMin(B227,C227,INDIRECT(J$2),INDIRECT(I227),test),getMin(B227,C227,INDIRECT(J$2),INDIRECT(I227),test))</f>
        <v>94.638515353687112</v>
      </c>
      <c r="E227" s="5">
        <f ca="1">IF(getQuality(B227)&lt;4,getOtherMax(B227,C227,INDIRECT(J$2),INDIRECT(I227),test),getMax(B227,C227,INDIRECT(J$2),INDIRECT(I227),test))</f>
        <v>126.8703660823558</v>
      </c>
      <c r="F227" s="1" t="str">
        <f t="shared" si="13"/>
        <v>20</v>
      </c>
      <c r="G227" s="1" t="str">
        <f t="shared" si="14"/>
        <v/>
      </c>
      <c r="I227" s="1" t="str">
        <f t="shared" si="12"/>
        <v>威尔新数值1.06.xlsm!suitPower</v>
      </c>
    </row>
    <row r="228" spans="1:9" x14ac:dyDescent="0.15">
      <c r="A228" s="1">
        <v>227</v>
      </c>
      <c r="B228" s="1">
        <v>101061300</v>
      </c>
      <c r="C228" s="1">
        <f t="shared" si="15"/>
        <v>3</v>
      </c>
      <c r="D228" s="5">
        <f ca="1">IF(getQuality(B228)&lt;4,getOtherMin(B228,C228,INDIRECT(J$2),INDIRECT(I228),test),getMin(B228,C228,INDIRECT(J$2),INDIRECT(I228),test))</f>
        <v>127.8703660823558</v>
      </c>
      <c r="E228" s="5">
        <f ca="1">IF(getQuality(B228)&lt;4,getOtherMax(B228,C228,INDIRECT(J$2),INDIRECT(I228),test),getMax(B228,C228,INDIRECT(J$2),INDIRECT(I228),test))</f>
        <v>163.04888337809854</v>
      </c>
      <c r="F228" s="1" t="str">
        <f t="shared" si="13"/>
        <v>80</v>
      </c>
      <c r="G228" s="1" t="str">
        <f t="shared" si="14"/>
        <v/>
      </c>
      <c r="I228" s="1" t="str">
        <f t="shared" si="12"/>
        <v>威尔新数值1.06.xlsm!suitPower</v>
      </c>
    </row>
    <row r="229" spans="1:9" x14ac:dyDescent="0.15">
      <c r="A229" s="1">
        <v>228</v>
      </c>
      <c r="B229" s="1">
        <v>101061300</v>
      </c>
      <c r="C229" s="1">
        <f t="shared" si="15"/>
        <v>5</v>
      </c>
      <c r="D229" s="5">
        <f ca="1">IF(getQuality(B229)&lt;4,getOtherMin(B229,C229,INDIRECT(J$2),INDIRECT(I229),test),getMin(B229,C229,INDIRECT(J$2),INDIRECT(I229),test))</f>
        <v>127.8703660823558</v>
      </c>
      <c r="E229" s="5">
        <f ca="1">IF(getQuality(B229)&lt;4,getOtherMax(B229,C229,INDIRECT(J$2),INDIRECT(I229),test),getMax(B229,C229,INDIRECT(J$2),INDIRECT(I229),test))</f>
        <v>163.04888337809854</v>
      </c>
      <c r="F229" s="1" t="str">
        <f t="shared" si="13"/>
        <v>20</v>
      </c>
      <c r="G229" s="1" t="str">
        <f t="shared" si="14"/>
        <v/>
      </c>
      <c r="I229" s="1" t="str">
        <f t="shared" si="12"/>
        <v>威尔新数值1.06.xlsm!suitPower</v>
      </c>
    </row>
    <row r="230" spans="1:9" x14ac:dyDescent="0.15">
      <c r="A230" s="1">
        <v>229</v>
      </c>
      <c r="B230" s="1">
        <v>101071300</v>
      </c>
      <c r="C230" s="1">
        <f t="shared" si="15"/>
        <v>3</v>
      </c>
      <c r="D230" s="5">
        <f ca="1">IF(getQuality(B230)&lt;4,getOtherMin(B230,C230,INDIRECT(J$2),INDIRECT(I230),test),getMin(B230,C230,INDIRECT(J$2),INDIRECT(I230),test))</f>
        <v>164.04888337809854</v>
      </c>
      <c r="E230" s="5">
        <f ca="1">IF(getQuality(B230)&lt;4,getOtherMax(B230,C230,INDIRECT(J$2),INDIRECT(I230),test),getMax(B230,C230,INDIRECT(J$2),INDIRECT(I230),test))</f>
        <v>202.82888203359849</v>
      </c>
      <c r="F230" s="1" t="str">
        <f t="shared" si="13"/>
        <v>80</v>
      </c>
      <c r="G230" s="1" t="str">
        <f t="shared" si="14"/>
        <v/>
      </c>
      <c r="I230" s="1" t="str">
        <f t="shared" si="12"/>
        <v>威尔新数值1.06.xlsm!suitPower</v>
      </c>
    </row>
    <row r="231" spans="1:9" x14ac:dyDescent="0.15">
      <c r="A231" s="1">
        <v>230</v>
      </c>
      <c r="B231" s="1">
        <v>101071300</v>
      </c>
      <c r="C231" s="1">
        <f t="shared" si="15"/>
        <v>5</v>
      </c>
      <c r="D231" s="5">
        <f ca="1">IF(getQuality(B231)&lt;4,getOtherMin(B231,C231,INDIRECT(J$2),INDIRECT(I231),test),getMin(B231,C231,INDIRECT(J$2),INDIRECT(I231),test))</f>
        <v>164.04888337809854</v>
      </c>
      <c r="E231" s="5">
        <f ca="1">IF(getQuality(B231)&lt;4,getOtherMax(B231,C231,INDIRECT(J$2),INDIRECT(I231),test),getMax(B231,C231,INDIRECT(J$2),INDIRECT(I231),test))</f>
        <v>202.82888203359849</v>
      </c>
      <c r="F231" s="1" t="str">
        <f t="shared" si="13"/>
        <v>20</v>
      </c>
      <c r="G231" s="1" t="str">
        <f t="shared" si="14"/>
        <v/>
      </c>
      <c r="I231" s="1" t="str">
        <f t="shared" si="12"/>
        <v>威尔新数值1.06.xlsm!suitPower</v>
      </c>
    </row>
    <row r="232" spans="1:9" x14ac:dyDescent="0.15">
      <c r="A232" s="1">
        <v>231</v>
      </c>
      <c r="B232" s="1">
        <v>101081300</v>
      </c>
      <c r="C232" s="1">
        <f t="shared" si="15"/>
        <v>3</v>
      </c>
      <c r="D232" s="5">
        <f ca="1">IF(getQuality(B232)&lt;4,getOtherMin(B232,C232,INDIRECT(J$2),INDIRECT(I232),test),getMin(B232,C232,INDIRECT(J$2),INDIRECT(I232),test))</f>
        <v>203.82888203359849</v>
      </c>
      <c r="E232" s="5">
        <f ca="1">IF(getQuality(B232)&lt;4,getOtherMax(B232,C232,INDIRECT(J$2),INDIRECT(I232),test),getMax(B232,C232,INDIRECT(J$2),INDIRECT(I232),test))</f>
        <v>246.21036204885561</v>
      </c>
      <c r="F232" s="1" t="str">
        <f t="shared" si="13"/>
        <v>80</v>
      </c>
      <c r="G232" s="1" t="str">
        <f t="shared" si="14"/>
        <v/>
      </c>
      <c r="I232" s="1" t="str">
        <f t="shared" si="12"/>
        <v>威尔新数值1.06.xlsm!suitPower</v>
      </c>
    </row>
    <row r="233" spans="1:9" x14ac:dyDescent="0.15">
      <c r="A233" s="1">
        <v>232</v>
      </c>
      <c r="B233" s="1">
        <v>101081300</v>
      </c>
      <c r="C233" s="1">
        <f t="shared" si="15"/>
        <v>5</v>
      </c>
      <c r="D233" s="5">
        <f ca="1">IF(getQuality(B233)&lt;4,getOtherMin(B233,C233,INDIRECT(J$2),INDIRECT(I233),test),getMin(B233,C233,INDIRECT(J$2),INDIRECT(I233),test))</f>
        <v>203.82888203359849</v>
      </c>
      <c r="E233" s="5">
        <f ca="1">IF(getQuality(B233)&lt;4,getOtherMax(B233,C233,INDIRECT(J$2),INDIRECT(I233),test),getMax(B233,C233,INDIRECT(J$2),INDIRECT(I233),test))</f>
        <v>246.21036204885561</v>
      </c>
      <c r="F233" s="1" t="str">
        <f t="shared" si="13"/>
        <v>20</v>
      </c>
      <c r="G233" s="1" t="str">
        <f t="shared" si="14"/>
        <v/>
      </c>
      <c r="I233" s="1" t="str">
        <f t="shared" si="12"/>
        <v>威尔新数值1.06.xlsm!suitPower</v>
      </c>
    </row>
    <row r="234" spans="1:9" x14ac:dyDescent="0.15">
      <c r="A234" s="1">
        <v>233</v>
      </c>
      <c r="B234" s="1">
        <v>101091300</v>
      </c>
      <c r="C234" s="1">
        <f t="shared" si="15"/>
        <v>3</v>
      </c>
      <c r="D234" s="5">
        <f ca="1">IF(getQuality(B234)&lt;4,getOtherMin(B234,C234,INDIRECT(J$2),INDIRECT(I234),test),getMin(B234,C234,INDIRECT(J$2),INDIRECT(I234),test))</f>
        <v>247.21036204885561</v>
      </c>
      <c r="E234" s="5">
        <f ca="1">IF(getQuality(B234)&lt;4,getOtherMax(B234,C234,INDIRECT(J$2),INDIRECT(I234),test),getMax(B234,C234,INDIRECT(J$2),INDIRECT(I234),test))</f>
        <v>293.19332342386997</v>
      </c>
      <c r="F234" s="1" t="str">
        <f t="shared" si="13"/>
        <v>80</v>
      </c>
      <c r="G234" s="1" t="str">
        <f t="shared" si="14"/>
        <v/>
      </c>
      <c r="I234" s="1" t="str">
        <f t="shared" si="12"/>
        <v>威尔新数值1.06.xlsm!suitPower</v>
      </c>
    </row>
    <row r="235" spans="1:9" x14ac:dyDescent="0.15">
      <c r="A235" s="1">
        <v>234</v>
      </c>
      <c r="B235" s="1">
        <v>101091300</v>
      </c>
      <c r="C235" s="1">
        <f t="shared" si="15"/>
        <v>5</v>
      </c>
      <c r="D235" s="5">
        <f ca="1">IF(getQuality(B235)&lt;4,getOtherMin(B235,C235,INDIRECT(J$2),INDIRECT(I235),test),getMin(B235,C235,INDIRECT(J$2),INDIRECT(I235),test))</f>
        <v>247.21036204885561</v>
      </c>
      <c r="E235" s="5">
        <f ca="1">IF(getQuality(B235)&lt;4,getOtherMax(B235,C235,INDIRECT(J$2),INDIRECT(I235),test),getMax(B235,C235,INDIRECT(J$2),INDIRECT(I235),test))</f>
        <v>293.19332342386997</v>
      </c>
      <c r="F235" s="1" t="str">
        <f t="shared" si="13"/>
        <v>20</v>
      </c>
      <c r="G235" s="1" t="str">
        <f t="shared" si="14"/>
        <v/>
      </c>
      <c r="I235" s="1" t="str">
        <f t="shared" si="12"/>
        <v>威尔新数值1.06.xlsm!suitPower</v>
      </c>
    </row>
    <row r="236" spans="1:9" x14ac:dyDescent="0.15">
      <c r="A236" s="1">
        <v>235</v>
      </c>
      <c r="B236" s="1">
        <v>201011400</v>
      </c>
      <c r="C236" s="1">
        <v>4</v>
      </c>
      <c r="D236" s="5">
        <f ca="1">IF(getQuality(B236)&lt;4,getOtherMin(B236,C236,INDIRECT(J$2),INDIRECT(I236),test),getMin(B236,C236,INDIRECT(J$2),INDIRECT(I236),test))</f>
        <v>1</v>
      </c>
      <c r="E236" s="5">
        <f ca="1">IF(getQuality(B236)&lt;4,getOtherMax(B236,C236,INDIRECT(J$2),INDIRECT(I236),test),getMax(B236,C236,INDIRECT(J$2),INDIRECT(I236),test))</f>
        <v>31.25</v>
      </c>
      <c r="F236" s="1" t="str">
        <f>getper(B236,C236)</f>
        <v>50</v>
      </c>
      <c r="G236" s="1" t="str">
        <f t="shared" si="14"/>
        <v/>
      </c>
      <c r="I236" s="1" t="str">
        <f t="shared" si="12"/>
        <v>威尔新数值1.06.xlsm!suitPower</v>
      </c>
    </row>
    <row r="237" spans="1:9" x14ac:dyDescent="0.15">
      <c r="A237" s="1">
        <v>236</v>
      </c>
      <c r="B237" s="1">
        <v>201011400</v>
      </c>
      <c r="C237" s="1">
        <v>6</v>
      </c>
      <c r="D237" s="5">
        <f ca="1">IF(getQuality(B237)&lt;4,getOtherMin(B237,C237,INDIRECT(J$2),INDIRECT(I237),test),getMin(B237,C237,INDIRECT(J$2),INDIRECT(I237),test))</f>
        <v>1</v>
      </c>
      <c r="E237" s="5">
        <f ca="1">IF(getQuality(B237)&lt;4,getOtherMax(B237,C237,INDIRECT(J$2),INDIRECT(I237),test),getMax(B237,C237,INDIRECT(J$2),INDIRECT(I237),test))</f>
        <v>31.25</v>
      </c>
      <c r="F237" s="1" t="str">
        <f t="shared" si="13"/>
        <v>50</v>
      </c>
      <c r="G237" s="1" t="str">
        <f t="shared" si="14"/>
        <v/>
      </c>
      <c r="I237" s="1" t="str">
        <f t="shared" si="12"/>
        <v>威尔新数值1.06.xlsm!suitPower</v>
      </c>
    </row>
    <row r="238" spans="1:9" x14ac:dyDescent="0.15">
      <c r="A238" s="1">
        <v>237</v>
      </c>
      <c r="B238" s="1">
        <v>201021400</v>
      </c>
      <c r="C238" s="1">
        <f>C236</f>
        <v>4</v>
      </c>
      <c r="D238" s="5">
        <f ca="1">IF(getQuality(B238)&lt;4,getOtherMin(B238,C238,INDIRECT(J$2),INDIRECT(I238),test),getMin(B238,C238,INDIRECT(J$2),INDIRECT(I238),test))</f>
        <v>32.25</v>
      </c>
      <c r="E238" s="5">
        <f ca="1">IF(getQuality(B238)&lt;4,getOtherMax(B238,C238,INDIRECT(J$2),INDIRECT(I238),test),getMax(B238,C238,INDIRECT(J$2),INDIRECT(I238),test))</f>
        <v>62.5</v>
      </c>
      <c r="F238" s="1" t="str">
        <f t="shared" si="13"/>
        <v>50</v>
      </c>
      <c r="G238" s="1" t="str">
        <f t="shared" si="14"/>
        <v/>
      </c>
      <c r="I238" s="1" t="str">
        <f t="shared" si="12"/>
        <v>威尔新数值1.06.xlsm!suitPower</v>
      </c>
    </row>
    <row r="239" spans="1:9" x14ac:dyDescent="0.15">
      <c r="A239" s="1">
        <v>238</v>
      </c>
      <c r="B239" s="1">
        <v>201021400</v>
      </c>
      <c r="C239" s="1">
        <f t="shared" ref="C239:C271" si="16">C237</f>
        <v>6</v>
      </c>
      <c r="D239" s="5">
        <f ca="1">IF(getQuality(B239)&lt;4,getOtherMin(B239,C239,INDIRECT(J$2),INDIRECT(I239),test),getMin(B239,C239,INDIRECT(J$2),INDIRECT(I239),test))</f>
        <v>32.25</v>
      </c>
      <c r="E239" s="5">
        <f ca="1">IF(getQuality(B239)&lt;4,getOtherMax(B239,C239,INDIRECT(J$2),INDIRECT(I239),test),getMax(B239,C239,INDIRECT(J$2),INDIRECT(I239),test))</f>
        <v>62.5</v>
      </c>
      <c r="F239" s="1" t="str">
        <f t="shared" si="13"/>
        <v>50</v>
      </c>
      <c r="G239" s="1" t="str">
        <f t="shared" si="14"/>
        <v/>
      </c>
      <c r="I239" s="1" t="str">
        <f t="shared" si="12"/>
        <v>威尔新数值1.06.xlsm!suitPower</v>
      </c>
    </row>
    <row r="240" spans="1:9" x14ac:dyDescent="0.15">
      <c r="A240" s="1">
        <v>239</v>
      </c>
      <c r="B240" s="1">
        <v>201031400</v>
      </c>
      <c r="C240" s="1">
        <f t="shared" si="16"/>
        <v>4</v>
      </c>
      <c r="D240" s="5">
        <f ca="1">IF(getQuality(B240)&lt;4,getOtherMin(B240,C240,INDIRECT(J$2),INDIRECT(I240),test),getMin(B240,C240,INDIRECT(J$2),INDIRECT(I240),test))</f>
        <v>63.5</v>
      </c>
      <c r="E240" s="5">
        <f ca="1">IF(getQuality(B240)&lt;4,getOtherMax(B240,C240,INDIRECT(J$2),INDIRECT(I240),test),getMax(B240,C240,INDIRECT(J$2),INDIRECT(I240),test))</f>
        <v>93.75</v>
      </c>
      <c r="F240" s="1" t="str">
        <f t="shared" si="13"/>
        <v>50</v>
      </c>
      <c r="G240" s="1" t="str">
        <f t="shared" si="14"/>
        <v/>
      </c>
      <c r="I240" s="1" t="str">
        <f t="shared" si="12"/>
        <v>威尔新数值1.06.xlsm!suitPower</v>
      </c>
    </row>
    <row r="241" spans="1:9" x14ac:dyDescent="0.15">
      <c r="A241" s="1">
        <v>240</v>
      </c>
      <c r="B241" s="1">
        <v>201031400</v>
      </c>
      <c r="C241" s="1">
        <f t="shared" si="16"/>
        <v>6</v>
      </c>
      <c r="D241" s="5">
        <f ca="1">IF(getQuality(B241)&lt;4,getOtherMin(B241,C241,INDIRECT(J$2),INDIRECT(I241),test),getMin(B241,C241,INDIRECT(J$2),INDIRECT(I241),test))</f>
        <v>63.5</v>
      </c>
      <c r="E241" s="5">
        <f ca="1">IF(getQuality(B241)&lt;4,getOtherMax(B241,C241,INDIRECT(J$2),INDIRECT(I241),test),getMax(B241,C241,INDIRECT(J$2),INDIRECT(I241),test))</f>
        <v>93.75</v>
      </c>
      <c r="F241" s="1" t="str">
        <f t="shared" si="13"/>
        <v>50</v>
      </c>
      <c r="G241" s="1" t="str">
        <f t="shared" si="14"/>
        <v/>
      </c>
      <c r="I241" s="1" t="str">
        <f t="shared" si="12"/>
        <v>威尔新数值1.06.xlsm!suitPower</v>
      </c>
    </row>
    <row r="242" spans="1:9" x14ac:dyDescent="0.15">
      <c r="A242" s="1">
        <v>241</v>
      </c>
      <c r="B242" s="1">
        <v>201041400</v>
      </c>
      <c r="C242" s="1">
        <f t="shared" si="16"/>
        <v>4</v>
      </c>
      <c r="D242" s="5">
        <f ca="1">IF(getQuality(B242)&lt;4,getOtherMin(B242,C242,INDIRECT(J$2),INDIRECT(I242),test),getMin(B242,C242,INDIRECT(J$2),INDIRECT(I242),test))</f>
        <v>94.75</v>
      </c>
      <c r="E242" s="5">
        <f ca="1">IF(getQuality(B242)&lt;4,getOtherMax(B242,C242,INDIRECT(J$2),INDIRECT(I242),test),getMax(B242,C242,INDIRECT(J$2),INDIRECT(I242),test))</f>
        <v>125</v>
      </c>
      <c r="F242" s="1" t="str">
        <f t="shared" si="13"/>
        <v>50</v>
      </c>
      <c r="G242" s="1" t="str">
        <f t="shared" si="14"/>
        <v/>
      </c>
      <c r="I242" s="1" t="str">
        <f t="shared" si="12"/>
        <v>威尔新数值1.06.xlsm!suitPower</v>
      </c>
    </row>
    <row r="243" spans="1:9" x14ac:dyDescent="0.15">
      <c r="A243" s="1">
        <v>242</v>
      </c>
      <c r="B243" s="1">
        <v>201041400</v>
      </c>
      <c r="C243" s="1">
        <f t="shared" si="16"/>
        <v>6</v>
      </c>
      <c r="D243" s="5">
        <f ca="1">IF(getQuality(B243)&lt;4,getOtherMin(B243,C243,INDIRECT(J$2),INDIRECT(I243),test),getMin(B243,C243,INDIRECT(J$2),INDIRECT(I243),test))</f>
        <v>94.75</v>
      </c>
      <c r="E243" s="5">
        <f ca="1">IF(getQuality(B243)&lt;4,getOtherMax(B243,C243,INDIRECT(J$2),INDIRECT(I243),test),getMax(B243,C243,INDIRECT(J$2),INDIRECT(I243),test))</f>
        <v>125</v>
      </c>
      <c r="F243" s="1" t="str">
        <f t="shared" si="13"/>
        <v>50</v>
      </c>
      <c r="G243" s="1" t="str">
        <f t="shared" si="14"/>
        <v/>
      </c>
      <c r="I243" s="1" t="str">
        <f t="shared" si="12"/>
        <v>威尔新数值1.06.xlsm!suitPower</v>
      </c>
    </row>
    <row r="244" spans="1:9" x14ac:dyDescent="0.15">
      <c r="A244" s="1">
        <v>243</v>
      </c>
      <c r="B244" s="1">
        <v>201051400</v>
      </c>
      <c r="C244" s="1">
        <f t="shared" si="16"/>
        <v>4</v>
      </c>
      <c r="D244" s="5">
        <f ca="1">IF(getQuality(B244)&lt;4,getOtherMin(B244,C244,INDIRECT(J$2),INDIRECT(I244),test),getMin(B244,C244,INDIRECT(J$2),INDIRECT(I244),test))</f>
        <v>126</v>
      </c>
      <c r="E244" s="5">
        <f ca="1">IF(getQuality(B244)&lt;4,getOtherMax(B244,C244,INDIRECT(J$2),INDIRECT(I244),test),getMax(B244,C244,INDIRECT(J$2),INDIRECT(I244),test))</f>
        <v>156.25</v>
      </c>
      <c r="F244" s="1" t="str">
        <f t="shared" si="13"/>
        <v>50</v>
      </c>
      <c r="G244" s="1" t="str">
        <f t="shared" si="14"/>
        <v/>
      </c>
      <c r="I244" s="1" t="str">
        <f t="shared" si="12"/>
        <v>威尔新数值1.06.xlsm!suitPower</v>
      </c>
    </row>
    <row r="245" spans="1:9" x14ac:dyDescent="0.15">
      <c r="A245" s="1">
        <v>244</v>
      </c>
      <c r="B245" s="1">
        <v>201051400</v>
      </c>
      <c r="C245" s="1">
        <f t="shared" si="16"/>
        <v>6</v>
      </c>
      <c r="D245" s="5">
        <f ca="1">IF(getQuality(B245)&lt;4,getOtherMin(B245,C245,INDIRECT(J$2),INDIRECT(I245),test),getMin(B245,C245,INDIRECT(J$2),INDIRECT(I245),test))</f>
        <v>126</v>
      </c>
      <c r="E245" s="5">
        <f ca="1">IF(getQuality(B245)&lt;4,getOtherMax(B245,C245,INDIRECT(J$2),INDIRECT(I245),test),getMax(B245,C245,INDIRECT(J$2),INDIRECT(I245),test))</f>
        <v>156.25</v>
      </c>
      <c r="F245" s="1" t="str">
        <f t="shared" si="13"/>
        <v>50</v>
      </c>
      <c r="G245" s="1" t="str">
        <f t="shared" si="14"/>
        <v/>
      </c>
      <c r="I245" s="1" t="str">
        <f t="shared" si="12"/>
        <v>威尔新数值1.06.xlsm!suitPower</v>
      </c>
    </row>
    <row r="246" spans="1:9" x14ac:dyDescent="0.15">
      <c r="A246" s="1">
        <v>245</v>
      </c>
      <c r="B246" s="1">
        <v>201061400</v>
      </c>
      <c r="C246" s="1">
        <f t="shared" si="16"/>
        <v>4</v>
      </c>
      <c r="D246" s="5">
        <f ca="1">IF(getQuality(B246)&lt;4,getOtherMin(B246,C246,INDIRECT(J$2),INDIRECT(I246),test),getMin(B246,C246,INDIRECT(J$2),INDIRECT(I246),test))</f>
        <v>157.25</v>
      </c>
      <c r="E246" s="5">
        <f ca="1">IF(getQuality(B246)&lt;4,getOtherMax(B246,C246,INDIRECT(J$2),INDIRECT(I246),test),getMax(B246,C246,INDIRECT(J$2),INDIRECT(I246),test))</f>
        <v>187.5</v>
      </c>
      <c r="F246" s="1" t="str">
        <f t="shared" si="13"/>
        <v>50</v>
      </c>
      <c r="G246" s="1" t="str">
        <f t="shared" si="14"/>
        <v/>
      </c>
      <c r="I246" s="1" t="str">
        <f t="shared" si="12"/>
        <v>威尔新数值1.06.xlsm!suitPower</v>
      </c>
    </row>
    <row r="247" spans="1:9" x14ac:dyDescent="0.15">
      <c r="A247" s="1">
        <v>246</v>
      </c>
      <c r="B247" s="1">
        <v>201061400</v>
      </c>
      <c r="C247" s="1">
        <f t="shared" si="16"/>
        <v>6</v>
      </c>
      <c r="D247" s="5">
        <f ca="1">IF(getQuality(B247)&lt;4,getOtherMin(B247,C247,INDIRECT(J$2),INDIRECT(I247),test),getMin(B247,C247,INDIRECT(J$2),INDIRECT(I247),test))</f>
        <v>157.25</v>
      </c>
      <c r="E247" s="5">
        <f ca="1">IF(getQuality(B247)&lt;4,getOtherMax(B247,C247,INDIRECT(J$2),INDIRECT(I247),test),getMax(B247,C247,INDIRECT(J$2),INDIRECT(I247),test))</f>
        <v>187.5</v>
      </c>
      <c r="F247" s="1" t="str">
        <f t="shared" si="13"/>
        <v>50</v>
      </c>
      <c r="G247" s="1" t="str">
        <f t="shared" si="14"/>
        <v/>
      </c>
      <c r="I247" s="1" t="str">
        <f t="shared" si="12"/>
        <v>威尔新数值1.06.xlsm!suitPower</v>
      </c>
    </row>
    <row r="248" spans="1:9" x14ac:dyDescent="0.15">
      <c r="A248" s="1">
        <v>247</v>
      </c>
      <c r="B248" s="1">
        <v>201071400</v>
      </c>
      <c r="C248" s="1">
        <f t="shared" si="16"/>
        <v>4</v>
      </c>
      <c r="D248" s="5">
        <f ca="1">IF(getQuality(B248)&lt;4,getOtherMin(B248,C248,INDIRECT(J$2),INDIRECT(I248),test),getMin(B248,C248,INDIRECT(J$2),INDIRECT(I248),test))</f>
        <v>188.5</v>
      </c>
      <c r="E248" s="5">
        <f ca="1">IF(getQuality(B248)&lt;4,getOtherMax(B248,C248,INDIRECT(J$2),INDIRECT(I248),test),getMax(B248,C248,INDIRECT(J$2),INDIRECT(I248),test))</f>
        <v>218.75</v>
      </c>
      <c r="F248" s="1" t="str">
        <f t="shared" si="13"/>
        <v>50</v>
      </c>
      <c r="G248" s="1" t="str">
        <f t="shared" si="14"/>
        <v/>
      </c>
      <c r="I248" s="1" t="str">
        <f t="shared" si="12"/>
        <v>威尔新数值1.06.xlsm!suitPower</v>
      </c>
    </row>
    <row r="249" spans="1:9" x14ac:dyDescent="0.15">
      <c r="A249" s="1">
        <v>248</v>
      </c>
      <c r="B249" s="1">
        <v>201071400</v>
      </c>
      <c r="C249" s="1">
        <f t="shared" si="16"/>
        <v>6</v>
      </c>
      <c r="D249" s="5">
        <f ca="1">IF(getQuality(B249)&lt;4,getOtherMin(B249,C249,INDIRECT(J$2),INDIRECT(I249),test),getMin(B249,C249,INDIRECT(J$2),INDIRECT(I249),test))</f>
        <v>188.5</v>
      </c>
      <c r="E249" s="5">
        <f ca="1">IF(getQuality(B249)&lt;4,getOtherMax(B249,C249,INDIRECT(J$2),INDIRECT(I249),test),getMax(B249,C249,INDIRECT(J$2),INDIRECT(I249),test))</f>
        <v>218.75</v>
      </c>
      <c r="F249" s="1" t="str">
        <f t="shared" si="13"/>
        <v>50</v>
      </c>
      <c r="G249" s="1" t="str">
        <f t="shared" si="14"/>
        <v/>
      </c>
      <c r="I249" s="1" t="str">
        <f t="shared" si="12"/>
        <v>威尔新数值1.06.xlsm!suitPower</v>
      </c>
    </row>
    <row r="250" spans="1:9" x14ac:dyDescent="0.15">
      <c r="A250" s="1">
        <v>249</v>
      </c>
      <c r="B250" s="1">
        <v>201081400</v>
      </c>
      <c r="C250" s="1">
        <f t="shared" si="16"/>
        <v>4</v>
      </c>
      <c r="D250" s="5">
        <f ca="1">IF(getQuality(B250)&lt;4,getOtherMin(B250,C250,INDIRECT(J$2),INDIRECT(I250),test),getMin(B250,C250,INDIRECT(J$2),INDIRECT(I250),test))</f>
        <v>219.75</v>
      </c>
      <c r="E250" s="5">
        <f ca="1">IF(getQuality(B250)&lt;4,getOtherMax(B250,C250,INDIRECT(J$2),INDIRECT(I250),test),getMax(B250,C250,INDIRECT(J$2),INDIRECT(I250),test))</f>
        <v>250</v>
      </c>
      <c r="F250" s="1" t="str">
        <f t="shared" si="13"/>
        <v>50</v>
      </c>
      <c r="G250" s="1" t="str">
        <f t="shared" si="14"/>
        <v/>
      </c>
      <c r="I250" s="1" t="str">
        <f t="shared" si="12"/>
        <v>威尔新数值1.06.xlsm!suitPower</v>
      </c>
    </row>
    <row r="251" spans="1:9" x14ac:dyDescent="0.15">
      <c r="A251" s="1">
        <v>250</v>
      </c>
      <c r="B251" s="1">
        <v>201081400</v>
      </c>
      <c r="C251" s="1">
        <f t="shared" si="16"/>
        <v>6</v>
      </c>
      <c r="D251" s="5">
        <f ca="1">IF(getQuality(B251)&lt;4,getOtherMin(B251,C251,INDIRECT(J$2),INDIRECT(I251),test),getMin(B251,C251,INDIRECT(J$2),INDIRECT(I251),test))</f>
        <v>219.75</v>
      </c>
      <c r="E251" s="5">
        <f ca="1">IF(getQuality(B251)&lt;4,getOtherMax(B251,C251,INDIRECT(J$2),INDIRECT(I251),test),getMax(B251,C251,INDIRECT(J$2),INDIRECT(I251),test))</f>
        <v>250</v>
      </c>
      <c r="F251" s="1" t="str">
        <f t="shared" si="13"/>
        <v>50</v>
      </c>
      <c r="G251" s="1" t="str">
        <f t="shared" si="14"/>
        <v/>
      </c>
      <c r="I251" s="1" t="str">
        <f t="shared" si="12"/>
        <v>威尔新数值1.06.xlsm!suitPower</v>
      </c>
    </row>
    <row r="252" spans="1:9" x14ac:dyDescent="0.15">
      <c r="A252" s="1">
        <v>251</v>
      </c>
      <c r="B252" s="1">
        <v>201091400</v>
      </c>
      <c r="C252" s="1">
        <f t="shared" si="16"/>
        <v>4</v>
      </c>
      <c r="D252" s="5">
        <f ca="1">IF(getQuality(B252)&lt;4,getOtherMin(B252,C252,INDIRECT(J$2),INDIRECT(I252),test),getMin(B252,C252,INDIRECT(J$2),INDIRECT(I252),test))</f>
        <v>251</v>
      </c>
      <c r="E252" s="5">
        <f ca="1">IF(getQuality(B252)&lt;4,getOtherMax(B252,C252,INDIRECT(J$2),INDIRECT(I252),test),getMax(B252,C252,INDIRECT(J$2),INDIRECT(I252),test))</f>
        <v>281.25</v>
      </c>
      <c r="F252" s="1" t="str">
        <f t="shared" si="13"/>
        <v>50</v>
      </c>
      <c r="G252" s="1" t="str">
        <f t="shared" si="14"/>
        <v/>
      </c>
      <c r="I252" s="1" t="str">
        <f t="shared" si="12"/>
        <v>威尔新数值1.06.xlsm!suitPower</v>
      </c>
    </row>
    <row r="253" spans="1:9" x14ac:dyDescent="0.15">
      <c r="A253" s="1">
        <v>252</v>
      </c>
      <c r="B253" s="1">
        <v>201091400</v>
      </c>
      <c r="C253" s="1">
        <f t="shared" si="16"/>
        <v>6</v>
      </c>
      <c r="D253" s="5">
        <f ca="1">IF(getQuality(B253)&lt;4,getOtherMin(B253,C253,INDIRECT(J$2),INDIRECT(I253),test),getMin(B253,C253,INDIRECT(J$2),INDIRECT(I253),test))</f>
        <v>251</v>
      </c>
      <c r="E253" s="5">
        <f ca="1">IF(getQuality(B253)&lt;4,getOtherMax(B253,C253,INDIRECT(J$2),INDIRECT(I253),test),getMax(B253,C253,INDIRECT(J$2),INDIRECT(I253),test))</f>
        <v>281.25</v>
      </c>
      <c r="F253" s="1" t="str">
        <f t="shared" si="13"/>
        <v>50</v>
      </c>
      <c r="G253" s="1" t="str">
        <f t="shared" si="14"/>
        <v/>
      </c>
      <c r="I253" s="1" t="str">
        <f t="shared" si="12"/>
        <v>威尔新数值1.06.xlsm!suitPower</v>
      </c>
    </row>
    <row r="254" spans="1:9" x14ac:dyDescent="0.15">
      <c r="A254" s="1">
        <v>253</v>
      </c>
      <c r="B254" s="1">
        <v>301011500</v>
      </c>
      <c r="C254" s="1">
        <f t="shared" si="16"/>
        <v>4</v>
      </c>
      <c r="D254" s="5">
        <f ca="1">IF(getQuality(B254)&lt;4,getOtherMin(B254,C254,INDIRECT(J$2),INDIRECT(I254),test),getMin(B254,C254,INDIRECT(J$2),INDIRECT(I254),test))</f>
        <v>1</v>
      </c>
      <c r="E254" s="5">
        <f ca="1">IF(getQuality(B254)&lt;4,getOtherMax(B254,C254,INDIRECT(J$2),INDIRECT(I254),test),getMax(B254,C254,INDIRECT(J$2),INDIRECT(I254),test))</f>
        <v>31.25</v>
      </c>
      <c r="F254" s="1" t="str">
        <f t="shared" si="13"/>
        <v>50</v>
      </c>
      <c r="G254" s="1" t="str">
        <f t="shared" si="14"/>
        <v/>
      </c>
      <c r="I254" s="1" t="str">
        <f t="shared" si="12"/>
        <v>威尔新数值1.06.xlsm!suitPower</v>
      </c>
    </row>
    <row r="255" spans="1:9" x14ac:dyDescent="0.15">
      <c r="A255" s="1">
        <v>254</v>
      </c>
      <c r="B255" s="1">
        <v>301011500</v>
      </c>
      <c r="C255" s="1">
        <f t="shared" si="16"/>
        <v>6</v>
      </c>
      <c r="D255" s="5">
        <f ca="1">IF(getQuality(B255)&lt;4,getOtherMin(B255,C255,INDIRECT(J$2),INDIRECT(I255),test),getMin(B255,C255,INDIRECT(J$2),INDIRECT(I255),test))</f>
        <v>1</v>
      </c>
      <c r="E255" s="5">
        <f ca="1">IF(getQuality(B255)&lt;4,getOtherMax(B255,C255,INDIRECT(J$2),INDIRECT(I255),test),getMax(B255,C255,INDIRECT(J$2),INDIRECT(I255),test))</f>
        <v>31.25</v>
      </c>
      <c r="F255" s="1" t="str">
        <f t="shared" si="13"/>
        <v>50</v>
      </c>
      <c r="G255" s="1" t="str">
        <f t="shared" si="14"/>
        <v/>
      </c>
      <c r="I255" s="1" t="str">
        <f t="shared" si="12"/>
        <v>威尔新数值1.06.xlsm!suitPower</v>
      </c>
    </row>
    <row r="256" spans="1:9" x14ac:dyDescent="0.15">
      <c r="A256" s="1">
        <v>255</v>
      </c>
      <c r="B256" s="1">
        <v>301021500</v>
      </c>
      <c r="C256" s="1">
        <f t="shared" si="16"/>
        <v>4</v>
      </c>
      <c r="D256" s="5">
        <f ca="1">IF(getQuality(B256)&lt;4,getOtherMin(B256,C256,INDIRECT(J$2),INDIRECT(I256),test),getMin(B256,C256,INDIRECT(J$2),INDIRECT(I256),test))</f>
        <v>32.25</v>
      </c>
      <c r="E256" s="5">
        <f ca="1">IF(getQuality(B256)&lt;4,getOtherMax(B256,C256,INDIRECT(J$2),INDIRECT(I256),test),getMax(B256,C256,INDIRECT(J$2),INDIRECT(I256),test))</f>
        <v>62.5</v>
      </c>
      <c r="F256" s="1" t="str">
        <f t="shared" si="13"/>
        <v>50</v>
      </c>
      <c r="G256" s="1" t="str">
        <f t="shared" si="14"/>
        <v/>
      </c>
      <c r="I256" s="1" t="str">
        <f t="shared" si="12"/>
        <v>威尔新数值1.06.xlsm!suitPower</v>
      </c>
    </row>
    <row r="257" spans="1:9" x14ac:dyDescent="0.15">
      <c r="A257" s="1">
        <v>256</v>
      </c>
      <c r="B257" s="1">
        <v>301021500</v>
      </c>
      <c r="C257" s="1">
        <f t="shared" si="16"/>
        <v>6</v>
      </c>
      <c r="D257" s="5">
        <f ca="1">IF(getQuality(B257)&lt;4,getOtherMin(B257,C257,INDIRECT(J$2),INDIRECT(I257),test),getMin(B257,C257,INDIRECT(J$2),INDIRECT(I257),test))</f>
        <v>32.25</v>
      </c>
      <c r="E257" s="5">
        <f ca="1">IF(getQuality(B257)&lt;4,getOtherMax(B257,C257,INDIRECT(J$2),INDIRECT(I257),test),getMax(B257,C257,INDIRECT(J$2),INDIRECT(I257),test))</f>
        <v>62.5</v>
      </c>
      <c r="F257" s="1" t="str">
        <f t="shared" si="13"/>
        <v>50</v>
      </c>
      <c r="G257" s="1" t="str">
        <f t="shared" si="14"/>
        <v/>
      </c>
      <c r="I257" s="1" t="str">
        <f t="shared" si="12"/>
        <v>威尔新数值1.06.xlsm!suitPower</v>
      </c>
    </row>
    <row r="258" spans="1:9" x14ac:dyDescent="0.15">
      <c r="A258" s="1">
        <v>257</v>
      </c>
      <c r="B258" s="1">
        <v>301031500</v>
      </c>
      <c r="C258" s="1">
        <f t="shared" si="16"/>
        <v>4</v>
      </c>
      <c r="D258" s="5">
        <f ca="1">IF(getQuality(B258)&lt;4,getOtherMin(B258,C258,INDIRECT(J$2),INDIRECT(I258),test),getMin(B258,C258,INDIRECT(J$2),INDIRECT(I258),test))</f>
        <v>63.5</v>
      </c>
      <c r="E258" s="5">
        <f ca="1">IF(getQuality(B258)&lt;4,getOtherMax(B258,C258,INDIRECT(J$2),INDIRECT(I258),test),getMax(B258,C258,INDIRECT(J$2),INDIRECT(I258),test))</f>
        <v>93.75</v>
      </c>
      <c r="F258" s="1" t="str">
        <f t="shared" si="13"/>
        <v>50</v>
      </c>
      <c r="G258" s="1" t="str">
        <f t="shared" si="14"/>
        <v/>
      </c>
      <c r="I258" s="1" t="str">
        <f t="shared" ref="I258:I321" si="17">IF(C258&lt;100,VLOOKUP(C258,test,3,FALSE),VLOOKUP(C258,test1,3,FALSE))</f>
        <v>威尔新数值1.06.xlsm!suitPower</v>
      </c>
    </row>
    <row r="259" spans="1:9" x14ac:dyDescent="0.15">
      <c r="A259" s="1">
        <v>258</v>
      </c>
      <c r="B259" s="1">
        <v>301031500</v>
      </c>
      <c r="C259" s="1">
        <f t="shared" si="16"/>
        <v>6</v>
      </c>
      <c r="D259" s="5">
        <f ca="1">IF(getQuality(B259)&lt;4,getOtherMin(B259,C259,INDIRECT(J$2),INDIRECT(I259),test),getMin(B259,C259,INDIRECT(J$2),INDIRECT(I259),test))</f>
        <v>63.5</v>
      </c>
      <c r="E259" s="5">
        <f ca="1">IF(getQuality(B259)&lt;4,getOtherMax(B259,C259,INDIRECT(J$2),INDIRECT(I259),test),getMax(B259,C259,INDIRECT(J$2),INDIRECT(I259),test))</f>
        <v>93.75</v>
      </c>
      <c r="F259" s="1" t="str">
        <f t="shared" ref="F259:F322" si="18">getper(B259,C259)</f>
        <v>50</v>
      </c>
      <c r="G259" s="1" t="str">
        <f t="shared" ref="G259:G322" si="19">getMust(B259,C259)</f>
        <v/>
      </c>
      <c r="I259" s="1" t="str">
        <f t="shared" si="17"/>
        <v>威尔新数值1.06.xlsm!suitPower</v>
      </c>
    </row>
    <row r="260" spans="1:9" x14ac:dyDescent="0.15">
      <c r="A260" s="1">
        <v>259</v>
      </c>
      <c r="B260" s="1">
        <v>301041500</v>
      </c>
      <c r="C260" s="1">
        <f t="shared" si="16"/>
        <v>4</v>
      </c>
      <c r="D260" s="5">
        <f ca="1">IF(getQuality(B260)&lt;4,getOtherMin(B260,C260,INDIRECT(J$2),INDIRECT(I260),test),getMin(B260,C260,INDIRECT(J$2),INDIRECT(I260),test))</f>
        <v>94.75</v>
      </c>
      <c r="E260" s="5">
        <f ca="1">IF(getQuality(B260)&lt;4,getOtherMax(B260,C260,INDIRECT(J$2),INDIRECT(I260),test),getMax(B260,C260,INDIRECT(J$2),INDIRECT(I260),test))</f>
        <v>125</v>
      </c>
      <c r="F260" s="1" t="str">
        <f t="shared" si="18"/>
        <v>50</v>
      </c>
      <c r="G260" s="1" t="str">
        <f t="shared" si="19"/>
        <v/>
      </c>
      <c r="I260" s="1" t="str">
        <f t="shared" si="17"/>
        <v>威尔新数值1.06.xlsm!suitPower</v>
      </c>
    </row>
    <row r="261" spans="1:9" x14ac:dyDescent="0.15">
      <c r="A261" s="1">
        <v>260</v>
      </c>
      <c r="B261" s="1">
        <v>301041500</v>
      </c>
      <c r="C261" s="1">
        <f t="shared" si="16"/>
        <v>6</v>
      </c>
      <c r="D261" s="5">
        <f ca="1">IF(getQuality(B261)&lt;4,getOtherMin(B261,C261,INDIRECT(J$2),INDIRECT(I261),test),getMin(B261,C261,INDIRECT(J$2),INDIRECT(I261),test))</f>
        <v>94.75</v>
      </c>
      <c r="E261" s="5">
        <f ca="1">IF(getQuality(B261)&lt;4,getOtherMax(B261,C261,INDIRECT(J$2),INDIRECT(I261),test),getMax(B261,C261,INDIRECT(J$2),INDIRECT(I261),test))</f>
        <v>125</v>
      </c>
      <c r="F261" s="1" t="str">
        <f t="shared" si="18"/>
        <v>50</v>
      </c>
      <c r="G261" s="1" t="str">
        <f t="shared" si="19"/>
        <v/>
      </c>
      <c r="I261" s="1" t="str">
        <f t="shared" si="17"/>
        <v>威尔新数值1.06.xlsm!suitPower</v>
      </c>
    </row>
    <row r="262" spans="1:9" x14ac:dyDescent="0.15">
      <c r="A262" s="1">
        <v>261</v>
      </c>
      <c r="B262" s="1">
        <v>301051500</v>
      </c>
      <c r="C262" s="1">
        <f t="shared" si="16"/>
        <v>4</v>
      </c>
      <c r="D262" s="5">
        <f ca="1">IF(getQuality(B262)&lt;4,getOtherMin(B262,C262,INDIRECT(J$2),INDIRECT(I262),test),getMin(B262,C262,INDIRECT(J$2),INDIRECT(I262),test))</f>
        <v>126</v>
      </c>
      <c r="E262" s="5">
        <f ca="1">IF(getQuality(B262)&lt;4,getOtherMax(B262,C262,INDIRECT(J$2),INDIRECT(I262),test),getMax(B262,C262,INDIRECT(J$2),INDIRECT(I262),test))</f>
        <v>156.25</v>
      </c>
      <c r="F262" s="1" t="str">
        <f t="shared" si="18"/>
        <v>50</v>
      </c>
      <c r="G262" s="1" t="str">
        <f t="shared" si="19"/>
        <v/>
      </c>
      <c r="I262" s="1" t="str">
        <f t="shared" si="17"/>
        <v>威尔新数值1.06.xlsm!suitPower</v>
      </c>
    </row>
    <row r="263" spans="1:9" x14ac:dyDescent="0.15">
      <c r="A263" s="1">
        <v>262</v>
      </c>
      <c r="B263" s="1">
        <v>301051500</v>
      </c>
      <c r="C263" s="1">
        <f t="shared" si="16"/>
        <v>6</v>
      </c>
      <c r="D263" s="5">
        <f ca="1">IF(getQuality(B263)&lt;4,getOtherMin(B263,C263,INDIRECT(J$2),INDIRECT(I263),test),getMin(B263,C263,INDIRECT(J$2),INDIRECT(I263),test))</f>
        <v>126</v>
      </c>
      <c r="E263" s="5">
        <f ca="1">IF(getQuality(B263)&lt;4,getOtherMax(B263,C263,INDIRECT(J$2),INDIRECT(I263),test),getMax(B263,C263,INDIRECT(J$2),INDIRECT(I263),test))</f>
        <v>156.25</v>
      </c>
      <c r="F263" s="1" t="str">
        <f t="shared" si="18"/>
        <v>50</v>
      </c>
      <c r="G263" s="1" t="str">
        <f t="shared" si="19"/>
        <v/>
      </c>
      <c r="I263" s="1" t="str">
        <f t="shared" si="17"/>
        <v>威尔新数值1.06.xlsm!suitPower</v>
      </c>
    </row>
    <row r="264" spans="1:9" x14ac:dyDescent="0.15">
      <c r="A264" s="1">
        <v>263</v>
      </c>
      <c r="B264" s="1">
        <v>301061500</v>
      </c>
      <c r="C264" s="1">
        <f t="shared" si="16"/>
        <v>4</v>
      </c>
      <c r="D264" s="5">
        <f ca="1">IF(getQuality(B264)&lt;4,getOtherMin(B264,C264,INDIRECT(J$2),INDIRECT(I264),test),getMin(B264,C264,INDIRECT(J$2),INDIRECT(I264),test))</f>
        <v>157.25</v>
      </c>
      <c r="E264" s="5">
        <f ca="1">IF(getQuality(B264)&lt;4,getOtherMax(B264,C264,INDIRECT(J$2),INDIRECT(I264),test),getMax(B264,C264,INDIRECT(J$2),INDIRECT(I264),test))</f>
        <v>187.5</v>
      </c>
      <c r="F264" s="1" t="str">
        <f t="shared" si="18"/>
        <v>50</v>
      </c>
      <c r="G264" s="1" t="str">
        <f t="shared" si="19"/>
        <v/>
      </c>
      <c r="I264" s="1" t="str">
        <f t="shared" si="17"/>
        <v>威尔新数值1.06.xlsm!suitPower</v>
      </c>
    </row>
    <row r="265" spans="1:9" x14ac:dyDescent="0.15">
      <c r="A265" s="1">
        <v>264</v>
      </c>
      <c r="B265" s="1">
        <v>301061500</v>
      </c>
      <c r="C265" s="1">
        <f t="shared" si="16"/>
        <v>6</v>
      </c>
      <c r="D265" s="5">
        <f ca="1">IF(getQuality(B265)&lt;4,getOtherMin(B265,C265,INDIRECT(J$2),INDIRECT(I265),test),getMin(B265,C265,INDIRECT(J$2),INDIRECT(I265),test))</f>
        <v>157.25</v>
      </c>
      <c r="E265" s="5">
        <f ca="1">IF(getQuality(B265)&lt;4,getOtherMax(B265,C265,INDIRECT(J$2),INDIRECT(I265),test),getMax(B265,C265,INDIRECT(J$2),INDIRECT(I265),test))</f>
        <v>187.5</v>
      </c>
      <c r="F265" s="1" t="str">
        <f t="shared" si="18"/>
        <v>50</v>
      </c>
      <c r="G265" s="1" t="str">
        <f t="shared" si="19"/>
        <v/>
      </c>
      <c r="I265" s="1" t="str">
        <f t="shared" si="17"/>
        <v>威尔新数值1.06.xlsm!suitPower</v>
      </c>
    </row>
    <row r="266" spans="1:9" x14ac:dyDescent="0.15">
      <c r="A266" s="1">
        <v>265</v>
      </c>
      <c r="B266" s="1">
        <v>301071500</v>
      </c>
      <c r="C266" s="1">
        <f t="shared" si="16"/>
        <v>4</v>
      </c>
      <c r="D266" s="5">
        <f ca="1">IF(getQuality(B266)&lt;4,getOtherMin(B266,C266,INDIRECT(J$2),INDIRECT(I266),test),getMin(B266,C266,INDIRECT(J$2),INDIRECT(I266),test))</f>
        <v>188.5</v>
      </c>
      <c r="E266" s="5">
        <f ca="1">IF(getQuality(B266)&lt;4,getOtherMax(B266,C266,INDIRECT(J$2),INDIRECT(I266),test),getMax(B266,C266,INDIRECT(J$2),INDIRECT(I266),test))</f>
        <v>218.75</v>
      </c>
      <c r="F266" s="1" t="str">
        <f t="shared" si="18"/>
        <v>50</v>
      </c>
      <c r="G266" s="1" t="str">
        <f t="shared" si="19"/>
        <v/>
      </c>
      <c r="I266" s="1" t="str">
        <f t="shared" si="17"/>
        <v>威尔新数值1.06.xlsm!suitPower</v>
      </c>
    </row>
    <row r="267" spans="1:9" x14ac:dyDescent="0.15">
      <c r="A267" s="1">
        <v>266</v>
      </c>
      <c r="B267" s="1">
        <v>301071500</v>
      </c>
      <c r="C267" s="1">
        <f t="shared" si="16"/>
        <v>6</v>
      </c>
      <c r="D267" s="5">
        <f ca="1">IF(getQuality(B267)&lt;4,getOtherMin(B267,C267,INDIRECT(J$2),INDIRECT(I267),test),getMin(B267,C267,INDIRECT(J$2),INDIRECT(I267),test))</f>
        <v>188.5</v>
      </c>
      <c r="E267" s="5">
        <f ca="1">IF(getQuality(B267)&lt;4,getOtherMax(B267,C267,INDIRECT(J$2),INDIRECT(I267),test),getMax(B267,C267,INDIRECT(J$2),INDIRECT(I267),test))</f>
        <v>218.75</v>
      </c>
      <c r="F267" s="1" t="str">
        <f t="shared" si="18"/>
        <v>50</v>
      </c>
      <c r="G267" s="1" t="str">
        <f t="shared" si="19"/>
        <v/>
      </c>
      <c r="I267" s="1" t="str">
        <f t="shared" si="17"/>
        <v>威尔新数值1.06.xlsm!suitPower</v>
      </c>
    </row>
    <row r="268" spans="1:9" x14ac:dyDescent="0.15">
      <c r="A268" s="1">
        <v>267</v>
      </c>
      <c r="B268" s="1">
        <v>301081500</v>
      </c>
      <c r="C268" s="1">
        <f t="shared" si="16"/>
        <v>4</v>
      </c>
      <c r="D268" s="5">
        <f ca="1">IF(getQuality(B268)&lt;4,getOtherMin(B268,C268,INDIRECT(J$2),INDIRECT(I268),test),getMin(B268,C268,INDIRECT(J$2),INDIRECT(I268),test))</f>
        <v>219.75</v>
      </c>
      <c r="E268" s="5">
        <f ca="1">IF(getQuality(B268)&lt;4,getOtherMax(B268,C268,INDIRECT(J$2),INDIRECT(I268),test),getMax(B268,C268,INDIRECT(J$2),INDIRECT(I268),test))</f>
        <v>250</v>
      </c>
      <c r="F268" s="1" t="str">
        <f t="shared" si="18"/>
        <v>50</v>
      </c>
      <c r="G268" s="1" t="str">
        <f t="shared" si="19"/>
        <v/>
      </c>
      <c r="I268" s="1" t="str">
        <f t="shared" si="17"/>
        <v>威尔新数值1.06.xlsm!suitPower</v>
      </c>
    </row>
    <row r="269" spans="1:9" x14ac:dyDescent="0.15">
      <c r="A269" s="1">
        <v>268</v>
      </c>
      <c r="B269" s="1">
        <v>301081500</v>
      </c>
      <c r="C269" s="1">
        <f t="shared" si="16"/>
        <v>6</v>
      </c>
      <c r="D269" s="5">
        <f ca="1">IF(getQuality(B269)&lt;4,getOtherMin(B269,C269,INDIRECT(J$2),INDIRECT(I269),test),getMin(B269,C269,INDIRECT(J$2),INDIRECT(I269),test))</f>
        <v>219.75</v>
      </c>
      <c r="E269" s="5">
        <f ca="1">IF(getQuality(B269)&lt;4,getOtherMax(B269,C269,INDIRECT(J$2),INDIRECT(I269),test),getMax(B269,C269,INDIRECT(J$2),INDIRECT(I269),test))</f>
        <v>250</v>
      </c>
      <c r="F269" s="1" t="str">
        <f t="shared" si="18"/>
        <v>50</v>
      </c>
      <c r="G269" s="1" t="str">
        <f t="shared" si="19"/>
        <v/>
      </c>
      <c r="I269" s="1" t="str">
        <f t="shared" si="17"/>
        <v>威尔新数值1.06.xlsm!suitPower</v>
      </c>
    </row>
    <row r="270" spans="1:9" x14ac:dyDescent="0.15">
      <c r="A270" s="1">
        <v>269</v>
      </c>
      <c r="B270" s="1">
        <v>301091500</v>
      </c>
      <c r="C270" s="1">
        <f t="shared" si="16"/>
        <v>4</v>
      </c>
      <c r="D270" s="5">
        <f ca="1">IF(getQuality(B270)&lt;4,getOtherMin(B270,C270,INDIRECT(J$2),INDIRECT(I270),test),getMin(B270,C270,INDIRECT(J$2),INDIRECT(I270),test))</f>
        <v>251</v>
      </c>
      <c r="E270" s="5">
        <f ca="1">IF(getQuality(B270)&lt;4,getOtherMax(B270,C270,INDIRECT(J$2),INDIRECT(I270),test),getMax(B270,C270,INDIRECT(J$2),INDIRECT(I270),test))</f>
        <v>281.25</v>
      </c>
      <c r="F270" s="1" t="str">
        <f t="shared" si="18"/>
        <v>50</v>
      </c>
      <c r="G270" s="1" t="str">
        <f t="shared" si="19"/>
        <v/>
      </c>
      <c r="I270" s="1" t="str">
        <f t="shared" si="17"/>
        <v>威尔新数值1.06.xlsm!suitPower</v>
      </c>
    </row>
    <row r="271" spans="1:9" x14ac:dyDescent="0.15">
      <c r="A271" s="1">
        <v>270</v>
      </c>
      <c r="B271" s="1">
        <v>301091500</v>
      </c>
      <c r="C271" s="1">
        <f t="shared" si="16"/>
        <v>6</v>
      </c>
      <c r="D271" s="5">
        <f ca="1">IF(getQuality(B271)&lt;4,getOtherMin(B271,C271,INDIRECT(J$2),INDIRECT(I271),test),getMin(B271,C271,INDIRECT(J$2),INDIRECT(I271),test))</f>
        <v>251</v>
      </c>
      <c r="E271" s="5">
        <f ca="1">IF(getQuality(B271)&lt;4,getOtherMax(B271,C271,INDIRECT(J$2),INDIRECT(I271),test),getMax(B271,C271,INDIRECT(J$2),INDIRECT(I271),test))</f>
        <v>281.25</v>
      </c>
      <c r="F271" s="1" t="str">
        <f t="shared" si="18"/>
        <v>50</v>
      </c>
      <c r="G271" s="1" t="str">
        <f t="shared" si="19"/>
        <v/>
      </c>
      <c r="I271" s="1" t="str">
        <f t="shared" si="17"/>
        <v>威尔新数值1.06.xlsm!suitPower</v>
      </c>
    </row>
    <row r="272" spans="1:9" x14ac:dyDescent="0.15">
      <c r="A272" s="1">
        <v>271</v>
      </c>
      <c r="B272" s="1">
        <v>102010100</v>
      </c>
      <c r="C272" s="3">
        <v>3</v>
      </c>
      <c r="D272" s="5">
        <f ca="1">IF(getQuality(B272)&lt;4,getOtherMin(B272,C272,INDIRECT(J$2),INDIRECT(I272),test),getMin(B272,C272,INDIRECT(J$2),INDIRECT(I272),test))</f>
        <v>1</v>
      </c>
      <c r="E272" s="5">
        <f ca="1">IF(getQuality(B272)&lt;4,getOtherMax(B272,C272,INDIRECT(J$2),INDIRECT(I272),test),getMax(B272,C272,INDIRECT(J$2),INDIRECT(I272),test))</f>
        <v>21.008641265250315</v>
      </c>
      <c r="F272" s="1" t="str">
        <f t="shared" si="18"/>
        <v>50</v>
      </c>
      <c r="G272" s="1" t="str">
        <f t="shared" si="19"/>
        <v>1</v>
      </c>
      <c r="I272" s="1" t="str">
        <f t="shared" si="17"/>
        <v>威尔新数值1.06.xlsm!suitPower</v>
      </c>
    </row>
    <row r="273" spans="1:9" x14ac:dyDescent="0.15">
      <c r="A273" s="1">
        <v>272</v>
      </c>
      <c r="B273" s="1">
        <v>102010100</v>
      </c>
      <c r="C273" s="3">
        <v>5</v>
      </c>
      <c r="D273" s="5">
        <f ca="1">IF(getQuality(B273)&lt;4,getOtherMin(B273,C273,INDIRECT(J$2),INDIRECT(I273),test),getMin(B273,C273,INDIRECT(J$2),INDIRECT(I273),test))</f>
        <v>1</v>
      </c>
      <c r="E273" s="5">
        <f ca="1">IF(getQuality(B273)&lt;4,getOtherMax(B273,C273,INDIRECT(J$2),INDIRECT(I273),test),getMax(B273,C273,INDIRECT(J$2),INDIRECT(I273),test))</f>
        <v>21.008641265250315</v>
      </c>
      <c r="F273" s="1" t="str">
        <f t="shared" si="18"/>
        <v>50</v>
      </c>
      <c r="G273" s="1" t="str">
        <f t="shared" si="19"/>
        <v/>
      </c>
      <c r="I273" s="1" t="str">
        <f t="shared" si="17"/>
        <v>威尔新数值1.06.xlsm!suitPower</v>
      </c>
    </row>
    <row r="274" spans="1:9" x14ac:dyDescent="0.15">
      <c r="A274" s="1">
        <v>273</v>
      </c>
      <c r="B274" s="1">
        <v>102010100</v>
      </c>
      <c r="C274" s="3">
        <v>7</v>
      </c>
      <c r="D274" s="5">
        <f ca="1">IF(getQuality(B274)&lt;4,getOtherMin(B274,C274,INDIRECT(J$2),INDIRECT(I274),test),getMin(B274,C274,INDIRECT(J$2),INDIRECT(I274),test))</f>
        <v>1</v>
      </c>
      <c r="E274" s="5">
        <f ca="1">IF(getQuality(B274)&lt;4,getOtherMax(B274,C274,INDIRECT(J$2),INDIRECT(I274),test),getMax(B274,C274,INDIRECT(J$2),INDIRECT(I274),test))</f>
        <v>6.481481481481465</v>
      </c>
      <c r="F274" s="1" t="str">
        <f t="shared" si="18"/>
        <v>50</v>
      </c>
      <c r="G274" s="1" t="str">
        <f t="shared" si="19"/>
        <v/>
      </c>
      <c r="I274" s="1" t="str">
        <f t="shared" si="17"/>
        <v>威尔新数值1.06.xlsm!suitPower</v>
      </c>
    </row>
    <row r="275" spans="1:9" x14ac:dyDescent="0.15">
      <c r="A275" s="1">
        <v>274</v>
      </c>
      <c r="B275" s="1">
        <v>102010100</v>
      </c>
      <c r="C275" s="3">
        <v>8</v>
      </c>
      <c r="D275" s="5">
        <f ca="1">IF(getQuality(B275)&lt;4,getOtherMin(B275,C275,INDIRECT(J$2),INDIRECT(I275),test),getMin(B275,C275,INDIRECT(J$2),INDIRECT(I275),test))</f>
        <v>1</v>
      </c>
      <c r="E275" s="5">
        <f ca="1">IF(getQuality(B275)&lt;4,getOtherMax(B275,C275,INDIRECT(J$2),INDIRECT(I275),test),getMax(B275,C275,INDIRECT(J$2),INDIRECT(I275),test))</f>
        <v>14.583333333333334</v>
      </c>
      <c r="F275" s="1" t="str">
        <f t="shared" si="18"/>
        <v>50</v>
      </c>
      <c r="G275" s="1" t="str">
        <f t="shared" si="19"/>
        <v/>
      </c>
      <c r="I275" s="1" t="str">
        <f t="shared" si="17"/>
        <v>威尔新数值1.06.xlsm!suitPower</v>
      </c>
    </row>
    <row r="276" spans="1:9" x14ac:dyDescent="0.15">
      <c r="A276" s="1">
        <v>275</v>
      </c>
      <c r="B276" s="1">
        <v>102010100</v>
      </c>
      <c r="C276" s="3">
        <v>9</v>
      </c>
      <c r="D276" s="5">
        <f ca="1">IF(getQuality(B276)&lt;4,getOtherMin(B276,C276,INDIRECT(J$2),INDIRECT(I276),test),getMin(B276,C276,INDIRECT(J$2),INDIRECT(I276),test))</f>
        <v>1</v>
      </c>
      <c r="E276" s="5">
        <f ca="1">IF(getQuality(B276)&lt;4,getOtherMax(B276,C276,INDIRECT(J$2),INDIRECT(I276),test),getMax(B276,C276,INDIRECT(J$2),INDIRECT(I276),test))</f>
        <v>21.008641265250315</v>
      </c>
      <c r="F276" s="1" t="str">
        <f t="shared" si="18"/>
        <v>50</v>
      </c>
      <c r="G276" s="1" t="str">
        <f t="shared" si="19"/>
        <v/>
      </c>
      <c r="I276" s="1" t="str">
        <f t="shared" si="17"/>
        <v>威尔新数值1.06.xlsm!suitPower</v>
      </c>
    </row>
    <row r="277" spans="1:9" x14ac:dyDescent="0.15">
      <c r="A277" s="1">
        <v>276</v>
      </c>
      <c r="B277" s="1">
        <v>102010100</v>
      </c>
      <c r="C277" s="3">
        <v>10</v>
      </c>
      <c r="D277" s="5">
        <f ca="1">IF(getQuality(B277)&lt;4,getOtherMin(B277,C277,INDIRECT(J$2),INDIRECT(I277),test),getMin(B277,C277,INDIRECT(J$2),INDIRECT(I277),test))</f>
        <v>1</v>
      </c>
      <c r="E277" s="5">
        <f ca="1">IF(getQuality(B277)&lt;4,getOtherMax(B277,C277,INDIRECT(J$2),INDIRECT(I277),test),getMax(B277,C277,INDIRECT(J$2),INDIRECT(I277),test))</f>
        <v>21.008641265250315</v>
      </c>
      <c r="F277" s="1" t="str">
        <f t="shared" si="18"/>
        <v>50</v>
      </c>
      <c r="G277" s="1" t="str">
        <f t="shared" si="19"/>
        <v/>
      </c>
      <c r="I277" s="1" t="str">
        <f t="shared" si="17"/>
        <v>威尔新数值1.06.xlsm!suitPower</v>
      </c>
    </row>
    <row r="278" spans="1:9" x14ac:dyDescent="0.15">
      <c r="A278" s="1">
        <v>277</v>
      </c>
      <c r="B278" s="1">
        <v>102010100</v>
      </c>
      <c r="C278" s="3">
        <v>11</v>
      </c>
      <c r="D278" s="5">
        <f ca="1">IF(getQuality(B278)&lt;4,getOtherMin(B278,C278,INDIRECT(J$2),INDIRECT(I278),test),getMin(B278,C278,INDIRECT(J$2),INDIRECT(I278),test))</f>
        <v>1</v>
      </c>
      <c r="E278" s="5">
        <f ca="1">IF(getQuality(B278)&lt;4,getOtherMax(B278,C278,INDIRECT(J$2),INDIRECT(I278),test),getMax(B278,C278,INDIRECT(J$2),INDIRECT(I278),test))</f>
        <v>21.008641265250315</v>
      </c>
      <c r="F278" s="1" t="str">
        <f t="shared" si="18"/>
        <v>50</v>
      </c>
      <c r="G278" s="1" t="str">
        <f t="shared" si="19"/>
        <v/>
      </c>
      <c r="I278" s="1" t="str">
        <f t="shared" si="17"/>
        <v>威尔新数值1.06.xlsm!suitPower</v>
      </c>
    </row>
    <row r="279" spans="1:9" x14ac:dyDescent="0.15">
      <c r="A279" s="1">
        <v>278</v>
      </c>
      <c r="B279" s="1">
        <v>102010100</v>
      </c>
      <c r="C279" s="3">
        <v>12</v>
      </c>
      <c r="D279" s="5">
        <f ca="1">IF(getQuality(B279)&lt;4,getOtherMin(B279,C279,INDIRECT(J$2),INDIRECT(I279),test),getMin(B279,C279,INDIRECT(J$2),INDIRECT(I279),test))</f>
        <v>1</v>
      </c>
      <c r="E279" s="5">
        <f ca="1">IF(getQuality(B279)&lt;4,getOtherMax(B279,C279,INDIRECT(J$2),INDIRECT(I279),test),getMax(B279,C279,INDIRECT(J$2),INDIRECT(I279),test))</f>
        <v>21.008641265250315</v>
      </c>
      <c r="F279" s="1" t="str">
        <f t="shared" si="18"/>
        <v>50</v>
      </c>
      <c r="G279" s="1" t="str">
        <f t="shared" si="19"/>
        <v/>
      </c>
      <c r="I279" s="1" t="str">
        <f t="shared" si="17"/>
        <v>威尔新数值1.06.xlsm!suitPower</v>
      </c>
    </row>
    <row r="280" spans="1:9" x14ac:dyDescent="0.15">
      <c r="A280" s="1">
        <v>279</v>
      </c>
      <c r="B280" s="1">
        <v>102010100</v>
      </c>
      <c r="C280" s="3">
        <v>13</v>
      </c>
      <c r="D280" s="5">
        <f ca="1">IF(getQuality(B280)&lt;4,getOtherMin(B280,C280,INDIRECT(J$2),INDIRECT(I280),test),getMin(B280,C280,INDIRECT(J$2),INDIRECT(I280),test))</f>
        <v>1</v>
      </c>
      <c r="E280" s="5">
        <f ca="1">IF(getQuality(B280)&lt;4,getOtherMax(B280,C280,INDIRECT(J$2),INDIRECT(I280),test),getMax(B280,C280,INDIRECT(J$2),INDIRECT(I280),test))</f>
        <v>21.008641265250315</v>
      </c>
      <c r="F280" s="1" t="str">
        <f t="shared" si="18"/>
        <v>50</v>
      </c>
      <c r="G280" s="1" t="str">
        <f t="shared" si="19"/>
        <v/>
      </c>
      <c r="I280" s="1" t="str">
        <f t="shared" si="17"/>
        <v>威尔新数值1.06.xlsm!suitPower</v>
      </c>
    </row>
    <row r="281" spans="1:9" x14ac:dyDescent="0.15">
      <c r="A281" s="1">
        <v>280</v>
      </c>
      <c r="B281" s="1">
        <v>102010100</v>
      </c>
      <c r="C281" s="3">
        <v>14</v>
      </c>
      <c r="D281" s="5">
        <f ca="1">IF(getQuality(B281)&lt;4,getOtherMin(B281,C281,INDIRECT(J$2),INDIRECT(I281),test),getMin(B281,C281,INDIRECT(J$2),INDIRECT(I281),test))</f>
        <v>1</v>
      </c>
      <c r="E281" s="5">
        <f ca="1">IF(getQuality(B281)&lt;4,getOtherMax(B281,C281,INDIRECT(J$2),INDIRECT(I281),test),getMax(B281,C281,INDIRECT(J$2),INDIRECT(I281),test))</f>
        <v>21.008641265250315</v>
      </c>
      <c r="F281" s="1" t="str">
        <f t="shared" si="18"/>
        <v>50</v>
      </c>
      <c r="G281" s="1" t="str">
        <f t="shared" si="19"/>
        <v/>
      </c>
      <c r="I281" s="1" t="str">
        <f t="shared" si="17"/>
        <v>威尔新数值1.06.xlsm!suitPower</v>
      </c>
    </row>
    <row r="282" spans="1:9" x14ac:dyDescent="0.15">
      <c r="A282" s="1">
        <v>281</v>
      </c>
      <c r="B282" s="1">
        <v>102010100</v>
      </c>
      <c r="C282" s="3">
        <v>15</v>
      </c>
      <c r="D282" s="5">
        <f ca="1">IF(getQuality(B282)&lt;4,getOtherMin(B282,C282,INDIRECT(J$2),INDIRECT(I282),test),getMin(B282,C282,INDIRECT(J$2),INDIRECT(I282),test))</f>
        <v>1</v>
      </c>
      <c r="E282" s="5">
        <f ca="1">IF(getQuality(B282)&lt;4,getOtherMax(B282,C282,INDIRECT(J$2),INDIRECT(I282),test),getMax(B282,C282,INDIRECT(J$2),INDIRECT(I282),test))</f>
        <v>21.008641265250315</v>
      </c>
      <c r="F282" s="1" t="str">
        <f t="shared" si="18"/>
        <v>50</v>
      </c>
      <c r="G282" s="1" t="str">
        <f t="shared" si="19"/>
        <v/>
      </c>
      <c r="I282" s="1" t="str">
        <f t="shared" si="17"/>
        <v>威尔新数值1.06.xlsm!suitPower</v>
      </c>
    </row>
    <row r="283" spans="1:9" x14ac:dyDescent="0.15">
      <c r="A283" s="1">
        <v>282</v>
      </c>
      <c r="B283" s="1">
        <v>102010100</v>
      </c>
      <c r="C283" s="3">
        <v>101</v>
      </c>
      <c r="D283" s="5">
        <f ca="1">IF(getQuality(B283)&lt;4,getOtherMin(B283,C283,INDIRECT(J$2),INDIRECT(I283),test),getMin(B283,C283,INDIRECT(J$2),INDIRECT(I283),test))</f>
        <v>0.06</v>
      </c>
      <c r="E283" s="5">
        <f ca="1">IF(getQuality(B283)&lt;4,getOtherMax(B283,C283,INDIRECT(J$2),INDIRECT(I283),test),getMax(B283,C283,INDIRECT(J$2),INDIRECT(I283),test))</f>
        <v>0.09</v>
      </c>
      <c r="F283" s="1" t="str">
        <f t="shared" si="18"/>
        <v>50</v>
      </c>
      <c r="G283" s="1" t="str">
        <f t="shared" si="19"/>
        <v/>
      </c>
      <c r="I283" s="1" t="str">
        <f t="shared" si="17"/>
        <v>威尔新数值1.06.xlsm!circlePer</v>
      </c>
    </row>
    <row r="284" spans="1:9" x14ac:dyDescent="0.15">
      <c r="A284" s="1">
        <v>283</v>
      </c>
      <c r="B284" s="1">
        <v>102010100</v>
      </c>
      <c r="C284" s="3">
        <v>102</v>
      </c>
      <c r="D284" s="5">
        <f ca="1">IF(getQuality(B284)&lt;4,getOtherMin(B284,C284,INDIRECT(J$2),INDIRECT(I284),test),getMin(B284,C284,INDIRECT(J$2),INDIRECT(I284),test))</f>
        <v>0.4</v>
      </c>
      <c r="E284" s="5">
        <f ca="1">IF(getQuality(B284)&lt;4,getOtherMax(B284,C284,INDIRECT(J$2),INDIRECT(I284),test),getMax(B284,C284,INDIRECT(J$2),INDIRECT(I284),test))</f>
        <v>0.8</v>
      </c>
      <c r="F284" s="1" t="str">
        <f t="shared" si="18"/>
        <v>50</v>
      </c>
      <c r="G284" s="1" t="str">
        <f t="shared" si="19"/>
        <v/>
      </c>
      <c r="I284" s="1" t="str">
        <f t="shared" si="17"/>
        <v>威尔新数值1.06.xlsm!circleValue</v>
      </c>
    </row>
    <row r="285" spans="1:9" x14ac:dyDescent="0.15">
      <c r="A285" s="1">
        <v>284</v>
      </c>
      <c r="B285" s="1">
        <v>102010100</v>
      </c>
      <c r="C285" s="3">
        <v>103</v>
      </c>
      <c r="D285" s="5">
        <f ca="1">IF(getQuality(B285)&lt;4,getOtherMin(B285,C285,INDIRECT(J$2),INDIRECT(I285),test),getMin(B285,C285,INDIRECT(J$2),INDIRECT(I285),test))</f>
        <v>0.06</v>
      </c>
      <c r="E285" s="5">
        <f ca="1">IF(getQuality(B285)&lt;4,getOtherMax(B285,C285,INDIRECT(J$2),INDIRECT(I285),test),getMax(B285,C285,INDIRECT(J$2),INDIRECT(I285),test))</f>
        <v>0.09</v>
      </c>
      <c r="F285" s="1" t="str">
        <f t="shared" si="18"/>
        <v>50</v>
      </c>
      <c r="G285" s="1" t="str">
        <f t="shared" si="19"/>
        <v/>
      </c>
      <c r="I285" s="1" t="str">
        <f t="shared" si="17"/>
        <v>威尔新数值1.06.xlsm!otherDamage</v>
      </c>
    </row>
    <row r="286" spans="1:9" x14ac:dyDescent="0.15">
      <c r="A286" s="1">
        <v>285</v>
      </c>
      <c r="B286" s="1">
        <v>102010100</v>
      </c>
      <c r="C286" s="3">
        <v>104</v>
      </c>
      <c r="D286" s="5">
        <f ca="1">IF(getQuality(B286)&lt;4,getOtherMin(B286,C286,INDIRECT(J$2),INDIRECT(I286),test),getMin(B286,C286,INDIRECT(J$2),INDIRECT(I286),test))</f>
        <v>0.06</v>
      </c>
      <c r="E286" s="5">
        <f ca="1">IF(getQuality(B286)&lt;4,getOtherMax(B286,C286,INDIRECT(J$2),INDIRECT(I286),test),getMax(B286,C286,INDIRECT(J$2),INDIRECT(I286),test))</f>
        <v>0.12</v>
      </c>
      <c r="F286" s="1" t="str">
        <f t="shared" si="18"/>
        <v>50</v>
      </c>
      <c r="G286" s="1" t="str">
        <f t="shared" si="19"/>
        <v/>
      </c>
      <c r="I286" s="1" t="str">
        <f t="shared" si="17"/>
        <v>威尔新数值1.06.xlsm!monsterDamage</v>
      </c>
    </row>
    <row r="287" spans="1:9" x14ac:dyDescent="0.15">
      <c r="A287" s="1">
        <v>286</v>
      </c>
      <c r="B287" s="1">
        <v>102010100</v>
      </c>
      <c r="C287" s="3">
        <v>105</v>
      </c>
      <c r="D287" s="5">
        <f ca="1">IF(getQuality(B287)&lt;4,getOtherMin(B287,C287,INDIRECT(J$2),INDIRECT(I287),test),getMin(B287,C287,INDIRECT(J$2),INDIRECT(I287),test))</f>
        <v>0.06</v>
      </c>
      <c r="E287" s="5">
        <f ca="1">IF(getQuality(B287)&lt;4,getOtherMax(B287,C287,INDIRECT(J$2),INDIRECT(I287),test),getMax(B287,C287,INDIRECT(J$2),INDIRECT(I287),test))</f>
        <v>0.12</v>
      </c>
      <c r="F287" s="1" t="str">
        <f t="shared" si="18"/>
        <v>50</v>
      </c>
      <c r="G287" s="1" t="str">
        <f t="shared" si="19"/>
        <v/>
      </c>
      <c r="I287" s="1" t="str">
        <f t="shared" si="17"/>
        <v>威尔新数值1.06.xlsm!monsterDamage</v>
      </c>
    </row>
    <row r="288" spans="1:9" x14ac:dyDescent="0.15">
      <c r="A288" s="1">
        <v>287</v>
      </c>
      <c r="B288" s="1">
        <v>102010100</v>
      </c>
      <c r="C288" s="3">
        <v>106</v>
      </c>
      <c r="D288" s="5">
        <f ca="1">IF(getQuality(B288)&lt;4,getOtherMin(B288,C288,INDIRECT(J$2),INDIRECT(I288),test),getMin(B288,C288,INDIRECT(J$2),INDIRECT(I288),test))</f>
        <v>0.06</v>
      </c>
      <c r="E288" s="5">
        <f ca="1">IF(getQuality(B288)&lt;4,getOtherMax(B288,C288,INDIRECT(J$2),INDIRECT(I288),test),getMax(B288,C288,INDIRECT(J$2),INDIRECT(I288),test))</f>
        <v>0.12</v>
      </c>
      <c r="F288" s="1" t="str">
        <f t="shared" si="18"/>
        <v>50</v>
      </c>
      <c r="G288" s="1" t="str">
        <f t="shared" si="19"/>
        <v/>
      </c>
      <c r="I288" s="1" t="str">
        <f t="shared" si="17"/>
        <v>威尔新数值1.06.xlsm!monsterDamage</v>
      </c>
    </row>
    <row r="289" spans="1:9" x14ac:dyDescent="0.15">
      <c r="A289" s="1">
        <v>288</v>
      </c>
      <c r="B289" s="1">
        <v>102010100</v>
      </c>
      <c r="C289" s="3">
        <v>107</v>
      </c>
      <c r="D289" s="5">
        <f ca="1">IF(getQuality(B289)&lt;4,getOtherMin(B289,C289,INDIRECT(J$2),INDIRECT(I289),test),getMin(B289,C289,INDIRECT(J$2),INDIRECT(I289),test))</f>
        <v>0.06</v>
      </c>
      <c r="E289" s="5">
        <f ca="1">IF(getQuality(B289)&lt;4,getOtherMax(B289,C289,INDIRECT(J$2),INDIRECT(I289),test),getMax(B289,C289,INDIRECT(J$2),INDIRECT(I289),test))</f>
        <v>0.12</v>
      </c>
      <c r="F289" s="1" t="str">
        <f t="shared" si="18"/>
        <v>50</v>
      </c>
      <c r="G289" s="1" t="str">
        <f t="shared" si="19"/>
        <v/>
      </c>
      <c r="I289" s="1" t="str">
        <f t="shared" si="17"/>
        <v>威尔新数值1.06.xlsm!monsterDamage</v>
      </c>
    </row>
    <row r="290" spans="1:9" x14ac:dyDescent="0.15">
      <c r="A290" s="1">
        <v>289</v>
      </c>
      <c r="B290" s="1">
        <v>102010100</v>
      </c>
      <c r="C290" s="3">
        <v>108</v>
      </c>
      <c r="D290" s="5">
        <f ca="1">IF(getQuality(B290)&lt;4,getOtherMin(B290,C290,INDIRECT(J$2),INDIRECT(I290),test),getMin(B290,C290,INDIRECT(J$2),INDIRECT(I290),test))</f>
        <v>0.06</v>
      </c>
      <c r="E290" s="5">
        <f ca="1">IF(getQuality(B290)&lt;4,getOtherMax(B290,C290,INDIRECT(J$2),INDIRECT(I290),test),getMax(B290,C290,INDIRECT(J$2),INDIRECT(I290),test))</f>
        <v>0.12</v>
      </c>
      <c r="F290" s="1" t="str">
        <f t="shared" si="18"/>
        <v>50</v>
      </c>
      <c r="G290" s="1" t="str">
        <f t="shared" si="19"/>
        <v/>
      </c>
      <c r="I290" s="1" t="str">
        <f t="shared" si="17"/>
        <v>威尔新数值1.06.xlsm!monsterDamage</v>
      </c>
    </row>
    <row r="291" spans="1:9" x14ac:dyDescent="0.15">
      <c r="A291" s="1">
        <v>290</v>
      </c>
      <c r="B291" s="1">
        <v>102020100</v>
      </c>
      <c r="C291" s="1">
        <f>C272</f>
        <v>3</v>
      </c>
      <c r="D291" s="5">
        <f ca="1">IF(getQuality(B291)&lt;4,getOtherMin(B291,C291,INDIRECT(J$2),INDIRECT(I291),test),getMin(B291,C291,INDIRECT(J$2),INDIRECT(I291),test))</f>
        <v>22.008641265250315</v>
      </c>
      <c r="E291" s="5">
        <f ca="1">IF(getQuality(B291)&lt;4,getOtherMax(B291,C291,INDIRECT(J$2),INDIRECT(I291),test),getMax(B291,C291,INDIRECT(J$2),INDIRECT(I291),test))</f>
        <v>46.219010783550694</v>
      </c>
      <c r="F291" s="1" t="str">
        <f t="shared" si="18"/>
        <v>50</v>
      </c>
      <c r="G291" s="1" t="str">
        <f t="shared" si="19"/>
        <v>1</v>
      </c>
      <c r="I291" s="1" t="str">
        <f t="shared" si="17"/>
        <v>威尔新数值1.06.xlsm!suitPower</v>
      </c>
    </row>
    <row r="292" spans="1:9" x14ac:dyDescent="0.15">
      <c r="A292" s="1">
        <v>291</v>
      </c>
      <c r="B292" s="1">
        <v>102020100</v>
      </c>
      <c r="C292" s="1">
        <f t="shared" ref="C292:C355" si="20">C273</f>
        <v>5</v>
      </c>
      <c r="D292" s="5">
        <f ca="1">IF(getQuality(B292)&lt;4,getOtherMin(B292,C292,INDIRECT(J$2),INDIRECT(I292),test),getMin(B292,C292,INDIRECT(J$2),INDIRECT(I292),test))</f>
        <v>22.008641265250315</v>
      </c>
      <c r="E292" s="5">
        <f ca="1">IF(getQuality(B292)&lt;4,getOtherMax(B292,C292,INDIRECT(J$2),INDIRECT(I292),test),getMax(B292,C292,INDIRECT(J$2),INDIRECT(I292),test))</f>
        <v>46.219010783550694</v>
      </c>
      <c r="F292" s="1" t="str">
        <f t="shared" si="18"/>
        <v>50</v>
      </c>
      <c r="G292" s="1" t="str">
        <f t="shared" si="19"/>
        <v/>
      </c>
      <c r="I292" s="1" t="str">
        <f t="shared" si="17"/>
        <v>威尔新数值1.06.xlsm!suitPower</v>
      </c>
    </row>
    <row r="293" spans="1:9" x14ac:dyDescent="0.15">
      <c r="A293" s="1">
        <v>292</v>
      </c>
      <c r="B293" s="1">
        <v>102020100</v>
      </c>
      <c r="C293" s="1">
        <f t="shared" si="20"/>
        <v>7</v>
      </c>
      <c r="D293" s="5">
        <f ca="1">IF(getQuality(B293)&lt;4,getOtherMin(B293,C293,INDIRECT(J$2),INDIRECT(I293),test),getMin(B293,C293,INDIRECT(J$2),INDIRECT(I293),test))</f>
        <v>7.481481481481465</v>
      </c>
      <c r="E293" s="5">
        <f ca="1">IF(getQuality(B293)&lt;4,getOtherMax(B293,C293,INDIRECT(J$2),INDIRECT(I293),test),getMax(B293,C293,INDIRECT(J$2),INDIRECT(I293),test))</f>
        <v>12.96296296296293</v>
      </c>
      <c r="F293" s="1" t="str">
        <f t="shared" si="18"/>
        <v>50</v>
      </c>
      <c r="G293" s="1" t="str">
        <f t="shared" si="19"/>
        <v/>
      </c>
      <c r="I293" s="1" t="str">
        <f t="shared" si="17"/>
        <v>威尔新数值1.06.xlsm!suitPower</v>
      </c>
    </row>
    <row r="294" spans="1:9" x14ac:dyDescent="0.15">
      <c r="A294" s="1">
        <v>293</v>
      </c>
      <c r="B294" s="1">
        <v>102020100</v>
      </c>
      <c r="C294" s="1">
        <f t="shared" si="20"/>
        <v>8</v>
      </c>
      <c r="D294" s="5">
        <f ca="1">IF(getQuality(B294)&lt;4,getOtherMin(B294,C294,INDIRECT(J$2),INDIRECT(I294),test),getMin(B294,C294,INDIRECT(J$2),INDIRECT(I294),test))</f>
        <v>15.583333333333334</v>
      </c>
      <c r="E294" s="5">
        <f ca="1">IF(getQuality(B294)&lt;4,getOtherMax(B294,C294,INDIRECT(J$2),INDIRECT(I294),test),getMax(B294,C294,INDIRECT(J$2),INDIRECT(I294),test))</f>
        <v>29.166666666666668</v>
      </c>
      <c r="F294" s="1" t="str">
        <f t="shared" si="18"/>
        <v>50</v>
      </c>
      <c r="G294" s="1" t="str">
        <f t="shared" si="19"/>
        <v/>
      </c>
      <c r="I294" s="1" t="str">
        <f t="shared" si="17"/>
        <v>威尔新数值1.06.xlsm!suitPower</v>
      </c>
    </row>
    <row r="295" spans="1:9" x14ac:dyDescent="0.15">
      <c r="A295" s="1">
        <v>294</v>
      </c>
      <c r="B295" s="1">
        <v>102020100</v>
      </c>
      <c r="C295" s="1">
        <f t="shared" si="20"/>
        <v>9</v>
      </c>
      <c r="D295" s="5">
        <f ca="1">IF(getQuality(B295)&lt;4,getOtherMin(B295,C295,INDIRECT(J$2),INDIRECT(I295),test),getMin(B295,C295,INDIRECT(J$2),INDIRECT(I295),test))</f>
        <v>22.008641265250315</v>
      </c>
      <c r="E295" s="5">
        <f ca="1">IF(getQuality(B295)&lt;4,getOtherMax(B295,C295,INDIRECT(J$2),INDIRECT(I295),test),getMax(B295,C295,INDIRECT(J$2),INDIRECT(I295),test))</f>
        <v>46.219010783550694</v>
      </c>
      <c r="F295" s="1" t="str">
        <f t="shared" si="18"/>
        <v>50</v>
      </c>
      <c r="G295" s="1" t="str">
        <f t="shared" si="19"/>
        <v/>
      </c>
      <c r="I295" s="1" t="str">
        <f t="shared" si="17"/>
        <v>威尔新数值1.06.xlsm!suitPower</v>
      </c>
    </row>
    <row r="296" spans="1:9" x14ac:dyDescent="0.15">
      <c r="A296" s="1">
        <v>295</v>
      </c>
      <c r="B296" s="1">
        <v>102020100</v>
      </c>
      <c r="C296" s="1">
        <f t="shared" si="20"/>
        <v>10</v>
      </c>
      <c r="D296" s="5">
        <f ca="1">IF(getQuality(B296)&lt;4,getOtherMin(B296,C296,INDIRECT(J$2),INDIRECT(I296),test),getMin(B296,C296,INDIRECT(J$2),INDIRECT(I296),test))</f>
        <v>22.008641265250315</v>
      </c>
      <c r="E296" s="5">
        <f ca="1">IF(getQuality(B296)&lt;4,getOtherMax(B296,C296,INDIRECT(J$2),INDIRECT(I296),test),getMax(B296,C296,INDIRECT(J$2),INDIRECT(I296),test))</f>
        <v>46.219010783550694</v>
      </c>
      <c r="F296" s="1" t="str">
        <f t="shared" si="18"/>
        <v>50</v>
      </c>
      <c r="G296" s="1" t="str">
        <f t="shared" si="19"/>
        <v/>
      </c>
      <c r="I296" s="1" t="str">
        <f t="shared" si="17"/>
        <v>威尔新数值1.06.xlsm!suitPower</v>
      </c>
    </row>
    <row r="297" spans="1:9" x14ac:dyDescent="0.15">
      <c r="A297" s="1">
        <v>296</v>
      </c>
      <c r="B297" s="1">
        <v>102020100</v>
      </c>
      <c r="C297" s="1">
        <f t="shared" si="20"/>
        <v>11</v>
      </c>
      <c r="D297" s="5">
        <f ca="1">IF(getQuality(B297)&lt;4,getOtherMin(B297,C297,INDIRECT(J$2),INDIRECT(I297),test),getMin(B297,C297,INDIRECT(J$2),INDIRECT(I297),test))</f>
        <v>22.008641265250315</v>
      </c>
      <c r="E297" s="5">
        <f ca="1">IF(getQuality(B297)&lt;4,getOtherMax(B297,C297,INDIRECT(J$2),INDIRECT(I297),test),getMax(B297,C297,INDIRECT(J$2),INDIRECT(I297),test))</f>
        <v>46.219010783550694</v>
      </c>
      <c r="F297" s="1" t="str">
        <f t="shared" si="18"/>
        <v>50</v>
      </c>
      <c r="G297" s="1" t="str">
        <f t="shared" si="19"/>
        <v/>
      </c>
      <c r="I297" s="1" t="str">
        <f t="shared" si="17"/>
        <v>威尔新数值1.06.xlsm!suitPower</v>
      </c>
    </row>
    <row r="298" spans="1:9" x14ac:dyDescent="0.15">
      <c r="A298" s="1">
        <v>297</v>
      </c>
      <c r="B298" s="1">
        <v>102020100</v>
      </c>
      <c r="C298" s="1">
        <f t="shared" si="20"/>
        <v>12</v>
      </c>
      <c r="D298" s="5">
        <f ca="1">IF(getQuality(B298)&lt;4,getOtherMin(B298,C298,INDIRECT(J$2),INDIRECT(I298),test),getMin(B298,C298,INDIRECT(J$2),INDIRECT(I298),test))</f>
        <v>22.008641265250315</v>
      </c>
      <c r="E298" s="5">
        <f ca="1">IF(getQuality(B298)&lt;4,getOtherMax(B298,C298,INDIRECT(J$2),INDIRECT(I298),test),getMax(B298,C298,INDIRECT(J$2),INDIRECT(I298),test))</f>
        <v>46.219010783550694</v>
      </c>
      <c r="F298" s="1" t="str">
        <f t="shared" si="18"/>
        <v>50</v>
      </c>
      <c r="G298" s="1" t="str">
        <f t="shared" si="19"/>
        <v/>
      </c>
      <c r="I298" s="1" t="str">
        <f t="shared" si="17"/>
        <v>威尔新数值1.06.xlsm!suitPower</v>
      </c>
    </row>
    <row r="299" spans="1:9" x14ac:dyDescent="0.15">
      <c r="A299" s="1">
        <v>298</v>
      </c>
      <c r="B299" s="1">
        <v>102020100</v>
      </c>
      <c r="C299" s="1">
        <f t="shared" si="20"/>
        <v>13</v>
      </c>
      <c r="D299" s="5">
        <f ca="1">IF(getQuality(B299)&lt;4,getOtherMin(B299,C299,INDIRECT(J$2),INDIRECT(I299),test),getMin(B299,C299,INDIRECT(J$2),INDIRECT(I299),test))</f>
        <v>22.008641265250315</v>
      </c>
      <c r="E299" s="5">
        <f ca="1">IF(getQuality(B299)&lt;4,getOtherMax(B299,C299,INDIRECT(J$2),INDIRECT(I299),test),getMax(B299,C299,INDIRECT(J$2),INDIRECT(I299),test))</f>
        <v>46.219010783550694</v>
      </c>
      <c r="F299" s="1" t="str">
        <f t="shared" si="18"/>
        <v>50</v>
      </c>
      <c r="G299" s="1" t="str">
        <f t="shared" si="19"/>
        <v/>
      </c>
      <c r="I299" s="1" t="str">
        <f t="shared" si="17"/>
        <v>威尔新数值1.06.xlsm!suitPower</v>
      </c>
    </row>
    <row r="300" spans="1:9" x14ac:dyDescent="0.15">
      <c r="A300" s="1">
        <v>299</v>
      </c>
      <c r="B300" s="1">
        <v>102020100</v>
      </c>
      <c r="C300" s="1">
        <f t="shared" si="20"/>
        <v>14</v>
      </c>
      <c r="D300" s="5">
        <f ca="1">IF(getQuality(B300)&lt;4,getOtherMin(B300,C300,INDIRECT(J$2),INDIRECT(I300),test),getMin(B300,C300,INDIRECT(J$2),INDIRECT(I300),test))</f>
        <v>22.008641265250315</v>
      </c>
      <c r="E300" s="5">
        <f ca="1">IF(getQuality(B300)&lt;4,getOtherMax(B300,C300,INDIRECT(J$2),INDIRECT(I300),test),getMax(B300,C300,INDIRECT(J$2),INDIRECT(I300),test))</f>
        <v>46.219010783550694</v>
      </c>
      <c r="F300" s="1" t="str">
        <f t="shared" si="18"/>
        <v>50</v>
      </c>
      <c r="G300" s="1" t="str">
        <f t="shared" si="19"/>
        <v/>
      </c>
      <c r="I300" s="1" t="str">
        <f t="shared" si="17"/>
        <v>威尔新数值1.06.xlsm!suitPower</v>
      </c>
    </row>
    <row r="301" spans="1:9" x14ac:dyDescent="0.15">
      <c r="A301" s="1">
        <v>300</v>
      </c>
      <c r="B301" s="1">
        <v>102020100</v>
      </c>
      <c r="C301" s="1">
        <f t="shared" si="20"/>
        <v>15</v>
      </c>
      <c r="D301" s="5">
        <f ca="1">IF(getQuality(B301)&lt;4,getOtherMin(B301,C301,INDIRECT(J$2),INDIRECT(I301),test),getMin(B301,C301,INDIRECT(J$2),INDIRECT(I301),test))</f>
        <v>22.008641265250315</v>
      </c>
      <c r="E301" s="5">
        <f ca="1">IF(getQuality(B301)&lt;4,getOtherMax(B301,C301,INDIRECT(J$2),INDIRECT(I301),test),getMax(B301,C301,INDIRECT(J$2),INDIRECT(I301),test))</f>
        <v>46.219010783550694</v>
      </c>
      <c r="F301" s="1" t="str">
        <f t="shared" si="18"/>
        <v>50</v>
      </c>
      <c r="G301" s="1" t="str">
        <f t="shared" si="19"/>
        <v/>
      </c>
      <c r="I301" s="1" t="str">
        <f t="shared" si="17"/>
        <v>威尔新数值1.06.xlsm!suitPower</v>
      </c>
    </row>
    <row r="302" spans="1:9" x14ac:dyDescent="0.15">
      <c r="A302" s="1">
        <v>301</v>
      </c>
      <c r="B302" s="1">
        <v>102020100</v>
      </c>
      <c r="C302" s="1">
        <f t="shared" si="20"/>
        <v>101</v>
      </c>
      <c r="D302" s="5">
        <f ca="1">IF(getQuality(B302)&lt;4,getOtherMin(B302,C302,INDIRECT(J$2),INDIRECT(I302),test),getMin(B302,C302,INDIRECT(J$2),INDIRECT(I302),test))</f>
        <v>7.0000000000000007E-2</v>
      </c>
      <c r="E302" s="5">
        <f ca="1">IF(getQuality(B302)&lt;4,getOtherMax(B302,C302,INDIRECT(J$2),INDIRECT(I302),test),getMax(B302,C302,INDIRECT(J$2),INDIRECT(I302),test))</f>
        <v>0.1</v>
      </c>
      <c r="F302" s="1" t="str">
        <f t="shared" si="18"/>
        <v>50</v>
      </c>
      <c r="G302" s="1" t="str">
        <f t="shared" si="19"/>
        <v/>
      </c>
      <c r="I302" s="1" t="str">
        <f t="shared" si="17"/>
        <v>威尔新数值1.06.xlsm!circlePer</v>
      </c>
    </row>
    <row r="303" spans="1:9" x14ac:dyDescent="0.15">
      <c r="A303" s="1">
        <v>302</v>
      </c>
      <c r="B303" s="1">
        <v>102020100</v>
      </c>
      <c r="C303" s="1">
        <f t="shared" si="20"/>
        <v>102</v>
      </c>
      <c r="D303" s="5">
        <f ca="1">IF(getQuality(B303)&lt;4,getOtherMin(B303,C303,INDIRECT(J$2),INDIRECT(I303),test),getMin(B303,C303,INDIRECT(J$2),INDIRECT(I303),test))</f>
        <v>0.5</v>
      </c>
      <c r="E303" s="5">
        <f ca="1">IF(getQuality(B303)&lt;4,getOtherMax(B303,C303,INDIRECT(J$2),INDIRECT(I303),test),getMax(B303,C303,INDIRECT(J$2),INDIRECT(I303),test))</f>
        <v>0.9</v>
      </c>
      <c r="F303" s="1" t="str">
        <f t="shared" si="18"/>
        <v>50</v>
      </c>
      <c r="G303" s="1" t="str">
        <f t="shared" si="19"/>
        <v/>
      </c>
      <c r="I303" s="1" t="str">
        <f t="shared" si="17"/>
        <v>威尔新数值1.06.xlsm!circleValue</v>
      </c>
    </row>
    <row r="304" spans="1:9" x14ac:dyDescent="0.15">
      <c r="A304" s="1">
        <v>303</v>
      </c>
      <c r="B304" s="1">
        <v>102020100</v>
      </c>
      <c r="C304" s="1">
        <f t="shared" si="20"/>
        <v>103</v>
      </c>
      <c r="D304" s="5">
        <f ca="1">IF(getQuality(B304)&lt;4,getOtherMin(B304,C304,INDIRECT(J$2),INDIRECT(I304),test),getMin(B304,C304,INDIRECT(J$2),INDIRECT(I304),test))</f>
        <v>7.0000000000000007E-2</v>
      </c>
      <c r="E304" s="5">
        <f ca="1">IF(getQuality(B304)&lt;4,getOtherMax(B304,C304,INDIRECT(J$2),INDIRECT(I304),test),getMax(B304,C304,INDIRECT(J$2),INDIRECT(I304),test))</f>
        <v>0.1</v>
      </c>
      <c r="F304" s="1" t="str">
        <f t="shared" si="18"/>
        <v>50</v>
      </c>
      <c r="G304" s="1" t="str">
        <f t="shared" si="19"/>
        <v/>
      </c>
      <c r="I304" s="1" t="str">
        <f t="shared" si="17"/>
        <v>威尔新数值1.06.xlsm!otherDamage</v>
      </c>
    </row>
    <row r="305" spans="1:9" x14ac:dyDescent="0.15">
      <c r="A305" s="1">
        <v>304</v>
      </c>
      <c r="B305" s="1">
        <v>102020100</v>
      </c>
      <c r="C305" s="1">
        <f t="shared" si="20"/>
        <v>104</v>
      </c>
      <c r="D305" s="5">
        <f ca="1">IF(getQuality(B305)&lt;4,getOtherMin(B305,C305,INDIRECT(J$2),INDIRECT(I305),test),getMin(B305,C305,INDIRECT(J$2),INDIRECT(I305),test))</f>
        <v>7.0000000000000007E-2</v>
      </c>
      <c r="E305" s="5">
        <f ca="1">IF(getQuality(B305)&lt;4,getOtherMax(B305,C305,INDIRECT(J$2),INDIRECT(I305),test),getMax(B305,C305,INDIRECT(J$2),INDIRECT(I305),test))</f>
        <v>0.14000000000000001</v>
      </c>
      <c r="F305" s="1" t="str">
        <f t="shared" si="18"/>
        <v>50</v>
      </c>
      <c r="G305" s="1" t="str">
        <f t="shared" si="19"/>
        <v/>
      </c>
      <c r="I305" s="1" t="str">
        <f t="shared" si="17"/>
        <v>威尔新数值1.06.xlsm!monsterDamage</v>
      </c>
    </row>
    <row r="306" spans="1:9" x14ac:dyDescent="0.15">
      <c r="A306" s="1">
        <v>305</v>
      </c>
      <c r="B306" s="1">
        <v>102020100</v>
      </c>
      <c r="C306" s="1">
        <f t="shared" si="20"/>
        <v>105</v>
      </c>
      <c r="D306" s="5">
        <f ca="1">IF(getQuality(B306)&lt;4,getOtherMin(B306,C306,INDIRECT(J$2),INDIRECT(I306),test),getMin(B306,C306,INDIRECT(J$2),INDIRECT(I306),test))</f>
        <v>7.0000000000000007E-2</v>
      </c>
      <c r="E306" s="5">
        <f ca="1">IF(getQuality(B306)&lt;4,getOtherMax(B306,C306,INDIRECT(J$2),INDIRECT(I306),test),getMax(B306,C306,INDIRECT(J$2),INDIRECT(I306),test))</f>
        <v>0.14000000000000001</v>
      </c>
      <c r="F306" s="1" t="str">
        <f t="shared" si="18"/>
        <v>50</v>
      </c>
      <c r="G306" s="1" t="str">
        <f t="shared" si="19"/>
        <v/>
      </c>
      <c r="I306" s="1" t="str">
        <f t="shared" si="17"/>
        <v>威尔新数值1.06.xlsm!monsterDamage</v>
      </c>
    </row>
    <row r="307" spans="1:9" x14ac:dyDescent="0.15">
      <c r="A307" s="1">
        <v>306</v>
      </c>
      <c r="B307" s="1">
        <v>102020100</v>
      </c>
      <c r="C307" s="1">
        <f t="shared" si="20"/>
        <v>106</v>
      </c>
      <c r="D307" s="5">
        <f ca="1">IF(getQuality(B307)&lt;4,getOtherMin(B307,C307,INDIRECT(J$2),INDIRECT(I307),test),getMin(B307,C307,INDIRECT(J$2),INDIRECT(I307),test))</f>
        <v>7.0000000000000007E-2</v>
      </c>
      <c r="E307" s="5">
        <f ca="1">IF(getQuality(B307)&lt;4,getOtherMax(B307,C307,INDIRECT(J$2),INDIRECT(I307),test),getMax(B307,C307,INDIRECT(J$2),INDIRECT(I307),test))</f>
        <v>0.14000000000000001</v>
      </c>
      <c r="F307" s="1" t="str">
        <f t="shared" si="18"/>
        <v>50</v>
      </c>
      <c r="G307" s="1" t="str">
        <f t="shared" si="19"/>
        <v/>
      </c>
      <c r="I307" s="1" t="str">
        <f t="shared" si="17"/>
        <v>威尔新数值1.06.xlsm!monsterDamage</v>
      </c>
    </row>
    <row r="308" spans="1:9" x14ac:dyDescent="0.15">
      <c r="A308" s="1">
        <v>307</v>
      </c>
      <c r="B308" s="1">
        <v>102020100</v>
      </c>
      <c r="C308" s="1">
        <f t="shared" si="20"/>
        <v>107</v>
      </c>
      <c r="D308" s="5">
        <f ca="1">IF(getQuality(B308)&lt;4,getOtherMin(B308,C308,INDIRECT(J$2),INDIRECT(I308),test),getMin(B308,C308,INDIRECT(J$2),INDIRECT(I308),test))</f>
        <v>7.0000000000000007E-2</v>
      </c>
      <c r="E308" s="5">
        <f ca="1">IF(getQuality(B308)&lt;4,getOtherMax(B308,C308,INDIRECT(J$2),INDIRECT(I308),test),getMax(B308,C308,INDIRECT(J$2),INDIRECT(I308),test))</f>
        <v>0.14000000000000001</v>
      </c>
      <c r="F308" s="1" t="str">
        <f t="shared" si="18"/>
        <v>50</v>
      </c>
      <c r="G308" s="1" t="str">
        <f t="shared" si="19"/>
        <v/>
      </c>
      <c r="I308" s="1" t="str">
        <f t="shared" si="17"/>
        <v>威尔新数值1.06.xlsm!monsterDamage</v>
      </c>
    </row>
    <row r="309" spans="1:9" x14ac:dyDescent="0.15">
      <c r="A309" s="1">
        <v>308</v>
      </c>
      <c r="B309" s="1">
        <v>102020100</v>
      </c>
      <c r="C309" s="1">
        <f t="shared" si="20"/>
        <v>108</v>
      </c>
      <c r="D309" s="5">
        <f ca="1">IF(getQuality(B309)&lt;4,getOtherMin(B309,C309,INDIRECT(J$2),INDIRECT(I309),test),getMin(B309,C309,INDIRECT(J$2),INDIRECT(I309),test))</f>
        <v>7.0000000000000007E-2</v>
      </c>
      <c r="E309" s="5">
        <f ca="1">IF(getQuality(B309)&lt;4,getOtherMax(B309,C309,INDIRECT(J$2),INDIRECT(I309),test),getMax(B309,C309,INDIRECT(J$2),INDIRECT(I309),test))</f>
        <v>0.14000000000000001</v>
      </c>
      <c r="F309" s="1" t="str">
        <f t="shared" si="18"/>
        <v>50</v>
      </c>
      <c r="G309" s="1" t="str">
        <f t="shared" si="19"/>
        <v/>
      </c>
      <c r="I309" s="1" t="str">
        <f t="shared" si="17"/>
        <v>威尔新数值1.06.xlsm!monsterDamage</v>
      </c>
    </row>
    <row r="310" spans="1:9" x14ac:dyDescent="0.15">
      <c r="A310" s="1">
        <v>309</v>
      </c>
      <c r="B310" s="1">
        <v>102030100</v>
      </c>
      <c r="C310" s="1">
        <f t="shared" si="20"/>
        <v>3</v>
      </c>
      <c r="D310" s="5">
        <f ca="1">IF(getQuality(B310)&lt;4,getOtherMin(B310,C310,INDIRECT(J$2),INDIRECT(I310),test),getMin(B310,C310,INDIRECT(J$2),INDIRECT(I310),test))</f>
        <v>47.219010783550694</v>
      </c>
      <c r="E310" s="5">
        <f ca="1">IF(getQuality(B310)&lt;4,getOtherMax(B310,C310,INDIRECT(J$2),INDIRECT(I310),test),getMax(B310,C310,INDIRECT(J$2),INDIRECT(I310),test))</f>
        <v>75.631108554901132</v>
      </c>
      <c r="F310" s="1" t="str">
        <f t="shared" si="18"/>
        <v>50</v>
      </c>
      <c r="G310" s="1" t="str">
        <f t="shared" si="19"/>
        <v>1</v>
      </c>
      <c r="I310" s="1" t="str">
        <f t="shared" si="17"/>
        <v>威尔新数值1.06.xlsm!suitPower</v>
      </c>
    </row>
    <row r="311" spans="1:9" x14ac:dyDescent="0.15">
      <c r="A311" s="1">
        <v>310</v>
      </c>
      <c r="B311" s="1">
        <v>102030100</v>
      </c>
      <c r="C311" s="1">
        <f t="shared" si="20"/>
        <v>5</v>
      </c>
      <c r="D311" s="5">
        <f ca="1">IF(getQuality(B311)&lt;4,getOtherMin(B311,C311,INDIRECT(J$2),INDIRECT(I311),test),getMin(B311,C311,INDIRECT(J$2),INDIRECT(I311),test))</f>
        <v>47.219010783550694</v>
      </c>
      <c r="E311" s="5">
        <f ca="1">IF(getQuality(B311)&lt;4,getOtherMax(B311,C311,INDIRECT(J$2),INDIRECT(I311),test),getMax(B311,C311,INDIRECT(J$2),INDIRECT(I311),test))</f>
        <v>75.631108554901132</v>
      </c>
      <c r="F311" s="1" t="str">
        <f t="shared" si="18"/>
        <v>50</v>
      </c>
      <c r="G311" s="1" t="str">
        <f t="shared" si="19"/>
        <v/>
      </c>
      <c r="I311" s="1" t="str">
        <f t="shared" si="17"/>
        <v>威尔新数值1.06.xlsm!suitPower</v>
      </c>
    </row>
    <row r="312" spans="1:9" x14ac:dyDescent="0.15">
      <c r="A312" s="1">
        <v>311</v>
      </c>
      <c r="B312" s="1">
        <v>102030100</v>
      </c>
      <c r="C312" s="1">
        <f t="shared" si="20"/>
        <v>7</v>
      </c>
      <c r="D312" s="5">
        <f ca="1">IF(getQuality(B312)&lt;4,getOtherMin(B312,C312,INDIRECT(J$2),INDIRECT(I312),test),getMin(B312,C312,INDIRECT(J$2),INDIRECT(I312),test))</f>
        <v>13.96296296296293</v>
      </c>
      <c r="E312" s="5">
        <f ca="1">IF(getQuality(B312)&lt;4,getOtherMax(B312,C312,INDIRECT(J$2),INDIRECT(I312),test),getMax(B312,C312,INDIRECT(J$2),INDIRECT(I312),test))</f>
        <v>19.444444444444393</v>
      </c>
      <c r="F312" s="1" t="str">
        <f t="shared" si="18"/>
        <v>50</v>
      </c>
      <c r="G312" s="1" t="str">
        <f t="shared" si="19"/>
        <v/>
      </c>
      <c r="I312" s="1" t="str">
        <f t="shared" si="17"/>
        <v>威尔新数值1.06.xlsm!suitPower</v>
      </c>
    </row>
    <row r="313" spans="1:9" x14ac:dyDescent="0.15">
      <c r="A313" s="1">
        <v>312</v>
      </c>
      <c r="B313" s="1">
        <v>102030100</v>
      </c>
      <c r="C313" s="1">
        <f t="shared" si="20"/>
        <v>8</v>
      </c>
      <c r="D313" s="5">
        <f ca="1">IF(getQuality(B313)&lt;4,getOtherMin(B313,C313,INDIRECT(J$2),INDIRECT(I313),test),getMin(B313,C313,INDIRECT(J$2),INDIRECT(I313),test))</f>
        <v>30.166666666666668</v>
      </c>
      <c r="E313" s="5">
        <f ca="1">IF(getQuality(B313)&lt;4,getOtherMax(B313,C313,INDIRECT(J$2),INDIRECT(I313),test),getMax(B313,C313,INDIRECT(J$2),INDIRECT(I313),test))</f>
        <v>43.75</v>
      </c>
      <c r="F313" s="1" t="str">
        <f t="shared" si="18"/>
        <v>50</v>
      </c>
      <c r="G313" s="1" t="str">
        <f t="shared" si="19"/>
        <v/>
      </c>
      <c r="I313" s="1" t="str">
        <f t="shared" si="17"/>
        <v>威尔新数值1.06.xlsm!suitPower</v>
      </c>
    </row>
    <row r="314" spans="1:9" x14ac:dyDescent="0.15">
      <c r="A314" s="1">
        <v>313</v>
      </c>
      <c r="B314" s="1">
        <v>102030100</v>
      </c>
      <c r="C314" s="1">
        <f t="shared" si="20"/>
        <v>9</v>
      </c>
      <c r="D314" s="5">
        <f ca="1">IF(getQuality(B314)&lt;4,getOtherMin(B314,C314,INDIRECT(J$2),INDIRECT(I314),test),getMin(B314,C314,INDIRECT(J$2),INDIRECT(I314),test))</f>
        <v>47.219010783550694</v>
      </c>
      <c r="E314" s="5">
        <f ca="1">IF(getQuality(B314)&lt;4,getOtherMax(B314,C314,INDIRECT(J$2),INDIRECT(I314),test),getMax(B314,C314,INDIRECT(J$2),INDIRECT(I314),test))</f>
        <v>75.631108554901132</v>
      </c>
      <c r="F314" s="1" t="str">
        <f t="shared" si="18"/>
        <v>50</v>
      </c>
      <c r="G314" s="1" t="str">
        <f t="shared" si="19"/>
        <v/>
      </c>
      <c r="I314" s="1" t="str">
        <f t="shared" si="17"/>
        <v>威尔新数值1.06.xlsm!suitPower</v>
      </c>
    </row>
    <row r="315" spans="1:9" x14ac:dyDescent="0.15">
      <c r="A315" s="1">
        <v>314</v>
      </c>
      <c r="B315" s="1">
        <v>102030100</v>
      </c>
      <c r="C315" s="1">
        <f t="shared" si="20"/>
        <v>10</v>
      </c>
      <c r="D315" s="5">
        <f ca="1">IF(getQuality(B315)&lt;4,getOtherMin(B315,C315,INDIRECT(J$2),INDIRECT(I315),test),getMin(B315,C315,INDIRECT(J$2),INDIRECT(I315),test))</f>
        <v>47.219010783550694</v>
      </c>
      <c r="E315" s="5">
        <f ca="1">IF(getQuality(B315)&lt;4,getOtherMax(B315,C315,INDIRECT(J$2),INDIRECT(I315),test),getMax(B315,C315,INDIRECT(J$2),INDIRECT(I315),test))</f>
        <v>75.631108554901132</v>
      </c>
      <c r="F315" s="1" t="str">
        <f t="shared" si="18"/>
        <v>50</v>
      </c>
      <c r="G315" s="1" t="str">
        <f t="shared" si="19"/>
        <v/>
      </c>
      <c r="I315" s="1" t="str">
        <f t="shared" si="17"/>
        <v>威尔新数值1.06.xlsm!suitPower</v>
      </c>
    </row>
    <row r="316" spans="1:9" x14ac:dyDescent="0.15">
      <c r="A316" s="1">
        <v>315</v>
      </c>
      <c r="B316" s="1">
        <v>102030100</v>
      </c>
      <c r="C316" s="1">
        <f t="shared" si="20"/>
        <v>11</v>
      </c>
      <c r="D316" s="5">
        <f ca="1">IF(getQuality(B316)&lt;4,getOtherMin(B316,C316,INDIRECT(J$2),INDIRECT(I316),test),getMin(B316,C316,INDIRECT(J$2),INDIRECT(I316),test))</f>
        <v>47.219010783550694</v>
      </c>
      <c r="E316" s="5">
        <f ca="1">IF(getQuality(B316)&lt;4,getOtherMax(B316,C316,INDIRECT(J$2),INDIRECT(I316),test),getMax(B316,C316,INDIRECT(J$2),INDIRECT(I316),test))</f>
        <v>75.631108554901132</v>
      </c>
      <c r="F316" s="1" t="str">
        <f t="shared" si="18"/>
        <v>50</v>
      </c>
      <c r="G316" s="1" t="str">
        <f t="shared" si="19"/>
        <v/>
      </c>
      <c r="I316" s="1" t="str">
        <f t="shared" si="17"/>
        <v>威尔新数值1.06.xlsm!suitPower</v>
      </c>
    </row>
    <row r="317" spans="1:9" x14ac:dyDescent="0.15">
      <c r="A317" s="1">
        <v>316</v>
      </c>
      <c r="B317" s="1">
        <v>102030100</v>
      </c>
      <c r="C317" s="1">
        <f t="shared" si="20"/>
        <v>12</v>
      </c>
      <c r="D317" s="5">
        <f ca="1">IF(getQuality(B317)&lt;4,getOtherMin(B317,C317,INDIRECT(J$2),INDIRECT(I317),test),getMin(B317,C317,INDIRECT(J$2),INDIRECT(I317),test))</f>
        <v>47.219010783550694</v>
      </c>
      <c r="E317" s="5">
        <f ca="1">IF(getQuality(B317)&lt;4,getOtherMax(B317,C317,INDIRECT(J$2),INDIRECT(I317),test),getMax(B317,C317,INDIRECT(J$2),INDIRECT(I317),test))</f>
        <v>75.631108554901132</v>
      </c>
      <c r="F317" s="1" t="str">
        <f t="shared" si="18"/>
        <v>50</v>
      </c>
      <c r="G317" s="1" t="str">
        <f t="shared" si="19"/>
        <v/>
      </c>
      <c r="I317" s="1" t="str">
        <f t="shared" si="17"/>
        <v>威尔新数值1.06.xlsm!suitPower</v>
      </c>
    </row>
    <row r="318" spans="1:9" x14ac:dyDescent="0.15">
      <c r="A318" s="1">
        <v>317</v>
      </c>
      <c r="B318" s="1">
        <v>102030100</v>
      </c>
      <c r="C318" s="1">
        <f t="shared" si="20"/>
        <v>13</v>
      </c>
      <c r="D318" s="5">
        <f ca="1">IF(getQuality(B318)&lt;4,getOtherMin(B318,C318,INDIRECT(J$2),INDIRECT(I318),test),getMin(B318,C318,INDIRECT(J$2),INDIRECT(I318),test))</f>
        <v>47.219010783550694</v>
      </c>
      <c r="E318" s="5">
        <f ca="1">IF(getQuality(B318)&lt;4,getOtherMax(B318,C318,INDIRECT(J$2),INDIRECT(I318),test),getMax(B318,C318,INDIRECT(J$2),INDIRECT(I318),test))</f>
        <v>75.631108554901132</v>
      </c>
      <c r="F318" s="1" t="str">
        <f t="shared" si="18"/>
        <v>50</v>
      </c>
      <c r="G318" s="1" t="str">
        <f t="shared" si="19"/>
        <v/>
      </c>
      <c r="I318" s="1" t="str">
        <f t="shared" si="17"/>
        <v>威尔新数值1.06.xlsm!suitPower</v>
      </c>
    </row>
    <row r="319" spans="1:9" x14ac:dyDescent="0.15">
      <c r="A319" s="1">
        <v>318</v>
      </c>
      <c r="B319" s="1">
        <v>102030100</v>
      </c>
      <c r="C319" s="1">
        <f t="shared" si="20"/>
        <v>14</v>
      </c>
      <c r="D319" s="5">
        <f ca="1">IF(getQuality(B319)&lt;4,getOtherMin(B319,C319,INDIRECT(J$2),INDIRECT(I319),test),getMin(B319,C319,INDIRECT(J$2),INDIRECT(I319),test))</f>
        <v>47.219010783550694</v>
      </c>
      <c r="E319" s="5">
        <f ca="1">IF(getQuality(B319)&lt;4,getOtherMax(B319,C319,INDIRECT(J$2),INDIRECT(I319),test),getMax(B319,C319,INDIRECT(J$2),INDIRECT(I319),test))</f>
        <v>75.631108554901132</v>
      </c>
      <c r="F319" s="1" t="str">
        <f t="shared" si="18"/>
        <v>50</v>
      </c>
      <c r="G319" s="1" t="str">
        <f t="shared" si="19"/>
        <v/>
      </c>
      <c r="I319" s="1" t="str">
        <f t="shared" si="17"/>
        <v>威尔新数值1.06.xlsm!suitPower</v>
      </c>
    </row>
    <row r="320" spans="1:9" x14ac:dyDescent="0.15">
      <c r="A320" s="1">
        <v>319</v>
      </c>
      <c r="B320" s="1">
        <v>102030100</v>
      </c>
      <c r="C320" s="1">
        <f t="shared" si="20"/>
        <v>15</v>
      </c>
      <c r="D320" s="5">
        <f ca="1">IF(getQuality(B320)&lt;4,getOtherMin(B320,C320,INDIRECT(J$2),INDIRECT(I320),test),getMin(B320,C320,INDIRECT(J$2),INDIRECT(I320),test))</f>
        <v>47.219010783550694</v>
      </c>
      <c r="E320" s="5">
        <f ca="1">IF(getQuality(B320)&lt;4,getOtherMax(B320,C320,INDIRECT(J$2),INDIRECT(I320),test),getMax(B320,C320,INDIRECT(J$2),INDIRECT(I320),test))</f>
        <v>75.631108554901132</v>
      </c>
      <c r="F320" s="1" t="str">
        <f t="shared" si="18"/>
        <v>50</v>
      </c>
      <c r="G320" s="1" t="str">
        <f t="shared" si="19"/>
        <v/>
      </c>
      <c r="I320" s="1" t="str">
        <f t="shared" si="17"/>
        <v>威尔新数值1.06.xlsm!suitPower</v>
      </c>
    </row>
    <row r="321" spans="1:9" x14ac:dyDescent="0.15">
      <c r="A321" s="1">
        <v>320</v>
      </c>
      <c r="B321" s="1">
        <v>102030100</v>
      </c>
      <c r="C321" s="1">
        <f t="shared" si="20"/>
        <v>101</v>
      </c>
      <c r="D321" s="5">
        <f ca="1">IF(getQuality(B321)&lt;4,getOtherMin(B321,C321,INDIRECT(J$2),INDIRECT(I321),test),getMin(B321,C321,INDIRECT(J$2),INDIRECT(I321),test))</f>
        <v>0.08</v>
      </c>
      <c r="E321" s="5">
        <f ca="1">IF(getQuality(B321)&lt;4,getOtherMax(B321,C321,INDIRECT(J$2),INDIRECT(I321),test),getMax(B321,C321,INDIRECT(J$2),INDIRECT(I321),test))</f>
        <v>0.11</v>
      </c>
      <c r="F321" s="1" t="str">
        <f t="shared" si="18"/>
        <v>50</v>
      </c>
      <c r="G321" s="1" t="str">
        <f t="shared" si="19"/>
        <v/>
      </c>
      <c r="I321" s="1" t="str">
        <f t="shared" si="17"/>
        <v>威尔新数值1.06.xlsm!circlePer</v>
      </c>
    </row>
    <row r="322" spans="1:9" x14ac:dyDescent="0.15">
      <c r="A322" s="1">
        <v>321</v>
      </c>
      <c r="B322" s="1">
        <v>102030100</v>
      </c>
      <c r="C322" s="1">
        <f t="shared" si="20"/>
        <v>102</v>
      </c>
      <c r="D322" s="5">
        <f ca="1">IF(getQuality(B322)&lt;4,getOtherMin(B322,C322,INDIRECT(J$2),INDIRECT(I322),test),getMin(B322,C322,INDIRECT(J$2),INDIRECT(I322),test))</f>
        <v>0.6</v>
      </c>
      <c r="E322" s="5">
        <f ca="1">IF(getQuality(B322)&lt;4,getOtherMax(B322,C322,INDIRECT(J$2),INDIRECT(I322),test),getMax(B322,C322,INDIRECT(J$2),INDIRECT(I322),test))</f>
        <v>1</v>
      </c>
      <c r="F322" s="1" t="str">
        <f t="shared" si="18"/>
        <v>50</v>
      </c>
      <c r="G322" s="1" t="str">
        <f t="shared" si="19"/>
        <v/>
      </c>
      <c r="I322" s="1" t="str">
        <f t="shared" ref="I322:I385" si="21">IF(C322&lt;100,VLOOKUP(C322,test,3,FALSE),VLOOKUP(C322,test1,3,FALSE))</f>
        <v>威尔新数值1.06.xlsm!circleValue</v>
      </c>
    </row>
    <row r="323" spans="1:9" x14ac:dyDescent="0.15">
      <c r="A323" s="1">
        <v>322</v>
      </c>
      <c r="B323" s="1">
        <v>102030100</v>
      </c>
      <c r="C323" s="1">
        <f t="shared" si="20"/>
        <v>103</v>
      </c>
      <c r="D323" s="5">
        <f ca="1">IF(getQuality(B323)&lt;4,getOtherMin(B323,C323,INDIRECT(J$2),INDIRECT(I323),test),getMin(B323,C323,INDIRECT(J$2),INDIRECT(I323),test))</f>
        <v>0.08</v>
      </c>
      <c r="E323" s="5">
        <f ca="1">IF(getQuality(B323)&lt;4,getOtherMax(B323,C323,INDIRECT(J$2),INDIRECT(I323),test),getMax(B323,C323,INDIRECT(J$2),INDIRECT(I323),test))</f>
        <v>0.11</v>
      </c>
      <c r="F323" s="1" t="str">
        <f t="shared" ref="F323:F386" si="22">getper(B323,C323)</f>
        <v>50</v>
      </c>
      <c r="G323" s="1" t="str">
        <f t="shared" ref="G323:G386" si="23">getMust(B323,C323)</f>
        <v/>
      </c>
      <c r="I323" s="1" t="str">
        <f t="shared" si="21"/>
        <v>威尔新数值1.06.xlsm!otherDamage</v>
      </c>
    </row>
    <row r="324" spans="1:9" x14ac:dyDescent="0.15">
      <c r="A324" s="1">
        <v>323</v>
      </c>
      <c r="B324" s="1">
        <v>102030100</v>
      </c>
      <c r="C324" s="1">
        <f t="shared" si="20"/>
        <v>104</v>
      </c>
      <c r="D324" s="5">
        <f ca="1">IF(getQuality(B324)&lt;4,getOtherMin(B324,C324,INDIRECT(J$2),INDIRECT(I324),test),getMin(B324,C324,INDIRECT(J$2),INDIRECT(I324),test))</f>
        <v>0.08</v>
      </c>
      <c r="E324" s="5">
        <f ca="1">IF(getQuality(B324)&lt;4,getOtherMax(B324,C324,INDIRECT(J$2),INDIRECT(I324),test),getMax(B324,C324,INDIRECT(J$2),INDIRECT(I324),test))</f>
        <v>0.16</v>
      </c>
      <c r="F324" s="1" t="str">
        <f t="shared" si="22"/>
        <v>50</v>
      </c>
      <c r="G324" s="1" t="str">
        <f t="shared" si="23"/>
        <v/>
      </c>
      <c r="I324" s="1" t="str">
        <f t="shared" si="21"/>
        <v>威尔新数值1.06.xlsm!monsterDamage</v>
      </c>
    </row>
    <row r="325" spans="1:9" x14ac:dyDescent="0.15">
      <c r="A325" s="1">
        <v>324</v>
      </c>
      <c r="B325" s="1">
        <v>102030100</v>
      </c>
      <c r="C325" s="1">
        <f t="shared" si="20"/>
        <v>105</v>
      </c>
      <c r="D325" s="5">
        <f ca="1">IF(getQuality(B325)&lt;4,getOtherMin(B325,C325,INDIRECT(J$2),INDIRECT(I325),test),getMin(B325,C325,INDIRECT(J$2),INDIRECT(I325),test))</f>
        <v>0.08</v>
      </c>
      <c r="E325" s="5">
        <f ca="1">IF(getQuality(B325)&lt;4,getOtherMax(B325,C325,INDIRECT(J$2),INDIRECT(I325),test),getMax(B325,C325,INDIRECT(J$2),INDIRECT(I325),test))</f>
        <v>0.16</v>
      </c>
      <c r="F325" s="1" t="str">
        <f t="shared" si="22"/>
        <v>50</v>
      </c>
      <c r="G325" s="1" t="str">
        <f t="shared" si="23"/>
        <v/>
      </c>
      <c r="I325" s="1" t="str">
        <f t="shared" si="21"/>
        <v>威尔新数值1.06.xlsm!monsterDamage</v>
      </c>
    </row>
    <row r="326" spans="1:9" x14ac:dyDescent="0.15">
      <c r="A326" s="1">
        <v>325</v>
      </c>
      <c r="B326" s="1">
        <v>102030100</v>
      </c>
      <c r="C326" s="1">
        <f t="shared" si="20"/>
        <v>106</v>
      </c>
      <c r="D326" s="5">
        <f ca="1">IF(getQuality(B326)&lt;4,getOtherMin(B326,C326,INDIRECT(J$2),INDIRECT(I326),test),getMin(B326,C326,INDIRECT(J$2),INDIRECT(I326),test))</f>
        <v>0.08</v>
      </c>
      <c r="E326" s="5">
        <f ca="1">IF(getQuality(B326)&lt;4,getOtherMax(B326,C326,INDIRECT(J$2),INDIRECT(I326),test),getMax(B326,C326,INDIRECT(J$2),INDIRECT(I326),test))</f>
        <v>0.16</v>
      </c>
      <c r="F326" s="1" t="str">
        <f t="shared" si="22"/>
        <v>50</v>
      </c>
      <c r="G326" s="1" t="str">
        <f t="shared" si="23"/>
        <v/>
      </c>
      <c r="I326" s="1" t="str">
        <f t="shared" si="21"/>
        <v>威尔新数值1.06.xlsm!monsterDamage</v>
      </c>
    </row>
    <row r="327" spans="1:9" x14ac:dyDescent="0.15">
      <c r="A327" s="1">
        <v>326</v>
      </c>
      <c r="B327" s="1">
        <v>102030100</v>
      </c>
      <c r="C327" s="1">
        <f t="shared" si="20"/>
        <v>107</v>
      </c>
      <c r="D327" s="5">
        <f ca="1">IF(getQuality(B327)&lt;4,getOtherMin(B327,C327,INDIRECT(J$2),INDIRECT(I327),test),getMin(B327,C327,INDIRECT(J$2),INDIRECT(I327),test))</f>
        <v>0.08</v>
      </c>
      <c r="E327" s="5">
        <f ca="1">IF(getQuality(B327)&lt;4,getOtherMax(B327,C327,INDIRECT(J$2),INDIRECT(I327),test),getMax(B327,C327,INDIRECT(J$2),INDIRECT(I327),test))</f>
        <v>0.16</v>
      </c>
      <c r="F327" s="1" t="str">
        <f t="shared" si="22"/>
        <v>50</v>
      </c>
      <c r="G327" s="1" t="str">
        <f t="shared" si="23"/>
        <v/>
      </c>
      <c r="I327" s="1" t="str">
        <f t="shared" si="21"/>
        <v>威尔新数值1.06.xlsm!monsterDamage</v>
      </c>
    </row>
    <row r="328" spans="1:9" x14ac:dyDescent="0.15">
      <c r="A328" s="1">
        <v>327</v>
      </c>
      <c r="B328" s="1">
        <v>102030100</v>
      </c>
      <c r="C328" s="1">
        <f t="shared" si="20"/>
        <v>108</v>
      </c>
      <c r="D328" s="5">
        <f ca="1">IF(getQuality(B328)&lt;4,getOtherMin(B328,C328,INDIRECT(J$2),INDIRECT(I328),test),getMin(B328,C328,INDIRECT(J$2),INDIRECT(I328),test))</f>
        <v>0.08</v>
      </c>
      <c r="E328" s="5">
        <f ca="1">IF(getQuality(B328)&lt;4,getOtherMax(B328,C328,INDIRECT(J$2),INDIRECT(I328),test),getMax(B328,C328,INDIRECT(J$2),INDIRECT(I328),test))</f>
        <v>0.16</v>
      </c>
      <c r="F328" s="1" t="str">
        <f t="shared" si="22"/>
        <v>50</v>
      </c>
      <c r="G328" s="1" t="str">
        <f t="shared" si="23"/>
        <v/>
      </c>
      <c r="I328" s="1" t="str">
        <f t="shared" si="21"/>
        <v>威尔新数值1.06.xlsm!monsterDamage</v>
      </c>
    </row>
    <row r="329" spans="1:9" x14ac:dyDescent="0.15">
      <c r="A329" s="1">
        <v>328</v>
      </c>
      <c r="B329" s="1">
        <v>102040100</v>
      </c>
      <c r="C329" s="1">
        <f t="shared" si="20"/>
        <v>3</v>
      </c>
      <c r="D329" s="5">
        <f ca="1">IF(getQuality(B329)&lt;4,getOtherMin(B329,C329,INDIRECT(J$2),INDIRECT(I329),test),getMin(B329,C329,INDIRECT(J$2),INDIRECT(I329),test))</f>
        <v>76.631108554901132</v>
      </c>
      <c r="E329" s="5">
        <f ca="1">IF(getQuality(B329)&lt;4,getOtherMax(B329,C329,INDIRECT(J$2),INDIRECT(I329),test),getMax(B329,C329,INDIRECT(J$2),INDIRECT(I329),test))</f>
        <v>109.24493457930163</v>
      </c>
      <c r="F329" s="1" t="str">
        <f t="shared" si="22"/>
        <v>50</v>
      </c>
      <c r="G329" s="1" t="str">
        <f t="shared" si="23"/>
        <v>1</v>
      </c>
      <c r="I329" s="1" t="str">
        <f t="shared" si="21"/>
        <v>威尔新数值1.06.xlsm!suitPower</v>
      </c>
    </row>
    <row r="330" spans="1:9" x14ac:dyDescent="0.15">
      <c r="A330" s="1">
        <v>329</v>
      </c>
      <c r="B330" s="1">
        <v>102040100</v>
      </c>
      <c r="C330" s="1">
        <f t="shared" si="20"/>
        <v>5</v>
      </c>
      <c r="D330" s="5">
        <f ca="1">IF(getQuality(B330)&lt;4,getOtherMin(B330,C330,INDIRECT(J$2),INDIRECT(I330),test),getMin(B330,C330,INDIRECT(J$2),INDIRECT(I330),test))</f>
        <v>76.631108554901132</v>
      </c>
      <c r="E330" s="5">
        <f ca="1">IF(getQuality(B330)&lt;4,getOtherMax(B330,C330,INDIRECT(J$2),INDIRECT(I330),test),getMax(B330,C330,INDIRECT(J$2),INDIRECT(I330),test))</f>
        <v>109.24493457930163</v>
      </c>
      <c r="F330" s="1" t="str">
        <f t="shared" si="22"/>
        <v>50</v>
      </c>
      <c r="G330" s="1" t="str">
        <f t="shared" si="23"/>
        <v/>
      </c>
      <c r="I330" s="1" t="str">
        <f t="shared" si="21"/>
        <v>威尔新数值1.06.xlsm!suitPower</v>
      </c>
    </row>
    <row r="331" spans="1:9" x14ac:dyDescent="0.15">
      <c r="A331" s="1">
        <v>330</v>
      </c>
      <c r="B331" s="1">
        <v>102040100</v>
      </c>
      <c r="C331" s="1">
        <f t="shared" si="20"/>
        <v>7</v>
      </c>
      <c r="D331" s="5">
        <f ca="1">IF(getQuality(B331)&lt;4,getOtherMin(B331,C331,INDIRECT(J$2),INDIRECT(I331),test),getMin(B331,C331,INDIRECT(J$2),INDIRECT(I331),test))</f>
        <v>20.444444444444393</v>
      </c>
      <c r="E331" s="5">
        <f ca="1">IF(getQuality(B331)&lt;4,getOtherMax(B331,C331,INDIRECT(J$2),INDIRECT(I331),test),getMax(B331,C331,INDIRECT(J$2),INDIRECT(I331),test))</f>
        <v>25.92592592592586</v>
      </c>
      <c r="F331" s="1" t="str">
        <f t="shared" si="22"/>
        <v>50</v>
      </c>
      <c r="G331" s="1" t="str">
        <f t="shared" si="23"/>
        <v/>
      </c>
      <c r="I331" s="1" t="str">
        <f t="shared" si="21"/>
        <v>威尔新数值1.06.xlsm!suitPower</v>
      </c>
    </row>
    <row r="332" spans="1:9" x14ac:dyDescent="0.15">
      <c r="A332" s="1">
        <v>331</v>
      </c>
      <c r="B332" s="1">
        <v>102040100</v>
      </c>
      <c r="C332" s="1">
        <f t="shared" si="20"/>
        <v>8</v>
      </c>
      <c r="D332" s="5">
        <f ca="1">IF(getQuality(B332)&lt;4,getOtherMin(B332,C332,INDIRECT(J$2),INDIRECT(I332),test),getMin(B332,C332,INDIRECT(J$2),INDIRECT(I332),test))</f>
        <v>44.75</v>
      </c>
      <c r="E332" s="5">
        <f ca="1">IF(getQuality(B332)&lt;4,getOtherMax(B332,C332,INDIRECT(J$2),INDIRECT(I332),test),getMax(B332,C332,INDIRECT(J$2),INDIRECT(I332),test))</f>
        <v>58.333333333333336</v>
      </c>
      <c r="F332" s="1" t="str">
        <f t="shared" si="22"/>
        <v>50</v>
      </c>
      <c r="G332" s="1" t="str">
        <f t="shared" si="23"/>
        <v/>
      </c>
      <c r="I332" s="1" t="str">
        <f t="shared" si="21"/>
        <v>威尔新数值1.06.xlsm!suitPower</v>
      </c>
    </row>
    <row r="333" spans="1:9" x14ac:dyDescent="0.15">
      <c r="A333" s="1">
        <v>332</v>
      </c>
      <c r="B333" s="1">
        <v>102040100</v>
      </c>
      <c r="C333" s="1">
        <f t="shared" si="20"/>
        <v>9</v>
      </c>
      <c r="D333" s="5">
        <f ca="1">IF(getQuality(B333)&lt;4,getOtherMin(B333,C333,INDIRECT(J$2),INDIRECT(I333),test),getMin(B333,C333,INDIRECT(J$2),INDIRECT(I333),test))</f>
        <v>76.631108554901132</v>
      </c>
      <c r="E333" s="5">
        <f ca="1">IF(getQuality(B333)&lt;4,getOtherMax(B333,C333,INDIRECT(J$2),INDIRECT(I333),test),getMax(B333,C333,INDIRECT(J$2),INDIRECT(I333),test))</f>
        <v>109.24493457930163</v>
      </c>
      <c r="F333" s="1" t="str">
        <f t="shared" si="22"/>
        <v>50</v>
      </c>
      <c r="G333" s="1" t="str">
        <f t="shared" si="23"/>
        <v/>
      </c>
      <c r="I333" s="1" t="str">
        <f t="shared" si="21"/>
        <v>威尔新数值1.06.xlsm!suitPower</v>
      </c>
    </row>
    <row r="334" spans="1:9" x14ac:dyDescent="0.15">
      <c r="A334" s="1">
        <v>333</v>
      </c>
      <c r="B334" s="1">
        <v>102040100</v>
      </c>
      <c r="C334" s="1">
        <f t="shared" si="20"/>
        <v>10</v>
      </c>
      <c r="D334" s="5">
        <f ca="1">IF(getQuality(B334)&lt;4,getOtherMin(B334,C334,INDIRECT(J$2),INDIRECT(I334),test),getMin(B334,C334,INDIRECT(J$2),INDIRECT(I334),test))</f>
        <v>76.631108554901132</v>
      </c>
      <c r="E334" s="5">
        <f ca="1">IF(getQuality(B334)&lt;4,getOtherMax(B334,C334,INDIRECT(J$2),INDIRECT(I334),test),getMax(B334,C334,INDIRECT(J$2),INDIRECT(I334),test))</f>
        <v>109.24493457930163</v>
      </c>
      <c r="F334" s="1" t="str">
        <f t="shared" si="22"/>
        <v>50</v>
      </c>
      <c r="G334" s="1" t="str">
        <f t="shared" si="23"/>
        <v/>
      </c>
      <c r="I334" s="1" t="str">
        <f t="shared" si="21"/>
        <v>威尔新数值1.06.xlsm!suitPower</v>
      </c>
    </row>
    <row r="335" spans="1:9" x14ac:dyDescent="0.15">
      <c r="A335" s="1">
        <v>334</v>
      </c>
      <c r="B335" s="1">
        <v>102040100</v>
      </c>
      <c r="C335" s="1">
        <f t="shared" si="20"/>
        <v>11</v>
      </c>
      <c r="D335" s="5">
        <f ca="1">IF(getQuality(B335)&lt;4,getOtherMin(B335,C335,INDIRECT(J$2),INDIRECT(I335),test),getMin(B335,C335,INDIRECT(J$2),INDIRECT(I335),test))</f>
        <v>76.631108554901132</v>
      </c>
      <c r="E335" s="5">
        <f ca="1">IF(getQuality(B335)&lt;4,getOtherMax(B335,C335,INDIRECT(J$2),INDIRECT(I335),test),getMax(B335,C335,INDIRECT(J$2),INDIRECT(I335),test))</f>
        <v>109.24493457930163</v>
      </c>
      <c r="F335" s="1" t="str">
        <f t="shared" si="22"/>
        <v>50</v>
      </c>
      <c r="G335" s="1" t="str">
        <f t="shared" si="23"/>
        <v/>
      </c>
      <c r="I335" s="1" t="str">
        <f t="shared" si="21"/>
        <v>威尔新数值1.06.xlsm!suitPower</v>
      </c>
    </row>
    <row r="336" spans="1:9" x14ac:dyDescent="0.15">
      <c r="A336" s="1">
        <v>335</v>
      </c>
      <c r="B336" s="1">
        <v>102040100</v>
      </c>
      <c r="C336" s="1">
        <f t="shared" si="20"/>
        <v>12</v>
      </c>
      <c r="D336" s="5">
        <f ca="1">IF(getQuality(B336)&lt;4,getOtherMin(B336,C336,INDIRECT(J$2),INDIRECT(I336),test),getMin(B336,C336,INDIRECT(J$2),INDIRECT(I336),test))</f>
        <v>76.631108554901132</v>
      </c>
      <c r="E336" s="5">
        <f ca="1">IF(getQuality(B336)&lt;4,getOtherMax(B336,C336,INDIRECT(J$2),INDIRECT(I336),test),getMax(B336,C336,INDIRECT(J$2),INDIRECT(I336),test))</f>
        <v>109.24493457930163</v>
      </c>
      <c r="F336" s="1" t="str">
        <f t="shared" si="22"/>
        <v>50</v>
      </c>
      <c r="G336" s="1" t="str">
        <f t="shared" si="23"/>
        <v/>
      </c>
      <c r="I336" s="1" t="str">
        <f t="shared" si="21"/>
        <v>威尔新数值1.06.xlsm!suitPower</v>
      </c>
    </row>
    <row r="337" spans="1:9" x14ac:dyDescent="0.15">
      <c r="A337" s="1">
        <v>336</v>
      </c>
      <c r="B337" s="1">
        <v>102040100</v>
      </c>
      <c r="C337" s="1">
        <f t="shared" si="20"/>
        <v>13</v>
      </c>
      <c r="D337" s="5">
        <f ca="1">IF(getQuality(B337)&lt;4,getOtherMin(B337,C337,INDIRECT(J$2),INDIRECT(I337),test),getMin(B337,C337,INDIRECT(J$2),INDIRECT(I337),test))</f>
        <v>76.631108554901132</v>
      </c>
      <c r="E337" s="5">
        <f ca="1">IF(getQuality(B337)&lt;4,getOtherMax(B337,C337,INDIRECT(J$2),INDIRECT(I337),test),getMax(B337,C337,INDIRECT(J$2),INDIRECT(I337),test))</f>
        <v>109.24493457930163</v>
      </c>
      <c r="F337" s="1" t="str">
        <f t="shared" si="22"/>
        <v>50</v>
      </c>
      <c r="G337" s="1" t="str">
        <f t="shared" si="23"/>
        <v/>
      </c>
      <c r="I337" s="1" t="str">
        <f t="shared" si="21"/>
        <v>威尔新数值1.06.xlsm!suitPower</v>
      </c>
    </row>
    <row r="338" spans="1:9" x14ac:dyDescent="0.15">
      <c r="A338" s="1">
        <v>337</v>
      </c>
      <c r="B338" s="1">
        <v>102040100</v>
      </c>
      <c r="C338" s="1">
        <f t="shared" si="20"/>
        <v>14</v>
      </c>
      <c r="D338" s="5">
        <f ca="1">IF(getQuality(B338)&lt;4,getOtherMin(B338,C338,INDIRECT(J$2),INDIRECT(I338),test),getMin(B338,C338,INDIRECT(J$2),INDIRECT(I338),test))</f>
        <v>76.631108554901132</v>
      </c>
      <c r="E338" s="5">
        <f ca="1">IF(getQuality(B338)&lt;4,getOtherMax(B338,C338,INDIRECT(J$2),INDIRECT(I338),test),getMax(B338,C338,INDIRECT(J$2),INDIRECT(I338),test))</f>
        <v>109.24493457930163</v>
      </c>
      <c r="F338" s="1" t="str">
        <f t="shared" si="22"/>
        <v>50</v>
      </c>
      <c r="G338" s="1" t="str">
        <f t="shared" si="23"/>
        <v/>
      </c>
      <c r="I338" s="1" t="str">
        <f t="shared" si="21"/>
        <v>威尔新数值1.06.xlsm!suitPower</v>
      </c>
    </row>
    <row r="339" spans="1:9" x14ac:dyDescent="0.15">
      <c r="A339" s="1">
        <v>338</v>
      </c>
      <c r="B339" s="1">
        <v>102040100</v>
      </c>
      <c r="C339" s="1">
        <f t="shared" si="20"/>
        <v>15</v>
      </c>
      <c r="D339" s="5">
        <f ca="1">IF(getQuality(B339)&lt;4,getOtherMin(B339,C339,INDIRECT(J$2),INDIRECT(I339),test),getMin(B339,C339,INDIRECT(J$2),INDIRECT(I339),test))</f>
        <v>76.631108554901132</v>
      </c>
      <c r="E339" s="5">
        <f ca="1">IF(getQuality(B339)&lt;4,getOtherMax(B339,C339,INDIRECT(J$2),INDIRECT(I339),test),getMax(B339,C339,INDIRECT(J$2),INDIRECT(I339),test))</f>
        <v>109.24493457930163</v>
      </c>
      <c r="F339" s="1" t="str">
        <f t="shared" si="22"/>
        <v>50</v>
      </c>
      <c r="G339" s="1" t="str">
        <f t="shared" si="23"/>
        <v/>
      </c>
      <c r="I339" s="1" t="str">
        <f t="shared" si="21"/>
        <v>威尔新数值1.06.xlsm!suitPower</v>
      </c>
    </row>
    <row r="340" spans="1:9" x14ac:dyDescent="0.15">
      <c r="A340" s="1">
        <v>339</v>
      </c>
      <c r="B340" s="1">
        <v>102040100</v>
      </c>
      <c r="C340" s="1">
        <f t="shared" si="20"/>
        <v>101</v>
      </c>
      <c r="D340" s="5">
        <f ca="1">IF(getQuality(B340)&lt;4,getOtherMin(B340,C340,INDIRECT(J$2),INDIRECT(I340),test),getMin(B340,C340,INDIRECT(J$2),INDIRECT(I340),test))</f>
        <v>0.09</v>
      </c>
      <c r="E340" s="5">
        <f ca="1">IF(getQuality(B340)&lt;4,getOtherMax(B340,C340,INDIRECT(J$2),INDIRECT(I340),test),getMax(B340,C340,INDIRECT(J$2),INDIRECT(I340),test))</f>
        <v>0.12</v>
      </c>
      <c r="F340" s="1" t="str">
        <f t="shared" si="22"/>
        <v>50</v>
      </c>
      <c r="G340" s="1" t="str">
        <f t="shared" si="23"/>
        <v/>
      </c>
      <c r="I340" s="1" t="str">
        <f t="shared" si="21"/>
        <v>威尔新数值1.06.xlsm!circlePer</v>
      </c>
    </row>
    <row r="341" spans="1:9" x14ac:dyDescent="0.15">
      <c r="A341" s="1">
        <v>340</v>
      </c>
      <c r="B341" s="1">
        <v>102040100</v>
      </c>
      <c r="C341" s="1">
        <f t="shared" si="20"/>
        <v>102</v>
      </c>
      <c r="D341" s="5">
        <f ca="1">IF(getQuality(B341)&lt;4,getOtherMin(B341,C341,INDIRECT(J$2),INDIRECT(I341),test),getMin(B341,C341,INDIRECT(J$2),INDIRECT(I341),test))</f>
        <v>0.7</v>
      </c>
      <c r="E341" s="5">
        <f ca="1">IF(getQuality(B341)&lt;4,getOtherMax(B341,C341,INDIRECT(J$2),INDIRECT(I341),test),getMax(B341,C341,INDIRECT(J$2),INDIRECT(I341),test))</f>
        <v>1.1000000000000001</v>
      </c>
      <c r="F341" s="1" t="str">
        <f t="shared" si="22"/>
        <v>50</v>
      </c>
      <c r="G341" s="1" t="str">
        <f t="shared" si="23"/>
        <v/>
      </c>
      <c r="I341" s="1" t="str">
        <f t="shared" si="21"/>
        <v>威尔新数值1.06.xlsm!circleValue</v>
      </c>
    </row>
    <row r="342" spans="1:9" x14ac:dyDescent="0.15">
      <c r="A342" s="1">
        <v>341</v>
      </c>
      <c r="B342" s="1">
        <v>102040100</v>
      </c>
      <c r="C342" s="1">
        <f t="shared" si="20"/>
        <v>103</v>
      </c>
      <c r="D342" s="5">
        <f ca="1">IF(getQuality(B342)&lt;4,getOtherMin(B342,C342,INDIRECT(J$2),INDIRECT(I342),test),getMin(B342,C342,INDIRECT(J$2),INDIRECT(I342),test))</f>
        <v>0.09</v>
      </c>
      <c r="E342" s="5">
        <f ca="1">IF(getQuality(B342)&lt;4,getOtherMax(B342,C342,INDIRECT(J$2),INDIRECT(I342),test),getMax(B342,C342,INDIRECT(J$2),INDIRECT(I342),test))</f>
        <v>0.12</v>
      </c>
      <c r="F342" s="1" t="str">
        <f t="shared" si="22"/>
        <v>50</v>
      </c>
      <c r="G342" s="1" t="str">
        <f t="shared" si="23"/>
        <v/>
      </c>
      <c r="I342" s="1" t="str">
        <f t="shared" si="21"/>
        <v>威尔新数值1.06.xlsm!otherDamage</v>
      </c>
    </row>
    <row r="343" spans="1:9" x14ac:dyDescent="0.15">
      <c r="A343" s="1">
        <v>342</v>
      </c>
      <c r="B343" s="1">
        <v>102040100</v>
      </c>
      <c r="C343" s="1">
        <f t="shared" si="20"/>
        <v>104</v>
      </c>
      <c r="D343" s="5">
        <f ca="1">IF(getQuality(B343)&lt;4,getOtherMin(B343,C343,INDIRECT(J$2),INDIRECT(I343),test),getMin(B343,C343,INDIRECT(J$2),INDIRECT(I343),test))</f>
        <v>0.09</v>
      </c>
      <c r="E343" s="5">
        <f ca="1">IF(getQuality(B343)&lt;4,getOtherMax(B343,C343,INDIRECT(J$2),INDIRECT(I343),test),getMax(B343,C343,INDIRECT(J$2),INDIRECT(I343),test))</f>
        <v>0.18</v>
      </c>
      <c r="F343" s="1" t="str">
        <f t="shared" si="22"/>
        <v>50</v>
      </c>
      <c r="G343" s="1" t="str">
        <f t="shared" si="23"/>
        <v/>
      </c>
      <c r="I343" s="1" t="str">
        <f t="shared" si="21"/>
        <v>威尔新数值1.06.xlsm!monsterDamage</v>
      </c>
    </row>
    <row r="344" spans="1:9" x14ac:dyDescent="0.15">
      <c r="A344" s="1">
        <v>343</v>
      </c>
      <c r="B344" s="1">
        <v>102040100</v>
      </c>
      <c r="C344" s="1">
        <f t="shared" si="20"/>
        <v>105</v>
      </c>
      <c r="D344" s="5">
        <f ca="1">IF(getQuality(B344)&lt;4,getOtherMin(B344,C344,INDIRECT(J$2),INDIRECT(I344),test),getMin(B344,C344,INDIRECT(J$2),INDIRECT(I344),test))</f>
        <v>0.09</v>
      </c>
      <c r="E344" s="5">
        <f ca="1">IF(getQuality(B344)&lt;4,getOtherMax(B344,C344,INDIRECT(J$2),INDIRECT(I344),test),getMax(B344,C344,INDIRECT(J$2),INDIRECT(I344),test))</f>
        <v>0.18</v>
      </c>
      <c r="F344" s="1" t="str">
        <f t="shared" si="22"/>
        <v>50</v>
      </c>
      <c r="G344" s="1" t="str">
        <f t="shared" si="23"/>
        <v/>
      </c>
      <c r="I344" s="1" t="str">
        <f t="shared" si="21"/>
        <v>威尔新数值1.06.xlsm!monsterDamage</v>
      </c>
    </row>
    <row r="345" spans="1:9" x14ac:dyDescent="0.15">
      <c r="A345" s="1">
        <v>344</v>
      </c>
      <c r="B345" s="1">
        <v>102040100</v>
      </c>
      <c r="C345" s="1">
        <f t="shared" si="20"/>
        <v>106</v>
      </c>
      <c r="D345" s="5">
        <f ca="1">IF(getQuality(B345)&lt;4,getOtherMin(B345,C345,INDIRECT(J$2),INDIRECT(I345),test),getMin(B345,C345,INDIRECT(J$2),INDIRECT(I345),test))</f>
        <v>0.09</v>
      </c>
      <c r="E345" s="5">
        <f ca="1">IF(getQuality(B345)&lt;4,getOtherMax(B345,C345,INDIRECT(J$2),INDIRECT(I345),test),getMax(B345,C345,INDIRECT(J$2),INDIRECT(I345),test))</f>
        <v>0.18</v>
      </c>
      <c r="F345" s="1" t="str">
        <f t="shared" si="22"/>
        <v>50</v>
      </c>
      <c r="G345" s="1" t="str">
        <f t="shared" si="23"/>
        <v/>
      </c>
      <c r="I345" s="1" t="str">
        <f t="shared" si="21"/>
        <v>威尔新数值1.06.xlsm!monsterDamage</v>
      </c>
    </row>
    <row r="346" spans="1:9" x14ac:dyDescent="0.15">
      <c r="A346" s="1">
        <v>345</v>
      </c>
      <c r="B346" s="1">
        <v>102040100</v>
      </c>
      <c r="C346" s="1">
        <f t="shared" si="20"/>
        <v>107</v>
      </c>
      <c r="D346" s="5">
        <f ca="1">IF(getQuality(B346)&lt;4,getOtherMin(B346,C346,INDIRECT(J$2),INDIRECT(I346),test),getMin(B346,C346,INDIRECT(J$2),INDIRECT(I346),test))</f>
        <v>0.09</v>
      </c>
      <c r="E346" s="5">
        <f ca="1">IF(getQuality(B346)&lt;4,getOtherMax(B346,C346,INDIRECT(J$2),INDIRECT(I346),test),getMax(B346,C346,INDIRECT(J$2),INDIRECT(I346),test))</f>
        <v>0.18</v>
      </c>
      <c r="F346" s="1" t="str">
        <f t="shared" si="22"/>
        <v>50</v>
      </c>
      <c r="G346" s="1" t="str">
        <f t="shared" si="23"/>
        <v/>
      </c>
      <c r="I346" s="1" t="str">
        <f t="shared" si="21"/>
        <v>威尔新数值1.06.xlsm!monsterDamage</v>
      </c>
    </row>
    <row r="347" spans="1:9" x14ac:dyDescent="0.15">
      <c r="A347" s="1">
        <v>346</v>
      </c>
      <c r="B347" s="1">
        <v>102040100</v>
      </c>
      <c r="C347" s="1">
        <f t="shared" si="20"/>
        <v>108</v>
      </c>
      <c r="D347" s="5">
        <f ca="1">IF(getQuality(B347)&lt;4,getOtherMin(B347,C347,INDIRECT(J$2),INDIRECT(I347),test),getMin(B347,C347,INDIRECT(J$2),INDIRECT(I347),test))</f>
        <v>0.09</v>
      </c>
      <c r="E347" s="5">
        <f ca="1">IF(getQuality(B347)&lt;4,getOtherMax(B347,C347,INDIRECT(J$2),INDIRECT(I347),test),getMax(B347,C347,INDIRECT(J$2),INDIRECT(I347),test))</f>
        <v>0.18</v>
      </c>
      <c r="F347" s="1" t="str">
        <f t="shared" si="22"/>
        <v>50</v>
      </c>
      <c r="G347" s="1" t="str">
        <f t="shared" si="23"/>
        <v/>
      </c>
      <c r="I347" s="1" t="str">
        <f t="shared" si="21"/>
        <v>威尔新数值1.06.xlsm!monsterDamage</v>
      </c>
    </row>
    <row r="348" spans="1:9" x14ac:dyDescent="0.15">
      <c r="A348" s="1">
        <v>347</v>
      </c>
      <c r="B348" s="1">
        <v>102050100</v>
      </c>
      <c r="C348" s="1">
        <f t="shared" si="20"/>
        <v>3</v>
      </c>
      <c r="D348" s="5">
        <f ca="1">IF(getQuality(B348)&lt;4,getOtherMin(B348,C348,INDIRECT(J$2),INDIRECT(I348),test),getMin(B348,C348,INDIRECT(J$2),INDIRECT(I348),test))</f>
        <v>110.24493457930163</v>
      </c>
      <c r="E348" s="5">
        <f ca="1">IF(getQuality(B348)&lt;4,getOtherMax(B348,C348,INDIRECT(J$2),INDIRECT(I348),test),getMax(B348,C348,INDIRECT(J$2),INDIRECT(I348),test))</f>
        <v>148.01542709608177</v>
      </c>
      <c r="F348" s="1" t="str">
        <f t="shared" si="22"/>
        <v>50</v>
      </c>
      <c r="G348" s="1" t="str">
        <f t="shared" si="23"/>
        <v>1</v>
      </c>
      <c r="I348" s="1" t="str">
        <f t="shared" si="21"/>
        <v>威尔新数值1.06.xlsm!suitPower</v>
      </c>
    </row>
    <row r="349" spans="1:9" x14ac:dyDescent="0.15">
      <c r="A349" s="1">
        <v>348</v>
      </c>
      <c r="B349" s="1">
        <v>102050100</v>
      </c>
      <c r="C349" s="1">
        <f t="shared" si="20"/>
        <v>5</v>
      </c>
      <c r="D349" s="5">
        <f ca="1">IF(getQuality(B349)&lt;4,getOtherMin(B349,C349,INDIRECT(J$2),INDIRECT(I349),test),getMin(B349,C349,INDIRECT(J$2),INDIRECT(I349),test))</f>
        <v>110.24493457930163</v>
      </c>
      <c r="E349" s="5">
        <f ca="1">IF(getQuality(B349)&lt;4,getOtherMax(B349,C349,INDIRECT(J$2),INDIRECT(I349),test),getMax(B349,C349,INDIRECT(J$2),INDIRECT(I349),test))</f>
        <v>148.01542709608177</v>
      </c>
      <c r="F349" s="1" t="str">
        <f t="shared" si="22"/>
        <v>50</v>
      </c>
      <c r="G349" s="1" t="str">
        <f t="shared" si="23"/>
        <v/>
      </c>
      <c r="I349" s="1" t="str">
        <f t="shared" si="21"/>
        <v>威尔新数值1.06.xlsm!suitPower</v>
      </c>
    </row>
    <row r="350" spans="1:9" x14ac:dyDescent="0.15">
      <c r="A350" s="1">
        <v>349</v>
      </c>
      <c r="B350" s="1">
        <v>102050100</v>
      </c>
      <c r="C350" s="1">
        <f t="shared" si="20"/>
        <v>7</v>
      </c>
      <c r="D350" s="5">
        <f ca="1">IF(getQuality(B350)&lt;4,getOtherMin(B350,C350,INDIRECT(J$2),INDIRECT(I350),test),getMin(B350,C350,INDIRECT(J$2),INDIRECT(I350),test))</f>
        <v>26.92592592592586</v>
      </c>
      <c r="E350" s="5">
        <f ca="1">IF(getQuality(B350)&lt;4,getOtherMax(B350,C350,INDIRECT(J$2),INDIRECT(I350),test),getMax(B350,C350,INDIRECT(J$2),INDIRECT(I350),test))</f>
        <v>32.407407407407327</v>
      </c>
      <c r="F350" s="1" t="str">
        <f t="shared" si="22"/>
        <v>50</v>
      </c>
      <c r="G350" s="1" t="str">
        <f t="shared" si="23"/>
        <v/>
      </c>
      <c r="I350" s="1" t="str">
        <f t="shared" si="21"/>
        <v>威尔新数值1.06.xlsm!suitPower</v>
      </c>
    </row>
    <row r="351" spans="1:9" x14ac:dyDescent="0.15">
      <c r="A351" s="1">
        <v>350</v>
      </c>
      <c r="B351" s="1">
        <v>102050100</v>
      </c>
      <c r="C351" s="1">
        <f t="shared" si="20"/>
        <v>8</v>
      </c>
      <c r="D351" s="5">
        <f ca="1">IF(getQuality(B351)&lt;4,getOtherMin(B351,C351,INDIRECT(J$2),INDIRECT(I351),test),getMin(B351,C351,INDIRECT(J$2),INDIRECT(I351),test))</f>
        <v>59.333333333333336</v>
      </c>
      <c r="E351" s="5">
        <f ca="1">IF(getQuality(B351)&lt;4,getOtherMax(B351,C351,INDIRECT(J$2),INDIRECT(I351),test),getMax(B351,C351,INDIRECT(J$2),INDIRECT(I351),test))</f>
        <v>72.916666666666671</v>
      </c>
      <c r="F351" s="1" t="str">
        <f t="shared" si="22"/>
        <v>50</v>
      </c>
      <c r="G351" s="1" t="str">
        <f t="shared" si="23"/>
        <v/>
      </c>
      <c r="I351" s="1" t="str">
        <f t="shared" si="21"/>
        <v>威尔新数值1.06.xlsm!suitPower</v>
      </c>
    </row>
    <row r="352" spans="1:9" x14ac:dyDescent="0.15">
      <c r="A352" s="1">
        <v>351</v>
      </c>
      <c r="B352" s="1">
        <v>102050100</v>
      </c>
      <c r="C352" s="1">
        <f t="shared" si="20"/>
        <v>9</v>
      </c>
      <c r="D352" s="5">
        <f ca="1">IF(getQuality(B352)&lt;4,getOtherMin(B352,C352,INDIRECT(J$2),INDIRECT(I352),test),getMin(B352,C352,INDIRECT(J$2),INDIRECT(I352),test))</f>
        <v>110.24493457930163</v>
      </c>
      <c r="E352" s="5">
        <f ca="1">IF(getQuality(B352)&lt;4,getOtherMax(B352,C352,INDIRECT(J$2),INDIRECT(I352),test),getMax(B352,C352,INDIRECT(J$2),INDIRECT(I352),test))</f>
        <v>148.01542709608177</v>
      </c>
      <c r="F352" s="1" t="str">
        <f t="shared" si="22"/>
        <v>50</v>
      </c>
      <c r="G352" s="1" t="str">
        <f t="shared" si="23"/>
        <v/>
      </c>
      <c r="I352" s="1" t="str">
        <f t="shared" si="21"/>
        <v>威尔新数值1.06.xlsm!suitPower</v>
      </c>
    </row>
    <row r="353" spans="1:9" x14ac:dyDescent="0.15">
      <c r="A353" s="1">
        <v>352</v>
      </c>
      <c r="B353" s="1">
        <v>102050100</v>
      </c>
      <c r="C353" s="1">
        <f t="shared" si="20"/>
        <v>10</v>
      </c>
      <c r="D353" s="5">
        <f ca="1">IF(getQuality(B353)&lt;4,getOtherMin(B353,C353,INDIRECT(J$2),INDIRECT(I353),test),getMin(B353,C353,INDIRECT(J$2),INDIRECT(I353),test))</f>
        <v>110.24493457930163</v>
      </c>
      <c r="E353" s="5">
        <f ca="1">IF(getQuality(B353)&lt;4,getOtherMax(B353,C353,INDIRECT(J$2),INDIRECT(I353),test),getMax(B353,C353,INDIRECT(J$2),INDIRECT(I353),test))</f>
        <v>148.01542709608177</v>
      </c>
      <c r="F353" s="1" t="str">
        <f t="shared" si="22"/>
        <v>50</v>
      </c>
      <c r="G353" s="1" t="str">
        <f t="shared" si="23"/>
        <v/>
      </c>
      <c r="I353" s="1" t="str">
        <f t="shared" si="21"/>
        <v>威尔新数值1.06.xlsm!suitPower</v>
      </c>
    </row>
    <row r="354" spans="1:9" x14ac:dyDescent="0.15">
      <c r="A354" s="1">
        <v>353</v>
      </c>
      <c r="B354" s="1">
        <v>102050100</v>
      </c>
      <c r="C354" s="1">
        <f t="shared" si="20"/>
        <v>11</v>
      </c>
      <c r="D354" s="5">
        <f ca="1">IF(getQuality(B354)&lt;4,getOtherMin(B354,C354,INDIRECT(J$2),INDIRECT(I354),test),getMin(B354,C354,INDIRECT(J$2),INDIRECT(I354),test))</f>
        <v>110.24493457930163</v>
      </c>
      <c r="E354" s="5">
        <f ca="1">IF(getQuality(B354)&lt;4,getOtherMax(B354,C354,INDIRECT(J$2),INDIRECT(I354),test),getMax(B354,C354,INDIRECT(J$2),INDIRECT(I354),test))</f>
        <v>148.01542709608177</v>
      </c>
      <c r="F354" s="1" t="str">
        <f t="shared" si="22"/>
        <v>50</v>
      </c>
      <c r="G354" s="1" t="str">
        <f t="shared" si="23"/>
        <v/>
      </c>
      <c r="I354" s="1" t="str">
        <f t="shared" si="21"/>
        <v>威尔新数值1.06.xlsm!suitPower</v>
      </c>
    </row>
    <row r="355" spans="1:9" x14ac:dyDescent="0.15">
      <c r="A355" s="1">
        <v>354</v>
      </c>
      <c r="B355" s="1">
        <v>102050100</v>
      </c>
      <c r="C355" s="1">
        <f t="shared" si="20"/>
        <v>12</v>
      </c>
      <c r="D355" s="5">
        <f ca="1">IF(getQuality(B355)&lt;4,getOtherMin(B355,C355,INDIRECT(J$2),INDIRECT(I355),test),getMin(B355,C355,INDIRECT(J$2),INDIRECT(I355),test))</f>
        <v>110.24493457930163</v>
      </c>
      <c r="E355" s="5">
        <f ca="1">IF(getQuality(B355)&lt;4,getOtherMax(B355,C355,INDIRECT(J$2),INDIRECT(I355),test),getMax(B355,C355,INDIRECT(J$2),INDIRECT(I355),test))</f>
        <v>148.01542709608177</v>
      </c>
      <c r="F355" s="1" t="str">
        <f t="shared" si="22"/>
        <v>50</v>
      </c>
      <c r="G355" s="1" t="str">
        <f t="shared" si="23"/>
        <v/>
      </c>
      <c r="I355" s="1" t="str">
        <f t="shared" si="21"/>
        <v>威尔新数值1.06.xlsm!suitPower</v>
      </c>
    </row>
    <row r="356" spans="1:9" x14ac:dyDescent="0.15">
      <c r="A356" s="1">
        <v>355</v>
      </c>
      <c r="B356" s="1">
        <v>102050100</v>
      </c>
      <c r="C356" s="1">
        <f t="shared" ref="C356:C419" si="24">C337</f>
        <v>13</v>
      </c>
      <c r="D356" s="5">
        <f ca="1">IF(getQuality(B356)&lt;4,getOtherMin(B356,C356,INDIRECT(J$2),INDIRECT(I356),test),getMin(B356,C356,INDIRECT(J$2),INDIRECT(I356),test))</f>
        <v>110.24493457930163</v>
      </c>
      <c r="E356" s="5">
        <f ca="1">IF(getQuality(B356)&lt;4,getOtherMax(B356,C356,INDIRECT(J$2),INDIRECT(I356),test),getMax(B356,C356,INDIRECT(J$2),INDIRECT(I356),test))</f>
        <v>148.01542709608177</v>
      </c>
      <c r="F356" s="1" t="str">
        <f t="shared" si="22"/>
        <v>50</v>
      </c>
      <c r="G356" s="1" t="str">
        <f t="shared" si="23"/>
        <v/>
      </c>
      <c r="I356" s="1" t="str">
        <f t="shared" si="21"/>
        <v>威尔新数值1.06.xlsm!suitPower</v>
      </c>
    </row>
    <row r="357" spans="1:9" x14ac:dyDescent="0.15">
      <c r="A357" s="1">
        <v>356</v>
      </c>
      <c r="B357" s="1">
        <v>102050100</v>
      </c>
      <c r="C357" s="1">
        <f t="shared" si="24"/>
        <v>14</v>
      </c>
      <c r="D357" s="5">
        <f ca="1">IF(getQuality(B357)&lt;4,getOtherMin(B357,C357,INDIRECT(J$2),INDIRECT(I357),test),getMin(B357,C357,INDIRECT(J$2),INDIRECT(I357),test))</f>
        <v>110.24493457930163</v>
      </c>
      <c r="E357" s="5">
        <f ca="1">IF(getQuality(B357)&lt;4,getOtherMax(B357,C357,INDIRECT(J$2),INDIRECT(I357),test),getMax(B357,C357,INDIRECT(J$2),INDIRECT(I357),test))</f>
        <v>148.01542709608177</v>
      </c>
      <c r="F357" s="1" t="str">
        <f t="shared" si="22"/>
        <v>50</v>
      </c>
      <c r="G357" s="1" t="str">
        <f t="shared" si="23"/>
        <v/>
      </c>
      <c r="I357" s="1" t="str">
        <f t="shared" si="21"/>
        <v>威尔新数值1.06.xlsm!suitPower</v>
      </c>
    </row>
    <row r="358" spans="1:9" x14ac:dyDescent="0.15">
      <c r="A358" s="1">
        <v>357</v>
      </c>
      <c r="B358" s="1">
        <v>102050100</v>
      </c>
      <c r="C358" s="1">
        <f t="shared" si="24"/>
        <v>15</v>
      </c>
      <c r="D358" s="5">
        <f ca="1">IF(getQuality(B358)&lt;4,getOtherMin(B358,C358,INDIRECT(J$2),INDIRECT(I358),test),getMin(B358,C358,INDIRECT(J$2),INDIRECT(I358),test))</f>
        <v>110.24493457930163</v>
      </c>
      <c r="E358" s="5">
        <f ca="1">IF(getQuality(B358)&lt;4,getOtherMax(B358,C358,INDIRECT(J$2),INDIRECT(I358),test),getMax(B358,C358,INDIRECT(J$2),INDIRECT(I358),test))</f>
        <v>148.01542709608177</v>
      </c>
      <c r="F358" s="1" t="str">
        <f t="shared" si="22"/>
        <v>50</v>
      </c>
      <c r="G358" s="1" t="str">
        <f t="shared" si="23"/>
        <v/>
      </c>
      <c r="I358" s="1" t="str">
        <f t="shared" si="21"/>
        <v>威尔新数值1.06.xlsm!suitPower</v>
      </c>
    </row>
    <row r="359" spans="1:9" x14ac:dyDescent="0.15">
      <c r="A359" s="1">
        <v>358</v>
      </c>
      <c r="B359" s="1">
        <v>102050100</v>
      </c>
      <c r="C359" s="1">
        <f t="shared" si="24"/>
        <v>101</v>
      </c>
      <c r="D359" s="5">
        <f ca="1">IF(getQuality(B359)&lt;4,getOtherMin(B359,C359,INDIRECT(J$2),INDIRECT(I359),test),getMin(B359,C359,INDIRECT(J$2),INDIRECT(I359),test))</f>
        <v>0.1</v>
      </c>
      <c r="E359" s="5">
        <f ca="1">IF(getQuality(B359)&lt;4,getOtherMax(B359,C359,INDIRECT(J$2),INDIRECT(I359),test),getMax(B359,C359,INDIRECT(J$2),INDIRECT(I359),test))</f>
        <v>0.13</v>
      </c>
      <c r="F359" s="1" t="str">
        <f t="shared" si="22"/>
        <v>50</v>
      </c>
      <c r="G359" s="1" t="str">
        <f t="shared" si="23"/>
        <v/>
      </c>
      <c r="I359" s="1" t="str">
        <f t="shared" si="21"/>
        <v>威尔新数值1.06.xlsm!circlePer</v>
      </c>
    </row>
    <row r="360" spans="1:9" x14ac:dyDescent="0.15">
      <c r="A360" s="1">
        <v>359</v>
      </c>
      <c r="B360" s="1">
        <v>102050100</v>
      </c>
      <c r="C360" s="1">
        <f t="shared" si="24"/>
        <v>102</v>
      </c>
      <c r="D360" s="5">
        <f ca="1">IF(getQuality(B360)&lt;4,getOtherMin(B360,C360,INDIRECT(J$2),INDIRECT(I360),test),getMin(B360,C360,INDIRECT(J$2),INDIRECT(I360),test))</f>
        <v>0.8</v>
      </c>
      <c r="E360" s="5">
        <f ca="1">IF(getQuality(B360)&lt;4,getOtherMax(B360,C360,INDIRECT(J$2),INDIRECT(I360),test),getMax(B360,C360,INDIRECT(J$2),INDIRECT(I360),test))</f>
        <v>1.2</v>
      </c>
      <c r="F360" s="1" t="str">
        <f t="shared" si="22"/>
        <v>50</v>
      </c>
      <c r="G360" s="1" t="str">
        <f t="shared" si="23"/>
        <v/>
      </c>
      <c r="I360" s="1" t="str">
        <f t="shared" si="21"/>
        <v>威尔新数值1.06.xlsm!circleValue</v>
      </c>
    </row>
    <row r="361" spans="1:9" x14ac:dyDescent="0.15">
      <c r="A361" s="1">
        <v>360</v>
      </c>
      <c r="B361" s="1">
        <v>102050100</v>
      </c>
      <c r="C361" s="1">
        <f t="shared" si="24"/>
        <v>103</v>
      </c>
      <c r="D361" s="5">
        <f ca="1">IF(getQuality(B361)&lt;4,getOtherMin(B361,C361,INDIRECT(J$2),INDIRECT(I361),test),getMin(B361,C361,INDIRECT(J$2),INDIRECT(I361),test))</f>
        <v>0.1</v>
      </c>
      <c r="E361" s="5">
        <f ca="1">IF(getQuality(B361)&lt;4,getOtherMax(B361,C361,INDIRECT(J$2),INDIRECT(I361),test),getMax(B361,C361,INDIRECT(J$2),INDIRECT(I361),test))</f>
        <v>0.13</v>
      </c>
      <c r="F361" s="1" t="str">
        <f t="shared" si="22"/>
        <v>50</v>
      </c>
      <c r="G361" s="1" t="str">
        <f t="shared" si="23"/>
        <v/>
      </c>
      <c r="I361" s="1" t="str">
        <f t="shared" si="21"/>
        <v>威尔新数值1.06.xlsm!otherDamage</v>
      </c>
    </row>
    <row r="362" spans="1:9" x14ac:dyDescent="0.15">
      <c r="A362" s="1">
        <v>361</v>
      </c>
      <c r="B362" s="1">
        <v>102050100</v>
      </c>
      <c r="C362" s="1">
        <f t="shared" si="24"/>
        <v>104</v>
      </c>
      <c r="D362" s="5">
        <f ca="1">IF(getQuality(B362)&lt;4,getOtherMin(B362,C362,INDIRECT(J$2),INDIRECT(I362),test),getMin(B362,C362,INDIRECT(J$2),INDIRECT(I362),test))</f>
        <v>0.1</v>
      </c>
      <c r="E362" s="5">
        <f ca="1">IF(getQuality(B362)&lt;4,getOtherMax(B362,C362,INDIRECT(J$2),INDIRECT(I362),test),getMax(B362,C362,INDIRECT(J$2),INDIRECT(I362),test))</f>
        <v>0.2</v>
      </c>
      <c r="F362" s="1" t="str">
        <f t="shared" si="22"/>
        <v>50</v>
      </c>
      <c r="G362" s="1" t="str">
        <f t="shared" si="23"/>
        <v/>
      </c>
      <c r="I362" s="1" t="str">
        <f t="shared" si="21"/>
        <v>威尔新数值1.06.xlsm!monsterDamage</v>
      </c>
    </row>
    <row r="363" spans="1:9" x14ac:dyDescent="0.15">
      <c r="A363" s="1">
        <v>362</v>
      </c>
      <c r="B363" s="1">
        <v>102050100</v>
      </c>
      <c r="C363" s="1">
        <f t="shared" si="24"/>
        <v>105</v>
      </c>
      <c r="D363" s="5">
        <f ca="1">IF(getQuality(B363)&lt;4,getOtherMin(B363,C363,INDIRECT(J$2),INDIRECT(I363),test),getMin(B363,C363,INDIRECT(J$2),INDIRECT(I363),test))</f>
        <v>0.1</v>
      </c>
      <c r="E363" s="5">
        <f ca="1">IF(getQuality(B363)&lt;4,getOtherMax(B363,C363,INDIRECT(J$2),INDIRECT(I363),test),getMax(B363,C363,INDIRECT(J$2),INDIRECT(I363),test))</f>
        <v>0.2</v>
      </c>
      <c r="F363" s="1" t="str">
        <f t="shared" si="22"/>
        <v>50</v>
      </c>
      <c r="G363" s="1" t="str">
        <f t="shared" si="23"/>
        <v/>
      </c>
      <c r="I363" s="1" t="str">
        <f t="shared" si="21"/>
        <v>威尔新数值1.06.xlsm!monsterDamage</v>
      </c>
    </row>
    <row r="364" spans="1:9" x14ac:dyDescent="0.15">
      <c r="A364" s="1">
        <v>363</v>
      </c>
      <c r="B364" s="1">
        <v>102050100</v>
      </c>
      <c r="C364" s="1">
        <f t="shared" si="24"/>
        <v>106</v>
      </c>
      <c r="D364" s="5">
        <f ca="1">IF(getQuality(B364)&lt;4,getOtherMin(B364,C364,INDIRECT(J$2),INDIRECT(I364),test),getMin(B364,C364,INDIRECT(J$2),INDIRECT(I364),test))</f>
        <v>0.1</v>
      </c>
      <c r="E364" s="5">
        <f ca="1">IF(getQuality(B364)&lt;4,getOtherMax(B364,C364,INDIRECT(J$2),INDIRECT(I364),test),getMax(B364,C364,INDIRECT(J$2),INDIRECT(I364),test))</f>
        <v>0.2</v>
      </c>
      <c r="F364" s="1" t="str">
        <f t="shared" si="22"/>
        <v>50</v>
      </c>
      <c r="G364" s="1" t="str">
        <f t="shared" si="23"/>
        <v/>
      </c>
      <c r="I364" s="1" t="str">
        <f t="shared" si="21"/>
        <v>威尔新数值1.06.xlsm!monsterDamage</v>
      </c>
    </row>
    <row r="365" spans="1:9" x14ac:dyDescent="0.15">
      <c r="A365" s="1">
        <v>364</v>
      </c>
      <c r="B365" s="1">
        <v>102050100</v>
      </c>
      <c r="C365" s="1">
        <f t="shared" si="24"/>
        <v>107</v>
      </c>
      <c r="D365" s="5">
        <f ca="1">IF(getQuality(B365)&lt;4,getOtherMin(B365,C365,INDIRECT(J$2),INDIRECT(I365),test),getMin(B365,C365,INDIRECT(J$2),INDIRECT(I365),test))</f>
        <v>0.1</v>
      </c>
      <c r="E365" s="5">
        <f ca="1">IF(getQuality(B365)&lt;4,getOtherMax(B365,C365,INDIRECT(J$2),INDIRECT(I365),test),getMax(B365,C365,INDIRECT(J$2),INDIRECT(I365),test))</f>
        <v>0.2</v>
      </c>
      <c r="F365" s="1" t="str">
        <f t="shared" si="22"/>
        <v>50</v>
      </c>
      <c r="G365" s="1" t="str">
        <f t="shared" si="23"/>
        <v/>
      </c>
      <c r="I365" s="1" t="str">
        <f t="shared" si="21"/>
        <v>威尔新数值1.06.xlsm!monsterDamage</v>
      </c>
    </row>
    <row r="366" spans="1:9" x14ac:dyDescent="0.15">
      <c r="A366" s="1">
        <v>365</v>
      </c>
      <c r="B366" s="1">
        <v>102050100</v>
      </c>
      <c r="C366" s="1">
        <f t="shared" si="24"/>
        <v>108</v>
      </c>
      <c r="D366" s="5">
        <f ca="1">IF(getQuality(B366)&lt;4,getOtherMin(B366,C366,INDIRECT(J$2),INDIRECT(I366),test),getMin(B366,C366,INDIRECT(J$2),INDIRECT(I366),test))</f>
        <v>0.1</v>
      </c>
      <c r="E366" s="5">
        <f ca="1">IF(getQuality(B366)&lt;4,getOtherMax(B366,C366,INDIRECT(J$2),INDIRECT(I366),test),getMax(B366,C366,INDIRECT(J$2),INDIRECT(I366),test))</f>
        <v>0.2</v>
      </c>
      <c r="F366" s="1" t="str">
        <f t="shared" si="22"/>
        <v>50</v>
      </c>
      <c r="G366" s="1" t="str">
        <f t="shared" si="23"/>
        <v/>
      </c>
      <c r="I366" s="1" t="str">
        <f t="shared" si="21"/>
        <v>威尔新数值1.06.xlsm!monsterDamage</v>
      </c>
    </row>
    <row r="367" spans="1:9" x14ac:dyDescent="0.15">
      <c r="A367" s="1">
        <v>366</v>
      </c>
      <c r="B367" s="1">
        <v>102060100</v>
      </c>
      <c r="C367" s="1">
        <f t="shared" si="24"/>
        <v>3</v>
      </c>
      <c r="D367" s="5">
        <f ca="1">IF(getQuality(B367)&lt;4,getOtherMin(B367,C367,INDIRECT(J$2),INDIRECT(I367),test),getMin(B367,C367,INDIRECT(J$2),INDIRECT(I367),test))</f>
        <v>149.01542709608177</v>
      </c>
      <c r="E367" s="5">
        <f ca="1">IF(getQuality(B367)&lt;4,getOtherMax(B367,C367,INDIRECT(J$2),INDIRECT(I367),test),getMax(B367,C367,INDIRECT(J$2),INDIRECT(I367),test))</f>
        <v>190.22369727444828</v>
      </c>
      <c r="F367" s="1" t="str">
        <f t="shared" si="22"/>
        <v>50</v>
      </c>
      <c r="G367" s="1" t="str">
        <f t="shared" si="23"/>
        <v>1</v>
      </c>
      <c r="I367" s="1" t="str">
        <f t="shared" si="21"/>
        <v>威尔新数值1.06.xlsm!suitPower</v>
      </c>
    </row>
    <row r="368" spans="1:9" x14ac:dyDescent="0.15">
      <c r="A368" s="1">
        <v>367</v>
      </c>
      <c r="B368" s="1">
        <v>102060100</v>
      </c>
      <c r="C368" s="1">
        <f t="shared" si="24"/>
        <v>5</v>
      </c>
      <c r="D368" s="5">
        <f ca="1">IF(getQuality(B368)&lt;4,getOtherMin(B368,C368,INDIRECT(J$2),INDIRECT(I368),test),getMin(B368,C368,INDIRECT(J$2),INDIRECT(I368),test))</f>
        <v>149.01542709608177</v>
      </c>
      <c r="E368" s="5">
        <f ca="1">IF(getQuality(B368)&lt;4,getOtherMax(B368,C368,INDIRECT(J$2),INDIRECT(I368),test),getMax(B368,C368,INDIRECT(J$2),INDIRECT(I368),test))</f>
        <v>190.22369727444828</v>
      </c>
      <c r="F368" s="1" t="str">
        <f t="shared" si="22"/>
        <v>50</v>
      </c>
      <c r="G368" s="1" t="str">
        <f t="shared" si="23"/>
        <v/>
      </c>
      <c r="I368" s="1" t="str">
        <f t="shared" si="21"/>
        <v>威尔新数值1.06.xlsm!suitPower</v>
      </c>
    </row>
    <row r="369" spans="1:9" x14ac:dyDescent="0.15">
      <c r="A369" s="1">
        <v>368</v>
      </c>
      <c r="B369" s="1">
        <v>102060100</v>
      </c>
      <c r="C369" s="1">
        <f t="shared" si="24"/>
        <v>7</v>
      </c>
      <c r="D369" s="5">
        <f ca="1">IF(getQuality(B369)&lt;4,getOtherMin(B369,C369,INDIRECT(J$2),INDIRECT(I369),test),getMin(B369,C369,INDIRECT(J$2),INDIRECT(I369),test))</f>
        <v>33.407407407407327</v>
      </c>
      <c r="E369" s="5">
        <f ca="1">IF(getQuality(B369)&lt;4,getOtherMax(B369,C369,INDIRECT(J$2),INDIRECT(I369),test),getMax(B369,C369,INDIRECT(J$2),INDIRECT(I369),test))</f>
        <v>38.888888888888786</v>
      </c>
      <c r="F369" s="1" t="str">
        <f t="shared" si="22"/>
        <v>50</v>
      </c>
      <c r="G369" s="1" t="str">
        <f t="shared" si="23"/>
        <v/>
      </c>
      <c r="I369" s="1" t="str">
        <f t="shared" si="21"/>
        <v>威尔新数值1.06.xlsm!suitPower</v>
      </c>
    </row>
    <row r="370" spans="1:9" x14ac:dyDescent="0.15">
      <c r="A370" s="1">
        <v>369</v>
      </c>
      <c r="B370" s="1">
        <v>102060100</v>
      </c>
      <c r="C370" s="1">
        <f t="shared" si="24"/>
        <v>8</v>
      </c>
      <c r="D370" s="5">
        <f ca="1">IF(getQuality(B370)&lt;4,getOtherMin(B370,C370,INDIRECT(J$2),INDIRECT(I370),test),getMin(B370,C370,INDIRECT(J$2),INDIRECT(I370),test))</f>
        <v>73.916666666666671</v>
      </c>
      <c r="E370" s="5">
        <f ca="1">IF(getQuality(B370)&lt;4,getOtherMax(B370,C370,INDIRECT(J$2),INDIRECT(I370),test),getMax(B370,C370,INDIRECT(J$2),INDIRECT(I370),test))</f>
        <v>87.5</v>
      </c>
      <c r="F370" s="1" t="str">
        <f t="shared" si="22"/>
        <v>50</v>
      </c>
      <c r="G370" s="1" t="str">
        <f t="shared" si="23"/>
        <v/>
      </c>
      <c r="I370" s="1" t="str">
        <f t="shared" si="21"/>
        <v>威尔新数值1.06.xlsm!suitPower</v>
      </c>
    </row>
    <row r="371" spans="1:9" x14ac:dyDescent="0.15">
      <c r="A371" s="1">
        <v>370</v>
      </c>
      <c r="B371" s="1">
        <v>102060100</v>
      </c>
      <c r="C371" s="1">
        <f t="shared" si="24"/>
        <v>9</v>
      </c>
      <c r="D371" s="5">
        <f ca="1">IF(getQuality(B371)&lt;4,getOtherMin(B371,C371,INDIRECT(J$2),INDIRECT(I371),test),getMin(B371,C371,INDIRECT(J$2),INDIRECT(I371),test))</f>
        <v>149.01542709608177</v>
      </c>
      <c r="E371" s="5">
        <f ca="1">IF(getQuality(B371)&lt;4,getOtherMax(B371,C371,INDIRECT(J$2),INDIRECT(I371),test),getMax(B371,C371,INDIRECT(J$2),INDIRECT(I371),test))</f>
        <v>190.22369727444828</v>
      </c>
      <c r="F371" s="1" t="str">
        <f t="shared" si="22"/>
        <v>50</v>
      </c>
      <c r="G371" s="1" t="str">
        <f t="shared" si="23"/>
        <v/>
      </c>
      <c r="I371" s="1" t="str">
        <f t="shared" si="21"/>
        <v>威尔新数值1.06.xlsm!suitPower</v>
      </c>
    </row>
    <row r="372" spans="1:9" x14ac:dyDescent="0.15">
      <c r="A372" s="1">
        <v>371</v>
      </c>
      <c r="B372" s="1">
        <v>102060100</v>
      </c>
      <c r="C372" s="1">
        <f t="shared" si="24"/>
        <v>10</v>
      </c>
      <c r="D372" s="5">
        <f ca="1">IF(getQuality(B372)&lt;4,getOtherMin(B372,C372,INDIRECT(J$2),INDIRECT(I372),test),getMin(B372,C372,INDIRECT(J$2),INDIRECT(I372),test))</f>
        <v>149.01542709608177</v>
      </c>
      <c r="E372" s="5">
        <f ca="1">IF(getQuality(B372)&lt;4,getOtherMax(B372,C372,INDIRECT(J$2),INDIRECT(I372),test),getMax(B372,C372,INDIRECT(J$2),INDIRECT(I372),test))</f>
        <v>190.22369727444828</v>
      </c>
      <c r="F372" s="1" t="str">
        <f t="shared" si="22"/>
        <v>50</v>
      </c>
      <c r="G372" s="1" t="str">
        <f t="shared" si="23"/>
        <v/>
      </c>
      <c r="I372" s="1" t="str">
        <f t="shared" si="21"/>
        <v>威尔新数值1.06.xlsm!suitPower</v>
      </c>
    </row>
    <row r="373" spans="1:9" x14ac:dyDescent="0.15">
      <c r="A373" s="1">
        <v>372</v>
      </c>
      <c r="B373" s="1">
        <v>102060100</v>
      </c>
      <c r="C373" s="1">
        <f t="shared" si="24"/>
        <v>11</v>
      </c>
      <c r="D373" s="5">
        <f ca="1">IF(getQuality(B373)&lt;4,getOtherMin(B373,C373,INDIRECT(J$2),INDIRECT(I373),test),getMin(B373,C373,INDIRECT(J$2),INDIRECT(I373),test))</f>
        <v>149.01542709608177</v>
      </c>
      <c r="E373" s="5">
        <f ca="1">IF(getQuality(B373)&lt;4,getOtherMax(B373,C373,INDIRECT(J$2),INDIRECT(I373),test),getMax(B373,C373,INDIRECT(J$2),INDIRECT(I373),test))</f>
        <v>190.22369727444828</v>
      </c>
      <c r="F373" s="1" t="str">
        <f t="shared" si="22"/>
        <v>50</v>
      </c>
      <c r="G373" s="1" t="str">
        <f t="shared" si="23"/>
        <v/>
      </c>
      <c r="I373" s="1" t="str">
        <f t="shared" si="21"/>
        <v>威尔新数值1.06.xlsm!suitPower</v>
      </c>
    </row>
    <row r="374" spans="1:9" x14ac:dyDescent="0.15">
      <c r="A374" s="1">
        <v>373</v>
      </c>
      <c r="B374" s="1">
        <v>102060100</v>
      </c>
      <c r="C374" s="1">
        <f t="shared" si="24"/>
        <v>12</v>
      </c>
      <c r="D374" s="5">
        <f ca="1">IF(getQuality(B374)&lt;4,getOtherMin(B374,C374,INDIRECT(J$2),INDIRECT(I374),test),getMin(B374,C374,INDIRECT(J$2),INDIRECT(I374),test))</f>
        <v>149.01542709608177</v>
      </c>
      <c r="E374" s="5">
        <f ca="1">IF(getQuality(B374)&lt;4,getOtherMax(B374,C374,INDIRECT(J$2),INDIRECT(I374),test),getMax(B374,C374,INDIRECT(J$2),INDIRECT(I374),test))</f>
        <v>190.22369727444828</v>
      </c>
      <c r="F374" s="1" t="str">
        <f t="shared" si="22"/>
        <v>50</v>
      </c>
      <c r="G374" s="1" t="str">
        <f t="shared" si="23"/>
        <v/>
      </c>
      <c r="I374" s="1" t="str">
        <f t="shared" si="21"/>
        <v>威尔新数值1.06.xlsm!suitPower</v>
      </c>
    </row>
    <row r="375" spans="1:9" x14ac:dyDescent="0.15">
      <c r="A375" s="1">
        <v>374</v>
      </c>
      <c r="B375" s="1">
        <v>102060100</v>
      </c>
      <c r="C375" s="1">
        <f t="shared" si="24"/>
        <v>13</v>
      </c>
      <c r="D375" s="5">
        <f ca="1">IF(getQuality(B375)&lt;4,getOtherMin(B375,C375,INDIRECT(J$2),INDIRECT(I375),test),getMin(B375,C375,INDIRECT(J$2),INDIRECT(I375),test))</f>
        <v>149.01542709608177</v>
      </c>
      <c r="E375" s="5">
        <f ca="1">IF(getQuality(B375)&lt;4,getOtherMax(B375,C375,INDIRECT(J$2),INDIRECT(I375),test),getMax(B375,C375,INDIRECT(J$2),INDIRECT(I375),test))</f>
        <v>190.22369727444828</v>
      </c>
      <c r="F375" s="1" t="str">
        <f t="shared" si="22"/>
        <v>50</v>
      </c>
      <c r="G375" s="1" t="str">
        <f t="shared" si="23"/>
        <v/>
      </c>
      <c r="I375" s="1" t="str">
        <f t="shared" si="21"/>
        <v>威尔新数值1.06.xlsm!suitPower</v>
      </c>
    </row>
    <row r="376" spans="1:9" x14ac:dyDescent="0.15">
      <c r="A376" s="1">
        <v>375</v>
      </c>
      <c r="B376" s="1">
        <v>102060100</v>
      </c>
      <c r="C376" s="1">
        <f t="shared" si="24"/>
        <v>14</v>
      </c>
      <c r="D376" s="5">
        <f ca="1">IF(getQuality(B376)&lt;4,getOtherMin(B376,C376,INDIRECT(J$2),INDIRECT(I376),test),getMin(B376,C376,INDIRECT(J$2),INDIRECT(I376),test))</f>
        <v>149.01542709608177</v>
      </c>
      <c r="E376" s="5">
        <f ca="1">IF(getQuality(B376)&lt;4,getOtherMax(B376,C376,INDIRECT(J$2),INDIRECT(I376),test),getMax(B376,C376,INDIRECT(J$2),INDIRECT(I376),test))</f>
        <v>190.22369727444828</v>
      </c>
      <c r="F376" s="1" t="str">
        <f t="shared" si="22"/>
        <v>50</v>
      </c>
      <c r="G376" s="1" t="str">
        <f t="shared" si="23"/>
        <v/>
      </c>
      <c r="I376" s="1" t="str">
        <f t="shared" si="21"/>
        <v>威尔新数值1.06.xlsm!suitPower</v>
      </c>
    </row>
    <row r="377" spans="1:9" x14ac:dyDescent="0.15">
      <c r="A377" s="1">
        <v>376</v>
      </c>
      <c r="B377" s="1">
        <v>102060100</v>
      </c>
      <c r="C377" s="1">
        <f t="shared" si="24"/>
        <v>15</v>
      </c>
      <c r="D377" s="5">
        <f ca="1">IF(getQuality(B377)&lt;4,getOtherMin(B377,C377,INDIRECT(J$2),INDIRECT(I377),test),getMin(B377,C377,INDIRECT(J$2),INDIRECT(I377),test))</f>
        <v>149.01542709608177</v>
      </c>
      <c r="E377" s="5">
        <f ca="1">IF(getQuality(B377)&lt;4,getOtherMax(B377,C377,INDIRECT(J$2),INDIRECT(I377),test),getMax(B377,C377,INDIRECT(J$2),INDIRECT(I377),test))</f>
        <v>190.22369727444828</v>
      </c>
      <c r="F377" s="1" t="str">
        <f t="shared" si="22"/>
        <v>50</v>
      </c>
      <c r="G377" s="1" t="str">
        <f t="shared" si="23"/>
        <v/>
      </c>
      <c r="I377" s="1" t="str">
        <f t="shared" si="21"/>
        <v>威尔新数值1.06.xlsm!suitPower</v>
      </c>
    </row>
    <row r="378" spans="1:9" x14ac:dyDescent="0.15">
      <c r="A378" s="1">
        <v>377</v>
      </c>
      <c r="B378" s="1">
        <v>102060100</v>
      </c>
      <c r="C378" s="1">
        <f t="shared" si="24"/>
        <v>101</v>
      </c>
      <c r="D378" s="5">
        <f ca="1">IF(getQuality(B378)&lt;4,getOtherMin(B378,C378,INDIRECT(J$2),INDIRECT(I378),test),getMin(B378,C378,INDIRECT(J$2),INDIRECT(I378),test))</f>
        <v>0.11</v>
      </c>
      <c r="E378" s="5">
        <f ca="1">IF(getQuality(B378)&lt;4,getOtherMax(B378,C378,INDIRECT(J$2),INDIRECT(I378),test),getMax(B378,C378,INDIRECT(J$2),INDIRECT(I378),test))</f>
        <v>0.14000000000000001</v>
      </c>
      <c r="F378" s="1" t="str">
        <f t="shared" si="22"/>
        <v>50</v>
      </c>
      <c r="G378" s="1" t="str">
        <f t="shared" si="23"/>
        <v/>
      </c>
      <c r="I378" s="1" t="str">
        <f t="shared" si="21"/>
        <v>威尔新数值1.06.xlsm!circlePer</v>
      </c>
    </row>
    <row r="379" spans="1:9" x14ac:dyDescent="0.15">
      <c r="A379" s="1">
        <v>378</v>
      </c>
      <c r="B379" s="1">
        <v>102060100</v>
      </c>
      <c r="C379" s="1">
        <f t="shared" si="24"/>
        <v>102</v>
      </c>
      <c r="D379" s="5">
        <f ca="1">IF(getQuality(B379)&lt;4,getOtherMin(B379,C379,INDIRECT(J$2),INDIRECT(I379),test),getMin(B379,C379,INDIRECT(J$2),INDIRECT(I379),test))</f>
        <v>0.9</v>
      </c>
      <c r="E379" s="5">
        <f ca="1">IF(getQuality(B379)&lt;4,getOtherMax(B379,C379,INDIRECT(J$2),INDIRECT(I379),test),getMax(B379,C379,INDIRECT(J$2),INDIRECT(I379),test))</f>
        <v>1.3</v>
      </c>
      <c r="F379" s="1" t="str">
        <f t="shared" si="22"/>
        <v>50</v>
      </c>
      <c r="G379" s="1" t="str">
        <f t="shared" si="23"/>
        <v/>
      </c>
      <c r="I379" s="1" t="str">
        <f t="shared" si="21"/>
        <v>威尔新数值1.06.xlsm!circleValue</v>
      </c>
    </row>
    <row r="380" spans="1:9" x14ac:dyDescent="0.15">
      <c r="A380" s="1">
        <v>379</v>
      </c>
      <c r="B380" s="1">
        <v>102060100</v>
      </c>
      <c r="C380" s="1">
        <f t="shared" si="24"/>
        <v>103</v>
      </c>
      <c r="D380" s="5">
        <f ca="1">IF(getQuality(B380)&lt;4,getOtherMin(B380,C380,INDIRECT(J$2),INDIRECT(I380),test),getMin(B380,C380,INDIRECT(J$2),INDIRECT(I380),test))</f>
        <v>0.11</v>
      </c>
      <c r="E380" s="5">
        <f ca="1">IF(getQuality(B380)&lt;4,getOtherMax(B380,C380,INDIRECT(J$2),INDIRECT(I380),test),getMax(B380,C380,INDIRECT(J$2),INDIRECT(I380),test))</f>
        <v>0.14000000000000001</v>
      </c>
      <c r="F380" s="1" t="str">
        <f t="shared" si="22"/>
        <v>50</v>
      </c>
      <c r="G380" s="1" t="str">
        <f t="shared" si="23"/>
        <v/>
      </c>
      <c r="I380" s="1" t="str">
        <f t="shared" si="21"/>
        <v>威尔新数值1.06.xlsm!otherDamage</v>
      </c>
    </row>
    <row r="381" spans="1:9" x14ac:dyDescent="0.15">
      <c r="A381" s="1">
        <v>380</v>
      </c>
      <c r="B381" s="1">
        <v>102060100</v>
      </c>
      <c r="C381" s="1">
        <f t="shared" si="24"/>
        <v>104</v>
      </c>
      <c r="D381" s="5">
        <f ca="1">IF(getQuality(B381)&lt;4,getOtherMin(B381,C381,INDIRECT(J$2),INDIRECT(I381),test),getMin(B381,C381,INDIRECT(J$2),INDIRECT(I381),test))</f>
        <v>0.11</v>
      </c>
      <c r="E381" s="5">
        <f ca="1">IF(getQuality(B381)&lt;4,getOtherMax(B381,C381,INDIRECT(J$2),INDIRECT(I381),test),getMax(B381,C381,INDIRECT(J$2),INDIRECT(I381),test))</f>
        <v>0.22</v>
      </c>
      <c r="F381" s="1" t="str">
        <f t="shared" si="22"/>
        <v>50</v>
      </c>
      <c r="G381" s="1" t="str">
        <f t="shared" si="23"/>
        <v/>
      </c>
      <c r="I381" s="1" t="str">
        <f t="shared" si="21"/>
        <v>威尔新数值1.06.xlsm!monsterDamage</v>
      </c>
    </row>
    <row r="382" spans="1:9" x14ac:dyDescent="0.15">
      <c r="A382" s="1">
        <v>381</v>
      </c>
      <c r="B382" s="1">
        <v>102060100</v>
      </c>
      <c r="C382" s="1">
        <f t="shared" si="24"/>
        <v>105</v>
      </c>
      <c r="D382" s="5">
        <f ca="1">IF(getQuality(B382)&lt;4,getOtherMin(B382,C382,INDIRECT(J$2),INDIRECT(I382),test),getMin(B382,C382,INDIRECT(J$2),INDIRECT(I382),test))</f>
        <v>0.11</v>
      </c>
      <c r="E382" s="5">
        <f ca="1">IF(getQuality(B382)&lt;4,getOtherMax(B382,C382,INDIRECT(J$2),INDIRECT(I382),test),getMax(B382,C382,INDIRECT(J$2),INDIRECT(I382),test))</f>
        <v>0.22</v>
      </c>
      <c r="F382" s="1" t="str">
        <f t="shared" si="22"/>
        <v>50</v>
      </c>
      <c r="G382" s="1" t="str">
        <f t="shared" si="23"/>
        <v/>
      </c>
      <c r="I382" s="1" t="str">
        <f t="shared" si="21"/>
        <v>威尔新数值1.06.xlsm!monsterDamage</v>
      </c>
    </row>
    <row r="383" spans="1:9" x14ac:dyDescent="0.15">
      <c r="A383" s="1">
        <v>382</v>
      </c>
      <c r="B383" s="1">
        <v>102060100</v>
      </c>
      <c r="C383" s="1">
        <f t="shared" si="24"/>
        <v>106</v>
      </c>
      <c r="D383" s="5">
        <f ca="1">IF(getQuality(B383)&lt;4,getOtherMin(B383,C383,INDIRECT(J$2),INDIRECT(I383),test),getMin(B383,C383,INDIRECT(J$2),INDIRECT(I383),test))</f>
        <v>0.11</v>
      </c>
      <c r="E383" s="5">
        <f ca="1">IF(getQuality(B383)&lt;4,getOtherMax(B383,C383,INDIRECT(J$2),INDIRECT(I383),test),getMax(B383,C383,INDIRECT(J$2),INDIRECT(I383),test))</f>
        <v>0.22</v>
      </c>
      <c r="F383" s="1" t="str">
        <f t="shared" si="22"/>
        <v>50</v>
      </c>
      <c r="G383" s="1" t="str">
        <f t="shared" si="23"/>
        <v/>
      </c>
      <c r="I383" s="1" t="str">
        <f t="shared" si="21"/>
        <v>威尔新数值1.06.xlsm!monsterDamage</v>
      </c>
    </row>
    <row r="384" spans="1:9" x14ac:dyDescent="0.15">
      <c r="A384" s="1">
        <v>383</v>
      </c>
      <c r="B384" s="1">
        <v>102060100</v>
      </c>
      <c r="C384" s="1">
        <f t="shared" si="24"/>
        <v>107</v>
      </c>
      <c r="D384" s="5">
        <f ca="1">IF(getQuality(B384)&lt;4,getOtherMin(B384,C384,INDIRECT(J$2),INDIRECT(I384),test),getMin(B384,C384,INDIRECT(J$2),INDIRECT(I384),test))</f>
        <v>0.11</v>
      </c>
      <c r="E384" s="5">
        <f ca="1">IF(getQuality(B384)&lt;4,getOtherMax(B384,C384,INDIRECT(J$2),INDIRECT(I384),test),getMax(B384,C384,INDIRECT(J$2),INDIRECT(I384),test))</f>
        <v>0.22</v>
      </c>
      <c r="F384" s="1" t="str">
        <f t="shared" si="22"/>
        <v>50</v>
      </c>
      <c r="G384" s="1" t="str">
        <f t="shared" si="23"/>
        <v/>
      </c>
      <c r="I384" s="1" t="str">
        <f t="shared" si="21"/>
        <v>威尔新数值1.06.xlsm!monsterDamage</v>
      </c>
    </row>
    <row r="385" spans="1:9" x14ac:dyDescent="0.15">
      <c r="A385" s="1">
        <v>384</v>
      </c>
      <c r="B385" s="1">
        <v>102060100</v>
      </c>
      <c r="C385" s="1">
        <f t="shared" si="24"/>
        <v>108</v>
      </c>
      <c r="D385" s="5">
        <f ca="1">IF(getQuality(B385)&lt;4,getOtherMin(B385,C385,INDIRECT(J$2),INDIRECT(I385),test),getMin(B385,C385,INDIRECT(J$2),INDIRECT(I385),test))</f>
        <v>0.11</v>
      </c>
      <c r="E385" s="5">
        <f ca="1">IF(getQuality(B385)&lt;4,getOtherMax(B385,C385,INDIRECT(J$2),INDIRECT(I385),test),getMax(B385,C385,INDIRECT(J$2),INDIRECT(I385),test))</f>
        <v>0.22</v>
      </c>
      <c r="F385" s="1" t="str">
        <f t="shared" si="22"/>
        <v>50</v>
      </c>
      <c r="G385" s="1" t="str">
        <f t="shared" si="23"/>
        <v/>
      </c>
      <c r="I385" s="1" t="str">
        <f t="shared" si="21"/>
        <v>威尔新数值1.06.xlsm!monsterDamage</v>
      </c>
    </row>
    <row r="386" spans="1:9" x14ac:dyDescent="0.15">
      <c r="A386" s="1">
        <v>385</v>
      </c>
      <c r="B386" s="1">
        <v>102070100</v>
      </c>
      <c r="C386" s="1">
        <f t="shared" si="24"/>
        <v>3</v>
      </c>
      <c r="D386" s="5">
        <f ca="1">IF(getQuality(B386)&lt;4,getOtherMin(B386,C386,INDIRECT(J$2),INDIRECT(I386),test),getMin(B386,C386,INDIRECT(J$2),INDIRECT(I386),test))</f>
        <v>191.22369727444828</v>
      </c>
      <c r="E386" s="5">
        <f ca="1">IF(getQuality(B386)&lt;4,getOtherMax(B386,C386,INDIRECT(J$2),INDIRECT(I386),test),getMax(B386,C386,INDIRECT(J$2),INDIRECT(I386),test))</f>
        <v>236.63369570586491</v>
      </c>
      <c r="F386" s="1" t="str">
        <f t="shared" si="22"/>
        <v>50</v>
      </c>
      <c r="G386" s="1" t="str">
        <f t="shared" si="23"/>
        <v>1</v>
      </c>
      <c r="I386" s="1" t="str">
        <f t="shared" ref="I386:I449" si="25">IF(C386&lt;100,VLOOKUP(C386,test,3,FALSE),VLOOKUP(C386,test1,3,FALSE))</f>
        <v>威尔新数值1.06.xlsm!suitPower</v>
      </c>
    </row>
    <row r="387" spans="1:9" x14ac:dyDescent="0.15">
      <c r="A387" s="1">
        <v>386</v>
      </c>
      <c r="B387" s="1">
        <v>102070100</v>
      </c>
      <c r="C387" s="1">
        <f t="shared" si="24"/>
        <v>5</v>
      </c>
      <c r="D387" s="5">
        <f ca="1">IF(getQuality(B387)&lt;4,getOtherMin(B387,C387,INDIRECT(J$2),INDIRECT(I387),test),getMin(B387,C387,INDIRECT(J$2),INDIRECT(I387),test))</f>
        <v>191.22369727444828</v>
      </c>
      <c r="E387" s="5">
        <f ca="1">IF(getQuality(B387)&lt;4,getOtherMax(B387,C387,INDIRECT(J$2),INDIRECT(I387),test),getMax(B387,C387,INDIRECT(J$2),INDIRECT(I387),test))</f>
        <v>236.63369570586491</v>
      </c>
      <c r="F387" s="1" t="str">
        <f t="shared" ref="F387:F450" si="26">getper(B387,C387)</f>
        <v>50</v>
      </c>
      <c r="G387" s="1" t="str">
        <f t="shared" ref="G387:G450" si="27">getMust(B387,C387)</f>
        <v/>
      </c>
      <c r="I387" s="1" t="str">
        <f t="shared" si="25"/>
        <v>威尔新数值1.06.xlsm!suitPower</v>
      </c>
    </row>
    <row r="388" spans="1:9" x14ac:dyDescent="0.15">
      <c r="A388" s="1">
        <v>387</v>
      </c>
      <c r="B388" s="1">
        <v>102070100</v>
      </c>
      <c r="C388" s="1">
        <f t="shared" si="24"/>
        <v>7</v>
      </c>
      <c r="D388" s="5">
        <f ca="1">IF(getQuality(B388)&lt;4,getOtherMin(B388,C388,INDIRECT(J$2),INDIRECT(I388),test),getMin(B388,C388,INDIRECT(J$2),INDIRECT(I388),test))</f>
        <v>39.888888888888786</v>
      </c>
      <c r="E388" s="5">
        <f ca="1">IF(getQuality(B388)&lt;4,getOtherMax(B388,C388,INDIRECT(J$2),INDIRECT(I388),test),getMax(B388,C388,INDIRECT(J$2),INDIRECT(I388),test))</f>
        <v>45.370370370370253</v>
      </c>
      <c r="F388" s="1" t="str">
        <f t="shared" si="26"/>
        <v>50</v>
      </c>
      <c r="G388" s="1" t="str">
        <f t="shared" si="27"/>
        <v/>
      </c>
      <c r="I388" s="1" t="str">
        <f t="shared" si="25"/>
        <v>威尔新数值1.06.xlsm!suitPower</v>
      </c>
    </row>
    <row r="389" spans="1:9" x14ac:dyDescent="0.15">
      <c r="A389" s="1">
        <v>388</v>
      </c>
      <c r="B389" s="1">
        <v>102070100</v>
      </c>
      <c r="C389" s="1">
        <f t="shared" si="24"/>
        <v>8</v>
      </c>
      <c r="D389" s="5">
        <f ca="1">IF(getQuality(B389)&lt;4,getOtherMin(B389,C389,INDIRECT(J$2),INDIRECT(I389),test),getMin(B389,C389,INDIRECT(J$2),INDIRECT(I389),test))</f>
        <v>88.5</v>
      </c>
      <c r="E389" s="5">
        <f ca="1">IF(getQuality(B389)&lt;4,getOtherMax(B389,C389,INDIRECT(J$2),INDIRECT(I389),test),getMax(B389,C389,INDIRECT(J$2),INDIRECT(I389),test))</f>
        <v>102.08333333333333</v>
      </c>
      <c r="F389" s="1" t="str">
        <f t="shared" si="26"/>
        <v>50</v>
      </c>
      <c r="G389" s="1" t="str">
        <f t="shared" si="27"/>
        <v/>
      </c>
      <c r="I389" s="1" t="str">
        <f t="shared" si="25"/>
        <v>威尔新数值1.06.xlsm!suitPower</v>
      </c>
    </row>
    <row r="390" spans="1:9" x14ac:dyDescent="0.15">
      <c r="A390" s="1">
        <v>389</v>
      </c>
      <c r="B390" s="1">
        <v>102070100</v>
      </c>
      <c r="C390" s="1">
        <f t="shared" si="24"/>
        <v>9</v>
      </c>
      <c r="D390" s="5">
        <f ca="1">IF(getQuality(B390)&lt;4,getOtherMin(B390,C390,INDIRECT(J$2),INDIRECT(I390),test),getMin(B390,C390,INDIRECT(J$2),INDIRECT(I390),test))</f>
        <v>191.22369727444828</v>
      </c>
      <c r="E390" s="5">
        <f ca="1">IF(getQuality(B390)&lt;4,getOtherMax(B390,C390,INDIRECT(J$2),INDIRECT(I390),test),getMax(B390,C390,INDIRECT(J$2),INDIRECT(I390),test))</f>
        <v>236.63369570586491</v>
      </c>
      <c r="F390" s="1" t="str">
        <f t="shared" si="26"/>
        <v>50</v>
      </c>
      <c r="G390" s="1" t="str">
        <f t="shared" si="27"/>
        <v/>
      </c>
      <c r="I390" s="1" t="str">
        <f t="shared" si="25"/>
        <v>威尔新数值1.06.xlsm!suitPower</v>
      </c>
    </row>
    <row r="391" spans="1:9" x14ac:dyDescent="0.15">
      <c r="A391" s="1">
        <v>390</v>
      </c>
      <c r="B391" s="1">
        <v>102070100</v>
      </c>
      <c r="C391" s="1">
        <f t="shared" si="24"/>
        <v>10</v>
      </c>
      <c r="D391" s="5">
        <f ca="1">IF(getQuality(B391)&lt;4,getOtherMin(B391,C391,INDIRECT(J$2),INDIRECT(I391),test),getMin(B391,C391,INDIRECT(J$2),INDIRECT(I391),test))</f>
        <v>191.22369727444828</v>
      </c>
      <c r="E391" s="5">
        <f ca="1">IF(getQuality(B391)&lt;4,getOtherMax(B391,C391,INDIRECT(J$2),INDIRECT(I391),test),getMax(B391,C391,INDIRECT(J$2),INDIRECT(I391),test))</f>
        <v>236.63369570586491</v>
      </c>
      <c r="F391" s="1" t="str">
        <f t="shared" si="26"/>
        <v>50</v>
      </c>
      <c r="G391" s="1" t="str">
        <f t="shared" si="27"/>
        <v/>
      </c>
      <c r="I391" s="1" t="str">
        <f t="shared" si="25"/>
        <v>威尔新数值1.06.xlsm!suitPower</v>
      </c>
    </row>
    <row r="392" spans="1:9" x14ac:dyDescent="0.15">
      <c r="A392" s="1">
        <v>391</v>
      </c>
      <c r="B392" s="1">
        <v>102070100</v>
      </c>
      <c r="C392" s="1">
        <f t="shared" si="24"/>
        <v>11</v>
      </c>
      <c r="D392" s="5">
        <f ca="1">IF(getQuality(B392)&lt;4,getOtherMin(B392,C392,INDIRECT(J$2),INDIRECT(I392),test),getMin(B392,C392,INDIRECT(J$2),INDIRECT(I392),test))</f>
        <v>191.22369727444828</v>
      </c>
      <c r="E392" s="5">
        <f ca="1">IF(getQuality(B392)&lt;4,getOtherMax(B392,C392,INDIRECT(J$2),INDIRECT(I392),test),getMax(B392,C392,INDIRECT(J$2),INDIRECT(I392),test))</f>
        <v>236.63369570586491</v>
      </c>
      <c r="F392" s="1" t="str">
        <f t="shared" si="26"/>
        <v>50</v>
      </c>
      <c r="G392" s="1" t="str">
        <f t="shared" si="27"/>
        <v/>
      </c>
      <c r="I392" s="1" t="str">
        <f t="shared" si="25"/>
        <v>威尔新数值1.06.xlsm!suitPower</v>
      </c>
    </row>
    <row r="393" spans="1:9" x14ac:dyDescent="0.15">
      <c r="A393" s="1">
        <v>392</v>
      </c>
      <c r="B393" s="1">
        <v>102070100</v>
      </c>
      <c r="C393" s="1">
        <f t="shared" si="24"/>
        <v>12</v>
      </c>
      <c r="D393" s="5">
        <f ca="1">IF(getQuality(B393)&lt;4,getOtherMin(B393,C393,INDIRECT(J$2),INDIRECT(I393),test),getMin(B393,C393,INDIRECT(J$2),INDIRECT(I393),test))</f>
        <v>191.22369727444828</v>
      </c>
      <c r="E393" s="5">
        <f ca="1">IF(getQuality(B393)&lt;4,getOtherMax(B393,C393,INDIRECT(J$2),INDIRECT(I393),test),getMax(B393,C393,INDIRECT(J$2),INDIRECT(I393),test))</f>
        <v>236.63369570586491</v>
      </c>
      <c r="F393" s="1" t="str">
        <f t="shared" si="26"/>
        <v>50</v>
      </c>
      <c r="G393" s="1" t="str">
        <f t="shared" si="27"/>
        <v/>
      </c>
      <c r="I393" s="1" t="str">
        <f t="shared" si="25"/>
        <v>威尔新数值1.06.xlsm!suitPower</v>
      </c>
    </row>
    <row r="394" spans="1:9" x14ac:dyDescent="0.15">
      <c r="A394" s="1">
        <v>393</v>
      </c>
      <c r="B394" s="1">
        <v>102070100</v>
      </c>
      <c r="C394" s="1">
        <f t="shared" si="24"/>
        <v>13</v>
      </c>
      <c r="D394" s="5">
        <f ca="1">IF(getQuality(B394)&lt;4,getOtherMin(B394,C394,INDIRECT(J$2),INDIRECT(I394),test),getMin(B394,C394,INDIRECT(J$2),INDIRECT(I394),test))</f>
        <v>191.22369727444828</v>
      </c>
      <c r="E394" s="5">
        <f ca="1">IF(getQuality(B394)&lt;4,getOtherMax(B394,C394,INDIRECT(J$2),INDIRECT(I394),test),getMax(B394,C394,INDIRECT(J$2),INDIRECT(I394),test))</f>
        <v>236.63369570586491</v>
      </c>
      <c r="F394" s="1" t="str">
        <f t="shared" si="26"/>
        <v>50</v>
      </c>
      <c r="G394" s="1" t="str">
        <f t="shared" si="27"/>
        <v/>
      </c>
      <c r="I394" s="1" t="str">
        <f t="shared" si="25"/>
        <v>威尔新数值1.06.xlsm!suitPower</v>
      </c>
    </row>
    <row r="395" spans="1:9" x14ac:dyDescent="0.15">
      <c r="A395" s="1">
        <v>394</v>
      </c>
      <c r="B395" s="1">
        <v>102070100</v>
      </c>
      <c r="C395" s="1">
        <f t="shared" si="24"/>
        <v>14</v>
      </c>
      <c r="D395" s="5">
        <f ca="1">IF(getQuality(B395)&lt;4,getOtherMin(B395,C395,INDIRECT(J$2),INDIRECT(I395),test),getMin(B395,C395,INDIRECT(J$2),INDIRECT(I395),test))</f>
        <v>191.22369727444828</v>
      </c>
      <c r="E395" s="5">
        <f ca="1">IF(getQuality(B395)&lt;4,getOtherMax(B395,C395,INDIRECT(J$2),INDIRECT(I395),test),getMax(B395,C395,INDIRECT(J$2),INDIRECT(I395),test))</f>
        <v>236.63369570586491</v>
      </c>
      <c r="F395" s="1" t="str">
        <f t="shared" si="26"/>
        <v>50</v>
      </c>
      <c r="G395" s="1" t="str">
        <f t="shared" si="27"/>
        <v/>
      </c>
      <c r="I395" s="1" t="str">
        <f t="shared" si="25"/>
        <v>威尔新数值1.06.xlsm!suitPower</v>
      </c>
    </row>
    <row r="396" spans="1:9" x14ac:dyDescent="0.15">
      <c r="A396" s="1">
        <v>395</v>
      </c>
      <c r="B396" s="1">
        <v>102070100</v>
      </c>
      <c r="C396" s="1">
        <f t="shared" si="24"/>
        <v>15</v>
      </c>
      <c r="D396" s="5">
        <f ca="1">IF(getQuality(B396)&lt;4,getOtherMin(B396,C396,INDIRECT(J$2),INDIRECT(I396),test),getMin(B396,C396,INDIRECT(J$2),INDIRECT(I396),test))</f>
        <v>191.22369727444828</v>
      </c>
      <c r="E396" s="5">
        <f ca="1">IF(getQuality(B396)&lt;4,getOtherMax(B396,C396,INDIRECT(J$2),INDIRECT(I396),test),getMax(B396,C396,INDIRECT(J$2),INDIRECT(I396),test))</f>
        <v>236.63369570586491</v>
      </c>
      <c r="F396" s="1" t="str">
        <f t="shared" si="26"/>
        <v>50</v>
      </c>
      <c r="G396" s="1" t="str">
        <f t="shared" si="27"/>
        <v/>
      </c>
      <c r="I396" s="1" t="str">
        <f t="shared" si="25"/>
        <v>威尔新数值1.06.xlsm!suitPower</v>
      </c>
    </row>
    <row r="397" spans="1:9" x14ac:dyDescent="0.15">
      <c r="A397" s="1">
        <v>396</v>
      </c>
      <c r="B397" s="1">
        <v>102070100</v>
      </c>
      <c r="C397" s="1">
        <f t="shared" si="24"/>
        <v>101</v>
      </c>
      <c r="D397" s="5">
        <f ca="1">IF(getQuality(B397)&lt;4,getOtherMin(B397,C397,INDIRECT(J$2),INDIRECT(I397),test),getMin(B397,C397,INDIRECT(J$2),INDIRECT(I397),test))</f>
        <v>0.12</v>
      </c>
      <c r="E397" s="5">
        <f ca="1">IF(getQuality(B397)&lt;4,getOtherMax(B397,C397,INDIRECT(J$2),INDIRECT(I397),test),getMax(B397,C397,INDIRECT(J$2),INDIRECT(I397),test))</f>
        <v>0.15</v>
      </c>
      <c r="F397" s="1" t="str">
        <f t="shared" si="26"/>
        <v>50</v>
      </c>
      <c r="G397" s="1" t="str">
        <f t="shared" si="27"/>
        <v/>
      </c>
      <c r="I397" s="1" t="str">
        <f t="shared" si="25"/>
        <v>威尔新数值1.06.xlsm!circlePer</v>
      </c>
    </row>
    <row r="398" spans="1:9" x14ac:dyDescent="0.15">
      <c r="A398" s="1">
        <v>397</v>
      </c>
      <c r="B398" s="1">
        <v>102070100</v>
      </c>
      <c r="C398" s="1">
        <f t="shared" si="24"/>
        <v>102</v>
      </c>
      <c r="D398" s="5">
        <f ca="1">IF(getQuality(B398)&lt;4,getOtherMin(B398,C398,INDIRECT(J$2),INDIRECT(I398),test),getMin(B398,C398,INDIRECT(J$2),INDIRECT(I398),test))</f>
        <v>1</v>
      </c>
      <c r="E398" s="5">
        <f ca="1">IF(getQuality(B398)&lt;4,getOtherMax(B398,C398,INDIRECT(J$2),INDIRECT(I398),test),getMax(B398,C398,INDIRECT(J$2),INDIRECT(I398),test))</f>
        <v>1.4</v>
      </c>
      <c r="F398" s="1" t="str">
        <f t="shared" si="26"/>
        <v>50</v>
      </c>
      <c r="G398" s="1" t="str">
        <f t="shared" si="27"/>
        <v/>
      </c>
      <c r="I398" s="1" t="str">
        <f t="shared" si="25"/>
        <v>威尔新数值1.06.xlsm!circleValue</v>
      </c>
    </row>
    <row r="399" spans="1:9" x14ac:dyDescent="0.15">
      <c r="A399" s="1">
        <v>398</v>
      </c>
      <c r="B399" s="1">
        <v>102070100</v>
      </c>
      <c r="C399" s="1">
        <f t="shared" si="24"/>
        <v>103</v>
      </c>
      <c r="D399" s="5">
        <f ca="1">IF(getQuality(B399)&lt;4,getOtherMin(B399,C399,INDIRECT(J$2),INDIRECT(I399),test),getMin(B399,C399,INDIRECT(J$2),INDIRECT(I399),test))</f>
        <v>0.12</v>
      </c>
      <c r="E399" s="5">
        <f ca="1">IF(getQuality(B399)&lt;4,getOtherMax(B399,C399,INDIRECT(J$2),INDIRECT(I399),test),getMax(B399,C399,INDIRECT(J$2),INDIRECT(I399),test))</f>
        <v>0.15</v>
      </c>
      <c r="F399" s="1" t="str">
        <f t="shared" si="26"/>
        <v>50</v>
      </c>
      <c r="G399" s="1" t="str">
        <f t="shared" si="27"/>
        <v/>
      </c>
      <c r="I399" s="1" t="str">
        <f t="shared" si="25"/>
        <v>威尔新数值1.06.xlsm!otherDamage</v>
      </c>
    </row>
    <row r="400" spans="1:9" x14ac:dyDescent="0.15">
      <c r="A400" s="1">
        <v>399</v>
      </c>
      <c r="B400" s="1">
        <v>102070100</v>
      </c>
      <c r="C400" s="1">
        <f t="shared" si="24"/>
        <v>104</v>
      </c>
      <c r="D400" s="5">
        <f ca="1">IF(getQuality(B400)&lt;4,getOtherMin(B400,C400,INDIRECT(J$2),INDIRECT(I400),test),getMin(B400,C400,INDIRECT(J$2),INDIRECT(I400),test))</f>
        <v>0.12</v>
      </c>
      <c r="E400" s="5">
        <f ca="1">IF(getQuality(B400)&lt;4,getOtherMax(B400,C400,INDIRECT(J$2),INDIRECT(I400),test),getMax(B400,C400,INDIRECT(J$2),INDIRECT(I400),test))</f>
        <v>0.24</v>
      </c>
      <c r="F400" s="1" t="str">
        <f t="shared" si="26"/>
        <v>50</v>
      </c>
      <c r="G400" s="1" t="str">
        <f t="shared" si="27"/>
        <v/>
      </c>
      <c r="I400" s="1" t="str">
        <f t="shared" si="25"/>
        <v>威尔新数值1.06.xlsm!monsterDamage</v>
      </c>
    </row>
    <row r="401" spans="1:9" x14ac:dyDescent="0.15">
      <c r="A401" s="1">
        <v>400</v>
      </c>
      <c r="B401" s="1">
        <v>102070100</v>
      </c>
      <c r="C401" s="1">
        <f t="shared" si="24"/>
        <v>105</v>
      </c>
      <c r="D401" s="5">
        <f ca="1">IF(getQuality(B401)&lt;4,getOtherMin(B401,C401,INDIRECT(J$2),INDIRECT(I401),test),getMin(B401,C401,INDIRECT(J$2),INDIRECT(I401),test))</f>
        <v>0.12</v>
      </c>
      <c r="E401" s="5">
        <f ca="1">IF(getQuality(B401)&lt;4,getOtherMax(B401,C401,INDIRECT(J$2),INDIRECT(I401),test),getMax(B401,C401,INDIRECT(J$2),INDIRECT(I401),test))</f>
        <v>0.24</v>
      </c>
      <c r="F401" s="1" t="str">
        <f t="shared" si="26"/>
        <v>50</v>
      </c>
      <c r="G401" s="1" t="str">
        <f t="shared" si="27"/>
        <v/>
      </c>
      <c r="I401" s="1" t="str">
        <f t="shared" si="25"/>
        <v>威尔新数值1.06.xlsm!monsterDamage</v>
      </c>
    </row>
    <row r="402" spans="1:9" x14ac:dyDescent="0.15">
      <c r="A402" s="1">
        <v>401</v>
      </c>
      <c r="B402" s="1">
        <v>102070100</v>
      </c>
      <c r="C402" s="1">
        <f t="shared" si="24"/>
        <v>106</v>
      </c>
      <c r="D402" s="5">
        <f ca="1">IF(getQuality(B402)&lt;4,getOtherMin(B402,C402,INDIRECT(J$2),INDIRECT(I402),test),getMin(B402,C402,INDIRECT(J$2),INDIRECT(I402),test))</f>
        <v>0.12</v>
      </c>
      <c r="E402" s="5">
        <f ca="1">IF(getQuality(B402)&lt;4,getOtherMax(B402,C402,INDIRECT(J$2),INDIRECT(I402),test),getMax(B402,C402,INDIRECT(J$2),INDIRECT(I402),test))</f>
        <v>0.24</v>
      </c>
      <c r="F402" s="1" t="str">
        <f t="shared" si="26"/>
        <v>50</v>
      </c>
      <c r="G402" s="1" t="str">
        <f t="shared" si="27"/>
        <v/>
      </c>
      <c r="I402" s="1" t="str">
        <f t="shared" si="25"/>
        <v>威尔新数值1.06.xlsm!monsterDamage</v>
      </c>
    </row>
    <row r="403" spans="1:9" x14ac:dyDescent="0.15">
      <c r="A403" s="1">
        <v>402</v>
      </c>
      <c r="B403" s="1">
        <v>102070100</v>
      </c>
      <c r="C403" s="1">
        <f t="shared" si="24"/>
        <v>107</v>
      </c>
      <c r="D403" s="5">
        <f ca="1">IF(getQuality(B403)&lt;4,getOtherMin(B403,C403,INDIRECT(J$2),INDIRECT(I403),test),getMin(B403,C403,INDIRECT(J$2),INDIRECT(I403),test))</f>
        <v>0.12</v>
      </c>
      <c r="E403" s="5">
        <f ca="1">IF(getQuality(B403)&lt;4,getOtherMax(B403,C403,INDIRECT(J$2),INDIRECT(I403),test),getMax(B403,C403,INDIRECT(J$2),INDIRECT(I403),test))</f>
        <v>0.24</v>
      </c>
      <c r="F403" s="1" t="str">
        <f t="shared" si="26"/>
        <v>50</v>
      </c>
      <c r="G403" s="1" t="str">
        <f t="shared" si="27"/>
        <v/>
      </c>
      <c r="I403" s="1" t="str">
        <f t="shared" si="25"/>
        <v>威尔新数值1.06.xlsm!monsterDamage</v>
      </c>
    </row>
    <row r="404" spans="1:9" x14ac:dyDescent="0.15">
      <c r="A404" s="1">
        <v>403</v>
      </c>
      <c r="B404" s="1">
        <v>102070100</v>
      </c>
      <c r="C404" s="1">
        <f t="shared" si="24"/>
        <v>108</v>
      </c>
      <c r="D404" s="5">
        <f ca="1">IF(getQuality(B404)&lt;4,getOtherMin(B404,C404,INDIRECT(J$2),INDIRECT(I404),test),getMin(B404,C404,INDIRECT(J$2),INDIRECT(I404),test))</f>
        <v>0.12</v>
      </c>
      <c r="E404" s="5">
        <f ca="1">IF(getQuality(B404)&lt;4,getOtherMax(B404,C404,INDIRECT(J$2),INDIRECT(I404),test),getMax(B404,C404,INDIRECT(J$2),INDIRECT(I404),test))</f>
        <v>0.24</v>
      </c>
      <c r="F404" s="1" t="str">
        <f t="shared" si="26"/>
        <v>50</v>
      </c>
      <c r="G404" s="1" t="str">
        <f t="shared" si="27"/>
        <v/>
      </c>
      <c r="I404" s="1" t="str">
        <f t="shared" si="25"/>
        <v>威尔新数值1.06.xlsm!monsterDamage</v>
      </c>
    </row>
    <row r="405" spans="1:9" x14ac:dyDescent="0.15">
      <c r="A405" s="1">
        <v>404</v>
      </c>
      <c r="B405" s="1">
        <v>102080100</v>
      </c>
      <c r="C405" s="1">
        <f t="shared" si="24"/>
        <v>3</v>
      </c>
      <c r="D405" s="5">
        <f ca="1">IF(getQuality(B405)&lt;4,getOtherMin(B405,C405,INDIRECT(J$2),INDIRECT(I405),test),getMin(B405,C405,INDIRECT(J$2),INDIRECT(I405),test))</f>
        <v>237.63369570586491</v>
      </c>
      <c r="E405" s="5">
        <f ca="1">IF(getQuality(B405)&lt;4,getOtherMax(B405,C405,INDIRECT(J$2),INDIRECT(I405),test),getMax(B405,C405,INDIRECT(J$2),INDIRECT(I405),test))</f>
        <v>287.24542239033156</v>
      </c>
      <c r="F405" s="1" t="str">
        <f t="shared" si="26"/>
        <v>50</v>
      </c>
      <c r="G405" s="1" t="str">
        <f t="shared" si="27"/>
        <v>1</v>
      </c>
      <c r="I405" s="1" t="str">
        <f t="shared" si="25"/>
        <v>威尔新数值1.06.xlsm!suitPower</v>
      </c>
    </row>
    <row r="406" spans="1:9" x14ac:dyDescent="0.15">
      <c r="A406" s="1">
        <v>405</v>
      </c>
      <c r="B406" s="1">
        <v>102080100</v>
      </c>
      <c r="C406" s="1">
        <f t="shared" si="24"/>
        <v>5</v>
      </c>
      <c r="D406" s="5">
        <f ca="1">IF(getQuality(B406)&lt;4,getOtherMin(B406,C406,INDIRECT(J$2),INDIRECT(I406),test),getMin(B406,C406,INDIRECT(J$2),INDIRECT(I406),test))</f>
        <v>237.63369570586491</v>
      </c>
      <c r="E406" s="5">
        <f ca="1">IF(getQuality(B406)&lt;4,getOtherMax(B406,C406,INDIRECT(J$2),INDIRECT(I406),test),getMax(B406,C406,INDIRECT(J$2),INDIRECT(I406),test))</f>
        <v>287.24542239033156</v>
      </c>
      <c r="F406" s="1" t="str">
        <f t="shared" si="26"/>
        <v>50</v>
      </c>
      <c r="G406" s="1" t="str">
        <f t="shared" si="27"/>
        <v/>
      </c>
      <c r="I406" s="1" t="str">
        <f t="shared" si="25"/>
        <v>威尔新数值1.06.xlsm!suitPower</v>
      </c>
    </row>
    <row r="407" spans="1:9" x14ac:dyDescent="0.15">
      <c r="A407" s="1">
        <v>406</v>
      </c>
      <c r="B407" s="1">
        <v>102080100</v>
      </c>
      <c r="C407" s="1">
        <f t="shared" si="24"/>
        <v>7</v>
      </c>
      <c r="D407" s="5">
        <f ca="1">IF(getQuality(B407)&lt;4,getOtherMin(B407,C407,INDIRECT(J$2),INDIRECT(I407),test),getMin(B407,C407,INDIRECT(J$2),INDIRECT(I407),test))</f>
        <v>46.370370370370253</v>
      </c>
      <c r="E407" s="5">
        <f ca="1">IF(getQuality(B407)&lt;4,getOtherMax(B407,C407,INDIRECT(J$2),INDIRECT(I407),test),getMax(B407,C407,INDIRECT(J$2),INDIRECT(I407),test))</f>
        <v>51.85185185185172</v>
      </c>
      <c r="F407" s="1" t="str">
        <f t="shared" si="26"/>
        <v>50</v>
      </c>
      <c r="G407" s="1" t="str">
        <f t="shared" si="27"/>
        <v/>
      </c>
      <c r="I407" s="1" t="str">
        <f t="shared" si="25"/>
        <v>威尔新数值1.06.xlsm!suitPower</v>
      </c>
    </row>
    <row r="408" spans="1:9" x14ac:dyDescent="0.15">
      <c r="A408" s="1">
        <v>407</v>
      </c>
      <c r="B408" s="1">
        <v>102080100</v>
      </c>
      <c r="C408" s="1">
        <f t="shared" si="24"/>
        <v>8</v>
      </c>
      <c r="D408" s="5">
        <f ca="1">IF(getQuality(B408)&lt;4,getOtherMin(B408,C408,INDIRECT(J$2),INDIRECT(I408),test),getMin(B408,C408,INDIRECT(J$2),INDIRECT(I408),test))</f>
        <v>103.08333333333333</v>
      </c>
      <c r="E408" s="5">
        <f ca="1">IF(getQuality(B408)&lt;4,getOtherMax(B408,C408,INDIRECT(J$2),INDIRECT(I408),test),getMax(B408,C408,INDIRECT(J$2),INDIRECT(I408),test))</f>
        <v>116.66666666666667</v>
      </c>
      <c r="F408" s="1" t="str">
        <f t="shared" si="26"/>
        <v>50</v>
      </c>
      <c r="G408" s="1" t="str">
        <f t="shared" si="27"/>
        <v/>
      </c>
      <c r="I408" s="1" t="str">
        <f t="shared" si="25"/>
        <v>威尔新数值1.06.xlsm!suitPower</v>
      </c>
    </row>
    <row r="409" spans="1:9" x14ac:dyDescent="0.15">
      <c r="A409" s="1">
        <v>408</v>
      </c>
      <c r="B409" s="1">
        <v>102080100</v>
      </c>
      <c r="C409" s="1">
        <f t="shared" si="24"/>
        <v>9</v>
      </c>
      <c r="D409" s="5">
        <f ca="1">IF(getQuality(B409)&lt;4,getOtherMin(B409,C409,INDIRECT(J$2),INDIRECT(I409),test),getMin(B409,C409,INDIRECT(J$2),INDIRECT(I409),test))</f>
        <v>237.63369570586491</v>
      </c>
      <c r="E409" s="5">
        <f ca="1">IF(getQuality(B409)&lt;4,getOtherMax(B409,C409,INDIRECT(J$2),INDIRECT(I409),test),getMax(B409,C409,INDIRECT(J$2),INDIRECT(I409),test))</f>
        <v>287.24542239033156</v>
      </c>
      <c r="F409" s="1" t="str">
        <f t="shared" si="26"/>
        <v>50</v>
      </c>
      <c r="G409" s="1" t="str">
        <f t="shared" si="27"/>
        <v/>
      </c>
      <c r="I409" s="1" t="str">
        <f t="shared" si="25"/>
        <v>威尔新数值1.06.xlsm!suitPower</v>
      </c>
    </row>
    <row r="410" spans="1:9" x14ac:dyDescent="0.15">
      <c r="A410" s="1">
        <v>409</v>
      </c>
      <c r="B410" s="1">
        <v>102080100</v>
      </c>
      <c r="C410" s="1">
        <f t="shared" si="24"/>
        <v>10</v>
      </c>
      <c r="D410" s="5">
        <f ca="1">IF(getQuality(B410)&lt;4,getOtherMin(B410,C410,INDIRECT(J$2),INDIRECT(I410),test),getMin(B410,C410,INDIRECT(J$2),INDIRECT(I410),test))</f>
        <v>237.63369570586491</v>
      </c>
      <c r="E410" s="5">
        <f ca="1">IF(getQuality(B410)&lt;4,getOtherMax(B410,C410,INDIRECT(J$2),INDIRECT(I410),test),getMax(B410,C410,INDIRECT(J$2),INDIRECT(I410),test))</f>
        <v>287.24542239033156</v>
      </c>
      <c r="F410" s="1" t="str">
        <f t="shared" si="26"/>
        <v>50</v>
      </c>
      <c r="G410" s="1" t="str">
        <f t="shared" si="27"/>
        <v/>
      </c>
      <c r="I410" s="1" t="str">
        <f t="shared" si="25"/>
        <v>威尔新数值1.06.xlsm!suitPower</v>
      </c>
    </row>
    <row r="411" spans="1:9" x14ac:dyDescent="0.15">
      <c r="A411" s="1">
        <v>410</v>
      </c>
      <c r="B411" s="1">
        <v>102080100</v>
      </c>
      <c r="C411" s="1">
        <f t="shared" si="24"/>
        <v>11</v>
      </c>
      <c r="D411" s="5">
        <f ca="1">IF(getQuality(B411)&lt;4,getOtherMin(B411,C411,INDIRECT(J$2),INDIRECT(I411),test),getMin(B411,C411,INDIRECT(J$2),INDIRECT(I411),test))</f>
        <v>237.63369570586491</v>
      </c>
      <c r="E411" s="5">
        <f ca="1">IF(getQuality(B411)&lt;4,getOtherMax(B411,C411,INDIRECT(J$2),INDIRECT(I411),test),getMax(B411,C411,INDIRECT(J$2),INDIRECT(I411),test))</f>
        <v>287.24542239033156</v>
      </c>
      <c r="F411" s="1" t="str">
        <f t="shared" si="26"/>
        <v>50</v>
      </c>
      <c r="G411" s="1" t="str">
        <f t="shared" si="27"/>
        <v/>
      </c>
      <c r="I411" s="1" t="str">
        <f t="shared" si="25"/>
        <v>威尔新数值1.06.xlsm!suitPower</v>
      </c>
    </row>
    <row r="412" spans="1:9" x14ac:dyDescent="0.15">
      <c r="A412" s="1">
        <v>411</v>
      </c>
      <c r="B412" s="1">
        <v>102080100</v>
      </c>
      <c r="C412" s="1">
        <f t="shared" si="24"/>
        <v>12</v>
      </c>
      <c r="D412" s="5">
        <f ca="1">IF(getQuality(B412)&lt;4,getOtherMin(B412,C412,INDIRECT(J$2),INDIRECT(I412),test),getMin(B412,C412,INDIRECT(J$2),INDIRECT(I412),test))</f>
        <v>237.63369570586491</v>
      </c>
      <c r="E412" s="5">
        <f ca="1">IF(getQuality(B412)&lt;4,getOtherMax(B412,C412,INDIRECT(J$2),INDIRECT(I412),test),getMax(B412,C412,INDIRECT(J$2),INDIRECT(I412),test))</f>
        <v>287.24542239033156</v>
      </c>
      <c r="F412" s="1" t="str">
        <f t="shared" si="26"/>
        <v>50</v>
      </c>
      <c r="G412" s="1" t="str">
        <f t="shared" si="27"/>
        <v/>
      </c>
      <c r="I412" s="1" t="str">
        <f t="shared" si="25"/>
        <v>威尔新数值1.06.xlsm!suitPower</v>
      </c>
    </row>
    <row r="413" spans="1:9" x14ac:dyDescent="0.15">
      <c r="A413" s="1">
        <v>412</v>
      </c>
      <c r="B413" s="1">
        <v>102080100</v>
      </c>
      <c r="C413" s="1">
        <f t="shared" si="24"/>
        <v>13</v>
      </c>
      <c r="D413" s="5">
        <f ca="1">IF(getQuality(B413)&lt;4,getOtherMin(B413,C413,INDIRECT(J$2),INDIRECT(I413),test),getMin(B413,C413,INDIRECT(J$2),INDIRECT(I413),test))</f>
        <v>237.63369570586491</v>
      </c>
      <c r="E413" s="5">
        <f ca="1">IF(getQuality(B413)&lt;4,getOtherMax(B413,C413,INDIRECT(J$2),INDIRECT(I413),test),getMax(B413,C413,INDIRECT(J$2),INDIRECT(I413),test))</f>
        <v>287.24542239033156</v>
      </c>
      <c r="F413" s="1" t="str">
        <f t="shared" si="26"/>
        <v>50</v>
      </c>
      <c r="G413" s="1" t="str">
        <f t="shared" si="27"/>
        <v/>
      </c>
      <c r="I413" s="1" t="str">
        <f t="shared" si="25"/>
        <v>威尔新数值1.06.xlsm!suitPower</v>
      </c>
    </row>
    <row r="414" spans="1:9" x14ac:dyDescent="0.15">
      <c r="A414" s="1">
        <v>413</v>
      </c>
      <c r="B414" s="1">
        <v>102080100</v>
      </c>
      <c r="C414" s="1">
        <f t="shared" si="24"/>
        <v>14</v>
      </c>
      <c r="D414" s="5">
        <f ca="1">IF(getQuality(B414)&lt;4,getOtherMin(B414,C414,INDIRECT(J$2),INDIRECT(I414),test),getMin(B414,C414,INDIRECT(J$2),INDIRECT(I414),test))</f>
        <v>237.63369570586491</v>
      </c>
      <c r="E414" s="5">
        <f ca="1">IF(getQuality(B414)&lt;4,getOtherMax(B414,C414,INDIRECT(J$2),INDIRECT(I414),test),getMax(B414,C414,INDIRECT(J$2),INDIRECT(I414),test))</f>
        <v>287.24542239033156</v>
      </c>
      <c r="F414" s="1" t="str">
        <f t="shared" si="26"/>
        <v>50</v>
      </c>
      <c r="G414" s="1" t="str">
        <f t="shared" si="27"/>
        <v/>
      </c>
      <c r="I414" s="1" t="str">
        <f t="shared" si="25"/>
        <v>威尔新数值1.06.xlsm!suitPower</v>
      </c>
    </row>
    <row r="415" spans="1:9" x14ac:dyDescent="0.15">
      <c r="A415" s="1">
        <v>414</v>
      </c>
      <c r="B415" s="1">
        <v>102080100</v>
      </c>
      <c r="C415" s="1">
        <f t="shared" si="24"/>
        <v>15</v>
      </c>
      <c r="D415" s="5">
        <f ca="1">IF(getQuality(B415)&lt;4,getOtherMin(B415,C415,INDIRECT(J$2),INDIRECT(I415),test),getMin(B415,C415,INDIRECT(J$2),INDIRECT(I415),test))</f>
        <v>237.63369570586491</v>
      </c>
      <c r="E415" s="5">
        <f ca="1">IF(getQuality(B415)&lt;4,getOtherMax(B415,C415,INDIRECT(J$2),INDIRECT(I415),test),getMax(B415,C415,INDIRECT(J$2),INDIRECT(I415),test))</f>
        <v>287.24542239033156</v>
      </c>
      <c r="F415" s="1" t="str">
        <f t="shared" si="26"/>
        <v>50</v>
      </c>
      <c r="G415" s="1" t="str">
        <f t="shared" si="27"/>
        <v/>
      </c>
      <c r="I415" s="1" t="str">
        <f t="shared" si="25"/>
        <v>威尔新数值1.06.xlsm!suitPower</v>
      </c>
    </row>
    <row r="416" spans="1:9" x14ac:dyDescent="0.15">
      <c r="A416" s="1">
        <v>415</v>
      </c>
      <c r="B416" s="1">
        <v>102080100</v>
      </c>
      <c r="C416" s="1">
        <f t="shared" si="24"/>
        <v>101</v>
      </c>
      <c r="D416" s="5">
        <f ca="1">IF(getQuality(B416)&lt;4,getOtherMin(B416,C416,INDIRECT(J$2),INDIRECT(I416),test),getMin(B416,C416,INDIRECT(J$2),INDIRECT(I416),test))</f>
        <v>0.13</v>
      </c>
      <c r="E416" s="5">
        <f ca="1">IF(getQuality(B416)&lt;4,getOtherMax(B416,C416,INDIRECT(J$2),INDIRECT(I416),test),getMax(B416,C416,INDIRECT(J$2),INDIRECT(I416),test))</f>
        <v>0.16</v>
      </c>
      <c r="F416" s="1" t="str">
        <f t="shared" si="26"/>
        <v>50</v>
      </c>
      <c r="G416" s="1" t="str">
        <f t="shared" si="27"/>
        <v/>
      </c>
      <c r="I416" s="1" t="str">
        <f t="shared" si="25"/>
        <v>威尔新数值1.06.xlsm!circlePer</v>
      </c>
    </row>
    <row r="417" spans="1:9" x14ac:dyDescent="0.15">
      <c r="A417" s="1">
        <v>416</v>
      </c>
      <c r="B417" s="1">
        <v>102080100</v>
      </c>
      <c r="C417" s="1">
        <f t="shared" si="24"/>
        <v>102</v>
      </c>
      <c r="D417" s="5">
        <f ca="1">IF(getQuality(B417)&lt;4,getOtherMin(B417,C417,INDIRECT(J$2),INDIRECT(I417),test),getMin(B417,C417,INDIRECT(J$2),INDIRECT(I417),test))</f>
        <v>1.1000000000000001</v>
      </c>
      <c r="E417" s="5">
        <f ca="1">IF(getQuality(B417)&lt;4,getOtherMax(B417,C417,INDIRECT(J$2),INDIRECT(I417),test),getMax(B417,C417,INDIRECT(J$2),INDIRECT(I417),test))</f>
        <v>1.5</v>
      </c>
      <c r="F417" s="1" t="str">
        <f t="shared" si="26"/>
        <v>50</v>
      </c>
      <c r="G417" s="1" t="str">
        <f t="shared" si="27"/>
        <v/>
      </c>
      <c r="I417" s="1" t="str">
        <f t="shared" si="25"/>
        <v>威尔新数值1.06.xlsm!circleValue</v>
      </c>
    </row>
    <row r="418" spans="1:9" x14ac:dyDescent="0.15">
      <c r="A418" s="1">
        <v>417</v>
      </c>
      <c r="B418" s="1">
        <v>102080100</v>
      </c>
      <c r="C418" s="1">
        <f t="shared" si="24"/>
        <v>103</v>
      </c>
      <c r="D418" s="5">
        <f ca="1">IF(getQuality(B418)&lt;4,getOtherMin(B418,C418,INDIRECT(J$2),INDIRECT(I418),test),getMin(B418,C418,INDIRECT(J$2),INDIRECT(I418),test))</f>
        <v>0.13</v>
      </c>
      <c r="E418" s="5">
        <f ca="1">IF(getQuality(B418)&lt;4,getOtherMax(B418,C418,INDIRECT(J$2),INDIRECT(I418),test),getMax(B418,C418,INDIRECT(J$2),INDIRECT(I418),test))</f>
        <v>0.16</v>
      </c>
      <c r="F418" s="1" t="str">
        <f t="shared" si="26"/>
        <v>50</v>
      </c>
      <c r="G418" s="1" t="str">
        <f t="shared" si="27"/>
        <v/>
      </c>
      <c r="I418" s="1" t="str">
        <f t="shared" si="25"/>
        <v>威尔新数值1.06.xlsm!otherDamage</v>
      </c>
    </row>
    <row r="419" spans="1:9" x14ac:dyDescent="0.15">
      <c r="A419" s="1">
        <v>418</v>
      </c>
      <c r="B419" s="1">
        <v>102080100</v>
      </c>
      <c r="C419" s="1">
        <f t="shared" si="24"/>
        <v>104</v>
      </c>
      <c r="D419" s="5">
        <f ca="1">IF(getQuality(B419)&lt;4,getOtherMin(B419,C419,INDIRECT(J$2),INDIRECT(I419),test),getMin(B419,C419,INDIRECT(J$2),INDIRECT(I419),test))</f>
        <v>0.13</v>
      </c>
      <c r="E419" s="5">
        <f ca="1">IF(getQuality(B419)&lt;4,getOtherMax(B419,C419,INDIRECT(J$2),INDIRECT(I419),test),getMax(B419,C419,INDIRECT(J$2),INDIRECT(I419),test))</f>
        <v>0.26</v>
      </c>
      <c r="F419" s="1" t="str">
        <f t="shared" si="26"/>
        <v>50</v>
      </c>
      <c r="G419" s="1" t="str">
        <f t="shared" si="27"/>
        <v/>
      </c>
      <c r="I419" s="1" t="str">
        <f t="shared" si="25"/>
        <v>威尔新数值1.06.xlsm!monsterDamage</v>
      </c>
    </row>
    <row r="420" spans="1:9" x14ac:dyDescent="0.15">
      <c r="A420" s="1">
        <v>419</v>
      </c>
      <c r="B420" s="1">
        <v>102080100</v>
      </c>
      <c r="C420" s="1">
        <f t="shared" ref="C420:C483" si="28">C401</f>
        <v>105</v>
      </c>
      <c r="D420" s="5">
        <f ca="1">IF(getQuality(B420)&lt;4,getOtherMin(B420,C420,INDIRECT(J$2),INDIRECT(I420),test),getMin(B420,C420,INDIRECT(J$2),INDIRECT(I420),test))</f>
        <v>0.13</v>
      </c>
      <c r="E420" s="5">
        <f ca="1">IF(getQuality(B420)&lt;4,getOtherMax(B420,C420,INDIRECT(J$2),INDIRECT(I420),test),getMax(B420,C420,INDIRECT(J$2),INDIRECT(I420),test))</f>
        <v>0.26</v>
      </c>
      <c r="F420" s="1" t="str">
        <f t="shared" si="26"/>
        <v>50</v>
      </c>
      <c r="G420" s="1" t="str">
        <f t="shared" si="27"/>
        <v/>
      </c>
      <c r="I420" s="1" t="str">
        <f t="shared" si="25"/>
        <v>威尔新数值1.06.xlsm!monsterDamage</v>
      </c>
    </row>
    <row r="421" spans="1:9" x14ac:dyDescent="0.15">
      <c r="A421" s="1">
        <v>420</v>
      </c>
      <c r="B421" s="1">
        <v>102080100</v>
      </c>
      <c r="C421" s="1">
        <f t="shared" si="28"/>
        <v>106</v>
      </c>
      <c r="D421" s="5">
        <f ca="1">IF(getQuality(B421)&lt;4,getOtherMin(B421,C421,INDIRECT(J$2),INDIRECT(I421),test),getMin(B421,C421,INDIRECT(J$2),INDIRECT(I421),test))</f>
        <v>0.13</v>
      </c>
      <c r="E421" s="5">
        <f ca="1">IF(getQuality(B421)&lt;4,getOtherMax(B421,C421,INDIRECT(J$2),INDIRECT(I421),test),getMax(B421,C421,INDIRECT(J$2),INDIRECT(I421),test))</f>
        <v>0.26</v>
      </c>
      <c r="F421" s="1" t="str">
        <f t="shared" si="26"/>
        <v>50</v>
      </c>
      <c r="G421" s="1" t="str">
        <f t="shared" si="27"/>
        <v/>
      </c>
      <c r="I421" s="1" t="str">
        <f t="shared" si="25"/>
        <v>威尔新数值1.06.xlsm!monsterDamage</v>
      </c>
    </row>
    <row r="422" spans="1:9" x14ac:dyDescent="0.15">
      <c r="A422" s="1">
        <v>421</v>
      </c>
      <c r="B422" s="1">
        <v>102080100</v>
      </c>
      <c r="C422" s="1">
        <f t="shared" si="28"/>
        <v>107</v>
      </c>
      <c r="D422" s="5">
        <f ca="1">IF(getQuality(B422)&lt;4,getOtherMin(B422,C422,INDIRECT(J$2),INDIRECT(I422),test),getMin(B422,C422,INDIRECT(J$2),INDIRECT(I422),test))</f>
        <v>0.13</v>
      </c>
      <c r="E422" s="5">
        <f ca="1">IF(getQuality(B422)&lt;4,getOtherMax(B422,C422,INDIRECT(J$2),INDIRECT(I422),test),getMax(B422,C422,INDIRECT(J$2),INDIRECT(I422),test))</f>
        <v>0.26</v>
      </c>
      <c r="F422" s="1" t="str">
        <f t="shared" si="26"/>
        <v>50</v>
      </c>
      <c r="G422" s="1" t="str">
        <f t="shared" si="27"/>
        <v/>
      </c>
      <c r="I422" s="1" t="str">
        <f t="shared" si="25"/>
        <v>威尔新数值1.06.xlsm!monsterDamage</v>
      </c>
    </row>
    <row r="423" spans="1:9" x14ac:dyDescent="0.15">
      <c r="A423" s="1">
        <v>422</v>
      </c>
      <c r="B423" s="1">
        <v>102080100</v>
      </c>
      <c r="C423" s="1">
        <f t="shared" si="28"/>
        <v>108</v>
      </c>
      <c r="D423" s="5">
        <f ca="1">IF(getQuality(B423)&lt;4,getOtherMin(B423,C423,INDIRECT(J$2),INDIRECT(I423),test),getMin(B423,C423,INDIRECT(J$2),INDIRECT(I423),test))</f>
        <v>0.13</v>
      </c>
      <c r="E423" s="5">
        <f ca="1">IF(getQuality(B423)&lt;4,getOtherMax(B423,C423,INDIRECT(J$2),INDIRECT(I423),test),getMax(B423,C423,INDIRECT(J$2),INDIRECT(I423),test))</f>
        <v>0.26</v>
      </c>
      <c r="F423" s="1" t="str">
        <f t="shared" si="26"/>
        <v>50</v>
      </c>
      <c r="G423" s="1" t="str">
        <f t="shared" si="27"/>
        <v/>
      </c>
      <c r="I423" s="1" t="str">
        <f t="shared" si="25"/>
        <v>威尔新数值1.06.xlsm!monsterDamage</v>
      </c>
    </row>
    <row r="424" spans="1:9" x14ac:dyDescent="0.15">
      <c r="A424" s="1">
        <v>423</v>
      </c>
      <c r="B424" s="1">
        <v>102090100</v>
      </c>
      <c r="C424" s="1">
        <f t="shared" si="28"/>
        <v>3</v>
      </c>
      <c r="D424" s="5">
        <f ca="1">IF(getQuality(B424)&lt;4,getOtherMin(B424,C424,INDIRECT(J$2),INDIRECT(I424),test),getMin(B424,C424,INDIRECT(J$2),INDIRECT(I424),test))</f>
        <v>288.24542239033156</v>
      </c>
      <c r="E424" s="5">
        <f ca="1">IF(getQuality(B424)&lt;4,getOtherMax(B424,C424,INDIRECT(J$2),INDIRECT(I424),test),getMax(B424,C424,INDIRECT(J$2),INDIRECT(I424),test))</f>
        <v>342.05887732784834</v>
      </c>
      <c r="F424" s="1" t="str">
        <f t="shared" si="26"/>
        <v>50</v>
      </c>
      <c r="G424" s="1" t="str">
        <f t="shared" si="27"/>
        <v>1</v>
      </c>
      <c r="I424" s="1" t="str">
        <f t="shared" si="25"/>
        <v>威尔新数值1.06.xlsm!suitPower</v>
      </c>
    </row>
    <row r="425" spans="1:9" x14ac:dyDescent="0.15">
      <c r="A425" s="1">
        <v>424</v>
      </c>
      <c r="B425" s="1">
        <v>102090100</v>
      </c>
      <c r="C425" s="1">
        <f t="shared" si="28"/>
        <v>5</v>
      </c>
      <c r="D425" s="5">
        <f ca="1">IF(getQuality(B425)&lt;4,getOtherMin(B425,C425,INDIRECT(J$2),INDIRECT(I425),test),getMin(B425,C425,INDIRECT(J$2),INDIRECT(I425),test))</f>
        <v>288.24542239033156</v>
      </c>
      <c r="E425" s="5">
        <f ca="1">IF(getQuality(B425)&lt;4,getOtherMax(B425,C425,INDIRECT(J$2),INDIRECT(I425),test),getMax(B425,C425,INDIRECT(J$2),INDIRECT(I425),test))</f>
        <v>342.05887732784834</v>
      </c>
      <c r="F425" s="1" t="str">
        <f t="shared" si="26"/>
        <v>50</v>
      </c>
      <c r="G425" s="1" t="str">
        <f t="shared" si="27"/>
        <v/>
      </c>
      <c r="I425" s="1" t="str">
        <f t="shared" si="25"/>
        <v>威尔新数值1.06.xlsm!suitPower</v>
      </c>
    </row>
    <row r="426" spans="1:9" x14ac:dyDescent="0.15">
      <c r="A426" s="1">
        <v>425</v>
      </c>
      <c r="B426" s="1">
        <v>102090100</v>
      </c>
      <c r="C426" s="1">
        <f t="shared" si="28"/>
        <v>7</v>
      </c>
      <c r="D426" s="5">
        <f ca="1">IF(getQuality(B426)&lt;4,getOtherMin(B426,C426,INDIRECT(J$2),INDIRECT(I426),test),getMin(B426,C426,INDIRECT(J$2),INDIRECT(I426),test))</f>
        <v>52.85185185185172</v>
      </c>
      <c r="E426" s="5">
        <f ca="1">IF(getQuality(B426)&lt;4,getOtherMax(B426,C426,INDIRECT(J$2),INDIRECT(I426),test),getMax(B426,C426,INDIRECT(J$2),INDIRECT(I426),test))</f>
        <v>58.333333333333186</v>
      </c>
      <c r="F426" s="1" t="str">
        <f t="shared" si="26"/>
        <v>50</v>
      </c>
      <c r="G426" s="1" t="str">
        <f t="shared" si="27"/>
        <v/>
      </c>
      <c r="I426" s="1" t="str">
        <f t="shared" si="25"/>
        <v>威尔新数值1.06.xlsm!suitPower</v>
      </c>
    </row>
    <row r="427" spans="1:9" x14ac:dyDescent="0.15">
      <c r="A427" s="1">
        <v>426</v>
      </c>
      <c r="B427" s="1">
        <v>102090100</v>
      </c>
      <c r="C427" s="1">
        <f t="shared" si="28"/>
        <v>8</v>
      </c>
      <c r="D427" s="5">
        <f ca="1">IF(getQuality(B427)&lt;4,getOtherMin(B427,C427,INDIRECT(J$2),INDIRECT(I427),test),getMin(B427,C427,INDIRECT(J$2),INDIRECT(I427),test))</f>
        <v>117.66666666666667</v>
      </c>
      <c r="E427" s="5">
        <f ca="1">IF(getQuality(B427)&lt;4,getOtherMax(B427,C427,INDIRECT(J$2),INDIRECT(I427),test),getMax(B427,C427,INDIRECT(J$2),INDIRECT(I427),test))</f>
        <v>131.25</v>
      </c>
      <c r="F427" s="1" t="str">
        <f t="shared" si="26"/>
        <v>50</v>
      </c>
      <c r="G427" s="1" t="str">
        <f t="shared" si="27"/>
        <v/>
      </c>
      <c r="I427" s="1" t="str">
        <f t="shared" si="25"/>
        <v>威尔新数值1.06.xlsm!suitPower</v>
      </c>
    </row>
    <row r="428" spans="1:9" x14ac:dyDescent="0.15">
      <c r="A428" s="1">
        <v>427</v>
      </c>
      <c r="B428" s="1">
        <v>102090100</v>
      </c>
      <c r="C428" s="1">
        <f t="shared" si="28"/>
        <v>9</v>
      </c>
      <c r="D428" s="5">
        <f ca="1">IF(getQuality(B428)&lt;4,getOtherMin(B428,C428,INDIRECT(J$2),INDIRECT(I428),test),getMin(B428,C428,INDIRECT(J$2),INDIRECT(I428),test))</f>
        <v>288.24542239033156</v>
      </c>
      <c r="E428" s="5">
        <f ca="1">IF(getQuality(B428)&lt;4,getOtherMax(B428,C428,INDIRECT(J$2),INDIRECT(I428),test),getMax(B428,C428,INDIRECT(J$2),INDIRECT(I428),test))</f>
        <v>342.05887732784834</v>
      </c>
      <c r="F428" s="1" t="str">
        <f t="shared" si="26"/>
        <v>50</v>
      </c>
      <c r="G428" s="1" t="str">
        <f t="shared" si="27"/>
        <v/>
      </c>
      <c r="I428" s="1" t="str">
        <f t="shared" si="25"/>
        <v>威尔新数值1.06.xlsm!suitPower</v>
      </c>
    </row>
    <row r="429" spans="1:9" x14ac:dyDescent="0.15">
      <c r="A429" s="1">
        <v>428</v>
      </c>
      <c r="B429" s="1">
        <v>102090100</v>
      </c>
      <c r="C429" s="1">
        <f t="shared" si="28"/>
        <v>10</v>
      </c>
      <c r="D429" s="5">
        <f ca="1">IF(getQuality(B429)&lt;4,getOtherMin(B429,C429,INDIRECT(J$2),INDIRECT(I429),test),getMin(B429,C429,INDIRECT(J$2),INDIRECT(I429),test))</f>
        <v>288.24542239033156</v>
      </c>
      <c r="E429" s="5">
        <f ca="1">IF(getQuality(B429)&lt;4,getOtherMax(B429,C429,INDIRECT(J$2),INDIRECT(I429),test),getMax(B429,C429,INDIRECT(J$2),INDIRECT(I429),test))</f>
        <v>342.05887732784834</v>
      </c>
      <c r="F429" s="1" t="str">
        <f t="shared" si="26"/>
        <v>50</v>
      </c>
      <c r="G429" s="1" t="str">
        <f t="shared" si="27"/>
        <v/>
      </c>
      <c r="I429" s="1" t="str">
        <f t="shared" si="25"/>
        <v>威尔新数值1.06.xlsm!suitPower</v>
      </c>
    </row>
    <row r="430" spans="1:9" x14ac:dyDescent="0.15">
      <c r="A430" s="1">
        <v>429</v>
      </c>
      <c r="B430" s="1">
        <v>102090100</v>
      </c>
      <c r="C430" s="1">
        <f t="shared" si="28"/>
        <v>11</v>
      </c>
      <c r="D430" s="5">
        <f ca="1">IF(getQuality(B430)&lt;4,getOtherMin(B430,C430,INDIRECT(J$2),INDIRECT(I430),test),getMin(B430,C430,INDIRECT(J$2),INDIRECT(I430),test))</f>
        <v>288.24542239033156</v>
      </c>
      <c r="E430" s="5">
        <f ca="1">IF(getQuality(B430)&lt;4,getOtherMax(B430,C430,INDIRECT(J$2),INDIRECT(I430),test),getMax(B430,C430,INDIRECT(J$2),INDIRECT(I430),test))</f>
        <v>342.05887732784834</v>
      </c>
      <c r="F430" s="1" t="str">
        <f t="shared" si="26"/>
        <v>50</v>
      </c>
      <c r="G430" s="1" t="str">
        <f t="shared" si="27"/>
        <v/>
      </c>
      <c r="I430" s="1" t="str">
        <f t="shared" si="25"/>
        <v>威尔新数值1.06.xlsm!suitPower</v>
      </c>
    </row>
    <row r="431" spans="1:9" x14ac:dyDescent="0.15">
      <c r="A431" s="1">
        <v>430</v>
      </c>
      <c r="B431" s="1">
        <v>102090100</v>
      </c>
      <c r="C431" s="1">
        <f t="shared" si="28"/>
        <v>12</v>
      </c>
      <c r="D431" s="5">
        <f ca="1">IF(getQuality(B431)&lt;4,getOtherMin(B431,C431,INDIRECT(J$2),INDIRECT(I431),test),getMin(B431,C431,INDIRECT(J$2),INDIRECT(I431),test))</f>
        <v>288.24542239033156</v>
      </c>
      <c r="E431" s="5">
        <f ca="1">IF(getQuality(B431)&lt;4,getOtherMax(B431,C431,INDIRECT(J$2),INDIRECT(I431),test),getMax(B431,C431,INDIRECT(J$2),INDIRECT(I431),test))</f>
        <v>342.05887732784834</v>
      </c>
      <c r="F431" s="1" t="str">
        <f t="shared" si="26"/>
        <v>50</v>
      </c>
      <c r="G431" s="1" t="str">
        <f t="shared" si="27"/>
        <v/>
      </c>
      <c r="I431" s="1" t="str">
        <f t="shared" si="25"/>
        <v>威尔新数值1.06.xlsm!suitPower</v>
      </c>
    </row>
    <row r="432" spans="1:9" x14ac:dyDescent="0.15">
      <c r="A432" s="1">
        <v>431</v>
      </c>
      <c r="B432" s="1">
        <v>102090100</v>
      </c>
      <c r="C432" s="1">
        <f t="shared" si="28"/>
        <v>13</v>
      </c>
      <c r="D432" s="5">
        <f ca="1">IF(getQuality(B432)&lt;4,getOtherMin(B432,C432,INDIRECT(J$2),INDIRECT(I432),test),getMin(B432,C432,INDIRECT(J$2),INDIRECT(I432),test))</f>
        <v>288.24542239033156</v>
      </c>
      <c r="E432" s="5">
        <f ca="1">IF(getQuality(B432)&lt;4,getOtherMax(B432,C432,INDIRECT(J$2),INDIRECT(I432),test),getMax(B432,C432,INDIRECT(J$2),INDIRECT(I432),test))</f>
        <v>342.05887732784834</v>
      </c>
      <c r="F432" s="1" t="str">
        <f t="shared" si="26"/>
        <v>50</v>
      </c>
      <c r="G432" s="1" t="str">
        <f t="shared" si="27"/>
        <v/>
      </c>
      <c r="I432" s="1" t="str">
        <f t="shared" si="25"/>
        <v>威尔新数值1.06.xlsm!suitPower</v>
      </c>
    </row>
    <row r="433" spans="1:9" x14ac:dyDescent="0.15">
      <c r="A433" s="1">
        <v>432</v>
      </c>
      <c r="B433" s="1">
        <v>102090100</v>
      </c>
      <c r="C433" s="1">
        <f t="shared" si="28"/>
        <v>14</v>
      </c>
      <c r="D433" s="5">
        <f ca="1">IF(getQuality(B433)&lt;4,getOtherMin(B433,C433,INDIRECT(J$2),INDIRECT(I433),test),getMin(B433,C433,INDIRECT(J$2),INDIRECT(I433),test))</f>
        <v>288.24542239033156</v>
      </c>
      <c r="E433" s="5">
        <f ca="1">IF(getQuality(B433)&lt;4,getOtherMax(B433,C433,INDIRECT(J$2),INDIRECT(I433),test),getMax(B433,C433,INDIRECT(J$2),INDIRECT(I433),test))</f>
        <v>342.05887732784834</v>
      </c>
      <c r="F433" s="1" t="str">
        <f t="shared" si="26"/>
        <v>50</v>
      </c>
      <c r="G433" s="1" t="str">
        <f t="shared" si="27"/>
        <v/>
      </c>
      <c r="I433" s="1" t="str">
        <f t="shared" si="25"/>
        <v>威尔新数值1.06.xlsm!suitPower</v>
      </c>
    </row>
    <row r="434" spans="1:9" x14ac:dyDescent="0.15">
      <c r="A434" s="1">
        <v>433</v>
      </c>
      <c r="B434" s="1">
        <v>102090100</v>
      </c>
      <c r="C434" s="1">
        <f t="shared" si="28"/>
        <v>15</v>
      </c>
      <c r="D434" s="5">
        <f ca="1">IF(getQuality(B434)&lt;4,getOtherMin(B434,C434,INDIRECT(J$2),INDIRECT(I434),test),getMin(B434,C434,INDIRECT(J$2),INDIRECT(I434),test))</f>
        <v>288.24542239033156</v>
      </c>
      <c r="E434" s="5">
        <f ca="1">IF(getQuality(B434)&lt;4,getOtherMax(B434,C434,INDIRECT(J$2),INDIRECT(I434),test),getMax(B434,C434,INDIRECT(J$2),INDIRECT(I434),test))</f>
        <v>342.05887732784834</v>
      </c>
      <c r="F434" s="1" t="str">
        <f t="shared" si="26"/>
        <v>50</v>
      </c>
      <c r="G434" s="1" t="str">
        <f t="shared" si="27"/>
        <v/>
      </c>
      <c r="I434" s="1" t="str">
        <f t="shared" si="25"/>
        <v>威尔新数值1.06.xlsm!suitPower</v>
      </c>
    </row>
    <row r="435" spans="1:9" x14ac:dyDescent="0.15">
      <c r="A435" s="1">
        <v>434</v>
      </c>
      <c r="B435" s="1">
        <v>102090100</v>
      </c>
      <c r="C435" s="1">
        <f t="shared" si="28"/>
        <v>101</v>
      </c>
      <c r="D435" s="5">
        <f ca="1">IF(getQuality(B435)&lt;4,getOtherMin(B435,C435,INDIRECT(J$2),INDIRECT(I435),test),getMin(B435,C435,INDIRECT(J$2),INDIRECT(I435),test))</f>
        <v>0.14000000000000001</v>
      </c>
      <c r="E435" s="5">
        <f ca="1">IF(getQuality(B435)&lt;4,getOtherMax(B435,C435,INDIRECT(J$2),INDIRECT(I435),test),getMax(B435,C435,INDIRECT(J$2),INDIRECT(I435),test))</f>
        <v>0.17</v>
      </c>
      <c r="F435" s="1" t="str">
        <f t="shared" si="26"/>
        <v>50</v>
      </c>
      <c r="G435" s="1" t="str">
        <f t="shared" si="27"/>
        <v/>
      </c>
      <c r="I435" s="1" t="str">
        <f t="shared" si="25"/>
        <v>威尔新数值1.06.xlsm!circlePer</v>
      </c>
    </row>
    <row r="436" spans="1:9" x14ac:dyDescent="0.15">
      <c r="A436" s="1">
        <v>435</v>
      </c>
      <c r="B436" s="1">
        <v>102090100</v>
      </c>
      <c r="C436" s="1">
        <f t="shared" si="28"/>
        <v>102</v>
      </c>
      <c r="D436" s="5">
        <f ca="1">IF(getQuality(B436)&lt;4,getOtherMin(B436,C436,INDIRECT(J$2),INDIRECT(I436),test),getMin(B436,C436,INDIRECT(J$2),INDIRECT(I436),test))</f>
        <v>1.2</v>
      </c>
      <c r="E436" s="5">
        <f ca="1">IF(getQuality(B436)&lt;4,getOtherMax(B436,C436,INDIRECT(J$2),INDIRECT(I436),test),getMax(B436,C436,INDIRECT(J$2),INDIRECT(I436),test))</f>
        <v>1.6</v>
      </c>
      <c r="F436" s="1" t="str">
        <f t="shared" si="26"/>
        <v>50</v>
      </c>
      <c r="G436" s="1" t="str">
        <f t="shared" si="27"/>
        <v/>
      </c>
      <c r="I436" s="1" t="str">
        <f t="shared" si="25"/>
        <v>威尔新数值1.06.xlsm!circleValue</v>
      </c>
    </row>
    <row r="437" spans="1:9" x14ac:dyDescent="0.15">
      <c r="A437" s="1">
        <v>436</v>
      </c>
      <c r="B437" s="1">
        <v>102090100</v>
      </c>
      <c r="C437" s="1">
        <f t="shared" si="28"/>
        <v>103</v>
      </c>
      <c r="D437" s="5">
        <f ca="1">IF(getQuality(B437)&lt;4,getOtherMin(B437,C437,INDIRECT(J$2),INDIRECT(I437),test),getMin(B437,C437,INDIRECT(J$2),INDIRECT(I437),test))</f>
        <v>0.14000000000000001</v>
      </c>
      <c r="E437" s="5">
        <f ca="1">IF(getQuality(B437)&lt;4,getOtherMax(B437,C437,INDIRECT(J$2),INDIRECT(I437),test),getMax(B437,C437,INDIRECT(J$2),INDIRECT(I437),test))</f>
        <v>0.17</v>
      </c>
      <c r="F437" s="1" t="str">
        <f t="shared" si="26"/>
        <v>50</v>
      </c>
      <c r="G437" s="1" t="str">
        <f t="shared" si="27"/>
        <v/>
      </c>
      <c r="I437" s="1" t="str">
        <f t="shared" si="25"/>
        <v>威尔新数值1.06.xlsm!otherDamage</v>
      </c>
    </row>
    <row r="438" spans="1:9" x14ac:dyDescent="0.15">
      <c r="A438" s="1">
        <v>437</v>
      </c>
      <c r="B438" s="1">
        <v>102090100</v>
      </c>
      <c r="C438" s="1">
        <f t="shared" si="28"/>
        <v>104</v>
      </c>
      <c r="D438" s="5">
        <f ca="1">IF(getQuality(B438)&lt;4,getOtherMin(B438,C438,INDIRECT(J$2),INDIRECT(I438),test),getMin(B438,C438,INDIRECT(J$2),INDIRECT(I438),test))</f>
        <v>0.14000000000000001</v>
      </c>
      <c r="E438" s="5">
        <f ca="1">IF(getQuality(B438)&lt;4,getOtherMax(B438,C438,INDIRECT(J$2),INDIRECT(I438),test),getMax(B438,C438,INDIRECT(J$2),INDIRECT(I438),test))</f>
        <v>0.28000000000000003</v>
      </c>
      <c r="F438" s="1" t="str">
        <f t="shared" si="26"/>
        <v>50</v>
      </c>
      <c r="G438" s="1" t="str">
        <f t="shared" si="27"/>
        <v/>
      </c>
      <c r="I438" s="1" t="str">
        <f t="shared" si="25"/>
        <v>威尔新数值1.06.xlsm!monsterDamage</v>
      </c>
    </row>
    <row r="439" spans="1:9" x14ac:dyDescent="0.15">
      <c r="A439" s="1">
        <v>438</v>
      </c>
      <c r="B439" s="1">
        <v>102090100</v>
      </c>
      <c r="C439" s="1">
        <f t="shared" si="28"/>
        <v>105</v>
      </c>
      <c r="D439" s="5">
        <f ca="1">IF(getQuality(B439)&lt;4,getOtherMin(B439,C439,INDIRECT(J$2),INDIRECT(I439),test),getMin(B439,C439,INDIRECT(J$2),INDIRECT(I439),test))</f>
        <v>0.14000000000000001</v>
      </c>
      <c r="E439" s="5">
        <f ca="1">IF(getQuality(B439)&lt;4,getOtherMax(B439,C439,INDIRECT(J$2),INDIRECT(I439),test),getMax(B439,C439,INDIRECT(J$2),INDIRECT(I439),test))</f>
        <v>0.28000000000000003</v>
      </c>
      <c r="F439" s="1" t="str">
        <f t="shared" si="26"/>
        <v>50</v>
      </c>
      <c r="G439" s="1" t="str">
        <f t="shared" si="27"/>
        <v/>
      </c>
      <c r="I439" s="1" t="str">
        <f t="shared" si="25"/>
        <v>威尔新数值1.06.xlsm!monsterDamage</v>
      </c>
    </row>
    <row r="440" spans="1:9" x14ac:dyDescent="0.15">
      <c r="A440" s="1">
        <v>439</v>
      </c>
      <c r="B440" s="1">
        <v>102090100</v>
      </c>
      <c r="C440" s="1">
        <f t="shared" si="28"/>
        <v>106</v>
      </c>
      <c r="D440" s="5">
        <f ca="1">IF(getQuality(B440)&lt;4,getOtherMin(B440,C440,INDIRECT(J$2),INDIRECT(I440),test),getMin(B440,C440,INDIRECT(J$2),INDIRECT(I440),test))</f>
        <v>0.14000000000000001</v>
      </c>
      <c r="E440" s="5">
        <f ca="1">IF(getQuality(B440)&lt;4,getOtherMax(B440,C440,INDIRECT(J$2),INDIRECT(I440),test),getMax(B440,C440,INDIRECT(J$2),INDIRECT(I440),test))</f>
        <v>0.28000000000000003</v>
      </c>
      <c r="F440" s="1" t="str">
        <f t="shared" si="26"/>
        <v>50</v>
      </c>
      <c r="G440" s="1" t="str">
        <f t="shared" si="27"/>
        <v/>
      </c>
      <c r="I440" s="1" t="str">
        <f t="shared" si="25"/>
        <v>威尔新数值1.06.xlsm!monsterDamage</v>
      </c>
    </row>
    <row r="441" spans="1:9" x14ac:dyDescent="0.15">
      <c r="A441" s="1">
        <v>440</v>
      </c>
      <c r="B441" s="1">
        <v>102090100</v>
      </c>
      <c r="C441" s="1">
        <f t="shared" si="28"/>
        <v>107</v>
      </c>
      <c r="D441" s="5">
        <f ca="1">IF(getQuality(B441)&lt;4,getOtherMin(B441,C441,INDIRECT(J$2),INDIRECT(I441),test),getMin(B441,C441,INDIRECT(J$2),INDIRECT(I441),test))</f>
        <v>0.14000000000000001</v>
      </c>
      <c r="E441" s="5">
        <f ca="1">IF(getQuality(B441)&lt;4,getOtherMax(B441,C441,INDIRECT(J$2),INDIRECT(I441),test),getMax(B441,C441,INDIRECT(J$2),INDIRECT(I441),test))</f>
        <v>0.28000000000000003</v>
      </c>
      <c r="F441" s="1" t="str">
        <f t="shared" si="26"/>
        <v>50</v>
      </c>
      <c r="G441" s="1" t="str">
        <f t="shared" si="27"/>
        <v/>
      </c>
      <c r="I441" s="1" t="str">
        <f t="shared" si="25"/>
        <v>威尔新数值1.06.xlsm!monsterDamage</v>
      </c>
    </row>
    <row r="442" spans="1:9" x14ac:dyDescent="0.15">
      <c r="A442" s="1">
        <v>441</v>
      </c>
      <c r="B442" s="1">
        <v>102090100</v>
      </c>
      <c r="C442" s="1">
        <f t="shared" si="28"/>
        <v>108</v>
      </c>
      <c r="D442" s="5">
        <f ca="1">IF(getQuality(B442)&lt;4,getOtherMin(B442,C442,INDIRECT(J$2),INDIRECT(I442),test),getMin(B442,C442,INDIRECT(J$2),INDIRECT(I442),test))</f>
        <v>0.14000000000000001</v>
      </c>
      <c r="E442" s="5">
        <f ca="1">IF(getQuality(B442)&lt;4,getOtherMax(B442,C442,INDIRECT(J$2),INDIRECT(I442),test),getMax(B442,C442,INDIRECT(J$2),INDIRECT(I442),test))</f>
        <v>0.28000000000000003</v>
      </c>
      <c r="F442" s="1" t="str">
        <f t="shared" si="26"/>
        <v>50</v>
      </c>
      <c r="G442" s="1" t="str">
        <f t="shared" si="27"/>
        <v/>
      </c>
      <c r="I442" s="1" t="str">
        <f t="shared" si="25"/>
        <v>威尔新数值1.06.xlsm!monsterDamage</v>
      </c>
    </row>
    <row r="443" spans="1:9" x14ac:dyDescent="0.15">
      <c r="A443" s="1">
        <v>442</v>
      </c>
      <c r="B443" s="1">
        <v>102010200</v>
      </c>
      <c r="C443" s="1">
        <f t="shared" si="28"/>
        <v>3</v>
      </c>
      <c r="D443" s="5">
        <f ca="1">IF(getQuality(B443)&lt;4,getOtherMin(B443,C443,INDIRECT(J$2),INDIRECT(I443),test),getMin(B443,C443,INDIRECT(J$2),INDIRECT(I443),test))</f>
        <v>1</v>
      </c>
      <c r="E443" s="5">
        <f ca="1">IF(getQuality(B443)&lt;4,getOtherMax(B443,C443,INDIRECT(J$2),INDIRECT(I443),test),getMax(B443,C443,INDIRECT(J$2),INDIRECT(I443),test))</f>
        <v>21.008641265250315</v>
      </c>
      <c r="F443" s="1" t="str">
        <f t="shared" si="26"/>
        <v>50</v>
      </c>
      <c r="G443" s="1" t="str">
        <f t="shared" si="27"/>
        <v>1</v>
      </c>
      <c r="I443" s="1" t="str">
        <f t="shared" si="25"/>
        <v>威尔新数值1.06.xlsm!suitPower</v>
      </c>
    </row>
    <row r="444" spans="1:9" x14ac:dyDescent="0.15">
      <c r="A444" s="1">
        <v>443</v>
      </c>
      <c r="B444" s="1">
        <v>102010200</v>
      </c>
      <c r="C444" s="1">
        <f t="shared" si="28"/>
        <v>5</v>
      </c>
      <c r="D444" s="5">
        <f ca="1">IF(getQuality(B444)&lt;4,getOtherMin(B444,C444,INDIRECT(J$2),INDIRECT(I444),test),getMin(B444,C444,INDIRECT(J$2),INDIRECT(I444),test))</f>
        <v>1</v>
      </c>
      <c r="E444" s="5">
        <f ca="1">IF(getQuality(B444)&lt;4,getOtherMax(B444,C444,INDIRECT(J$2),INDIRECT(I444),test),getMax(B444,C444,INDIRECT(J$2),INDIRECT(I444),test))</f>
        <v>21.008641265250315</v>
      </c>
      <c r="F444" s="1" t="str">
        <f t="shared" si="26"/>
        <v>50</v>
      </c>
      <c r="G444" s="1" t="str">
        <f t="shared" si="27"/>
        <v/>
      </c>
      <c r="I444" s="1" t="str">
        <f t="shared" si="25"/>
        <v>威尔新数值1.06.xlsm!suitPower</v>
      </c>
    </row>
    <row r="445" spans="1:9" x14ac:dyDescent="0.15">
      <c r="A445" s="1">
        <v>444</v>
      </c>
      <c r="B445" s="1">
        <v>102010200</v>
      </c>
      <c r="C445" s="1">
        <f t="shared" si="28"/>
        <v>7</v>
      </c>
      <c r="D445" s="5">
        <f ca="1">IF(getQuality(B445)&lt;4,getOtherMin(B445,C445,INDIRECT(J$2),INDIRECT(I445),test),getMin(B445,C445,INDIRECT(J$2),INDIRECT(I445),test))</f>
        <v>1</v>
      </c>
      <c r="E445" s="5">
        <f ca="1">IF(getQuality(B445)&lt;4,getOtherMax(B445,C445,INDIRECT(J$2),INDIRECT(I445),test),getMax(B445,C445,INDIRECT(J$2),INDIRECT(I445),test))</f>
        <v>6.481481481481465</v>
      </c>
      <c r="F445" s="1" t="str">
        <f t="shared" si="26"/>
        <v>50</v>
      </c>
      <c r="G445" s="1" t="str">
        <f t="shared" si="27"/>
        <v/>
      </c>
      <c r="I445" s="1" t="str">
        <f t="shared" si="25"/>
        <v>威尔新数值1.06.xlsm!suitPower</v>
      </c>
    </row>
    <row r="446" spans="1:9" x14ac:dyDescent="0.15">
      <c r="A446" s="1">
        <v>445</v>
      </c>
      <c r="B446" s="1">
        <v>102010200</v>
      </c>
      <c r="C446" s="1">
        <f t="shared" si="28"/>
        <v>8</v>
      </c>
      <c r="D446" s="5">
        <f ca="1">IF(getQuality(B446)&lt;4,getOtherMin(B446,C446,INDIRECT(J$2),INDIRECT(I446),test),getMin(B446,C446,INDIRECT(J$2),INDIRECT(I446),test))</f>
        <v>1</v>
      </c>
      <c r="E446" s="5">
        <f ca="1">IF(getQuality(B446)&lt;4,getOtherMax(B446,C446,INDIRECT(J$2),INDIRECT(I446),test),getMax(B446,C446,INDIRECT(J$2),INDIRECT(I446),test))</f>
        <v>14.583333333333334</v>
      </c>
      <c r="F446" s="1" t="str">
        <f t="shared" si="26"/>
        <v>50</v>
      </c>
      <c r="G446" s="1" t="str">
        <f t="shared" si="27"/>
        <v/>
      </c>
      <c r="I446" s="1" t="str">
        <f t="shared" si="25"/>
        <v>威尔新数值1.06.xlsm!suitPower</v>
      </c>
    </row>
    <row r="447" spans="1:9" x14ac:dyDescent="0.15">
      <c r="A447" s="1">
        <v>446</v>
      </c>
      <c r="B447" s="1">
        <v>102010200</v>
      </c>
      <c r="C447" s="1">
        <f t="shared" si="28"/>
        <v>9</v>
      </c>
      <c r="D447" s="5">
        <f ca="1">IF(getQuality(B447)&lt;4,getOtherMin(B447,C447,INDIRECT(J$2),INDIRECT(I447),test),getMin(B447,C447,INDIRECT(J$2),INDIRECT(I447),test))</f>
        <v>1</v>
      </c>
      <c r="E447" s="5">
        <f ca="1">IF(getQuality(B447)&lt;4,getOtherMax(B447,C447,INDIRECT(J$2),INDIRECT(I447),test),getMax(B447,C447,INDIRECT(J$2),INDIRECT(I447),test))</f>
        <v>21.008641265250315</v>
      </c>
      <c r="F447" s="1" t="str">
        <f t="shared" si="26"/>
        <v>50</v>
      </c>
      <c r="G447" s="1" t="str">
        <f t="shared" si="27"/>
        <v/>
      </c>
      <c r="I447" s="1" t="str">
        <f t="shared" si="25"/>
        <v>威尔新数值1.06.xlsm!suitPower</v>
      </c>
    </row>
    <row r="448" spans="1:9" x14ac:dyDescent="0.15">
      <c r="A448" s="1">
        <v>447</v>
      </c>
      <c r="B448" s="1">
        <v>102010200</v>
      </c>
      <c r="C448" s="1">
        <f t="shared" si="28"/>
        <v>10</v>
      </c>
      <c r="D448" s="5">
        <f ca="1">IF(getQuality(B448)&lt;4,getOtherMin(B448,C448,INDIRECT(J$2),INDIRECT(I448),test),getMin(B448,C448,INDIRECT(J$2),INDIRECT(I448),test))</f>
        <v>1</v>
      </c>
      <c r="E448" s="5">
        <f ca="1">IF(getQuality(B448)&lt;4,getOtherMax(B448,C448,INDIRECT(J$2),INDIRECT(I448),test),getMax(B448,C448,INDIRECT(J$2),INDIRECT(I448),test))</f>
        <v>21.008641265250315</v>
      </c>
      <c r="F448" s="1" t="str">
        <f t="shared" si="26"/>
        <v>50</v>
      </c>
      <c r="G448" s="1" t="str">
        <f t="shared" si="27"/>
        <v/>
      </c>
      <c r="I448" s="1" t="str">
        <f t="shared" si="25"/>
        <v>威尔新数值1.06.xlsm!suitPower</v>
      </c>
    </row>
    <row r="449" spans="1:9" x14ac:dyDescent="0.15">
      <c r="A449" s="1">
        <v>448</v>
      </c>
      <c r="B449" s="1">
        <v>102010200</v>
      </c>
      <c r="C449" s="1">
        <f t="shared" si="28"/>
        <v>11</v>
      </c>
      <c r="D449" s="5">
        <f ca="1">IF(getQuality(B449)&lt;4,getOtherMin(B449,C449,INDIRECT(J$2),INDIRECT(I449),test),getMin(B449,C449,INDIRECT(J$2),INDIRECT(I449),test))</f>
        <v>1</v>
      </c>
      <c r="E449" s="5">
        <f ca="1">IF(getQuality(B449)&lt;4,getOtherMax(B449,C449,INDIRECT(J$2),INDIRECT(I449),test),getMax(B449,C449,INDIRECT(J$2),INDIRECT(I449),test))</f>
        <v>21.008641265250315</v>
      </c>
      <c r="F449" s="1" t="str">
        <f t="shared" si="26"/>
        <v>50</v>
      </c>
      <c r="G449" s="1" t="str">
        <f t="shared" si="27"/>
        <v/>
      </c>
      <c r="I449" s="1" t="str">
        <f t="shared" si="25"/>
        <v>威尔新数值1.06.xlsm!suitPower</v>
      </c>
    </row>
    <row r="450" spans="1:9" x14ac:dyDescent="0.15">
      <c r="A450" s="1">
        <v>449</v>
      </c>
      <c r="B450" s="1">
        <v>102010200</v>
      </c>
      <c r="C450" s="1">
        <f t="shared" si="28"/>
        <v>12</v>
      </c>
      <c r="D450" s="5">
        <f ca="1">IF(getQuality(B450)&lt;4,getOtherMin(B450,C450,INDIRECT(J$2),INDIRECT(I450),test),getMin(B450,C450,INDIRECT(J$2),INDIRECT(I450),test))</f>
        <v>1</v>
      </c>
      <c r="E450" s="5">
        <f ca="1">IF(getQuality(B450)&lt;4,getOtherMax(B450,C450,INDIRECT(J$2),INDIRECT(I450),test),getMax(B450,C450,INDIRECT(J$2),INDIRECT(I450),test))</f>
        <v>21.008641265250315</v>
      </c>
      <c r="F450" s="1" t="str">
        <f t="shared" si="26"/>
        <v>50</v>
      </c>
      <c r="G450" s="1" t="str">
        <f t="shared" si="27"/>
        <v/>
      </c>
      <c r="I450" s="1" t="str">
        <f t="shared" ref="I450:I513" si="29">IF(C450&lt;100,VLOOKUP(C450,test,3,FALSE),VLOOKUP(C450,test1,3,FALSE))</f>
        <v>威尔新数值1.06.xlsm!suitPower</v>
      </c>
    </row>
    <row r="451" spans="1:9" x14ac:dyDescent="0.15">
      <c r="A451" s="1">
        <v>450</v>
      </c>
      <c r="B451" s="1">
        <v>102010200</v>
      </c>
      <c r="C451" s="1">
        <f t="shared" si="28"/>
        <v>13</v>
      </c>
      <c r="D451" s="5">
        <f ca="1">IF(getQuality(B451)&lt;4,getOtherMin(B451,C451,INDIRECT(J$2),INDIRECT(I451),test),getMin(B451,C451,INDIRECT(J$2),INDIRECT(I451),test))</f>
        <v>1</v>
      </c>
      <c r="E451" s="5">
        <f ca="1">IF(getQuality(B451)&lt;4,getOtherMax(B451,C451,INDIRECT(J$2),INDIRECT(I451),test),getMax(B451,C451,INDIRECT(J$2),INDIRECT(I451),test))</f>
        <v>21.008641265250315</v>
      </c>
      <c r="F451" s="1" t="str">
        <f t="shared" ref="F451:F514" si="30">getper(B451,C451)</f>
        <v>50</v>
      </c>
      <c r="G451" s="1" t="str">
        <f t="shared" ref="G451:G514" si="31">getMust(B451,C451)</f>
        <v/>
      </c>
      <c r="I451" s="1" t="str">
        <f t="shared" si="29"/>
        <v>威尔新数值1.06.xlsm!suitPower</v>
      </c>
    </row>
    <row r="452" spans="1:9" x14ac:dyDescent="0.15">
      <c r="A452" s="1">
        <v>451</v>
      </c>
      <c r="B452" s="1">
        <v>102010200</v>
      </c>
      <c r="C452" s="1">
        <f t="shared" si="28"/>
        <v>14</v>
      </c>
      <c r="D452" s="5">
        <f ca="1">IF(getQuality(B452)&lt;4,getOtherMin(B452,C452,INDIRECT(J$2),INDIRECT(I452),test),getMin(B452,C452,INDIRECT(J$2),INDIRECT(I452),test))</f>
        <v>1</v>
      </c>
      <c r="E452" s="5">
        <f ca="1">IF(getQuality(B452)&lt;4,getOtherMax(B452,C452,INDIRECT(J$2),INDIRECT(I452),test),getMax(B452,C452,INDIRECT(J$2),INDIRECT(I452),test))</f>
        <v>21.008641265250315</v>
      </c>
      <c r="F452" s="1" t="str">
        <f t="shared" si="30"/>
        <v>50</v>
      </c>
      <c r="G452" s="1" t="str">
        <f t="shared" si="31"/>
        <v/>
      </c>
      <c r="I452" s="1" t="str">
        <f t="shared" si="29"/>
        <v>威尔新数值1.06.xlsm!suitPower</v>
      </c>
    </row>
    <row r="453" spans="1:9" x14ac:dyDescent="0.15">
      <c r="A453" s="1">
        <v>452</v>
      </c>
      <c r="B453" s="1">
        <v>102010200</v>
      </c>
      <c r="C453" s="1">
        <f t="shared" si="28"/>
        <v>15</v>
      </c>
      <c r="D453" s="5">
        <f ca="1">IF(getQuality(B453)&lt;4,getOtherMin(B453,C453,INDIRECT(J$2),INDIRECT(I453),test),getMin(B453,C453,INDIRECT(J$2),INDIRECT(I453),test))</f>
        <v>1</v>
      </c>
      <c r="E453" s="5">
        <f ca="1">IF(getQuality(B453)&lt;4,getOtherMax(B453,C453,INDIRECT(J$2),INDIRECT(I453),test),getMax(B453,C453,INDIRECT(J$2),INDIRECT(I453),test))</f>
        <v>21.008641265250315</v>
      </c>
      <c r="F453" s="1" t="str">
        <f t="shared" si="30"/>
        <v>50</v>
      </c>
      <c r="G453" s="1" t="str">
        <f t="shared" si="31"/>
        <v/>
      </c>
      <c r="I453" s="1" t="str">
        <f t="shared" si="29"/>
        <v>威尔新数值1.06.xlsm!suitPower</v>
      </c>
    </row>
    <row r="454" spans="1:9" x14ac:dyDescent="0.15">
      <c r="A454" s="1">
        <v>453</v>
      </c>
      <c r="B454" s="1">
        <v>102010200</v>
      </c>
      <c r="C454" s="1">
        <f t="shared" si="28"/>
        <v>101</v>
      </c>
      <c r="D454" s="5">
        <f ca="1">IF(getQuality(B454)&lt;4,getOtherMin(B454,C454,INDIRECT(J$2),INDIRECT(I454),test),getMin(B454,C454,INDIRECT(J$2),INDIRECT(I454),test))</f>
        <v>0.06</v>
      </c>
      <c r="E454" s="5">
        <f ca="1">IF(getQuality(B454)&lt;4,getOtherMax(B454,C454,INDIRECT(J$2),INDIRECT(I454),test),getMax(B454,C454,INDIRECT(J$2),INDIRECT(I454),test))</f>
        <v>0.09</v>
      </c>
      <c r="F454" s="1" t="str">
        <f t="shared" si="30"/>
        <v>50</v>
      </c>
      <c r="G454" s="1" t="str">
        <f t="shared" si="31"/>
        <v/>
      </c>
      <c r="I454" s="1" t="str">
        <f t="shared" si="29"/>
        <v>威尔新数值1.06.xlsm!circlePer</v>
      </c>
    </row>
    <row r="455" spans="1:9" x14ac:dyDescent="0.15">
      <c r="A455" s="1">
        <v>454</v>
      </c>
      <c r="B455" s="1">
        <v>102010200</v>
      </c>
      <c r="C455" s="1">
        <f t="shared" si="28"/>
        <v>102</v>
      </c>
      <c r="D455" s="5">
        <f ca="1">IF(getQuality(B455)&lt;4,getOtherMin(B455,C455,INDIRECT(J$2),INDIRECT(I455),test),getMin(B455,C455,INDIRECT(J$2),INDIRECT(I455),test))</f>
        <v>0.4</v>
      </c>
      <c r="E455" s="5">
        <f ca="1">IF(getQuality(B455)&lt;4,getOtherMax(B455,C455,INDIRECT(J$2),INDIRECT(I455),test),getMax(B455,C455,INDIRECT(J$2),INDIRECT(I455),test))</f>
        <v>0.8</v>
      </c>
      <c r="F455" s="1" t="str">
        <f t="shared" si="30"/>
        <v>50</v>
      </c>
      <c r="G455" s="1" t="str">
        <f t="shared" si="31"/>
        <v/>
      </c>
      <c r="I455" s="1" t="str">
        <f t="shared" si="29"/>
        <v>威尔新数值1.06.xlsm!circleValue</v>
      </c>
    </row>
    <row r="456" spans="1:9" x14ac:dyDescent="0.15">
      <c r="A456" s="1">
        <v>455</v>
      </c>
      <c r="B456" s="1">
        <v>102010200</v>
      </c>
      <c r="C456" s="1">
        <f t="shared" si="28"/>
        <v>103</v>
      </c>
      <c r="D456" s="5">
        <f ca="1">IF(getQuality(B456)&lt;4,getOtherMin(B456,C456,INDIRECT(J$2),INDIRECT(I456),test),getMin(B456,C456,INDIRECT(J$2),INDIRECT(I456),test))</f>
        <v>0.06</v>
      </c>
      <c r="E456" s="5">
        <f ca="1">IF(getQuality(B456)&lt;4,getOtherMax(B456,C456,INDIRECT(J$2),INDIRECT(I456),test),getMax(B456,C456,INDIRECT(J$2),INDIRECT(I456),test))</f>
        <v>0.09</v>
      </c>
      <c r="F456" s="1" t="str">
        <f t="shared" si="30"/>
        <v>50</v>
      </c>
      <c r="G456" s="1" t="str">
        <f t="shared" si="31"/>
        <v/>
      </c>
      <c r="I456" s="1" t="str">
        <f t="shared" si="29"/>
        <v>威尔新数值1.06.xlsm!otherDamage</v>
      </c>
    </row>
    <row r="457" spans="1:9" x14ac:dyDescent="0.15">
      <c r="A457" s="1">
        <v>456</v>
      </c>
      <c r="B457" s="1">
        <v>102010200</v>
      </c>
      <c r="C457" s="1">
        <f t="shared" si="28"/>
        <v>104</v>
      </c>
      <c r="D457" s="5">
        <f ca="1">IF(getQuality(B457)&lt;4,getOtherMin(B457,C457,INDIRECT(J$2),INDIRECT(I457),test),getMin(B457,C457,INDIRECT(J$2),INDIRECT(I457),test))</f>
        <v>0.06</v>
      </c>
      <c r="E457" s="5">
        <f ca="1">IF(getQuality(B457)&lt;4,getOtherMax(B457,C457,INDIRECT(J$2),INDIRECT(I457),test),getMax(B457,C457,INDIRECT(J$2),INDIRECT(I457),test))</f>
        <v>0.12</v>
      </c>
      <c r="F457" s="1" t="str">
        <f t="shared" si="30"/>
        <v>50</v>
      </c>
      <c r="G457" s="1" t="str">
        <f t="shared" si="31"/>
        <v/>
      </c>
      <c r="I457" s="1" t="str">
        <f t="shared" si="29"/>
        <v>威尔新数值1.06.xlsm!monsterDamage</v>
      </c>
    </row>
    <row r="458" spans="1:9" x14ac:dyDescent="0.15">
      <c r="A458" s="1">
        <v>457</v>
      </c>
      <c r="B458" s="1">
        <v>102010200</v>
      </c>
      <c r="C458" s="1">
        <f t="shared" si="28"/>
        <v>105</v>
      </c>
      <c r="D458" s="5">
        <f ca="1">IF(getQuality(B458)&lt;4,getOtherMin(B458,C458,INDIRECT(J$2),INDIRECT(I458),test),getMin(B458,C458,INDIRECT(J$2),INDIRECT(I458),test))</f>
        <v>0.06</v>
      </c>
      <c r="E458" s="5">
        <f ca="1">IF(getQuality(B458)&lt;4,getOtherMax(B458,C458,INDIRECT(J$2),INDIRECT(I458),test),getMax(B458,C458,INDIRECT(J$2),INDIRECT(I458),test))</f>
        <v>0.12</v>
      </c>
      <c r="F458" s="1" t="str">
        <f t="shared" si="30"/>
        <v>50</v>
      </c>
      <c r="G458" s="1" t="str">
        <f t="shared" si="31"/>
        <v/>
      </c>
      <c r="I458" s="1" t="str">
        <f t="shared" si="29"/>
        <v>威尔新数值1.06.xlsm!monsterDamage</v>
      </c>
    </row>
    <row r="459" spans="1:9" x14ac:dyDescent="0.15">
      <c r="A459" s="1">
        <v>458</v>
      </c>
      <c r="B459" s="1">
        <v>102010200</v>
      </c>
      <c r="C459" s="1">
        <f t="shared" si="28"/>
        <v>106</v>
      </c>
      <c r="D459" s="5">
        <f ca="1">IF(getQuality(B459)&lt;4,getOtherMin(B459,C459,INDIRECT(J$2),INDIRECT(I459),test),getMin(B459,C459,INDIRECT(J$2),INDIRECT(I459),test))</f>
        <v>0.06</v>
      </c>
      <c r="E459" s="5">
        <f ca="1">IF(getQuality(B459)&lt;4,getOtherMax(B459,C459,INDIRECT(J$2),INDIRECT(I459),test),getMax(B459,C459,INDIRECT(J$2),INDIRECT(I459),test))</f>
        <v>0.12</v>
      </c>
      <c r="F459" s="1" t="str">
        <f t="shared" si="30"/>
        <v>50</v>
      </c>
      <c r="G459" s="1" t="str">
        <f t="shared" si="31"/>
        <v/>
      </c>
      <c r="I459" s="1" t="str">
        <f t="shared" si="29"/>
        <v>威尔新数值1.06.xlsm!monsterDamage</v>
      </c>
    </row>
    <row r="460" spans="1:9" x14ac:dyDescent="0.15">
      <c r="A460" s="1">
        <v>459</v>
      </c>
      <c r="B460" s="1">
        <v>102010200</v>
      </c>
      <c r="C460" s="1">
        <f t="shared" si="28"/>
        <v>107</v>
      </c>
      <c r="D460" s="5">
        <f ca="1">IF(getQuality(B460)&lt;4,getOtherMin(B460,C460,INDIRECT(J$2),INDIRECT(I460),test),getMin(B460,C460,INDIRECT(J$2),INDIRECT(I460),test))</f>
        <v>0.06</v>
      </c>
      <c r="E460" s="5">
        <f ca="1">IF(getQuality(B460)&lt;4,getOtherMax(B460,C460,INDIRECT(J$2),INDIRECT(I460),test),getMax(B460,C460,INDIRECT(J$2),INDIRECT(I460),test))</f>
        <v>0.12</v>
      </c>
      <c r="F460" s="1" t="str">
        <f t="shared" si="30"/>
        <v>50</v>
      </c>
      <c r="G460" s="1" t="str">
        <f t="shared" si="31"/>
        <v/>
      </c>
      <c r="I460" s="1" t="str">
        <f t="shared" si="29"/>
        <v>威尔新数值1.06.xlsm!monsterDamage</v>
      </c>
    </row>
    <row r="461" spans="1:9" x14ac:dyDescent="0.15">
      <c r="A461" s="1">
        <v>460</v>
      </c>
      <c r="B461" s="1">
        <v>102010200</v>
      </c>
      <c r="C461" s="1">
        <f t="shared" si="28"/>
        <v>108</v>
      </c>
      <c r="D461" s="5">
        <f ca="1">IF(getQuality(B461)&lt;4,getOtherMin(B461,C461,INDIRECT(J$2),INDIRECT(I461),test),getMin(B461,C461,INDIRECT(J$2),INDIRECT(I461),test))</f>
        <v>0.06</v>
      </c>
      <c r="E461" s="5">
        <f ca="1">IF(getQuality(B461)&lt;4,getOtherMax(B461,C461,INDIRECT(J$2),INDIRECT(I461),test),getMax(B461,C461,INDIRECT(J$2),INDIRECT(I461),test))</f>
        <v>0.12</v>
      </c>
      <c r="F461" s="1" t="str">
        <f t="shared" si="30"/>
        <v>50</v>
      </c>
      <c r="G461" s="1" t="str">
        <f t="shared" si="31"/>
        <v/>
      </c>
      <c r="I461" s="1" t="str">
        <f t="shared" si="29"/>
        <v>威尔新数值1.06.xlsm!monsterDamage</v>
      </c>
    </row>
    <row r="462" spans="1:9" x14ac:dyDescent="0.15">
      <c r="A462" s="1">
        <v>461</v>
      </c>
      <c r="B462" s="1">
        <v>102020200</v>
      </c>
      <c r="C462" s="1">
        <f t="shared" si="28"/>
        <v>3</v>
      </c>
      <c r="D462" s="5">
        <f ca="1">IF(getQuality(B462)&lt;4,getOtherMin(B462,C462,INDIRECT(J$2),INDIRECT(I462),test),getMin(B462,C462,INDIRECT(J$2),INDIRECT(I462),test))</f>
        <v>22.008641265250315</v>
      </c>
      <c r="E462" s="5">
        <f ca="1">IF(getQuality(B462)&lt;4,getOtherMax(B462,C462,INDIRECT(J$2),INDIRECT(I462),test),getMax(B462,C462,INDIRECT(J$2),INDIRECT(I462),test))</f>
        <v>46.219010783550694</v>
      </c>
      <c r="F462" s="1" t="str">
        <f t="shared" si="30"/>
        <v>50</v>
      </c>
      <c r="G462" s="1" t="str">
        <f t="shared" si="31"/>
        <v>1</v>
      </c>
      <c r="I462" s="1" t="str">
        <f t="shared" si="29"/>
        <v>威尔新数值1.06.xlsm!suitPower</v>
      </c>
    </row>
    <row r="463" spans="1:9" x14ac:dyDescent="0.15">
      <c r="A463" s="1">
        <v>462</v>
      </c>
      <c r="B463" s="1">
        <v>102020200</v>
      </c>
      <c r="C463" s="1">
        <f t="shared" si="28"/>
        <v>5</v>
      </c>
      <c r="D463" s="5">
        <f ca="1">IF(getQuality(B463)&lt;4,getOtherMin(B463,C463,INDIRECT(J$2),INDIRECT(I463),test),getMin(B463,C463,INDIRECT(J$2),INDIRECT(I463),test))</f>
        <v>22.008641265250315</v>
      </c>
      <c r="E463" s="5">
        <f ca="1">IF(getQuality(B463)&lt;4,getOtherMax(B463,C463,INDIRECT(J$2),INDIRECT(I463),test),getMax(B463,C463,INDIRECT(J$2),INDIRECT(I463),test))</f>
        <v>46.219010783550694</v>
      </c>
      <c r="F463" s="1" t="str">
        <f t="shared" si="30"/>
        <v>50</v>
      </c>
      <c r="G463" s="1" t="str">
        <f t="shared" si="31"/>
        <v/>
      </c>
      <c r="I463" s="1" t="str">
        <f t="shared" si="29"/>
        <v>威尔新数值1.06.xlsm!suitPower</v>
      </c>
    </row>
    <row r="464" spans="1:9" x14ac:dyDescent="0.15">
      <c r="A464" s="1">
        <v>463</v>
      </c>
      <c r="B464" s="1">
        <v>102020200</v>
      </c>
      <c r="C464" s="1">
        <f t="shared" si="28"/>
        <v>7</v>
      </c>
      <c r="D464" s="5">
        <f ca="1">IF(getQuality(B464)&lt;4,getOtherMin(B464,C464,INDIRECT(J$2),INDIRECT(I464),test),getMin(B464,C464,INDIRECT(J$2),INDIRECT(I464),test))</f>
        <v>7.481481481481465</v>
      </c>
      <c r="E464" s="5">
        <f ca="1">IF(getQuality(B464)&lt;4,getOtherMax(B464,C464,INDIRECT(J$2),INDIRECT(I464),test),getMax(B464,C464,INDIRECT(J$2),INDIRECT(I464),test))</f>
        <v>12.96296296296293</v>
      </c>
      <c r="F464" s="1" t="str">
        <f t="shared" si="30"/>
        <v>50</v>
      </c>
      <c r="G464" s="1" t="str">
        <f t="shared" si="31"/>
        <v/>
      </c>
      <c r="I464" s="1" t="str">
        <f t="shared" si="29"/>
        <v>威尔新数值1.06.xlsm!suitPower</v>
      </c>
    </row>
    <row r="465" spans="1:9" x14ac:dyDescent="0.15">
      <c r="A465" s="1">
        <v>464</v>
      </c>
      <c r="B465" s="1">
        <v>102020200</v>
      </c>
      <c r="C465" s="1">
        <f t="shared" si="28"/>
        <v>8</v>
      </c>
      <c r="D465" s="5">
        <f ca="1">IF(getQuality(B465)&lt;4,getOtherMin(B465,C465,INDIRECT(J$2),INDIRECT(I465),test),getMin(B465,C465,INDIRECT(J$2),INDIRECT(I465),test))</f>
        <v>15.583333333333334</v>
      </c>
      <c r="E465" s="5">
        <f ca="1">IF(getQuality(B465)&lt;4,getOtherMax(B465,C465,INDIRECT(J$2),INDIRECT(I465),test),getMax(B465,C465,INDIRECT(J$2),INDIRECT(I465),test))</f>
        <v>29.166666666666668</v>
      </c>
      <c r="F465" s="1" t="str">
        <f t="shared" si="30"/>
        <v>50</v>
      </c>
      <c r="G465" s="1" t="str">
        <f t="shared" si="31"/>
        <v/>
      </c>
      <c r="I465" s="1" t="str">
        <f t="shared" si="29"/>
        <v>威尔新数值1.06.xlsm!suitPower</v>
      </c>
    </row>
    <row r="466" spans="1:9" x14ac:dyDescent="0.15">
      <c r="A466" s="1">
        <v>465</v>
      </c>
      <c r="B466" s="1">
        <v>102020200</v>
      </c>
      <c r="C466" s="1">
        <f t="shared" si="28"/>
        <v>9</v>
      </c>
      <c r="D466" s="5">
        <f ca="1">IF(getQuality(B466)&lt;4,getOtherMin(B466,C466,INDIRECT(J$2),INDIRECT(I466),test),getMin(B466,C466,INDIRECT(J$2),INDIRECT(I466),test))</f>
        <v>22.008641265250315</v>
      </c>
      <c r="E466" s="5">
        <f ca="1">IF(getQuality(B466)&lt;4,getOtherMax(B466,C466,INDIRECT(J$2),INDIRECT(I466),test),getMax(B466,C466,INDIRECT(J$2),INDIRECT(I466),test))</f>
        <v>46.219010783550694</v>
      </c>
      <c r="F466" s="1" t="str">
        <f t="shared" si="30"/>
        <v>50</v>
      </c>
      <c r="G466" s="1" t="str">
        <f t="shared" si="31"/>
        <v/>
      </c>
      <c r="I466" s="1" t="str">
        <f t="shared" si="29"/>
        <v>威尔新数值1.06.xlsm!suitPower</v>
      </c>
    </row>
    <row r="467" spans="1:9" x14ac:dyDescent="0.15">
      <c r="A467" s="1">
        <v>466</v>
      </c>
      <c r="B467" s="1">
        <v>102020200</v>
      </c>
      <c r="C467" s="1">
        <f t="shared" si="28"/>
        <v>10</v>
      </c>
      <c r="D467" s="5">
        <f ca="1">IF(getQuality(B467)&lt;4,getOtherMin(B467,C467,INDIRECT(J$2),INDIRECT(I467),test),getMin(B467,C467,INDIRECT(J$2),INDIRECT(I467),test))</f>
        <v>22.008641265250315</v>
      </c>
      <c r="E467" s="5">
        <f ca="1">IF(getQuality(B467)&lt;4,getOtherMax(B467,C467,INDIRECT(J$2),INDIRECT(I467),test),getMax(B467,C467,INDIRECT(J$2),INDIRECT(I467),test))</f>
        <v>46.219010783550694</v>
      </c>
      <c r="F467" s="1" t="str">
        <f t="shared" si="30"/>
        <v>50</v>
      </c>
      <c r="G467" s="1" t="str">
        <f t="shared" si="31"/>
        <v/>
      </c>
      <c r="I467" s="1" t="str">
        <f t="shared" si="29"/>
        <v>威尔新数值1.06.xlsm!suitPower</v>
      </c>
    </row>
    <row r="468" spans="1:9" x14ac:dyDescent="0.15">
      <c r="A468" s="1">
        <v>467</v>
      </c>
      <c r="B468" s="1">
        <v>102020200</v>
      </c>
      <c r="C468" s="1">
        <f t="shared" si="28"/>
        <v>11</v>
      </c>
      <c r="D468" s="5">
        <f ca="1">IF(getQuality(B468)&lt;4,getOtherMin(B468,C468,INDIRECT(J$2),INDIRECT(I468),test),getMin(B468,C468,INDIRECT(J$2),INDIRECT(I468),test))</f>
        <v>22.008641265250315</v>
      </c>
      <c r="E468" s="5">
        <f ca="1">IF(getQuality(B468)&lt;4,getOtherMax(B468,C468,INDIRECT(J$2),INDIRECT(I468),test),getMax(B468,C468,INDIRECT(J$2),INDIRECT(I468),test))</f>
        <v>46.219010783550694</v>
      </c>
      <c r="F468" s="1" t="str">
        <f t="shared" si="30"/>
        <v>50</v>
      </c>
      <c r="G468" s="1" t="str">
        <f t="shared" si="31"/>
        <v/>
      </c>
      <c r="I468" s="1" t="str">
        <f t="shared" si="29"/>
        <v>威尔新数值1.06.xlsm!suitPower</v>
      </c>
    </row>
    <row r="469" spans="1:9" x14ac:dyDescent="0.15">
      <c r="A469" s="1">
        <v>468</v>
      </c>
      <c r="B469" s="1">
        <v>102020200</v>
      </c>
      <c r="C469" s="1">
        <f t="shared" si="28"/>
        <v>12</v>
      </c>
      <c r="D469" s="5">
        <f ca="1">IF(getQuality(B469)&lt;4,getOtherMin(B469,C469,INDIRECT(J$2),INDIRECT(I469),test),getMin(B469,C469,INDIRECT(J$2),INDIRECT(I469),test))</f>
        <v>22.008641265250315</v>
      </c>
      <c r="E469" s="5">
        <f ca="1">IF(getQuality(B469)&lt;4,getOtherMax(B469,C469,INDIRECT(J$2),INDIRECT(I469),test),getMax(B469,C469,INDIRECT(J$2),INDIRECT(I469),test))</f>
        <v>46.219010783550694</v>
      </c>
      <c r="F469" s="1" t="str">
        <f t="shared" si="30"/>
        <v>50</v>
      </c>
      <c r="G469" s="1" t="str">
        <f t="shared" si="31"/>
        <v/>
      </c>
      <c r="I469" s="1" t="str">
        <f t="shared" si="29"/>
        <v>威尔新数值1.06.xlsm!suitPower</v>
      </c>
    </row>
    <row r="470" spans="1:9" x14ac:dyDescent="0.15">
      <c r="A470" s="1">
        <v>469</v>
      </c>
      <c r="B470" s="1">
        <v>102020200</v>
      </c>
      <c r="C470" s="1">
        <f t="shared" si="28"/>
        <v>13</v>
      </c>
      <c r="D470" s="5">
        <f ca="1">IF(getQuality(B470)&lt;4,getOtherMin(B470,C470,INDIRECT(J$2),INDIRECT(I470),test),getMin(B470,C470,INDIRECT(J$2),INDIRECT(I470),test))</f>
        <v>22.008641265250315</v>
      </c>
      <c r="E470" s="5">
        <f ca="1">IF(getQuality(B470)&lt;4,getOtherMax(B470,C470,INDIRECT(J$2),INDIRECT(I470),test),getMax(B470,C470,INDIRECT(J$2),INDIRECT(I470),test))</f>
        <v>46.219010783550694</v>
      </c>
      <c r="F470" s="1" t="str">
        <f t="shared" si="30"/>
        <v>50</v>
      </c>
      <c r="G470" s="1" t="str">
        <f t="shared" si="31"/>
        <v/>
      </c>
      <c r="I470" s="1" t="str">
        <f t="shared" si="29"/>
        <v>威尔新数值1.06.xlsm!suitPower</v>
      </c>
    </row>
    <row r="471" spans="1:9" x14ac:dyDescent="0.15">
      <c r="A471" s="1">
        <v>470</v>
      </c>
      <c r="B471" s="1">
        <v>102020200</v>
      </c>
      <c r="C471" s="1">
        <f t="shared" si="28"/>
        <v>14</v>
      </c>
      <c r="D471" s="5">
        <f ca="1">IF(getQuality(B471)&lt;4,getOtherMin(B471,C471,INDIRECT(J$2),INDIRECT(I471),test),getMin(B471,C471,INDIRECT(J$2),INDIRECT(I471),test))</f>
        <v>22.008641265250315</v>
      </c>
      <c r="E471" s="5">
        <f ca="1">IF(getQuality(B471)&lt;4,getOtherMax(B471,C471,INDIRECT(J$2),INDIRECT(I471),test),getMax(B471,C471,INDIRECT(J$2),INDIRECT(I471),test))</f>
        <v>46.219010783550694</v>
      </c>
      <c r="F471" s="1" t="str">
        <f t="shared" si="30"/>
        <v>50</v>
      </c>
      <c r="G471" s="1" t="str">
        <f t="shared" si="31"/>
        <v/>
      </c>
      <c r="I471" s="1" t="str">
        <f t="shared" si="29"/>
        <v>威尔新数值1.06.xlsm!suitPower</v>
      </c>
    </row>
    <row r="472" spans="1:9" x14ac:dyDescent="0.15">
      <c r="A472" s="1">
        <v>471</v>
      </c>
      <c r="B472" s="1">
        <v>102020200</v>
      </c>
      <c r="C472" s="1">
        <f t="shared" si="28"/>
        <v>15</v>
      </c>
      <c r="D472" s="5">
        <f ca="1">IF(getQuality(B472)&lt;4,getOtherMin(B472,C472,INDIRECT(J$2),INDIRECT(I472),test),getMin(B472,C472,INDIRECT(J$2),INDIRECT(I472),test))</f>
        <v>22.008641265250315</v>
      </c>
      <c r="E472" s="5">
        <f ca="1">IF(getQuality(B472)&lt;4,getOtherMax(B472,C472,INDIRECT(J$2),INDIRECT(I472),test),getMax(B472,C472,INDIRECT(J$2),INDIRECT(I472),test))</f>
        <v>46.219010783550694</v>
      </c>
      <c r="F472" s="1" t="str">
        <f t="shared" si="30"/>
        <v>50</v>
      </c>
      <c r="G472" s="1" t="str">
        <f t="shared" si="31"/>
        <v/>
      </c>
      <c r="I472" s="1" t="str">
        <f t="shared" si="29"/>
        <v>威尔新数值1.06.xlsm!suitPower</v>
      </c>
    </row>
    <row r="473" spans="1:9" x14ac:dyDescent="0.15">
      <c r="A473" s="1">
        <v>472</v>
      </c>
      <c r="B473" s="1">
        <v>102020200</v>
      </c>
      <c r="C473" s="1">
        <f t="shared" si="28"/>
        <v>101</v>
      </c>
      <c r="D473" s="5">
        <f ca="1">IF(getQuality(B473)&lt;4,getOtherMin(B473,C473,INDIRECT(J$2),INDIRECT(I473),test),getMin(B473,C473,INDIRECT(J$2),INDIRECT(I473),test))</f>
        <v>7.0000000000000007E-2</v>
      </c>
      <c r="E473" s="5">
        <f ca="1">IF(getQuality(B473)&lt;4,getOtherMax(B473,C473,INDIRECT(J$2),INDIRECT(I473),test),getMax(B473,C473,INDIRECT(J$2),INDIRECT(I473),test))</f>
        <v>0.1</v>
      </c>
      <c r="F473" s="1" t="str">
        <f t="shared" si="30"/>
        <v>50</v>
      </c>
      <c r="G473" s="1" t="str">
        <f t="shared" si="31"/>
        <v/>
      </c>
      <c r="I473" s="1" t="str">
        <f t="shared" si="29"/>
        <v>威尔新数值1.06.xlsm!circlePer</v>
      </c>
    </row>
    <row r="474" spans="1:9" x14ac:dyDescent="0.15">
      <c r="A474" s="1">
        <v>473</v>
      </c>
      <c r="B474" s="1">
        <v>102020200</v>
      </c>
      <c r="C474" s="1">
        <f t="shared" si="28"/>
        <v>102</v>
      </c>
      <c r="D474" s="5">
        <f ca="1">IF(getQuality(B474)&lt;4,getOtherMin(B474,C474,INDIRECT(J$2),INDIRECT(I474),test),getMin(B474,C474,INDIRECT(J$2),INDIRECT(I474),test))</f>
        <v>0.5</v>
      </c>
      <c r="E474" s="5">
        <f ca="1">IF(getQuality(B474)&lt;4,getOtherMax(B474,C474,INDIRECT(J$2),INDIRECT(I474),test),getMax(B474,C474,INDIRECT(J$2),INDIRECT(I474),test))</f>
        <v>0.9</v>
      </c>
      <c r="F474" s="1" t="str">
        <f t="shared" si="30"/>
        <v>50</v>
      </c>
      <c r="G474" s="1" t="str">
        <f t="shared" si="31"/>
        <v/>
      </c>
      <c r="I474" s="1" t="str">
        <f t="shared" si="29"/>
        <v>威尔新数值1.06.xlsm!circleValue</v>
      </c>
    </row>
    <row r="475" spans="1:9" x14ac:dyDescent="0.15">
      <c r="A475" s="1">
        <v>474</v>
      </c>
      <c r="B475" s="1">
        <v>102020200</v>
      </c>
      <c r="C475" s="1">
        <f t="shared" si="28"/>
        <v>103</v>
      </c>
      <c r="D475" s="5">
        <f ca="1">IF(getQuality(B475)&lt;4,getOtherMin(B475,C475,INDIRECT(J$2),INDIRECT(I475),test),getMin(B475,C475,INDIRECT(J$2),INDIRECT(I475),test))</f>
        <v>7.0000000000000007E-2</v>
      </c>
      <c r="E475" s="5">
        <f ca="1">IF(getQuality(B475)&lt;4,getOtherMax(B475,C475,INDIRECT(J$2),INDIRECT(I475),test),getMax(B475,C475,INDIRECT(J$2),INDIRECT(I475),test))</f>
        <v>0.1</v>
      </c>
      <c r="F475" s="1" t="str">
        <f t="shared" si="30"/>
        <v>50</v>
      </c>
      <c r="G475" s="1" t="str">
        <f t="shared" si="31"/>
        <v/>
      </c>
      <c r="I475" s="1" t="str">
        <f t="shared" si="29"/>
        <v>威尔新数值1.06.xlsm!otherDamage</v>
      </c>
    </row>
    <row r="476" spans="1:9" x14ac:dyDescent="0.15">
      <c r="A476" s="1">
        <v>475</v>
      </c>
      <c r="B476" s="1">
        <v>102020200</v>
      </c>
      <c r="C476" s="1">
        <f t="shared" si="28"/>
        <v>104</v>
      </c>
      <c r="D476" s="5">
        <f ca="1">IF(getQuality(B476)&lt;4,getOtherMin(B476,C476,INDIRECT(J$2),INDIRECT(I476),test),getMin(B476,C476,INDIRECT(J$2),INDIRECT(I476),test))</f>
        <v>7.0000000000000007E-2</v>
      </c>
      <c r="E476" s="5">
        <f ca="1">IF(getQuality(B476)&lt;4,getOtherMax(B476,C476,INDIRECT(J$2),INDIRECT(I476),test),getMax(B476,C476,INDIRECT(J$2),INDIRECT(I476),test))</f>
        <v>0.14000000000000001</v>
      </c>
      <c r="F476" s="1" t="str">
        <f t="shared" si="30"/>
        <v>50</v>
      </c>
      <c r="G476" s="1" t="str">
        <f t="shared" si="31"/>
        <v/>
      </c>
      <c r="I476" s="1" t="str">
        <f t="shared" si="29"/>
        <v>威尔新数值1.06.xlsm!monsterDamage</v>
      </c>
    </row>
    <row r="477" spans="1:9" x14ac:dyDescent="0.15">
      <c r="A477" s="1">
        <v>476</v>
      </c>
      <c r="B477" s="1">
        <v>102020200</v>
      </c>
      <c r="C477" s="1">
        <f t="shared" si="28"/>
        <v>105</v>
      </c>
      <c r="D477" s="5">
        <f ca="1">IF(getQuality(B477)&lt;4,getOtherMin(B477,C477,INDIRECT(J$2),INDIRECT(I477),test),getMin(B477,C477,INDIRECT(J$2),INDIRECT(I477),test))</f>
        <v>7.0000000000000007E-2</v>
      </c>
      <c r="E477" s="5">
        <f ca="1">IF(getQuality(B477)&lt;4,getOtherMax(B477,C477,INDIRECT(J$2),INDIRECT(I477),test),getMax(B477,C477,INDIRECT(J$2),INDIRECT(I477),test))</f>
        <v>0.14000000000000001</v>
      </c>
      <c r="F477" s="1" t="str">
        <f t="shared" si="30"/>
        <v>50</v>
      </c>
      <c r="G477" s="1" t="str">
        <f t="shared" si="31"/>
        <v/>
      </c>
      <c r="I477" s="1" t="str">
        <f t="shared" si="29"/>
        <v>威尔新数值1.06.xlsm!monsterDamage</v>
      </c>
    </row>
    <row r="478" spans="1:9" x14ac:dyDescent="0.15">
      <c r="A478" s="1">
        <v>477</v>
      </c>
      <c r="B478" s="1">
        <v>102020200</v>
      </c>
      <c r="C478" s="1">
        <f t="shared" si="28"/>
        <v>106</v>
      </c>
      <c r="D478" s="5">
        <f ca="1">IF(getQuality(B478)&lt;4,getOtherMin(B478,C478,INDIRECT(J$2),INDIRECT(I478),test),getMin(B478,C478,INDIRECT(J$2),INDIRECT(I478),test))</f>
        <v>7.0000000000000007E-2</v>
      </c>
      <c r="E478" s="5">
        <f ca="1">IF(getQuality(B478)&lt;4,getOtherMax(B478,C478,INDIRECT(J$2),INDIRECT(I478),test),getMax(B478,C478,INDIRECT(J$2),INDIRECT(I478),test))</f>
        <v>0.14000000000000001</v>
      </c>
      <c r="F478" s="1" t="str">
        <f t="shared" si="30"/>
        <v>50</v>
      </c>
      <c r="G478" s="1" t="str">
        <f t="shared" si="31"/>
        <v/>
      </c>
      <c r="I478" s="1" t="str">
        <f t="shared" si="29"/>
        <v>威尔新数值1.06.xlsm!monsterDamage</v>
      </c>
    </row>
    <row r="479" spans="1:9" x14ac:dyDescent="0.15">
      <c r="A479" s="1">
        <v>478</v>
      </c>
      <c r="B479" s="1">
        <v>102020200</v>
      </c>
      <c r="C479" s="1">
        <f t="shared" si="28"/>
        <v>107</v>
      </c>
      <c r="D479" s="5">
        <f ca="1">IF(getQuality(B479)&lt;4,getOtherMin(B479,C479,INDIRECT(J$2),INDIRECT(I479),test),getMin(B479,C479,INDIRECT(J$2),INDIRECT(I479),test))</f>
        <v>7.0000000000000007E-2</v>
      </c>
      <c r="E479" s="5">
        <f ca="1">IF(getQuality(B479)&lt;4,getOtherMax(B479,C479,INDIRECT(J$2),INDIRECT(I479),test),getMax(B479,C479,INDIRECT(J$2),INDIRECT(I479),test))</f>
        <v>0.14000000000000001</v>
      </c>
      <c r="F479" s="1" t="str">
        <f t="shared" si="30"/>
        <v>50</v>
      </c>
      <c r="G479" s="1" t="str">
        <f t="shared" si="31"/>
        <v/>
      </c>
      <c r="I479" s="1" t="str">
        <f t="shared" si="29"/>
        <v>威尔新数值1.06.xlsm!monsterDamage</v>
      </c>
    </row>
    <row r="480" spans="1:9" x14ac:dyDescent="0.15">
      <c r="A480" s="1">
        <v>479</v>
      </c>
      <c r="B480" s="1">
        <v>102020200</v>
      </c>
      <c r="C480" s="1">
        <f t="shared" si="28"/>
        <v>108</v>
      </c>
      <c r="D480" s="5">
        <f ca="1">IF(getQuality(B480)&lt;4,getOtherMin(B480,C480,INDIRECT(J$2),INDIRECT(I480),test),getMin(B480,C480,INDIRECT(J$2),INDIRECT(I480),test))</f>
        <v>7.0000000000000007E-2</v>
      </c>
      <c r="E480" s="5">
        <f ca="1">IF(getQuality(B480)&lt;4,getOtherMax(B480,C480,INDIRECT(J$2),INDIRECT(I480),test),getMax(B480,C480,INDIRECT(J$2),INDIRECT(I480),test))</f>
        <v>0.14000000000000001</v>
      </c>
      <c r="F480" s="1" t="str">
        <f t="shared" si="30"/>
        <v>50</v>
      </c>
      <c r="G480" s="1" t="str">
        <f t="shared" si="31"/>
        <v/>
      </c>
      <c r="I480" s="1" t="str">
        <f t="shared" si="29"/>
        <v>威尔新数值1.06.xlsm!monsterDamage</v>
      </c>
    </row>
    <row r="481" spans="1:9" x14ac:dyDescent="0.15">
      <c r="A481" s="1">
        <v>480</v>
      </c>
      <c r="B481" s="1">
        <v>102030200</v>
      </c>
      <c r="C481" s="1">
        <f t="shared" si="28"/>
        <v>3</v>
      </c>
      <c r="D481" s="5">
        <f ca="1">IF(getQuality(B481)&lt;4,getOtherMin(B481,C481,INDIRECT(J$2),INDIRECT(I481),test),getMin(B481,C481,INDIRECT(J$2),INDIRECT(I481),test))</f>
        <v>47.219010783550694</v>
      </c>
      <c r="E481" s="5">
        <f ca="1">IF(getQuality(B481)&lt;4,getOtherMax(B481,C481,INDIRECT(J$2),INDIRECT(I481),test),getMax(B481,C481,INDIRECT(J$2),INDIRECT(I481),test))</f>
        <v>75.631108554901132</v>
      </c>
      <c r="F481" s="1" t="str">
        <f t="shared" si="30"/>
        <v>50</v>
      </c>
      <c r="G481" s="1" t="str">
        <f t="shared" si="31"/>
        <v>1</v>
      </c>
      <c r="I481" s="1" t="str">
        <f t="shared" si="29"/>
        <v>威尔新数值1.06.xlsm!suitPower</v>
      </c>
    </row>
    <row r="482" spans="1:9" x14ac:dyDescent="0.15">
      <c r="A482" s="1">
        <v>481</v>
      </c>
      <c r="B482" s="1">
        <v>102030200</v>
      </c>
      <c r="C482" s="1">
        <f t="shared" si="28"/>
        <v>5</v>
      </c>
      <c r="D482" s="5">
        <f ca="1">IF(getQuality(B482)&lt;4,getOtherMin(B482,C482,INDIRECT(J$2),INDIRECT(I482),test),getMin(B482,C482,INDIRECT(J$2),INDIRECT(I482),test))</f>
        <v>47.219010783550694</v>
      </c>
      <c r="E482" s="5">
        <f ca="1">IF(getQuality(B482)&lt;4,getOtherMax(B482,C482,INDIRECT(J$2),INDIRECT(I482),test),getMax(B482,C482,INDIRECT(J$2),INDIRECT(I482),test))</f>
        <v>75.631108554901132</v>
      </c>
      <c r="F482" s="1" t="str">
        <f t="shared" si="30"/>
        <v>50</v>
      </c>
      <c r="G482" s="1" t="str">
        <f t="shared" si="31"/>
        <v/>
      </c>
      <c r="I482" s="1" t="str">
        <f t="shared" si="29"/>
        <v>威尔新数值1.06.xlsm!suitPower</v>
      </c>
    </row>
    <row r="483" spans="1:9" x14ac:dyDescent="0.15">
      <c r="A483" s="1">
        <v>482</v>
      </c>
      <c r="B483" s="1">
        <v>102030200</v>
      </c>
      <c r="C483" s="1">
        <f t="shared" si="28"/>
        <v>7</v>
      </c>
      <c r="D483" s="5">
        <f ca="1">IF(getQuality(B483)&lt;4,getOtherMin(B483,C483,INDIRECT(J$2),INDIRECT(I483),test),getMin(B483,C483,INDIRECT(J$2),INDIRECT(I483),test))</f>
        <v>13.96296296296293</v>
      </c>
      <c r="E483" s="5">
        <f ca="1">IF(getQuality(B483)&lt;4,getOtherMax(B483,C483,INDIRECT(J$2),INDIRECT(I483),test),getMax(B483,C483,INDIRECT(J$2),INDIRECT(I483),test))</f>
        <v>19.444444444444393</v>
      </c>
      <c r="F483" s="1" t="str">
        <f t="shared" si="30"/>
        <v>50</v>
      </c>
      <c r="G483" s="1" t="str">
        <f t="shared" si="31"/>
        <v/>
      </c>
      <c r="I483" s="1" t="str">
        <f t="shared" si="29"/>
        <v>威尔新数值1.06.xlsm!suitPower</v>
      </c>
    </row>
    <row r="484" spans="1:9" x14ac:dyDescent="0.15">
      <c r="A484" s="1">
        <v>483</v>
      </c>
      <c r="B484" s="1">
        <v>102030200</v>
      </c>
      <c r="C484" s="1">
        <f t="shared" ref="C484:C547" si="32">C465</f>
        <v>8</v>
      </c>
      <c r="D484" s="5">
        <f ca="1">IF(getQuality(B484)&lt;4,getOtherMin(B484,C484,INDIRECT(J$2),INDIRECT(I484),test),getMin(B484,C484,INDIRECT(J$2),INDIRECT(I484),test))</f>
        <v>30.166666666666668</v>
      </c>
      <c r="E484" s="5">
        <f ca="1">IF(getQuality(B484)&lt;4,getOtherMax(B484,C484,INDIRECT(J$2),INDIRECT(I484),test),getMax(B484,C484,INDIRECT(J$2),INDIRECT(I484),test))</f>
        <v>43.75</v>
      </c>
      <c r="F484" s="1" t="str">
        <f t="shared" si="30"/>
        <v>50</v>
      </c>
      <c r="G484" s="1" t="str">
        <f t="shared" si="31"/>
        <v/>
      </c>
      <c r="I484" s="1" t="str">
        <f t="shared" si="29"/>
        <v>威尔新数值1.06.xlsm!suitPower</v>
      </c>
    </row>
    <row r="485" spans="1:9" x14ac:dyDescent="0.15">
      <c r="A485" s="1">
        <v>484</v>
      </c>
      <c r="B485" s="1">
        <v>102030200</v>
      </c>
      <c r="C485" s="1">
        <f t="shared" si="32"/>
        <v>9</v>
      </c>
      <c r="D485" s="5">
        <f ca="1">IF(getQuality(B485)&lt;4,getOtherMin(B485,C485,INDIRECT(J$2),INDIRECT(I485),test),getMin(B485,C485,INDIRECT(J$2),INDIRECT(I485),test))</f>
        <v>47.219010783550694</v>
      </c>
      <c r="E485" s="5">
        <f ca="1">IF(getQuality(B485)&lt;4,getOtherMax(B485,C485,INDIRECT(J$2),INDIRECT(I485),test),getMax(B485,C485,INDIRECT(J$2),INDIRECT(I485),test))</f>
        <v>75.631108554901132</v>
      </c>
      <c r="F485" s="1" t="str">
        <f t="shared" si="30"/>
        <v>50</v>
      </c>
      <c r="G485" s="1" t="str">
        <f t="shared" si="31"/>
        <v/>
      </c>
      <c r="I485" s="1" t="str">
        <f t="shared" si="29"/>
        <v>威尔新数值1.06.xlsm!suitPower</v>
      </c>
    </row>
    <row r="486" spans="1:9" x14ac:dyDescent="0.15">
      <c r="A486" s="1">
        <v>485</v>
      </c>
      <c r="B486" s="1">
        <v>102030200</v>
      </c>
      <c r="C486" s="1">
        <f t="shared" si="32"/>
        <v>10</v>
      </c>
      <c r="D486" s="5">
        <f ca="1">IF(getQuality(B486)&lt;4,getOtherMin(B486,C486,INDIRECT(J$2),INDIRECT(I486),test),getMin(B486,C486,INDIRECT(J$2),INDIRECT(I486),test))</f>
        <v>47.219010783550694</v>
      </c>
      <c r="E486" s="5">
        <f ca="1">IF(getQuality(B486)&lt;4,getOtherMax(B486,C486,INDIRECT(J$2),INDIRECT(I486),test),getMax(B486,C486,INDIRECT(J$2),INDIRECT(I486),test))</f>
        <v>75.631108554901132</v>
      </c>
      <c r="F486" s="1" t="str">
        <f t="shared" si="30"/>
        <v>50</v>
      </c>
      <c r="G486" s="1" t="str">
        <f t="shared" si="31"/>
        <v/>
      </c>
      <c r="I486" s="1" t="str">
        <f t="shared" si="29"/>
        <v>威尔新数值1.06.xlsm!suitPower</v>
      </c>
    </row>
    <row r="487" spans="1:9" x14ac:dyDescent="0.15">
      <c r="A487" s="1">
        <v>486</v>
      </c>
      <c r="B487" s="1">
        <v>102030200</v>
      </c>
      <c r="C487" s="1">
        <f t="shared" si="32"/>
        <v>11</v>
      </c>
      <c r="D487" s="5">
        <f ca="1">IF(getQuality(B487)&lt;4,getOtherMin(B487,C487,INDIRECT(J$2),INDIRECT(I487),test),getMin(B487,C487,INDIRECT(J$2),INDIRECT(I487),test))</f>
        <v>47.219010783550694</v>
      </c>
      <c r="E487" s="5">
        <f ca="1">IF(getQuality(B487)&lt;4,getOtherMax(B487,C487,INDIRECT(J$2),INDIRECT(I487),test),getMax(B487,C487,INDIRECT(J$2),INDIRECT(I487),test))</f>
        <v>75.631108554901132</v>
      </c>
      <c r="F487" s="1" t="str">
        <f t="shared" si="30"/>
        <v>50</v>
      </c>
      <c r="G487" s="1" t="str">
        <f t="shared" si="31"/>
        <v/>
      </c>
      <c r="I487" s="1" t="str">
        <f t="shared" si="29"/>
        <v>威尔新数值1.06.xlsm!suitPower</v>
      </c>
    </row>
    <row r="488" spans="1:9" x14ac:dyDescent="0.15">
      <c r="A488" s="1">
        <v>487</v>
      </c>
      <c r="B488" s="1">
        <v>102030200</v>
      </c>
      <c r="C488" s="1">
        <f t="shared" si="32"/>
        <v>12</v>
      </c>
      <c r="D488" s="5">
        <f ca="1">IF(getQuality(B488)&lt;4,getOtherMin(B488,C488,INDIRECT(J$2),INDIRECT(I488),test),getMin(B488,C488,INDIRECT(J$2),INDIRECT(I488),test))</f>
        <v>47.219010783550694</v>
      </c>
      <c r="E488" s="5">
        <f ca="1">IF(getQuality(B488)&lt;4,getOtherMax(B488,C488,INDIRECT(J$2),INDIRECT(I488),test),getMax(B488,C488,INDIRECT(J$2),INDIRECT(I488),test))</f>
        <v>75.631108554901132</v>
      </c>
      <c r="F488" s="1" t="str">
        <f t="shared" si="30"/>
        <v>50</v>
      </c>
      <c r="G488" s="1" t="str">
        <f t="shared" si="31"/>
        <v/>
      </c>
      <c r="I488" s="1" t="str">
        <f t="shared" si="29"/>
        <v>威尔新数值1.06.xlsm!suitPower</v>
      </c>
    </row>
    <row r="489" spans="1:9" x14ac:dyDescent="0.15">
      <c r="A489" s="1">
        <v>488</v>
      </c>
      <c r="B489" s="1">
        <v>102030200</v>
      </c>
      <c r="C489" s="1">
        <f t="shared" si="32"/>
        <v>13</v>
      </c>
      <c r="D489" s="5">
        <f ca="1">IF(getQuality(B489)&lt;4,getOtherMin(B489,C489,INDIRECT(J$2),INDIRECT(I489),test),getMin(B489,C489,INDIRECT(J$2),INDIRECT(I489),test))</f>
        <v>47.219010783550694</v>
      </c>
      <c r="E489" s="5">
        <f ca="1">IF(getQuality(B489)&lt;4,getOtherMax(B489,C489,INDIRECT(J$2),INDIRECT(I489),test),getMax(B489,C489,INDIRECT(J$2),INDIRECT(I489),test))</f>
        <v>75.631108554901132</v>
      </c>
      <c r="F489" s="1" t="str">
        <f t="shared" si="30"/>
        <v>50</v>
      </c>
      <c r="G489" s="1" t="str">
        <f t="shared" si="31"/>
        <v/>
      </c>
      <c r="I489" s="1" t="str">
        <f t="shared" si="29"/>
        <v>威尔新数值1.06.xlsm!suitPower</v>
      </c>
    </row>
    <row r="490" spans="1:9" x14ac:dyDescent="0.15">
      <c r="A490" s="1">
        <v>489</v>
      </c>
      <c r="B490" s="1">
        <v>102030200</v>
      </c>
      <c r="C490" s="1">
        <f t="shared" si="32"/>
        <v>14</v>
      </c>
      <c r="D490" s="5">
        <f ca="1">IF(getQuality(B490)&lt;4,getOtherMin(B490,C490,INDIRECT(J$2),INDIRECT(I490),test),getMin(B490,C490,INDIRECT(J$2),INDIRECT(I490),test))</f>
        <v>47.219010783550694</v>
      </c>
      <c r="E490" s="5">
        <f ca="1">IF(getQuality(B490)&lt;4,getOtherMax(B490,C490,INDIRECT(J$2),INDIRECT(I490),test),getMax(B490,C490,INDIRECT(J$2),INDIRECT(I490),test))</f>
        <v>75.631108554901132</v>
      </c>
      <c r="F490" s="1" t="str">
        <f t="shared" si="30"/>
        <v>50</v>
      </c>
      <c r="G490" s="1" t="str">
        <f t="shared" si="31"/>
        <v/>
      </c>
      <c r="I490" s="1" t="str">
        <f t="shared" si="29"/>
        <v>威尔新数值1.06.xlsm!suitPower</v>
      </c>
    </row>
    <row r="491" spans="1:9" x14ac:dyDescent="0.15">
      <c r="A491" s="1">
        <v>490</v>
      </c>
      <c r="B491" s="1">
        <v>102030200</v>
      </c>
      <c r="C491" s="1">
        <f t="shared" si="32"/>
        <v>15</v>
      </c>
      <c r="D491" s="5">
        <f ca="1">IF(getQuality(B491)&lt;4,getOtherMin(B491,C491,INDIRECT(J$2),INDIRECT(I491),test),getMin(B491,C491,INDIRECT(J$2),INDIRECT(I491),test))</f>
        <v>47.219010783550694</v>
      </c>
      <c r="E491" s="5">
        <f ca="1">IF(getQuality(B491)&lt;4,getOtherMax(B491,C491,INDIRECT(J$2),INDIRECT(I491),test),getMax(B491,C491,INDIRECT(J$2),INDIRECT(I491),test))</f>
        <v>75.631108554901132</v>
      </c>
      <c r="F491" s="1" t="str">
        <f t="shared" si="30"/>
        <v>50</v>
      </c>
      <c r="G491" s="1" t="str">
        <f t="shared" si="31"/>
        <v/>
      </c>
      <c r="I491" s="1" t="str">
        <f t="shared" si="29"/>
        <v>威尔新数值1.06.xlsm!suitPower</v>
      </c>
    </row>
    <row r="492" spans="1:9" x14ac:dyDescent="0.15">
      <c r="A492" s="1">
        <v>491</v>
      </c>
      <c r="B492" s="1">
        <v>102030200</v>
      </c>
      <c r="C492" s="1">
        <f t="shared" si="32"/>
        <v>101</v>
      </c>
      <c r="D492" s="5">
        <f ca="1">IF(getQuality(B492)&lt;4,getOtherMin(B492,C492,INDIRECT(J$2),INDIRECT(I492),test),getMin(B492,C492,INDIRECT(J$2),INDIRECT(I492),test))</f>
        <v>0.08</v>
      </c>
      <c r="E492" s="5">
        <f ca="1">IF(getQuality(B492)&lt;4,getOtherMax(B492,C492,INDIRECT(J$2),INDIRECT(I492),test),getMax(B492,C492,INDIRECT(J$2),INDIRECT(I492),test))</f>
        <v>0.11</v>
      </c>
      <c r="F492" s="1" t="str">
        <f t="shared" si="30"/>
        <v>50</v>
      </c>
      <c r="G492" s="1" t="str">
        <f t="shared" si="31"/>
        <v/>
      </c>
      <c r="I492" s="1" t="str">
        <f t="shared" si="29"/>
        <v>威尔新数值1.06.xlsm!circlePer</v>
      </c>
    </row>
    <row r="493" spans="1:9" x14ac:dyDescent="0.15">
      <c r="A493" s="1">
        <v>492</v>
      </c>
      <c r="B493" s="1">
        <v>102030200</v>
      </c>
      <c r="C493" s="1">
        <f t="shared" si="32"/>
        <v>102</v>
      </c>
      <c r="D493" s="5">
        <f ca="1">IF(getQuality(B493)&lt;4,getOtherMin(B493,C493,INDIRECT(J$2),INDIRECT(I493),test),getMin(B493,C493,INDIRECT(J$2),INDIRECT(I493),test))</f>
        <v>0.6</v>
      </c>
      <c r="E493" s="5">
        <f ca="1">IF(getQuality(B493)&lt;4,getOtherMax(B493,C493,INDIRECT(J$2),INDIRECT(I493),test),getMax(B493,C493,INDIRECT(J$2),INDIRECT(I493),test))</f>
        <v>1</v>
      </c>
      <c r="F493" s="1" t="str">
        <f t="shared" si="30"/>
        <v>50</v>
      </c>
      <c r="G493" s="1" t="str">
        <f t="shared" si="31"/>
        <v/>
      </c>
      <c r="I493" s="1" t="str">
        <f t="shared" si="29"/>
        <v>威尔新数值1.06.xlsm!circleValue</v>
      </c>
    </row>
    <row r="494" spans="1:9" x14ac:dyDescent="0.15">
      <c r="A494" s="1">
        <v>493</v>
      </c>
      <c r="B494" s="1">
        <v>102030200</v>
      </c>
      <c r="C494" s="1">
        <f t="shared" si="32"/>
        <v>103</v>
      </c>
      <c r="D494" s="5">
        <f ca="1">IF(getQuality(B494)&lt;4,getOtherMin(B494,C494,INDIRECT(J$2),INDIRECT(I494),test),getMin(B494,C494,INDIRECT(J$2),INDIRECT(I494),test))</f>
        <v>0.08</v>
      </c>
      <c r="E494" s="5">
        <f ca="1">IF(getQuality(B494)&lt;4,getOtherMax(B494,C494,INDIRECT(J$2),INDIRECT(I494),test),getMax(B494,C494,INDIRECT(J$2),INDIRECT(I494),test))</f>
        <v>0.11</v>
      </c>
      <c r="F494" s="1" t="str">
        <f t="shared" si="30"/>
        <v>50</v>
      </c>
      <c r="G494" s="1" t="str">
        <f t="shared" si="31"/>
        <v/>
      </c>
      <c r="I494" s="1" t="str">
        <f t="shared" si="29"/>
        <v>威尔新数值1.06.xlsm!otherDamage</v>
      </c>
    </row>
    <row r="495" spans="1:9" x14ac:dyDescent="0.15">
      <c r="A495" s="1">
        <v>494</v>
      </c>
      <c r="B495" s="1">
        <v>102030200</v>
      </c>
      <c r="C495" s="1">
        <f t="shared" si="32"/>
        <v>104</v>
      </c>
      <c r="D495" s="5">
        <f ca="1">IF(getQuality(B495)&lt;4,getOtherMin(B495,C495,INDIRECT(J$2),INDIRECT(I495),test),getMin(B495,C495,INDIRECT(J$2),INDIRECT(I495),test))</f>
        <v>0.08</v>
      </c>
      <c r="E495" s="5">
        <f ca="1">IF(getQuality(B495)&lt;4,getOtherMax(B495,C495,INDIRECT(J$2),INDIRECT(I495),test),getMax(B495,C495,INDIRECT(J$2),INDIRECT(I495),test))</f>
        <v>0.16</v>
      </c>
      <c r="F495" s="1" t="str">
        <f t="shared" si="30"/>
        <v>50</v>
      </c>
      <c r="G495" s="1" t="str">
        <f t="shared" si="31"/>
        <v/>
      </c>
      <c r="I495" s="1" t="str">
        <f t="shared" si="29"/>
        <v>威尔新数值1.06.xlsm!monsterDamage</v>
      </c>
    </row>
    <row r="496" spans="1:9" x14ac:dyDescent="0.15">
      <c r="A496" s="1">
        <v>495</v>
      </c>
      <c r="B496" s="1">
        <v>102030200</v>
      </c>
      <c r="C496" s="1">
        <f t="shared" si="32"/>
        <v>105</v>
      </c>
      <c r="D496" s="5">
        <f ca="1">IF(getQuality(B496)&lt;4,getOtherMin(B496,C496,INDIRECT(J$2),INDIRECT(I496),test),getMin(B496,C496,INDIRECT(J$2),INDIRECT(I496),test))</f>
        <v>0.08</v>
      </c>
      <c r="E496" s="5">
        <f ca="1">IF(getQuality(B496)&lt;4,getOtherMax(B496,C496,INDIRECT(J$2),INDIRECT(I496),test),getMax(B496,C496,INDIRECT(J$2),INDIRECT(I496),test))</f>
        <v>0.16</v>
      </c>
      <c r="F496" s="1" t="str">
        <f t="shared" si="30"/>
        <v>50</v>
      </c>
      <c r="G496" s="1" t="str">
        <f t="shared" si="31"/>
        <v/>
      </c>
      <c r="I496" s="1" t="str">
        <f t="shared" si="29"/>
        <v>威尔新数值1.06.xlsm!monsterDamage</v>
      </c>
    </row>
    <row r="497" spans="1:9" x14ac:dyDescent="0.15">
      <c r="A497" s="1">
        <v>496</v>
      </c>
      <c r="B497" s="1">
        <v>102030200</v>
      </c>
      <c r="C497" s="1">
        <f t="shared" si="32"/>
        <v>106</v>
      </c>
      <c r="D497" s="5">
        <f ca="1">IF(getQuality(B497)&lt;4,getOtherMin(B497,C497,INDIRECT(J$2),INDIRECT(I497),test),getMin(B497,C497,INDIRECT(J$2),INDIRECT(I497),test))</f>
        <v>0.08</v>
      </c>
      <c r="E497" s="5">
        <f ca="1">IF(getQuality(B497)&lt;4,getOtherMax(B497,C497,INDIRECT(J$2),INDIRECT(I497),test),getMax(B497,C497,INDIRECT(J$2),INDIRECT(I497),test))</f>
        <v>0.16</v>
      </c>
      <c r="F497" s="1" t="str">
        <f t="shared" si="30"/>
        <v>50</v>
      </c>
      <c r="G497" s="1" t="str">
        <f t="shared" si="31"/>
        <v/>
      </c>
      <c r="I497" s="1" t="str">
        <f t="shared" si="29"/>
        <v>威尔新数值1.06.xlsm!monsterDamage</v>
      </c>
    </row>
    <row r="498" spans="1:9" x14ac:dyDescent="0.15">
      <c r="A498" s="1">
        <v>497</v>
      </c>
      <c r="B498" s="1">
        <v>102030200</v>
      </c>
      <c r="C498" s="1">
        <f t="shared" si="32"/>
        <v>107</v>
      </c>
      <c r="D498" s="5">
        <f ca="1">IF(getQuality(B498)&lt;4,getOtherMin(B498,C498,INDIRECT(J$2),INDIRECT(I498),test),getMin(B498,C498,INDIRECT(J$2),INDIRECT(I498),test))</f>
        <v>0.08</v>
      </c>
      <c r="E498" s="5">
        <f ca="1">IF(getQuality(B498)&lt;4,getOtherMax(B498,C498,INDIRECT(J$2),INDIRECT(I498),test),getMax(B498,C498,INDIRECT(J$2),INDIRECT(I498),test))</f>
        <v>0.16</v>
      </c>
      <c r="F498" s="1" t="str">
        <f t="shared" si="30"/>
        <v>50</v>
      </c>
      <c r="G498" s="1" t="str">
        <f t="shared" si="31"/>
        <v/>
      </c>
      <c r="I498" s="1" t="str">
        <f t="shared" si="29"/>
        <v>威尔新数值1.06.xlsm!monsterDamage</v>
      </c>
    </row>
    <row r="499" spans="1:9" x14ac:dyDescent="0.15">
      <c r="A499" s="1">
        <v>498</v>
      </c>
      <c r="B499" s="1">
        <v>102030200</v>
      </c>
      <c r="C499" s="1">
        <f t="shared" si="32"/>
        <v>108</v>
      </c>
      <c r="D499" s="5">
        <f ca="1">IF(getQuality(B499)&lt;4,getOtherMin(B499,C499,INDIRECT(J$2),INDIRECT(I499),test),getMin(B499,C499,INDIRECT(J$2),INDIRECT(I499),test))</f>
        <v>0.08</v>
      </c>
      <c r="E499" s="5">
        <f ca="1">IF(getQuality(B499)&lt;4,getOtherMax(B499,C499,INDIRECT(J$2),INDIRECT(I499),test),getMax(B499,C499,INDIRECT(J$2),INDIRECT(I499),test))</f>
        <v>0.16</v>
      </c>
      <c r="F499" s="1" t="str">
        <f t="shared" si="30"/>
        <v>50</v>
      </c>
      <c r="G499" s="1" t="str">
        <f t="shared" si="31"/>
        <v/>
      </c>
      <c r="I499" s="1" t="str">
        <f t="shared" si="29"/>
        <v>威尔新数值1.06.xlsm!monsterDamage</v>
      </c>
    </row>
    <row r="500" spans="1:9" x14ac:dyDescent="0.15">
      <c r="A500" s="1">
        <v>499</v>
      </c>
      <c r="B500" s="1">
        <v>102040200</v>
      </c>
      <c r="C500" s="1">
        <f t="shared" si="32"/>
        <v>3</v>
      </c>
      <c r="D500" s="5">
        <f ca="1">IF(getQuality(B500)&lt;4,getOtherMin(B500,C500,INDIRECT(J$2),INDIRECT(I500),test),getMin(B500,C500,INDIRECT(J$2),INDIRECT(I500),test))</f>
        <v>76.631108554901132</v>
      </c>
      <c r="E500" s="5">
        <f ca="1">IF(getQuality(B500)&lt;4,getOtherMax(B500,C500,INDIRECT(J$2),INDIRECT(I500),test),getMax(B500,C500,INDIRECT(J$2),INDIRECT(I500),test))</f>
        <v>109.24493457930163</v>
      </c>
      <c r="F500" s="1" t="str">
        <f t="shared" si="30"/>
        <v>50</v>
      </c>
      <c r="G500" s="1" t="str">
        <f t="shared" si="31"/>
        <v>1</v>
      </c>
      <c r="I500" s="1" t="str">
        <f t="shared" si="29"/>
        <v>威尔新数值1.06.xlsm!suitPower</v>
      </c>
    </row>
    <row r="501" spans="1:9" x14ac:dyDescent="0.15">
      <c r="A501" s="1">
        <v>500</v>
      </c>
      <c r="B501" s="1">
        <v>102040200</v>
      </c>
      <c r="C501" s="1">
        <f t="shared" si="32"/>
        <v>5</v>
      </c>
      <c r="D501" s="5">
        <f ca="1">IF(getQuality(B501)&lt;4,getOtherMin(B501,C501,INDIRECT(J$2),INDIRECT(I501),test),getMin(B501,C501,INDIRECT(J$2),INDIRECT(I501),test))</f>
        <v>76.631108554901132</v>
      </c>
      <c r="E501" s="5">
        <f ca="1">IF(getQuality(B501)&lt;4,getOtherMax(B501,C501,INDIRECT(J$2),INDIRECT(I501),test),getMax(B501,C501,INDIRECT(J$2),INDIRECT(I501),test))</f>
        <v>109.24493457930163</v>
      </c>
      <c r="F501" s="1" t="str">
        <f t="shared" si="30"/>
        <v>50</v>
      </c>
      <c r="G501" s="1" t="str">
        <f t="shared" si="31"/>
        <v/>
      </c>
      <c r="I501" s="1" t="str">
        <f t="shared" si="29"/>
        <v>威尔新数值1.06.xlsm!suitPower</v>
      </c>
    </row>
    <row r="502" spans="1:9" x14ac:dyDescent="0.15">
      <c r="A502" s="1">
        <v>501</v>
      </c>
      <c r="B502" s="1">
        <v>102040200</v>
      </c>
      <c r="C502" s="1">
        <f t="shared" si="32"/>
        <v>7</v>
      </c>
      <c r="D502" s="5">
        <f ca="1">IF(getQuality(B502)&lt;4,getOtherMin(B502,C502,INDIRECT(J$2),INDIRECT(I502),test),getMin(B502,C502,INDIRECT(J$2),INDIRECT(I502),test))</f>
        <v>20.444444444444393</v>
      </c>
      <c r="E502" s="5">
        <f ca="1">IF(getQuality(B502)&lt;4,getOtherMax(B502,C502,INDIRECT(J$2),INDIRECT(I502),test),getMax(B502,C502,INDIRECT(J$2),INDIRECT(I502),test))</f>
        <v>25.92592592592586</v>
      </c>
      <c r="F502" s="1" t="str">
        <f t="shared" si="30"/>
        <v>50</v>
      </c>
      <c r="G502" s="1" t="str">
        <f t="shared" si="31"/>
        <v/>
      </c>
      <c r="I502" s="1" t="str">
        <f t="shared" si="29"/>
        <v>威尔新数值1.06.xlsm!suitPower</v>
      </c>
    </row>
    <row r="503" spans="1:9" x14ac:dyDescent="0.15">
      <c r="A503" s="1">
        <v>502</v>
      </c>
      <c r="B503" s="1">
        <v>102040200</v>
      </c>
      <c r="C503" s="1">
        <f t="shared" si="32"/>
        <v>8</v>
      </c>
      <c r="D503" s="5">
        <f ca="1">IF(getQuality(B503)&lt;4,getOtherMin(B503,C503,INDIRECT(J$2),INDIRECT(I503),test),getMin(B503,C503,INDIRECT(J$2),INDIRECT(I503),test))</f>
        <v>44.75</v>
      </c>
      <c r="E503" s="5">
        <f ca="1">IF(getQuality(B503)&lt;4,getOtherMax(B503,C503,INDIRECT(J$2),INDIRECT(I503),test),getMax(B503,C503,INDIRECT(J$2),INDIRECT(I503),test))</f>
        <v>58.333333333333336</v>
      </c>
      <c r="F503" s="1" t="str">
        <f t="shared" si="30"/>
        <v>50</v>
      </c>
      <c r="G503" s="1" t="str">
        <f t="shared" si="31"/>
        <v/>
      </c>
      <c r="I503" s="1" t="str">
        <f t="shared" si="29"/>
        <v>威尔新数值1.06.xlsm!suitPower</v>
      </c>
    </row>
    <row r="504" spans="1:9" x14ac:dyDescent="0.15">
      <c r="A504" s="1">
        <v>503</v>
      </c>
      <c r="B504" s="1">
        <v>102040200</v>
      </c>
      <c r="C504" s="1">
        <f t="shared" si="32"/>
        <v>9</v>
      </c>
      <c r="D504" s="5">
        <f ca="1">IF(getQuality(B504)&lt;4,getOtherMin(B504,C504,INDIRECT(J$2),INDIRECT(I504),test),getMin(B504,C504,INDIRECT(J$2),INDIRECT(I504),test))</f>
        <v>76.631108554901132</v>
      </c>
      <c r="E504" s="5">
        <f ca="1">IF(getQuality(B504)&lt;4,getOtherMax(B504,C504,INDIRECT(J$2),INDIRECT(I504),test),getMax(B504,C504,INDIRECT(J$2),INDIRECT(I504),test))</f>
        <v>109.24493457930163</v>
      </c>
      <c r="F504" s="1" t="str">
        <f t="shared" si="30"/>
        <v>50</v>
      </c>
      <c r="G504" s="1" t="str">
        <f t="shared" si="31"/>
        <v/>
      </c>
      <c r="I504" s="1" t="str">
        <f t="shared" si="29"/>
        <v>威尔新数值1.06.xlsm!suitPower</v>
      </c>
    </row>
    <row r="505" spans="1:9" x14ac:dyDescent="0.15">
      <c r="A505" s="1">
        <v>504</v>
      </c>
      <c r="B505" s="1">
        <v>102040200</v>
      </c>
      <c r="C505" s="1">
        <f t="shared" si="32"/>
        <v>10</v>
      </c>
      <c r="D505" s="5">
        <f ca="1">IF(getQuality(B505)&lt;4,getOtherMin(B505,C505,INDIRECT(J$2),INDIRECT(I505),test),getMin(B505,C505,INDIRECT(J$2),INDIRECT(I505),test))</f>
        <v>76.631108554901132</v>
      </c>
      <c r="E505" s="5">
        <f ca="1">IF(getQuality(B505)&lt;4,getOtherMax(B505,C505,INDIRECT(J$2),INDIRECT(I505),test),getMax(B505,C505,INDIRECT(J$2),INDIRECT(I505),test))</f>
        <v>109.24493457930163</v>
      </c>
      <c r="F505" s="1" t="str">
        <f t="shared" si="30"/>
        <v>50</v>
      </c>
      <c r="G505" s="1" t="str">
        <f t="shared" si="31"/>
        <v/>
      </c>
      <c r="I505" s="1" t="str">
        <f t="shared" si="29"/>
        <v>威尔新数值1.06.xlsm!suitPower</v>
      </c>
    </row>
    <row r="506" spans="1:9" x14ac:dyDescent="0.15">
      <c r="A506" s="1">
        <v>505</v>
      </c>
      <c r="B506" s="1">
        <v>102040200</v>
      </c>
      <c r="C506" s="1">
        <f t="shared" si="32"/>
        <v>11</v>
      </c>
      <c r="D506" s="5">
        <f ca="1">IF(getQuality(B506)&lt;4,getOtherMin(B506,C506,INDIRECT(J$2),INDIRECT(I506),test),getMin(B506,C506,INDIRECT(J$2),INDIRECT(I506),test))</f>
        <v>76.631108554901132</v>
      </c>
      <c r="E506" s="5">
        <f ca="1">IF(getQuality(B506)&lt;4,getOtherMax(B506,C506,INDIRECT(J$2),INDIRECT(I506),test),getMax(B506,C506,INDIRECT(J$2),INDIRECT(I506),test))</f>
        <v>109.24493457930163</v>
      </c>
      <c r="F506" s="1" t="str">
        <f t="shared" si="30"/>
        <v>50</v>
      </c>
      <c r="G506" s="1" t="str">
        <f t="shared" si="31"/>
        <v/>
      </c>
      <c r="I506" s="1" t="str">
        <f t="shared" si="29"/>
        <v>威尔新数值1.06.xlsm!suitPower</v>
      </c>
    </row>
    <row r="507" spans="1:9" x14ac:dyDescent="0.15">
      <c r="A507" s="1">
        <v>506</v>
      </c>
      <c r="B507" s="1">
        <v>102040200</v>
      </c>
      <c r="C507" s="1">
        <f t="shared" si="32"/>
        <v>12</v>
      </c>
      <c r="D507" s="5">
        <f ca="1">IF(getQuality(B507)&lt;4,getOtherMin(B507,C507,INDIRECT(J$2),INDIRECT(I507),test),getMin(B507,C507,INDIRECT(J$2),INDIRECT(I507),test))</f>
        <v>76.631108554901132</v>
      </c>
      <c r="E507" s="5">
        <f ca="1">IF(getQuality(B507)&lt;4,getOtherMax(B507,C507,INDIRECT(J$2),INDIRECT(I507),test),getMax(B507,C507,INDIRECT(J$2),INDIRECT(I507),test))</f>
        <v>109.24493457930163</v>
      </c>
      <c r="F507" s="1" t="str">
        <f t="shared" si="30"/>
        <v>50</v>
      </c>
      <c r="G507" s="1" t="str">
        <f t="shared" si="31"/>
        <v/>
      </c>
      <c r="I507" s="1" t="str">
        <f t="shared" si="29"/>
        <v>威尔新数值1.06.xlsm!suitPower</v>
      </c>
    </row>
    <row r="508" spans="1:9" x14ac:dyDescent="0.15">
      <c r="A508" s="1">
        <v>507</v>
      </c>
      <c r="B508" s="1">
        <v>102040200</v>
      </c>
      <c r="C508" s="1">
        <f t="shared" si="32"/>
        <v>13</v>
      </c>
      <c r="D508" s="5">
        <f ca="1">IF(getQuality(B508)&lt;4,getOtherMin(B508,C508,INDIRECT(J$2),INDIRECT(I508),test),getMin(B508,C508,INDIRECT(J$2),INDIRECT(I508),test))</f>
        <v>76.631108554901132</v>
      </c>
      <c r="E508" s="5">
        <f ca="1">IF(getQuality(B508)&lt;4,getOtherMax(B508,C508,INDIRECT(J$2),INDIRECT(I508),test),getMax(B508,C508,INDIRECT(J$2),INDIRECT(I508),test))</f>
        <v>109.24493457930163</v>
      </c>
      <c r="F508" s="1" t="str">
        <f t="shared" si="30"/>
        <v>50</v>
      </c>
      <c r="G508" s="1" t="str">
        <f t="shared" si="31"/>
        <v/>
      </c>
      <c r="I508" s="1" t="str">
        <f t="shared" si="29"/>
        <v>威尔新数值1.06.xlsm!suitPower</v>
      </c>
    </row>
    <row r="509" spans="1:9" x14ac:dyDescent="0.15">
      <c r="A509" s="1">
        <v>508</v>
      </c>
      <c r="B509" s="1">
        <v>102040200</v>
      </c>
      <c r="C509" s="1">
        <f t="shared" si="32"/>
        <v>14</v>
      </c>
      <c r="D509" s="5">
        <f ca="1">IF(getQuality(B509)&lt;4,getOtherMin(B509,C509,INDIRECT(J$2),INDIRECT(I509),test),getMin(B509,C509,INDIRECT(J$2),INDIRECT(I509),test))</f>
        <v>76.631108554901132</v>
      </c>
      <c r="E509" s="5">
        <f ca="1">IF(getQuality(B509)&lt;4,getOtherMax(B509,C509,INDIRECT(J$2),INDIRECT(I509),test),getMax(B509,C509,INDIRECT(J$2),INDIRECT(I509),test))</f>
        <v>109.24493457930163</v>
      </c>
      <c r="F509" s="1" t="str">
        <f t="shared" si="30"/>
        <v>50</v>
      </c>
      <c r="G509" s="1" t="str">
        <f t="shared" si="31"/>
        <v/>
      </c>
      <c r="I509" s="1" t="str">
        <f t="shared" si="29"/>
        <v>威尔新数值1.06.xlsm!suitPower</v>
      </c>
    </row>
    <row r="510" spans="1:9" x14ac:dyDescent="0.15">
      <c r="A510" s="1">
        <v>509</v>
      </c>
      <c r="B510" s="1">
        <v>102040200</v>
      </c>
      <c r="C510" s="1">
        <f t="shared" si="32"/>
        <v>15</v>
      </c>
      <c r="D510" s="5">
        <f ca="1">IF(getQuality(B510)&lt;4,getOtherMin(B510,C510,INDIRECT(J$2),INDIRECT(I510),test),getMin(B510,C510,INDIRECT(J$2),INDIRECT(I510),test))</f>
        <v>76.631108554901132</v>
      </c>
      <c r="E510" s="5">
        <f ca="1">IF(getQuality(B510)&lt;4,getOtherMax(B510,C510,INDIRECT(J$2),INDIRECT(I510),test),getMax(B510,C510,INDIRECT(J$2),INDIRECT(I510),test))</f>
        <v>109.24493457930163</v>
      </c>
      <c r="F510" s="1" t="str">
        <f t="shared" si="30"/>
        <v>50</v>
      </c>
      <c r="G510" s="1" t="str">
        <f t="shared" si="31"/>
        <v/>
      </c>
      <c r="I510" s="1" t="str">
        <f t="shared" si="29"/>
        <v>威尔新数值1.06.xlsm!suitPower</v>
      </c>
    </row>
    <row r="511" spans="1:9" x14ac:dyDescent="0.15">
      <c r="A511" s="1">
        <v>510</v>
      </c>
      <c r="B511" s="1">
        <v>102040200</v>
      </c>
      <c r="C511" s="1">
        <f t="shared" si="32"/>
        <v>101</v>
      </c>
      <c r="D511" s="5">
        <f ca="1">IF(getQuality(B511)&lt;4,getOtherMin(B511,C511,INDIRECT(J$2),INDIRECT(I511),test),getMin(B511,C511,INDIRECT(J$2),INDIRECT(I511),test))</f>
        <v>0.09</v>
      </c>
      <c r="E511" s="5">
        <f ca="1">IF(getQuality(B511)&lt;4,getOtherMax(B511,C511,INDIRECT(J$2),INDIRECT(I511),test),getMax(B511,C511,INDIRECT(J$2),INDIRECT(I511),test))</f>
        <v>0.12</v>
      </c>
      <c r="F511" s="1" t="str">
        <f t="shared" si="30"/>
        <v>50</v>
      </c>
      <c r="G511" s="1" t="str">
        <f t="shared" si="31"/>
        <v/>
      </c>
      <c r="I511" s="1" t="str">
        <f t="shared" si="29"/>
        <v>威尔新数值1.06.xlsm!circlePer</v>
      </c>
    </row>
    <row r="512" spans="1:9" x14ac:dyDescent="0.15">
      <c r="A512" s="1">
        <v>511</v>
      </c>
      <c r="B512" s="1">
        <v>102040200</v>
      </c>
      <c r="C512" s="1">
        <f t="shared" si="32"/>
        <v>102</v>
      </c>
      <c r="D512" s="5">
        <f ca="1">IF(getQuality(B512)&lt;4,getOtherMin(B512,C512,INDIRECT(J$2),INDIRECT(I512),test),getMin(B512,C512,INDIRECT(J$2),INDIRECT(I512),test))</f>
        <v>0.7</v>
      </c>
      <c r="E512" s="5">
        <f ca="1">IF(getQuality(B512)&lt;4,getOtherMax(B512,C512,INDIRECT(J$2),INDIRECT(I512),test),getMax(B512,C512,INDIRECT(J$2),INDIRECT(I512),test))</f>
        <v>1.1000000000000001</v>
      </c>
      <c r="F512" s="1" t="str">
        <f t="shared" si="30"/>
        <v>50</v>
      </c>
      <c r="G512" s="1" t="str">
        <f t="shared" si="31"/>
        <v/>
      </c>
      <c r="I512" s="1" t="str">
        <f t="shared" si="29"/>
        <v>威尔新数值1.06.xlsm!circleValue</v>
      </c>
    </row>
    <row r="513" spans="1:9" x14ac:dyDescent="0.15">
      <c r="A513" s="1">
        <v>512</v>
      </c>
      <c r="B513" s="1">
        <v>102040200</v>
      </c>
      <c r="C513" s="1">
        <f t="shared" si="32"/>
        <v>103</v>
      </c>
      <c r="D513" s="5">
        <f ca="1">IF(getQuality(B513)&lt;4,getOtherMin(B513,C513,INDIRECT(J$2),INDIRECT(I513),test),getMin(B513,C513,INDIRECT(J$2),INDIRECT(I513),test))</f>
        <v>0.09</v>
      </c>
      <c r="E513" s="5">
        <f ca="1">IF(getQuality(B513)&lt;4,getOtherMax(B513,C513,INDIRECT(J$2),INDIRECT(I513),test),getMax(B513,C513,INDIRECT(J$2),INDIRECT(I513),test))</f>
        <v>0.12</v>
      </c>
      <c r="F513" s="1" t="str">
        <f t="shared" si="30"/>
        <v>50</v>
      </c>
      <c r="G513" s="1" t="str">
        <f t="shared" si="31"/>
        <v/>
      </c>
      <c r="I513" s="1" t="str">
        <f t="shared" si="29"/>
        <v>威尔新数值1.06.xlsm!otherDamage</v>
      </c>
    </row>
    <row r="514" spans="1:9" x14ac:dyDescent="0.15">
      <c r="A514" s="1">
        <v>513</v>
      </c>
      <c r="B514" s="1">
        <v>102040200</v>
      </c>
      <c r="C514" s="1">
        <f t="shared" si="32"/>
        <v>104</v>
      </c>
      <c r="D514" s="5">
        <f ca="1">IF(getQuality(B514)&lt;4,getOtherMin(B514,C514,INDIRECT(J$2),INDIRECT(I514),test),getMin(B514,C514,INDIRECT(J$2),INDIRECT(I514),test))</f>
        <v>0.09</v>
      </c>
      <c r="E514" s="5">
        <f ca="1">IF(getQuality(B514)&lt;4,getOtherMax(B514,C514,INDIRECT(J$2),INDIRECT(I514),test),getMax(B514,C514,INDIRECT(J$2),INDIRECT(I514),test))</f>
        <v>0.18</v>
      </c>
      <c r="F514" s="1" t="str">
        <f t="shared" si="30"/>
        <v>50</v>
      </c>
      <c r="G514" s="1" t="str">
        <f t="shared" si="31"/>
        <v/>
      </c>
      <c r="I514" s="1" t="str">
        <f t="shared" ref="I514:I577" si="33">IF(C514&lt;100,VLOOKUP(C514,test,3,FALSE),VLOOKUP(C514,test1,3,FALSE))</f>
        <v>威尔新数值1.06.xlsm!monsterDamage</v>
      </c>
    </row>
    <row r="515" spans="1:9" x14ac:dyDescent="0.15">
      <c r="A515" s="1">
        <v>514</v>
      </c>
      <c r="B515" s="1">
        <v>102040200</v>
      </c>
      <c r="C515" s="1">
        <f t="shared" si="32"/>
        <v>105</v>
      </c>
      <c r="D515" s="5">
        <f ca="1">IF(getQuality(B515)&lt;4,getOtherMin(B515,C515,INDIRECT(J$2),INDIRECT(I515),test),getMin(B515,C515,INDIRECT(J$2),INDIRECT(I515),test))</f>
        <v>0.09</v>
      </c>
      <c r="E515" s="5">
        <f ca="1">IF(getQuality(B515)&lt;4,getOtherMax(B515,C515,INDIRECT(J$2),INDIRECT(I515),test),getMax(B515,C515,INDIRECT(J$2),INDIRECT(I515),test))</f>
        <v>0.18</v>
      </c>
      <c r="F515" s="1" t="str">
        <f t="shared" ref="F515:F578" si="34">getper(B515,C515)</f>
        <v>50</v>
      </c>
      <c r="G515" s="1" t="str">
        <f t="shared" ref="G515:G578" si="35">getMust(B515,C515)</f>
        <v/>
      </c>
      <c r="I515" s="1" t="str">
        <f t="shared" si="33"/>
        <v>威尔新数值1.06.xlsm!monsterDamage</v>
      </c>
    </row>
    <row r="516" spans="1:9" x14ac:dyDescent="0.15">
      <c r="A516" s="1">
        <v>515</v>
      </c>
      <c r="B516" s="1">
        <v>102040200</v>
      </c>
      <c r="C516" s="1">
        <f t="shared" si="32"/>
        <v>106</v>
      </c>
      <c r="D516" s="5">
        <f ca="1">IF(getQuality(B516)&lt;4,getOtherMin(B516,C516,INDIRECT(J$2),INDIRECT(I516),test),getMin(B516,C516,INDIRECT(J$2),INDIRECT(I516),test))</f>
        <v>0.09</v>
      </c>
      <c r="E516" s="5">
        <f ca="1">IF(getQuality(B516)&lt;4,getOtherMax(B516,C516,INDIRECT(J$2),INDIRECT(I516),test),getMax(B516,C516,INDIRECT(J$2),INDIRECT(I516),test))</f>
        <v>0.18</v>
      </c>
      <c r="F516" s="1" t="str">
        <f t="shared" si="34"/>
        <v>50</v>
      </c>
      <c r="G516" s="1" t="str">
        <f t="shared" si="35"/>
        <v/>
      </c>
      <c r="I516" s="1" t="str">
        <f t="shared" si="33"/>
        <v>威尔新数值1.06.xlsm!monsterDamage</v>
      </c>
    </row>
    <row r="517" spans="1:9" x14ac:dyDescent="0.15">
      <c r="A517" s="1">
        <v>516</v>
      </c>
      <c r="B517" s="1">
        <v>102040200</v>
      </c>
      <c r="C517" s="1">
        <f t="shared" si="32"/>
        <v>107</v>
      </c>
      <c r="D517" s="5">
        <f ca="1">IF(getQuality(B517)&lt;4,getOtherMin(B517,C517,INDIRECT(J$2),INDIRECT(I517),test),getMin(B517,C517,INDIRECT(J$2),INDIRECT(I517),test))</f>
        <v>0.09</v>
      </c>
      <c r="E517" s="5">
        <f ca="1">IF(getQuality(B517)&lt;4,getOtherMax(B517,C517,INDIRECT(J$2),INDIRECT(I517),test),getMax(B517,C517,INDIRECT(J$2),INDIRECT(I517),test))</f>
        <v>0.18</v>
      </c>
      <c r="F517" s="1" t="str">
        <f t="shared" si="34"/>
        <v>50</v>
      </c>
      <c r="G517" s="1" t="str">
        <f t="shared" si="35"/>
        <v/>
      </c>
      <c r="I517" s="1" t="str">
        <f t="shared" si="33"/>
        <v>威尔新数值1.06.xlsm!monsterDamage</v>
      </c>
    </row>
    <row r="518" spans="1:9" x14ac:dyDescent="0.15">
      <c r="A518" s="1">
        <v>517</v>
      </c>
      <c r="B518" s="1">
        <v>102040200</v>
      </c>
      <c r="C518" s="1">
        <f t="shared" si="32"/>
        <v>108</v>
      </c>
      <c r="D518" s="5">
        <f ca="1">IF(getQuality(B518)&lt;4,getOtherMin(B518,C518,INDIRECT(J$2),INDIRECT(I518),test),getMin(B518,C518,INDIRECT(J$2),INDIRECT(I518),test))</f>
        <v>0.09</v>
      </c>
      <c r="E518" s="5">
        <f ca="1">IF(getQuality(B518)&lt;4,getOtherMax(B518,C518,INDIRECT(J$2),INDIRECT(I518),test),getMax(B518,C518,INDIRECT(J$2),INDIRECT(I518),test))</f>
        <v>0.18</v>
      </c>
      <c r="F518" s="1" t="str">
        <f t="shared" si="34"/>
        <v>50</v>
      </c>
      <c r="G518" s="1" t="str">
        <f t="shared" si="35"/>
        <v/>
      </c>
      <c r="I518" s="1" t="str">
        <f t="shared" si="33"/>
        <v>威尔新数值1.06.xlsm!monsterDamage</v>
      </c>
    </row>
    <row r="519" spans="1:9" x14ac:dyDescent="0.15">
      <c r="A519" s="1">
        <v>518</v>
      </c>
      <c r="B519" s="1">
        <v>102050200</v>
      </c>
      <c r="C519" s="1">
        <f t="shared" si="32"/>
        <v>3</v>
      </c>
      <c r="D519" s="5">
        <f ca="1">IF(getQuality(B519)&lt;4,getOtherMin(B519,C519,INDIRECT(J$2),INDIRECT(I519),test),getMin(B519,C519,INDIRECT(J$2),INDIRECT(I519),test))</f>
        <v>110.24493457930163</v>
      </c>
      <c r="E519" s="5">
        <f ca="1">IF(getQuality(B519)&lt;4,getOtherMax(B519,C519,INDIRECT(J$2),INDIRECT(I519),test),getMax(B519,C519,INDIRECT(J$2),INDIRECT(I519),test))</f>
        <v>148.01542709608177</v>
      </c>
      <c r="F519" s="1" t="str">
        <f t="shared" si="34"/>
        <v>50</v>
      </c>
      <c r="G519" s="1" t="str">
        <f t="shared" si="35"/>
        <v>1</v>
      </c>
      <c r="I519" s="1" t="str">
        <f t="shared" si="33"/>
        <v>威尔新数值1.06.xlsm!suitPower</v>
      </c>
    </row>
    <row r="520" spans="1:9" x14ac:dyDescent="0.15">
      <c r="A520" s="1">
        <v>519</v>
      </c>
      <c r="B520" s="1">
        <v>102050200</v>
      </c>
      <c r="C520" s="1">
        <f t="shared" si="32"/>
        <v>5</v>
      </c>
      <c r="D520" s="5">
        <f ca="1">IF(getQuality(B520)&lt;4,getOtherMin(B520,C520,INDIRECT(J$2),INDIRECT(I520),test),getMin(B520,C520,INDIRECT(J$2),INDIRECT(I520),test))</f>
        <v>110.24493457930163</v>
      </c>
      <c r="E520" s="5">
        <f ca="1">IF(getQuality(B520)&lt;4,getOtherMax(B520,C520,INDIRECT(J$2),INDIRECT(I520),test),getMax(B520,C520,INDIRECT(J$2),INDIRECT(I520),test))</f>
        <v>148.01542709608177</v>
      </c>
      <c r="F520" s="1" t="str">
        <f t="shared" si="34"/>
        <v>50</v>
      </c>
      <c r="G520" s="1" t="str">
        <f t="shared" si="35"/>
        <v/>
      </c>
      <c r="I520" s="1" t="str">
        <f t="shared" si="33"/>
        <v>威尔新数值1.06.xlsm!suitPower</v>
      </c>
    </row>
    <row r="521" spans="1:9" x14ac:dyDescent="0.15">
      <c r="A521" s="1">
        <v>520</v>
      </c>
      <c r="B521" s="1">
        <v>102050200</v>
      </c>
      <c r="C521" s="1">
        <f t="shared" si="32"/>
        <v>7</v>
      </c>
      <c r="D521" s="5">
        <f ca="1">IF(getQuality(B521)&lt;4,getOtherMin(B521,C521,INDIRECT(J$2),INDIRECT(I521),test),getMin(B521,C521,INDIRECT(J$2),INDIRECT(I521),test))</f>
        <v>26.92592592592586</v>
      </c>
      <c r="E521" s="5">
        <f ca="1">IF(getQuality(B521)&lt;4,getOtherMax(B521,C521,INDIRECT(J$2),INDIRECT(I521),test),getMax(B521,C521,INDIRECT(J$2),INDIRECT(I521),test))</f>
        <v>32.407407407407327</v>
      </c>
      <c r="F521" s="1" t="str">
        <f t="shared" si="34"/>
        <v>50</v>
      </c>
      <c r="G521" s="1" t="str">
        <f t="shared" si="35"/>
        <v/>
      </c>
      <c r="I521" s="1" t="str">
        <f t="shared" si="33"/>
        <v>威尔新数值1.06.xlsm!suitPower</v>
      </c>
    </row>
    <row r="522" spans="1:9" x14ac:dyDescent="0.15">
      <c r="A522" s="1">
        <v>521</v>
      </c>
      <c r="B522" s="1">
        <v>102050200</v>
      </c>
      <c r="C522" s="1">
        <f t="shared" si="32"/>
        <v>8</v>
      </c>
      <c r="D522" s="5">
        <f ca="1">IF(getQuality(B522)&lt;4,getOtherMin(B522,C522,INDIRECT(J$2),INDIRECT(I522),test),getMin(B522,C522,INDIRECT(J$2),INDIRECT(I522),test))</f>
        <v>59.333333333333336</v>
      </c>
      <c r="E522" s="5">
        <f ca="1">IF(getQuality(B522)&lt;4,getOtherMax(B522,C522,INDIRECT(J$2),INDIRECT(I522),test),getMax(B522,C522,INDIRECT(J$2),INDIRECT(I522),test))</f>
        <v>72.916666666666671</v>
      </c>
      <c r="F522" s="1" t="str">
        <f t="shared" si="34"/>
        <v>50</v>
      </c>
      <c r="G522" s="1" t="str">
        <f t="shared" si="35"/>
        <v/>
      </c>
      <c r="I522" s="1" t="str">
        <f t="shared" si="33"/>
        <v>威尔新数值1.06.xlsm!suitPower</v>
      </c>
    </row>
    <row r="523" spans="1:9" x14ac:dyDescent="0.15">
      <c r="A523" s="1">
        <v>522</v>
      </c>
      <c r="B523" s="1">
        <v>102050200</v>
      </c>
      <c r="C523" s="1">
        <f t="shared" si="32"/>
        <v>9</v>
      </c>
      <c r="D523" s="5">
        <f ca="1">IF(getQuality(B523)&lt;4,getOtherMin(B523,C523,INDIRECT(J$2),INDIRECT(I523),test),getMin(B523,C523,INDIRECT(J$2),INDIRECT(I523),test))</f>
        <v>110.24493457930163</v>
      </c>
      <c r="E523" s="5">
        <f ca="1">IF(getQuality(B523)&lt;4,getOtherMax(B523,C523,INDIRECT(J$2),INDIRECT(I523),test),getMax(B523,C523,INDIRECT(J$2),INDIRECT(I523),test))</f>
        <v>148.01542709608177</v>
      </c>
      <c r="F523" s="1" t="str">
        <f t="shared" si="34"/>
        <v>50</v>
      </c>
      <c r="G523" s="1" t="str">
        <f t="shared" si="35"/>
        <v/>
      </c>
      <c r="I523" s="1" t="str">
        <f t="shared" si="33"/>
        <v>威尔新数值1.06.xlsm!suitPower</v>
      </c>
    </row>
    <row r="524" spans="1:9" x14ac:dyDescent="0.15">
      <c r="A524" s="1">
        <v>523</v>
      </c>
      <c r="B524" s="1">
        <v>102050200</v>
      </c>
      <c r="C524" s="1">
        <f t="shared" si="32"/>
        <v>10</v>
      </c>
      <c r="D524" s="5">
        <f ca="1">IF(getQuality(B524)&lt;4,getOtherMin(B524,C524,INDIRECT(J$2),INDIRECT(I524),test),getMin(B524,C524,INDIRECT(J$2),INDIRECT(I524),test))</f>
        <v>110.24493457930163</v>
      </c>
      <c r="E524" s="5">
        <f ca="1">IF(getQuality(B524)&lt;4,getOtherMax(B524,C524,INDIRECT(J$2),INDIRECT(I524),test),getMax(B524,C524,INDIRECT(J$2),INDIRECT(I524),test))</f>
        <v>148.01542709608177</v>
      </c>
      <c r="F524" s="1" t="str">
        <f t="shared" si="34"/>
        <v>50</v>
      </c>
      <c r="G524" s="1" t="str">
        <f t="shared" si="35"/>
        <v/>
      </c>
      <c r="I524" s="1" t="str">
        <f t="shared" si="33"/>
        <v>威尔新数值1.06.xlsm!suitPower</v>
      </c>
    </row>
    <row r="525" spans="1:9" x14ac:dyDescent="0.15">
      <c r="A525" s="1">
        <v>524</v>
      </c>
      <c r="B525" s="1">
        <v>102050200</v>
      </c>
      <c r="C525" s="1">
        <f t="shared" si="32"/>
        <v>11</v>
      </c>
      <c r="D525" s="5">
        <f ca="1">IF(getQuality(B525)&lt;4,getOtherMin(B525,C525,INDIRECT(J$2),INDIRECT(I525),test),getMin(B525,C525,INDIRECT(J$2),INDIRECT(I525),test))</f>
        <v>110.24493457930163</v>
      </c>
      <c r="E525" s="5">
        <f ca="1">IF(getQuality(B525)&lt;4,getOtherMax(B525,C525,INDIRECT(J$2),INDIRECT(I525),test),getMax(B525,C525,INDIRECT(J$2),INDIRECT(I525),test))</f>
        <v>148.01542709608177</v>
      </c>
      <c r="F525" s="1" t="str">
        <f t="shared" si="34"/>
        <v>50</v>
      </c>
      <c r="G525" s="1" t="str">
        <f t="shared" si="35"/>
        <v/>
      </c>
      <c r="I525" s="1" t="str">
        <f t="shared" si="33"/>
        <v>威尔新数值1.06.xlsm!suitPower</v>
      </c>
    </row>
    <row r="526" spans="1:9" x14ac:dyDescent="0.15">
      <c r="A526" s="1">
        <v>525</v>
      </c>
      <c r="B526" s="1">
        <v>102050200</v>
      </c>
      <c r="C526" s="1">
        <f t="shared" si="32"/>
        <v>12</v>
      </c>
      <c r="D526" s="5">
        <f ca="1">IF(getQuality(B526)&lt;4,getOtherMin(B526,C526,INDIRECT(J$2),INDIRECT(I526),test),getMin(B526,C526,INDIRECT(J$2),INDIRECT(I526),test))</f>
        <v>110.24493457930163</v>
      </c>
      <c r="E526" s="5">
        <f ca="1">IF(getQuality(B526)&lt;4,getOtherMax(B526,C526,INDIRECT(J$2),INDIRECT(I526),test),getMax(B526,C526,INDIRECT(J$2),INDIRECT(I526),test))</f>
        <v>148.01542709608177</v>
      </c>
      <c r="F526" s="1" t="str">
        <f t="shared" si="34"/>
        <v>50</v>
      </c>
      <c r="G526" s="1" t="str">
        <f t="shared" si="35"/>
        <v/>
      </c>
      <c r="I526" s="1" t="str">
        <f t="shared" si="33"/>
        <v>威尔新数值1.06.xlsm!suitPower</v>
      </c>
    </row>
    <row r="527" spans="1:9" x14ac:dyDescent="0.15">
      <c r="A527" s="1">
        <v>526</v>
      </c>
      <c r="B527" s="1">
        <v>102050200</v>
      </c>
      <c r="C527" s="1">
        <f t="shared" si="32"/>
        <v>13</v>
      </c>
      <c r="D527" s="5">
        <f ca="1">IF(getQuality(B527)&lt;4,getOtherMin(B527,C527,INDIRECT(J$2),INDIRECT(I527),test),getMin(B527,C527,INDIRECT(J$2),INDIRECT(I527),test))</f>
        <v>110.24493457930163</v>
      </c>
      <c r="E527" s="5">
        <f ca="1">IF(getQuality(B527)&lt;4,getOtherMax(B527,C527,INDIRECT(J$2),INDIRECT(I527),test),getMax(B527,C527,INDIRECT(J$2),INDIRECT(I527),test))</f>
        <v>148.01542709608177</v>
      </c>
      <c r="F527" s="1" t="str">
        <f t="shared" si="34"/>
        <v>50</v>
      </c>
      <c r="G527" s="1" t="str">
        <f t="shared" si="35"/>
        <v/>
      </c>
      <c r="I527" s="1" t="str">
        <f t="shared" si="33"/>
        <v>威尔新数值1.06.xlsm!suitPower</v>
      </c>
    </row>
    <row r="528" spans="1:9" x14ac:dyDescent="0.15">
      <c r="A528" s="1">
        <v>527</v>
      </c>
      <c r="B528" s="1">
        <v>102050200</v>
      </c>
      <c r="C528" s="1">
        <f t="shared" si="32"/>
        <v>14</v>
      </c>
      <c r="D528" s="5">
        <f ca="1">IF(getQuality(B528)&lt;4,getOtherMin(B528,C528,INDIRECT(J$2),INDIRECT(I528),test),getMin(B528,C528,INDIRECT(J$2),INDIRECT(I528),test))</f>
        <v>110.24493457930163</v>
      </c>
      <c r="E528" s="5">
        <f ca="1">IF(getQuality(B528)&lt;4,getOtherMax(B528,C528,INDIRECT(J$2),INDIRECT(I528),test),getMax(B528,C528,INDIRECT(J$2),INDIRECT(I528),test))</f>
        <v>148.01542709608177</v>
      </c>
      <c r="F528" s="1" t="str">
        <f t="shared" si="34"/>
        <v>50</v>
      </c>
      <c r="G528" s="1" t="str">
        <f t="shared" si="35"/>
        <v/>
      </c>
      <c r="I528" s="1" t="str">
        <f t="shared" si="33"/>
        <v>威尔新数值1.06.xlsm!suitPower</v>
      </c>
    </row>
    <row r="529" spans="1:9" x14ac:dyDescent="0.15">
      <c r="A529" s="1">
        <v>528</v>
      </c>
      <c r="B529" s="1">
        <v>102050200</v>
      </c>
      <c r="C529" s="1">
        <f t="shared" si="32"/>
        <v>15</v>
      </c>
      <c r="D529" s="5">
        <f ca="1">IF(getQuality(B529)&lt;4,getOtherMin(B529,C529,INDIRECT(J$2),INDIRECT(I529),test),getMin(B529,C529,INDIRECT(J$2),INDIRECT(I529),test))</f>
        <v>110.24493457930163</v>
      </c>
      <c r="E529" s="5">
        <f ca="1">IF(getQuality(B529)&lt;4,getOtherMax(B529,C529,INDIRECT(J$2),INDIRECT(I529),test),getMax(B529,C529,INDIRECT(J$2),INDIRECT(I529),test))</f>
        <v>148.01542709608177</v>
      </c>
      <c r="F529" s="1" t="str">
        <f t="shared" si="34"/>
        <v>50</v>
      </c>
      <c r="G529" s="1" t="str">
        <f t="shared" si="35"/>
        <v/>
      </c>
      <c r="I529" s="1" t="str">
        <f t="shared" si="33"/>
        <v>威尔新数值1.06.xlsm!suitPower</v>
      </c>
    </row>
    <row r="530" spans="1:9" x14ac:dyDescent="0.15">
      <c r="A530" s="1">
        <v>529</v>
      </c>
      <c r="B530" s="1">
        <v>102050200</v>
      </c>
      <c r="C530" s="1">
        <f t="shared" si="32"/>
        <v>101</v>
      </c>
      <c r="D530" s="5">
        <f ca="1">IF(getQuality(B530)&lt;4,getOtherMin(B530,C530,INDIRECT(J$2),INDIRECT(I530),test),getMin(B530,C530,INDIRECT(J$2),INDIRECT(I530),test))</f>
        <v>0.1</v>
      </c>
      <c r="E530" s="5">
        <f ca="1">IF(getQuality(B530)&lt;4,getOtherMax(B530,C530,INDIRECT(J$2),INDIRECT(I530),test),getMax(B530,C530,INDIRECT(J$2),INDIRECT(I530),test))</f>
        <v>0.13</v>
      </c>
      <c r="F530" s="1" t="str">
        <f t="shared" si="34"/>
        <v>50</v>
      </c>
      <c r="G530" s="1" t="str">
        <f t="shared" si="35"/>
        <v/>
      </c>
      <c r="I530" s="1" t="str">
        <f t="shared" si="33"/>
        <v>威尔新数值1.06.xlsm!circlePer</v>
      </c>
    </row>
    <row r="531" spans="1:9" x14ac:dyDescent="0.15">
      <c r="A531" s="1">
        <v>530</v>
      </c>
      <c r="B531" s="1">
        <v>102050200</v>
      </c>
      <c r="C531" s="1">
        <f t="shared" si="32"/>
        <v>102</v>
      </c>
      <c r="D531" s="5">
        <f ca="1">IF(getQuality(B531)&lt;4,getOtherMin(B531,C531,INDIRECT(J$2),INDIRECT(I531),test),getMin(B531,C531,INDIRECT(J$2),INDIRECT(I531),test))</f>
        <v>0.8</v>
      </c>
      <c r="E531" s="5">
        <f ca="1">IF(getQuality(B531)&lt;4,getOtherMax(B531,C531,INDIRECT(J$2),INDIRECT(I531),test),getMax(B531,C531,INDIRECT(J$2),INDIRECT(I531),test))</f>
        <v>1.2</v>
      </c>
      <c r="F531" s="1" t="str">
        <f t="shared" si="34"/>
        <v>50</v>
      </c>
      <c r="G531" s="1" t="str">
        <f t="shared" si="35"/>
        <v/>
      </c>
      <c r="I531" s="1" t="str">
        <f t="shared" si="33"/>
        <v>威尔新数值1.06.xlsm!circleValue</v>
      </c>
    </row>
    <row r="532" spans="1:9" x14ac:dyDescent="0.15">
      <c r="A532" s="1">
        <v>531</v>
      </c>
      <c r="B532" s="1">
        <v>102050200</v>
      </c>
      <c r="C532" s="1">
        <f t="shared" si="32"/>
        <v>103</v>
      </c>
      <c r="D532" s="5">
        <f ca="1">IF(getQuality(B532)&lt;4,getOtherMin(B532,C532,INDIRECT(J$2),INDIRECT(I532),test),getMin(B532,C532,INDIRECT(J$2),INDIRECT(I532),test))</f>
        <v>0.1</v>
      </c>
      <c r="E532" s="5">
        <f ca="1">IF(getQuality(B532)&lt;4,getOtherMax(B532,C532,INDIRECT(J$2),INDIRECT(I532),test),getMax(B532,C532,INDIRECT(J$2),INDIRECT(I532),test))</f>
        <v>0.13</v>
      </c>
      <c r="F532" s="1" t="str">
        <f t="shared" si="34"/>
        <v>50</v>
      </c>
      <c r="G532" s="1" t="str">
        <f t="shared" si="35"/>
        <v/>
      </c>
      <c r="I532" s="1" t="str">
        <f t="shared" si="33"/>
        <v>威尔新数值1.06.xlsm!otherDamage</v>
      </c>
    </row>
    <row r="533" spans="1:9" x14ac:dyDescent="0.15">
      <c r="A533" s="1">
        <v>532</v>
      </c>
      <c r="B533" s="1">
        <v>102050200</v>
      </c>
      <c r="C533" s="1">
        <f t="shared" si="32"/>
        <v>104</v>
      </c>
      <c r="D533" s="5">
        <f ca="1">IF(getQuality(B533)&lt;4,getOtherMin(B533,C533,INDIRECT(J$2),INDIRECT(I533),test),getMin(B533,C533,INDIRECT(J$2),INDIRECT(I533),test))</f>
        <v>0.1</v>
      </c>
      <c r="E533" s="5">
        <f ca="1">IF(getQuality(B533)&lt;4,getOtherMax(B533,C533,INDIRECT(J$2),INDIRECT(I533),test),getMax(B533,C533,INDIRECT(J$2),INDIRECT(I533),test))</f>
        <v>0.2</v>
      </c>
      <c r="F533" s="1" t="str">
        <f t="shared" si="34"/>
        <v>50</v>
      </c>
      <c r="G533" s="1" t="str">
        <f t="shared" si="35"/>
        <v/>
      </c>
      <c r="I533" s="1" t="str">
        <f t="shared" si="33"/>
        <v>威尔新数值1.06.xlsm!monsterDamage</v>
      </c>
    </row>
    <row r="534" spans="1:9" x14ac:dyDescent="0.15">
      <c r="A534" s="1">
        <v>533</v>
      </c>
      <c r="B534" s="1">
        <v>102050200</v>
      </c>
      <c r="C534" s="1">
        <f t="shared" si="32"/>
        <v>105</v>
      </c>
      <c r="D534" s="5">
        <f ca="1">IF(getQuality(B534)&lt;4,getOtherMin(B534,C534,INDIRECT(J$2),INDIRECT(I534),test),getMin(B534,C534,INDIRECT(J$2),INDIRECT(I534),test))</f>
        <v>0.1</v>
      </c>
      <c r="E534" s="5">
        <f ca="1">IF(getQuality(B534)&lt;4,getOtherMax(B534,C534,INDIRECT(J$2),INDIRECT(I534),test),getMax(B534,C534,INDIRECT(J$2),INDIRECT(I534),test))</f>
        <v>0.2</v>
      </c>
      <c r="F534" s="1" t="str">
        <f t="shared" si="34"/>
        <v>50</v>
      </c>
      <c r="G534" s="1" t="str">
        <f t="shared" si="35"/>
        <v/>
      </c>
      <c r="I534" s="1" t="str">
        <f t="shared" si="33"/>
        <v>威尔新数值1.06.xlsm!monsterDamage</v>
      </c>
    </row>
    <row r="535" spans="1:9" x14ac:dyDescent="0.15">
      <c r="A535" s="1">
        <v>534</v>
      </c>
      <c r="B535" s="1">
        <v>102050200</v>
      </c>
      <c r="C535" s="1">
        <f t="shared" si="32"/>
        <v>106</v>
      </c>
      <c r="D535" s="5">
        <f ca="1">IF(getQuality(B535)&lt;4,getOtherMin(B535,C535,INDIRECT(J$2),INDIRECT(I535),test),getMin(B535,C535,INDIRECT(J$2),INDIRECT(I535),test))</f>
        <v>0.1</v>
      </c>
      <c r="E535" s="5">
        <f ca="1">IF(getQuality(B535)&lt;4,getOtherMax(B535,C535,INDIRECT(J$2),INDIRECT(I535),test),getMax(B535,C535,INDIRECT(J$2),INDIRECT(I535),test))</f>
        <v>0.2</v>
      </c>
      <c r="F535" s="1" t="str">
        <f t="shared" si="34"/>
        <v>50</v>
      </c>
      <c r="G535" s="1" t="str">
        <f t="shared" si="35"/>
        <v/>
      </c>
      <c r="I535" s="1" t="str">
        <f t="shared" si="33"/>
        <v>威尔新数值1.06.xlsm!monsterDamage</v>
      </c>
    </row>
    <row r="536" spans="1:9" x14ac:dyDescent="0.15">
      <c r="A536" s="1">
        <v>535</v>
      </c>
      <c r="B536" s="1">
        <v>102050200</v>
      </c>
      <c r="C536" s="1">
        <f t="shared" si="32"/>
        <v>107</v>
      </c>
      <c r="D536" s="5">
        <f ca="1">IF(getQuality(B536)&lt;4,getOtherMin(B536,C536,INDIRECT(J$2),INDIRECT(I536),test),getMin(B536,C536,INDIRECT(J$2),INDIRECT(I536),test))</f>
        <v>0.1</v>
      </c>
      <c r="E536" s="5">
        <f ca="1">IF(getQuality(B536)&lt;4,getOtherMax(B536,C536,INDIRECT(J$2),INDIRECT(I536),test),getMax(B536,C536,INDIRECT(J$2),INDIRECT(I536),test))</f>
        <v>0.2</v>
      </c>
      <c r="F536" s="1" t="str">
        <f t="shared" si="34"/>
        <v>50</v>
      </c>
      <c r="G536" s="1" t="str">
        <f t="shared" si="35"/>
        <v/>
      </c>
      <c r="I536" s="1" t="str">
        <f t="shared" si="33"/>
        <v>威尔新数值1.06.xlsm!monsterDamage</v>
      </c>
    </row>
    <row r="537" spans="1:9" x14ac:dyDescent="0.15">
      <c r="A537" s="1">
        <v>536</v>
      </c>
      <c r="B537" s="1">
        <v>102050200</v>
      </c>
      <c r="C537" s="1">
        <f t="shared" si="32"/>
        <v>108</v>
      </c>
      <c r="D537" s="5">
        <f ca="1">IF(getQuality(B537)&lt;4,getOtherMin(B537,C537,INDIRECT(J$2),INDIRECT(I537),test),getMin(B537,C537,INDIRECT(J$2),INDIRECT(I537),test))</f>
        <v>0.1</v>
      </c>
      <c r="E537" s="5">
        <f ca="1">IF(getQuality(B537)&lt;4,getOtherMax(B537,C537,INDIRECT(J$2),INDIRECT(I537),test),getMax(B537,C537,INDIRECT(J$2),INDIRECT(I537),test))</f>
        <v>0.2</v>
      </c>
      <c r="F537" s="1" t="str">
        <f t="shared" si="34"/>
        <v>50</v>
      </c>
      <c r="G537" s="1" t="str">
        <f t="shared" si="35"/>
        <v/>
      </c>
      <c r="I537" s="1" t="str">
        <f t="shared" si="33"/>
        <v>威尔新数值1.06.xlsm!monsterDamage</v>
      </c>
    </row>
    <row r="538" spans="1:9" x14ac:dyDescent="0.15">
      <c r="A538" s="1">
        <v>537</v>
      </c>
      <c r="B538" s="1">
        <v>102060200</v>
      </c>
      <c r="C538" s="1">
        <f t="shared" si="32"/>
        <v>3</v>
      </c>
      <c r="D538" s="5">
        <f ca="1">IF(getQuality(B538)&lt;4,getOtherMin(B538,C538,INDIRECT(J$2),INDIRECT(I538),test),getMin(B538,C538,INDIRECT(J$2),INDIRECT(I538),test))</f>
        <v>149.01542709608177</v>
      </c>
      <c r="E538" s="5">
        <f ca="1">IF(getQuality(B538)&lt;4,getOtherMax(B538,C538,INDIRECT(J$2),INDIRECT(I538),test),getMax(B538,C538,INDIRECT(J$2),INDIRECT(I538),test))</f>
        <v>190.22369727444828</v>
      </c>
      <c r="F538" s="1" t="str">
        <f t="shared" si="34"/>
        <v>50</v>
      </c>
      <c r="G538" s="1" t="str">
        <f t="shared" si="35"/>
        <v>1</v>
      </c>
      <c r="I538" s="1" t="str">
        <f t="shared" si="33"/>
        <v>威尔新数值1.06.xlsm!suitPower</v>
      </c>
    </row>
    <row r="539" spans="1:9" x14ac:dyDescent="0.15">
      <c r="A539" s="1">
        <v>538</v>
      </c>
      <c r="B539" s="1">
        <v>102060200</v>
      </c>
      <c r="C539" s="1">
        <f t="shared" si="32"/>
        <v>5</v>
      </c>
      <c r="D539" s="5">
        <f ca="1">IF(getQuality(B539)&lt;4,getOtherMin(B539,C539,INDIRECT(J$2),INDIRECT(I539),test),getMin(B539,C539,INDIRECT(J$2),INDIRECT(I539),test))</f>
        <v>149.01542709608177</v>
      </c>
      <c r="E539" s="5">
        <f ca="1">IF(getQuality(B539)&lt;4,getOtherMax(B539,C539,INDIRECT(J$2),INDIRECT(I539),test),getMax(B539,C539,INDIRECT(J$2),INDIRECT(I539),test))</f>
        <v>190.22369727444828</v>
      </c>
      <c r="F539" s="1" t="str">
        <f t="shared" si="34"/>
        <v>50</v>
      </c>
      <c r="G539" s="1" t="str">
        <f t="shared" si="35"/>
        <v/>
      </c>
      <c r="I539" s="1" t="str">
        <f t="shared" si="33"/>
        <v>威尔新数值1.06.xlsm!suitPower</v>
      </c>
    </row>
    <row r="540" spans="1:9" x14ac:dyDescent="0.15">
      <c r="A540" s="1">
        <v>539</v>
      </c>
      <c r="B540" s="1">
        <v>102060200</v>
      </c>
      <c r="C540" s="1">
        <f t="shared" si="32"/>
        <v>7</v>
      </c>
      <c r="D540" s="5">
        <f ca="1">IF(getQuality(B540)&lt;4,getOtherMin(B540,C540,INDIRECT(J$2),INDIRECT(I540),test),getMin(B540,C540,INDIRECT(J$2),INDIRECT(I540),test))</f>
        <v>33.407407407407327</v>
      </c>
      <c r="E540" s="5">
        <f ca="1">IF(getQuality(B540)&lt;4,getOtherMax(B540,C540,INDIRECT(J$2),INDIRECT(I540),test),getMax(B540,C540,INDIRECT(J$2),INDIRECT(I540),test))</f>
        <v>38.888888888888786</v>
      </c>
      <c r="F540" s="1" t="str">
        <f t="shared" si="34"/>
        <v>50</v>
      </c>
      <c r="G540" s="1" t="str">
        <f t="shared" si="35"/>
        <v/>
      </c>
      <c r="I540" s="1" t="str">
        <f t="shared" si="33"/>
        <v>威尔新数值1.06.xlsm!suitPower</v>
      </c>
    </row>
    <row r="541" spans="1:9" x14ac:dyDescent="0.15">
      <c r="A541" s="1">
        <v>540</v>
      </c>
      <c r="B541" s="1">
        <v>102060200</v>
      </c>
      <c r="C541" s="1">
        <f t="shared" si="32"/>
        <v>8</v>
      </c>
      <c r="D541" s="5">
        <f ca="1">IF(getQuality(B541)&lt;4,getOtherMin(B541,C541,INDIRECT(J$2),INDIRECT(I541),test),getMin(B541,C541,INDIRECT(J$2),INDIRECT(I541),test))</f>
        <v>73.916666666666671</v>
      </c>
      <c r="E541" s="5">
        <f ca="1">IF(getQuality(B541)&lt;4,getOtherMax(B541,C541,INDIRECT(J$2),INDIRECT(I541),test),getMax(B541,C541,INDIRECT(J$2),INDIRECT(I541),test))</f>
        <v>87.5</v>
      </c>
      <c r="F541" s="1" t="str">
        <f t="shared" si="34"/>
        <v>50</v>
      </c>
      <c r="G541" s="1" t="str">
        <f t="shared" si="35"/>
        <v/>
      </c>
      <c r="I541" s="1" t="str">
        <f t="shared" si="33"/>
        <v>威尔新数值1.06.xlsm!suitPower</v>
      </c>
    </row>
    <row r="542" spans="1:9" x14ac:dyDescent="0.15">
      <c r="A542" s="1">
        <v>541</v>
      </c>
      <c r="B542" s="1">
        <v>102060200</v>
      </c>
      <c r="C542" s="1">
        <f t="shared" si="32"/>
        <v>9</v>
      </c>
      <c r="D542" s="5">
        <f ca="1">IF(getQuality(B542)&lt;4,getOtherMin(B542,C542,INDIRECT(J$2),INDIRECT(I542),test),getMin(B542,C542,INDIRECT(J$2),INDIRECT(I542),test))</f>
        <v>149.01542709608177</v>
      </c>
      <c r="E542" s="5">
        <f ca="1">IF(getQuality(B542)&lt;4,getOtherMax(B542,C542,INDIRECT(J$2),INDIRECT(I542),test),getMax(B542,C542,INDIRECT(J$2),INDIRECT(I542),test))</f>
        <v>190.22369727444828</v>
      </c>
      <c r="F542" s="1" t="str">
        <f t="shared" si="34"/>
        <v>50</v>
      </c>
      <c r="G542" s="1" t="str">
        <f t="shared" si="35"/>
        <v/>
      </c>
      <c r="I542" s="1" t="str">
        <f t="shared" si="33"/>
        <v>威尔新数值1.06.xlsm!suitPower</v>
      </c>
    </row>
    <row r="543" spans="1:9" x14ac:dyDescent="0.15">
      <c r="A543" s="1">
        <v>542</v>
      </c>
      <c r="B543" s="1">
        <v>102060200</v>
      </c>
      <c r="C543" s="1">
        <f t="shared" si="32"/>
        <v>10</v>
      </c>
      <c r="D543" s="5">
        <f ca="1">IF(getQuality(B543)&lt;4,getOtherMin(B543,C543,INDIRECT(J$2),INDIRECT(I543),test),getMin(B543,C543,INDIRECT(J$2),INDIRECT(I543),test))</f>
        <v>149.01542709608177</v>
      </c>
      <c r="E543" s="5">
        <f ca="1">IF(getQuality(B543)&lt;4,getOtherMax(B543,C543,INDIRECT(J$2),INDIRECT(I543),test),getMax(B543,C543,INDIRECT(J$2),INDIRECT(I543),test))</f>
        <v>190.22369727444828</v>
      </c>
      <c r="F543" s="1" t="str">
        <f t="shared" si="34"/>
        <v>50</v>
      </c>
      <c r="G543" s="1" t="str">
        <f t="shared" si="35"/>
        <v/>
      </c>
      <c r="I543" s="1" t="str">
        <f t="shared" si="33"/>
        <v>威尔新数值1.06.xlsm!suitPower</v>
      </c>
    </row>
    <row r="544" spans="1:9" x14ac:dyDescent="0.15">
      <c r="A544" s="1">
        <v>543</v>
      </c>
      <c r="B544" s="1">
        <v>102060200</v>
      </c>
      <c r="C544" s="1">
        <f t="shared" si="32"/>
        <v>11</v>
      </c>
      <c r="D544" s="5">
        <f ca="1">IF(getQuality(B544)&lt;4,getOtherMin(B544,C544,INDIRECT(J$2),INDIRECT(I544),test),getMin(B544,C544,INDIRECT(J$2),INDIRECT(I544),test))</f>
        <v>149.01542709608177</v>
      </c>
      <c r="E544" s="5">
        <f ca="1">IF(getQuality(B544)&lt;4,getOtherMax(B544,C544,INDIRECT(J$2),INDIRECT(I544),test),getMax(B544,C544,INDIRECT(J$2),INDIRECT(I544),test))</f>
        <v>190.22369727444828</v>
      </c>
      <c r="F544" s="1" t="str">
        <f t="shared" si="34"/>
        <v>50</v>
      </c>
      <c r="G544" s="1" t="str">
        <f t="shared" si="35"/>
        <v/>
      </c>
      <c r="I544" s="1" t="str">
        <f t="shared" si="33"/>
        <v>威尔新数值1.06.xlsm!suitPower</v>
      </c>
    </row>
    <row r="545" spans="1:9" x14ac:dyDescent="0.15">
      <c r="A545" s="1">
        <v>544</v>
      </c>
      <c r="B545" s="1">
        <v>102060200</v>
      </c>
      <c r="C545" s="1">
        <f t="shared" si="32"/>
        <v>12</v>
      </c>
      <c r="D545" s="5">
        <f ca="1">IF(getQuality(B545)&lt;4,getOtherMin(B545,C545,INDIRECT(J$2),INDIRECT(I545),test),getMin(B545,C545,INDIRECT(J$2),INDIRECT(I545),test))</f>
        <v>149.01542709608177</v>
      </c>
      <c r="E545" s="5">
        <f ca="1">IF(getQuality(B545)&lt;4,getOtherMax(B545,C545,INDIRECT(J$2),INDIRECT(I545),test),getMax(B545,C545,INDIRECT(J$2),INDIRECT(I545),test))</f>
        <v>190.22369727444828</v>
      </c>
      <c r="F545" s="1" t="str">
        <f t="shared" si="34"/>
        <v>50</v>
      </c>
      <c r="G545" s="1" t="str">
        <f t="shared" si="35"/>
        <v/>
      </c>
      <c r="I545" s="1" t="str">
        <f t="shared" si="33"/>
        <v>威尔新数值1.06.xlsm!suitPower</v>
      </c>
    </row>
    <row r="546" spans="1:9" x14ac:dyDescent="0.15">
      <c r="A546" s="1">
        <v>545</v>
      </c>
      <c r="B546" s="1">
        <v>102060200</v>
      </c>
      <c r="C546" s="1">
        <f t="shared" si="32"/>
        <v>13</v>
      </c>
      <c r="D546" s="5">
        <f ca="1">IF(getQuality(B546)&lt;4,getOtherMin(B546,C546,INDIRECT(J$2),INDIRECT(I546),test),getMin(B546,C546,INDIRECT(J$2),INDIRECT(I546),test))</f>
        <v>149.01542709608177</v>
      </c>
      <c r="E546" s="5">
        <f ca="1">IF(getQuality(B546)&lt;4,getOtherMax(B546,C546,INDIRECT(J$2),INDIRECT(I546),test),getMax(B546,C546,INDIRECT(J$2),INDIRECT(I546),test))</f>
        <v>190.22369727444828</v>
      </c>
      <c r="F546" s="1" t="str">
        <f t="shared" si="34"/>
        <v>50</v>
      </c>
      <c r="G546" s="1" t="str">
        <f t="shared" si="35"/>
        <v/>
      </c>
      <c r="I546" s="1" t="str">
        <f t="shared" si="33"/>
        <v>威尔新数值1.06.xlsm!suitPower</v>
      </c>
    </row>
    <row r="547" spans="1:9" x14ac:dyDescent="0.15">
      <c r="A547" s="1">
        <v>546</v>
      </c>
      <c r="B547" s="1">
        <v>102060200</v>
      </c>
      <c r="C547" s="1">
        <f t="shared" si="32"/>
        <v>14</v>
      </c>
      <c r="D547" s="5">
        <f ca="1">IF(getQuality(B547)&lt;4,getOtherMin(B547,C547,INDIRECT(J$2),INDIRECT(I547),test),getMin(B547,C547,INDIRECT(J$2),INDIRECT(I547),test))</f>
        <v>149.01542709608177</v>
      </c>
      <c r="E547" s="5">
        <f ca="1">IF(getQuality(B547)&lt;4,getOtherMax(B547,C547,INDIRECT(J$2),INDIRECT(I547),test),getMax(B547,C547,INDIRECT(J$2),INDIRECT(I547),test))</f>
        <v>190.22369727444828</v>
      </c>
      <c r="F547" s="1" t="str">
        <f t="shared" si="34"/>
        <v>50</v>
      </c>
      <c r="G547" s="1" t="str">
        <f t="shared" si="35"/>
        <v/>
      </c>
      <c r="I547" s="1" t="str">
        <f t="shared" si="33"/>
        <v>威尔新数值1.06.xlsm!suitPower</v>
      </c>
    </row>
    <row r="548" spans="1:9" x14ac:dyDescent="0.15">
      <c r="A548" s="1">
        <v>547</v>
      </c>
      <c r="B548" s="1">
        <v>102060200</v>
      </c>
      <c r="C548" s="1">
        <f t="shared" ref="C548:C611" si="36">C529</f>
        <v>15</v>
      </c>
      <c r="D548" s="5">
        <f ca="1">IF(getQuality(B548)&lt;4,getOtherMin(B548,C548,INDIRECT(J$2),INDIRECT(I548),test),getMin(B548,C548,INDIRECT(J$2),INDIRECT(I548),test))</f>
        <v>149.01542709608177</v>
      </c>
      <c r="E548" s="5">
        <f ca="1">IF(getQuality(B548)&lt;4,getOtherMax(B548,C548,INDIRECT(J$2),INDIRECT(I548),test),getMax(B548,C548,INDIRECT(J$2),INDIRECT(I548),test))</f>
        <v>190.22369727444828</v>
      </c>
      <c r="F548" s="1" t="str">
        <f t="shared" si="34"/>
        <v>50</v>
      </c>
      <c r="G548" s="1" t="str">
        <f t="shared" si="35"/>
        <v/>
      </c>
      <c r="I548" s="1" t="str">
        <f t="shared" si="33"/>
        <v>威尔新数值1.06.xlsm!suitPower</v>
      </c>
    </row>
    <row r="549" spans="1:9" x14ac:dyDescent="0.15">
      <c r="A549" s="1">
        <v>548</v>
      </c>
      <c r="B549" s="1">
        <v>102060200</v>
      </c>
      <c r="C549" s="1">
        <f t="shared" si="36"/>
        <v>101</v>
      </c>
      <c r="D549" s="5">
        <f ca="1">IF(getQuality(B549)&lt;4,getOtherMin(B549,C549,INDIRECT(J$2),INDIRECT(I549),test),getMin(B549,C549,INDIRECT(J$2),INDIRECT(I549),test))</f>
        <v>0.11</v>
      </c>
      <c r="E549" s="5">
        <f ca="1">IF(getQuality(B549)&lt;4,getOtherMax(B549,C549,INDIRECT(J$2),INDIRECT(I549),test),getMax(B549,C549,INDIRECT(J$2),INDIRECT(I549),test))</f>
        <v>0.14000000000000001</v>
      </c>
      <c r="F549" s="1" t="str">
        <f t="shared" si="34"/>
        <v>50</v>
      </c>
      <c r="G549" s="1" t="str">
        <f t="shared" si="35"/>
        <v/>
      </c>
      <c r="I549" s="1" t="str">
        <f t="shared" si="33"/>
        <v>威尔新数值1.06.xlsm!circlePer</v>
      </c>
    </row>
    <row r="550" spans="1:9" x14ac:dyDescent="0.15">
      <c r="A550" s="1">
        <v>549</v>
      </c>
      <c r="B550" s="1">
        <v>102060200</v>
      </c>
      <c r="C550" s="1">
        <f t="shared" si="36"/>
        <v>102</v>
      </c>
      <c r="D550" s="5">
        <f ca="1">IF(getQuality(B550)&lt;4,getOtherMin(B550,C550,INDIRECT(J$2),INDIRECT(I550),test),getMin(B550,C550,INDIRECT(J$2),INDIRECT(I550),test))</f>
        <v>0.9</v>
      </c>
      <c r="E550" s="5">
        <f ca="1">IF(getQuality(B550)&lt;4,getOtherMax(B550,C550,INDIRECT(J$2),INDIRECT(I550),test),getMax(B550,C550,INDIRECT(J$2),INDIRECT(I550),test))</f>
        <v>1.3</v>
      </c>
      <c r="F550" s="1" t="str">
        <f t="shared" si="34"/>
        <v>50</v>
      </c>
      <c r="G550" s="1" t="str">
        <f t="shared" si="35"/>
        <v/>
      </c>
      <c r="I550" s="1" t="str">
        <f t="shared" si="33"/>
        <v>威尔新数值1.06.xlsm!circleValue</v>
      </c>
    </row>
    <row r="551" spans="1:9" x14ac:dyDescent="0.15">
      <c r="A551" s="1">
        <v>550</v>
      </c>
      <c r="B551" s="1">
        <v>102060200</v>
      </c>
      <c r="C551" s="1">
        <f t="shared" si="36"/>
        <v>103</v>
      </c>
      <c r="D551" s="5">
        <f ca="1">IF(getQuality(B551)&lt;4,getOtherMin(B551,C551,INDIRECT(J$2),INDIRECT(I551),test),getMin(B551,C551,INDIRECT(J$2),INDIRECT(I551),test))</f>
        <v>0.11</v>
      </c>
      <c r="E551" s="5">
        <f ca="1">IF(getQuality(B551)&lt;4,getOtherMax(B551,C551,INDIRECT(J$2),INDIRECT(I551),test),getMax(B551,C551,INDIRECT(J$2),INDIRECT(I551),test))</f>
        <v>0.14000000000000001</v>
      </c>
      <c r="F551" s="1" t="str">
        <f t="shared" si="34"/>
        <v>50</v>
      </c>
      <c r="G551" s="1" t="str">
        <f t="shared" si="35"/>
        <v/>
      </c>
      <c r="I551" s="1" t="str">
        <f t="shared" si="33"/>
        <v>威尔新数值1.06.xlsm!otherDamage</v>
      </c>
    </row>
    <row r="552" spans="1:9" x14ac:dyDescent="0.15">
      <c r="A552" s="1">
        <v>551</v>
      </c>
      <c r="B552" s="1">
        <v>102060200</v>
      </c>
      <c r="C552" s="1">
        <f t="shared" si="36"/>
        <v>104</v>
      </c>
      <c r="D552" s="5">
        <f ca="1">IF(getQuality(B552)&lt;4,getOtherMin(B552,C552,INDIRECT(J$2),INDIRECT(I552),test),getMin(B552,C552,INDIRECT(J$2),INDIRECT(I552),test))</f>
        <v>0.11</v>
      </c>
      <c r="E552" s="5">
        <f ca="1">IF(getQuality(B552)&lt;4,getOtherMax(B552,C552,INDIRECT(J$2),INDIRECT(I552),test),getMax(B552,C552,INDIRECT(J$2),INDIRECT(I552),test))</f>
        <v>0.22</v>
      </c>
      <c r="F552" s="1" t="str">
        <f t="shared" si="34"/>
        <v>50</v>
      </c>
      <c r="G552" s="1" t="str">
        <f t="shared" si="35"/>
        <v/>
      </c>
      <c r="I552" s="1" t="str">
        <f t="shared" si="33"/>
        <v>威尔新数值1.06.xlsm!monsterDamage</v>
      </c>
    </row>
    <row r="553" spans="1:9" x14ac:dyDescent="0.15">
      <c r="A553" s="1">
        <v>552</v>
      </c>
      <c r="B553" s="1">
        <v>102060200</v>
      </c>
      <c r="C553" s="1">
        <f t="shared" si="36"/>
        <v>105</v>
      </c>
      <c r="D553" s="5">
        <f ca="1">IF(getQuality(B553)&lt;4,getOtherMin(B553,C553,INDIRECT(J$2),INDIRECT(I553),test),getMin(B553,C553,INDIRECT(J$2),INDIRECT(I553),test))</f>
        <v>0.11</v>
      </c>
      <c r="E553" s="5">
        <f ca="1">IF(getQuality(B553)&lt;4,getOtherMax(B553,C553,INDIRECT(J$2),INDIRECT(I553),test),getMax(B553,C553,INDIRECT(J$2),INDIRECT(I553),test))</f>
        <v>0.22</v>
      </c>
      <c r="F553" s="1" t="str">
        <f t="shared" si="34"/>
        <v>50</v>
      </c>
      <c r="G553" s="1" t="str">
        <f t="shared" si="35"/>
        <v/>
      </c>
      <c r="I553" s="1" t="str">
        <f t="shared" si="33"/>
        <v>威尔新数值1.06.xlsm!monsterDamage</v>
      </c>
    </row>
    <row r="554" spans="1:9" x14ac:dyDescent="0.15">
      <c r="A554" s="1">
        <v>553</v>
      </c>
      <c r="B554" s="1">
        <v>102060200</v>
      </c>
      <c r="C554" s="1">
        <f t="shared" si="36"/>
        <v>106</v>
      </c>
      <c r="D554" s="5">
        <f ca="1">IF(getQuality(B554)&lt;4,getOtherMin(B554,C554,INDIRECT(J$2),INDIRECT(I554),test),getMin(B554,C554,INDIRECT(J$2),INDIRECT(I554),test))</f>
        <v>0.11</v>
      </c>
      <c r="E554" s="5">
        <f ca="1">IF(getQuality(B554)&lt;4,getOtherMax(B554,C554,INDIRECT(J$2),INDIRECT(I554),test),getMax(B554,C554,INDIRECT(J$2),INDIRECT(I554),test))</f>
        <v>0.22</v>
      </c>
      <c r="F554" s="1" t="str">
        <f t="shared" si="34"/>
        <v>50</v>
      </c>
      <c r="G554" s="1" t="str">
        <f t="shared" si="35"/>
        <v/>
      </c>
      <c r="I554" s="1" t="str">
        <f t="shared" si="33"/>
        <v>威尔新数值1.06.xlsm!monsterDamage</v>
      </c>
    </row>
    <row r="555" spans="1:9" x14ac:dyDescent="0.15">
      <c r="A555" s="1">
        <v>554</v>
      </c>
      <c r="B555" s="1">
        <v>102060200</v>
      </c>
      <c r="C555" s="1">
        <f t="shared" si="36"/>
        <v>107</v>
      </c>
      <c r="D555" s="5">
        <f ca="1">IF(getQuality(B555)&lt;4,getOtherMin(B555,C555,INDIRECT(J$2),INDIRECT(I555),test),getMin(B555,C555,INDIRECT(J$2),INDIRECT(I555),test))</f>
        <v>0.11</v>
      </c>
      <c r="E555" s="5">
        <f ca="1">IF(getQuality(B555)&lt;4,getOtherMax(B555,C555,INDIRECT(J$2),INDIRECT(I555),test),getMax(B555,C555,INDIRECT(J$2),INDIRECT(I555),test))</f>
        <v>0.22</v>
      </c>
      <c r="F555" s="1" t="str">
        <f t="shared" si="34"/>
        <v>50</v>
      </c>
      <c r="G555" s="1" t="str">
        <f t="shared" si="35"/>
        <v/>
      </c>
      <c r="I555" s="1" t="str">
        <f t="shared" si="33"/>
        <v>威尔新数值1.06.xlsm!monsterDamage</v>
      </c>
    </row>
    <row r="556" spans="1:9" x14ac:dyDescent="0.15">
      <c r="A556" s="1">
        <v>555</v>
      </c>
      <c r="B556" s="1">
        <v>102060200</v>
      </c>
      <c r="C556" s="1">
        <f t="shared" si="36"/>
        <v>108</v>
      </c>
      <c r="D556" s="5">
        <f ca="1">IF(getQuality(B556)&lt;4,getOtherMin(B556,C556,INDIRECT(J$2),INDIRECT(I556),test),getMin(B556,C556,INDIRECT(J$2),INDIRECT(I556),test))</f>
        <v>0.11</v>
      </c>
      <c r="E556" s="5">
        <f ca="1">IF(getQuality(B556)&lt;4,getOtherMax(B556,C556,INDIRECT(J$2),INDIRECT(I556),test),getMax(B556,C556,INDIRECT(J$2),INDIRECT(I556),test))</f>
        <v>0.22</v>
      </c>
      <c r="F556" s="1" t="str">
        <f t="shared" si="34"/>
        <v>50</v>
      </c>
      <c r="G556" s="1" t="str">
        <f t="shared" si="35"/>
        <v/>
      </c>
      <c r="I556" s="1" t="str">
        <f t="shared" si="33"/>
        <v>威尔新数值1.06.xlsm!monsterDamage</v>
      </c>
    </row>
    <row r="557" spans="1:9" x14ac:dyDescent="0.15">
      <c r="A557" s="1">
        <v>556</v>
      </c>
      <c r="B557" s="1">
        <v>102070200</v>
      </c>
      <c r="C557" s="1">
        <f t="shared" si="36"/>
        <v>3</v>
      </c>
      <c r="D557" s="5">
        <f ca="1">IF(getQuality(B557)&lt;4,getOtherMin(B557,C557,INDIRECT(J$2),INDIRECT(I557),test),getMin(B557,C557,INDIRECT(J$2),INDIRECT(I557),test))</f>
        <v>191.22369727444828</v>
      </c>
      <c r="E557" s="5">
        <f ca="1">IF(getQuality(B557)&lt;4,getOtherMax(B557,C557,INDIRECT(J$2),INDIRECT(I557),test),getMax(B557,C557,INDIRECT(J$2),INDIRECT(I557),test))</f>
        <v>236.63369570586491</v>
      </c>
      <c r="F557" s="1" t="str">
        <f t="shared" si="34"/>
        <v>50</v>
      </c>
      <c r="G557" s="1" t="str">
        <f t="shared" si="35"/>
        <v>1</v>
      </c>
      <c r="I557" s="1" t="str">
        <f t="shared" si="33"/>
        <v>威尔新数值1.06.xlsm!suitPower</v>
      </c>
    </row>
    <row r="558" spans="1:9" x14ac:dyDescent="0.15">
      <c r="A558" s="1">
        <v>557</v>
      </c>
      <c r="B558" s="1">
        <v>102070200</v>
      </c>
      <c r="C558" s="1">
        <f t="shared" si="36"/>
        <v>5</v>
      </c>
      <c r="D558" s="5">
        <f ca="1">IF(getQuality(B558)&lt;4,getOtherMin(B558,C558,INDIRECT(J$2),INDIRECT(I558),test),getMin(B558,C558,INDIRECT(J$2),INDIRECT(I558),test))</f>
        <v>191.22369727444828</v>
      </c>
      <c r="E558" s="5">
        <f ca="1">IF(getQuality(B558)&lt;4,getOtherMax(B558,C558,INDIRECT(J$2),INDIRECT(I558),test),getMax(B558,C558,INDIRECT(J$2),INDIRECT(I558),test))</f>
        <v>236.63369570586491</v>
      </c>
      <c r="F558" s="1" t="str">
        <f t="shared" si="34"/>
        <v>50</v>
      </c>
      <c r="G558" s="1" t="str">
        <f t="shared" si="35"/>
        <v/>
      </c>
      <c r="I558" s="1" t="str">
        <f t="shared" si="33"/>
        <v>威尔新数值1.06.xlsm!suitPower</v>
      </c>
    </row>
    <row r="559" spans="1:9" x14ac:dyDescent="0.15">
      <c r="A559" s="1">
        <v>558</v>
      </c>
      <c r="B559" s="1">
        <v>102070200</v>
      </c>
      <c r="C559" s="1">
        <f t="shared" si="36"/>
        <v>7</v>
      </c>
      <c r="D559" s="5">
        <f ca="1">IF(getQuality(B559)&lt;4,getOtherMin(B559,C559,INDIRECT(J$2),INDIRECT(I559),test),getMin(B559,C559,INDIRECT(J$2),INDIRECT(I559),test))</f>
        <v>39.888888888888786</v>
      </c>
      <c r="E559" s="5">
        <f ca="1">IF(getQuality(B559)&lt;4,getOtherMax(B559,C559,INDIRECT(J$2),INDIRECT(I559),test),getMax(B559,C559,INDIRECT(J$2),INDIRECT(I559),test))</f>
        <v>45.370370370370253</v>
      </c>
      <c r="F559" s="1" t="str">
        <f t="shared" si="34"/>
        <v>50</v>
      </c>
      <c r="G559" s="1" t="str">
        <f t="shared" si="35"/>
        <v/>
      </c>
      <c r="I559" s="1" t="str">
        <f t="shared" si="33"/>
        <v>威尔新数值1.06.xlsm!suitPower</v>
      </c>
    </row>
    <row r="560" spans="1:9" x14ac:dyDescent="0.15">
      <c r="A560" s="1">
        <v>559</v>
      </c>
      <c r="B560" s="1">
        <v>102070200</v>
      </c>
      <c r="C560" s="1">
        <f t="shared" si="36"/>
        <v>8</v>
      </c>
      <c r="D560" s="5">
        <f ca="1">IF(getQuality(B560)&lt;4,getOtherMin(B560,C560,INDIRECT(J$2),INDIRECT(I560),test),getMin(B560,C560,INDIRECT(J$2),INDIRECT(I560),test))</f>
        <v>88.5</v>
      </c>
      <c r="E560" s="5">
        <f ca="1">IF(getQuality(B560)&lt;4,getOtherMax(B560,C560,INDIRECT(J$2),INDIRECT(I560),test),getMax(B560,C560,INDIRECT(J$2),INDIRECT(I560),test))</f>
        <v>102.08333333333333</v>
      </c>
      <c r="F560" s="1" t="str">
        <f t="shared" si="34"/>
        <v>50</v>
      </c>
      <c r="G560" s="1" t="str">
        <f t="shared" si="35"/>
        <v/>
      </c>
      <c r="I560" s="1" t="str">
        <f t="shared" si="33"/>
        <v>威尔新数值1.06.xlsm!suitPower</v>
      </c>
    </row>
    <row r="561" spans="1:9" x14ac:dyDescent="0.15">
      <c r="A561" s="1">
        <v>560</v>
      </c>
      <c r="B561" s="1">
        <v>102070200</v>
      </c>
      <c r="C561" s="1">
        <f t="shared" si="36"/>
        <v>9</v>
      </c>
      <c r="D561" s="5">
        <f ca="1">IF(getQuality(B561)&lt;4,getOtherMin(B561,C561,INDIRECT(J$2),INDIRECT(I561),test),getMin(B561,C561,INDIRECT(J$2),INDIRECT(I561),test))</f>
        <v>191.22369727444828</v>
      </c>
      <c r="E561" s="5">
        <f ca="1">IF(getQuality(B561)&lt;4,getOtherMax(B561,C561,INDIRECT(J$2),INDIRECT(I561),test),getMax(B561,C561,INDIRECT(J$2),INDIRECT(I561),test))</f>
        <v>236.63369570586491</v>
      </c>
      <c r="F561" s="1" t="str">
        <f t="shared" si="34"/>
        <v>50</v>
      </c>
      <c r="G561" s="1" t="str">
        <f t="shared" si="35"/>
        <v/>
      </c>
      <c r="I561" s="1" t="str">
        <f t="shared" si="33"/>
        <v>威尔新数值1.06.xlsm!suitPower</v>
      </c>
    </row>
    <row r="562" spans="1:9" x14ac:dyDescent="0.15">
      <c r="A562" s="1">
        <v>561</v>
      </c>
      <c r="B562" s="1">
        <v>102070200</v>
      </c>
      <c r="C562" s="1">
        <f t="shared" si="36"/>
        <v>10</v>
      </c>
      <c r="D562" s="5">
        <f ca="1">IF(getQuality(B562)&lt;4,getOtherMin(B562,C562,INDIRECT(J$2),INDIRECT(I562),test),getMin(B562,C562,INDIRECT(J$2),INDIRECT(I562),test))</f>
        <v>191.22369727444828</v>
      </c>
      <c r="E562" s="5">
        <f ca="1">IF(getQuality(B562)&lt;4,getOtherMax(B562,C562,INDIRECT(J$2),INDIRECT(I562),test),getMax(B562,C562,INDIRECT(J$2),INDIRECT(I562),test))</f>
        <v>236.63369570586491</v>
      </c>
      <c r="F562" s="1" t="str">
        <f t="shared" si="34"/>
        <v>50</v>
      </c>
      <c r="G562" s="1" t="str">
        <f t="shared" si="35"/>
        <v/>
      </c>
      <c r="I562" s="1" t="str">
        <f t="shared" si="33"/>
        <v>威尔新数值1.06.xlsm!suitPower</v>
      </c>
    </row>
    <row r="563" spans="1:9" x14ac:dyDescent="0.15">
      <c r="A563" s="1">
        <v>562</v>
      </c>
      <c r="B563" s="1">
        <v>102070200</v>
      </c>
      <c r="C563" s="1">
        <f t="shared" si="36"/>
        <v>11</v>
      </c>
      <c r="D563" s="5">
        <f ca="1">IF(getQuality(B563)&lt;4,getOtherMin(B563,C563,INDIRECT(J$2),INDIRECT(I563),test),getMin(B563,C563,INDIRECT(J$2),INDIRECT(I563),test))</f>
        <v>191.22369727444828</v>
      </c>
      <c r="E563" s="5">
        <f ca="1">IF(getQuality(B563)&lt;4,getOtherMax(B563,C563,INDIRECT(J$2),INDIRECT(I563),test),getMax(B563,C563,INDIRECT(J$2),INDIRECT(I563),test))</f>
        <v>236.63369570586491</v>
      </c>
      <c r="F563" s="1" t="str">
        <f t="shared" si="34"/>
        <v>50</v>
      </c>
      <c r="G563" s="1" t="str">
        <f t="shared" si="35"/>
        <v/>
      </c>
      <c r="I563" s="1" t="str">
        <f t="shared" si="33"/>
        <v>威尔新数值1.06.xlsm!suitPower</v>
      </c>
    </row>
    <row r="564" spans="1:9" x14ac:dyDescent="0.15">
      <c r="A564" s="1">
        <v>563</v>
      </c>
      <c r="B564" s="1">
        <v>102070200</v>
      </c>
      <c r="C564" s="1">
        <f t="shared" si="36"/>
        <v>12</v>
      </c>
      <c r="D564" s="5">
        <f ca="1">IF(getQuality(B564)&lt;4,getOtherMin(B564,C564,INDIRECT(J$2),INDIRECT(I564),test),getMin(B564,C564,INDIRECT(J$2),INDIRECT(I564),test))</f>
        <v>191.22369727444828</v>
      </c>
      <c r="E564" s="5">
        <f ca="1">IF(getQuality(B564)&lt;4,getOtherMax(B564,C564,INDIRECT(J$2),INDIRECT(I564),test),getMax(B564,C564,INDIRECT(J$2),INDIRECT(I564),test))</f>
        <v>236.63369570586491</v>
      </c>
      <c r="F564" s="1" t="str">
        <f t="shared" si="34"/>
        <v>50</v>
      </c>
      <c r="G564" s="1" t="str">
        <f t="shared" si="35"/>
        <v/>
      </c>
      <c r="I564" s="1" t="str">
        <f t="shared" si="33"/>
        <v>威尔新数值1.06.xlsm!suitPower</v>
      </c>
    </row>
    <row r="565" spans="1:9" x14ac:dyDescent="0.15">
      <c r="A565" s="1">
        <v>564</v>
      </c>
      <c r="B565" s="1">
        <v>102070200</v>
      </c>
      <c r="C565" s="1">
        <f t="shared" si="36"/>
        <v>13</v>
      </c>
      <c r="D565" s="5">
        <f ca="1">IF(getQuality(B565)&lt;4,getOtherMin(B565,C565,INDIRECT(J$2),INDIRECT(I565),test),getMin(B565,C565,INDIRECT(J$2),INDIRECT(I565),test))</f>
        <v>191.22369727444828</v>
      </c>
      <c r="E565" s="5">
        <f ca="1">IF(getQuality(B565)&lt;4,getOtherMax(B565,C565,INDIRECT(J$2),INDIRECT(I565),test),getMax(B565,C565,INDIRECT(J$2),INDIRECT(I565),test))</f>
        <v>236.63369570586491</v>
      </c>
      <c r="F565" s="1" t="str">
        <f t="shared" si="34"/>
        <v>50</v>
      </c>
      <c r="G565" s="1" t="str">
        <f t="shared" si="35"/>
        <v/>
      </c>
      <c r="I565" s="1" t="str">
        <f t="shared" si="33"/>
        <v>威尔新数值1.06.xlsm!suitPower</v>
      </c>
    </row>
    <row r="566" spans="1:9" x14ac:dyDescent="0.15">
      <c r="A566" s="1">
        <v>565</v>
      </c>
      <c r="B566" s="1">
        <v>102070200</v>
      </c>
      <c r="C566" s="1">
        <f t="shared" si="36"/>
        <v>14</v>
      </c>
      <c r="D566" s="5">
        <f ca="1">IF(getQuality(B566)&lt;4,getOtherMin(B566,C566,INDIRECT(J$2),INDIRECT(I566),test),getMin(B566,C566,INDIRECT(J$2),INDIRECT(I566),test))</f>
        <v>191.22369727444828</v>
      </c>
      <c r="E566" s="5">
        <f ca="1">IF(getQuality(B566)&lt;4,getOtherMax(B566,C566,INDIRECT(J$2),INDIRECT(I566),test),getMax(B566,C566,INDIRECT(J$2),INDIRECT(I566),test))</f>
        <v>236.63369570586491</v>
      </c>
      <c r="F566" s="1" t="str">
        <f t="shared" si="34"/>
        <v>50</v>
      </c>
      <c r="G566" s="1" t="str">
        <f t="shared" si="35"/>
        <v/>
      </c>
      <c r="I566" s="1" t="str">
        <f t="shared" si="33"/>
        <v>威尔新数值1.06.xlsm!suitPower</v>
      </c>
    </row>
    <row r="567" spans="1:9" x14ac:dyDescent="0.15">
      <c r="A567" s="1">
        <v>566</v>
      </c>
      <c r="B567" s="1">
        <v>102070200</v>
      </c>
      <c r="C567" s="1">
        <f t="shared" si="36"/>
        <v>15</v>
      </c>
      <c r="D567" s="5">
        <f ca="1">IF(getQuality(B567)&lt;4,getOtherMin(B567,C567,INDIRECT(J$2),INDIRECT(I567),test),getMin(B567,C567,INDIRECT(J$2),INDIRECT(I567),test))</f>
        <v>191.22369727444828</v>
      </c>
      <c r="E567" s="5">
        <f ca="1">IF(getQuality(B567)&lt;4,getOtherMax(B567,C567,INDIRECT(J$2),INDIRECT(I567),test),getMax(B567,C567,INDIRECT(J$2),INDIRECT(I567),test))</f>
        <v>236.63369570586491</v>
      </c>
      <c r="F567" s="1" t="str">
        <f t="shared" si="34"/>
        <v>50</v>
      </c>
      <c r="G567" s="1" t="str">
        <f t="shared" si="35"/>
        <v/>
      </c>
      <c r="I567" s="1" t="str">
        <f t="shared" si="33"/>
        <v>威尔新数值1.06.xlsm!suitPower</v>
      </c>
    </row>
    <row r="568" spans="1:9" x14ac:dyDescent="0.15">
      <c r="A568" s="1">
        <v>567</v>
      </c>
      <c r="B568" s="1">
        <v>102070200</v>
      </c>
      <c r="C568" s="1">
        <f t="shared" si="36"/>
        <v>101</v>
      </c>
      <c r="D568" s="5">
        <f ca="1">IF(getQuality(B568)&lt;4,getOtherMin(B568,C568,INDIRECT(J$2),INDIRECT(I568),test),getMin(B568,C568,INDIRECT(J$2),INDIRECT(I568),test))</f>
        <v>0.12</v>
      </c>
      <c r="E568" s="5">
        <f ca="1">IF(getQuality(B568)&lt;4,getOtherMax(B568,C568,INDIRECT(J$2),INDIRECT(I568),test),getMax(B568,C568,INDIRECT(J$2),INDIRECT(I568),test))</f>
        <v>0.15</v>
      </c>
      <c r="F568" s="1" t="str">
        <f t="shared" si="34"/>
        <v>50</v>
      </c>
      <c r="G568" s="1" t="str">
        <f t="shared" si="35"/>
        <v/>
      </c>
      <c r="I568" s="1" t="str">
        <f t="shared" si="33"/>
        <v>威尔新数值1.06.xlsm!circlePer</v>
      </c>
    </row>
    <row r="569" spans="1:9" x14ac:dyDescent="0.15">
      <c r="A569" s="1">
        <v>568</v>
      </c>
      <c r="B569" s="1">
        <v>102070200</v>
      </c>
      <c r="C569" s="1">
        <f t="shared" si="36"/>
        <v>102</v>
      </c>
      <c r="D569" s="5">
        <f ca="1">IF(getQuality(B569)&lt;4,getOtherMin(B569,C569,INDIRECT(J$2),INDIRECT(I569),test),getMin(B569,C569,INDIRECT(J$2),INDIRECT(I569),test))</f>
        <v>1</v>
      </c>
      <c r="E569" s="5">
        <f ca="1">IF(getQuality(B569)&lt;4,getOtherMax(B569,C569,INDIRECT(J$2),INDIRECT(I569),test),getMax(B569,C569,INDIRECT(J$2),INDIRECT(I569),test))</f>
        <v>1.4</v>
      </c>
      <c r="F569" s="1" t="str">
        <f t="shared" si="34"/>
        <v>50</v>
      </c>
      <c r="G569" s="1" t="str">
        <f t="shared" si="35"/>
        <v/>
      </c>
      <c r="I569" s="1" t="str">
        <f t="shared" si="33"/>
        <v>威尔新数值1.06.xlsm!circleValue</v>
      </c>
    </row>
    <row r="570" spans="1:9" x14ac:dyDescent="0.15">
      <c r="A570" s="1">
        <v>569</v>
      </c>
      <c r="B570" s="1">
        <v>102070200</v>
      </c>
      <c r="C570" s="1">
        <f t="shared" si="36"/>
        <v>103</v>
      </c>
      <c r="D570" s="5">
        <f ca="1">IF(getQuality(B570)&lt;4,getOtherMin(B570,C570,INDIRECT(J$2),INDIRECT(I570),test),getMin(B570,C570,INDIRECT(J$2),INDIRECT(I570),test))</f>
        <v>0.12</v>
      </c>
      <c r="E570" s="5">
        <f ca="1">IF(getQuality(B570)&lt;4,getOtherMax(B570,C570,INDIRECT(J$2),INDIRECT(I570),test),getMax(B570,C570,INDIRECT(J$2),INDIRECT(I570),test))</f>
        <v>0.15</v>
      </c>
      <c r="F570" s="1" t="str">
        <f t="shared" si="34"/>
        <v>50</v>
      </c>
      <c r="G570" s="1" t="str">
        <f t="shared" si="35"/>
        <v/>
      </c>
      <c r="I570" s="1" t="str">
        <f t="shared" si="33"/>
        <v>威尔新数值1.06.xlsm!otherDamage</v>
      </c>
    </row>
    <row r="571" spans="1:9" x14ac:dyDescent="0.15">
      <c r="A571" s="1">
        <v>570</v>
      </c>
      <c r="B571" s="1">
        <v>102070200</v>
      </c>
      <c r="C571" s="1">
        <f t="shared" si="36"/>
        <v>104</v>
      </c>
      <c r="D571" s="5">
        <f ca="1">IF(getQuality(B571)&lt;4,getOtherMin(B571,C571,INDIRECT(J$2),INDIRECT(I571),test),getMin(B571,C571,INDIRECT(J$2),INDIRECT(I571),test))</f>
        <v>0.12</v>
      </c>
      <c r="E571" s="5">
        <f ca="1">IF(getQuality(B571)&lt;4,getOtherMax(B571,C571,INDIRECT(J$2),INDIRECT(I571),test),getMax(B571,C571,INDIRECT(J$2),INDIRECT(I571),test))</f>
        <v>0.24</v>
      </c>
      <c r="F571" s="1" t="str">
        <f t="shared" si="34"/>
        <v>50</v>
      </c>
      <c r="G571" s="1" t="str">
        <f t="shared" si="35"/>
        <v/>
      </c>
      <c r="I571" s="1" t="str">
        <f t="shared" si="33"/>
        <v>威尔新数值1.06.xlsm!monsterDamage</v>
      </c>
    </row>
    <row r="572" spans="1:9" x14ac:dyDescent="0.15">
      <c r="A572" s="1">
        <v>571</v>
      </c>
      <c r="B572" s="1">
        <v>102070200</v>
      </c>
      <c r="C572" s="1">
        <f t="shared" si="36"/>
        <v>105</v>
      </c>
      <c r="D572" s="5">
        <f ca="1">IF(getQuality(B572)&lt;4,getOtherMin(B572,C572,INDIRECT(J$2),INDIRECT(I572),test),getMin(B572,C572,INDIRECT(J$2),INDIRECT(I572),test))</f>
        <v>0.12</v>
      </c>
      <c r="E572" s="5">
        <f ca="1">IF(getQuality(B572)&lt;4,getOtherMax(B572,C572,INDIRECT(J$2),INDIRECT(I572),test),getMax(B572,C572,INDIRECT(J$2),INDIRECT(I572),test))</f>
        <v>0.24</v>
      </c>
      <c r="F572" s="1" t="str">
        <f t="shared" si="34"/>
        <v>50</v>
      </c>
      <c r="G572" s="1" t="str">
        <f t="shared" si="35"/>
        <v/>
      </c>
      <c r="I572" s="1" t="str">
        <f t="shared" si="33"/>
        <v>威尔新数值1.06.xlsm!monsterDamage</v>
      </c>
    </row>
    <row r="573" spans="1:9" x14ac:dyDescent="0.15">
      <c r="A573" s="1">
        <v>572</v>
      </c>
      <c r="B573" s="1">
        <v>102070200</v>
      </c>
      <c r="C573" s="1">
        <f t="shared" si="36"/>
        <v>106</v>
      </c>
      <c r="D573" s="5">
        <f ca="1">IF(getQuality(B573)&lt;4,getOtherMin(B573,C573,INDIRECT(J$2),INDIRECT(I573),test),getMin(B573,C573,INDIRECT(J$2),INDIRECT(I573),test))</f>
        <v>0.12</v>
      </c>
      <c r="E573" s="5">
        <f ca="1">IF(getQuality(B573)&lt;4,getOtherMax(B573,C573,INDIRECT(J$2),INDIRECT(I573),test),getMax(B573,C573,INDIRECT(J$2),INDIRECT(I573),test))</f>
        <v>0.24</v>
      </c>
      <c r="F573" s="1" t="str">
        <f t="shared" si="34"/>
        <v>50</v>
      </c>
      <c r="G573" s="1" t="str">
        <f t="shared" si="35"/>
        <v/>
      </c>
      <c r="I573" s="1" t="str">
        <f t="shared" si="33"/>
        <v>威尔新数值1.06.xlsm!monsterDamage</v>
      </c>
    </row>
    <row r="574" spans="1:9" x14ac:dyDescent="0.15">
      <c r="A574" s="1">
        <v>573</v>
      </c>
      <c r="B574" s="1">
        <v>102070200</v>
      </c>
      <c r="C574" s="1">
        <f t="shared" si="36"/>
        <v>107</v>
      </c>
      <c r="D574" s="5">
        <f ca="1">IF(getQuality(B574)&lt;4,getOtherMin(B574,C574,INDIRECT(J$2),INDIRECT(I574),test),getMin(B574,C574,INDIRECT(J$2),INDIRECT(I574),test))</f>
        <v>0.12</v>
      </c>
      <c r="E574" s="5">
        <f ca="1">IF(getQuality(B574)&lt;4,getOtherMax(B574,C574,INDIRECT(J$2),INDIRECT(I574),test),getMax(B574,C574,INDIRECT(J$2),INDIRECT(I574),test))</f>
        <v>0.24</v>
      </c>
      <c r="F574" s="1" t="str">
        <f t="shared" si="34"/>
        <v>50</v>
      </c>
      <c r="G574" s="1" t="str">
        <f t="shared" si="35"/>
        <v/>
      </c>
      <c r="I574" s="1" t="str">
        <f t="shared" si="33"/>
        <v>威尔新数值1.06.xlsm!monsterDamage</v>
      </c>
    </row>
    <row r="575" spans="1:9" x14ac:dyDescent="0.15">
      <c r="A575" s="1">
        <v>574</v>
      </c>
      <c r="B575" s="1">
        <v>102070200</v>
      </c>
      <c r="C575" s="1">
        <f t="shared" si="36"/>
        <v>108</v>
      </c>
      <c r="D575" s="5">
        <f ca="1">IF(getQuality(B575)&lt;4,getOtherMin(B575,C575,INDIRECT(J$2),INDIRECT(I575),test),getMin(B575,C575,INDIRECT(J$2),INDIRECT(I575),test))</f>
        <v>0.12</v>
      </c>
      <c r="E575" s="5">
        <f ca="1">IF(getQuality(B575)&lt;4,getOtherMax(B575,C575,INDIRECT(J$2),INDIRECT(I575),test),getMax(B575,C575,INDIRECT(J$2),INDIRECT(I575),test))</f>
        <v>0.24</v>
      </c>
      <c r="F575" s="1" t="str">
        <f t="shared" si="34"/>
        <v>50</v>
      </c>
      <c r="G575" s="1" t="str">
        <f t="shared" si="35"/>
        <v/>
      </c>
      <c r="I575" s="1" t="str">
        <f t="shared" si="33"/>
        <v>威尔新数值1.06.xlsm!monsterDamage</v>
      </c>
    </row>
    <row r="576" spans="1:9" x14ac:dyDescent="0.15">
      <c r="A576" s="1">
        <v>575</v>
      </c>
      <c r="B576" s="1">
        <v>102080200</v>
      </c>
      <c r="C576" s="1">
        <f t="shared" si="36"/>
        <v>3</v>
      </c>
      <c r="D576" s="5">
        <f ca="1">IF(getQuality(B576)&lt;4,getOtherMin(B576,C576,INDIRECT(J$2),INDIRECT(I576),test),getMin(B576,C576,INDIRECT(J$2),INDIRECT(I576),test))</f>
        <v>237.63369570586491</v>
      </c>
      <c r="E576" s="5">
        <f ca="1">IF(getQuality(B576)&lt;4,getOtherMax(B576,C576,INDIRECT(J$2),INDIRECT(I576),test),getMax(B576,C576,INDIRECT(J$2),INDIRECT(I576),test))</f>
        <v>287.24542239033156</v>
      </c>
      <c r="F576" s="1" t="str">
        <f t="shared" si="34"/>
        <v>50</v>
      </c>
      <c r="G576" s="1" t="str">
        <f t="shared" si="35"/>
        <v>1</v>
      </c>
      <c r="I576" s="1" t="str">
        <f t="shared" si="33"/>
        <v>威尔新数值1.06.xlsm!suitPower</v>
      </c>
    </row>
    <row r="577" spans="1:9" x14ac:dyDescent="0.15">
      <c r="A577" s="1">
        <v>576</v>
      </c>
      <c r="B577" s="1">
        <v>102080200</v>
      </c>
      <c r="C577" s="1">
        <f t="shared" si="36"/>
        <v>5</v>
      </c>
      <c r="D577" s="5">
        <f ca="1">IF(getQuality(B577)&lt;4,getOtherMin(B577,C577,INDIRECT(J$2),INDIRECT(I577),test),getMin(B577,C577,INDIRECT(J$2),INDIRECT(I577),test))</f>
        <v>237.63369570586491</v>
      </c>
      <c r="E577" s="5">
        <f ca="1">IF(getQuality(B577)&lt;4,getOtherMax(B577,C577,INDIRECT(J$2),INDIRECT(I577),test),getMax(B577,C577,INDIRECT(J$2),INDIRECT(I577),test))</f>
        <v>287.24542239033156</v>
      </c>
      <c r="F577" s="1" t="str">
        <f t="shared" si="34"/>
        <v>50</v>
      </c>
      <c r="G577" s="1" t="str">
        <f t="shared" si="35"/>
        <v/>
      </c>
      <c r="I577" s="1" t="str">
        <f t="shared" si="33"/>
        <v>威尔新数值1.06.xlsm!suitPower</v>
      </c>
    </row>
    <row r="578" spans="1:9" x14ac:dyDescent="0.15">
      <c r="A578" s="1">
        <v>577</v>
      </c>
      <c r="B578" s="1">
        <v>102080200</v>
      </c>
      <c r="C578" s="1">
        <f t="shared" si="36"/>
        <v>7</v>
      </c>
      <c r="D578" s="5">
        <f ca="1">IF(getQuality(B578)&lt;4,getOtherMin(B578,C578,INDIRECT(J$2),INDIRECT(I578),test),getMin(B578,C578,INDIRECT(J$2),INDIRECT(I578),test))</f>
        <v>46.370370370370253</v>
      </c>
      <c r="E578" s="5">
        <f ca="1">IF(getQuality(B578)&lt;4,getOtherMax(B578,C578,INDIRECT(J$2),INDIRECT(I578),test),getMax(B578,C578,INDIRECT(J$2),INDIRECT(I578),test))</f>
        <v>51.85185185185172</v>
      </c>
      <c r="F578" s="1" t="str">
        <f t="shared" si="34"/>
        <v>50</v>
      </c>
      <c r="G578" s="1" t="str">
        <f t="shared" si="35"/>
        <v/>
      </c>
      <c r="I578" s="1" t="str">
        <f t="shared" ref="I578:I641" si="37">IF(C578&lt;100,VLOOKUP(C578,test,3,FALSE),VLOOKUP(C578,test1,3,FALSE))</f>
        <v>威尔新数值1.06.xlsm!suitPower</v>
      </c>
    </row>
    <row r="579" spans="1:9" x14ac:dyDescent="0.15">
      <c r="A579" s="1">
        <v>578</v>
      </c>
      <c r="B579" s="1">
        <v>102080200</v>
      </c>
      <c r="C579" s="1">
        <f t="shared" si="36"/>
        <v>8</v>
      </c>
      <c r="D579" s="5">
        <f ca="1">IF(getQuality(B579)&lt;4,getOtherMin(B579,C579,INDIRECT(J$2),INDIRECT(I579),test),getMin(B579,C579,INDIRECT(J$2),INDIRECT(I579),test))</f>
        <v>103.08333333333333</v>
      </c>
      <c r="E579" s="5">
        <f ca="1">IF(getQuality(B579)&lt;4,getOtherMax(B579,C579,INDIRECT(J$2),INDIRECT(I579),test),getMax(B579,C579,INDIRECT(J$2),INDIRECT(I579),test))</f>
        <v>116.66666666666667</v>
      </c>
      <c r="F579" s="1" t="str">
        <f t="shared" ref="F579:F642" si="38">getper(B579,C579)</f>
        <v>50</v>
      </c>
      <c r="G579" s="1" t="str">
        <f t="shared" ref="G579:G642" si="39">getMust(B579,C579)</f>
        <v/>
      </c>
      <c r="I579" s="1" t="str">
        <f t="shared" si="37"/>
        <v>威尔新数值1.06.xlsm!suitPower</v>
      </c>
    </row>
    <row r="580" spans="1:9" x14ac:dyDescent="0.15">
      <c r="A580" s="1">
        <v>579</v>
      </c>
      <c r="B580" s="1">
        <v>102080200</v>
      </c>
      <c r="C580" s="1">
        <f t="shared" si="36"/>
        <v>9</v>
      </c>
      <c r="D580" s="5">
        <f ca="1">IF(getQuality(B580)&lt;4,getOtherMin(B580,C580,INDIRECT(J$2),INDIRECT(I580),test),getMin(B580,C580,INDIRECT(J$2),INDIRECT(I580),test))</f>
        <v>237.63369570586491</v>
      </c>
      <c r="E580" s="5">
        <f ca="1">IF(getQuality(B580)&lt;4,getOtherMax(B580,C580,INDIRECT(J$2),INDIRECT(I580),test),getMax(B580,C580,INDIRECT(J$2),INDIRECT(I580),test))</f>
        <v>287.24542239033156</v>
      </c>
      <c r="F580" s="1" t="str">
        <f t="shared" si="38"/>
        <v>50</v>
      </c>
      <c r="G580" s="1" t="str">
        <f t="shared" si="39"/>
        <v/>
      </c>
      <c r="I580" s="1" t="str">
        <f t="shared" si="37"/>
        <v>威尔新数值1.06.xlsm!suitPower</v>
      </c>
    </row>
    <row r="581" spans="1:9" x14ac:dyDescent="0.15">
      <c r="A581" s="1">
        <v>580</v>
      </c>
      <c r="B581" s="1">
        <v>102080200</v>
      </c>
      <c r="C581" s="1">
        <f t="shared" si="36"/>
        <v>10</v>
      </c>
      <c r="D581" s="5">
        <f ca="1">IF(getQuality(B581)&lt;4,getOtherMin(B581,C581,INDIRECT(J$2),INDIRECT(I581),test),getMin(B581,C581,INDIRECT(J$2),INDIRECT(I581),test))</f>
        <v>237.63369570586491</v>
      </c>
      <c r="E581" s="5">
        <f ca="1">IF(getQuality(B581)&lt;4,getOtherMax(B581,C581,INDIRECT(J$2),INDIRECT(I581),test),getMax(B581,C581,INDIRECT(J$2),INDIRECT(I581),test))</f>
        <v>287.24542239033156</v>
      </c>
      <c r="F581" s="1" t="str">
        <f t="shared" si="38"/>
        <v>50</v>
      </c>
      <c r="G581" s="1" t="str">
        <f t="shared" si="39"/>
        <v/>
      </c>
      <c r="I581" s="1" t="str">
        <f t="shared" si="37"/>
        <v>威尔新数值1.06.xlsm!suitPower</v>
      </c>
    </row>
    <row r="582" spans="1:9" x14ac:dyDescent="0.15">
      <c r="A582" s="1">
        <v>581</v>
      </c>
      <c r="B582" s="1">
        <v>102080200</v>
      </c>
      <c r="C582" s="1">
        <f t="shared" si="36"/>
        <v>11</v>
      </c>
      <c r="D582" s="5">
        <f ca="1">IF(getQuality(B582)&lt;4,getOtherMin(B582,C582,INDIRECT(J$2),INDIRECT(I582),test),getMin(B582,C582,INDIRECT(J$2),INDIRECT(I582),test))</f>
        <v>237.63369570586491</v>
      </c>
      <c r="E582" s="5">
        <f ca="1">IF(getQuality(B582)&lt;4,getOtherMax(B582,C582,INDIRECT(J$2),INDIRECT(I582),test),getMax(B582,C582,INDIRECT(J$2),INDIRECT(I582),test))</f>
        <v>287.24542239033156</v>
      </c>
      <c r="F582" s="1" t="str">
        <f t="shared" si="38"/>
        <v>50</v>
      </c>
      <c r="G582" s="1" t="str">
        <f t="shared" si="39"/>
        <v/>
      </c>
      <c r="I582" s="1" t="str">
        <f t="shared" si="37"/>
        <v>威尔新数值1.06.xlsm!suitPower</v>
      </c>
    </row>
    <row r="583" spans="1:9" x14ac:dyDescent="0.15">
      <c r="A583" s="1">
        <v>582</v>
      </c>
      <c r="B583" s="1">
        <v>102080200</v>
      </c>
      <c r="C583" s="1">
        <f t="shared" si="36"/>
        <v>12</v>
      </c>
      <c r="D583" s="5">
        <f ca="1">IF(getQuality(B583)&lt;4,getOtherMin(B583,C583,INDIRECT(J$2),INDIRECT(I583),test),getMin(B583,C583,INDIRECT(J$2),INDIRECT(I583),test))</f>
        <v>237.63369570586491</v>
      </c>
      <c r="E583" s="5">
        <f ca="1">IF(getQuality(B583)&lt;4,getOtherMax(B583,C583,INDIRECT(J$2),INDIRECT(I583),test),getMax(B583,C583,INDIRECT(J$2),INDIRECT(I583),test))</f>
        <v>287.24542239033156</v>
      </c>
      <c r="F583" s="1" t="str">
        <f t="shared" si="38"/>
        <v>50</v>
      </c>
      <c r="G583" s="1" t="str">
        <f t="shared" si="39"/>
        <v/>
      </c>
      <c r="I583" s="1" t="str">
        <f t="shared" si="37"/>
        <v>威尔新数值1.06.xlsm!suitPower</v>
      </c>
    </row>
    <row r="584" spans="1:9" x14ac:dyDescent="0.15">
      <c r="A584" s="1">
        <v>583</v>
      </c>
      <c r="B584" s="1">
        <v>102080200</v>
      </c>
      <c r="C584" s="1">
        <f t="shared" si="36"/>
        <v>13</v>
      </c>
      <c r="D584" s="5">
        <f ca="1">IF(getQuality(B584)&lt;4,getOtherMin(B584,C584,INDIRECT(J$2),INDIRECT(I584),test),getMin(B584,C584,INDIRECT(J$2),INDIRECT(I584),test))</f>
        <v>237.63369570586491</v>
      </c>
      <c r="E584" s="5">
        <f ca="1">IF(getQuality(B584)&lt;4,getOtherMax(B584,C584,INDIRECT(J$2),INDIRECT(I584),test),getMax(B584,C584,INDIRECT(J$2),INDIRECT(I584),test))</f>
        <v>287.24542239033156</v>
      </c>
      <c r="F584" s="1" t="str">
        <f t="shared" si="38"/>
        <v>50</v>
      </c>
      <c r="G584" s="1" t="str">
        <f t="shared" si="39"/>
        <v/>
      </c>
      <c r="I584" s="1" t="str">
        <f t="shared" si="37"/>
        <v>威尔新数值1.06.xlsm!suitPower</v>
      </c>
    </row>
    <row r="585" spans="1:9" x14ac:dyDescent="0.15">
      <c r="A585" s="1">
        <v>584</v>
      </c>
      <c r="B585" s="1">
        <v>102080200</v>
      </c>
      <c r="C585" s="1">
        <f t="shared" si="36"/>
        <v>14</v>
      </c>
      <c r="D585" s="5">
        <f ca="1">IF(getQuality(B585)&lt;4,getOtherMin(B585,C585,INDIRECT(J$2),INDIRECT(I585),test),getMin(B585,C585,INDIRECT(J$2),INDIRECT(I585),test))</f>
        <v>237.63369570586491</v>
      </c>
      <c r="E585" s="5">
        <f ca="1">IF(getQuality(B585)&lt;4,getOtherMax(B585,C585,INDIRECT(J$2),INDIRECT(I585),test),getMax(B585,C585,INDIRECT(J$2),INDIRECT(I585),test))</f>
        <v>287.24542239033156</v>
      </c>
      <c r="F585" s="1" t="str">
        <f t="shared" si="38"/>
        <v>50</v>
      </c>
      <c r="G585" s="1" t="str">
        <f t="shared" si="39"/>
        <v/>
      </c>
      <c r="I585" s="1" t="str">
        <f t="shared" si="37"/>
        <v>威尔新数值1.06.xlsm!suitPower</v>
      </c>
    </row>
    <row r="586" spans="1:9" x14ac:dyDescent="0.15">
      <c r="A586" s="1">
        <v>585</v>
      </c>
      <c r="B586" s="1">
        <v>102080200</v>
      </c>
      <c r="C586" s="1">
        <f t="shared" si="36"/>
        <v>15</v>
      </c>
      <c r="D586" s="5">
        <f ca="1">IF(getQuality(B586)&lt;4,getOtherMin(B586,C586,INDIRECT(J$2),INDIRECT(I586),test),getMin(B586,C586,INDIRECT(J$2),INDIRECT(I586),test))</f>
        <v>237.63369570586491</v>
      </c>
      <c r="E586" s="5">
        <f ca="1">IF(getQuality(B586)&lt;4,getOtherMax(B586,C586,INDIRECT(J$2),INDIRECT(I586),test),getMax(B586,C586,INDIRECT(J$2),INDIRECT(I586),test))</f>
        <v>287.24542239033156</v>
      </c>
      <c r="F586" s="1" t="str">
        <f t="shared" si="38"/>
        <v>50</v>
      </c>
      <c r="G586" s="1" t="str">
        <f t="shared" si="39"/>
        <v/>
      </c>
      <c r="I586" s="1" t="str">
        <f t="shared" si="37"/>
        <v>威尔新数值1.06.xlsm!suitPower</v>
      </c>
    </row>
    <row r="587" spans="1:9" x14ac:dyDescent="0.15">
      <c r="A587" s="1">
        <v>586</v>
      </c>
      <c r="B587" s="1">
        <v>102080200</v>
      </c>
      <c r="C587" s="1">
        <f t="shared" si="36"/>
        <v>101</v>
      </c>
      <c r="D587" s="5">
        <f ca="1">IF(getQuality(B587)&lt;4,getOtherMin(B587,C587,INDIRECT(J$2),INDIRECT(I587),test),getMin(B587,C587,INDIRECT(J$2),INDIRECT(I587),test))</f>
        <v>0.13</v>
      </c>
      <c r="E587" s="5">
        <f ca="1">IF(getQuality(B587)&lt;4,getOtherMax(B587,C587,INDIRECT(J$2),INDIRECT(I587),test),getMax(B587,C587,INDIRECT(J$2),INDIRECT(I587),test))</f>
        <v>0.16</v>
      </c>
      <c r="F587" s="1" t="str">
        <f t="shared" si="38"/>
        <v>50</v>
      </c>
      <c r="G587" s="1" t="str">
        <f t="shared" si="39"/>
        <v/>
      </c>
      <c r="I587" s="1" t="str">
        <f t="shared" si="37"/>
        <v>威尔新数值1.06.xlsm!circlePer</v>
      </c>
    </row>
    <row r="588" spans="1:9" x14ac:dyDescent="0.15">
      <c r="A588" s="1">
        <v>587</v>
      </c>
      <c r="B588" s="1">
        <v>102080200</v>
      </c>
      <c r="C588" s="1">
        <f t="shared" si="36"/>
        <v>102</v>
      </c>
      <c r="D588" s="5">
        <f ca="1">IF(getQuality(B588)&lt;4,getOtherMin(B588,C588,INDIRECT(J$2),INDIRECT(I588),test),getMin(B588,C588,INDIRECT(J$2),INDIRECT(I588),test))</f>
        <v>1.1000000000000001</v>
      </c>
      <c r="E588" s="5">
        <f ca="1">IF(getQuality(B588)&lt;4,getOtherMax(B588,C588,INDIRECT(J$2),INDIRECT(I588),test),getMax(B588,C588,INDIRECT(J$2),INDIRECT(I588),test))</f>
        <v>1.5</v>
      </c>
      <c r="F588" s="1" t="str">
        <f t="shared" si="38"/>
        <v>50</v>
      </c>
      <c r="G588" s="1" t="str">
        <f t="shared" si="39"/>
        <v/>
      </c>
      <c r="I588" s="1" t="str">
        <f t="shared" si="37"/>
        <v>威尔新数值1.06.xlsm!circleValue</v>
      </c>
    </row>
    <row r="589" spans="1:9" x14ac:dyDescent="0.15">
      <c r="A589" s="1">
        <v>588</v>
      </c>
      <c r="B589" s="1">
        <v>102080200</v>
      </c>
      <c r="C589" s="1">
        <f t="shared" si="36"/>
        <v>103</v>
      </c>
      <c r="D589" s="5">
        <f ca="1">IF(getQuality(B589)&lt;4,getOtherMin(B589,C589,INDIRECT(J$2),INDIRECT(I589),test),getMin(B589,C589,INDIRECT(J$2),INDIRECT(I589),test))</f>
        <v>0.13</v>
      </c>
      <c r="E589" s="5">
        <f ca="1">IF(getQuality(B589)&lt;4,getOtherMax(B589,C589,INDIRECT(J$2),INDIRECT(I589),test),getMax(B589,C589,INDIRECT(J$2),INDIRECT(I589),test))</f>
        <v>0.16</v>
      </c>
      <c r="F589" s="1" t="str">
        <f t="shared" si="38"/>
        <v>50</v>
      </c>
      <c r="G589" s="1" t="str">
        <f t="shared" si="39"/>
        <v/>
      </c>
      <c r="I589" s="1" t="str">
        <f t="shared" si="37"/>
        <v>威尔新数值1.06.xlsm!otherDamage</v>
      </c>
    </row>
    <row r="590" spans="1:9" x14ac:dyDescent="0.15">
      <c r="A590" s="1">
        <v>589</v>
      </c>
      <c r="B590" s="1">
        <v>102080200</v>
      </c>
      <c r="C590" s="1">
        <f t="shared" si="36"/>
        <v>104</v>
      </c>
      <c r="D590" s="5">
        <f ca="1">IF(getQuality(B590)&lt;4,getOtherMin(B590,C590,INDIRECT(J$2),INDIRECT(I590),test),getMin(B590,C590,INDIRECT(J$2),INDIRECT(I590),test))</f>
        <v>0.13</v>
      </c>
      <c r="E590" s="5">
        <f ca="1">IF(getQuality(B590)&lt;4,getOtherMax(B590,C590,INDIRECT(J$2),INDIRECT(I590),test),getMax(B590,C590,INDIRECT(J$2),INDIRECT(I590),test))</f>
        <v>0.26</v>
      </c>
      <c r="F590" s="1" t="str">
        <f t="shared" si="38"/>
        <v>50</v>
      </c>
      <c r="G590" s="1" t="str">
        <f t="shared" si="39"/>
        <v/>
      </c>
      <c r="I590" s="1" t="str">
        <f t="shared" si="37"/>
        <v>威尔新数值1.06.xlsm!monsterDamage</v>
      </c>
    </row>
    <row r="591" spans="1:9" x14ac:dyDescent="0.15">
      <c r="A591" s="1">
        <v>590</v>
      </c>
      <c r="B591" s="1">
        <v>102080200</v>
      </c>
      <c r="C591" s="1">
        <f t="shared" si="36"/>
        <v>105</v>
      </c>
      <c r="D591" s="5">
        <f ca="1">IF(getQuality(B591)&lt;4,getOtherMin(B591,C591,INDIRECT(J$2),INDIRECT(I591),test),getMin(B591,C591,INDIRECT(J$2),INDIRECT(I591),test))</f>
        <v>0.13</v>
      </c>
      <c r="E591" s="5">
        <f ca="1">IF(getQuality(B591)&lt;4,getOtherMax(B591,C591,INDIRECT(J$2),INDIRECT(I591),test),getMax(B591,C591,INDIRECT(J$2),INDIRECT(I591),test))</f>
        <v>0.26</v>
      </c>
      <c r="F591" s="1" t="str">
        <f t="shared" si="38"/>
        <v>50</v>
      </c>
      <c r="G591" s="1" t="str">
        <f t="shared" si="39"/>
        <v/>
      </c>
      <c r="I591" s="1" t="str">
        <f t="shared" si="37"/>
        <v>威尔新数值1.06.xlsm!monsterDamage</v>
      </c>
    </row>
    <row r="592" spans="1:9" x14ac:dyDescent="0.15">
      <c r="A592" s="1">
        <v>591</v>
      </c>
      <c r="B592" s="1">
        <v>102080200</v>
      </c>
      <c r="C592" s="1">
        <f t="shared" si="36"/>
        <v>106</v>
      </c>
      <c r="D592" s="5">
        <f ca="1">IF(getQuality(B592)&lt;4,getOtherMin(B592,C592,INDIRECT(J$2),INDIRECT(I592),test),getMin(B592,C592,INDIRECT(J$2),INDIRECT(I592),test))</f>
        <v>0.13</v>
      </c>
      <c r="E592" s="5">
        <f ca="1">IF(getQuality(B592)&lt;4,getOtherMax(B592,C592,INDIRECT(J$2),INDIRECT(I592),test),getMax(B592,C592,INDIRECT(J$2),INDIRECT(I592),test))</f>
        <v>0.26</v>
      </c>
      <c r="F592" s="1" t="str">
        <f t="shared" si="38"/>
        <v>50</v>
      </c>
      <c r="G592" s="1" t="str">
        <f t="shared" si="39"/>
        <v/>
      </c>
      <c r="I592" s="1" t="str">
        <f t="shared" si="37"/>
        <v>威尔新数值1.06.xlsm!monsterDamage</v>
      </c>
    </row>
    <row r="593" spans="1:9" x14ac:dyDescent="0.15">
      <c r="A593" s="1">
        <v>592</v>
      </c>
      <c r="B593" s="1">
        <v>102080200</v>
      </c>
      <c r="C593" s="1">
        <f t="shared" si="36"/>
        <v>107</v>
      </c>
      <c r="D593" s="5">
        <f ca="1">IF(getQuality(B593)&lt;4,getOtherMin(B593,C593,INDIRECT(J$2),INDIRECT(I593),test),getMin(B593,C593,INDIRECT(J$2),INDIRECT(I593),test))</f>
        <v>0.13</v>
      </c>
      <c r="E593" s="5">
        <f ca="1">IF(getQuality(B593)&lt;4,getOtherMax(B593,C593,INDIRECT(J$2),INDIRECT(I593),test),getMax(B593,C593,INDIRECT(J$2),INDIRECT(I593),test))</f>
        <v>0.26</v>
      </c>
      <c r="F593" s="1" t="str">
        <f t="shared" si="38"/>
        <v>50</v>
      </c>
      <c r="G593" s="1" t="str">
        <f t="shared" si="39"/>
        <v/>
      </c>
      <c r="I593" s="1" t="str">
        <f t="shared" si="37"/>
        <v>威尔新数值1.06.xlsm!monsterDamage</v>
      </c>
    </row>
    <row r="594" spans="1:9" x14ac:dyDescent="0.15">
      <c r="A594" s="1">
        <v>593</v>
      </c>
      <c r="B594" s="1">
        <v>102080200</v>
      </c>
      <c r="C594" s="1">
        <f t="shared" si="36"/>
        <v>108</v>
      </c>
      <c r="D594" s="5">
        <f ca="1">IF(getQuality(B594)&lt;4,getOtherMin(B594,C594,INDIRECT(J$2),INDIRECT(I594),test),getMin(B594,C594,INDIRECT(J$2),INDIRECT(I594),test))</f>
        <v>0.13</v>
      </c>
      <c r="E594" s="5">
        <f ca="1">IF(getQuality(B594)&lt;4,getOtherMax(B594,C594,INDIRECT(J$2),INDIRECT(I594),test),getMax(B594,C594,INDIRECT(J$2),INDIRECT(I594),test))</f>
        <v>0.26</v>
      </c>
      <c r="F594" s="1" t="str">
        <f t="shared" si="38"/>
        <v>50</v>
      </c>
      <c r="G594" s="1" t="str">
        <f t="shared" si="39"/>
        <v/>
      </c>
      <c r="I594" s="1" t="str">
        <f t="shared" si="37"/>
        <v>威尔新数值1.06.xlsm!monsterDamage</v>
      </c>
    </row>
    <row r="595" spans="1:9" x14ac:dyDescent="0.15">
      <c r="A595" s="1">
        <v>594</v>
      </c>
      <c r="B595" s="1">
        <v>102090200</v>
      </c>
      <c r="C595" s="1">
        <f t="shared" si="36"/>
        <v>3</v>
      </c>
      <c r="D595" s="5">
        <f ca="1">IF(getQuality(B595)&lt;4,getOtherMin(B595,C595,INDIRECT(J$2),INDIRECT(I595),test),getMin(B595,C595,INDIRECT(J$2),INDIRECT(I595),test))</f>
        <v>288.24542239033156</v>
      </c>
      <c r="E595" s="5">
        <f ca="1">IF(getQuality(B595)&lt;4,getOtherMax(B595,C595,INDIRECT(J$2),INDIRECT(I595),test),getMax(B595,C595,INDIRECT(J$2),INDIRECT(I595),test))</f>
        <v>342.05887732784834</v>
      </c>
      <c r="F595" s="1" t="str">
        <f t="shared" si="38"/>
        <v>50</v>
      </c>
      <c r="G595" s="1" t="str">
        <f t="shared" si="39"/>
        <v>1</v>
      </c>
      <c r="I595" s="1" t="str">
        <f t="shared" si="37"/>
        <v>威尔新数值1.06.xlsm!suitPower</v>
      </c>
    </row>
    <row r="596" spans="1:9" x14ac:dyDescent="0.15">
      <c r="A596" s="1">
        <v>595</v>
      </c>
      <c r="B596" s="1">
        <v>102090200</v>
      </c>
      <c r="C596" s="1">
        <f t="shared" si="36"/>
        <v>5</v>
      </c>
      <c r="D596" s="5">
        <f ca="1">IF(getQuality(B596)&lt;4,getOtherMin(B596,C596,INDIRECT(J$2),INDIRECT(I596),test),getMin(B596,C596,INDIRECT(J$2),INDIRECT(I596),test))</f>
        <v>288.24542239033156</v>
      </c>
      <c r="E596" s="5">
        <f ca="1">IF(getQuality(B596)&lt;4,getOtherMax(B596,C596,INDIRECT(J$2),INDIRECT(I596),test),getMax(B596,C596,INDIRECT(J$2),INDIRECT(I596),test))</f>
        <v>342.05887732784834</v>
      </c>
      <c r="F596" s="1" t="str">
        <f t="shared" si="38"/>
        <v>50</v>
      </c>
      <c r="G596" s="1" t="str">
        <f t="shared" si="39"/>
        <v/>
      </c>
      <c r="I596" s="1" t="str">
        <f t="shared" si="37"/>
        <v>威尔新数值1.06.xlsm!suitPower</v>
      </c>
    </row>
    <row r="597" spans="1:9" x14ac:dyDescent="0.15">
      <c r="A597" s="1">
        <v>596</v>
      </c>
      <c r="B597" s="1">
        <v>102090200</v>
      </c>
      <c r="C597" s="1">
        <f t="shared" si="36"/>
        <v>7</v>
      </c>
      <c r="D597" s="5">
        <f ca="1">IF(getQuality(B597)&lt;4,getOtherMin(B597,C597,INDIRECT(J$2),INDIRECT(I597),test),getMin(B597,C597,INDIRECT(J$2),INDIRECT(I597),test))</f>
        <v>52.85185185185172</v>
      </c>
      <c r="E597" s="5">
        <f ca="1">IF(getQuality(B597)&lt;4,getOtherMax(B597,C597,INDIRECT(J$2),INDIRECT(I597),test),getMax(B597,C597,INDIRECT(J$2),INDIRECT(I597),test))</f>
        <v>58.333333333333186</v>
      </c>
      <c r="F597" s="1" t="str">
        <f t="shared" si="38"/>
        <v>50</v>
      </c>
      <c r="G597" s="1" t="str">
        <f t="shared" si="39"/>
        <v/>
      </c>
      <c r="I597" s="1" t="str">
        <f t="shared" si="37"/>
        <v>威尔新数值1.06.xlsm!suitPower</v>
      </c>
    </row>
    <row r="598" spans="1:9" x14ac:dyDescent="0.15">
      <c r="A598" s="1">
        <v>597</v>
      </c>
      <c r="B598" s="1">
        <v>102090200</v>
      </c>
      <c r="C598" s="1">
        <f t="shared" si="36"/>
        <v>8</v>
      </c>
      <c r="D598" s="5">
        <f ca="1">IF(getQuality(B598)&lt;4,getOtherMin(B598,C598,INDIRECT(J$2),INDIRECT(I598),test),getMin(B598,C598,INDIRECT(J$2),INDIRECT(I598),test))</f>
        <v>117.66666666666667</v>
      </c>
      <c r="E598" s="5">
        <f ca="1">IF(getQuality(B598)&lt;4,getOtherMax(B598,C598,INDIRECT(J$2),INDIRECT(I598),test),getMax(B598,C598,INDIRECT(J$2),INDIRECT(I598),test))</f>
        <v>131.25</v>
      </c>
      <c r="F598" s="1" t="str">
        <f t="shared" si="38"/>
        <v>50</v>
      </c>
      <c r="G598" s="1" t="str">
        <f t="shared" si="39"/>
        <v/>
      </c>
      <c r="I598" s="1" t="str">
        <f t="shared" si="37"/>
        <v>威尔新数值1.06.xlsm!suitPower</v>
      </c>
    </row>
    <row r="599" spans="1:9" x14ac:dyDescent="0.15">
      <c r="A599" s="1">
        <v>598</v>
      </c>
      <c r="B599" s="1">
        <v>102090200</v>
      </c>
      <c r="C599" s="1">
        <f t="shared" si="36"/>
        <v>9</v>
      </c>
      <c r="D599" s="5">
        <f ca="1">IF(getQuality(B599)&lt;4,getOtherMin(B599,C599,INDIRECT(J$2),INDIRECT(I599),test),getMin(B599,C599,INDIRECT(J$2),INDIRECT(I599),test))</f>
        <v>288.24542239033156</v>
      </c>
      <c r="E599" s="5">
        <f ca="1">IF(getQuality(B599)&lt;4,getOtherMax(B599,C599,INDIRECT(J$2),INDIRECT(I599),test),getMax(B599,C599,INDIRECT(J$2),INDIRECT(I599),test))</f>
        <v>342.05887732784834</v>
      </c>
      <c r="F599" s="1" t="str">
        <f t="shared" si="38"/>
        <v>50</v>
      </c>
      <c r="G599" s="1" t="str">
        <f t="shared" si="39"/>
        <v/>
      </c>
      <c r="I599" s="1" t="str">
        <f t="shared" si="37"/>
        <v>威尔新数值1.06.xlsm!suitPower</v>
      </c>
    </row>
    <row r="600" spans="1:9" x14ac:dyDescent="0.15">
      <c r="A600" s="1">
        <v>599</v>
      </c>
      <c r="B600" s="1">
        <v>102090200</v>
      </c>
      <c r="C600" s="1">
        <f t="shared" si="36"/>
        <v>10</v>
      </c>
      <c r="D600" s="5">
        <f ca="1">IF(getQuality(B600)&lt;4,getOtherMin(B600,C600,INDIRECT(J$2),INDIRECT(I600),test),getMin(B600,C600,INDIRECT(J$2),INDIRECT(I600),test))</f>
        <v>288.24542239033156</v>
      </c>
      <c r="E600" s="5">
        <f ca="1">IF(getQuality(B600)&lt;4,getOtherMax(B600,C600,INDIRECT(J$2),INDIRECT(I600),test),getMax(B600,C600,INDIRECT(J$2),INDIRECT(I600),test))</f>
        <v>342.05887732784834</v>
      </c>
      <c r="F600" s="1" t="str">
        <f t="shared" si="38"/>
        <v>50</v>
      </c>
      <c r="G600" s="1" t="str">
        <f t="shared" si="39"/>
        <v/>
      </c>
      <c r="I600" s="1" t="str">
        <f t="shared" si="37"/>
        <v>威尔新数值1.06.xlsm!suitPower</v>
      </c>
    </row>
    <row r="601" spans="1:9" x14ac:dyDescent="0.15">
      <c r="A601" s="1">
        <v>600</v>
      </c>
      <c r="B601" s="1">
        <v>102090200</v>
      </c>
      <c r="C601" s="1">
        <f t="shared" si="36"/>
        <v>11</v>
      </c>
      <c r="D601" s="5">
        <f ca="1">IF(getQuality(B601)&lt;4,getOtherMin(B601,C601,INDIRECT(J$2),INDIRECT(I601),test),getMin(B601,C601,INDIRECT(J$2),INDIRECT(I601),test))</f>
        <v>288.24542239033156</v>
      </c>
      <c r="E601" s="5">
        <f ca="1">IF(getQuality(B601)&lt;4,getOtherMax(B601,C601,INDIRECT(J$2),INDIRECT(I601),test),getMax(B601,C601,INDIRECT(J$2),INDIRECT(I601),test))</f>
        <v>342.05887732784834</v>
      </c>
      <c r="F601" s="1" t="str">
        <f t="shared" si="38"/>
        <v>50</v>
      </c>
      <c r="G601" s="1" t="str">
        <f t="shared" si="39"/>
        <v/>
      </c>
      <c r="I601" s="1" t="str">
        <f t="shared" si="37"/>
        <v>威尔新数值1.06.xlsm!suitPower</v>
      </c>
    </row>
    <row r="602" spans="1:9" x14ac:dyDescent="0.15">
      <c r="A602" s="1">
        <v>601</v>
      </c>
      <c r="B602" s="1">
        <v>102090200</v>
      </c>
      <c r="C602" s="1">
        <f t="shared" si="36"/>
        <v>12</v>
      </c>
      <c r="D602" s="5">
        <f ca="1">IF(getQuality(B602)&lt;4,getOtherMin(B602,C602,INDIRECT(J$2),INDIRECT(I602),test),getMin(B602,C602,INDIRECT(J$2),INDIRECT(I602),test))</f>
        <v>288.24542239033156</v>
      </c>
      <c r="E602" s="5">
        <f ca="1">IF(getQuality(B602)&lt;4,getOtherMax(B602,C602,INDIRECT(J$2),INDIRECT(I602),test),getMax(B602,C602,INDIRECT(J$2),INDIRECT(I602),test))</f>
        <v>342.05887732784834</v>
      </c>
      <c r="F602" s="1" t="str">
        <f t="shared" si="38"/>
        <v>50</v>
      </c>
      <c r="G602" s="1" t="str">
        <f t="shared" si="39"/>
        <v/>
      </c>
      <c r="I602" s="1" t="str">
        <f t="shared" si="37"/>
        <v>威尔新数值1.06.xlsm!suitPower</v>
      </c>
    </row>
    <row r="603" spans="1:9" x14ac:dyDescent="0.15">
      <c r="A603" s="1">
        <v>602</v>
      </c>
      <c r="B603" s="1">
        <v>102090200</v>
      </c>
      <c r="C603" s="1">
        <f t="shared" si="36"/>
        <v>13</v>
      </c>
      <c r="D603" s="5">
        <f ca="1">IF(getQuality(B603)&lt;4,getOtherMin(B603,C603,INDIRECT(J$2),INDIRECT(I603),test),getMin(B603,C603,INDIRECT(J$2),INDIRECT(I603),test))</f>
        <v>288.24542239033156</v>
      </c>
      <c r="E603" s="5">
        <f ca="1">IF(getQuality(B603)&lt;4,getOtherMax(B603,C603,INDIRECT(J$2),INDIRECT(I603),test),getMax(B603,C603,INDIRECT(J$2),INDIRECT(I603),test))</f>
        <v>342.05887732784834</v>
      </c>
      <c r="F603" s="1" t="str">
        <f t="shared" si="38"/>
        <v>50</v>
      </c>
      <c r="G603" s="1" t="str">
        <f t="shared" si="39"/>
        <v/>
      </c>
      <c r="I603" s="1" t="str">
        <f t="shared" si="37"/>
        <v>威尔新数值1.06.xlsm!suitPower</v>
      </c>
    </row>
    <row r="604" spans="1:9" x14ac:dyDescent="0.15">
      <c r="A604" s="1">
        <v>603</v>
      </c>
      <c r="B604" s="1">
        <v>102090200</v>
      </c>
      <c r="C604" s="1">
        <f t="shared" si="36"/>
        <v>14</v>
      </c>
      <c r="D604" s="5">
        <f ca="1">IF(getQuality(B604)&lt;4,getOtherMin(B604,C604,INDIRECT(J$2),INDIRECT(I604),test),getMin(B604,C604,INDIRECT(J$2),INDIRECT(I604),test))</f>
        <v>288.24542239033156</v>
      </c>
      <c r="E604" s="5">
        <f ca="1">IF(getQuality(B604)&lt;4,getOtherMax(B604,C604,INDIRECT(J$2),INDIRECT(I604),test),getMax(B604,C604,INDIRECT(J$2),INDIRECT(I604),test))</f>
        <v>342.05887732784834</v>
      </c>
      <c r="F604" s="1" t="str">
        <f t="shared" si="38"/>
        <v>50</v>
      </c>
      <c r="G604" s="1" t="str">
        <f t="shared" si="39"/>
        <v/>
      </c>
      <c r="I604" s="1" t="str">
        <f t="shared" si="37"/>
        <v>威尔新数值1.06.xlsm!suitPower</v>
      </c>
    </row>
    <row r="605" spans="1:9" x14ac:dyDescent="0.15">
      <c r="A605" s="1">
        <v>604</v>
      </c>
      <c r="B605" s="1">
        <v>102090200</v>
      </c>
      <c r="C605" s="1">
        <f t="shared" si="36"/>
        <v>15</v>
      </c>
      <c r="D605" s="5">
        <f ca="1">IF(getQuality(B605)&lt;4,getOtherMin(B605,C605,INDIRECT(J$2),INDIRECT(I605),test),getMin(B605,C605,INDIRECT(J$2),INDIRECT(I605),test))</f>
        <v>288.24542239033156</v>
      </c>
      <c r="E605" s="5">
        <f ca="1">IF(getQuality(B605)&lt;4,getOtherMax(B605,C605,INDIRECT(J$2),INDIRECT(I605),test),getMax(B605,C605,INDIRECT(J$2),INDIRECT(I605),test))</f>
        <v>342.05887732784834</v>
      </c>
      <c r="F605" s="1" t="str">
        <f t="shared" si="38"/>
        <v>50</v>
      </c>
      <c r="G605" s="1" t="str">
        <f t="shared" si="39"/>
        <v/>
      </c>
      <c r="I605" s="1" t="str">
        <f t="shared" si="37"/>
        <v>威尔新数值1.06.xlsm!suitPower</v>
      </c>
    </row>
    <row r="606" spans="1:9" x14ac:dyDescent="0.15">
      <c r="A606" s="1">
        <v>605</v>
      </c>
      <c r="B606" s="1">
        <v>102090200</v>
      </c>
      <c r="C606" s="1">
        <f t="shared" si="36"/>
        <v>101</v>
      </c>
      <c r="D606" s="5">
        <f ca="1">IF(getQuality(B606)&lt;4,getOtherMin(B606,C606,INDIRECT(J$2),INDIRECT(I606),test),getMin(B606,C606,INDIRECT(J$2),INDIRECT(I606),test))</f>
        <v>0.14000000000000001</v>
      </c>
      <c r="E606" s="5">
        <f ca="1">IF(getQuality(B606)&lt;4,getOtherMax(B606,C606,INDIRECT(J$2),INDIRECT(I606),test),getMax(B606,C606,INDIRECT(J$2),INDIRECT(I606),test))</f>
        <v>0.17</v>
      </c>
      <c r="F606" s="1" t="str">
        <f t="shared" si="38"/>
        <v>50</v>
      </c>
      <c r="G606" s="1" t="str">
        <f t="shared" si="39"/>
        <v/>
      </c>
      <c r="I606" s="1" t="str">
        <f t="shared" si="37"/>
        <v>威尔新数值1.06.xlsm!circlePer</v>
      </c>
    </row>
    <row r="607" spans="1:9" x14ac:dyDescent="0.15">
      <c r="A607" s="1">
        <v>606</v>
      </c>
      <c r="B607" s="1">
        <v>102090200</v>
      </c>
      <c r="C607" s="1">
        <f t="shared" si="36"/>
        <v>102</v>
      </c>
      <c r="D607" s="5">
        <f ca="1">IF(getQuality(B607)&lt;4,getOtherMin(B607,C607,INDIRECT(J$2),INDIRECT(I607),test),getMin(B607,C607,INDIRECT(J$2),INDIRECT(I607),test))</f>
        <v>1.2</v>
      </c>
      <c r="E607" s="5">
        <f ca="1">IF(getQuality(B607)&lt;4,getOtherMax(B607,C607,INDIRECT(J$2),INDIRECT(I607),test),getMax(B607,C607,INDIRECT(J$2),INDIRECT(I607),test))</f>
        <v>1.6</v>
      </c>
      <c r="F607" s="1" t="str">
        <f t="shared" si="38"/>
        <v>50</v>
      </c>
      <c r="G607" s="1" t="str">
        <f t="shared" si="39"/>
        <v/>
      </c>
      <c r="I607" s="1" t="str">
        <f t="shared" si="37"/>
        <v>威尔新数值1.06.xlsm!circleValue</v>
      </c>
    </row>
    <row r="608" spans="1:9" x14ac:dyDescent="0.15">
      <c r="A608" s="1">
        <v>607</v>
      </c>
      <c r="B608" s="1">
        <v>102090200</v>
      </c>
      <c r="C608" s="1">
        <f t="shared" si="36"/>
        <v>103</v>
      </c>
      <c r="D608" s="5">
        <f ca="1">IF(getQuality(B608)&lt;4,getOtherMin(B608,C608,INDIRECT(J$2),INDIRECT(I608),test),getMin(B608,C608,INDIRECT(J$2),INDIRECT(I608),test))</f>
        <v>0.14000000000000001</v>
      </c>
      <c r="E608" s="5">
        <f ca="1">IF(getQuality(B608)&lt;4,getOtherMax(B608,C608,INDIRECT(J$2),INDIRECT(I608),test),getMax(B608,C608,INDIRECT(J$2),INDIRECT(I608),test))</f>
        <v>0.17</v>
      </c>
      <c r="F608" s="1" t="str">
        <f t="shared" si="38"/>
        <v>50</v>
      </c>
      <c r="G608" s="1" t="str">
        <f t="shared" si="39"/>
        <v/>
      </c>
      <c r="I608" s="1" t="str">
        <f t="shared" si="37"/>
        <v>威尔新数值1.06.xlsm!otherDamage</v>
      </c>
    </row>
    <row r="609" spans="1:9" x14ac:dyDescent="0.15">
      <c r="A609" s="1">
        <v>608</v>
      </c>
      <c r="B609" s="1">
        <v>102090200</v>
      </c>
      <c r="C609" s="1">
        <f t="shared" si="36"/>
        <v>104</v>
      </c>
      <c r="D609" s="5">
        <f ca="1">IF(getQuality(B609)&lt;4,getOtherMin(B609,C609,INDIRECT(J$2),INDIRECT(I609),test),getMin(B609,C609,INDIRECT(J$2),INDIRECT(I609),test))</f>
        <v>0.14000000000000001</v>
      </c>
      <c r="E609" s="5">
        <f ca="1">IF(getQuality(B609)&lt;4,getOtherMax(B609,C609,INDIRECT(J$2),INDIRECT(I609),test),getMax(B609,C609,INDIRECT(J$2),INDIRECT(I609),test))</f>
        <v>0.28000000000000003</v>
      </c>
      <c r="F609" s="1" t="str">
        <f t="shared" si="38"/>
        <v>50</v>
      </c>
      <c r="G609" s="1" t="str">
        <f t="shared" si="39"/>
        <v/>
      </c>
      <c r="I609" s="1" t="str">
        <f t="shared" si="37"/>
        <v>威尔新数值1.06.xlsm!monsterDamage</v>
      </c>
    </row>
    <row r="610" spans="1:9" x14ac:dyDescent="0.15">
      <c r="A610" s="1">
        <v>609</v>
      </c>
      <c r="B610" s="1">
        <v>102090200</v>
      </c>
      <c r="C610" s="1">
        <f t="shared" si="36"/>
        <v>105</v>
      </c>
      <c r="D610" s="5">
        <f ca="1">IF(getQuality(B610)&lt;4,getOtherMin(B610,C610,INDIRECT(J$2),INDIRECT(I610),test),getMin(B610,C610,INDIRECT(J$2),INDIRECT(I610),test))</f>
        <v>0.14000000000000001</v>
      </c>
      <c r="E610" s="5">
        <f ca="1">IF(getQuality(B610)&lt;4,getOtherMax(B610,C610,INDIRECT(J$2),INDIRECT(I610),test),getMax(B610,C610,INDIRECT(J$2),INDIRECT(I610),test))</f>
        <v>0.28000000000000003</v>
      </c>
      <c r="F610" s="1" t="str">
        <f t="shared" si="38"/>
        <v>50</v>
      </c>
      <c r="G610" s="1" t="str">
        <f t="shared" si="39"/>
        <v/>
      </c>
      <c r="I610" s="1" t="str">
        <f t="shared" si="37"/>
        <v>威尔新数值1.06.xlsm!monsterDamage</v>
      </c>
    </row>
    <row r="611" spans="1:9" x14ac:dyDescent="0.15">
      <c r="A611" s="1">
        <v>610</v>
      </c>
      <c r="B611" s="1">
        <v>102090200</v>
      </c>
      <c r="C611" s="1">
        <f t="shared" si="36"/>
        <v>106</v>
      </c>
      <c r="D611" s="5">
        <f ca="1">IF(getQuality(B611)&lt;4,getOtherMin(B611,C611,INDIRECT(J$2),INDIRECT(I611),test),getMin(B611,C611,INDIRECT(J$2),INDIRECT(I611),test))</f>
        <v>0.14000000000000001</v>
      </c>
      <c r="E611" s="5">
        <f ca="1">IF(getQuality(B611)&lt;4,getOtherMax(B611,C611,INDIRECT(J$2),INDIRECT(I611),test),getMax(B611,C611,INDIRECT(J$2),INDIRECT(I611),test))</f>
        <v>0.28000000000000003</v>
      </c>
      <c r="F611" s="1" t="str">
        <f t="shared" si="38"/>
        <v>50</v>
      </c>
      <c r="G611" s="1" t="str">
        <f t="shared" si="39"/>
        <v/>
      </c>
      <c r="I611" s="1" t="str">
        <f t="shared" si="37"/>
        <v>威尔新数值1.06.xlsm!monsterDamage</v>
      </c>
    </row>
    <row r="612" spans="1:9" x14ac:dyDescent="0.15">
      <c r="A612" s="1">
        <v>611</v>
      </c>
      <c r="B612" s="1">
        <v>102090200</v>
      </c>
      <c r="C612" s="1">
        <f t="shared" ref="C612:C675" si="40">C593</f>
        <v>107</v>
      </c>
      <c r="D612" s="5">
        <f ca="1">IF(getQuality(B612)&lt;4,getOtherMin(B612,C612,INDIRECT(J$2),INDIRECT(I612),test),getMin(B612,C612,INDIRECT(J$2),INDIRECT(I612),test))</f>
        <v>0.14000000000000001</v>
      </c>
      <c r="E612" s="5">
        <f ca="1">IF(getQuality(B612)&lt;4,getOtherMax(B612,C612,INDIRECT(J$2),INDIRECT(I612),test),getMax(B612,C612,INDIRECT(J$2),INDIRECT(I612),test))</f>
        <v>0.28000000000000003</v>
      </c>
      <c r="F612" s="1" t="str">
        <f t="shared" si="38"/>
        <v>50</v>
      </c>
      <c r="G612" s="1" t="str">
        <f t="shared" si="39"/>
        <v/>
      </c>
      <c r="I612" s="1" t="str">
        <f t="shared" si="37"/>
        <v>威尔新数值1.06.xlsm!monsterDamage</v>
      </c>
    </row>
    <row r="613" spans="1:9" x14ac:dyDescent="0.15">
      <c r="A613" s="1">
        <v>612</v>
      </c>
      <c r="B613" s="1">
        <v>102090200</v>
      </c>
      <c r="C613" s="1">
        <f t="shared" si="40"/>
        <v>108</v>
      </c>
      <c r="D613" s="5">
        <f ca="1">IF(getQuality(B613)&lt;4,getOtherMin(B613,C613,INDIRECT(J$2),INDIRECT(I613),test),getMin(B613,C613,INDIRECT(J$2),INDIRECT(I613),test))</f>
        <v>0.14000000000000001</v>
      </c>
      <c r="E613" s="5">
        <f ca="1">IF(getQuality(B613)&lt;4,getOtherMax(B613,C613,INDIRECT(J$2),INDIRECT(I613),test),getMax(B613,C613,INDIRECT(J$2),INDIRECT(I613),test))</f>
        <v>0.28000000000000003</v>
      </c>
      <c r="F613" s="1" t="str">
        <f t="shared" si="38"/>
        <v>50</v>
      </c>
      <c r="G613" s="1" t="str">
        <f t="shared" si="39"/>
        <v/>
      </c>
      <c r="I613" s="1" t="str">
        <f t="shared" si="37"/>
        <v>威尔新数值1.06.xlsm!monsterDamage</v>
      </c>
    </row>
    <row r="614" spans="1:9" x14ac:dyDescent="0.15">
      <c r="A614" s="1">
        <v>613</v>
      </c>
      <c r="B614" s="1">
        <v>102010300</v>
      </c>
      <c r="C614" s="1">
        <f t="shared" si="40"/>
        <v>3</v>
      </c>
      <c r="D614" s="5">
        <f ca="1">IF(getQuality(B614)&lt;4,getOtherMin(B614,C614,INDIRECT(J$2),INDIRECT(I614),test),getMin(B614,C614,INDIRECT(J$2),INDIRECT(I614),test))</f>
        <v>1</v>
      </c>
      <c r="E614" s="5">
        <f ca="1">IF(getQuality(B614)&lt;4,getOtherMax(B614,C614,INDIRECT(J$2),INDIRECT(I614),test),getMax(B614,C614,INDIRECT(J$2),INDIRECT(I614),test))</f>
        <v>21.008641265250315</v>
      </c>
      <c r="F614" s="1" t="str">
        <f t="shared" si="38"/>
        <v>50</v>
      </c>
      <c r="G614" s="1" t="str">
        <f t="shared" si="39"/>
        <v>1</v>
      </c>
      <c r="I614" s="1" t="str">
        <f t="shared" si="37"/>
        <v>威尔新数值1.06.xlsm!suitPower</v>
      </c>
    </row>
    <row r="615" spans="1:9" x14ac:dyDescent="0.15">
      <c r="A615" s="1">
        <v>614</v>
      </c>
      <c r="B615" s="1">
        <v>102010300</v>
      </c>
      <c r="C615" s="1">
        <f t="shared" si="40"/>
        <v>5</v>
      </c>
      <c r="D615" s="5">
        <f ca="1">IF(getQuality(B615)&lt;4,getOtherMin(B615,C615,INDIRECT(J$2),INDIRECT(I615),test),getMin(B615,C615,INDIRECT(J$2),INDIRECT(I615),test))</f>
        <v>1</v>
      </c>
      <c r="E615" s="5">
        <f ca="1">IF(getQuality(B615)&lt;4,getOtherMax(B615,C615,INDIRECT(J$2),INDIRECT(I615),test),getMax(B615,C615,INDIRECT(J$2),INDIRECT(I615),test))</f>
        <v>21.008641265250315</v>
      </c>
      <c r="F615" s="1" t="str">
        <f t="shared" si="38"/>
        <v>50</v>
      </c>
      <c r="G615" s="1" t="str">
        <f t="shared" si="39"/>
        <v/>
      </c>
      <c r="I615" s="1" t="str">
        <f t="shared" si="37"/>
        <v>威尔新数值1.06.xlsm!suitPower</v>
      </c>
    </row>
    <row r="616" spans="1:9" x14ac:dyDescent="0.15">
      <c r="A616" s="1">
        <v>615</v>
      </c>
      <c r="B616" s="1">
        <v>102010300</v>
      </c>
      <c r="C616" s="1">
        <f t="shared" si="40"/>
        <v>7</v>
      </c>
      <c r="D616" s="5">
        <f ca="1">IF(getQuality(B616)&lt;4,getOtherMin(B616,C616,INDIRECT(J$2),INDIRECT(I616),test),getMin(B616,C616,INDIRECT(J$2),INDIRECT(I616),test))</f>
        <v>1</v>
      </c>
      <c r="E616" s="5">
        <f ca="1">IF(getQuality(B616)&lt;4,getOtherMax(B616,C616,INDIRECT(J$2),INDIRECT(I616),test),getMax(B616,C616,INDIRECT(J$2),INDIRECT(I616),test))</f>
        <v>6.481481481481465</v>
      </c>
      <c r="F616" s="1" t="str">
        <f t="shared" si="38"/>
        <v>50</v>
      </c>
      <c r="G616" s="1" t="str">
        <f t="shared" si="39"/>
        <v/>
      </c>
      <c r="I616" s="1" t="str">
        <f t="shared" si="37"/>
        <v>威尔新数值1.06.xlsm!suitPower</v>
      </c>
    </row>
    <row r="617" spans="1:9" x14ac:dyDescent="0.15">
      <c r="A617" s="1">
        <v>616</v>
      </c>
      <c r="B617" s="1">
        <v>102010300</v>
      </c>
      <c r="C617" s="1">
        <f t="shared" si="40"/>
        <v>8</v>
      </c>
      <c r="D617" s="5">
        <f ca="1">IF(getQuality(B617)&lt;4,getOtherMin(B617,C617,INDIRECT(J$2),INDIRECT(I617),test),getMin(B617,C617,INDIRECT(J$2),INDIRECT(I617),test))</f>
        <v>1</v>
      </c>
      <c r="E617" s="5">
        <f ca="1">IF(getQuality(B617)&lt;4,getOtherMax(B617,C617,INDIRECT(J$2),INDIRECT(I617),test),getMax(B617,C617,INDIRECT(J$2),INDIRECT(I617),test))</f>
        <v>14.583333333333334</v>
      </c>
      <c r="F617" s="1" t="str">
        <f t="shared" si="38"/>
        <v>50</v>
      </c>
      <c r="G617" s="1" t="str">
        <f t="shared" si="39"/>
        <v/>
      </c>
      <c r="I617" s="1" t="str">
        <f t="shared" si="37"/>
        <v>威尔新数值1.06.xlsm!suitPower</v>
      </c>
    </row>
    <row r="618" spans="1:9" x14ac:dyDescent="0.15">
      <c r="A618" s="1">
        <v>617</v>
      </c>
      <c r="B618" s="1">
        <v>102010300</v>
      </c>
      <c r="C618" s="1">
        <f t="shared" si="40"/>
        <v>9</v>
      </c>
      <c r="D618" s="5">
        <f ca="1">IF(getQuality(B618)&lt;4,getOtherMin(B618,C618,INDIRECT(J$2),INDIRECT(I618),test),getMin(B618,C618,INDIRECT(J$2),INDIRECT(I618),test))</f>
        <v>1</v>
      </c>
      <c r="E618" s="5">
        <f ca="1">IF(getQuality(B618)&lt;4,getOtherMax(B618,C618,INDIRECT(J$2),INDIRECT(I618),test),getMax(B618,C618,INDIRECT(J$2),INDIRECT(I618),test))</f>
        <v>21.008641265250315</v>
      </c>
      <c r="F618" s="1" t="str">
        <f t="shared" si="38"/>
        <v>50</v>
      </c>
      <c r="G618" s="1" t="str">
        <f t="shared" si="39"/>
        <v/>
      </c>
      <c r="I618" s="1" t="str">
        <f t="shared" si="37"/>
        <v>威尔新数值1.06.xlsm!suitPower</v>
      </c>
    </row>
    <row r="619" spans="1:9" x14ac:dyDescent="0.15">
      <c r="A619" s="1">
        <v>618</v>
      </c>
      <c r="B619" s="1">
        <v>102010300</v>
      </c>
      <c r="C619" s="1">
        <f t="shared" si="40"/>
        <v>10</v>
      </c>
      <c r="D619" s="5">
        <f ca="1">IF(getQuality(B619)&lt;4,getOtherMin(B619,C619,INDIRECT(J$2),INDIRECT(I619),test),getMin(B619,C619,INDIRECT(J$2),INDIRECT(I619),test))</f>
        <v>1</v>
      </c>
      <c r="E619" s="5">
        <f ca="1">IF(getQuality(B619)&lt;4,getOtherMax(B619,C619,INDIRECT(J$2),INDIRECT(I619),test),getMax(B619,C619,INDIRECT(J$2),INDIRECT(I619),test))</f>
        <v>21.008641265250315</v>
      </c>
      <c r="F619" s="1" t="str">
        <f t="shared" si="38"/>
        <v>50</v>
      </c>
      <c r="G619" s="1" t="str">
        <f t="shared" si="39"/>
        <v/>
      </c>
      <c r="I619" s="1" t="str">
        <f t="shared" si="37"/>
        <v>威尔新数值1.06.xlsm!suitPower</v>
      </c>
    </row>
    <row r="620" spans="1:9" x14ac:dyDescent="0.15">
      <c r="A620" s="1">
        <v>619</v>
      </c>
      <c r="B620" s="1">
        <v>102010300</v>
      </c>
      <c r="C620" s="1">
        <f t="shared" si="40"/>
        <v>11</v>
      </c>
      <c r="D620" s="5">
        <f ca="1">IF(getQuality(B620)&lt;4,getOtherMin(B620,C620,INDIRECT(J$2),INDIRECT(I620),test),getMin(B620,C620,INDIRECT(J$2),INDIRECT(I620),test))</f>
        <v>1</v>
      </c>
      <c r="E620" s="5">
        <f ca="1">IF(getQuality(B620)&lt;4,getOtherMax(B620,C620,INDIRECT(J$2),INDIRECT(I620),test),getMax(B620,C620,INDIRECT(J$2),INDIRECT(I620),test))</f>
        <v>21.008641265250315</v>
      </c>
      <c r="F620" s="1" t="str">
        <f t="shared" si="38"/>
        <v>50</v>
      </c>
      <c r="G620" s="1" t="str">
        <f t="shared" si="39"/>
        <v/>
      </c>
      <c r="I620" s="1" t="str">
        <f t="shared" si="37"/>
        <v>威尔新数值1.06.xlsm!suitPower</v>
      </c>
    </row>
    <row r="621" spans="1:9" x14ac:dyDescent="0.15">
      <c r="A621" s="1">
        <v>620</v>
      </c>
      <c r="B621" s="1">
        <v>102010300</v>
      </c>
      <c r="C621" s="1">
        <f t="shared" si="40"/>
        <v>12</v>
      </c>
      <c r="D621" s="5">
        <f ca="1">IF(getQuality(B621)&lt;4,getOtherMin(B621,C621,INDIRECT(J$2),INDIRECT(I621),test),getMin(B621,C621,INDIRECT(J$2),INDIRECT(I621),test))</f>
        <v>1</v>
      </c>
      <c r="E621" s="5">
        <f ca="1">IF(getQuality(B621)&lt;4,getOtherMax(B621,C621,INDIRECT(J$2),INDIRECT(I621),test),getMax(B621,C621,INDIRECT(J$2),INDIRECT(I621),test))</f>
        <v>21.008641265250315</v>
      </c>
      <c r="F621" s="1" t="str">
        <f t="shared" si="38"/>
        <v>50</v>
      </c>
      <c r="G621" s="1" t="str">
        <f t="shared" si="39"/>
        <v/>
      </c>
      <c r="I621" s="1" t="str">
        <f t="shared" si="37"/>
        <v>威尔新数值1.06.xlsm!suitPower</v>
      </c>
    </row>
    <row r="622" spans="1:9" x14ac:dyDescent="0.15">
      <c r="A622" s="1">
        <v>621</v>
      </c>
      <c r="B622" s="1">
        <v>102010300</v>
      </c>
      <c r="C622" s="1">
        <f t="shared" si="40"/>
        <v>13</v>
      </c>
      <c r="D622" s="5">
        <f ca="1">IF(getQuality(B622)&lt;4,getOtherMin(B622,C622,INDIRECT(J$2),INDIRECT(I622),test),getMin(B622,C622,INDIRECT(J$2),INDIRECT(I622),test))</f>
        <v>1</v>
      </c>
      <c r="E622" s="5">
        <f ca="1">IF(getQuality(B622)&lt;4,getOtherMax(B622,C622,INDIRECT(J$2),INDIRECT(I622),test),getMax(B622,C622,INDIRECT(J$2),INDIRECT(I622),test))</f>
        <v>21.008641265250315</v>
      </c>
      <c r="F622" s="1" t="str">
        <f t="shared" si="38"/>
        <v>50</v>
      </c>
      <c r="G622" s="1" t="str">
        <f t="shared" si="39"/>
        <v/>
      </c>
      <c r="I622" s="1" t="str">
        <f t="shared" si="37"/>
        <v>威尔新数值1.06.xlsm!suitPower</v>
      </c>
    </row>
    <row r="623" spans="1:9" x14ac:dyDescent="0.15">
      <c r="A623" s="1">
        <v>622</v>
      </c>
      <c r="B623" s="1">
        <v>102010300</v>
      </c>
      <c r="C623" s="1">
        <f t="shared" si="40"/>
        <v>14</v>
      </c>
      <c r="D623" s="5">
        <f ca="1">IF(getQuality(B623)&lt;4,getOtherMin(B623,C623,INDIRECT(J$2),INDIRECT(I623),test),getMin(B623,C623,INDIRECT(J$2),INDIRECT(I623),test))</f>
        <v>1</v>
      </c>
      <c r="E623" s="5">
        <f ca="1">IF(getQuality(B623)&lt;4,getOtherMax(B623,C623,INDIRECT(J$2),INDIRECT(I623),test),getMax(B623,C623,INDIRECT(J$2),INDIRECT(I623),test))</f>
        <v>21.008641265250315</v>
      </c>
      <c r="F623" s="1" t="str">
        <f t="shared" si="38"/>
        <v>50</v>
      </c>
      <c r="G623" s="1" t="str">
        <f t="shared" si="39"/>
        <v/>
      </c>
      <c r="I623" s="1" t="str">
        <f t="shared" si="37"/>
        <v>威尔新数值1.06.xlsm!suitPower</v>
      </c>
    </row>
    <row r="624" spans="1:9" x14ac:dyDescent="0.15">
      <c r="A624" s="1">
        <v>623</v>
      </c>
      <c r="B624" s="1">
        <v>102010300</v>
      </c>
      <c r="C624" s="1">
        <f t="shared" si="40"/>
        <v>15</v>
      </c>
      <c r="D624" s="5">
        <f ca="1">IF(getQuality(B624)&lt;4,getOtherMin(B624,C624,INDIRECT(J$2),INDIRECT(I624),test),getMin(B624,C624,INDIRECT(J$2),INDIRECT(I624),test))</f>
        <v>1</v>
      </c>
      <c r="E624" s="5">
        <f ca="1">IF(getQuality(B624)&lt;4,getOtherMax(B624,C624,INDIRECT(J$2),INDIRECT(I624),test),getMax(B624,C624,INDIRECT(J$2),INDIRECT(I624),test))</f>
        <v>21.008641265250315</v>
      </c>
      <c r="F624" s="1" t="str">
        <f t="shared" si="38"/>
        <v>50</v>
      </c>
      <c r="G624" s="1" t="str">
        <f t="shared" si="39"/>
        <v/>
      </c>
      <c r="I624" s="1" t="str">
        <f t="shared" si="37"/>
        <v>威尔新数值1.06.xlsm!suitPower</v>
      </c>
    </row>
    <row r="625" spans="1:9" x14ac:dyDescent="0.15">
      <c r="A625" s="1">
        <v>624</v>
      </c>
      <c r="B625" s="1">
        <v>102010300</v>
      </c>
      <c r="C625" s="1">
        <f t="shared" si="40"/>
        <v>101</v>
      </c>
      <c r="D625" s="5">
        <f ca="1">IF(getQuality(B625)&lt;4,getOtherMin(B625,C625,INDIRECT(J$2),INDIRECT(I625),test),getMin(B625,C625,INDIRECT(J$2),INDIRECT(I625),test))</f>
        <v>0.06</v>
      </c>
      <c r="E625" s="5">
        <f ca="1">IF(getQuality(B625)&lt;4,getOtherMax(B625,C625,INDIRECT(J$2),INDIRECT(I625),test),getMax(B625,C625,INDIRECT(J$2),INDIRECT(I625),test))</f>
        <v>0.09</v>
      </c>
      <c r="F625" s="1" t="str">
        <f t="shared" si="38"/>
        <v>50</v>
      </c>
      <c r="G625" s="1" t="str">
        <f t="shared" si="39"/>
        <v/>
      </c>
      <c r="I625" s="1" t="str">
        <f t="shared" si="37"/>
        <v>威尔新数值1.06.xlsm!circlePer</v>
      </c>
    </row>
    <row r="626" spans="1:9" x14ac:dyDescent="0.15">
      <c r="A626" s="1">
        <v>625</v>
      </c>
      <c r="B626" s="1">
        <v>102010300</v>
      </c>
      <c r="C626" s="1">
        <f t="shared" si="40"/>
        <v>102</v>
      </c>
      <c r="D626" s="5">
        <f ca="1">IF(getQuality(B626)&lt;4,getOtherMin(B626,C626,INDIRECT(J$2),INDIRECT(I626),test),getMin(B626,C626,INDIRECT(J$2),INDIRECT(I626),test))</f>
        <v>0.4</v>
      </c>
      <c r="E626" s="5">
        <f ca="1">IF(getQuality(B626)&lt;4,getOtherMax(B626,C626,INDIRECT(J$2),INDIRECT(I626),test),getMax(B626,C626,INDIRECT(J$2),INDIRECT(I626),test))</f>
        <v>0.8</v>
      </c>
      <c r="F626" s="1" t="str">
        <f t="shared" si="38"/>
        <v>50</v>
      </c>
      <c r="G626" s="1" t="str">
        <f t="shared" si="39"/>
        <v/>
      </c>
      <c r="I626" s="1" t="str">
        <f t="shared" si="37"/>
        <v>威尔新数值1.06.xlsm!circleValue</v>
      </c>
    </row>
    <row r="627" spans="1:9" x14ac:dyDescent="0.15">
      <c r="A627" s="1">
        <v>626</v>
      </c>
      <c r="B627" s="1">
        <v>102010300</v>
      </c>
      <c r="C627" s="1">
        <f t="shared" si="40"/>
        <v>103</v>
      </c>
      <c r="D627" s="5">
        <f ca="1">IF(getQuality(B627)&lt;4,getOtherMin(B627,C627,INDIRECT(J$2),INDIRECT(I627),test),getMin(B627,C627,INDIRECT(J$2),INDIRECT(I627),test))</f>
        <v>0.06</v>
      </c>
      <c r="E627" s="5">
        <f ca="1">IF(getQuality(B627)&lt;4,getOtherMax(B627,C627,INDIRECT(J$2),INDIRECT(I627),test),getMax(B627,C627,INDIRECT(J$2),INDIRECT(I627),test))</f>
        <v>0.09</v>
      </c>
      <c r="F627" s="1" t="str">
        <f t="shared" si="38"/>
        <v>50</v>
      </c>
      <c r="G627" s="1" t="str">
        <f t="shared" si="39"/>
        <v/>
      </c>
      <c r="I627" s="1" t="str">
        <f t="shared" si="37"/>
        <v>威尔新数值1.06.xlsm!otherDamage</v>
      </c>
    </row>
    <row r="628" spans="1:9" x14ac:dyDescent="0.15">
      <c r="A628" s="1">
        <v>627</v>
      </c>
      <c r="B628" s="1">
        <v>102010300</v>
      </c>
      <c r="C628" s="1">
        <f t="shared" si="40"/>
        <v>104</v>
      </c>
      <c r="D628" s="5">
        <f ca="1">IF(getQuality(B628)&lt;4,getOtherMin(B628,C628,INDIRECT(J$2),INDIRECT(I628),test),getMin(B628,C628,INDIRECT(J$2),INDIRECT(I628),test))</f>
        <v>0.06</v>
      </c>
      <c r="E628" s="5">
        <f ca="1">IF(getQuality(B628)&lt;4,getOtherMax(B628,C628,INDIRECT(J$2),INDIRECT(I628),test),getMax(B628,C628,INDIRECT(J$2),INDIRECT(I628),test))</f>
        <v>0.12</v>
      </c>
      <c r="F628" s="1" t="str">
        <f t="shared" si="38"/>
        <v>50</v>
      </c>
      <c r="G628" s="1" t="str">
        <f t="shared" si="39"/>
        <v/>
      </c>
      <c r="I628" s="1" t="str">
        <f t="shared" si="37"/>
        <v>威尔新数值1.06.xlsm!monsterDamage</v>
      </c>
    </row>
    <row r="629" spans="1:9" x14ac:dyDescent="0.15">
      <c r="A629" s="1">
        <v>628</v>
      </c>
      <c r="B629" s="1">
        <v>102010300</v>
      </c>
      <c r="C629" s="1">
        <f t="shared" si="40"/>
        <v>105</v>
      </c>
      <c r="D629" s="5">
        <f ca="1">IF(getQuality(B629)&lt;4,getOtherMin(B629,C629,INDIRECT(J$2),INDIRECT(I629),test),getMin(B629,C629,INDIRECT(J$2),INDIRECT(I629),test))</f>
        <v>0.06</v>
      </c>
      <c r="E629" s="5">
        <f ca="1">IF(getQuality(B629)&lt;4,getOtherMax(B629,C629,INDIRECT(J$2),INDIRECT(I629),test),getMax(B629,C629,INDIRECT(J$2),INDIRECT(I629),test))</f>
        <v>0.12</v>
      </c>
      <c r="F629" s="1" t="str">
        <f t="shared" si="38"/>
        <v>50</v>
      </c>
      <c r="G629" s="1" t="str">
        <f t="shared" si="39"/>
        <v/>
      </c>
      <c r="I629" s="1" t="str">
        <f t="shared" si="37"/>
        <v>威尔新数值1.06.xlsm!monsterDamage</v>
      </c>
    </row>
    <row r="630" spans="1:9" x14ac:dyDescent="0.15">
      <c r="A630" s="1">
        <v>629</v>
      </c>
      <c r="B630" s="1">
        <v>102010300</v>
      </c>
      <c r="C630" s="1">
        <f t="shared" si="40"/>
        <v>106</v>
      </c>
      <c r="D630" s="5">
        <f ca="1">IF(getQuality(B630)&lt;4,getOtherMin(B630,C630,INDIRECT(J$2),INDIRECT(I630),test),getMin(B630,C630,INDIRECT(J$2),INDIRECT(I630),test))</f>
        <v>0.06</v>
      </c>
      <c r="E630" s="5">
        <f ca="1">IF(getQuality(B630)&lt;4,getOtherMax(B630,C630,INDIRECT(J$2),INDIRECT(I630),test),getMax(B630,C630,INDIRECT(J$2),INDIRECT(I630),test))</f>
        <v>0.12</v>
      </c>
      <c r="F630" s="1" t="str">
        <f t="shared" si="38"/>
        <v>50</v>
      </c>
      <c r="G630" s="1" t="str">
        <f t="shared" si="39"/>
        <v/>
      </c>
      <c r="I630" s="1" t="str">
        <f t="shared" si="37"/>
        <v>威尔新数值1.06.xlsm!monsterDamage</v>
      </c>
    </row>
    <row r="631" spans="1:9" x14ac:dyDescent="0.15">
      <c r="A631" s="1">
        <v>630</v>
      </c>
      <c r="B631" s="1">
        <v>102010300</v>
      </c>
      <c r="C631" s="1">
        <f t="shared" si="40"/>
        <v>107</v>
      </c>
      <c r="D631" s="5">
        <f ca="1">IF(getQuality(B631)&lt;4,getOtherMin(B631,C631,INDIRECT(J$2),INDIRECT(I631),test),getMin(B631,C631,INDIRECT(J$2),INDIRECT(I631),test))</f>
        <v>0.06</v>
      </c>
      <c r="E631" s="5">
        <f ca="1">IF(getQuality(B631)&lt;4,getOtherMax(B631,C631,INDIRECT(J$2),INDIRECT(I631),test),getMax(B631,C631,INDIRECT(J$2),INDIRECT(I631),test))</f>
        <v>0.12</v>
      </c>
      <c r="F631" s="1" t="str">
        <f t="shared" si="38"/>
        <v>50</v>
      </c>
      <c r="G631" s="1" t="str">
        <f t="shared" si="39"/>
        <v/>
      </c>
      <c r="I631" s="1" t="str">
        <f t="shared" si="37"/>
        <v>威尔新数值1.06.xlsm!monsterDamage</v>
      </c>
    </row>
    <row r="632" spans="1:9" x14ac:dyDescent="0.15">
      <c r="A632" s="1">
        <v>631</v>
      </c>
      <c r="B632" s="1">
        <v>102010300</v>
      </c>
      <c r="C632" s="1">
        <f t="shared" si="40"/>
        <v>108</v>
      </c>
      <c r="D632" s="5">
        <f ca="1">IF(getQuality(B632)&lt;4,getOtherMin(B632,C632,INDIRECT(J$2),INDIRECT(I632),test),getMin(B632,C632,INDIRECT(J$2),INDIRECT(I632),test))</f>
        <v>0.06</v>
      </c>
      <c r="E632" s="5">
        <f ca="1">IF(getQuality(B632)&lt;4,getOtherMax(B632,C632,INDIRECT(J$2),INDIRECT(I632),test),getMax(B632,C632,INDIRECT(J$2),INDIRECT(I632),test))</f>
        <v>0.12</v>
      </c>
      <c r="F632" s="1" t="str">
        <f t="shared" si="38"/>
        <v>50</v>
      </c>
      <c r="G632" s="1" t="str">
        <f t="shared" si="39"/>
        <v/>
      </c>
      <c r="I632" s="1" t="str">
        <f t="shared" si="37"/>
        <v>威尔新数值1.06.xlsm!monsterDamage</v>
      </c>
    </row>
    <row r="633" spans="1:9" x14ac:dyDescent="0.15">
      <c r="A633" s="1">
        <v>632</v>
      </c>
      <c r="B633" s="1">
        <v>102020300</v>
      </c>
      <c r="C633" s="1">
        <f t="shared" si="40"/>
        <v>3</v>
      </c>
      <c r="D633" s="5">
        <f ca="1">IF(getQuality(B633)&lt;4,getOtherMin(B633,C633,INDIRECT(J$2),INDIRECT(I633),test),getMin(B633,C633,INDIRECT(J$2),INDIRECT(I633),test))</f>
        <v>22.008641265250315</v>
      </c>
      <c r="E633" s="5">
        <f ca="1">IF(getQuality(B633)&lt;4,getOtherMax(B633,C633,INDIRECT(J$2),INDIRECT(I633),test),getMax(B633,C633,INDIRECT(J$2),INDIRECT(I633),test))</f>
        <v>46.219010783550694</v>
      </c>
      <c r="F633" s="1" t="str">
        <f t="shared" si="38"/>
        <v>50</v>
      </c>
      <c r="G633" s="1" t="str">
        <f t="shared" si="39"/>
        <v>1</v>
      </c>
      <c r="I633" s="1" t="str">
        <f t="shared" si="37"/>
        <v>威尔新数值1.06.xlsm!suitPower</v>
      </c>
    </row>
    <row r="634" spans="1:9" x14ac:dyDescent="0.15">
      <c r="A634" s="1">
        <v>633</v>
      </c>
      <c r="B634" s="1">
        <v>102020300</v>
      </c>
      <c r="C634" s="1">
        <f t="shared" si="40"/>
        <v>5</v>
      </c>
      <c r="D634" s="5">
        <f ca="1">IF(getQuality(B634)&lt;4,getOtherMin(B634,C634,INDIRECT(J$2),INDIRECT(I634),test),getMin(B634,C634,INDIRECT(J$2),INDIRECT(I634),test))</f>
        <v>22.008641265250315</v>
      </c>
      <c r="E634" s="5">
        <f ca="1">IF(getQuality(B634)&lt;4,getOtherMax(B634,C634,INDIRECT(J$2),INDIRECT(I634),test),getMax(B634,C634,INDIRECT(J$2),INDIRECT(I634),test))</f>
        <v>46.219010783550694</v>
      </c>
      <c r="F634" s="1" t="str">
        <f t="shared" si="38"/>
        <v>50</v>
      </c>
      <c r="G634" s="1" t="str">
        <f t="shared" si="39"/>
        <v/>
      </c>
      <c r="I634" s="1" t="str">
        <f t="shared" si="37"/>
        <v>威尔新数值1.06.xlsm!suitPower</v>
      </c>
    </row>
    <row r="635" spans="1:9" x14ac:dyDescent="0.15">
      <c r="A635" s="1">
        <v>634</v>
      </c>
      <c r="B635" s="1">
        <v>102020300</v>
      </c>
      <c r="C635" s="1">
        <f t="shared" si="40"/>
        <v>7</v>
      </c>
      <c r="D635" s="5">
        <f ca="1">IF(getQuality(B635)&lt;4,getOtherMin(B635,C635,INDIRECT(J$2),INDIRECT(I635),test),getMin(B635,C635,INDIRECT(J$2),INDIRECT(I635),test))</f>
        <v>7.481481481481465</v>
      </c>
      <c r="E635" s="5">
        <f ca="1">IF(getQuality(B635)&lt;4,getOtherMax(B635,C635,INDIRECT(J$2),INDIRECT(I635),test),getMax(B635,C635,INDIRECT(J$2),INDIRECT(I635),test))</f>
        <v>12.96296296296293</v>
      </c>
      <c r="F635" s="1" t="str">
        <f t="shared" si="38"/>
        <v>50</v>
      </c>
      <c r="G635" s="1" t="str">
        <f t="shared" si="39"/>
        <v/>
      </c>
      <c r="I635" s="1" t="str">
        <f t="shared" si="37"/>
        <v>威尔新数值1.06.xlsm!suitPower</v>
      </c>
    </row>
    <row r="636" spans="1:9" x14ac:dyDescent="0.15">
      <c r="A636" s="1">
        <v>635</v>
      </c>
      <c r="B636" s="1">
        <v>102020300</v>
      </c>
      <c r="C636" s="1">
        <f t="shared" si="40"/>
        <v>8</v>
      </c>
      <c r="D636" s="5">
        <f ca="1">IF(getQuality(B636)&lt;4,getOtherMin(B636,C636,INDIRECT(J$2),INDIRECT(I636),test),getMin(B636,C636,INDIRECT(J$2),INDIRECT(I636),test))</f>
        <v>15.583333333333334</v>
      </c>
      <c r="E636" s="5">
        <f ca="1">IF(getQuality(B636)&lt;4,getOtherMax(B636,C636,INDIRECT(J$2),INDIRECT(I636),test),getMax(B636,C636,INDIRECT(J$2),INDIRECT(I636),test))</f>
        <v>29.166666666666668</v>
      </c>
      <c r="F636" s="1" t="str">
        <f t="shared" si="38"/>
        <v>50</v>
      </c>
      <c r="G636" s="1" t="str">
        <f t="shared" si="39"/>
        <v/>
      </c>
      <c r="I636" s="1" t="str">
        <f t="shared" si="37"/>
        <v>威尔新数值1.06.xlsm!suitPower</v>
      </c>
    </row>
    <row r="637" spans="1:9" x14ac:dyDescent="0.15">
      <c r="A637" s="1">
        <v>636</v>
      </c>
      <c r="B637" s="1">
        <v>102020300</v>
      </c>
      <c r="C637" s="1">
        <f t="shared" si="40"/>
        <v>9</v>
      </c>
      <c r="D637" s="5">
        <f ca="1">IF(getQuality(B637)&lt;4,getOtherMin(B637,C637,INDIRECT(J$2),INDIRECT(I637),test),getMin(B637,C637,INDIRECT(J$2),INDIRECT(I637),test))</f>
        <v>22.008641265250315</v>
      </c>
      <c r="E637" s="5">
        <f ca="1">IF(getQuality(B637)&lt;4,getOtherMax(B637,C637,INDIRECT(J$2),INDIRECT(I637),test),getMax(B637,C637,INDIRECT(J$2),INDIRECT(I637),test))</f>
        <v>46.219010783550694</v>
      </c>
      <c r="F637" s="1" t="str">
        <f t="shared" si="38"/>
        <v>50</v>
      </c>
      <c r="G637" s="1" t="str">
        <f t="shared" si="39"/>
        <v/>
      </c>
      <c r="I637" s="1" t="str">
        <f t="shared" si="37"/>
        <v>威尔新数值1.06.xlsm!suitPower</v>
      </c>
    </row>
    <row r="638" spans="1:9" x14ac:dyDescent="0.15">
      <c r="A638" s="1">
        <v>637</v>
      </c>
      <c r="B638" s="1">
        <v>102020300</v>
      </c>
      <c r="C638" s="1">
        <f t="shared" si="40"/>
        <v>10</v>
      </c>
      <c r="D638" s="5">
        <f ca="1">IF(getQuality(B638)&lt;4,getOtherMin(B638,C638,INDIRECT(J$2),INDIRECT(I638),test),getMin(B638,C638,INDIRECT(J$2),INDIRECT(I638),test))</f>
        <v>22.008641265250315</v>
      </c>
      <c r="E638" s="5">
        <f ca="1">IF(getQuality(B638)&lt;4,getOtherMax(B638,C638,INDIRECT(J$2),INDIRECT(I638),test),getMax(B638,C638,INDIRECT(J$2),INDIRECT(I638),test))</f>
        <v>46.219010783550694</v>
      </c>
      <c r="F638" s="1" t="str">
        <f t="shared" si="38"/>
        <v>50</v>
      </c>
      <c r="G638" s="1" t="str">
        <f t="shared" si="39"/>
        <v/>
      </c>
      <c r="I638" s="1" t="str">
        <f t="shared" si="37"/>
        <v>威尔新数值1.06.xlsm!suitPower</v>
      </c>
    </row>
    <row r="639" spans="1:9" x14ac:dyDescent="0.15">
      <c r="A639" s="1">
        <v>638</v>
      </c>
      <c r="B639" s="1">
        <v>102020300</v>
      </c>
      <c r="C639" s="1">
        <f t="shared" si="40"/>
        <v>11</v>
      </c>
      <c r="D639" s="5">
        <f ca="1">IF(getQuality(B639)&lt;4,getOtherMin(B639,C639,INDIRECT(J$2),INDIRECT(I639),test),getMin(B639,C639,INDIRECT(J$2),INDIRECT(I639),test))</f>
        <v>22.008641265250315</v>
      </c>
      <c r="E639" s="5">
        <f ca="1">IF(getQuality(B639)&lt;4,getOtherMax(B639,C639,INDIRECT(J$2),INDIRECT(I639),test),getMax(B639,C639,INDIRECT(J$2),INDIRECT(I639),test))</f>
        <v>46.219010783550694</v>
      </c>
      <c r="F639" s="1" t="str">
        <f t="shared" si="38"/>
        <v>50</v>
      </c>
      <c r="G639" s="1" t="str">
        <f t="shared" si="39"/>
        <v/>
      </c>
      <c r="I639" s="1" t="str">
        <f t="shared" si="37"/>
        <v>威尔新数值1.06.xlsm!suitPower</v>
      </c>
    </row>
    <row r="640" spans="1:9" x14ac:dyDescent="0.15">
      <c r="A640" s="1">
        <v>639</v>
      </c>
      <c r="B640" s="1">
        <v>102020300</v>
      </c>
      <c r="C640" s="1">
        <f t="shared" si="40"/>
        <v>12</v>
      </c>
      <c r="D640" s="5">
        <f ca="1">IF(getQuality(B640)&lt;4,getOtherMin(B640,C640,INDIRECT(J$2),INDIRECT(I640),test),getMin(B640,C640,INDIRECT(J$2),INDIRECT(I640),test))</f>
        <v>22.008641265250315</v>
      </c>
      <c r="E640" s="5">
        <f ca="1">IF(getQuality(B640)&lt;4,getOtherMax(B640,C640,INDIRECT(J$2),INDIRECT(I640),test),getMax(B640,C640,INDIRECT(J$2),INDIRECT(I640),test))</f>
        <v>46.219010783550694</v>
      </c>
      <c r="F640" s="1" t="str">
        <f t="shared" si="38"/>
        <v>50</v>
      </c>
      <c r="G640" s="1" t="str">
        <f t="shared" si="39"/>
        <v/>
      </c>
      <c r="I640" s="1" t="str">
        <f t="shared" si="37"/>
        <v>威尔新数值1.06.xlsm!suitPower</v>
      </c>
    </row>
    <row r="641" spans="1:9" x14ac:dyDescent="0.15">
      <c r="A641" s="1">
        <v>640</v>
      </c>
      <c r="B641" s="1">
        <v>102020300</v>
      </c>
      <c r="C641" s="1">
        <f t="shared" si="40"/>
        <v>13</v>
      </c>
      <c r="D641" s="5">
        <f ca="1">IF(getQuality(B641)&lt;4,getOtherMin(B641,C641,INDIRECT(J$2),INDIRECT(I641),test),getMin(B641,C641,INDIRECT(J$2),INDIRECT(I641),test))</f>
        <v>22.008641265250315</v>
      </c>
      <c r="E641" s="5">
        <f ca="1">IF(getQuality(B641)&lt;4,getOtherMax(B641,C641,INDIRECT(J$2),INDIRECT(I641),test),getMax(B641,C641,INDIRECT(J$2),INDIRECT(I641),test))</f>
        <v>46.219010783550694</v>
      </c>
      <c r="F641" s="1" t="str">
        <f t="shared" si="38"/>
        <v>50</v>
      </c>
      <c r="G641" s="1" t="str">
        <f t="shared" si="39"/>
        <v/>
      </c>
      <c r="I641" s="1" t="str">
        <f t="shared" si="37"/>
        <v>威尔新数值1.06.xlsm!suitPower</v>
      </c>
    </row>
    <row r="642" spans="1:9" x14ac:dyDescent="0.15">
      <c r="A642" s="1">
        <v>641</v>
      </c>
      <c r="B642" s="1">
        <v>102020300</v>
      </c>
      <c r="C642" s="1">
        <f t="shared" si="40"/>
        <v>14</v>
      </c>
      <c r="D642" s="5">
        <f ca="1">IF(getQuality(B642)&lt;4,getOtherMin(B642,C642,INDIRECT(J$2),INDIRECT(I642),test),getMin(B642,C642,INDIRECT(J$2),INDIRECT(I642),test))</f>
        <v>22.008641265250315</v>
      </c>
      <c r="E642" s="5">
        <f ca="1">IF(getQuality(B642)&lt;4,getOtherMax(B642,C642,INDIRECT(J$2),INDIRECT(I642),test),getMax(B642,C642,INDIRECT(J$2),INDIRECT(I642),test))</f>
        <v>46.219010783550694</v>
      </c>
      <c r="F642" s="1" t="str">
        <f t="shared" si="38"/>
        <v>50</v>
      </c>
      <c r="G642" s="1" t="str">
        <f t="shared" si="39"/>
        <v/>
      </c>
      <c r="I642" s="1" t="str">
        <f t="shared" ref="I642:I705" si="41">IF(C642&lt;100,VLOOKUP(C642,test,3,FALSE),VLOOKUP(C642,test1,3,FALSE))</f>
        <v>威尔新数值1.06.xlsm!suitPower</v>
      </c>
    </row>
    <row r="643" spans="1:9" x14ac:dyDescent="0.15">
      <c r="A643" s="1">
        <v>642</v>
      </c>
      <c r="B643" s="1">
        <v>102020300</v>
      </c>
      <c r="C643" s="1">
        <f t="shared" si="40"/>
        <v>15</v>
      </c>
      <c r="D643" s="5">
        <f ca="1">IF(getQuality(B643)&lt;4,getOtherMin(B643,C643,INDIRECT(J$2),INDIRECT(I643),test),getMin(B643,C643,INDIRECT(J$2),INDIRECT(I643),test))</f>
        <v>22.008641265250315</v>
      </c>
      <c r="E643" s="5">
        <f ca="1">IF(getQuality(B643)&lt;4,getOtherMax(B643,C643,INDIRECT(J$2),INDIRECT(I643),test),getMax(B643,C643,INDIRECT(J$2),INDIRECT(I643),test))</f>
        <v>46.219010783550694</v>
      </c>
      <c r="F643" s="1" t="str">
        <f t="shared" ref="F643:F706" si="42">getper(B643,C643)</f>
        <v>50</v>
      </c>
      <c r="G643" s="1" t="str">
        <f t="shared" ref="G643:G706" si="43">getMust(B643,C643)</f>
        <v/>
      </c>
      <c r="I643" s="1" t="str">
        <f t="shared" si="41"/>
        <v>威尔新数值1.06.xlsm!suitPower</v>
      </c>
    </row>
    <row r="644" spans="1:9" x14ac:dyDescent="0.15">
      <c r="A644" s="1">
        <v>643</v>
      </c>
      <c r="B644" s="1">
        <v>102020300</v>
      </c>
      <c r="C644" s="1">
        <f t="shared" si="40"/>
        <v>101</v>
      </c>
      <c r="D644" s="5">
        <f ca="1">IF(getQuality(B644)&lt;4,getOtherMin(B644,C644,INDIRECT(J$2),INDIRECT(I644),test),getMin(B644,C644,INDIRECT(J$2),INDIRECT(I644),test))</f>
        <v>7.0000000000000007E-2</v>
      </c>
      <c r="E644" s="5">
        <f ca="1">IF(getQuality(B644)&lt;4,getOtherMax(B644,C644,INDIRECT(J$2),INDIRECT(I644),test),getMax(B644,C644,INDIRECT(J$2),INDIRECT(I644),test))</f>
        <v>0.1</v>
      </c>
      <c r="F644" s="1" t="str">
        <f t="shared" si="42"/>
        <v>50</v>
      </c>
      <c r="G644" s="1" t="str">
        <f t="shared" si="43"/>
        <v/>
      </c>
      <c r="I644" s="1" t="str">
        <f t="shared" si="41"/>
        <v>威尔新数值1.06.xlsm!circlePer</v>
      </c>
    </row>
    <row r="645" spans="1:9" x14ac:dyDescent="0.15">
      <c r="A645" s="1">
        <v>644</v>
      </c>
      <c r="B645" s="1">
        <v>102020300</v>
      </c>
      <c r="C645" s="1">
        <f t="shared" si="40"/>
        <v>102</v>
      </c>
      <c r="D645" s="5">
        <f ca="1">IF(getQuality(B645)&lt;4,getOtherMin(B645,C645,INDIRECT(J$2),INDIRECT(I645),test),getMin(B645,C645,INDIRECT(J$2),INDIRECT(I645),test))</f>
        <v>0.5</v>
      </c>
      <c r="E645" s="5">
        <f ca="1">IF(getQuality(B645)&lt;4,getOtherMax(B645,C645,INDIRECT(J$2),INDIRECT(I645),test),getMax(B645,C645,INDIRECT(J$2),INDIRECT(I645),test))</f>
        <v>0.9</v>
      </c>
      <c r="F645" s="1" t="str">
        <f t="shared" si="42"/>
        <v>50</v>
      </c>
      <c r="G645" s="1" t="str">
        <f t="shared" si="43"/>
        <v/>
      </c>
      <c r="I645" s="1" t="str">
        <f t="shared" si="41"/>
        <v>威尔新数值1.06.xlsm!circleValue</v>
      </c>
    </row>
    <row r="646" spans="1:9" x14ac:dyDescent="0.15">
      <c r="A646" s="1">
        <v>645</v>
      </c>
      <c r="B646" s="1">
        <v>102020300</v>
      </c>
      <c r="C646" s="1">
        <f t="shared" si="40"/>
        <v>103</v>
      </c>
      <c r="D646" s="5">
        <f ca="1">IF(getQuality(B646)&lt;4,getOtherMin(B646,C646,INDIRECT(J$2),INDIRECT(I646),test),getMin(B646,C646,INDIRECT(J$2),INDIRECT(I646),test))</f>
        <v>7.0000000000000007E-2</v>
      </c>
      <c r="E646" s="5">
        <f ca="1">IF(getQuality(B646)&lt;4,getOtherMax(B646,C646,INDIRECT(J$2),INDIRECT(I646),test),getMax(B646,C646,INDIRECT(J$2),INDIRECT(I646),test))</f>
        <v>0.1</v>
      </c>
      <c r="F646" s="1" t="str">
        <f t="shared" si="42"/>
        <v>50</v>
      </c>
      <c r="G646" s="1" t="str">
        <f t="shared" si="43"/>
        <v/>
      </c>
      <c r="I646" s="1" t="str">
        <f t="shared" si="41"/>
        <v>威尔新数值1.06.xlsm!otherDamage</v>
      </c>
    </row>
    <row r="647" spans="1:9" x14ac:dyDescent="0.15">
      <c r="A647" s="1">
        <v>646</v>
      </c>
      <c r="B647" s="1">
        <v>102020300</v>
      </c>
      <c r="C647" s="1">
        <f t="shared" si="40"/>
        <v>104</v>
      </c>
      <c r="D647" s="5">
        <f ca="1">IF(getQuality(B647)&lt;4,getOtherMin(B647,C647,INDIRECT(J$2),INDIRECT(I647),test),getMin(B647,C647,INDIRECT(J$2),INDIRECT(I647),test))</f>
        <v>7.0000000000000007E-2</v>
      </c>
      <c r="E647" s="5">
        <f ca="1">IF(getQuality(B647)&lt;4,getOtherMax(B647,C647,INDIRECT(J$2),INDIRECT(I647),test),getMax(B647,C647,INDIRECT(J$2),INDIRECT(I647),test))</f>
        <v>0.14000000000000001</v>
      </c>
      <c r="F647" s="1" t="str">
        <f t="shared" si="42"/>
        <v>50</v>
      </c>
      <c r="G647" s="1" t="str">
        <f t="shared" si="43"/>
        <v/>
      </c>
      <c r="I647" s="1" t="str">
        <f t="shared" si="41"/>
        <v>威尔新数值1.06.xlsm!monsterDamage</v>
      </c>
    </row>
    <row r="648" spans="1:9" x14ac:dyDescent="0.15">
      <c r="A648" s="1">
        <v>647</v>
      </c>
      <c r="B648" s="1">
        <v>102020300</v>
      </c>
      <c r="C648" s="1">
        <f t="shared" si="40"/>
        <v>105</v>
      </c>
      <c r="D648" s="5">
        <f ca="1">IF(getQuality(B648)&lt;4,getOtherMin(B648,C648,INDIRECT(J$2),INDIRECT(I648),test),getMin(B648,C648,INDIRECT(J$2),INDIRECT(I648),test))</f>
        <v>7.0000000000000007E-2</v>
      </c>
      <c r="E648" s="5">
        <f ca="1">IF(getQuality(B648)&lt;4,getOtherMax(B648,C648,INDIRECT(J$2),INDIRECT(I648),test),getMax(B648,C648,INDIRECT(J$2),INDIRECT(I648),test))</f>
        <v>0.14000000000000001</v>
      </c>
      <c r="F648" s="1" t="str">
        <f t="shared" si="42"/>
        <v>50</v>
      </c>
      <c r="G648" s="1" t="str">
        <f t="shared" si="43"/>
        <v/>
      </c>
      <c r="I648" s="1" t="str">
        <f t="shared" si="41"/>
        <v>威尔新数值1.06.xlsm!monsterDamage</v>
      </c>
    </row>
    <row r="649" spans="1:9" x14ac:dyDescent="0.15">
      <c r="A649" s="1">
        <v>648</v>
      </c>
      <c r="B649" s="1">
        <v>102020300</v>
      </c>
      <c r="C649" s="1">
        <f t="shared" si="40"/>
        <v>106</v>
      </c>
      <c r="D649" s="5">
        <f ca="1">IF(getQuality(B649)&lt;4,getOtherMin(B649,C649,INDIRECT(J$2),INDIRECT(I649),test),getMin(B649,C649,INDIRECT(J$2),INDIRECT(I649),test))</f>
        <v>7.0000000000000007E-2</v>
      </c>
      <c r="E649" s="5">
        <f ca="1">IF(getQuality(B649)&lt;4,getOtherMax(B649,C649,INDIRECT(J$2),INDIRECT(I649),test),getMax(B649,C649,INDIRECT(J$2),INDIRECT(I649),test))</f>
        <v>0.14000000000000001</v>
      </c>
      <c r="F649" s="1" t="str">
        <f t="shared" si="42"/>
        <v>50</v>
      </c>
      <c r="G649" s="1" t="str">
        <f t="shared" si="43"/>
        <v/>
      </c>
      <c r="I649" s="1" t="str">
        <f t="shared" si="41"/>
        <v>威尔新数值1.06.xlsm!monsterDamage</v>
      </c>
    </row>
    <row r="650" spans="1:9" x14ac:dyDescent="0.15">
      <c r="A650" s="1">
        <v>649</v>
      </c>
      <c r="B650" s="1">
        <v>102020300</v>
      </c>
      <c r="C650" s="1">
        <f t="shared" si="40"/>
        <v>107</v>
      </c>
      <c r="D650" s="5">
        <f ca="1">IF(getQuality(B650)&lt;4,getOtherMin(B650,C650,INDIRECT(J$2),INDIRECT(I650),test),getMin(B650,C650,INDIRECT(J$2),INDIRECT(I650),test))</f>
        <v>7.0000000000000007E-2</v>
      </c>
      <c r="E650" s="5">
        <f ca="1">IF(getQuality(B650)&lt;4,getOtherMax(B650,C650,INDIRECT(J$2),INDIRECT(I650),test),getMax(B650,C650,INDIRECT(J$2),INDIRECT(I650),test))</f>
        <v>0.14000000000000001</v>
      </c>
      <c r="F650" s="1" t="str">
        <f t="shared" si="42"/>
        <v>50</v>
      </c>
      <c r="G650" s="1" t="str">
        <f t="shared" si="43"/>
        <v/>
      </c>
      <c r="I650" s="1" t="str">
        <f t="shared" si="41"/>
        <v>威尔新数值1.06.xlsm!monsterDamage</v>
      </c>
    </row>
    <row r="651" spans="1:9" x14ac:dyDescent="0.15">
      <c r="A651" s="1">
        <v>650</v>
      </c>
      <c r="B651" s="1">
        <v>102020300</v>
      </c>
      <c r="C651" s="1">
        <f t="shared" si="40"/>
        <v>108</v>
      </c>
      <c r="D651" s="5">
        <f ca="1">IF(getQuality(B651)&lt;4,getOtherMin(B651,C651,INDIRECT(J$2),INDIRECT(I651),test),getMin(B651,C651,INDIRECT(J$2),INDIRECT(I651),test))</f>
        <v>7.0000000000000007E-2</v>
      </c>
      <c r="E651" s="5">
        <f ca="1">IF(getQuality(B651)&lt;4,getOtherMax(B651,C651,INDIRECT(J$2),INDIRECT(I651),test),getMax(B651,C651,INDIRECT(J$2),INDIRECT(I651),test))</f>
        <v>0.14000000000000001</v>
      </c>
      <c r="F651" s="1" t="str">
        <f t="shared" si="42"/>
        <v>50</v>
      </c>
      <c r="G651" s="1" t="str">
        <f t="shared" si="43"/>
        <v/>
      </c>
      <c r="I651" s="1" t="str">
        <f t="shared" si="41"/>
        <v>威尔新数值1.06.xlsm!monsterDamage</v>
      </c>
    </row>
    <row r="652" spans="1:9" x14ac:dyDescent="0.15">
      <c r="A652" s="1">
        <v>651</v>
      </c>
      <c r="B652" s="1">
        <v>102030300</v>
      </c>
      <c r="C652" s="1">
        <f t="shared" si="40"/>
        <v>3</v>
      </c>
      <c r="D652" s="5">
        <f ca="1">IF(getQuality(B652)&lt;4,getOtherMin(B652,C652,INDIRECT(J$2),INDIRECT(I652),test),getMin(B652,C652,INDIRECT(J$2),INDIRECT(I652),test))</f>
        <v>47.219010783550694</v>
      </c>
      <c r="E652" s="5">
        <f ca="1">IF(getQuality(B652)&lt;4,getOtherMax(B652,C652,INDIRECT(J$2),INDIRECT(I652),test),getMax(B652,C652,INDIRECT(J$2),INDIRECT(I652),test))</f>
        <v>75.631108554901132</v>
      </c>
      <c r="F652" s="1" t="str">
        <f t="shared" si="42"/>
        <v>50</v>
      </c>
      <c r="G652" s="1" t="str">
        <f t="shared" si="43"/>
        <v>1</v>
      </c>
      <c r="I652" s="1" t="str">
        <f t="shared" si="41"/>
        <v>威尔新数值1.06.xlsm!suitPower</v>
      </c>
    </row>
    <row r="653" spans="1:9" x14ac:dyDescent="0.15">
      <c r="A653" s="1">
        <v>652</v>
      </c>
      <c r="B653" s="1">
        <v>102030300</v>
      </c>
      <c r="C653" s="1">
        <f t="shared" si="40"/>
        <v>5</v>
      </c>
      <c r="D653" s="5">
        <f ca="1">IF(getQuality(B653)&lt;4,getOtherMin(B653,C653,INDIRECT(J$2),INDIRECT(I653),test),getMin(B653,C653,INDIRECT(J$2),INDIRECT(I653),test))</f>
        <v>47.219010783550694</v>
      </c>
      <c r="E653" s="5">
        <f ca="1">IF(getQuality(B653)&lt;4,getOtherMax(B653,C653,INDIRECT(J$2),INDIRECT(I653),test),getMax(B653,C653,INDIRECT(J$2),INDIRECT(I653),test))</f>
        <v>75.631108554901132</v>
      </c>
      <c r="F653" s="1" t="str">
        <f t="shared" si="42"/>
        <v>50</v>
      </c>
      <c r="G653" s="1" t="str">
        <f t="shared" si="43"/>
        <v/>
      </c>
      <c r="I653" s="1" t="str">
        <f t="shared" si="41"/>
        <v>威尔新数值1.06.xlsm!suitPower</v>
      </c>
    </row>
    <row r="654" spans="1:9" x14ac:dyDescent="0.15">
      <c r="A654" s="1">
        <v>653</v>
      </c>
      <c r="B654" s="1">
        <v>102030300</v>
      </c>
      <c r="C654" s="1">
        <f t="shared" si="40"/>
        <v>7</v>
      </c>
      <c r="D654" s="5">
        <f ca="1">IF(getQuality(B654)&lt;4,getOtherMin(B654,C654,INDIRECT(J$2),INDIRECT(I654),test),getMin(B654,C654,INDIRECT(J$2),INDIRECT(I654),test))</f>
        <v>13.96296296296293</v>
      </c>
      <c r="E654" s="5">
        <f ca="1">IF(getQuality(B654)&lt;4,getOtherMax(B654,C654,INDIRECT(J$2),INDIRECT(I654),test),getMax(B654,C654,INDIRECT(J$2),INDIRECT(I654),test))</f>
        <v>19.444444444444393</v>
      </c>
      <c r="F654" s="1" t="str">
        <f t="shared" si="42"/>
        <v>50</v>
      </c>
      <c r="G654" s="1" t="str">
        <f t="shared" si="43"/>
        <v/>
      </c>
      <c r="I654" s="1" t="str">
        <f t="shared" si="41"/>
        <v>威尔新数值1.06.xlsm!suitPower</v>
      </c>
    </row>
    <row r="655" spans="1:9" x14ac:dyDescent="0.15">
      <c r="A655" s="1">
        <v>654</v>
      </c>
      <c r="B655" s="1">
        <v>102030300</v>
      </c>
      <c r="C655" s="1">
        <f t="shared" si="40"/>
        <v>8</v>
      </c>
      <c r="D655" s="5">
        <f ca="1">IF(getQuality(B655)&lt;4,getOtherMin(B655,C655,INDIRECT(J$2),INDIRECT(I655),test),getMin(B655,C655,INDIRECT(J$2),INDIRECT(I655),test))</f>
        <v>30.166666666666668</v>
      </c>
      <c r="E655" s="5">
        <f ca="1">IF(getQuality(B655)&lt;4,getOtherMax(B655,C655,INDIRECT(J$2),INDIRECT(I655),test),getMax(B655,C655,INDIRECT(J$2),INDIRECT(I655),test))</f>
        <v>43.75</v>
      </c>
      <c r="F655" s="1" t="str">
        <f t="shared" si="42"/>
        <v>50</v>
      </c>
      <c r="G655" s="1" t="str">
        <f t="shared" si="43"/>
        <v/>
      </c>
      <c r="I655" s="1" t="str">
        <f t="shared" si="41"/>
        <v>威尔新数值1.06.xlsm!suitPower</v>
      </c>
    </row>
    <row r="656" spans="1:9" x14ac:dyDescent="0.15">
      <c r="A656" s="1">
        <v>655</v>
      </c>
      <c r="B656" s="1">
        <v>102030300</v>
      </c>
      <c r="C656" s="1">
        <f t="shared" si="40"/>
        <v>9</v>
      </c>
      <c r="D656" s="5">
        <f ca="1">IF(getQuality(B656)&lt;4,getOtherMin(B656,C656,INDIRECT(J$2),INDIRECT(I656),test),getMin(B656,C656,INDIRECT(J$2),INDIRECT(I656),test))</f>
        <v>47.219010783550694</v>
      </c>
      <c r="E656" s="5">
        <f ca="1">IF(getQuality(B656)&lt;4,getOtherMax(B656,C656,INDIRECT(J$2),INDIRECT(I656),test),getMax(B656,C656,INDIRECT(J$2),INDIRECT(I656),test))</f>
        <v>75.631108554901132</v>
      </c>
      <c r="F656" s="1" t="str">
        <f t="shared" si="42"/>
        <v>50</v>
      </c>
      <c r="G656" s="1" t="str">
        <f t="shared" si="43"/>
        <v/>
      </c>
      <c r="I656" s="1" t="str">
        <f t="shared" si="41"/>
        <v>威尔新数值1.06.xlsm!suitPower</v>
      </c>
    </row>
    <row r="657" spans="1:9" x14ac:dyDescent="0.15">
      <c r="A657" s="1">
        <v>656</v>
      </c>
      <c r="B657" s="1">
        <v>102030300</v>
      </c>
      <c r="C657" s="1">
        <f t="shared" si="40"/>
        <v>10</v>
      </c>
      <c r="D657" s="5">
        <f ca="1">IF(getQuality(B657)&lt;4,getOtherMin(B657,C657,INDIRECT(J$2),INDIRECT(I657),test),getMin(B657,C657,INDIRECT(J$2),INDIRECT(I657),test))</f>
        <v>47.219010783550694</v>
      </c>
      <c r="E657" s="5">
        <f ca="1">IF(getQuality(B657)&lt;4,getOtherMax(B657,C657,INDIRECT(J$2),INDIRECT(I657),test),getMax(B657,C657,INDIRECT(J$2),INDIRECT(I657),test))</f>
        <v>75.631108554901132</v>
      </c>
      <c r="F657" s="1" t="str">
        <f t="shared" si="42"/>
        <v>50</v>
      </c>
      <c r="G657" s="1" t="str">
        <f t="shared" si="43"/>
        <v/>
      </c>
      <c r="I657" s="1" t="str">
        <f t="shared" si="41"/>
        <v>威尔新数值1.06.xlsm!suitPower</v>
      </c>
    </row>
    <row r="658" spans="1:9" x14ac:dyDescent="0.15">
      <c r="A658" s="1">
        <v>657</v>
      </c>
      <c r="B658" s="1">
        <v>102030300</v>
      </c>
      <c r="C658" s="1">
        <f t="shared" si="40"/>
        <v>11</v>
      </c>
      <c r="D658" s="5">
        <f ca="1">IF(getQuality(B658)&lt;4,getOtherMin(B658,C658,INDIRECT(J$2),INDIRECT(I658),test),getMin(B658,C658,INDIRECT(J$2),INDIRECT(I658),test))</f>
        <v>47.219010783550694</v>
      </c>
      <c r="E658" s="5">
        <f ca="1">IF(getQuality(B658)&lt;4,getOtherMax(B658,C658,INDIRECT(J$2),INDIRECT(I658),test),getMax(B658,C658,INDIRECT(J$2),INDIRECT(I658),test))</f>
        <v>75.631108554901132</v>
      </c>
      <c r="F658" s="1" t="str">
        <f t="shared" si="42"/>
        <v>50</v>
      </c>
      <c r="G658" s="1" t="str">
        <f t="shared" si="43"/>
        <v/>
      </c>
      <c r="I658" s="1" t="str">
        <f t="shared" si="41"/>
        <v>威尔新数值1.06.xlsm!suitPower</v>
      </c>
    </row>
    <row r="659" spans="1:9" x14ac:dyDescent="0.15">
      <c r="A659" s="1">
        <v>658</v>
      </c>
      <c r="B659" s="1">
        <v>102030300</v>
      </c>
      <c r="C659" s="1">
        <f t="shared" si="40"/>
        <v>12</v>
      </c>
      <c r="D659" s="5">
        <f ca="1">IF(getQuality(B659)&lt;4,getOtherMin(B659,C659,INDIRECT(J$2),INDIRECT(I659),test),getMin(B659,C659,INDIRECT(J$2),INDIRECT(I659),test))</f>
        <v>47.219010783550694</v>
      </c>
      <c r="E659" s="5">
        <f ca="1">IF(getQuality(B659)&lt;4,getOtherMax(B659,C659,INDIRECT(J$2),INDIRECT(I659),test),getMax(B659,C659,INDIRECT(J$2),INDIRECT(I659),test))</f>
        <v>75.631108554901132</v>
      </c>
      <c r="F659" s="1" t="str">
        <f t="shared" si="42"/>
        <v>50</v>
      </c>
      <c r="G659" s="1" t="str">
        <f t="shared" si="43"/>
        <v/>
      </c>
      <c r="I659" s="1" t="str">
        <f t="shared" si="41"/>
        <v>威尔新数值1.06.xlsm!suitPower</v>
      </c>
    </row>
    <row r="660" spans="1:9" x14ac:dyDescent="0.15">
      <c r="A660" s="1">
        <v>659</v>
      </c>
      <c r="B660" s="1">
        <v>102030300</v>
      </c>
      <c r="C660" s="1">
        <f t="shared" si="40"/>
        <v>13</v>
      </c>
      <c r="D660" s="5">
        <f ca="1">IF(getQuality(B660)&lt;4,getOtherMin(B660,C660,INDIRECT(J$2),INDIRECT(I660),test),getMin(B660,C660,INDIRECT(J$2),INDIRECT(I660),test))</f>
        <v>47.219010783550694</v>
      </c>
      <c r="E660" s="5">
        <f ca="1">IF(getQuality(B660)&lt;4,getOtherMax(B660,C660,INDIRECT(J$2),INDIRECT(I660),test),getMax(B660,C660,INDIRECT(J$2),INDIRECT(I660),test))</f>
        <v>75.631108554901132</v>
      </c>
      <c r="F660" s="1" t="str">
        <f t="shared" si="42"/>
        <v>50</v>
      </c>
      <c r="G660" s="1" t="str">
        <f t="shared" si="43"/>
        <v/>
      </c>
      <c r="I660" s="1" t="str">
        <f t="shared" si="41"/>
        <v>威尔新数值1.06.xlsm!suitPower</v>
      </c>
    </row>
    <row r="661" spans="1:9" x14ac:dyDescent="0.15">
      <c r="A661" s="1">
        <v>660</v>
      </c>
      <c r="B661" s="1">
        <v>102030300</v>
      </c>
      <c r="C661" s="1">
        <f t="shared" si="40"/>
        <v>14</v>
      </c>
      <c r="D661" s="5">
        <f ca="1">IF(getQuality(B661)&lt;4,getOtherMin(B661,C661,INDIRECT(J$2),INDIRECT(I661),test),getMin(B661,C661,INDIRECT(J$2),INDIRECT(I661),test))</f>
        <v>47.219010783550694</v>
      </c>
      <c r="E661" s="5">
        <f ca="1">IF(getQuality(B661)&lt;4,getOtherMax(B661,C661,INDIRECT(J$2),INDIRECT(I661),test),getMax(B661,C661,INDIRECT(J$2),INDIRECT(I661),test))</f>
        <v>75.631108554901132</v>
      </c>
      <c r="F661" s="1" t="str">
        <f t="shared" si="42"/>
        <v>50</v>
      </c>
      <c r="G661" s="1" t="str">
        <f t="shared" si="43"/>
        <v/>
      </c>
      <c r="I661" s="1" t="str">
        <f t="shared" si="41"/>
        <v>威尔新数值1.06.xlsm!suitPower</v>
      </c>
    </row>
    <row r="662" spans="1:9" x14ac:dyDescent="0.15">
      <c r="A662" s="1">
        <v>661</v>
      </c>
      <c r="B662" s="1">
        <v>102030300</v>
      </c>
      <c r="C662" s="1">
        <f t="shared" si="40"/>
        <v>15</v>
      </c>
      <c r="D662" s="5">
        <f ca="1">IF(getQuality(B662)&lt;4,getOtherMin(B662,C662,INDIRECT(J$2),INDIRECT(I662),test),getMin(B662,C662,INDIRECT(J$2),INDIRECT(I662),test))</f>
        <v>47.219010783550694</v>
      </c>
      <c r="E662" s="5">
        <f ca="1">IF(getQuality(B662)&lt;4,getOtherMax(B662,C662,INDIRECT(J$2),INDIRECT(I662),test),getMax(B662,C662,INDIRECT(J$2),INDIRECT(I662),test))</f>
        <v>75.631108554901132</v>
      </c>
      <c r="F662" s="1" t="str">
        <f t="shared" si="42"/>
        <v>50</v>
      </c>
      <c r="G662" s="1" t="str">
        <f t="shared" si="43"/>
        <v/>
      </c>
      <c r="I662" s="1" t="str">
        <f t="shared" si="41"/>
        <v>威尔新数值1.06.xlsm!suitPower</v>
      </c>
    </row>
    <row r="663" spans="1:9" x14ac:dyDescent="0.15">
      <c r="A663" s="1">
        <v>662</v>
      </c>
      <c r="B663" s="1">
        <v>102030300</v>
      </c>
      <c r="C663" s="1">
        <f t="shared" si="40"/>
        <v>101</v>
      </c>
      <c r="D663" s="5">
        <f ca="1">IF(getQuality(B663)&lt;4,getOtherMin(B663,C663,INDIRECT(J$2),INDIRECT(I663),test),getMin(B663,C663,INDIRECT(J$2),INDIRECT(I663),test))</f>
        <v>0.08</v>
      </c>
      <c r="E663" s="5">
        <f ca="1">IF(getQuality(B663)&lt;4,getOtherMax(B663,C663,INDIRECT(J$2),INDIRECT(I663),test),getMax(B663,C663,INDIRECT(J$2),INDIRECT(I663),test))</f>
        <v>0.11</v>
      </c>
      <c r="F663" s="1" t="str">
        <f t="shared" si="42"/>
        <v>50</v>
      </c>
      <c r="G663" s="1" t="str">
        <f t="shared" si="43"/>
        <v/>
      </c>
      <c r="I663" s="1" t="str">
        <f t="shared" si="41"/>
        <v>威尔新数值1.06.xlsm!circlePer</v>
      </c>
    </row>
    <row r="664" spans="1:9" x14ac:dyDescent="0.15">
      <c r="A664" s="1">
        <v>663</v>
      </c>
      <c r="B664" s="1">
        <v>102030300</v>
      </c>
      <c r="C664" s="1">
        <f t="shared" si="40"/>
        <v>102</v>
      </c>
      <c r="D664" s="5">
        <f ca="1">IF(getQuality(B664)&lt;4,getOtherMin(B664,C664,INDIRECT(J$2),INDIRECT(I664),test),getMin(B664,C664,INDIRECT(J$2),INDIRECT(I664),test))</f>
        <v>0.6</v>
      </c>
      <c r="E664" s="5">
        <f ca="1">IF(getQuality(B664)&lt;4,getOtherMax(B664,C664,INDIRECT(J$2),INDIRECT(I664),test),getMax(B664,C664,INDIRECT(J$2),INDIRECT(I664),test))</f>
        <v>1</v>
      </c>
      <c r="F664" s="1" t="str">
        <f t="shared" si="42"/>
        <v>50</v>
      </c>
      <c r="G664" s="1" t="str">
        <f t="shared" si="43"/>
        <v/>
      </c>
      <c r="I664" s="1" t="str">
        <f t="shared" si="41"/>
        <v>威尔新数值1.06.xlsm!circleValue</v>
      </c>
    </row>
    <row r="665" spans="1:9" x14ac:dyDescent="0.15">
      <c r="A665" s="1">
        <v>664</v>
      </c>
      <c r="B665" s="1">
        <v>102030300</v>
      </c>
      <c r="C665" s="1">
        <f t="shared" si="40"/>
        <v>103</v>
      </c>
      <c r="D665" s="5">
        <f ca="1">IF(getQuality(B665)&lt;4,getOtherMin(B665,C665,INDIRECT(J$2),INDIRECT(I665),test),getMin(B665,C665,INDIRECT(J$2),INDIRECT(I665),test))</f>
        <v>0.08</v>
      </c>
      <c r="E665" s="5">
        <f ca="1">IF(getQuality(B665)&lt;4,getOtherMax(B665,C665,INDIRECT(J$2),INDIRECT(I665),test),getMax(B665,C665,INDIRECT(J$2),INDIRECT(I665),test))</f>
        <v>0.11</v>
      </c>
      <c r="F665" s="1" t="str">
        <f t="shared" si="42"/>
        <v>50</v>
      </c>
      <c r="G665" s="1" t="str">
        <f t="shared" si="43"/>
        <v/>
      </c>
      <c r="I665" s="1" t="str">
        <f t="shared" si="41"/>
        <v>威尔新数值1.06.xlsm!otherDamage</v>
      </c>
    </row>
    <row r="666" spans="1:9" x14ac:dyDescent="0.15">
      <c r="A666" s="1">
        <v>665</v>
      </c>
      <c r="B666" s="1">
        <v>102030300</v>
      </c>
      <c r="C666" s="1">
        <f t="shared" si="40"/>
        <v>104</v>
      </c>
      <c r="D666" s="5">
        <f ca="1">IF(getQuality(B666)&lt;4,getOtherMin(B666,C666,INDIRECT(J$2),INDIRECT(I666),test),getMin(B666,C666,INDIRECT(J$2),INDIRECT(I666),test))</f>
        <v>0.08</v>
      </c>
      <c r="E666" s="5">
        <f ca="1">IF(getQuality(B666)&lt;4,getOtherMax(B666,C666,INDIRECT(J$2),INDIRECT(I666),test),getMax(B666,C666,INDIRECT(J$2),INDIRECT(I666),test))</f>
        <v>0.16</v>
      </c>
      <c r="F666" s="1" t="str">
        <f t="shared" si="42"/>
        <v>50</v>
      </c>
      <c r="G666" s="1" t="str">
        <f t="shared" si="43"/>
        <v/>
      </c>
      <c r="I666" s="1" t="str">
        <f t="shared" si="41"/>
        <v>威尔新数值1.06.xlsm!monsterDamage</v>
      </c>
    </row>
    <row r="667" spans="1:9" x14ac:dyDescent="0.15">
      <c r="A667" s="1">
        <v>666</v>
      </c>
      <c r="B667" s="1">
        <v>102030300</v>
      </c>
      <c r="C667" s="1">
        <f t="shared" si="40"/>
        <v>105</v>
      </c>
      <c r="D667" s="5">
        <f ca="1">IF(getQuality(B667)&lt;4,getOtherMin(B667,C667,INDIRECT(J$2),INDIRECT(I667),test),getMin(B667,C667,INDIRECT(J$2),INDIRECT(I667),test))</f>
        <v>0.08</v>
      </c>
      <c r="E667" s="5">
        <f ca="1">IF(getQuality(B667)&lt;4,getOtherMax(B667,C667,INDIRECT(J$2),INDIRECT(I667),test),getMax(B667,C667,INDIRECT(J$2),INDIRECT(I667),test))</f>
        <v>0.16</v>
      </c>
      <c r="F667" s="1" t="str">
        <f t="shared" si="42"/>
        <v>50</v>
      </c>
      <c r="G667" s="1" t="str">
        <f t="shared" si="43"/>
        <v/>
      </c>
      <c r="I667" s="1" t="str">
        <f t="shared" si="41"/>
        <v>威尔新数值1.06.xlsm!monsterDamage</v>
      </c>
    </row>
    <row r="668" spans="1:9" x14ac:dyDescent="0.15">
      <c r="A668" s="1">
        <v>667</v>
      </c>
      <c r="B668" s="1">
        <v>102030300</v>
      </c>
      <c r="C668" s="1">
        <f t="shared" si="40"/>
        <v>106</v>
      </c>
      <c r="D668" s="5">
        <f ca="1">IF(getQuality(B668)&lt;4,getOtherMin(B668,C668,INDIRECT(J$2),INDIRECT(I668),test),getMin(B668,C668,INDIRECT(J$2),INDIRECT(I668),test))</f>
        <v>0.08</v>
      </c>
      <c r="E668" s="5">
        <f ca="1">IF(getQuality(B668)&lt;4,getOtherMax(B668,C668,INDIRECT(J$2),INDIRECT(I668),test),getMax(B668,C668,INDIRECT(J$2),INDIRECT(I668),test))</f>
        <v>0.16</v>
      </c>
      <c r="F668" s="1" t="str">
        <f t="shared" si="42"/>
        <v>50</v>
      </c>
      <c r="G668" s="1" t="str">
        <f t="shared" si="43"/>
        <v/>
      </c>
      <c r="I668" s="1" t="str">
        <f t="shared" si="41"/>
        <v>威尔新数值1.06.xlsm!monsterDamage</v>
      </c>
    </row>
    <row r="669" spans="1:9" x14ac:dyDescent="0.15">
      <c r="A669" s="1">
        <v>668</v>
      </c>
      <c r="B669" s="1">
        <v>102030300</v>
      </c>
      <c r="C669" s="1">
        <f t="shared" si="40"/>
        <v>107</v>
      </c>
      <c r="D669" s="5">
        <f ca="1">IF(getQuality(B669)&lt;4,getOtherMin(B669,C669,INDIRECT(J$2),INDIRECT(I669),test),getMin(B669,C669,INDIRECT(J$2),INDIRECT(I669),test))</f>
        <v>0.08</v>
      </c>
      <c r="E669" s="5">
        <f ca="1">IF(getQuality(B669)&lt;4,getOtherMax(B669,C669,INDIRECT(J$2),INDIRECT(I669),test),getMax(B669,C669,INDIRECT(J$2),INDIRECT(I669),test))</f>
        <v>0.16</v>
      </c>
      <c r="F669" s="1" t="str">
        <f t="shared" si="42"/>
        <v>50</v>
      </c>
      <c r="G669" s="1" t="str">
        <f t="shared" si="43"/>
        <v/>
      </c>
      <c r="I669" s="1" t="str">
        <f t="shared" si="41"/>
        <v>威尔新数值1.06.xlsm!monsterDamage</v>
      </c>
    </row>
    <row r="670" spans="1:9" x14ac:dyDescent="0.15">
      <c r="A670" s="1">
        <v>669</v>
      </c>
      <c r="B670" s="1">
        <v>102030300</v>
      </c>
      <c r="C670" s="1">
        <f t="shared" si="40"/>
        <v>108</v>
      </c>
      <c r="D670" s="5">
        <f ca="1">IF(getQuality(B670)&lt;4,getOtherMin(B670,C670,INDIRECT(J$2),INDIRECT(I670),test),getMin(B670,C670,INDIRECT(J$2),INDIRECT(I670),test))</f>
        <v>0.08</v>
      </c>
      <c r="E670" s="5">
        <f ca="1">IF(getQuality(B670)&lt;4,getOtherMax(B670,C670,INDIRECT(J$2),INDIRECT(I670),test),getMax(B670,C670,INDIRECT(J$2),INDIRECT(I670),test))</f>
        <v>0.16</v>
      </c>
      <c r="F670" s="1" t="str">
        <f t="shared" si="42"/>
        <v>50</v>
      </c>
      <c r="G670" s="1" t="str">
        <f t="shared" si="43"/>
        <v/>
      </c>
      <c r="I670" s="1" t="str">
        <f t="shared" si="41"/>
        <v>威尔新数值1.06.xlsm!monsterDamage</v>
      </c>
    </row>
    <row r="671" spans="1:9" x14ac:dyDescent="0.15">
      <c r="A671" s="1">
        <v>670</v>
      </c>
      <c r="B671" s="1">
        <v>102040300</v>
      </c>
      <c r="C671" s="1">
        <f t="shared" si="40"/>
        <v>3</v>
      </c>
      <c r="D671" s="5">
        <f ca="1">IF(getQuality(B671)&lt;4,getOtherMin(B671,C671,INDIRECT(J$2),INDIRECT(I671),test),getMin(B671,C671,INDIRECT(J$2),INDIRECT(I671),test))</f>
        <v>76.631108554901132</v>
      </c>
      <c r="E671" s="5">
        <f ca="1">IF(getQuality(B671)&lt;4,getOtherMax(B671,C671,INDIRECT(J$2),INDIRECT(I671),test),getMax(B671,C671,INDIRECT(J$2),INDIRECT(I671),test))</f>
        <v>109.24493457930163</v>
      </c>
      <c r="F671" s="1" t="str">
        <f t="shared" si="42"/>
        <v>50</v>
      </c>
      <c r="G671" s="1" t="str">
        <f t="shared" si="43"/>
        <v>1</v>
      </c>
      <c r="I671" s="1" t="str">
        <f t="shared" si="41"/>
        <v>威尔新数值1.06.xlsm!suitPower</v>
      </c>
    </row>
    <row r="672" spans="1:9" x14ac:dyDescent="0.15">
      <c r="A672" s="1">
        <v>671</v>
      </c>
      <c r="B672" s="1">
        <v>102040300</v>
      </c>
      <c r="C672" s="1">
        <f t="shared" si="40"/>
        <v>5</v>
      </c>
      <c r="D672" s="5">
        <f ca="1">IF(getQuality(B672)&lt;4,getOtherMin(B672,C672,INDIRECT(J$2),INDIRECT(I672),test),getMin(B672,C672,INDIRECT(J$2),INDIRECT(I672),test))</f>
        <v>76.631108554901132</v>
      </c>
      <c r="E672" s="5">
        <f ca="1">IF(getQuality(B672)&lt;4,getOtherMax(B672,C672,INDIRECT(J$2),INDIRECT(I672),test),getMax(B672,C672,INDIRECT(J$2),INDIRECT(I672),test))</f>
        <v>109.24493457930163</v>
      </c>
      <c r="F672" s="1" t="str">
        <f t="shared" si="42"/>
        <v>50</v>
      </c>
      <c r="G672" s="1" t="str">
        <f t="shared" si="43"/>
        <v/>
      </c>
      <c r="I672" s="1" t="str">
        <f t="shared" si="41"/>
        <v>威尔新数值1.06.xlsm!suitPower</v>
      </c>
    </row>
    <row r="673" spans="1:9" x14ac:dyDescent="0.15">
      <c r="A673" s="1">
        <v>672</v>
      </c>
      <c r="B673" s="1">
        <v>102040300</v>
      </c>
      <c r="C673" s="1">
        <f t="shared" si="40"/>
        <v>7</v>
      </c>
      <c r="D673" s="5">
        <f ca="1">IF(getQuality(B673)&lt;4,getOtherMin(B673,C673,INDIRECT(J$2),INDIRECT(I673),test),getMin(B673,C673,INDIRECT(J$2),INDIRECT(I673),test))</f>
        <v>20.444444444444393</v>
      </c>
      <c r="E673" s="5">
        <f ca="1">IF(getQuality(B673)&lt;4,getOtherMax(B673,C673,INDIRECT(J$2),INDIRECT(I673),test),getMax(B673,C673,INDIRECT(J$2),INDIRECT(I673),test))</f>
        <v>25.92592592592586</v>
      </c>
      <c r="F673" s="1" t="str">
        <f t="shared" si="42"/>
        <v>50</v>
      </c>
      <c r="G673" s="1" t="str">
        <f t="shared" si="43"/>
        <v/>
      </c>
      <c r="I673" s="1" t="str">
        <f t="shared" si="41"/>
        <v>威尔新数值1.06.xlsm!suitPower</v>
      </c>
    </row>
    <row r="674" spans="1:9" x14ac:dyDescent="0.15">
      <c r="A674" s="1">
        <v>673</v>
      </c>
      <c r="B674" s="1">
        <v>102040300</v>
      </c>
      <c r="C674" s="1">
        <f t="shared" si="40"/>
        <v>8</v>
      </c>
      <c r="D674" s="5">
        <f ca="1">IF(getQuality(B674)&lt;4,getOtherMin(B674,C674,INDIRECT(J$2),INDIRECT(I674),test),getMin(B674,C674,INDIRECT(J$2),INDIRECT(I674),test))</f>
        <v>44.75</v>
      </c>
      <c r="E674" s="5">
        <f ca="1">IF(getQuality(B674)&lt;4,getOtherMax(B674,C674,INDIRECT(J$2),INDIRECT(I674),test),getMax(B674,C674,INDIRECT(J$2),INDIRECT(I674),test))</f>
        <v>58.333333333333336</v>
      </c>
      <c r="F674" s="1" t="str">
        <f t="shared" si="42"/>
        <v>50</v>
      </c>
      <c r="G674" s="1" t="str">
        <f t="shared" si="43"/>
        <v/>
      </c>
      <c r="I674" s="1" t="str">
        <f t="shared" si="41"/>
        <v>威尔新数值1.06.xlsm!suitPower</v>
      </c>
    </row>
    <row r="675" spans="1:9" x14ac:dyDescent="0.15">
      <c r="A675" s="1">
        <v>674</v>
      </c>
      <c r="B675" s="1">
        <v>102040300</v>
      </c>
      <c r="C675" s="1">
        <f t="shared" si="40"/>
        <v>9</v>
      </c>
      <c r="D675" s="5">
        <f ca="1">IF(getQuality(B675)&lt;4,getOtherMin(B675,C675,INDIRECT(J$2),INDIRECT(I675),test),getMin(B675,C675,INDIRECT(J$2),INDIRECT(I675),test))</f>
        <v>76.631108554901132</v>
      </c>
      <c r="E675" s="5">
        <f ca="1">IF(getQuality(B675)&lt;4,getOtherMax(B675,C675,INDIRECT(J$2),INDIRECT(I675),test),getMax(B675,C675,INDIRECT(J$2),INDIRECT(I675),test))</f>
        <v>109.24493457930163</v>
      </c>
      <c r="F675" s="1" t="str">
        <f t="shared" si="42"/>
        <v>50</v>
      </c>
      <c r="G675" s="1" t="str">
        <f t="shared" si="43"/>
        <v/>
      </c>
      <c r="I675" s="1" t="str">
        <f t="shared" si="41"/>
        <v>威尔新数值1.06.xlsm!suitPower</v>
      </c>
    </row>
    <row r="676" spans="1:9" x14ac:dyDescent="0.15">
      <c r="A676" s="1">
        <v>675</v>
      </c>
      <c r="B676" s="1">
        <v>102040300</v>
      </c>
      <c r="C676" s="1">
        <f t="shared" ref="C676:C739" si="44">C657</f>
        <v>10</v>
      </c>
      <c r="D676" s="5">
        <f ca="1">IF(getQuality(B676)&lt;4,getOtherMin(B676,C676,INDIRECT(J$2),INDIRECT(I676),test),getMin(B676,C676,INDIRECT(J$2),INDIRECT(I676),test))</f>
        <v>76.631108554901132</v>
      </c>
      <c r="E676" s="5">
        <f ca="1">IF(getQuality(B676)&lt;4,getOtherMax(B676,C676,INDIRECT(J$2),INDIRECT(I676),test),getMax(B676,C676,INDIRECT(J$2),INDIRECT(I676),test))</f>
        <v>109.24493457930163</v>
      </c>
      <c r="F676" s="1" t="str">
        <f t="shared" si="42"/>
        <v>50</v>
      </c>
      <c r="G676" s="1" t="str">
        <f t="shared" si="43"/>
        <v/>
      </c>
      <c r="I676" s="1" t="str">
        <f t="shared" si="41"/>
        <v>威尔新数值1.06.xlsm!suitPower</v>
      </c>
    </row>
    <row r="677" spans="1:9" x14ac:dyDescent="0.15">
      <c r="A677" s="1">
        <v>676</v>
      </c>
      <c r="B677" s="1">
        <v>102040300</v>
      </c>
      <c r="C677" s="1">
        <f t="shared" si="44"/>
        <v>11</v>
      </c>
      <c r="D677" s="5">
        <f ca="1">IF(getQuality(B677)&lt;4,getOtherMin(B677,C677,INDIRECT(J$2),INDIRECT(I677),test),getMin(B677,C677,INDIRECT(J$2),INDIRECT(I677),test))</f>
        <v>76.631108554901132</v>
      </c>
      <c r="E677" s="5">
        <f ca="1">IF(getQuality(B677)&lt;4,getOtherMax(B677,C677,INDIRECT(J$2),INDIRECT(I677),test),getMax(B677,C677,INDIRECT(J$2),INDIRECT(I677),test))</f>
        <v>109.24493457930163</v>
      </c>
      <c r="F677" s="1" t="str">
        <f t="shared" si="42"/>
        <v>50</v>
      </c>
      <c r="G677" s="1" t="str">
        <f t="shared" si="43"/>
        <v/>
      </c>
      <c r="I677" s="1" t="str">
        <f t="shared" si="41"/>
        <v>威尔新数值1.06.xlsm!suitPower</v>
      </c>
    </row>
    <row r="678" spans="1:9" x14ac:dyDescent="0.15">
      <c r="A678" s="1">
        <v>677</v>
      </c>
      <c r="B678" s="1">
        <v>102040300</v>
      </c>
      <c r="C678" s="1">
        <f t="shared" si="44"/>
        <v>12</v>
      </c>
      <c r="D678" s="5">
        <f ca="1">IF(getQuality(B678)&lt;4,getOtherMin(B678,C678,INDIRECT(J$2),INDIRECT(I678),test),getMin(B678,C678,INDIRECT(J$2),INDIRECT(I678),test))</f>
        <v>76.631108554901132</v>
      </c>
      <c r="E678" s="5">
        <f ca="1">IF(getQuality(B678)&lt;4,getOtherMax(B678,C678,INDIRECT(J$2),INDIRECT(I678),test),getMax(B678,C678,INDIRECT(J$2),INDIRECT(I678),test))</f>
        <v>109.24493457930163</v>
      </c>
      <c r="F678" s="1" t="str">
        <f t="shared" si="42"/>
        <v>50</v>
      </c>
      <c r="G678" s="1" t="str">
        <f t="shared" si="43"/>
        <v/>
      </c>
      <c r="I678" s="1" t="str">
        <f t="shared" si="41"/>
        <v>威尔新数值1.06.xlsm!suitPower</v>
      </c>
    </row>
    <row r="679" spans="1:9" x14ac:dyDescent="0.15">
      <c r="A679" s="1">
        <v>678</v>
      </c>
      <c r="B679" s="1">
        <v>102040300</v>
      </c>
      <c r="C679" s="1">
        <f t="shared" si="44"/>
        <v>13</v>
      </c>
      <c r="D679" s="5">
        <f ca="1">IF(getQuality(B679)&lt;4,getOtherMin(B679,C679,INDIRECT(J$2),INDIRECT(I679),test),getMin(B679,C679,INDIRECT(J$2),INDIRECT(I679),test))</f>
        <v>76.631108554901132</v>
      </c>
      <c r="E679" s="5">
        <f ca="1">IF(getQuality(B679)&lt;4,getOtherMax(B679,C679,INDIRECT(J$2),INDIRECT(I679),test),getMax(B679,C679,INDIRECT(J$2),INDIRECT(I679),test))</f>
        <v>109.24493457930163</v>
      </c>
      <c r="F679" s="1" t="str">
        <f t="shared" si="42"/>
        <v>50</v>
      </c>
      <c r="G679" s="1" t="str">
        <f t="shared" si="43"/>
        <v/>
      </c>
      <c r="I679" s="1" t="str">
        <f t="shared" si="41"/>
        <v>威尔新数值1.06.xlsm!suitPower</v>
      </c>
    </row>
    <row r="680" spans="1:9" x14ac:dyDescent="0.15">
      <c r="A680" s="1">
        <v>679</v>
      </c>
      <c r="B680" s="1">
        <v>102040300</v>
      </c>
      <c r="C680" s="1">
        <f t="shared" si="44"/>
        <v>14</v>
      </c>
      <c r="D680" s="5">
        <f ca="1">IF(getQuality(B680)&lt;4,getOtherMin(B680,C680,INDIRECT(J$2),INDIRECT(I680),test),getMin(B680,C680,INDIRECT(J$2),INDIRECT(I680),test))</f>
        <v>76.631108554901132</v>
      </c>
      <c r="E680" s="5">
        <f ca="1">IF(getQuality(B680)&lt;4,getOtherMax(B680,C680,INDIRECT(J$2),INDIRECT(I680),test),getMax(B680,C680,INDIRECT(J$2),INDIRECT(I680),test))</f>
        <v>109.24493457930163</v>
      </c>
      <c r="F680" s="1" t="str">
        <f t="shared" si="42"/>
        <v>50</v>
      </c>
      <c r="G680" s="1" t="str">
        <f t="shared" si="43"/>
        <v/>
      </c>
      <c r="I680" s="1" t="str">
        <f t="shared" si="41"/>
        <v>威尔新数值1.06.xlsm!suitPower</v>
      </c>
    </row>
    <row r="681" spans="1:9" x14ac:dyDescent="0.15">
      <c r="A681" s="1">
        <v>680</v>
      </c>
      <c r="B681" s="1">
        <v>102040300</v>
      </c>
      <c r="C681" s="1">
        <f t="shared" si="44"/>
        <v>15</v>
      </c>
      <c r="D681" s="5">
        <f ca="1">IF(getQuality(B681)&lt;4,getOtherMin(B681,C681,INDIRECT(J$2),INDIRECT(I681),test),getMin(B681,C681,INDIRECT(J$2),INDIRECT(I681),test))</f>
        <v>76.631108554901132</v>
      </c>
      <c r="E681" s="5">
        <f ca="1">IF(getQuality(B681)&lt;4,getOtherMax(B681,C681,INDIRECT(J$2),INDIRECT(I681),test),getMax(B681,C681,INDIRECT(J$2),INDIRECT(I681),test))</f>
        <v>109.24493457930163</v>
      </c>
      <c r="F681" s="1" t="str">
        <f t="shared" si="42"/>
        <v>50</v>
      </c>
      <c r="G681" s="1" t="str">
        <f t="shared" si="43"/>
        <v/>
      </c>
      <c r="I681" s="1" t="str">
        <f t="shared" si="41"/>
        <v>威尔新数值1.06.xlsm!suitPower</v>
      </c>
    </row>
    <row r="682" spans="1:9" x14ac:dyDescent="0.15">
      <c r="A682" s="1">
        <v>681</v>
      </c>
      <c r="B682" s="1">
        <v>102040300</v>
      </c>
      <c r="C682" s="1">
        <f t="shared" si="44"/>
        <v>101</v>
      </c>
      <c r="D682" s="5">
        <f ca="1">IF(getQuality(B682)&lt;4,getOtherMin(B682,C682,INDIRECT(J$2),INDIRECT(I682),test),getMin(B682,C682,INDIRECT(J$2),INDIRECT(I682),test))</f>
        <v>0.09</v>
      </c>
      <c r="E682" s="5">
        <f ca="1">IF(getQuality(B682)&lt;4,getOtherMax(B682,C682,INDIRECT(J$2),INDIRECT(I682),test),getMax(B682,C682,INDIRECT(J$2),INDIRECT(I682),test))</f>
        <v>0.12</v>
      </c>
      <c r="F682" s="1" t="str">
        <f t="shared" si="42"/>
        <v>50</v>
      </c>
      <c r="G682" s="1" t="str">
        <f t="shared" si="43"/>
        <v/>
      </c>
      <c r="I682" s="1" t="str">
        <f t="shared" si="41"/>
        <v>威尔新数值1.06.xlsm!circlePer</v>
      </c>
    </row>
    <row r="683" spans="1:9" x14ac:dyDescent="0.15">
      <c r="A683" s="1">
        <v>682</v>
      </c>
      <c r="B683" s="1">
        <v>102040300</v>
      </c>
      <c r="C683" s="1">
        <f t="shared" si="44"/>
        <v>102</v>
      </c>
      <c r="D683" s="5">
        <f ca="1">IF(getQuality(B683)&lt;4,getOtherMin(B683,C683,INDIRECT(J$2),INDIRECT(I683),test),getMin(B683,C683,INDIRECT(J$2),INDIRECT(I683),test))</f>
        <v>0.7</v>
      </c>
      <c r="E683" s="5">
        <f ca="1">IF(getQuality(B683)&lt;4,getOtherMax(B683,C683,INDIRECT(J$2),INDIRECT(I683),test),getMax(B683,C683,INDIRECT(J$2),INDIRECT(I683),test))</f>
        <v>1.1000000000000001</v>
      </c>
      <c r="F683" s="1" t="str">
        <f t="shared" si="42"/>
        <v>50</v>
      </c>
      <c r="G683" s="1" t="str">
        <f t="shared" si="43"/>
        <v/>
      </c>
      <c r="I683" s="1" t="str">
        <f t="shared" si="41"/>
        <v>威尔新数值1.06.xlsm!circleValue</v>
      </c>
    </row>
    <row r="684" spans="1:9" x14ac:dyDescent="0.15">
      <c r="A684" s="1">
        <v>683</v>
      </c>
      <c r="B684" s="1">
        <v>102040300</v>
      </c>
      <c r="C684" s="1">
        <f t="shared" si="44"/>
        <v>103</v>
      </c>
      <c r="D684" s="5">
        <f ca="1">IF(getQuality(B684)&lt;4,getOtherMin(B684,C684,INDIRECT(J$2),INDIRECT(I684),test),getMin(B684,C684,INDIRECT(J$2),INDIRECT(I684),test))</f>
        <v>0.09</v>
      </c>
      <c r="E684" s="5">
        <f ca="1">IF(getQuality(B684)&lt;4,getOtherMax(B684,C684,INDIRECT(J$2),INDIRECT(I684),test),getMax(B684,C684,INDIRECT(J$2),INDIRECT(I684),test))</f>
        <v>0.12</v>
      </c>
      <c r="F684" s="1" t="str">
        <f t="shared" si="42"/>
        <v>50</v>
      </c>
      <c r="G684" s="1" t="str">
        <f t="shared" si="43"/>
        <v/>
      </c>
      <c r="I684" s="1" t="str">
        <f t="shared" si="41"/>
        <v>威尔新数值1.06.xlsm!otherDamage</v>
      </c>
    </row>
    <row r="685" spans="1:9" x14ac:dyDescent="0.15">
      <c r="A685" s="1">
        <v>684</v>
      </c>
      <c r="B685" s="1">
        <v>102040300</v>
      </c>
      <c r="C685" s="1">
        <f t="shared" si="44"/>
        <v>104</v>
      </c>
      <c r="D685" s="5">
        <f ca="1">IF(getQuality(B685)&lt;4,getOtherMin(B685,C685,INDIRECT(J$2),INDIRECT(I685),test),getMin(B685,C685,INDIRECT(J$2),INDIRECT(I685),test))</f>
        <v>0.09</v>
      </c>
      <c r="E685" s="5">
        <f ca="1">IF(getQuality(B685)&lt;4,getOtherMax(B685,C685,INDIRECT(J$2),INDIRECT(I685),test),getMax(B685,C685,INDIRECT(J$2),INDIRECT(I685),test))</f>
        <v>0.18</v>
      </c>
      <c r="F685" s="1" t="str">
        <f t="shared" si="42"/>
        <v>50</v>
      </c>
      <c r="G685" s="1" t="str">
        <f t="shared" si="43"/>
        <v/>
      </c>
      <c r="I685" s="1" t="str">
        <f t="shared" si="41"/>
        <v>威尔新数值1.06.xlsm!monsterDamage</v>
      </c>
    </row>
    <row r="686" spans="1:9" x14ac:dyDescent="0.15">
      <c r="A686" s="1">
        <v>685</v>
      </c>
      <c r="B686" s="1">
        <v>102040300</v>
      </c>
      <c r="C686" s="1">
        <f t="shared" si="44"/>
        <v>105</v>
      </c>
      <c r="D686" s="5">
        <f ca="1">IF(getQuality(B686)&lt;4,getOtherMin(B686,C686,INDIRECT(J$2),INDIRECT(I686),test),getMin(B686,C686,INDIRECT(J$2),INDIRECT(I686),test))</f>
        <v>0.09</v>
      </c>
      <c r="E686" s="5">
        <f ca="1">IF(getQuality(B686)&lt;4,getOtherMax(B686,C686,INDIRECT(J$2),INDIRECT(I686),test),getMax(B686,C686,INDIRECT(J$2),INDIRECT(I686),test))</f>
        <v>0.18</v>
      </c>
      <c r="F686" s="1" t="str">
        <f t="shared" si="42"/>
        <v>50</v>
      </c>
      <c r="G686" s="1" t="str">
        <f t="shared" si="43"/>
        <v/>
      </c>
      <c r="I686" s="1" t="str">
        <f t="shared" si="41"/>
        <v>威尔新数值1.06.xlsm!monsterDamage</v>
      </c>
    </row>
    <row r="687" spans="1:9" x14ac:dyDescent="0.15">
      <c r="A687" s="1">
        <v>686</v>
      </c>
      <c r="B687" s="1">
        <v>102040300</v>
      </c>
      <c r="C687" s="1">
        <f t="shared" si="44"/>
        <v>106</v>
      </c>
      <c r="D687" s="5">
        <f ca="1">IF(getQuality(B687)&lt;4,getOtherMin(B687,C687,INDIRECT(J$2),INDIRECT(I687),test),getMin(B687,C687,INDIRECT(J$2),INDIRECT(I687),test))</f>
        <v>0.09</v>
      </c>
      <c r="E687" s="5">
        <f ca="1">IF(getQuality(B687)&lt;4,getOtherMax(B687,C687,INDIRECT(J$2),INDIRECT(I687),test),getMax(B687,C687,INDIRECT(J$2),INDIRECT(I687),test))</f>
        <v>0.18</v>
      </c>
      <c r="F687" s="1" t="str">
        <f t="shared" si="42"/>
        <v>50</v>
      </c>
      <c r="G687" s="1" t="str">
        <f t="shared" si="43"/>
        <v/>
      </c>
      <c r="I687" s="1" t="str">
        <f t="shared" si="41"/>
        <v>威尔新数值1.06.xlsm!monsterDamage</v>
      </c>
    </row>
    <row r="688" spans="1:9" x14ac:dyDescent="0.15">
      <c r="A688" s="1">
        <v>687</v>
      </c>
      <c r="B688" s="1">
        <v>102040300</v>
      </c>
      <c r="C688" s="1">
        <f t="shared" si="44"/>
        <v>107</v>
      </c>
      <c r="D688" s="5">
        <f ca="1">IF(getQuality(B688)&lt;4,getOtherMin(B688,C688,INDIRECT(J$2),INDIRECT(I688),test),getMin(B688,C688,INDIRECT(J$2),INDIRECT(I688),test))</f>
        <v>0.09</v>
      </c>
      <c r="E688" s="5">
        <f ca="1">IF(getQuality(B688)&lt;4,getOtherMax(B688,C688,INDIRECT(J$2),INDIRECT(I688),test),getMax(B688,C688,INDIRECT(J$2),INDIRECT(I688),test))</f>
        <v>0.18</v>
      </c>
      <c r="F688" s="1" t="str">
        <f t="shared" si="42"/>
        <v>50</v>
      </c>
      <c r="G688" s="1" t="str">
        <f t="shared" si="43"/>
        <v/>
      </c>
      <c r="I688" s="1" t="str">
        <f t="shared" si="41"/>
        <v>威尔新数值1.06.xlsm!monsterDamage</v>
      </c>
    </row>
    <row r="689" spans="1:9" x14ac:dyDescent="0.15">
      <c r="A689" s="1">
        <v>688</v>
      </c>
      <c r="B689" s="1">
        <v>102040300</v>
      </c>
      <c r="C689" s="1">
        <f t="shared" si="44"/>
        <v>108</v>
      </c>
      <c r="D689" s="5">
        <f ca="1">IF(getQuality(B689)&lt;4,getOtherMin(B689,C689,INDIRECT(J$2),INDIRECT(I689),test),getMin(B689,C689,INDIRECT(J$2),INDIRECT(I689),test))</f>
        <v>0.09</v>
      </c>
      <c r="E689" s="5">
        <f ca="1">IF(getQuality(B689)&lt;4,getOtherMax(B689,C689,INDIRECT(J$2),INDIRECT(I689),test),getMax(B689,C689,INDIRECT(J$2),INDIRECT(I689),test))</f>
        <v>0.18</v>
      </c>
      <c r="F689" s="1" t="str">
        <f t="shared" si="42"/>
        <v>50</v>
      </c>
      <c r="G689" s="1" t="str">
        <f t="shared" si="43"/>
        <v/>
      </c>
      <c r="I689" s="1" t="str">
        <f t="shared" si="41"/>
        <v>威尔新数值1.06.xlsm!monsterDamage</v>
      </c>
    </row>
    <row r="690" spans="1:9" x14ac:dyDescent="0.15">
      <c r="A690" s="1">
        <v>689</v>
      </c>
      <c r="B690" s="1">
        <v>102050300</v>
      </c>
      <c r="C690" s="1">
        <f t="shared" si="44"/>
        <v>3</v>
      </c>
      <c r="D690" s="5">
        <f ca="1">IF(getQuality(B690)&lt;4,getOtherMin(B690,C690,INDIRECT(J$2),INDIRECT(I690),test),getMin(B690,C690,INDIRECT(J$2),INDIRECT(I690),test))</f>
        <v>110.24493457930163</v>
      </c>
      <c r="E690" s="5">
        <f ca="1">IF(getQuality(B690)&lt;4,getOtherMax(B690,C690,INDIRECT(J$2),INDIRECT(I690),test),getMax(B690,C690,INDIRECT(J$2),INDIRECT(I690),test))</f>
        <v>148.01542709608177</v>
      </c>
      <c r="F690" s="1" t="str">
        <f t="shared" si="42"/>
        <v>50</v>
      </c>
      <c r="G690" s="1" t="str">
        <f t="shared" si="43"/>
        <v>1</v>
      </c>
      <c r="I690" s="1" t="str">
        <f t="shared" si="41"/>
        <v>威尔新数值1.06.xlsm!suitPower</v>
      </c>
    </row>
    <row r="691" spans="1:9" x14ac:dyDescent="0.15">
      <c r="A691" s="1">
        <v>690</v>
      </c>
      <c r="B691" s="1">
        <v>102050300</v>
      </c>
      <c r="C691" s="1">
        <f t="shared" si="44"/>
        <v>5</v>
      </c>
      <c r="D691" s="5">
        <f ca="1">IF(getQuality(B691)&lt;4,getOtherMin(B691,C691,INDIRECT(J$2),INDIRECT(I691),test),getMin(B691,C691,INDIRECT(J$2),INDIRECT(I691),test))</f>
        <v>110.24493457930163</v>
      </c>
      <c r="E691" s="5">
        <f ca="1">IF(getQuality(B691)&lt;4,getOtherMax(B691,C691,INDIRECT(J$2),INDIRECT(I691),test),getMax(B691,C691,INDIRECT(J$2),INDIRECT(I691),test))</f>
        <v>148.01542709608177</v>
      </c>
      <c r="F691" s="1" t="str">
        <f t="shared" si="42"/>
        <v>50</v>
      </c>
      <c r="G691" s="1" t="str">
        <f t="shared" si="43"/>
        <v/>
      </c>
      <c r="I691" s="1" t="str">
        <f t="shared" si="41"/>
        <v>威尔新数值1.06.xlsm!suitPower</v>
      </c>
    </row>
    <row r="692" spans="1:9" x14ac:dyDescent="0.15">
      <c r="A692" s="1">
        <v>691</v>
      </c>
      <c r="B692" s="1">
        <v>102050300</v>
      </c>
      <c r="C692" s="1">
        <f t="shared" si="44"/>
        <v>7</v>
      </c>
      <c r="D692" s="5">
        <f ca="1">IF(getQuality(B692)&lt;4,getOtherMin(B692,C692,INDIRECT(J$2),INDIRECT(I692),test),getMin(B692,C692,INDIRECT(J$2),INDIRECT(I692),test))</f>
        <v>26.92592592592586</v>
      </c>
      <c r="E692" s="5">
        <f ca="1">IF(getQuality(B692)&lt;4,getOtherMax(B692,C692,INDIRECT(J$2),INDIRECT(I692),test),getMax(B692,C692,INDIRECT(J$2),INDIRECT(I692),test))</f>
        <v>32.407407407407327</v>
      </c>
      <c r="F692" s="1" t="str">
        <f t="shared" si="42"/>
        <v>50</v>
      </c>
      <c r="G692" s="1" t="str">
        <f t="shared" si="43"/>
        <v/>
      </c>
      <c r="I692" s="1" t="str">
        <f t="shared" si="41"/>
        <v>威尔新数值1.06.xlsm!suitPower</v>
      </c>
    </row>
    <row r="693" spans="1:9" x14ac:dyDescent="0.15">
      <c r="A693" s="1">
        <v>692</v>
      </c>
      <c r="B693" s="1">
        <v>102050300</v>
      </c>
      <c r="C693" s="1">
        <f t="shared" si="44"/>
        <v>8</v>
      </c>
      <c r="D693" s="5">
        <f ca="1">IF(getQuality(B693)&lt;4,getOtherMin(B693,C693,INDIRECT(J$2),INDIRECT(I693),test),getMin(B693,C693,INDIRECT(J$2),INDIRECT(I693),test))</f>
        <v>59.333333333333336</v>
      </c>
      <c r="E693" s="5">
        <f ca="1">IF(getQuality(B693)&lt;4,getOtherMax(B693,C693,INDIRECT(J$2),INDIRECT(I693),test),getMax(B693,C693,INDIRECT(J$2),INDIRECT(I693),test))</f>
        <v>72.916666666666671</v>
      </c>
      <c r="F693" s="1" t="str">
        <f t="shared" si="42"/>
        <v>50</v>
      </c>
      <c r="G693" s="1" t="str">
        <f t="shared" si="43"/>
        <v/>
      </c>
      <c r="I693" s="1" t="str">
        <f t="shared" si="41"/>
        <v>威尔新数值1.06.xlsm!suitPower</v>
      </c>
    </row>
    <row r="694" spans="1:9" x14ac:dyDescent="0.15">
      <c r="A694" s="1">
        <v>693</v>
      </c>
      <c r="B694" s="1">
        <v>102050300</v>
      </c>
      <c r="C694" s="1">
        <f t="shared" si="44"/>
        <v>9</v>
      </c>
      <c r="D694" s="5">
        <f ca="1">IF(getQuality(B694)&lt;4,getOtherMin(B694,C694,INDIRECT(J$2),INDIRECT(I694),test),getMin(B694,C694,INDIRECT(J$2),INDIRECT(I694),test))</f>
        <v>110.24493457930163</v>
      </c>
      <c r="E694" s="5">
        <f ca="1">IF(getQuality(B694)&lt;4,getOtherMax(B694,C694,INDIRECT(J$2),INDIRECT(I694),test),getMax(B694,C694,INDIRECT(J$2),INDIRECT(I694),test))</f>
        <v>148.01542709608177</v>
      </c>
      <c r="F694" s="1" t="str">
        <f t="shared" si="42"/>
        <v>50</v>
      </c>
      <c r="G694" s="1" t="str">
        <f t="shared" si="43"/>
        <v/>
      </c>
      <c r="I694" s="1" t="str">
        <f t="shared" si="41"/>
        <v>威尔新数值1.06.xlsm!suitPower</v>
      </c>
    </row>
    <row r="695" spans="1:9" x14ac:dyDescent="0.15">
      <c r="A695" s="1">
        <v>694</v>
      </c>
      <c r="B695" s="1">
        <v>102050300</v>
      </c>
      <c r="C695" s="1">
        <f t="shared" si="44"/>
        <v>10</v>
      </c>
      <c r="D695" s="5">
        <f ca="1">IF(getQuality(B695)&lt;4,getOtherMin(B695,C695,INDIRECT(J$2),INDIRECT(I695),test),getMin(B695,C695,INDIRECT(J$2),INDIRECT(I695),test))</f>
        <v>110.24493457930163</v>
      </c>
      <c r="E695" s="5">
        <f ca="1">IF(getQuality(B695)&lt;4,getOtherMax(B695,C695,INDIRECT(J$2),INDIRECT(I695),test),getMax(B695,C695,INDIRECT(J$2),INDIRECT(I695),test))</f>
        <v>148.01542709608177</v>
      </c>
      <c r="F695" s="1" t="str">
        <f t="shared" si="42"/>
        <v>50</v>
      </c>
      <c r="G695" s="1" t="str">
        <f t="shared" si="43"/>
        <v/>
      </c>
      <c r="I695" s="1" t="str">
        <f t="shared" si="41"/>
        <v>威尔新数值1.06.xlsm!suitPower</v>
      </c>
    </row>
    <row r="696" spans="1:9" x14ac:dyDescent="0.15">
      <c r="A696" s="1">
        <v>695</v>
      </c>
      <c r="B696" s="1">
        <v>102050300</v>
      </c>
      <c r="C696" s="1">
        <f t="shared" si="44"/>
        <v>11</v>
      </c>
      <c r="D696" s="5">
        <f ca="1">IF(getQuality(B696)&lt;4,getOtherMin(B696,C696,INDIRECT(J$2),INDIRECT(I696),test),getMin(B696,C696,INDIRECT(J$2),INDIRECT(I696),test))</f>
        <v>110.24493457930163</v>
      </c>
      <c r="E696" s="5">
        <f ca="1">IF(getQuality(B696)&lt;4,getOtherMax(B696,C696,INDIRECT(J$2),INDIRECT(I696),test),getMax(B696,C696,INDIRECT(J$2),INDIRECT(I696),test))</f>
        <v>148.01542709608177</v>
      </c>
      <c r="F696" s="1" t="str">
        <f t="shared" si="42"/>
        <v>50</v>
      </c>
      <c r="G696" s="1" t="str">
        <f t="shared" si="43"/>
        <v/>
      </c>
      <c r="I696" s="1" t="str">
        <f t="shared" si="41"/>
        <v>威尔新数值1.06.xlsm!suitPower</v>
      </c>
    </row>
    <row r="697" spans="1:9" x14ac:dyDescent="0.15">
      <c r="A697" s="1">
        <v>696</v>
      </c>
      <c r="B697" s="1">
        <v>102050300</v>
      </c>
      <c r="C697" s="1">
        <f t="shared" si="44"/>
        <v>12</v>
      </c>
      <c r="D697" s="5">
        <f ca="1">IF(getQuality(B697)&lt;4,getOtherMin(B697,C697,INDIRECT(J$2),INDIRECT(I697),test),getMin(B697,C697,INDIRECT(J$2),INDIRECT(I697),test))</f>
        <v>110.24493457930163</v>
      </c>
      <c r="E697" s="5">
        <f ca="1">IF(getQuality(B697)&lt;4,getOtherMax(B697,C697,INDIRECT(J$2),INDIRECT(I697),test),getMax(B697,C697,INDIRECT(J$2),INDIRECT(I697),test))</f>
        <v>148.01542709608177</v>
      </c>
      <c r="F697" s="1" t="str">
        <f t="shared" si="42"/>
        <v>50</v>
      </c>
      <c r="G697" s="1" t="str">
        <f t="shared" si="43"/>
        <v/>
      </c>
      <c r="I697" s="1" t="str">
        <f t="shared" si="41"/>
        <v>威尔新数值1.06.xlsm!suitPower</v>
      </c>
    </row>
    <row r="698" spans="1:9" x14ac:dyDescent="0.15">
      <c r="A698" s="1">
        <v>697</v>
      </c>
      <c r="B698" s="1">
        <v>102050300</v>
      </c>
      <c r="C698" s="1">
        <f t="shared" si="44"/>
        <v>13</v>
      </c>
      <c r="D698" s="5">
        <f ca="1">IF(getQuality(B698)&lt;4,getOtherMin(B698,C698,INDIRECT(J$2),INDIRECT(I698),test),getMin(B698,C698,INDIRECT(J$2),INDIRECT(I698),test))</f>
        <v>110.24493457930163</v>
      </c>
      <c r="E698" s="5">
        <f ca="1">IF(getQuality(B698)&lt;4,getOtherMax(B698,C698,INDIRECT(J$2),INDIRECT(I698),test),getMax(B698,C698,INDIRECT(J$2),INDIRECT(I698),test))</f>
        <v>148.01542709608177</v>
      </c>
      <c r="F698" s="1" t="str">
        <f t="shared" si="42"/>
        <v>50</v>
      </c>
      <c r="G698" s="1" t="str">
        <f t="shared" si="43"/>
        <v/>
      </c>
      <c r="I698" s="1" t="str">
        <f t="shared" si="41"/>
        <v>威尔新数值1.06.xlsm!suitPower</v>
      </c>
    </row>
    <row r="699" spans="1:9" x14ac:dyDescent="0.15">
      <c r="A699" s="1">
        <v>698</v>
      </c>
      <c r="B699" s="1">
        <v>102050300</v>
      </c>
      <c r="C699" s="1">
        <f t="shared" si="44"/>
        <v>14</v>
      </c>
      <c r="D699" s="5">
        <f ca="1">IF(getQuality(B699)&lt;4,getOtherMin(B699,C699,INDIRECT(J$2),INDIRECT(I699),test),getMin(B699,C699,INDIRECT(J$2),INDIRECT(I699),test))</f>
        <v>110.24493457930163</v>
      </c>
      <c r="E699" s="5">
        <f ca="1">IF(getQuality(B699)&lt;4,getOtherMax(B699,C699,INDIRECT(J$2),INDIRECT(I699),test),getMax(B699,C699,INDIRECT(J$2),INDIRECT(I699),test))</f>
        <v>148.01542709608177</v>
      </c>
      <c r="F699" s="1" t="str">
        <f t="shared" si="42"/>
        <v>50</v>
      </c>
      <c r="G699" s="1" t="str">
        <f t="shared" si="43"/>
        <v/>
      </c>
      <c r="I699" s="1" t="str">
        <f t="shared" si="41"/>
        <v>威尔新数值1.06.xlsm!suitPower</v>
      </c>
    </row>
    <row r="700" spans="1:9" x14ac:dyDescent="0.15">
      <c r="A700" s="1">
        <v>699</v>
      </c>
      <c r="B700" s="1">
        <v>102050300</v>
      </c>
      <c r="C700" s="1">
        <f t="shared" si="44"/>
        <v>15</v>
      </c>
      <c r="D700" s="5">
        <f ca="1">IF(getQuality(B700)&lt;4,getOtherMin(B700,C700,INDIRECT(J$2),INDIRECT(I700),test),getMin(B700,C700,INDIRECT(J$2),INDIRECT(I700),test))</f>
        <v>110.24493457930163</v>
      </c>
      <c r="E700" s="5">
        <f ca="1">IF(getQuality(B700)&lt;4,getOtherMax(B700,C700,INDIRECT(J$2),INDIRECT(I700),test),getMax(B700,C700,INDIRECT(J$2),INDIRECT(I700),test))</f>
        <v>148.01542709608177</v>
      </c>
      <c r="F700" s="1" t="str">
        <f t="shared" si="42"/>
        <v>50</v>
      </c>
      <c r="G700" s="1" t="str">
        <f t="shared" si="43"/>
        <v/>
      </c>
      <c r="I700" s="1" t="str">
        <f t="shared" si="41"/>
        <v>威尔新数值1.06.xlsm!suitPower</v>
      </c>
    </row>
    <row r="701" spans="1:9" x14ac:dyDescent="0.15">
      <c r="A701" s="1">
        <v>700</v>
      </c>
      <c r="B701" s="1">
        <v>102050300</v>
      </c>
      <c r="C701" s="1">
        <f t="shared" si="44"/>
        <v>101</v>
      </c>
      <c r="D701" s="5">
        <f ca="1">IF(getQuality(B701)&lt;4,getOtherMin(B701,C701,INDIRECT(J$2),INDIRECT(I701),test),getMin(B701,C701,INDIRECT(J$2),INDIRECT(I701),test))</f>
        <v>0.1</v>
      </c>
      <c r="E701" s="5">
        <f ca="1">IF(getQuality(B701)&lt;4,getOtherMax(B701,C701,INDIRECT(J$2),INDIRECT(I701),test),getMax(B701,C701,INDIRECT(J$2),INDIRECT(I701),test))</f>
        <v>0.13</v>
      </c>
      <c r="F701" s="1" t="str">
        <f t="shared" si="42"/>
        <v>50</v>
      </c>
      <c r="G701" s="1" t="str">
        <f t="shared" si="43"/>
        <v/>
      </c>
      <c r="I701" s="1" t="str">
        <f t="shared" si="41"/>
        <v>威尔新数值1.06.xlsm!circlePer</v>
      </c>
    </row>
    <row r="702" spans="1:9" x14ac:dyDescent="0.15">
      <c r="A702" s="1">
        <v>701</v>
      </c>
      <c r="B702" s="1">
        <v>102050300</v>
      </c>
      <c r="C702" s="1">
        <f t="shared" si="44"/>
        <v>102</v>
      </c>
      <c r="D702" s="5">
        <f ca="1">IF(getQuality(B702)&lt;4,getOtherMin(B702,C702,INDIRECT(J$2),INDIRECT(I702),test),getMin(B702,C702,INDIRECT(J$2),INDIRECT(I702),test))</f>
        <v>0.8</v>
      </c>
      <c r="E702" s="5">
        <f ca="1">IF(getQuality(B702)&lt;4,getOtherMax(B702,C702,INDIRECT(J$2),INDIRECT(I702),test),getMax(B702,C702,INDIRECT(J$2),INDIRECT(I702),test))</f>
        <v>1.2</v>
      </c>
      <c r="F702" s="1" t="str">
        <f t="shared" si="42"/>
        <v>50</v>
      </c>
      <c r="G702" s="1" t="str">
        <f t="shared" si="43"/>
        <v/>
      </c>
      <c r="I702" s="1" t="str">
        <f t="shared" si="41"/>
        <v>威尔新数值1.06.xlsm!circleValue</v>
      </c>
    </row>
    <row r="703" spans="1:9" x14ac:dyDescent="0.15">
      <c r="A703" s="1">
        <v>702</v>
      </c>
      <c r="B703" s="1">
        <v>102050300</v>
      </c>
      <c r="C703" s="1">
        <f t="shared" si="44"/>
        <v>103</v>
      </c>
      <c r="D703" s="5">
        <f ca="1">IF(getQuality(B703)&lt;4,getOtherMin(B703,C703,INDIRECT(J$2),INDIRECT(I703),test),getMin(B703,C703,INDIRECT(J$2),INDIRECT(I703),test))</f>
        <v>0.1</v>
      </c>
      <c r="E703" s="5">
        <f ca="1">IF(getQuality(B703)&lt;4,getOtherMax(B703,C703,INDIRECT(J$2),INDIRECT(I703),test),getMax(B703,C703,INDIRECT(J$2),INDIRECT(I703),test))</f>
        <v>0.13</v>
      </c>
      <c r="F703" s="1" t="str">
        <f t="shared" si="42"/>
        <v>50</v>
      </c>
      <c r="G703" s="1" t="str">
        <f t="shared" si="43"/>
        <v/>
      </c>
      <c r="I703" s="1" t="str">
        <f t="shared" si="41"/>
        <v>威尔新数值1.06.xlsm!otherDamage</v>
      </c>
    </row>
    <row r="704" spans="1:9" x14ac:dyDescent="0.15">
      <c r="A704" s="1">
        <v>703</v>
      </c>
      <c r="B704" s="1">
        <v>102050300</v>
      </c>
      <c r="C704" s="1">
        <f t="shared" si="44"/>
        <v>104</v>
      </c>
      <c r="D704" s="5">
        <f ca="1">IF(getQuality(B704)&lt;4,getOtherMin(B704,C704,INDIRECT(J$2),INDIRECT(I704),test),getMin(B704,C704,INDIRECT(J$2),INDIRECT(I704),test))</f>
        <v>0.1</v>
      </c>
      <c r="E704" s="5">
        <f ca="1">IF(getQuality(B704)&lt;4,getOtherMax(B704,C704,INDIRECT(J$2),INDIRECT(I704),test),getMax(B704,C704,INDIRECT(J$2),INDIRECT(I704),test))</f>
        <v>0.2</v>
      </c>
      <c r="F704" s="1" t="str">
        <f t="shared" si="42"/>
        <v>50</v>
      </c>
      <c r="G704" s="1" t="str">
        <f t="shared" si="43"/>
        <v/>
      </c>
      <c r="I704" s="1" t="str">
        <f t="shared" si="41"/>
        <v>威尔新数值1.06.xlsm!monsterDamage</v>
      </c>
    </row>
    <row r="705" spans="1:9" x14ac:dyDescent="0.15">
      <c r="A705" s="1">
        <v>704</v>
      </c>
      <c r="B705" s="1">
        <v>102050300</v>
      </c>
      <c r="C705" s="1">
        <f t="shared" si="44"/>
        <v>105</v>
      </c>
      <c r="D705" s="5">
        <f ca="1">IF(getQuality(B705)&lt;4,getOtherMin(B705,C705,INDIRECT(J$2),INDIRECT(I705),test),getMin(B705,C705,INDIRECT(J$2),INDIRECT(I705),test))</f>
        <v>0.1</v>
      </c>
      <c r="E705" s="5">
        <f ca="1">IF(getQuality(B705)&lt;4,getOtherMax(B705,C705,INDIRECT(J$2),INDIRECT(I705),test),getMax(B705,C705,INDIRECT(J$2),INDIRECT(I705),test))</f>
        <v>0.2</v>
      </c>
      <c r="F705" s="1" t="str">
        <f t="shared" si="42"/>
        <v>50</v>
      </c>
      <c r="G705" s="1" t="str">
        <f t="shared" si="43"/>
        <v/>
      </c>
      <c r="I705" s="1" t="str">
        <f t="shared" si="41"/>
        <v>威尔新数值1.06.xlsm!monsterDamage</v>
      </c>
    </row>
    <row r="706" spans="1:9" x14ac:dyDescent="0.15">
      <c r="A706" s="1">
        <v>705</v>
      </c>
      <c r="B706" s="1">
        <v>102050300</v>
      </c>
      <c r="C706" s="1">
        <f t="shared" si="44"/>
        <v>106</v>
      </c>
      <c r="D706" s="5">
        <f ca="1">IF(getQuality(B706)&lt;4,getOtherMin(B706,C706,INDIRECT(J$2),INDIRECT(I706),test),getMin(B706,C706,INDIRECT(J$2),INDIRECT(I706),test))</f>
        <v>0.1</v>
      </c>
      <c r="E706" s="5">
        <f ca="1">IF(getQuality(B706)&lt;4,getOtherMax(B706,C706,INDIRECT(J$2),INDIRECT(I706),test),getMax(B706,C706,INDIRECT(J$2),INDIRECT(I706),test))</f>
        <v>0.2</v>
      </c>
      <c r="F706" s="1" t="str">
        <f t="shared" si="42"/>
        <v>50</v>
      </c>
      <c r="G706" s="1" t="str">
        <f t="shared" si="43"/>
        <v/>
      </c>
      <c r="I706" s="1" t="str">
        <f t="shared" ref="I706:I769" si="45">IF(C706&lt;100,VLOOKUP(C706,test,3,FALSE),VLOOKUP(C706,test1,3,FALSE))</f>
        <v>威尔新数值1.06.xlsm!monsterDamage</v>
      </c>
    </row>
    <row r="707" spans="1:9" x14ac:dyDescent="0.15">
      <c r="A707" s="1">
        <v>706</v>
      </c>
      <c r="B707" s="1">
        <v>102050300</v>
      </c>
      <c r="C707" s="1">
        <f t="shared" si="44"/>
        <v>107</v>
      </c>
      <c r="D707" s="5">
        <f ca="1">IF(getQuality(B707)&lt;4,getOtherMin(B707,C707,INDIRECT(J$2),INDIRECT(I707),test),getMin(B707,C707,INDIRECT(J$2),INDIRECT(I707),test))</f>
        <v>0.1</v>
      </c>
      <c r="E707" s="5">
        <f ca="1">IF(getQuality(B707)&lt;4,getOtherMax(B707,C707,INDIRECT(J$2),INDIRECT(I707),test),getMax(B707,C707,INDIRECT(J$2),INDIRECT(I707),test))</f>
        <v>0.2</v>
      </c>
      <c r="F707" s="1" t="str">
        <f t="shared" ref="F707:F770" si="46">getper(B707,C707)</f>
        <v>50</v>
      </c>
      <c r="G707" s="1" t="str">
        <f t="shared" ref="G707:G770" si="47">getMust(B707,C707)</f>
        <v/>
      </c>
      <c r="I707" s="1" t="str">
        <f t="shared" si="45"/>
        <v>威尔新数值1.06.xlsm!monsterDamage</v>
      </c>
    </row>
    <row r="708" spans="1:9" x14ac:dyDescent="0.15">
      <c r="A708" s="1">
        <v>707</v>
      </c>
      <c r="B708" s="1">
        <v>102050300</v>
      </c>
      <c r="C708" s="1">
        <f t="shared" si="44"/>
        <v>108</v>
      </c>
      <c r="D708" s="5">
        <f ca="1">IF(getQuality(B708)&lt;4,getOtherMin(B708,C708,INDIRECT(J$2),INDIRECT(I708),test),getMin(B708,C708,INDIRECT(J$2),INDIRECT(I708),test))</f>
        <v>0.1</v>
      </c>
      <c r="E708" s="5">
        <f ca="1">IF(getQuality(B708)&lt;4,getOtherMax(B708,C708,INDIRECT(J$2),INDIRECT(I708),test),getMax(B708,C708,INDIRECT(J$2),INDIRECT(I708),test))</f>
        <v>0.2</v>
      </c>
      <c r="F708" s="1" t="str">
        <f t="shared" si="46"/>
        <v>50</v>
      </c>
      <c r="G708" s="1" t="str">
        <f t="shared" si="47"/>
        <v/>
      </c>
      <c r="I708" s="1" t="str">
        <f t="shared" si="45"/>
        <v>威尔新数值1.06.xlsm!monsterDamage</v>
      </c>
    </row>
    <row r="709" spans="1:9" x14ac:dyDescent="0.15">
      <c r="A709" s="1">
        <v>708</v>
      </c>
      <c r="B709" s="1">
        <v>102060300</v>
      </c>
      <c r="C709" s="1">
        <f t="shared" si="44"/>
        <v>3</v>
      </c>
      <c r="D709" s="5">
        <f ca="1">IF(getQuality(B709)&lt;4,getOtherMin(B709,C709,INDIRECT(J$2),INDIRECT(I709),test),getMin(B709,C709,INDIRECT(J$2),INDIRECT(I709),test))</f>
        <v>149.01542709608177</v>
      </c>
      <c r="E709" s="5">
        <f ca="1">IF(getQuality(B709)&lt;4,getOtherMax(B709,C709,INDIRECT(J$2),INDIRECT(I709),test),getMax(B709,C709,INDIRECT(J$2),INDIRECT(I709),test))</f>
        <v>190.22369727444828</v>
      </c>
      <c r="F709" s="1" t="str">
        <f t="shared" si="46"/>
        <v>50</v>
      </c>
      <c r="G709" s="1" t="str">
        <f t="shared" si="47"/>
        <v>1</v>
      </c>
      <c r="I709" s="1" t="str">
        <f t="shared" si="45"/>
        <v>威尔新数值1.06.xlsm!suitPower</v>
      </c>
    </row>
    <row r="710" spans="1:9" x14ac:dyDescent="0.15">
      <c r="A710" s="1">
        <v>709</v>
      </c>
      <c r="B710" s="1">
        <v>102060300</v>
      </c>
      <c r="C710" s="1">
        <f t="shared" si="44"/>
        <v>5</v>
      </c>
      <c r="D710" s="5">
        <f ca="1">IF(getQuality(B710)&lt;4,getOtherMin(B710,C710,INDIRECT(J$2),INDIRECT(I710),test),getMin(B710,C710,INDIRECT(J$2),INDIRECT(I710),test))</f>
        <v>149.01542709608177</v>
      </c>
      <c r="E710" s="5">
        <f ca="1">IF(getQuality(B710)&lt;4,getOtherMax(B710,C710,INDIRECT(J$2),INDIRECT(I710),test),getMax(B710,C710,INDIRECT(J$2),INDIRECT(I710),test))</f>
        <v>190.22369727444828</v>
      </c>
      <c r="F710" s="1" t="str">
        <f t="shared" si="46"/>
        <v>50</v>
      </c>
      <c r="G710" s="1" t="str">
        <f t="shared" si="47"/>
        <v/>
      </c>
      <c r="I710" s="1" t="str">
        <f t="shared" si="45"/>
        <v>威尔新数值1.06.xlsm!suitPower</v>
      </c>
    </row>
    <row r="711" spans="1:9" x14ac:dyDescent="0.15">
      <c r="A711" s="1">
        <v>710</v>
      </c>
      <c r="B711" s="1">
        <v>102060300</v>
      </c>
      <c r="C711" s="1">
        <f t="shared" si="44"/>
        <v>7</v>
      </c>
      <c r="D711" s="5">
        <f ca="1">IF(getQuality(B711)&lt;4,getOtherMin(B711,C711,INDIRECT(J$2),INDIRECT(I711),test),getMin(B711,C711,INDIRECT(J$2),INDIRECT(I711),test))</f>
        <v>33.407407407407327</v>
      </c>
      <c r="E711" s="5">
        <f ca="1">IF(getQuality(B711)&lt;4,getOtherMax(B711,C711,INDIRECT(J$2),INDIRECT(I711),test),getMax(B711,C711,INDIRECT(J$2),INDIRECT(I711),test))</f>
        <v>38.888888888888786</v>
      </c>
      <c r="F711" s="1" t="str">
        <f t="shared" si="46"/>
        <v>50</v>
      </c>
      <c r="G711" s="1" t="str">
        <f t="shared" si="47"/>
        <v/>
      </c>
      <c r="I711" s="1" t="str">
        <f t="shared" si="45"/>
        <v>威尔新数值1.06.xlsm!suitPower</v>
      </c>
    </row>
    <row r="712" spans="1:9" x14ac:dyDescent="0.15">
      <c r="A712" s="1">
        <v>711</v>
      </c>
      <c r="B712" s="1">
        <v>102060300</v>
      </c>
      <c r="C712" s="1">
        <f t="shared" si="44"/>
        <v>8</v>
      </c>
      <c r="D712" s="5">
        <f ca="1">IF(getQuality(B712)&lt;4,getOtherMin(B712,C712,INDIRECT(J$2),INDIRECT(I712),test),getMin(B712,C712,INDIRECT(J$2),INDIRECT(I712),test))</f>
        <v>73.916666666666671</v>
      </c>
      <c r="E712" s="5">
        <f ca="1">IF(getQuality(B712)&lt;4,getOtherMax(B712,C712,INDIRECT(J$2),INDIRECT(I712),test),getMax(B712,C712,INDIRECT(J$2),INDIRECT(I712),test))</f>
        <v>87.5</v>
      </c>
      <c r="F712" s="1" t="str">
        <f t="shared" si="46"/>
        <v>50</v>
      </c>
      <c r="G712" s="1" t="str">
        <f t="shared" si="47"/>
        <v/>
      </c>
      <c r="I712" s="1" t="str">
        <f t="shared" si="45"/>
        <v>威尔新数值1.06.xlsm!suitPower</v>
      </c>
    </row>
    <row r="713" spans="1:9" x14ac:dyDescent="0.15">
      <c r="A713" s="1">
        <v>712</v>
      </c>
      <c r="B713" s="1">
        <v>102060300</v>
      </c>
      <c r="C713" s="1">
        <f t="shared" si="44"/>
        <v>9</v>
      </c>
      <c r="D713" s="5">
        <f ca="1">IF(getQuality(B713)&lt;4,getOtherMin(B713,C713,INDIRECT(J$2),INDIRECT(I713),test),getMin(B713,C713,INDIRECT(J$2),INDIRECT(I713),test))</f>
        <v>149.01542709608177</v>
      </c>
      <c r="E713" s="5">
        <f ca="1">IF(getQuality(B713)&lt;4,getOtherMax(B713,C713,INDIRECT(J$2),INDIRECT(I713),test),getMax(B713,C713,INDIRECT(J$2),INDIRECT(I713),test))</f>
        <v>190.22369727444828</v>
      </c>
      <c r="F713" s="1" t="str">
        <f t="shared" si="46"/>
        <v>50</v>
      </c>
      <c r="G713" s="1" t="str">
        <f t="shared" si="47"/>
        <v/>
      </c>
      <c r="I713" s="1" t="str">
        <f t="shared" si="45"/>
        <v>威尔新数值1.06.xlsm!suitPower</v>
      </c>
    </row>
    <row r="714" spans="1:9" x14ac:dyDescent="0.15">
      <c r="A714" s="1">
        <v>713</v>
      </c>
      <c r="B714" s="1">
        <v>102060300</v>
      </c>
      <c r="C714" s="1">
        <f t="shared" si="44"/>
        <v>10</v>
      </c>
      <c r="D714" s="5">
        <f ca="1">IF(getQuality(B714)&lt;4,getOtherMin(B714,C714,INDIRECT(J$2),INDIRECT(I714),test),getMin(B714,C714,INDIRECT(J$2),INDIRECT(I714),test))</f>
        <v>149.01542709608177</v>
      </c>
      <c r="E714" s="5">
        <f ca="1">IF(getQuality(B714)&lt;4,getOtherMax(B714,C714,INDIRECT(J$2),INDIRECT(I714),test),getMax(B714,C714,INDIRECT(J$2),INDIRECT(I714),test))</f>
        <v>190.22369727444828</v>
      </c>
      <c r="F714" s="1" t="str">
        <f t="shared" si="46"/>
        <v>50</v>
      </c>
      <c r="G714" s="1" t="str">
        <f t="shared" si="47"/>
        <v/>
      </c>
      <c r="I714" s="1" t="str">
        <f t="shared" si="45"/>
        <v>威尔新数值1.06.xlsm!suitPower</v>
      </c>
    </row>
    <row r="715" spans="1:9" x14ac:dyDescent="0.15">
      <c r="A715" s="1">
        <v>714</v>
      </c>
      <c r="B715" s="1">
        <v>102060300</v>
      </c>
      <c r="C715" s="1">
        <f t="shared" si="44"/>
        <v>11</v>
      </c>
      <c r="D715" s="5">
        <f ca="1">IF(getQuality(B715)&lt;4,getOtherMin(B715,C715,INDIRECT(J$2),INDIRECT(I715),test),getMin(B715,C715,INDIRECT(J$2),INDIRECT(I715),test))</f>
        <v>149.01542709608177</v>
      </c>
      <c r="E715" s="5">
        <f ca="1">IF(getQuality(B715)&lt;4,getOtherMax(B715,C715,INDIRECT(J$2),INDIRECT(I715),test),getMax(B715,C715,INDIRECT(J$2),INDIRECT(I715),test))</f>
        <v>190.22369727444828</v>
      </c>
      <c r="F715" s="1" t="str">
        <f t="shared" si="46"/>
        <v>50</v>
      </c>
      <c r="G715" s="1" t="str">
        <f t="shared" si="47"/>
        <v/>
      </c>
      <c r="I715" s="1" t="str">
        <f t="shared" si="45"/>
        <v>威尔新数值1.06.xlsm!suitPower</v>
      </c>
    </row>
    <row r="716" spans="1:9" x14ac:dyDescent="0.15">
      <c r="A716" s="1">
        <v>715</v>
      </c>
      <c r="B716" s="1">
        <v>102060300</v>
      </c>
      <c r="C716" s="1">
        <f t="shared" si="44"/>
        <v>12</v>
      </c>
      <c r="D716" s="5">
        <f ca="1">IF(getQuality(B716)&lt;4,getOtherMin(B716,C716,INDIRECT(J$2),INDIRECT(I716),test),getMin(B716,C716,INDIRECT(J$2),INDIRECT(I716),test))</f>
        <v>149.01542709608177</v>
      </c>
      <c r="E716" s="5">
        <f ca="1">IF(getQuality(B716)&lt;4,getOtherMax(B716,C716,INDIRECT(J$2),INDIRECT(I716),test),getMax(B716,C716,INDIRECT(J$2),INDIRECT(I716),test))</f>
        <v>190.22369727444828</v>
      </c>
      <c r="F716" s="1" t="str">
        <f t="shared" si="46"/>
        <v>50</v>
      </c>
      <c r="G716" s="1" t="str">
        <f t="shared" si="47"/>
        <v/>
      </c>
      <c r="I716" s="1" t="str">
        <f t="shared" si="45"/>
        <v>威尔新数值1.06.xlsm!suitPower</v>
      </c>
    </row>
    <row r="717" spans="1:9" x14ac:dyDescent="0.15">
      <c r="A717" s="1">
        <v>716</v>
      </c>
      <c r="B717" s="1">
        <v>102060300</v>
      </c>
      <c r="C717" s="1">
        <f t="shared" si="44"/>
        <v>13</v>
      </c>
      <c r="D717" s="5">
        <f ca="1">IF(getQuality(B717)&lt;4,getOtherMin(B717,C717,INDIRECT(J$2),INDIRECT(I717),test),getMin(B717,C717,INDIRECT(J$2),INDIRECT(I717),test))</f>
        <v>149.01542709608177</v>
      </c>
      <c r="E717" s="5">
        <f ca="1">IF(getQuality(B717)&lt;4,getOtherMax(B717,C717,INDIRECT(J$2),INDIRECT(I717),test),getMax(B717,C717,INDIRECT(J$2),INDIRECT(I717),test))</f>
        <v>190.22369727444828</v>
      </c>
      <c r="F717" s="1" t="str">
        <f t="shared" si="46"/>
        <v>50</v>
      </c>
      <c r="G717" s="1" t="str">
        <f t="shared" si="47"/>
        <v/>
      </c>
      <c r="I717" s="1" t="str">
        <f t="shared" si="45"/>
        <v>威尔新数值1.06.xlsm!suitPower</v>
      </c>
    </row>
    <row r="718" spans="1:9" x14ac:dyDescent="0.15">
      <c r="A718" s="1">
        <v>717</v>
      </c>
      <c r="B718" s="1">
        <v>102060300</v>
      </c>
      <c r="C718" s="1">
        <f t="shared" si="44"/>
        <v>14</v>
      </c>
      <c r="D718" s="5">
        <f ca="1">IF(getQuality(B718)&lt;4,getOtherMin(B718,C718,INDIRECT(J$2),INDIRECT(I718),test),getMin(B718,C718,INDIRECT(J$2),INDIRECT(I718),test))</f>
        <v>149.01542709608177</v>
      </c>
      <c r="E718" s="5">
        <f ca="1">IF(getQuality(B718)&lt;4,getOtherMax(B718,C718,INDIRECT(J$2),INDIRECT(I718),test),getMax(B718,C718,INDIRECT(J$2),INDIRECT(I718),test))</f>
        <v>190.22369727444828</v>
      </c>
      <c r="F718" s="1" t="str">
        <f t="shared" si="46"/>
        <v>50</v>
      </c>
      <c r="G718" s="1" t="str">
        <f t="shared" si="47"/>
        <v/>
      </c>
      <c r="I718" s="1" t="str">
        <f t="shared" si="45"/>
        <v>威尔新数值1.06.xlsm!suitPower</v>
      </c>
    </row>
    <row r="719" spans="1:9" x14ac:dyDescent="0.15">
      <c r="A719" s="1">
        <v>718</v>
      </c>
      <c r="B719" s="1">
        <v>102060300</v>
      </c>
      <c r="C719" s="1">
        <f t="shared" si="44"/>
        <v>15</v>
      </c>
      <c r="D719" s="5">
        <f ca="1">IF(getQuality(B719)&lt;4,getOtherMin(B719,C719,INDIRECT(J$2),INDIRECT(I719),test),getMin(B719,C719,INDIRECT(J$2),INDIRECT(I719),test))</f>
        <v>149.01542709608177</v>
      </c>
      <c r="E719" s="5">
        <f ca="1">IF(getQuality(B719)&lt;4,getOtherMax(B719,C719,INDIRECT(J$2),INDIRECT(I719),test),getMax(B719,C719,INDIRECT(J$2),INDIRECT(I719),test))</f>
        <v>190.22369727444828</v>
      </c>
      <c r="F719" s="1" t="str">
        <f t="shared" si="46"/>
        <v>50</v>
      </c>
      <c r="G719" s="1" t="str">
        <f t="shared" si="47"/>
        <v/>
      </c>
      <c r="I719" s="1" t="str">
        <f t="shared" si="45"/>
        <v>威尔新数值1.06.xlsm!suitPower</v>
      </c>
    </row>
    <row r="720" spans="1:9" x14ac:dyDescent="0.15">
      <c r="A720" s="1">
        <v>719</v>
      </c>
      <c r="B720" s="1">
        <v>102060300</v>
      </c>
      <c r="C720" s="1">
        <f t="shared" si="44"/>
        <v>101</v>
      </c>
      <c r="D720" s="5">
        <f ca="1">IF(getQuality(B720)&lt;4,getOtherMin(B720,C720,INDIRECT(J$2),INDIRECT(I720),test),getMin(B720,C720,INDIRECT(J$2),INDIRECT(I720),test))</f>
        <v>0.11</v>
      </c>
      <c r="E720" s="5">
        <f ca="1">IF(getQuality(B720)&lt;4,getOtherMax(B720,C720,INDIRECT(J$2),INDIRECT(I720),test),getMax(B720,C720,INDIRECT(J$2),INDIRECT(I720),test))</f>
        <v>0.14000000000000001</v>
      </c>
      <c r="F720" s="1" t="str">
        <f t="shared" si="46"/>
        <v>50</v>
      </c>
      <c r="G720" s="1" t="str">
        <f t="shared" si="47"/>
        <v/>
      </c>
      <c r="I720" s="1" t="str">
        <f t="shared" si="45"/>
        <v>威尔新数值1.06.xlsm!circlePer</v>
      </c>
    </row>
    <row r="721" spans="1:9" x14ac:dyDescent="0.15">
      <c r="A721" s="1">
        <v>720</v>
      </c>
      <c r="B721" s="1">
        <v>102060300</v>
      </c>
      <c r="C721" s="1">
        <f t="shared" si="44"/>
        <v>102</v>
      </c>
      <c r="D721" s="5">
        <f ca="1">IF(getQuality(B721)&lt;4,getOtherMin(B721,C721,INDIRECT(J$2),INDIRECT(I721),test),getMin(B721,C721,INDIRECT(J$2),INDIRECT(I721),test))</f>
        <v>0.9</v>
      </c>
      <c r="E721" s="5">
        <f ca="1">IF(getQuality(B721)&lt;4,getOtherMax(B721,C721,INDIRECT(J$2),INDIRECT(I721),test),getMax(B721,C721,INDIRECT(J$2),INDIRECT(I721),test))</f>
        <v>1.3</v>
      </c>
      <c r="F721" s="1" t="str">
        <f t="shared" si="46"/>
        <v>50</v>
      </c>
      <c r="G721" s="1" t="str">
        <f t="shared" si="47"/>
        <v/>
      </c>
      <c r="I721" s="1" t="str">
        <f t="shared" si="45"/>
        <v>威尔新数值1.06.xlsm!circleValue</v>
      </c>
    </row>
    <row r="722" spans="1:9" x14ac:dyDescent="0.15">
      <c r="A722" s="1">
        <v>721</v>
      </c>
      <c r="B722" s="1">
        <v>102060300</v>
      </c>
      <c r="C722" s="1">
        <f t="shared" si="44"/>
        <v>103</v>
      </c>
      <c r="D722" s="5">
        <f ca="1">IF(getQuality(B722)&lt;4,getOtherMin(B722,C722,INDIRECT(J$2),INDIRECT(I722),test),getMin(B722,C722,INDIRECT(J$2),INDIRECT(I722),test))</f>
        <v>0.11</v>
      </c>
      <c r="E722" s="5">
        <f ca="1">IF(getQuality(B722)&lt;4,getOtherMax(B722,C722,INDIRECT(J$2),INDIRECT(I722),test),getMax(B722,C722,INDIRECT(J$2),INDIRECT(I722),test))</f>
        <v>0.14000000000000001</v>
      </c>
      <c r="F722" s="1" t="str">
        <f t="shared" si="46"/>
        <v>50</v>
      </c>
      <c r="G722" s="1" t="str">
        <f t="shared" si="47"/>
        <v/>
      </c>
      <c r="I722" s="1" t="str">
        <f t="shared" si="45"/>
        <v>威尔新数值1.06.xlsm!otherDamage</v>
      </c>
    </row>
    <row r="723" spans="1:9" x14ac:dyDescent="0.15">
      <c r="A723" s="1">
        <v>722</v>
      </c>
      <c r="B723" s="1">
        <v>102060300</v>
      </c>
      <c r="C723" s="1">
        <f t="shared" si="44"/>
        <v>104</v>
      </c>
      <c r="D723" s="5">
        <f ca="1">IF(getQuality(B723)&lt;4,getOtherMin(B723,C723,INDIRECT(J$2),INDIRECT(I723),test),getMin(B723,C723,INDIRECT(J$2),INDIRECT(I723),test))</f>
        <v>0.11</v>
      </c>
      <c r="E723" s="5">
        <f ca="1">IF(getQuality(B723)&lt;4,getOtherMax(B723,C723,INDIRECT(J$2),INDIRECT(I723),test),getMax(B723,C723,INDIRECT(J$2),INDIRECT(I723),test))</f>
        <v>0.22</v>
      </c>
      <c r="F723" s="1" t="str">
        <f t="shared" si="46"/>
        <v>50</v>
      </c>
      <c r="G723" s="1" t="str">
        <f t="shared" si="47"/>
        <v/>
      </c>
      <c r="I723" s="1" t="str">
        <f t="shared" si="45"/>
        <v>威尔新数值1.06.xlsm!monsterDamage</v>
      </c>
    </row>
    <row r="724" spans="1:9" x14ac:dyDescent="0.15">
      <c r="A724" s="1">
        <v>723</v>
      </c>
      <c r="B724" s="1">
        <v>102060300</v>
      </c>
      <c r="C724" s="1">
        <f t="shared" si="44"/>
        <v>105</v>
      </c>
      <c r="D724" s="5">
        <f ca="1">IF(getQuality(B724)&lt;4,getOtherMin(B724,C724,INDIRECT(J$2),INDIRECT(I724),test),getMin(B724,C724,INDIRECT(J$2),INDIRECT(I724),test))</f>
        <v>0.11</v>
      </c>
      <c r="E724" s="5">
        <f ca="1">IF(getQuality(B724)&lt;4,getOtherMax(B724,C724,INDIRECT(J$2),INDIRECT(I724),test),getMax(B724,C724,INDIRECT(J$2),INDIRECT(I724),test))</f>
        <v>0.22</v>
      </c>
      <c r="F724" s="1" t="str">
        <f t="shared" si="46"/>
        <v>50</v>
      </c>
      <c r="G724" s="1" t="str">
        <f t="shared" si="47"/>
        <v/>
      </c>
      <c r="I724" s="1" t="str">
        <f t="shared" si="45"/>
        <v>威尔新数值1.06.xlsm!monsterDamage</v>
      </c>
    </row>
    <row r="725" spans="1:9" x14ac:dyDescent="0.15">
      <c r="A725" s="1">
        <v>724</v>
      </c>
      <c r="B725" s="1">
        <v>102060300</v>
      </c>
      <c r="C725" s="1">
        <f t="shared" si="44"/>
        <v>106</v>
      </c>
      <c r="D725" s="5">
        <f ca="1">IF(getQuality(B725)&lt;4,getOtherMin(B725,C725,INDIRECT(J$2),INDIRECT(I725),test),getMin(B725,C725,INDIRECT(J$2),INDIRECT(I725),test))</f>
        <v>0.11</v>
      </c>
      <c r="E725" s="5">
        <f ca="1">IF(getQuality(B725)&lt;4,getOtherMax(B725,C725,INDIRECT(J$2),INDIRECT(I725),test),getMax(B725,C725,INDIRECT(J$2),INDIRECT(I725),test))</f>
        <v>0.22</v>
      </c>
      <c r="F725" s="1" t="str">
        <f t="shared" si="46"/>
        <v>50</v>
      </c>
      <c r="G725" s="1" t="str">
        <f t="shared" si="47"/>
        <v/>
      </c>
      <c r="I725" s="1" t="str">
        <f t="shared" si="45"/>
        <v>威尔新数值1.06.xlsm!monsterDamage</v>
      </c>
    </row>
    <row r="726" spans="1:9" x14ac:dyDescent="0.15">
      <c r="A726" s="1">
        <v>725</v>
      </c>
      <c r="B726" s="1">
        <v>102060300</v>
      </c>
      <c r="C726" s="1">
        <f t="shared" si="44"/>
        <v>107</v>
      </c>
      <c r="D726" s="5">
        <f ca="1">IF(getQuality(B726)&lt;4,getOtherMin(B726,C726,INDIRECT(J$2),INDIRECT(I726),test),getMin(B726,C726,INDIRECT(J$2),INDIRECT(I726),test))</f>
        <v>0.11</v>
      </c>
      <c r="E726" s="5">
        <f ca="1">IF(getQuality(B726)&lt;4,getOtherMax(B726,C726,INDIRECT(J$2),INDIRECT(I726),test),getMax(B726,C726,INDIRECT(J$2),INDIRECT(I726),test))</f>
        <v>0.22</v>
      </c>
      <c r="F726" s="1" t="str">
        <f t="shared" si="46"/>
        <v>50</v>
      </c>
      <c r="G726" s="1" t="str">
        <f t="shared" si="47"/>
        <v/>
      </c>
      <c r="I726" s="1" t="str">
        <f t="shared" si="45"/>
        <v>威尔新数值1.06.xlsm!monsterDamage</v>
      </c>
    </row>
    <row r="727" spans="1:9" x14ac:dyDescent="0.15">
      <c r="A727" s="1">
        <v>726</v>
      </c>
      <c r="B727" s="1">
        <v>102060300</v>
      </c>
      <c r="C727" s="1">
        <f t="shared" si="44"/>
        <v>108</v>
      </c>
      <c r="D727" s="5">
        <f ca="1">IF(getQuality(B727)&lt;4,getOtherMin(B727,C727,INDIRECT(J$2),INDIRECT(I727),test),getMin(B727,C727,INDIRECT(J$2),INDIRECT(I727),test))</f>
        <v>0.11</v>
      </c>
      <c r="E727" s="5">
        <f ca="1">IF(getQuality(B727)&lt;4,getOtherMax(B727,C727,INDIRECT(J$2),INDIRECT(I727),test),getMax(B727,C727,INDIRECT(J$2),INDIRECT(I727),test))</f>
        <v>0.22</v>
      </c>
      <c r="F727" s="1" t="str">
        <f t="shared" si="46"/>
        <v>50</v>
      </c>
      <c r="G727" s="1" t="str">
        <f t="shared" si="47"/>
        <v/>
      </c>
      <c r="I727" s="1" t="str">
        <f t="shared" si="45"/>
        <v>威尔新数值1.06.xlsm!monsterDamage</v>
      </c>
    </row>
    <row r="728" spans="1:9" x14ac:dyDescent="0.15">
      <c r="A728" s="1">
        <v>727</v>
      </c>
      <c r="B728" s="1">
        <v>102070300</v>
      </c>
      <c r="C728" s="1">
        <f t="shared" si="44"/>
        <v>3</v>
      </c>
      <c r="D728" s="5">
        <f ca="1">IF(getQuality(B728)&lt;4,getOtherMin(B728,C728,INDIRECT(J$2),INDIRECT(I728),test),getMin(B728,C728,INDIRECT(J$2),INDIRECT(I728),test))</f>
        <v>191.22369727444828</v>
      </c>
      <c r="E728" s="5">
        <f ca="1">IF(getQuality(B728)&lt;4,getOtherMax(B728,C728,INDIRECT(J$2),INDIRECT(I728),test),getMax(B728,C728,INDIRECT(J$2),INDIRECT(I728),test))</f>
        <v>236.63369570586491</v>
      </c>
      <c r="F728" s="1" t="str">
        <f t="shared" si="46"/>
        <v>50</v>
      </c>
      <c r="G728" s="1" t="str">
        <f t="shared" si="47"/>
        <v>1</v>
      </c>
      <c r="I728" s="1" t="str">
        <f t="shared" si="45"/>
        <v>威尔新数值1.06.xlsm!suitPower</v>
      </c>
    </row>
    <row r="729" spans="1:9" x14ac:dyDescent="0.15">
      <c r="A729" s="1">
        <v>728</v>
      </c>
      <c r="B729" s="1">
        <v>102070300</v>
      </c>
      <c r="C729" s="1">
        <f t="shared" si="44"/>
        <v>5</v>
      </c>
      <c r="D729" s="5">
        <f ca="1">IF(getQuality(B729)&lt;4,getOtherMin(B729,C729,INDIRECT(J$2),INDIRECT(I729),test),getMin(B729,C729,INDIRECT(J$2),INDIRECT(I729),test))</f>
        <v>191.22369727444828</v>
      </c>
      <c r="E729" s="5">
        <f ca="1">IF(getQuality(B729)&lt;4,getOtherMax(B729,C729,INDIRECT(J$2),INDIRECT(I729),test),getMax(B729,C729,INDIRECT(J$2),INDIRECT(I729),test))</f>
        <v>236.63369570586491</v>
      </c>
      <c r="F729" s="1" t="str">
        <f t="shared" si="46"/>
        <v>50</v>
      </c>
      <c r="G729" s="1" t="str">
        <f t="shared" si="47"/>
        <v/>
      </c>
      <c r="I729" s="1" t="str">
        <f t="shared" si="45"/>
        <v>威尔新数值1.06.xlsm!suitPower</v>
      </c>
    </row>
    <row r="730" spans="1:9" x14ac:dyDescent="0.15">
      <c r="A730" s="1">
        <v>729</v>
      </c>
      <c r="B730" s="1">
        <v>102070300</v>
      </c>
      <c r="C730" s="1">
        <f t="shared" si="44"/>
        <v>7</v>
      </c>
      <c r="D730" s="5">
        <f ca="1">IF(getQuality(B730)&lt;4,getOtherMin(B730,C730,INDIRECT(J$2),INDIRECT(I730),test),getMin(B730,C730,INDIRECT(J$2),INDIRECT(I730),test))</f>
        <v>39.888888888888786</v>
      </c>
      <c r="E730" s="5">
        <f ca="1">IF(getQuality(B730)&lt;4,getOtherMax(B730,C730,INDIRECT(J$2),INDIRECT(I730),test),getMax(B730,C730,INDIRECT(J$2),INDIRECT(I730),test))</f>
        <v>45.370370370370253</v>
      </c>
      <c r="F730" s="1" t="str">
        <f t="shared" si="46"/>
        <v>50</v>
      </c>
      <c r="G730" s="1" t="str">
        <f t="shared" si="47"/>
        <v/>
      </c>
      <c r="I730" s="1" t="str">
        <f t="shared" si="45"/>
        <v>威尔新数值1.06.xlsm!suitPower</v>
      </c>
    </row>
    <row r="731" spans="1:9" x14ac:dyDescent="0.15">
      <c r="A731" s="1">
        <v>730</v>
      </c>
      <c r="B731" s="1">
        <v>102070300</v>
      </c>
      <c r="C731" s="1">
        <f t="shared" si="44"/>
        <v>8</v>
      </c>
      <c r="D731" s="5">
        <f ca="1">IF(getQuality(B731)&lt;4,getOtherMin(B731,C731,INDIRECT(J$2),INDIRECT(I731),test),getMin(B731,C731,INDIRECT(J$2),INDIRECT(I731),test))</f>
        <v>88.5</v>
      </c>
      <c r="E731" s="5">
        <f ca="1">IF(getQuality(B731)&lt;4,getOtherMax(B731,C731,INDIRECT(J$2),INDIRECT(I731),test),getMax(B731,C731,INDIRECT(J$2),INDIRECT(I731),test))</f>
        <v>102.08333333333333</v>
      </c>
      <c r="F731" s="1" t="str">
        <f t="shared" si="46"/>
        <v>50</v>
      </c>
      <c r="G731" s="1" t="str">
        <f t="shared" si="47"/>
        <v/>
      </c>
      <c r="I731" s="1" t="str">
        <f t="shared" si="45"/>
        <v>威尔新数值1.06.xlsm!suitPower</v>
      </c>
    </row>
    <row r="732" spans="1:9" x14ac:dyDescent="0.15">
      <c r="A732" s="1">
        <v>731</v>
      </c>
      <c r="B732" s="1">
        <v>102070300</v>
      </c>
      <c r="C732" s="1">
        <f t="shared" si="44"/>
        <v>9</v>
      </c>
      <c r="D732" s="5">
        <f ca="1">IF(getQuality(B732)&lt;4,getOtherMin(B732,C732,INDIRECT(J$2),INDIRECT(I732),test),getMin(B732,C732,INDIRECT(J$2),INDIRECT(I732),test))</f>
        <v>191.22369727444828</v>
      </c>
      <c r="E732" s="5">
        <f ca="1">IF(getQuality(B732)&lt;4,getOtherMax(B732,C732,INDIRECT(J$2),INDIRECT(I732),test),getMax(B732,C732,INDIRECT(J$2),INDIRECT(I732),test))</f>
        <v>236.63369570586491</v>
      </c>
      <c r="F732" s="1" t="str">
        <f t="shared" si="46"/>
        <v>50</v>
      </c>
      <c r="G732" s="1" t="str">
        <f t="shared" si="47"/>
        <v/>
      </c>
      <c r="I732" s="1" t="str">
        <f t="shared" si="45"/>
        <v>威尔新数值1.06.xlsm!suitPower</v>
      </c>
    </row>
    <row r="733" spans="1:9" x14ac:dyDescent="0.15">
      <c r="A733" s="1">
        <v>732</v>
      </c>
      <c r="B733" s="1">
        <v>102070300</v>
      </c>
      <c r="C733" s="1">
        <f t="shared" si="44"/>
        <v>10</v>
      </c>
      <c r="D733" s="5">
        <f ca="1">IF(getQuality(B733)&lt;4,getOtherMin(B733,C733,INDIRECT(J$2),INDIRECT(I733),test),getMin(B733,C733,INDIRECT(J$2),INDIRECT(I733),test))</f>
        <v>191.22369727444828</v>
      </c>
      <c r="E733" s="5">
        <f ca="1">IF(getQuality(B733)&lt;4,getOtherMax(B733,C733,INDIRECT(J$2),INDIRECT(I733),test),getMax(B733,C733,INDIRECT(J$2),INDIRECT(I733),test))</f>
        <v>236.63369570586491</v>
      </c>
      <c r="F733" s="1" t="str">
        <f t="shared" si="46"/>
        <v>50</v>
      </c>
      <c r="G733" s="1" t="str">
        <f t="shared" si="47"/>
        <v/>
      </c>
      <c r="I733" s="1" t="str">
        <f t="shared" si="45"/>
        <v>威尔新数值1.06.xlsm!suitPower</v>
      </c>
    </row>
    <row r="734" spans="1:9" x14ac:dyDescent="0.15">
      <c r="A734" s="1">
        <v>733</v>
      </c>
      <c r="B734" s="1">
        <v>102070300</v>
      </c>
      <c r="C734" s="1">
        <f t="shared" si="44"/>
        <v>11</v>
      </c>
      <c r="D734" s="5">
        <f ca="1">IF(getQuality(B734)&lt;4,getOtherMin(B734,C734,INDIRECT(J$2),INDIRECT(I734),test),getMin(B734,C734,INDIRECT(J$2),INDIRECT(I734),test))</f>
        <v>191.22369727444828</v>
      </c>
      <c r="E734" s="5">
        <f ca="1">IF(getQuality(B734)&lt;4,getOtherMax(B734,C734,INDIRECT(J$2),INDIRECT(I734),test),getMax(B734,C734,INDIRECT(J$2),INDIRECT(I734),test))</f>
        <v>236.63369570586491</v>
      </c>
      <c r="F734" s="1" t="str">
        <f t="shared" si="46"/>
        <v>50</v>
      </c>
      <c r="G734" s="1" t="str">
        <f t="shared" si="47"/>
        <v/>
      </c>
      <c r="I734" s="1" t="str">
        <f t="shared" si="45"/>
        <v>威尔新数值1.06.xlsm!suitPower</v>
      </c>
    </row>
    <row r="735" spans="1:9" x14ac:dyDescent="0.15">
      <c r="A735" s="1">
        <v>734</v>
      </c>
      <c r="B735" s="1">
        <v>102070300</v>
      </c>
      <c r="C735" s="1">
        <f t="shared" si="44"/>
        <v>12</v>
      </c>
      <c r="D735" s="5">
        <f ca="1">IF(getQuality(B735)&lt;4,getOtherMin(B735,C735,INDIRECT(J$2),INDIRECT(I735),test),getMin(B735,C735,INDIRECT(J$2),INDIRECT(I735),test))</f>
        <v>191.22369727444828</v>
      </c>
      <c r="E735" s="5">
        <f ca="1">IF(getQuality(B735)&lt;4,getOtherMax(B735,C735,INDIRECT(J$2),INDIRECT(I735),test),getMax(B735,C735,INDIRECT(J$2),INDIRECT(I735),test))</f>
        <v>236.63369570586491</v>
      </c>
      <c r="F735" s="1" t="str">
        <f t="shared" si="46"/>
        <v>50</v>
      </c>
      <c r="G735" s="1" t="str">
        <f t="shared" si="47"/>
        <v/>
      </c>
      <c r="I735" s="1" t="str">
        <f t="shared" si="45"/>
        <v>威尔新数值1.06.xlsm!suitPower</v>
      </c>
    </row>
    <row r="736" spans="1:9" x14ac:dyDescent="0.15">
      <c r="A736" s="1">
        <v>735</v>
      </c>
      <c r="B736" s="1">
        <v>102070300</v>
      </c>
      <c r="C736" s="1">
        <f t="shared" si="44"/>
        <v>13</v>
      </c>
      <c r="D736" s="5">
        <f ca="1">IF(getQuality(B736)&lt;4,getOtherMin(B736,C736,INDIRECT(J$2),INDIRECT(I736),test),getMin(B736,C736,INDIRECT(J$2),INDIRECT(I736),test))</f>
        <v>191.22369727444828</v>
      </c>
      <c r="E736" s="5">
        <f ca="1">IF(getQuality(B736)&lt;4,getOtherMax(B736,C736,INDIRECT(J$2),INDIRECT(I736),test),getMax(B736,C736,INDIRECT(J$2),INDIRECT(I736),test))</f>
        <v>236.63369570586491</v>
      </c>
      <c r="F736" s="1" t="str">
        <f t="shared" si="46"/>
        <v>50</v>
      </c>
      <c r="G736" s="1" t="str">
        <f t="shared" si="47"/>
        <v/>
      </c>
      <c r="I736" s="1" t="str">
        <f t="shared" si="45"/>
        <v>威尔新数值1.06.xlsm!suitPower</v>
      </c>
    </row>
    <row r="737" spans="1:9" x14ac:dyDescent="0.15">
      <c r="A737" s="1">
        <v>736</v>
      </c>
      <c r="B737" s="1">
        <v>102070300</v>
      </c>
      <c r="C737" s="1">
        <f t="shared" si="44"/>
        <v>14</v>
      </c>
      <c r="D737" s="5">
        <f ca="1">IF(getQuality(B737)&lt;4,getOtherMin(B737,C737,INDIRECT(J$2),INDIRECT(I737),test),getMin(B737,C737,INDIRECT(J$2),INDIRECT(I737),test))</f>
        <v>191.22369727444828</v>
      </c>
      <c r="E737" s="5">
        <f ca="1">IF(getQuality(B737)&lt;4,getOtherMax(B737,C737,INDIRECT(J$2),INDIRECT(I737),test),getMax(B737,C737,INDIRECT(J$2),INDIRECT(I737),test))</f>
        <v>236.63369570586491</v>
      </c>
      <c r="F737" s="1" t="str">
        <f t="shared" si="46"/>
        <v>50</v>
      </c>
      <c r="G737" s="1" t="str">
        <f t="shared" si="47"/>
        <v/>
      </c>
      <c r="I737" s="1" t="str">
        <f t="shared" si="45"/>
        <v>威尔新数值1.06.xlsm!suitPower</v>
      </c>
    </row>
    <row r="738" spans="1:9" x14ac:dyDescent="0.15">
      <c r="A738" s="1">
        <v>737</v>
      </c>
      <c r="B738" s="1">
        <v>102070300</v>
      </c>
      <c r="C738" s="1">
        <f t="shared" si="44"/>
        <v>15</v>
      </c>
      <c r="D738" s="5">
        <f ca="1">IF(getQuality(B738)&lt;4,getOtherMin(B738,C738,INDIRECT(J$2),INDIRECT(I738),test),getMin(B738,C738,INDIRECT(J$2),INDIRECT(I738),test))</f>
        <v>191.22369727444828</v>
      </c>
      <c r="E738" s="5">
        <f ca="1">IF(getQuality(B738)&lt;4,getOtherMax(B738,C738,INDIRECT(J$2),INDIRECT(I738),test),getMax(B738,C738,INDIRECT(J$2),INDIRECT(I738),test))</f>
        <v>236.63369570586491</v>
      </c>
      <c r="F738" s="1" t="str">
        <f t="shared" si="46"/>
        <v>50</v>
      </c>
      <c r="G738" s="1" t="str">
        <f t="shared" si="47"/>
        <v/>
      </c>
      <c r="I738" s="1" t="str">
        <f t="shared" si="45"/>
        <v>威尔新数值1.06.xlsm!suitPower</v>
      </c>
    </row>
    <row r="739" spans="1:9" x14ac:dyDescent="0.15">
      <c r="A739" s="1">
        <v>738</v>
      </c>
      <c r="B739" s="1">
        <v>102070300</v>
      </c>
      <c r="C739" s="1">
        <f t="shared" si="44"/>
        <v>101</v>
      </c>
      <c r="D739" s="5">
        <f ca="1">IF(getQuality(B739)&lt;4,getOtherMin(B739,C739,INDIRECT(J$2),INDIRECT(I739),test),getMin(B739,C739,INDIRECT(J$2),INDIRECT(I739),test))</f>
        <v>0.12</v>
      </c>
      <c r="E739" s="5">
        <f ca="1">IF(getQuality(B739)&lt;4,getOtherMax(B739,C739,INDIRECT(J$2),INDIRECT(I739),test),getMax(B739,C739,INDIRECT(J$2),INDIRECT(I739),test))</f>
        <v>0.15</v>
      </c>
      <c r="F739" s="1" t="str">
        <f t="shared" si="46"/>
        <v>50</v>
      </c>
      <c r="G739" s="1" t="str">
        <f t="shared" si="47"/>
        <v/>
      </c>
      <c r="I739" s="1" t="str">
        <f t="shared" si="45"/>
        <v>威尔新数值1.06.xlsm!circlePer</v>
      </c>
    </row>
    <row r="740" spans="1:9" x14ac:dyDescent="0.15">
      <c r="A740" s="1">
        <v>739</v>
      </c>
      <c r="B740" s="1">
        <v>102070300</v>
      </c>
      <c r="C740" s="1">
        <f t="shared" ref="C740:C803" si="48">C721</f>
        <v>102</v>
      </c>
      <c r="D740" s="5">
        <f ca="1">IF(getQuality(B740)&lt;4,getOtherMin(B740,C740,INDIRECT(J$2),INDIRECT(I740),test),getMin(B740,C740,INDIRECT(J$2),INDIRECT(I740),test))</f>
        <v>1</v>
      </c>
      <c r="E740" s="5">
        <f ca="1">IF(getQuality(B740)&lt;4,getOtherMax(B740,C740,INDIRECT(J$2),INDIRECT(I740),test),getMax(B740,C740,INDIRECT(J$2),INDIRECT(I740),test))</f>
        <v>1.4</v>
      </c>
      <c r="F740" s="1" t="str">
        <f t="shared" si="46"/>
        <v>50</v>
      </c>
      <c r="G740" s="1" t="str">
        <f t="shared" si="47"/>
        <v/>
      </c>
      <c r="I740" s="1" t="str">
        <f t="shared" si="45"/>
        <v>威尔新数值1.06.xlsm!circleValue</v>
      </c>
    </row>
    <row r="741" spans="1:9" x14ac:dyDescent="0.15">
      <c r="A741" s="1">
        <v>740</v>
      </c>
      <c r="B741" s="1">
        <v>102070300</v>
      </c>
      <c r="C741" s="1">
        <f t="shared" si="48"/>
        <v>103</v>
      </c>
      <c r="D741" s="5">
        <f ca="1">IF(getQuality(B741)&lt;4,getOtherMin(B741,C741,INDIRECT(J$2),INDIRECT(I741),test),getMin(B741,C741,INDIRECT(J$2),INDIRECT(I741),test))</f>
        <v>0.12</v>
      </c>
      <c r="E741" s="5">
        <f ca="1">IF(getQuality(B741)&lt;4,getOtherMax(B741,C741,INDIRECT(J$2),INDIRECT(I741),test),getMax(B741,C741,INDIRECT(J$2),INDIRECT(I741),test))</f>
        <v>0.15</v>
      </c>
      <c r="F741" s="1" t="str">
        <f t="shared" si="46"/>
        <v>50</v>
      </c>
      <c r="G741" s="1" t="str">
        <f t="shared" si="47"/>
        <v/>
      </c>
      <c r="I741" s="1" t="str">
        <f t="shared" si="45"/>
        <v>威尔新数值1.06.xlsm!otherDamage</v>
      </c>
    </row>
    <row r="742" spans="1:9" x14ac:dyDescent="0.15">
      <c r="A742" s="1">
        <v>741</v>
      </c>
      <c r="B742" s="1">
        <v>102070300</v>
      </c>
      <c r="C742" s="1">
        <f t="shared" si="48"/>
        <v>104</v>
      </c>
      <c r="D742" s="5">
        <f ca="1">IF(getQuality(B742)&lt;4,getOtherMin(B742,C742,INDIRECT(J$2),INDIRECT(I742),test),getMin(B742,C742,INDIRECT(J$2),INDIRECT(I742),test))</f>
        <v>0.12</v>
      </c>
      <c r="E742" s="5">
        <f ca="1">IF(getQuality(B742)&lt;4,getOtherMax(B742,C742,INDIRECT(J$2),INDIRECT(I742),test),getMax(B742,C742,INDIRECT(J$2),INDIRECT(I742),test))</f>
        <v>0.24</v>
      </c>
      <c r="F742" s="1" t="str">
        <f t="shared" si="46"/>
        <v>50</v>
      </c>
      <c r="G742" s="1" t="str">
        <f t="shared" si="47"/>
        <v/>
      </c>
      <c r="I742" s="1" t="str">
        <f t="shared" si="45"/>
        <v>威尔新数值1.06.xlsm!monsterDamage</v>
      </c>
    </row>
    <row r="743" spans="1:9" x14ac:dyDescent="0.15">
      <c r="A743" s="1">
        <v>742</v>
      </c>
      <c r="B743" s="1">
        <v>102070300</v>
      </c>
      <c r="C743" s="1">
        <f t="shared" si="48"/>
        <v>105</v>
      </c>
      <c r="D743" s="5">
        <f ca="1">IF(getQuality(B743)&lt;4,getOtherMin(B743,C743,INDIRECT(J$2),INDIRECT(I743),test),getMin(B743,C743,INDIRECT(J$2),INDIRECT(I743),test))</f>
        <v>0.12</v>
      </c>
      <c r="E743" s="5">
        <f ca="1">IF(getQuality(B743)&lt;4,getOtherMax(B743,C743,INDIRECT(J$2),INDIRECT(I743),test),getMax(B743,C743,INDIRECT(J$2),INDIRECT(I743),test))</f>
        <v>0.24</v>
      </c>
      <c r="F743" s="1" t="str">
        <f t="shared" si="46"/>
        <v>50</v>
      </c>
      <c r="G743" s="1" t="str">
        <f t="shared" si="47"/>
        <v/>
      </c>
      <c r="I743" s="1" t="str">
        <f t="shared" si="45"/>
        <v>威尔新数值1.06.xlsm!monsterDamage</v>
      </c>
    </row>
    <row r="744" spans="1:9" x14ac:dyDescent="0.15">
      <c r="A744" s="1">
        <v>743</v>
      </c>
      <c r="B744" s="1">
        <v>102070300</v>
      </c>
      <c r="C744" s="1">
        <f t="shared" si="48"/>
        <v>106</v>
      </c>
      <c r="D744" s="5">
        <f ca="1">IF(getQuality(B744)&lt;4,getOtherMin(B744,C744,INDIRECT(J$2),INDIRECT(I744),test),getMin(B744,C744,INDIRECT(J$2),INDIRECT(I744),test))</f>
        <v>0.12</v>
      </c>
      <c r="E744" s="5">
        <f ca="1">IF(getQuality(B744)&lt;4,getOtherMax(B744,C744,INDIRECT(J$2),INDIRECT(I744),test),getMax(B744,C744,INDIRECT(J$2),INDIRECT(I744),test))</f>
        <v>0.24</v>
      </c>
      <c r="F744" s="1" t="str">
        <f t="shared" si="46"/>
        <v>50</v>
      </c>
      <c r="G744" s="1" t="str">
        <f t="shared" si="47"/>
        <v/>
      </c>
      <c r="I744" s="1" t="str">
        <f t="shared" si="45"/>
        <v>威尔新数值1.06.xlsm!monsterDamage</v>
      </c>
    </row>
    <row r="745" spans="1:9" x14ac:dyDescent="0.15">
      <c r="A745" s="1">
        <v>744</v>
      </c>
      <c r="B745" s="1">
        <v>102070300</v>
      </c>
      <c r="C745" s="1">
        <f t="shared" si="48"/>
        <v>107</v>
      </c>
      <c r="D745" s="5">
        <f ca="1">IF(getQuality(B745)&lt;4,getOtherMin(B745,C745,INDIRECT(J$2),INDIRECT(I745),test),getMin(B745,C745,INDIRECT(J$2),INDIRECT(I745),test))</f>
        <v>0.12</v>
      </c>
      <c r="E745" s="5">
        <f ca="1">IF(getQuality(B745)&lt;4,getOtherMax(B745,C745,INDIRECT(J$2),INDIRECT(I745),test),getMax(B745,C745,INDIRECT(J$2),INDIRECT(I745),test))</f>
        <v>0.24</v>
      </c>
      <c r="F745" s="1" t="str">
        <f t="shared" si="46"/>
        <v>50</v>
      </c>
      <c r="G745" s="1" t="str">
        <f t="shared" si="47"/>
        <v/>
      </c>
      <c r="I745" s="1" t="str">
        <f t="shared" si="45"/>
        <v>威尔新数值1.06.xlsm!monsterDamage</v>
      </c>
    </row>
    <row r="746" spans="1:9" x14ac:dyDescent="0.15">
      <c r="A746" s="1">
        <v>745</v>
      </c>
      <c r="B746" s="1">
        <v>102070300</v>
      </c>
      <c r="C746" s="1">
        <f t="shared" si="48"/>
        <v>108</v>
      </c>
      <c r="D746" s="5">
        <f ca="1">IF(getQuality(B746)&lt;4,getOtherMin(B746,C746,INDIRECT(J$2),INDIRECT(I746),test),getMin(B746,C746,INDIRECT(J$2),INDIRECT(I746),test))</f>
        <v>0.12</v>
      </c>
      <c r="E746" s="5">
        <f ca="1">IF(getQuality(B746)&lt;4,getOtherMax(B746,C746,INDIRECT(J$2),INDIRECT(I746),test),getMax(B746,C746,INDIRECT(J$2),INDIRECT(I746),test))</f>
        <v>0.24</v>
      </c>
      <c r="F746" s="1" t="str">
        <f t="shared" si="46"/>
        <v>50</v>
      </c>
      <c r="G746" s="1" t="str">
        <f t="shared" si="47"/>
        <v/>
      </c>
      <c r="I746" s="1" t="str">
        <f t="shared" si="45"/>
        <v>威尔新数值1.06.xlsm!monsterDamage</v>
      </c>
    </row>
    <row r="747" spans="1:9" x14ac:dyDescent="0.15">
      <c r="A747" s="1">
        <v>746</v>
      </c>
      <c r="B747" s="1">
        <v>102080300</v>
      </c>
      <c r="C747" s="1">
        <f t="shared" si="48"/>
        <v>3</v>
      </c>
      <c r="D747" s="5">
        <f ca="1">IF(getQuality(B747)&lt;4,getOtherMin(B747,C747,INDIRECT(J$2),INDIRECT(I747),test),getMin(B747,C747,INDIRECT(J$2),INDIRECT(I747),test))</f>
        <v>237.63369570586491</v>
      </c>
      <c r="E747" s="5">
        <f ca="1">IF(getQuality(B747)&lt;4,getOtherMax(B747,C747,INDIRECT(J$2),INDIRECT(I747),test),getMax(B747,C747,INDIRECT(J$2),INDIRECT(I747),test))</f>
        <v>287.24542239033156</v>
      </c>
      <c r="F747" s="1" t="str">
        <f t="shared" si="46"/>
        <v>50</v>
      </c>
      <c r="G747" s="1" t="str">
        <f t="shared" si="47"/>
        <v>1</v>
      </c>
      <c r="I747" s="1" t="str">
        <f t="shared" si="45"/>
        <v>威尔新数值1.06.xlsm!suitPower</v>
      </c>
    </row>
    <row r="748" spans="1:9" x14ac:dyDescent="0.15">
      <c r="A748" s="1">
        <v>747</v>
      </c>
      <c r="B748" s="1">
        <v>102080300</v>
      </c>
      <c r="C748" s="1">
        <f t="shared" si="48"/>
        <v>5</v>
      </c>
      <c r="D748" s="5">
        <f ca="1">IF(getQuality(B748)&lt;4,getOtherMin(B748,C748,INDIRECT(J$2),INDIRECT(I748),test),getMin(B748,C748,INDIRECT(J$2),INDIRECT(I748),test))</f>
        <v>237.63369570586491</v>
      </c>
      <c r="E748" s="5">
        <f ca="1">IF(getQuality(B748)&lt;4,getOtherMax(B748,C748,INDIRECT(J$2),INDIRECT(I748),test),getMax(B748,C748,INDIRECT(J$2),INDIRECT(I748),test))</f>
        <v>287.24542239033156</v>
      </c>
      <c r="F748" s="1" t="str">
        <f t="shared" si="46"/>
        <v>50</v>
      </c>
      <c r="G748" s="1" t="str">
        <f t="shared" si="47"/>
        <v/>
      </c>
      <c r="I748" s="1" t="str">
        <f t="shared" si="45"/>
        <v>威尔新数值1.06.xlsm!suitPower</v>
      </c>
    </row>
    <row r="749" spans="1:9" x14ac:dyDescent="0.15">
      <c r="A749" s="1">
        <v>748</v>
      </c>
      <c r="B749" s="1">
        <v>102080300</v>
      </c>
      <c r="C749" s="1">
        <f t="shared" si="48"/>
        <v>7</v>
      </c>
      <c r="D749" s="5">
        <f ca="1">IF(getQuality(B749)&lt;4,getOtherMin(B749,C749,INDIRECT(J$2),INDIRECT(I749),test),getMin(B749,C749,INDIRECT(J$2),INDIRECT(I749),test))</f>
        <v>46.370370370370253</v>
      </c>
      <c r="E749" s="5">
        <f ca="1">IF(getQuality(B749)&lt;4,getOtherMax(B749,C749,INDIRECT(J$2),INDIRECT(I749),test),getMax(B749,C749,INDIRECT(J$2),INDIRECT(I749),test))</f>
        <v>51.85185185185172</v>
      </c>
      <c r="F749" s="1" t="str">
        <f t="shared" si="46"/>
        <v>50</v>
      </c>
      <c r="G749" s="1" t="str">
        <f t="shared" si="47"/>
        <v/>
      </c>
      <c r="I749" s="1" t="str">
        <f t="shared" si="45"/>
        <v>威尔新数值1.06.xlsm!suitPower</v>
      </c>
    </row>
    <row r="750" spans="1:9" x14ac:dyDescent="0.15">
      <c r="A750" s="1">
        <v>749</v>
      </c>
      <c r="B750" s="1">
        <v>102080300</v>
      </c>
      <c r="C750" s="1">
        <f t="shared" si="48"/>
        <v>8</v>
      </c>
      <c r="D750" s="5">
        <f ca="1">IF(getQuality(B750)&lt;4,getOtherMin(B750,C750,INDIRECT(J$2),INDIRECT(I750),test),getMin(B750,C750,INDIRECT(J$2),INDIRECT(I750),test))</f>
        <v>103.08333333333333</v>
      </c>
      <c r="E750" s="5">
        <f ca="1">IF(getQuality(B750)&lt;4,getOtherMax(B750,C750,INDIRECT(J$2),INDIRECT(I750),test),getMax(B750,C750,INDIRECT(J$2),INDIRECT(I750),test))</f>
        <v>116.66666666666667</v>
      </c>
      <c r="F750" s="1" t="str">
        <f t="shared" si="46"/>
        <v>50</v>
      </c>
      <c r="G750" s="1" t="str">
        <f t="shared" si="47"/>
        <v/>
      </c>
      <c r="I750" s="1" t="str">
        <f t="shared" si="45"/>
        <v>威尔新数值1.06.xlsm!suitPower</v>
      </c>
    </row>
    <row r="751" spans="1:9" x14ac:dyDescent="0.15">
      <c r="A751" s="1">
        <v>750</v>
      </c>
      <c r="B751" s="1">
        <v>102080300</v>
      </c>
      <c r="C751" s="1">
        <f t="shared" si="48"/>
        <v>9</v>
      </c>
      <c r="D751" s="5">
        <f ca="1">IF(getQuality(B751)&lt;4,getOtherMin(B751,C751,INDIRECT(J$2),INDIRECT(I751),test),getMin(B751,C751,INDIRECT(J$2),INDIRECT(I751),test))</f>
        <v>237.63369570586491</v>
      </c>
      <c r="E751" s="5">
        <f ca="1">IF(getQuality(B751)&lt;4,getOtherMax(B751,C751,INDIRECT(J$2),INDIRECT(I751),test),getMax(B751,C751,INDIRECT(J$2),INDIRECT(I751),test))</f>
        <v>287.24542239033156</v>
      </c>
      <c r="F751" s="1" t="str">
        <f t="shared" si="46"/>
        <v>50</v>
      </c>
      <c r="G751" s="1" t="str">
        <f t="shared" si="47"/>
        <v/>
      </c>
      <c r="I751" s="1" t="str">
        <f t="shared" si="45"/>
        <v>威尔新数值1.06.xlsm!suitPower</v>
      </c>
    </row>
    <row r="752" spans="1:9" x14ac:dyDescent="0.15">
      <c r="A752" s="1">
        <v>751</v>
      </c>
      <c r="B752" s="1">
        <v>102080300</v>
      </c>
      <c r="C752" s="1">
        <f t="shared" si="48"/>
        <v>10</v>
      </c>
      <c r="D752" s="5">
        <f ca="1">IF(getQuality(B752)&lt;4,getOtherMin(B752,C752,INDIRECT(J$2),INDIRECT(I752),test),getMin(B752,C752,INDIRECT(J$2),INDIRECT(I752),test))</f>
        <v>237.63369570586491</v>
      </c>
      <c r="E752" s="5">
        <f ca="1">IF(getQuality(B752)&lt;4,getOtherMax(B752,C752,INDIRECT(J$2),INDIRECT(I752),test),getMax(B752,C752,INDIRECT(J$2),INDIRECT(I752),test))</f>
        <v>287.24542239033156</v>
      </c>
      <c r="F752" s="1" t="str">
        <f t="shared" si="46"/>
        <v>50</v>
      </c>
      <c r="G752" s="1" t="str">
        <f t="shared" si="47"/>
        <v/>
      </c>
      <c r="I752" s="1" t="str">
        <f t="shared" si="45"/>
        <v>威尔新数值1.06.xlsm!suitPower</v>
      </c>
    </row>
    <row r="753" spans="1:9" x14ac:dyDescent="0.15">
      <c r="A753" s="1">
        <v>752</v>
      </c>
      <c r="B753" s="1">
        <v>102080300</v>
      </c>
      <c r="C753" s="1">
        <f t="shared" si="48"/>
        <v>11</v>
      </c>
      <c r="D753" s="5">
        <f ca="1">IF(getQuality(B753)&lt;4,getOtherMin(B753,C753,INDIRECT(J$2),INDIRECT(I753),test),getMin(B753,C753,INDIRECT(J$2),INDIRECT(I753),test))</f>
        <v>237.63369570586491</v>
      </c>
      <c r="E753" s="5">
        <f ca="1">IF(getQuality(B753)&lt;4,getOtherMax(B753,C753,INDIRECT(J$2),INDIRECT(I753),test),getMax(B753,C753,INDIRECT(J$2),INDIRECT(I753),test))</f>
        <v>287.24542239033156</v>
      </c>
      <c r="F753" s="1" t="str">
        <f t="shared" si="46"/>
        <v>50</v>
      </c>
      <c r="G753" s="1" t="str">
        <f t="shared" si="47"/>
        <v/>
      </c>
      <c r="I753" s="1" t="str">
        <f t="shared" si="45"/>
        <v>威尔新数值1.06.xlsm!suitPower</v>
      </c>
    </row>
    <row r="754" spans="1:9" x14ac:dyDescent="0.15">
      <c r="A754" s="1">
        <v>753</v>
      </c>
      <c r="B754" s="1">
        <v>102080300</v>
      </c>
      <c r="C754" s="1">
        <f t="shared" si="48"/>
        <v>12</v>
      </c>
      <c r="D754" s="5">
        <f ca="1">IF(getQuality(B754)&lt;4,getOtherMin(B754,C754,INDIRECT(J$2),INDIRECT(I754),test),getMin(B754,C754,INDIRECT(J$2),INDIRECT(I754),test))</f>
        <v>237.63369570586491</v>
      </c>
      <c r="E754" s="5">
        <f ca="1">IF(getQuality(B754)&lt;4,getOtherMax(B754,C754,INDIRECT(J$2),INDIRECT(I754),test),getMax(B754,C754,INDIRECT(J$2),INDIRECT(I754),test))</f>
        <v>287.24542239033156</v>
      </c>
      <c r="F754" s="1" t="str">
        <f t="shared" si="46"/>
        <v>50</v>
      </c>
      <c r="G754" s="1" t="str">
        <f t="shared" si="47"/>
        <v/>
      </c>
      <c r="I754" s="1" t="str">
        <f t="shared" si="45"/>
        <v>威尔新数值1.06.xlsm!suitPower</v>
      </c>
    </row>
    <row r="755" spans="1:9" x14ac:dyDescent="0.15">
      <c r="A755" s="1">
        <v>754</v>
      </c>
      <c r="B755" s="1">
        <v>102080300</v>
      </c>
      <c r="C755" s="1">
        <f t="shared" si="48"/>
        <v>13</v>
      </c>
      <c r="D755" s="5">
        <f ca="1">IF(getQuality(B755)&lt;4,getOtherMin(B755,C755,INDIRECT(J$2),INDIRECT(I755),test),getMin(B755,C755,INDIRECT(J$2),INDIRECT(I755),test))</f>
        <v>237.63369570586491</v>
      </c>
      <c r="E755" s="5">
        <f ca="1">IF(getQuality(B755)&lt;4,getOtherMax(B755,C755,INDIRECT(J$2),INDIRECT(I755),test),getMax(B755,C755,INDIRECT(J$2),INDIRECT(I755),test))</f>
        <v>287.24542239033156</v>
      </c>
      <c r="F755" s="1" t="str">
        <f t="shared" si="46"/>
        <v>50</v>
      </c>
      <c r="G755" s="1" t="str">
        <f t="shared" si="47"/>
        <v/>
      </c>
      <c r="I755" s="1" t="str">
        <f t="shared" si="45"/>
        <v>威尔新数值1.06.xlsm!suitPower</v>
      </c>
    </row>
    <row r="756" spans="1:9" x14ac:dyDescent="0.15">
      <c r="A756" s="1">
        <v>755</v>
      </c>
      <c r="B756" s="1">
        <v>102080300</v>
      </c>
      <c r="C756" s="1">
        <f t="shared" si="48"/>
        <v>14</v>
      </c>
      <c r="D756" s="5">
        <f ca="1">IF(getQuality(B756)&lt;4,getOtherMin(B756,C756,INDIRECT(J$2),INDIRECT(I756),test),getMin(B756,C756,INDIRECT(J$2),INDIRECT(I756),test))</f>
        <v>237.63369570586491</v>
      </c>
      <c r="E756" s="5">
        <f ca="1">IF(getQuality(B756)&lt;4,getOtherMax(B756,C756,INDIRECT(J$2),INDIRECT(I756),test),getMax(B756,C756,INDIRECT(J$2),INDIRECT(I756),test))</f>
        <v>287.24542239033156</v>
      </c>
      <c r="F756" s="1" t="str">
        <f t="shared" si="46"/>
        <v>50</v>
      </c>
      <c r="G756" s="1" t="str">
        <f t="shared" si="47"/>
        <v/>
      </c>
      <c r="I756" s="1" t="str">
        <f t="shared" si="45"/>
        <v>威尔新数值1.06.xlsm!suitPower</v>
      </c>
    </row>
    <row r="757" spans="1:9" x14ac:dyDescent="0.15">
      <c r="A757" s="1">
        <v>756</v>
      </c>
      <c r="B757" s="1">
        <v>102080300</v>
      </c>
      <c r="C757" s="1">
        <f t="shared" si="48"/>
        <v>15</v>
      </c>
      <c r="D757" s="5">
        <f ca="1">IF(getQuality(B757)&lt;4,getOtherMin(B757,C757,INDIRECT(J$2),INDIRECT(I757),test),getMin(B757,C757,INDIRECT(J$2),INDIRECT(I757),test))</f>
        <v>237.63369570586491</v>
      </c>
      <c r="E757" s="5">
        <f ca="1">IF(getQuality(B757)&lt;4,getOtherMax(B757,C757,INDIRECT(J$2),INDIRECT(I757),test),getMax(B757,C757,INDIRECT(J$2),INDIRECT(I757),test))</f>
        <v>287.24542239033156</v>
      </c>
      <c r="F757" s="1" t="str">
        <f t="shared" si="46"/>
        <v>50</v>
      </c>
      <c r="G757" s="1" t="str">
        <f t="shared" si="47"/>
        <v/>
      </c>
      <c r="I757" s="1" t="str">
        <f t="shared" si="45"/>
        <v>威尔新数值1.06.xlsm!suitPower</v>
      </c>
    </row>
    <row r="758" spans="1:9" x14ac:dyDescent="0.15">
      <c r="A758" s="1">
        <v>757</v>
      </c>
      <c r="B758" s="1">
        <v>102080300</v>
      </c>
      <c r="C758" s="1">
        <f t="shared" si="48"/>
        <v>101</v>
      </c>
      <c r="D758" s="5">
        <f ca="1">IF(getQuality(B758)&lt;4,getOtherMin(B758,C758,INDIRECT(J$2),INDIRECT(I758),test),getMin(B758,C758,INDIRECT(J$2),INDIRECT(I758),test))</f>
        <v>0.13</v>
      </c>
      <c r="E758" s="5">
        <f ca="1">IF(getQuality(B758)&lt;4,getOtherMax(B758,C758,INDIRECT(J$2),INDIRECT(I758),test),getMax(B758,C758,INDIRECT(J$2),INDIRECT(I758),test))</f>
        <v>0.16</v>
      </c>
      <c r="F758" s="1" t="str">
        <f t="shared" si="46"/>
        <v>50</v>
      </c>
      <c r="G758" s="1" t="str">
        <f t="shared" si="47"/>
        <v/>
      </c>
      <c r="I758" s="1" t="str">
        <f t="shared" si="45"/>
        <v>威尔新数值1.06.xlsm!circlePer</v>
      </c>
    </row>
    <row r="759" spans="1:9" x14ac:dyDescent="0.15">
      <c r="A759" s="1">
        <v>758</v>
      </c>
      <c r="B759" s="1">
        <v>102080300</v>
      </c>
      <c r="C759" s="1">
        <f t="shared" si="48"/>
        <v>102</v>
      </c>
      <c r="D759" s="5">
        <f ca="1">IF(getQuality(B759)&lt;4,getOtherMin(B759,C759,INDIRECT(J$2),INDIRECT(I759),test),getMin(B759,C759,INDIRECT(J$2),INDIRECT(I759),test))</f>
        <v>1.1000000000000001</v>
      </c>
      <c r="E759" s="5">
        <f ca="1">IF(getQuality(B759)&lt;4,getOtherMax(B759,C759,INDIRECT(J$2),INDIRECT(I759),test),getMax(B759,C759,INDIRECT(J$2),INDIRECT(I759),test))</f>
        <v>1.5</v>
      </c>
      <c r="F759" s="1" t="str">
        <f t="shared" si="46"/>
        <v>50</v>
      </c>
      <c r="G759" s="1" t="str">
        <f t="shared" si="47"/>
        <v/>
      </c>
      <c r="I759" s="1" t="str">
        <f t="shared" si="45"/>
        <v>威尔新数值1.06.xlsm!circleValue</v>
      </c>
    </row>
    <row r="760" spans="1:9" x14ac:dyDescent="0.15">
      <c r="A760" s="1">
        <v>759</v>
      </c>
      <c r="B760" s="1">
        <v>102080300</v>
      </c>
      <c r="C760" s="1">
        <f t="shared" si="48"/>
        <v>103</v>
      </c>
      <c r="D760" s="5">
        <f ca="1">IF(getQuality(B760)&lt;4,getOtherMin(B760,C760,INDIRECT(J$2),INDIRECT(I760),test),getMin(B760,C760,INDIRECT(J$2),INDIRECT(I760),test))</f>
        <v>0.13</v>
      </c>
      <c r="E760" s="5">
        <f ca="1">IF(getQuality(B760)&lt;4,getOtherMax(B760,C760,INDIRECT(J$2),INDIRECT(I760),test),getMax(B760,C760,INDIRECT(J$2),INDIRECT(I760),test))</f>
        <v>0.16</v>
      </c>
      <c r="F760" s="1" t="str">
        <f t="shared" si="46"/>
        <v>50</v>
      </c>
      <c r="G760" s="1" t="str">
        <f t="shared" si="47"/>
        <v/>
      </c>
      <c r="I760" s="1" t="str">
        <f t="shared" si="45"/>
        <v>威尔新数值1.06.xlsm!otherDamage</v>
      </c>
    </row>
    <row r="761" spans="1:9" x14ac:dyDescent="0.15">
      <c r="A761" s="1">
        <v>760</v>
      </c>
      <c r="B761" s="1">
        <v>102080300</v>
      </c>
      <c r="C761" s="1">
        <f t="shared" si="48"/>
        <v>104</v>
      </c>
      <c r="D761" s="5">
        <f ca="1">IF(getQuality(B761)&lt;4,getOtherMin(B761,C761,INDIRECT(J$2),INDIRECT(I761),test),getMin(B761,C761,INDIRECT(J$2),INDIRECT(I761),test))</f>
        <v>0.13</v>
      </c>
      <c r="E761" s="5">
        <f ca="1">IF(getQuality(B761)&lt;4,getOtherMax(B761,C761,INDIRECT(J$2),INDIRECT(I761),test),getMax(B761,C761,INDIRECT(J$2),INDIRECT(I761),test))</f>
        <v>0.26</v>
      </c>
      <c r="F761" s="1" t="str">
        <f t="shared" si="46"/>
        <v>50</v>
      </c>
      <c r="G761" s="1" t="str">
        <f t="shared" si="47"/>
        <v/>
      </c>
      <c r="I761" s="1" t="str">
        <f t="shared" si="45"/>
        <v>威尔新数值1.06.xlsm!monsterDamage</v>
      </c>
    </row>
    <row r="762" spans="1:9" x14ac:dyDescent="0.15">
      <c r="A762" s="1">
        <v>761</v>
      </c>
      <c r="B762" s="1">
        <v>102080300</v>
      </c>
      <c r="C762" s="1">
        <f t="shared" si="48"/>
        <v>105</v>
      </c>
      <c r="D762" s="5">
        <f ca="1">IF(getQuality(B762)&lt;4,getOtherMin(B762,C762,INDIRECT(J$2),INDIRECT(I762),test),getMin(B762,C762,INDIRECT(J$2),INDIRECT(I762),test))</f>
        <v>0.13</v>
      </c>
      <c r="E762" s="5">
        <f ca="1">IF(getQuality(B762)&lt;4,getOtherMax(B762,C762,INDIRECT(J$2),INDIRECT(I762),test),getMax(B762,C762,INDIRECT(J$2),INDIRECT(I762),test))</f>
        <v>0.26</v>
      </c>
      <c r="F762" s="1" t="str">
        <f t="shared" si="46"/>
        <v>50</v>
      </c>
      <c r="G762" s="1" t="str">
        <f t="shared" si="47"/>
        <v/>
      </c>
      <c r="I762" s="1" t="str">
        <f t="shared" si="45"/>
        <v>威尔新数值1.06.xlsm!monsterDamage</v>
      </c>
    </row>
    <row r="763" spans="1:9" x14ac:dyDescent="0.15">
      <c r="A763" s="1">
        <v>762</v>
      </c>
      <c r="B763" s="1">
        <v>102080300</v>
      </c>
      <c r="C763" s="1">
        <f t="shared" si="48"/>
        <v>106</v>
      </c>
      <c r="D763" s="5">
        <f ca="1">IF(getQuality(B763)&lt;4,getOtherMin(B763,C763,INDIRECT(J$2),INDIRECT(I763),test),getMin(B763,C763,INDIRECT(J$2),INDIRECT(I763),test))</f>
        <v>0.13</v>
      </c>
      <c r="E763" s="5">
        <f ca="1">IF(getQuality(B763)&lt;4,getOtherMax(B763,C763,INDIRECT(J$2),INDIRECT(I763),test),getMax(B763,C763,INDIRECT(J$2),INDIRECT(I763),test))</f>
        <v>0.26</v>
      </c>
      <c r="F763" s="1" t="str">
        <f t="shared" si="46"/>
        <v>50</v>
      </c>
      <c r="G763" s="1" t="str">
        <f t="shared" si="47"/>
        <v/>
      </c>
      <c r="I763" s="1" t="str">
        <f t="shared" si="45"/>
        <v>威尔新数值1.06.xlsm!monsterDamage</v>
      </c>
    </row>
    <row r="764" spans="1:9" x14ac:dyDescent="0.15">
      <c r="A764" s="1">
        <v>763</v>
      </c>
      <c r="B764" s="1">
        <v>102080300</v>
      </c>
      <c r="C764" s="1">
        <f t="shared" si="48"/>
        <v>107</v>
      </c>
      <c r="D764" s="5">
        <f ca="1">IF(getQuality(B764)&lt;4,getOtherMin(B764,C764,INDIRECT(J$2),INDIRECT(I764),test),getMin(B764,C764,INDIRECT(J$2),INDIRECT(I764),test))</f>
        <v>0.13</v>
      </c>
      <c r="E764" s="5">
        <f ca="1">IF(getQuality(B764)&lt;4,getOtherMax(B764,C764,INDIRECT(J$2),INDIRECT(I764),test),getMax(B764,C764,INDIRECT(J$2),INDIRECT(I764),test))</f>
        <v>0.26</v>
      </c>
      <c r="F764" s="1" t="str">
        <f t="shared" si="46"/>
        <v>50</v>
      </c>
      <c r="G764" s="1" t="str">
        <f t="shared" si="47"/>
        <v/>
      </c>
      <c r="I764" s="1" t="str">
        <f t="shared" si="45"/>
        <v>威尔新数值1.06.xlsm!monsterDamage</v>
      </c>
    </row>
    <row r="765" spans="1:9" x14ac:dyDescent="0.15">
      <c r="A765" s="1">
        <v>764</v>
      </c>
      <c r="B765" s="1">
        <v>102080300</v>
      </c>
      <c r="C765" s="1">
        <f t="shared" si="48"/>
        <v>108</v>
      </c>
      <c r="D765" s="5">
        <f ca="1">IF(getQuality(B765)&lt;4,getOtherMin(B765,C765,INDIRECT(J$2),INDIRECT(I765),test),getMin(B765,C765,INDIRECT(J$2),INDIRECT(I765),test))</f>
        <v>0.13</v>
      </c>
      <c r="E765" s="5">
        <f ca="1">IF(getQuality(B765)&lt;4,getOtherMax(B765,C765,INDIRECT(J$2),INDIRECT(I765),test),getMax(B765,C765,INDIRECT(J$2),INDIRECT(I765),test))</f>
        <v>0.26</v>
      </c>
      <c r="F765" s="1" t="str">
        <f t="shared" si="46"/>
        <v>50</v>
      </c>
      <c r="G765" s="1" t="str">
        <f t="shared" si="47"/>
        <v/>
      </c>
      <c r="I765" s="1" t="str">
        <f t="shared" si="45"/>
        <v>威尔新数值1.06.xlsm!monsterDamage</v>
      </c>
    </row>
    <row r="766" spans="1:9" x14ac:dyDescent="0.15">
      <c r="A766" s="1">
        <v>765</v>
      </c>
      <c r="B766" s="1">
        <v>102090300</v>
      </c>
      <c r="C766" s="1">
        <f t="shared" si="48"/>
        <v>3</v>
      </c>
      <c r="D766" s="5">
        <f ca="1">IF(getQuality(B766)&lt;4,getOtherMin(B766,C766,INDIRECT(J$2),INDIRECT(I766),test),getMin(B766,C766,INDIRECT(J$2),INDIRECT(I766),test))</f>
        <v>288.24542239033156</v>
      </c>
      <c r="E766" s="5">
        <f ca="1">IF(getQuality(B766)&lt;4,getOtherMax(B766,C766,INDIRECT(J$2),INDIRECT(I766),test),getMax(B766,C766,INDIRECT(J$2),INDIRECT(I766),test))</f>
        <v>342.05887732784834</v>
      </c>
      <c r="F766" s="1" t="str">
        <f t="shared" si="46"/>
        <v>50</v>
      </c>
      <c r="G766" s="1" t="str">
        <f t="shared" si="47"/>
        <v>1</v>
      </c>
      <c r="I766" s="1" t="str">
        <f t="shared" si="45"/>
        <v>威尔新数值1.06.xlsm!suitPower</v>
      </c>
    </row>
    <row r="767" spans="1:9" x14ac:dyDescent="0.15">
      <c r="A767" s="1">
        <v>766</v>
      </c>
      <c r="B767" s="1">
        <v>102090300</v>
      </c>
      <c r="C767" s="1">
        <f t="shared" si="48"/>
        <v>5</v>
      </c>
      <c r="D767" s="5">
        <f ca="1">IF(getQuality(B767)&lt;4,getOtherMin(B767,C767,INDIRECT(J$2),INDIRECT(I767),test),getMin(B767,C767,INDIRECT(J$2),INDIRECT(I767),test))</f>
        <v>288.24542239033156</v>
      </c>
      <c r="E767" s="5">
        <f ca="1">IF(getQuality(B767)&lt;4,getOtherMax(B767,C767,INDIRECT(J$2),INDIRECT(I767),test),getMax(B767,C767,INDIRECT(J$2),INDIRECT(I767),test))</f>
        <v>342.05887732784834</v>
      </c>
      <c r="F767" s="1" t="str">
        <f t="shared" si="46"/>
        <v>50</v>
      </c>
      <c r="G767" s="1" t="str">
        <f t="shared" si="47"/>
        <v/>
      </c>
      <c r="I767" s="1" t="str">
        <f t="shared" si="45"/>
        <v>威尔新数值1.06.xlsm!suitPower</v>
      </c>
    </row>
    <row r="768" spans="1:9" x14ac:dyDescent="0.15">
      <c r="A768" s="1">
        <v>767</v>
      </c>
      <c r="B768" s="1">
        <v>102090300</v>
      </c>
      <c r="C768" s="1">
        <f t="shared" si="48"/>
        <v>7</v>
      </c>
      <c r="D768" s="5">
        <f ca="1">IF(getQuality(B768)&lt;4,getOtherMin(B768,C768,INDIRECT(J$2),INDIRECT(I768),test),getMin(B768,C768,INDIRECT(J$2),INDIRECT(I768),test))</f>
        <v>52.85185185185172</v>
      </c>
      <c r="E768" s="5">
        <f ca="1">IF(getQuality(B768)&lt;4,getOtherMax(B768,C768,INDIRECT(J$2),INDIRECT(I768),test),getMax(B768,C768,INDIRECT(J$2),INDIRECT(I768),test))</f>
        <v>58.333333333333186</v>
      </c>
      <c r="F768" s="1" t="str">
        <f t="shared" si="46"/>
        <v>50</v>
      </c>
      <c r="G768" s="1" t="str">
        <f t="shared" si="47"/>
        <v/>
      </c>
      <c r="I768" s="1" t="str">
        <f t="shared" si="45"/>
        <v>威尔新数值1.06.xlsm!suitPower</v>
      </c>
    </row>
    <row r="769" spans="1:9" x14ac:dyDescent="0.15">
      <c r="A769" s="1">
        <v>768</v>
      </c>
      <c r="B769" s="1">
        <v>102090300</v>
      </c>
      <c r="C769" s="1">
        <f t="shared" si="48"/>
        <v>8</v>
      </c>
      <c r="D769" s="5">
        <f ca="1">IF(getQuality(B769)&lt;4,getOtherMin(B769,C769,INDIRECT(J$2),INDIRECT(I769),test),getMin(B769,C769,INDIRECT(J$2),INDIRECT(I769),test))</f>
        <v>117.66666666666667</v>
      </c>
      <c r="E769" s="5">
        <f ca="1">IF(getQuality(B769)&lt;4,getOtherMax(B769,C769,INDIRECT(J$2),INDIRECT(I769),test),getMax(B769,C769,INDIRECT(J$2),INDIRECT(I769),test))</f>
        <v>131.25</v>
      </c>
      <c r="F769" s="1" t="str">
        <f t="shared" si="46"/>
        <v>50</v>
      </c>
      <c r="G769" s="1" t="str">
        <f t="shared" si="47"/>
        <v/>
      </c>
      <c r="I769" s="1" t="str">
        <f t="shared" si="45"/>
        <v>威尔新数值1.06.xlsm!suitPower</v>
      </c>
    </row>
    <row r="770" spans="1:9" x14ac:dyDescent="0.15">
      <c r="A770" s="1">
        <v>769</v>
      </c>
      <c r="B770" s="1">
        <v>102090300</v>
      </c>
      <c r="C770" s="1">
        <f t="shared" si="48"/>
        <v>9</v>
      </c>
      <c r="D770" s="5">
        <f ca="1">IF(getQuality(B770)&lt;4,getOtherMin(B770,C770,INDIRECT(J$2),INDIRECT(I770),test),getMin(B770,C770,INDIRECT(J$2),INDIRECT(I770),test))</f>
        <v>288.24542239033156</v>
      </c>
      <c r="E770" s="5">
        <f ca="1">IF(getQuality(B770)&lt;4,getOtherMax(B770,C770,INDIRECT(J$2),INDIRECT(I770),test),getMax(B770,C770,INDIRECT(J$2),INDIRECT(I770),test))</f>
        <v>342.05887732784834</v>
      </c>
      <c r="F770" s="1" t="str">
        <f t="shared" si="46"/>
        <v>50</v>
      </c>
      <c r="G770" s="1" t="str">
        <f t="shared" si="47"/>
        <v/>
      </c>
      <c r="I770" s="1" t="str">
        <f t="shared" ref="I770:I833" si="49">IF(C770&lt;100,VLOOKUP(C770,test,3,FALSE),VLOOKUP(C770,test1,3,FALSE))</f>
        <v>威尔新数值1.06.xlsm!suitPower</v>
      </c>
    </row>
    <row r="771" spans="1:9" x14ac:dyDescent="0.15">
      <c r="A771" s="1">
        <v>770</v>
      </c>
      <c r="B771" s="1">
        <v>102090300</v>
      </c>
      <c r="C771" s="1">
        <f t="shared" si="48"/>
        <v>10</v>
      </c>
      <c r="D771" s="5">
        <f ca="1">IF(getQuality(B771)&lt;4,getOtherMin(B771,C771,INDIRECT(J$2),INDIRECT(I771),test),getMin(B771,C771,INDIRECT(J$2),INDIRECT(I771),test))</f>
        <v>288.24542239033156</v>
      </c>
      <c r="E771" s="5">
        <f ca="1">IF(getQuality(B771)&lt;4,getOtherMax(B771,C771,INDIRECT(J$2),INDIRECT(I771),test),getMax(B771,C771,INDIRECT(J$2),INDIRECT(I771),test))</f>
        <v>342.05887732784834</v>
      </c>
      <c r="F771" s="1" t="str">
        <f t="shared" ref="F771:F834" si="50">getper(B771,C771)</f>
        <v>50</v>
      </c>
      <c r="G771" s="1" t="str">
        <f t="shared" ref="G771:G834" si="51">getMust(B771,C771)</f>
        <v/>
      </c>
      <c r="I771" s="1" t="str">
        <f t="shared" si="49"/>
        <v>威尔新数值1.06.xlsm!suitPower</v>
      </c>
    </row>
    <row r="772" spans="1:9" x14ac:dyDescent="0.15">
      <c r="A772" s="1">
        <v>771</v>
      </c>
      <c r="B772" s="1">
        <v>102090300</v>
      </c>
      <c r="C772" s="1">
        <f t="shared" si="48"/>
        <v>11</v>
      </c>
      <c r="D772" s="5">
        <f ca="1">IF(getQuality(B772)&lt;4,getOtherMin(B772,C772,INDIRECT(J$2),INDIRECT(I772),test),getMin(B772,C772,INDIRECT(J$2),INDIRECT(I772),test))</f>
        <v>288.24542239033156</v>
      </c>
      <c r="E772" s="5">
        <f ca="1">IF(getQuality(B772)&lt;4,getOtherMax(B772,C772,INDIRECT(J$2),INDIRECT(I772),test),getMax(B772,C772,INDIRECT(J$2),INDIRECT(I772),test))</f>
        <v>342.05887732784834</v>
      </c>
      <c r="F772" s="1" t="str">
        <f t="shared" si="50"/>
        <v>50</v>
      </c>
      <c r="G772" s="1" t="str">
        <f t="shared" si="51"/>
        <v/>
      </c>
      <c r="I772" s="1" t="str">
        <f t="shared" si="49"/>
        <v>威尔新数值1.06.xlsm!suitPower</v>
      </c>
    </row>
    <row r="773" spans="1:9" x14ac:dyDescent="0.15">
      <c r="A773" s="1">
        <v>772</v>
      </c>
      <c r="B773" s="1">
        <v>102090300</v>
      </c>
      <c r="C773" s="1">
        <f t="shared" si="48"/>
        <v>12</v>
      </c>
      <c r="D773" s="5">
        <f ca="1">IF(getQuality(B773)&lt;4,getOtherMin(B773,C773,INDIRECT(J$2),INDIRECT(I773),test),getMin(B773,C773,INDIRECT(J$2),INDIRECT(I773),test))</f>
        <v>288.24542239033156</v>
      </c>
      <c r="E773" s="5">
        <f ca="1">IF(getQuality(B773)&lt;4,getOtherMax(B773,C773,INDIRECT(J$2),INDIRECT(I773),test),getMax(B773,C773,INDIRECT(J$2),INDIRECT(I773),test))</f>
        <v>342.05887732784834</v>
      </c>
      <c r="F773" s="1" t="str">
        <f t="shared" si="50"/>
        <v>50</v>
      </c>
      <c r="G773" s="1" t="str">
        <f t="shared" si="51"/>
        <v/>
      </c>
      <c r="I773" s="1" t="str">
        <f t="shared" si="49"/>
        <v>威尔新数值1.06.xlsm!suitPower</v>
      </c>
    </row>
    <row r="774" spans="1:9" x14ac:dyDescent="0.15">
      <c r="A774" s="1">
        <v>773</v>
      </c>
      <c r="B774" s="1">
        <v>102090300</v>
      </c>
      <c r="C774" s="1">
        <f t="shared" si="48"/>
        <v>13</v>
      </c>
      <c r="D774" s="5">
        <f ca="1">IF(getQuality(B774)&lt;4,getOtherMin(B774,C774,INDIRECT(J$2),INDIRECT(I774),test),getMin(B774,C774,INDIRECT(J$2),INDIRECT(I774),test))</f>
        <v>288.24542239033156</v>
      </c>
      <c r="E774" s="5">
        <f ca="1">IF(getQuality(B774)&lt;4,getOtherMax(B774,C774,INDIRECT(J$2),INDIRECT(I774),test),getMax(B774,C774,INDIRECT(J$2),INDIRECT(I774),test))</f>
        <v>342.05887732784834</v>
      </c>
      <c r="F774" s="1" t="str">
        <f t="shared" si="50"/>
        <v>50</v>
      </c>
      <c r="G774" s="1" t="str">
        <f t="shared" si="51"/>
        <v/>
      </c>
      <c r="I774" s="1" t="str">
        <f t="shared" si="49"/>
        <v>威尔新数值1.06.xlsm!suitPower</v>
      </c>
    </row>
    <row r="775" spans="1:9" x14ac:dyDescent="0.15">
      <c r="A775" s="1">
        <v>774</v>
      </c>
      <c r="B775" s="1">
        <v>102090300</v>
      </c>
      <c r="C775" s="1">
        <f t="shared" si="48"/>
        <v>14</v>
      </c>
      <c r="D775" s="5">
        <f ca="1">IF(getQuality(B775)&lt;4,getOtherMin(B775,C775,INDIRECT(J$2),INDIRECT(I775),test),getMin(B775,C775,INDIRECT(J$2),INDIRECT(I775),test))</f>
        <v>288.24542239033156</v>
      </c>
      <c r="E775" s="5">
        <f ca="1">IF(getQuality(B775)&lt;4,getOtherMax(B775,C775,INDIRECT(J$2),INDIRECT(I775),test),getMax(B775,C775,INDIRECT(J$2),INDIRECT(I775),test))</f>
        <v>342.05887732784834</v>
      </c>
      <c r="F775" s="1" t="str">
        <f t="shared" si="50"/>
        <v>50</v>
      </c>
      <c r="G775" s="1" t="str">
        <f t="shared" si="51"/>
        <v/>
      </c>
      <c r="I775" s="1" t="str">
        <f t="shared" si="49"/>
        <v>威尔新数值1.06.xlsm!suitPower</v>
      </c>
    </row>
    <row r="776" spans="1:9" x14ac:dyDescent="0.15">
      <c r="A776" s="1">
        <v>775</v>
      </c>
      <c r="B776" s="1">
        <v>102090300</v>
      </c>
      <c r="C776" s="1">
        <f t="shared" si="48"/>
        <v>15</v>
      </c>
      <c r="D776" s="5">
        <f ca="1">IF(getQuality(B776)&lt;4,getOtherMin(B776,C776,INDIRECT(J$2),INDIRECT(I776),test),getMin(B776,C776,INDIRECT(J$2),INDIRECT(I776),test))</f>
        <v>288.24542239033156</v>
      </c>
      <c r="E776" s="5">
        <f ca="1">IF(getQuality(B776)&lt;4,getOtherMax(B776,C776,INDIRECT(J$2),INDIRECT(I776),test),getMax(B776,C776,INDIRECT(J$2),INDIRECT(I776),test))</f>
        <v>342.05887732784834</v>
      </c>
      <c r="F776" s="1" t="str">
        <f t="shared" si="50"/>
        <v>50</v>
      </c>
      <c r="G776" s="1" t="str">
        <f t="shared" si="51"/>
        <v/>
      </c>
      <c r="I776" s="1" t="str">
        <f t="shared" si="49"/>
        <v>威尔新数值1.06.xlsm!suitPower</v>
      </c>
    </row>
    <row r="777" spans="1:9" x14ac:dyDescent="0.15">
      <c r="A777" s="1">
        <v>776</v>
      </c>
      <c r="B777" s="1">
        <v>102090300</v>
      </c>
      <c r="C777" s="1">
        <f t="shared" si="48"/>
        <v>101</v>
      </c>
      <c r="D777" s="5">
        <f ca="1">IF(getQuality(B777)&lt;4,getOtherMin(B777,C777,INDIRECT(J$2),INDIRECT(I777),test),getMin(B777,C777,INDIRECT(J$2),INDIRECT(I777),test))</f>
        <v>0.14000000000000001</v>
      </c>
      <c r="E777" s="5">
        <f ca="1">IF(getQuality(B777)&lt;4,getOtherMax(B777,C777,INDIRECT(J$2),INDIRECT(I777),test),getMax(B777,C777,INDIRECT(J$2),INDIRECT(I777),test))</f>
        <v>0.17</v>
      </c>
      <c r="F777" s="1" t="str">
        <f t="shared" si="50"/>
        <v>50</v>
      </c>
      <c r="G777" s="1" t="str">
        <f t="shared" si="51"/>
        <v/>
      </c>
      <c r="I777" s="1" t="str">
        <f t="shared" si="49"/>
        <v>威尔新数值1.06.xlsm!circlePer</v>
      </c>
    </row>
    <row r="778" spans="1:9" x14ac:dyDescent="0.15">
      <c r="A778" s="1">
        <v>777</v>
      </c>
      <c r="B778" s="1">
        <v>102090300</v>
      </c>
      <c r="C778" s="1">
        <f t="shared" si="48"/>
        <v>102</v>
      </c>
      <c r="D778" s="5">
        <f ca="1">IF(getQuality(B778)&lt;4,getOtherMin(B778,C778,INDIRECT(J$2),INDIRECT(I778),test),getMin(B778,C778,INDIRECT(J$2),INDIRECT(I778),test))</f>
        <v>1.2</v>
      </c>
      <c r="E778" s="5">
        <f ca="1">IF(getQuality(B778)&lt;4,getOtherMax(B778,C778,INDIRECT(J$2),INDIRECT(I778),test),getMax(B778,C778,INDIRECT(J$2),INDIRECT(I778),test))</f>
        <v>1.6</v>
      </c>
      <c r="F778" s="1" t="str">
        <f t="shared" si="50"/>
        <v>50</v>
      </c>
      <c r="G778" s="1" t="str">
        <f t="shared" si="51"/>
        <v/>
      </c>
      <c r="I778" s="1" t="str">
        <f t="shared" si="49"/>
        <v>威尔新数值1.06.xlsm!circleValue</v>
      </c>
    </row>
    <row r="779" spans="1:9" x14ac:dyDescent="0.15">
      <c r="A779" s="1">
        <v>778</v>
      </c>
      <c r="B779" s="1">
        <v>102090300</v>
      </c>
      <c r="C779" s="1">
        <f t="shared" si="48"/>
        <v>103</v>
      </c>
      <c r="D779" s="5">
        <f ca="1">IF(getQuality(B779)&lt;4,getOtherMin(B779,C779,INDIRECT(J$2),INDIRECT(I779),test),getMin(B779,C779,INDIRECT(J$2),INDIRECT(I779),test))</f>
        <v>0.14000000000000001</v>
      </c>
      <c r="E779" s="5">
        <f ca="1">IF(getQuality(B779)&lt;4,getOtherMax(B779,C779,INDIRECT(J$2),INDIRECT(I779),test),getMax(B779,C779,INDIRECT(J$2),INDIRECT(I779),test))</f>
        <v>0.17</v>
      </c>
      <c r="F779" s="1" t="str">
        <f t="shared" si="50"/>
        <v>50</v>
      </c>
      <c r="G779" s="1" t="str">
        <f t="shared" si="51"/>
        <v/>
      </c>
      <c r="I779" s="1" t="str">
        <f t="shared" si="49"/>
        <v>威尔新数值1.06.xlsm!otherDamage</v>
      </c>
    </row>
    <row r="780" spans="1:9" x14ac:dyDescent="0.15">
      <c r="A780" s="1">
        <v>779</v>
      </c>
      <c r="B780" s="1">
        <v>102090300</v>
      </c>
      <c r="C780" s="1">
        <f t="shared" si="48"/>
        <v>104</v>
      </c>
      <c r="D780" s="5">
        <f ca="1">IF(getQuality(B780)&lt;4,getOtherMin(B780,C780,INDIRECT(J$2),INDIRECT(I780),test),getMin(B780,C780,INDIRECT(J$2),INDIRECT(I780),test))</f>
        <v>0.14000000000000001</v>
      </c>
      <c r="E780" s="5">
        <f ca="1">IF(getQuality(B780)&lt;4,getOtherMax(B780,C780,INDIRECT(J$2),INDIRECT(I780),test),getMax(B780,C780,INDIRECT(J$2),INDIRECT(I780),test))</f>
        <v>0.28000000000000003</v>
      </c>
      <c r="F780" s="1" t="str">
        <f t="shared" si="50"/>
        <v>50</v>
      </c>
      <c r="G780" s="1" t="str">
        <f t="shared" si="51"/>
        <v/>
      </c>
      <c r="I780" s="1" t="str">
        <f t="shared" si="49"/>
        <v>威尔新数值1.06.xlsm!monsterDamage</v>
      </c>
    </row>
    <row r="781" spans="1:9" x14ac:dyDescent="0.15">
      <c r="A781" s="1">
        <v>780</v>
      </c>
      <c r="B781" s="1">
        <v>102090300</v>
      </c>
      <c r="C781" s="1">
        <f t="shared" si="48"/>
        <v>105</v>
      </c>
      <c r="D781" s="5">
        <f ca="1">IF(getQuality(B781)&lt;4,getOtherMin(B781,C781,INDIRECT(J$2),INDIRECT(I781),test),getMin(B781,C781,INDIRECT(J$2),INDIRECT(I781),test))</f>
        <v>0.14000000000000001</v>
      </c>
      <c r="E781" s="5">
        <f ca="1">IF(getQuality(B781)&lt;4,getOtherMax(B781,C781,INDIRECT(J$2),INDIRECT(I781),test),getMax(B781,C781,INDIRECT(J$2),INDIRECT(I781),test))</f>
        <v>0.28000000000000003</v>
      </c>
      <c r="F781" s="1" t="str">
        <f t="shared" si="50"/>
        <v>50</v>
      </c>
      <c r="G781" s="1" t="str">
        <f t="shared" si="51"/>
        <v/>
      </c>
      <c r="I781" s="1" t="str">
        <f t="shared" si="49"/>
        <v>威尔新数值1.06.xlsm!monsterDamage</v>
      </c>
    </row>
    <row r="782" spans="1:9" x14ac:dyDescent="0.15">
      <c r="A782" s="1">
        <v>781</v>
      </c>
      <c r="B782" s="1">
        <v>102090300</v>
      </c>
      <c r="C782" s="1">
        <f t="shared" si="48"/>
        <v>106</v>
      </c>
      <c r="D782" s="5">
        <f ca="1">IF(getQuality(B782)&lt;4,getOtherMin(B782,C782,INDIRECT(J$2),INDIRECT(I782),test),getMin(B782,C782,INDIRECT(J$2),INDIRECT(I782),test))</f>
        <v>0.14000000000000001</v>
      </c>
      <c r="E782" s="5">
        <f ca="1">IF(getQuality(B782)&lt;4,getOtherMax(B782,C782,INDIRECT(J$2),INDIRECT(I782),test),getMax(B782,C782,INDIRECT(J$2),INDIRECT(I782),test))</f>
        <v>0.28000000000000003</v>
      </c>
      <c r="F782" s="1" t="str">
        <f t="shared" si="50"/>
        <v>50</v>
      </c>
      <c r="G782" s="1" t="str">
        <f t="shared" si="51"/>
        <v/>
      </c>
      <c r="I782" s="1" t="str">
        <f t="shared" si="49"/>
        <v>威尔新数值1.06.xlsm!monsterDamage</v>
      </c>
    </row>
    <row r="783" spans="1:9" x14ac:dyDescent="0.15">
      <c r="A783" s="1">
        <v>782</v>
      </c>
      <c r="B783" s="1">
        <v>102090300</v>
      </c>
      <c r="C783" s="1">
        <f t="shared" si="48"/>
        <v>107</v>
      </c>
      <c r="D783" s="5">
        <f ca="1">IF(getQuality(B783)&lt;4,getOtherMin(B783,C783,INDIRECT(J$2),INDIRECT(I783),test),getMin(B783,C783,INDIRECT(J$2),INDIRECT(I783),test))</f>
        <v>0.14000000000000001</v>
      </c>
      <c r="E783" s="5">
        <f ca="1">IF(getQuality(B783)&lt;4,getOtherMax(B783,C783,INDIRECT(J$2),INDIRECT(I783),test),getMax(B783,C783,INDIRECT(J$2),INDIRECT(I783),test))</f>
        <v>0.28000000000000003</v>
      </c>
      <c r="F783" s="1" t="str">
        <f t="shared" si="50"/>
        <v>50</v>
      </c>
      <c r="G783" s="1" t="str">
        <f t="shared" si="51"/>
        <v/>
      </c>
      <c r="I783" s="1" t="str">
        <f t="shared" si="49"/>
        <v>威尔新数值1.06.xlsm!monsterDamage</v>
      </c>
    </row>
    <row r="784" spans="1:9" x14ac:dyDescent="0.15">
      <c r="A784" s="1">
        <v>783</v>
      </c>
      <c r="B784" s="1">
        <v>102090300</v>
      </c>
      <c r="C784" s="1">
        <f t="shared" si="48"/>
        <v>108</v>
      </c>
      <c r="D784" s="5">
        <f ca="1">IF(getQuality(B784)&lt;4,getOtherMin(B784,C784,INDIRECT(J$2),INDIRECT(I784),test),getMin(B784,C784,INDIRECT(J$2),INDIRECT(I784),test))</f>
        <v>0.14000000000000001</v>
      </c>
      <c r="E784" s="5">
        <f ca="1">IF(getQuality(B784)&lt;4,getOtherMax(B784,C784,INDIRECT(J$2),INDIRECT(I784),test),getMax(B784,C784,INDIRECT(J$2),INDIRECT(I784),test))</f>
        <v>0.28000000000000003</v>
      </c>
      <c r="F784" s="1" t="str">
        <f t="shared" si="50"/>
        <v>50</v>
      </c>
      <c r="G784" s="1" t="str">
        <f t="shared" si="51"/>
        <v/>
      </c>
      <c r="I784" s="1" t="str">
        <f t="shared" si="49"/>
        <v>威尔新数值1.06.xlsm!monsterDamage</v>
      </c>
    </row>
    <row r="785" spans="1:9" x14ac:dyDescent="0.15">
      <c r="A785" s="1">
        <v>784</v>
      </c>
      <c r="B785" s="1">
        <v>102010400</v>
      </c>
      <c r="C785" s="1">
        <f t="shared" si="48"/>
        <v>3</v>
      </c>
      <c r="D785" s="5">
        <f ca="1">IF(getQuality(B785)&lt;4,getOtherMin(B785,C785,INDIRECT(J$2),INDIRECT(I785),test),getMin(B785,C785,INDIRECT(J$2),INDIRECT(I785),test))</f>
        <v>1</v>
      </c>
      <c r="E785" s="5">
        <f ca="1">IF(getQuality(B785)&lt;4,getOtherMax(B785,C785,INDIRECT(J$2),INDIRECT(I785),test),getMax(B785,C785,INDIRECT(J$2),INDIRECT(I785),test))</f>
        <v>21.008641265250315</v>
      </c>
      <c r="F785" s="1" t="str">
        <f t="shared" si="50"/>
        <v>50</v>
      </c>
      <c r="G785" s="1" t="str">
        <f t="shared" si="51"/>
        <v/>
      </c>
      <c r="I785" s="1" t="str">
        <f t="shared" si="49"/>
        <v>威尔新数值1.06.xlsm!suitPower</v>
      </c>
    </row>
    <row r="786" spans="1:9" x14ac:dyDescent="0.15">
      <c r="A786" s="1">
        <v>785</v>
      </c>
      <c r="B786" s="1">
        <v>102010400</v>
      </c>
      <c r="C786" s="1">
        <f t="shared" si="48"/>
        <v>5</v>
      </c>
      <c r="D786" s="5">
        <f ca="1">IF(getQuality(B786)&lt;4,getOtherMin(B786,C786,INDIRECT(J$2),INDIRECT(I786),test),getMin(B786,C786,INDIRECT(J$2),INDIRECT(I786),test))</f>
        <v>1</v>
      </c>
      <c r="E786" s="5">
        <f ca="1">IF(getQuality(B786)&lt;4,getOtherMax(B786,C786,INDIRECT(J$2),INDIRECT(I786),test),getMax(B786,C786,INDIRECT(J$2),INDIRECT(I786),test))</f>
        <v>21.008641265250315</v>
      </c>
      <c r="F786" s="1" t="str">
        <f t="shared" si="50"/>
        <v>50</v>
      </c>
      <c r="G786" s="1" t="str">
        <f t="shared" si="51"/>
        <v>1</v>
      </c>
      <c r="I786" s="1" t="str">
        <f t="shared" si="49"/>
        <v>威尔新数值1.06.xlsm!suitPower</v>
      </c>
    </row>
    <row r="787" spans="1:9" x14ac:dyDescent="0.15">
      <c r="A787" s="1">
        <v>786</v>
      </c>
      <c r="B787" s="1">
        <v>102010400</v>
      </c>
      <c r="C787" s="1">
        <f t="shared" si="48"/>
        <v>7</v>
      </c>
      <c r="D787" s="5">
        <f ca="1">IF(getQuality(B787)&lt;4,getOtherMin(B787,C787,INDIRECT(J$2),INDIRECT(I787),test),getMin(B787,C787,INDIRECT(J$2),INDIRECT(I787),test))</f>
        <v>1</v>
      </c>
      <c r="E787" s="5">
        <f ca="1">IF(getQuality(B787)&lt;4,getOtherMax(B787,C787,INDIRECT(J$2),INDIRECT(I787),test),getMax(B787,C787,INDIRECT(J$2),INDIRECT(I787),test))</f>
        <v>6.481481481481465</v>
      </c>
      <c r="F787" s="1" t="str">
        <f t="shared" si="50"/>
        <v>50</v>
      </c>
      <c r="G787" s="1" t="str">
        <f t="shared" si="51"/>
        <v/>
      </c>
      <c r="I787" s="1" t="str">
        <f t="shared" si="49"/>
        <v>威尔新数值1.06.xlsm!suitPower</v>
      </c>
    </row>
    <row r="788" spans="1:9" x14ac:dyDescent="0.15">
      <c r="A788" s="1">
        <v>787</v>
      </c>
      <c r="B788" s="1">
        <v>102010400</v>
      </c>
      <c r="C788" s="1">
        <f t="shared" si="48"/>
        <v>8</v>
      </c>
      <c r="D788" s="5">
        <f ca="1">IF(getQuality(B788)&lt;4,getOtherMin(B788,C788,INDIRECT(J$2),INDIRECT(I788),test),getMin(B788,C788,INDIRECT(J$2),INDIRECT(I788),test))</f>
        <v>1</v>
      </c>
      <c r="E788" s="5">
        <f ca="1">IF(getQuality(B788)&lt;4,getOtherMax(B788,C788,INDIRECT(J$2),INDIRECT(I788),test),getMax(B788,C788,INDIRECT(J$2),INDIRECT(I788),test))</f>
        <v>14.583333333333334</v>
      </c>
      <c r="F788" s="1" t="str">
        <f t="shared" si="50"/>
        <v>50</v>
      </c>
      <c r="G788" s="1" t="str">
        <f t="shared" si="51"/>
        <v/>
      </c>
      <c r="I788" s="1" t="str">
        <f t="shared" si="49"/>
        <v>威尔新数值1.06.xlsm!suitPower</v>
      </c>
    </row>
    <row r="789" spans="1:9" x14ac:dyDescent="0.15">
      <c r="A789" s="1">
        <v>788</v>
      </c>
      <c r="B789" s="1">
        <v>102010400</v>
      </c>
      <c r="C789" s="1">
        <f t="shared" si="48"/>
        <v>9</v>
      </c>
      <c r="D789" s="5">
        <f ca="1">IF(getQuality(B789)&lt;4,getOtherMin(B789,C789,INDIRECT(J$2),INDIRECT(I789),test),getMin(B789,C789,INDIRECT(J$2),INDIRECT(I789),test))</f>
        <v>1</v>
      </c>
      <c r="E789" s="5">
        <f ca="1">IF(getQuality(B789)&lt;4,getOtherMax(B789,C789,INDIRECT(J$2),INDIRECT(I789),test),getMax(B789,C789,INDIRECT(J$2),INDIRECT(I789),test))</f>
        <v>21.008641265250315</v>
      </c>
      <c r="F789" s="1" t="str">
        <f t="shared" si="50"/>
        <v>50</v>
      </c>
      <c r="G789" s="1" t="str">
        <f t="shared" si="51"/>
        <v/>
      </c>
      <c r="I789" s="1" t="str">
        <f t="shared" si="49"/>
        <v>威尔新数值1.06.xlsm!suitPower</v>
      </c>
    </row>
    <row r="790" spans="1:9" x14ac:dyDescent="0.15">
      <c r="A790" s="1">
        <v>789</v>
      </c>
      <c r="B790" s="1">
        <v>102010400</v>
      </c>
      <c r="C790" s="1">
        <f t="shared" si="48"/>
        <v>10</v>
      </c>
      <c r="D790" s="5">
        <f ca="1">IF(getQuality(B790)&lt;4,getOtherMin(B790,C790,INDIRECT(J$2),INDIRECT(I790),test),getMin(B790,C790,INDIRECT(J$2),INDIRECT(I790),test))</f>
        <v>1</v>
      </c>
      <c r="E790" s="5">
        <f ca="1">IF(getQuality(B790)&lt;4,getOtherMax(B790,C790,INDIRECT(J$2),INDIRECT(I790),test),getMax(B790,C790,INDIRECT(J$2),INDIRECT(I790),test))</f>
        <v>21.008641265250315</v>
      </c>
      <c r="F790" s="1" t="str">
        <f t="shared" si="50"/>
        <v>50</v>
      </c>
      <c r="G790" s="1" t="str">
        <f t="shared" si="51"/>
        <v/>
      </c>
      <c r="I790" s="1" t="str">
        <f t="shared" si="49"/>
        <v>威尔新数值1.06.xlsm!suitPower</v>
      </c>
    </row>
    <row r="791" spans="1:9" x14ac:dyDescent="0.15">
      <c r="A791" s="1">
        <v>790</v>
      </c>
      <c r="B791" s="1">
        <v>102010400</v>
      </c>
      <c r="C791" s="1">
        <f t="shared" si="48"/>
        <v>11</v>
      </c>
      <c r="D791" s="5">
        <f ca="1">IF(getQuality(B791)&lt;4,getOtherMin(B791,C791,INDIRECT(J$2),INDIRECT(I791),test),getMin(B791,C791,INDIRECT(J$2),INDIRECT(I791),test))</f>
        <v>1</v>
      </c>
      <c r="E791" s="5">
        <f ca="1">IF(getQuality(B791)&lt;4,getOtherMax(B791,C791,INDIRECT(J$2),INDIRECT(I791),test),getMax(B791,C791,INDIRECT(J$2),INDIRECT(I791),test))</f>
        <v>21.008641265250315</v>
      </c>
      <c r="F791" s="1" t="str">
        <f t="shared" si="50"/>
        <v>50</v>
      </c>
      <c r="G791" s="1" t="str">
        <f t="shared" si="51"/>
        <v/>
      </c>
      <c r="I791" s="1" t="str">
        <f t="shared" si="49"/>
        <v>威尔新数值1.06.xlsm!suitPower</v>
      </c>
    </row>
    <row r="792" spans="1:9" x14ac:dyDescent="0.15">
      <c r="A792" s="1">
        <v>791</v>
      </c>
      <c r="B792" s="1">
        <v>102010400</v>
      </c>
      <c r="C792" s="1">
        <f t="shared" si="48"/>
        <v>12</v>
      </c>
      <c r="D792" s="5">
        <f ca="1">IF(getQuality(B792)&lt;4,getOtherMin(B792,C792,INDIRECT(J$2),INDIRECT(I792),test),getMin(B792,C792,INDIRECT(J$2),INDIRECT(I792),test))</f>
        <v>1</v>
      </c>
      <c r="E792" s="5">
        <f ca="1">IF(getQuality(B792)&lt;4,getOtherMax(B792,C792,INDIRECT(J$2),INDIRECT(I792),test),getMax(B792,C792,INDIRECT(J$2),INDIRECT(I792),test))</f>
        <v>21.008641265250315</v>
      </c>
      <c r="F792" s="1" t="str">
        <f t="shared" si="50"/>
        <v>50</v>
      </c>
      <c r="G792" s="1" t="str">
        <f t="shared" si="51"/>
        <v/>
      </c>
      <c r="I792" s="1" t="str">
        <f t="shared" si="49"/>
        <v>威尔新数值1.06.xlsm!suitPower</v>
      </c>
    </row>
    <row r="793" spans="1:9" x14ac:dyDescent="0.15">
      <c r="A793" s="1">
        <v>792</v>
      </c>
      <c r="B793" s="1">
        <v>102010400</v>
      </c>
      <c r="C793" s="1">
        <f t="shared" si="48"/>
        <v>13</v>
      </c>
      <c r="D793" s="5">
        <f ca="1">IF(getQuality(B793)&lt;4,getOtherMin(B793,C793,INDIRECT(J$2),INDIRECT(I793),test),getMin(B793,C793,INDIRECT(J$2),INDIRECT(I793),test))</f>
        <v>1</v>
      </c>
      <c r="E793" s="5">
        <f ca="1">IF(getQuality(B793)&lt;4,getOtherMax(B793,C793,INDIRECT(J$2),INDIRECT(I793),test),getMax(B793,C793,INDIRECT(J$2),INDIRECT(I793),test))</f>
        <v>21.008641265250315</v>
      </c>
      <c r="F793" s="1" t="str">
        <f t="shared" si="50"/>
        <v>50</v>
      </c>
      <c r="G793" s="1" t="str">
        <f t="shared" si="51"/>
        <v/>
      </c>
      <c r="I793" s="1" t="str">
        <f t="shared" si="49"/>
        <v>威尔新数值1.06.xlsm!suitPower</v>
      </c>
    </row>
    <row r="794" spans="1:9" x14ac:dyDescent="0.15">
      <c r="A794" s="1">
        <v>793</v>
      </c>
      <c r="B794" s="1">
        <v>102010400</v>
      </c>
      <c r="C794" s="1">
        <f t="shared" si="48"/>
        <v>14</v>
      </c>
      <c r="D794" s="5">
        <f ca="1">IF(getQuality(B794)&lt;4,getOtherMin(B794,C794,INDIRECT(J$2),INDIRECT(I794),test),getMin(B794,C794,INDIRECT(J$2),INDIRECT(I794),test))</f>
        <v>1</v>
      </c>
      <c r="E794" s="5">
        <f ca="1">IF(getQuality(B794)&lt;4,getOtherMax(B794,C794,INDIRECT(J$2),INDIRECT(I794),test),getMax(B794,C794,INDIRECT(J$2),INDIRECT(I794),test))</f>
        <v>21.008641265250315</v>
      </c>
      <c r="F794" s="1" t="str">
        <f t="shared" si="50"/>
        <v>50</v>
      </c>
      <c r="G794" s="1" t="str">
        <f t="shared" si="51"/>
        <v/>
      </c>
      <c r="I794" s="1" t="str">
        <f t="shared" si="49"/>
        <v>威尔新数值1.06.xlsm!suitPower</v>
      </c>
    </row>
    <row r="795" spans="1:9" x14ac:dyDescent="0.15">
      <c r="A795" s="1">
        <v>794</v>
      </c>
      <c r="B795" s="1">
        <v>102010400</v>
      </c>
      <c r="C795" s="1">
        <f t="shared" si="48"/>
        <v>15</v>
      </c>
      <c r="D795" s="5">
        <f ca="1">IF(getQuality(B795)&lt;4,getOtherMin(B795,C795,INDIRECT(J$2),INDIRECT(I795),test),getMin(B795,C795,INDIRECT(J$2),INDIRECT(I795),test))</f>
        <v>1</v>
      </c>
      <c r="E795" s="5">
        <f ca="1">IF(getQuality(B795)&lt;4,getOtherMax(B795,C795,INDIRECT(J$2),INDIRECT(I795),test),getMax(B795,C795,INDIRECT(J$2),INDIRECT(I795),test))</f>
        <v>21.008641265250315</v>
      </c>
      <c r="F795" s="1" t="str">
        <f t="shared" si="50"/>
        <v>50</v>
      </c>
      <c r="G795" s="1" t="str">
        <f t="shared" si="51"/>
        <v/>
      </c>
      <c r="I795" s="1" t="str">
        <f t="shared" si="49"/>
        <v>威尔新数值1.06.xlsm!suitPower</v>
      </c>
    </row>
    <row r="796" spans="1:9" x14ac:dyDescent="0.15">
      <c r="A796" s="1">
        <v>795</v>
      </c>
      <c r="B796" s="1">
        <v>102010400</v>
      </c>
      <c r="C796" s="1">
        <f t="shared" si="48"/>
        <v>101</v>
      </c>
      <c r="D796" s="5">
        <f ca="1">IF(getQuality(B796)&lt;4,getOtherMin(B796,C796,INDIRECT(J$2),INDIRECT(I796),test),getMin(B796,C796,INDIRECT(J$2),INDIRECT(I796),test))</f>
        <v>0.06</v>
      </c>
      <c r="E796" s="5">
        <f ca="1">IF(getQuality(B796)&lt;4,getOtherMax(B796,C796,INDIRECT(J$2),INDIRECT(I796),test),getMax(B796,C796,INDIRECT(J$2),INDIRECT(I796),test))</f>
        <v>0.09</v>
      </c>
      <c r="F796" s="1" t="str">
        <f t="shared" si="50"/>
        <v>50</v>
      </c>
      <c r="G796" s="1" t="str">
        <f t="shared" si="51"/>
        <v/>
      </c>
      <c r="I796" s="1" t="str">
        <f t="shared" si="49"/>
        <v>威尔新数值1.06.xlsm!circlePer</v>
      </c>
    </row>
    <row r="797" spans="1:9" x14ac:dyDescent="0.15">
      <c r="A797" s="1">
        <v>796</v>
      </c>
      <c r="B797" s="1">
        <v>102010400</v>
      </c>
      <c r="C797" s="1">
        <f t="shared" si="48"/>
        <v>102</v>
      </c>
      <c r="D797" s="5">
        <f ca="1">IF(getQuality(B797)&lt;4,getOtherMin(B797,C797,INDIRECT(J$2),INDIRECT(I797),test),getMin(B797,C797,INDIRECT(J$2),INDIRECT(I797),test))</f>
        <v>0.4</v>
      </c>
      <c r="E797" s="5">
        <f ca="1">IF(getQuality(B797)&lt;4,getOtherMax(B797,C797,INDIRECT(J$2),INDIRECT(I797),test),getMax(B797,C797,INDIRECT(J$2),INDIRECT(I797),test))</f>
        <v>0.8</v>
      </c>
      <c r="F797" s="1" t="str">
        <f t="shared" si="50"/>
        <v>50</v>
      </c>
      <c r="G797" s="1" t="str">
        <f t="shared" si="51"/>
        <v/>
      </c>
      <c r="I797" s="1" t="str">
        <f t="shared" si="49"/>
        <v>威尔新数值1.06.xlsm!circleValue</v>
      </c>
    </row>
    <row r="798" spans="1:9" x14ac:dyDescent="0.15">
      <c r="A798" s="1">
        <v>797</v>
      </c>
      <c r="B798" s="1">
        <v>102010400</v>
      </c>
      <c r="C798" s="1">
        <f t="shared" si="48"/>
        <v>103</v>
      </c>
      <c r="D798" s="5">
        <f ca="1">IF(getQuality(B798)&lt;4,getOtherMin(B798,C798,INDIRECT(J$2),INDIRECT(I798),test),getMin(B798,C798,INDIRECT(J$2),INDIRECT(I798),test))</f>
        <v>0.06</v>
      </c>
      <c r="E798" s="5">
        <f ca="1">IF(getQuality(B798)&lt;4,getOtherMax(B798,C798,INDIRECT(J$2),INDIRECT(I798),test),getMax(B798,C798,INDIRECT(J$2),INDIRECT(I798),test))</f>
        <v>0.09</v>
      </c>
      <c r="F798" s="1" t="str">
        <f t="shared" si="50"/>
        <v>50</v>
      </c>
      <c r="G798" s="1" t="str">
        <f t="shared" si="51"/>
        <v/>
      </c>
      <c r="I798" s="1" t="str">
        <f t="shared" si="49"/>
        <v>威尔新数值1.06.xlsm!otherDamage</v>
      </c>
    </row>
    <row r="799" spans="1:9" x14ac:dyDescent="0.15">
      <c r="A799" s="1">
        <v>798</v>
      </c>
      <c r="B799" s="1">
        <v>102010400</v>
      </c>
      <c r="C799" s="1">
        <f t="shared" si="48"/>
        <v>104</v>
      </c>
      <c r="D799" s="5">
        <f ca="1">IF(getQuality(B799)&lt;4,getOtherMin(B799,C799,INDIRECT(J$2),INDIRECT(I799),test),getMin(B799,C799,INDIRECT(J$2),INDIRECT(I799),test))</f>
        <v>0.06</v>
      </c>
      <c r="E799" s="5">
        <f ca="1">IF(getQuality(B799)&lt;4,getOtherMax(B799,C799,INDIRECT(J$2),INDIRECT(I799),test),getMax(B799,C799,INDIRECT(J$2),INDIRECT(I799),test))</f>
        <v>0.12</v>
      </c>
      <c r="F799" s="1" t="str">
        <f t="shared" si="50"/>
        <v>50</v>
      </c>
      <c r="G799" s="1" t="str">
        <f t="shared" si="51"/>
        <v/>
      </c>
      <c r="I799" s="1" t="str">
        <f t="shared" si="49"/>
        <v>威尔新数值1.06.xlsm!monsterDamage</v>
      </c>
    </row>
    <row r="800" spans="1:9" x14ac:dyDescent="0.15">
      <c r="A800" s="1">
        <v>799</v>
      </c>
      <c r="B800" s="1">
        <v>102010400</v>
      </c>
      <c r="C800" s="1">
        <f t="shared" si="48"/>
        <v>105</v>
      </c>
      <c r="D800" s="5">
        <f ca="1">IF(getQuality(B800)&lt;4,getOtherMin(B800,C800,INDIRECT(J$2),INDIRECT(I800),test),getMin(B800,C800,INDIRECT(J$2),INDIRECT(I800),test))</f>
        <v>0.06</v>
      </c>
      <c r="E800" s="5">
        <f ca="1">IF(getQuality(B800)&lt;4,getOtherMax(B800,C800,INDIRECT(J$2),INDIRECT(I800),test),getMax(B800,C800,INDIRECT(J$2),INDIRECT(I800),test))</f>
        <v>0.12</v>
      </c>
      <c r="F800" s="1" t="str">
        <f t="shared" si="50"/>
        <v>50</v>
      </c>
      <c r="G800" s="1" t="str">
        <f t="shared" si="51"/>
        <v/>
      </c>
      <c r="I800" s="1" t="str">
        <f t="shared" si="49"/>
        <v>威尔新数值1.06.xlsm!monsterDamage</v>
      </c>
    </row>
    <row r="801" spans="1:9" x14ac:dyDescent="0.15">
      <c r="A801" s="1">
        <v>800</v>
      </c>
      <c r="B801" s="1">
        <v>102010400</v>
      </c>
      <c r="C801" s="1">
        <f t="shared" si="48"/>
        <v>106</v>
      </c>
      <c r="D801" s="5">
        <f ca="1">IF(getQuality(B801)&lt;4,getOtherMin(B801,C801,INDIRECT(J$2),INDIRECT(I801),test),getMin(B801,C801,INDIRECT(J$2),INDIRECT(I801),test))</f>
        <v>0.06</v>
      </c>
      <c r="E801" s="5">
        <f ca="1">IF(getQuality(B801)&lt;4,getOtherMax(B801,C801,INDIRECT(J$2),INDIRECT(I801),test),getMax(B801,C801,INDIRECT(J$2),INDIRECT(I801),test))</f>
        <v>0.12</v>
      </c>
      <c r="F801" s="1" t="str">
        <f t="shared" si="50"/>
        <v>50</v>
      </c>
      <c r="G801" s="1" t="str">
        <f t="shared" si="51"/>
        <v/>
      </c>
      <c r="I801" s="1" t="str">
        <f t="shared" si="49"/>
        <v>威尔新数值1.06.xlsm!monsterDamage</v>
      </c>
    </row>
    <row r="802" spans="1:9" x14ac:dyDescent="0.15">
      <c r="A802" s="1">
        <v>801</v>
      </c>
      <c r="B802" s="1">
        <v>102010400</v>
      </c>
      <c r="C802" s="1">
        <f t="shared" si="48"/>
        <v>107</v>
      </c>
      <c r="D802" s="5">
        <f ca="1">IF(getQuality(B802)&lt;4,getOtherMin(B802,C802,INDIRECT(J$2),INDIRECT(I802),test),getMin(B802,C802,INDIRECT(J$2),INDIRECT(I802),test))</f>
        <v>0.06</v>
      </c>
      <c r="E802" s="5">
        <f ca="1">IF(getQuality(B802)&lt;4,getOtherMax(B802,C802,INDIRECT(J$2),INDIRECT(I802),test),getMax(B802,C802,INDIRECT(J$2),INDIRECT(I802),test))</f>
        <v>0.12</v>
      </c>
      <c r="F802" s="1" t="str">
        <f t="shared" si="50"/>
        <v>50</v>
      </c>
      <c r="G802" s="1" t="str">
        <f t="shared" si="51"/>
        <v/>
      </c>
      <c r="I802" s="1" t="str">
        <f t="shared" si="49"/>
        <v>威尔新数值1.06.xlsm!monsterDamage</v>
      </c>
    </row>
    <row r="803" spans="1:9" x14ac:dyDescent="0.15">
      <c r="A803" s="1">
        <v>802</v>
      </c>
      <c r="B803" s="1">
        <v>102010400</v>
      </c>
      <c r="C803" s="1">
        <f t="shared" si="48"/>
        <v>108</v>
      </c>
      <c r="D803" s="5">
        <f ca="1">IF(getQuality(B803)&lt;4,getOtherMin(B803,C803,INDIRECT(J$2),INDIRECT(I803),test),getMin(B803,C803,INDIRECT(J$2),INDIRECT(I803),test))</f>
        <v>0.06</v>
      </c>
      <c r="E803" s="5">
        <f ca="1">IF(getQuality(B803)&lt;4,getOtherMax(B803,C803,INDIRECT(J$2),INDIRECT(I803),test),getMax(B803,C803,INDIRECT(J$2),INDIRECT(I803),test))</f>
        <v>0.12</v>
      </c>
      <c r="F803" s="1" t="str">
        <f t="shared" si="50"/>
        <v>50</v>
      </c>
      <c r="G803" s="1" t="str">
        <f t="shared" si="51"/>
        <v/>
      </c>
      <c r="I803" s="1" t="str">
        <f t="shared" si="49"/>
        <v>威尔新数值1.06.xlsm!monsterDamage</v>
      </c>
    </row>
    <row r="804" spans="1:9" x14ac:dyDescent="0.15">
      <c r="A804" s="1">
        <v>803</v>
      </c>
      <c r="B804" s="1">
        <v>102020400</v>
      </c>
      <c r="C804" s="1">
        <f t="shared" ref="C804:C867" si="52">C785</f>
        <v>3</v>
      </c>
      <c r="D804" s="5">
        <f ca="1">IF(getQuality(B804)&lt;4,getOtherMin(B804,C804,INDIRECT(J$2),INDIRECT(I804),test),getMin(B804,C804,INDIRECT(J$2),INDIRECT(I804),test))</f>
        <v>22.008641265250315</v>
      </c>
      <c r="E804" s="5">
        <f ca="1">IF(getQuality(B804)&lt;4,getOtherMax(B804,C804,INDIRECT(J$2),INDIRECT(I804),test),getMax(B804,C804,INDIRECT(J$2),INDIRECT(I804),test))</f>
        <v>46.219010783550694</v>
      </c>
      <c r="F804" s="1" t="str">
        <f t="shared" si="50"/>
        <v>50</v>
      </c>
      <c r="G804" s="1" t="str">
        <f t="shared" si="51"/>
        <v/>
      </c>
      <c r="I804" s="1" t="str">
        <f t="shared" si="49"/>
        <v>威尔新数值1.06.xlsm!suitPower</v>
      </c>
    </row>
    <row r="805" spans="1:9" x14ac:dyDescent="0.15">
      <c r="A805" s="1">
        <v>804</v>
      </c>
      <c r="B805" s="1">
        <v>102020400</v>
      </c>
      <c r="C805" s="1">
        <f t="shared" si="52"/>
        <v>5</v>
      </c>
      <c r="D805" s="5">
        <f ca="1">IF(getQuality(B805)&lt;4,getOtherMin(B805,C805,INDIRECT(J$2),INDIRECT(I805),test),getMin(B805,C805,INDIRECT(J$2),INDIRECT(I805),test))</f>
        <v>22.008641265250315</v>
      </c>
      <c r="E805" s="5">
        <f ca="1">IF(getQuality(B805)&lt;4,getOtherMax(B805,C805,INDIRECT(J$2),INDIRECT(I805),test),getMax(B805,C805,INDIRECT(J$2),INDIRECT(I805),test))</f>
        <v>46.219010783550694</v>
      </c>
      <c r="F805" s="1" t="str">
        <f t="shared" si="50"/>
        <v>50</v>
      </c>
      <c r="G805" s="1" t="str">
        <f t="shared" si="51"/>
        <v>1</v>
      </c>
      <c r="I805" s="1" t="str">
        <f t="shared" si="49"/>
        <v>威尔新数值1.06.xlsm!suitPower</v>
      </c>
    </row>
    <row r="806" spans="1:9" x14ac:dyDescent="0.15">
      <c r="A806" s="1">
        <v>805</v>
      </c>
      <c r="B806" s="1">
        <v>102020400</v>
      </c>
      <c r="C806" s="1">
        <f t="shared" si="52"/>
        <v>7</v>
      </c>
      <c r="D806" s="5">
        <f ca="1">IF(getQuality(B806)&lt;4,getOtherMin(B806,C806,INDIRECT(J$2),INDIRECT(I806),test),getMin(B806,C806,INDIRECT(J$2),INDIRECT(I806),test))</f>
        <v>7.481481481481465</v>
      </c>
      <c r="E806" s="5">
        <f ca="1">IF(getQuality(B806)&lt;4,getOtherMax(B806,C806,INDIRECT(J$2),INDIRECT(I806),test),getMax(B806,C806,INDIRECT(J$2),INDIRECT(I806),test))</f>
        <v>12.96296296296293</v>
      </c>
      <c r="F806" s="1" t="str">
        <f t="shared" si="50"/>
        <v>50</v>
      </c>
      <c r="G806" s="1" t="str">
        <f t="shared" si="51"/>
        <v/>
      </c>
      <c r="I806" s="1" t="str">
        <f t="shared" si="49"/>
        <v>威尔新数值1.06.xlsm!suitPower</v>
      </c>
    </row>
    <row r="807" spans="1:9" x14ac:dyDescent="0.15">
      <c r="A807" s="1">
        <v>806</v>
      </c>
      <c r="B807" s="1">
        <v>102020400</v>
      </c>
      <c r="C807" s="1">
        <f t="shared" si="52"/>
        <v>8</v>
      </c>
      <c r="D807" s="5">
        <f ca="1">IF(getQuality(B807)&lt;4,getOtherMin(B807,C807,INDIRECT(J$2),INDIRECT(I807),test),getMin(B807,C807,INDIRECT(J$2),INDIRECT(I807),test))</f>
        <v>15.583333333333334</v>
      </c>
      <c r="E807" s="5">
        <f ca="1">IF(getQuality(B807)&lt;4,getOtherMax(B807,C807,INDIRECT(J$2),INDIRECT(I807),test),getMax(B807,C807,INDIRECT(J$2),INDIRECT(I807),test))</f>
        <v>29.166666666666668</v>
      </c>
      <c r="F807" s="1" t="str">
        <f t="shared" si="50"/>
        <v>50</v>
      </c>
      <c r="G807" s="1" t="str">
        <f t="shared" si="51"/>
        <v/>
      </c>
      <c r="I807" s="1" t="str">
        <f t="shared" si="49"/>
        <v>威尔新数值1.06.xlsm!suitPower</v>
      </c>
    </row>
    <row r="808" spans="1:9" x14ac:dyDescent="0.15">
      <c r="A808" s="1">
        <v>807</v>
      </c>
      <c r="B808" s="1">
        <v>102020400</v>
      </c>
      <c r="C808" s="1">
        <f t="shared" si="52"/>
        <v>9</v>
      </c>
      <c r="D808" s="5">
        <f ca="1">IF(getQuality(B808)&lt;4,getOtherMin(B808,C808,INDIRECT(J$2),INDIRECT(I808),test),getMin(B808,C808,INDIRECT(J$2),INDIRECT(I808),test))</f>
        <v>22.008641265250315</v>
      </c>
      <c r="E808" s="5">
        <f ca="1">IF(getQuality(B808)&lt;4,getOtherMax(B808,C808,INDIRECT(J$2),INDIRECT(I808),test),getMax(B808,C808,INDIRECT(J$2),INDIRECT(I808),test))</f>
        <v>46.219010783550694</v>
      </c>
      <c r="F808" s="1" t="str">
        <f t="shared" si="50"/>
        <v>50</v>
      </c>
      <c r="G808" s="1" t="str">
        <f t="shared" si="51"/>
        <v/>
      </c>
      <c r="I808" s="1" t="str">
        <f t="shared" si="49"/>
        <v>威尔新数值1.06.xlsm!suitPower</v>
      </c>
    </row>
    <row r="809" spans="1:9" x14ac:dyDescent="0.15">
      <c r="A809" s="1">
        <v>808</v>
      </c>
      <c r="B809" s="1">
        <v>102020400</v>
      </c>
      <c r="C809" s="1">
        <f t="shared" si="52"/>
        <v>10</v>
      </c>
      <c r="D809" s="5">
        <f ca="1">IF(getQuality(B809)&lt;4,getOtherMin(B809,C809,INDIRECT(J$2),INDIRECT(I809),test),getMin(B809,C809,INDIRECT(J$2),INDIRECT(I809),test))</f>
        <v>22.008641265250315</v>
      </c>
      <c r="E809" s="5">
        <f ca="1">IF(getQuality(B809)&lt;4,getOtherMax(B809,C809,INDIRECT(J$2),INDIRECT(I809),test),getMax(B809,C809,INDIRECT(J$2),INDIRECT(I809),test))</f>
        <v>46.219010783550694</v>
      </c>
      <c r="F809" s="1" t="str">
        <f t="shared" si="50"/>
        <v>50</v>
      </c>
      <c r="G809" s="1" t="str">
        <f t="shared" si="51"/>
        <v/>
      </c>
      <c r="I809" s="1" t="str">
        <f t="shared" si="49"/>
        <v>威尔新数值1.06.xlsm!suitPower</v>
      </c>
    </row>
    <row r="810" spans="1:9" x14ac:dyDescent="0.15">
      <c r="A810" s="1">
        <v>809</v>
      </c>
      <c r="B810" s="1">
        <v>102020400</v>
      </c>
      <c r="C810" s="1">
        <f t="shared" si="52"/>
        <v>11</v>
      </c>
      <c r="D810" s="5">
        <f ca="1">IF(getQuality(B810)&lt;4,getOtherMin(B810,C810,INDIRECT(J$2),INDIRECT(I810),test),getMin(B810,C810,INDIRECT(J$2),INDIRECT(I810),test))</f>
        <v>22.008641265250315</v>
      </c>
      <c r="E810" s="5">
        <f ca="1">IF(getQuality(B810)&lt;4,getOtherMax(B810,C810,INDIRECT(J$2),INDIRECT(I810),test),getMax(B810,C810,INDIRECT(J$2),INDIRECT(I810),test))</f>
        <v>46.219010783550694</v>
      </c>
      <c r="F810" s="1" t="str">
        <f t="shared" si="50"/>
        <v>50</v>
      </c>
      <c r="G810" s="1" t="str">
        <f t="shared" si="51"/>
        <v/>
      </c>
      <c r="I810" s="1" t="str">
        <f t="shared" si="49"/>
        <v>威尔新数值1.06.xlsm!suitPower</v>
      </c>
    </row>
    <row r="811" spans="1:9" x14ac:dyDescent="0.15">
      <c r="A811" s="1">
        <v>810</v>
      </c>
      <c r="B811" s="1">
        <v>102020400</v>
      </c>
      <c r="C811" s="1">
        <f t="shared" si="52"/>
        <v>12</v>
      </c>
      <c r="D811" s="5">
        <f ca="1">IF(getQuality(B811)&lt;4,getOtherMin(B811,C811,INDIRECT(J$2),INDIRECT(I811),test),getMin(B811,C811,INDIRECT(J$2),INDIRECT(I811),test))</f>
        <v>22.008641265250315</v>
      </c>
      <c r="E811" s="5">
        <f ca="1">IF(getQuality(B811)&lt;4,getOtherMax(B811,C811,INDIRECT(J$2),INDIRECT(I811),test),getMax(B811,C811,INDIRECT(J$2),INDIRECT(I811),test))</f>
        <v>46.219010783550694</v>
      </c>
      <c r="F811" s="1" t="str">
        <f t="shared" si="50"/>
        <v>50</v>
      </c>
      <c r="G811" s="1" t="str">
        <f t="shared" si="51"/>
        <v/>
      </c>
      <c r="I811" s="1" t="str">
        <f t="shared" si="49"/>
        <v>威尔新数值1.06.xlsm!suitPower</v>
      </c>
    </row>
    <row r="812" spans="1:9" x14ac:dyDescent="0.15">
      <c r="A812" s="1">
        <v>811</v>
      </c>
      <c r="B812" s="1">
        <v>102020400</v>
      </c>
      <c r="C812" s="1">
        <f t="shared" si="52"/>
        <v>13</v>
      </c>
      <c r="D812" s="5">
        <f ca="1">IF(getQuality(B812)&lt;4,getOtherMin(B812,C812,INDIRECT(J$2),INDIRECT(I812),test),getMin(B812,C812,INDIRECT(J$2),INDIRECT(I812),test))</f>
        <v>22.008641265250315</v>
      </c>
      <c r="E812" s="5">
        <f ca="1">IF(getQuality(B812)&lt;4,getOtherMax(B812,C812,INDIRECT(J$2),INDIRECT(I812),test),getMax(B812,C812,INDIRECT(J$2),INDIRECT(I812),test))</f>
        <v>46.219010783550694</v>
      </c>
      <c r="F812" s="1" t="str">
        <f t="shared" si="50"/>
        <v>50</v>
      </c>
      <c r="G812" s="1" t="str">
        <f t="shared" si="51"/>
        <v/>
      </c>
      <c r="I812" s="1" t="str">
        <f t="shared" si="49"/>
        <v>威尔新数值1.06.xlsm!suitPower</v>
      </c>
    </row>
    <row r="813" spans="1:9" x14ac:dyDescent="0.15">
      <c r="A813" s="1">
        <v>812</v>
      </c>
      <c r="B813" s="1">
        <v>102020400</v>
      </c>
      <c r="C813" s="1">
        <f t="shared" si="52"/>
        <v>14</v>
      </c>
      <c r="D813" s="5">
        <f ca="1">IF(getQuality(B813)&lt;4,getOtherMin(B813,C813,INDIRECT(J$2),INDIRECT(I813),test),getMin(B813,C813,INDIRECT(J$2),INDIRECT(I813),test))</f>
        <v>22.008641265250315</v>
      </c>
      <c r="E813" s="5">
        <f ca="1">IF(getQuality(B813)&lt;4,getOtherMax(B813,C813,INDIRECT(J$2),INDIRECT(I813),test),getMax(B813,C813,INDIRECT(J$2),INDIRECT(I813),test))</f>
        <v>46.219010783550694</v>
      </c>
      <c r="F813" s="1" t="str">
        <f t="shared" si="50"/>
        <v>50</v>
      </c>
      <c r="G813" s="1" t="str">
        <f t="shared" si="51"/>
        <v/>
      </c>
      <c r="I813" s="1" t="str">
        <f t="shared" si="49"/>
        <v>威尔新数值1.06.xlsm!suitPower</v>
      </c>
    </row>
    <row r="814" spans="1:9" x14ac:dyDescent="0.15">
      <c r="A814" s="1">
        <v>813</v>
      </c>
      <c r="B814" s="1">
        <v>102020400</v>
      </c>
      <c r="C814" s="1">
        <f t="shared" si="52"/>
        <v>15</v>
      </c>
      <c r="D814" s="5">
        <f ca="1">IF(getQuality(B814)&lt;4,getOtherMin(B814,C814,INDIRECT(J$2),INDIRECT(I814),test),getMin(B814,C814,INDIRECT(J$2),INDIRECT(I814),test))</f>
        <v>22.008641265250315</v>
      </c>
      <c r="E814" s="5">
        <f ca="1">IF(getQuality(B814)&lt;4,getOtherMax(B814,C814,INDIRECT(J$2),INDIRECT(I814),test),getMax(B814,C814,INDIRECT(J$2),INDIRECT(I814),test))</f>
        <v>46.219010783550694</v>
      </c>
      <c r="F814" s="1" t="str">
        <f t="shared" si="50"/>
        <v>50</v>
      </c>
      <c r="G814" s="1" t="str">
        <f t="shared" si="51"/>
        <v/>
      </c>
      <c r="I814" s="1" t="str">
        <f t="shared" si="49"/>
        <v>威尔新数值1.06.xlsm!suitPower</v>
      </c>
    </row>
    <row r="815" spans="1:9" x14ac:dyDescent="0.15">
      <c r="A815" s="1">
        <v>814</v>
      </c>
      <c r="B815" s="1">
        <v>102020400</v>
      </c>
      <c r="C815" s="1">
        <f t="shared" si="52"/>
        <v>101</v>
      </c>
      <c r="D815" s="5">
        <f ca="1">IF(getQuality(B815)&lt;4,getOtherMin(B815,C815,INDIRECT(J$2),INDIRECT(I815),test),getMin(B815,C815,INDIRECT(J$2),INDIRECT(I815),test))</f>
        <v>7.0000000000000007E-2</v>
      </c>
      <c r="E815" s="5">
        <f ca="1">IF(getQuality(B815)&lt;4,getOtherMax(B815,C815,INDIRECT(J$2),INDIRECT(I815),test),getMax(B815,C815,INDIRECT(J$2),INDIRECT(I815),test))</f>
        <v>0.1</v>
      </c>
      <c r="F815" s="1" t="str">
        <f t="shared" si="50"/>
        <v>50</v>
      </c>
      <c r="G815" s="1" t="str">
        <f t="shared" si="51"/>
        <v/>
      </c>
      <c r="I815" s="1" t="str">
        <f t="shared" si="49"/>
        <v>威尔新数值1.06.xlsm!circlePer</v>
      </c>
    </row>
    <row r="816" spans="1:9" x14ac:dyDescent="0.15">
      <c r="A816" s="1">
        <v>815</v>
      </c>
      <c r="B816" s="1">
        <v>102020400</v>
      </c>
      <c r="C816" s="1">
        <f t="shared" si="52"/>
        <v>102</v>
      </c>
      <c r="D816" s="5">
        <f ca="1">IF(getQuality(B816)&lt;4,getOtherMin(B816,C816,INDIRECT(J$2),INDIRECT(I816),test),getMin(B816,C816,INDIRECT(J$2),INDIRECT(I816),test))</f>
        <v>0.5</v>
      </c>
      <c r="E816" s="5">
        <f ca="1">IF(getQuality(B816)&lt;4,getOtherMax(B816,C816,INDIRECT(J$2),INDIRECT(I816),test),getMax(B816,C816,INDIRECT(J$2),INDIRECT(I816),test))</f>
        <v>0.9</v>
      </c>
      <c r="F816" s="1" t="str">
        <f t="shared" si="50"/>
        <v>50</v>
      </c>
      <c r="G816" s="1" t="str">
        <f t="shared" si="51"/>
        <v/>
      </c>
      <c r="I816" s="1" t="str">
        <f t="shared" si="49"/>
        <v>威尔新数值1.06.xlsm!circleValue</v>
      </c>
    </row>
    <row r="817" spans="1:9" x14ac:dyDescent="0.15">
      <c r="A817" s="1">
        <v>816</v>
      </c>
      <c r="B817" s="1">
        <v>102020400</v>
      </c>
      <c r="C817" s="1">
        <f t="shared" si="52"/>
        <v>103</v>
      </c>
      <c r="D817" s="5">
        <f ca="1">IF(getQuality(B817)&lt;4,getOtherMin(B817,C817,INDIRECT(J$2),INDIRECT(I817),test),getMin(B817,C817,INDIRECT(J$2),INDIRECT(I817),test))</f>
        <v>7.0000000000000007E-2</v>
      </c>
      <c r="E817" s="5">
        <f ca="1">IF(getQuality(B817)&lt;4,getOtherMax(B817,C817,INDIRECT(J$2),INDIRECT(I817),test),getMax(B817,C817,INDIRECT(J$2),INDIRECT(I817),test))</f>
        <v>0.1</v>
      </c>
      <c r="F817" s="1" t="str">
        <f t="shared" si="50"/>
        <v>50</v>
      </c>
      <c r="G817" s="1" t="str">
        <f t="shared" si="51"/>
        <v/>
      </c>
      <c r="I817" s="1" t="str">
        <f t="shared" si="49"/>
        <v>威尔新数值1.06.xlsm!otherDamage</v>
      </c>
    </row>
    <row r="818" spans="1:9" x14ac:dyDescent="0.15">
      <c r="A818" s="1">
        <v>817</v>
      </c>
      <c r="B818" s="1">
        <v>102020400</v>
      </c>
      <c r="C818" s="1">
        <f t="shared" si="52"/>
        <v>104</v>
      </c>
      <c r="D818" s="5">
        <f ca="1">IF(getQuality(B818)&lt;4,getOtherMin(B818,C818,INDIRECT(J$2),INDIRECT(I818),test),getMin(B818,C818,INDIRECT(J$2),INDIRECT(I818),test))</f>
        <v>7.0000000000000007E-2</v>
      </c>
      <c r="E818" s="5">
        <f ca="1">IF(getQuality(B818)&lt;4,getOtherMax(B818,C818,INDIRECT(J$2),INDIRECT(I818),test),getMax(B818,C818,INDIRECT(J$2),INDIRECT(I818),test))</f>
        <v>0.14000000000000001</v>
      </c>
      <c r="F818" s="1" t="str">
        <f t="shared" si="50"/>
        <v>50</v>
      </c>
      <c r="G818" s="1" t="str">
        <f t="shared" si="51"/>
        <v/>
      </c>
      <c r="I818" s="1" t="str">
        <f t="shared" si="49"/>
        <v>威尔新数值1.06.xlsm!monsterDamage</v>
      </c>
    </row>
    <row r="819" spans="1:9" x14ac:dyDescent="0.15">
      <c r="A819" s="1">
        <v>818</v>
      </c>
      <c r="B819" s="1">
        <v>102020400</v>
      </c>
      <c r="C819" s="1">
        <f t="shared" si="52"/>
        <v>105</v>
      </c>
      <c r="D819" s="5">
        <f ca="1">IF(getQuality(B819)&lt;4,getOtherMin(B819,C819,INDIRECT(J$2),INDIRECT(I819),test),getMin(B819,C819,INDIRECT(J$2),INDIRECT(I819),test))</f>
        <v>7.0000000000000007E-2</v>
      </c>
      <c r="E819" s="5">
        <f ca="1">IF(getQuality(B819)&lt;4,getOtherMax(B819,C819,INDIRECT(J$2),INDIRECT(I819),test),getMax(B819,C819,INDIRECT(J$2),INDIRECT(I819),test))</f>
        <v>0.14000000000000001</v>
      </c>
      <c r="F819" s="1" t="str">
        <f t="shared" si="50"/>
        <v>50</v>
      </c>
      <c r="G819" s="1" t="str">
        <f t="shared" si="51"/>
        <v/>
      </c>
      <c r="I819" s="1" t="str">
        <f t="shared" si="49"/>
        <v>威尔新数值1.06.xlsm!monsterDamage</v>
      </c>
    </row>
    <row r="820" spans="1:9" x14ac:dyDescent="0.15">
      <c r="A820" s="1">
        <v>819</v>
      </c>
      <c r="B820" s="1">
        <v>102020400</v>
      </c>
      <c r="C820" s="1">
        <f t="shared" si="52"/>
        <v>106</v>
      </c>
      <c r="D820" s="5">
        <f ca="1">IF(getQuality(B820)&lt;4,getOtherMin(B820,C820,INDIRECT(J$2),INDIRECT(I820),test),getMin(B820,C820,INDIRECT(J$2),INDIRECT(I820),test))</f>
        <v>7.0000000000000007E-2</v>
      </c>
      <c r="E820" s="5">
        <f ca="1">IF(getQuality(B820)&lt;4,getOtherMax(B820,C820,INDIRECT(J$2),INDIRECT(I820),test),getMax(B820,C820,INDIRECT(J$2),INDIRECT(I820),test))</f>
        <v>0.14000000000000001</v>
      </c>
      <c r="F820" s="1" t="str">
        <f t="shared" si="50"/>
        <v>50</v>
      </c>
      <c r="G820" s="1" t="str">
        <f t="shared" si="51"/>
        <v/>
      </c>
      <c r="I820" s="1" t="str">
        <f t="shared" si="49"/>
        <v>威尔新数值1.06.xlsm!monsterDamage</v>
      </c>
    </row>
    <row r="821" spans="1:9" x14ac:dyDescent="0.15">
      <c r="A821" s="1">
        <v>820</v>
      </c>
      <c r="B821" s="1">
        <v>102020400</v>
      </c>
      <c r="C821" s="1">
        <f t="shared" si="52"/>
        <v>107</v>
      </c>
      <c r="D821" s="5">
        <f ca="1">IF(getQuality(B821)&lt;4,getOtherMin(B821,C821,INDIRECT(J$2),INDIRECT(I821),test),getMin(B821,C821,INDIRECT(J$2),INDIRECT(I821),test))</f>
        <v>7.0000000000000007E-2</v>
      </c>
      <c r="E821" s="5">
        <f ca="1">IF(getQuality(B821)&lt;4,getOtherMax(B821,C821,INDIRECT(J$2),INDIRECT(I821),test),getMax(B821,C821,INDIRECT(J$2),INDIRECT(I821),test))</f>
        <v>0.14000000000000001</v>
      </c>
      <c r="F821" s="1" t="str">
        <f t="shared" si="50"/>
        <v>50</v>
      </c>
      <c r="G821" s="1" t="str">
        <f t="shared" si="51"/>
        <v/>
      </c>
      <c r="I821" s="1" t="str">
        <f t="shared" si="49"/>
        <v>威尔新数值1.06.xlsm!monsterDamage</v>
      </c>
    </row>
    <row r="822" spans="1:9" x14ac:dyDescent="0.15">
      <c r="A822" s="1">
        <v>821</v>
      </c>
      <c r="B822" s="1">
        <v>102020400</v>
      </c>
      <c r="C822" s="1">
        <f t="shared" si="52"/>
        <v>108</v>
      </c>
      <c r="D822" s="5">
        <f ca="1">IF(getQuality(B822)&lt;4,getOtherMin(B822,C822,INDIRECT(J$2),INDIRECT(I822),test),getMin(B822,C822,INDIRECT(J$2),INDIRECT(I822),test))</f>
        <v>7.0000000000000007E-2</v>
      </c>
      <c r="E822" s="5">
        <f ca="1">IF(getQuality(B822)&lt;4,getOtherMax(B822,C822,INDIRECT(J$2),INDIRECT(I822),test),getMax(B822,C822,INDIRECT(J$2),INDIRECT(I822),test))</f>
        <v>0.14000000000000001</v>
      </c>
      <c r="F822" s="1" t="str">
        <f t="shared" si="50"/>
        <v>50</v>
      </c>
      <c r="G822" s="1" t="str">
        <f t="shared" si="51"/>
        <v/>
      </c>
      <c r="I822" s="1" t="str">
        <f t="shared" si="49"/>
        <v>威尔新数值1.06.xlsm!monsterDamage</v>
      </c>
    </row>
    <row r="823" spans="1:9" x14ac:dyDescent="0.15">
      <c r="A823" s="1">
        <v>822</v>
      </c>
      <c r="B823" s="1">
        <v>102030400</v>
      </c>
      <c r="C823" s="1">
        <f t="shared" si="52"/>
        <v>3</v>
      </c>
      <c r="D823" s="5">
        <f ca="1">IF(getQuality(B823)&lt;4,getOtherMin(B823,C823,INDIRECT(J$2),INDIRECT(I823),test),getMin(B823,C823,INDIRECT(J$2),INDIRECT(I823),test))</f>
        <v>47.219010783550694</v>
      </c>
      <c r="E823" s="5">
        <f ca="1">IF(getQuality(B823)&lt;4,getOtherMax(B823,C823,INDIRECT(J$2),INDIRECT(I823),test),getMax(B823,C823,INDIRECT(J$2),INDIRECT(I823),test))</f>
        <v>75.631108554901132</v>
      </c>
      <c r="F823" s="1" t="str">
        <f t="shared" si="50"/>
        <v>50</v>
      </c>
      <c r="G823" s="1" t="str">
        <f t="shared" si="51"/>
        <v/>
      </c>
      <c r="I823" s="1" t="str">
        <f t="shared" si="49"/>
        <v>威尔新数值1.06.xlsm!suitPower</v>
      </c>
    </row>
    <row r="824" spans="1:9" x14ac:dyDescent="0.15">
      <c r="A824" s="1">
        <v>823</v>
      </c>
      <c r="B824" s="1">
        <v>102030400</v>
      </c>
      <c r="C824" s="1">
        <f t="shared" si="52"/>
        <v>5</v>
      </c>
      <c r="D824" s="5">
        <f ca="1">IF(getQuality(B824)&lt;4,getOtherMin(B824,C824,INDIRECT(J$2),INDIRECT(I824),test),getMin(B824,C824,INDIRECT(J$2),INDIRECT(I824),test))</f>
        <v>47.219010783550694</v>
      </c>
      <c r="E824" s="5">
        <f ca="1">IF(getQuality(B824)&lt;4,getOtherMax(B824,C824,INDIRECT(J$2),INDIRECT(I824),test),getMax(B824,C824,INDIRECT(J$2),INDIRECT(I824),test))</f>
        <v>75.631108554901132</v>
      </c>
      <c r="F824" s="1" t="str">
        <f t="shared" si="50"/>
        <v>50</v>
      </c>
      <c r="G824" s="1" t="str">
        <f t="shared" si="51"/>
        <v>1</v>
      </c>
      <c r="I824" s="1" t="str">
        <f t="shared" si="49"/>
        <v>威尔新数值1.06.xlsm!suitPower</v>
      </c>
    </row>
    <row r="825" spans="1:9" x14ac:dyDescent="0.15">
      <c r="A825" s="1">
        <v>824</v>
      </c>
      <c r="B825" s="1">
        <v>102030400</v>
      </c>
      <c r="C825" s="1">
        <f t="shared" si="52"/>
        <v>7</v>
      </c>
      <c r="D825" s="5">
        <f ca="1">IF(getQuality(B825)&lt;4,getOtherMin(B825,C825,INDIRECT(J$2),INDIRECT(I825),test),getMin(B825,C825,INDIRECT(J$2),INDIRECT(I825),test))</f>
        <v>13.96296296296293</v>
      </c>
      <c r="E825" s="5">
        <f ca="1">IF(getQuality(B825)&lt;4,getOtherMax(B825,C825,INDIRECT(J$2),INDIRECT(I825),test),getMax(B825,C825,INDIRECT(J$2),INDIRECT(I825),test))</f>
        <v>19.444444444444393</v>
      </c>
      <c r="F825" s="1" t="str">
        <f t="shared" si="50"/>
        <v>50</v>
      </c>
      <c r="G825" s="1" t="str">
        <f t="shared" si="51"/>
        <v/>
      </c>
      <c r="I825" s="1" t="str">
        <f t="shared" si="49"/>
        <v>威尔新数值1.06.xlsm!suitPower</v>
      </c>
    </row>
    <row r="826" spans="1:9" x14ac:dyDescent="0.15">
      <c r="A826" s="1">
        <v>825</v>
      </c>
      <c r="B826" s="1">
        <v>102030400</v>
      </c>
      <c r="C826" s="1">
        <f t="shared" si="52"/>
        <v>8</v>
      </c>
      <c r="D826" s="5">
        <f ca="1">IF(getQuality(B826)&lt;4,getOtherMin(B826,C826,INDIRECT(J$2),INDIRECT(I826),test),getMin(B826,C826,INDIRECT(J$2),INDIRECT(I826),test))</f>
        <v>30.166666666666668</v>
      </c>
      <c r="E826" s="5">
        <f ca="1">IF(getQuality(B826)&lt;4,getOtherMax(B826,C826,INDIRECT(J$2),INDIRECT(I826),test),getMax(B826,C826,INDIRECT(J$2),INDIRECT(I826),test))</f>
        <v>43.75</v>
      </c>
      <c r="F826" s="1" t="str">
        <f t="shared" si="50"/>
        <v>50</v>
      </c>
      <c r="G826" s="1" t="str">
        <f t="shared" si="51"/>
        <v/>
      </c>
      <c r="I826" s="1" t="str">
        <f t="shared" si="49"/>
        <v>威尔新数值1.06.xlsm!suitPower</v>
      </c>
    </row>
    <row r="827" spans="1:9" x14ac:dyDescent="0.15">
      <c r="A827" s="1">
        <v>826</v>
      </c>
      <c r="B827" s="1">
        <v>102030400</v>
      </c>
      <c r="C827" s="1">
        <f t="shared" si="52"/>
        <v>9</v>
      </c>
      <c r="D827" s="5">
        <f ca="1">IF(getQuality(B827)&lt;4,getOtherMin(B827,C827,INDIRECT(J$2),INDIRECT(I827),test),getMin(B827,C827,INDIRECT(J$2),INDIRECT(I827),test))</f>
        <v>47.219010783550694</v>
      </c>
      <c r="E827" s="5">
        <f ca="1">IF(getQuality(B827)&lt;4,getOtherMax(B827,C827,INDIRECT(J$2),INDIRECT(I827),test),getMax(B827,C827,INDIRECT(J$2),INDIRECT(I827),test))</f>
        <v>75.631108554901132</v>
      </c>
      <c r="F827" s="1" t="str">
        <f t="shared" si="50"/>
        <v>50</v>
      </c>
      <c r="G827" s="1" t="str">
        <f t="shared" si="51"/>
        <v/>
      </c>
      <c r="I827" s="1" t="str">
        <f t="shared" si="49"/>
        <v>威尔新数值1.06.xlsm!suitPower</v>
      </c>
    </row>
    <row r="828" spans="1:9" x14ac:dyDescent="0.15">
      <c r="A828" s="1">
        <v>827</v>
      </c>
      <c r="B828" s="1">
        <v>102030400</v>
      </c>
      <c r="C828" s="1">
        <f t="shared" si="52"/>
        <v>10</v>
      </c>
      <c r="D828" s="5">
        <f ca="1">IF(getQuality(B828)&lt;4,getOtherMin(B828,C828,INDIRECT(J$2),INDIRECT(I828),test),getMin(B828,C828,INDIRECT(J$2),INDIRECT(I828),test))</f>
        <v>47.219010783550694</v>
      </c>
      <c r="E828" s="5">
        <f ca="1">IF(getQuality(B828)&lt;4,getOtherMax(B828,C828,INDIRECT(J$2),INDIRECT(I828),test),getMax(B828,C828,INDIRECT(J$2),INDIRECT(I828),test))</f>
        <v>75.631108554901132</v>
      </c>
      <c r="F828" s="1" t="str">
        <f t="shared" si="50"/>
        <v>50</v>
      </c>
      <c r="G828" s="1" t="str">
        <f t="shared" si="51"/>
        <v/>
      </c>
      <c r="I828" s="1" t="str">
        <f t="shared" si="49"/>
        <v>威尔新数值1.06.xlsm!suitPower</v>
      </c>
    </row>
    <row r="829" spans="1:9" x14ac:dyDescent="0.15">
      <c r="A829" s="1">
        <v>828</v>
      </c>
      <c r="B829" s="1">
        <v>102030400</v>
      </c>
      <c r="C829" s="1">
        <f t="shared" si="52"/>
        <v>11</v>
      </c>
      <c r="D829" s="5">
        <f ca="1">IF(getQuality(B829)&lt;4,getOtherMin(B829,C829,INDIRECT(J$2),INDIRECT(I829),test),getMin(B829,C829,INDIRECT(J$2),INDIRECT(I829),test))</f>
        <v>47.219010783550694</v>
      </c>
      <c r="E829" s="5">
        <f ca="1">IF(getQuality(B829)&lt;4,getOtherMax(B829,C829,INDIRECT(J$2),INDIRECT(I829),test),getMax(B829,C829,INDIRECT(J$2),INDIRECT(I829),test))</f>
        <v>75.631108554901132</v>
      </c>
      <c r="F829" s="1" t="str">
        <f t="shared" si="50"/>
        <v>50</v>
      </c>
      <c r="G829" s="1" t="str">
        <f t="shared" si="51"/>
        <v/>
      </c>
      <c r="I829" s="1" t="str">
        <f t="shared" si="49"/>
        <v>威尔新数值1.06.xlsm!suitPower</v>
      </c>
    </row>
    <row r="830" spans="1:9" x14ac:dyDescent="0.15">
      <c r="A830" s="1">
        <v>829</v>
      </c>
      <c r="B830" s="1">
        <v>102030400</v>
      </c>
      <c r="C830" s="1">
        <f t="shared" si="52"/>
        <v>12</v>
      </c>
      <c r="D830" s="5">
        <f ca="1">IF(getQuality(B830)&lt;4,getOtherMin(B830,C830,INDIRECT(J$2),INDIRECT(I830),test),getMin(B830,C830,INDIRECT(J$2),INDIRECT(I830),test))</f>
        <v>47.219010783550694</v>
      </c>
      <c r="E830" s="5">
        <f ca="1">IF(getQuality(B830)&lt;4,getOtherMax(B830,C830,INDIRECT(J$2),INDIRECT(I830),test),getMax(B830,C830,INDIRECT(J$2),INDIRECT(I830),test))</f>
        <v>75.631108554901132</v>
      </c>
      <c r="F830" s="1" t="str">
        <f t="shared" si="50"/>
        <v>50</v>
      </c>
      <c r="G830" s="1" t="str">
        <f t="shared" si="51"/>
        <v/>
      </c>
      <c r="I830" s="1" t="str">
        <f t="shared" si="49"/>
        <v>威尔新数值1.06.xlsm!suitPower</v>
      </c>
    </row>
    <row r="831" spans="1:9" x14ac:dyDescent="0.15">
      <c r="A831" s="1">
        <v>830</v>
      </c>
      <c r="B831" s="1">
        <v>102030400</v>
      </c>
      <c r="C831" s="1">
        <f t="shared" si="52"/>
        <v>13</v>
      </c>
      <c r="D831" s="5">
        <f ca="1">IF(getQuality(B831)&lt;4,getOtherMin(B831,C831,INDIRECT(J$2),INDIRECT(I831),test),getMin(B831,C831,INDIRECT(J$2),INDIRECT(I831),test))</f>
        <v>47.219010783550694</v>
      </c>
      <c r="E831" s="5">
        <f ca="1">IF(getQuality(B831)&lt;4,getOtherMax(B831,C831,INDIRECT(J$2),INDIRECT(I831),test),getMax(B831,C831,INDIRECT(J$2),INDIRECT(I831),test))</f>
        <v>75.631108554901132</v>
      </c>
      <c r="F831" s="1" t="str">
        <f t="shared" si="50"/>
        <v>50</v>
      </c>
      <c r="G831" s="1" t="str">
        <f t="shared" si="51"/>
        <v/>
      </c>
      <c r="I831" s="1" t="str">
        <f t="shared" si="49"/>
        <v>威尔新数值1.06.xlsm!suitPower</v>
      </c>
    </row>
    <row r="832" spans="1:9" x14ac:dyDescent="0.15">
      <c r="A832" s="1">
        <v>831</v>
      </c>
      <c r="B832" s="1">
        <v>102030400</v>
      </c>
      <c r="C832" s="1">
        <f t="shared" si="52"/>
        <v>14</v>
      </c>
      <c r="D832" s="5">
        <f ca="1">IF(getQuality(B832)&lt;4,getOtherMin(B832,C832,INDIRECT(J$2),INDIRECT(I832),test),getMin(B832,C832,INDIRECT(J$2),INDIRECT(I832),test))</f>
        <v>47.219010783550694</v>
      </c>
      <c r="E832" s="5">
        <f ca="1">IF(getQuality(B832)&lt;4,getOtherMax(B832,C832,INDIRECT(J$2),INDIRECT(I832),test),getMax(B832,C832,INDIRECT(J$2),INDIRECT(I832),test))</f>
        <v>75.631108554901132</v>
      </c>
      <c r="F832" s="1" t="str">
        <f t="shared" si="50"/>
        <v>50</v>
      </c>
      <c r="G832" s="1" t="str">
        <f t="shared" si="51"/>
        <v/>
      </c>
      <c r="I832" s="1" t="str">
        <f t="shared" si="49"/>
        <v>威尔新数值1.06.xlsm!suitPower</v>
      </c>
    </row>
    <row r="833" spans="1:9" x14ac:dyDescent="0.15">
      <c r="A833" s="1">
        <v>832</v>
      </c>
      <c r="B833" s="1">
        <v>102030400</v>
      </c>
      <c r="C833" s="1">
        <f t="shared" si="52"/>
        <v>15</v>
      </c>
      <c r="D833" s="5">
        <f ca="1">IF(getQuality(B833)&lt;4,getOtherMin(B833,C833,INDIRECT(J$2),INDIRECT(I833),test),getMin(B833,C833,INDIRECT(J$2),INDIRECT(I833),test))</f>
        <v>47.219010783550694</v>
      </c>
      <c r="E833" s="5">
        <f ca="1">IF(getQuality(B833)&lt;4,getOtherMax(B833,C833,INDIRECT(J$2),INDIRECT(I833),test),getMax(B833,C833,INDIRECT(J$2),INDIRECT(I833),test))</f>
        <v>75.631108554901132</v>
      </c>
      <c r="F833" s="1" t="str">
        <f t="shared" si="50"/>
        <v>50</v>
      </c>
      <c r="G833" s="1" t="str">
        <f t="shared" si="51"/>
        <v/>
      </c>
      <c r="I833" s="1" t="str">
        <f t="shared" si="49"/>
        <v>威尔新数值1.06.xlsm!suitPower</v>
      </c>
    </row>
    <row r="834" spans="1:9" x14ac:dyDescent="0.15">
      <c r="A834" s="1">
        <v>833</v>
      </c>
      <c r="B834" s="1">
        <v>102030400</v>
      </c>
      <c r="C834" s="1">
        <f t="shared" si="52"/>
        <v>101</v>
      </c>
      <c r="D834" s="5">
        <f ca="1">IF(getQuality(B834)&lt;4,getOtherMin(B834,C834,INDIRECT(J$2),INDIRECT(I834),test),getMin(B834,C834,INDIRECT(J$2),INDIRECT(I834),test))</f>
        <v>0.08</v>
      </c>
      <c r="E834" s="5">
        <f ca="1">IF(getQuality(B834)&lt;4,getOtherMax(B834,C834,INDIRECT(J$2),INDIRECT(I834),test),getMax(B834,C834,INDIRECT(J$2),INDIRECT(I834),test))</f>
        <v>0.11</v>
      </c>
      <c r="F834" s="1" t="str">
        <f t="shared" si="50"/>
        <v>50</v>
      </c>
      <c r="G834" s="1" t="str">
        <f t="shared" si="51"/>
        <v/>
      </c>
      <c r="I834" s="1" t="str">
        <f t="shared" ref="I834:I897" si="53">IF(C834&lt;100,VLOOKUP(C834,test,3,FALSE),VLOOKUP(C834,test1,3,FALSE))</f>
        <v>威尔新数值1.06.xlsm!circlePer</v>
      </c>
    </row>
    <row r="835" spans="1:9" x14ac:dyDescent="0.15">
      <c r="A835" s="1">
        <v>834</v>
      </c>
      <c r="B835" s="1">
        <v>102030400</v>
      </c>
      <c r="C835" s="1">
        <f t="shared" si="52"/>
        <v>102</v>
      </c>
      <c r="D835" s="5">
        <f ca="1">IF(getQuality(B835)&lt;4,getOtherMin(B835,C835,INDIRECT(J$2),INDIRECT(I835),test),getMin(B835,C835,INDIRECT(J$2),INDIRECT(I835),test))</f>
        <v>0.6</v>
      </c>
      <c r="E835" s="5">
        <f ca="1">IF(getQuality(B835)&lt;4,getOtherMax(B835,C835,INDIRECT(J$2),INDIRECT(I835),test),getMax(B835,C835,INDIRECT(J$2),INDIRECT(I835),test))</f>
        <v>1</v>
      </c>
      <c r="F835" s="1" t="str">
        <f t="shared" ref="F835:F898" si="54">getper(B835,C835)</f>
        <v>50</v>
      </c>
      <c r="G835" s="1" t="str">
        <f t="shared" ref="G835:G898" si="55">getMust(B835,C835)</f>
        <v/>
      </c>
      <c r="I835" s="1" t="str">
        <f t="shared" si="53"/>
        <v>威尔新数值1.06.xlsm!circleValue</v>
      </c>
    </row>
    <row r="836" spans="1:9" x14ac:dyDescent="0.15">
      <c r="A836" s="1">
        <v>835</v>
      </c>
      <c r="B836" s="1">
        <v>102030400</v>
      </c>
      <c r="C836" s="1">
        <f t="shared" si="52"/>
        <v>103</v>
      </c>
      <c r="D836" s="5">
        <f ca="1">IF(getQuality(B836)&lt;4,getOtherMin(B836,C836,INDIRECT(J$2),INDIRECT(I836),test),getMin(B836,C836,INDIRECT(J$2),INDIRECT(I836),test))</f>
        <v>0.08</v>
      </c>
      <c r="E836" s="5">
        <f ca="1">IF(getQuality(B836)&lt;4,getOtherMax(B836,C836,INDIRECT(J$2),INDIRECT(I836),test),getMax(B836,C836,INDIRECT(J$2),INDIRECT(I836),test))</f>
        <v>0.11</v>
      </c>
      <c r="F836" s="1" t="str">
        <f t="shared" si="54"/>
        <v>50</v>
      </c>
      <c r="G836" s="1" t="str">
        <f t="shared" si="55"/>
        <v/>
      </c>
      <c r="I836" s="1" t="str">
        <f t="shared" si="53"/>
        <v>威尔新数值1.06.xlsm!otherDamage</v>
      </c>
    </row>
    <row r="837" spans="1:9" x14ac:dyDescent="0.15">
      <c r="A837" s="1">
        <v>836</v>
      </c>
      <c r="B837" s="1">
        <v>102030400</v>
      </c>
      <c r="C837" s="1">
        <f t="shared" si="52"/>
        <v>104</v>
      </c>
      <c r="D837" s="5">
        <f ca="1">IF(getQuality(B837)&lt;4,getOtherMin(B837,C837,INDIRECT(J$2),INDIRECT(I837),test),getMin(B837,C837,INDIRECT(J$2),INDIRECT(I837),test))</f>
        <v>0.08</v>
      </c>
      <c r="E837" s="5">
        <f ca="1">IF(getQuality(B837)&lt;4,getOtherMax(B837,C837,INDIRECT(J$2),INDIRECT(I837),test),getMax(B837,C837,INDIRECT(J$2),INDIRECT(I837),test))</f>
        <v>0.16</v>
      </c>
      <c r="F837" s="1" t="str">
        <f t="shared" si="54"/>
        <v>50</v>
      </c>
      <c r="G837" s="1" t="str">
        <f t="shared" si="55"/>
        <v/>
      </c>
      <c r="I837" s="1" t="str">
        <f t="shared" si="53"/>
        <v>威尔新数值1.06.xlsm!monsterDamage</v>
      </c>
    </row>
    <row r="838" spans="1:9" x14ac:dyDescent="0.15">
      <c r="A838" s="1">
        <v>837</v>
      </c>
      <c r="B838" s="1">
        <v>102030400</v>
      </c>
      <c r="C838" s="1">
        <f t="shared" si="52"/>
        <v>105</v>
      </c>
      <c r="D838" s="5">
        <f ca="1">IF(getQuality(B838)&lt;4,getOtherMin(B838,C838,INDIRECT(J$2),INDIRECT(I838),test),getMin(B838,C838,INDIRECT(J$2),INDIRECT(I838),test))</f>
        <v>0.08</v>
      </c>
      <c r="E838" s="5">
        <f ca="1">IF(getQuality(B838)&lt;4,getOtherMax(B838,C838,INDIRECT(J$2),INDIRECT(I838),test),getMax(B838,C838,INDIRECT(J$2),INDIRECT(I838),test))</f>
        <v>0.16</v>
      </c>
      <c r="F838" s="1" t="str">
        <f t="shared" si="54"/>
        <v>50</v>
      </c>
      <c r="G838" s="1" t="str">
        <f t="shared" si="55"/>
        <v/>
      </c>
      <c r="I838" s="1" t="str">
        <f t="shared" si="53"/>
        <v>威尔新数值1.06.xlsm!monsterDamage</v>
      </c>
    </row>
    <row r="839" spans="1:9" x14ac:dyDescent="0.15">
      <c r="A839" s="1">
        <v>838</v>
      </c>
      <c r="B839" s="1">
        <v>102030400</v>
      </c>
      <c r="C839" s="1">
        <f t="shared" si="52"/>
        <v>106</v>
      </c>
      <c r="D839" s="5">
        <f ca="1">IF(getQuality(B839)&lt;4,getOtherMin(B839,C839,INDIRECT(J$2),INDIRECT(I839),test),getMin(B839,C839,INDIRECT(J$2),INDIRECT(I839),test))</f>
        <v>0.08</v>
      </c>
      <c r="E839" s="5">
        <f ca="1">IF(getQuality(B839)&lt;4,getOtherMax(B839,C839,INDIRECT(J$2),INDIRECT(I839),test),getMax(B839,C839,INDIRECT(J$2),INDIRECT(I839),test))</f>
        <v>0.16</v>
      </c>
      <c r="F839" s="1" t="str">
        <f t="shared" si="54"/>
        <v>50</v>
      </c>
      <c r="G839" s="1" t="str">
        <f t="shared" si="55"/>
        <v/>
      </c>
      <c r="I839" s="1" t="str">
        <f t="shared" si="53"/>
        <v>威尔新数值1.06.xlsm!monsterDamage</v>
      </c>
    </row>
    <row r="840" spans="1:9" x14ac:dyDescent="0.15">
      <c r="A840" s="1">
        <v>839</v>
      </c>
      <c r="B840" s="1">
        <v>102030400</v>
      </c>
      <c r="C840" s="1">
        <f t="shared" si="52"/>
        <v>107</v>
      </c>
      <c r="D840" s="5">
        <f ca="1">IF(getQuality(B840)&lt;4,getOtherMin(B840,C840,INDIRECT(J$2),INDIRECT(I840),test),getMin(B840,C840,INDIRECT(J$2),INDIRECT(I840),test))</f>
        <v>0.08</v>
      </c>
      <c r="E840" s="5">
        <f ca="1">IF(getQuality(B840)&lt;4,getOtherMax(B840,C840,INDIRECT(J$2),INDIRECT(I840),test),getMax(B840,C840,INDIRECT(J$2),INDIRECT(I840),test))</f>
        <v>0.16</v>
      </c>
      <c r="F840" s="1" t="str">
        <f t="shared" si="54"/>
        <v>50</v>
      </c>
      <c r="G840" s="1" t="str">
        <f t="shared" si="55"/>
        <v/>
      </c>
      <c r="I840" s="1" t="str">
        <f t="shared" si="53"/>
        <v>威尔新数值1.06.xlsm!monsterDamage</v>
      </c>
    </row>
    <row r="841" spans="1:9" x14ac:dyDescent="0.15">
      <c r="A841" s="1">
        <v>840</v>
      </c>
      <c r="B841" s="1">
        <v>102030400</v>
      </c>
      <c r="C841" s="1">
        <f t="shared" si="52"/>
        <v>108</v>
      </c>
      <c r="D841" s="5">
        <f ca="1">IF(getQuality(B841)&lt;4,getOtherMin(B841,C841,INDIRECT(J$2),INDIRECT(I841),test),getMin(B841,C841,INDIRECT(J$2),INDIRECT(I841),test))</f>
        <v>0.08</v>
      </c>
      <c r="E841" s="5">
        <f ca="1">IF(getQuality(B841)&lt;4,getOtherMax(B841,C841,INDIRECT(J$2),INDIRECT(I841),test),getMax(B841,C841,INDIRECT(J$2),INDIRECT(I841),test))</f>
        <v>0.16</v>
      </c>
      <c r="F841" s="1" t="str">
        <f t="shared" si="54"/>
        <v>50</v>
      </c>
      <c r="G841" s="1" t="str">
        <f t="shared" si="55"/>
        <v/>
      </c>
      <c r="I841" s="1" t="str">
        <f t="shared" si="53"/>
        <v>威尔新数值1.06.xlsm!monsterDamage</v>
      </c>
    </row>
    <row r="842" spans="1:9" x14ac:dyDescent="0.15">
      <c r="A842" s="1">
        <v>841</v>
      </c>
      <c r="B842" s="1">
        <v>102040400</v>
      </c>
      <c r="C842" s="1">
        <f t="shared" si="52"/>
        <v>3</v>
      </c>
      <c r="D842" s="5">
        <f ca="1">IF(getQuality(B842)&lt;4,getOtherMin(B842,C842,INDIRECT(J$2),INDIRECT(I842),test),getMin(B842,C842,INDIRECT(J$2),INDIRECT(I842),test))</f>
        <v>76.631108554901132</v>
      </c>
      <c r="E842" s="5">
        <f ca="1">IF(getQuality(B842)&lt;4,getOtherMax(B842,C842,INDIRECT(J$2),INDIRECT(I842),test),getMax(B842,C842,INDIRECT(J$2),INDIRECT(I842),test))</f>
        <v>109.24493457930163</v>
      </c>
      <c r="F842" s="1" t="str">
        <f t="shared" si="54"/>
        <v>50</v>
      </c>
      <c r="G842" s="1" t="str">
        <f t="shared" si="55"/>
        <v/>
      </c>
      <c r="I842" s="1" t="str">
        <f t="shared" si="53"/>
        <v>威尔新数值1.06.xlsm!suitPower</v>
      </c>
    </row>
    <row r="843" spans="1:9" x14ac:dyDescent="0.15">
      <c r="A843" s="1">
        <v>842</v>
      </c>
      <c r="B843" s="1">
        <v>102040400</v>
      </c>
      <c r="C843" s="1">
        <f t="shared" si="52"/>
        <v>5</v>
      </c>
      <c r="D843" s="5">
        <f ca="1">IF(getQuality(B843)&lt;4,getOtherMin(B843,C843,INDIRECT(J$2),INDIRECT(I843),test),getMin(B843,C843,INDIRECT(J$2),INDIRECT(I843),test))</f>
        <v>76.631108554901132</v>
      </c>
      <c r="E843" s="5">
        <f ca="1">IF(getQuality(B843)&lt;4,getOtherMax(B843,C843,INDIRECT(J$2),INDIRECT(I843),test),getMax(B843,C843,INDIRECT(J$2),INDIRECT(I843),test))</f>
        <v>109.24493457930163</v>
      </c>
      <c r="F843" s="1" t="str">
        <f t="shared" si="54"/>
        <v>50</v>
      </c>
      <c r="G843" s="1" t="str">
        <f t="shared" si="55"/>
        <v>1</v>
      </c>
      <c r="I843" s="1" t="str">
        <f t="shared" si="53"/>
        <v>威尔新数值1.06.xlsm!suitPower</v>
      </c>
    </row>
    <row r="844" spans="1:9" x14ac:dyDescent="0.15">
      <c r="A844" s="1">
        <v>843</v>
      </c>
      <c r="B844" s="1">
        <v>102040400</v>
      </c>
      <c r="C844" s="1">
        <f t="shared" si="52"/>
        <v>7</v>
      </c>
      <c r="D844" s="5">
        <f ca="1">IF(getQuality(B844)&lt;4,getOtherMin(B844,C844,INDIRECT(J$2),INDIRECT(I844),test),getMin(B844,C844,INDIRECT(J$2),INDIRECT(I844),test))</f>
        <v>20.444444444444393</v>
      </c>
      <c r="E844" s="5">
        <f ca="1">IF(getQuality(B844)&lt;4,getOtherMax(B844,C844,INDIRECT(J$2),INDIRECT(I844),test),getMax(B844,C844,INDIRECT(J$2),INDIRECT(I844),test))</f>
        <v>25.92592592592586</v>
      </c>
      <c r="F844" s="1" t="str">
        <f t="shared" si="54"/>
        <v>50</v>
      </c>
      <c r="G844" s="1" t="str">
        <f t="shared" si="55"/>
        <v/>
      </c>
      <c r="I844" s="1" t="str">
        <f t="shared" si="53"/>
        <v>威尔新数值1.06.xlsm!suitPower</v>
      </c>
    </row>
    <row r="845" spans="1:9" x14ac:dyDescent="0.15">
      <c r="A845" s="1">
        <v>844</v>
      </c>
      <c r="B845" s="1">
        <v>102040400</v>
      </c>
      <c r="C845" s="1">
        <f t="shared" si="52"/>
        <v>8</v>
      </c>
      <c r="D845" s="5">
        <f ca="1">IF(getQuality(B845)&lt;4,getOtherMin(B845,C845,INDIRECT(J$2),INDIRECT(I845),test),getMin(B845,C845,INDIRECT(J$2),INDIRECT(I845),test))</f>
        <v>44.75</v>
      </c>
      <c r="E845" s="5">
        <f ca="1">IF(getQuality(B845)&lt;4,getOtherMax(B845,C845,INDIRECT(J$2),INDIRECT(I845),test),getMax(B845,C845,INDIRECT(J$2),INDIRECT(I845),test))</f>
        <v>58.333333333333336</v>
      </c>
      <c r="F845" s="1" t="str">
        <f t="shared" si="54"/>
        <v>50</v>
      </c>
      <c r="G845" s="1" t="str">
        <f t="shared" si="55"/>
        <v/>
      </c>
      <c r="I845" s="1" t="str">
        <f t="shared" si="53"/>
        <v>威尔新数值1.06.xlsm!suitPower</v>
      </c>
    </row>
    <row r="846" spans="1:9" x14ac:dyDescent="0.15">
      <c r="A846" s="1">
        <v>845</v>
      </c>
      <c r="B846" s="1">
        <v>102040400</v>
      </c>
      <c r="C846" s="1">
        <f t="shared" si="52"/>
        <v>9</v>
      </c>
      <c r="D846" s="5">
        <f ca="1">IF(getQuality(B846)&lt;4,getOtherMin(B846,C846,INDIRECT(J$2),INDIRECT(I846),test),getMin(B846,C846,INDIRECT(J$2),INDIRECT(I846),test))</f>
        <v>76.631108554901132</v>
      </c>
      <c r="E846" s="5">
        <f ca="1">IF(getQuality(B846)&lt;4,getOtherMax(B846,C846,INDIRECT(J$2),INDIRECT(I846),test),getMax(B846,C846,INDIRECT(J$2),INDIRECT(I846),test))</f>
        <v>109.24493457930163</v>
      </c>
      <c r="F846" s="1" t="str">
        <f t="shared" si="54"/>
        <v>50</v>
      </c>
      <c r="G846" s="1" t="str">
        <f t="shared" si="55"/>
        <v/>
      </c>
      <c r="I846" s="1" t="str">
        <f t="shared" si="53"/>
        <v>威尔新数值1.06.xlsm!suitPower</v>
      </c>
    </row>
    <row r="847" spans="1:9" x14ac:dyDescent="0.15">
      <c r="A847" s="1">
        <v>846</v>
      </c>
      <c r="B847" s="1">
        <v>102040400</v>
      </c>
      <c r="C847" s="1">
        <f t="shared" si="52"/>
        <v>10</v>
      </c>
      <c r="D847" s="5">
        <f ca="1">IF(getQuality(B847)&lt;4,getOtherMin(B847,C847,INDIRECT(J$2),INDIRECT(I847),test),getMin(B847,C847,INDIRECT(J$2),INDIRECT(I847),test))</f>
        <v>76.631108554901132</v>
      </c>
      <c r="E847" s="5">
        <f ca="1">IF(getQuality(B847)&lt;4,getOtherMax(B847,C847,INDIRECT(J$2),INDIRECT(I847),test),getMax(B847,C847,INDIRECT(J$2),INDIRECT(I847),test))</f>
        <v>109.24493457930163</v>
      </c>
      <c r="F847" s="1" t="str">
        <f t="shared" si="54"/>
        <v>50</v>
      </c>
      <c r="G847" s="1" t="str">
        <f t="shared" si="55"/>
        <v/>
      </c>
      <c r="I847" s="1" t="str">
        <f t="shared" si="53"/>
        <v>威尔新数值1.06.xlsm!suitPower</v>
      </c>
    </row>
    <row r="848" spans="1:9" x14ac:dyDescent="0.15">
      <c r="A848" s="1">
        <v>847</v>
      </c>
      <c r="B848" s="1">
        <v>102040400</v>
      </c>
      <c r="C848" s="1">
        <f t="shared" si="52"/>
        <v>11</v>
      </c>
      <c r="D848" s="5">
        <f ca="1">IF(getQuality(B848)&lt;4,getOtherMin(B848,C848,INDIRECT(J$2),INDIRECT(I848),test),getMin(B848,C848,INDIRECT(J$2),INDIRECT(I848),test))</f>
        <v>76.631108554901132</v>
      </c>
      <c r="E848" s="5">
        <f ca="1">IF(getQuality(B848)&lt;4,getOtherMax(B848,C848,INDIRECT(J$2),INDIRECT(I848),test),getMax(B848,C848,INDIRECT(J$2),INDIRECT(I848),test))</f>
        <v>109.24493457930163</v>
      </c>
      <c r="F848" s="1" t="str">
        <f t="shared" si="54"/>
        <v>50</v>
      </c>
      <c r="G848" s="1" t="str">
        <f t="shared" si="55"/>
        <v/>
      </c>
      <c r="I848" s="1" t="str">
        <f t="shared" si="53"/>
        <v>威尔新数值1.06.xlsm!suitPower</v>
      </c>
    </row>
    <row r="849" spans="1:9" x14ac:dyDescent="0.15">
      <c r="A849" s="1">
        <v>848</v>
      </c>
      <c r="B849" s="1">
        <v>102040400</v>
      </c>
      <c r="C849" s="1">
        <f t="shared" si="52"/>
        <v>12</v>
      </c>
      <c r="D849" s="5">
        <f ca="1">IF(getQuality(B849)&lt;4,getOtherMin(B849,C849,INDIRECT(J$2),INDIRECT(I849),test),getMin(B849,C849,INDIRECT(J$2),INDIRECT(I849),test))</f>
        <v>76.631108554901132</v>
      </c>
      <c r="E849" s="5">
        <f ca="1">IF(getQuality(B849)&lt;4,getOtherMax(B849,C849,INDIRECT(J$2),INDIRECT(I849),test),getMax(B849,C849,INDIRECT(J$2),INDIRECT(I849),test))</f>
        <v>109.24493457930163</v>
      </c>
      <c r="F849" s="1" t="str">
        <f t="shared" si="54"/>
        <v>50</v>
      </c>
      <c r="G849" s="1" t="str">
        <f t="shared" si="55"/>
        <v/>
      </c>
      <c r="I849" s="1" t="str">
        <f t="shared" si="53"/>
        <v>威尔新数值1.06.xlsm!suitPower</v>
      </c>
    </row>
    <row r="850" spans="1:9" x14ac:dyDescent="0.15">
      <c r="A850" s="1">
        <v>849</v>
      </c>
      <c r="B850" s="1">
        <v>102040400</v>
      </c>
      <c r="C850" s="1">
        <f t="shared" si="52"/>
        <v>13</v>
      </c>
      <c r="D850" s="5">
        <f ca="1">IF(getQuality(B850)&lt;4,getOtherMin(B850,C850,INDIRECT(J$2),INDIRECT(I850),test),getMin(B850,C850,INDIRECT(J$2),INDIRECT(I850),test))</f>
        <v>76.631108554901132</v>
      </c>
      <c r="E850" s="5">
        <f ca="1">IF(getQuality(B850)&lt;4,getOtherMax(B850,C850,INDIRECT(J$2),INDIRECT(I850),test),getMax(B850,C850,INDIRECT(J$2),INDIRECT(I850),test))</f>
        <v>109.24493457930163</v>
      </c>
      <c r="F850" s="1" t="str">
        <f t="shared" si="54"/>
        <v>50</v>
      </c>
      <c r="G850" s="1" t="str">
        <f t="shared" si="55"/>
        <v/>
      </c>
      <c r="I850" s="1" t="str">
        <f t="shared" si="53"/>
        <v>威尔新数值1.06.xlsm!suitPower</v>
      </c>
    </row>
    <row r="851" spans="1:9" x14ac:dyDescent="0.15">
      <c r="A851" s="1">
        <v>850</v>
      </c>
      <c r="B851" s="1">
        <v>102040400</v>
      </c>
      <c r="C851" s="1">
        <f t="shared" si="52"/>
        <v>14</v>
      </c>
      <c r="D851" s="5">
        <f ca="1">IF(getQuality(B851)&lt;4,getOtherMin(B851,C851,INDIRECT(J$2),INDIRECT(I851),test),getMin(B851,C851,INDIRECT(J$2),INDIRECT(I851),test))</f>
        <v>76.631108554901132</v>
      </c>
      <c r="E851" s="5">
        <f ca="1">IF(getQuality(B851)&lt;4,getOtherMax(B851,C851,INDIRECT(J$2),INDIRECT(I851),test),getMax(B851,C851,INDIRECT(J$2),INDIRECT(I851),test))</f>
        <v>109.24493457930163</v>
      </c>
      <c r="F851" s="1" t="str">
        <f t="shared" si="54"/>
        <v>50</v>
      </c>
      <c r="G851" s="1" t="str">
        <f t="shared" si="55"/>
        <v/>
      </c>
      <c r="I851" s="1" t="str">
        <f t="shared" si="53"/>
        <v>威尔新数值1.06.xlsm!suitPower</v>
      </c>
    </row>
    <row r="852" spans="1:9" x14ac:dyDescent="0.15">
      <c r="A852" s="1">
        <v>851</v>
      </c>
      <c r="B852" s="1">
        <v>102040400</v>
      </c>
      <c r="C852" s="1">
        <f t="shared" si="52"/>
        <v>15</v>
      </c>
      <c r="D852" s="5">
        <f ca="1">IF(getQuality(B852)&lt;4,getOtherMin(B852,C852,INDIRECT(J$2),INDIRECT(I852),test),getMin(B852,C852,INDIRECT(J$2),INDIRECT(I852),test))</f>
        <v>76.631108554901132</v>
      </c>
      <c r="E852" s="5">
        <f ca="1">IF(getQuality(B852)&lt;4,getOtherMax(B852,C852,INDIRECT(J$2),INDIRECT(I852),test),getMax(B852,C852,INDIRECT(J$2),INDIRECT(I852),test))</f>
        <v>109.24493457930163</v>
      </c>
      <c r="F852" s="1" t="str">
        <f t="shared" si="54"/>
        <v>50</v>
      </c>
      <c r="G852" s="1" t="str">
        <f t="shared" si="55"/>
        <v/>
      </c>
      <c r="I852" s="1" t="str">
        <f t="shared" si="53"/>
        <v>威尔新数值1.06.xlsm!suitPower</v>
      </c>
    </row>
    <row r="853" spans="1:9" x14ac:dyDescent="0.15">
      <c r="A853" s="1">
        <v>852</v>
      </c>
      <c r="B853" s="1">
        <v>102040400</v>
      </c>
      <c r="C853" s="1">
        <f t="shared" si="52"/>
        <v>101</v>
      </c>
      <c r="D853" s="5">
        <f ca="1">IF(getQuality(B853)&lt;4,getOtherMin(B853,C853,INDIRECT(J$2),INDIRECT(I853),test),getMin(B853,C853,INDIRECT(J$2),INDIRECT(I853),test))</f>
        <v>0.09</v>
      </c>
      <c r="E853" s="5">
        <f ca="1">IF(getQuality(B853)&lt;4,getOtherMax(B853,C853,INDIRECT(J$2),INDIRECT(I853),test),getMax(B853,C853,INDIRECT(J$2),INDIRECT(I853),test))</f>
        <v>0.12</v>
      </c>
      <c r="F853" s="1" t="str">
        <f t="shared" si="54"/>
        <v>50</v>
      </c>
      <c r="G853" s="1" t="str">
        <f t="shared" si="55"/>
        <v/>
      </c>
      <c r="I853" s="1" t="str">
        <f t="shared" si="53"/>
        <v>威尔新数值1.06.xlsm!circlePer</v>
      </c>
    </row>
    <row r="854" spans="1:9" x14ac:dyDescent="0.15">
      <c r="A854" s="1">
        <v>853</v>
      </c>
      <c r="B854" s="1">
        <v>102040400</v>
      </c>
      <c r="C854" s="1">
        <f t="shared" si="52"/>
        <v>102</v>
      </c>
      <c r="D854" s="5">
        <f ca="1">IF(getQuality(B854)&lt;4,getOtherMin(B854,C854,INDIRECT(J$2),INDIRECT(I854),test),getMin(B854,C854,INDIRECT(J$2),INDIRECT(I854),test))</f>
        <v>0.7</v>
      </c>
      <c r="E854" s="5">
        <f ca="1">IF(getQuality(B854)&lt;4,getOtherMax(B854,C854,INDIRECT(J$2),INDIRECT(I854),test),getMax(B854,C854,INDIRECT(J$2),INDIRECT(I854),test))</f>
        <v>1.1000000000000001</v>
      </c>
      <c r="F854" s="1" t="str">
        <f t="shared" si="54"/>
        <v>50</v>
      </c>
      <c r="G854" s="1" t="str">
        <f t="shared" si="55"/>
        <v/>
      </c>
      <c r="I854" s="1" t="str">
        <f t="shared" si="53"/>
        <v>威尔新数值1.06.xlsm!circleValue</v>
      </c>
    </row>
    <row r="855" spans="1:9" x14ac:dyDescent="0.15">
      <c r="A855" s="1">
        <v>854</v>
      </c>
      <c r="B855" s="1">
        <v>102040400</v>
      </c>
      <c r="C855" s="1">
        <f t="shared" si="52"/>
        <v>103</v>
      </c>
      <c r="D855" s="5">
        <f ca="1">IF(getQuality(B855)&lt;4,getOtherMin(B855,C855,INDIRECT(J$2),INDIRECT(I855),test),getMin(B855,C855,INDIRECT(J$2),INDIRECT(I855),test))</f>
        <v>0.09</v>
      </c>
      <c r="E855" s="5">
        <f ca="1">IF(getQuality(B855)&lt;4,getOtherMax(B855,C855,INDIRECT(J$2),INDIRECT(I855),test),getMax(B855,C855,INDIRECT(J$2),INDIRECT(I855),test))</f>
        <v>0.12</v>
      </c>
      <c r="F855" s="1" t="str">
        <f t="shared" si="54"/>
        <v>50</v>
      </c>
      <c r="G855" s="1" t="str">
        <f t="shared" si="55"/>
        <v/>
      </c>
      <c r="I855" s="1" t="str">
        <f t="shared" si="53"/>
        <v>威尔新数值1.06.xlsm!otherDamage</v>
      </c>
    </row>
    <row r="856" spans="1:9" x14ac:dyDescent="0.15">
      <c r="A856" s="1">
        <v>855</v>
      </c>
      <c r="B856" s="1">
        <v>102040400</v>
      </c>
      <c r="C856" s="1">
        <f t="shared" si="52"/>
        <v>104</v>
      </c>
      <c r="D856" s="5">
        <f ca="1">IF(getQuality(B856)&lt;4,getOtherMin(B856,C856,INDIRECT(J$2),INDIRECT(I856),test),getMin(B856,C856,INDIRECT(J$2),INDIRECT(I856),test))</f>
        <v>0.09</v>
      </c>
      <c r="E856" s="5">
        <f ca="1">IF(getQuality(B856)&lt;4,getOtherMax(B856,C856,INDIRECT(J$2),INDIRECT(I856),test),getMax(B856,C856,INDIRECT(J$2),INDIRECT(I856),test))</f>
        <v>0.18</v>
      </c>
      <c r="F856" s="1" t="str">
        <f t="shared" si="54"/>
        <v>50</v>
      </c>
      <c r="G856" s="1" t="str">
        <f t="shared" si="55"/>
        <v/>
      </c>
      <c r="I856" s="1" t="str">
        <f t="shared" si="53"/>
        <v>威尔新数值1.06.xlsm!monsterDamage</v>
      </c>
    </row>
    <row r="857" spans="1:9" x14ac:dyDescent="0.15">
      <c r="A857" s="1">
        <v>856</v>
      </c>
      <c r="B857" s="1">
        <v>102040400</v>
      </c>
      <c r="C857" s="1">
        <f t="shared" si="52"/>
        <v>105</v>
      </c>
      <c r="D857" s="5">
        <f ca="1">IF(getQuality(B857)&lt;4,getOtherMin(B857,C857,INDIRECT(J$2),INDIRECT(I857),test),getMin(B857,C857,INDIRECT(J$2),INDIRECT(I857),test))</f>
        <v>0.09</v>
      </c>
      <c r="E857" s="5">
        <f ca="1">IF(getQuality(B857)&lt;4,getOtherMax(B857,C857,INDIRECT(J$2),INDIRECT(I857),test),getMax(B857,C857,INDIRECT(J$2),INDIRECT(I857),test))</f>
        <v>0.18</v>
      </c>
      <c r="F857" s="1" t="str">
        <f t="shared" si="54"/>
        <v>50</v>
      </c>
      <c r="G857" s="1" t="str">
        <f t="shared" si="55"/>
        <v/>
      </c>
      <c r="I857" s="1" t="str">
        <f t="shared" si="53"/>
        <v>威尔新数值1.06.xlsm!monsterDamage</v>
      </c>
    </row>
    <row r="858" spans="1:9" x14ac:dyDescent="0.15">
      <c r="A858" s="1">
        <v>857</v>
      </c>
      <c r="B858" s="1">
        <v>102040400</v>
      </c>
      <c r="C858" s="1">
        <f t="shared" si="52"/>
        <v>106</v>
      </c>
      <c r="D858" s="5">
        <f ca="1">IF(getQuality(B858)&lt;4,getOtherMin(B858,C858,INDIRECT(J$2),INDIRECT(I858),test),getMin(B858,C858,INDIRECT(J$2),INDIRECT(I858),test))</f>
        <v>0.09</v>
      </c>
      <c r="E858" s="5">
        <f ca="1">IF(getQuality(B858)&lt;4,getOtherMax(B858,C858,INDIRECT(J$2),INDIRECT(I858),test),getMax(B858,C858,INDIRECT(J$2),INDIRECT(I858),test))</f>
        <v>0.18</v>
      </c>
      <c r="F858" s="1" t="str">
        <f t="shared" si="54"/>
        <v>50</v>
      </c>
      <c r="G858" s="1" t="str">
        <f t="shared" si="55"/>
        <v/>
      </c>
      <c r="I858" s="1" t="str">
        <f t="shared" si="53"/>
        <v>威尔新数值1.06.xlsm!monsterDamage</v>
      </c>
    </row>
    <row r="859" spans="1:9" x14ac:dyDescent="0.15">
      <c r="A859" s="1">
        <v>858</v>
      </c>
      <c r="B859" s="1">
        <v>102040400</v>
      </c>
      <c r="C859" s="1">
        <f t="shared" si="52"/>
        <v>107</v>
      </c>
      <c r="D859" s="5">
        <f ca="1">IF(getQuality(B859)&lt;4,getOtherMin(B859,C859,INDIRECT(J$2),INDIRECT(I859),test),getMin(B859,C859,INDIRECT(J$2),INDIRECT(I859),test))</f>
        <v>0.09</v>
      </c>
      <c r="E859" s="5">
        <f ca="1">IF(getQuality(B859)&lt;4,getOtherMax(B859,C859,INDIRECT(J$2),INDIRECT(I859),test),getMax(B859,C859,INDIRECT(J$2),INDIRECT(I859),test))</f>
        <v>0.18</v>
      </c>
      <c r="F859" s="1" t="str">
        <f t="shared" si="54"/>
        <v>50</v>
      </c>
      <c r="G859" s="1" t="str">
        <f t="shared" si="55"/>
        <v/>
      </c>
      <c r="I859" s="1" t="str">
        <f t="shared" si="53"/>
        <v>威尔新数值1.06.xlsm!monsterDamage</v>
      </c>
    </row>
    <row r="860" spans="1:9" x14ac:dyDescent="0.15">
      <c r="A860" s="1">
        <v>859</v>
      </c>
      <c r="B860" s="1">
        <v>102040400</v>
      </c>
      <c r="C860" s="1">
        <f t="shared" si="52"/>
        <v>108</v>
      </c>
      <c r="D860" s="5">
        <f ca="1">IF(getQuality(B860)&lt;4,getOtherMin(B860,C860,INDIRECT(J$2),INDIRECT(I860),test),getMin(B860,C860,INDIRECT(J$2),INDIRECT(I860),test))</f>
        <v>0.09</v>
      </c>
      <c r="E860" s="5">
        <f ca="1">IF(getQuality(B860)&lt;4,getOtherMax(B860,C860,INDIRECT(J$2),INDIRECT(I860),test),getMax(B860,C860,INDIRECT(J$2),INDIRECT(I860),test))</f>
        <v>0.18</v>
      </c>
      <c r="F860" s="1" t="str">
        <f t="shared" si="54"/>
        <v>50</v>
      </c>
      <c r="G860" s="1" t="str">
        <f t="shared" si="55"/>
        <v/>
      </c>
      <c r="I860" s="1" t="str">
        <f t="shared" si="53"/>
        <v>威尔新数值1.06.xlsm!monsterDamage</v>
      </c>
    </row>
    <row r="861" spans="1:9" x14ac:dyDescent="0.15">
      <c r="A861" s="1">
        <v>860</v>
      </c>
      <c r="B861" s="1">
        <v>102050400</v>
      </c>
      <c r="C861" s="1">
        <f t="shared" si="52"/>
        <v>3</v>
      </c>
      <c r="D861" s="5">
        <f ca="1">IF(getQuality(B861)&lt;4,getOtherMin(B861,C861,INDIRECT(J$2),INDIRECT(I861),test),getMin(B861,C861,INDIRECT(J$2),INDIRECT(I861),test))</f>
        <v>110.24493457930163</v>
      </c>
      <c r="E861" s="5">
        <f ca="1">IF(getQuality(B861)&lt;4,getOtherMax(B861,C861,INDIRECT(J$2),INDIRECT(I861),test),getMax(B861,C861,INDIRECT(J$2),INDIRECT(I861),test))</f>
        <v>148.01542709608177</v>
      </c>
      <c r="F861" s="1" t="str">
        <f t="shared" si="54"/>
        <v>50</v>
      </c>
      <c r="G861" s="1" t="str">
        <f t="shared" si="55"/>
        <v/>
      </c>
      <c r="I861" s="1" t="str">
        <f t="shared" si="53"/>
        <v>威尔新数值1.06.xlsm!suitPower</v>
      </c>
    </row>
    <row r="862" spans="1:9" x14ac:dyDescent="0.15">
      <c r="A862" s="1">
        <v>861</v>
      </c>
      <c r="B862" s="1">
        <v>102050400</v>
      </c>
      <c r="C862" s="1">
        <f t="shared" si="52"/>
        <v>5</v>
      </c>
      <c r="D862" s="5">
        <f ca="1">IF(getQuality(B862)&lt;4,getOtherMin(B862,C862,INDIRECT(J$2),INDIRECT(I862),test),getMin(B862,C862,INDIRECT(J$2),INDIRECT(I862),test))</f>
        <v>110.24493457930163</v>
      </c>
      <c r="E862" s="5">
        <f ca="1">IF(getQuality(B862)&lt;4,getOtherMax(B862,C862,INDIRECT(J$2),INDIRECT(I862),test),getMax(B862,C862,INDIRECT(J$2),INDIRECT(I862),test))</f>
        <v>148.01542709608177</v>
      </c>
      <c r="F862" s="1" t="str">
        <f t="shared" si="54"/>
        <v>50</v>
      </c>
      <c r="G862" s="1" t="str">
        <f t="shared" si="55"/>
        <v>1</v>
      </c>
      <c r="I862" s="1" t="str">
        <f t="shared" si="53"/>
        <v>威尔新数值1.06.xlsm!suitPower</v>
      </c>
    </row>
    <row r="863" spans="1:9" x14ac:dyDescent="0.15">
      <c r="A863" s="1">
        <v>862</v>
      </c>
      <c r="B863" s="1">
        <v>102050400</v>
      </c>
      <c r="C863" s="1">
        <f t="shared" si="52"/>
        <v>7</v>
      </c>
      <c r="D863" s="5">
        <f ca="1">IF(getQuality(B863)&lt;4,getOtherMin(B863,C863,INDIRECT(J$2),INDIRECT(I863),test),getMin(B863,C863,INDIRECT(J$2),INDIRECT(I863),test))</f>
        <v>26.92592592592586</v>
      </c>
      <c r="E863" s="5">
        <f ca="1">IF(getQuality(B863)&lt;4,getOtherMax(B863,C863,INDIRECT(J$2),INDIRECT(I863),test),getMax(B863,C863,INDIRECT(J$2),INDIRECT(I863),test))</f>
        <v>32.407407407407327</v>
      </c>
      <c r="F863" s="1" t="str">
        <f t="shared" si="54"/>
        <v>50</v>
      </c>
      <c r="G863" s="1" t="str">
        <f t="shared" si="55"/>
        <v/>
      </c>
      <c r="I863" s="1" t="str">
        <f t="shared" si="53"/>
        <v>威尔新数值1.06.xlsm!suitPower</v>
      </c>
    </row>
    <row r="864" spans="1:9" x14ac:dyDescent="0.15">
      <c r="A864" s="1">
        <v>863</v>
      </c>
      <c r="B864" s="1">
        <v>102050400</v>
      </c>
      <c r="C864" s="1">
        <f t="shared" si="52"/>
        <v>8</v>
      </c>
      <c r="D864" s="5">
        <f ca="1">IF(getQuality(B864)&lt;4,getOtherMin(B864,C864,INDIRECT(J$2),INDIRECT(I864),test),getMin(B864,C864,INDIRECT(J$2),INDIRECT(I864),test))</f>
        <v>59.333333333333336</v>
      </c>
      <c r="E864" s="5">
        <f ca="1">IF(getQuality(B864)&lt;4,getOtherMax(B864,C864,INDIRECT(J$2),INDIRECT(I864),test),getMax(B864,C864,INDIRECT(J$2),INDIRECT(I864),test))</f>
        <v>72.916666666666671</v>
      </c>
      <c r="F864" s="1" t="str">
        <f t="shared" si="54"/>
        <v>50</v>
      </c>
      <c r="G864" s="1" t="str">
        <f t="shared" si="55"/>
        <v/>
      </c>
      <c r="I864" s="1" t="str">
        <f t="shared" si="53"/>
        <v>威尔新数值1.06.xlsm!suitPower</v>
      </c>
    </row>
    <row r="865" spans="1:9" x14ac:dyDescent="0.15">
      <c r="A865" s="1">
        <v>864</v>
      </c>
      <c r="B865" s="1">
        <v>102050400</v>
      </c>
      <c r="C865" s="1">
        <f t="shared" si="52"/>
        <v>9</v>
      </c>
      <c r="D865" s="5">
        <f ca="1">IF(getQuality(B865)&lt;4,getOtherMin(B865,C865,INDIRECT(J$2),INDIRECT(I865),test),getMin(B865,C865,INDIRECT(J$2),INDIRECT(I865),test))</f>
        <v>110.24493457930163</v>
      </c>
      <c r="E865" s="5">
        <f ca="1">IF(getQuality(B865)&lt;4,getOtherMax(B865,C865,INDIRECT(J$2),INDIRECT(I865),test),getMax(B865,C865,INDIRECT(J$2),INDIRECT(I865),test))</f>
        <v>148.01542709608177</v>
      </c>
      <c r="F865" s="1" t="str">
        <f t="shared" si="54"/>
        <v>50</v>
      </c>
      <c r="G865" s="1" t="str">
        <f t="shared" si="55"/>
        <v/>
      </c>
      <c r="I865" s="1" t="str">
        <f t="shared" si="53"/>
        <v>威尔新数值1.06.xlsm!suitPower</v>
      </c>
    </row>
    <row r="866" spans="1:9" x14ac:dyDescent="0.15">
      <c r="A866" s="1">
        <v>865</v>
      </c>
      <c r="B866" s="1">
        <v>102050400</v>
      </c>
      <c r="C866" s="1">
        <f t="shared" si="52"/>
        <v>10</v>
      </c>
      <c r="D866" s="5">
        <f ca="1">IF(getQuality(B866)&lt;4,getOtherMin(B866,C866,INDIRECT(J$2),INDIRECT(I866),test),getMin(B866,C866,INDIRECT(J$2),INDIRECT(I866),test))</f>
        <v>110.24493457930163</v>
      </c>
      <c r="E866" s="5">
        <f ca="1">IF(getQuality(B866)&lt;4,getOtherMax(B866,C866,INDIRECT(J$2),INDIRECT(I866),test),getMax(B866,C866,INDIRECT(J$2),INDIRECT(I866),test))</f>
        <v>148.01542709608177</v>
      </c>
      <c r="F866" s="1" t="str">
        <f t="shared" si="54"/>
        <v>50</v>
      </c>
      <c r="G866" s="1" t="str">
        <f t="shared" si="55"/>
        <v/>
      </c>
      <c r="I866" s="1" t="str">
        <f t="shared" si="53"/>
        <v>威尔新数值1.06.xlsm!suitPower</v>
      </c>
    </row>
    <row r="867" spans="1:9" x14ac:dyDescent="0.15">
      <c r="A867" s="1">
        <v>866</v>
      </c>
      <c r="B867" s="1">
        <v>102050400</v>
      </c>
      <c r="C867" s="1">
        <f t="shared" si="52"/>
        <v>11</v>
      </c>
      <c r="D867" s="5">
        <f ca="1">IF(getQuality(B867)&lt;4,getOtherMin(B867,C867,INDIRECT(J$2),INDIRECT(I867),test),getMin(B867,C867,INDIRECT(J$2),INDIRECT(I867),test))</f>
        <v>110.24493457930163</v>
      </c>
      <c r="E867" s="5">
        <f ca="1">IF(getQuality(B867)&lt;4,getOtherMax(B867,C867,INDIRECT(J$2),INDIRECT(I867),test),getMax(B867,C867,INDIRECT(J$2),INDIRECT(I867),test))</f>
        <v>148.01542709608177</v>
      </c>
      <c r="F867" s="1" t="str">
        <f t="shared" si="54"/>
        <v>50</v>
      </c>
      <c r="G867" s="1" t="str">
        <f t="shared" si="55"/>
        <v/>
      </c>
      <c r="I867" s="1" t="str">
        <f t="shared" si="53"/>
        <v>威尔新数值1.06.xlsm!suitPower</v>
      </c>
    </row>
    <row r="868" spans="1:9" x14ac:dyDescent="0.15">
      <c r="A868" s="1">
        <v>867</v>
      </c>
      <c r="B868" s="1">
        <v>102050400</v>
      </c>
      <c r="C868" s="1">
        <f t="shared" ref="C868:C931" si="56">C849</f>
        <v>12</v>
      </c>
      <c r="D868" s="5">
        <f ca="1">IF(getQuality(B868)&lt;4,getOtherMin(B868,C868,INDIRECT(J$2),INDIRECT(I868),test),getMin(B868,C868,INDIRECT(J$2),INDIRECT(I868),test))</f>
        <v>110.24493457930163</v>
      </c>
      <c r="E868" s="5">
        <f ca="1">IF(getQuality(B868)&lt;4,getOtherMax(B868,C868,INDIRECT(J$2),INDIRECT(I868),test),getMax(B868,C868,INDIRECT(J$2),INDIRECT(I868),test))</f>
        <v>148.01542709608177</v>
      </c>
      <c r="F868" s="1" t="str">
        <f t="shared" si="54"/>
        <v>50</v>
      </c>
      <c r="G868" s="1" t="str">
        <f t="shared" si="55"/>
        <v/>
      </c>
      <c r="I868" s="1" t="str">
        <f t="shared" si="53"/>
        <v>威尔新数值1.06.xlsm!suitPower</v>
      </c>
    </row>
    <row r="869" spans="1:9" x14ac:dyDescent="0.15">
      <c r="A869" s="1">
        <v>868</v>
      </c>
      <c r="B869" s="1">
        <v>102050400</v>
      </c>
      <c r="C869" s="1">
        <f t="shared" si="56"/>
        <v>13</v>
      </c>
      <c r="D869" s="5">
        <f ca="1">IF(getQuality(B869)&lt;4,getOtherMin(B869,C869,INDIRECT(J$2),INDIRECT(I869),test),getMin(B869,C869,INDIRECT(J$2),INDIRECT(I869),test))</f>
        <v>110.24493457930163</v>
      </c>
      <c r="E869" s="5">
        <f ca="1">IF(getQuality(B869)&lt;4,getOtherMax(B869,C869,INDIRECT(J$2),INDIRECT(I869),test),getMax(B869,C869,INDIRECT(J$2),INDIRECT(I869),test))</f>
        <v>148.01542709608177</v>
      </c>
      <c r="F869" s="1" t="str">
        <f t="shared" si="54"/>
        <v>50</v>
      </c>
      <c r="G869" s="1" t="str">
        <f t="shared" si="55"/>
        <v/>
      </c>
      <c r="I869" s="1" t="str">
        <f t="shared" si="53"/>
        <v>威尔新数值1.06.xlsm!suitPower</v>
      </c>
    </row>
    <row r="870" spans="1:9" x14ac:dyDescent="0.15">
      <c r="A870" s="1">
        <v>869</v>
      </c>
      <c r="B870" s="1">
        <v>102050400</v>
      </c>
      <c r="C870" s="1">
        <f t="shared" si="56"/>
        <v>14</v>
      </c>
      <c r="D870" s="5">
        <f ca="1">IF(getQuality(B870)&lt;4,getOtherMin(B870,C870,INDIRECT(J$2),INDIRECT(I870),test),getMin(B870,C870,INDIRECT(J$2),INDIRECT(I870),test))</f>
        <v>110.24493457930163</v>
      </c>
      <c r="E870" s="5">
        <f ca="1">IF(getQuality(B870)&lt;4,getOtherMax(B870,C870,INDIRECT(J$2),INDIRECT(I870),test),getMax(B870,C870,INDIRECT(J$2),INDIRECT(I870),test))</f>
        <v>148.01542709608177</v>
      </c>
      <c r="F870" s="1" t="str">
        <f t="shared" si="54"/>
        <v>50</v>
      </c>
      <c r="G870" s="1" t="str">
        <f t="shared" si="55"/>
        <v/>
      </c>
      <c r="I870" s="1" t="str">
        <f t="shared" si="53"/>
        <v>威尔新数值1.06.xlsm!suitPower</v>
      </c>
    </row>
    <row r="871" spans="1:9" x14ac:dyDescent="0.15">
      <c r="A871" s="1">
        <v>870</v>
      </c>
      <c r="B871" s="1">
        <v>102050400</v>
      </c>
      <c r="C871" s="1">
        <f t="shared" si="56"/>
        <v>15</v>
      </c>
      <c r="D871" s="5">
        <f ca="1">IF(getQuality(B871)&lt;4,getOtherMin(B871,C871,INDIRECT(J$2),INDIRECT(I871),test),getMin(B871,C871,INDIRECT(J$2),INDIRECT(I871),test))</f>
        <v>110.24493457930163</v>
      </c>
      <c r="E871" s="5">
        <f ca="1">IF(getQuality(B871)&lt;4,getOtherMax(B871,C871,INDIRECT(J$2),INDIRECT(I871),test),getMax(B871,C871,INDIRECT(J$2),INDIRECT(I871),test))</f>
        <v>148.01542709608177</v>
      </c>
      <c r="F871" s="1" t="str">
        <f t="shared" si="54"/>
        <v>50</v>
      </c>
      <c r="G871" s="1" t="str">
        <f t="shared" si="55"/>
        <v/>
      </c>
      <c r="I871" s="1" t="str">
        <f t="shared" si="53"/>
        <v>威尔新数值1.06.xlsm!suitPower</v>
      </c>
    </row>
    <row r="872" spans="1:9" x14ac:dyDescent="0.15">
      <c r="A872" s="1">
        <v>871</v>
      </c>
      <c r="B872" s="1">
        <v>102050400</v>
      </c>
      <c r="C872" s="1">
        <f t="shared" si="56"/>
        <v>101</v>
      </c>
      <c r="D872" s="5">
        <f ca="1">IF(getQuality(B872)&lt;4,getOtherMin(B872,C872,INDIRECT(J$2),INDIRECT(I872),test),getMin(B872,C872,INDIRECT(J$2),INDIRECT(I872),test))</f>
        <v>0.1</v>
      </c>
      <c r="E872" s="5">
        <f ca="1">IF(getQuality(B872)&lt;4,getOtherMax(B872,C872,INDIRECT(J$2),INDIRECT(I872),test),getMax(B872,C872,INDIRECT(J$2),INDIRECT(I872),test))</f>
        <v>0.13</v>
      </c>
      <c r="F872" s="1" t="str">
        <f t="shared" si="54"/>
        <v>50</v>
      </c>
      <c r="G872" s="1" t="str">
        <f t="shared" si="55"/>
        <v/>
      </c>
      <c r="I872" s="1" t="str">
        <f t="shared" si="53"/>
        <v>威尔新数值1.06.xlsm!circlePer</v>
      </c>
    </row>
    <row r="873" spans="1:9" x14ac:dyDescent="0.15">
      <c r="A873" s="1">
        <v>872</v>
      </c>
      <c r="B873" s="1">
        <v>102050400</v>
      </c>
      <c r="C873" s="1">
        <f t="shared" si="56"/>
        <v>102</v>
      </c>
      <c r="D873" s="5">
        <f ca="1">IF(getQuality(B873)&lt;4,getOtherMin(B873,C873,INDIRECT(J$2),INDIRECT(I873),test),getMin(B873,C873,INDIRECT(J$2),INDIRECT(I873),test))</f>
        <v>0.8</v>
      </c>
      <c r="E873" s="5">
        <f ca="1">IF(getQuality(B873)&lt;4,getOtherMax(B873,C873,INDIRECT(J$2),INDIRECT(I873),test),getMax(B873,C873,INDIRECT(J$2),INDIRECT(I873),test))</f>
        <v>1.2</v>
      </c>
      <c r="F873" s="1" t="str">
        <f t="shared" si="54"/>
        <v>50</v>
      </c>
      <c r="G873" s="1" t="str">
        <f t="shared" si="55"/>
        <v/>
      </c>
      <c r="I873" s="1" t="str">
        <f t="shared" si="53"/>
        <v>威尔新数值1.06.xlsm!circleValue</v>
      </c>
    </row>
    <row r="874" spans="1:9" x14ac:dyDescent="0.15">
      <c r="A874" s="1">
        <v>873</v>
      </c>
      <c r="B874" s="1">
        <v>102050400</v>
      </c>
      <c r="C874" s="1">
        <f t="shared" si="56"/>
        <v>103</v>
      </c>
      <c r="D874" s="5">
        <f ca="1">IF(getQuality(B874)&lt;4,getOtherMin(B874,C874,INDIRECT(J$2),INDIRECT(I874),test),getMin(B874,C874,INDIRECT(J$2),INDIRECT(I874),test))</f>
        <v>0.1</v>
      </c>
      <c r="E874" s="5">
        <f ca="1">IF(getQuality(B874)&lt;4,getOtherMax(B874,C874,INDIRECT(J$2),INDIRECT(I874),test),getMax(B874,C874,INDIRECT(J$2),INDIRECT(I874),test))</f>
        <v>0.13</v>
      </c>
      <c r="F874" s="1" t="str">
        <f t="shared" si="54"/>
        <v>50</v>
      </c>
      <c r="G874" s="1" t="str">
        <f t="shared" si="55"/>
        <v/>
      </c>
      <c r="I874" s="1" t="str">
        <f t="shared" si="53"/>
        <v>威尔新数值1.06.xlsm!otherDamage</v>
      </c>
    </row>
    <row r="875" spans="1:9" x14ac:dyDescent="0.15">
      <c r="A875" s="1">
        <v>874</v>
      </c>
      <c r="B875" s="1">
        <v>102050400</v>
      </c>
      <c r="C875" s="1">
        <f t="shared" si="56"/>
        <v>104</v>
      </c>
      <c r="D875" s="5">
        <f ca="1">IF(getQuality(B875)&lt;4,getOtherMin(B875,C875,INDIRECT(J$2),INDIRECT(I875),test),getMin(B875,C875,INDIRECT(J$2),INDIRECT(I875),test))</f>
        <v>0.1</v>
      </c>
      <c r="E875" s="5">
        <f ca="1">IF(getQuality(B875)&lt;4,getOtherMax(B875,C875,INDIRECT(J$2),INDIRECT(I875),test),getMax(B875,C875,INDIRECT(J$2),INDIRECT(I875),test))</f>
        <v>0.2</v>
      </c>
      <c r="F875" s="1" t="str">
        <f t="shared" si="54"/>
        <v>50</v>
      </c>
      <c r="G875" s="1" t="str">
        <f t="shared" si="55"/>
        <v/>
      </c>
      <c r="I875" s="1" t="str">
        <f t="shared" si="53"/>
        <v>威尔新数值1.06.xlsm!monsterDamage</v>
      </c>
    </row>
    <row r="876" spans="1:9" x14ac:dyDescent="0.15">
      <c r="A876" s="1">
        <v>875</v>
      </c>
      <c r="B876" s="1">
        <v>102050400</v>
      </c>
      <c r="C876" s="1">
        <f t="shared" si="56"/>
        <v>105</v>
      </c>
      <c r="D876" s="5">
        <f ca="1">IF(getQuality(B876)&lt;4,getOtherMin(B876,C876,INDIRECT(J$2),INDIRECT(I876),test),getMin(B876,C876,INDIRECT(J$2),INDIRECT(I876),test))</f>
        <v>0.1</v>
      </c>
      <c r="E876" s="5">
        <f ca="1">IF(getQuality(B876)&lt;4,getOtherMax(B876,C876,INDIRECT(J$2),INDIRECT(I876),test),getMax(B876,C876,INDIRECT(J$2),INDIRECT(I876),test))</f>
        <v>0.2</v>
      </c>
      <c r="F876" s="1" t="str">
        <f t="shared" si="54"/>
        <v>50</v>
      </c>
      <c r="G876" s="1" t="str">
        <f t="shared" si="55"/>
        <v/>
      </c>
      <c r="I876" s="1" t="str">
        <f t="shared" si="53"/>
        <v>威尔新数值1.06.xlsm!monsterDamage</v>
      </c>
    </row>
    <row r="877" spans="1:9" x14ac:dyDescent="0.15">
      <c r="A877" s="1">
        <v>876</v>
      </c>
      <c r="B877" s="1">
        <v>102050400</v>
      </c>
      <c r="C877" s="1">
        <f t="shared" si="56"/>
        <v>106</v>
      </c>
      <c r="D877" s="5">
        <f ca="1">IF(getQuality(B877)&lt;4,getOtherMin(B877,C877,INDIRECT(J$2),INDIRECT(I877),test),getMin(B877,C877,INDIRECT(J$2),INDIRECT(I877),test))</f>
        <v>0.1</v>
      </c>
      <c r="E877" s="5">
        <f ca="1">IF(getQuality(B877)&lt;4,getOtherMax(B877,C877,INDIRECT(J$2),INDIRECT(I877),test),getMax(B877,C877,INDIRECT(J$2),INDIRECT(I877),test))</f>
        <v>0.2</v>
      </c>
      <c r="F877" s="1" t="str">
        <f t="shared" si="54"/>
        <v>50</v>
      </c>
      <c r="G877" s="1" t="str">
        <f t="shared" si="55"/>
        <v/>
      </c>
      <c r="I877" s="1" t="str">
        <f t="shared" si="53"/>
        <v>威尔新数值1.06.xlsm!monsterDamage</v>
      </c>
    </row>
    <row r="878" spans="1:9" x14ac:dyDescent="0.15">
      <c r="A878" s="1">
        <v>877</v>
      </c>
      <c r="B878" s="1">
        <v>102050400</v>
      </c>
      <c r="C878" s="1">
        <f t="shared" si="56"/>
        <v>107</v>
      </c>
      <c r="D878" s="5">
        <f ca="1">IF(getQuality(B878)&lt;4,getOtherMin(B878,C878,INDIRECT(J$2),INDIRECT(I878),test),getMin(B878,C878,INDIRECT(J$2),INDIRECT(I878),test))</f>
        <v>0.1</v>
      </c>
      <c r="E878" s="5">
        <f ca="1">IF(getQuality(B878)&lt;4,getOtherMax(B878,C878,INDIRECT(J$2),INDIRECT(I878),test),getMax(B878,C878,INDIRECT(J$2),INDIRECT(I878),test))</f>
        <v>0.2</v>
      </c>
      <c r="F878" s="1" t="str">
        <f t="shared" si="54"/>
        <v>50</v>
      </c>
      <c r="G878" s="1" t="str">
        <f t="shared" si="55"/>
        <v/>
      </c>
      <c r="I878" s="1" t="str">
        <f t="shared" si="53"/>
        <v>威尔新数值1.06.xlsm!monsterDamage</v>
      </c>
    </row>
    <row r="879" spans="1:9" x14ac:dyDescent="0.15">
      <c r="A879" s="1">
        <v>878</v>
      </c>
      <c r="B879" s="1">
        <v>102050400</v>
      </c>
      <c r="C879" s="1">
        <f t="shared" si="56"/>
        <v>108</v>
      </c>
      <c r="D879" s="5">
        <f ca="1">IF(getQuality(B879)&lt;4,getOtherMin(B879,C879,INDIRECT(J$2),INDIRECT(I879),test),getMin(B879,C879,INDIRECT(J$2),INDIRECT(I879),test))</f>
        <v>0.1</v>
      </c>
      <c r="E879" s="5">
        <f ca="1">IF(getQuality(B879)&lt;4,getOtherMax(B879,C879,INDIRECT(J$2),INDIRECT(I879),test),getMax(B879,C879,INDIRECT(J$2),INDIRECT(I879),test))</f>
        <v>0.2</v>
      </c>
      <c r="F879" s="1" t="str">
        <f t="shared" si="54"/>
        <v>50</v>
      </c>
      <c r="G879" s="1" t="str">
        <f t="shared" si="55"/>
        <v/>
      </c>
      <c r="I879" s="1" t="str">
        <f t="shared" si="53"/>
        <v>威尔新数值1.06.xlsm!monsterDamage</v>
      </c>
    </row>
    <row r="880" spans="1:9" x14ac:dyDescent="0.15">
      <c r="A880" s="1">
        <v>879</v>
      </c>
      <c r="B880" s="1">
        <v>102060400</v>
      </c>
      <c r="C880" s="1">
        <f t="shared" si="56"/>
        <v>3</v>
      </c>
      <c r="D880" s="5">
        <f ca="1">IF(getQuality(B880)&lt;4,getOtherMin(B880,C880,INDIRECT(J$2),INDIRECT(I880),test),getMin(B880,C880,INDIRECT(J$2),INDIRECT(I880),test))</f>
        <v>149.01542709608177</v>
      </c>
      <c r="E880" s="5">
        <f ca="1">IF(getQuality(B880)&lt;4,getOtherMax(B880,C880,INDIRECT(J$2),INDIRECT(I880),test),getMax(B880,C880,INDIRECT(J$2),INDIRECT(I880),test))</f>
        <v>190.22369727444828</v>
      </c>
      <c r="F880" s="1" t="str">
        <f t="shared" si="54"/>
        <v>50</v>
      </c>
      <c r="G880" s="1" t="str">
        <f t="shared" si="55"/>
        <v/>
      </c>
      <c r="I880" s="1" t="str">
        <f t="shared" si="53"/>
        <v>威尔新数值1.06.xlsm!suitPower</v>
      </c>
    </row>
    <row r="881" spans="1:9" x14ac:dyDescent="0.15">
      <c r="A881" s="1">
        <v>880</v>
      </c>
      <c r="B881" s="1">
        <v>102060400</v>
      </c>
      <c r="C881" s="1">
        <f t="shared" si="56"/>
        <v>5</v>
      </c>
      <c r="D881" s="5">
        <f ca="1">IF(getQuality(B881)&lt;4,getOtherMin(B881,C881,INDIRECT(J$2),INDIRECT(I881),test),getMin(B881,C881,INDIRECT(J$2),INDIRECT(I881),test))</f>
        <v>149.01542709608177</v>
      </c>
      <c r="E881" s="5">
        <f ca="1">IF(getQuality(B881)&lt;4,getOtherMax(B881,C881,INDIRECT(J$2),INDIRECT(I881),test),getMax(B881,C881,INDIRECT(J$2),INDIRECT(I881),test))</f>
        <v>190.22369727444828</v>
      </c>
      <c r="F881" s="1" t="str">
        <f t="shared" si="54"/>
        <v>50</v>
      </c>
      <c r="G881" s="1" t="str">
        <f t="shared" si="55"/>
        <v>1</v>
      </c>
      <c r="I881" s="1" t="str">
        <f t="shared" si="53"/>
        <v>威尔新数值1.06.xlsm!suitPower</v>
      </c>
    </row>
    <row r="882" spans="1:9" x14ac:dyDescent="0.15">
      <c r="A882" s="1">
        <v>881</v>
      </c>
      <c r="B882" s="1">
        <v>102060400</v>
      </c>
      <c r="C882" s="1">
        <f t="shared" si="56"/>
        <v>7</v>
      </c>
      <c r="D882" s="5">
        <f ca="1">IF(getQuality(B882)&lt;4,getOtherMin(B882,C882,INDIRECT(J$2),INDIRECT(I882),test),getMin(B882,C882,INDIRECT(J$2),INDIRECT(I882),test))</f>
        <v>33.407407407407327</v>
      </c>
      <c r="E882" s="5">
        <f ca="1">IF(getQuality(B882)&lt;4,getOtherMax(B882,C882,INDIRECT(J$2),INDIRECT(I882),test),getMax(B882,C882,INDIRECT(J$2),INDIRECT(I882),test))</f>
        <v>38.888888888888786</v>
      </c>
      <c r="F882" s="1" t="str">
        <f t="shared" si="54"/>
        <v>50</v>
      </c>
      <c r="G882" s="1" t="str">
        <f t="shared" si="55"/>
        <v/>
      </c>
      <c r="I882" s="1" t="str">
        <f t="shared" si="53"/>
        <v>威尔新数值1.06.xlsm!suitPower</v>
      </c>
    </row>
    <row r="883" spans="1:9" x14ac:dyDescent="0.15">
      <c r="A883" s="1">
        <v>882</v>
      </c>
      <c r="B883" s="1">
        <v>102060400</v>
      </c>
      <c r="C883" s="1">
        <f t="shared" si="56"/>
        <v>8</v>
      </c>
      <c r="D883" s="5">
        <f ca="1">IF(getQuality(B883)&lt;4,getOtherMin(B883,C883,INDIRECT(J$2),INDIRECT(I883),test),getMin(B883,C883,INDIRECT(J$2),INDIRECT(I883),test))</f>
        <v>73.916666666666671</v>
      </c>
      <c r="E883" s="5">
        <f ca="1">IF(getQuality(B883)&lt;4,getOtherMax(B883,C883,INDIRECT(J$2),INDIRECT(I883),test),getMax(B883,C883,INDIRECT(J$2),INDIRECT(I883),test))</f>
        <v>87.5</v>
      </c>
      <c r="F883" s="1" t="str">
        <f t="shared" si="54"/>
        <v>50</v>
      </c>
      <c r="G883" s="1" t="str">
        <f t="shared" si="55"/>
        <v/>
      </c>
      <c r="I883" s="1" t="str">
        <f t="shared" si="53"/>
        <v>威尔新数值1.06.xlsm!suitPower</v>
      </c>
    </row>
    <row r="884" spans="1:9" x14ac:dyDescent="0.15">
      <c r="A884" s="1">
        <v>883</v>
      </c>
      <c r="B884" s="1">
        <v>102060400</v>
      </c>
      <c r="C884" s="1">
        <f t="shared" si="56"/>
        <v>9</v>
      </c>
      <c r="D884" s="5">
        <f ca="1">IF(getQuality(B884)&lt;4,getOtherMin(B884,C884,INDIRECT(J$2),INDIRECT(I884),test),getMin(B884,C884,INDIRECT(J$2),INDIRECT(I884),test))</f>
        <v>149.01542709608177</v>
      </c>
      <c r="E884" s="5">
        <f ca="1">IF(getQuality(B884)&lt;4,getOtherMax(B884,C884,INDIRECT(J$2),INDIRECT(I884),test),getMax(B884,C884,INDIRECT(J$2),INDIRECT(I884),test))</f>
        <v>190.22369727444828</v>
      </c>
      <c r="F884" s="1" t="str">
        <f t="shared" si="54"/>
        <v>50</v>
      </c>
      <c r="G884" s="1" t="str">
        <f t="shared" si="55"/>
        <v/>
      </c>
      <c r="I884" s="1" t="str">
        <f t="shared" si="53"/>
        <v>威尔新数值1.06.xlsm!suitPower</v>
      </c>
    </row>
    <row r="885" spans="1:9" x14ac:dyDescent="0.15">
      <c r="A885" s="1">
        <v>884</v>
      </c>
      <c r="B885" s="1">
        <v>102060400</v>
      </c>
      <c r="C885" s="1">
        <f t="shared" si="56"/>
        <v>10</v>
      </c>
      <c r="D885" s="5">
        <f ca="1">IF(getQuality(B885)&lt;4,getOtherMin(B885,C885,INDIRECT(J$2),INDIRECT(I885),test),getMin(B885,C885,INDIRECT(J$2),INDIRECT(I885),test))</f>
        <v>149.01542709608177</v>
      </c>
      <c r="E885" s="5">
        <f ca="1">IF(getQuality(B885)&lt;4,getOtherMax(B885,C885,INDIRECT(J$2),INDIRECT(I885),test),getMax(B885,C885,INDIRECT(J$2),INDIRECT(I885),test))</f>
        <v>190.22369727444828</v>
      </c>
      <c r="F885" s="1" t="str">
        <f t="shared" si="54"/>
        <v>50</v>
      </c>
      <c r="G885" s="1" t="str">
        <f t="shared" si="55"/>
        <v/>
      </c>
      <c r="I885" s="1" t="str">
        <f t="shared" si="53"/>
        <v>威尔新数值1.06.xlsm!suitPower</v>
      </c>
    </row>
    <row r="886" spans="1:9" x14ac:dyDescent="0.15">
      <c r="A886" s="1">
        <v>885</v>
      </c>
      <c r="B886" s="1">
        <v>102060400</v>
      </c>
      <c r="C886" s="1">
        <f t="shared" si="56"/>
        <v>11</v>
      </c>
      <c r="D886" s="5">
        <f ca="1">IF(getQuality(B886)&lt;4,getOtherMin(B886,C886,INDIRECT(J$2),INDIRECT(I886),test),getMin(B886,C886,INDIRECT(J$2),INDIRECT(I886),test))</f>
        <v>149.01542709608177</v>
      </c>
      <c r="E886" s="5">
        <f ca="1">IF(getQuality(B886)&lt;4,getOtherMax(B886,C886,INDIRECT(J$2),INDIRECT(I886),test),getMax(B886,C886,INDIRECT(J$2),INDIRECT(I886),test))</f>
        <v>190.22369727444828</v>
      </c>
      <c r="F886" s="1" t="str">
        <f t="shared" si="54"/>
        <v>50</v>
      </c>
      <c r="G886" s="1" t="str">
        <f t="shared" si="55"/>
        <v/>
      </c>
      <c r="I886" s="1" t="str">
        <f t="shared" si="53"/>
        <v>威尔新数值1.06.xlsm!suitPower</v>
      </c>
    </row>
    <row r="887" spans="1:9" x14ac:dyDescent="0.15">
      <c r="A887" s="1">
        <v>886</v>
      </c>
      <c r="B887" s="1">
        <v>102060400</v>
      </c>
      <c r="C887" s="1">
        <f t="shared" si="56"/>
        <v>12</v>
      </c>
      <c r="D887" s="5">
        <f ca="1">IF(getQuality(B887)&lt;4,getOtherMin(B887,C887,INDIRECT(J$2),INDIRECT(I887),test),getMin(B887,C887,INDIRECT(J$2),INDIRECT(I887),test))</f>
        <v>149.01542709608177</v>
      </c>
      <c r="E887" s="5">
        <f ca="1">IF(getQuality(B887)&lt;4,getOtherMax(B887,C887,INDIRECT(J$2),INDIRECT(I887),test),getMax(B887,C887,INDIRECT(J$2),INDIRECT(I887),test))</f>
        <v>190.22369727444828</v>
      </c>
      <c r="F887" s="1" t="str">
        <f t="shared" si="54"/>
        <v>50</v>
      </c>
      <c r="G887" s="1" t="str">
        <f t="shared" si="55"/>
        <v/>
      </c>
      <c r="I887" s="1" t="str">
        <f t="shared" si="53"/>
        <v>威尔新数值1.06.xlsm!suitPower</v>
      </c>
    </row>
    <row r="888" spans="1:9" x14ac:dyDescent="0.15">
      <c r="A888" s="1">
        <v>887</v>
      </c>
      <c r="B888" s="1">
        <v>102060400</v>
      </c>
      <c r="C888" s="1">
        <f t="shared" si="56"/>
        <v>13</v>
      </c>
      <c r="D888" s="5">
        <f ca="1">IF(getQuality(B888)&lt;4,getOtherMin(B888,C888,INDIRECT(J$2),INDIRECT(I888),test),getMin(B888,C888,INDIRECT(J$2),INDIRECT(I888),test))</f>
        <v>149.01542709608177</v>
      </c>
      <c r="E888" s="5">
        <f ca="1">IF(getQuality(B888)&lt;4,getOtherMax(B888,C888,INDIRECT(J$2),INDIRECT(I888),test),getMax(B888,C888,INDIRECT(J$2),INDIRECT(I888),test))</f>
        <v>190.22369727444828</v>
      </c>
      <c r="F888" s="1" t="str">
        <f t="shared" si="54"/>
        <v>50</v>
      </c>
      <c r="G888" s="1" t="str">
        <f t="shared" si="55"/>
        <v/>
      </c>
      <c r="I888" s="1" t="str">
        <f t="shared" si="53"/>
        <v>威尔新数值1.06.xlsm!suitPower</v>
      </c>
    </row>
    <row r="889" spans="1:9" x14ac:dyDescent="0.15">
      <c r="A889" s="1">
        <v>888</v>
      </c>
      <c r="B889" s="1">
        <v>102060400</v>
      </c>
      <c r="C889" s="1">
        <f t="shared" si="56"/>
        <v>14</v>
      </c>
      <c r="D889" s="5">
        <f ca="1">IF(getQuality(B889)&lt;4,getOtherMin(B889,C889,INDIRECT(J$2),INDIRECT(I889),test),getMin(B889,C889,INDIRECT(J$2),INDIRECT(I889),test))</f>
        <v>149.01542709608177</v>
      </c>
      <c r="E889" s="5">
        <f ca="1">IF(getQuality(B889)&lt;4,getOtherMax(B889,C889,INDIRECT(J$2),INDIRECT(I889),test),getMax(B889,C889,INDIRECT(J$2),INDIRECT(I889),test))</f>
        <v>190.22369727444828</v>
      </c>
      <c r="F889" s="1" t="str">
        <f t="shared" si="54"/>
        <v>50</v>
      </c>
      <c r="G889" s="1" t="str">
        <f t="shared" si="55"/>
        <v/>
      </c>
      <c r="I889" s="1" t="str">
        <f t="shared" si="53"/>
        <v>威尔新数值1.06.xlsm!suitPower</v>
      </c>
    </row>
    <row r="890" spans="1:9" x14ac:dyDescent="0.15">
      <c r="A890" s="1">
        <v>889</v>
      </c>
      <c r="B890" s="1">
        <v>102060400</v>
      </c>
      <c r="C890" s="1">
        <f t="shared" si="56"/>
        <v>15</v>
      </c>
      <c r="D890" s="5">
        <f ca="1">IF(getQuality(B890)&lt;4,getOtherMin(B890,C890,INDIRECT(J$2),INDIRECT(I890),test),getMin(B890,C890,INDIRECT(J$2),INDIRECT(I890),test))</f>
        <v>149.01542709608177</v>
      </c>
      <c r="E890" s="5">
        <f ca="1">IF(getQuality(B890)&lt;4,getOtherMax(B890,C890,INDIRECT(J$2),INDIRECT(I890),test),getMax(B890,C890,INDIRECT(J$2),INDIRECT(I890),test))</f>
        <v>190.22369727444828</v>
      </c>
      <c r="F890" s="1" t="str">
        <f t="shared" si="54"/>
        <v>50</v>
      </c>
      <c r="G890" s="1" t="str">
        <f t="shared" si="55"/>
        <v/>
      </c>
      <c r="I890" s="1" t="str">
        <f t="shared" si="53"/>
        <v>威尔新数值1.06.xlsm!suitPower</v>
      </c>
    </row>
    <row r="891" spans="1:9" x14ac:dyDescent="0.15">
      <c r="A891" s="1">
        <v>890</v>
      </c>
      <c r="B891" s="1">
        <v>102060400</v>
      </c>
      <c r="C891" s="1">
        <f t="shared" si="56"/>
        <v>101</v>
      </c>
      <c r="D891" s="5">
        <f ca="1">IF(getQuality(B891)&lt;4,getOtherMin(B891,C891,INDIRECT(J$2),INDIRECT(I891),test),getMin(B891,C891,INDIRECT(J$2),INDIRECT(I891),test))</f>
        <v>0.11</v>
      </c>
      <c r="E891" s="5">
        <f ca="1">IF(getQuality(B891)&lt;4,getOtherMax(B891,C891,INDIRECT(J$2),INDIRECT(I891),test),getMax(B891,C891,INDIRECT(J$2),INDIRECT(I891),test))</f>
        <v>0.14000000000000001</v>
      </c>
      <c r="F891" s="1" t="str">
        <f t="shared" si="54"/>
        <v>50</v>
      </c>
      <c r="G891" s="1" t="str">
        <f t="shared" si="55"/>
        <v/>
      </c>
      <c r="I891" s="1" t="str">
        <f t="shared" si="53"/>
        <v>威尔新数值1.06.xlsm!circlePer</v>
      </c>
    </row>
    <row r="892" spans="1:9" x14ac:dyDescent="0.15">
      <c r="A892" s="1">
        <v>891</v>
      </c>
      <c r="B892" s="1">
        <v>102060400</v>
      </c>
      <c r="C892" s="1">
        <f t="shared" si="56"/>
        <v>102</v>
      </c>
      <c r="D892" s="5">
        <f ca="1">IF(getQuality(B892)&lt;4,getOtherMin(B892,C892,INDIRECT(J$2),INDIRECT(I892),test),getMin(B892,C892,INDIRECT(J$2),INDIRECT(I892),test))</f>
        <v>0.9</v>
      </c>
      <c r="E892" s="5">
        <f ca="1">IF(getQuality(B892)&lt;4,getOtherMax(B892,C892,INDIRECT(J$2),INDIRECT(I892),test),getMax(B892,C892,INDIRECT(J$2),INDIRECT(I892),test))</f>
        <v>1.3</v>
      </c>
      <c r="F892" s="1" t="str">
        <f t="shared" si="54"/>
        <v>50</v>
      </c>
      <c r="G892" s="1" t="str">
        <f t="shared" si="55"/>
        <v/>
      </c>
      <c r="I892" s="1" t="str">
        <f t="shared" si="53"/>
        <v>威尔新数值1.06.xlsm!circleValue</v>
      </c>
    </row>
    <row r="893" spans="1:9" x14ac:dyDescent="0.15">
      <c r="A893" s="1">
        <v>892</v>
      </c>
      <c r="B893" s="1">
        <v>102060400</v>
      </c>
      <c r="C893" s="1">
        <f t="shared" si="56"/>
        <v>103</v>
      </c>
      <c r="D893" s="5">
        <f ca="1">IF(getQuality(B893)&lt;4,getOtherMin(B893,C893,INDIRECT(J$2),INDIRECT(I893),test),getMin(B893,C893,INDIRECT(J$2),INDIRECT(I893),test))</f>
        <v>0.11</v>
      </c>
      <c r="E893" s="5">
        <f ca="1">IF(getQuality(B893)&lt;4,getOtherMax(B893,C893,INDIRECT(J$2),INDIRECT(I893),test),getMax(B893,C893,INDIRECT(J$2),INDIRECT(I893),test))</f>
        <v>0.14000000000000001</v>
      </c>
      <c r="F893" s="1" t="str">
        <f t="shared" si="54"/>
        <v>50</v>
      </c>
      <c r="G893" s="1" t="str">
        <f t="shared" si="55"/>
        <v/>
      </c>
      <c r="I893" s="1" t="str">
        <f t="shared" si="53"/>
        <v>威尔新数值1.06.xlsm!otherDamage</v>
      </c>
    </row>
    <row r="894" spans="1:9" x14ac:dyDescent="0.15">
      <c r="A894" s="1">
        <v>893</v>
      </c>
      <c r="B894" s="1">
        <v>102060400</v>
      </c>
      <c r="C894" s="1">
        <f t="shared" si="56"/>
        <v>104</v>
      </c>
      <c r="D894" s="5">
        <f ca="1">IF(getQuality(B894)&lt;4,getOtherMin(B894,C894,INDIRECT(J$2),INDIRECT(I894),test),getMin(B894,C894,INDIRECT(J$2),INDIRECT(I894),test))</f>
        <v>0.11</v>
      </c>
      <c r="E894" s="5">
        <f ca="1">IF(getQuality(B894)&lt;4,getOtherMax(B894,C894,INDIRECT(J$2),INDIRECT(I894),test),getMax(B894,C894,INDIRECT(J$2),INDIRECT(I894),test))</f>
        <v>0.22</v>
      </c>
      <c r="F894" s="1" t="str">
        <f t="shared" si="54"/>
        <v>50</v>
      </c>
      <c r="G894" s="1" t="str">
        <f t="shared" si="55"/>
        <v/>
      </c>
      <c r="I894" s="1" t="str">
        <f t="shared" si="53"/>
        <v>威尔新数值1.06.xlsm!monsterDamage</v>
      </c>
    </row>
    <row r="895" spans="1:9" x14ac:dyDescent="0.15">
      <c r="A895" s="1">
        <v>894</v>
      </c>
      <c r="B895" s="1">
        <v>102060400</v>
      </c>
      <c r="C895" s="1">
        <f t="shared" si="56"/>
        <v>105</v>
      </c>
      <c r="D895" s="5">
        <f ca="1">IF(getQuality(B895)&lt;4,getOtherMin(B895,C895,INDIRECT(J$2),INDIRECT(I895),test),getMin(B895,C895,INDIRECT(J$2),INDIRECT(I895),test))</f>
        <v>0.11</v>
      </c>
      <c r="E895" s="5">
        <f ca="1">IF(getQuality(B895)&lt;4,getOtherMax(B895,C895,INDIRECT(J$2),INDIRECT(I895),test),getMax(B895,C895,INDIRECT(J$2),INDIRECT(I895),test))</f>
        <v>0.22</v>
      </c>
      <c r="F895" s="1" t="str">
        <f t="shared" si="54"/>
        <v>50</v>
      </c>
      <c r="G895" s="1" t="str">
        <f t="shared" si="55"/>
        <v/>
      </c>
      <c r="I895" s="1" t="str">
        <f t="shared" si="53"/>
        <v>威尔新数值1.06.xlsm!monsterDamage</v>
      </c>
    </row>
    <row r="896" spans="1:9" x14ac:dyDescent="0.15">
      <c r="A896" s="1">
        <v>895</v>
      </c>
      <c r="B896" s="1">
        <v>102060400</v>
      </c>
      <c r="C896" s="1">
        <f t="shared" si="56"/>
        <v>106</v>
      </c>
      <c r="D896" s="5">
        <f ca="1">IF(getQuality(B896)&lt;4,getOtherMin(B896,C896,INDIRECT(J$2),INDIRECT(I896),test),getMin(B896,C896,INDIRECT(J$2),INDIRECT(I896),test))</f>
        <v>0.11</v>
      </c>
      <c r="E896" s="5">
        <f ca="1">IF(getQuality(B896)&lt;4,getOtherMax(B896,C896,INDIRECT(J$2),INDIRECT(I896),test),getMax(B896,C896,INDIRECT(J$2),INDIRECT(I896),test))</f>
        <v>0.22</v>
      </c>
      <c r="F896" s="1" t="str">
        <f t="shared" si="54"/>
        <v>50</v>
      </c>
      <c r="G896" s="1" t="str">
        <f t="shared" si="55"/>
        <v/>
      </c>
      <c r="I896" s="1" t="str">
        <f t="shared" si="53"/>
        <v>威尔新数值1.06.xlsm!monsterDamage</v>
      </c>
    </row>
    <row r="897" spans="1:9" x14ac:dyDescent="0.15">
      <c r="A897" s="1">
        <v>896</v>
      </c>
      <c r="B897" s="1">
        <v>102060400</v>
      </c>
      <c r="C897" s="1">
        <f t="shared" si="56"/>
        <v>107</v>
      </c>
      <c r="D897" s="5">
        <f ca="1">IF(getQuality(B897)&lt;4,getOtherMin(B897,C897,INDIRECT(J$2),INDIRECT(I897),test),getMin(B897,C897,INDIRECT(J$2),INDIRECT(I897),test))</f>
        <v>0.11</v>
      </c>
      <c r="E897" s="5">
        <f ca="1">IF(getQuality(B897)&lt;4,getOtherMax(B897,C897,INDIRECT(J$2),INDIRECT(I897),test),getMax(B897,C897,INDIRECT(J$2),INDIRECT(I897),test))</f>
        <v>0.22</v>
      </c>
      <c r="F897" s="1" t="str">
        <f t="shared" si="54"/>
        <v>50</v>
      </c>
      <c r="G897" s="1" t="str">
        <f t="shared" si="55"/>
        <v/>
      </c>
      <c r="I897" s="1" t="str">
        <f t="shared" si="53"/>
        <v>威尔新数值1.06.xlsm!monsterDamage</v>
      </c>
    </row>
    <row r="898" spans="1:9" x14ac:dyDescent="0.15">
      <c r="A898" s="1">
        <v>897</v>
      </c>
      <c r="B898" s="1">
        <v>102060400</v>
      </c>
      <c r="C898" s="1">
        <f t="shared" si="56"/>
        <v>108</v>
      </c>
      <c r="D898" s="5">
        <f ca="1">IF(getQuality(B898)&lt;4,getOtherMin(B898,C898,INDIRECT(J$2),INDIRECT(I898),test),getMin(B898,C898,INDIRECT(J$2),INDIRECT(I898),test))</f>
        <v>0.11</v>
      </c>
      <c r="E898" s="5">
        <f ca="1">IF(getQuality(B898)&lt;4,getOtherMax(B898,C898,INDIRECT(J$2),INDIRECT(I898),test),getMax(B898,C898,INDIRECT(J$2),INDIRECT(I898),test))</f>
        <v>0.22</v>
      </c>
      <c r="F898" s="1" t="str">
        <f t="shared" si="54"/>
        <v>50</v>
      </c>
      <c r="G898" s="1" t="str">
        <f t="shared" si="55"/>
        <v/>
      </c>
      <c r="I898" s="1" t="str">
        <f t="shared" ref="I898:I961" si="57">IF(C898&lt;100,VLOOKUP(C898,test,3,FALSE),VLOOKUP(C898,test1,3,FALSE))</f>
        <v>威尔新数值1.06.xlsm!monsterDamage</v>
      </c>
    </row>
    <row r="899" spans="1:9" x14ac:dyDescent="0.15">
      <c r="A899" s="1">
        <v>898</v>
      </c>
      <c r="B899" s="1">
        <v>102070400</v>
      </c>
      <c r="C899" s="1">
        <f t="shared" si="56"/>
        <v>3</v>
      </c>
      <c r="D899" s="5">
        <f ca="1">IF(getQuality(B899)&lt;4,getOtherMin(B899,C899,INDIRECT(J$2),INDIRECT(I899),test),getMin(B899,C899,INDIRECT(J$2),INDIRECT(I899),test))</f>
        <v>191.22369727444828</v>
      </c>
      <c r="E899" s="5">
        <f ca="1">IF(getQuality(B899)&lt;4,getOtherMax(B899,C899,INDIRECT(J$2),INDIRECT(I899),test),getMax(B899,C899,INDIRECT(J$2),INDIRECT(I899),test))</f>
        <v>236.63369570586491</v>
      </c>
      <c r="F899" s="1" t="str">
        <f t="shared" ref="F899:F962" si="58">getper(B899,C899)</f>
        <v>50</v>
      </c>
      <c r="G899" s="1" t="str">
        <f t="shared" ref="G899:G962" si="59">getMust(B899,C899)</f>
        <v/>
      </c>
      <c r="I899" s="1" t="str">
        <f t="shared" si="57"/>
        <v>威尔新数值1.06.xlsm!suitPower</v>
      </c>
    </row>
    <row r="900" spans="1:9" x14ac:dyDescent="0.15">
      <c r="A900" s="1">
        <v>899</v>
      </c>
      <c r="B900" s="1">
        <v>102070400</v>
      </c>
      <c r="C900" s="1">
        <f t="shared" si="56"/>
        <v>5</v>
      </c>
      <c r="D900" s="5">
        <f ca="1">IF(getQuality(B900)&lt;4,getOtherMin(B900,C900,INDIRECT(J$2),INDIRECT(I900),test),getMin(B900,C900,INDIRECT(J$2),INDIRECT(I900),test))</f>
        <v>191.22369727444828</v>
      </c>
      <c r="E900" s="5">
        <f ca="1">IF(getQuality(B900)&lt;4,getOtherMax(B900,C900,INDIRECT(J$2),INDIRECT(I900),test),getMax(B900,C900,INDIRECT(J$2),INDIRECT(I900),test))</f>
        <v>236.63369570586491</v>
      </c>
      <c r="F900" s="1" t="str">
        <f t="shared" si="58"/>
        <v>50</v>
      </c>
      <c r="G900" s="1" t="str">
        <f t="shared" si="59"/>
        <v>1</v>
      </c>
      <c r="I900" s="1" t="str">
        <f t="shared" si="57"/>
        <v>威尔新数值1.06.xlsm!suitPower</v>
      </c>
    </row>
    <row r="901" spans="1:9" x14ac:dyDescent="0.15">
      <c r="A901" s="1">
        <v>900</v>
      </c>
      <c r="B901" s="1">
        <v>102070400</v>
      </c>
      <c r="C901" s="1">
        <f t="shared" si="56"/>
        <v>7</v>
      </c>
      <c r="D901" s="5">
        <f ca="1">IF(getQuality(B901)&lt;4,getOtherMin(B901,C901,INDIRECT(J$2),INDIRECT(I901),test),getMin(B901,C901,INDIRECT(J$2),INDIRECT(I901),test))</f>
        <v>39.888888888888786</v>
      </c>
      <c r="E901" s="5">
        <f ca="1">IF(getQuality(B901)&lt;4,getOtherMax(B901,C901,INDIRECT(J$2),INDIRECT(I901),test),getMax(B901,C901,INDIRECT(J$2),INDIRECT(I901),test))</f>
        <v>45.370370370370253</v>
      </c>
      <c r="F901" s="1" t="str">
        <f t="shared" si="58"/>
        <v>50</v>
      </c>
      <c r="G901" s="1" t="str">
        <f t="shared" si="59"/>
        <v/>
      </c>
      <c r="I901" s="1" t="str">
        <f t="shared" si="57"/>
        <v>威尔新数值1.06.xlsm!suitPower</v>
      </c>
    </row>
    <row r="902" spans="1:9" x14ac:dyDescent="0.15">
      <c r="A902" s="1">
        <v>901</v>
      </c>
      <c r="B902" s="1">
        <v>102070400</v>
      </c>
      <c r="C902" s="1">
        <f t="shared" si="56"/>
        <v>8</v>
      </c>
      <c r="D902" s="5">
        <f ca="1">IF(getQuality(B902)&lt;4,getOtherMin(B902,C902,INDIRECT(J$2),INDIRECT(I902),test),getMin(B902,C902,INDIRECT(J$2),INDIRECT(I902),test))</f>
        <v>88.5</v>
      </c>
      <c r="E902" s="5">
        <f ca="1">IF(getQuality(B902)&lt;4,getOtherMax(B902,C902,INDIRECT(J$2),INDIRECT(I902),test),getMax(B902,C902,INDIRECT(J$2),INDIRECT(I902),test))</f>
        <v>102.08333333333333</v>
      </c>
      <c r="F902" s="1" t="str">
        <f t="shared" si="58"/>
        <v>50</v>
      </c>
      <c r="G902" s="1" t="str">
        <f t="shared" si="59"/>
        <v/>
      </c>
      <c r="I902" s="1" t="str">
        <f t="shared" si="57"/>
        <v>威尔新数值1.06.xlsm!suitPower</v>
      </c>
    </row>
    <row r="903" spans="1:9" x14ac:dyDescent="0.15">
      <c r="A903" s="1">
        <v>902</v>
      </c>
      <c r="B903" s="1">
        <v>102070400</v>
      </c>
      <c r="C903" s="1">
        <f t="shared" si="56"/>
        <v>9</v>
      </c>
      <c r="D903" s="5">
        <f ca="1">IF(getQuality(B903)&lt;4,getOtherMin(B903,C903,INDIRECT(J$2),INDIRECT(I903),test),getMin(B903,C903,INDIRECT(J$2),INDIRECT(I903),test))</f>
        <v>191.22369727444828</v>
      </c>
      <c r="E903" s="5">
        <f ca="1">IF(getQuality(B903)&lt;4,getOtherMax(B903,C903,INDIRECT(J$2),INDIRECT(I903),test),getMax(B903,C903,INDIRECT(J$2),INDIRECT(I903),test))</f>
        <v>236.63369570586491</v>
      </c>
      <c r="F903" s="1" t="str">
        <f t="shared" si="58"/>
        <v>50</v>
      </c>
      <c r="G903" s="1" t="str">
        <f t="shared" si="59"/>
        <v/>
      </c>
      <c r="I903" s="1" t="str">
        <f t="shared" si="57"/>
        <v>威尔新数值1.06.xlsm!suitPower</v>
      </c>
    </row>
    <row r="904" spans="1:9" x14ac:dyDescent="0.15">
      <c r="A904" s="1">
        <v>903</v>
      </c>
      <c r="B904" s="1">
        <v>102070400</v>
      </c>
      <c r="C904" s="1">
        <f t="shared" si="56"/>
        <v>10</v>
      </c>
      <c r="D904" s="5">
        <f ca="1">IF(getQuality(B904)&lt;4,getOtherMin(B904,C904,INDIRECT(J$2),INDIRECT(I904),test),getMin(B904,C904,INDIRECT(J$2),INDIRECT(I904),test))</f>
        <v>191.22369727444828</v>
      </c>
      <c r="E904" s="5">
        <f ca="1">IF(getQuality(B904)&lt;4,getOtherMax(B904,C904,INDIRECT(J$2),INDIRECT(I904),test),getMax(B904,C904,INDIRECT(J$2),INDIRECT(I904),test))</f>
        <v>236.63369570586491</v>
      </c>
      <c r="F904" s="1" t="str">
        <f t="shared" si="58"/>
        <v>50</v>
      </c>
      <c r="G904" s="1" t="str">
        <f t="shared" si="59"/>
        <v/>
      </c>
      <c r="I904" s="1" t="str">
        <f t="shared" si="57"/>
        <v>威尔新数值1.06.xlsm!suitPower</v>
      </c>
    </row>
    <row r="905" spans="1:9" x14ac:dyDescent="0.15">
      <c r="A905" s="1">
        <v>904</v>
      </c>
      <c r="B905" s="1">
        <v>102070400</v>
      </c>
      <c r="C905" s="1">
        <f t="shared" si="56"/>
        <v>11</v>
      </c>
      <c r="D905" s="5">
        <f ca="1">IF(getQuality(B905)&lt;4,getOtherMin(B905,C905,INDIRECT(J$2),INDIRECT(I905),test),getMin(B905,C905,INDIRECT(J$2),INDIRECT(I905),test))</f>
        <v>191.22369727444828</v>
      </c>
      <c r="E905" s="5">
        <f ca="1">IF(getQuality(B905)&lt;4,getOtherMax(B905,C905,INDIRECT(J$2),INDIRECT(I905),test),getMax(B905,C905,INDIRECT(J$2),INDIRECT(I905),test))</f>
        <v>236.63369570586491</v>
      </c>
      <c r="F905" s="1" t="str">
        <f t="shared" si="58"/>
        <v>50</v>
      </c>
      <c r="G905" s="1" t="str">
        <f t="shared" si="59"/>
        <v/>
      </c>
      <c r="I905" s="1" t="str">
        <f t="shared" si="57"/>
        <v>威尔新数值1.06.xlsm!suitPower</v>
      </c>
    </row>
    <row r="906" spans="1:9" x14ac:dyDescent="0.15">
      <c r="A906" s="1">
        <v>905</v>
      </c>
      <c r="B906" s="1">
        <v>102070400</v>
      </c>
      <c r="C906" s="1">
        <f t="shared" si="56"/>
        <v>12</v>
      </c>
      <c r="D906" s="5">
        <f ca="1">IF(getQuality(B906)&lt;4,getOtherMin(B906,C906,INDIRECT(J$2),INDIRECT(I906),test),getMin(B906,C906,INDIRECT(J$2),INDIRECT(I906),test))</f>
        <v>191.22369727444828</v>
      </c>
      <c r="E906" s="5">
        <f ca="1">IF(getQuality(B906)&lt;4,getOtherMax(B906,C906,INDIRECT(J$2),INDIRECT(I906),test),getMax(B906,C906,INDIRECT(J$2),INDIRECT(I906),test))</f>
        <v>236.63369570586491</v>
      </c>
      <c r="F906" s="1" t="str">
        <f t="shared" si="58"/>
        <v>50</v>
      </c>
      <c r="G906" s="1" t="str">
        <f t="shared" si="59"/>
        <v/>
      </c>
      <c r="I906" s="1" t="str">
        <f t="shared" si="57"/>
        <v>威尔新数值1.06.xlsm!suitPower</v>
      </c>
    </row>
    <row r="907" spans="1:9" x14ac:dyDescent="0.15">
      <c r="A907" s="1">
        <v>906</v>
      </c>
      <c r="B907" s="1">
        <v>102070400</v>
      </c>
      <c r="C907" s="1">
        <f t="shared" si="56"/>
        <v>13</v>
      </c>
      <c r="D907" s="5">
        <f ca="1">IF(getQuality(B907)&lt;4,getOtherMin(B907,C907,INDIRECT(J$2),INDIRECT(I907),test),getMin(B907,C907,INDIRECT(J$2),INDIRECT(I907),test))</f>
        <v>191.22369727444828</v>
      </c>
      <c r="E907" s="5">
        <f ca="1">IF(getQuality(B907)&lt;4,getOtherMax(B907,C907,INDIRECT(J$2),INDIRECT(I907),test),getMax(B907,C907,INDIRECT(J$2),INDIRECT(I907),test))</f>
        <v>236.63369570586491</v>
      </c>
      <c r="F907" s="1" t="str">
        <f t="shared" si="58"/>
        <v>50</v>
      </c>
      <c r="G907" s="1" t="str">
        <f t="shared" si="59"/>
        <v/>
      </c>
      <c r="I907" s="1" t="str">
        <f t="shared" si="57"/>
        <v>威尔新数值1.06.xlsm!suitPower</v>
      </c>
    </row>
    <row r="908" spans="1:9" x14ac:dyDescent="0.15">
      <c r="A908" s="1">
        <v>907</v>
      </c>
      <c r="B908" s="1">
        <v>102070400</v>
      </c>
      <c r="C908" s="1">
        <f t="shared" si="56"/>
        <v>14</v>
      </c>
      <c r="D908" s="5">
        <f ca="1">IF(getQuality(B908)&lt;4,getOtherMin(B908,C908,INDIRECT(J$2),INDIRECT(I908),test),getMin(B908,C908,INDIRECT(J$2),INDIRECT(I908),test))</f>
        <v>191.22369727444828</v>
      </c>
      <c r="E908" s="5">
        <f ca="1">IF(getQuality(B908)&lt;4,getOtherMax(B908,C908,INDIRECT(J$2),INDIRECT(I908),test),getMax(B908,C908,INDIRECT(J$2),INDIRECT(I908),test))</f>
        <v>236.63369570586491</v>
      </c>
      <c r="F908" s="1" t="str">
        <f t="shared" si="58"/>
        <v>50</v>
      </c>
      <c r="G908" s="1" t="str">
        <f t="shared" si="59"/>
        <v/>
      </c>
      <c r="I908" s="1" t="str">
        <f t="shared" si="57"/>
        <v>威尔新数值1.06.xlsm!suitPower</v>
      </c>
    </row>
    <row r="909" spans="1:9" x14ac:dyDescent="0.15">
      <c r="A909" s="1">
        <v>908</v>
      </c>
      <c r="B909" s="1">
        <v>102070400</v>
      </c>
      <c r="C909" s="1">
        <f t="shared" si="56"/>
        <v>15</v>
      </c>
      <c r="D909" s="5">
        <f ca="1">IF(getQuality(B909)&lt;4,getOtherMin(B909,C909,INDIRECT(J$2),INDIRECT(I909),test),getMin(B909,C909,INDIRECT(J$2),INDIRECT(I909),test))</f>
        <v>191.22369727444828</v>
      </c>
      <c r="E909" s="5">
        <f ca="1">IF(getQuality(B909)&lt;4,getOtherMax(B909,C909,INDIRECT(J$2),INDIRECT(I909),test),getMax(B909,C909,INDIRECT(J$2),INDIRECT(I909),test))</f>
        <v>236.63369570586491</v>
      </c>
      <c r="F909" s="1" t="str">
        <f t="shared" si="58"/>
        <v>50</v>
      </c>
      <c r="G909" s="1" t="str">
        <f t="shared" si="59"/>
        <v/>
      </c>
      <c r="I909" s="1" t="str">
        <f t="shared" si="57"/>
        <v>威尔新数值1.06.xlsm!suitPower</v>
      </c>
    </row>
    <row r="910" spans="1:9" x14ac:dyDescent="0.15">
      <c r="A910" s="1">
        <v>909</v>
      </c>
      <c r="B910" s="1">
        <v>102070400</v>
      </c>
      <c r="C910" s="1">
        <f t="shared" si="56"/>
        <v>101</v>
      </c>
      <c r="D910" s="5">
        <f ca="1">IF(getQuality(B910)&lt;4,getOtherMin(B910,C910,INDIRECT(J$2),INDIRECT(I910),test),getMin(B910,C910,INDIRECT(J$2),INDIRECT(I910),test))</f>
        <v>0.12</v>
      </c>
      <c r="E910" s="5">
        <f ca="1">IF(getQuality(B910)&lt;4,getOtherMax(B910,C910,INDIRECT(J$2),INDIRECT(I910),test),getMax(B910,C910,INDIRECT(J$2),INDIRECT(I910),test))</f>
        <v>0.15</v>
      </c>
      <c r="F910" s="1" t="str">
        <f t="shared" si="58"/>
        <v>50</v>
      </c>
      <c r="G910" s="1" t="str">
        <f t="shared" si="59"/>
        <v/>
      </c>
      <c r="I910" s="1" t="str">
        <f t="shared" si="57"/>
        <v>威尔新数值1.06.xlsm!circlePer</v>
      </c>
    </row>
    <row r="911" spans="1:9" x14ac:dyDescent="0.15">
      <c r="A911" s="1">
        <v>910</v>
      </c>
      <c r="B911" s="1">
        <v>102070400</v>
      </c>
      <c r="C911" s="1">
        <f t="shared" si="56"/>
        <v>102</v>
      </c>
      <c r="D911" s="5">
        <f ca="1">IF(getQuality(B911)&lt;4,getOtherMin(B911,C911,INDIRECT(J$2),INDIRECT(I911),test),getMin(B911,C911,INDIRECT(J$2),INDIRECT(I911),test))</f>
        <v>1</v>
      </c>
      <c r="E911" s="5">
        <f ca="1">IF(getQuality(B911)&lt;4,getOtherMax(B911,C911,INDIRECT(J$2),INDIRECT(I911),test),getMax(B911,C911,INDIRECT(J$2),INDIRECT(I911),test))</f>
        <v>1.4</v>
      </c>
      <c r="F911" s="1" t="str">
        <f t="shared" si="58"/>
        <v>50</v>
      </c>
      <c r="G911" s="1" t="str">
        <f t="shared" si="59"/>
        <v/>
      </c>
      <c r="I911" s="1" t="str">
        <f t="shared" si="57"/>
        <v>威尔新数值1.06.xlsm!circleValue</v>
      </c>
    </row>
    <row r="912" spans="1:9" x14ac:dyDescent="0.15">
      <c r="A912" s="1">
        <v>911</v>
      </c>
      <c r="B912" s="1">
        <v>102070400</v>
      </c>
      <c r="C912" s="1">
        <f t="shared" si="56"/>
        <v>103</v>
      </c>
      <c r="D912" s="5">
        <f ca="1">IF(getQuality(B912)&lt;4,getOtherMin(B912,C912,INDIRECT(J$2),INDIRECT(I912),test),getMin(B912,C912,INDIRECT(J$2),INDIRECT(I912),test))</f>
        <v>0.12</v>
      </c>
      <c r="E912" s="5">
        <f ca="1">IF(getQuality(B912)&lt;4,getOtherMax(B912,C912,INDIRECT(J$2),INDIRECT(I912),test),getMax(B912,C912,INDIRECT(J$2),INDIRECT(I912),test))</f>
        <v>0.15</v>
      </c>
      <c r="F912" s="1" t="str">
        <f t="shared" si="58"/>
        <v>50</v>
      </c>
      <c r="G912" s="1" t="str">
        <f t="shared" si="59"/>
        <v/>
      </c>
      <c r="I912" s="1" t="str">
        <f t="shared" si="57"/>
        <v>威尔新数值1.06.xlsm!otherDamage</v>
      </c>
    </row>
    <row r="913" spans="1:9" x14ac:dyDescent="0.15">
      <c r="A913" s="1">
        <v>912</v>
      </c>
      <c r="B913" s="1">
        <v>102070400</v>
      </c>
      <c r="C913" s="1">
        <f t="shared" si="56"/>
        <v>104</v>
      </c>
      <c r="D913" s="5">
        <f ca="1">IF(getQuality(B913)&lt;4,getOtherMin(B913,C913,INDIRECT(J$2),INDIRECT(I913),test),getMin(B913,C913,INDIRECT(J$2),INDIRECT(I913),test))</f>
        <v>0.12</v>
      </c>
      <c r="E913" s="5">
        <f ca="1">IF(getQuality(B913)&lt;4,getOtherMax(B913,C913,INDIRECT(J$2),INDIRECT(I913),test),getMax(B913,C913,INDIRECT(J$2),INDIRECT(I913),test))</f>
        <v>0.24</v>
      </c>
      <c r="F913" s="1" t="str">
        <f t="shared" si="58"/>
        <v>50</v>
      </c>
      <c r="G913" s="1" t="str">
        <f t="shared" si="59"/>
        <v/>
      </c>
      <c r="I913" s="1" t="str">
        <f t="shared" si="57"/>
        <v>威尔新数值1.06.xlsm!monsterDamage</v>
      </c>
    </row>
    <row r="914" spans="1:9" x14ac:dyDescent="0.15">
      <c r="A914" s="1">
        <v>913</v>
      </c>
      <c r="B914" s="1">
        <v>102070400</v>
      </c>
      <c r="C914" s="1">
        <f t="shared" si="56"/>
        <v>105</v>
      </c>
      <c r="D914" s="5">
        <f ca="1">IF(getQuality(B914)&lt;4,getOtherMin(B914,C914,INDIRECT(J$2),INDIRECT(I914),test),getMin(B914,C914,INDIRECT(J$2),INDIRECT(I914),test))</f>
        <v>0.12</v>
      </c>
      <c r="E914" s="5">
        <f ca="1">IF(getQuality(B914)&lt;4,getOtherMax(B914,C914,INDIRECT(J$2),INDIRECT(I914),test),getMax(B914,C914,INDIRECT(J$2),INDIRECT(I914),test))</f>
        <v>0.24</v>
      </c>
      <c r="F914" s="1" t="str">
        <f t="shared" si="58"/>
        <v>50</v>
      </c>
      <c r="G914" s="1" t="str">
        <f t="shared" si="59"/>
        <v/>
      </c>
      <c r="I914" s="1" t="str">
        <f t="shared" si="57"/>
        <v>威尔新数值1.06.xlsm!monsterDamage</v>
      </c>
    </row>
    <row r="915" spans="1:9" x14ac:dyDescent="0.15">
      <c r="A915" s="1">
        <v>914</v>
      </c>
      <c r="B915" s="1">
        <v>102070400</v>
      </c>
      <c r="C915" s="1">
        <f t="shared" si="56"/>
        <v>106</v>
      </c>
      <c r="D915" s="5">
        <f ca="1">IF(getQuality(B915)&lt;4,getOtherMin(B915,C915,INDIRECT(J$2),INDIRECT(I915),test),getMin(B915,C915,INDIRECT(J$2),INDIRECT(I915),test))</f>
        <v>0.12</v>
      </c>
      <c r="E915" s="5">
        <f ca="1">IF(getQuality(B915)&lt;4,getOtherMax(B915,C915,INDIRECT(J$2),INDIRECT(I915),test),getMax(B915,C915,INDIRECT(J$2),INDIRECT(I915),test))</f>
        <v>0.24</v>
      </c>
      <c r="F915" s="1" t="str">
        <f t="shared" si="58"/>
        <v>50</v>
      </c>
      <c r="G915" s="1" t="str">
        <f t="shared" si="59"/>
        <v/>
      </c>
      <c r="I915" s="1" t="str">
        <f t="shared" si="57"/>
        <v>威尔新数值1.06.xlsm!monsterDamage</v>
      </c>
    </row>
    <row r="916" spans="1:9" x14ac:dyDescent="0.15">
      <c r="A916" s="1">
        <v>915</v>
      </c>
      <c r="B916" s="1">
        <v>102070400</v>
      </c>
      <c r="C916" s="1">
        <f t="shared" si="56"/>
        <v>107</v>
      </c>
      <c r="D916" s="5">
        <f ca="1">IF(getQuality(B916)&lt;4,getOtherMin(B916,C916,INDIRECT(J$2),INDIRECT(I916),test),getMin(B916,C916,INDIRECT(J$2),INDIRECT(I916),test))</f>
        <v>0.12</v>
      </c>
      <c r="E916" s="5">
        <f ca="1">IF(getQuality(B916)&lt;4,getOtherMax(B916,C916,INDIRECT(J$2),INDIRECT(I916),test),getMax(B916,C916,INDIRECT(J$2),INDIRECT(I916),test))</f>
        <v>0.24</v>
      </c>
      <c r="F916" s="1" t="str">
        <f t="shared" si="58"/>
        <v>50</v>
      </c>
      <c r="G916" s="1" t="str">
        <f t="shared" si="59"/>
        <v/>
      </c>
      <c r="I916" s="1" t="str">
        <f t="shared" si="57"/>
        <v>威尔新数值1.06.xlsm!monsterDamage</v>
      </c>
    </row>
    <row r="917" spans="1:9" x14ac:dyDescent="0.15">
      <c r="A917" s="1">
        <v>916</v>
      </c>
      <c r="B917" s="1">
        <v>102070400</v>
      </c>
      <c r="C917" s="1">
        <f t="shared" si="56"/>
        <v>108</v>
      </c>
      <c r="D917" s="5">
        <f ca="1">IF(getQuality(B917)&lt;4,getOtherMin(B917,C917,INDIRECT(J$2),INDIRECT(I917),test),getMin(B917,C917,INDIRECT(J$2),INDIRECT(I917),test))</f>
        <v>0.12</v>
      </c>
      <c r="E917" s="5">
        <f ca="1">IF(getQuality(B917)&lt;4,getOtherMax(B917,C917,INDIRECT(J$2),INDIRECT(I917),test),getMax(B917,C917,INDIRECT(J$2),INDIRECT(I917),test))</f>
        <v>0.24</v>
      </c>
      <c r="F917" s="1" t="str">
        <f t="shared" si="58"/>
        <v>50</v>
      </c>
      <c r="G917" s="1" t="str">
        <f t="shared" si="59"/>
        <v/>
      </c>
      <c r="I917" s="1" t="str">
        <f t="shared" si="57"/>
        <v>威尔新数值1.06.xlsm!monsterDamage</v>
      </c>
    </row>
    <row r="918" spans="1:9" x14ac:dyDescent="0.15">
      <c r="A918" s="1">
        <v>917</v>
      </c>
      <c r="B918" s="1">
        <v>102080400</v>
      </c>
      <c r="C918" s="1">
        <f t="shared" si="56"/>
        <v>3</v>
      </c>
      <c r="D918" s="5">
        <f ca="1">IF(getQuality(B918)&lt;4,getOtherMin(B918,C918,INDIRECT(J$2),INDIRECT(I918),test),getMin(B918,C918,INDIRECT(J$2),INDIRECT(I918),test))</f>
        <v>237.63369570586491</v>
      </c>
      <c r="E918" s="5">
        <f ca="1">IF(getQuality(B918)&lt;4,getOtherMax(B918,C918,INDIRECT(J$2),INDIRECT(I918),test),getMax(B918,C918,INDIRECT(J$2),INDIRECT(I918),test))</f>
        <v>287.24542239033156</v>
      </c>
      <c r="F918" s="1" t="str">
        <f t="shared" si="58"/>
        <v>50</v>
      </c>
      <c r="G918" s="1" t="str">
        <f t="shared" si="59"/>
        <v/>
      </c>
      <c r="I918" s="1" t="str">
        <f t="shared" si="57"/>
        <v>威尔新数值1.06.xlsm!suitPower</v>
      </c>
    </row>
    <row r="919" spans="1:9" x14ac:dyDescent="0.15">
      <c r="A919" s="1">
        <v>918</v>
      </c>
      <c r="B919" s="1">
        <v>102080400</v>
      </c>
      <c r="C919" s="1">
        <f t="shared" si="56"/>
        <v>5</v>
      </c>
      <c r="D919" s="5">
        <f ca="1">IF(getQuality(B919)&lt;4,getOtherMin(B919,C919,INDIRECT(J$2),INDIRECT(I919),test),getMin(B919,C919,INDIRECT(J$2),INDIRECT(I919),test))</f>
        <v>237.63369570586491</v>
      </c>
      <c r="E919" s="5">
        <f ca="1">IF(getQuality(B919)&lt;4,getOtherMax(B919,C919,INDIRECT(J$2),INDIRECT(I919),test),getMax(B919,C919,INDIRECT(J$2),INDIRECT(I919),test))</f>
        <v>287.24542239033156</v>
      </c>
      <c r="F919" s="1" t="str">
        <f t="shared" si="58"/>
        <v>50</v>
      </c>
      <c r="G919" s="1" t="str">
        <f t="shared" si="59"/>
        <v>1</v>
      </c>
      <c r="I919" s="1" t="str">
        <f t="shared" si="57"/>
        <v>威尔新数值1.06.xlsm!suitPower</v>
      </c>
    </row>
    <row r="920" spans="1:9" x14ac:dyDescent="0.15">
      <c r="A920" s="1">
        <v>919</v>
      </c>
      <c r="B920" s="1">
        <v>102080400</v>
      </c>
      <c r="C920" s="1">
        <f t="shared" si="56"/>
        <v>7</v>
      </c>
      <c r="D920" s="5">
        <f ca="1">IF(getQuality(B920)&lt;4,getOtherMin(B920,C920,INDIRECT(J$2),INDIRECT(I920),test),getMin(B920,C920,INDIRECT(J$2),INDIRECT(I920),test))</f>
        <v>46.370370370370253</v>
      </c>
      <c r="E920" s="5">
        <f ca="1">IF(getQuality(B920)&lt;4,getOtherMax(B920,C920,INDIRECT(J$2),INDIRECT(I920),test),getMax(B920,C920,INDIRECT(J$2),INDIRECT(I920),test))</f>
        <v>51.85185185185172</v>
      </c>
      <c r="F920" s="1" t="str">
        <f t="shared" si="58"/>
        <v>50</v>
      </c>
      <c r="G920" s="1" t="str">
        <f t="shared" si="59"/>
        <v/>
      </c>
      <c r="I920" s="1" t="str">
        <f t="shared" si="57"/>
        <v>威尔新数值1.06.xlsm!suitPower</v>
      </c>
    </row>
    <row r="921" spans="1:9" x14ac:dyDescent="0.15">
      <c r="A921" s="1">
        <v>920</v>
      </c>
      <c r="B921" s="1">
        <v>102080400</v>
      </c>
      <c r="C921" s="1">
        <f t="shared" si="56"/>
        <v>8</v>
      </c>
      <c r="D921" s="5">
        <f ca="1">IF(getQuality(B921)&lt;4,getOtherMin(B921,C921,INDIRECT(J$2),INDIRECT(I921),test),getMin(B921,C921,INDIRECT(J$2),INDIRECT(I921),test))</f>
        <v>103.08333333333333</v>
      </c>
      <c r="E921" s="5">
        <f ca="1">IF(getQuality(B921)&lt;4,getOtherMax(B921,C921,INDIRECT(J$2),INDIRECT(I921),test),getMax(B921,C921,INDIRECT(J$2),INDIRECT(I921),test))</f>
        <v>116.66666666666667</v>
      </c>
      <c r="F921" s="1" t="str">
        <f t="shared" si="58"/>
        <v>50</v>
      </c>
      <c r="G921" s="1" t="str">
        <f t="shared" si="59"/>
        <v/>
      </c>
      <c r="I921" s="1" t="str">
        <f t="shared" si="57"/>
        <v>威尔新数值1.06.xlsm!suitPower</v>
      </c>
    </row>
    <row r="922" spans="1:9" x14ac:dyDescent="0.15">
      <c r="A922" s="1">
        <v>921</v>
      </c>
      <c r="B922" s="1">
        <v>102080400</v>
      </c>
      <c r="C922" s="1">
        <f t="shared" si="56"/>
        <v>9</v>
      </c>
      <c r="D922" s="5">
        <f ca="1">IF(getQuality(B922)&lt;4,getOtherMin(B922,C922,INDIRECT(J$2),INDIRECT(I922),test),getMin(B922,C922,INDIRECT(J$2),INDIRECT(I922),test))</f>
        <v>237.63369570586491</v>
      </c>
      <c r="E922" s="5">
        <f ca="1">IF(getQuality(B922)&lt;4,getOtherMax(B922,C922,INDIRECT(J$2),INDIRECT(I922),test),getMax(B922,C922,INDIRECT(J$2),INDIRECT(I922),test))</f>
        <v>287.24542239033156</v>
      </c>
      <c r="F922" s="1" t="str">
        <f t="shared" si="58"/>
        <v>50</v>
      </c>
      <c r="G922" s="1" t="str">
        <f t="shared" si="59"/>
        <v/>
      </c>
      <c r="I922" s="1" t="str">
        <f t="shared" si="57"/>
        <v>威尔新数值1.06.xlsm!suitPower</v>
      </c>
    </row>
    <row r="923" spans="1:9" x14ac:dyDescent="0.15">
      <c r="A923" s="1">
        <v>922</v>
      </c>
      <c r="B923" s="1">
        <v>102080400</v>
      </c>
      <c r="C923" s="1">
        <f t="shared" si="56"/>
        <v>10</v>
      </c>
      <c r="D923" s="5">
        <f ca="1">IF(getQuality(B923)&lt;4,getOtherMin(B923,C923,INDIRECT(J$2),INDIRECT(I923),test),getMin(B923,C923,INDIRECT(J$2),INDIRECT(I923),test))</f>
        <v>237.63369570586491</v>
      </c>
      <c r="E923" s="5">
        <f ca="1">IF(getQuality(B923)&lt;4,getOtherMax(B923,C923,INDIRECT(J$2),INDIRECT(I923),test),getMax(B923,C923,INDIRECT(J$2),INDIRECT(I923),test))</f>
        <v>287.24542239033156</v>
      </c>
      <c r="F923" s="1" t="str">
        <f t="shared" si="58"/>
        <v>50</v>
      </c>
      <c r="G923" s="1" t="str">
        <f t="shared" si="59"/>
        <v/>
      </c>
      <c r="I923" s="1" t="str">
        <f t="shared" si="57"/>
        <v>威尔新数值1.06.xlsm!suitPower</v>
      </c>
    </row>
    <row r="924" spans="1:9" x14ac:dyDescent="0.15">
      <c r="A924" s="1">
        <v>923</v>
      </c>
      <c r="B924" s="1">
        <v>102080400</v>
      </c>
      <c r="C924" s="1">
        <f t="shared" si="56"/>
        <v>11</v>
      </c>
      <c r="D924" s="5">
        <f ca="1">IF(getQuality(B924)&lt;4,getOtherMin(B924,C924,INDIRECT(J$2),INDIRECT(I924),test),getMin(B924,C924,INDIRECT(J$2),INDIRECT(I924),test))</f>
        <v>237.63369570586491</v>
      </c>
      <c r="E924" s="5">
        <f ca="1">IF(getQuality(B924)&lt;4,getOtherMax(B924,C924,INDIRECT(J$2),INDIRECT(I924),test),getMax(B924,C924,INDIRECT(J$2),INDIRECT(I924),test))</f>
        <v>287.24542239033156</v>
      </c>
      <c r="F924" s="1" t="str">
        <f t="shared" si="58"/>
        <v>50</v>
      </c>
      <c r="G924" s="1" t="str">
        <f t="shared" si="59"/>
        <v/>
      </c>
      <c r="I924" s="1" t="str">
        <f t="shared" si="57"/>
        <v>威尔新数值1.06.xlsm!suitPower</v>
      </c>
    </row>
    <row r="925" spans="1:9" x14ac:dyDescent="0.15">
      <c r="A925" s="1">
        <v>924</v>
      </c>
      <c r="B925" s="1">
        <v>102080400</v>
      </c>
      <c r="C925" s="1">
        <f t="shared" si="56"/>
        <v>12</v>
      </c>
      <c r="D925" s="5">
        <f ca="1">IF(getQuality(B925)&lt;4,getOtherMin(B925,C925,INDIRECT(J$2),INDIRECT(I925),test),getMin(B925,C925,INDIRECT(J$2),INDIRECT(I925),test))</f>
        <v>237.63369570586491</v>
      </c>
      <c r="E925" s="5">
        <f ca="1">IF(getQuality(B925)&lt;4,getOtherMax(B925,C925,INDIRECT(J$2),INDIRECT(I925),test),getMax(B925,C925,INDIRECT(J$2),INDIRECT(I925),test))</f>
        <v>287.24542239033156</v>
      </c>
      <c r="F925" s="1" t="str">
        <f t="shared" si="58"/>
        <v>50</v>
      </c>
      <c r="G925" s="1" t="str">
        <f t="shared" si="59"/>
        <v/>
      </c>
      <c r="I925" s="1" t="str">
        <f t="shared" si="57"/>
        <v>威尔新数值1.06.xlsm!suitPower</v>
      </c>
    </row>
    <row r="926" spans="1:9" x14ac:dyDescent="0.15">
      <c r="A926" s="1">
        <v>925</v>
      </c>
      <c r="B926" s="1">
        <v>102080400</v>
      </c>
      <c r="C926" s="1">
        <f t="shared" si="56"/>
        <v>13</v>
      </c>
      <c r="D926" s="5">
        <f ca="1">IF(getQuality(B926)&lt;4,getOtherMin(B926,C926,INDIRECT(J$2),INDIRECT(I926),test),getMin(B926,C926,INDIRECT(J$2),INDIRECT(I926),test))</f>
        <v>237.63369570586491</v>
      </c>
      <c r="E926" s="5">
        <f ca="1">IF(getQuality(B926)&lt;4,getOtherMax(B926,C926,INDIRECT(J$2),INDIRECT(I926),test),getMax(B926,C926,INDIRECT(J$2),INDIRECT(I926),test))</f>
        <v>287.24542239033156</v>
      </c>
      <c r="F926" s="1" t="str">
        <f t="shared" si="58"/>
        <v>50</v>
      </c>
      <c r="G926" s="1" t="str">
        <f t="shared" si="59"/>
        <v/>
      </c>
      <c r="I926" s="1" t="str">
        <f t="shared" si="57"/>
        <v>威尔新数值1.06.xlsm!suitPower</v>
      </c>
    </row>
    <row r="927" spans="1:9" x14ac:dyDescent="0.15">
      <c r="A927" s="1">
        <v>926</v>
      </c>
      <c r="B927" s="1">
        <v>102080400</v>
      </c>
      <c r="C927" s="1">
        <f t="shared" si="56"/>
        <v>14</v>
      </c>
      <c r="D927" s="5">
        <f ca="1">IF(getQuality(B927)&lt;4,getOtherMin(B927,C927,INDIRECT(J$2),INDIRECT(I927),test),getMin(B927,C927,INDIRECT(J$2),INDIRECT(I927),test))</f>
        <v>237.63369570586491</v>
      </c>
      <c r="E927" s="5">
        <f ca="1">IF(getQuality(B927)&lt;4,getOtherMax(B927,C927,INDIRECT(J$2),INDIRECT(I927),test),getMax(B927,C927,INDIRECT(J$2),INDIRECT(I927),test))</f>
        <v>287.24542239033156</v>
      </c>
      <c r="F927" s="1" t="str">
        <f t="shared" si="58"/>
        <v>50</v>
      </c>
      <c r="G927" s="1" t="str">
        <f t="shared" si="59"/>
        <v/>
      </c>
      <c r="I927" s="1" t="str">
        <f t="shared" si="57"/>
        <v>威尔新数值1.06.xlsm!suitPower</v>
      </c>
    </row>
    <row r="928" spans="1:9" x14ac:dyDescent="0.15">
      <c r="A928" s="1">
        <v>927</v>
      </c>
      <c r="B928" s="1">
        <v>102080400</v>
      </c>
      <c r="C928" s="1">
        <f t="shared" si="56"/>
        <v>15</v>
      </c>
      <c r="D928" s="5">
        <f ca="1">IF(getQuality(B928)&lt;4,getOtherMin(B928,C928,INDIRECT(J$2),INDIRECT(I928),test),getMin(B928,C928,INDIRECT(J$2),INDIRECT(I928),test))</f>
        <v>237.63369570586491</v>
      </c>
      <c r="E928" s="5">
        <f ca="1">IF(getQuality(B928)&lt;4,getOtherMax(B928,C928,INDIRECT(J$2),INDIRECT(I928),test),getMax(B928,C928,INDIRECT(J$2),INDIRECT(I928),test))</f>
        <v>287.24542239033156</v>
      </c>
      <c r="F928" s="1" t="str">
        <f t="shared" si="58"/>
        <v>50</v>
      </c>
      <c r="G928" s="1" t="str">
        <f t="shared" si="59"/>
        <v/>
      </c>
      <c r="I928" s="1" t="str">
        <f t="shared" si="57"/>
        <v>威尔新数值1.06.xlsm!suitPower</v>
      </c>
    </row>
    <row r="929" spans="1:9" x14ac:dyDescent="0.15">
      <c r="A929" s="1">
        <v>928</v>
      </c>
      <c r="B929" s="1">
        <v>102080400</v>
      </c>
      <c r="C929" s="1">
        <f t="shared" si="56"/>
        <v>101</v>
      </c>
      <c r="D929" s="5">
        <f ca="1">IF(getQuality(B929)&lt;4,getOtherMin(B929,C929,INDIRECT(J$2),INDIRECT(I929),test),getMin(B929,C929,INDIRECT(J$2),INDIRECT(I929),test))</f>
        <v>0.13</v>
      </c>
      <c r="E929" s="5">
        <f ca="1">IF(getQuality(B929)&lt;4,getOtherMax(B929,C929,INDIRECT(J$2),INDIRECT(I929),test),getMax(B929,C929,INDIRECT(J$2),INDIRECT(I929),test))</f>
        <v>0.16</v>
      </c>
      <c r="F929" s="1" t="str">
        <f t="shared" si="58"/>
        <v>50</v>
      </c>
      <c r="G929" s="1" t="str">
        <f t="shared" si="59"/>
        <v/>
      </c>
      <c r="I929" s="1" t="str">
        <f t="shared" si="57"/>
        <v>威尔新数值1.06.xlsm!circlePer</v>
      </c>
    </row>
    <row r="930" spans="1:9" x14ac:dyDescent="0.15">
      <c r="A930" s="1">
        <v>929</v>
      </c>
      <c r="B930" s="1">
        <v>102080400</v>
      </c>
      <c r="C930" s="1">
        <f t="shared" si="56"/>
        <v>102</v>
      </c>
      <c r="D930" s="5">
        <f ca="1">IF(getQuality(B930)&lt;4,getOtherMin(B930,C930,INDIRECT(J$2),INDIRECT(I930),test),getMin(B930,C930,INDIRECT(J$2),INDIRECT(I930),test))</f>
        <v>1.1000000000000001</v>
      </c>
      <c r="E930" s="5">
        <f ca="1">IF(getQuality(B930)&lt;4,getOtherMax(B930,C930,INDIRECT(J$2),INDIRECT(I930),test),getMax(B930,C930,INDIRECT(J$2),INDIRECT(I930),test))</f>
        <v>1.5</v>
      </c>
      <c r="F930" s="1" t="str">
        <f t="shared" si="58"/>
        <v>50</v>
      </c>
      <c r="G930" s="1" t="str">
        <f t="shared" si="59"/>
        <v/>
      </c>
      <c r="I930" s="1" t="str">
        <f t="shared" si="57"/>
        <v>威尔新数值1.06.xlsm!circleValue</v>
      </c>
    </row>
    <row r="931" spans="1:9" x14ac:dyDescent="0.15">
      <c r="A931" s="1">
        <v>930</v>
      </c>
      <c r="B931" s="1">
        <v>102080400</v>
      </c>
      <c r="C931" s="1">
        <f t="shared" si="56"/>
        <v>103</v>
      </c>
      <c r="D931" s="5">
        <f ca="1">IF(getQuality(B931)&lt;4,getOtherMin(B931,C931,INDIRECT(J$2),INDIRECT(I931),test),getMin(B931,C931,INDIRECT(J$2),INDIRECT(I931),test))</f>
        <v>0.13</v>
      </c>
      <c r="E931" s="5">
        <f ca="1">IF(getQuality(B931)&lt;4,getOtherMax(B931,C931,INDIRECT(J$2),INDIRECT(I931),test),getMax(B931,C931,INDIRECT(J$2),INDIRECT(I931),test))</f>
        <v>0.16</v>
      </c>
      <c r="F931" s="1" t="str">
        <f t="shared" si="58"/>
        <v>50</v>
      </c>
      <c r="G931" s="1" t="str">
        <f t="shared" si="59"/>
        <v/>
      </c>
      <c r="I931" s="1" t="str">
        <f t="shared" si="57"/>
        <v>威尔新数值1.06.xlsm!otherDamage</v>
      </c>
    </row>
    <row r="932" spans="1:9" x14ac:dyDescent="0.15">
      <c r="A932" s="1">
        <v>931</v>
      </c>
      <c r="B932" s="1">
        <v>102080400</v>
      </c>
      <c r="C932" s="1">
        <f t="shared" ref="C932:C995" si="60">C913</f>
        <v>104</v>
      </c>
      <c r="D932" s="5">
        <f ca="1">IF(getQuality(B932)&lt;4,getOtherMin(B932,C932,INDIRECT(J$2),INDIRECT(I932),test),getMin(B932,C932,INDIRECT(J$2),INDIRECT(I932),test))</f>
        <v>0.13</v>
      </c>
      <c r="E932" s="5">
        <f ca="1">IF(getQuality(B932)&lt;4,getOtherMax(B932,C932,INDIRECT(J$2),INDIRECT(I932),test),getMax(B932,C932,INDIRECT(J$2),INDIRECT(I932),test))</f>
        <v>0.26</v>
      </c>
      <c r="F932" s="1" t="str">
        <f t="shared" si="58"/>
        <v>50</v>
      </c>
      <c r="G932" s="1" t="str">
        <f t="shared" si="59"/>
        <v/>
      </c>
      <c r="I932" s="1" t="str">
        <f t="shared" si="57"/>
        <v>威尔新数值1.06.xlsm!monsterDamage</v>
      </c>
    </row>
    <row r="933" spans="1:9" x14ac:dyDescent="0.15">
      <c r="A933" s="1">
        <v>932</v>
      </c>
      <c r="B933" s="1">
        <v>102080400</v>
      </c>
      <c r="C933" s="1">
        <f t="shared" si="60"/>
        <v>105</v>
      </c>
      <c r="D933" s="5">
        <f ca="1">IF(getQuality(B933)&lt;4,getOtherMin(B933,C933,INDIRECT(J$2),INDIRECT(I933),test),getMin(B933,C933,INDIRECT(J$2),INDIRECT(I933),test))</f>
        <v>0.13</v>
      </c>
      <c r="E933" s="5">
        <f ca="1">IF(getQuality(B933)&lt;4,getOtherMax(B933,C933,INDIRECT(J$2),INDIRECT(I933),test),getMax(B933,C933,INDIRECT(J$2),INDIRECT(I933),test))</f>
        <v>0.26</v>
      </c>
      <c r="F933" s="1" t="str">
        <f t="shared" si="58"/>
        <v>50</v>
      </c>
      <c r="G933" s="1" t="str">
        <f t="shared" si="59"/>
        <v/>
      </c>
      <c r="I933" s="1" t="str">
        <f t="shared" si="57"/>
        <v>威尔新数值1.06.xlsm!monsterDamage</v>
      </c>
    </row>
    <row r="934" spans="1:9" x14ac:dyDescent="0.15">
      <c r="A934" s="1">
        <v>933</v>
      </c>
      <c r="B934" s="1">
        <v>102080400</v>
      </c>
      <c r="C934" s="1">
        <f t="shared" si="60"/>
        <v>106</v>
      </c>
      <c r="D934" s="5">
        <f ca="1">IF(getQuality(B934)&lt;4,getOtherMin(B934,C934,INDIRECT(J$2),INDIRECT(I934),test),getMin(B934,C934,INDIRECT(J$2),INDIRECT(I934),test))</f>
        <v>0.13</v>
      </c>
      <c r="E934" s="5">
        <f ca="1">IF(getQuality(B934)&lt;4,getOtherMax(B934,C934,INDIRECT(J$2),INDIRECT(I934),test),getMax(B934,C934,INDIRECT(J$2),INDIRECT(I934),test))</f>
        <v>0.26</v>
      </c>
      <c r="F934" s="1" t="str">
        <f t="shared" si="58"/>
        <v>50</v>
      </c>
      <c r="G934" s="1" t="str">
        <f t="shared" si="59"/>
        <v/>
      </c>
      <c r="I934" s="1" t="str">
        <f t="shared" si="57"/>
        <v>威尔新数值1.06.xlsm!monsterDamage</v>
      </c>
    </row>
    <row r="935" spans="1:9" x14ac:dyDescent="0.15">
      <c r="A935" s="1">
        <v>934</v>
      </c>
      <c r="B935" s="1">
        <v>102080400</v>
      </c>
      <c r="C935" s="1">
        <f t="shared" si="60"/>
        <v>107</v>
      </c>
      <c r="D935" s="5">
        <f ca="1">IF(getQuality(B935)&lt;4,getOtherMin(B935,C935,INDIRECT(J$2),INDIRECT(I935),test),getMin(B935,C935,INDIRECT(J$2),INDIRECT(I935),test))</f>
        <v>0.13</v>
      </c>
      <c r="E935" s="5">
        <f ca="1">IF(getQuality(B935)&lt;4,getOtherMax(B935,C935,INDIRECT(J$2),INDIRECT(I935),test),getMax(B935,C935,INDIRECT(J$2),INDIRECT(I935),test))</f>
        <v>0.26</v>
      </c>
      <c r="F935" s="1" t="str">
        <f t="shared" si="58"/>
        <v>50</v>
      </c>
      <c r="G935" s="1" t="str">
        <f t="shared" si="59"/>
        <v/>
      </c>
      <c r="I935" s="1" t="str">
        <f t="shared" si="57"/>
        <v>威尔新数值1.06.xlsm!monsterDamage</v>
      </c>
    </row>
    <row r="936" spans="1:9" x14ac:dyDescent="0.15">
      <c r="A936" s="1">
        <v>935</v>
      </c>
      <c r="B936" s="1">
        <v>102080400</v>
      </c>
      <c r="C936" s="1">
        <f t="shared" si="60"/>
        <v>108</v>
      </c>
      <c r="D936" s="5">
        <f ca="1">IF(getQuality(B936)&lt;4,getOtherMin(B936,C936,INDIRECT(J$2),INDIRECT(I936),test),getMin(B936,C936,INDIRECT(J$2),INDIRECT(I936),test))</f>
        <v>0.13</v>
      </c>
      <c r="E936" s="5">
        <f ca="1">IF(getQuality(B936)&lt;4,getOtherMax(B936,C936,INDIRECT(J$2),INDIRECT(I936),test),getMax(B936,C936,INDIRECT(J$2),INDIRECT(I936),test))</f>
        <v>0.26</v>
      </c>
      <c r="F936" s="1" t="str">
        <f t="shared" si="58"/>
        <v>50</v>
      </c>
      <c r="G936" s="1" t="str">
        <f t="shared" si="59"/>
        <v/>
      </c>
      <c r="I936" s="1" t="str">
        <f t="shared" si="57"/>
        <v>威尔新数值1.06.xlsm!monsterDamage</v>
      </c>
    </row>
    <row r="937" spans="1:9" x14ac:dyDescent="0.15">
      <c r="A937" s="1">
        <v>936</v>
      </c>
      <c r="B937" s="1">
        <v>102090400</v>
      </c>
      <c r="C937" s="1">
        <f t="shared" si="60"/>
        <v>3</v>
      </c>
      <c r="D937" s="5">
        <f ca="1">IF(getQuality(B937)&lt;4,getOtherMin(B937,C937,INDIRECT(J$2),INDIRECT(I937),test),getMin(B937,C937,INDIRECT(J$2),INDIRECT(I937),test))</f>
        <v>288.24542239033156</v>
      </c>
      <c r="E937" s="5">
        <f ca="1">IF(getQuality(B937)&lt;4,getOtherMax(B937,C937,INDIRECT(J$2),INDIRECT(I937),test),getMax(B937,C937,INDIRECT(J$2),INDIRECT(I937),test))</f>
        <v>342.05887732784834</v>
      </c>
      <c r="F937" s="1" t="str">
        <f t="shared" si="58"/>
        <v>50</v>
      </c>
      <c r="G937" s="1" t="str">
        <f t="shared" si="59"/>
        <v/>
      </c>
      <c r="I937" s="1" t="str">
        <f t="shared" si="57"/>
        <v>威尔新数值1.06.xlsm!suitPower</v>
      </c>
    </row>
    <row r="938" spans="1:9" x14ac:dyDescent="0.15">
      <c r="A938" s="1">
        <v>937</v>
      </c>
      <c r="B938" s="1">
        <v>102090400</v>
      </c>
      <c r="C938" s="1">
        <f t="shared" si="60"/>
        <v>5</v>
      </c>
      <c r="D938" s="5">
        <f ca="1">IF(getQuality(B938)&lt;4,getOtherMin(B938,C938,INDIRECT(J$2),INDIRECT(I938),test),getMin(B938,C938,INDIRECT(J$2),INDIRECT(I938),test))</f>
        <v>288.24542239033156</v>
      </c>
      <c r="E938" s="5">
        <f ca="1">IF(getQuality(B938)&lt;4,getOtherMax(B938,C938,INDIRECT(J$2),INDIRECT(I938),test),getMax(B938,C938,INDIRECT(J$2),INDIRECT(I938),test))</f>
        <v>342.05887732784834</v>
      </c>
      <c r="F938" s="1" t="str">
        <f t="shared" si="58"/>
        <v>50</v>
      </c>
      <c r="G938" s="1" t="str">
        <f t="shared" si="59"/>
        <v>1</v>
      </c>
      <c r="I938" s="1" t="str">
        <f t="shared" si="57"/>
        <v>威尔新数值1.06.xlsm!suitPower</v>
      </c>
    </row>
    <row r="939" spans="1:9" x14ac:dyDescent="0.15">
      <c r="A939" s="1">
        <v>938</v>
      </c>
      <c r="B939" s="1">
        <v>102090400</v>
      </c>
      <c r="C939" s="1">
        <f t="shared" si="60"/>
        <v>7</v>
      </c>
      <c r="D939" s="5">
        <f ca="1">IF(getQuality(B939)&lt;4,getOtherMin(B939,C939,INDIRECT(J$2),INDIRECT(I939),test),getMin(B939,C939,INDIRECT(J$2),INDIRECT(I939),test))</f>
        <v>52.85185185185172</v>
      </c>
      <c r="E939" s="5">
        <f ca="1">IF(getQuality(B939)&lt;4,getOtherMax(B939,C939,INDIRECT(J$2),INDIRECT(I939),test),getMax(B939,C939,INDIRECT(J$2),INDIRECT(I939),test))</f>
        <v>58.333333333333186</v>
      </c>
      <c r="F939" s="1" t="str">
        <f t="shared" si="58"/>
        <v>50</v>
      </c>
      <c r="G939" s="1" t="str">
        <f t="shared" si="59"/>
        <v/>
      </c>
      <c r="I939" s="1" t="str">
        <f t="shared" si="57"/>
        <v>威尔新数值1.06.xlsm!suitPower</v>
      </c>
    </row>
    <row r="940" spans="1:9" x14ac:dyDescent="0.15">
      <c r="A940" s="1">
        <v>939</v>
      </c>
      <c r="B940" s="1">
        <v>102090400</v>
      </c>
      <c r="C940" s="1">
        <f t="shared" si="60"/>
        <v>8</v>
      </c>
      <c r="D940" s="5">
        <f ca="1">IF(getQuality(B940)&lt;4,getOtherMin(B940,C940,INDIRECT(J$2),INDIRECT(I940),test),getMin(B940,C940,INDIRECT(J$2),INDIRECT(I940),test))</f>
        <v>117.66666666666667</v>
      </c>
      <c r="E940" s="5">
        <f ca="1">IF(getQuality(B940)&lt;4,getOtherMax(B940,C940,INDIRECT(J$2),INDIRECT(I940),test),getMax(B940,C940,INDIRECT(J$2),INDIRECT(I940),test))</f>
        <v>131.25</v>
      </c>
      <c r="F940" s="1" t="str">
        <f t="shared" si="58"/>
        <v>50</v>
      </c>
      <c r="G940" s="1" t="str">
        <f t="shared" si="59"/>
        <v/>
      </c>
      <c r="I940" s="1" t="str">
        <f t="shared" si="57"/>
        <v>威尔新数值1.06.xlsm!suitPower</v>
      </c>
    </row>
    <row r="941" spans="1:9" x14ac:dyDescent="0.15">
      <c r="A941" s="1">
        <v>940</v>
      </c>
      <c r="B941" s="1">
        <v>102090400</v>
      </c>
      <c r="C941" s="1">
        <f t="shared" si="60"/>
        <v>9</v>
      </c>
      <c r="D941" s="5">
        <f ca="1">IF(getQuality(B941)&lt;4,getOtherMin(B941,C941,INDIRECT(J$2),INDIRECT(I941),test),getMin(B941,C941,INDIRECT(J$2),INDIRECT(I941),test))</f>
        <v>288.24542239033156</v>
      </c>
      <c r="E941" s="5">
        <f ca="1">IF(getQuality(B941)&lt;4,getOtherMax(B941,C941,INDIRECT(J$2),INDIRECT(I941),test),getMax(B941,C941,INDIRECT(J$2),INDIRECT(I941),test))</f>
        <v>342.05887732784834</v>
      </c>
      <c r="F941" s="1" t="str">
        <f t="shared" si="58"/>
        <v>50</v>
      </c>
      <c r="G941" s="1" t="str">
        <f t="shared" si="59"/>
        <v/>
      </c>
      <c r="I941" s="1" t="str">
        <f t="shared" si="57"/>
        <v>威尔新数值1.06.xlsm!suitPower</v>
      </c>
    </row>
    <row r="942" spans="1:9" x14ac:dyDescent="0.15">
      <c r="A942" s="1">
        <v>941</v>
      </c>
      <c r="B942" s="1">
        <v>102090400</v>
      </c>
      <c r="C942" s="1">
        <f t="shared" si="60"/>
        <v>10</v>
      </c>
      <c r="D942" s="5">
        <f ca="1">IF(getQuality(B942)&lt;4,getOtherMin(B942,C942,INDIRECT(J$2),INDIRECT(I942),test),getMin(B942,C942,INDIRECT(J$2),INDIRECT(I942),test))</f>
        <v>288.24542239033156</v>
      </c>
      <c r="E942" s="5">
        <f ca="1">IF(getQuality(B942)&lt;4,getOtherMax(B942,C942,INDIRECT(J$2),INDIRECT(I942),test),getMax(B942,C942,INDIRECT(J$2),INDIRECT(I942),test))</f>
        <v>342.05887732784834</v>
      </c>
      <c r="F942" s="1" t="str">
        <f t="shared" si="58"/>
        <v>50</v>
      </c>
      <c r="G942" s="1" t="str">
        <f t="shared" si="59"/>
        <v/>
      </c>
      <c r="I942" s="1" t="str">
        <f t="shared" si="57"/>
        <v>威尔新数值1.06.xlsm!suitPower</v>
      </c>
    </row>
    <row r="943" spans="1:9" x14ac:dyDescent="0.15">
      <c r="A943" s="1">
        <v>942</v>
      </c>
      <c r="B943" s="1">
        <v>102090400</v>
      </c>
      <c r="C943" s="1">
        <f t="shared" si="60"/>
        <v>11</v>
      </c>
      <c r="D943" s="5">
        <f ca="1">IF(getQuality(B943)&lt;4,getOtherMin(B943,C943,INDIRECT(J$2),INDIRECT(I943),test),getMin(B943,C943,INDIRECT(J$2),INDIRECT(I943),test))</f>
        <v>288.24542239033156</v>
      </c>
      <c r="E943" s="5">
        <f ca="1">IF(getQuality(B943)&lt;4,getOtherMax(B943,C943,INDIRECT(J$2),INDIRECT(I943),test),getMax(B943,C943,INDIRECT(J$2),INDIRECT(I943),test))</f>
        <v>342.05887732784834</v>
      </c>
      <c r="F943" s="1" t="str">
        <f t="shared" si="58"/>
        <v>50</v>
      </c>
      <c r="G943" s="1" t="str">
        <f t="shared" si="59"/>
        <v/>
      </c>
      <c r="I943" s="1" t="str">
        <f t="shared" si="57"/>
        <v>威尔新数值1.06.xlsm!suitPower</v>
      </c>
    </row>
    <row r="944" spans="1:9" x14ac:dyDescent="0.15">
      <c r="A944" s="1">
        <v>943</v>
      </c>
      <c r="B944" s="1">
        <v>102090400</v>
      </c>
      <c r="C944" s="1">
        <f t="shared" si="60"/>
        <v>12</v>
      </c>
      <c r="D944" s="5">
        <f ca="1">IF(getQuality(B944)&lt;4,getOtherMin(B944,C944,INDIRECT(J$2),INDIRECT(I944),test),getMin(B944,C944,INDIRECT(J$2),INDIRECT(I944),test))</f>
        <v>288.24542239033156</v>
      </c>
      <c r="E944" s="5">
        <f ca="1">IF(getQuality(B944)&lt;4,getOtherMax(B944,C944,INDIRECT(J$2),INDIRECT(I944),test),getMax(B944,C944,INDIRECT(J$2),INDIRECT(I944),test))</f>
        <v>342.05887732784834</v>
      </c>
      <c r="F944" s="1" t="str">
        <f t="shared" si="58"/>
        <v>50</v>
      </c>
      <c r="G944" s="1" t="str">
        <f t="shared" si="59"/>
        <v/>
      </c>
      <c r="I944" s="1" t="str">
        <f t="shared" si="57"/>
        <v>威尔新数值1.06.xlsm!suitPower</v>
      </c>
    </row>
    <row r="945" spans="1:9" x14ac:dyDescent="0.15">
      <c r="A945" s="1">
        <v>944</v>
      </c>
      <c r="B945" s="1">
        <v>102090400</v>
      </c>
      <c r="C945" s="1">
        <f t="shared" si="60"/>
        <v>13</v>
      </c>
      <c r="D945" s="5">
        <f ca="1">IF(getQuality(B945)&lt;4,getOtherMin(B945,C945,INDIRECT(J$2),INDIRECT(I945),test),getMin(B945,C945,INDIRECT(J$2),INDIRECT(I945),test))</f>
        <v>288.24542239033156</v>
      </c>
      <c r="E945" s="5">
        <f ca="1">IF(getQuality(B945)&lt;4,getOtherMax(B945,C945,INDIRECT(J$2),INDIRECT(I945),test),getMax(B945,C945,INDIRECT(J$2),INDIRECT(I945),test))</f>
        <v>342.05887732784834</v>
      </c>
      <c r="F945" s="1" t="str">
        <f t="shared" si="58"/>
        <v>50</v>
      </c>
      <c r="G945" s="1" t="str">
        <f t="shared" si="59"/>
        <v/>
      </c>
      <c r="I945" s="1" t="str">
        <f t="shared" si="57"/>
        <v>威尔新数值1.06.xlsm!suitPower</v>
      </c>
    </row>
    <row r="946" spans="1:9" x14ac:dyDescent="0.15">
      <c r="A946" s="1">
        <v>945</v>
      </c>
      <c r="B946" s="1">
        <v>102090400</v>
      </c>
      <c r="C946" s="1">
        <f t="shared" si="60"/>
        <v>14</v>
      </c>
      <c r="D946" s="5">
        <f ca="1">IF(getQuality(B946)&lt;4,getOtherMin(B946,C946,INDIRECT(J$2),INDIRECT(I946),test),getMin(B946,C946,INDIRECT(J$2),INDIRECT(I946),test))</f>
        <v>288.24542239033156</v>
      </c>
      <c r="E946" s="5">
        <f ca="1">IF(getQuality(B946)&lt;4,getOtherMax(B946,C946,INDIRECT(J$2),INDIRECT(I946),test),getMax(B946,C946,INDIRECT(J$2),INDIRECT(I946),test))</f>
        <v>342.05887732784834</v>
      </c>
      <c r="F946" s="1" t="str">
        <f t="shared" si="58"/>
        <v>50</v>
      </c>
      <c r="G946" s="1" t="str">
        <f t="shared" si="59"/>
        <v/>
      </c>
      <c r="I946" s="1" t="str">
        <f t="shared" si="57"/>
        <v>威尔新数值1.06.xlsm!suitPower</v>
      </c>
    </row>
    <row r="947" spans="1:9" x14ac:dyDescent="0.15">
      <c r="A947" s="1">
        <v>946</v>
      </c>
      <c r="B947" s="1">
        <v>102090400</v>
      </c>
      <c r="C947" s="1">
        <f t="shared" si="60"/>
        <v>15</v>
      </c>
      <c r="D947" s="5">
        <f ca="1">IF(getQuality(B947)&lt;4,getOtherMin(B947,C947,INDIRECT(J$2),INDIRECT(I947),test),getMin(B947,C947,INDIRECT(J$2),INDIRECT(I947),test))</f>
        <v>288.24542239033156</v>
      </c>
      <c r="E947" s="5">
        <f ca="1">IF(getQuality(B947)&lt;4,getOtherMax(B947,C947,INDIRECT(J$2),INDIRECT(I947),test),getMax(B947,C947,INDIRECT(J$2),INDIRECT(I947),test))</f>
        <v>342.05887732784834</v>
      </c>
      <c r="F947" s="1" t="str">
        <f t="shared" si="58"/>
        <v>50</v>
      </c>
      <c r="G947" s="1" t="str">
        <f t="shared" si="59"/>
        <v/>
      </c>
      <c r="I947" s="1" t="str">
        <f t="shared" si="57"/>
        <v>威尔新数值1.06.xlsm!suitPower</v>
      </c>
    </row>
    <row r="948" spans="1:9" x14ac:dyDescent="0.15">
      <c r="A948" s="1">
        <v>947</v>
      </c>
      <c r="B948" s="1">
        <v>102090400</v>
      </c>
      <c r="C948" s="1">
        <f t="shared" si="60"/>
        <v>101</v>
      </c>
      <c r="D948" s="5">
        <f ca="1">IF(getQuality(B948)&lt;4,getOtherMin(B948,C948,INDIRECT(J$2),INDIRECT(I948),test),getMin(B948,C948,INDIRECT(J$2),INDIRECT(I948),test))</f>
        <v>0.14000000000000001</v>
      </c>
      <c r="E948" s="5">
        <f ca="1">IF(getQuality(B948)&lt;4,getOtherMax(B948,C948,INDIRECT(J$2),INDIRECT(I948),test),getMax(B948,C948,INDIRECT(J$2),INDIRECT(I948),test))</f>
        <v>0.17</v>
      </c>
      <c r="F948" s="1" t="str">
        <f t="shared" si="58"/>
        <v>50</v>
      </c>
      <c r="G948" s="1" t="str">
        <f t="shared" si="59"/>
        <v/>
      </c>
      <c r="I948" s="1" t="str">
        <f t="shared" si="57"/>
        <v>威尔新数值1.06.xlsm!circlePer</v>
      </c>
    </row>
    <row r="949" spans="1:9" x14ac:dyDescent="0.15">
      <c r="A949" s="1">
        <v>948</v>
      </c>
      <c r="B949" s="1">
        <v>102090400</v>
      </c>
      <c r="C949" s="1">
        <f t="shared" si="60"/>
        <v>102</v>
      </c>
      <c r="D949" s="5">
        <f ca="1">IF(getQuality(B949)&lt;4,getOtherMin(B949,C949,INDIRECT(J$2),INDIRECT(I949),test),getMin(B949,C949,INDIRECT(J$2),INDIRECT(I949),test))</f>
        <v>1.2</v>
      </c>
      <c r="E949" s="5">
        <f ca="1">IF(getQuality(B949)&lt;4,getOtherMax(B949,C949,INDIRECT(J$2),INDIRECT(I949),test),getMax(B949,C949,INDIRECT(J$2),INDIRECT(I949),test))</f>
        <v>1.6</v>
      </c>
      <c r="F949" s="1" t="str">
        <f t="shared" si="58"/>
        <v>50</v>
      </c>
      <c r="G949" s="1" t="str">
        <f t="shared" si="59"/>
        <v/>
      </c>
      <c r="I949" s="1" t="str">
        <f t="shared" si="57"/>
        <v>威尔新数值1.06.xlsm!circleValue</v>
      </c>
    </row>
    <row r="950" spans="1:9" x14ac:dyDescent="0.15">
      <c r="A950" s="1">
        <v>949</v>
      </c>
      <c r="B950" s="1">
        <v>102090400</v>
      </c>
      <c r="C950" s="1">
        <f t="shared" si="60"/>
        <v>103</v>
      </c>
      <c r="D950" s="5">
        <f ca="1">IF(getQuality(B950)&lt;4,getOtherMin(B950,C950,INDIRECT(J$2),INDIRECT(I950),test),getMin(B950,C950,INDIRECT(J$2),INDIRECT(I950),test))</f>
        <v>0.14000000000000001</v>
      </c>
      <c r="E950" s="5">
        <f ca="1">IF(getQuality(B950)&lt;4,getOtherMax(B950,C950,INDIRECT(J$2),INDIRECT(I950),test),getMax(B950,C950,INDIRECT(J$2),INDIRECT(I950),test))</f>
        <v>0.17</v>
      </c>
      <c r="F950" s="1" t="str">
        <f t="shared" si="58"/>
        <v>50</v>
      </c>
      <c r="G950" s="1" t="str">
        <f t="shared" si="59"/>
        <v/>
      </c>
      <c r="I950" s="1" t="str">
        <f t="shared" si="57"/>
        <v>威尔新数值1.06.xlsm!otherDamage</v>
      </c>
    </row>
    <row r="951" spans="1:9" x14ac:dyDescent="0.15">
      <c r="A951" s="1">
        <v>950</v>
      </c>
      <c r="B951" s="1">
        <v>102090400</v>
      </c>
      <c r="C951" s="1">
        <f t="shared" si="60"/>
        <v>104</v>
      </c>
      <c r="D951" s="5">
        <f ca="1">IF(getQuality(B951)&lt;4,getOtherMin(B951,C951,INDIRECT(J$2),INDIRECT(I951),test),getMin(B951,C951,INDIRECT(J$2),INDIRECT(I951),test))</f>
        <v>0.14000000000000001</v>
      </c>
      <c r="E951" s="5">
        <f ca="1">IF(getQuality(B951)&lt;4,getOtherMax(B951,C951,INDIRECT(J$2),INDIRECT(I951),test),getMax(B951,C951,INDIRECT(J$2),INDIRECT(I951),test))</f>
        <v>0.28000000000000003</v>
      </c>
      <c r="F951" s="1" t="str">
        <f t="shared" si="58"/>
        <v>50</v>
      </c>
      <c r="G951" s="1" t="str">
        <f t="shared" si="59"/>
        <v/>
      </c>
      <c r="I951" s="1" t="str">
        <f t="shared" si="57"/>
        <v>威尔新数值1.06.xlsm!monsterDamage</v>
      </c>
    </row>
    <row r="952" spans="1:9" x14ac:dyDescent="0.15">
      <c r="A952" s="1">
        <v>951</v>
      </c>
      <c r="B952" s="1">
        <v>102090400</v>
      </c>
      <c r="C952" s="1">
        <f t="shared" si="60"/>
        <v>105</v>
      </c>
      <c r="D952" s="5">
        <f ca="1">IF(getQuality(B952)&lt;4,getOtherMin(B952,C952,INDIRECT(J$2),INDIRECT(I952),test),getMin(B952,C952,INDIRECT(J$2),INDIRECT(I952),test))</f>
        <v>0.14000000000000001</v>
      </c>
      <c r="E952" s="5">
        <f ca="1">IF(getQuality(B952)&lt;4,getOtherMax(B952,C952,INDIRECT(J$2),INDIRECT(I952),test),getMax(B952,C952,INDIRECT(J$2),INDIRECT(I952),test))</f>
        <v>0.28000000000000003</v>
      </c>
      <c r="F952" s="1" t="str">
        <f t="shared" si="58"/>
        <v>50</v>
      </c>
      <c r="G952" s="1" t="str">
        <f t="shared" si="59"/>
        <v/>
      </c>
      <c r="I952" s="1" t="str">
        <f t="shared" si="57"/>
        <v>威尔新数值1.06.xlsm!monsterDamage</v>
      </c>
    </row>
    <row r="953" spans="1:9" x14ac:dyDescent="0.15">
      <c r="A953" s="1">
        <v>952</v>
      </c>
      <c r="B953" s="1">
        <v>102090400</v>
      </c>
      <c r="C953" s="1">
        <f t="shared" si="60"/>
        <v>106</v>
      </c>
      <c r="D953" s="5">
        <f ca="1">IF(getQuality(B953)&lt;4,getOtherMin(B953,C953,INDIRECT(J$2),INDIRECT(I953),test),getMin(B953,C953,INDIRECT(J$2),INDIRECT(I953),test))</f>
        <v>0.14000000000000001</v>
      </c>
      <c r="E953" s="5">
        <f ca="1">IF(getQuality(B953)&lt;4,getOtherMax(B953,C953,INDIRECT(J$2),INDIRECT(I953),test),getMax(B953,C953,INDIRECT(J$2),INDIRECT(I953),test))</f>
        <v>0.28000000000000003</v>
      </c>
      <c r="F953" s="1" t="str">
        <f t="shared" si="58"/>
        <v>50</v>
      </c>
      <c r="G953" s="1" t="str">
        <f t="shared" si="59"/>
        <v/>
      </c>
      <c r="I953" s="1" t="str">
        <f t="shared" si="57"/>
        <v>威尔新数值1.06.xlsm!monsterDamage</v>
      </c>
    </row>
    <row r="954" spans="1:9" x14ac:dyDescent="0.15">
      <c r="A954" s="1">
        <v>953</v>
      </c>
      <c r="B954" s="1">
        <v>102090400</v>
      </c>
      <c r="C954" s="1">
        <f t="shared" si="60"/>
        <v>107</v>
      </c>
      <c r="D954" s="5">
        <f ca="1">IF(getQuality(B954)&lt;4,getOtherMin(B954,C954,INDIRECT(J$2),INDIRECT(I954),test),getMin(B954,C954,INDIRECT(J$2),INDIRECT(I954),test))</f>
        <v>0.14000000000000001</v>
      </c>
      <c r="E954" s="5">
        <f ca="1">IF(getQuality(B954)&lt;4,getOtherMax(B954,C954,INDIRECT(J$2),INDIRECT(I954),test),getMax(B954,C954,INDIRECT(J$2),INDIRECT(I954),test))</f>
        <v>0.28000000000000003</v>
      </c>
      <c r="F954" s="1" t="str">
        <f t="shared" si="58"/>
        <v>50</v>
      </c>
      <c r="G954" s="1" t="str">
        <f t="shared" si="59"/>
        <v/>
      </c>
      <c r="I954" s="1" t="str">
        <f t="shared" si="57"/>
        <v>威尔新数值1.06.xlsm!monsterDamage</v>
      </c>
    </row>
    <row r="955" spans="1:9" x14ac:dyDescent="0.15">
      <c r="A955" s="1">
        <v>954</v>
      </c>
      <c r="B955" s="1">
        <v>102090400</v>
      </c>
      <c r="C955" s="1">
        <f t="shared" si="60"/>
        <v>108</v>
      </c>
      <c r="D955" s="5">
        <f ca="1">IF(getQuality(B955)&lt;4,getOtherMin(B955,C955,INDIRECT(J$2),INDIRECT(I955),test),getMin(B955,C955,INDIRECT(J$2),INDIRECT(I955),test))</f>
        <v>0.14000000000000001</v>
      </c>
      <c r="E955" s="5">
        <f ca="1">IF(getQuality(B955)&lt;4,getOtherMax(B955,C955,INDIRECT(J$2),INDIRECT(I955),test),getMax(B955,C955,INDIRECT(J$2),INDIRECT(I955),test))</f>
        <v>0.28000000000000003</v>
      </c>
      <c r="F955" s="1" t="str">
        <f t="shared" si="58"/>
        <v>50</v>
      </c>
      <c r="G955" s="1" t="str">
        <f t="shared" si="59"/>
        <v/>
      </c>
      <c r="I955" s="1" t="str">
        <f t="shared" si="57"/>
        <v>威尔新数值1.06.xlsm!monsterDamage</v>
      </c>
    </row>
    <row r="956" spans="1:9" x14ac:dyDescent="0.15">
      <c r="A956" s="1">
        <v>955</v>
      </c>
      <c r="B956" s="1">
        <v>102010500</v>
      </c>
      <c r="C956" s="1">
        <f t="shared" si="60"/>
        <v>3</v>
      </c>
      <c r="D956" s="5">
        <f ca="1">IF(getQuality(B956)&lt;4,getOtherMin(B956,C956,INDIRECT(J$2),INDIRECT(I956),test),getMin(B956,C956,INDIRECT(J$2),INDIRECT(I956),test))</f>
        <v>1</v>
      </c>
      <c r="E956" s="5">
        <f ca="1">IF(getQuality(B956)&lt;4,getOtherMax(B956,C956,INDIRECT(J$2),INDIRECT(I956),test),getMax(B956,C956,INDIRECT(J$2),INDIRECT(I956),test))</f>
        <v>21.008641265250315</v>
      </c>
      <c r="F956" s="1" t="str">
        <f t="shared" si="58"/>
        <v>50</v>
      </c>
      <c r="G956" s="1" t="str">
        <f t="shared" si="59"/>
        <v>1</v>
      </c>
      <c r="I956" s="1" t="str">
        <f t="shared" si="57"/>
        <v>威尔新数值1.06.xlsm!suitPower</v>
      </c>
    </row>
    <row r="957" spans="1:9" x14ac:dyDescent="0.15">
      <c r="A957" s="1">
        <v>956</v>
      </c>
      <c r="B957" s="1">
        <v>102010500</v>
      </c>
      <c r="C957" s="1">
        <f t="shared" si="60"/>
        <v>5</v>
      </c>
      <c r="D957" s="5">
        <f ca="1">IF(getQuality(B957)&lt;4,getOtherMin(B957,C957,INDIRECT(J$2),INDIRECT(I957),test),getMin(B957,C957,INDIRECT(J$2),INDIRECT(I957),test))</f>
        <v>1</v>
      </c>
      <c r="E957" s="5">
        <f ca="1">IF(getQuality(B957)&lt;4,getOtherMax(B957,C957,INDIRECT(J$2),INDIRECT(I957),test),getMax(B957,C957,INDIRECT(J$2),INDIRECT(I957),test))</f>
        <v>21.008641265250315</v>
      </c>
      <c r="F957" s="1" t="str">
        <f t="shared" si="58"/>
        <v>50</v>
      </c>
      <c r="G957" s="1" t="str">
        <f t="shared" si="59"/>
        <v/>
      </c>
      <c r="I957" s="1" t="str">
        <f t="shared" si="57"/>
        <v>威尔新数值1.06.xlsm!suitPower</v>
      </c>
    </row>
    <row r="958" spans="1:9" x14ac:dyDescent="0.15">
      <c r="A958" s="1">
        <v>957</v>
      </c>
      <c r="B958" s="1">
        <v>102010500</v>
      </c>
      <c r="C958" s="1">
        <f t="shared" si="60"/>
        <v>7</v>
      </c>
      <c r="D958" s="5">
        <f ca="1">IF(getQuality(B958)&lt;4,getOtherMin(B958,C958,INDIRECT(J$2),INDIRECT(I958),test),getMin(B958,C958,INDIRECT(J$2),INDIRECT(I958),test))</f>
        <v>1</v>
      </c>
      <c r="E958" s="5">
        <f ca="1">IF(getQuality(B958)&lt;4,getOtherMax(B958,C958,INDIRECT(J$2),INDIRECT(I958),test),getMax(B958,C958,INDIRECT(J$2),INDIRECT(I958),test))</f>
        <v>6.481481481481465</v>
      </c>
      <c r="F958" s="1" t="str">
        <f t="shared" si="58"/>
        <v>50</v>
      </c>
      <c r="G958" s="1" t="str">
        <f t="shared" si="59"/>
        <v/>
      </c>
      <c r="I958" s="1" t="str">
        <f t="shared" si="57"/>
        <v>威尔新数值1.06.xlsm!suitPower</v>
      </c>
    </row>
    <row r="959" spans="1:9" x14ac:dyDescent="0.15">
      <c r="A959" s="1">
        <v>958</v>
      </c>
      <c r="B959" s="1">
        <v>102010500</v>
      </c>
      <c r="C959" s="1">
        <f t="shared" si="60"/>
        <v>8</v>
      </c>
      <c r="D959" s="5">
        <f ca="1">IF(getQuality(B959)&lt;4,getOtherMin(B959,C959,INDIRECT(J$2),INDIRECT(I959),test),getMin(B959,C959,INDIRECT(J$2),INDIRECT(I959),test))</f>
        <v>1</v>
      </c>
      <c r="E959" s="5">
        <f ca="1">IF(getQuality(B959)&lt;4,getOtherMax(B959,C959,INDIRECT(J$2),INDIRECT(I959),test),getMax(B959,C959,INDIRECT(J$2),INDIRECT(I959),test))</f>
        <v>14.583333333333334</v>
      </c>
      <c r="F959" s="1" t="str">
        <f t="shared" si="58"/>
        <v>50</v>
      </c>
      <c r="G959" s="1" t="str">
        <f t="shared" si="59"/>
        <v/>
      </c>
      <c r="I959" s="1" t="str">
        <f t="shared" si="57"/>
        <v>威尔新数值1.06.xlsm!suitPower</v>
      </c>
    </row>
    <row r="960" spans="1:9" x14ac:dyDescent="0.15">
      <c r="A960" s="1">
        <v>959</v>
      </c>
      <c r="B960" s="1">
        <v>102010500</v>
      </c>
      <c r="C960" s="1">
        <f t="shared" si="60"/>
        <v>9</v>
      </c>
      <c r="D960" s="5">
        <f ca="1">IF(getQuality(B960)&lt;4,getOtherMin(B960,C960,INDIRECT(J$2),INDIRECT(I960),test),getMin(B960,C960,INDIRECT(J$2),INDIRECT(I960),test))</f>
        <v>1</v>
      </c>
      <c r="E960" s="5">
        <f ca="1">IF(getQuality(B960)&lt;4,getOtherMax(B960,C960,INDIRECT(J$2),INDIRECT(I960),test),getMax(B960,C960,INDIRECT(J$2),INDIRECT(I960),test))</f>
        <v>21.008641265250315</v>
      </c>
      <c r="F960" s="1" t="str">
        <f t="shared" si="58"/>
        <v>50</v>
      </c>
      <c r="G960" s="1" t="str">
        <f t="shared" si="59"/>
        <v/>
      </c>
      <c r="I960" s="1" t="str">
        <f t="shared" si="57"/>
        <v>威尔新数值1.06.xlsm!suitPower</v>
      </c>
    </row>
    <row r="961" spans="1:9" x14ac:dyDescent="0.15">
      <c r="A961" s="1">
        <v>960</v>
      </c>
      <c r="B961" s="1">
        <v>102010500</v>
      </c>
      <c r="C961" s="1">
        <f t="shared" si="60"/>
        <v>10</v>
      </c>
      <c r="D961" s="5">
        <f ca="1">IF(getQuality(B961)&lt;4,getOtherMin(B961,C961,INDIRECT(J$2),INDIRECT(I961),test),getMin(B961,C961,INDIRECT(J$2),INDIRECT(I961),test))</f>
        <v>1</v>
      </c>
      <c r="E961" s="5">
        <f ca="1">IF(getQuality(B961)&lt;4,getOtherMax(B961,C961,INDIRECT(J$2),INDIRECT(I961),test),getMax(B961,C961,INDIRECT(J$2),INDIRECT(I961),test))</f>
        <v>21.008641265250315</v>
      </c>
      <c r="F961" s="1" t="str">
        <f t="shared" si="58"/>
        <v>50</v>
      </c>
      <c r="G961" s="1" t="str">
        <f t="shared" si="59"/>
        <v/>
      </c>
      <c r="I961" s="1" t="str">
        <f t="shared" si="57"/>
        <v>威尔新数值1.06.xlsm!suitPower</v>
      </c>
    </row>
    <row r="962" spans="1:9" x14ac:dyDescent="0.15">
      <c r="A962" s="1">
        <v>961</v>
      </c>
      <c r="B962" s="1">
        <v>102010500</v>
      </c>
      <c r="C962" s="1">
        <f t="shared" si="60"/>
        <v>11</v>
      </c>
      <c r="D962" s="5">
        <f ca="1">IF(getQuality(B962)&lt;4,getOtherMin(B962,C962,INDIRECT(J$2),INDIRECT(I962),test),getMin(B962,C962,INDIRECT(J$2),INDIRECT(I962),test))</f>
        <v>1</v>
      </c>
      <c r="E962" s="5">
        <f ca="1">IF(getQuality(B962)&lt;4,getOtherMax(B962,C962,INDIRECT(J$2),INDIRECT(I962),test),getMax(B962,C962,INDIRECT(J$2),INDIRECT(I962),test))</f>
        <v>21.008641265250315</v>
      </c>
      <c r="F962" s="1" t="str">
        <f t="shared" si="58"/>
        <v>50</v>
      </c>
      <c r="G962" s="1" t="str">
        <f t="shared" si="59"/>
        <v/>
      </c>
      <c r="I962" s="1" t="str">
        <f t="shared" ref="I962:I1025" si="61">IF(C962&lt;100,VLOOKUP(C962,test,3,FALSE),VLOOKUP(C962,test1,3,FALSE))</f>
        <v>威尔新数值1.06.xlsm!suitPower</v>
      </c>
    </row>
    <row r="963" spans="1:9" x14ac:dyDescent="0.15">
      <c r="A963" s="1">
        <v>962</v>
      </c>
      <c r="B963" s="1">
        <v>102010500</v>
      </c>
      <c r="C963" s="1">
        <f t="shared" si="60"/>
        <v>12</v>
      </c>
      <c r="D963" s="5">
        <f ca="1">IF(getQuality(B963)&lt;4,getOtherMin(B963,C963,INDIRECT(J$2),INDIRECT(I963),test),getMin(B963,C963,INDIRECT(J$2),INDIRECT(I963),test))</f>
        <v>1</v>
      </c>
      <c r="E963" s="5">
        <f ca="1">IF(getQuality(B963)&lt;4,getOtherMax(B963,C963,INDIRECT(J$2),INDIRECT(I963),test),getMax(B963,C963,INDIRECT(J$2),INDIRECT(I963),test))</f>
        <v>21.008641265250315</v>
      </c>
      <c r="F963" s="1" t="str">
        <f t="shared" ref="F963:F1026" si="62">getper(B963,C963)</f>
        <v>50</v>
      </c>
      <c r="G963" s="1" t="str">
        <f t="shared" ref="G963:G1026" si="63">getMust(B963,C963)</f>
        <v/>
      </c>
      <c r="I963" s="1" t="str">
        <f t="shared" si="61"/>
        <v>威尔新数值1.06.xlsm!suitPower</v>
      </c>
    </row>
    <row r="964" spans="1:9" x14ac:dyDescent="0.15">
      <c r="A964" s="1">
        <v>963</v>
      </c>
      <c r="B964" s="1">
        <v>102010500</v>
      </c>
      <c r="C964" s="1">
        <f t="shared" si="60"/>
        <v>13</v>
      </c>
      <c r="D964" s="5">
        <f ca="1">IF(getQuality(B964)&lt;4,getOtherMin(B964,C964,INDIRECT(J$2),INDIRECT(I964),test),getMin(B964,C964,INDIRECT(J$2),INDIRECT(I964),test))</f>
        <v>1</v>
      </c>
      <c r="E964" s="5">
        <f ca="1">IF(getQuality(B964)&lt;4,getOtherMax(B964,C964,INDIRECT(J$2),INDIRECT(I964),test),getMax(B964,C964,INDIRECT(J$2),INDIRECT(I964),test))</f>
        <v>21.008641265250315</v>
      </c>
      <c r="F964" s="1" t="str">
        <f t="shared" si="62"/>
        <v>50</v>
      </c>
      <c r="G964" s="1" t="str">
        <f t="shared" si="63"/>
        <v/>
      </c>
      <c r="I964" s="1" t="str">
        <f t="shared" si="61"/>
        <v>威尔新数值1.06.xlsm!suitPower</v>
      </c>
    </row>
    <row r="965" spans="1:9" x14ac:dyDescent="0.15">
      <c r="A965" s="1">
        <v>964</v>
      </c>
      <c r="B965" s="1">
        <v>102010500</v>
      </c>
      <c r="C965" s="1">
        <f t="shared" si="60"/>
        <v>14</v>
      </c>
      <c r="D965" s="5">
        <f ca="1">IF(getQuality(B965)&lt;4,getOtherMin(B965,C965,INDIRECT(J$2),INDIRECT(I965),test),getMin(B965,C965,INDIRECT(J$2),INDIRECT(I965),test))</f>
        <v>1</v>
      </c>
      <c r="E965" s="5">
        <f ca="1">IF(getQuality(B965)&lt;4,getOtherMax(B965,C965,INDIRECT(J$2),INDIRECT(I965),test),getMax(B965,C965,INDIRECT(J$2),INDIRECT(I965),test))</f>
        <v>21.008641265250315</v>
      </c>
      <c r="F965" s="1" t="str">
        <f t="shared" si="62"/>
        <v>50</v>
      </c>
      <c r="G965" s="1" t="str">
        <f t="shared" si="63"/>
        <v/>
      </c>
      <c r="I965" s="1" t="str">
        <f t="shared" si="61"/>
        <v>威尔新数值1.06.xlsm!suitPower</v>
      </c>
    </row>
    <row r="966" spans="1:9" x14ac:dyDescent="0.15">
      <c r="A966" s="1">
        <v>965</v>
      </c>
      <c r="B966" s="1">
        <v>102010500</v>
      </c>
      <c r="C966" s="1">
        <f t="shared" si="60"/>
        <v>15</v>
      </c>
      <c r="D966" s="5">
        <f ca="1">IF(getQuality(B966)&lt;4,getOtherMin(B966,C966,INDIRECT(J$2),INDIRECT(I966),test),getMin(B966,C966,INDIRECT(J$2),INDIRECT(I966),test))</f>
        <v>1</v>
      </c>
      <c r="E966" s="5">
        <f ca="1">IF(getQuality(B966)&lt;4,getOtherMax(B966,C966,INDIRECT(J$2),INDIRECT(I966),test),getMax(B966,C966,INDIRECT(J$2),INDIRECT(I966),test))</f>
        <v>21.008641265250315</v>
      </c>
      <c r="F966" s="1" t="str">
        <f t="shared" si="62"/>
        <v>50</v>
      </c>
      <c r="G966" s="1" t="str">
        <f t="shared" si="63"/>
        <v/>
      </c>
      <c r="I966" s="1" t="str">
        <f t="shared" si="61"/>
        <v>威尔新数值1.06.xlsm!suitPower</v>
      </c>
    </row>
    <row r="967" spans="1:9" x14ac:dyDescent="0.15">
      <c r="A967" s="1">
        <v>966</v>
      </c>
      <c r="B967" s="1">
        <v>102010500</v>
      </c>
      <c r="C967" s="1">
        <f t="shared" si="60"/>
        <v>101</v>
      </c>
      <c r="D967" s="5">
        <f ca="1">IF(getQuality(B967)&lt;4,getOtherMin(B967,C967,INDIRECT(J$2),INDIRECT(I967),test),getMin(B967,C967,INDIRECT(J$2),INDIRECT(I967),test))</f>
        <v>0.06</v>
      </c>
      <c r="E967" s="5">
        <f ca="1">IF(getQuality(B967)&lt;4,getOtherMax(B967,C967,INDIRECT(J$2),INDIRECT(I967),test),getMax(B967,C967,INDIRECT(J$2),INDIRECT(I967),test))</f>
        <v>0.09</v>
      </c>
      <c r="F967" s="1" t="str">
        <f t="shared" si="62"/>
        <v>50</v>
      </c>
      <c r="G967" s="1" t="str">
        <f t="shared" si="63"/>
        <v/>
      </c>
      <c r="I967" s="1" t="str">
        <f t="shared" si="61"/>
        <v>威尔新数值1.06.xlsm!circlePer</v>
      </c>
    </row>
    <row r="968" spans="1:9" x14ac:dyDescent="0.15">
      <c r="A968" s="1">
        <v>967</v>
      </c>
      <c r="B968" s="1">
        <v>102010500</v>
      </c>
      <c r="C968" s="1">
        <f t="shared" si="60"/>
        <v>102</v>
      </c>
      <c r="D968" s="5">
        <f ca="1">IF(getQuality(B968)&lt;4,getOtherMin(B968,C968,INDIRECT(J$2),INDIRECT(I968),test),getMin(B968,C968,INDIRECT(J$2),INDIRECT(I968),test))</f>
        <v>0.4</v>
      </c>
      <c r="E968" s="5">
        <f ca="1">IF(getQuality(B968)&lt;4,getOtherMax(B968,C968,INDIRECT(J$2),INDIRECT(I968),test),getMax(B968,C968,INDIRECT(J$2),INDIRECT(I968),test))</f>
        <v>0.8</v>
      </c>
      <c r="F968" s="1" t="str">
        <f t="shared" si="62"/>
        <v>50</v>
      </c>
      <c r="G968" s="1" t="str">
        <f t="shared" si="63"/>
        <v/>
      </c>
      <c r="I968" s="1" t="str">
        <f t="shared" si="61"/>
        <v>威尔新数值1.06.xlsm!circleValue</v>
      </c>
    </row>
    <row r="969" spans="1:9" x14ac:dyDescent="0.15">
      <c r="A969" s="1">
        <v>968</v>
      </c>
      <c r="B969" s="1">
        <v>102010500</v>
      </c>
      <c r="C969" s="1">
        <f t="shared" si="60"/>
        <v>103</v>
      </c>
      <c r="D969" s="5">
        <f ca="1">IF(getQuality(B969)&lt;4,getOtherMin(B969,C969,INDIRECT(J$2),INDIRECT(I969),test),getMin(B969,C969,INDIRECT(J$2),INDIRECT(I969),test))</f>
        <v>0.06</v>
      </c>
      <c r="E969" s="5">
        <f ca="1">IF(getQuality(B969)&lt;4,getOtherMax(B969,C969,INDIRECT(J$2),INDIRECT(I969),test),getMax(B969,C969,INDIRECT(J$2),INDIRECT(I969),test))</f>
        <v>0.09</v>
      </c>
      <c r="F969" s="1" t="str">
        <f t="shared" si="62"/>
        <v>50</v>
      </c>
      <c r="G969" s="1" t="str">
        <f t="shared" si="63"/>
        <v/>
      </c>
      <c r="I969" s="1" t="str">
        <f t="shared" si="61"/>
        <v>威尔新数值1.06.xlsm!otherDamage</v>
      </c>
    </row>
    <row r="970" spans="1:9" x14ac:dyDescent="0.15">
      <c r="A970" s="1">
        <v>969</v>
      </c>
      <c r="B970" s="1">
        <v>102010500</v>
      </c>
      <c r="C970" s="1">
        <f t="shared" si="60"/>
        <v>104</v>
      </c>
      <c r="D970" s="5">
        <f ca="1">IF(getQuality(B970)&lt;4,getOtherMin(B970,C970,INDIRECT(J$2),INDIRECT(I970),test),getMin(B970,C970,INDIRECT(J$2),INDIRECT(I970),test))</f>
        <v>0.06</v>
      </c>
      <c r="E970" s="5">
        <f ca="1">IF(getQuality(B970)&lt;4,getOtherMax(B970,C970,INDIRECT(J$2),INDIRECT(I970),test),getMax(B970,C970,INDIRECT(J$2),INDIRECT(I970),test))</f>
        <v>0.12</v>
      </c>
      <c r="F970" s="1" t="str">
        <f t="shared" si="62"/>
        <v>50</v>
      </c>
      <c r="G970" s="1" t="str">
        <f t="shared" si="63"/>
        <v/>
      </c>
      <c r="I970" s="1" t="str">
        <f t="shared" si="61"/>
        <v>威尔新数值1.06.xlsm!monsterDamage</v>
      </c>
    </row>
    <row r="971" spans="1:9" x14ac:dyDescent="0.15">
      <c r="A971" s="1">
        <v>970</v>
      </c>
      <c r="B971" s="1">
        <v>102010500</v>
      </c>
      <c r="C971" s="1">
        <f t="shared" si="60"/>
        <v>105</v>
      </c>
      <c r="D971" s="5">
        <f ca="1">IF(getQuality(B971)&lt;4,getOtherMin(B971,C971,INDIRECT(J$2),INDIRECT(I971),test),getMin(B971,C971,INDIRECT(J$2),INDIRECT(I971),test))</f>
        <v>0.06</v>
      </c>
      <c r="E971" s="5">
        <f ca="1">IF(getQuality(B971)&lt;4,getOtherMax(B971,C971,INDIRECT(J$2),INDIRECT(I971),test),getMax(B971,C971,INDIRECT(J$2),INDIRECT(I971),test))</f>
        <v>0.12</v>
      </c>
      <c r="F971" s="1" t="str">
        <f t="shared" si="62"/>
        <v>50</v>
      </c>
      <c r="G971" s="1" t="str">
        <f t="shared" si="63"/>
        <v/>
      </c>
      <c r="I971" s="1" t="str">
        <f t="shared" si="61"/>
        <v>威尔新数值1.06.xlsm!monsterDamage</v>
      </c>
    </row>
    <row r="972" spans="1:9" x14ac:dyDescent="0.15">
      <c r="A972" s="1">
        <v>971</v>
      </c>
      <c r="B972" s="1">
        <v>102010500</v>
      </c>
      <c r="C972" s="1">
        <f t="shared" si="60"/>
        <v>106</v>
      </c>
      <c r="D972" s="5">
        <f ca="1">IF(getQuality(B972)&lt;4,getOtherMin(B972,C972,INDIRECT(J$2),INDIRECT(I972),test),getMin(B972,C972,INDIRECT(J$2),INDIRECT(I972),test))</f>
        <v>0.06</v>
      </c>
      <c r="E972" s="5">
        <f ca="1">IF(getQuality(B972)&lt;4,getOtherMax(B972,C972,INDIRECT(J$2),INDIRECT(I972),test),getMax(B972,C972,INDIRECT(J$2),INDIRECT(I972),test))</f>
        <v>0.12</v>
      </c>
      <c r="F972" s="1" t="str">
        <f t="shared" si="62"/>
        <v>50</v>
      </c>
      <c r="G972" s="1" t="str">
        <f t="shared" si="63"/>
        <v/>
      </c>
      <c r="I972" s="1" t="str">
        <f t="shared" si="61"/>
        <v>威尔新数值1.06.xlsm!monsterDamage</v>
      </c>
    </row>
    <row r="973" spans="1:9" x14ac:dyDescent="0.15">
      <c r="A973" s="1">
        <v>972</v>
      </c>
      <c r="B973" s="1">
        <v>102010500</v>
      </c>
      <c r="C973" s="1">
        <f t="shared" si="60"/>
        <v>107</v>
      </c>
      <c r="D973" s="5">
        <f ca="1">IF(getQuality(B973)&lt;4,getOtherMin(B973,C973,INDIRECT(J$2),INDIRECT(I973),test),getMin(B973,C973,INDIRECT(J$2),INDIRECT(I973),test))</f>
        <v>0.06</v>
      </c>
      <c r="E973" s="5">
        <f ca="1">IF(getQuality(B973)&lt;4,getOtherMax(B973,C973,INDIRECT(J$2),INDIRECT(I973),test),getMax(B973,C973,INDIRECT(J$2),INDIRECT(I973),test))</f>
        <v>0.12</v>
      </c>
      <c r="F973" s="1" t="str">
        <f t="shared" si="62"/>
        <v>50</v>
      </c>
      <c r="G973" s="1" t="str">
        <f t="shared" si="63"/>
        <v/>
      </c>
      <c r="I973" s="1" t="str">
        <f t="shared" si="61"/>
        <v>威尔新数值1.06.xlsm!monsterDamage</v>
      </c>
    </row>
    <row r="974" spans="1:9" x14ac:dyDescent="0.15">
      <c r="A974" s="1">
        <v>973</v>
      </c>
      <c r="B974" s="1">
        <v>102010500</v>
      </c>
      <c r="C974" s="1">
        <f t="shared" si="60"/>
        <v>108</v>
      </c>
      <c r="D974" s="5">
        <f ca="1">IF(getQuality(B974)&lt;4,getOtherMin(B974,C974,INDIRECT(J$2),INDIRECT(I974),test),getMin(B974,C974,INDIRECT(J$2),INDIRECT(I974),test))</f>
        <v>0.06</v>
      </c>
      <c r="E974" s="5">
        <f ca="1">IF(getQuality(B974)&lt;4,getOtherMax(B974,C974,INDIRECT(J$2),INDIRECT(I974),test),getMax(B974,C974,INDIRECT(J$2),INDIRECT(I974),test))</f>
        <v>0.12</v>
      </c>
      <c r="F974" s="1" t="str">
        <f t="shared" si="62"/>
        <v>50</v>
      </c>
      <c r="G974" s="1" t="str">
        <f t="shared" si="63"/>
        <v/>
      </c>
      <c r="I974" s="1" t="str">
        <f t="shared" si="61"/>
        <v>威尔新数值1.06.xlsm!monsterDamage</v>
      </c>
    </row>
    <row r="975" spans="1:9" x14ac:dyDescent="0.15">
      <c r="A975" s="1">
        <v>974</v>
      </c>
      <c r="B975" s="1">
        <v>102020500</v>
      </c>
      <c r="C975" s="1">
        <f t="shared" si="60"/>
        <v>3</v>
      </c>
      <c r="D975" s="5">
        <f ca="1">IF(getQuality(B975)&lt;4,getOtherMin(B975,C975,INDIRECT(J$2),INDIRECT(I975),test),getMin(B975,C975,INDIRECT(J$2),INDIRECT(I975),test))</f>
        <v>22.008641265250315</v>
      </c>
      <c r="E975" s="5">
        <f ca="1">IF(getQuality(B975)&lt;4,getOtherMax(B975,C975,INDIRECT(J$2),INDIRECT(I975),test),getMax(B975,C975,INDIRECT(J$2),INDIRECT(I975),test))</f>
        <v>46.219010783550694</v>
      </c>
      <c r="F975" s="1" t="str">
        <f t="shared" si="62"/>
        <v>50</v>
      </c>
      <c r="G975" s="1" t="str">
        <f t="shared" si="63"/>
        <v>1</v>
      </c>
      <c r="I975" s="1" t="str">
        <f t="shared" si="61"/>
        <v>威尔新数值1.06.xlsm!suitPower</v>
      </c>
    </row>
    <row r="976" spans="1:9" x14ac:dyDescent="0.15">
      <c r="A976" s="1">
        <v>975</v>
      </c>
      <c r="B976" s="1">
        <v>102020500</v>
      </c>
      <c r="C976" s="1">
        <f t="shared" si="60"/>
        <v>5</v>
      </c>
      <c r="D976" s="5">
        <f ca="1">IF(getQuality(B976)&lt;4,getOtherMin(B976,C976,INDIRECT(J$2),INDIRECT(I976),test),getMin(B976,C976,INDIRECT(J$2),INDIRECT(I976),test))</f>
        <v>22.008641265250315</v>
      </c>
      <c r="E976" s="5">
        <f ca="1">IF(getQuality(B976)&lt;4,getOtherMax(B976,C976,INDIRECT(J$2),INDIRECT(I976),test),getMax(B976,C976,INDIRECT(J$2),INDIRECT(I976),test))</f>
        <v>46.219010783550694</v>
      </c>
      <c r="F976" s="1" t="str">
        <f t="shared" si="62"/>
        <v>50</v>
      </c>
      <c r="G976" s="1" t="str">
        <f t="shared" si="63"/>
        <v/>
      </c>
      <c r="I976" s="1" t="str">
        <f t="shared" si="61"/>
        <v>威尔新数值1.06.xlsm!suitPower</v>
      </c>
    </row>
    <row r="977" spans="1:9" x14ac:dyDescent="0.15">
      <c r="A977" s="1">
        <v>976</v>
      </c>
      <c r="B977" s="1">
        <v>102020500</v>
      </c>
      <c r="C977" s="1">
        <f t="shared" si="60"/>
        <v>7</v>
      </c>
      <c r="D977" s="5">
        <f ca="1">IF(getQuality(B977)&lt;4,getOtherMin(B977,C977,INDIRECT(J$2),INDIRECT(I977),test),getMin(B977,C977,INDIRECT(J$2),INDIRECT(I977),test))</f>
        <v>7.481481481481465</v>
      </c>
      <c r="E977" s="5">
        <f ca="1">IF(getQuality(B977)&lt;4,getOtherMax(B977,C977,INDIRECT(J$2),INDIRECT(I977),test),getMax(B977,C977,INDIRECT(J$2),INDIRECT(I977),test))</f>
        <v>12.96296296296293</v>
      </c>
      <c r="F977" s="1" t="str">
        <f t="shared" si="62"/>
        <v>50</v>
      </c>
      <c r="G977" s="1" t="str">
        <f t="shared" si="63"/>
        <v/>
      </c>
      <c r="I977" s="1" t="str">
        <f t="shared" si="61"/>
        <v>威尔新数值1.06.xlsm!suitPower</v>
      </c>
    </row>
    <row r="978" spans="1:9" x14ac:dyDescent="0.15">
      <c r="A978" s="1">
        <v>977</v>
      </c>
      <c r="B978" s="1">
        <v>102020500</v>
      </c>
      <c r="C978" s="1">
        <f t="shared" si="60"/>
        <v>8</v>
      </c>
      <c r="D978" s="5">
        <f ca="1">IF(getQuality(B978)&lt;4,getOtherMin(B978,C978,INDIRECT(J$2),INDIRECT(I978),test),getMin(B978,C978,INDIRECT(J$2),INDIRECT(I978),test))</f>
        <v>15.583333333333334</v>
      </c>
      <c r="E978" s="5">
        <f ca="1">IF(getQuality(B978)&lt;4,getOtherMax(B978,C978,INDIRECT(J$2),INDIRECT(I978),test),getMax(B978,C978,INDIRECT(J$2),INDIRECT(I978),test))</f>
        <v>29.166666666666668</v>
      </c>
      <c r="F978" s="1" t="str">
        <f t="shared" si="62"/>
        <v>50</v>
      </c>
      <c r="G978" s="1" t="str">
        <f t="shared" si="63"/>
        <v/>
      </c>
      <c r="I978" s="1" t="str">
        <f t="shared" si="61"/>
        <v>威尔新数值1.06.xlsm!suitPower</v>
      </c>
    </row>
    <row r="979" spans="1:9" x14ac:dyDescent="0.15">
      <c r="A979" s="1">
        <v>978</v>
      </c>
      <c r="B979" s="1">
        <v>102020500</v>
      </c>
      <c r="C979" s="1">
        <f t="shared" si="60"/>
        <v>9</v>
      </c>
      <c r="D979" s="5">
        <f ca="1">IF(getQuality(B979)&lt;4,getOtherMin(B979,C979,INDIRECT(J$2),INDIRECT(I979),test),getMin(B979,C979,INDIRECT(J$2),INDIRECT(I979),test))</f>
        <v>22.008641265250315</v>
      </c>
      <c r="E979" s="5">
        <f ca="1">IF(getQuality(B979)&lt;4,getOtherMax(B979,C979,INDIRECT(J$2),INDIRECT(I979),test),getMax(B979,C979,INDIRECT(J$2),INDIRECT(I979),test))</f>
        <v>46.219010783550694</v>
      </c>
      <c r="F979" s="1" t="str">
        <f t="shared" si="62"/>
        <v>50</v>
      </c>
      <c r="G979" s="1" t="str">
        <f t="shared" si="63"/>
        <v/>
      </c>
      <c r="I979" s="1" t="str">
        <f t="shared" si="61"/>
        <v>威尔新数值1.06.xlsm!suitPower</v>
      </c>
    </row>
    <row r="980" spans="1:9" x14ac:dyDescent="0.15">
      <c r="A980" s="1">
        <v>979</v>
      </c>
      <c r="B980" s="1">
        <v>102020500</v>
      </c>
      <c r="C980" s="1">
        <f t="shared" si="60"/>
        <v>10</v>
      </c>
      <c r="D980" s="5">
        <f ca="1">IF(getQuality(B980)&lt;4,getOtherMin(B980,C980,INDIRECT(J$2),INDIRECT(I980),test),getMin(B980,C980,INDIRECT(J$2),INDIRECT(I980),test))</f>
        <v>22.008641265250315</v>
      </c>
      <c r="E980" s="5">
        <f ca="1">IF(getQuality(B980)&lt;4,getOtherMax(B980,C980,INDIRECT(J$2),INDIRECT(I980),test),getMax(B980,C980,INDIRECT(J$2),INDIRECT(I980),test))</f>
        <v>46.219010783550694</v>
      </c>
      <c r="F980" s="1" t="str">
        <f t="shared" si="62"/>
        <v>50</v>
      </c>
      <c r="G980" s="1" t="str">
        <f t="shared" si="63"/>
        <v/>
      </c>
      <c r="I980" s="1" t="str">
        <f t="shared" si="61"/>
        <v>威尔新数值1.06.xlsm!suitPower</v>
      </c>
    </row>
    <row r="981" spans="1:9" x14ac:dyDescent="0.15">
      <c r="A981" s="1">
        <v>980</v>
      </c>
      <c r="B981" s="1">
        <v>102020500</v>
      </c>
      <c r="C981" s="1">
        <f t="shared" si="60"/>
        <v>11</v>
      </c>
      <c r="D981" s="5">
        <f ca="1">IF(getQuality(B981)&lt;4,getOtherMin(B981,C981,INDIRECT(J$2),INDIRECT(I981),test),getMin(B981,C981,INDIRECT(J$2),INDIRECT(I981),test))</f>
        <v>22.008641265250315</v>
      </c>
      <c r="E981" s="5">
        <f ca="1">IF(getQuality(B981)&lt;4,getOtherMax(B981,C981,INDIRECT(J$2),INDIRECT(I981),test),getMax(B981,C981,INDIRECT(J$2),INDIRECT(I981),test))</f>
        <v>46.219010783550694</v>
      </c>
      <c r="F981" s="1" t="str">
        <f t="shared" si="62"/>
        <v>50</v>
      </c>
      <c r="G981" s="1" t="str">
        <f t="shared" si="63"/>
        <v/>
      </c>
      <c r="I981" s="1" t="str">
        <f t="shared" si="61"/>
        <v>威尔新数值1.06.xlsm!suitPower</v>
      </c>
    </row>
    <row r="982" spans="1:9" x14ac:dyDescent="0.15">
      <c r="A982" s="1">
        <v>981</v>
      </c>
      <c r="B982" s="1">
        <v>102020500</v>
      </c>
      <c r="C982" s="1">
        <f t="shared" si="60"/>
        <v>12</v>
      </c>
      <c r="D982" s="5">
        <f ca="1">IF(getQuality(B982)&lt;4,getOtherMin(B982,C982,INDIRECT(J$2),INDIRECT(I982),test),getMin(B982,C982,INDIRECT(J$2),INDIRECT(I982),test))</f>
        <v>22.008641265250315</v>
      </c>
      <c r="E982" s="5">
        <f ca="1">IF(getQuality(B982)&lt;4,getOtherMax(B982,C982,INDIRECT(J$2),INDIRECT(I982),test),getMax(B982,C982,INDIRECT(J$2),INDIRECT(I982),test))</f>
        <v>46.219010783550694</v>
      </c>
      <c r="F982" s="1" t="str">
        <f t="shared" si="62"/>
        <v>50</v>
      </c>
      <c r="G982" s="1" t="str">
        <f t="shared" si="63"/>
        <v/>
      </c>
      <c r="I982" s="1" t="str">
        <f t="shared" si="61"/>
        <v>威尔新数值1.06.xlsm!suitPower</v>
      </c>
    </row>
    <row r="983" spans="1:9" x14ac:dyDescent="0.15">
      <c r="A983" s="1">
        <v>982</v>
      </c>
      <c r="B983" s="1">
        <v>102020500</v>
      </c>
      <c r="C983" s="1">
        <f t="shared" si="60"/>
        <v>13</v>
      </c>
      <c r="D983" s="5">
        <f ca="1">IF(getQuality(B983)&lt;4,getOtherMin(B983,C983,INDIRECT(J$2),INDIRECT(I983),test),getMin(B983,C983,INDIRECT(J$2),INDIRECT(I983),test))</f>
        <v>22.008641265250315</v>
      </c>
      <c r="E983" s="5">
        <f ca="1">IF(getQuality(B983)&lt;4,getOtherMax(B983,C983,INDIRECT(J$2),INDIRECT(I983),test),getMax(B983,C983,INDIRECT(J$2),INDIRECT(I983),test))</f>
        <v>46.219010783550694</v>
      </c>
      <c r="F983" s="1" t="str">
        <f t="shared" si="62"/>
        <v>50</v>
      </c>
      <c r="G983" s="1" t="str">
        <f t="shared" si="63"/>
        <v/>
      </c>
      <c r="I983" s="1" t="str">
        <f t="shared" si="61"/>
        <v>威尔新数值1.06.xlsm!suitPower</v>
      </c>
    </row>
    <row r="984" spans="1:9" x14ac:dyDescent="0.15">
      <c r="A984" s="1">
        <v>983</v>
      </c>
      <c r="B984" s="1">
        <v>102020500</v>
      </c>
      <c r="C984" s="1">
        <f t="shared" si="60"/>
        <v>14</v>
      </c>
      <c r="D984" s="5">
        <f ca="1">IF(getQuality(B984)&lt;4,getOtherMin(B984,C984,INDIRECT(J$2),INDIRECT(I984),test),getMin(B984,C984,INDIRECT(J$2),INDIRECT(I984),test))</f>
        <v>22.008641265250315</v>
      </c>
      <c r="E984" s="5">
        <f ca="1">IF(getQuality(B984)&lt;4,getOtherMax(B984,C984,INDIRECT(J$2),INDIRECT(I984),test),getMax(B984,C984,INDIRECT(J$2),INDIRECT(I984),test))</f>
        <v>46.219010783550694</v>
      </c>
      <c r="F984" s="1" t="str">
        <f t="shared" si="62"/>
        <v>50</v>
      </c>
      <c r="G984" s="1" t="str">
        <f t="shared" si="63"/>
        <v/>
      </c>
      <c r="I984" s="1" t="str">
        <f t="shared" si="61"/>
        <v>威尔新数值1.06.xlsm!suitPower</v>
      </c>
    </row>
    <row r="985" spans="1:9" x14ac:dyDescent="0.15">
      <c r="A985" s="1">
        <v>984</v>
      </c>
      <c r="B985" s="1">
        <v>102020500</v>
      </c>
      <c r="C985" s="1">
        <f t="shared" si="60"/>
        <v>15</v>
      </c>
      <c r="D985" s="5">
        <f ca="1">IF(getQuality(B985)&lt;4,getOtherMin(B985,C985,INDIRECT(J$2),INDIRECT(I985),test),getMin(B985,C985,INDIRECT(J$2),INDIRECT(I985),test))</f>
        <v>22.008641265250315</v>
      </c>
      <c r="E985" s="5">
        <f ca="1">IF(getQuality(B985)&lt;4,getOtherMax(B985,C985,INDIRECT(J$2),INDIRECT(I985),test),getMax(B985,C985,INDIRECT(J$2),INDIRECT(I985),test))</f>
        <v>46.219010783550694</v>
      </c>
      <c r="F985" s="1" t="str">
        <f t="shared" si="62"/>
        <v>50</v>
      </c>
      <c r="G985" s="1" t="str">
        <f t="shared" si="63"/>
        <v/>
      </c>
      <c r="I985" s="1" t="str">
        <f t="shared" si="61"/>
        <v>威尔新数值1.06.xlsm!suitPower</v>
      </c>
    </row>
    <row r="986" spans="1:9" x14ac:dyDescent="0.15">
      <c r="A986" s="1">
        <v>985</v>
      </c>
      <c r="B986" s="1">
        <v>102020500</v>
      </c>
      <c r="C986" s="1">
        <f t="shared" si="60"/>
        <v>101</v>
      </c>
      <c r="D986" s="5">
        <f ca="1">IF(getQuality(B986)&lt;4,getOtherMin(B986,C986,INDIRECT(J$2),INDIRECT(I986),test),getMin(B986,C986,INDIRECT(J$2),INDIRECT(I986),test))</f>
        <v>7.0000000000000007E-2</v>
      </c>
      <c r="E986" s="5">
        <f ca="1">IF(getQuality(B986)&lt;4,getOtherMax(B986,C986,INDIRECT(J$2),INDIRECT(I986),test),getMax(B986,C986,INDIRECT(J$2),INDIRECT(I986),test))</f>
        <v>0.1</v>
      </c>
      <c r="F986" s="1" t="str">
        <f t="shared" si="62"/>
        <v>50</v>
      </c>
      <c r="G986" s="1" t="str">
        <f t="shared" si="63"/>
        <v/>
      </c>
      <c r="I986" s="1" t="str">
        <f t="shared" si="61"/>
        <v>威尔新数值1.06.xlsm!circlePer</v>
      </c>
    </row>
    <row r="987" spans="1:9" x14ac:dyDescent="0.15">
      <c r="A987" s="1">
        <v>986</v>
      </c>
      <c r="B987" s="1">
        <v>102020500</v>
      </c>
      <c r="C987" s="1">
        <f t="shared" si="60"/>
        <v>102</v>
      </c>
      <c r="D987" s="5">
        <f ca="1">IF(getQuality(B987)&lt;4,getOtherMin(B987,C987,INDIRECT(J$2),INDIRECT(I987),test),getMin(B987,C987,INDIRECT(J$2),INDIRECT(I987),test))</f>
        <v>0.5</v>
      </c>
      <c r="E987" s="5">
        <f ca="1">IF(getQuality(B987)&lt;4,getOtherMax(B987,C987,INDIRECT(J$2),INDIRECT(I987),test),getMax(B987,C987,INDIRECT(J$2),INDIRECT(I987),test))</f>
        <v>0.9</v>
      </c>
      <c r="F987" s="1" t="str">
        <f t="shared" si="62"/>
        <v>50</v>
      </c>
      <c r="G987" s="1" t="str">
        <f t="shared" si="63"/>
        <v/>
      </c>
      <c r="I987" s="1" t="str">
        <f t="shared" si="61"/>
        <v>威尔新数值1.06.xlsm!circleValue</v>
      </c>
    </row>
    <row r="988" spans="1:9" x14ac:dyDescent="0.15">
      <c r="A988" s="1">
        <v>987</v>
      </c>
      <c r="B988" s="1">
        <v>102020500</v>
      </c>
      <c r="C988" s="1">
        <f t="shared" si="60"/>
        <v>103</v>
      </c>
      <c r="D988" s="5">
        <f ca="1">IF(getQuality(B988)&lt;4,getOtherMin(B988,C988,INDIRECT(J$2),INDIRECT(I988),test),getMin(B988,C988,INDIRECT(J$2),INDIRECT(I988),test))</f>
        <v>7.0000000000000007E-2</v>
      </c>
      <c r="E988" s="5">
        <f ca="1">IF(getQuality(B988)&lt;4,getOtherMax(B988,C988,INDIRECT(J$2),INDIRECT(I988),test),getMax(B988,C988,INDIRECT(J$2),INDIRECT(I988),test))</f>
        <v>0.1</v>
      </c>
      <c r="F988" s="1" t="str">
        <f t="shared" si="62"/>
        <v>50</v>
      </c>
      <c r="G988" s="1" t="str">
        <f t="shared" si="63"/>
        <v/>
      </c>
      <c r="I988" s="1" t="str">
        <f t="shared" si="61"/>
        <v>威尔新数值1.06.xlsm!otherDamage</v>
      </c>
    </row>
    <row r="989" spans="1:9" x14ac:dyDescent="0.15">
      <c r="A989" s="1">
        <v>988</v>
      </c>
      <c r="B989" s="1">
        <v>102020500</v>
      </c>
      <c r="C989" s="1">
        <f t="shared" si="60"/>
        <v>104</v>
      </c>
      <c r="D989" s="5">
        <f ca="1">IF(getQuality(B989)&lt;4,getOtherMin(B989,C989,INDIRECT(J$2),INDIRECT(I989),test),getMin(B989,C989,INDIRECT(J$2),INDIRECT(I989),test))</f>
        <v>7.0000000000000007E-2</v>
      </c>
      <c r="E989" s="5">
        <f ca="1">IF(getQuality(B989)&lt;4,getOtherMax(B989,C989,INDIRECT(J$2),INDIRECT(I989),test),getMax(B989,C989,INDIRECT(J$2),INDIRECT(I989),test))</f>
        <v>0.14000000000000001</v>
      </c>
      <c r="F989" s="1" t="str">
        <f t="shared" si="62"/>
        <v>50</v>
      </c>
      <c r="G989" s="1" t="str">
        <f t="shared" si="63"/>
        <v/>
      </c>
      <c r="I989" s="1" t="str">
        <f t="shared" si="61"/>
        <v>威尔新数值1.06.xlsm!monsterDamage</v>
      </c>
    </row>
    <row r="990" spans="1:9" x14ac:dyDescent="0.15">
      <c r="A990" s="1">
        <v>989</v>
      </c>
      <c r="B990" s="1">
        <v>102020500</v>
      </c>
      <c r="C990" s="1">
        <f t="shared" si="60"/>
        <v>105</v>
      </c>
      <c r="D990" s="5">
        <f ca="1">IF(getQuality(B990)&lt;4,getOtherMin(B990,C990,INDIRECT(J$2),INDIRECT(I990),test),getMin(B990,C990,INDIRECT(J$2),INDIRECT(I990),test))</f>
        <v>7.0000000000000007E-2</v>
      </c>
      <c r="E990" s="5">
        <f ca="1">IF(getQuality(B990)&lt;4,getOtherMax(B990,C990,INDIRECT(J$2),INDIRECT(I990),test),getMax(B990,C990,INDIRECT(J$2),INDIRECT(I990),test))</f>
        <v>0.14000000000000001</v>
      </c>
      <c r="F990" s="1" t="str">
        <f t="shared" si="62"/>
        <v>50</v>
      </c>
      <c r="G990" s="1" t="str">
        <f t="shared" si="63"/>
        <v/>
      </c>
      <c r="I990" s="1" t="str">
        <f t="shared" si="61"/>
        <v>威尔新数值1.06.xlsm!monsterDamage</v>
      </c>
    </row>
    <row r="991" spans="1:9" x14ac:dyDescent="0.15">
      <c r="A991" s="1">
        <v>990</v>
      </c>
      <c r="B991" s="1">
        <v>102020500</v>
      </c>
      <c r="C991" s="1">
        <f t="shared" si="60"/>
        <v>106</v>
      </c>
      <c r="D991" s="5">
        <f ca="1">IF(getQuality(B991)&lt;4,getOtherMin(B991,C991,INDIRECT(J$2),INDIRECT(I991),test),getMin(B991,C991,INDIRECT(J$2),INDIRECT(I991),test))</f>
        <v>7.0000000000000007E-2</v>
      </c>
      <c r="E991" s="5">
        <f ca="1">IF(getQuality(B991)&lt;4,getOtherMax(B991,C991,INDIRECT(J$2),INDIRECT(I991),test),getMax(B991,C991,INDIRECT(J$2),INDIRECT(I991),test))</f>
        <v>0.14000000000000001</v>
      </c>
      <c r="F991" s="1" t="str">
        <f t="shared" si="62"/>
        <v>50</v>
      </c>
      <c r="G991" s="1" t="str">
        <f t="shared" si="63"/>
        <v/>
      </c>
      <c r="I991" s="1" t="str">
        <f t="shared" si="61"/>
        <v>威尔新数值1.06.xlsm!monsterDamage</v>
      </c>
    </row>
    <row r="992" spans="1:9" x14ac:dyDescent="0.15">
      <c r="A992" s="1">
        <v>991</v>
      </c>
      <c r="B992" s="1">
        <v>102020500</v>
      </c>
      <c r="C992" s="1">
        <f t="shared" si="60"/>
        <v>107</v>
      </c>
      <c r="D992" s="5">
        <f ca="1">IF(getQuality(B992)&lt;4,getOtherMin(B992,C992,INDIRECT(J$2),INDIRECT(I992),test),getMin(B992,C992,INDIRECT(J$2),INDIRECT(I992),test))</f>
        <v>7.0000000000000007E-2</v>
      </c>
      <c r="E992" s="5">
        <f ca="1">IF(getQuality(B992)&lt;4,getOtherMax(B992,C992,INDIRECT(J$2),INDIRECT(I992),test),getMax(B992,C992,INDIRECT(J$2),INDIRECT(I992),test))</f>
        <v>0.14000000000000001</v>
      </c>
      <c r="F992" s="1" t="str">
        <f t="shared" si="62"/>
        <v>50</v>
      </c>
      <c r="G992" s="1" t="str">
        <f t="shared" si="63"/>
        <v/>
      </c>
      <c r="I992" s="1" t="str">
        <f t="shared" si="61"/>
        <v>威尔新数值1.06.xlsm!monsterDamage</v>
      </c>
    </row>
    <row r="993" spans="1:9" x14ac:dyDescent="0.15">
      <c r="A993" s="1">
        <v>992</v>
      </c>
      <c r="B993" s="1">
        <v>102020500</v>
      </c>
      <c r="C993" s="1">
        <f t="shared" si="60"/>
        <v>108</v>
      </c>
      <c r="D993" s="5">
        <f ca="1">IF(getQuality(B993)&lt;4,getOtherMin(B993,C993,INDIRECT(J$2),INDIRECT(I993),test),getMin(B993,C993,INDIRECT(J$2),INDIRECT(I993),test))</f>
        <v>7.0000000000000007E-2</v>
      </c>
      <c r="E993" s="5">
        <f ca="1">IF(getQuality(B993)&lt;4,getOtherMax(B993,C993,INDIRECT(J$2),INDIRECT(I993),test),getMax(B993,C993,INDIRECT(J$2),INDIRECT(I993),test))</f>
        <v>0.14000000000000001</v>
      </c>
      <c r="F993" s="1" t="str">
        <f t="shared" si="62"/>
        <v>50</v>
      </c>
      <c r="G993" s="1" t="str">
        <f t="shared" si="63"/>
        <v/>
      </c>
      <c r="I993" s="1" t="str">
        <f t="shared" si="61"/>
        <v>威尔新数值1.06.xlsm!monsterDamage</v>
      </c>
    </row>
    <row r="994" spans="1:9" x14ac:dyDescent="0.15">
      <c r="A994" s="1">
        <v>993</v>
      </c>
      <c r="B994" s="1">
        <v>102030500</v>
      </c>
      <c r="C994" s="1">
        <f t="shared" si="60"/>
        <v>3</v>
      </c>
      <c r="D994" s="5">
        <f ca="1">IF(getQuality(B994)&lt;4,getOtherMin(B994,C994,INDIRECT(J$2),INDIRECT(I994),test),getMin(B994,C994,INDIRECT(J$2),INDIRECT(I994),test))</f>
        <v>47.219010783550694</v>
      </c>
      <c r="E994" s="5">
        <f ca="1">IF(getQuality(B994)&lt;4,getOtherMax(B994,C994,INDIRECT(J$2),INDIRECT(I994),test),getMax(B994,C994,INDIRECT(J$2),INDIRECT(I994),test))</f>
        <v>75.631108554901132</v>
      </c>
      <c r="F994" s="1" t="str">
        <f t="shared" si="62"/>
        <v>50</v>
      </c>
      <c r="G994" s="1" t="str">
        <f t="shared" si="63"/>
        <v>1</v>
      </c>
      <c r="I994" s="1" t="str">
        <f t="shared" si="61"/>
        <v>威尔新数值1.06.xlsm!suitPower</v>
      </c>
    </row>
    <row r="995" spans="1:9" x14ac:dyDescent="0.15">
      <c r="A995" s="1">
        <v>994</v>
      </c>
      <c r="B995" s="1">
        <v>102030500</v>
      </c>
      <c r="C995" s="1">
        <f t="shared" si="60"/>
        <v>5</v>
      </c>
      <c r="D995" s="5">
        <f ca="1">IF(getQuality(B995)&lt;4,getOtherMin(B995,C995,INDIRECT(J$2),INDIRECT(I995),test),getMin(B995,C995,INDIRECT(J$2),INDIRECT(I995),test))</f>
        <v>47.219010783550694</v>
      </c>
      <c r="E995" s="5">
        <f ca="1">IF(getQuality(B995)&lt;4,getOtherMax(B995,C995,INDIRECT(J$2),INDIRECT(I995),test),getMax(B995,C995,INDIRECT(J$2),INDIRECT(I995),test))</f>
        <v>75.631108554901132</v>
      </c>
      <c r="F995" s="1" t="str">
        <f t="shared" si="62"/>
        <v>50</v>
      </c>
      <c r="G995" s="1" t="str">
        <f t="shared" si="63"/>
        <v/>
      </c>
      <c r="I995" s="1" t="str">
        <f t="shared" si="61"/>
        <v>威尔新数值1.06.xlsm!suitPower</v>
      </c>
    </row>
    <row r="996" spans="1:9" x14ac:dyDescent="0.15">
      <c r="A996" s="1">
        <v>995</v>
      </c>
      <c r="B996" s="1">
        <v>102030500</v>
      </c>
      <c r="C996" s="1">
        <f t="shared" ref="C996:C1059" si="64">C977</f>
        <v>7</v>
      </c>
      <c r="D996" s="5">
        <f ca="1">IF(getQuality(B996)&lt;4,getOtherMin(B996,C996,INDIRECT(J$2),INDIRECT(I996),test),getMin(B996,C996,INDIRECT(J$2),INDIRECT(I996),test))</f>
        <v>13.96296296296293</v>
      </c>
      <c r="E996" s="5">
        <f ca="1">IF(getQuality(B996)&lt;4,getOtherMax(B996,C996,INDIRECT(J$2),INDIRECT(I996),test),getMax(B996,C996,INDIRECT(J$2),INDIRECT(I996),test))</f>
        <v>19.444444444444393</v>
      </c>
      <c r="F996" s="1" t="str">
        <f t="shared" si="62"/>
        <v>50</v>
      </c>
      <c r="G996" s="1" t="str">
        <f t="shared" si="63"/>
        <v/>
      </c>
      <c r="I996" s="1" t="str">
        <f t="shared" si="61"/>
        <v>威尔新数值1.06.xlsm!suitPower</v>
      </c>
    </row>
    <row r="997" spans="1:9" x14ac:dyDescent="0.15">
      <c r="A997" s="1">
        <v>996</v>
      </c>
      <c r="B997" s="1">
        <v>102030500</v>
      </c>
      <c r="C997" s="1">
        <f t="shared" si="64"/>
        <v>8</v>
      </c>
      <c r="D997" s="5">
        <f ca="1">IF(getQuality(B997)&lt;4,getOtherMin(B997,C997,INDIRECT(J$2),INDIRECT(I997),test),getMin(B997,C997,INDIRECT(J$2),INDIRECT(I997),test))</f>
        <v>30.166666666666668</v>
      </c>
      <c r="E997" s="5">
        <f ca="1">IF(getQuality(B997)&lt;4,getOtherMax(B997,C997,INDIRECT(J$2),INDIRECT(I997),test),getMax(B997,C997,INDIRECT(J$2),INDIRECT(I997),test))</f>
        <v>43.75</v>
      </c>
      <c r="F997" s="1" t="str">
        <f t="shared" si="62"/>
        <v>50</v>
      </c>
      <c r="G997" s="1" t="str">
        <f t="shared" si="63"/>
        <v/>
      </c>
      <c r="I997" s="1" t="str">
        <f t="shared" si="61"/>
        <v>威尔新数值1.06.xlsm!suitPower</v>
      </c>
    </row>
    <row r="998" spans="1:9" x14ac:dyDescent="0.15">
      <c r="A998" s="1">
        <v>997</v>
      </c>
      <c r="B998" s="1">
        <v>102030500</v>
      </c>
      <c r="C998" s="1">
        <f t="shared" si="64"/>
        <v>9</v>
      </c>
      <c r="D998" s="5">
        <f ca="1">IF(getQuality(B998)&lt;4,getOtherMin(B998,C998,INDIRECT(J$2),INDIRECT(I998),test),getMin(B998,C998,INDIRECT(J$2),INDIRECT(I998),test))</f>
        <v>47.219010783550694</v>
      </c>
      <c r="E998" s="5">
        <f ca="1">IF(getQuality(B998)&lt;4,getOtherMax(B998,C998,INDIRECT(J$2),INDIRECT(I998),test),getMax(B998,C998,INDIRECT(J$2),INDIRECT(I998),test))</f>
        <v>75.631108554901132</v>
      </c>
      <c r="F998" s="1" t="str">
        <f t="shared" si="62"/>
        <v>50</v>
      </c>
      <c r="G998" s="1" t="str">
        <f t="shared" si="63"/>
        <v/>
      </c>
      <c r="I998" s="1" t="str">
        <f t="shared" si="61"/>
        <v>威尔新数值1.06.xlsm!suitPower</v>
      </c>
    </row>
    <row r="999" spans="1:9" x14ac:dyDescent="0.15">
      <c r="A999" s="1">
        <v>998</v>
      </c>
      <c r="B999" s="1">
        <v>102030500</v>
      </c>
      <c r="C999" s="1">
        <f t="shared" si="64"/>
        <v>10</v>
      </c>
      <c r="D999" s="5">
        <f ca="1">IF(getQuality(B999)&lt;4,getOtherMin(B999,C999,INDIRECT(J$2),INDIRECT(I999),test),getMin(B999,C999,INDIRECT(J$2),INDIRECT(I999),test))</f>
        <v>47.219010783550694</v>
      </c>
      <c r="E999" s="5">
        <f ca="1">IF(getQuality(B999)&lt;4,getOtherMax(B999,C999,INDIRECT(J$2),INDIRECT(I999),test),getMax(B999,C999,INDIRECT(J$2),INDIRECT(I999),test))</f>
        <v>75.631108554901132</v>
      </c>
      <c r="F999" s="1" t="str">
        <f t="shared" si="62"/>
        <v>50</v>
      </c>
      <c r="G999" s="1" t="str">
        <f t="shared" si="63"/>
        <v/>
      </c>
      <c r="I999" s="1" t="str">
        <f t="shared" si="61"/>
        <v>威尔新数值1.06.xlsm!suitPower</v>
      </c>
    </row>
    <row r="1000" spans="1:9" x14ac:dyDescent="0.15">
      <c r="A1000" s="1">
        <v>999</v>
      </c>
      <c r="B1000" s="1">
        <v>102030500</v>
      </c>
      <c r="C1000" s="1">
        <f t="shared" si="64"/>
        <v>11</v>
      </c>
      <c r="D1000" s="5">
        <f ca="1">IF(getQuality(B1000)&lt;4,getOtherMin(B1000,C1000,INDIRECT(J$2),INDIRECT(I1000),test),getMin(B1000,C1000,INDIRECT(J$2),INDIRECT(I1000),test))</f>
        <v>47.219010783550694</v>
      </c>
      <c r="E1000" s="5">
        <f ca="1">IF(getQuality(B1000)&lt;4,getOtherMax(B1000,C1000,INDIRECT(J$2),INDIRECT(I1000),test),getMax(B1000,C1000,INDIRECT(J$2),INDIRECT(I1000),test))</f>
        <v>75.631108554901132</v>
      </c>
      <c r="F1000" s="1" t="str">
        <f t="shared" si="62"/>
        <v>50</v>
      </c>
      <c r="G1000" s="1" t="str">
        <f t="shared" si="63"/>
        <v/>
      </c>
      <c r="I1000" s="1" t="str">
        <f t="shared" si="61"/>
        <v>威尔新数值1.06.xlsm!suitPower</v>
      </c>
    </row>
    <row r="1001" spans="1:9" x14ac:dyDescent="0.15">
      <c r="A1001" s="1">
        <v>1000</v>
      </c>
      <c r="B1001" s="1">
        <v>102030500</v>
      </c>
      <c r="C1001" s="1">
        <f t="shared" si="64"/>
        <v>12</v>
      </c>
      <c r="D1001" s="5">
        <f ca="1">IF(getQuality(B1001)&lt;4,getOtherMin(B1001,C1001,INDIRECT(J$2),INDIRECT(I1001),test),getMin(B1001,C1001,INDIRECT(J$2),INDIRECT(I1001),test))</f>
        <v>47.219010783550694</v>
      </c>
      <c r="E1001" s="5">
        <f ca="1">IF(getQuality(B1001)&lt;4,getOtherMax(B1001,C1001,INDIRECT(J$2),INDIRECT(I1001),test),getMax(B1001,C1001,INDIRECT(J$2),INDIRECT(I1001),test))</f>
        <v>75.631108554901132</v>
      </c>
      <c r="F1001" s="1" t="str">
        <f t="shared" si="62"/>
        <v>50</v>
      </c>
      <c r="G1001" s="1" t="str">
        <f t="shared" si="63"/>
        <v/>
      </c>
      <c r="I1001" s="1" t="str">
        <f t="shared" si="61"/>
        <v>威尔新数值1.06.xlsm!suitPower</v>
      </c>
    </row>
    <row r="1002" spans="1:9" x14ac:dyDescent="0.15">
      <c r="A1002" s="1">
        <v>1001</v>
      </c>
      <c r="B1002" s="1">
        <v>102030500</v>
      </c>
      <c r="C1002" s="1">
        <f t="shared" si="64"/>
        <v>13</v>
      </c>
      <c r="D1002" s="5">
        <f ca="1">IF(getQuality(B1002)&lt;4,getOtherMin(B1002,C1002,INDIRECT(J$2),INDIRECT(I1002),test),getMin(B1002,C1002,INDIRECT(J$2),INDIRECT(I1002),test))</f>
        <v>47.219010783550694</v>
      </c>
      <c r="E1002" s="5">
        <f ca="1">IF(getQuality(B1002)&lt;4,getOtherMax(B1002,C1002,INDIRECT(J$2),INDIRECT(I1002),test),getMax(B1002,C1002,INDIRECT(J$2),INDIRECT(I1002),test))</f>
        <v>75.631108554901132</v>
      </c>
      <c r="F1002" s="1" t="str">
        <f t="shared" si="62"/>
        <v>50</v>
      </c>
      <c r="G1002" s="1" t="str">
        <f t="shared" si="63"/>
        <v/>
      </c>
      <c r="I1002" s="1" t="str">
        <f t="shared" si="61"/>
        <v>威尔新数值1.06.xlsm!suitPower</v>
      </c>
    </row>
    <row r="1003" spans="1:9" x14ac:dyDescent="0.15">
      <c r="A1003" s="1">
        <v>1002</v>
      </c>
      <c r="B1003" s="1">
        <v>102030500</v>
      </c>
      <c r="C1003" s="1">
        <f t="shared" si="64"/>
        <v>14</v>
      </c>
      <c r="D1003" s="5">
        <f ca="1">IF(getQuality(B1003)&lt;4,getOtherMin(B1003,C1003,INDIRECT(J$2),INDIRECT(I1003),test),getMin(B1003,C1003,INDIRECT(J$2),INDIRECT(I1003),test))</f>
        <v>47.219010783550694</v>
      </c>
      <c r="E1003" s="5">
        <f ca="1">IF(getQuality(B1003)&lt;4,getOtherMax(B1003,C1003,INDIRECT(J$2),INDIRECT(I1003),test),getMax(B1003,C1003,INDIRECT(J$2),INDIRECT(I1003),test))</f>
        <v>75.631108554901132</v>
      </c>
      <c r="F1003" s="1" t="str">
        <f t="shared" si="62"/>
        <v>50</v>
      </c>
      <c r="G1003" s="1" t="str">
        <f t="shared" si="63"/>
        <v/>
      </c>
      <c r="I1003" s="1" t="str">
        <f t="shared" si="61"/>
        <v>威尔新数值1.06.xlsm!suitPower</v>
      </c>
    </row>
    <row r="1004" spans="1:9" x14ac:dyDescent="0.15">
      <c r="A1004" s="1">
        <v>1003</v>
      </c>
      <c r="B1004" s="1">
        <v>102030500</v>
      </c>
      <c r="C1004" s="1">
        <f t="shared" si="64"/>
        <v>15</v>
      </c>
      <c r="D1004" s="5">
        <f ca="1">IF(getQuality(B1004)&lt;4,getOtherMin(B1004,C1004,INDIRECT(J$2),INDIRECT(I1004),test),getMin(B1004,C1004,INDIRECT(J$2),INDIRECT(I1004),test))</f>
        <v>47.219010783550694</v>
      </c>
      <c r="E1004" s="5">
        <f ca="1">IF(getQuality(B1004)&lt;4,getOtherMax(B1004,C1004,INDIRECT(J$2),INDIRECT(I1004),test),getMax(B1004,C1004,INDIRECT(J$2),INDIRECT(I1004),test))</f>
        <v>75.631108554901132</v>
      </c>
      <c r="F1004" s="1" t="str">
        <f t="shared" si="62"/>
        <v>50</v>
      </c>
      <c r="G1004" s="1" t="str">
        <f t="shared" si="63"/>
        <v/>
      </c>
      <c r="I1004" s="1" t="str">
        <f t="shared" si="61"/>
        <v>威尔新数值1.06.xlsm!suitPower</v>
      </c>
    </row>
    <row r="1005" spans="1:9" x14ac:dyDescent="0.15">
      <c r="A1005" s="1">
        <v>1004</v>
      </c>
      <c r="B1005" s="1">
        <v>102030500</v>
      </c>
      <c r="C1005" s="1">
        <f t="shared" si="64"/>
        <v>101</v>
      </c>
      <c r="D1005" s="5">
        <f ca="1">IF(getQuality(B1005)&lt;4,getOtherMin(B1005,C1005,INDIRECT(J$2),INDIRECT(I1005),test),getMin(B1005,C1005,INDIRECT(J$2),INDIRECT(I1005),test))</f>
        <v>0.08</v>
      </c>
      <c r="E1005" s="5">
        <f ca="1">IF(getQuality(B1005)&lt;4,getOtherMax(B1005,C1005,INDIRECT(J$2),INDIRECT(I1005),test),getMax(B1005,C1005,INDIRECT(J$2),INDIRECT(I1005),test))</f>
        <v>0.11</v>
      </c>
      <c r="F1005" s="1" t="str">
        <f t="shared" si="62"/>
        <v>50</v>
      </c>
      <c r="G1005" s="1" t="str">
        <f t="shared" si="63"/>
        <v/>
      </c>
      <c r="I1005" s="1" t="str">
        <f t="shared" si="61"/>
        <v>威尔新数值1.06.xlsm!circlePer</v>
      </c>
    </row>
    <row r="1006" spans="1:9" x14ac:dyDescent="0.15">
      <c r="A1006" s="1">
        <v>1005</v>
      </c>
      <c r="B1006" s="1">
        <v>102030500</v>
      </c>
      <c r="C1006" s="1">
        <f t="shared" si="64"/>
        <v>102</v>
      </c>
      <c r="D1006" s="5">
        <f ca="1">IF(getQuality(B1006)&lt;4,getOtherMin(B1006,C1006,INDIRECT(J$2),INDIRECT(I1006),test),getMin(B1006,C1006,INDIRECT(J$2),INDIRECT(I1006),test))</f>
        <v>0.6</v>
      </c>
      <c r="E1006" s="5">
        <f ca="1">IF(getQuality(B1006)&lt;4,getOtherMax(B1006,C1006,INDIRECT(J$2),INDIRECT(I1006),test),getMax(B1006,C1006,INDIRECT(J$2),INDIRECT(I1006),test))</f>
        <v>1</v>
      </c>
      <c r="F1006" s="1" t="str">
        <f t="shared" si="62"/>
        <v>50</v>
      </c>
      <c r="G1006" s="1" t="str">
        <f t="shared" si="63"/>
        <v/>
      </c>
      <c r="I1006" s="1" t="str">
        <f t="shared" si="61"/>
        <v>威尔新数值1.06.xlsm!circleValue</v>
      </c>
    </row>
    <row r="1007" spans="1:9" x14ac:dyDescent="0.15">
      <c r="A1007" s="1">
        <v>1006</v>
      </c>
      <c r="B1007" s="1">
        <v>102030500</v>
      </c>
      <c r="C1007" s="1">
        <f t="shared" si="64"/>
        <v>103</v>
      </c>
      <c r="D1007" s="5">
        <f ca="1">IF(getQuality(B1007)&lt;4,getOtherMin(B1007,C1007,INDIRECT(J$2),INDIRECT(I1007),test),getMin(B1007,C1007,INDIRECT(J$2),INDIRECT(I1007),test))</f>
        <v>0.08</v>
      </c>
      <c r="E1007" s="5">
        <f ca="1">IF(getQuality(B1007)&lt;4,getOtherMax(B1007,C1007,INDIRECT(J$2),INDIRECT(I1007),test),getMax(B1007,C1007,INDIRECT(J$2),INDIRECT(I1007),test))</f>
        <v>0.11</v>
      </c>
      <c r="F1007" s="1" t="str">
        <f t="shared" si="62"/>
        <v>50</v>
      </c>
      <c r="G1007" s="1" t="str">
        <f t="shared" si="63"/>
        <v/>
      </c>
      <c r="I1007" s="1" t="str">
        <f t="shared" si="61"/>
        <v>威尔新数值1.06.xlsm!otherDamage</v>
      </c>
    </row>
    <row r="1008" spans="1:9" x14ac:dyDescent="0.15">
      <c r="A1008" s="1">
        <v>1007</v>
      </c>
      <c r="B1008" s="1">
        <v>102030500</v>
      </c>
      <c r="C1008" s="1">
        <f t="shared" si="64"/>
        <v>104</v>
      </c>
      <c r="D1008" s="5">
        <f ca="1">IF(getQuality(B1008)&lt;4,getOtherMin(B1008,C1008,INDIRECT(J$2),INDIRECT(I1008),test),getMin(B1008,C1008,INDIRECT(J$2),INDIRECT(I1008),test))</f>
        <v>0.08</v>
      </c>
      <c r="E1008" s="5">
        <f ca="1">IF(getQuality(B1008)&lt;4,getOtherMax(B1008,C1008,INDIRECT(J$2),INDIRECT(I1008),test),getMax(B1008,C1008,INDIRECT(J$2),INDIRECT(I1008),test))</f>
        <v>0.16</v>
      </c>
      <c r="F1008" s="1" t="str">
        <f t="shared" si="62"/>
        <v>50</v>
      </c>
      <c r="G1008" s="1" t="str">
        <f t="shared" si="63"/>
        <v/>
      </c>
      <c r="I1008" s="1" t="str">
        <f t="shared" si="61"/>
        <v>威尔新数值1.06.xlsm!monsterDamage</v>
      </c>
    </row>
    <row r="1009" spans="1:9" x14ac:dyDescent="0.15">
      <c r="A1009" s="1">
        <v>1008</v>
      </c>
      <c r="B1009" s="1">
        <v>102030500</v>
      </c>
      <c r="C1009" s="1">
        <f t="shared" si="64"/>
        <v>105</v>
      </c>
      <c r="D1009" s="5">
        <f ca="1">IF(getQuality(B1009)&lt;4,getOtherMin(B1009,C1009,INDIRECT(J$2),INDIRECT(I1009),test),getMin(B1009,C1009,INDIRECT(J$2),INDIRECT(I1009),test))</f>
        <v>0.08</v>
      </c>
      <c r="E1009" s="5">
        <f ca="1">IF(getQuality(B1009)&lt;4,getOtherMax(B1009,C1009,INDIRECT(J$2),INDIRECT(I1009),test),getMax(B1009,C1009,INDIRECT(J$2),INDIRECT(I1009),test))</f>
        <v>0.16</v>
      </c>
      <c r="F1009" s="1" t="str">
        <f t="shared" si="62"/>
        <v>50</v>
      </c>
      <c r="G1009" s="1" t="str">
        <f t="shared" si="63"/>
        <v/>
      </c>
      <c r="I1009" s="1" t="str">
        <f t="shared" si="61"/>
        <v>威尔新数值1.06.xlsm!monsterDamage</v>
      </c>
    </row>
    <row r="1010" spans="1:9" x14ac:dyDescent="0.15">
      <c r="A1010" s="1">
        <v>1009</v>
      </c>
      <c r="B1010" s="1">
        <v>102030500</v>
      </c>
      <c r="C1010" s="1">
        <f t="shared" si="64"/>
        <v>106</v>
      </c>
      <c r="D1010" s="5">
        <f ca="1">IF(getQuality(B1010)&lt;4,getOtherMin(B1010,C1010,INDIRECT(J$2),INDIRECT(I1010),test),getMin(B1010,C1010,INDIRECT(J$2),INDIRECT(I1010),test))</f>
        <v>0.08</v>
      </c>
      <c r="E1010" s="5">
        <f ca="1">IF(getQuality(B1010)&lt;4,getOtherMax(B1010,C1010,INDIRECT(J$2),INDIRECT(I1010),test),getMax(B1010,C1010,INDIRECT(J$2),INDIRECT(I1010),test))</f>
        <v>0.16</v>
      </c>
      <c r="F1010" s="1" t="str">
        <f t="shared" si="62"/>
        <v>50</v>
      </c>
      <c r="G1010" s="1" t="str">
        <f t="shared" si="63"/>
        <v/>
      </c>
      <c r="I1010" s="1" t="str">
        <f t="shared" si="61"/>
        <v>威尔新数值1.06.xlsm!monsterDamage</v>
      </c>
    </row>
    <row r="1011" spans="1:9" x14ac:dyDescent="0.15">
      <c r="A1011" s="1">
        <v>1010</v>
      </c>
      <c r="B1011" s="1">
        <v>102030500</v>
      </c>
      <c r="C1011" s="1">
        <f t="shared" si="64"/>
        <v>107</v>
      </c>
      <c r="D1011" s="5">
        <f ca="1">IF(getQuality(B1011)&lt;4,getOtherMin(B1011,C1011,INDIRECT(J$2),INDIRECT(I1011),test),getMin(B1011,C1011,INDIRECT(J$2),INDIRECT(I1011),test))</f>
        <v>0.08</v>
      </c>
      <c r="E1011" s="5">
        <f ca="1">IF(getQuality(B1011)&lt;4,getOtherMax(B1011,C1011,INDIRECT(J$2),INDIRECT(I1011),test),getMax(B1011,C1011,INDIRECT(J$2),INDIRECT(I1011),test))</f>
        <v>0.16</v>
      </c>
      <c r="F1011" s="1" t="str">
        <f t="shared" si="62"/>
        <v>50</v>
      </c>
      <c r="G1011" s="1" t="str">
        <f t="shared" si="63"/>
        <v/>
      </c>
      <c r="I1011" s="1" t="str">
        <f t="shared" si="61"/>
        <v>威尔新数值1.06.xlsm!monsterDamage</v>
      </c>
    </row>
    <row r="1012" spans="1:9" x14ac:dyDescent="0.15">
      <c r="A1012" s="1">
        <v>1011</v>
      </c>
      <c r="B1012" s="1">
        <v>102030500</v>
      </c>
      <c r="C1012" s="1">
        <f t="shared" si="64"/>
        <v>108</v>
      </c>
      <c r="D1012" s="5">
        <f ca="1">IF(getQuality(B1012)&lt;4,getOtherMin(B1012,C1012,INDIRECT(J$2),INDIRECT(I1012),test),getMin(B1012,C1012,INDIRECT(J$2),INDIRECT(I1012),test))</f>
        <v>0.08</v>
      </c>
      <c r="E1012" s="5">
        <f ca="1">IF(getQuality(B1012)&lt;4,getOtherMax(B1012,C1012,INDIRECT(J$2),INDIRECT(I1012),test),getMax(B1012,C1012,INDIRECT(J$2),INDIRECT(I1012),test))</f>
        <v>0.16</v>
      </c>
      <c r="F1012" s="1" t="str">
        <f t="shared" si="62"/>
        <v>50</v>
      </c>
      <c r="G1012" s="1" t="str">
        <f t="shared" si="63"/>
        <v/>
      </c>
      <c r="I1012" s="1" t="str">
        <f t="shared" si="61"/>
        <v>威尔新数值1.06.xlsm!monsterDamage</v>
      </c>
    </row>
    <row r="1013" spans="1:9" x14ac:dyDescent="0.15">
      <c r="A1013" s="1">
        <v>1012</v>
      </c>
      <c r="B1013" s="1">
        <v>102040500</v>
      </c>
      <c r="C1013" s="1">
        <f t="shared" si="64"/>
        <v>3</v>
      </c>
      <c r="D1013" s="5">
        <f ca="1">IF(getQuality(B1013)&lt;4,getOtherMin(B1013,C1013,INDIRECT(J$2),INDIRECT(I1013),test),getMin(B1013,C1013,INDIRECT(J$2),INDIRECT(I1013),test))</f>
        <v>76.631108554901132</v>
      </c>
      <c r="E1013" s="5">
        <f ca="1">IF(getQuality(B1013)&lt;4,getOtherMax(B1013,C1013,INDIRECT(J$2),INDIRECT(I1013),test),getMax(B1013,C1013,INDIRECT(J$2),INDIRECT(I1013),test))</f>
        <v>109.24493457930163</v>
      </c>
      <c r="F1013" s="1" t="str">
        <f t="shared" si="62"/>
        <v>50</v>
      </c>
      <c r="G1013" s="1" t="str">
        <f t="shared" si="63"/>
        <v>1</v>
      </c>
      <c r="I1013" s="1" t="str">
        <f t="shared" si="61"/>
        <v>威尔新数值1.06.xlsm!suitPower</v>
      </c>
    </row>
    <row r="1014" spans="1:9" x14ac:dyDescent="0.15">
      <c r="A1014" s="1">
        <v>1013</v>
      </c>
      <c r="B1014" s="1">
        <v>102040500</v>
      </c>
      <c r="C1014" s="1">
        <f t="shared" si="64"/>
        <v>5</v>
      </c>
      <c r="D1014" s="5">
        <f ca="1">IF(getQuality(B1014)&lt;4,getOtherMin(B1014,C1014,INDIRECT(J$2),INDIRECT(I1014),test),getMin(B1014,C1014,INDIRECT(J$2),INDIRECT(I1014),test))</f>
        <v>76.631108554901132</v>
      </c>
      <c r="E1014" s="5">
        <f ca="1">IF(getQuality(B1014)&lt;4,getOtherMax(B1014,C1014,INDIRECT(J$2),INDIRECT(I1014),test),getMax(B1014,C1014,INDIRECT(J$2),INDIRECT(I1014),test))</f>
        <v>109.24493457930163</v>
      </c>
      <c r="F1014" s="1" t="str">
        <f t="shared" si="62"/>
        <v>50</v>
      </c>
      <c r="G1014" s="1" t="str">
        <f t="shared" si="63"/>
        <v/>
      </c>
      <c r="I1014" s="1" t="str">
        <f t="shared" si="61"/>
        <v>威尔新数值1.06.xlsm!suitPower</v>
      </c>
    </row>
    <row r="1015" spans="1:9" x14ac:dyDescent="0.15">
      <c r="A1015" s="1">
        <v>1014</v>
      </c>
      <c r="B1015" s="1">
        <v>102040500</v>
      </c>
      <c r="C1015" s="1">
        <f t="shared" si="64"/>
        <v>7</v>
      </c>
      <c r="D1015" s="5">
        <f ca="1">IF(getQuality(B1015)&lt;4,getOtherMin(B1015,C1015,INDIRECT(J$2),INDIRECT(I1015),test),getMin(B1015,C1015,INDIRECT(J$2),INDIRECT(I1015),test))</f>
        <v>20.444444444444393</v>
      </c>
      <c r="E1015" s="5">
        <f ca="1">IF(getQuality(B1015)&lt;4,getOtherMax(B1015,C1015,INDIRECT(J$2),INDIRECT(I1015),test),getMax(B1015,C1015,INDIRECT(J$2),INDIRECT(I1015),test))</f>
        <v>25.92592592592586</v>
      </c>
      <c r="F1015" s="1" t="str">
        <f t="shared" si="62"/>
        <v>50</v>
      </c>
      <c r="G1015" s="1" t="str">
        <f t="shared" si="63"/>
        <v/>
      </c>
      <c r="I1015" s="1" t="str">
        <f t="shared" si="61"/>
        <v>威尔新数值1.06.xlsm!suitPower</v>
      </c>
    </row>
    <row r="1016" spans="1:9" x14ac:dyDescent="0.15">
      <c r="A1016" s="1">
        <v>1015</v>
      </c>
      <c r="B1016" s="1">
        <v>102040500</v>
      </c>
      <c r="C1016" s="1">
        <f t="shared" si="64"/>
        <v>8</v>
      </c>
      <c r="D1016" s="5">
        <f ca="1">IF(getQuality(B1016)&lt;4,getOtherMin(B1016,C1016,INDIRECT(J$2),INDIRECT(I1016),test),getMin(B1016,C1016,INDIRECT(J$2),INDIRECT(I1016),test))</f>
        <v>44.75</v>
      </c>
      <c r="E1016" s="5">
        <f ca="1">IF(getQuality(B1016)&lt;4,getOtherMax(B1016,C1016,INDIRECT(J$2),INDIRECT(I1016),test),getMax(B1016,C1016,INDIRECT(J$2),INDIRECT(I1016),test))</f>
        <v>58.333333333333336</v>
      </c>
      <c r="F1016" s="1" t="str">
        <f t="shared" si="62"/>
        <v>50</v>
      </c>
      <c r="G1016" s="1" t="str">
        <f t="shared" si="63"/>
        <v/>
      </c>
      <c r="I1016" s="1" t="str">
        <f t="shared" si="61"/>
        <v>威尔新数值1.06.xlsm!suitPower</v>
      </c>
    </row>
    <row r="1017" spans="1:9" x14ac:dyDescent="0.15">
      <c r="A1017" s="1">
        <v>1016</v>
      </c>
      <c r="B1017" s="1">
        <v>102040500</v>
      </c>
      <c r="C1017" s="1">
        <f t="shared" si="64"/>
        <v>9</v>
      </c>
      <c r="D1017" s="5">
        <f ca="1">IF(getQuality(B1017)&lt;4,getOtherMin(B1017,C1017,INDIRECT(J$2),INDIRECT(I1017),test),getMin(B1017,C1017,INDIRECT(J$2),INDIRECT(I1017),test))</f>
        <v>76.631108554901132</v>
      </c>
      <c r="E1017" s="5">
        <f ca="1">IF(getQuality(B1017)&lt;4,getOtherMax(B1017,C1017,INDIRECT(J$2),INDIRECT(I1017),test),getMax(B1017,C1017,INDIRECT(J$2),INDIRECT(I1017),test))</f>
        <v>109.24493457930163</v>
      </c>
      <c r="F1017" s="1" t="str">
        <f t="shared" si="62"/>
        <v>50</v>
      </c>
      <c r="G1017" s="1" t="str">
        <f t="shared" si="63"/>
        <v/>
      </c>
      <c r="I1017" s="1" t="str">
        <f t="shared" si="61"/>
        <v>威尔新数值1.06.xlsm!suitPower</v>
      </c>
    </row>
    <row r="1018" spans="1:9" x14ac:dyDescent="0.15">
      <c r="A1018" s="1">
        <v>1017</v>
      </c>
      <c r="B1018" s="1">
        <v>102040500</v>
      </c>
      <c r="C1018" s="1">
        <f t="shared" si="64"/>
        <v>10</v>
      </c>
      <c r="D1018" s="5">
        <f ca="1">IF(getQuality(B1018)&lt;4,getOtherMin(B1018,C1018,INDIRECT(J$2),INDIRECT(I1018),test),getMin(B1018,C1018,INDIRECT(J$2),INDIRECT(I1018),test))</f>
        <v>76.631108554901132</v>
      </c>
      <c r="E1018" s="5">
        <f ca="1">IF(getQuality(B1018)&lt;4,getOtherMax(B1018,C1018,INDIRECT(J$2),INDIRECT(I1018),test),getMax(B1018,C1018,INDIRECT(J$2),INDIRECT(I1018),test))</f>
        <v>109.24493457930163</v>
      </c>
      <c r="F1018" s="1" t="str">
        <f t="shared" si="62"/>
        <v>50</v>
      </c>
      <c r="G1018" s="1" t="str">
        <f t="shared" si="63"/>
        <v/>
      </c>
      <c r="I1018" s="1" t="str">
        <f t="shared" si="61"/>
        <v>威尔新数值1.06.xlsm!suitPower</v>
      </c>
    </row>
    <row r="1019" spans="1:9" x14ac:dyDescent="0.15">
      <c r="A1019" s="1">
        <v>1018</v>
      </c>
      <c r="B1019" s="1">
        <v>102040500</v>
      </c>
      <c r="C1019" s="1">
        <f t="shared" si="64"/>
        <v>11</v>
      </c>
      <c r="D1019" s="5">
        <f ca="1">IF(getQuality(B1019)&lt;4,getOtherMin(B1019,C1019,INDIRECT(J$2),INDIRECT(I1019),test),getMin(B1019,C1019,INDIRECT(J$2),INDIRECT(I1019),test))</f>
        <v>76.631108554901132</v>
      </c>
      <c r="E1019" s="5">
        <f ca="1">IF(getQuality(B1019)&lt;4,getOtherMax(B1019,C1019,INDIRECT(J$2),INDIRECT(I1019),test),getMax(B1019,C1019,INDIRECT(J$2),INDIRECT(I1019),test))</f>
        <v>109.24493457930163</v>
      </c>
      <c r="F1019" s="1" t="str">
        <f t="shared" si="62"/>
        <v>50</v>
      </c>
      <c r="G1019" s="1" t="str">
        <f t="shared" si="63"/>
        <v/>
      </c>
      <c r="I1019" s="1" t="str">
        <f t="shared" si="61"/>
        <v>威尔新数值1.06.xlsm!suitPower</v>
      </c>
    </row>
    <row r="1020" spans="1:9" x14ac:dyDescent="0.15">
      <c r="A1020" s="1">
        <v>1019</v>
      </c>
      <c r="B1020" s="1">
        <v>102040500</v>
      </c>
      <c r="C1020" s="1">
        <f t="shared" si="64"/>
        <v>12</v>
      </c>
      <c r="D1020" s="5">
        <f ca="1">IF(getQuality(B1020)&lt;4,getOtherMin(B1020,C1020,INDIRECT(J$2),INDIRECT(I1020),test),getMin(B1020,C1020,INDIRECT(J$2),INDIRECT(I1020),test))</f>
        <v>76.631108554901132</v>
      </c>
      <c r="E1020" s="5">
        <f ca="1">IF(getQuality(B1020)&lt;4,getOtherMax(B1020,C1020,INDIRECT(J$2),INDIRECT(I1020),test),getMax(B1020,C1020,INDIRECT(J$2),INDIRECT(I1020),test))</f>
        <v>109.24493457930163</v>
      </c>
      <c r="F1020" s="1" t="str">
        <f t="shared" si="62"/>
        <v>50</v>
      </c>
      <c r="G1020" s="1" t="str">
        <f t="shared" si="63"/>
        <v/>
      </c>
      <c r="I1020" s="1" t="str">
        <f t="shared" si="61"/>
        <v>威尔新数值1.06.xlsm!suitPower</v>
      </c>
    </row>
    <row r="1021" spans="1:9" x14ac:dyDescent="0.15">
      <c r="A1021" s="1">
        <v>1020</v>
      </c>
      <c r="B1021" s="1">
        <v>102040500</v>
      </c>
      <c r="C1021" s="1">
        <f t="shared" si="64"/>
        <v>13</v>
      </c>
      <c r="D1021" s="5">
        <f ca="1">IF(getQuality(B1021)&lt;4,getOtherMin(B1021,C1021,INDIRECT(J$2),INDIRECT(I1021),test),getMin(B1021,C1021,INDIRECT(J$2),INDIRECT(I1021),test))</f>
        <v>76.631108554901132</v>
      </c>
      <c r="E1021" s="5">
        <f ca="1">IF(getQuality(B1021)&lt;4,getOtherMax(B1021,C1021,INDIRECT(J$2),INDIRECT(I1021),test),getMax(B1021,C1021,INDIRECT(J$2),INDIRECT(I1021),test))</f>
        <v>109.24493457930163</v>
      </c>
      <c r="F1021" s="1" t="str">
        <f t="shared" si="62"/>
        <v>50</v>
      </c>
      <c r="G1021" s="1" t="str">
        <f t="shared" si="63"/>
        <v/>
      </c>
      <c r="I1021" s="1" t="str">
        <f t="shared" si="61"/>
        <v>威尔新数值1.06.xlsm!suitPower</v>
      </c>
    </row>
    <row r="1022" spans="1:9" x14ac:dyDescent="0.15">
      <c r="A1022" s="1">
        <v>1021</v>
      </c>
      <c r="B1022" s="1">
        <v>102040500</v>
      </c>
      <c r="C1022" s="1">
        <f t="shared" si="64"/>
        <v>14</v>
      </c>
      <c r="D1022" s="5">
        <f ca="1">IF(getQuality(B1022)&lt;4,getOtherMin(B1022,C1022,INDIRECT(J$2),INDIRECT(I1022),test),getMin(B1022,C1022,INDIRECT(J$2),INDIRECT(I1022),test))</f>
        <v>76.631108554901132</v>
      </c>
      <c r="E1022" s="5">
        <f ca="1">IF(getQuality(B1022)&lt;4,getOtherMax(B1022,C1022,INDIRECT(J$2),INDIRECT(I1022),test),getMax(B1022,C1022,INDIRECT(J$2),INDIRECT(I1022),test))</f>
        <v>109.24493457930163</v>
      </c>
      <c r="F1022" s="1" t="str">
        <f t="shared" si="62"/>
        <v>50</v>
      </c>
      <c r="G1022" s="1" t="str">
        <f t="shared" si="63"/>
        <v/>
      </c>
      <c r="I1022" s="1" t="str">
        <f t="shared" si="61"/>
        <v>威尔新数值1.06.xlsm!suitPower</v>
      </c>
    </row>
    <row r="1023" spans="1:9" x14ac:dyDescent="0.15">
      <c r="A1023" s="1">
        <v>1022</v>
      </c>
      <c r="B1023" s="1">
        <v>102040500</v>
      </c>
      <c r="C1023" s="1">
        <f t="shared" si="64"/>
        <v>15</v>
      </c>
      <c r="D1023" s="5">
        <f ca="1">IF(getQuality(B1023)&lt;4,getOtherMin(B1023,C1023,INDIRECT(J$2),INDIRECT(I1023),test),getMin(B1023,C1023,INDIRECT(J$2),INDIRECT(I1023),test))</f>
        <v>76.631108554901132</v>
      </c>
      <c r="E1023" s="5">
        <f ca="1">IF(getQuality(B1023)&lt;4,getOtherMax(B1023,C1023,INDIRECT(J$2),INDIRECT(I1023),test),getMax(B1023,C1023,INDIRECT(J$2),INDIRECT(I1023),test))</f>
        <v>109.24493457930163</v>
      </c>
      <c r="F1023" s="1" t="str">
        <f t="shared" si="62"/>
        <v>50</v>
      </c>
      <c r="G1023" s="1" t="str">
        <f t="shared" si="63"/>
        <v/>
      </c>
      <c r="I1023" s="1" t="str">
        <f t="shared" si="61"/>
        <v>威尔新数值1.06.xlsm!suitPower</v>
      </c>
    </row>
    <row r="1024" spans="1:9" x14ac:dyDescent="0.15">
      <c r="A1024" s="1">
        <v>1023</v>
      </c>
      <c r="B1024" s="1">
        <v>102040500</v>
      </c>
      <c r="C1024" s="1">
        <f t="shared" si="64"/>
        <v>101</v>
      </c>
      <c r="D1024" s="5">
        <f ca="1">IF(getQuality(B1024)&lt;4,getOtherMin(B1024,C1024,INDIRECT(J$2),INDIRECT(I1024),test),getMin(B1024,C1024,INDIRECT(J$2),INDIRECT(I1024),test))</f>
        <v>0.09</v>
      </c>
      <c r="E1024" s="5">
        <f ca="1">IF(getQuality(B1024)&lt;4,getOtherMax(B1024,C1024,INDIRECT(J$2),INDIRECT(I1024),test),getMax(B1024,C1024,INDIRECT(J$2),INDIRECT(I1024),test))</f>
        <v>0.12</v>
      </c>
      <c r="F1024" s="1" t="str">
        <f t="shared" si="62"/>
        <v>50</v>
      </c>
      <c r="G1024" s="1" t="str">
        <f t="shared" si="63"/>
        <v/>
      </c>
      <c r="I1024" s="1" t="str">
        <f t="shared" si="61"/>
        <v>威尔新数值1.06.xlsm!circlePer</v>
      </c>
    </row>
    <row r="1025" spans="1:9" x14ac:dyDescent="0.15">
      <c r="A1025" s="1">
        <v>1024</v>
      </c>
      <c r="B1025" s="1">
        <v>102040500</v>
      </c>
      <c r="C1025" s="1">
        <f t="shared" si="64"/>
        <v>102</v>
      </c>
      <c r="D1025" s="5">
        <f ca="1">IF(getQuality(B1025)&lt;4,getOtherMin(B1025,C1025,INDIRECT(J$2),INDIRECT(I1025),test),getMin(B1025,C1025,INDIRECT(J$2),INDIRECT(I1025),test))</f>
        <v>0.7</v>
      </c>
      <c r="E1025" s="5">
        <f ca="1">IF(getQuality(B1025)&lt;4,getOtherMax(B1025,C1025,INDIRECT(J$2),INDIRECT(I1025),test),getMax(B1025,C1025,INDIRECT(J$2),INDIRECT(I1025),test))</f>
        <v>1.1000000000000001</v>
      </c>
      <c r="F1025" s="1" t="str">
        <f t="shared" si="62"/>
        <v>50</v>
      </c>
      <c r="G1025" s="1" t="str">
        <f t="shared" si="63"/>
        <v/>
      </c>
      <c r="I1025" s="1" t="str">
        <f t="shared" si="61"/>
        <v>威尔新数值1.06.xlsm!circleValue</v>
      </c>
    </row>
    <row r="1026" spans="1:9" x14ac:dyDescent="0.15">
      <c r="A1026" s="1">
        <v>1025</v>
      </c>
      <c r="B1026" s="1">
        <v>102040500</v>
      </c>
      <c r="C1026" s="1">
        <f t="shared" si="64"/>
        <v>103</v>
      </c>
      <c r="D1026" s="5">
        <f ca="1">IF(getQuality(B1026)&lt;4,getOtherMin(B1026,C1026,INDIRECT(J$2),INDIRECT(I1026),test),getMin(B1026,C1026,INDIRECT(J$2),INDIRECT(I1026),test))</f>
        <v>0.09</v>
      </c>
      <c r="E1026" s="5">
        <f ca="1">IF(getQuality(B1026)&lt;4,getOtherMax(B1026,C1026,INDIRECT(J$2),INDIRECT(I1026),test),getMax(B1026,C1026,INDIRECT(J$2),INDIRECT(I1026),test))</f>
        <v>0.12</v>
      </c>
      <c r="F1026" s="1" t="str">
        <f t="shared" si="62"/>
        <v>50</v>
      </c>
      <c r="G1026" s="1" t="str">
        <f t="shared" si="63"/>
        <v/>
      </c>
      <c r="I1026" s="1" t="str">
        <f t="shared" ref="I1026:I1089" si="65">IF(C1026&lt;100,VLOOKUP(C1026,test,3,FALSE),VLOOKUP(C1026,test1,3,FALSE))</f>
        <v>威尔新数值1.06.xlsm!otherDamage</v>
      </c>
    </row>
    <row r="1027" spans="1:9" x14ac:dyDescent="0.15">
      <c r="A1027" s="1">
        <v>1026</v>
      </c>
      <c r="B1027" s="1">
        <v>102040500</v>
      </c>
      <c r="C1027" s="1">
        <f t="shared" si="64"/>
        <v>104</v>
      </c>
      <c r="D1027" s="5">
        <f ca="1">IF(getQuality(B1027)&lt;4,getOtherMin(B1027,C1027,INDIRECT(J$2),INDIRECT(I1027),test),getMin(B1027,C1027,INDIRECT(J$2),INDIRECT(I1027),test))</f>
        <v>0.09</v>
      </c>
      <c r="E1027" s="5">
        <f ca="1">IF(getQuality(B1027)&lt;4,getOtherMax(B1027,C1027,INDIRECT(J$2),INDIRECT(I1027),test),getMax(B1027,C1027,INDIRECT(J$2),INDIRECT(I1027),test))</f>
        <v>0.18</v>
      </c>
      <c r="F1027" s="1" t="str">
        <f t="shared" ref="F1027:F1090" si="66">getper(B1027,C1027)</f>
        <v>50</v>
      </c>
      <c r="G1027" s="1" t="str">
        <f t="shared" ref="G1027:G1090" si="67">getMust(B1027,C1027)</f>
        <v/>
      </c>
      <c r="I1027" s="1" t="str">
        <f t="shared" si="65"/>
        <v>威尔新数值1.06.xlsm!monsterDamage</v>
      </c>
    </row>
    <row r="1028" spans="1:9" x14ac:dyDescent="0.15">
      <c r="A1028" s="1">
        <v>1027</v>
      </c>
      <c r="B1028" s="1">
        <v>102040500</v>
      </c>
      <c r="C1028" s="1">
        <f t="shared" si="64"/>
        <v>105</v>
      </c>
      <c r="D1028" s="5">
        <f ca="1">IF(getQuality(B1028)&lt;4,getOtherMin(B1028,C1028,INDIRECT(J$2),INDIRECT(I1028),test),getMin(B1028,C1028,INDIRECT(J$2),INDIRECT(I1028),test))</f>
        <v>0.09</v>
      </c>
      <c r="E1028" s="5">
        <f ca="1">IF(getQuality(B1028)&lt;4,getOtherMax(B1028,C1028,INDIRECT(J$2),INDIRECT(I1028),test),getMax(B1028,C1028,INDIRECT(J$2),INDIRECT(I1028),test))</f>
        <v>0.18</v>
      </c>
      <c r="F1028" s="1" t="str">
        <f t="shared" si="66"/>
        <v>50</v>
      </c>
      <c r="G1028" s="1" t="str">
        <f t="shared" si="67"/>
        <v/>
      </c>
      <c r="I1028" s="1" t="str">
        <f t="shared" si="65"/>
        <v>威尔新数值1.06.xlsm!monsterDamage</v>
      </c>
    </row>
    <row r="1029" spans="1:9" x14ac:dyDescent="0.15">
      <c r="A1029" s="1">
        <v>1028</v>
      </c>
      <c r="B1029" s="1">
        <v>102040500</v>
      </c>
      <c r="C1029" s="1">
        <f t="shared" si="64"/>
        <v>106</v>
      </c>
      <c r="D1029" s="5">
        <f ca="1">IF(getQuality(B1029)&lt;4,getOtherMin(B1029,C1029,INDIRECT(J$2),INDIRECT(I1029),test),getMin(B1029,C1029,INDIRECT(J$2),INDIRECT(I1029),test))</f>
        <v>0.09</v>
      </c>
      <c r="E1029" s="5">
        <f ca="1">IF(getQuality(B1029)&lt;4,getOtherMax(B1029,C1029,INDIRECT(J$2),INDIRECT(I1029),test),getMax(B1029,C1029,INDIRECT(J$2),INDIRECT(I1029),test))</f>
        <v>0.18</v>
      </c>
      <c r="F1029" s="1" t="str">
        <f t="shared" si="66"/>
        <v>50</v>
      </c>
      <c r="G1029" s="1" t="str">
        <f t="shared" si="67"/>
        <v/>
      </c>
      <c r="I1029" s="1" t="str">
        <f t="shared" si="65"/>
        <v>威尔新数值1.06.xlsm!monsterDamage</v>
      </c>
    </row>
    <row r="1030" spans="1:9" x14ac:dyDescent="0.15">
      <c r="A1030" s="1">
        <v>1029</v>
      </c>
      <c r="B1030" s="1">
        <v>102040500</v>
      </c>
      <c r="C1030" s="1">
        <f t="shared" si="64"/>
        <v>107</v>
      </c>
      <c r="D1030" s="5">
        <f ca="1">IF(getQuality(B1030)&lt;4,getOtherMin(B1030,C1030,INDIRECT(J$2),INDIRECT(I1030),test),getMin(B1030,C1030,INDIRECT(J$2),INDIRECT(I1030),test))</f>
        <v>0.09</v>
      </c>
      <c r="E1030" s="5">
        <f ca="1">IF(getQuality(B1030)&lt;4,getOtherMax(B1030,C1030,INDIRECT(J$2),INDIRECT(I1030),test),getMax(B1030,C1030,INDIRECT(J$2),INDIRECT(I1030),test))</f>
        <v>0.18</v>
      </c>
      <c r="F1030" s="1" t="str">
        <f t="shared" si="66"/>
        <v>50</v>
      </c>
      <c r="G1030" s="1" t="str">
        <f t="shared" si="67"/>
        <v/>
      </c>
      <c r="I1030" s="1" t="str">
        <f t="shared" si="65"/>
        <v>威尔新数值1.06.xlsm!monsterDamage</v>
      </c>
    </row>
    <row r="1031" spans="1:9" x14ac:dyDescent="0.15">
      <c r="A1031" s="1">
        <v>1030</v>
      </c>
      <c r="B1031" s="1">
        <v>102040500</v>
      </c>
      <c r="C1031" s="1">
        <f t="shared" si="64"/>
        <v>108</v>
      </c>
      <c r="D1031" s="5">
        <f ca="1">IF(getQuality(B1031)&lt;4,getOtherMin(B1031,C1031,INDIRECT(J$2),INDIRECT(I1031),test),getMin(B1031,C1031,INDIRECT(J$2),INDIRECT(I1031),test))</f>
        <v>0.09</v>
      </c>
      <c r="E1031" s="5">
        <f ca="1">IF(getQuality(B1031)&lt;4,getOtherMax(B1031,C1031,INDIRECT(J$2),INDIRECT(I1031),test),getMax(B1031,C1031,INDIRECT(J$2),INDIRECT(I1031),test))</f>
        <v>0.18</v>
      </c>
      <c r="F1031" s="1" t="str">
        <f t="shared" si="66"/>
        <v>50</v>
      </c>
      <c r="G1031" s="1" t="str">
        <f t="shared" si="67"/>
        <v/>
      </c>
      <c r="I1031" s="1" t="str">
        <f t="shared" si="65"/>
        <v>威尔新数值1.06.xlsm!monsterDamage</v>
      </c>
    </row>
    <row r="1032" spans="1:9" x14ac:dyDescent="0.15">
      <c r="A1032" s="1">
        <v>1031</v>
      </c>
      <c r="B1032" s="1">
        <v>102050500</v>
      </c>
      <c r="C1032" s="1">
        <f t="shared" si="64"/>
        <v>3</v>
      </c>
      <c r="D1032" s="5">
        <f ca="1">IF(getQuality(B1032)&lt;4,getOtherMin(B1032,C1032,INDIRECT(J$2),INDIRECT(I1032),test),getMin(B1032,C1032,INDIRECT(J$2),INDIRECT(I1032),test))</f>
        <v>110.24493457930163</v>
      </c>
      <c r="E1032" s="5">
        <f ca="1">IF(getQuality(B1032)&lt;4,getOtherMax(B1032,C1032,INDIRECT(J$2),INDIRECT(I1032),test),getMax(B1032,C1032,INDIRECT(J$2),INDIRECT(I1032),test))</f>
        <v>148.01542709608177</v>
      </c>
      <c r="F1032" s="1" t="str">
        <f t="shared" si="66"/>
        <v>50</v>
      </c>
      <c r="G1032" s="1" t="str">
        <f t="shared" si="67"/>
        <v>1</v>
      </c>
      <c r="I1032" s="1" t="str">
        <f t="shared" si="65"/>
        <v>威尔新数值1.06.xlsm!suitPower</v>
      </c>
    </row>
    <row r="1033" spans="1:9" x14ac:dyDescent="0.15">
      <c r="A1033" s="1">
        <v>1032</v>
      </c>
      <c r="B1033" s="1">
        <v>102050500</v>
      </c>
      <c r="C1033" s="1">
        <f t="shared" si="64"/>
        <v>5</v>
      </c>
      <c r="D1033" s="5">
        <f ca="1">IF(getQuality(B1033)&lt;4,getOtherMin(B1033,C1033,INDIRECT(J$2),INDIRECT(I1033),test),getMin(B1033,C1033,INDIRECT(J$2),INDIRECT(I1033),test))</f>
        <v>110.24493457930163</v>
      </c>
      <c r="E1033" s="5">
        <f ca="1">IF(getQuality(B1033)&lt;4,getOtherMax(B1033,C1033,INDIRECT(J$2),INDIRECT(I1033),test),getMax(B1033,C1033,INDIRECT(J$2),INDIRECT(I1033),test))</f>
        <v>148.01542709608177</v>
      </c>
      <c r="F1033" s="1" t="str">
        <f t="shared" si="66"/>
        <v>50</v>
      </c>
      <c r="G1033" s="1" t="str">
        <f t="shared" si="67"/>
        <v/>
      </c>
      <c r="I1033" s="1" t="str">
        <f t="shared" si="65"/>
        <v>威尔新数值1.06.xlsm!suitPower</v>
      </c>
    </row>
    <row r="1034" spans="1:9" x14ac:dyDescent="0.15">
      <c r="A1034" s="1">
        <v>1033</v>
      </c>
      <c r="B1034" s="1">
        <v>102050500</v>
      </c>
      <c r="C1034" s="1">
        <f t="shared" si="64"/>
        <v>7</v>
      </c>
      <c r="D1034" s="5">
        <f ca="1">IF(getQuality(B1034)&lt;4,getOtherMin(B1034,C1034,INDIRECT(J$2),INDIRECT(I1034),test),getMin(B1034,C1034,INDIRECT(J$2),INDIRECT(I1034),test))</f>
        <v>26.92592592592586</v>
      </c>
      <c r="E1034" s="5">
        <f ca="1">IF(getQuality(B1034)&lt;4,getOtherMax(B1034,C1034,INDIRECT(J$2),INDIRECT(I1034),test),getMax(B1034,C1034,INDIRECT(J$2),INDIRECT(I1034),test))</f>
        <v>32.407407407407327</v>
      </c>
      <c r="F1034" s="1" t="str">
        <f t="shared" si="66"/>
        <v>50</v>
      </c>
      <c r="G1034" s="1" t="str">
        <f t="shared" si="67"/>
        <v/>
      </c>
      <c r="I1034" s="1" t="str">
        <f t="shared" si="65"/>
        <v>威尔新数值1.06.xlsm!suitPower</v>
      </c>
    </row>
    <row r="1035" spans="1:9" x14ac:dyDescent="0.15">
      <c r="A1035" s="1">
        <v>1034</v>
      </c>
      <c r="B1035" s="1">
        <v>102050500</v>
      </c>
      <c r="C1035" s="1">
        <f t="shared" si="64"/>
        <v>8</v>
      </c>
      <c r="D1035" s="5">
        <f ca="1">IF(getQuality(B1035)&lt;4,getOtherMin(B1035,C1035,INDIRECT(J$2),INDIRECT(I1035),test),getMin(B1035,C1035,INDIRECT(J$2),INDIRECT(I1035),test))</f>
        <v>59.333333333333336</v>
      </c>
      <c r="E1035" s="5">
        <f ca="1">IF(getQuality(B1035)&lt;4,getOtherMax(B1035,C1035,INDIRECT(J$2),INDIRECT(I1035),test),getMax(B1035,C1035,INDIRECT(J$2),INDIRECT(I1035),test))</f>
        <v>72.916666666666671</v>
      </c>
      <c r="F1035" s="1" t="str">
        <f t="shared" si="66"/>
        <v>50</v>
      </c>
      <c r="G1035" s="1" t="str">
        <f t="shared" si="67"/>
        <v/>
      </c>
      <c r="I1035" s="1" t="str">
        <f t="shared" si="65"/>
        <v>威尔新数值1.06.xlsm!suitPower</v>
      </c>
    </row>
    <row r="1036" spans="1:9" x14ac:dyDescent="0.15">
      <c r="A1036" s="1">
        <v>1035</v>
      </c>
      <c r="B1036" s="1">
        <v>102050500</v>
      </c>
      <c r="C1036" s="1">
        <f t="shared" si="64"/>
        <v>9</v>
      </c>
      <c r="D1036" s="5">
        <f ca="1">IF(getQuality(B1036)&lt;4,getOtherMin(B1036,C1036,INDIRECT(J$2),INDIRECT(I1036),test),getMin(B1036,C1036,INDIRECT(J$2),INDIRECT(I1036),test))</f>
        <v>110.24493457930163</v>
      </c>
      <c r="E1036" s="5">
        <f ca="1">IF(getQuality(B1036)&lt;4,getOtherMax(B1036,C1036,INDIRECT(J$2),INDIRECT(I1036),test),getMax(B1036,C1036,INDIRECT(J$2),INDIRECT(I1036),test))</f>
        <v>148.01542709608177</v>
      </c>
      <c r="F1036" s="1" t="str">
        <f t="shared" si="66"/>
        <v>50</v>
      </c>
      <c r="G1036" s="1" t="str">
        <f t="shared" si="67"/>
        <v/>
      </c>
      <c r="I1036" s="1" t="str">
        <f t="shared" si="65"/>
        <v>威尔新数值1.06.xlsm!suitPower</v>
      </c>
    </row>
    <row r="1037" spans="1:9" x14ac:dyDescent="0.15">
      <c r="A1037" s="1">
        <v>1036</v>
      </c>
      <c r="B1037" s="1">
        <v>102050500</v>
      </c>
      <c r="C1037" s="1">
        <f t="shared" si="64"/>
        <v>10</v>
      </c>
      <c r="D1037" s="5">
        <f ca="1">IF(getQuality(B1037)&lt;4,getOtherMin(B1037,C1037,INDIRECT(J$2),INDIRECT(I1037),test),getMin(B1037,C1037,INDIRECT(J$2),INDIRECT(I1037),test))</f>
        <v>110.24493457930163</v>
      </c>
      <c r="E1037" s="5">
        <f ca="1">IF(getQuality(B1037)&lt;4,getOtherMax(B1037,C1037,INDIRECT(J$2),INDIRECT(I1037),test),getMax(B1037,C1037,INDIRECT(J$2),INDIRECT(I1037),test))</f>
        <v>148.01542709608177</v>
      </c>
      <c r="F1037" s="1" t="str">
        <f t="shared" si="66"/>
        <v>50</v>
      </c>
      <c r="G1037" s="1" t="str">
        <f t="shared" si="67"/>
        <v/>
      </c>
      <c r="I1037" s="1" t="str">
        <f t="shared" si="65"/>
        <v>威尔新数值1.06.xlsm!suitPower</v>
      </c>
    </row>
    <row r="1038" spans="1:9" x14ac:dyDescent="0.15">
      <c r="A1038" s="1">
        <v>1037</v>
      </c>
      <c r="B1038" s="1">
        <v>102050500</v>
      </c>
      <c r="C1038" s="1">
        <f t="shared" si="64"/>
        <v>11</v>
      </c>
      <c r="D1038" s="5">
        <f ca="1">IF(getQuality(B1038)&lt;4,getOtherMin(B1038,C1038,INDIRECT(J$2),INDIRECT(I1038),test),getMin(B1038,C1038,INDIRECT(J$2),INDIRECT(I1038),test))</f>
        <v>110.24493457930163</v>
      </c>
      <c r="E1038" s="5">
        <f ca="1">IF(getQuality(B1038)&lt;4,getOtherMax(B1038,C1038,INDIRECT(J$2),INDIRECT(I1038),test),getMax(B1038,C1038,INDIRECT(J$2),INDIRECT(I1038),test))</f>
        <v>148.01542709608177</v>
      </c>
      <c r="F1038" s="1" t="str">
        <f t="shared" si="66"/>
        <v>50</v>
      </c>
      <c r="G1038" s="1" t="str">
        <f t="shared" si="67"/>
        <v/>
      </c>
      <c r="I1038" s="1" t="str">
        <f t="shared" si="65"/>
        <v>威尔新数值1.06.xlsm!suitPower</v>
      </c>
    </row>
    <row r="1039" spans="1:9" x14ac:dyDescent="0.15">
      <c r="A1039" s="1">
        <v>1038</v>
      </c>
      <c r="B1039" s="1">
        <v>102050500</v>
      </c>
      <c r="C1039" s="1">
        <f t="shared" si="64"/>
        <v>12</v>
      </c>
      <c r="D1039" s="5">
        <f ca="1">IF(getQuality(B1039)&lt;4,getOtherMin(B1039,C1039,INDIRECT(J$2),INDIRECT(I1039),test),getMin(B1039,C1039,INDIRECT(J$2),INDIRECT(I1039),test))</f>
        <v>110.24493457930163</v>
      </c>
      <c r="E1039" s="5">
        <f ca="1">IF(getQuality(B1039)&lt;4,getOtherMax(B1039,C1039,INDIRECT(J$2),INDIRECT(I1039),test),getMax(B1039,C1039,INDIRECT(J$2),INDIRECT(I1039),test))</f>
        <v>148.01542709608177</v>
      </c>
      <c r="F1039" s="1" t="str">
        <f t="shared" si="66"/>
        <v>50</v>
      </c>
      <c r="G1039" s="1" t="str">
        <f t="shared" si="67"/>
        <v/>
      </c>
      <c r="I1039" s="1" t="str">
        <f t="shared" si="65"/>
        <v>威尔新数值1.06.xlsm!suitPower</v>
      </c>
    </row>
    <row r="1040" spans="1:9" x14ac:dyDescent="0.15">
      <c r="A1040" s="1">
        <v>1039</v>
      </c>
      <c r="B1040" s="1">
        <v>102050500</v>
      </c>
      <c r="C1040" s="1">
        <f t="shared" si="64"/>
        <v>13</v>
      </c>
      <c r="D1040" s="5">
        <f ca="1">IF(getQuality(B1040)&lt;4,getOtherMin(B1040,C1040,INDIRECT(J$2),INDIRECT(I1040),test),getMin(B1040,C1040,INDIRECT(J$2),INDIRECT(I1040),test))</f>
        <v>110.24493457930163</v>
      </c>
      <c r="E1040" s="5">
        <f ca="1">IF(getQuality(B1040)&lt;4,getOtherMax(B1040,C1040,INDIRECT(J$2),INDIRECT(I1040),test),getMax(B1040,C1040,INDIRECT(J$2),INDIRECT(I1040),test))</f>
        <v>148.01542709608177</v>
      </c>
      <c r="F1040" s="1" t="str">
        <f t="shared" si="66"/>
        <v>50</v>
      </c>
      <c r="G1040" s="1" t="str">
        <f t="shared" si="67"/>
        <v/>
      </c>
      <c r="I1040" s="1" t="str">
        <f t="shared" si="65"/>
        <v>威尔新数值1.06.xlsm!suitPower</v>
      </c>
    </row>
    <row r="1041" spans="1:9" x14ac:dyDescent="0.15">
      <c r="A1041" s="1">
        <v>1040</v>
      </c>
      <c r="B1041" s="1">
        <v>102050500</v>
      </c>
      <c r="C1041" s="1">
        <f t="shared" si="64"/>
        <v>14</v>
      </c>
      <c r="D1041" s="5">
        <f ca="1">IF(getQuality(B1041)&lt;4,getOtherMin(B1041,C1041,INDIRECT(J$2),INDIRECT(I1041),test),getMin(B1041,C1041,INDIRECT(J$2),INDIRECT(I1041),test))</f>
        <v>110.24493457930163</v>
      </c>
      <c r="E1041" s="5">
        <f ca="1">IF(getQuality(B1041)&lt;4,getOtherMax(B1041,C1041,INDIRECT(J$2),INDIRECT(I1041),test),getMax(B1041,C1041,INDIRECT(J$2),INDIRECT(I1041),test))</f>
        <v>148.01542709608177</v>
      </c>
      <c r="F1041" s="1" t="str">
        <f t="shared" si="66"/>
        <v>50</v>
      </c>
      <c r="G1041" s="1" t="str">
        <f t="shared" si="67"/>
        <v/>
      </c>
      <c r="I1041" s="1" t="str">
        <f t="shared" si="65"/>
        <v>威尔新数值1.06.xlsm!suitPower</v>
      </c>
    </row>
    <row r="1042" spans="1:9" x14ac:dyDescent="0.15">
      <c r="A1042" s="1">
        <v>1041</v>
      </c>
      <c r="B1042" s="1">
        <v>102050500</v>
      </c>
      <c r="C1042" s="1">
        <f t="shared" si="64"/>
        <v>15</v>
      </c>
      <c r="D1042" s="5">
        <f ca="1">IF(getQuality(B1042)&lt;4,getOtherMin(B1042,C1042,INDIRECT(J$2),INDIRECT(I1042),test),getMin(B1042,C1042,INDIRECT(J$2),INDIRECT(I1042),test))</f>
        <v>110.24493457930163</v>
      </c>
      <c r="E1042" s="5">
        <f ca="1">IF(getQuality(B1042)&lt;4,getOtherMax(B1042,C1042,INDIRECT(J$2),INDIRECT(I1042),test),getMax(B1042,C1042,INDIRECT(J$2),INDIRECT(I1042),test))</f>
        <v>148.01542709608177</v>
      </c>
      <c r="F1042" s="1" t="str">
        <f t="shared" si="66"/>
        <v>50</v>
      </c>
      <c r="G1042" s="1" t="str">
        <f t="shared" si="67"/>
        <v/>
      </c>
      <c r="I1042" s="1" t="str">
        <f t="shared" si="65"/>
        <v>威尔新数值1.06.xlsm!suitPower</v>
      </c>
    </row>
    <row r="1043" spans="1:9" x14ac:dyDescent="0.15">
      <c r="A1043" s="1">
        <v>1042</v>
      </c>
      <c r="B1043" s="1">
        <v>102050500</v>
      </c>
      <c r="C1043" s="1">
        <f t="shared" si="64"/>
        <v>101</v>
      </c>
      <c r="D1043" s="5">
        <f ca="1">IF(getQuality(B1043)&lt;4,getOtherMin(B1043,C1043,INDIRECT(J$2),INDIRECT(I1043),test),getMin(B1043,C1043,INDIRECT(J$2),INDIRECT(I1043),test))</f>
        <v>0.1</v>
      </c>
      <c r="E1043" s="5">
        <f ca="1">IF(getQuality(B1043)&lt;4,getOtherMax(B1043,C1043,INDIRECT(J$2),INDIRECT(I1043),test),getMax(B1043,C1043,INDIRECT(J$2),INDIRECT(I1043),test))</f>
        <v>0.13</v>
      </c>
      <c r="F1043" s="1" t="str">
        <f t="shared" si="66"/>
        <v>50</v>
      </c>
      <c r="G1043" s="1" t="str">
        <f t="shared" si="67"/>
        <v/>
      </c>
      <c r="I1043" s="1" t="str">
        <f t="shared" si="65"/>
        <v>威尔新数值1.06.xlsm!circlePer</v>
      </c>
    </row>
    <row r="1044" spans="1:9" x14ac:dyDescent="0.15">
      <c r="A1044" s="1">
        <v>1043</v>
      </c>
      <c r="B1044" s="1">
        <v>102050500</v>
      </c>
      <c r="C1044" s="1">
        <f t="shared" si="64"/>
        <v>102</v>
      </c>
      <c r="D1044" s="5">
        <f ca="1">IF(getQuality(B1044)&lt;4,getOtherMin(B1044,C1044,INDIRECT(J$2),INDIRECT(I1044),test),getMin(B1044,C1044,INDIRECT(J$2),INDIRECT(I1044),test))</f>
        <v>0.8</v>
      </c>
      <c r="E1044" s="5">
        <f ca="1">IF(getQuality(B1044)&lt;4,getOtherMax(B1044,C1044,INDIRECT(J$2),INDIRECT(I1044),test),getMax(B1044,C1044,INDIRECT(J$2),INDIRECT(I1044),test))</f>
        <v>1.2</v>
      </c>
      <c r="F1044" s="1" t="str">
        <f t="shared" si="66"/>
        <v>50</v>
      </c>
      <c r="G1044" s="1" t="str">
        <f t="shared" si="67"/>
        <v/>
      </c>
      <c r="I1044" s="1" t="str">
        <f t="shared" si="65"/>
        <v>威尔新数值1.06.xlsm!circleValue</v>
      </c>
    </row>
    <row r="1045" spans="1:9" x14ac:dyDescent="0.15">
      <c r="A1045" s="1">
        <v>1044</v>
      </c>
      <c r="B1045" s="1">
        <v>102050500</v>
      </c>
      <c r="C1045" s="1">
        <f t="shared" si="64"/>
        <v>103</v>
      </c>
      <c r="D1045" s="5">
        <f ca="1">IF(getQuality(B1045)&lt;4,getOtherMin(B1045,C1045,INDIRECT(J$2),INDIRECT(I1045),test),getMin(B1045,C1045,INDIRECT(J$2),INDIRECT(I1045),test))</f>
        <v>0.1</v>
      </c>
      <c r="E1045" s="5">
        <f ca="1">IF(getQuality(B1045)&lt;4,getOtherMax(B1045,C1045,INDIRECT(J$2),INDIRECT(I1045),test),getMax(B1045,C1045,INDIRECT(J$2),INDIRECT(I1045),test))</f>
        <v>0.13</v>
      </c>
      <c r="F1045" s="1" t="str">
        <f t="shared" si="66"/>
        <v>50</v>
      </c>
      <c r="G1045" s="1" t="str">
        <f t="shared" si="67"/>
        <v/>
      </c>
      <c r="I1045" s="1" t="str">
        <f t="shared" si="65"/>
        <v>威尔新数值1.06.xlsm!otherDamage</v>
      </c>
    </row>
    <row r="1046" spans="1:9" x14ac:dyDescent="0.15">
      <c r="A1046" s="1">
        <v>1045</v>
      </c>
      <c r="B1046" s="1">
        <v>102050500</v>
      </c>
      <c r="C1046" s="1">
        <f t="shared" si="64"/>
        <v>104</v>
      </c>
      <c r="D1046" s="5">
        <f ca="1">IF(getQuality(B1046)&lt;4,getOtherMin(B1046,C1046,INDIRECT(J$2),INDIRECT(I1046),test),getMin(B1046,C1046,INDIRECT(J$2),INDIRECT(I1046),test))</f>
        <v>0.1</v>
      </c>
      <c r="E1046" s="5">
        <f ca="1">IF(getQuality(B1046)&lt;4,getOtherMax(B1046,C1046,INDIRECT(J$2),INDIRECT(I1046),test),getMax(B1046,C1046,INDIRECT(J$2),INDIRECT(I1046),test))</f>
        <v>0.2</v>
      </c>
      <c r="F1046" s="1" t="str">
        <f t="shared" si="66"/>
        <v>50</v>
      </c>
      <c r="G1046" s="1" t="str">
        <f t="shared" si="67"/>
        <v/>
      </c>
      <c r="I1046" s="1" t="str">
        <f t="shared" si="65"/>
        <v>威尔新数值1.06.xlsm!monsterDamage</v>
      </c>
    </row>
    <row r="1047" spans="1:9" x14ac:dyDescent="0.15">
      <c r="A1047" s="1">
        <v>1046</v>
      </c>
      <c r="B1047" s="1">
        <v>102050500</v>
      </c>
      <c r="C1047" s="1">
        <f t="shared" si="64"/>
        <v>105</v>
      </c>
      <c r="D1047" s="5">
        <f ca="1">IF(getQuality(B1047)&lt;4,getOtherMin(B1047,C1047,INDIRECT(J$2),INDIRECT(I1047),test),getMin(B1047,C1047,INDIRECT(J$2),INDIRECT(I1047),test))</f>
        <v>0.1</v>
      </c>
      <c r="E1047" s="5">
        <f ca="1">IF(getQuality(B1047)&lt;4,getOtherMax(B1047,C1047,INDIRECT(J$2),INDIRECT(I1047),test),getMax(B1047,C1047,INDIRECT(J$2),INDIRECT(I1047),test))</f>
        <v>0.2</v>
      </c>
      <c r="F1047" s="1" t="str">
        <f t="shared" si="66"/>
        <v>50</v>
      </c>
      <c r="G1047" s="1" t="str">
        <f t="shared" si="67"/>
        <v/>
      </c>
      <c r="I1047" s="1" t="str">
        <f t="shared" si="65"/>
        <v>威尔新数值1.06.xlsm!monsterDamage</v>
      </c>
    </row>
    <row r="1048" spans="1:9" x14ac:dyDescent="0.15">
      <c r="A1048" s="1">
        <v>1047</v>
      </c>
      <c r="B1048" s="1">
        <v>102050500</v>
      </c>
      <c r="C1048" s="1">
        <f t="shared" si="64"/>
        <v>106</v>
      </c>
      <c r="D1048" s="5">
        <f ca="1">IF(getQuality(B1048)&lt;4,getOtherMin(B1048,C1048,INDIRECT(J$2),INDIRECT(I1048),test),getMin(B1048,C1048,INDIRECT(J$2),INDIRECT(I1048),test))</f>
        <v>0.1</v>
      </c>
      <c r="E1048" s="5">
        <f ca="1">IF(getQuality(B1048)&lt;4,getOtherMax(B1048,C1048,INDIRECT(J$2),INDIRECT(I1048),test),getMax(B1048,C1048,INDIRECT(J$2),INDIRECT(I1048),test))</f>
        <v>0.2</v>
      </c>
      <c r="F1048" s="1" t="str">
        <f t="shared" si="66"/>
        <v>50</v>
      </c>
      <c r="G1048" s="1" t="str">
        <f t="shared" si="67"/>
        <v/>
      </c>
      <c r="I1048" s="1" t="str">
        <f t="shared" si="65"/>
        <v>威尔新数值1.06.xlsm!monsterDamage</v>
      </c>
    </row>
    <row r="1049" spans="1:9" x14ac:dyDescent="0.15">
      <c r="A1049" s="1">
        <v>1048</v>
      </c>
      <c r="B1049" s="1">
        <v>102050500</v>
      </c>
      <c r="C1049" s="1">
        <f t="shared" si="64"/>
        <v>107</v>
      </c>
      <c r="D1049" s="5">
        <f ca="1">IF(getQuality(B1049)&lt;4,getOtherMin(B1049,C1049,INDIRECT(J$2),INDIRECT(I1049),test),getMin(B1049,C1049,INDIRECT(J$2),INDIRECT(I1049),test))</f>
        <v>0.1</v>
      </c>
      <c r="E1049" s="5">
        <f ca="1">IF(getQuality(B1049)&lt;4,getOtherMax(B1049,C1049,INDIRECT(J$2),INDIRECT(I1049),test),getMax(B1049,C1049,INDIRECT(J$2),INDIRECT(I1049),test))</f>
        <v>0.2</v>
      </c>
      <c r="F1049" s="1" t="str">
        <f t="shared" si="66"/>
        <v>50</v>
      </c>
      <c r="G1049" s="1" t="str">
        <f t="shared" si="67"/>
        <v/>
      </c>
      <c r="I1049" s="1" t="str">
        <f t="shared" si="65"/>
        <v>威尔新数值1.06.xlsm!monsterDamage</v>
      </c>
    </row>
    <row r="1050" spans="1:9" x14ac:dyDescent="0.15">
      <c r="A1050" s="1">
        <v>1049</v>
      </c>
      <c r="B1050" s="1">
        <v>102050500</v>
      </c>
      <c r="C1050" s="1">
        <f t="shared" si="64"/>
        <v>108</v>
      </c>
      <c r="D1050" s="5">
        <f ca="1">IF(getQuality(B1050)&lt;4,getOtherMin(B1050,C1050,INDIRECT(J$2),INDIRECT(I1050),test),getMin(B1050,C1050,INDIRECT(J$2),INDIRECT(I1050),test))</f>
        <v>0.1</v>
      </c>
      <c r="E1050" s="5">
        <f ca="1">IF(getQuality(B1050)&lt;4,getOtherMax(B1050,C1050,INDIRECT(J$2),INDIRECT(I1050),test),getMax(B1050,C1050,INDIRECT(J$2),INDIRECT(I1050),test))</f>
        <v>0.2</v>
      </c>
      <c r="F1050" s="1" t="str">
        <f t="shared" si="66"/>
        <v>50</v>
      </c>
      <c r="G1050" s="1" t="str">
        <f t="shared" si="67"/>
        <v/>
      </c>
      <c r="I1050" s="1" t="str">
        <f t="shared" si="65"/>
        <v>威尔新数值1.06.xlsm!monsterDamage</v>
      </c>
    </row>
    <row r="1051" spans="1:9" x14ac:dyDescent="0.15">
      <c r="A1051" s="1">
        <v>1050</v>
      </c>
      <c r="B1051" s="1">
        <v>102060500</v>
      </c>
      <c r="C1051" s="1">
        <f t="shared" si="64"/>
        <v>3</v>
      </c>
      <c r="D1051" s="5">
        <f ca="1">IF(getQuality(B1051)&lt;4,getOtherMin(B1051,C1051,INDIRECT(J$2),INDIRECT(I1051),test),getMin(B1051,C1051,INDIRECT(J$2),INDIRECT(I1051),test))</f>
        <v>149.01542709608177</v>
      </c>
      <c r="E1051" s="5">
        <f ca="1">IF(getQuality(B1051)&lt;4,getOtherMax(B1051,C1051,INDIRECT(J$2),INDIRECT(I1051),test),getMax(B1051,C1051,INDIRECT(J$2),INDIRECT(I1051),test))</f>
        <v>190.22369727444828</v>
      </c>
      <c r="F1051" s="1" t="str">
        <f t="shared" si="66"/>
        <v>50</v>
      </c>
      <c r="G1051" s="1" t="str">
        <f t="shared" si="67"/>
        <v>1</v>
      </c>
      <c r="I1051" s="1" t="str">
        <f t="shared" si="65"/>
        <v>威尔新数值1.06.xlsm!suitPower</v>
      </c>
    </row>
    <row r="1052" spans="1:9" x14ac:dyDescent="0.15">
      <c r="A1052" s="1">
        <v>1051</v>
      </c>
      <c r="B1052" s="1">
        <v>102060500</v>
      </c>
      <c r="C1052" s="1">
        <f t="shared" si="64"/>
        <v>5</v>
      </c>
      <c r="D1052" s="5">
        <f ca="1">IF(getQuality(B1052)&lt;4,getOtherMin(B1052,C1052,INDIRECT(J$2),INDIRECT(I1052),test),getMin(B1052,C1052,INDIRECT(J$2),INDIRECT(I1052),test))</f>
        <v>149.01542709608177</v>
      </c>
      <c r="E1052" s="5">
        <f ca="1">IF(getQuality(B1052)&lt;4,getOtherMax(B1052,C1052,INDIRECT(J$2),INDIRECT(I1052),test),getMax(B1052,C1052,INDIRECT(J$2),INDIRECT(I1052),test))</f>
        <v>190.22369727444828</v>
      </c>
      <c r="F1052" s="1" t="str">
        <f t="shared" si="66"/>
        <v>50</v>
      </c>
      <c r="G1052" s="1" t="str">
        <f t="shared" si="67"/>
        <v/>
      </c>
      <c r="I1052" s="1" t="str">
        <f t="shared" si="65"/>
        <v>威尔新数值1.06.xlsm!suitPower</v>
      </c>
    </row>
    <row r="1053" spans="1:9" x14ac:dyDescent="0.15">
      <c r="A1053" s="1">
        <v>1052</v>
      </c>
      <c r="B1053" s="1">
        <v>102060500</v>
      </c>
      <c r="C1053" s="1">
        <f t="shared" si="64"/>
        <v>7</v>
      </c>
      <c r="D1053" s="5">
        <f ca="1">IF(getQuality(B1053)&lt;4,getOtherMin(B1053,C1053,INDIRECT(J$2),INDIRECT(I1053),test),getMin(B1053,C1053,INDIRECT(J$2),INDIRECT(I1053),test))</f>
        <v>33.407407407407327</v>
      </c>
      <c r="E1053" s="5">
        <f ca="1">IF(getQuality(B1053)&lt;4,getOtherMax(B1053,C1053,INDIRECT(J$2),INDIRECT(I1053),test),getMax(B1053,C1053,INDIRECT(J$2),INDIRECT(I1053),test))</f>
        <v>38.888888888888786</v>
      </c>
      <c r="F1053" s="1" t="str">
        <f t="shared" si="66"/>
        <v>50</v>
      </c>
      <c r="G1053" s="1" t="str">
        <f t="shared" si="67"/>
        <v/>
      </c>
      <c r="I1053" s="1" t="str">
        <f t="shared" si="65"/>
        <v>威尔新数值1.06.xlsm!suitPower</v>
      </c>
    </row>
    <row r="1054" spans="1:9" x14ac:dyDescent="0.15">
      <c r="A1054" s="1">
        <v>1053</v>
      </c>
      <c r="B1054" s="1">
        <v>102060500</v>
      </c>
      <c r="C1054" s="1">
        <f t="shared" si="64"/>
        <v>8</v>
      </c>
      <c r="D1054" s="5">
        <f ca="1">IF(getQuality(B1054)&lt;4,getOtherMin(B1054,C1054,INDIRECT(J$2),INDIRECT(I1054),test),getMin(B1054,C1054,INDIRECT(J$2),INDIRECT(I1054),test))</f>
        <v>73.916666666666671</v>
      </c>
      <c r="E1054" s="5">
        <f ca="1">IF(getQuality(B1054)&lt;4,getOtherMax(B1054,C1054,INDIRECT(J$2),INDIRECT(I1054),test),getMax(B1054,C1054,INDIRECT(J$2),INDIRECT(I1054),test))</f>
        <v>87.5</v>
      </c>
      <c r="F1054" s="1" t="str">
        <f t="shared" si="66"/>
        <v>50</v>
      </c>
      <c r="G1054" s="1" t="str">
        <f t="shared" si="67"/>
        <v/>
      </c>
      <c r="I1054" s="1" t="str">
        <f t="shared" si="65"/>
        <v>威尔新数值1.06.xlsm!suitPower</v>
      </c>
    </row>
    <row r="1055" spans="1:9" x14ac:dyDescent="0.15">
      <c r="A1055" s="1">
        <v>1054</v>
      </c>
      <c r="B1055" s="1">
        <v>102060500</v>
      </c>
      <c r="C1055" s="1">
        <f t="shared" si="64"/>
        <v>9</v>
      </c>
      <c r="D1055" s="5">
        <f ca="1">IF(getQuality(B1055)&lt;4,getOtherMin(B1055,C1055,INDIRECT(J$2),INDIRECT(I1055),test),getMin(B1055,C1055,INDIRECT(J$2),INDIRECT(I1055),test))</f>
        <v>149.01542709608177</v>
      </c>
      <c r="E1055" s="5">
        <f ca="1">IF(getQuality(B1055)&lt;4,getOtherMax(B1055,C1055,INDIRECT(J$2),INDIRECT(I1055),test),getMax(B1055,C1055,INDIRECT(J$2),INDIRECT(I1055),test))</f>
        <v>190.22369727444828</v>
      </c>
      <c r="F1055" s="1" t="str">
        <f t="shared" si="66"/>
        <v>50</v>
      </c>
      <c r="G1055" s="1" t="str">
        <f t="shared" si="67"/>
        <v/>
      </c>
      <c r="I1055" s="1" t="str">
        <f t="shared" si="65"/>
        <v>威尔新数值1.06.xlsm!suitPower</v>
      </c>
    </row>
    <row r="1056" spans="1:9" x14ac:dyDescent="0.15">
      <c r="A1056" s="1">
        <v>1055</v>
      </c>
      <c r="B1056" s="1">
        <v>102060500</v>
      </c>
      <c r="C1056" s="1">
        <f t="shared" si="64"/>
        <v>10</v>
      </c>
      <c r="D1056" s="5">
        <f ca="1">IF(getQuality(B1056)&lt;4,getOtherMin(B1056,C1056,INDIRECT(J$2),INDIRECT(I1056),test),getMin(B1056,C1056,INDIRECT(J$2),INDIRECT(I1056),test))</f>
        <v>149.01542709608177</v>
      </c>
      <c r="E1056" s="5">
        <f ca="1">IF(getQuality(B1056)&lt;4,getOtherMax(B1056,C1056,INDIRECT(J$2),INDIRECT(I1056),test),getMax(B1056,C1056,INDIRECT(J$2),INDIRECT(I1056),test))</f>
        <v>190.22369727444828</v>
      </c>
      <c r="F1056" s="1" t="str">
        <f t="shared" si="66"/>
        <v>50</v>
      </c>
      <c r="G1056" s="1" t="str">
        <f t="shared" si="67"/>
        <v/>
      </c>
      <c r="I1056" s="1" t="str">
        <f t="shared" si="65"/>
        <v>威尔新数值1.06.xlsm!suitPower</v>
      </c>
    </row>
    <row r="1057" spans="1:9" x14ac:dyDescent="0.15">
      <c r="A1057" s="1">
        <v>1056</v>
      </c>
      <c r="B1057" s="1">
        <v>102060500</v>
      </c>
      <c r="C1057" s="1">
        <f t="shared" si="64"/>
        <v>11</v>
      </c>
      <c r="D1057" s="5">
        <f ca="1">IF(getQuality(B1057)&lt;4,getOtherMin(B1057,C1057,INDIRECT(J$2),INDIRECT(I1057),test),getMin(B1057,C1057,INDIRECT(J$2),INDIRECT(I1057),test))</f>
        <v>149.01542709608177</v>
      </c>
      <c r="E1057" s="5">
        <f ca="1">IF(getQuality(B1057)&lt;4,getOtherMax(B1057,C1057,INDIRECT(J$2),INDIRECT(I1057),test),getMax(B1057,C1057,INDIRECT(J$2),INDIRECT(I1057),test))</f>
        <v>190.22369727444828</v>
      </c>
      <c r="F1057" s="1" t="str">
        <f t="shared" si="66"/>
        <v>50</v>
      </c>
      <c r="G1057" s="1" t="str">
        <f t="shared" si="67"/>
        <v/>
      </c>
      <c r="I1057" s="1" t="str">
        <f t="shared" si="65"/>
        <v>威尔新数值1.06.xlsm!suitPower</v>
      </c>
    </row>
    <row r="1058" spans="1:9" x14ac:dyDescent="0.15">
      <c r="A1058" s="1">
        <v>1057</v>
      </c>
      <c r="B1058" s="1">
        <v>102060500</v>
      </c>
      <c r="C1058" s="1">
        <f t="shared" si="64"/>
        <v>12</v>
      </c>
      <c r="D1058" s="5">
        <f ca="1">IF(getQuality(B1058)&lt;4,getOtherMin(B1058,C1058,INDIRECT(J$2),INDIRECT(I1058),test),getMin(B1058,C1058,INDIRECT(J$2),INDIRECT(I1058),test))</f>
        <v>149.01542709608177</v>
      </c>
      <c r="E1058" s="5">
        <f ca="1">IF(getQuality(B1058)&lt;4,getOtherMax(B1058,C1058,INDIRECT(J$2),INDIRECT(I1058),test),getMax(B1058,C1058,INDIRECT(J$2),INDIRECT(I1058),test))</f>
        <v>190.22369727444828</v>
      </c>
      <c r="F1058" s="1" t="str">
        <f t="shared" si="66"/>
        <v>50</v>
      </c>
      <c r="G1058" s="1" t="str">
        <f t="shared" si="67"/>
        <v/>
      </c>
      <c r="I1058" s="1" t="str">
        <f t="shared" si="65"/>
        <v>威尔新数值1.06.xlsm!suitPower</v>
      </c>
    </row>
    <row r="1059" spans="1:9" x14ac:dyDescent="0.15">
      <c r="A1059" s="1">
        <v>1058</v>
      </c>
      <c r="B1059" s="1">
        <v>102060500</v>
      </c>
      <c r="C1059" s="1">
        <f t="shared" si="64"/>
        <v>13</v>
      </c>
      <c r="D1059" s="5">
        <f ca="1">IF(getQuality(B1059)&lt;4,getOtherMin(B1059,C1059,INDIRECT(J$2),INDIRECT(I1059),test),getMin(B1059,C1059,INDIRECT(J$2),INDIRECT(I1059),test))</f>
        <v>149.01542709608177</v>
      </c>
      <c r="E1059" s="5">
        <f ca="1">IF(getQuality(B1059)&lt;4,getOtherMax(B1059,C1059,INDIRECT(J$2),INDIRECT(I1059),test),getMax(B1059,C1059,INDIRECT(J$2),INDIRECT(I1059),test))</f>
        <v>190.22369727444828</v>
      </c>
      <c r="F1059" s="1" t="str">
        <f t="shared" si="66"/>
        <v>50</v>
      </c>
      <c r="G1059" s="1" t="str">
        <f t="shared" si="67"/>
        <v/>
      </c>
      <c r="I1059" s="1" t="str">
        <f t="shared" si="65"/>
        <v>威尔新数值1.06.xlsm!suitPower</v>
      </c>
    </row>
    <row r="1060" spans="1:9" x14ac:dyDescent="0.15">
      <c r="A1060" s="1">
        <v>1059</v>
      </c>
      <c r="B1060" s="1">
        <v>102060500</v>
      </c>
      <c r="C1060" s="1">
        <f t="shared" ref="C1060:C1123" si="68">C1041</f>
        <v>14</v>
      </c>
      <c r="D1060" s="5">
        <f ca="1">IF(getQuality(B1060)&lt;4,getOtherMin(B1060,C1060,INDIRECT(J$2),INDIRECT(I1060),test),getMin(B1060,C1060,INDIRECT(J$2),INDIRECT(I1060),test))</f>
        <v>149.01542709608177</v>
      </c>
      <c r="E1060" s="5">
        <f ca="1">IF(getQuality(B1060)&lt;4,getOtherMax(B1060,C1060,INDIRECT(J$2),INDIRECT(I1060),test),getMax(B1060,C1060,INDIRECT(J$2),INDIRECT(I1060),test))</f>
        <v>190.22369727444828</v>
      </c>
      <c r="F1060" s="1" t="str">
        <f t="shared" si="66"/>
        <v>50</v>
      </c>
      <c r="G1060" s="1" t="str">
        <f t="shared" si="67"/>
        <v/>
      </c>
      <c r="I1060" s="1" t="str">
        <f t="shared" si="65"/>
        <v>威尔新数值1.06.xlsm!suitPower</v>
      </c>
    </row>
    <row r="1061" spans="1:9" x14ac:dyDescent="0.15">
      <c r="A1061" s="1">
        <v>1060</v>
      </c>
      <c r="B1061" s="1">
        <v>102060500</v>
      </c>
      <c r="C1061" s="1">
        <f t="shared" si="68"/>
        <v>15</v>
      </c>
      <c r="D1061" s="5">
        <f ca="1">IF(getQuality(B1061)&lt;4,getOtherMin(B1061,C1061,INDIRECT(J$2),INDIRECT(I1061),test),getMin(B1061,C1061,INDIRECT(J$2),INDIRECT(I1061),test))</f>
        <v>149.01542709608177</v>
      </c>
      <c r="E1061" s="5">
        <f ca="1">IF(getQuality(B1061)&lt;4,getOtherMax(B1061,C1061,INDIRECT(J$2),INDIRECT(I1061),test),getMax(B1061,C1061,INDIRECT(J$2),INDIRECT(I1061),test))</f>
        <v>190.22369727444828</v>
      </c>
      <c r="F1061" s="1" t="str">
        <f t="shared" si="66"/>
        <v>50</v>
      </c>
      <c r="G1061" s="1" t="str">
        <f t="shared" si="67"/>
        <v/>
      </c>
      <c r="I1061" s="1" t="str">
        <f t="shared" si="65"/>
        <v>威尔新数值1.06.xlsm!suitPower</v>
      </c>
    </row>
    <row r="1062" spans="1:9" x14ac:dyDescent="0.15">
      <c r="A1062" s="1">
        <v>1061</v>
      </c>
      <c r="B1062" s="1">
        <v>102060500</v>
      </c>
      <c r="C1062" s="1">
        <f t="shared" si="68"/>
        <v>101</v>
      </c>
      <c r="D1062" s="5">
        <f ca="1">IF(getQuality(B1062)&lt;4,getOtherMin(B1062,C1062,INDIRECT(J$2),INDIRECT(I1062),test),getMin(B1062,C1062,INDIRECT(J$2),INDIRECT(I1062),test))</f>
        <v>0.11</v>
      </c>
      <c r="E1062" s="5">
        <f ca="1">IF(getQuality(B1062)&lt;4,getOtherMax(B1062,C1062,INDIRECT(J$2),INDIRECT(I1062),test),getMax(B1062,C1062,INDIRECT(J$2),INDIRECT(I1062),test))</f>
        <v>0.14000000000000001</v>
      </c>
      <c r="F1062" s="1" t="str">
        <f t="shared" si="66"/>
        <v>50</v>
      </c>
      <c r="G1062" s="1" t="str">
        <f t="shared" si="67"/>
        <v/>
      </c>
      <c r="I1062" s="1" t="str">
        <f t="shared" si="65"/>
        <v>威尔新数值1.06.xlsm!circlePer</v>
      </c>
    </row>
    <row r="1063" spans="1:9" x14ac:dyDescent="0.15">
      <c r="A1063" s="1">
        <v>1062</v>
      </c>
      <c r="B1063" s="1">
        <v>102060500</v>
      </c>
      <c r="C1063" s="1">
        <f t="shared" si="68"/>
        <v>102</v>
      </c>
      <c r="D1063" s="5">
        <f ca="1">IF(getQuality(B1063)&lt;4,getOtherMin(B1063,C1063,INDIRECT(J$2),INDIRECT(I1063),test),getMin(B1063,C1063,INDIRECT(J$2),INDIRECT(I1063),test))</f>
        <v>0.9</v>
      </c>
      <c r="E1063" s="5">
        <f ca="1">IF(getQuality(B1063)&lt;4,getOtherMax(B1063,C1063,INDIRECT(J$2),INDIRECT(I1063),test),getMax(B1063,C1063,INDIRECT(J$2),INDIRECT(I1063),test))</f>
        <v>1.3</v>
      </c>
      <c r="F1063" s="1" t="str">
        <f t="shared" si="66"/>
        <v>50</v>
      </c>
      <c r="G1063" s="1" t="str">
        <f t="shared" si="67"/>
        <v/>
      </c>
      <c r="I1063" s="1" t="str">
        <f t="shared" si="65"/>
        <v>威尔新数值1.06.xlsm!circleValue</v>
      </c>
    </row>
    <row r="1064" spans="1:9" x14ac:dyDescent="0.15">
      <c r="A1064" s="1">
        <v>1063</v>
      </c>
      <c r="B1064" s="1">
        <v>102060500</v>
      </c>
      <c r="C1064" s="1">
        <f t="shared" si="68"/>
        <v>103</v>
      </c>
      <c r="D1064" s="5">
        <f ca="1">IF(getQuality(B1064)&lt;4,getOtherMin(B1064,C1064,INDIRECT(J$2),INDIRECT(I1064),test),getMin(B1064,C1064,INDIRECT(J$2),INDIRECT(I1064),test))</f>
        <v>0.11</v>
      </c>
      <c r="E1064" s="5">
        <f ca="1">IF(getQuality(B1064)&lt;4,getOtherMax(B1064,C1064,INDIRECT(J$2),INDIRECT(I1064),test),getMax(B1064,C1064,INDIRECT(J$2),INDIRECT(I1064),test))</f>
        <v>0.14000000000000001</v>
      </c>
      <c r="F1064" s="1" t="str">
        <f t="shared" si="66"/>
        <v>50</v>
      </c>
      <c r="G1064" s="1" t="str">
        <f t="shared" si="67"/>
        <v/>
      </c>
      <c r="I1064" s="1" t="str">
        <f t="shared" si="65"/>
        <v>威尔新数值1.06.xlsm!otherDamage</v>
      </c>
    </row>
    <row r="1065" spans="1:9" x14ac:dyDescent="0.15">
      <c r="A1065" s="1">
        <v>1064</v>
      </c>
      <c r="B1065" s="1">
        <v>102060500</v>
      </c>
      <c r="C1065" s="1">
        <f t="shared" si="68"/>
        <v>104</v>
      </c>
      <c r="D1065" s="5">
        <f ca="1">IF(getQuality(B1065)&lt;4,getOtherMin(B1065,C1065,INDIRECT(J$2),INDIRECT(I1065),test),getMin(B1065,C1065,INDIRECT(J$2),INDIRECT(I1065),test))</f>
        <v>0.11</v>
      </c>
      <c r="E1065" s="5">
        <f ca="1">IF(getQuality(B1065)&lt;4,getOtherMax(B1065,C1065,INDIRECT(J$2),INDIRECT(I1065),test),getMax(B1065,C1065,INDIRECT(J$2),INDIRECT(I1065),test))</f>
        <v>0.22</v>
      </c>
      <c r="F1065" s="1" t="str">
        <f t="shared" si="66"/>
        <v>50</v>
      </c>
      <c r="G1065" s="1" t="str">
        <f t="shared" si="67"/>
        <v/>
      </c>
      <c r="I1065" s="1" t="str">
        <f t="shared" si="65"/>
        <v>威尔新数值1.06.xlsm!monsterDamage</v>
      </c>
    </row>
    <row r="1066" spans="1:9" x14ac:dyDescent="0.15">
      <c r="A1066" s="1">
        <v>1065</v>
      </c>
      <c r="B1066" s="1">
        <v>102060500</v>
      </c>
      <c r="C1066" s="1">
        <f t="shared" si="68"/>
        <v>105</v>
      </c>
      <c r="D1066" s="5">
        <f ca="1">IF(getQuality(B1066)&lt;4,getOtherMin(B1066,C1066,INDIRECT(J$2),INDIRECT(I1066),test),getMin(B1066,C1066,INDIRECT(J$2),INDIRECT(I1066),test))</f>
        <v>0.11</v>
      </c>
      <c r="E1066" s="5">
        <f ca="1">IF(getQuality(B1066)&lt;4,getOtherMax(B1066,C1066,INDIRECT(J$2),INDIRECT(I1066),test),getMax(B1066,C1066,INDIRECT(J$2),INDIRECT(I1066),test))</f>
        <v>0.22</v>
      </c>
      <c r="F1066" s="1" t="str">
        <f t="shared" si="66"/>
        <v>50</v>
      </c>
      <c r="G1066" s="1" t="str">
        <f t="shared" si="67"/>
        <v/>
      </c>
      <c r="I1066" s="1" t="str">
        <f t="shared" si="65"/>
        <v>威尔新数值1.06.xlsm!monsterDamage</v>
      </c>
    </row>
    <row r="1067" spans="1:9" x14ac:dyDescent="0.15">
      <c r="A1067" s="1">
        <v>1066</v>
      </c>
      <c r="B1067" s="1">
        <v>102060500</v>
      </c>
      <c r="C1067" s="1">
        <f t="shared" si="68"/>
        <v>106</v>
      </c>
      <c r="D1067" s="5">
        <f ca="1">IF(getQuality(B1067)&lt;4,getOtherMin(B1067,C1067,INDIRECT(J$2),INDIRECT(I1067),test),getMin(B1067,C1067,INDIRECT(J$2),INDIRECT(I1067),test))</f>
        <v>0.11</v>
      </c>
      <c r="E1067" s="5">
        <f ca="1">IF(getQuality(B1067)&lt;4,getOtherMax(B1067,C1067,INDIRECT(J$2),INDIRECT(I1067),test),getMax(B1067,C1067,INDIRECT(J$2),INDIRECT(I1067),test))</f>
        <v>0.22</v>
      </c>
      <c r="F1067" s="1" t="str">
        <f t="shared" si="66"/>
        <v>50</v>
      </c>
      <c r="G1067" s="1" t="str">
        <f t="shared" si="67"/>
        <v/>
      </c>
      <c r="I1067" s="1" t="str">
        <f t="shared" si="65"/>
        <v>威尔新数值1.06.xlsm!monsterDamage</v>
      </c>
    </row>
    <row r="1068" spans="1:9" x14ac:dyDescent="0.15">
      <c r="A1068" s="1">
        <v>1067</v>
      </c>
      <c r="B1068" s="1">
        <v>102060500</v>
      </c>
      <c r="C1068" s="1">
        <f t="shared" si="68"/>
        <v>107</v>
      </c>
      <c r="D1068" s="5">
        <f ca="1">IF(getQuality(B1068)&lt;4,getOtherMin(B1068,C1068,INDIRECT(J$2),INDIRECT(I1068),test),getMin(B1068,C1068,INDIRECT(J$2),INDIRECT(I1068),test))</f>
        <v>0.11</v>
      </c>
      <c r="E1068" s="5">
        <f ca="1">IF(getQuality(B1068)&lt;4,getOtherMax(B1068,C1068,INDIRECT(J$2),INDIRECT(I1068),test),getMax(B1068,C1068,INDIRECT(J$2),INDIRECT(I1068),test))</f>
        <v>0.22</v>
      </c>
      <c r="F1068" s="1" t="str">
        <f t="shared" si="66"/>
        <v>50</v>
      </c>
      <c r="G1068" s="1" t="str">
        <f t="shared" si="67"/>
        <v/>
      </c>
      <c r="I1068" s="1" t="str">
        <f t="shared" si="65"/>
        <v>威尔新数值1.06.xlsm!monsterDamage</v>
      </c>
    </row>
    <row r="1069" spans="1:9" x14ac:dyDescent="0.15">
      <c r="A1069" s="1">
        <v>1068</v>
      </c>
      <c r="B1069" s="1">
        <v>102060500</v>
      </c>
      <c r="C1069" s="1">
        <f t="shared" si="68"/>
        <v>108</v>
      </c>
      <c r="D1069" s="5">
        <f ca="1">IF(getQuality(B1069)&lt;4,getOtherMin(B1069,C1069,INDIRECT(J$2),INDIRECT(I1069),test),getMin(B1069,C1069,INDIRECT(J$2),INDIRECT(I1069),test))</f>
        <v>0.11</v>
      </c>
      <c r="E1069" s="5">
        <f ca="1">IF(getQuality(B1069)&lt;4,getOtherMax(B1069,C1069,INDIRECT(J$2),INDIRECT(I1069),test),getMax(B1069,C1069,INDIRECT(J$2),INDIRECT(I1069),test))</f>
        <v>0.22</v>
      </c>
      <c r="F1069" s="1" t="str">
        <f t="shared" si="66"/>
        <v>50</v>
      </c>
      <c r="G1069" s="1" t="str">
        <f t="shared" si="67"/>
        <v/>
      </c>
      <c r="I1069" s="1" t="str">
        <f t="shared" si="65"/>
        <v>威尔新数值1.06.xlsm!monsterDamage</v>
      </c>
    </row>
    <row r="1070" spans="1:9" x14ac:dyDescent="0.15">
      <c r="A1070" s="1">
        <v>1069</v>
      </c>
      <c r="B1070" s="1">
        <v>102070500</v>
      </c>
      <c r="C1070" s="1">
        <f t="shared" si="68"/>
        <v>3</v>
      </c>
      <c r="D1070" s="5">
        <f ca="1">IF(getQuality(B1070)&lt;4,getOtherMin(B1070,C1070,INDIRECT(J$2),INDIRECT(I1070),test),getMin(B1070,C1070,INDIRECT(J$2),INDIRECT(I1070),test))</f>
        <v>191.22369727444828</v>
      </c>
      <c r="E1070" s="5">
        <f ca="1">IF(getQuality(B1070)&lt;4,getOtherMax(B1070,C1070,INDIRECT(J$2),INDIRECT(I1070),test),getMax(B1070,C1070,INDIRECT(J$2),INDIRECT(I1070),test))</f>
        <v>236.63369570586491</v>
      </c>
      <c r="F1070" s="1" t="str">
        <f t="shared" si="66"/>
        <v>50</v>
      </c>
      <c r="G1070" s="1" t="str">
        <f t="shared" si="67"/>
        <v>1</v>
      </c>
      <c r="I1070" s="1" t="str">
        <f t="shared" si="65"/>
        <v>威尔新数值1.06.xlsm!suitPower</v>
      </c>
    </row>
    <row r="1071" spans="1:9" x14ac:dyDescent="0.15">
      <c r="A1071" s="1">
        <v>1070</v>
      </c>
      <c r="B1071" s="1">
        <v>102070500</v>
      </c>
      <c r="C1071" s="1">
        <f t="shared" si="68"/>
        <v>5</v>
      </c>
      <c r="D1071" s="5">
        <f ca="1">IF(getQuality(B1071)&lt;4,getOtherMin(B1071,C1071,INDIRECT(J$2),INDIRECT(I1071),test),getMin(B1071,C1071,INDIRECT(J$2),INDIRECT(I1071),test))</f>
        <v>191.22369727444828</v>
      </c>
      <c r="E1071" s="5">
        <f ca="1">IF(getQuality(B1071)&lt;4,getOtherMax(B1071,C1071,INDIRECT(J$2),INDIRECT(I1071),test),getMax(B1071,C1071,INDIRECT(J$2),INDIRECT(I1071),test))</f>
        <v>236.63369570586491</v>
      </c>
      <c r="F1071" s="1" t="str">
        <f t="shared" si="66"/>
        <v>50</v>
      </c>
      <c r="G1071" s="1" t="str">
        <f t="shared" si="67"/>
        <v/>
      </c>
      <c r="I1071" s="1" t="str">
        <f t="shared" si="65"/>
        <v>威尔新数值1.06.xlsm!suitPower</v>
      </c>
    </row>
    <row r="1072" spans="1:9" x14ac:dyDescent="0.15">
      <c r="A1072" s="1">
        <v>1071</v>
      </c>
      <c r="B1072" s="1">
        <v>102070500</v>
      </c>
      <c r="C1072" s="1">
        <f t="shared" si="68"/>
        <v>7</v>
      </c>
      <c r="D1072" s="5">
        <f ca="1">IF(getQuality(B1072)&lt;4,getOtherMin(B1072,C1072,INDIRECT(J$2),INDIRECT(I1072),test),getMin(B1072,C1072,INDIRECT(J$2),INDIRECT(I1072),test))</f>
        <v>39.888888888888786</v>
      </c>
      <c r="E1072" s="5">
        <f ca="1">IF(getQuality(B1072)&lt;4,getOtherMax(B1072,C1072,INDIRECT(J$2),INDIRECT(I1072),test),getMax(B1072,C1072,INDIRECT(J$2),INDIRECT(I1072),test))</f>
        <v>45.370370370370253</v>
      </c>
      <c r="F1072" s="1" t="str">
        <f t="shared" si="66"/>
        <v>50</v>
      </c>
      <c r="G1072" s="1" t="str">
        <f t="shared" si="67"/>
        <v/>
      </c>
      <c r="I1072" s="1" t="str">
        <f t="shared" si="65"/>
        <v>威尔新数值1.06.xlsm!suitPower</v>
      </c>
    </row>
    <row r="1073" spans="1:9" x14ac:dyDescent="0.15">
      <c r="A1073" s="1">
        <v>1072</v>
      </c>
      <c r="B1073" s="1">
        <v>102070500</v>
      </c>
      <c r="C1073" s="1">
        <f t="shared" si="68"/>
        <v>8</v>
      </c>
      <c r="D1073" s="5">
        <f ca="1">IF(getQuality(B1073)&lt;4,getOtherMin(B1073,C1073,INDIRECT(J$2),INDIRECT(I1073),test),getMin(B1073,C1073,INDIRECT(J$2),INDIRECT(I1073),test))</f>
        <v>88.5</v>
      </c>
      <c r="E1073" s="5">
        <f ca="1">IF(getQuality(B1073)&lt;4,getOtherMax(B1073,C1073,INDIRECT(J$2),INDIRECT(I1073),test),getMax(B1073,C1073,INDIRECT(J$2),INDIRECT(I1073),test))</f>
        <v>102.08333333333333</v>
      </c>
      <c r="F1073" s="1" t="str">
        <f t="shared" si="66"/>
        <v>50</v>
      </c>
      <c r="G1073" s="1" t="str">
        <f t="shared" si="67"/>
        <v/>
      </c>
      <c r="I1073" s="1" t="str">
        <f t="shared" si="65"/>
        <v>威尔新数值1.06.xlsm!suitPower</v>
      </c>
    </row>
    <row r="1074" spans="1:9" x14ac:dyDescent="0.15">
      <c r="A1074" s="1">
        <v>1073</v>
      </c>
      <c r="B1074" s="1">
        <v>102070500</v>
      </c>
      <c r="C1074" s="1">
        <f t="shared" si="68"/>
        <v>9</v>
      </c>
      <c r="D1074" s="5">
        <f ca="1">IF(getQuality(B1074)&lt;4,getOtherMin(B1074,C1074,INDIRECT(J$2),INDIRECT(I1074),test),getMin(B1074,C1074,INDIRECT(J$2),INDIRECT(I1074),test))</f>
        <v>191.22369727444828</v>
      </c>
      <c r="E1074" s="5">
        <f ca="1">IF(getQuality(B1074)&lt;4,getOtherMax(B1074,C1074,INDIRECT(J$2),INDIRECT(I1074),test),getMax(B1074,C1074,INDIRECT(J$2),INDIRECT(I1074),test))</f>
        <v>236.63369570586491</v>
      </c>
      <c r="F1074" s="1" t="str">
        <f t="shared" si="66"/>
        <v>50</v>
      </c>
      <c r="G1074" s="1" t="str">
        <f t="shared" si="67"/>
        <v/>
      </c>
      <c r="I1074" s="1" t="str">
        <f t="shared" si="65"/>
        <v>威尔新数值1.06.xlsm!suitPower</v>
      </c>
    </row>
    <row r="1075" spans="1:9" x14ac:dyDescent="0.15">
      <c r="A1075" s="1">
        <v>1074</v>
      </c>
      <c r="B1075" s="1">
        <v>102070500</v>
      </c>
      <c r="C1075" s="1">
        <f t="shared" si="68"/>
        <v>10</v>
      </c>
      <c r="D1075" s="5">
        <f ca="1">IF(getQuality(B1075)&lt;4,getOtherMin(B1075,C1075,INDIRECT(J$2),INDIRECT(I1075),test),getMin(B1075,C1075,INDIRECT(J$2),INDIRECT(I1075),test))</f>
        <v>191.22369727444828</v>
      </c>
      <c r="E1075" s="5">
        <f ca="1">IF(getQuality(B1075)&lt;4,getOtherMax(B1075,C1075,INDIRECT(J$2),INDIRECT(I1075),test),getMax(B1075,C1075,INDIRECT(J$2),INDIRECT(I1075),test))</f>
        <v>236.63369570586491</v>
      </c>
      <c r="F1075" s="1" t="str">
        <f t="shared" si="66"/>
        <v>50</v>
      </c>
      <c r="G1075" s="1" t="str">
        <f t="shared" si="67"/>
        <v/>
      </c>
      <c r="I1075" s="1" t="str">
        <f t="shared" si="65"/>
        <v>威尔新数值1.06.xlsm!suitPower</v>
      </c>
    </row>
    <row r="1076" spans="1:9" x14ac:dyDescent="0.15">
      <c r="A1076" s="1">
        <v>1075</v>
      </c>
      <c r="B1076" s="1">
        <v>102070500</v>
      </c>
      <c r="C1076" s="1">
        <f t="shared" si="68"/>
        <v>11</v>
      </c>
      <c r="D1076" s="5">
        <f ca="1">IF(getQuality(B1076)&lt;4,getOtherMin(B1076,C1076,INDIRECT(J$2),INDIRECT(I1076),test),getMin(B1076,C1076,INDIRECT(J$2),INDIRECT(I1076),test))</f>
        <v>191.22369727444828</v>
      </c>
      <c r="E1076" s="5">
        <f ca="1">IF(getQuality(B1076)&lt;4,getOtherMax(B1076,C1076,INDIRECT(J$2),INDIRECT(I1076),test),getMax(B1076,C1076,INDIRECT(J$2),INDIRECT(I1076),test))</f>
        <v>236.63369570586491</v>
      </c>
      <c r="F1076" s="1" t="str">
        <f t="shared" si="66"/>
        <v>50</v>
      </c>
      <c r="G1076" s="1" t="str">
        <f t="shared" si="67"/>
        <v/>
      </c>
      <c r="I1076" s="1" t="str">
        <f t="shared" si="65"/>
        <v>威尔新数值1.06.xlsm!suitPower</v>
      </c>
    </row>
    <row r="1077" spans="1:9" x14ac:dyDescent="0.15">
      <c r="A1077" s="1">
        <v>1076</v>
      </c>
      <c r="B1077" s="1">
        <v>102070500</v>
      </c>
      <c r="C1077" s="1">
        <f t="shared" si="68"/>
        <v>12</v>
      </c>
      <c r="D1077" s="5">
        <f ca="1">IF(getQuality(B1077)&lt;4,getOtherMin(B1077,C1077,INDIRECT(J$2),INDIRECT(I1077),test),getMin(B1077,C1077,INDIRECT(J$2),INDIRECT(I1077),test))</f>
        <v>191.22369727444828</v>
      </c>
      <c r="E1077" s="5">
        <f ca="1">IF(getQuality(B1077)&lt;4,getOtherMax(B1077,C1077,INDIRECT(J$2),INDIRECT(I1077),test),getMax(B1077,C1077,INDIRECT(J$2),INDIRECT(I1077),test))</f>
        <v>236.63369570586491</v>
      </c>
      <c r="F1077" s="1" t="str">
        <f t="shared" si="66"/>
        <v>50</v>
      </c>
      <c r="G1077" s="1" t="str">
        <f t="shared" si="67"/>
        <v/>
      </c>
      <c r="I1077" s="1" t="str">
        <f t="shared" si="65"/>
        <v>威尔新数值1.06.xlsm!suitPower</v>
      </c>
    </row>
    <row r="1078" spans="1:9" x14ac:dyDescent="0.15">
      <c r="A1078" s="1">
        <v>1077</v>
      </c>
      <c r="B1078" s="1">
        <v>102070500</v>
      </c>
      <c r="C1078" s="1">
        <f t="shared" si="68"/>
        <v>13</v>
      </c>
      <c r="D1078" s="5">
        <f ca="1">IF(getQuality(B1078)&lt;4,getOtherMin(B1078,C1078,INDIRECT(J$2),INDIRECT(I1078),test),getMin(B1078,C1078,INDIRECT(J$2),INDIRECT(I1078),test))</f>
        <v>191.22369727444828</v>
      </c>
      <c r="E1078" s="5">
        <f ca="1">IF(getQuality(B1078)&lt;4,getOtherMax(B1078,C1078,INDIRECT(J$2),INDIRECT(I1078),test),getMax(B1078,C1078,INDIRECT(J$2),INDIRECT(I1078),test))</f>
        <v>236.63369570586491</v>
      </c>
      <c r="F1078" s="1" t="str">
        <f t="shared" si="66"/>
        <v>50</v>
      </c>
      <c r="G1078" s="1" t="str">
        <f t="shared" si="67"/>
        <v/>
      </c>
      <c r="I1078" s="1" t="str">
        <f t="shared" si="65"/>
        <v>威尔新数值1.06.xlsm!suitPower</v>
      </c>
    </row>
    <row r="1079" spans="1:9" x14ac:dyDescent="0.15">
      <c r="A1079" s="1">
        <v>1078</v>
      </c>
      <c r="B1079" s="1">
        <v>102070500</v>
      </c>
      <c r="C1079" s="1">
        <f t="shared" si="68"/>
        <v>14</v>
      </c>
      <c r="D1079" s="5">
        <f ca="1">IF(getQuality(B1079)&lt;4,getOtherMin(B1079,C1079,INDIRECT(J$2),INDIRECT(I1079),test),getMin(B1079,C1079,INDIRECT(J$2),INDIRECT(I1079),test))</f>
        <v>191.22369727444828</v>
      </c>
      <c r="E1079" s="5">
        <f ca="1">IF(getQuality(B1079)&lt;4,getOtherMax(B1079,C1079,INDIRECT(J$2),INDIRECT(I1079),test),getMax(B1079,C1079,INDIRECT(J$2),INDIRECT(I1079),test))</f>
        <v>236.63369570586491</v>
      </c>
      <c r="F1079" s="1" t="str">
        <f t="shared" si="66"/>
        <v>50</v>
      </c>
      <c r="G1079" s="1" t="str">
        <f t="shared" si="67"/>
        <v/>
      </c>
      <c r="I1079" s="1" t="str">
        <f t="shared" si="65"/>
        <v>威尔新数值1.06.xlsm!suitPower</v>
      </c>
    </row>
    <row r="1080" spans="1:9" x14ac:dyDescent="0.15">
      <c r="A1080" s="1">
        <v>1079</v>
      </c>
      <c r="B1080" s="1">
        <v>102070500</v>
      </c>
      <c r="C1080" s="1">
        <f t="shared" si="68"/>
        <v>15</v>
      </c>
      <c r="D1080" s="5">
        <f ca="1">IF(getQuality(B1080)&lt;4,getOtherMin(B1080,C1080,INDIRECT(J$2),INDIRECT(I1080),test),getMin(B1080,C1080,INDIRECT(J$2),INDIRECT(I1080),test))</f>
        <v>191.22369727444828</v>
      </c>
      <c r="E1080" s="5">
        <f ca="1">IF(getQuality(B1080)&lt;4,getOtherMax(B1080,C1080,INDIRECT(J$2),INDIRECT(I1080),test),getMax(B1080,C1080,INDIRECT(J$2),INDIRECT(I1080),test))</f>
        <v>236.63369570586491</v>
      </c>
      <c r="F1080" s="1" t="str">
        <f t="shared" si="66"/>
        <v>50</v>
      </c>
      <c r="G1080" s="1" t="str">
        <f t="shared" si="67"/>
        <v/>
      </c>
      <c r="I1080" s="1" t="str">
        <f t="shared" si="65"/>
        <v>威尔新数值1.06.xlsm!suitPower</v>
      </c>
    </row>
    <row r="1081" spans="1:9" x14ac:dyDescent="0.15">
      <c r="A1081" s="1">
        <v>1080</v>
      </c>
      <c r="B1081" s="1">
        <v>102070500</v>
      </c>
      <c r="C1081" s="1">
        <f t="shared" si="68"/>
        <v>101</v>
      </c>
      <c r="D1081" s="5">
        <f ca="1">IF(getQuality(B1081)&lt;4,getOtherMin(B1081,C1081,INDIRECT(J$2),INDIRECT(I1081),test),getMin(B1081,C1081,INDIRECT(J$2),INDIRECT(I1081),test))</f>
        <v>0.12</v>
      </c>
      <c r="E1081" s="5">
        <f ca="1">IF(getQuality(B1081)&lt;4,getOtherMax(B1081,C1081,INDIRECT(J$2),INDIRECT(I1081),test),getMax(B1081,C1081,INDIRECT(J$2),INDIRECT(I1081),test))</f>
        <v>0.15</v>
      </c>
      <c r="F1081" s="1" t="str">
        <f t="shared" si="66"/>
        <v>50</v>
      </c>
      <c r="G1081" s="1" t="str">
        <f t="shared" si="67"/>
        <v/>
      </c>
      <c r="I1081" s="1" t="str">
        <f t="shared" si="65"/>
        <v>威尔新数值1.06.xlsm!circlePer</v>
      </c>
    </row>
    <row r="1082" spans="1:9" x14ac:dyDescent="0.15">
      <c r="A1082" s="1">
        <v>1081</v>
      </c>
      <c r="B1082" s="1">
        <v>102070500</v>
      </c>
      <c r="C1082" s="1">
        <f t="shared" si="68"/>
        <v>102</v>
      </c>
      <c r="D1082" s="5">
        <f ca="1">IF(getQuality(B1082)&lt;4,getOtherMin(B1082,C1082,INDIRECT(J$2),INDIRECT(I1082),test),getMin(B1082,C1082,INDIRECT(J$2),INDIRECT(I1082),test))</f>
        <v>1</v>
      </c>
      <c r="E1082" s="5">
        <f ca="1">IF(getQuality(B1082)&lt;4,getOtherMax(B1082,C1082,INDIRECT(J$2),INDIRECT(I1082),test),getMax(B1082,C1082,INDIRECT(J$2),INDIRECT(I1082),test))</f>
        <v>1.4</v>
      </c>
      <c r="F1082" s="1" t="str">
        <f t="shared" si="66"/>
        <v>50</v>
      </c>
      <c r="G1082" s="1" t="str">
        <f t="shared" si="67"/>
        <v/>
      </c>
      <c r="I1082" s="1" t="str">
        <f t="shared" si="65"/>
        <v>威尔新数值1.06.xlsm!circleValue</v>
      </c>
    </row>
    <row r="1083" spans="1:9" x14ac:dyDescent="0.15">
      <c r="A1083" s="1">
        <v>1082</v>
      </c>
      <c r="B1083" s="1">
        <v>102070500</v>
      </c>
      <c r="C1083" s="1">
        <f t="shared" si="68"/>
        <v>103</v>
      </c>
      <c r="D1083" s="5">
        <f ca="1">IF(getQuality(B1083)&lt;4,getOtherMin(B1083,C1083,INDIRECT(J$2),INDIRECT(I1083),test),getMin(B1083,C1083,INDIRECT(J$2),INDIRECT(I1083),test))</f>
        <v>0.12</v>
      </c>
      <c r="E1083" s="5">
        <f ca="1">IF(getQuality(B1083)&lt;4,getOtherMax(B1083,C1083,INDIRECT(J$2),INDIRECT(I1083),test),getMax(B1083,C1083,INDIRECT(J$2),INDIRECT(I1083),test))</f>
        <v>0.15</v>
      </c>
      <c r="F1083" s="1" t="str">
        <f t="shared" si="66"/>
        <v>50</v>
      </c>
      <c r="G1083" s="1" t="str">
        <f t="shared" si="67"/>
        <v/>
      </c>
      <c r="I1083" s="1" t="str">
        <f t="shared" si="65"/>
        <v>威尔新数值1.06.xlsm!otherDamage</v>
      </c>
    </row>
    <row r="1084" spans="1:9" x14ac:dyDescent="0.15">
      <c r="A1084" s="1">
        <v>1083</v>
      </c>
      <c r="B1084" s="1">
        <v>102070500</v>
      </c>
      <c r="C1084" s="1">
        <f t="shared" si="68"/>
        <v>104</v>
      </c>
      <c r="D1084" s="5">
        <f ca="1">IF(getQuality(B1084)&lt;4,getOtherMin(B1084,C1084,INDIRECT(J$2),INDIRECT(I1084),test),getMin(B1084,C1084,INDIRECT(J$2),INDIRECT(I1084),test))</f>
        <v>0.12</v>
      </c>
      <c r="E1084" s="5">
        <f ca="1">IF(getQuality(B1084)&lt;4,getOtherMax(B1084,C1084,INDIRECT(J$2),INDIRECT(I1084),test),getMax(B1084,C1084,INDIRECT(J$2),INDIRECT(I1084),test))</f>
        <v>0.24</v>
      </c>
      <c r="F1084" s="1" t="str">
        <f t="shared" si="66"/>
        <v>50</v>
      </c>
      <c r="G1084" s="1" t="str">
        <f t="shared" si="67"/>
        <v/>
      </c>
      <c r="I1084" s="1" t="str">
        <f t="shared" si="65"/>
        <v>威尔新数值1.06.xlsm!monsterDamage</v>
      </c>
    </row>
    <row r="1085" spans="1:9" x14ac:dyDescent="0.15">
      <c r="A1085" s="1">
        <v>1084</v>
      </c>
      <c r="B1085" s="1">
        <v>102070500</v>
      </c>
      <c r="C1085" s="1">
        <f t="shared" si="68"/>
        <v>105</v>
      </c>
      <c r="D1085" s="5">
        <f ca="1">IF(getQuality(B1085)&lt;4,getOtherMin(B1085,C1085,INDIRECT(J$2),INDIRECT(I1085),test),getMin(B1085,C1085,INDIRECT(J$2),INDIRECT(I1085),test))</f>
        <v>0.12</v>
      </c>
      <c r="E1085" s="5">
        <f ca="1">IF(getQuality(B1085)&lt;4,getOtherMax(B1085,C1085,INDIRECT(J$2),INDIRECT(I1085),test),getMax(B1085,C1085,INDIRECT(J$2),INDIRECT(I1085),test))</f>
        <v>0.24</v>
      </c>
      <c r="F1085" s="1" t="str">
        <f t="shared" si="66"/>
        <v>50</v>
      </c>
      <c r="G1085" s="1" t="str">
        <f t="shared" si="67"/>
        <v/>
      </c>
      <c r="I1085" s="1" t="str">
        <f t="shared" si="65"/>
        <v>威尔新数值1.06.xlsm!monsterDamage</v>
      </c>
    </row>
    <row r="1086" spans="1:9" x14ac:dyDescent="0.15">
      <c r="A1086" s="1">
        <v>1085</v>
      </c>
      <c r="B1086" s="1">
        <v>102070500</v>
      </c>
      <c r="C1086" s="1">
        <f t="shared" si="68"/>
        <v>106</v>
      </c>
      <c r="D1086" s="5">
        <f ca="1">IF(getQuality(B1086)&lt;4,getOtherMin(B1086,C1086,INDIRECT(J$2),INDIRECT(I1086),test),getMin(B1086,C1086,INDIRECT(J$2),INDIRECT(I1086),test))</f>
        <v>0.12</v>
      </c>
      <c r="E1086" s="5">
        <f ca="1">IF(getQuality(B1086)&lt;4,getOtherMax(B1086,C1086,INDIRECT(J$2),INDIRECT(I1086),test),getMax(B1086,C1086,INDIRECT(J$2),INDIRECT(I1086),test))</f>
        <v>0.24</v>
      </c>
      <c r="F1086" s="1" t="str">
        <f t="shared" si="66"/>
        <v>50</v>
      </c>
      <c r="G1086" s="1" t="str">
        <f t="shared" si="67"/>
        <v/>
      </c>
      <c r="I1086" s="1" t="str">
        <f t="shared" si="65"/>
        <v>威尔新数值1.06.xlsm!monsterDamage</v>
      </c>
    </row>
    <row r="1087" spans="1:9" x14ac:dyDescent="0.15">
      <c r="A1087" s="1">
        <v>1086</v>
      </c>
      <c r="B1087" s="1">
        <v>102070500</v>
      </c>
      <c r="C1087" s="1">
        <f t="shared" si="68"/>
        <v>107</v>
      </c>
      <c r="D1087" s="5">
        <f ca="1">IF(getQuality(B1087)&lt;4,getOtherMin(B1087,C1087,INDIRECT(J$2),INDIRECT(I1087),test),getMin(B1087,C1087,INDIRECT(J$2),INDIRECT(I1087),test))</f>
        <v>0.12</v>
      </c>
      <c r="E1087" s="5">
        <f ca="1">IF(getQuality(B1087)&lt;4,getOtherMax(B1087,C1087,INDIRECT(J$2),INDIRECT(I1087),test),getMax(B1087,C1087,INDIRECT(J$2),INDIRECT(I1087),test))</f>
        <v>0.24</v>
      </c>
      <c r="F1087" s="1" t="str">
        <f t="shared" si="66"/>
        <v>50</v>
      </c>
      <c r="G1087" s="1" t="str">
        <f t="shared" si="67"/>
        <v/>
      </c>
      <c r="I1087" s="1" t="str">
        <f t="shared" si="65"/>
        <v>威尔新数值1.06.xlsm!monsterDamage</v>
      </c>
    </row>
    <row r="1088" spans="1:9" x14ac:dyDescent="0.15">
      <c r="A1088" s="1">
        <v>1087</v>
      </c>
      <c r="B1088" s="1">
        <v>102070500</v>
      </c>
      <c r="C1088" s="1">
        <f t="shared" si="68"/>
        <v>108</v>
      </c>
      <c r="D1088" s="5">
        <f ca="1">IF(getQuality(B1088)&lt;4,getOtherMin(B1088,C1088,INDIRECT(J$2),INDIRECT(I1088),test),getMin(B1088,C1088,INDIRECT(J$2),INDIRECT(I1088),test))</f>
        <v>0.12</v>
      </c>
      <c r="E1088" s="5">
        <f ca="1">IF(getQuality(B1088)&lt;4,getOtherMax(B1088,C1088,INDIRECT(J$2),INDIRECT(I1088),test),getMax(B1088,C1088,INDIRECT(J$2),INDIRECT(I1088),test))</f>
        <v>0.24</v>
      </c>
      <c r="F1088" s="1" t="str">
        <f t="shared" si="66"/>
        <v>50</v>
      </c>
      <c r="G1088" s="1" t="str">
        <f t="shared" si="67"/>
        <v/>
      </c>
      <c r="I1088" s="1" t="str">
        <f t="shared" si="65"/>
        <v>威尔新数值1.06.xlsm!monsterDamage</v>
      </c>
    </row>
    <row r="1089" spans="1:9" x14ac:dyDescent="0.15">
      <c r="A1089" s="1">
        <v>1088</v>
      </c>
      <c r="B1089" s="1">
        <v>102080500</v>
      </c>
      <c r="C1089" s="1">
        <f t="shared" si="68"/>
        <v>3</v>
      </c>
      <c r="D1089" s="5">
        <f ca="1">IF(getQuality(B1089)&lt;4,getOtherMin(B1089,C1089,INDIRECT(J$2),INDIRECT(I1089),test),getMin(B1089,C1089,INDIRECT(J$2),INDIRECT(I1089),test))</f>
        <v>237.63369570586491</v>
      </c>
      <c r="E1089" s="5">
        <f ca="1">IF(getQuality(B1089)&lt;4,getOtherMax(B1089,C1089,INDIRECT(J$2),INDIRECT(I1089),test),getMax(B1089,C1089,INDIRECT(J$2),INDIRECT(I1089),test))</f>
        <v>287.24542239033156</v>
      </c>
      <c r="F1089" s="1" t="str">
        <f t="shared" si="66"/>
        <v>50</v>
      </c>
      <c r="G1089" s="1" t="str">
        <f t="shared" si="67"/>
        <v>1</v>
      </c>
      <c r="I1089" s="1" t="str">
        <f t="shared" si="65"/>
        <v>威尔新数值1.06.xlsm!suitPower</v>
      </c>
    </row>
    <row r="1090" spans="1:9" x14ac:dyDescent="0.15">
      <c r="A1090" s="1">
        <v>1089</v>
      </c>
      <c r="B1090" s="1">
        <v>102080500</v>
      </c>
      <c r="C1090" s="1">
        <f t="shared" si="68"/>
        <v>5</v>
      </c>
      <c r="D1090" s="5">
        <f ca="1">IF(getQuality(B1090)&lt;4,getOtherMin(B1090,C1090,INDIRECT(J$2),INDIRECT(I1090),test),getMin(B1090,C1090,INDIRECT(J$2),INDIRECT(I1090),test))</f>
        <v>237.63369570586491</v>
      </c>
      <c r="E1090" s="5">
        <f ca="1">IF(getQuality(B1090)&lt;4,getOtherMax(B1090,C1090,INDIRECT(J$2),INDIRECT(I1090),test),getMax(B1090,C1090,INDIRECT(J$2),INDIRECT(I1090),test))</f>
        <v>287.24542239033156</v>
      </c>
      <c r="F1090" s="1" t="str">
        <f t="shared" si="66"/>
        <v>50</v>
      </c>
      <c r="G1090" s="1" t="str">
        <f t="shared" si="67"/>
        <v/>
      </c>
      <c r="I1090" s="1" t="str">
        <f t="shared" ref="I1090:I1153" si="69">IF(C1090&lt;100,VLOOKUP(C1090,test,3,FALSE),VLOOKUP(C1090,test1,3,FALSE))</f>
        <v>威尔新数值1.06.xlsm!suitPower</v>
      </c>
    </row>
    <row r="1091" spans="1:9" x14ac:dyDescent="0.15">
      <c r="A1091" s="1">
        <v>1090</v>
      </c>
      <c r="B1091" s="1">
        <v>102080500</v>
      </c>
      <c r="C1091" s="1">
        <f t="shared" si="68"/>
        <v>7</v>
      </c>
      <c r="D1091" s="5">
        <f ca="1">IF(getQuality(B1091)&lt;4,getOtherMin(B1091,C1091,INDIRECT(J$2),INDIRECT(I1091),test),getMin(B1091,C1091,INDIRECT(J$2),INDIRECT(I1091),test))</f>
        <v>46.370370370370253</v>
      </c>
      <c r="E1091" s="5">
        <f ca="1">IF(getQuality(B1091)&lt;4,getOtherMax(B1091,C1091,INDIRECT(J$2),INDIRECT(I1091),test),getMax(B1091,C1091,INDIRECT(J$2),INDIRECT(I1091),test))</f>
        <v>51.85185185185172</v>
      </c>
      <c r="F1091" s="1" t="str">
        <f t="shared" ref="F1091:F1154" si="70">getper(B1091,C1091)</f>
        <v>50</v>
      </c>
      <c r="G1091" s="1" t="str">
        <f t="shared" ref="G1091:G1154" si="71">getMust(B1091,C1091)</f>
        <v/>
      </c>
      <c r="I1091" s="1" t="str">
        <f t="shared" si="69"/>
        <v>威尔新数值1.06.xlsm!suitPower</v>
      </c>
    </row>
    <row r="1092" spans="1:9" x14ac:dyDescent="0.15">
      <c r="A1092" s="1">
        <v>1091</v>
      </c>
      <c r="B1092" s="1">
        <v>102080500</v>
      </c>
      <c r="C1092" s="1">
        <f t="shared" si="68"/>
        <v>8</v>
      </c>
      <c r="D1092" s="5">
        <f ca="1">IF(getQuality(B1092)&lt;4,getOtherMin(B1092,C1092,INDIRECT(J$2),INDIRECT(I1092),test),getMin(B1092,C1092,INDIRECT(J$2),INDIRECT(I1092),test))</f>
        <v>103.08333333333333</v>
      </c>
      <c r="E1092" s="5">
        <f ca="1">IF(getQuality(B1092)&lt;4,getOtherMax(B1092,C1092,INDIRECT(J$2),INDIRECT(I1092),test),getMax(B1092,C1092,INDIRECT(J$2),INDIRECT(I1092),test))</f>
        <v>116.66666666666667</v>
      </c>
      <c r="F1092" s="1" t="str">
        <f t="shared" si="70"/>
        <v>50</v>
      </c>
      <c r="G1092" s="1" t="str">
        <f t="shared" si="71"/>
        <v/>
      </c>
      <c r="I1092" s="1" t="str">
        <f t="shared" si="69"/>
        <v>威尔新数值1.06.xlsm!suitPower</v>
      </c>
    </row>
    <row r="1093" spans="1:9" x14ac:dyDescent="0.15">
      <c r="A1093" s="1">
        <v>1092</v>
      </c>
      <c r="B1093" s="1">
        <v>102080500</v>
      </c>
      <c r="C1093" s="1">
        <f t="shared" si="68"/>
        <v>9</v>
      </c>
      <c r="D1093" s="5">
        <f ca="1">IF(getQuality(B1093)&lt;4,getOtherMin(B1093,C1093,INDIRECT(J$2),INDIRECT(I1093),test),getMin(B1093,C1093,INDIRECT(J$2),INDIRECT(I1093),test))</f>
        <v>237.63369570586491</v>
      </c>
      <c r="E1093" s="5">
        <f ca="1">IF(getQuality(B1093)&lt;4,getOtherMax(B1093,C1093,INDIRECT(J$2),INDIRECT(I1093),test),getMax(B1093,C1093,INDIRECT(J$2),INDIRECT(I1093),test))</f>
        <v>287.24542239033156</v>
      </c>
      <c r="F1093" s="1" t="str">
        <f t="shared" si="70"/>
        <v>50</v>
      </c>
      <c r="G1093" s="1" t="str">
        <f t="shared" si="71"/>
        <v/>
      </c>
      <c r="I1093" s="1" t="str">
        <f t="shared" si="69"/>
        <v>威尔新数值1.06.xlsm!suitPower</v>
      </c>
    </row>
    <row r="1094" spans="1:9" x14ac:dyDescent="0.15">
      <c r="A1094" s="1">
        <v>1093</v>
      </c>
      <c r="B1094" s="1">
        <v>102080500</v>
      </c>
      <c r="C1094" s="1">
        <f t="shared" si="68"/>
        <v>10</v>
      </c>
      <c r="D1094" s="5">
        <f ca="1">IF(getQuality(B1094)&lt;4,getOtherMin(B1094,C1094,INDIRECT(J$2),INDIRECT(I1094),test),getMin(B1094,C1094,INDIRECT(J$2),INDIRECT(I1094),test))</f>
        <v>237.63369570586491</v>
      </c>
      <c r="E1094" s="5">
        <f ca="1">IF(getQuality(B1094)&lt;4,getOtherMax(B1094,C1094,INDIRECT(J$2),INDIRECT(I1094),test),getMax(B1094,C1094,INDIRECT(J$2),INDIRECT(I1094),test))</f>
        <v>287.24542239033156</v>
      </c>
      <c r="F1094" s="1" t="str">
        <f t="shared" si="70"/>
        <v>50</v>
      </c>
      <c r="G1094" s="1" t="str">
        <f t="shared" si="71"/>
        <v/>
      </c>
      <c r="I1094" s="1" t="str">
        <f t="shared" si="69"/>
        <v>威尔新数值1.06.xlsm!suitPower</v>
      </c>
    </row>
    <row r="1095" spans="1:9" x14ac:dyDescent="0.15">
      <c r="A1095" s="1">
        <v>1094</v>
      </c>
      <c r="B1095" s="1">
        <v>102080500</v>
      </c>
      <c r="C1095" s="1">
        <f t="shared" si="68"/>
        <v>11</v>
      </c>
      <c r="D1095" s="5">
        <f ca="1">IF(getQuality(B1095)&lt;4,getOtherMin(B1095,C1095,INDIRECT(J$2),INDIRECT(I1095),test),getMin(B1095,C1095,INDIRECT(J$2),INDIRECT(I1095),test))</f>
        <v>237.63369570586491</v>
      </c>
      <c r="E1095" s="5">
        <f ca="1">IF(getQuality(B1095)&lt;4,getOtherMax(B1095,C1095,INDIRECT(J$2),INDIRECT(I1095),test),getMax(B1095,C1095,INDIRECT(J$2),INDIRECT(I1095),test))</f>
        <v>287.24542239033156</v>
      </c>
      <c r="F1095" s="1" t="str">
        <f t="shared" si="70"/>
        <v>50</v>
      </c>
      <c r="G1095" s="1" t="str">
        <f t="shared" si="71"/>
        <v/>
      </c>
      <c r="I1095" s="1" t="str">
        <f t="shared" si="69"/>
        <v>威尔新数值1.06.xlsm!suitPower</v>
      </c>
    </row>
    <row r="1096" spans="1:9" x14ac:dyDescent="0.15">
      <c r="A1096" s="1">
        <v>1095</v>
      </c>
      <c r="B1096" s="1">
        <v>102080500</v>
      </c>
      <c r="C1096" s="1">
        <f t="shared" si="68"/>
        <v>12</v>
      </c>
      <c r="D1096" s="5">
        <f ca="1">IF(getQuality(B1096)&lt;4,getOtherMin(B1096,C1096,INDIRECT(J$2),INDIRECT(I1096),test),getMin(B1096,C1096,INDIRECT(J$2),INDIRECT(I1096),test))</f>
        <v>237.63369570586491</v>
      </c>
      <c r="E1096" s="5">
        <f ca="1">IF(getQuality(B1096)&lt;4,getOtherMax(B1096,C1096,INDIRECT(J$2),INDIRECT(I1096),test),getMax(B1096,C1096,INDIRECT(J$2),INDIRECT(I1096),test))</f>
        <v>287.24542239033156</v>
      </c>
      <c r="F1096" s="1" t="str">
        <f t="shared" si="70"/>
        <v>50</v>
      </c>
      <c r="G1096" s="1" t="str">
        <f t="shared" si="71"/>
        <v/>
      </c>
      <c r="I1096" s="1" t="str">
        <f t="shared" si="69"/>
        <v>威尔新数值1.06.xlsm!suitPower</v>
      </c>
    </row>
    <row r="1097" spans="1:9" x14ac:dyDescent="0.15">
      <c r="A1097" s="1">
        <v>1096</v>
      </c>
      <c r="B1097" s="1">
        <v>102080500</v>
      </c>
      <c r="C1097" s="1">
        <f t="shared" si="68"/>
        <v>13</v>
      </c>
      <c r="D1097" s="5">
        <f ca="1">IF(getQuality(B1097)&lt;4,getOtherMin(B1097,C1097,INDIRECT(J$2),INDIRECT(I1097),test),getMin(B1097,C1097,INDIRECT(J$2),INDIRECT(I1097),test))</f>
        <v>237.63369570586491</v>
      </c>
      <c r="E1097" s="5">
        <f ca="1">IF(getQuality(B1097)&lt;4,getOtherMax(B1097,C1097,INDIRECT(J$2),INDIRECT(I1097),test),getMax(B1097,C1097,INDIRECT(J$2),INDIRECT(I1097),test))</f>
        <v>287.24542239033156</v>
      </c>
      <c r="F1097" s="1" t="str">
        <f t="shared" si="70"/>
        <v>50</v>
      </c>
      <c r="G1097" s="1" t="str">
        <f t="shared" si="71"/>
        <v/>
      </c>
      <c r="I1097" s="1" t="str">
        <f t="shared" si="69"/>
        <v>威尔新数值1.06.xlsm!suitPower</v>
      </c>
    </row>
    <row r="1098" spans="1:9" x14ac:dyDescent="0.15">
      <c r="A1098" s="1">
        <v>1097</v>
      </c>
      <c r="B1098" s="1">
        <v>102080500</v>
      </c>
      <c r="C1098" s="1">
        <f t="shared" si="68"/>
        <v>14</v>
      </c>
      <c r="D1098" s="5">
        <f ca="1">IF(getQuality(B1098)&lt;4,getOtherMin(B1098,C1098,INDIRECT(J$2),INDIRECT(I1098),test),getMin(B1098,C1098,INDIRECT(J$2),INDIRECT(I1098),test))</f>
        <v>237.63369570586491</v>
      </c>
      <c r="E1098" s="5">
        <f ca="1">IF(getQuality(B1098)&lt;4,getOtherMax(B1098,C1098,INDIRECT(J$2),INDIRECT(I1098),test),getMax(B1098,C1098,INDIRECT(J$2),INDIRECT(I1098),test))</f>
        <v>287.24542239033156</v>
      </c>
      <c r="F1098" s="1" t="str">
        <f t="shared" si="70"/>
        <v>50</v>
      </c>
      <c r="G1098" s="1" t="str">
        <f t="shared" si="71"/>
        <v/>
      </c>
      <c r="I1098" s="1" t="str">
        <f t="shared" si="69"/>
        <v>威尔新数值1.06.xlsm!suitPower</v>
      </c>
    </row>
    <row r="1099" spans="1:9" x14ac:dyDescent="0.15">
      <c r="A1099" s="1">
        <v>1098</v>
      </c>
      <c r="B1099" s="1">
        <v>102080500</v>
      </c>
      <c r="C1099" s="1">
        <f t="shared" si="68"/>
        <v>15</v>
      </c>
      <c r="D1099" s="5">
        <f ca="1">IF(getQuality(B1099)&lt;4,getOtherMin(B1099,C1099,INDIRECT(J$2),INDIRECT(I1099),test),getMin(B1099,C1099,INDIRECT(J$2),INDIRECT(I1099),test))</f>
        <v>237.63369570586491</v>
      </c>
      <c r="E1099" s="5">
        <f ca="1">IF(getQuality(B1099)&lt;4,getOtherMax(B1099,C1099,INDIRECT(J$2),INDIRECT(I1099),test),getMax(B1099,C1099,INDIRECT(J$2),INDIRECT(I1099),test))</f>
        <v>287.24542239033156</v>
      </c>
      <c r="F1099" s="1" t="str">
        <f t="shared" si="70"/>
        <v>50</v>
      </c>
      <c r="G1099" s="1" t="str">
        <f t="shared" si="71"/>
        <v/>
      </c>
      <c r="I1099" s="1" t="str">
        <f t="shared" si="69"/>
        <v>威尔新数值1.06.xlsm!suitPower</v>
      </c>
    </row>
    <row r="1100" spans="1:9" x14ac:dyDescent="0.15">
      <c r="A1100" s="1">
        <v>1099</v>
      </c>
      <c r="B1100" s="1">
        <v>102080500</v>
      </c>
      <c r="C1100" s="1">
        <f t="shared" si="68"/>
        <v>101</v>
      </c>
      <c r="D1100" s="5">
        <f ca="1">IF(getQuality(B1100)&lt;4,getOtherMin(B1100,C1100,INDIRECT(J$2),INDIRECT(I1100),test),getMin(B1100,C1100,INDIRECT(J$2),INDIRECT(I1100),test))</f>
        <v>0.13</v>
      </c>
      <c r="E1100" s="5">
        <f ca="1">IF(getQuality(B1100)&lt;4,getOtherMax(B1100,C1100,INDIRECT(J$2),INDIRECT(I1100),test),getMax(B1100,C1100,INDIRECT(J$2),INDIRECT(I1100),test))</f>
        <v>0.16</v>
      </c>
      <c r="F1100" s="1" t="str">
        <f t="shared" si="70"/>
        <v>50</v>
      </c>
      <c r="G1100" s="1" t="str">
        <f t="shared" si="71"/>
        <v/>
      </c>
      <c r="I1100" s="1" t="str">
        <f t="shared" si="69"/>
        <v>威尔新数值1.06.xlsm!circlePer</v>
      </c>
    </row>
    <row r="1101" spans="1:9" x14ac:dyDescent="0.15">
      <c r="A1101" s="1">
        <v>1100</v>
      </c>
      <c r="B1101" s="1">
        <v>102080500</v>
      </c>
      <c r="C1101" s="1">
        <f t="shared" si="68"/>
        <v>102</v>
      </c>
      <c r="D1101" s="5">
        <f ca="1">IF(getQuality(B1101)&lt;4,getOtherMin(B1101,C1101,INDIRECT(J$2),INDIRECT(I1101),test),getMin(B1101,C1101,INDIRECT(J$2),INDIRECT(I1101),test))</f>
        <v>1.1000000000000001</v>
      </c>
      <c r="E1101" s="5">
        <f ca="1">IF(getQuality(B1101)&lt;4,getOtherMax(B1101,C1101,INDIRECT(J$2),INDIRECT(I1101),test),getMax(B1101,C1101,INDIRECT(J$2),INDIRECT(I1101),test))</f>
        <v>1.5</v>
      </c>
      <c r="F1101" s="1" t="str">
        <f t="shared" si="70"/>
        <v>50</v>
      </c>
      <c r="G1101" s="1" t="str">
        <f t="shared" si="71"/>
        <v/>
      </c>
      <c r="I1101" s="1" t="str">
        <f t="shared" si="69"/>
        <v>威尔新数值1.06.xlsm!circleValue</v>
      </c>
    </row>
    <row r="1102" spans="1:9" x14ac:dyDescent="0.15">
      <c r="A1102" s="1">
        <v>1101</v>
      </c>
      <c r="B1102" s="1">
        <v>102080500</v>
      </c>
      <c r="C1102" s="1">
        <f t="shared" si="68"/>
        <v>103</v>
      </c>
      <c r="D1102" s="5">
        <f ca="1">IF(getQuality(B1102)&lt;4,getOtherMin(B1102,C1102,INDIRECT(J$2),INDIRECT(I1102),test),getMin(B1102,C1102,INDIRECT(J$2),INDIRECT(I1102),test))</f>
        <v>0.13</v>
      </c>
      <c r="E1102" s="5">
        <f ca="1">IF(getQuality(B1102)&lt;4,getOtherMax(B1102,C1102,INDIRECT(J$2),INDIRECT(I1102),test),getMax(B1102,C1102,INDIRECT(J$2),INDIRECT(I1102),test))</f>
        <v>0.16</v>
      </c>
      <c r="F1102" s="1" t="str">
        <f t="shared" si="70"/>
        <v>50</v>
      </c>
      <c r="G1102" s="1" t="str">
        <f t="shared" si="71"/>
        <v/>
      </c>
      <c r="I1102" s="1" t="str">
        <f t="shared" si="69"/>
        <v>威尔新数值1.06.xlsm!otherDamage</v>
      </c>
    </row>
    <row r="1103" spans="1:9" x14ac:dyDescent="0.15">
      <c r="A1103" s="1">
        <v>1102</v>
      </c>
      <c r="B1103" s="1">
        <v>102080500</v>
      </c>
      <c r="C1103" s="1">
        <f t="shared" si="68"/>
        <v>104</v>
      </c>
      <c r="D1103" s="5">
        <f ca="1">IF(getQuality(B1103)&lt;4,getOtherMin(B1103,C1103,INDIRECT(J$2),INDIRECT(I1103),test),getMin(B1103,C1103,INDIRECT(J$2),INDIRECT(I1103),test))</f>
        <v>0.13</v>
      </c>
      <c r="E1103" s="5">
        <f ca="1">IF(getQuality(B1103)&lt;4,getOtherMax(B1103,C1103,INDIRECT(J$2),INDIRECT(I1103),test),getMax(B1103,C1103,INDIRECT(J$2),INDIRECT(I1103),test))</f>
        <v>0.26</v>
      </c>
      <c r="F1103" s="1" t="str">
        <f t="shared" si="70"/>
        <v>50</v>
      </c>
      <c r="G1103" s="1" t="str">
        <f t="shared" si="71"/>
        <v/>
      </c>
      <c r="I1103" s="1" t="str">
        <f t="shared" si="69"/>
        <v>威尔新数值1.06.xlsm!monsterDamage</v>
      </c>
    </row>
    <row r="1104" spans="1:9" x14ac:dyDescent="0.15">
      <c r="A1104" s="1">
        <v>1103</v>
      </c>
      <c r="B1104" s="1">
        <v>102080500</v>
      </c>
      <c r="C1104" s="1">
        <f t="shared" si="68"/>
        <v>105</v>
      </c>
      <c r="D1104" s="5">
        <f ca="1">IF(getQuality(B1104)&lt;4,getOtherMin(B1104,C1104,INDIRECT(J$2),INDIRECT(I1104),test),getMin(B1104,C1104,INDIRECT(J$2),INDIRECT(I1104),test))</f>
        <v>0.13</v>
      </c>
      <c r="E1104" s="5">
        <f ca="1">IF(getQuality(B1104)&lt;4,getOtherMax(B1104,C1104,INDIRECT(J$2),INDIRECT(I1104),test),getMax(B1104,C1104,INDIRECT(J$2),INDIRECT(I1104),test))</f>
        <v>0.26</v>
      </c>
      <c r="F1104" s="1" t="str">
        <f t="shared" si="70"/>
        <v>50</v>
      </c>
      <c r="G1104" s="1" t="str">
        <f t="shared" si="71"/>
        <v/>
      </c>
      <c r="I1104" s="1" t="str">
        <f t="shared" si="69"/>
        <v>威尔新数值1.06.xlsm!monsterDamage</v>
      </c>
    </row>
    <row r="1105" spans="1:9" x14ac:dyDescent="0.15">
      <c r="A1105" s="1">
        <v>1104</v>
      </c>
      <c r="B1105" s="1">
        <v>102080500</v>
      </c>
      <c r="C1105" s="1">
        <f t="shared" si="68"/>
        <v>106</v>
      </c>
      <c r="D1105" s="5">
        <f ca="1">IF(getQuality(B1105)&lt;4,getOtherMin(B1105,C1105,INDIRECT(J$2),INDIRECT(I1105),test),getMin(B1105,C1105,INDIRECT(J$2),INDIRECT(I1105),test))</f>
        <v>0.13</v>
      </c>
      <c r="E1105" s="5">
        <f ca="1">IF(getQuality(B1105)&lt;4,getOtherMax(B1105,C1105,INDIRECT(J$2),INDIRECT(I1105),test),getMax(B1105,C1105,INDIRECT(J$2),INDIRECT(I1105),test))</f>
        <v>0.26</v>
      </c>
      <c r="F1105" s="1" t="str">
        <f t="shared" si="70"/>
        <v>50</v>
      </c>
      <c r="G1105" s="1" t="str">
        <f t="shared" si="71"/>
        <v/>
      </c>
      <c r="I1105" s="1" t="str">
        <f t="shared" si="69"/>
        <v>威尔新数值1.06.xlsm!monsterDamage</v>
      </c>
    </row>
    <row r="1106" spans="1:9" x14ac:dyDescent="0.15">
      <c r="A1106" s="1">
        <v>1105</v>
      </c>
      <c r="B1106" s="1">
        <v>102080500</v>
      </c>
      <c r="C1106" s="1">
        <f t="shared" si="68"/>
        <v>107</v>
      </c>
      <c r="D1106" s="5">
        <f ca="1">IF(getQuality(B1106)&lt;4,getOtherMin(B1106,C1106,INDIRECT(J$2),INDIRECT(I1106),test),getMin(B1106,C1106,INDIRECT(J$2),INDIRECT(I1106),test))</f>
        <v>0.13</v>
      </c>
      <c r="E1106" s="5">
        <f ca="1">IF(getQuality(B1106)&lt;4,getOtherMax(B1106,C1106,INDIRECT(J$2),INDIRECT(I1106),test),getMax(B1106,C1106,INDIRECT(J$2),INDIRECT(I1106),test))</f>
        <v>0.26</v>
      </c>
      <c r="F1106" s="1" t="str">
        <f t="shared" si="70"/>
        <v>50</v>
      </c>
      <c r="G1106" s="1" t="str">
        <f t="shared" si="71"/>
        <v/>
      </c>
      <c r="I1106" s="1" t="str">
        <f t="shared" si="69"/>
        <v>威尔新数值1.06.xlsm!monsterDamage</v>
      </c>
    </row>
    <row r="1107" spans="1:9" x14ac:dyDescent="0.15">
      <c r="A1107" s="1">
        <v>1106</v>
      </c>
      <c r="B1107" s="1">
        <v>102080500</v>
      </c>
      <c r="C1107" s="1">
        <f t="shared" si="68"/>
        <v>108</v>
      </c>
      <c r="D1107" s="5">
        <f ca="1">IF(getQuality(B1107)&lt;4,getOtherMin(B1107,C1107,INDIRECT(J$2),INDIRECT(I1107),test),getMin(B1107,C1107,INDIRECT(J$2),INDIRECT(I1107),test))</f>
        <v>0.13</v>
      </c>
      <c r="E1107" s="5">
        <f ca="1">IF(getQuality(B1107)&lt;4,getOtherMax(B1107,C1107,INDIRECT(J$2),INDIRECT(I1107),test),getMax(B1107,C1107,INDIRECT(J$2),INDIRECT(I1107),test))</f>
        <v>0.26</v>
      </c>
      <c r="F1107" s="1" t="str">
        <f t="shared" si="70"/>
        <v>50</v>
      </c>
      <c r="G1107" s="1" t="str">
        <f t="shared" si="71"/>
        <v/>
      </c>
      <c r="I1107" s="1" t="str">
        <f t="shared" si="69"/>
        <v>威尔新数值1.06.xlsm!monsterDamage</v>
      </c>
    </row>
    <row r="1108" spans="1:9" x14ac:dyDescent="0.15">
      <c r="A1108" s="1">
        <v>1107</v>
      </c>
      <c r="B1108" s="1">
        <v>102090500</v>
      </c>
      <c r="C1108" s="1">
        <f t="shared" si="68"/>
        <v>3</v>
      </c>
      <c r="D1108" s="5">
        <f ca="1">IF(getQuality(B1108)&lt;4,getOtherMin(B1108,C1108,INDIRECT(J$2),INDIRECT(I1108),test),getMin(B1108,C1108,INDIRECT(J$2),INDIRECT(I1108),test))</f>
        <v>288.24542239033156</v>
      </c>
      <c r="E1108" s="5">
        <f ca="1">IF(getQuality(B1108)&lt;4,getOtherMax(B1108,C1108,INDIRECT(J$2),INDIRECT(I1108),test),getMax(B1108,C1108,INDIRECT(J$2),INDIRECT(I1108),test))</f>
        <v>342.05887732784834</v>
      </c>
      <c r="F1108" s="1" t="str">
        <f t="shared" si="70"/>
        <v>50</v>
      </c>
      <c r="G1108" s="1" t="str">
        <f t="shared" si="71"/>
        <v>1</v>
      </c>
      <c r="I1108" s="1" t="str">
        <f t="shared" si="69"/>
        <v>威尔新数值1.06.xlsm!suitPower</v>
      </c>
    </row>
    <row r="1109" spans="1:9" x14ac:dyDescent="0.15">
      <c r="A1109" s="1">
        <v>1108</v>
      </c>
      <c r="B1109" s="1">
        <v>102090500</v>
      </c>
      <c r="C1109" s="1">
        <f t="shared" si="68"/>
        <v>5</v>
      </c>
      <c r="D1109" s="5">
        <f ca="1">IF(getQuality(B1109)&lt;4,getOtherMin(B1109,C1109,INDIRECT(J$2),INDIRECT(I1109),test),getMin(B1109,C1109,INDIRECT(J$2),INDIRECT(I1109),test))</f>
        <v>288.24542239033156</v>
      </c>
      <c r="E1109" s="5">
        <f ca="1">IF(getQuality(B1109)&lt;4,getOtherMax(B1109,C1109,INDIRECT(J$2),INDIRECT(I1109),test),getMax(B1109,C1109,INDIRECT(J$2),INDIRECT(I1109),test))</f>
        <v>342.05887732784834</v>
      </c>
      <c r="F1109" s="1" t="str">
        <f t="shared" si="70"/>
        <v>50</v>
      </c>
      <c r="G1109" s="1" t="str">
        <f t="shared" si="71"/>
        <v/>
      </c>
      <c r="I1109" s="1" t="str">
        <f t="shared" si="69"/>
        <v>威尔新数值1.06.xlsm!suitPower</v>
      </c>
    </row>
    <row r="1110" spans="1:9" x14ac:dyDescent="0.15">
      <c r="A1110" s="1">
        <v>1109</v>
      </c>
      <c r="B1110" s="1">
        <v>102090500</v>
      </c>
      <c r="C1110" s="1">
        <f t="shared" si="68"/>
        <v>7</v>
      </c>
      <c r="D1110" s="5">
        <f ca="1">IF(getQuality(B1110)&lt;4,getOtherMin(B1110,C1110,INDIRECT(J$2),INDIRECT(I1110),test),getMin(B1110,C1110,INDIRECT(J$2),INDIRECT(I1110),test))</f>
        <v>52.85185185185172</v>
      </c>
      <c r="E1110" s="5">
        <f ca="1">IF(getQuality(B1110)&lt;4,getOtherMax(B1110,C1110,INDIRECT(J$2),INDIRECT(I1110),test),getMax(B1110,C1110,INDIRECT(J$2),INDIRECT(I1110),test))</f>
        <v>58.333333333333186</v>
      </c>
      <c r="F1110" s="1" t="str">
        <f t="shared" si="70"/>
        <v>50</v>
      </c>
      <c r="G1110" s="1" t="str">
        <f t="shared" si="71"/>
        <v/>
      </c>
      <c r="I1110" s="1" t="str">
        <f t="shared" si="69"/>
        <v>威尔新数值1.06.xlsm!suitPower</v>
      </c>
    </row>
    <row r="1111" spans="1:9" x14ac:dyDescent="0.15">
      <c r="A1111" s="1">
        <v>1110</v>
      </c>
      <c r="B1111" s="1">
        <v>102090500</v>
      </c>
      <c r="C1111" s="1">
        <f t="shared" si="68"/>
        <v>8</v>
      </c>
      <c r="D1111" s="5">
        <f ca="1">IF(getQuality(B1111)&lt;4,getOtherMin(B1111,C1111,INDIRECT(J$2),INDIRECT(I1111),test),getMin(B1111,C1111,INDIRECT(J$2),INDIRECT(I1111),test))</f>
        <v>117.66666666666667</v>
      </c>
      <c r="E1111" s="5">
        <f ca="1">IF(getQuality(B1111)&lt;4,getOtherMax(B1111,C1111,INDIRECT(J$2),INDIRECT(I1111),test),getMax(B1111,C1111,INDIRECT(J$2),INDIRECT(I1111),test))</f>
        <v>131.25</v>
      </c>
      <c r="F1111" s="1" t="str">
        <f t="shared" si="70"/>
        <v>50</v>
      </c>
      <c r="G1111" s="1" t="str">
        <f t="shared" si="71"/>
        <v/>
      </c>
      <c r="I1111" s="1" t="str">
        <f t="shared" si="69"/>
        <v>威尔新数值1.06.xlsm!suitPower</v>
      </c>
    </row>
    <row r="1112" spans="1:9" x14ac:dyDescent="0.15">
      <c r="A1112" s="1">
        <v>1111</v>
      </c>
      <c r="B1112" s="1">
        <v>102090500</v>
      </c>
      <c r="C1112" s="1">
        <f t="shared" si="68"/>
        <v>9</v>
      </c>
      <c r="D1112" s="5">
        <f ca="1">IF(getQuality(B1112)&lt;4,getOtherMin(B1112,C1112,INDIRECT(J$2),INDIRECT(I1112),test),getMin(B1112,C1112,INDIRECT(J$2),INDIRECT(I1112),test))</f>
        <v>288.24542239033156</v>
      </c>
      <c r="E1112" s="5">
        <f ca="1">IF(getQuality(B1112)&lt;4,getOtherMax(B1112,C1112,INDIRECT(J$2),INDIRECT(I1112),test),getMax(B1112,C1112,INDIRECT(J$2),INDIRECT(I1112),test))</f>
        <v>342.05887732784834</v>
      </c>
      <c r="F1112" s="1" t="str">
        <f t="shared" si="70"/>
        <v>50</v>
      </c>
      <c r="G1112" s="1" t="str">
        <f t="shared" si="71"/>
        <v/>
      </c>
      <c r="I1112" s="1" t="str">
        <f t="shared" si="69"/>
        <v>威尔新数值1.06.xlsm!suitPower</v>
      </c>
    </row>
    <row r="1113" spans="1:9" x14ac:dyDescent="0.15">
      <c r="A1113" s="1">
        <v>1112</v>
      </c>
      <c r="B1113" s="1">
        <v>102090500</v>
      </c>
      <c r="C1113" s="1">
        <f t="shared" si="68"/>
        <v>10</v>
      </c>
      <c r="D1113" s="5">
        <f ca="1">IF(getQuality(B1113)&lt;4,getOtherMin(B1113,C1113,INDIRECT(J$2),INDIRECT(I1113),test),getMin(B1113,C1113,INDIRECT(J$2),INDIRECT(I1113),test))</f>
        <v>288.24542239033156</v>
      </c>
      <c r="E1113" s="5">
        <f ca="1">IF(getQuality(B1113)&lt;4,getOtherMax(B1113,C1113,INDIRECT(J$2),INDIRECT(I1113),test),getMax(B1113,C1113,INDIRECT(J$2),INDIRECT(I1113),test))</f>
        <v>342.05887732784834</v>
      </c>
      <c r="F1113" s="1" t="str">
        <f t="shared" si="70"/>
        <v>50</v>
      </c>
      <c r="G1113" s="1" t="str">
        <f t="shared" si="71"/>
        <v/>
      </c>
      <c r="I1113" s="1" t="str">
        <f t="shared" si="69"/>
        <v>威尔新数值1.06.xlsm!suitPower</v>
      </c>
    </row>
    <row r="1114" spans="1:9" x14ac:dyDescent="0.15">
      <c r="A1114" s="1">
        <v>1113</v>
      </c>
      <c r="B1114" s="1">
        <v>102090500</v>
      </c>
      <c r="C1114" s="1">
        <f t="shared" si="68"/>
        <v>11</v>
      </c>
      <c r="D1114" s="5">
        <f ca="1">IF(getQuality(B1114)&lt;4,getOtherMin(B1114,C1114,INDIRECT(J$2),INDIRECT(I1114),test),getMin(B1114,C1114,INDIRECT(J$2),INDIRECT(I1114),test))</f>
        <v>288.24542239033156</v>
      </c>
      <c r="E1114" s="5">
        <f ca="1">IF(getQuality(B1114)&lt;4,getOtherMax(B1114,C1114,INDIRECT(J$2),INDIRECT(I1114),test),getMax(B1114,C1114,INDIRECT(J$2),INDIRECT(I1114),test))</f>
        <v>342.05887732784834</v>
      </c>
      <c r="F1114" s="1" t="str">
        <f t="shared" si="70"/>
        <v>50</v>
      </c>
      <c r="G1114" s="1" t="str">
        <f t="shared" si="71"/>
        <v/>
      </c>
      <c r="I1114" s="1" t="str">
        <f t="shared" si="69"/>
        <v>威尔新数值1.06.xlsm!suitPower</v>
      </c>
    </row>
    <row r="1115" spans="1:9" x14ac:dyDescent="0.15">
      <c r="A1115" s="1">
        <v>1114</v>
      </c>
      <c r="B1115" s="1">
        <v>102090500</v>
      </c>
      <c r="C1115" s="1">
        <f t="shared" si="68"/>
        <v>12</v>
      </c>
      <c r="D1115" s="5">
        <f ca="1">IF(getQuality(B1115)&lt;4,getOtherMin(B1115,C1115,INDIRECT(J$2),INDIRECT(I1115),test),getMin(B1115,C1115,INDIRECT(J$2),INDIRECT(I1115),test))</f>
        <v>288.24542239033156</v>
      </c>
      <c r="E1115" s="5">
        <f ca="1">IF(getQuality(B1115)&lt;4,getOtherMax(B1115,C1115,INDIRECT(J$2),INDIRECT(I1115),test),getMax(B1115,C1115,INDIRECT(J$2),INDIRECT(I1115),test))</f>
        <v>342.05887732784834</v>
      </c>
      <c r="F1115" s="1" t="str">
        <f t="shared" si="70"/>
        <v>50</v>
      </c>
      <c r="G1115" s="1" t="str">
        <f t="shared" si="71"/>
        <v/>
      </c>
      <c r="I1115" s="1" t="str">
        <f t="shared" si="69"/>
        <v>威尔新数值1.06.xlsm!suitPower</v>
      </c>
    </row>
    <row r="1116" spans="1:9" x14ac:dyDescent="0.15">
      <c r="A1116" s="1">
        <v>1115</v>
      </c>
      <c r="B1116" s="1">
        <v>102090500</v>
      </c>
      <c r="C1116" s="1">
        <f t="shared" si="68"/>
        <v>13</v>
      </c>
      <c r="D1116" s="5">
        <f ca="1">IF(getQuality(B1116)&lt;4,getOtherMin(B1116,C1116,INDIRECT(J$2),INDIRECT(I1116),test),getMin(B1116,C1116,INDIRECT(J$2),INDIRECT(I1116),test))</f>
        <v>288.24542239033156</v>
      </c>
      <c r="E1116" s="5">
        <f ca="1">IF(getQuality(B1116)&lt;4,getOtherMax(B1116,C1116,INDIRECT(J$2),INDIRECT(I1116),test),getMax(B1116,C1116,INDIRECT(J$2),INDIRECT(I1116),test))</f>
        <v>342.05887732784834</v>
      </c>
      <c r="F1116" s="1" t="str">
        <f t="shared" si="70"/>
        <v>50</v>
      </c>
      <c r="G1116" s="1" t="str">
        <f t="shared" si="71"/>
        <v/>
      </c>
      <c r="I1116" s="1" t="str">
        <f t="shared" si="69"/>
        <v>威尔新数值1.06.xlsm!suitPower</v>
      </c>
    </row>
    <row r="1117" spans="1:9" x14ac:dyDescent="0.15">
      <c r="A1117" s="1">
        <v>1116</v>
      </c>
      <c r="B1117" s="1">
        <v>102090500</v>
      </c>
      <c r="C1117" s="1">
        <f t="shared" si="68"/>
        <v>14</v>
      </c>
      <c r="D1117" s="5">
        <f ca="1">IF(getQuality(B1117)&lt;4,getOtherMin(B1117,C1117,INDIRECT(J$2),INDIRECT(I1117),test),getMin(B1117,C1117,INDIRECT(J$2),INDIRECT(I1117),test))</f>
        <v>288.24542239033156</v>
      </c>
      <c r="E1117" s="5">
        <f ca="1">IF(getQuality(B1117)&lt;4,getOtherMax(B1117,C1117,INDIRECT(J$2),INDIRECT(I1117),test),getMax(B1117,C1117,INDIRECT(J$2),INDIRECT(I1117),test))</f>
        <v>342.05887732784834</v>
      </c>
      <c r="F1117" s="1" t="str">
        <f t="shared" si="70"/>
        <v>50</v>
      </c>
      <c r="G1117" s="1" t="str">
        <f t="shared" si="71"/>
        <v/>
      </c>
      <c r="I1117" s="1" t="str">
        <f t="shared" si="69"/>
        <v>威尔新数值1.06.xlsm!suitPower</v>
      </c>
    </row>
    <row r="1118" spans="1:9" x14ac:dyDescent="0.15">
      <c r="A1118" s="1">
        <v>1117</v>
      </c>
      <c r="B1118" s="1">
        <v>102090500</v>
      </c>
      <c r="C1118" s="1">
        <f t="shared" si="68"/>
        <v>15</v>
      </c>
      <c r="D1118" s="5">
        <f ca="1">IF(getQuality(B1118)&lt;4,getOtherMin(B1118,C1118,INDIRECT(J$2),INDIRECT(I1118),test),getMin(B1118,C1118,INDIRECT(J$2),INDIRECT(I1118),test))</f>
        <v>288.24542239033156</v>
      </c>
      <c r="E1118" s="5">
        <f ca="1">IF(getQuality(B1118)&lt;4,getOtherMax(B1118,C1118,INDIRECT(J$2),INDIRECT(I1118),test),getMax(B1118,C1118,INDIRECT(J$2),INDIRECT(I1118),test))</f>
        <v>342.05887732784834</v>
      </c>
      <c r="F1118" s="1" t="str">
        <f t="shared" si="70"/>
        <v>50</v>
      </c>
      <c r="G1118" s="1" t="str">
        <f t="shared" si="71"/>
        <v/>
      </c>
      <c r="I1118" s="1" t="str">
        <f t="shared" si="69"/>
        <v>威尔新数值1.06.xlsm!suitPower</v>
      </c>
    </row>
    <row r="1119" spans="1:9" x14ac:dyDescent="0.15">
      <c r="A1119" s="1">
        <v>1118</v>
      </c>
      <c r="B1119" s="1">
        <v>102090500</v>
      </c>
      <c r="C1119" s="1">
        <f t="shared" si="68"/>
        <v>101</v>
      </c>
      <c r="D1119" s="5">
        <f ca="1">IF(getQuality(B1119)&lt;4,getOtherMin(B1119,C1119,INDIRECT(J$2),INDIRECT(I1119),test),getMin(B1119,C1119,INDIRECT(J$2),INDIRECT(I1119),test))</f>
        <v>0.14000000000000001</v>
      </c>
      <c r="E1119" s="5">
        <f ca="1">IF(getQuality(B1119)&lt;4,getOtherMax(B1119,C1119,INDIRECT(J$2),INDIRECT(I1119),test),getMax(B1119,C1119,INDIRECT(J$2),INDIRECT(I1119),test))</f>
        <v>0.17</v>
      </c>
      <c r="F1119" s="1" t="str">
        <f t="shared" si="70"/>
        <v>50</v>
      </c>
      <c r="G1119" s="1" t="str">
        <f t="shared" si="71"/>
        <v/>
      </c>
      <c r="I1119" s="1" t="str">
        <f t="shared" si="69"/>
        <v>威尔新数值1.06.xlsm!circlePer</v>
      </c>
    </row>
    <row r="1120" spans="1:9" x14ac:dyDescent="0.15">
      <c r="A1120" s="1">
        <v>1119</v>
      </c>
      <c r="B1120" s="1">
        <v>102090500</v>
      </c>
      <c r="C1120" s="1">
        <f t="shared" si="68"/>
        <v>102</v>
      </c>
      <c r="D1120" s="5">
        <f ca="1">IF(getQuality(B1120)&lt;4,getOtherMin(B1120,C1120,INDIRECT(J$2),INDIRECT(I1120),test),getMin(B1120,C1120,INDIRECT(J$2),INDIRECT(I1120),test))</f>
        <v>1.2</v>
      </c>
      <c r="E1120" s="5">
        <f ca="1">IF(getQuality(B1120)&lt;4,getOtherMax(B1120,C1120,INDIRECT(J$2),INDIRECT(I1120),test),getMax(B1120,C1120,INDIRECT(J$2),INDIRECT(I1120),test))</f>
        <v>1.6</v>
      </c>
      <c r="F1120" s="1" t="str">
        <f t="shared" si="70"/>
        <v>50</v>
      </c>
      <c r="G1120" s="1" t="str">
        <f t="shared" si="71"/>
        <v/>
      </c>
      <c r="I1120" s="1" t="str">
        <f t="shared" si="69"/>
        <v>威尔新数值1.06.xlsm!circleValue</v>
      </c>
    </row>
    <row r="1121" spans="1:9" x14ac:dyDescent="0.15">
      <c r="A1121" s="1">
        <v>1120</v>
      </c>
      <c r="B1121" s="1">
        <v>102090500</v>
      </c>
      <c r="C1121" s="1">
        <f t="shared" si="68"/>
        <v>103</v>
      </c>
      <c r="D1121" s="5">
        <f ca="1">IF(getQuality(B1121)&lt;4,getOtherMin(B1121,C1121,INDIRECT(J$2),INDIRECT(I1121),test),getMin(B1121,C1121,INDIRECT(J$2),INDIRECT(I1121),test))</f>
        <v>0.14000000000000001</v>
      </c>
      <c r="E1121" s="5">
        <f ca="1">IF(getQuality(B1121)&lt;4,getOtherMax(B1121,C1121,INDIRECT(J$2),INDIRECT(I1121),test),getMax(B1121,C1121,INDIRECT(J$2),INDIRECT(I1121),test))</f>
        <v>0.17</v>
      </c>
      <c r="F1121" s="1" t="str">
        <f t="shared" si="70"/>
        <v>50</v>
      </c>
      <c r="G1121" s="1" t="str">
        <f t="shared" si="71"/>
        <v/>
      </c>
      <c r="I1121" s="1" t="str">
        <f t="shared" si="69"/>
        <v>威尔新数值1.06.xlsm!otherDamage</v>
      </c>
    </row>
    <row r="1122" spans="1:9" x14ac:dyDescent="0.15">
      <c r="A1122" s="1">
        <v>1121</v>
      </c>
      <c r="B1122" s="1">
        <v>102090500</v>
      </c>
      <c r="C1122" s="1">
        <f t="shared" si="68"/>
        <v>104</v>
      </c>
      <c r="D1122" s="5">
        <f ca="1">IF(getQuality(B1122)&lt;4,getOtherMin(B1122,C1122,INDIRECT(J$2),INDIRECT(I1122),test),getMin(B1122,C1122,INDIRECT(J$2),INDIRECT(I1122),test))</f>
        <v>0.14000000000000001</v>
      </c>
      <c r="E1122" s="5">
        <f ca="1">IF(getQuality(B1122)&lt;4,getOtherMax(B1122,C1122,INDIRECT(J$2),INDIRECT(I1122),test),getMax(B1122,C1122,INDIRECT(J$2),INDIRECT(I1122),test))</f>
        <v>0.28000000000000003</v>
      </c>
      <c r="F1122" s="1" t="str">
        <f t="shared" si="70"/>
        <v>50</v>
      </c>
      <c r="G1122" s="1" t="str">
        <f t="shared" si="71"/>
        <v/>
      </c>
      <c r="I1122" s="1" t="str">
        <f t="shared" si="69"/>
        <v>威尔新数值1.06.xlsm!monsterDamage</v>
      </c>
    </row>
    <row r="1123" spans="1:9" x14ac:dyDescent="0.15">
      <c r="A1123" s="1">
        <v>1122</v>
      </c>
      <c r="B1123" s="1">
        <v>102090500</v>
      </c>
      <c r="C1123" s="1">
        <f t="shared" si="68"/>
        <v>105</v>
      </c>
      <c r="D1123" s="5">
        <f ca="1">IF(getQuality(B1123)&lt;4,getOtherMin(B1123,C1123,INDIRECT(J$2),INDIRECT(I1123),test),getMin(B1123,C1123,INDIRECT(J$2),INDIRECT(I1123),test))</f>
        <v>0.14000000000000001</v>
      </c>
      <c r="E1123" s="5">
        <f ca="1">IF(getQuality(B1123)&lt;4,getOtherMax(B1123,C1123,INDIRECT(J$2),INDIRECT(I1123),test),getMax(B1123,C1123,INDIRECT(J$2),INDIRECT(I1123),test))</f>
        <v>0.28000000000000003</v>
      </c>
      <c r="F1123" s="1" t="str">
        <f t="shared" si="70"/>
        <v>50</v>
      </c>
      <c r="G1123" s="1" t="str">
        <f t="shared" si="71"/>
        <v/>
      </c>
      <c r="I1123" s="1" t="str">
        <f t="shared" si="69"/>
        <v>威尔新数值1.06.xlsm!monsterDamage</v>
      </c>
    </row>
    <row r="1124" spans="1:9" x14ac:dyDescent="0.15">
      <c r="A1124" s="1">
        <v>1123</v>
      </c>
      <c r="B1124" s="1">
        <v>102090500</v>
      </c>
      <c r="C1124" s="1">
        <f t="shared" ref="C1124:C1187" si="72">C1105</f>
        <v>106</v>
      </c>
      <c r="D1124" s="5">
        <f ca="1">IF(getQuality(B1124)&lt;4,getOtherMin(B1124,C1124,INDIRECT(J$2),INDIRECT(I1124),test),getMin(B1124,C1124,INDIRECT(J$2),INDIRECT(I1124),test))</f>
        <v>0.14000000000000001</v>
      </c>
      <c r="E1124" s="5">
        <f ca="1">IF(getQuality(B1124)&lt;4,getOtherMax(B1124,C1124,INDIRECT(J$2),INDIRECT(I1124),test),getMax(B1124,C1124,INDIRECT(J$2),INDIRECT(I1124),test))</f>
        <v>0.28000000000000003</v>
      </c>
      <c r="F1124" s="1" t="str">
        <f t="shared" si="70"/>
        <v>50</v>
      </c>
      <c r="G1124" s="1" t="str">
        <f t="shared" si="71"/>
        <v/>
      </c>
      <c r="I1124" s="1" t="str">
        <f t="shared" si="69"/>
        <v>威尔新数值1.06.xlsm!monsterDamage</v>
      </c>
    </row>
    <row r="1125" spans="1:9" x14ac:dyDescent="0.15">
      <c r="A1125" s="1">
        <v>1124</v>
      </c>
      <c r="B1125" s="1">
        <v>102090500</v>
      </c>
      <c r="C1125" s="1">
        <f t="shared" si="72"/>
        <v>107</v>
      </c>
      <c r="D1125" s="5">
        <f ca="1">IF(getQuality(B1125)&lt;4,getOtherMin(B1125,C1125,INDIRECT(J$2),INDIRECT(I1125),test),getMin(B1125,C1125,INDIRECT(J$2),INDIRECT(I1125),test))</f>
        <v>0.14000000000000001</v>
      </c>
      <c r="E1125" s="5">
        <f ca="1">IF(getQuality(B1125)&lt;4,getOtherMax(B1125,C1125,INDIRECT(J$2),INDIRECT(I1125),test),getMax(B1125,C1125,INDIRECT(J$2),INDIRECT(I1125),test))</f>
        <v>0.28000000000000003</v>
      </c>
      <c r="F1125" s="1" t="str">
        <f t="shared" si="70"/>
        <v>50</v>
      </c>
      <c r="G1125" s="1" t="str">
        <f t="shared" si="71"/>
        <v/>
      </c>
      <c r="I1125" s="1" t="str">
        <f t="shared" si="69"/>
        <v>威尔新数值1.06.xlsm!monsterDamage</v>
      </c>
    </row>
    <row r="1126" spans="1:9" x14ac:dyDescent="0.15">
      <c r="A1126" s="1">
        <v>1125</v>
      </c>
      <c r="B1126" s="1">
        <v>102090500</v>
      </c>
      <c r="C1126" s="1">
        <f t="shared" si="72"/>
        <v>108</v>
      </c>
      <c r="D1126" s="5">
        <f ca="1">IF(getQuality(B1126)&lt;4,getOtherMin(B1126,C1126,INDIRECT(J$2),INDIRECT(I1126),test),getMin(B1126,C1126,INDIRECT(J$2),INDIRECT(I1126),test))</f>
        <v>0.14000000000000001</v>
      </c>
      <c r="E1126" s="5">
        <f ca="1">IF(getQuality(B1126)&lt;4,getOtherMax(B1126,C1126,INDIRECT(J$2),INDIRECT(I1126),test),getMax(B1126,C1126,INDIRECT(J$2),INDIRECT(I1126),test))</f>
        <v>0.28000000000000003</v>
      </c>
      <c r="F1126" s="1" t="str">
        <f t="shared" si="70"/>
        <v>50</v>
      </c>
      <c r="G1126" s="1" t="str">
        <f t="shared" si="71"/>
        <v/>
      </c>
      <c r="I1126" s="1" t="str">
        <f t="shared" si="69"/>
        <v>威尔新数值1.06.xlsm!monsterDamage</v>
      </c>
    </row>
    <row r="1127" spans="1:9" x14ac:dyDescent="0.15">
      <c r="A1127" s="1">
        <v>1126</v>
      </c>
      <c r="B1127" s="1">
        <v>102010600</v>
      </c>
      <c r="C1127" s="1">
        <f t="shared" si="72"/>
        <v>3</v>
      </c>
      <c r="D1127" s="5">
        <f ca="1">IF(getQuality(B1127)&lt;4,getOtherMin(B1127,C1127,INDIRECT(J$2),INDIRECT(I1127),test),getMin(B1127,C1127,INDIRECT(J$2),INDIRECT(I1127),test))</f>
        <v>1</v>
      </c>
      <c r="E1127" s="5">
        <f ca="1">IF(getQuality(B1127)&lt;4,getOtherMax(B1127,C1127,INDIRECT(J$2),INDIRECT(I1127),test),getMax(B1127,C1127,INDIRECT(J$2),INDIRECT(I1127),test))</f>
        <v>21.008641265250315</v>
      </c>
      <c r="F1127" s="1" t="str">
        <f t="shared" si="70"/>
        <v>50</v>
      </c>
      <c r="G1127" s="1" t="str">
        <f t="shared" si="71"/>
        <v/>
      </c>
      <c r="I1127" s="1" t="str">
        <f t="shared" si="69"/>
        <v>威尔新数值1.06.xlsm!suitPower</v>
      </c>
    </row>
    <row r="1128" spans="1:9" x14ac:dyDescent="0.15">
      <c r="A1128" s="1">
        <v>1127</v>
      </c>
      <c r="B1128" s="1">
        <v>102010600</v>
      </c>
      <c r="C1128" s="1">
        <f t="shared" si="72"/>
        <v>5</v>
      </c>
      <c r="D1128" s="5">
        <f ca="1">IF(getQuality(B1128)&lt;4,getOtherMin(B1128,C1128,INDIRECT(J$2),INDIRECT(I1128),test),getMin(B1128,C1128,INDIRECT(J$2),INDIRECT(I1128),test))</f>
        <v>1</v>
      </c>
      <c r="E1128" s="5">
        <f ca="1">IF(getQuality(B1128)&lt;4,getOtherMax(B1128,C1128,INDIRECT(J$2),INDIRECT(I1128),test),getMax(B1128,C1128,INDIRECT(J$2),INDIRECT(I1128),test))</f>
        <v>21.008641265250315</v>
      </c>
      <c r="F1128" s="1" t="str">
        <f t="shared" si="70"/>
        <v>50</v>
      </c>
      <c r="G1128" s="1" t="str">
        <f t="shared" si="71"/>
        <v>1</v>
      </c>
      <c r="I1128" s="1" t="str">
        <f t="shared" si="69"/>
        <v>威尔新数值1.06.xlsm!suitPower</v>
      </c>
    </row>
    <row r="1129" spans="1:9" x14ac:dyDescent="0.15">
      <c r="A1129" s="1">
        <v>1128</v>
      </c>
      <c r="B1129" s="1">
        <v>102010600</v>
      </c>
      <c r="C1129" s="1">
        <f t="shared" si="72"/>
        <v>7</v>
      </c>
      <c r="D1129" s="5">
        <f ca="1">IF(getQuality(B1129)&lt;4,getOtherMin(B1129,C1129,INDIRECT(J$2),INDIRECT(I1129),test),getMin(B1129,C1129,INDIRECT(J$2),INDIRECT(I1129),test))</f>
        <v>1</v>
      </c>
      <c r="E1129" s="5">
        <f ca="1">IF(getQuality(B1129)&lt;4,getOtherMax(B1129,C1129,INDIRECT(J$2),INDIRECT(I1129),test),getMax(B1129,C1129,INDIRECT(J$2),INDIRECT(I1129),test))</f>
        <v>6.481481481481465</v>
      </c>
      <c r="F1129" s="1" t="str">
        <f t="shared" si="70"/>
        <v>50</v>
      </c>
      <c r="G1129" s="1" t="str">
        <f t="shared" si="71"/>
        <v/>
      </c>
      <c r="I1129" s="1" t="str">
        <f t="shared" si="69"/>
        <v>威尔新数值1.06.xlsm!suitPower</v>
      </c>
    </row>
    <row r="1130" spans="1:9" x14ac:dyDescent="0.15">
      <c r="A1130" s="1">
        <v>1129</v>
      </c>
      <c r="B1130" s="1">
        <v>102010600</v>
      </c>
      <c r="C1130" s="1">
        <f t="shared" si="72"/>
        <v>8</v>
      </c>
      <c r="D1130" s="5">
        <f ca="1">IF(getQuality(B1130)&lt;4,getOtherMin(B1130,C1130,INDIRECT(J$2),INDIRECT(I1130),test),getMin(B1130,C1130,INDIRECT(J$2),INDIRECT(I1130),test))</f>
        <v>1</v>
      </c>
      <c r="E1130" s="5">
        <f ca="1">IF(getQuality(B1130)&lt;4,getOtherMax(B1130,C1130,INDIRECT(J$2),INDIRECT(I1130),test),getMax(B1130,C1130,INDIRECT(J$2),INDIRECT(I1130),test))</f>
        <v>14.583333333333334</v>
      </c>
      <c r="F1130" s="1" t="str">
        <f t="shared" si="70"/>
        <v>50</v>
      </c>
      <c r="G1130" s="1" t="str">
        <f t="shared" si="71"/>
        <v/>
      </c>
      <c r="I1130" s="1" t="str">
        <f t="shared" si="69"/>
        <v>威尔新数值1.06.xlsm!suitPower</v>
      </c>
    </row>
    <row r="1131" spans="1:9" x14ac:dyDescent="0.15">
      <c r="A1131" s="1">
        <v>1130</v>
      </c>
      <c r="B1131" s="1">
        <v>102010600</v>
      </c>
      <c r="C1131" s="1">
        <f t="shared" si="72"/>
        <v>9</v>
      </c>
      <c r="D1131" s="5">
        <f ca="1">IF(getQuality(B1131)&lt;4,getOtherMin(B1131,C1131,INDIRECT(J$2),INDIRECT(I1131),test),getMin(B1131,C1131,INDIRECT(J$2),INDIRECT(I1131),test))</f>
        <v>1</v>
      </c>
      <c r="E1131" s="5">
        <f ca="1">IF(getQuality(B1131)&lt;4,getOtherMax(B1131,C1131,INDIRECT(J$2),INDIRECT(I1131),test),getMax(B1131,C1131,INDIRECT(J$2),INDIRECT(I1131),test))</f>
        <v>21.008641265250315</v>
      </c>
      <c r="F1131" s="1" t="str">
        <f t="shared" si="70"/>
        <v>50</v>
      </c>
      <c r="G1131" s="1" t="str">
        <f t="shared" si="71"/>
        <v/>
      </c>
      <c r="I1131" s="1" t="str">
        <f t="shared" si="69"/>
        <v>威尔新数值1.06.xlsm!suitPower</v>
      </c>
    </row>
    <row r="1132" spans="1:9" x14ac:dyDescent="0.15">
      <c r="A1132" s="1">
        <v>1131</v>
      </c>
      <c r="B1132" s="1">
        <v>102010600</v>
      </c>
      <c r="C1132" s="1">
        <f t="shared" si="72"/>
        <v>10</v>
      </c>
      <c r="D1132" s="5">
        <f ca="1">IF(getQuality(B1132)&lt;4,getOtherMin(B1132,C1132,INDIRECT(J$2),INDIRECT(I1132),test),getMin(B1132,C1132,INDIRECT(J$2),INDIRECT(I1132),test))</f>
        <v>1</v>
      </c>
      <c r="E1132" s="5">
        <f ca="1">IF(getQuality(B1132)&lt;4,getOtherMax(B1132,C1132,INDIRECT(J$2),INDIRECT(I1132),test),getMax(B1132,C1132,INDIRECT(J$2),INDIRECT(I1132),test))</f>
        <v>21.008641265250315</v>
      </c>
      <c r="F1132" s="1" t="str">
        <f t="shared" si="70"/>
        <v>50</v>
      </c>
      <c r="G1132" s="1" t="str">
        <f t="shared" si="71"/>
        <v/>
      </c>
      <c r="I1132" s="1" t="str">
        <f t="shared" si="69"/>
        <v>威尔新数值1.06.xlsm!suitPower</v>
      </c>
    </row>
    <row r="1133" spans="1:9" x14ac:dyDescent="0.15">
      <c r="A1133" s="1">
        <v>1132</v>
      </c>
      <c r="B1133" s="1">
        <v>102010600</v>
      </c>
      <c r="C1133" s="1">
        <f t="shared" si="72"/>
        <v>11</v>
      </c>
      <c r="D1133" s="5">
        <f ca="1">IF(getQuality(B1133)&lt;4,getOtherMin(B1133,C1133,INDIRECT(J$2),INDIRECT(I1133),test),getMin(B1133,C1133,INDIRECT(J$2),INDIRECT(I1133),test))</f>
        <v>1</v>
      </c>
      <c r="E1133" s="5">
        <f ca="1">IF(getQuality(B1133)&lt;4,getOtherMax(B1133,C1133,INDIRECT(J$2),INDIRECT(I1133),test),getMax(B1133,C1133,INDIRECT(J$2),INDIRECT(I1133),test))</f>
        <v>21.008641265250315</v>
      </c>
      <c r="F1133" s="1" t="str">
        <f t="shared" si="70"/>
        <v>50</v>
      </c>
      <c r="G1133" s="1" t="str">
        <f t="shared" si="71"/>
        <v/>
      </c>
      <c r="I1133" s="1" t="str">
        <f t="shared" si="69"/>
        <v>威尔新数值1.06.xlsm!suitPower</v>
      </c>
    </row>
    <row r="1134" spans="1:9" x14ac:dyDescent="0.15">
      <c r="A1134" s="1">
        <v>1133</v>
      </c>
      <c r="B1134" s="1">
        <v>102010600</v>
      </c>
      <c r="C1134" s="1">
        <f t="shared" si="72"/>
        <v>12</v>
      </c>
      <c r="D1134" s="5">
        <f ca="1">IF(getQuality(B1134)&lt;4,getOtherMin(B1134,C1134,INDIRECT(J$2),INDIRECT(I1134),test),getMin(B1134,C1134,INDIRECT(J$2),INDIRECT(I1134),test))</f>
        <v>1</v>
      </c>
      <c r="E1134" s="5">
        <f ca="1">IF(getQuality(B1134)&lt;4,getOtherMax(B1134,C1134,INDIRECT(J$2),INDIRECT(I1134),test),getMax(B1134,C1134,INDIRECT(J$2),INDIRECT(I1134),test))</f>
        <v>21.008641265250315</v>
      </c>
      <c r="F1134" s="1" t="str">
        <f t="shared" si="70"/>
        <v>50</v>
      </c>
      <c r="G1134" s="1" t="str">
        <f t="shared" si="71"/>
        <v/>
      </c>
      <c r="I1134" s="1" t="str">
        <f t="shared" si="69"/>
        <v>威尔新数值1.06.xlsm!suitPower</v>
      </c>
    </row>
    <row r="1135" spans="1:9" x14ac:dyDescent="0.15">
      <c r="A1135" s="1">
        <v>1134</v>
      </c>
      <c r="B1135" s="1">
        <v>102010600</v>
      </c>
      <c r="C1135" s="1">
        <f t="shared" si="72"/>
        <v>13</v>
      </c>
      <c r="D1135" s="5">
        <f ca="1">IF(getQuality(B1135)&lt;4,getOtherMin(B1135,C1135,INDIRECT(J$2),INDIRECT(I1135),test),getMin(B1135,C1135,INDIRECT(J$2),INDIRECT(I1135),test))</f>
        <v>1</v>
      </c>
      <c r="E1135" s="5">
        <f ca="1">IF(getQuality(B1135)&lt;4,getOtherMax(B1135,C1135,INDIRECT(J$2),INDIRECT(I1135),test),getMax(B1135,C1135,INDIRECT(J$2),INDIRECT(I1135),test))</f>
        <v>21.008641265250315</v>
      </c>
      <c r="F1135" s="1" t="str">
        <f t="shared" si="70"/>
        <v>50</v>
      </c>
      <c r="G1135" s="1" t="str">
        <f t="shared" si="71"/>
        <v/>
      </c>
      <c r="I1135" s="1" t="str">
        <f t="shared" si="69"/>
        <v>威尔新数值1.06.xlsm!suitPower</v>
      </c>
    </row>
    <row r="1136" spans="1:9" x14ac:dyDescent="0.15">
      <c r="A1136" s="1">
        <v>1135</v>
      </c>
      <c r="B1136" s="1">
        <v>102010600</v>
      </c>
      <c r="C1136" s="1">
        <f t="shared" si="72"/>
        <v>14</v>
      </c>
      <c r="D1136" s="5">
        <f ca="1">IF(getQuality(B1136)&lt;4,getOtherMin(B1136,C1136,INDIRECT(J$2),INDIRECT(I1136),test),getMin(B1136,C1136,INDIRECT(J$2),INDIRECT(I1136),test))</f>
        <v>1</v>
      </c>
      <c r="E1136" s="5">
        <f ca="1">IF(getQuality(B1136)&lt;4,getOtherMax(B1136,C1136,INDIRECT(J$2),INDIRECT(I1136),test),getMax(B1136,C1136,INDIRECT(J$2),INDIRECT(I1136),test))</f>
        <v>21.008641265250315</v>
      </c>
      <c r="F1136" s="1" t="str">
        <f t="shared" si="70"/>
        <v>50</v>
      </c>
      <c r="G1136" s="1" t="str">
        <f t="shared" si="71"/>
        <v/>
      </c>
      <c r="I1136" s="1" t="str">
        <f t="shared" si="69"/>
        <v>威尔新数值1.06.xlsm!suitPower</v>
      </c>
    </row>
    <row r="1137" spans="1:9" x14ac:dyDescent="0.15">
      <c r="A1137" s="1">
        <v>1136</v>
      </c>
      <c r="B1137" s="1">
        <v>102010600</v>
      </c>
      <c r="C1137" s="1">
        <f t="shared" si="72"/>
        <v>15</v>
      </c>
      <c r="D1137" s="5">
        <f ca="1">IF(getQuality(B1137)&lt;4,getOtherMin(B1137,C1137,INDIRECT(J$2),INDIRECT(I1137),test),getMin(B1137,C1137,INDIRECT(J$2),INDIRECT(I1137),test))</f>
        <v>1</v>
      </c>
      <c r="E1137" s="5">
        <f ca="1">IF(getQuality(B1137)&lt;4,getOtherMax(B1137,C1137,INDIRECT(J$2),INDIRECT(I1137),test),getMax(B1137,C1137,INDIRECT(J$2),INDIRECT(I1137),test))</f>
        <v>21.008641265250315</v>
      </c>
      <c r="F1137" s="1" t="str">
        <f t="shared" si="70"/>
        <v>50</v>
      </c>
      <c r="G1137" s="1" t="str">
        <f t="shared" si="71"/>
        <v/>
      </c>
      <c r="I1137" s="1" t="str">
        <f t="shared" si="69"/>
        <v>威尔新数值1.06.xlsm!suitPower</v>
      </c>
    </row>
    <row r="1138" spans="1:9" x14ac:dyDescent="0.15">
      <c r="A1138" s="1">
        <v>1137</v>
      </c>
      <c r="B1138" s="1">
        <v>102010600</v>
      </c>
      <c r="C1138" s="1">
        <f t="shared" si="72"/>
        <v>101</v>
      </c>
      <c r="D1138" s="5">
        <f ca="1">IF(getQuality(B1138)&lt;4,getOtherMin(B1138,C1138,INDIRECT(J$2),INDIRECT(I1138),test),getMin(B1138,C1138,INDIRECT(J$2),INDIRECT(I1138),test))</f>
        <v>0.06</v>
      </c>
      <c r="E1138" s="5">
        <f ca="1">IF(getQuality(B1138)&lt;4,getOtherMax(B1138,C1138,INDIRECT(J$2),INDIRECT(I1138),test),getMax(B1138,C1138,INDIRECT(J$2),INDIRECT(I1138),test))</f>
        <v>0.09</v>
      </c>
      <c r="F1138" s="1" t="str">
        <f t="shared" si="70"/>
        <v>50</v>
      </c>
      <c r="G1138" s="1" t="str">
        <f t="shared" si="71"/>
        <v/>
      </c>
      <c r="I1138" s="1" t="str">
        <f t="shared" si="69"/>
        <v>威尔新数值1.06.xlsm!circlePer</v>
      </c>
    </row>
    <row r="1139" spans="1:9" x14ac:dyDescent="0.15">
      <c r="A1139" s="1">
        <v>1138</v>
      </c>
      <c r="B1139" s="1">
        <v>102010600</v>
      </c>
      <c r="C1139" s="1">
        <f t="shared" si="72"/>
        <v>102</v>
      </c>
      <c r="D1139" s="5">
        <f ca="1">IF(getQuality(B1139)&lt;4,getOtherMin(B1139,C1139,INDIRECT(J$2),INDIRECT(I1139),test),getMin(B1139,C1139,INDIRECT(J$2),INDIRECT(I1139),test))</f>
        <v>0.4</v>
      </c>
      <c r="E1139" s="5">
        <f ca="1">IF(getQuality(B1139)&lt;4,getOtherMax(B1139,C1139,INDIRECT(J$2),INDIRECT(I1139),test),getMax(B1139,C1139,INDIRECT(J$2),INDIRECT(I1139),test))</f>
        <v>0.8</v>
      </c>
      <c r="F1139" s="1" t="str">
        <f t="shared" si="70"/>
        <v>50</v>
      </c>
      <c r="G1139" s="1" t="str">
        <f t="shared" si="71"/>
        <v/>
      </c>
      <c r="I1139" s="1" t="str">
        <f t="shared" si="69"/>
        <v>威尔新数值1.06.xlsm!circleValue</v>
      </c>
    </row>
    <row r="1140" spans="1:9" x14ac:dyDescent="0.15">
      <c r="A1140" s="1">
        <v>1139</v>
      </c>
      <c r="B1140" s="1">
        <v>102010600</v>
      </c>
      <c r="C1140" s="1">
        <f t="shared" si="72"/>
        <v>103</v>
      </c>
      <c r="D1140" s="5">
        <f ca="1">IF(getQuality(B1140)&lt;4,getOtherMin(B1140,C1140,INDIRECT(J$2),INDIRECT(I1140),test),getMin(B1140,C1140,INDIRECT(J$2),INDIRECT(I1140),test))</f>
        <v>0.06</v>
      </c>
      <c r="E1140" s="5">
        <f ca="1">IF(getQuality(B1140)&lt;4,getOtherMax(B1140,C1140,INDIRECT(J$2),INDIRECT(I1140),test),getMax(B1140,C1140,INDIRECT(J$2),INDIRECT(I1140),test))</f>
        <v>0.09</v>
      </c>
      <c r="F1140" s="1" t="str">
        <f t="shared" si="70"/>
        <v>50</v>
      </c>
      <c r="G1140" s="1" t="str">
        <f t="shared" si="71"/>
        <v/>
      </c>
      <c r="I1140" s="1" t="str">
        <f t="shared" si="69"/>
        <v>威尔新数值1.06.xlsm!otherDamage</v>
      </c>
    </row>
    <row r="1141" spans="1:9" x14ac:dyDescent="0.15">
      <c r="A1141" s="1">
        <v>1140</v>
      </c>
      <c r="B1141" s="1">
        <v>102010600</v>
      </c>
      <c r="C1141" s="1">
        <f t="shared" si="72"/>
        <v>104</v>
      </c>
      <c r="D1141" s="5">
        <f ca="1">IF(getQuality(B1141)&lt;4,getOtherMin(B1141,C1141,INDIRECT(J$2),INDIRECT(I1141),test),getMin(B1141,C1141,INDIRECT(J$2),INDIRECT(I1141),test))</f>
        <v>0.06</v>
      </c>
      <c r="E1141" s="5">
        <f ca="1">IF(getQuality(B1141)&lt;4,getOtherMax(B1141,C1141,INDIRECT(J$2),INDIRECT(I1141),test),getMax(B1141,C1141,INDIRECT(J$2),INDIRECT(I1141),test))</f>
        <v>0.12</v>
      </c>
      <c r="F1141" s="1" t="str">
        <f t="shared" si="70"/>
        <v>50</v>
      </c>
      <c r="G1141" s="1" t="str">
        <f t="shared" si="71"/>
        <v/>
      </c>
      <c r="I1141" s="1" t="str">
        <f t="shared" si="69"/>
        <v>威尔新数值1.06.xlsm!monsterDamage</v>
      </c>
    </row>
    <row r="1142" spans="1:9" x14ac:dyDescent="0.15">
      <c r="A1142" s="1">
        <v>1141</v>
      </c>
      <c r="B1142" s="1">
        <v>102010600</v>
      </c>
      <c r="C1142" s="1">
        <f t="shared" si="72"/>
        <v>105</v>
      </c>
      <c r="D1142" s="5">
        <f ca="1">IF(getQuality(B1142)&lt;4,getOtherMin(B1142,C1142,INDIRECT(J$2),INDIRECT(I1142),test),getMin(B1142,C1142,INDIRECT(J$2),INDIRECT(I1142),test))</f>
        <v>0.06</v>
      </c>
      <c r="E1142" s="5">
        <f ca="1">IF(getQuality(B1142)&lt;4,getOtherMax(B1142,C1142,INDIRECT(J$2),INDIRECT(I1142),test),getMax(B1142,C1142,INDIRECT(J$2),INDIRECT(I1142),test))</f>
        <v>0.12</v>
      </c>
      <c r="F1142" s="1" t="str">
        <f t="shared" si="70"/>
        <v>50</v>
      </c>
      <c r="G1142" s="1" t="str">
        <f t="shared" si="71"/>
        <v/>
      </c>
      <c r="I1142" s="1" t="str">
        <f t="shared" si="69"/>
        <v>威尔新数值1.06.xlsm!monsterDamage</v>
      </c>
    </row>
    <row r="1143" spans="1:9" x14ac:dyDescent="0.15">
      <c r="A1143" s="1">
        <v>1142</v>
      </c>
      <c r="B1143" s="1">
        <v>102010600</v>
      </c>
      <c r="C1143" s="1">
        <f t="shared" si="72"/>
        <v>106</v>
      </c>
      <c r="D1143" s="5">
        <f ca="1">IF(getQuality(B1143)&lt;4,getOtherMin(B1143,C1143,INDIRECT(J$2),INDIRECT(I1143),test),getMin(B1143,C1143,INDIRECT(J$2),INDIRECT(I1143),test))</f>
        <v>0.06</v>
      </c>
      <c r="E1143" s="5">
        <f ca="1">IF(getQuality(B1143)&lt;4,getOtherMax(B1143,C1143,INDIRECT(J$2),INDIRECT(I1143),test),getMax(B1143,C1143,INDIRECT(J$2),INDIRECT(I1143),test))</f>
        <v>0.12</v>
      </c>
      <c r="F1143" s="1" t="str">
        <f t="shared" si="70"/>
        <v>50</v>
      </c>
      <c r="G1143" s="1" t="str">
        <f t="shared" si="71"/>
        <v/>
      </c>
      <c r="I1143" s="1" t="str">
        <f t="shared" si="69"/>
        <v>威尔新数值1.06.xlsm!monsterDamage</v>
      </c>
    </row>
    <row r="1144" spans="1:9" x14ac:dyDescent="0.15">
      <c r="A1144" s="1">
        <v>1143</v>
      </c>
      <c r="B1144" s="1">
        <v>102010600</v>
      </c>
      <c r="C1144" s="1">
        <f t="shared" si="72"/>
        <v>107</v>
      </c>
      <c r="D1144" s="5">
        <f ca="1">IF(getQuality(B1144)&lt;4,getOtherMin(B1144,C1144,INDIRECT(J$2),INDIRECT(I1144),test),getMin(B1144,C1144,INDIRECT(J$2),INDIRECT(I1144),test))</f>
        <v>0.06</v>
      </c>
      <c r="E1144" s="5">
        <f ca="1">IF(getQuality(B1144)&lt;4,getOtherMax(B1144,C1144,INDIRECT(J$2),INDIRECT(I1144),test),getMax(B1144,C1144,INDIRECT(J$2),INDIRECT(I1144),test))</f>
        <v>0.12</v>
      </c>
      <c r="F1144" s="1" t="str">
        <f t="shared" si="70"/>
        <v>50</v>
      </c>
      <c r="G1144" s="1" t="str">
        <f t="shared" si="71"/>
        <v/>
      </c>
      <c r="I1144" s="1" t="str">
        <f t="shared" si="69"/>
        <v>威尔新数值1.06.xlsm!monsterDamage</v>
      </c>
    </row>
    <row r="1145" spans="1:9" x14ac:dyDescent="0.15">
      <c r="A1145" s="1">
        <v>1144</v>
      </c>
      <c r="B1145" s="1">
        <v>102010600</v>
      </c>
      <c r="C1145" s="1">
        <f t="shared" si="72"/>
        <v>108</v>
      </c>
      <c r="D1145" s="5">
        <f ca="1">IF(getQuality(B1145)&lt;4,getOtherMin(B1145,C1145,INDIRECT(J$2),INDIRECT(I1145),test),getMin(B1145,C1145,INDIRECT(J$2),INDIRECT(I1145),test))</f>
        <v>0.06</v>
      </c>
      <c r="E1145" s="5">
        <f ca="1">IF(getQuality(B1145)&lt;4,getOtherMax(B1145,C1145,INDIRECT(J$2),INDIRECT(I1145),test),getMax(B1145,C1145,INDIRECT(J$2),INDIRECT(I1145),test))</f>
        <v>0.12</v>
      </c>
      <c r="F1145" s="1" t="str">
        <f t="shared" si="70"/>
        <v>50</v>
      </c>
      <c r="G1145" s="1" t="str">
        <f t="shared" si="71"/>
        <v/>
      </c>
      <c r="I1145" s="1" t="str">
        <f t="shared" si="69"/>
        <v>威尔新数值1.06.xlsm!monsterDamage</v>
      </c>
    </row>
    <row r="1146" spans="1:9" x14ac:dyDescent="0.15">
      <c r="A1146" s="1">
        <v>1145</v>
      </c>
      <c r="B1146" s="1">
        <v>102020600</v>
      </c>
      <c r="C1146" s="1">
        <f t="shared" si="72"/>
        <v>3</v>
      </c>
      <c r="D1146" s="5">
        <f ca="1">IF(getQuality(B1146)&lt;4,getOtherMin(B1146,C1146,INDIRECT(J$2),INDIRECT(I1146),test),getMin(B1146,C1146,INDIRECT(J$2),INDIRECT(I1146),test))</f>
        <v>22.008641265250315</v>
      </c>
      <c r="E1146" s="5">
        <f ca="1">IF(getQuality(B1146)&lt;4,getOtherMax(B1146,C1146,INDIRECT(J$2),INDIRECT(I1146),test),getMax(B1146,C1146,INDIRECT(J$2),INDIRECT(I1146),test))</f>
        <v>46.219010783550694</v>
      </c>
      <c r="F1146" s="1" t="str">
        <f t="shared" si="70"/>
        <v>50</v>
      </c>
      <c r="G1146" s="1" t="str">
        <f t="shared" si="71"/>
        <v/>
      </c>
      <c r="I1146" s="1" t="str">
        <f t="shared" si="69"/>
        <v>威尔新数值1.06.xlsm!suitPower</v>
      </c>
    </row>
    <row r="1147" spans="1:9" x14ac:dyDescent="0.15">
      <c r="A1147" s="1">
        <v>1146</v>
      </c>
      <c r="B1147" s="1">
        <v>102020600</v>
      </c>
      <c r="C1147" s="1">
        <f t="shared" si="72"/>
        <v>5</v>
      </c>
      <c r="D1147" s="5">
        <f ca="1">IF(getQuality(B1147)&lt;4,getOtherMin(B1147,C1147,INDIRECT(J$2),INDIRECT(I1147),test),getMin(B1147,C1147,INDIRECT(J$2),INDIRECT(I1147),test))</f>
        <v>22.008641265250315</v>
      </c>
      <c r="E1147" s="5">
        <f ca="1">IF(getQuality(B1147)&lt;4,getOtherMax(B1147,C1147,INDIRECT(J$2),INDIRECT(I1147),test),getMax(B1147,C1147,INDIRECT(J$2),INDIRECT(I1147),test))</f>
        <v>46.219010783550694</v>
      </c>
      <c r="F1147" s="1" t="str">
        <f t="shared" si="70"/>
        <v>50</v>
      </c>
      <c r="G1147" s="1" t="str">
        <f t="shared" si="71"/>
        <v>1</v>
      </c>
      <c r="I1147" s="1" t="str">
        <f t="shared" si="69"/>
        <v>威尔新数值1.06.xlsm!suitPower</v>
      </c>
    </row>
    <row r="1148" spans="1:9" x14ac:dyDescent="0.15">
      <c r="A1148" s="1">
        <v>1147</v>
      </c>
      <c r="B1148" s="1">
        <v>102020600</v>
      </c>
      <c r="C1148" s="1">
        <f t="shared" si="72"/>
        <v>7</v>
      </c>
      <c r="D1148" s="5">
        <f ca="1">IF(getQuality(B1148)&lt;4,getOtherMin(B1148,C1148,INDIRECT(J$2),INDIRECT(I1148),test),getMin(B1148,C1148,INDIRECT(J$2),INDIRECT(I1148),test))</f>
        <v>7.481481481481465</v>
      </c>
      <c r="E1148" s="5">
        <f ca="1">IF(getQuality(B1148)&lt;4,getOtherMax(B1148,C1148,INDIRECT(J$2),INDIRECT(I1148),test),getMax(B1148,C1148,INDIRECT(J$2),INDIRECT(I1148),test))</f>
        <v>12.96296296296293</v>
      </c>
      <c r="F1148" s="1" t="str">
        <f t="shared" si="70"/>
        <v>50</v>
      </c>
      <c r="G1148" s="1" t="str">
        <f t="shared" si="71"/>
        <v/>
      </c>
      <c r="I1148" s="1" t="str">
        <f t="shared" si="69"/>
        <v>威尔新数值1.06.xlsm!suitPower</v>
      </c>
    </row>
    <row r="1149" spans="1:9" x14ac:dyDescent="0.15">
      <c r="A1149" s="1">
        <v>1148</v>
      </c>
      <c r="B1149" s="1">
        <v>102020600</v>
      </c>
      <c r="C1149" s="1">
        <f t="shared" si="72"/>
        <v>8</v>
      </c>
      <c r="D1149" s="5">
        <f ca="1">IF(getQuality(B1149)&lt;4,getOtherMin(B1149,C1149,INDIRECT(J$2),INDIRECT(I1149),test),getMin(B1149,C1149,INDIRECT(J$2),INDIRECT(I1149),test))</f>
        <v>15.583333333333334</v>
      </c>
      <c r="E1149" s="5">
        <f ca="1">IF(getQuality(B1149)&lt;4,getOtherMax(B1149,C1149,INDIRECT(J$2),INDIRECT(I1149),test),getMax(B1149,C1149,INDIRECT(J$2),INDIRECT(I1149),test))</f>
        <v>29.166666666666668</v>
      </c>
      <c r="F1149" s="1" t="str">
        <f t="shared" si="70"/>
        <v>50</v>
      </c>
      <c r="G1149" s="1" t="str">
        <f t="shared" si="71"/>
        <v/>
      </c>
      <c r="I1149" s="1" t="str">
        <f t="shared" si="69"/>
        <v>威尔新数值1.06.xlsm!suitPower</v>
      </c>
    </row>
    <row r="1150" spans="1:9" x14ac:dyDescent="0.15">
      <c r="A1150" s="1">
        <v>1149</v>
      </c>
      <c r="B1150" s="1">
        <v>102020600</v>
      </c>
      <c r="C1150" s="1">
        <f t="shared" si="72"/>
        <v>9</v>
      </c>
      <c r="D1150" s="5">
        <f ca="1">IF(getQuality(B1150)&lt;4,getOtherMin(B1150,C1150,INDIRECT(J$2),INDIRECT(I1150),test),getMin(B1150,C1150,INDIRECT(J$2),INDIRECT(I1150),test))</f>
        <v>22.008641265250315</v>
      </c>
      <c r="E1150" s="5">
        <f ca="1">IF(getQuality(B1150)&lt;4,getOtherMax(B1150,C1150,INDIRECT(J$2),INDIRECT(I1150),test),getMax(B1150,C1150,INDIRECT(J$2),INDIRECT(I1150),test))</f>
        <v>46.219010783550694</v>
      </c>
      <c r="F1150" s="1" t="str">
        <f t="shared" si="70"/>
        <v>50</v>
      </c>
      <c r="G1150" s="1" t="str">
        <f t="shared" si="71"/>
        <v/>
      </c>
      <c r="I1150" s="1" t="str">
        <f t="shared" si="69"/>
        <v>威尔新数值1.06.xlsm!suitPower</v>
      </c>
    </row>
    <row r="1151" spans="1:9" x14ac:dyDescent="0.15">
      <c r="A1151" s="1">
        <v>1150</v>
      </c>
      <c r="B1151" s="1">
        <v>102020600</v>
      </c>
      <c r="C1151" s="1">
        <f t="shared" si="72"/>
        <v>10</v>
      </c>
      <c r="D1151" s="5">
        <f ca="1">IF(getQuality(B1151)&lt;4,getOtherMin(B1151,C1151,INDIRECT(J$2),INDIRECT(I1151),test),getMin(B1151,C1151,INDIRECT(J$2),INDIRECT(I1151),test))</f>
        <v>22.008641265250315</v>
      </c>
      <c r="E1151" s="5">
        <f ca="1">IF(getQuality(B1151)&lt;4,getOtherMax(B1151,C1151,INDIRECT(J$2),INDIRECT(I1151),test),getMax(B1151,C1151,INDIRECT(J$2),INDIRECT(I1151),test))</f>
        <v>46.219010783550694</v>
      </c>
      <c r="F1151" s="1" t="str">
        <f t="shared" si="70"/>
        <v>50</v>
      </c>
      <c r="G1151" s="1" t="str">
        <f t="shared" si="71"/>
        <v/>
      </c>
      <c r="I1151" s="1" t="str">
        <f t="shared" si="69"/>
        <v>威尔新数值1.06.xlsm!suitPower</v>
      </c>
    </row>
    <row r="1152" spans="1:9" x14ac:dyDescent="0.15">
      <c r="A1152" s="1">
        <v>1151</v>
      </c>
      <c r="B1152" s="1">
        <v>102020600</v>
      </c>
      <c r="C1152" s="1">
        <f t="shared" si="72"/>
        <v>11</v>
      </c>
      <c r="D1152" s="5">
        <f ca="1">IF(getQuality(B1152)&lt;4,getOtherMin(B1152,C1152,INDIRECT(J$2),INDIRECT(I1152),test),getMin(B1152,C1152,INDIRECT(J$2),INDIRECT(I1152),test))</f>
        <v>22.008641265250315</v>
      </c>
      <c r="E1152" s="5">
        <f ca="1">IF(getQuality(B1152)&lt;4,getOtherMax(B1152,C1152,INDIRECT(J$2),INDIRECT(I1152),test),getMax(B1152,C1152,INDIRECT(J$2),INDIRECT(I1152),test))</f>
        <v>46.219010783550694</v>
      </c>
      <c r="F1152" s="1" t="str">
        <f t="shared" si="70"/>
        <v>50</v>
      </c>
      <c r="G1152" s="1" t="str">
        <f t="shared" si="71"/>
        <v/>
      </c>
      <c r="I1152" s="1" t="str">
        <f t="shared" si="69"/>
        <v>威尔新数值1.06.xlsm!suitPower</v>
      </c>
    </row>
    <row r="1153" spans="1:9" x14ac:dyDescent="0.15">
      <c r="A1153" s="1">
        <v>1152</v>
      </c>
      <c r="B1153" s="1">
        <v>102020600</v>
      </c>
      <c r="C1153" s="1">
        <f t="shared" si="72"/>
        <v>12</v>
      </c>
      <c r="D1153" s="5">
        <f ca="1">IF(getQuality(B1153)&lt;4,getOtherMin(B1153,C1153,INDIRECT(J$2),INDIRECT(I1153),test),getMin(B1153,C1153,INDIRECT(J$2),INDIRECT(I1153),test))</f>
        <v>22.008641265250315</v>
      </c>
      <c r="E1153" s="5">
        <f ca="1">IF(getQuality(B1153)&lt;4,getOtherMax(B1153,C1153,INDIRECT(J$2),INDIRECT(I1153),test),getMax(B1153,C1153,INDIRECT(J$2),INDIRECT(I1153),test))</f>
        <v>46.219010783550694</v>
      </c>
      <c r="F1153" s="1" t="str">
        <f t="shared" si="70"/>
        <v>50</v>
      </c>
      <c r="G1153" s="1" t="str">
        <f t="shared" si="71"/>
        <v/>
      </c>
      <c r="I1153" s="1" t="str">
        <f t="shared" si="69"/>
        <v>威尔新数值1.06.xlsm!suitPower</v>
      </c>
    </row>
    <row r="1154" spans="1:9" x14ac:dyDescent="0.15">
      <c r="A1154" s="1">
        <v>1153</v>
      </c>
      <c r="B1154" s="1">
        <v>102020600</v>
      </c>
      <c r="C1154" s="1">
        <f t="shared" si="72"/>
        <v>13</v>
      </c>
      <c r="D1154" s="5">
        <f ca="1">IF(getQuality(B1154)&lt;4,getOtherMin(B1154,C1154,INDIRECT(J$2),INDIRECT(I1154),test),getMin(B1154,C1154,INDIRECT(J$2),INDIRECT(I1154),test))</f>
        <v>22.008641265250315</v>
      </c>
      <c r="E1154" s="5">
        <f ca="1">IF(getQuality(B1154)&lt;4,getOtherMax(B1154,C1154,INDIRECT(J$2),INDIRECT(I1154),test),getMax(B1154,C1154,INDIRECT(J$2),INDIRECT(I1154),test))</f>
        <v>46.219010783550694</v>
      </c>
      <c r="F1154" s="1" t="str">
        <f t="shared" si="70"/>
        <v>50</v>
      </c>
      <c r="G1154" s="1" t="str">
        <f t="shared" si="71"/>
        <v/>
      </c>
      <c r="I1154" s="1" t="str">
        <f t="shared" ref="I1154:I1217" si="73">IF(C1154&lt;100,VLOOKUP(C1154,test,3,FALSE),VLOOKUP(C1154,test1,3,FALSE))</f>
        <v>威尔新数值1.06.xlsm!suitPower</v>
      </c>
    </row>
    <row r="1155" spans="1:9" x14ac:dyDescent="0.15">
      <c r="A1155" s="1">
        <v>1154</v>
      </c>
      <c r="B1155" s="1">
        <v>102020600</v>
      </c>
      <c r="C1155" s="1">
        <f t="shared" si="72"/>
        <v>14</v>
      </c>
      <c r="D1155" s="5">
        <f ca="1">IF(getQuality(B1155)&lt;4,getOtherMin(B1155,C1155,INDIRECT(J$2),INDIRECT(I1155),test),getMin(B1155,C1155,INDIRECT(J$2),INDIRECT(I1155),test))</f>
        <v>22.008641265250315</v>
      </c>
      <c r="E1155" s="5">
        <f ca="1">IF(getQuality(B1155)&lt;4,getOtherMax(B1155,C1155,INDIRECT(J$2),INDIRECT(I1155),test),getMax(B1155,C1155,INDIRECT(J$2),INDIRECT(I1155),test))</f>
        <v>46.219010783550694</v>
      </c>
      <c r="F1155" s="1" t="str">
        <f t="shared" ref="F1155:F1218" si="74">getper(B1155,C1155)</f>
        <v>50</v>
      </c>
      <c r="G1155" s="1" t="str">
        <f t="shared" ref="G1155:G1218" si="75">getMust(B1155,C1155)</f>
        <v/>
      </c>
      <c r="I1155" s="1" t="str">
        <f t="shared" si="73"/>
        <v>威尔新数值1.06.xlsm!suitPower</v>
      </c>
    </row>
    <row r="1156" spans="1:9" x14ac:dyDescent="0.15">
      <c r="A1156" s="1">
        <v>1155</v>
      </c>
      <c r="B1156" s="1">
        <v>102020600</v>
      </c>
      <c r="C1156" s="1">
        <f t="shared" si="72"/>
        <v>15</v>
      </c>
      <c r="D1156" s="5">
        <f ca="1">IF(getQuality(B1156)&lt;4,getOtherMin(B1156,C1156,INDIRECT(J$2),INDIRECT(I1156),test),getMin(B1156,C1156,INDIRECT(J$2),INDIRECT(I1156),test))</f>
        <v>22.008641265250315</v>
      </c>
      <c r="E1156" s="5">
        <f ca="1">IF(getQuality(B1156)&lt;4,getOtherMax(B1156,C1156,INDIRECT(J$2),INDIRECT(I1156),test),getMax(B1156,C1156,INDIRECT(J$2),INDIRECT(I1156),test))</f>
        <v>46.219010783550694</v>
      </c>
      <c r="F1156" s="1" t="str">
        <f t="shared" si="74"/>
        <v>50</v>
      </c>
      <c r="G1156" s="1" t="str">
        <f t="shared" si="75"/>
        <v/>
      </c>
      <c r="I1156" s="1" t="str">
        <f t="shared" si="73"/>
        <v>威尔新数值1.06.xlsm!suitPower</v>
      </c>
    </row>
    <row r="1157" spans="1:9" x14ac:dyDescent="0.15">
      <c r="A1157" s="1">
        <v>1156</v>
      </c>
      <c r="B1157" s="1">
        <v>102020600</v>
      </c>
      <c r="C1157" s="1">
        <f t="shared" si="72"/>
        <v>101</v>
      </c>
      <c r="D1157" s="5">
        <f ca="1">IF(getQuality(B1157)&lt;4,getOtherMin(B1157,C1157,INDIRECT(J$2),INDIRECT(I1157),test),getMin(B1157,C1157,INDIRECT(J$2),INDIRECT(I1157),test))</f>
        <v>7.0000000000000007E-2</v>
      </c>
      <c r="E1157" s="5">
        <f ca="1">IF(getQuality(B1157)&lt;4,getOtherMax(B1157,C1157,INDIRECT(J$2),INDIRECT(I1157),test),getMax(B1157,C1157,INDIRECT(J$2),INDIRECT(I1157),test))</f>
        <v>0.1</v>
      </c>
      <c r="F1157" s="1" t="str">
        <f t="shared" si="74"/>
        <v>50</v>
      </c>
      <c r="G1157" s="1" t="str">
        <f t="shared" si="75"/>
        <v/>
      </c>
      <c r="I1157" s="1" t="str">
        <f t="shared" si="73"/>
        <v>威尔新数值1.06.xlsm!circlePer</v>
      </c>
    </row>
    <row r="1158" spans="1:9" x14ac:dyDescent="0.15">
      <c r="A1158" s="1">
        <v>1157</v>
      </c>
      <c r="B1158" s="1">
        <v>102020600</v>
      </c>
      <c r="C1158" s="1">
        <f t="shared" si="72"/>
        <v>102</v>
      </c>
      <c r="D1158" s="5">
        <f ca="1">IF(getQuality(B1158)&lt;4,getOtherMin(B1158,C1158,INDIRECT(J$2),INDIRECT(I1158),test),getMin(B1158,C1158,INDIRECT(J$2),INDIRECT(I1158),test))</f>
        <v>0.5</v>
      </c>
      <c r="E1158" s="5">
        <f ca="1">IF(getQuality(B1158)&lt;4,getOtherMax(B1158,C1158,INDIRECT(J$2),INDIRECT(I1158),test),getMax(B1158,C1158,INDIRECT(J$2),INDIRECT(I1158),test))</f>
        <v>0.9</v>
      </c>
      <c r="F1158" s="1" t="str">
        <f t="shared" si="74"/>
        <v>50</v>
      </c>
      <c r="G1158" s="1" t="str">
        <f t="shared" si="75"/>
        <v/>
      </c>
      <c r="I1158" s="1" t="str">
        <f t="shared" si="73"/>
        <v>威尔新数值1.06.xlsm!circleValue</v>
      </c>
    </row>
    <row r="1159" spans="1:9" x14ac:dyDescent="0.15">
      <c r="A1159" s="1">
        <v>1158</v>
      </c>
      <c r="B1159" s="1">
        <v>102020600</v>
      </c>
      <c r="C1159" s="1">
        <f t="shared" si="72"/>
        <v>103</v>
      </c>
      <c r="D1159" s="5">
        <f ca="1">IF(getQuality(B1159)&lt;4,getOtherMin(B1159,C1159,INDIRECT(J$2),INDIRECT(I1159),test),getMin(B1159,C1159,INDIRECT(J$2),INDIRECT(I1159),test))</f>
        <v>7.0000000000000007E-2</v>
      </c>
      <c r="E1159" s="5">
        <f ca="1">IF(getQuality(B1159)&lt;4,getOtherMax(B1159,C1159,INDIRECT(J$2),INDIRECT(I1159),test),getMax(B1159,C1159,INDIRECT(J$2),INDIRECT(I1159),test))</f>
        <v>0.1</v>
      </c>
      <c r="F1159" s="1" t="str">
        <f t="shared" si="74"/>
        <v>50</v>
      </c>
      <c r="G1159" s="1" t="str">
        <f t="shared" si="75"/>
        <v/>
      </c>
      <c r="I1159" s="1" t="str">
        <f t="shared" si="73"/>
        <v>威尔新数值1.06.xlsm!otherDamage</v>
      </c>
    </row>
    <row r="1160" spans="1:9" x14ac:dyDescent="0.15">
      <c r="A1160" s="1">
        <v>1159</v>
      </c>
      <c r="B1160" s="1">
        <v>102020600</v>
      </c>
      <c r="C1160" s="1">
        <f t="shared" si="72"/>
        <v>104</v>
      </c>
      <c r="D1160" s="5">
        <f ca="1">IF(getQuality(B1160)&lt;4,getOtherMin(B1160,C1160,INDIRECT(J$2),INDIRECT(I1160),test),getMin(B1160,C1160,INDIRECT(J$2),INDIRECT(I1160),test))</f>
        <v>7.0000000000000007E-2</v>
      </c>
      <c r="E1160" s="5">
        <f ca="1">IF(getQuality(B1160)&lt;4,getOtherMax(B1160,C1160,INDIRECT(J$2),INDIRECT(I1160),test),getMax(B1160,C1160,INDIRECT(J$2),INDIRECT(I1160),test))</f>
        <v>0.14000000000000001</v>
      </c>
      <c r="F1160" s="1" t="str">
        <f t="shared" si="74"/>
        <v>50</v>
      </c>
      <c r="G1160" s="1" t="str">
        <f t="shared" si="75"/>
        <v/>
      </c>
      <c r="I1160" s="1" t="str">
        <f t="shared" si="73"/>
        <v>威尔新数值1.06.xlsm!monsterDamage</v>
      </c>
    </row>
    <row r="1161" spans="1:9" x14ac:dyDescent="0.15">
      <c r="A1161" s="1">
        <v>1160</v>
      </c>
      <c r="B1161" s="1">
        <v>102020600</v>
      </c>
      <c r="C1161" s="1">
        <f t="shared" si="72"/>
        <v>105</v>
      </c>
      <c r="D1161" s="5">
        <f ca="1">IF(getQuality(B1161)&lt;4,getOtherMin(B1161,C1161,INDIRECT(J$2),INDIRECT(I1161),test),getMin(B1161,C1161,INDIRECT(J$2),INDIRECT(I1161),test))</f>
        <v>7.0000000000000007E-2</v>
      </c>
      <c r="E1161" s="5">
        <f ca="1">IF(getQuality(B1161)&lt;4,getOtherMax(B1161,C1161,INDIRECT(J$2),INDIRECT(I1161),test),getMax(B1161,C1161,INDIRECT(J$2),INDIRECT(I1161),test))</f>
        <v>0.14000000000000001</v>
      </c>
      <c r="F1161" s="1" t="str">
        <f t="shared" si="74"/>
        <v>50</v>
      </c>
      <c r="G1161" s="1" t="str">
        <f t="shared" si="75"/>
        <v/>
      </c>
      <c r="I1161" s="1" t="str">
        <f t="shared" si="73"/>
        <v>威尔新数值1.06.xlsm!monsterDamage</v>
      </c>
    </row>
    <row r="1162" spans="1:9" x14ac:dyDescent="0.15">
      <c r="A1162" s="1">
        <v>1161</v>
      </c>
      <c r="B1162" s="1">
        <v>102020600</v>
      </c>
      <c r="C1162" s="1">
        <f t="shared" si="72"/>
        <v>106</v>
      </c>
      <c r="D1162" s="5">
        <f ca="1">IF(getQuality(B1162)&lt;4,getOtherMin(B1162,C1162,INDIRECT(J$2),INDIRECT(I1162),test),getMin(B1162,C1162,INDIRECT(J$2),INDIRECT(I1162),test))</f>
        <v>7.0000000000000007E-2</v>
      </c>
      <c r="E1162" s="5">
        <f ca="1">IF(getQuality(B1162)&lt;4,getOtherMax(B1162,C1162,INDIRECT(J$2),INDIRECT(I1162),test),getMax(B1162,C1162,INDIRECT(J$2),INDIRECT(I1162),test))</f>
        <v>0.14000000000000001</v>
      </c>
      <c r="F1162" s="1" t="str">
        <f t="shared" si="74"/>
        <v>50</v>
      </c>
      <c r="G1162" s="1" t="str">
        <f t="shared" si="75"/>
        <v/>
      </c>
      <c r="I1162" s="1" t="str">
        <f t="shared" si="73"/>
        <v>威尔新数值1.06.xlsm!monsterDamage</v>
      </c>
    </row>
    <row r="1163" spans="1:9" x14ac:dyDescent="0.15">
      <c r="A1163" s="1">
        <v>1162</v>
      </c>
      <c r="B1163" s="1">
        <v>102020600</v>
      </c>
      <c r="C1163" s="1">
        <f t="shared" si="72"/>
        <v>107</v>
      </c>
      <c r="D1163" s="5">
        <f ca="1">IF(getQuality(B1163)&lt;4,getOtherMin(B1163,C1163,INDIRECT(J$2),INDIRECT(I1163),test),getMin(B1163,C1163,INDIRECT(J$2),INDIRECT(I1163),test))</f>
        <v>7.0000000000000007E-2</v>
      </c>
      <c r="E1163" s="5">
        <f ca="1">IF(getQuality(B1163)&lt;4,getOtherMax(B1163,C1163,INDIRECT(J$2),INDIRECT(I1163),test),getMax(B1163,C1163,INDIRECT(J$2),INDIRECT(I1163),test))</f>
        <v>0.14000000000000001</v>
      </c>
      <c r="F1163" s="1" t="str">
        <f t="shared" si="74"/>
        <v>50</v>
      </c>
      <c r="G1163" s="1" t="str">
        <f t="shared" si="75"/>
        <v/>
      </c>
      <c r="I1163" s="1" t="str">
        <f t="shared" si="73"/>
        <v>威尔新数值1.06.xlsm!monsterDamage</v>
      </c>
    </row>
    <row r="1164" spans="1:9" x14ac:dyDescent="0.15">
      <c r="A1164" s="1">
        <v>1163</v>
      </c>
      <c r="B1164" s="1">
        <v>102020600</v>
      </c>
      <c r="C1164" s="1">
        <f t="shared" si="72"/>
        <v>108</v>
      </c>
      <c r="D1164" s="5">
        <f ca="1">IF(getQuality(B1164)&lt;4,getOtherMin(B1164,C1164,INDIRECT(J$2),INDIRECT(I1164),test),getMin(B1164,C1164,INDIRECT(J$2),INDIRECT(I1164),test))</f>
        <v>7.0000000000000007E-2</v>
      </c>
      <c r="E1164" s="5">
        <f ca="1">IF(getQuality(B1164)&lt;4,getOtherMax(B1164,C1164,INDIRECT(J$2),INDIRECT(I1164),test),getMax(B1164,C1164,INDIRECT(J$2),INDIRECT(I1164),test))</f>
        <v>0.14000000000000001</v>
      </c>
      <c r="F1164" s="1" t="str">
        <f t="shared" si="74"/>
        <v>50</v>
      </c>
      <c r="G1164" s="1" t="str">
        <f t="shared" si="75"/>
        <v/>
      </c>
      <c r="I1164" s="1" t="str">
        <f t="shared" si="73"/>
        <v>威尔新数值1.06.xlsm!monsterDamage</v>
      </c>
    </row>
    <row r="1165" spans="1:9" x14ac:dyDescent="0.15">
      <c r="A1165" s="1">
        <v>1164</v>
      </c>
      <c r="B1165" s="1">
        <v>102030600</v>
      </c>
      <c r="C1165" s="1">
        <f t="shared" si="72"/>
        <v>3</v>
      </c>
      <c r="D1165" s="5">
        <f ca="1">IF(getQuality(B1165)&lt;4,getOtherMin(B1165,C1165,INDIRECT(J$2),INDIRECT(I1165),test),getMin(B1165,C1165,INDIRECT(J$2),INDIRECT(I1165),test))</f>
        <v>47.219010783550694</v>
      </c>
      <c r="E1165" s="5">
        <f ca="1">IF(getQuality(B1165)&lt;4,getOtherMax(B1165,C1165,INDIRECT(J$2),INDIRECT(I1165),test),getMax(B1165,C1165,INDIRECT(J$2),INDIRECT(I1165),test))</f>
        <v>75.631108554901132</v>
      </c>
      <c r="F1165" s="1" t="str">
        <f t="shared" si="74"/>
        <v>50</v>
      </c>
      <c r="G1165" s="1" t="str">
        <f t="shared" si="75"/>
        <v/>
      </c>
      <c r="I1165" s="1" t="str">
        <f t="shared" si="73"/>
        <v>威尔新数值1.06.xlsm!suitPower</v>
      </c>
    </row>
    <row r="1166" spans="1:9" x14ac:dyDescent="0.15">
      <c r="A1166" s="1">
        <v>1165</v>
      </c>
      <c r="B1166" s="1">
        <v>102030600</v>
      </c>
      <c r="C1166" s="1">
        <f t="shared" si="72"/>
        <v>5</v>
      </c>
      <c r="D1166" s="5">
        <f ca="1">IF(getQuality(B1166)&lt;4,getOtherMin(B1166,C1166,INDIRECT(J$2),INDIRECT(I1166),test),getMin(B1166,C1166,INDIRECT(J$2),INDIRECT(I1166),test))</f>
        <v>47.219010783550694</v>
      </c>
      <c r="E1166" s="5">
        <f ca="1">IF(getQuality(B1166)&lt;4,getOtherMax(B1166,C1166,INDIRECT(J$2),INDIRECT(I1166),test),getMax(B1166,C1166,INDIRECT(J$2),INDIRECT(I1166),test))</f>
        <v>75.631108554901132</v>
      </c>
      <c r="F1166" s="1" t="str">
        <f t="shared" si="74"/>
        <v>50</v>
      </c>
      <c r="G1166" s="1" t="str">
        <f t="shared" si="75"/>
        <v>1</v>
      </c>
      <c r="I1166" s="1" t="str">
        <f t="shared" si="73"/>
        <v>威尔新数值1.06.xlsm!suitPower</v>
      </c>
    </row>
    <row r="1167" spans="1:9" x14ac:dyDescent="0.15">
      <c r="A1167" s="1">
        <v>1166</v>
      </c>
      <c r="B1167" s="1">
        <v>102030600</v>
      </c>
      <c r="C1167" s="1">
        <f t="shared" si="72"/>
        <v>7</v>
      </c>
      <c r="D1167" s="5">
        <f ca="1">IF(getQuality(B1167)&lt;4,getOtherMin(B1167,C1167,INDIRECT(J$2),INDIRECT(I1167),test),getMin(B1167,C1167,INDIRECT(J$2),INDIRECT(I1167),test))</f>
        <v>13.96296296296293</v>
      </c>
      <c r="E1167" s="5">
        <f ca="1">IF(getQuality(B1167)&lt;4,getOtherMax(B1167,C1167,INDIRECT(J$2),INDIRECT(I1167),test),getMax(B1167,C1167,INDIRECT(J$2),INDIRECT(I1167),test))</f>
        <v>19.444444444444393</v>
      </c>
      <c r="F1167" s="1" t="str">
        <f t="shared" si="74"/>
        <v>50</v>
      </c>
      <c r="G1167" s="1" t="str">
        <f t="shared" si="75"/>
        <v/>
      </c>
      <c r="I1167" s="1" t="str">
        <f t="shared" si="73"/>
        <v>威尔新数值1.06.xlsm!suitPower</v>
      </c>
    </row>
    <row r="1168" spans="1:9" x14ac:dyDescent="0.15">
      <c r="A1168" s="1">
        <v>1167</v>
      </c>
      <c r="B1168" s="1">
        <v>102030600</v>
      </c>
      <c r="C1168" s="1">
        <f t="shared" si="72"/>
        <v>8</v>
      </c>
      <c r="D1168" s="5">
        <f ca="1">IF(getQuality(B1168)&lt;4,getOtherMin(B1168,C1168,INDIRECT(J$2),INDIRECT(I1168),test),getMin(B1168,C1168,INDIRECT(J$2),INDIRECT(I1168),test))</f>
        <v>30.166666666666668</v>
      </c>
      <c r="E1168" s="5">
        <f ca="1">IF(getQuality(B1168)&lt;4,getOtherMax(B1168,C1168,INDIRECT(J$2),INDIRECT(I1168),test),getMax(B1168,C1168,INDIRECT(J$2),INDIRECT(I1168),test))</f>
        <v>43.75</v>
      </c>
      <c r="F1168" s="1" t="str">
        <f t="shared" si="74"/>
        <v>50</v>
      </c>
      <c r="G1168" s="1" t="str">
        <f t="shared" si="75"/>
        <v/>
      </c>
      <c r="I1168" s="1" t="str">
        <f t="shared" si="73"/>
        <v>威尔新数值1.06.xlsm!suitPower</v>
      </c>
    </row>
    <row r="1169" spans="1:9" x14ac:dyDescent="0.15">
      <c r="A1169" s="1">
        <v>1168</v>
      </c>
      <c r="B1169" s="1">
        <v>102030600</v>
      </c>
      <c r="C1169" s="1">
        <f t="shared" si="72"/>
        <v>9</v>
      </c>
      <c r="D1169" s="5">
        <f ca="1">IF(getQuality(B1169)&lt;4,getOtherMin(B1169,C1169,INDIRECT(J$2),INDIRECT(I1169),test),getMin(B1169,C1169,INDIRECT(J$2),INDIRECT(I1169),test))</f>
        <v>47.219010783550694</v>
      </c>
      <c r="E1169" s="5">
        <f ca="1">IF(getQuality(B1169)&lt;4,getOtherMax(B1169,C1169,INDIRECT(J$2),INDIRECT(I1169),test),getMax(B1169,C1169,INDIRECT(J$2),INDIRECT(I1169),test))</f>
        <v>75.631108554901132</v>
      </c>
      <c r="F1169" s="1" t="str">
        <f t="shared" si="74"/>
        <v>50</v>
      </c>
      <c r="G1169" s="1" t="str">
        <f t="shared" si="75"/>
        <v/>
      </c>
      <c r="I1169" s="1" t="str">
        <f t="shared" si="73"/>
        <v>威尔新数值1.06.xlsm!suitPower</v>
      </c>
    </row>
    <row r="1170" spans="1:9" x14ac:dyDescent="0.15">
      <c r="A1170" s="1">
        <v>1169</v>
      </c>
      <c r="B1170" s="1">
        <v>102030600</v>
      </c>
      <c r="C1170" s="1">
        <f t="shared" si="72"/>
        <v>10</v>
      </c>
      <c r="D1170" s="5">
        <f ca="1">IF(getQuality(B1170)&lt;4,getOtherMin(B1170,C1170,INDIRECT(J$2),INDIRECT(I1170),test),getMin(B1170,C1170,INDIRECT(J$2),INDIRECT(I1170),test))</f>
        <v>47.219010783550694</v>
      </c>
      <c r="E1170" s="5">
        <f ca="1">IF(getQuality(B1170)&lt;4,getOtherMax(B1170,C1170,INDIRECT(J$2),INDIRECT(I1170),test),getMax(B1170,C1170,INDIRECT(J$2),INDIRECT(I1170),test))</f>
        <v>75.631108554901132</v>
      </c>
      <c r="F1170" s="1" t="str">
        <f t="shared" si="74"/>
        <v>50</v>
      </c>
      <c r="G1170" s="1" t="str">
        <f t="shared" si="75"/>
        <v/>
      </c>
      <c r="I1170" s="1" t="str">
        <f t="shared" si="73"/>
        <v>威尔新数值1.06.xlsm!suitPower</v>
      </c>
    </row>
    <row r="1171" spans="1:9" x14ac:dyDescent="0.15">
      <c r="A1171" s="1">
        <v>1170</v>
      </c>
      <c r="B1171" s="1">
        <v>102030600</v>
      </c>
      <c r="C1171" s="1">
        <f t="shared" si="72"/>
        <v>11</v>
      </c>
      <c r="D1171" s="5">
        <f ca="1">IF(getQuality(B1171)&lt;4,getOtherMin(B1171,C1171,INDIRECT(J$2),INDIRECT(I1171),test),getMin(B1171,C1171,INDIRECT(J$2),INDIRECT(I1171),test))</f>
        <v>47.219010783550694</v>
      </c>
      <c r="E1171" s="5">
        <f ca="1">IF(getQuality(B1171)&lt;4,getOtherMax(B1171,C1171,INDIRECT(J$2),INDIRECT(I1171),test),getMax(B1171,C1171,INDIRECT(J$2),INDIRECT(I1171),test))</f>
        <v>75.631108554901132</v>
      </c>
      <c r="F1171" s="1" t="str">
        <f t="shared" si="74"/>
        <v>50</v>
      </c>
      <c r="G1171" s="1" t="str">
        <f t="shared" si="75"/>
        <v/>
      </c>
      <c r="I1171" s="1" t="str">
        <f t="shared" si="73"/>
        <v>威尔新数值1.06.xlsm!suitPower</v>
      </c>
    </row>
    <row r="1172" spans="1:9" x14ac:dyDescent="0.15">
      <c r="A1172" s="1">
        <v>1171</v>
      </c>
      <c r="B1172" s="1">
        <v>102030600</v>
      </c>
      <c r="C1172" s="1">
        <f t="shared" si="72"/>
        <v>12</v>
      </c>
      <c r="D1172" s="5">
        <f ca="1">IF(getQuality(B1172)&lt;4,getOtherMin(B1172,C1172,INDIRECT(J$2),INDIRECT(I1172),test),getMin(B1172,C1172,INDIRECT(J$2),INDIRECT(I1172),test))</f>
        <v>47.219010783550694</v>
      </c>
      <c r="E1172" s="5">
        <f ca="1">IF(getQuality(B1172)&lt;4,getOtherMax(B1172,C1172,INDIRECT(J$2),INDIRECT(I1172),test),getMax(B1172,C1172,INDIRECT(J$2),INDIRECT(I1172),test))</f>
        <v>75.631108554901132</v>
      </c>
      <c r="F1172" s="1" t="str">
        <f t="shared" si="74"/>
        <v>50</v>
      </c>
      <c r="G1172" s="1" t="str">
        <f t="shared" si="75"/>
        <v/>
      </c>
      <c r="I1172" s="1" t="str">
        <f t="shared" si="73"/>
        <v>威尔新数值1.06.xlsm!suitPower</v>
      </c>
    </row>
    <row r="1173" spans="1:9" x14ac:dyDescent="0.15">
      <c r="A1173" s="1">
        <v>1172</v>
      </c>
      <c r="B1173" s="1">
        <v>102030600</v>
      </c>
      <c r="C1173" s="1">
        <f t="shared" si="72"/>
        <v>13</v>
      </c>
      <c r="D1173" s="5">
        <f ca="1">IF(getQuality(B1173)&lt;4,getOtherMin(B1173,C1173,INDIRECT(J$2),INDIRECT(I1173),test),getMin(B1173,C1173,INDIRECT(J$2),INDIRECT(I1173),test))</f>
        <v>47.219010783550694</v>
      </c>
      <c r="E1173" s="5">
        <f ca="1">IF(getQuality(B1173)&lt;4,getOtherMax(B1173,C1173,INDIRECT(J$2),INDIRECT(I1173),test),getMax(B1173,C1173,INDIRECT(J$2),INDIRECT(I1173),test))</f>
        <v>75.631108554901132</v>
      </c>
      <c r="F1173" s="1" t="str">
        <f t="shared" si="74"/>
        <v>50</v>
      </c>
      <c r="G1173" s="1" t="str">
        <f t="shared" si="75"/>
        <v/>
      </c>
      <c r="I1173" s="1" t="str">
        <f t="shared" si="73"/>
        <v>威尔新数值1.06.xlsm!suitPower</v>
      </c>
    </row>
    <row r="1174" spans="1:9" x14ac:dyDescent="0.15">
      <c r="A1174" s="1">
        <v>1173</v>
      </c>
      <c r="B1174" s="1">
        <v>102030600</v>
      </c>
      <c r="C1174" s="1">
        <f t="shared" si="72"/>
        <v>14</v>
      </c>
      <c r="D1174" s="5">
        <f ca="1">IF(getQuality(B1174)&lt;4,getOtherMin(B1174,C1174,INDIRECT(J$2),INDIRECT(I1174),test),getMin(B1174,C1174,INDIRECT(J$2),INDIRECT(I1174),test))</f>
        <v>47.219010783550694</v>
      </c>
      <c r="E1174" s="5">
        <f ca="1">IF(getQuality(B1174)&lt;4,getOtherMax(B1174,C1174,INDIRECT(J$2),INDIRECT(I1174),test),getMax(B1174,C1174,INDIRECT(J$2),INDIRECT(I1174),test))</f>
        <v>75.631108554901132</v>
      </c>
      <c r="F1174" s="1" t="str">
        <f t="shared" si="74"/>
        <v>50</v>
      </c>
      <c r="G1174" s="1" t="str">
        <f t="shared" si="75"/>
        <v/>
      </c>
      <c r="I1174" s="1" t="str">
        <f t="shared" si="73"/>
        <v>威尔新数值1.06.xlsm!suitPower</v>
      </c>
    </row>
    <row r="1175" spans="1:9" x14ac:dyDescent="0.15">
      <c r="A1175" s="1">
        <v>1174</v>
      </c>
      <c r="B1175" s="1">
        <v>102030600</v>
      </c>
      <c r="C1175" s="1">
        <f t="shared" si="72"/>
        <v>15</v>
      </c>
      <c r="D1175" s="5">
        <f ca="1">IF(getQuality(B1175)&lt;4,getOtherMin(B1175,C1175,INDIRECT(J$2),INDIRECT(I1175),test),getMin(B1175,C1175,INDIRECT(J$2),INDIRECT(I1175),test))</f>
        <v>47.219010783550694</v>
      </c>
      <c r="E1175" s="5">
        <f ca="1">IF(getQuality(B1175)&lt;4,getOtherMax(B1175,C1175,INDIRECT(J$2),INDIRECT(I1175),test),getMax(B1175,C1175,INDIRECT(J$2),INDIRECT(I1175),test))</f>
        <v>75.631108554901132</v>
      </c>
      <c r="F1175" s="1" t="str">
        <f t="shared" si="74"/>
        <v>50</v>
      </c>
      <c r="G1175" s="1" t="str">
        <f t="shared" si="75"/>
        <v/>
      </c>
      <c r="I1175" s="1" t="str">
        <f t="shared" si="73"/>
        <v>威尔新数值1.06.xlsm!suitPower</v>
      </c>
    </row>
    <row r="1176" spans="1:9" x14ac:dyDescent="0.15">
      <c r="A1176" s="1">
        <v>1175</v>
      </c>
      <c r="B1176" s="1">
        <v>102030600</v>
      </c>
      <c r="C1176" s="1">
        <f t="shared" si="72"/>
        <v>101</v>
      </c>
      <c r="D1176" s="5">
        <f ca="1">IF(getQuality(B1176)&lt;4,getOtherMin(B1176,C1176,INDIRECT(J$2),INDIRECT(I1176),test),getMin(B1176,C1176,INDIRECT(J$2),INDIRECT(I1176),test))</f>
        <v>0.08</v>
      </c>
      <c r="E1176" s="5">
        <f ca="1">IF(getQuality(B1176)&lt;4,getOtherMax(B1176,C1176,INDIRECT(J$2),INDIRECT(I1176),test),getMax(B1176,C1176,INDIRECT(J$2),INDIRECT(I1176),test))</f>
        <v>0.11</v>
      </c>
      <c r="F1176" s="1" t="str">
        <f t="shared" si="74"/>
        <v>50</v>
      </c>
      <c r="G1176" s="1" t="str">
        <f t="shared" si="75"/>
        <v/>
      </c>
      <c r="I1176" s="1" t="str">
        <f t="shared" si="73"/>
        <v>威尔新数值1.06.xlsm!circlePer</v>
      </c>
    </row>
    <row r="1177" spans="1:9" x14ac:dyDescent="0.15">
      <c r="A1177" s="1">
        <v>1176</v>
      </c>
      <c r="B1177" s="1">
        <v>102030600</v>
      </c>
      <c r="C1177" s="1">
        <f t="shared" si="72"/>
        <v>102</v>
      </c>
      <c r="D1177" s="5">
        <f ca="1">IF(getQuality(B1177)&lt;4,getOtherMin(B1177,C1177,INDIRECT(J$2),INDIRECT(I1177),test),getMin(B1177,C1177,INDIRECT(J$2),INDIRECT(I1177),test))</f>
        <v>0.6</v>
      </c>
      <c r="E1177" s="5">
        <f ca="1">IF(getQuality(B1177)&lt;4,getOtherMax(B1177,C1177,INDIRECT(J$2),INDIRECT(I1177),test),getMax(B1177,C1177,INDIRECT(J$2),INDIRECT(I1177),test))</f>
        <v>1</v>
      </c>
      <c r="F1177" s="1" t="str">
        <f t="shared" si="74"/>
        <v>50</v>
      </c>
      <c r="G1177" s="1" t="str">
        <f t="shared" si="75"/>
        <v/>
      </c>
      <c r="I1177" s="1" t="str">
        <f t="shared" si="73"/>
        <v>威尔新数值1.06.xlsm!circleValue</v>
      </c>
    </row>
    <row r="1178" spans="1:9" x14ac:dyDescent="0.15">
      <c r="A1178" s="1">
        <v>1177</v>
      </c>
      <c r="B1178" s="1">
        <v>102030600</v>
      </c>
      <c r="C1178" s="1">
        <f t="shared" si="72"/>
        <v>103</v>
      </c>
      <c r="D1178" s="5">
        <f ca="1">IF(getQuality(B1178)&lt;4,getOtherMin(B1178,C1178,INDIRECT(J$2),INDIRECT(I1178),test),getMin(B1178,C1178,INDIRECT(J$2),INDIRECT(I1178),test))</f>
        <v>0.08</v>
      </c>
      <c r="E1178" s="5">
        <f ca="1">IF(getQuality(B1178)&lt;4,getOtherMax(B1178,C1178,INDIRECT(J$2),INDIRECT(I1178),test),getMax(B1178,C1178,INDIRECT(J$2),INDIRECT(I1178),test))</f>
        <v>0.11</v>
      </c>
      <c r="F1178" s="1" t="str">
        <f t="shared" si="74"/>
        <v>50</v>
      </c>
      <c r="G1178" s="1" t="str">
        <f t="shared" si="75"/>
        <v/>
      </c>
      <c r="I1178" s="1" t="str">
        <f t="shared" si="73"/>
        <v>威尔新数值1.06.xlsm!otherDamage</v>
      </c>
    </row>
    <row r="1179" spans="1:9" x14ac:dyDescent="0.15">
      <c r="A1179" s="1">
        <v>1178</v>
      </c>
      <c r="B1179" s="1">
        <v>102030600</v>
      </c>
      <c r="C1179" s="1">
        <f t="shared" si="72"/>
        <v>104</v>
      </c>
      <c r="D1179" s="5">
        <f ca="1">IF(getQuality(B1179)&lt;4,getOtherMin(B1179,C1179,INDIRECT(J$2),INDIRECT(I1179),test),getMin(B1179,C1179,INDIRECT(J$2),INDIRECT(I1179),test))</f>
        <v>0.08</v>
      </c>
      <c r="E1179" s="5">
        <f ca="1">IF(getQuality(B1179)&lt;4,getOtherMax(B1179,C1179,INDIRECT(J$2),INDIRECT(I1179),test),getMax(B1179,C1179,INDIRECT(J$2),INDIRECT(I1179),test))</f>
        <v>0.16</v>
      </c>
      <c r="F1179" s="1" t="str">
        <f t="shared" si="74"/>
        <v>50</v>
      </c>
      <c r="G1179" s="1" t="str">
        <f t="shared" si="75"/>
        <v/>
      </c>
      <c r="I1179" s="1" t="str">
        <f t="shared" si="73"/>
        <v>威尔新数值1.06.xlsm!monsterDamage</v>
      </c>
    </row>
    <row r="1180" spans="1:9" x14ac:dyDescent="0.15">
      <c r="A1180" s="1">
        <v>1179</v>
      </c>
      <c r="B1180" s="1">
        <v>102030600</v>
      </c>
      <c r="C1180" s="1">
        <f t="shared" si="72"/>
        <v>105</v>
      </c>
      <c r="D1180" s="5">
        <f ca="1">IF(getQuality(B1180)&lt;4,getOtherMin(B1180,C1180,INDIRECT(J$2),INDIRECT(I1180),test),getMin(B1180,C1180,INDIRECT(J$2),INDIRECT(I1180),test))</f>
        <v>0.08</v>
      </c>
      <c r="E1180" s="5">
        <f ca="1">IF(getQuality(B1180)&lt;4,getOtherMax(B1180,C1180,INDIRECT(J$2),INDIRECT(I1180),test),getMax(B1180,C1180,INDIRECT(J$2),INDIRECT(I1180),test))</f>
        <v>0.16</v>
      </c>
      <c r="F1180" s="1" t="str">
        <f t="shared" si="74"/>
        <v>50</v>
      </c>
      <c r="G1180" s="1" t="str">
        <f t="shared" si="75"/>
        <v/>
      </c>
      <c r="I1180" s="1" t="str">
        <f t="shared" si="73"/>
        <v>威尔新数值1.06.xlsm!monsterDamage</v>
      </c>
    </row>
    <row r="1181" spans="1:9" x14ac:dyDescent="0.15">
      <c r="A1181" s="1">
        <v>1180</v>
      </c>
      <c r="B1181" s="1">
        <v>102030600</v>
      </c>
      <c r="C1181" s="1">
        <f t="shared" si="72"/>
        <v>106</v>
      </c>
      <c r="D1181" s="5">
        <f ca="1">IF(getQuality(B1181)&lt;4,getOtherMin(B1181,C1181,INDIRECT(J$2),INDIRECT(I1181),test),getMin(B1181,C1181,INDIRECT(J$2),INDIRECT(I1181),test))</f>
        <v>0.08</v>
      </c>
      <c r="E1181" s="5">
        <f ca="1">IF(getQuality(B1181)&lt;4,getOtherMax(B1181,C1181,INDIRECT(J$2),INDIRECT(I1181),test),getMax(B1181,C1181,INDIRECT(J$2),INDIRECT(I1181),test))</f>
        <v>0.16</v>
      </c>
      <c r="F1181" s="1" t="str">
        <f t="shared" si="74"/>
        <v>50</v>
      </c>
      <c r="G1181" s="1" t="str">
        <f t="shared" si="75"/>
        <v/>
      </c>
      <c r="I1181" s="1" t="str">
        <f t="shared" si="73"/>
        <v>威尔新数值1.06.xlsm!monsterDamage</v>
      </c>
    </row>
    <row r="1182" spans="1:9" x14ac:dyDescent="0.15">
      <c r="A1182" s="1">
        <v>1181</v>
      </c>
      <c r="B1182" s="1">
        <v>102030600</v>
      </c>
      <c r="C1182" s="1">
        <f t="shared" si="72"/>
        <v>107</v>
      </c>
      <c r="D1182" s="5">
        <f ca="1">IF(getQuality(B1182)&lt;4,getOtherMin(B1182,C1182,INDIRECT(J$2),INDIRECT(I1182),test),getMin(B1182,C1182,INDIRECT(J$2),INDIRECT(I1182),test))</f>
        <v>0.08</v>
      </c>
      <c r="E1182" s="5">
        <f ca="1">IF(getQuality(B1182)&lt;4,getOtherMax(B1182,C1182,INDIRECT(J$2),INDIRECT(I1182),test),getMax(B1182,C1182,INDIRECT(J$2),INDIRECT(I1182),test))</f>
        <v>0.16</v>
      </c>
      <c r="F1182" s="1" t="str">
        <f t="shared" si="74"/>
        <v>50</v>
      </c>
      <c r="G1182" s="1" t="str">
        <f t="shared" si="75"/>
        <v/>
      </c>
      <c r="I1182" s="1" t="str">
        <f t="shared" si="73"/>
        <v>威尔新数值1.06.xlsm!monsterDamage</v>
      </c>
    </row>
    <row r="1183" spans="1:9" x14ac:dyDescent="0.15">
      <c r="A1183" s="1">
        <v>1182</v>
      </c>
      <c r="B1183" s="1">
        <v>102030600</v>
      </c>
      <c r="C1183" s="1">
        <f t="shared" si="72"/>
        <v>108</v>
      </c>
      <c r="D1183" s="5">
        <f ca="1">IF(getQuality(B1183)&lt;4,getOtherMin(B1183,C1183,INDIRECT(J$2),INDIRECT(I1183),test),getMin(B1183,C1183,INDIRECT(J$2),INDIRECT(I1183),test))</f>
        <v>0.08</v>
      </c>
      <c r="E1183" s="5">
        <f ca="1">IF(getQuality(B1183)&lt;4,getOtherMax(B1183,C1183,INDIRECT(J$2),INDIRECT(I1183),test),getMax(B1183,C1183,INDIRECT(J$2),INDIRECT(I1183),test))</f>
        <v>0.16</v>
      </c>
      <c r="F1183" s="1" t="str">
        <f t="shared" si="74"/>
        <v>50</v>
      </c>
      <c r="G1183" s="1" t="str">
        <f t="shared" si="75"/>
        <v/>
      </c>
      <c r="I1183" s="1" t="str">
        <f t="shared" si="73"/>
        <v>威尔新数值1.06.xlsm!monsterDamage</v>
      </c>
    </row>
    <row r="1184" spans="1:9" x14ac:dyDescent="0.15">
      <c r="A1184" s="1">
        <v>1183</v>
      </c>
      <c r="B1184" s="1">
        <v>102040600</v>
      </c>
      <c r="C1184" s="1">
        <f t="shared" si="72"/>
        <v>3</v>
      </c>
      <c r="D1184" s="5">
        <f ca="1">IF(getQuality(B1184)&lt;4,getOtherMin(B1184,C1184,INDIRECT(J$2),INDIRECT(I1184),test),getMin(B1184,C1184,INDIRECT(J$2),INDIRECT(I1184),test))</f>
        <v>76.631108554901132</v>
      </c>
      <c r="E1184" s="5">
        <f ca="1">IF(getQuality(B1184)&lt;4,getOtherMax(B1184,C1184,INDIRECT(J$2),INDIRECT(I1184),test),getMax(B1184,C1184,INDIRECT(J$2),INDIRECT(I1184),test))</f>
        <v>109.24493457930163</v>
      </c>
      <c r="F1184" s="1" t="str">
        <f t="shared" si="74"/>
        <v>50</v>
      </c>
      <c r="G1184" s="1" t="str">
        <f t="shared" si="75"/>
        <v/>
      </c>
      <c r="I1184" s="1" t="str">
        <f t="shared" si="73"/>
        <v>威尔新数值1.06.xlsm!suitPower</v>
      </c>
    </row>
    <row r="1185" spans="1:9" x14ac:dyDescent="0.15">
      <c r="A1185" s="1">
        <v>1184</v>
      </c>
      <c r="B1185" s="1">
        <v>102040600</v>
      </c>
      <c r="C1185" s="1">
        <f t="shared" si="72"/>
        <v>5</v>
      </c>
      <c r="D1185" s="5">
        <f ca="1">IF(getQuality(B1185)&lt;4,getOtherMin(B1185,C1185,INDIRECT(J$2),INDIRECT(I1185),test),getMin(B1185,C1185,INDIRECT(J$2),INDIRECT(I1185),test))</f>
        <v>76.631108554901132</v>
      </c>
      <c r="E1185" s="5">
        <f ca="1">IF(getQuality(B1185)&lt;4,getOtherMax(B1185,C1185,INDIRECT(J$2),INDIRECT(I1185),test),getMax(B1185,C1185,INDIRECT(J$2),INDIRECT(I1185),test))</f>
        <v>109.24493457930163</v>
      </c>
      <c r="F1185" s="1" t="str">
        <f t="shared" si="74"/>
        <v>50</v>
      </c>
      <c r="G1185" s="1" t="str">
        <f t="shared" si="75"/>
        <v>1</v>
      </c>
      <c r="I1185" s="1" t="str">
        <f t="shared" si="73"/>
        <v>威尔新数值1.06.xlsm!suitPower</v>
      </c>
    </row>
    <row r="1186" spans="1:9" x14ac:dyDescent="0.15">
      <c r="A1186" s="1">
        <v>1185</v>
      </c>
      <c r="B1186" s="1">
        <v>102040600</v>
      </c>
      <c r="C1186" s="1">
        <f t="shared" si="72"/>
        <v>7</v>
      </c>
      <c r="D1186" s="5">
        <f ca="1">IF(getQuality(B1186)&lt;4,getOtherMin(B1186,C1186,INDIRECT(J$2),INDIRECT(I1186),test),getMin(B1186,C1186,INDIRECT(J$2),INDIRECT(I1186),test))</f>
        <v>20.444444444444393</v>
      </c>
      <c r="E1186" s="5">
        <f ca="1">IF(getQuality(B1186)&lt;4,getOtherMax(B1186,C1186,INDIRECT(J$2),INDIRECT(I1186),test),getMax(B1186,C1186,INDIRECT(J$2),INDIRECT(I1186),test))</f>
        <v>25.92592592592586</v>
      </c>
      <c r="F1186" s="1" t="str">
        <f t="shared" si="74"/>
        <v>50</v>
      </c>
      <c r="G1186" s="1" t="str">
        <f t="shared" si="75"/>
        <v/>
      </c>
      <c r="I1186" s="1" t="str">
        <f t="shared" si="73"/>
        <v>威尔新数值1.06.xlsm!suitPower</v>
      </c>
    </row>
    <row r="1187" spans="1:9" x14ac:dyDescent="0.15">
      <c r="A1187" s="1">
        <v>1186</v>
      </c>
      <c r="B1187" s="1">
        <v>102040600</v>
      </c>
      <c r="C1187" s="1">
        <f t="shared" si="72"/>
        <v>8</v>
      </c>
      <c r="D1187" s="5">
        <f ca="1">IF(getQuality(B1187)&lt;4,getOtherMin(B1187,C1187,INDIRECT(J$2),INDIRECT(I1187),test),getMin(B1187,C1187,INDIRECT(J$2),INDIRECT(I1187),test))</f>
        <v>44.75</v>
      </c>
      <c r="E1187" s="5">
        <f ca="1">IF(getQuality(B1187)&lt;4,getOtherMax(B1187,C1187,INDIRECT(J$2),INDIRECT(I1187),test),getMax(B1187,C1187,INDIRECT(J$2),INDIRECT(I1187),test))</f>
        <v>58.333333333333336</v>
      </c>
      <c r="F1187" s="1" t="str">
        <f t="shared" si="74"/>
        <v>50</v>
      </c>
      <c r="G1187" s="1" t="str">
        <f t="shared" si="75"/>
        <v/>
      </c>
      <c r="I1187" s="1" t="str">
        <f t="shared" si="73"/>
        <v>威尔新数值1.06.xlsm!suitPower</v>
      </c>
    </row>
    <row r="1188" spans="1:9" x14ac:dyDescent="0.15">
      <c r="A1188" s="1">
        <v>1187</v>
      </c>
      <c r="B1188" s="1">
        <v>102040600</v>
      </c>
      <c r="C1188" s="1">
        <f t="shared" ref="C1188:C1251" si="76">C1169</f>
        <v>9</v>
      </c>
      <c r="D1188" s="5">
        <f ca="1">IF(getQuality(B1188)&lt;4,getOtherMin(B1188,C1188,INDIRECT(J$2),INDIRECT(I1188),test),getMin(B1188,C1188,INDIRECT(J$2),INDIRECT(I1188),test))</f>
        <v>76.631108554901132</v>
      </c>
      <c r="E1188" s="5">
        <f ca="1">IF(getQuality(B1188)&lt;4,getOtherMax(B1188,C1188,INDIRECT(J$2),INDIRECT(I1188),test),getMax(B1188,C1188,INDIRECT(J$2),INDIRECT(I1188),test))</f>
        <v>109.24493457930163</v>
      </c>
      <c r="F1188" s="1" t="str">
        <f t="shared" si="74"/>
        <v>50</v>
      </c>
      <c r="G1188" s="1" t="str">
        <f t="shared" si="75"/>
        <v/>
      </c>
      <c r="I1188" s="1" t="str">
        <f t="shared" si="73"/>
        <v>威尔新数值1.06.xlsm!suitPower</v>
      </c>
    </row>
    <row r="1189" spans="1:9" x14ac:dyDescent="0.15">
      <c r="A1189" s="1">
        <v>1188</v>
      </c>
      <c r="B1189" s="1">
        <v>102040600</v>
      </c>
      <c r="C1189" s="1">
        <f t="shared" si="76"/>
        <v>10</v>
      </c>
      <c r="D1189" s="5">
        <f ca="1">IF(getQuality(B1189)&lt;4,getOtherMin(B1189,C1189,INDIRECT(J$2),INDIRECT(I1189),test),getMin(B1189,C1189,INDIRECT(J$2),INDIRECT(I1189),test))</f>
        <v>76.631108554901132</v>
      </c>
      <c r="E1189" s="5">
        <f ca="1">IF(getQuality(B1189)&lt;4,getOtherMax(B1189,C1189,INDIRECT(J$2),INDIRECT(I1189),test),getMax(B1189,C1189,INDIRECT(J$2),INDIRECT(I1189),test))</f>
        <v>109.24493457930163</v>
      </c>
      <c r="F1189" s="1" t="str">
        <f t="shared" si="74"/>
        <v>50</v>
      </c>
      <c r="G1189" s="1" t="str">
        <f t="shared" si="75"/>
        <v/>
      </c>
      <c r="I1189" s="1" t="str">
        <f t="shared" si="73"/>
        <v>威尔新数值1.06.xlsm!suitPower</v>
      </c>
    </row>
    <row r="1190" spans="1:9" x14ac:dyDescent="0.15">
      <c r="A1190" s="1">
        <v>1189</v>
      </c>
      <c r="B1190" s="1">
        <v>102040600</v>
      </c>
      <c r="C1190" s="1">
        <f t="shared" si="76"/>
        <v>11</v>
      </c>
      <c r="D1190" s="5">
        <f ca="1">IF(getQuality(B1190)&lt;4,getOtherMin(B1190,C1190,INDIRECT(J$2),INDIRECT(I1190),test),getMin(B1190,C1190,INDIRECT(J$2),INDIRECT(I1190),test))</f>
        <v>76.631108554901132</v>
      </c>
      <c r="E1190" s="5">
        <f ca="1">IF(getQuality(B1190)&lt;4,getOtherMax(B1190,C1190,INDIRECT(J$2),INDIRECT(I1190),test),getMax(B1190,C1190,INDIRECT(J$2),INDIRECT(I1190),test))</f>
        <v>109.24493457930163</v>
      </c>
      <c r="F1190" s="1" t="str">
        <f t="shared" si="74"/>
        <v>50</v>
      </c>
      <c r="G1190" s="1" t="str">
        <f t="shared" si="75"/>
        <v/>
      </c>
      <c r="I1190" s="1" t="str">
        <f t="shared" si="73"/>
        <v>威尔新数值1.06.xlsm!suitPower</v>
      </c>
    </row>
    <row r="1191" spans="1:9" x14ac:dyDescent="0.15">
      <c r="A1191" s="1">
        <v>1190</v>
      </c>
      <c r="B1191" s="1">
        <v>102040600</v>
      </c>
      <c r="C1191" s="1">
        <f t="shared" si="76"/>
        <v>12</v>
      </c>
      <c r="D1191" s="5">
        <f ca="1">IF(getQuality(B1191)&lt;4,getOtherMin(B1191,C1191,INDIRECT(J$2),INDIRECT(I1191),test),getMin(B1191,C1191,INDIRECT(J$2),INDIRECT(I1191),test))</f>
        <v>76.631108554901132</v>
      </c>
      <c r="E1191" s="5">
        <f ca="1">IF(getQuality(B1191)&lt;4,getOtherMax(B1191,C1191,INDIRECT(J$2),INDIRECT(I1191),test),getMax(B1191,C1191,INDIRECT(J$2),INDIRECT(I1191),test))</f>
        <v>109.24493457930163</v>
      </c>
      <c r="F1191" s="1" t="str">
        <f t="shared" si="74"/>
        <v>50</v>
      </c>
      <c r="G1191" s="1" t="str">
        <f t="shared" si="75"/>
        <v/>
      </c>
      <c r="I1191" s="1" t="str">
        <f t="shared" si="73"/>
        <v>威尔新数值1.06.xlsm!suitPower</v>
      </c>
    </row>
    <row r="1192" spans="1:9" x14ac:dyDescent="0.15">
      <c r="A1192" s="1">
        <v>1191</v>
      </c>
      <c r="B1192" s="1">
        <v>102040600</v>
      </c>
      <c r="C1192" s="1">
        <f t="shared" si="76"/>
        <v>13</v>
      </c>
      <c r="D1192" s="5">
        <f ca="1">IF(getQuality(B1192)&lt;4,getOtherMin(B1192,C1192,INDIRECT(J$2),INDIRECT(I1192),test),getMin(B1192,C1192,INDIRECT(J$2),INDIRECT(I1192),test))</f>
        <v>76.631108554901132</v>
      </c>
      <c r="E1192" s="5">
        <f ca="1">IF(getQuality(B1192)&lt;4,getOtherMax(B1192,C1192,INDIRECT(J$2),INDIRECT(I1192),test),getMax(B1192,C1192,INDIRECT(J$2),INDIRECT(I1192),test))</f>
        <v>109.24493457930163</v>
      </c>
      <c r="F1192" s="1" t="str">
        <f t="shared" si="74"/>
        <v>50</v>
      </c>
      <c r="G1192" s="1" t="str">
        <f t="shared" si="75"/>
        <v/>
      </c>
      <c r="I1192" s="1" t="str">
        <f t="shared" si="73"/>
        <v>威尔新数值1.06.xlsm!suitPower</v>
      </c>
    </row>
    <row r="1193" spans="1:9" x14ac:dyDescent="0.15">
      <c r="A1193" s="1">
        <v>1192</v>
      </c>
      <c r="B1193" s="1">
        <v>102040600</v>
      </c>
      <c r="C1193" s="1">
        <f t="shared" si="76"/>
        <v>14</v>
      </c>
      <c r="D1193" s="5">
        <f ca="1">IF(getQuality(B1193)&lt;4,getOtherMin(B1193,C1193,INDIRECT(J$2),INDIRECT(I1193),test),getMin(B1193,C1193,INDIRECT(J$2),INDIRECT(I1193),test))</f>
        <v>76.631108554901132</v>
      </c>
      <c r="E1193" s="5">
        <f ca="1">IF(getQuality(B1193)&lt;4,getOtherMax(B1193,C1193,INDIRECT(J$2),INDIRECT(I1193),test),getMax(B1193,C1193,INDIRECT(J$2),INDIRECT(I1193),test))</f>
        <v>109.24493457930163</v>
      </c>
      <c r="F1193" s="1" t="str">
        <f t="shared" si="74"/>
        <v>50</v>
      </c>
      <c r="G1193" s="1" t="str">
        <f t="shared" si="75"/>
        <v/>
      </c>
      <c r="I1193" s="1" t="str">
        <f t="shared" si="73"/>
        <v>威尔新数值1.06.xlsm!suitPower</v>
      </c>
    </row>
    <row r="1194" spans="1:9" x14ac:dyDescent="0.15">
      <c r="A1194" s="1">
        <v>1193</v>
      </c>
      <c r="B1194" s="1">
        <v>102040600</v>
      </c>
      <c r="C1194" s="1">
        <f t="shared" si="76"/>
        <v>15</v>
      </c>
      <c r="D1194" s="5">
        <f ca="1">IF(getQuality(B1194)&lt;4,getOtherMin(B1194,C1194,INDIRECT(J$2),INDIRECT(I1194),test),getMin(B1194,C1194,INDIRECT(J$2),INDIRECT(I1194),test))</f>
        <v>76.631108554901132</v>
      </c>
      <c r="E1194" s="5">
        <f ca="1">IF(getQuality(B1194)&lt;4,getOtherMax(B1194,C1194,INDIRECT(J$2),INDIRECT(I1194),test),getMax(B1194,C1194,INDIRECT(J$2),INDIRECT(I1194),test))</f>
        <v>109.24493457930163</v>
      </c>
      <c r="F1194" s="1" t="str">
        <f t="shared" si="74"/>
        <v>50</v>
      </c>
      <c r="G1194" s="1" t="str">
        <f t="shared" si="75"/>
        <v/>
      </c>
      <c r="I1194" s="1" t="str">
        <f t="shared" si="73"/>
        <v>威尔新数值1.06.xlsm!suitPower</v>
      </c>
    </row>
    <row r="1195" spans="1:9" x14ac:dyDescent="0.15">
      <c r="A1195" s="1">
        <v>1194</v>
      </c>
      <c r="B1195" s="1">
        <v>102040600</v>
      </c>
      <c r="C1195" s="1">
        <f t="shared" si="76"/>
        <v>101</v>
      </c>
      <c r="D1195" s="5">
        <f ca="1">IF(getQuality(B1195)&lt;4,getOtherMin(B1195,C1195,INDIRECT(J$2),INDIRECT(I1195),test),getMin(B1195,C1195,INDIRECT(J$2),INDIRECT(I1195),test))</f>
        <v>0.09</v>
      </c>
      <c r="E1195" s="5">
        <f ca="1">IF(getQuality(B1195)&lt;4,getOtherMax(B1195,C1195,INDIRECT(J$2),INDIRECT(I1195),test),getMax(B1195,C1195,INDIRECT(J$2),INDIRECT(I1195),test))</f>
        <v>0.12</v>
      </c>
      <c r="F1195" s="1" t="str">
        <f t="shared" si="74"/>
        <v>50</v>
      </c>
      <c r="G1195" s="1" t="str">
        <f t="shared" si="75"/>
        <v/>
      </c>
      <c r="I1195" s="1" t="str">
        <f t="shared" si="73"/>
        <v>威尔新数值1.06.xlsm!circlePer</v>
      </c>
    </row>
    <row r="1196" spans="1:9" x14ac:dyDescent="0.15">
      <c r="A1196" s="1">
        <v>1195</v>
      </c>
      <c r="B1196" s="1">
        <v>102040600</v>
      </c>
      <c r="C1196" s="1">
        <f t="shared" si="76"/>
        <v>102</v>
      </c>
      <c r="D1196" s="5">
        <f ca="1">IF(getQuality(B1196)&lt;4,getOtherMin(B1196,C1196,INDIRECT(J$2),INDIRECT(I1196),test),getMin(B1196,C1196,INDIRECT(J$2),INDIRECT(I1196),test))</f>
        <v>0.7</v>
      </c>
      <c r="E1196" s="5">
        <f ca="1">IF(getQuality(B1196)&lt;4,getOtherMax(B1196,C1196,INDIRECT(J$2),INDIRECT(I1196),test),getMax(B1196,C1196,INDIRECT(J$2),INDIRECT(I1196),test))</f>
        <v>1.1000000000000001</v>
      </c>
      <c r="F1196" s="1" t="str">
        <f t="shared" si="74"/>
        <v>50</v>
      </c>
      <c r="G1196" s="1" t="str">
        <f t="shared" si="75"/>
        <v/>
      </c>
      <c r="I1196" s="1" t="str">
        <f t="shared" si="73"/>
        <v>威尔新数值1.06.xlsm!circleValue</v>
      </c>
    </row>
    <row r="1197" spans="1:9" x14ac:dyDescent="0.15">
      <c r="A1197" s="1">
        <v>1196</v>
      </c>
      <c r="B1197" s="1">
        <v>102040600</v>
      </c>
      <c r="C1197" s="1">
        <f t="shared" si="76"/>
        <v>103</v>
      </c>
      <c r="D1197" s="5">
        <f ca="1">IF(getQuality(B1197)&lt;4,getOtherMin(B1197,C1197,INDIRECT(J$2),INDIRECT(I1197),test),getMin(B1197,C1197,INDIRECT(J$2),INDIRECT(I1197),test))</f>
        <v>0.09</v>
      </c>
      <c r="E1197" s="5">
        <f ca="1">IF(getQuality(B1197)&lt;4,getOtherMax(B1197,C1197,INDIRECT(J$2),INDIRECT(I1197),test),getMax(B1197,C1197,INDIRECT(J$2),INDIRECT(I1197),test))</f>
        <v>0.12</v>
      </c>
      <c r="F1197" s="1" t="str">
        <f t="shared" si="74"/>
        <v>50</v>
      </c>
      <c r="G1197" s="1" t="str">
        <f t="shared" si="75"/>
        <v/>
      </c>
      <c r="I1197" s="1" t="str">
        <f t="shared" si="73"/>
        <v>威尔新数值1.06.xlsm!otherDamage</v>
      </c>
    </row>
    <row r="1198" spans="1:9" x14ac:dyDescent="0.15">
      <c r="A1198" s="1">
        <v>1197</v>
      </c>
      <c r="B1198" s="1">
        <v>102040600</v>
      </c>
      <c r="C1198" s="1">
        <f t="shared" si="76"/>
        <v>104</v>
      </c>
      <c r="D1198" s="5">
        <f ca="1">IF(getQuality(B1198)&lt;4,getOtherMin(B1198,C1198,INDIRECT(J$2),INDIRECT(I1198),test),getMin(B1198,C1198,INDIRECT(J$2),INDIRECT(I1198),test))</f>
        <v>0.09</v>
      </c>
      <c r="E1198" s="5">
        <f ca="1">IF(getQuality(B1198)&lt;4,getOtherMax(B1198,C1198,INDIRECT(J$2),INDIRECT(I1198),test),getMax(B1198,C1198,INDIRECT(J$2),INDIRECT(I1198),test))</f>
        <v>0.18</v>
      </c>
      <c r="F1198" s="1" t="str">
        <f t="shared" si="74"/>
        <v>50</v>
      </c>
      <c r="G1198" s="1" t="str">
        <f t="shared" si="75"/>
        <v/>
      </c>
      <c r="I1198" s="1" t="str">
        <f t="shared" si="73"/>
        <v>威尔新数值1.06.xlsm!monsterDamage</v>
      </c>
    </row>
    <row r="1199" spans="1:9" x14ac:dyDescent="0.15">
      <c r="A1199" s="1">
        <v>1198</v>
      </c>
      <c r="B1199" s="1">
        <v>102040600</v>
      </c>
      <c r="C1199" s="1">
        <f t="shared" si="76"/>
        <v>105</v>
      </c>
      <c r="D1199" s="5">
        <f ca="1">IF(getQuality(B1199)&lt;4,getOtherMin(B1199,C1199,INDIRECT(J$2),INDIRECT(I1199),test),getMin(B1199,C1199,INDIRECT(J$2),INDIRECT(I1199),test))</f>
        <v>0.09</v>
      </c>
      <c r="E1199" s="5">
        <f ca="1">IF(getQuality(B1199)&lt;4,getOtherMax(B1199,C1199,INDIRECT(J$2),INDIRECT(I1199),test),getMax(B1199,C1199,INDIRECT(J$2),INDIRECT(I1199),test))</f>
        <v>0.18</v>
      </c>
      <c r="F1199" s="1" t="str">
        <f t="shared" si="74"/>
        <v>50</v>
      </c>
      <c r="G1199" s="1" t="str">
        <f t="shared" si="75"/>
        <v/>
      </c>
      <c r="I1199" s="1" t="str">
        <f t="shared" si="73"/>
        <v>威尔新数值1.06.xlsm!monsterDamage</v>
      </c>
    </row>
    <row r="1200" spans="1:9" x14ac:dyDescent="0.15">
      <c r="A1200" s="1">
        <v>1199</v>
      </c>
      <c r="B1200" s="1">
        <v>102040600</v>
      </c>
      <c r="C1200" s="1">
        <f t="shared" si="76"/>
        <v>106</v>
      </c>
      <c r="D1200" s="5">
        <f ca="1">IF(getQuality(B1200)&lt;4,getOtherMin(B1200,C1200,INDIRECT(J$2),INDIRECT(I1200),test),getMin(B1200,C1200,INDIRECT(J$2),INDIRECT(I1200),test))</f>
        <v>0.09</v>
      </c>
      <c r="E1200" s="5">
        <f ca="1">IF(getQuality(B1200)&lt;4,getOtherMax(B1200,C1200,INDIRECT(J$2),INDIRECT(I1200),test),getMax(B1200,C1200,INDIRECT(J$2),INDIRECT(I1200),test))</f>
        <v>0.18</v>
      </c>
      <c r="F1200" s="1" t="str">
        <f t="shared" si="74"/>
        <v>50</v>
      </c>
      <c r="G1200" s="1" t="str">
        <f t="shared" si="75"/>
        <v/>
      </c>
      <c r="I1200" s="1" t="str">
        <f t="shared" si="73"/>
        <v>威尔新数值1.06.xlsm!monsterDamage</v>
      </c>
    </row>
    <row r="1201" spans="1:9" x14ac:dyDescent="0.15">
      <c r="A1201" s="1">
        <v>1200</v>
      </c>
      <c r="B1201" s="1">
        <v>102040600</v>
      </c>
      <c r="C1201" s="1">
        <f t="shared" si="76"/>
        <v>107</v>
      </c>
      <c r="D1201" s="5">
        <f ca="1">IF(getQuality(B1201)&lt;4,getOtherMin(B1201,C1201,INDIRECT(J$2),INDIRECT(I1201),test),getMin(B1201,C1201,INDIRECT(J$2),INDIRECT(I1201),test))</f>
        <v>0.09</v>
      </c>
      <c r="E1201" s="5">
        <f ca="1">IF(getQuality(B1201)&lt;4,getOtherMax(B1201,C1201,INDIRECT(J$2),INDIRECT(I1201),test),getMax(B1201,C1201,INDIRECT(J$2),INDIRECT(I1201),test))</f>
        <v>0.18</v>
      </c>
      <c r="F1201" s="1" t="str">
        <f t="shared" si="74"/>
        <v>50</v>
      </c>
      <c r="G1201" s="1" t="str">
        <f t="shared" si="75"/>
        <v/>
      </c>
      <c r="I1201" s="1" t="str">
        <f t="shared" si="73"/>
        <v>威尔新数值1.06.xlsm!monsterDamage</v>
      </c>
    </row>
    <row r="1202" spans="1:9" x14ac:dyDescent="0.15">
      <c r="A1202" s="1">
        <v>1201</v>
      </c>
      <c r="B1202" s="1">
        <v>102040600</v>
      </c>
      <c r="C1202" s="1">
        <f t="shared" si="76"/>
        <v>108</v>
      </c>
      <c r="D1202" s="5">
        <f ca="1">IF(getQuality(B1202)&lt;4,getOtherMin(B1202,C1202,INDIRECT(J$2),INDIRECT(I1202),test),getMin(B1202,C1202,INDIRECT(J$2),INDIRECT(I1202),test))</f>
        <v>0.09</v>
      </c>
      <c r="E1202" s="5">
        <f ca="1">IF(getQuality(B1202)&lt;4,getOtherMax(B1202,C1202,INDIRECT(J$2),INDIRECT(I1202),test),getMax(B1202,C1202,INDIRECT(J$2),INDIRECT(I1202),test))</f>
        <v>0.18</v>
      </c>
      <c r="F1202" s="1" t="str">
        <f t="shared" si="74"/>
        <v>50</v>
      </c>
      <c r="G1202" s="1" t="str">
        <f t="shared" si="75"/>
        <v/>
      </c>
      <c r="I1202" s="1" t="str">
        <f t="shared" si="73"/>
        <v>威尔新数值1.06.xlsm!monsterDamage</v>
      </c>
    </row>
    <row r="1203" spans="1:9" x14ac:dyDescent="0.15">
      <c r="A1203" s="1">
        <v>1202</v>
      </c>
      <c r="B1203" s="1">
        <v>102050600</v>
      </c>
      <c r="C1203" s="1">
        <f t="shared" si="76"/>
        <v>3</v>
      </c>
      <c r="D1203" s="5">
        <f ca="1">IF(getQuality(B1203)&lt;4,getOtherMin(B1203,C1203,INDIRECT(J$2),INDIRECT(I1203),test),getMin(B1203,C1203,INDIRECT(J$2),INDIRECT(I1203),test))</f>
        <v>110.24493457930163</v>
      </c>
      <c r="E1203" s="5">
        <f ca="1">IF(getQuality(B1203)&lt;4,getOtherMax(B1203,C1203,INDIRECT(J$2),INDIRECT(I1203),test),getMax(B1203,C1203,INDIRECT(J$2),INDIRECT(I1203),test))</f>
        <v>148.01542709608177</v>
      </c>
      <c r="F1203" s="1" t="str">
        <f t="shared" si="74"/>
        <v>50</v>
      </c>
      <c r="G1203" s="1" t="str">
        <f t="shared" si="75"/>
        <v/>
      </c>
      <c r="I1203" s="1" t="str">
        <f t="shared" si="73"/>
        <v>威尔新数值1.06.xlsm!suitPower</v>
      </c>
    </row>
    <row r="1204" spans="1:9" x14ac:dyDescent="0.15">
      <c r="A1204" s="1">
        <v>1203</v>
      </c>
      <c r="B1204" s="1">
        <v>102050600</v>
      </c>
      <c r="C1204" s="1">
        <f t="shared" si="76"/>
        <v>5</v>
      </c>
      <c r="D1204" s="5">
        <f ca="1">IF(getQuality(B1204)&lt;4,getOtherMin(B1204,C1204,INDIRECT(J$2),INDIRECT(I1204),test),getMin(B1204,C1204,INDIRECT(J$2),INDIRECT(I1204),test))</f>
        <v>110.24493457930163</v>
      </c>
      <c r="E1204" s="5">
        <f ca="1">IF(getQuality(B1204)&lt;4,getOtherMax(B1204,C1204,INDIRECT(J$2),INDIRECT(I1204),test),getMax(B1204,C1204,INDIRECT(J$2),INDIRECT(I1204),test))</f>
        <v>148.01542709608177</v>
      </c>
      <c r="F1204" s="1" t="str">
        <f t="shared" si="74"/>
        <v>50</v>
      </c>
      <c r="G1204" s="1" t="str">
        <f t="shared" si="75"/>
        <v>1</v>
      </c>
      <c r="I1204" s="1" t="str">
        <f t="shared" si="73"/>
        <v>威尔新数值1.06.xlsm!suitPower</v>
      </c>
    </row>
    <row r="1205" spans="1:9" x14ac:dyDescent="0.15">
      <c r="A1205" s="1">
        <v>1204</v>
      </c>
      <c r="B1205" s="1">
        <v>102050600</v>
      </c>
      <c r="C1205" s="1">
        <f t="shared" si="76"/>
        <v>7</v>
      </c>
      <c r="D1205" s="5">
        <f ca="1">IF(getQuality(B1205)&lt;4,getOtherMin(B1205,C1205,INDIRECT(J$2),INDIRECT(I1205),test),getMin(B1205,C1205,INDIRECT(J$2),INDIRECT(I1205),test))</f>
        <v>26.92592592592586</v>
      </c>
      <c r="E1205" s="5">
        <f ca="1">IF(getQuality(B1205)&lt;4,getOtherMax(B1205,C1205,INDIRECT(J$2),INDIRECT(I1205),test),getMax(B1205,C1205,INDIRECT(J$2),INDIRECT(I1205),test))</f>
        <v>32.407407407407327</v>
      </c>
      <c r="F1205" s="1" t="str">
        <f t="shared" si="74"/>
        <v>50</v>
      </c>
      <c r="G1205" s="1" t="str">
        <f t="shared" si="75"/>
        <v/>
      </c>
      <c r="I1205" s="1" t="str">
        <f t="shared" si="73"/>
        <v>威尔新数值1.06.xlsm!suitPower</v>
      </c>
    </row>
    <row r="1206" spans="1:9" x14ac:dyDescent="0.15">
      <c r="A1206" s="1">
        <v>1205</v>
      </c>
      <c r="B1206" s="1">
        <v>102050600</v>
      </c>
      <c r="C1206" s="1">
        <f t="shared" si="76"/>
        <v>8</v>
      </c>
      <c r="D1206" s="5">
        <f ca="1">IF(getQuality(B1206)&lt;4,getOtherMin(B1206,C1206,INDIRECT(J$2),INDIRECT(I1206),test),getMin(B1206,C1206,INDIRECT(J$2),INDIRECT(I1206),test))</f>
        <v>59.333333333333336</v>
      </c>
      <c r="E1206" s="5">
        <f ca="1">IF(getQuality(B1206)&lt;4,getOtherMax(B1206,C1206,INDIRECT(J$2),INDIRECT(I1206),test),getMax(B1206,C1206,INDIRECT(J$2),INDIRECT(I1206),test))</f>
        <v>72.916666666666671</v>
      </c>
      <c r="F1206" s="1" t="str">
        <f t="shared" si="74"/>
        <v>50</v>
      </c>
      <c r="G1206" s="1" t="str">
        <f t="shared" si="75"/>
        <v/>
      </c>
      <c r="I1206" s="1" t="str">
        <f t="shared" si="73"/>
        <v>威尔新数值1.06.xlsm!suitPower</v>
      </c>
    </row>
    <row r="1207" spans="1:9" x14ac:dyDescent="0.15">
      <c r="A1207" s="1">
        <v>1206</v>
      </c>
      <c r="B1207" s="1">
        <v>102050600</v>
      </c>
      <c r="C1207" s="1">
        <f t="shared" si="76"/>
        <v>9</v>
      </c>
      <c r="D1207" s="5">
        <f ca="1">IF(getQuality(B1207)&lt;4,getOtherMin(B1207,C1207,INDIRECT(J$2),INDIRECT(I1207),test),getMin(B1207,C1207,INDIRECT(J$2),INDIRECT(I1207),test))</f>
        <v>110.24493457930163</v>
      </c>
      <c r="E1207" s="5">
        <f ca="1">IF(getQuality(B1207)&lt;4,getOtherMax(B1207,C1207,INDIRECT(J$2),INDIRECT(I1207),test),getMax(B1207,C1207,INDIRECT(J$2),INDIRECT(I1207),test))</f>
        <v>148.01542709608177</v>
      </c>
      <c r="F1207" s="1" t="str">
        <f t="shared" si="74"/>
        <v>50</v>
      </c>
      <c r="G1207" s="1" t="str">
        <f t="shared" si="75"/>
        <v/>
      </c>
      <c r="I1207" s="1" t="str">
        <f t="shared" si="73"/>
        <v>威尔新数值1.06.xlsm!suitPower</v>
      </c>
    </row>
    <row r="1208" spans="1:9" x14ac:dyDescent="0.15">
      <c r="A1208" s="1">
        <v>1207</v>
      </c>
      <c r="B1208" s="1">
        <v>102050600</v>
      </c>
      <c r="C1208" s="1">
        <f t="shared" si="76"/>
        <v>10</v>
      </c>
      <c r="D1208" s="5">
        <f ca="1">IF(getQuality(B1208)&lt;4,getOtherMin(B1208,C1208,INDIRECT(J$2),INDIRECT(I1208),test),getMin(B1208,C1208,INDIRECT(J$2),INDIRECT(I1208),test))</f>
        <v>110.24493457930163</v>
      </c>
      <c r="E1208" s="5">
        <f ca="1">IF(getQuality(B1208)&lt;4,getOtherMax(B1208,C1208,INDIRECT(J$2),INDIRECT(I1208),test),getMax(B1208,C1208,INDIRECT(J$2),INDIRECT(I1208),test))</f>
        <v>148.01542709608177</v>
      </c>
      <c r="F1208" s="1" t="str">
        <f t="shared" si="74"/>
        <v>50</v>
      </c>
      <c r="G1208" s="1" t="str">
        <f t="shared" si="75"/>
        <v/>
      </c>
      <c r="I1208" s="1" t="str">
        <f t="shared" si="73"/>
        <v>威尔新数值1.06.xlsm!suitPower</v>
      </c>
    </row>
    <row r="1209" spans="1:9" x14ac:dyDescent="0.15">
      <c r="A1209" s="1">
        <v>1208</v>
      </c>
      <c r="B1209" s="1">
        <v>102050600</v>
      </c>
      <c r="C1209" s="1">
        <f t="shared" si="76"/>
        <v>11</v>
      </c>
      <c r="D1209" s="5">
        <f ca="1">IF(getQuality(B1209)&lt;4,getOtherMin(B1209,C1209,INDIRECT(J$2),INDIRECT(I1209),test),getMin(B1209,C1209,INDIRECT(J$2),INDIRECT(I1209),test))</f>
        <v>110.24493457930163</v>
      </c>
      <c r="E1209" s="5">
        <f ca="1">IF(getQuality(B1209)&lt;4,getOtherMax(B1209,C1209,INDIRECT(J$2),INDIRECT(I1209),test),getMax(B1209,C1209,INDIRECT(J$2),INDIRECT(I1209),test))</f>
        <v>148.01542709608177</v>
      </c>
      <c r="F1209" s="1" t="str">
        <f t="shared" si="74"/>
        <v>50</v>
      </c>
      <c r="G1209" s="1" t="str">
        <f t="shared" si="75"/>
        <v/>
      </c>
      <c r="I1209" s="1" t="str">
        <f t="shared" si="73"/>
        <v>威尔新数值1.06.xlsm!suitPower</v>
      </c>
    </row>
    <row r="1210" spans="1:9" x14ac:dyDescent="0.15">
      <c r="A1210" s="1">
        <v>1209</v>
      </c>
      <c r="B1210" s="1">
        <v>102050600</v>
      </c>
      <c r="C1210" s="1">
        <f t="shared" si="76"/>
        <v>12</v>
      </c>
      <c r="D1210" s="5">
        <f ca="1">IF(getQuality(B1210)&lt;4,getOtherMin(B1210,C1210,INDIRECT(J$2),INDIRECT(I1210),test),getMin(B1210,C1210,INDIRECT(J$2),INDIRECT(I1210),test))</f>
        <v>110.24493457930163</v>
      </c>
      <c r="E1210" s="5">
        <f ca="1">IF(getQuality(B1210)&lt;4,getOtherMax(B1210,C1210,INDIRECT(J$2),INDIRECT(I1210),test),getMax(B1210,C1210,INDIRECT(J$2),INDIRECT(I1210),test))</f>
        <v>148.01542709608177</v>
      </c>
      <c r="F1210" s="1" t="str">
        <f t="shared" si="74"/>
        <v>50</v>
      </c>
      <c r="G1210" s="1" t="str">
        <f t="shared" si="75"/>
        <v/>
      </c>
      <c r="I1210" s="1" t="str">
        <f t="shared" si="73"/>
        <v>威尔新数值1.06.xlsm!suitPower</v>
      </c>
    </row>
    <row r="1211" spans="1:9" x14ac:dyDescent="0.15">
      <c r="A1211" s="1">
        <v>1210</v>
      </c>
      <c r="B1211" s="1">
        <v>102050600</v>
      </c>
      <c r="C1211" s="1">
        <f t="shared" si="76"/>
        <v>13</v>
      </c>
      <c r="D1211" s="5">
        <f ca="1">IF(getQuality(B1211)&lt;4,getOtherMin(B1211,C1211,INDIRECT(J$2),INDIRECT(I1211),test),getMin(B1211,C1211,INDIRECT(J$2),INDIRECT(I1211),test))</f>
        <v>110.24493457930163</v>
      </c>
      <c r="E1211" s="5">
        <f ca="1">IF(getQuality(B1211)&lt;4,getOtherMax(B1211,C1211,INDIRECT(J$2),INDIRECT(I1211),test),getMax(B1211,C1211,INDIRECT(J$2),INDIRECT(I1211),test))</f>
        <v>148.01542709608177</v>
      </c>
      <c r="F1211" s="1" t="str">
        <f t="shared" si="74"/>
        <v>50</v>
      </c>
      <c r="G1211" s="1" t="str">
        <f t="shared" si="75"/>
        <v/>
      </c>
      <c r="I1211" s="1" t="str">
        <f t="shared" si="73"/>
        <v>威尔新数值1.06.xlsm!suitPower</v>
      </c>
    </row>
    <row r="1212" spans="1:9" x14ac:dyDescent="0.15">
      <c r="A1212" s="1">
        <v>1211</v>
      </c>
      <c r="B1212" s="1">
        <v>102050600</v>
      </c>
      <c r="C1212" s="1">
        <f t="shared" si="76"/>
        <v>14</v>
      </c>
      <c r="D1212" s="5">
        <f ca="1">IF(getQuality(B1212)&lt;4,getOtherMin(B1212,C1212,INDIRECT(J$2),INDIRECT(I1212),test),getMin(B1212,C1212,INDIRECT(J$2),INDIRECT(I1212),test))</f>
        <v>110.24493457930163</v>
      </c>
      <c r="E1212" s="5">
        <f ca="1">IF(getQuality(B1212)&lt;4,getOtherMax(B1212,C1212,INDIRECT(J$2),INDIRECT(I1212),test),getMax(B1212,C1212,INDIRECT(J$2),INDIRECT(I1212),test))</f>
        <v>148.01542709608177</v>
      </c>
      <c r="F1212" s="1" t="str">
        <f t="shared" si="74"/>
        <v>50</v>
      </c>
      <c r="G1212" s="1" t="str">
        <f t="shared" si="75"/>
        <v/>
      </c>
      <c r="I1212" s="1" t="str">
        <f t="shared" si="73"/>
        <v>威尔新数值1.06.xlsm!suitPower</v>
      </c>
    </row>
    <row r="1213" spans="1:9" x14ac:dyDescent="0.15">
      <c r="A1213" s="1">
        <v>1212</v>
      </c>
      <c r="B1213" s="1">
        <v>102050600</v>
      </c>
      <c r="C1213" s="1">
        <f t="shared" si="76"/>
        <v>15</v>
      </c>
      <c r="D1213" s="5">
        <f ca="1">IF(getQuality(B1213)&lt;4,getOtherMin(B1213,C1213,INDIRECT(J$2),INDIRECT(I1213),test),getMin(B1213,C1213,INDIRECT(J$2),INDIRECT(I1213),test))</f>
        <v>110.24493457930163</v>
      </c>
      <c r="E1213" s="5">
        <f ca="1">IF(getQuality(B1213)&lt;4,getOtherMax(B1213,C1213,INDIRECT(J$2),INDIRECT(I1213),test),getMax(B1213,C1213,INDIRECT(J$2),INDIRECT(I1213),test))</f>
        <v>148.01542709608177</v>
      </c>
      <c r="F1213" s="1" t="str">
        <f t="shared" si="74"/>
        <v>50</v>
      </c>
      <c r="G1213" s="1" t="str">
        <f t="shared" si="75"/>
        <v/>
      </c>
      <c r="I1213" s="1" t="str">
        <f t="shared" si="73"/>
        <v>威尔新数值1.06.xlsm!suitPower</v>
      </c>
    </row>
    <row r="1214" spans="1:9" x14ac:dyDescent="0.15">
      <c r="A1214" s="1">
        <v>1213</v>
      </c>
      <c r="B1214" s="1">
        <v>102050600</v>
      </c>
      <c r="C1214" s="1">
        <f t="shared" si="76"/>
        <v>101</v>
      </c>
      <c r="D1214" s="5">
        <f ca="1">IF(getQuality(B1214)&lt;4,getOtherMin(B1214,C1214,INDIRECT(J$2),INDIRECT(I1214),test),getMin(B1214,C1214,INDIRECT(J$2),INDIRECT(I1214),test))</f>
        <v>0.1</v>
      </c>
      <c r="E1214" s="5">
        <f ca="1">IF(getQuality(B1214)&lt;4,getOtherMax(B1214,C1214,INDIRECT(J$2),INDIRECT(I1214),test),getMax(B1214,C1214,INDIRECT(J$2),INDIRECT(I1214),test))</f>
        <v>0.13</v>
      </c>
      <c r="F1214" s="1" t="str">
        <f t="shared" si="74"/>
        <v>50</v>
      </c>
      <c r="G1214" s="1" t="str">
        <f t="shared" si="75"/>
        <v/>
      </c>
      <c r="I1214" s="1" t="str">
        <f t="shared" si="73"/>
        <v>威尔新数值1.06.xlsm!circlePer</v>
      </c>
    </row>
    <row r="1215" spans="1:9" x14ac:dyDescent="0.15">
      <c r="A1215" s="1">
        <v>1214</v>
      </c>
      <c r="B1215" s="1">
        <v>102050600</v>
      </c>
      <c r="C1215" s="1">
        <f t="shared" si="76"/>
        <v>102</v>
      </c>
      <c r="D1215" s="5">
        <f ca="1">IF(getQuality(B1215)&lt;4,getOtherMin(B1215,C1215,INDIRECT(J$2),INDIRECT(I1215),test),getMin(B1215,C1215,INDIRECT(J$2),INDIRECT(I1215),test))</f>
        <v>0.8</v>
      </c>
      <c r="E1215" s="5">
        <f ca="1">IF(getQuality(B1215)&lt;4,getOtherMax(B1215,C1215,INDIRECT(J$2),INDIRECT(I1215),test),getMax(B1215,C1215,INDIRECT(J$2),INDIRECT(I1215),test))</f>
        <v>1.2</v>
      </c>
      <c r="F1215" s="1" t="str">
        <f t="shared" si="74"/>
        <v>50</v>
      </c>
      <c r="G1215" s="1" t="str">
        <f t="shared" si="75"/>
        <v/>
      </c>
      <c r="I1215" s="1" t="str">
        <f t="shared" si="73"/>
        <v>威尔新数值1.06.xlsm!circleValue</v>
      </c>
    </row>
    <row r="1216" spans="1:9" x14ac:dyDescent="0.15">
      <c r="A1216" s="1">
        <v>1215</v>
      </c>
      <c r="B1216" s="1">
        <v>102050600</v>
      </c>
      <c r="C1216" s="1">
        <f t="shared" si="76"/>
        <v>103</v>
      </c>
      <c r="D1216" s="5">
        <f ca="1">IF(getQuality(B1216)&lt;4,getOtherMin(B1216,C1216,INDIRECT(J$2),INDIRECT(I1216),test),getMin(B1216,C1216,INDIRECT(J$2),INDIRECT(I1216),test))</f>
        <v>0.1</v>
      </c>
      <c r="E1216" s="5">
        <f ca="1">IF(getQuality(B1216)&lt;4,getOtherMax(B1216,C1216,INDIRECT(J$2),INDIRECT(I1216),test),getMax(B1216,C1216,INDIRECT(J$2),INDIRECT(I1216),test))</f>
        <v>0.13</v>
      </c>
      <c r="F1216" s="1" t="str">
        <f t="shared" si="74"/>
        <v>50</v>
      </c>
      <c r="G1216" s="1" t="str">
        <f t="shared" si="75"/>
        <v/>
      </c>
      <c r="I1216" s="1" t="str">
        <f t="shared" si="73"/>
        <v>威尔新数值1.06.xlsm!otherDamage</v>
      </c>
    </row>
    <row r="1217" spans="1:9" x14ac:dyDescent="0.15">
      <c r="A1217" s="1">
        <v>1216</v>
      </c>
      <c r="B1217" s="1">
        <v>102050600</v>
      </c>
      <c r="C1217" s="1">
        <f t="shared" si="76"/>
        <v>104</v>
      </c>
      <c r="D1217" s="5">
        <f ca="1">IF(getQuality(B1217)&lt;4,getOtherMin(B1217,C1217,INDIRECT(J$2),INDIRECT(I1217),test),getMin(B1217,C1217,INDIRECT(J$2),INDIRECT(I1217),test))</f>
        <v>0.1</v>
      </c>
      <c r="E1217" s="5">
        <f ca="1">IF(getQuality(B1217)&lt;4,getOtherMax(B1217,C1217,INDIRECT(J$2),INDIRECT(I1217),test),getMax(B1217,C1217,INDIRECT(J$2),INDIRECT(I1217),test))</f>
        <v>0.2</v>
      </c>
      <c r="F1217" s="1" t="str">
        <f t="shared" si="74"/>
        <v>50</v>
      </c>
      <c r="G1217" s="1" t="str">
        <f t="shared" si="75"/>
        <v/>
      </c>
      <c r="I1217" s="1" t="str">
        <f t="shared" si="73"/>
        <v>威尔新数值1.06.xlsm!monsterDamage</v>
      </c>
    </row>
    <row r="1218" spans="1:9" x14ac:dyDescent="0.15">
      <c r="A1218" s="1">
        <v>1217</v>
      </c>
      <c r="B1218" s="1">
        <v>102050600</v>
      </c>
      <c r="C1218" s="1">
        <f t="shared" si="76"/>
        <v>105</v>
      </c>
      <c r="D1218" s="5">
        <f ca="1">IF(getQuality(B1218)&lt;4,getOtherMin(B1218,C1218,INDIRECT(J$2),INDIRECT(I1218),test),getMin(B1218,C1218,INDIRECT(J$2),INDIRECT(I1218),test))</f>
        <v>0.1</v>
      </c>
      <c r="E1218" s="5">
        <f ca="1">IF(getQuality(B1218)&lt;4,getOtherMax(B1218,C1218,INDIRECT(J$2),INDIRECT(I1218),test),getMax(B1218,C1218,INDIRECT(J$2),INDIRECT(I1218),test))</f>
        <v>0.2</v>
      </c>
      <c r="F1218" s="1" t="str">
        <f t="shared" si="74"/>
        <v>50</v>
      </c>
      <c r="G1218" s="1" t="str">
        <f t="shared" si="75"/>
        <v/>
      </c>
      <c r="I1218" s="1" t="str">
        <f t="shared" ref="I1218:I1281" si="77">IF(C1218&lt;100,VLOOKUP(C1218,test,3,FALSE),VLOOKUP(C1218,test1,3,FALSE))</f>
        <v>威尔新数值1.06.xlsm!monsterDamage</v>
      </c>
    </row>
    <row r="1219" spans="1:9" x14ac:dyDescent="0.15">
      <c r="A1219" s="1">
        <v>1218</v>
      </c>
      <c r="B1219" s="1">
        <v>102050600</v>
      </c>
      <c r="C1219" s="1">
        <f t="shared" si="76"/>
        <v>106</v>
      </c>
      <c r="D1219" s="5">
        <f ca="1">IF(getQuality(B1219)&lt;4,getOtherMin(B1219,C1219,INDIRECT(J$2),INDIRECT(I1219),test),getMin(B1219,C1219,INDIRECT(J$2),INDIRECT(I1219),test))</f>
        <v>0.1</v>
      </c>
      <c r="E1219" s="5">
        <f ca="1">IF(getQuality(B1219)&lt;4,getOtherMax(B1219,C1219,INDIRECT(J$2),INDIRECT(I1219),test),getMax(B1219,C1219,INDIRECT(J$2),INDIRECT(I1219),test))</f>
        <v>0.2</v>
      </c>
      <c r="F1219" s="1" t="str">
        <f t="shared" ref="F1219:F1282" si="78">getper(B1219,C1219)</f>
        <v>50</v>
      </c>
      <c r="G1219" s="1" t="str">
        <f t="shared" ref="G1219:G1282" si="79">getMust(B1219,C1219)</f>
        <v/>
      </c>
      <c r="I1219" s="1" t="str">
        <f t="shared" si="77"/>
        <v>威尔新数值1.06.xlsm!monsterDamage</v>
      </c>
    </row>
    <row r="1220" spans="1:9" x14ac:dyDescent="0.15">
      <c r="A1220" s="1">
        <v>1219</v>
      </c>
      <c r="B1220" s="1">
        <v>102050600</v>
      </c>
      <c r="C1220" s="1">
        <f t="shared" si="76"/>
        <v>107</v>
      </c>
      <c r="D1220" s="5">
        <f ca="1">IF(getQuality(B1220)&lt;4,getOtherMin(B1220,C1220,INDIRECT(J$2),INDIRECT(I1220),test),getMin(B1220,C1220,INDIRECT(J$2),INDIRECT(I1220),test))</f>
        <v>0.1</v>
      </c>
      <c r="E1220" s="5">
        <f ca="1">IF(getQuality(B1220)&lt;4,getOtherMax(B1220,C1220,INDIRECT(J$2),INDIRECT(I1220),test),getMax(B1220,C1220,INDIRECT(J$2),INDIRECT(I1220),test))</f>
        <v>0.2</v>
      </c>
      <c r="F1220" s="1" t="str">
        <f t="shared" si="78"/>
        <v>50</v>
      </c>
      <c r="G1220" s="1" t="str">
        <f t="shared" si="79"/>
        <v/>
      </c>
      <c r="I1220" s="1" t="str">
        <f t="shared" si="77"/>
        <v>威尔新数值1.06.xlsm!monsterDamage</v>
      </c>
    </row>
    <row r="1221" spans="1:9" x14ac:dyDescent="0.15">
      <c r="A1221" s="1">
        <v>1220</v>
      </c>
      <c r="B1221" s="1">
        <v>102050600</v>
      </c>
      <c r="C1221" s="1">
        <f t="shared" si="76"/>
        <v>108</v>
      </c>
      <c r="D1221" s="5">
        <f ca="1">IF(getQuality(B1221)&lt;4,getOtherMin(B1221,C1221,INDIRECT(J$2),INDIRECT(I1221),test),getMin(B1221,C1221,INDIRECT(J$2),INDIRECT(I1221),test))</f>
        <v>0.1</v>
      </c>
      <c r="E1221" s="5">
        <f ca="1">IF(getQuality(B1221)&lt;4,getOtherMax(B1221,C1221,INDIRECT(J$2),INDIRECT(I1221),test),getMax(B1221,C1221,INDIRECT(J$2),INDIRECT(I1221),test))</f>
        <v>0.2</v>
      </c>
      <c r="F1221" s="1" t="str">
        <f t="shared" si="78"/>
        <v>50</v>
      </c>
      <c r="G1221" s="1" t="str">
        <f t="shared" si="79"/>
        <v/>
      </c>
      <c r="I1221" s="1" t="str">
        <f t="shared" si="77"/>
        <v>威尔新数值1.06.xlsm!monsterDamage</v>
      </c>
    </row>
    <row r="1222" spans="1:9" x14ac:dyDescent="0.15">
      <c r="A1222" s="1">
        <v>1221</v>
      </c>
      <c r="B1222" s="1">
        <v>102060600</v>
      </c>
      <c r="C1222" s="1">
        <f t="shared" si="76"/>
        <v>3</v>
      </c>
      <c r="D1222" s="5">
        <f ca="1">IF(getQuality(B1222)&lt;4,getOtherMin(B1222,C1222,INDIRECT(J$2),INDIRECT(I1222),test),getMin(B1222,C1222,INDIRECT(J$2),INDIRECT(I1222),test))</f>
        <v>149.01542709608177</v>
      </c>
      <c r="E1222" s="5">
        <f ca="1">IF(getQuality(B1222)&lt;4,getOtherMax(B1222,C1222,INDIRECT(J$2),INDIRECT(I1222),test),getMax(B1222,C1222,INDIRECT(J$2),INDIRECT(I1222),test))</f>
        <v>190.22369727444828</v>
      </c>
      <c r="F1222" s="1" t="str">
        <f t="shared" si="78"/>
        <v>50</v>
      </c>
      <c r="G1222" s="1" t="str">
        <f t="shared" si="79"/>
        <v/>
      </c>
      <c r="I1222" s="1" t="str">
        <f t="shared" si="77"/>
        <v>威尔新数值1.06.xlsm!suitPower</v>
      </c>
    </row>
    <row r="1223" spans="1:9" x14ac:dyDescent="0.15">
      <c r="A1223" s="1">
        <v>1222</v>
      </c>
      <c r="B1223" s="1">
        <v>102060600</v>
      </c>
      <c r="C1223" s="1">
        <f t="shared" si="76"/>
        <v>5</v>
      </c>
      <c r="D1223" s="5">
        <f ca="1">IF(getQuality(B1223)&lt;4,getOtherMin(B1223,C1223,INDIRECT(J$2),INDIRECT(I1223),test),getMin(B1223,C1223,INDIRECT(J$2),INDIRECT(I1223),test))</f>
        <v>149.01542709608177</v>
      </c>
      <c r="E1223" s="5">
        <f ca="1">IF(getQuality(B1223)&lt;4,getOtherMax(B1223,C1223,INDIRECT(J$2),INDIRECT(I1223),test),getMax(B1223,C1223,INDIRECT(J$2),INDIRECT(I1223),test))</f>
        <v>190.22369727444828</v>
      </c>
      <c r="F1223" s="1" t="str">
        <f t="shared" si="78"/>
        <v>50</v>
      </c>
      <c r="G1223" s="1" t="str">
        <f t="shared" si="79"/>
        <v>1</v>
      </c>
      <c r="I1223" s="1" t="str">
        <f t="shared" si="77"/>
        <v>威尔新数值1.06.xlsm!suitPower</v>
      </c>
    </row>
    <row r="1224" spans="1:9" x14ac:dyDescent="0.15">
      <c r="A1224" s="1">
        <v>1223</v>
      </c>
      <c r="B1224" s="1">
        <v>102060600</v>
      </c>
      <c r="C1224" s="1">
        <f t="shared" si="76"/>
        <v>7</v>
      </c>
      <c r="D1224" s="5">
        <f ca="1">IF(getQuality(B1224)&lt;4,getOtherMin(B1224,C1224,INDIRECT(J$2),INDIRECT(I1224),test),getMin(B1224,C1224,INDIRECT(J$2),INDIRECT(I1224),test))</f>
        <v>33.407407407407327</v>
      </c>
      <c r="E1224" s="5">
        <f ca="1">IF(getQuality(B1224)&lt;4,getOtherMax(B1224,C1224,INDIRECT(J$2),INDIRECT(I1224),test),getMax(B1224,C1224,INDIRECT(J$2),INDIRECT(I1224),test))</f>
        <v>38.888888888888786</v>
      </c>
      <c r="F1224" s="1" t="str">
        <f t="shared" si="78"/>
        <v>50</v>
      </c>
      <c r="G1224" s="1" t="str">
        <f t="shared" si="79"/>
        <v/>
      </c>
      <c r="I1224" s="1" t="str">
        <f t="shared" si="77"/>
        <v>威尔新数值1.06.xlsm!suitPower</v>
      </c>
    </row>
    <row r="1225" spans="1:9" x14ac:dyDescent="0.15">
      <c r="A1225" s="1">
        <v>1224</v>
      </c>
      <c r="B1225" s="1">
        <v>102060600</v>
      </c>
      <c r="C1225" s="1">
        <f t="shared" si="76"/>
        <v>8</v>
      </c>
      <c r="D1225" s="5">
        <f ca="1">IF(getQuality(B1225)&lt;4,getOtherMin(B1225,C1225,INDIRECT(J$2),INDIRECT(I1225),test),getMin(B1225,C1225,INDIRECT(J$2),INDIRECT(I1225),test))</f>
        <v>73.916666666666671</v>
      </c>
      <c r="E1225" s="5">
        <f ca="1">IF(getQuality(B1225)&lt;4,getOtherMax(B1225,C1225,INDIRECT(J$2),INDIRECT(I1225),test),getMax(B1225,C1225,INDIRECT(J$2),INDIRECT(I1225),test))</f>
        <v>87.5</v>
      </c>
      <c r="F1225" s="1" t="str">
        <f t="shared" si="78"/>
        <v>50</v>
      </c>
      <c r="G1225" s="1" t="str">
        <f t="shared" si="79"/>
        <v/>
      </c>
      <c r="I1225" s="1" t="str">
        <f t="shared" si="77"/>
        <v>威尔新数值1.06.xlsm!suitPower</v>
      </c>
    </row>
    <row r="1226" spans="1:9" x14ac:dyDescent="0.15">
      <c r="A1226" s="1">
        <v>1225</v>
      </c>
      <c r="B1226" s="1">
        <v>102060600</v>
      </c>
      <c r="C1226" s="1">
        <f t="shared" si="76"/>
        <v>9</v>
      </c>
      <c r="D1226" s="5">
        <f ca="1">IF(getQuality(B1226)&lt;4,getOtherMin(B1226,C1226,INDIRECT(J$2),INDIRECT(I1226),test),getMin(B1226,C1226,INDIRECT(J$2),INDIRECT(I1226),test))</f>
        <v>149.01542709608177</v>
      </c>
      <c r="E1226" s="5">
        <f ca="1">IF(getQuality(B1226)&lt;4,getOtherMax(B1226,C1226,INDIRECT(J$2),INDIRECT(I1226),test),getMax(B1226,C1226,INDIRECT(J$2),INDIRECT(I1226),test))</f>
        <v>190.22369727444828</v>
      </c>
      <c r="F1226" s="1" t="str">
        <f t="shared" si="78"/>
        <v>50</v>
      </c>
      <c r="G1226" s="1" t="str">
        <f t="shared" si="79"/>
        <v/>
      </c>
      <c r="I1226" s="1" t="str">
        <f t="shared" si="77"/>
        <v>威尔新数值1.06.xlsm!suitPower</v>
      </c>
    </row>
    <row r="1227" spans="1:9" x14ac:dyDescent="0.15">
      <c r="A1227" s="1">
        <v>1226</v>
      </c>
      <c r="B1227" s="1">
        <v>102060600</v>
      </c>
      <c r="C1227" s="1">
        <f t="shared" si="76"/>
        <v>10</v>
      </c>
      <c r="D1227" s="5">
        <f ca="1">IF(getQuality(B1227)&lt;4,getOtherMin(B1227,C1227,INDIRECT(J$2),INDIRECT(I1227),test),getMin(B1227,C1227,INDIRECT(J$2),INDIRECT(I1227),test))</f>
        <v>149.01542709608177</v>
      </c>
      <c r="E1227" s="5">
        <f ca="1">IF(getQuality(B1227)&lt;4,getOtherMax(B1227,C1227,INDIRECT(J$2),INDIRECT(I1227),test),getMax(B1227,C1227,INDIRECT(J$2),INDIRECT(I1227),test))</f>
        <v>190.22369727444828</v>
      </c>
      <c r="F1227" s="1" t="str">
        <f t="shared" si="78"/>
        <v>50</v>
      </c>
      <c r="G1227" s="1" t="str">
        <f t="shared" si="79"/>
        <v/>
      </c>
      <c r="I1227" s="1" t="str">
        <f t="shared" si="77"/>
        <v>威尔新数值1.06.xlsm!suitPower</v>
      </c>
    </row>
    <row r="1228" spans="1:9" x14ac:dyDescent="0.15">
      <c r="A1228" s="1">
        <v>1227</v>
      </c>
      <c r="B1228" s="1">
        <v>102060600</v>
      </c>
      <c r="C1228" s="1">
        <f t="shared" si="76"/>
        <v>11</v>
      </c>
      <c r="D1228" s="5">
        <f ca="1">IF(getQuality(B1228)&lt;4,getOtherMin(B1228,C1228,INDIRECT(J$2),INDIRECT(I1228),test),getMin(B1228,C1228,INDIRECT(J$2),INDIRECT(I1228),test))</f>
        <v>149.01542709608177</v>
      </c>
      <c r="E1228" s="5">
        <f ca="1">IF(getQuality(B1228)&lt;4,getOtherMax(B1228,C1228,INDIRECT(J$2),INDIRECT(I1228),test),getMax(B1228,C1228,INDIRECT(J$2),INDIRECT(I1228),test))</f>
        <v>190.22369727444828</v>
      </c>
      <c r="F1228" s="1" t="str">
        <f t="shared" si="78"/>
        <v>50</v>
      </c>
      <c r="G1228" s="1" t="str">
        <f t="shared" si="79"/>
        <v/>
      </c>
      <c r="I1228" s="1" t="str">
        <f t="shared" si="77"/>
        <v>威尔新数值1.06.xlsm!suitPower</v>
      </c>
    </row>
    <row r="1229" spans="1:9" x14ac:dyDescent="0.15">
      <c r="A1229" s="1">
        <v>1228</v>
      </c>
      <c r="B1229" s="1">
        <v>102060600</v>
      </c>
      <c r="C1229" s="1">
        <f t="shared" si="76"/>
        <v>12</v>
      </c>
      <c r="D1229" s="5">
        <f ca="1">IF(getQuality(B1229)&lt;4,getOtherMin(B1229,C1229,INDIRECT(J$2),INDIRECT(I1229),test),getMin(B1229,C1229,INDIRECT(J$2),INDIRECT(I1229),test))</f>
        <v>149.01542709608177</v>
      </c>
      <c r="E1229" s="5">
        <f ca="1">IF(getQuality(B1229)&lt;4,getOtherMax(B1229,C1229,INDIRECT(J$2),INDIRECT(I1229),test),getMax(B1229,C1229,INDIRECT(J$2),INDIRECT(I1229),test))</f>
        <v>190.22369727444828</v>
      </c>
      <c r="F1229" s="1" t="str">
        <f t="shared" si="78"/>
        <v>50</v>
      </c>
      <c r="G1229" s="1" t="str">
        <f t="shared" si="79"/>
        <v/>
      </c>
      <c r="I1229" s="1" t="str">
        <f t="shared" si="77"/>
        <v>威尔新数值1.06.xlsm!suitPower</v>
      </c>
    </row>
    <row r="1230" spans="1:9" x14ac:dyDescent="0.15">
      <c r="A1230" s="1">
        <v>1229</v>
      </c>
      <c r="B1230" s="1">
        <v>102060600</v>
      </c>
      <c r="C1230" s="1">
        <f t="shared" si="76"/>
        <v>13</v>
      </c>
      <c r="D1230" s="5">
        <f ca="1">IF(getQuality(B1230)&lt;4,getOtherMin(B1230,C1230,INDIRECT(J$2),INDIRECT(I1230),test),getMin(B1230,C1230,INDIRECT(J$2),INDIRECT(I1230),test))</f>
        <v>149.01542709608177</v>
      </c>
      <c r="E1230" s="5">
        <f ca="1">IF(getQuality(B1230)&lt;4,getOtherMax(B1230,C1230,INDIRECT(J$2),INDIRECT(I1230),test),getMax(B1230,C1230,INDIRECT(J$2),INDIRECT(I1230),test))</f>
        <v>190.22369727444828</v>
      </c>
      <c r="F1230" s="1" t="str">
        <f t="shared" si="78"/>
        <v>50</v>
      </c>
      <c r="G1230" s="1" t="str">
        <f t="shared" si="79"/>
        <v/>
      </c>
      <c r="I1230" s="1" t="str">
        <f t="shared" si="77"/>
        <v>威尔新数值1.06.xlsm!suitPower</v>
      </c>
    </row>
    <row r="1231" spans="1:9" x14ac:dyDescent="0.15">
      <c r="A1231" s="1">
        <v>1230</v>
      </c>
      <c r="B1231" s="1">
        <v>102060600</v>
      </c>
      <c r="C1231" s="1">
        <f t="shared" si="76"/>
        <v>14</v>
      </c>
      <c r="D1231" s="5">
        <f ca="1">IF(getQuality(B1231)&lt;4,getOtherMin(B1231,C1231,INDIRECT(J$2),INDIRECT(I1231),test),getMin(B1231,C1231,INDIRECT(J$2),INDIRECT(I1231),test))</f>
        <v>149.01542709608177</v>
      </c>
      <c r="E1231" s="5">
        <f ca="1">IF(getQuality(B1231)&lt;4,getOtherMax(B1231,C1231,INDIRECT(J$2),INDIRECT(I1231),test),getMax(B1231,C1231,INDIRECT(J$2),INDIRECT(I1231),test))</f>
        <v>190.22369727444828</v>
      </c>
      <c r="F1231" s="1" t="str">
        <f t="shared" si="78"/>
        <v>50</v>
      </c>
      <c r="G1231" s="1" t="str">
        <f t="shared" si="79"/>
        <v/>
      </c>
      <c r="I1231" s="1" t="str">
        <f t="shared" si="77"/>
        <v>威尔新数值1.06.xlsm!suitPower</v>
      </c>
    </row>
    <row r="1232" spans="1:9" x14ac:dyDescent="0.15">
      <c r="A1232" s="1">
        <v>1231</v>
      </c>
      <c r="B1232" s="1">
        <v>102060600</v>
      </c>
      <c r="C1232" s="1">
        <f t="shared" si="76"/>
        <v>15</v>
      </c>
      <c r="D1232" s="5">
        <f ca="1">IF(getQuality(B1232)&lt;4,getOtherMin(B1232,C1232,INDIRECT(J$2),INDIRECT(I1232),test),getMin(B1232,C1232,INDIRECT(J$2),INDIRECT(I1232),test))</f>
        <v>149.01542709608177</v>
      </c>
      <c r="E1232" s="5">
        <f ca="1">IF(getQuality(B1232)&lt;4,getOtherMax(B1232,C1232,INDIRECT(J$2),INDIRECT(I1232),test),getMax(B1232,C1232,INDIRECT(J$2),INDIRECT(I1232),test))</f>
        <v>190.22369727444828</v>
      </c>
      <c r="F1232" s="1" t="str">
        <f t="shared" si="78"/>
        <v>50</v>
      </c>
      <c r="G1232" s="1" t="str">
        <f t="shared" si="79"/>
        <v/>
      </c>
      <c r="I1232" s="1" t="str">
        <f t="shared" si="77"/>
        <v>威尔新数值1.06.xlsm!suitPower</v>
      </c>
    </row>
    <row r="1233" spans="1:9" x14ac:dyDescent="0.15">
      <c r="A1233" s="1">
        <v>1232</v>
      </c>
      <c r="B1233" s="1">
        <v>102060600</v>
      </c>
      <c r="C1233" s="1">
        <f t="shared" si="76"/>
        <v>101</v>
      </c>
      <c r="D1233" s="5">
        <f ca="1">IF(getQuality(B1233)&lt;4,getOtherMin(B1233,C1233,INDIRECT(J$2),INDIRECT(I1233),test),getMin(B1233,C1233,INDIRECT(J$2),INDIRECT(I1233),test))</f>
        <v>0.11</v>
      </c>
      <c r="E1233" s="5">
        <f ca="1">IF(getQuality(B1233)&lt;4,getOtherMax(B1233,C1233,INDIRECT(J$2),INDIRECT(I1233),test),getMax(B1233,C1233,INDIRECT(J$2),INDIRECT(I1233),test))</f>
        <v>0.14000000000000001</v>
      </c>
      <c r="F1233" s="1" t="str">
        <f t="shared" si="78"/>
        <v>50</v>
      </c>
      <c r="G1233" s="1" t="str">
        <f t="shared" si="79"/>
        <v/>
      </c>
      <c r="I1233" s="1" t="str">
        <f t="shared" si="77"/>
        <v>威尔新数值1.06.xlsm!circlePer</v>
      </c>
    </row>
    <row r="1234" spans="1:9" x14ac:dyDescent="0.15">
      <c r="A1234" s="1">
        <v>1233</v>
      </c>
      <c r="B1234" s="1">
        <v>102060600</v>
      </c>
      <c r="C1234" s="1">
        <f t="shared" si="76"/>
        <v>102</v>
      </c>
      <c r="D1234" s="5">
        <f ca="1">IF(getQuality(B1234)&lt;4,getOtherMin(B1234,C1234,INDIRECT(J$2),INDIRECT(I1234),test),getMin(B1234,C1234,INDIRECT(J$2),INDIRECT(I1234),test))</f>
        <v>0.9</v>
      </c>
      <c r="E1234" s="5">
        <f ca="1">IF(getQuality(B1234)&lt;4,getOtherMax(B1234,C1234,INDIRECT(J$2),INDIRECT(I1234),test),getMax(B1234,C1234,INDIRECT(J$2),INDIRECT(I1234),test))</f>
        <v>1.3</v>
      </c>
      <c r="F1234" s="1" t="str">
        <f t="shared" si="78"/>
        <v>50</v>
      </c>
      <c r="G1234" s="1" t="str">
        <f t="shared" si="79"/>
        <v/>
      </c>
      <c r="I1234" s="1" t="str">
        <f t="shared" si="77"/>
        <v>威尔新数值1.06.xlsm!circleValue</v>
      </c>
    </row>
    <row r="1235" spans="1:9" x14ac:dyDescent="0.15">
      <c r="A1235" s="1">
        <v>1234</v>
      </c>
      <c r="B1235" s="1">
        <v>102060600</v>
      </c>
      <c r="C1235" s="1">
        <f t="shared" si="76"/>
        <v>103</v>
      </c>
      <c r="D1235" s="5">
        <f ca="1">IF(getQuality(B1235)&lt;4,getOtherMin(B1235,C1235,INDIRECT(J$2),INDIRECT(I1235),test),getMin(B1235,C1235,INDIRECT(J$2),INDIRECT(I1235),test))</f>
        <v>0.11</v>
      </c>
      <c r="E1235" s="5">
        <f ca="1">IF(getQuality(B1235)&lt;4,getOtherMax(B1235,C1235,INDIRECT(J$2),INDIRECT(I1235),test),getMax(B1235,C1235,INDIRECT(J$2),INDIRECT(I1235),test))</f>
        <v>0.14000000000000001</v>
      </c>
      <c r="F1235" s="1" t="str">
        <f t="shared" si="78"/>
        <v>50</v>
      </c>
      <c r="G1235" s="1" t="str">
        <f t="shared" si="79"/>
        <v/>
      </c>
      <c r="I1235" s="1" t="str">
        <f t="shared" si="77"/>
        <v>威尔新数值1.06.xlsm!otherDamage</v>
      </c>
    </row>
    <row r="1236" spans="1:9" x14ac:dyDescent="0.15">
      <c r="A1236" s="1">
        <v>1235</v>
      </c>
      <c r="B1236" s="1">
        <v>102060600</v>
      </c>
      <c r="C1236" s="1">
        <f t="shared" si="76"/>
        <v>104</v>
      </c>
      <c r="D1236" s="5">
        <f ca="1">IF(getQuality(B1236)&lt;4,getOtherMin(B1236,C1236,INDIRECT(J$2),INDIRECT(I1236),test),getMin(B1236,C1236,INDIRECT(J$2),INDIRECT(I1236),test))</f>
        <v>0.11</v>
      </c>
      <c r="E1236" s="5">
        <f ca="1">IF(getQuality(B1236)&lt;4,getOtherMax(B1236,C1236,INDIRECT(J$2),INDIRECT(I1236),test),getMax(B1236,C1236,INDIRECT(J$2),INDIRECT(I1236),test))</f>
        <v>0.22</v>
      </c>
      <c r="F1236" s="1" t="str">
        <f t="shared" si="78"/>
        <v>50</v>
      </c>
      <c r="G1236" s="1" t="str">
        <f t="shared" si="79"/>
        <v/>
      </c>
      <c r="I1236" s="1" t="str">
        <f t="shared" si="77"/>
        <v>威尔新数值1.06.xlsm!monsterDamage</v>
      </c>
    </row>
    <row r="1237" spans="1:9" x14ac:dyDescent="0.15">
      <c r="A1237" s="1">
        <v>1236</v>
      </c>
      <c r="B1237" s="1">
        <v>102060600</v>
      </c>
      <c r="C1237" s="1">
        <f t="shared" si="76"/>
        <v>105</v>
      </c>
      <c r="D1237" s="5">
        <f ca="1">IF(getQuality(B1237)&lt;4,getOtherMin(B1237,C1237,INDIRECT(J$2),INDIRECT(I1237),test),getMin(B1237,C1237,INDIRECT(J$2),INDIRECT(I1237),test))</f>
        <v>0.11</v>
      </c>
      <c r="E1237" s="5">
        <f ca="1">IF(getQuality(B1237)&lt;4,getOtherMax(B1237,C1237,INDIRECT(J$2),INDIRECT(I1237),test),getMax(B1237,C1237,INDIRECT(J$2),INDIRECT(I1237),test))</f>
        <v>0.22</v>
      </c>
      <c r="F1237" s="1" t="str">
        <f t="shared" si="78"/>
        <v>50</v>
      </c>
      <c r="G1237" s="1" t="str">
        <f t="shared" si="79"/>
        <v/>
      </c>
      <c r="I1237" s="1" t="str">
        <f t="shared" si="77"/>
        <v>威尔新数值1.06.xlsm!monsterDamage</v>
      </c>
    </row>
    <row r="1238" spans="1:9" x14ac:dyDescent="0.15">
      <c r="A1238" s="1">
        <v>1237</v>
      </c>
      <c r="B1238" s="1">
        <v>102060600</v>
      </c>
      <c r="C1238" s="1">
        <f t="shared" si="76"/>
        <v>106</v>
      </c>
      <c r="D1238" s="5">
        <f ca="1">IF(getQuality(B1238)&lt;4,getOtherMin(B1238,C1238,INDIRECT(J$2),INDIRECT(I1238),test),getMin(B1238,C1238,INDIRECT(J$2),INDIRECT(I1238),test))</f>
        <v>0.11</v>
      </c>
      <c r="E1238" s="5">
        <f ca="1">IF(getQuality(B1238)&lt;4,getOtherMax(B1238,C1238,INDIRECT(J$2),INDIRECT(I1238),test),getMax(B1238,C1238,INDIRECT(J$2),INDIRECT(I1238),test))</f>
        <v>0.22</v>
      </c>
      <c r="F1238" s="1" t="str">
        <f t="shared" si="78"/>
        <v>50</v>
      </c>
      <c r="G1238" s="1" t="str">
        <f t="shared" si="79"/>
        <v/>
      </c>
      <c r="I1238" s="1" t="str">
        <f t="shared" si="77"/>
        <v>威尔新数值1.06.xlsm!monsterDamage</v>
      </c>
    </row>
    <row r="1239" spans="1:9" x14ac:dyDescent="0.15">
      <c r="A1239" s="1">
        <v>1238</v>
      </c>
      <c r="B1239" s="1">
        <v>102060600</v>
      </c>
      <c r="C1239" s="1">
        <f t="shared" si="76"/>
        <v>107</v>
      </c>
      <c r="D1239" s="5">
        <f ca="1">IF(getQuality(B1239)&lt;4,getOtherMin(B1239,C1239,INDIRECT(J$2),INDIRECT(I1239),test),getMin(B1239,C1239,INDIRECT(J$2),INDIRECT(I1239),test))</f>
        <v>0.11</v>
      </c>
      <c r="E1239" s="5">
        <f ca="1">IF(getQuality(B1239)&lt;4,getOtherMax(B1239,C1239,INDIRECT(J$2),INDIRECT(I1239),test),getMax(B1239,C1239,INDIRECT(J$2),INDIRECT(I1239),test))</f>
        <v>0.22</v>
      </c>
      <c r="F1239" s="1" t="str">
        <f t="shared" si="78"/>
        <v>50</v>
      </c>
      <c r="G1239" s="1" t="str">
        <f t="shared" si="79"/>
        <v/>
      </c>
      <c r="I1239" s="1" t="str">
        <f t="shared" si="77"/>
        <v>威尔新数值1.06.xlsm!monsterDamage</v>
      </c>
    </row>
    <row r="1240" spans="1:9" x14ac:dyDescent="0.15">
      <c r="A1240" s="1">
        <v>1239</v>
      </c>
      <c r="B1240" s="1">
        <v>102060600</v>
      </c>
      <c r="C1240" s="1">
        <f t="shared" si="76"/>
        <v>108</v>
      </c>
      <c r="D1240" s="5">
        <f ca="1">IF(getQuality(B1240)&lt;4,getOtherMin(B1240,C1240,INDIRECT(J$2),INDIRECT(I1240),test),getMin(B1240,C1240,INDIRECT(J$2),INDIRECT(I1240),test))</f>
        <v>0.11</v>
      </c>
      <c r="E1240" s="5">
        <f ca="1">IF(getQuality(B1240)&lt;4,getOtherMax(B1240,C1240,INDIRECT(J$2),INDIRECT(I1240),test),getMax(B1240,C1240,INDIRECT(J$2),INDIRECT(I1240),test))</f>
        <v>0.22</v>
      </c>
      <c r="F1240" s="1" t="str">
        <f t="shared" si="78"/>
        <v>50</v>
      </c>
      <c r="G1240" s="1" t="str">
        <f t="shared" si="79"/>
        <v/>
      </c>
      <c r="I1240" s="1" t="str">
        <f t="shared" si="77"/>
        <v>威尔新数值1.06.xlsm!monsterDamage</v>
      </c>
    </row>
    <row r="1241" spans="1:9" x14ac:dyDescent="0.15">
      <c r="A1241" s="1">
        <v>1240</v>
      </c>
      <c r="B1241" s="1">
        <v>102070600</v>
      </c>
      <c r="C1241" s="1">
        <f t="shared" si="76"/>
        <v>3</v>
      </c>
      <c r="D1241" s="5">
        <f ca="1">IF(getQuality(B1241)&lt;4,getOtherMin(B1241,C1241,INDIRECT(J$2),INDIRECT(I1241),test),getMin(B1241,C1241,INDIRECT(J$2),INDIRECT(I1241),test))</f>
        <v>191.22369727444828</v>
      </c>
      <c r="E1241" s="5">
        <f ca="1">IF(getQuality(B1241)&lt;4,getOtherMax(B1241,C1241,INDIRECT(J$2),INDIRECT(I1241),test),getMax(B1241,C1241,INDIRECT(J$2),INDIRECT(I1241),test))</f>
        <v>236.63369570586491</v>
      </c>
      <c r="F1241" s="1" t="str">
        <f t="shared" si="78"/>
        <v>50</v>
      </c>
      <c r="G1241" s="1" t="str">
        <f t="shared" si="79"/>
        <v/>
      </c>
      <c r="I1241" s="1" t="str">
        <f t="shared" si="77"/>
        <v>威尔新数值1.06.xlsm!suitPower</v>
      </c>
    </row>
    <row r="1242" spans="1:9" x14ac:dyDescent="0.15">
      <c r="A1242" s="1">
        <v>1241</v>
      </c>
      <c r="B1242" s="1">
        <v>102070600</v>
      </c>
      <c r="C1242" s="1">
        <f t="shared" si="76"/>
        <v>5</v>
      </c>
      <c r="D1242" s="5">
        <f ca="1">IF(getQuality(B1242)&lt;4,getOtherMin(B1242,C1242,INDIRECT(J$2),INDIRECT(I1242),test),getMin(B1242,C1242,INDIRECT(J$2),INDIRECT(I1242),test))</f>
        <v>191.22369727444828</v>
      </c>
      <c r="E1242" s="5">
        <f ca="1">IF(getQuality(B1242)&lt;4,getOtherMax(B1242,C1242,INDIRECT(J$2),INDIRECT(I1242),test),getMax(B1242,C1242,INDIRECT(J$2),INDIRECT(I1242),test))</f>
        <v>236.63369570586491</v>
      </c>
      <c r="F1242" s="1" t="str">
        <f t="shared" si="78"/>
        <v>50</v>
      </c>
      <c r="G1242" s="1" t="str">
        <f t="shared" si="79"/>
        <v>1</v>
      </c>
      <c r="I1242" s="1" t="str">
        <f t="shared" si="77"/>
        <v>威尔新数值1.06.xlsm!suitPower</v>
      </c>
    </row>
    <row r="1243" spans="1:9" x14ac:dyDescent="0.15">
      <c r="A1243" s="1">
        <v>1242</v>
      </c>
      <c r="B1243" s="1">
        <v>102070600</v>
      </c>
      <c r="C1243" s="1">
        <f t="shared" si="76"/>
        <v>7</v>
      </c>
      <c r="D1243" s="5">
        <f ca="1">IF(getQuality(B1243)&lt;4,getOtherMin(B1243,C1243,INDIRECT(J$2),INDIRECT(I1243),test),getMin(B1243,C1243,INDIRECT(J$2),INDIRECT(I1243),test))</f>
        <v>39.888888888888786</v>
      </c>
      <c r="E1243" s="5">
        <f ca="1">IF(getQuality(B1243)&lt;4,getOtherMax(B1243,C1243,INDIRECT(J$2),INDIRECT(I1243),test),getMax(B1243,C1243,INDIRECT(J$2),INDIRECT(I1243),test))</f>
        <v>45.370370370370253</v>
      </c>
      <c r="F1243" s="1" t="str">
        <f t="shared" si="78"/>
        <v>50</v>
      </c>
      <c r="G1243" s="1" t="str">
        <f t="shared" si="79"/>
        <v/>
      </c>
      <c r="I1243" s="1" t="str">
        <f t="shared" si="77"/>
        <v>威尔新数值1.06.xlsm!suitPower</v>
      </c>
    </row>
    <row r="1244" spans="1:9" x14ac:dyDescent="0.15">
      <c r="A1244" s="1">
        <v>1243</v>
      </c>
      <c r="B1244" s="1">
        <v>102070600</v>
      </c>
      <c r="C1244" s="1">
        <f t="shared" si="76"/>
        <v>8</v>
      </c>
      <c r="D1244" s="5">
        <f ca="1">IF(getQuality(B1244)&lt;4,getOtherMin(B1244,C1244,INDIRECT(J$2),INDIRECT(I1244),test),getMin(B1244,C1244,INDIRECT(J$2),INDIRECT(I1244),test))</f>
        <v>88.5</v>
      </c>
      <c r="E1244" s="5">
        <f ca="1">IF(getQuality(B1244)&lt;4,getOtherMax(B1244,C1244,INDIRECT(J$2),INDIRECT(I1244),test),getMax(B1244,C1244,INDIRECT(J$2),INDIRECT(I1244),test))</f>
        <v>102.08333333333333</v>
      </c>
      <c r="F1244" s="1" t="str">
        <f t="shared" si="78"/>
        <v>50</v>
      </c>
      <c r="G1244" s="1" t="str">
        <f t="shared" si="79"/>
        <v/>
      </c>
      <c r="I1244" s="1" t="str">
        <f t="shared" si="77"/>
        <v>威尔新数值1.06.xlsm!suitPower</v>
      </c>
    </row>
    <row r="1245" spans="1:9" x14ac:dyDescent="0.15">
      <c r="A1245" s="1">
        <v>1244</v>
      </c>
      <c r="B1245" s="1">
        <v>102070600</v>
      </c>
      <c r="C1245" s="1">
        <f t="shared" si="76"/>
        <v>9</v>
      </c>
      <c r="D1245" s="5">
        <f ca="1">IF(getQuality(B1245)&lt;4,getOtherMin(B1245,C1245,INDIRECT(J$2),INDIRECT(I1245),test),getMin(B1245,C1245,INDIRECT(J$2),INDIRECT(I1245),test))</f>
        <v>191.22369727444828</v>
      </c>
      <c r="E1245" s="5">
        <f ca="1">IF(getQuality(B1245)&lt;4,getOtherMax(B1245,C1245,INDIRECT(J$2),INDIRECT(I1245),test),getMax(B1245,C1245,INDIRECT(J$2),INDIRECT(I1245),test))</f>
        <v>236.63369570586491</v>
      </c>
      <c r="F1245" s="1" t="str">
        <f t="shared" si="78"/>
        <v>50</v>
      </c>
      <c r="G1245" s="1" t="str">
        <f t="shared" si="79"/>
        <v/>
      </c>
      <c r="I1245" s="1" t="str">
        <f t="shared" si="77"/>
        <v>威尔新数值1.06.xlsm!suitPower</v>
      </c>
    </row>
    <row r="1246" spans="1:9" x14ac:dyDescent="0.15">
      <c r="A1246" s="1">
        <v>1245</v>
      </c>
      <c r="B1246" s="1">
        <v>102070600</v>
      </c>
      <c r="C1246" s="1">
        <f t="shared" si="76"/>
        <v>10</v>
      </c>
      <c r="D1246" s="5">
        <f ca="1">IF(getQuality(B1246)&lt;4,getOtherMin(B1246,C1246,INDIRECT(J$2),INDIRECT(I1246),test),getMin(B1246,C1246,INDIRECT(J$2),INDIRECT(I1246),test))</f>
        <v>191.22369727444828</v>
      </c>
      <c r="E1246" s="5">
        <f ca="1">IF(getQuality(B1246)&lt;4,getOtherMax(B1246,C1246,INDIRECT(J$2),INDIRECT(I1246),test),getMax(B1246,C1246,INDIRECT(J$2),INDIRECT(I1246),test))</f>
        <v>236.63369570586491</v>
      </c>
      <c r="F1246" s="1" t="str">
        <f t="shared" si="78"/>
        <v>50</v>
      </c>
      <c r="G1246" s="1" t="str">
        <f t="shared" si="79"/>
        <v/>
      </c>
      <c r="I1246" s="1" t="str">
        <f t="shared" si="77"/>
        <v>威尔新数值1.06.xlsm!suitPower</v>
      </c>
    </row>
    <row r="1247" spans="1:9" x14ac:dyDescent="0.15">
      <c r="A1247" s="1">
        <v>1246</v>
      </c>
      <c r="B1247" s="1">
        <v>102070600</v>
      </c>
      <c r="C1247" s="1">
        <f t="shared" si="76"/>
        <v>11</v>
      </c>
      <c r="D1247" s="5">
        <f ca="1">IF(getQuality(B1247)&lt;4,getOtherMin(B1247,C1247,INDIRECT(J$2),INDIRECT(I1247),test),getMin(B1247,C1247,INDIRECT(J$2),INDIRECT(I1247),test))</f>
        <v>191.22369727444828</v>
      </c>
      <c r="E1247" s="5">
        <f ca="1">IF(getQuality(B1247)&lt;4,getOtherMax(B1247,C1247,INDIRECT(J$2),INDIRECT(I1247),test),getMax(B1247,C1247,INDIRECT(J$2),INDIRECT(I1247),test))</f>
        <v>236.63369570586491</v>
      </c>
      <c r="F1247" s="1" t="str">
        <f t="shared" si="78"/>
        <v>50</v>
      </c>
      <c r="G1247" s="1" t="str">
        <f t="shared" si="79"/>
        <v/>
      </c>
      <c r="I1247" s="1" t="str">
        <f t="shared" si="77"/>
        <v>威尔新数值1.06.xlsm!suitPower</v>
      </c>
    </row>
    <row r="1248" spans="1:9" x14ac:dyDescent="0.15">
      <c r="A1248" s="1">
        <v>1247</v>
      </c>
      <c r="B1248" s="1">
        <v>102070600</v>
      </c>
      <c r="C1248" s="1">
        <f t="shared" si="76"/>
        <v>12</v>
      </c>
      <c r="D1248" s="5">
        <f ca="1">IF(getQuality(B1248)&lt;4,getOtherMin(B1248,C1248,INDIRECT(J$2),INDIRECT(I1248),test),getMin(B1248,C1248,INDIRECT(J$2),INDIRECT(I1248),test))</f>
        <v>191.22369727444828</v>
      </c>
      <c r="E1248" s="5">
        <f ca="1">IF(getQuality(B1248)&lt;4,getOtherMax(B1248,C1248,INDIRECT(J$2),INDIRECT(I1248),test),getMax(B1248,C1248,INDIRECT(J$2),INDIRECT(I1248),test))</f>
        <v>236.63369570586491</v>
      </c>
      <c r="F1248" s="1" t="str">
        <f t="shared" si="78"/>
        <v>50</v>
      </c>
      <c r="G1248" s="1" t="str">
        <f t="shared" si="79"/>
        <v/>
      </c>
      <c r="I1248" s="1" t="str">
        <f t="shared" si="77"/>
        <v>威尔新数值1.06.xlsm!suitPower</v>
      </c>
    </row>
    <row r="1249" spans="1:9" x14ac:dyDescent="0.15">
      <c r="A1249" s="1">
        <v>1248</v>
      </c>
      <c r="B1249" s="1">
        <v>102070600</v>
      </c>
      <c r="C1249" s="1">
        <f t="shared" si="76"/>
        <v>13</v>
      </c>
      <c r="D1249" s="5">
        <f ca="1">IF(getQuality(B1249)&lt;4,getOtherMin(B1249,C1249,INDIRECT(J$2),INDIRECT(I1249),test),getMin(B1249,C1249,INDIRECT(J$2),INDIRECT(I1249),test))</f>
        <v>191.22369727444828</v>
      </c>
      <c r="E1249" s="5">
        <f ca="1">IF(getQuality(B1249)&lt;4,getOtherMax(B1249,C1249,INDIRECT(J$2),INDIRECT(I1249),test),getMax(B1249,C1249,INDIRECT(J$2),INDIRECT(I1249),test))</f>
        <v>236.63369570586491</v>
      </c>
      <c r="F1249" s="1" t="str">
        <f t="shared" si="78"/>
        <v>50</v>
      </c>
      <c r="G1249" s="1" t="str">
        <f t="shared" si="79"/>
        <v/>
      </c>
      <c r="I1249" s="1" t="str">
        <f t="shared" si="77"/>
        <v>威尔新数值1.06.xlsm!suitPower</v>
      </c>
    </row>
    <row r="1250" spans="1:9" x14ac:dyDescent="0.15">
      <c r="A1250" s="1">
        <v>1249</v>
      </c>
      <c r="B1250" s="1">
        <v>102070600</v>
      </c>
      <c r="C1250" s="1">
        <f t="shared" si="76"/>
        <v>14</v>
      </c>
      <c r="D1250" s="5">
        <f ca="1">IF(getQuality(B1250)&lt;4,getOtherMin(B1250,C1250,INDIRECT(J$2),INDIRECT(I1250),test),getMin(B1250,C1250,INDIRECT(J$2),INDIRECT(I1250),test))</f>
        <v>191.22369727444828</v>
      </c>
      <c r="E1250" s="5">
        <f ca="1">IF(getQuality(B1250)&lt;4,getOtherMax(B1250,C1250,INDIRECT(J$2),INDIRECT(I1250),test),getMax(B1250,C1250,INDIRECT(J$2),INDIRECT(I1250),test))</f>
        <v>236.63369570586491</v>
      </c>
      <c r="F1250" s="1" t="str">
        <f t="shared" si="78"/>
        <v>50</v>
      </c>
      <c r="G1250" s="1" t="str">
        <f t="shared" si="79"/>
        <v/>
      </c>
      <c r="I1250" s="1" t="str">
        <f t="shared" si="77"/>
        <v>威尔新数值1.06.xlsm!suitPower</v>
      </c>
    </row>
    <row r="1251" spans="1:9" x14ac:dyDescent="0.15">
      <c r="A1251" s="1">
        <v>1250</v>
      </c>
      <c r="B1251" s="1">
        <v>102070600</v>
      </c>
      <c r="C1251" s="1">
        <f t="shared" si="76"/>
        <v>15</v>
      </c>
      <c r="D1251" s="5">
        <f ca="1">IF(getQuality(B1251)&lt;4,getOtherMin(B1251,C1251,INDIRECT(J$2),INDIRECT(I1251),test),getMin(B1251,C1251,INDIRECT(J$2),INDIRECT(I1251),test))</f>
        <v>191.22369727444828</v>
      </c>
      <c r="E1251" s="5">
        <f ca="1">IF(getQuality(B1251)&lt;4,getOtherMax(B1251,C1251,INDIRECT(J$2),INDIRECT(I1251),test),getMax(B1251,C1251,INDIRECT(J$2),INDIRECT(I1251),test))</f>
        <v>236.63369570586491</v>
      </c>
      <c r="F1251" s="1" t="str">
        <f t="shared" si="78"/>
        <v>50</v>
      </c>
      <c r="G1251" s="1" t="str">
        <f t="shared" si="79"/>
        <v/>
      </c>
      <c r="I1251" s="1" t="str">
        <f t="shared" si="77"/>
        <v>威尔新数值1.06.xlsm!suitPower</v>
      </c>
    </row>
    <row r="1252" spans="1:9" x14ac:dyDescent="0.15">
      <c r="A1252" s="1">
        <v>1251</v>
      </c>
      <c r="B1252" s="1">
        <v>102070600</v>
      </c>
      <c r="C1252" s="1">
        <f t="shared" ref="C1252:C1315" si="80">C1233</f>
        <v>101</v>
      </c>
      <c r="D1252" s="5">
        <f ca="1">IF(getQuality(B1252)&lt;4,getOtherMin(B1252,C1252,INDIRECT(J$2),INDIRECT(I1252),test),getMin(B1252,C1252,INDIRECT(J$2),INDIRECT(I1252),test))</f>
        <v>0.12</v>
      </c>
      <c r="E1252" s="5">
        <f ca="1">IF(getQuality(B1252)&lt;4,getOtherMax(B1252,C1252,INDIRECT(J$2),INDIRECT(I1252),test),getMax(B1252,C1252,INDIRECT(J$2),INDIRECT(I1252),test))</f>
        <v>0.15</v>
      </c>
      <c r="F1252" s="1" t="str">
        <f t="shared" si="78"/>
        <v>50</v>
      </c>
      <c r="G1252" s="1" t="str">
        <f t="shared" si="79"/>
        <v/>
      </c>
      <c r="I1252" s="1" t="str">
        <f t="shared" si="77"/>
        <v>威尔新数值1.06.xlsm!circlePer</v>
      </c>
    </row>
    <row r="1253" spans="1:9" x14ac:dyDescent="0.15">
      <c r="A1253" s="1">
        <v>1252</v>
      </c>
      <c r="B1253" s="1">
        <v>102070600</v>
      </c>
      <c r="C1253" s="1">
        <f t="shared" si="80"/>
        <v>102</v>
      </c>
      <c r="D1253" s="5">
        <f ca="1">IF(getQuality(B1253)&lt;4,getOtherMin(B1253,C1253,INDIRECT(J$2),INDIRECT(I1253),test),getMin(B1253,C1253,INDIRECT(J$2),INDIRECT(I1253),test))</f>
        <v>1</v>
      </c>
      <c r="E1253" s="5">
        <f ca="1">IF(getQuality(B1253)&lt;4,getOtherMax(B1253,C1253,INDIRECT(J$2),INDIRECT(I1253),test),getMax(B1253,C1253,INDIRECT(J$2),INDIRECT(I1253),test))</f>
        <v>1.4</v>
      </c>
      <c r="F1253" s="1" t="str">
        <f t="shared" si="78"/>
        <v>50</v>
      </c>
      <c r="G1253" s="1" t="str">
        <f t="shared" si="79"/>
        <v/>
      </c>
      <c r="I1253" s="1" t="str">
        <f t="shared" si="77"/>
        <v>威尔新数值1.06.xlsm!circleValue</v>
      </c>
    </row>
    <row r="1254" spans="1:9" x14ac:dyDescent="0.15">
      <c r="A1254" s="1">
        <v>1253</v>
      </c>
      <c r="B1254" s="1">
        <v>102070600</v>
      </c>
      <c r="C1254" s="1">
        <f t="shared" si="80"/>
        <v>103</v>
      </c>
      <c r="D1254" s="5">
        <f ca="1">IF(getQuality(B1254)&lt;4,getOtherMin(B1254,C1254,INDIRECT(J$2),INDIRECT(I1254),test),getMin(B1254,C1254,INDIRECT(J$2),INDIRECT(I1254),test))</f>
        <v>0.12</v>
      </c>
      <c r="E1254" s="5">
        <f ca="1">IF(getQuality(B1254)&lt;4,getOtherMax(B1254,C1254,INDIRECT(J$2),INDIRECT(I1254),test),getMax(B1254,C1254,INDIRECT(J$2),INDIRECT(I1254),test))</f>
        <v>0.15</v>
      </c>
      <c r="F1254" s="1" t="str">
        <f t="shared" si="78"/>
        <v>50</v>
      </c>
      <c r="G1254" s="1" t="str">
        <f t="shared" si="79"/>
        <v/>
      </c>
      <c r="I1254" s="1" t="str">
        <f t="shared" si="77"/>
        <v>威尔新数值1.06.xlsm!otherDamage</v>
      </c>
    </row>
    <row r="1255" spans="1:9" x14ac:dyDescent="0.15">
      <c r="A1255" s="1">
        <v>1254</v>
      </c>
      <c r="B1255" s="1">
        <v>102070600</v>
      </c>
      <c r="C1255" s="1">
        <f t="shared" si="80"/>
        <v>104</v>
      </c>
      <c r="D1255" s="5">
        <f ca="1">IF(getQuality(B1255)&lt;4,getOtherMin(B1255,C1255,INDIRECT(J$2),INDIRECT(I1255),test),getMin(B1255,C1255,INDIRECT(J$2),INDIRECT(I1255),test))</f>
        <v>0.12</v>
      </c>
      <c r="E1255" s="5">
        <f ca="1">IF(getQuality(B1255)&lt;4,getOtherMax(B1255,C1255,INDIRECT(J$2),INDIRECT(I1255),test),getMax(B1255,C1255,INDIRECT(J$2),INDIRECT(I1255),test))</f>
        <v>0.24</v>
      </c>
      <c r="F1255" s="1" t="str">
        <f t="shared" si="78"/>
        <v>50</v>
      </c>
      <c r="G1255" s="1" t="str">
        <f t="shared" si="79"/>
        <v/>
      </c>
      <c r="I1255" s="1" t="str">
        <f t="shared" si="77"/>
        <v>威尔新数值1.06.xlsm!monsterDamage</v>
      </c>
    </row>
    <row r="1256" spans="1:9" x14ac:dyDescent="0.15">
      <c r="A1256" s="1">
        <v>1255</v>
      </c>
      <c r="B1256" s="1">
        <v>102070600</v>
      </c>
      <c r="C1256" s="1">
        <f t="shared" si="80"/>
        <v>105</v>
      </c>
      <c r="D1256" s="5">
        <f ca="1">IF(getQuality(B1256)&lt;4,getOtherMin(B1256,C1256,INDIRECT(J$2),INDIRECT(I1256),test),getMin(B1256,C1256,INDIRECT(J$2),INDIRECT(I1256),test))</f>
        <v>0.12</v>
      </c>
      <c r="E1256" s="5">
        <f ca="1">IF(getQuality(B1256)&lt;4,getOtherMax(B1256,C1256,INDIRECT(J$2),INDIRECT(I1256),test),getMax(B1256,C1256,INDIRECT(J$2),INDIRECT(I1256),test))</f>
        <v>0.24</v>
      </c>
      <c r="F1256" s="1" t="str">
        <f t="shared" si="78"/>
        <v>50</v>
      </c>
      <c r="G1256" s="1" t="str">
        <f t="shared" si="79"/>
        <v/>
      </c>
      <c r="I1256" s="1" t="str">
        <f t="shared" si="77"/>
        <v>威尔新数值1.06.xlsm!monsterDamage</v>
      </c>
    </row>
    <row r="1257" spans="1:9" x14ac:dyDescent="0.15">
      <c r="A1257" s="1">
        <v>1256</v>
      </c>
      <c r="B1257" s="1">
        <v>102070600</v>
      </c>
      <c r="C1257" s="1">
        <f t="shared" si="80"/>
        <v>106</v>
      </c>
      <c r="D1257" s="5">
        <f ca="1">IF(getQuality(B1257)&lt;4,getOtherMin(B1257,C1257,INDIRECT(J$2),INDIRECT(I1257),test),getMin(B1257,C1257,INDIRECT(J$2),INDIRECT(I1257),test))</f>
        <v>0.12</v>
      </c>
      <c r="E1257" s="5">
        <f ca="1">IF(getQuality(B1257)&lt;4,getOtherMax(B1257,C1257,INDIRECT(J$2),INDIRECT(I1257),test),getMax(B1257,C1257,INDIRECT(J$2),INDIRECT(I1257),test))</f>
        <v>0.24</v>
      </c>
      <c r="F1257" s="1" t="str">
        <f t="shared" si="78"/>
        <v>50</v>
      </c>
      <c r="G1257" s="1" t="str">
        <f t="shared" si="79"/>
        <v/>
      </c>
      <c r="I1257" s="1" t="str">
        <f t="shared" si="77"/>
        <v>威尔新数值1.06.xlsm!monsterDamage</v>
      </c>
    </row>
    <row r="1258" spans="1:9" x14ac:dyDescent="0.15">
      <c r="A1258" s="1">
        <v>1257</v>
      </c>
      <c r="B1258" s="1">
        <v>102070600</v>
      </c>
      <c r="C1258" s="1">
        <f t="shared" si="80"/>
        <v>107</v>
      </c>
      <c r="D1258" s="5">
        <f ca="1">IF(getQuality(B1258)&lt;4,getOtherMin(B1258,C1258,INDIRECT(J$2),INDIRECT(I1258),test),getMin(B1258,C1258,INDIRECT(J$2),INDIRECT(I1258),test))</f>
        <v>0.12</v>
      </c>
      <c r="E1258" s="5">
        <f ca="1">IF(getQuality(B1258)&lt;4,getOtherMax(B1258,C1258,INDIRECT(J$2),INDIRECT(I1258),test),getMax(B1258,C1258,INDIRECT(J$2),INDIRECT(I1258),test))</f>
        <v>0.24</v>
      </c>
      <c r="F1258" s="1" t="str">
        <f t="shared" si="78"/>
        <v>50</v>
      </c>
      <c r="G1258" s="1" t="str">
        <f t="shared" si="79"/>
        <v/>
      </c>
      <c r="I1258" s="1" t="str">
        <f t="shared" si="77"/>
        <v>威尔新数值1.06.xlsm!monsterDamage</v>
      </c>
    </row>
    <row r="1259" spans="1:9" x14ac:dyDescent="0.15">
      <c r="A1259" s="1">
        <v>1258</v>
      </c>
      <c r="B1259" s="1">
        <v>102070600</v>
      </c>
      <c r="C1259" s="1">
        <f t="shared" si="80"/>
        <v>108</v>
      </c>
      <c r="D1259" s="5">
        <f ca="1">IF(getQuality(B1259)&lt;4,getOtherMin(B1259,C1259,INDIRECT(J$2),INDIRECT(I1259),test),getMin(B1259,C1259,INDIRECT(J$2),INDIRECT(I1259),test))</f>
        <v>0.12</v>
      </c>
      <c r="E1259" s="5">
        <f ca="1">IF(getQuality(B1259)&lt;4,getOtherMax(B1259,C1259,INDIRECT(J$2),INDIRECT(I1259),test),getMax(B1259,C1259,INDIRECT(J$2),INDIRECT(I1259),test))</f>
        <v>0.24</v>
      </c>
      <c r="F1259" s="1" t="str">
        <f t="shared" si="78"/>
        <v>50</v>
      </c>
      <c r="G1259" s="1" t="str">
        <f t="shared" si="79"/>
        <v/>
      </c>
      <c r="I1259" s="1" t="str">
        <f t="shared" si="77"/>
        <v>威尔新数值1.06.xlsm!monsterDamage</v>
      </c>
    </row>
    <row r="1260" spans="1:9" x14ac:dyDescent="0.15">
      <c r="A1260" s="1">
        <v>1259</v>
      </c>
      <c r="B1260" s="1">
        <v>102080600</v>
      </c>
      <c r="C1260" s="1">
        <f t="shared" si="80"/>
        <v>3</v>
      </c>
      <c r="D1260" s="5">
        <f ca="1">IF(getQuality(B1260)&lt;4,getOtherMin(B1260,C1260,INDIRECT(J$2),INDIRECT(I1260),test),getMin(B1260,C1260,INDIRECT(J$2),INDIRECT(I1260),test))</f>
        <v>237.63369570586491</v>
      </c>
      <c r="E1260" s="5">
        <f ca="1">IF(getQuality(B1260)&lt;4,getOtherMax(B1260,C1260,INDIRECT(J$2),INDIRECT(I1260),test),getMax(B1260,C1260,INDIRECT(J$2),INDIRECT(I1260),test))</f>
        <v>287.24542239033156</v>
      </c>
      <c r="F1260" s="1" t="str">
        <f t="shared" si="78"/>
        <v>50</v>
      </c>
      <c r="G1260" s="1" t="str">
        <f t="shared" si="79"/>
        <v/>
      </c>
      <c r="I1260" s="1" t="str">
        <f t="shared" si="77"/>
        <v>威尔新数值1.06.xlsm!suitPower</v>
      </c>
    </row>
    <row r="1261" spans="1:9" x14ac:dyDescent="0.15">
      <c r="A1261" s="1">
        <v>1260</v>
      </c>
      <c r="B1261" s="1">
        <v>102080600</v>
      </c>
      <c r="C1261" s="1">
        <f t="shared" si="80"/>
        <v>5</v>
      </c>
      <c r="D1261" s="5">
        <f ca="1">IF(getQuality(B1261)&lt;4,getOtherMin(B1261,C1261,INDIRECT(J$2),INDIRECT(I1261),test),getMin(B1261,C1261,INDIRECT(J$2),INDIRECT(I1261),test))</f>
        <v>237.63369570586491</v>
      </c>
      <c r="E1261" s="5">
        <f ca="1">IF(getQuality(B1261)&lt;4,getOtherMax(B1261,C1261,INDIRECT(J$2),INDIRECT(I1261),test),getMax(B1261,C1261,INDIRECT(J$2),INDIRECT(I1261),test))</f>
        <v>287.24542239033156</v>
      </c>
      <c r="F1261" s="1" t="str">
        <f t="shared" si="78"/>
        <v>50</v>
      </c>
      <c r="G1261" s="1" t="str">
        <f t="shared" si="79"/>
        <v>1</v>
      </c>
      <c r="I1261" s="1" t="str">
        <f t="shared" si="77"/>
        <v>威尔新数值1.06.xlsm!suitPower</v>
      </c>
    </row>
    <row r="1262" spans="1:9" x14ac:dyDescent="0.15">
      <c r="A1262" s="1">
        <v>1261</v>
      </c>
      <c r="B1262" s="1">
        <v>102080600</v>
      </c>
      <c r="C1262" s="1">
        <f t="shared" si="80"/>
        <v>7</v>
      </c>
      <c r="D1262" s="5">
        <f ca="1">IF(getQuality(B1262)&lt;4,getOtherMin(B1262,C1262,INDIRECT(J$2),INDIRECT(I1262),test),getMin(B1262,C1262,INDIRECT(J$2),INDIRECT(I1262),test))</f>
        <v>46.370370370370253</v>
      </c>
      <c r="E1262" s="5">
        <f ca="1">IF(getQuality(B1262)&lt;4,getOtherMax(B1262,C1262,INDIRECT(J$2),INDIRECT(I1262),test),getMax(B1262,C1262,INDIRECT(J$2),INDIRECT(I1262),test))</f>
        <v>51.85185185185172</v>
      </c>
      <c r="F1262" s="1" t="str">
        <f t="shared" si="78"/>
        <v>50</v>
      </c>
      <c r="G1262" s="1" t="str">
        <f t="shared" si="79"/>
        <v/>
      </c>
      <c r="I1262" s="1" t="str">
        <f t="shared" si="77"/>
        <v>威尔新数值1.06.xlsm!suitPower</v>
      </c>
    </row>
    <row r="1263" spans="1:9" x14ac:dyDescent="0.15">
      <c r="A1263" s="1">
        <v>1262</v>
      </c>
      <c r="B1263" s="1">
        <v>102080600</v>
      </c>
      <c r="C1263" s="1">
        <f t="shared" si="80"/>
        <v>8</v>
      </c>
      <c r="D1263" s="5">
        <f ca="1">IF(getQuality(B1263)&lt;4,getOtherMin(B1263,C1263,INDIRECT(J$2),INDIRECT(I1263),test),getMin(B1263,C1263,INDIRECT(J$2),INDIRECT(I1263),test))</f>
        <v>103.08333333333333</v>
      </c>
      <c r="E1263" s="5">
        <f ca="1">IF(getQuality(B1263)&lt;4,getOtherMax(B1263,C1263,INDIRECT(J$2),INDIRECT(I1263),test),getMax(B1263,C1263,INDIRECT(J$2),INDIRECT(I1263),test))</f>
        <v>116.66666666666667</v>
      </c>
      <c r="F1263" s="1" t="str">
        <f t="shared" si="78"/>
        <v>50</v>
      </c>
      <c r="G1263" s="1" t="str">
        <f t="shared" si="79"/>
        <v/>
      </c>
      <c r="I1263" s="1" t="str">
        <f t="shared" si="77"/>
        <v>威尔新数值1.06.xlsm!suitPower</v>
      </c>
    </row>
    <row r="1264" spans="1:9" x14ac:dyDescent="0.15">
      <c r="A1264" s="1">
        <v>1263</v>
      </c>
      <c r="B1264" s="1">
        <v>102080600</v>
      </c>
      <c r="C1264" s="1">
        <f t="shared" si="80"/>
        <v>9</v>
      </c>
      <c r="D1264" s="5">
        <f ca="1">IF(getQuality(B1264)&lt;4,getOtherMin(B1264,C1264,INDIRECT(J$2),INDIRECT(I1264),test),getMin(B1264,C1264,INDIRECT(J$2),INDIRECT(I1264),test))</f>
        <v>237.63369570586491</v>
      </c>
      <c r="E1264" s="5">
        <f ca="1">IF(getQuality(B1264)&lt;4,getOtherMax(B1264,C1264,INDIRECT(J$2),INDIRECT(I1264),test),getMax(B1264,C1264,INDIRECT(J$2),INDIRECT(I1264),test))</f>
        <v>287.24542239033156</v>
      </c>
      <c r="F1264" s="1" t="str">
        <f t="shared" si="78"/>
        <v>50</v>
      </c>
      <c r="G1264" s="1" t="str">
        <f t="shared" si="79"/>
        <v/>
      </c>
      <c r="I1264" s="1" t="str">
        <f t="shared" si="77"/>
        <v>威尔新数值1.06.xlsm!suitPower</v>
      </c>
    </row>
    <row r="1265" spans="1:9" x14ac:dyDescent="0.15">
      <c r="A1265" s="1">
        <v>1264</v>
      </c>
      <c r="B1265" s="1">
        <v>102080600</v>
      </c>
      <c r="C1265" s="1">
        <f t="shared" si="80"/>
        <v>10</v>
      </c>
      <c r="D1265" s="5">
        <f ca="1">IF(getQuality(B1265)&lt;4,getOtherMin(B1265,C1265,INDIRECT(J$2),INDIRECT(I1265),test),getMin(B1265,C1265,INDIRECT(J$2),INDIRECT(I1265),test))</f>
        <v>237.63369570586491</v>
      </c>
      <c r="E1265" s="5">
        <f ca="1">IF(getQuality(B1265)&lt;4,getOtherMax(B1265,C1265,INDIRECT(J$2),INDIRECT(I1265),test),getMax(B1265,C1265,INDIRECT(J$2),INDIRECT(I1265),test))</f>
        <v>287.24542239033156</v>
      </c>
      <c r="F1265" s="1" t="str">
        <f t="shared" si="78"/>
        <v>50</v>
      </c>
      <c r="G1265" s="1" t="str">
        <f t="shared" si="79"/>
        <v/>
      </c>
      <c r="I1265" s="1" t="str">
        <f t="shared" si="77"/>
        <v>威尔新数值1.06.xlsm!suitPower</v>
      </c>
    </row>
    <row r="1266" spans="1:9" x14ac:dyDescent="0.15">
      <c r="A1266" s="1">
        <v>1265</v>
      </c>
      <c r="B1266" s="1">
        <v>102080600</v>
      </c>
      <c r="C1266" s="1">
        <f t="shared" si="80"/>
        <v>11</v>
      </c>
      <c r="D1266" s="5">
        <f ca="1">IF(getQuality(B1266)&lt;4,getOtherMin(B1266,C1266,INDIRECT(J$2),INDIRECT(I1266),test),getMin(B1266,C1266,INDIRECT(J$2),INDIRECT(I1266),test))</f>
        <v>237.63369570586491</v>
      </c>
      <c r="E1266" s="5">
        <f ca="1">IF(getQuality(B1266)&lt;4,getOtherMax(B1266,C1266,INDIRECT(J$2),INDIRECT(I1266),test),getMax(B1266,C1266,INDIRECT(J$2),INDIRECT(I1266),test))</f>
        <v>287.24542239033156</v>
      </c>
      <c r="F1266" s="1" t="str">
        <f t="shared" si="78"/>
        <v>50</v>
      </c>
      <c r="G1266" s="1" t="str">
        <f t="shared" si="79"/>
        <v/>
      </c>
      <c r="I1266" s="1" t="str">
        <f t="shared" si="77"/>
        <v>威尔新数值1.06.xlsm!suitPower</v>
      </c>
    </row>
    <row r="1267" spans="1:9" x14ac:dyDescent="0.15">
      <c r="A1267" s="1">
        <v>1266</v>
      </c>
      <c r="B1267" s="1">
        <v>102080600</v>
      </c>
      <c r="C1267" s="1">
        <f t="shared" si="80"/>
        <v>12</v>
      </c>
      <c r="D1267" s="5">
        <f ca="1">IF(getQuality(B1267)&lt;4,getOtherMin(B1267,C1267,INDIRECT(J$2),INDIRECT(I1267),test),getMin(B1267,C1267,INDIRECT(J$2),INDIRECT(I1267),test))</f>
        <v>237.63369570586491</v>
      </c>
      <c r="E1267" s="5">
        <f ca="1">IF(getQuality(B1267)&lt;4,getOtherMax(B1267,C1267,INDIRECT(J$2),INDIRECT(I1267),test),getMax(B1267,C1267,INDIRECT(J$2),INDIRECT(I1267),test))</f>
        <v>287.24542239033156</v>
      </c>
      <c r="F1267" s="1" t="str">
        <f t="shared" si="78"/>
        <v>50</v>
      </c>
      <c r="G1267" s="1" t="str">
        <f t="shared" si="79"/>
        <v/>
      </c>
      <c r="I1267" s="1" t="str">
        <f t="shared" si="77"/>
        <v>威尔新数值1.06.xlsm!suitPower</v>
      </c>
    </row>
    <row r="1268" spans="1:9" x14ac:dyDescent="0.15">
      <c r="A1268" s="1">
        <v>1267</v>
      </c>
      <c r="B1268" s="1">
        <v>102080600</v>
      </c>
      <c r="C1268" s="1">
        <f t="shared" si="80"/>
        <v>13</v>
      </c>
      <c r="D1268" s="5">
        <f ca="1">IF(getQuality(B1268)&lt;4,getOtherMin(B1268,C1268,INDIRECT(J$2),INDIRECT(I1268),test),getMin(B1268,C1268,INDIRECT(J$2),INDIRECT(I1268),test))</f>
        <v>237.63369570586491</v>
      </c>
      <c r="E1268" s="5">
        <f ca="1">IF(getQuality(B1268)&lt;4,getOtherMax(B1268,C1268,INDIRECT(J$2),INDIRECT(I1268),test),getMax(B1268,C1268,INDIRECT(J$2),INDIRECT(I1268),test))</f>
        <v>287.24542239033156</v>
      </c>
      <c r="F1268" s="1" t="str">
        <f t="shared" si="78"/>
        <v>50</v>
      </c>
      <c r="G1268" s="1" t="str">
        <f t="shared" si="79"/>
        <v/>
      </c>
      <c r="I1268" s="1" t="str">
        <f t="shared" si="77"/>
        <v>威尔新数值1.06.xlsm!suitPower</v>
      </c>
    </row>
    <row r="1269" spans="1:9" x14ac:dyDescent="0.15">
      <c r="A1269" s="1">
        <v>1268</v>
      </c>
      <c r="B1269" s="1">
        <v>102080600</v>
      </c>
      <c r="C1269" s="1">
        <f t="shared" si="80"/>
        <v>14</v>
      </c>
      <c r="D1269" s="5">
        <f ca="1">IF(getQuality(B1269)&lt;4,getOtherMin(B1269,C1269,INDIRECT(J$2),INDIRECT(I1269),test),getMin(B1269,C1269,INDIRECT(J$2),INDIRECT(I1269),test))</f>
        <v>237.63369570586491</v>
      </c>
      <c r="E1269" s="5">
        <f ca="1">IF(getQuality(B1269)&lt;4,getOtherMax(B1269,C1269,INDIRECT(J$2),INDIRECT(I1269),test),getMax(B1269,C1269,INDIRECT(J$2),INDIRECT(I1269),test))</f>
        <v>287.24542239033156</v>
      </c>
      <c r="F1269" s="1" t="str">
        <f t="shared" si="78"/>
        <v>50</v>
      </c>
      <c r="G1269" s="1" t="str">
        <f t="shared" si="79"/>
        <v/>
      </c>
      <c r="I1269" s="1" t="str">
        <f t="shared" si="77"/>
        <v>威尔新数值1.06.xlsm!suitPower</v>
      </c>
    </row>
    <row r="1270" spans="1:9" x14ac:dyDescent="0.15">
      <c r="A1270" s="1">
        <v>1269</v>
      </c>
      <c r="B1270" s="1">
        <v>102080600</v>
      </c>
      <c r="C1270" s="1">
        <f t="shared" si="80"/>
        <v>15</v>
      </c>
      <c r="D1270" s="5">
        <f ca="1">IF(getQuality(B1270)&lt;4,getOtherMin(B1270,C1270,INDIRECT(J$2),INDIRECT(I1270),test),getMin(B1270,C1270,INDIRECT(J$2),INDIRECT(I1270),test))</f>
        <v>237.63369570586491</v>
      </c>
      <c r="E1270" s="5">
        <f ca="1">IF(getQuality(B1270)&lt;4,getOtherMax(B1270,C1270,INDIRECT(J$2),INDIRECT(I1270),test),getMax(B1270,C1270,INDIRECT(J$2),INDIRECT(I1270),test))</f>
        <v>287.24542239033156</v>
      </c>
      <c r="F1270" s="1" t="str">
        <f t="shared" si="78"/>
        <v>50</v>
      </c>
      <c r="G1270" s="1" t="str">
        <f t="shared" si="79"/>
        <v/>
      </c>
      <c r="I1270" s="1" t="str">
        <f t="shared" si="77"/>
        <v>威尔新数值1.06.xlsm!suitPower</v>
      </c>
    </row>
    <row r="1271" spans="1:9" x14ac:dyDescent="0.15">
      <c r="A1271" s="1">
        <v>1270</v>
      </c>
      <c r="B1271" s="1">
        <v>102080600</v>
      </c>
      <c r="C1271" s="1">
        <f t="shared" si="80"/>
        <v>101</v>
      </c>
      <c r="D1271" s="5">
        <f ca="1">IF(getQuality(B1271)&lt;4,getOtherMin(B1271,C1271,INDIRECT(J$2),INDIRECT(I1271),test),getMin(B1271,C1271,INDIRECT(J$2),INDIRECT(I1271),test))</f>
        <v>0.13</v>
      </c>
      <c r="E1271" s="5">
        <f ca="1">IF(getQuality(B1271)&lt;4,getOtherMax(B1271,C1271,INDIRECT(J$2),INDIRECT(I1271),test),getMax(B1271,C1271,INDIRECT(J$2),INDIRECT(I1271),test))</f>
        <v>0.16</v>
      </c>
      <c r="F1271" s="1" t="str">
        <f t="shared" si="78"/>
        <v>50</v>
      </c>
      <c r="G1271" s="1" t="str">
        <f t="shared" si="79"/>
        <v/>
      </c>
      <c r="I1271" s="1" t="str">
        <f t="shared" si="77"/>
        <v>威尔新数值1.06.xlsm!circlePer</v>
      </c>
    </row>
    <row r="1272" spans="1:9" x14ac:dyDescent="0.15">
      <c r="A1272" s="1">
        <v>1271</v>
      </c>
      <c r="B1272" s="1">
        <v>102080600</v>
      </c>
      <c r="C1272" s="1">
        <f t="shared" si="80"/>
        <v>102</v>
      </c>
      <c r="D1272" s="5">
        <f ca="1">IF(getQuality(B1272)&lt;4,getOtherMin(B1272,C1272,INDIRECT(J$2),INDIRECT(I1272),test),getMin(B1272,C1272,INDIRECT(J$2),INDIRECT(I1272),test))</f>
        <v>1.1000000000000001</v>
      </c>
      <c r="E1272" s="5">
        <f ca="1">IF(getQuality(B1272)&lt;4,getOtherMax(B1272,C1272,INDIRECT(J$2),INDIRECT(I1272),test),getMax(B1272,C1272,INDIRECT(J$2),INDIRECT(I1272),test))</f>
        <v>1.5</v>
      </c>
      <c r="F1272" s="1" t="str">
        <f t="shared" si="78"/>
        <v>50</v>
      </c>
      <c r="G1272" s="1" t="str">
        <f t="shared" si="79"/>
        <v/>
      </c>
      <c r="I1272" s="1" t="str">
        <f t="shared" si="77"/>
        <v>威尔新数值1.06.xlsm!circleValue</v>
      </c>
    </row>
    <row r="1273" spans="1:9" x14ac:dyDescent="0.15">
      <c r="A1273" s="1">
        <v>1272</v>
      </c>
      <c r="B1273" s="1">
        <v>102080600</v>
      </c>
      <c r="C1273" s="1">
        <f t="shared" si="80"/>
        <v>103</v>
      </c>
      <c r="D1273" s="5">
        <f ca="1">IF(getQuality(B1273)&lt;4,getOtherMin(B1273,C1273,INDIRECT(J$2),INDIRECT(I1273),test),getMin(B1273,C1273,INDIRECT(J$2),INDIRECT(I1273),test))</f>
        <v>0.13</v>
      </c>
      <c r="E1273" s="5">
        <f ca="1">IF(getQuality(B1273)&lt;4,getOtherMax(B1273,C1273,INDIRECT(J$2),INDIRECT(I1273),test),getMax(B1273,C1273,INDIRECT(J$2),INDIRECT(I1273),test))</f>
        <v>0.16</v>
      </c>
      <c r="F1273" s="1" t="str">
        <f t="shared" si="78"/>
        <v>50</v>
      </c>
      <c r="G1273" s="1" t="str">
        <f t="shared" si="79"/>
        <v/>
      </c>
      <c r="I1273" s="1" t="str">
        <f t="shared" si="77"/>
        <v>威尔新数值1.06.xlsm!otherDamage</v>
      </c>
    </row>
    <row r="1274" spans="1:9" x14ac:dyDescent="0.15">
      <c r="A1274" s="1">
        <v>1273</v>
      </c>
      <c r="B1274" s="1">
        <v>102080600</v>
      </c>
      <c r="C1274" s="1">
        <f t="shared" si="80"/>
        <v>104</v>
      </c>
      <c r="D1274" s="5">
        <f ca="1">IF(getQuality(B1274)&lt;4,getOtherMin(B1274,C1274,INDIRECT(J$2),INDIRECT(I1274),test),getMin(B1274,C1274,INDIRECT(J$2),INDIRECT(I1274),test))</f>
        <v>0.13</v>
      </c>
      <c r="E1274" s="5">
        <f ca="1">IF(getQuality(B1274)&lt;4,getOtherMax(B1274,C1274,INDIRECT(J$2),INDIRECT(I1274),test),getMax(B1274,C1274,INDIRECT(J$2),INDIRECT(I1274),test))</f>
        <v>0.26</v>
      </c>
      <c r="F1274" s="1" t="str">
        <f t="shared" si="78"/>
        <v>50</v>
      </c>
      <c r="G1274" s="1" t="str">
        <f t="shared" si="79"/>
        <v/>
      </c>
      <c r="I1274" s="1" t="str">
        <f t="shared" si="77"/>
        <v>威尔新数值1.06.xlsm!monsterDamage</v>
      </c>
    </row>
    <row r="1275" spans="1:9" x14ac:dyDescent="0.15">
      <c r="A1275" s="1">
        <v>1274</v>
      </c>
      <c r="B1275" s="1">
        <v>102080600</v>
      </c>
      <c r="C1275" s="1">
        <f t="shared" si="80"/>
        <v>105</v>
      </c>
      <c r="D1275" s="5">
        <f ca="1">IF(getQuality(B1275)&lt;4,getOtherMin(B1275,C1275,INDIRECT(J$2),INDIRECT(I1275),test),getMin(B1275,C1275,INDIRECT(J$2),INDIRECT(I1275),test))</f>
        <v>0.13</v>
      </c>
      <c r="E1275" s="5">
        <f ca="1">IF(getQuality(B1275)&lt;4,getOtherMax(B1275,C1275,INDIRECT(J$2),INDIRECT(I1275),test),getMax(B1275,C1275,INDIRECT(J$2),INDIRECT(I1275),test))</f>
        <v>0.26</v>
      </c>
      <c r="F1275" s="1" t="str">
        <f t="shared" si="78"/>
        <v>50</v>
      </c>
      <c r="G1275" s="1" t="str">
        <f t="shared" si="79"/>
        <v/>
      </c>
      <c r="I1275" s="1" t="str">
        <f t="shared" si="77"/>
        <v>威尔新数值1.06.xlsm!monsterDamage</v>
      </c>
    </row>
    <row r="1276" spans="1:9" x14ac:dyDescent="0.15">
      <c r="A1276" s="1">
        <v>1275</v>
      </c>
      <c r="B1276" s="1">
        <v>102080600</v>
      </c>
      <c r="C1276" s="1">
        <f t="shared" si="80"/>
        <v>106</v>
      </c>
      <c r="D1276" s="5">
        <f ca="1">IF(getQuality(B1276)&lt;4,getOtherMin(B1276,C1276,INDIRECT(J$2),INDIRECT(I1276),test),getMin(B1276,C1276,INDIRECT(J$2),INDIRECT(I1276),test))</f>
        <v>0.13</v>
      </c>
      <c r="E1276" s="5">
        <f ca="1">IF(getQuality(B1276)&lt;4,getOtherMax(B1276,C1276,INDIRECT(J$2),INDIRECT(I1276),test),getMax(B1276,C1276,INDIRECT(J$2),INDIRECT(I1276),test))</f>
        <v>0.26</v>
      </c>
      <c r="F1276" s="1" t="str">
        <f t="shared" si="78"/>
        <v>50</v>
      </c>
      <c r="G1276" s="1" t="str">
        <f t="shared" si="79"/>
        <v/>
      </c>
      <c r="I1276" s="1" t="str">
        <f t="shared" si="77"/>
        <v>威尔新数值1.06.xlsm!monsterDamage</v>
      </c>
    </row>
    <row r="1277" spans="1:9" x14ac:dyDescent="0.15">
      <c r="A1277" s="1">
        <v>1276</v>
      </c>
      <c r="B1277" s="1">
        <v>102080600</v>
      </c>
      <c r="C1277" s="1">
        <f t="shared" si="80"/>
        <v>107</v>
      </c>
      <c r="D1277" s="5">
        <f ca="1">IF(getQuality(B1277)&lt;4,getOtherMin(B1277,C1277,INDIRECT(J$2),INDIRECT(I1277),test),getMin(B1277,C1277,INDIRECT(J$2),INDIRECT(I1277),test))</f>
        <v>0.13</v>
      </c>
      <c r="E1277" s="5">
        <f ca="1">IF(getQuality(B1277)&lt;4,getOtherMax(B1277,C1277,INDIRECT(J$2),INDIRECT(I1277),test),getMax(B1277,C1277,INDIRECT(J$2),INDIRECT(I1277),test))</f>
        <v>0.26</v>
      </c>
      <c r="F1277" s="1" t="str">
        <f t="shared" si="78"/>
        <v>50</v>
      </c>
      <c r="G1277" s="1" t="str">
        <f t="shared" si="79"/>
        <v/>
      </c>
      <c r="I1277" s="1" t="str">
        <f t="shared" si="77"/>
        <v>威尔新数值1.06.xlsm!monsterDamage</v>
      </c>
    </row>
    <row r="1278" spans="1:9" x14ac:dyDescent="0.15">
      <c r="A1278" s="1">
        <v>1277</v>
      </c>
      <c r="B1278" s="1">
        <v>102080600</v>
      </c>
      <c r="C1278" s="1">
        <f t="shared" si="80"/>
        <v>108</v>
      </c>
      <c r="D1278" s="5">
        <f ca="1">IF(getQuality(B1278)&lt;4,getOtherMin(B1278,C1278,INDIRECT(J$2),INDIRECT(I1278),test),getMin(B1278,C1278,INDIRECT(J$2),INDIRECT(I1278),test))</f>
        <v>0.13</v>
      </c>
      <c r="E1278" s="5">
        <f ca="1">IF(getQuality(B1278)&lt;4,getOtherMax(B1278,C1278,INDIRECT(J$2),INDIRECT(I1278),test),getMax(B1278,C1278,INDIRECT(J$2),INDIRECT(I1278),test))</f>
        <v>0.26</v>
      </c>
      <c r="F1278" s="1" t="str">
        <f t="shared" si="78"/>
        <v>50</v>
      </c>
      <c r="G1278" s="1" t="str">
        <f t="shared" si="79"/>
        <v/>
      </c>
      <c r="I1278" s="1" t="str">
        <f t="shared" si="77"/>
        <v>威尔新数值1.06.xlsm!monsterDamage</v>
      </c>
    </row>
    <row r="1279" spans="1:9" x14ac:dyDescent="0.15">
      <c r="A1279" s="1">
        <v>1278</v>
      </c>
      <c r="B1279" s="1">
        <v>102090600</v>
      </c>
      <c r="C1279" s="1">
        <f t="shared" si="80"/>
        <v>3</v>
      </c>
      <c r="D1279" s="5">
        <f ca="1">IF(getQuality(B1279)&lt;4,getOtherMin(B1279,C1279,INDIRECT(J$2),INDIRECT(I1279),test),getMin(B1279,C1279,INDIRECT(J$2),INDIRECT(I1279),test))</f>
        <v>288.24542239033156</v>
      </c>
      <c r="E1279" s="5">
        <f ca="1">IF(getQuality(B1279)&lt;4,getOtherMax(B1279,C1279,INDIRECT(J$2),INDIRECT(I1279),test),getMax(B1279,C1279,INDIRECT(J$2),INDIRECT(I1279),test))</f>
        <v>342.05887732784834</v>
      </c>
      <c r="F1279" s="1" t="str">
        <f t="shared" si="78"/>
        <v>50</v>
      </c>
      <c r="G1279" s="1" t="str">
        <f t="shared" si="79"/>
        <v/>
      </c>
      <c r="I1279" s="1" t="str">
        <f t="shared" si="77"/>
        <v>威尔新数值1.06.xlsm!suitPower</v>
      </c>
    </row>
    <row r="1280" spans="1:9" x14ac:dyDescent="0.15">
      <c r="A1280" s="1">
        <v>1279</v>
      </c>
      <c r="B1280" s="1">
        <v>102090600</v>
      </c>
      <c r="C1280" s="1">
        <f t="shared" si="80"/>
        <v>5</v>
      </c>
      <c r="D1280" s="5">
        <f ca="1">IF(getQuality(B1280)&lt;4,getOtherMin(B1280,C1280,INDIRECT(J$2),INDIRECT(I1280),test),getMin(B1280,C1280,INDIRECT(J$2),INDIRECT(I1280),test))</f>
        <v>288.24542239033156</v>
      </c>
      <c r="E1280" s="5">
        <f ca="1">IF(getQuality(B1280)&lt;4,getOtherMax(B1280,C1280,INDIRECT(J$2),INDIRECT(I1280),test),getMax(B1280,C1280,INDIRECT(J$2),INDIRECT(I1280),test))</f>
        <v>342.05887732784834</v>
      </c>
      <c r="F1280" s="1" t="str">
        <f t="shared" si="78"/>
        <v>50</v>
      </c>
      <c r="G1280" s="1" t="str">
        <f t="shared" si="79"/>
        <v>1</v>
      </c>
      <c r="I1280" s="1" t="str">
        <f t="shared" si="77"/>
        <v>威尔新数值1.06.xlsm!suitPower</v>
      </c>
    </row>
    <row r="1281" spans="1:9" x14ac:dyDescent="0.15">
      <c r="A1281" s="1">
        <v>1280</v>
      </c>
      <c r="B1281" s="1">
        <v>102090600</v>
      </c>
      <c r="C1281" s="1">
        <f t="shared" si="80"/>
        <v>7</v>
      </c>
      <c r="D1281" s="5">
        <f ca="1">IF(getQuality(B1281)&lt;4,getOtherMin(B1281,C1281,INDIRECT(J$2),INDIRECT(I1281),test),getMin(B1281,C1281,INDIRECT(J$2),INDIRECT(I1281),test))</f>
        <v>52.85185185185172</v>
      </c>
      <c r="E1281" s="5">
        <f ca="1">IF(getQuality(B1281)&lt;4,getOtherMax(B1281,C1281,INDIRECT(J$2),INDIRECT(I1281),test),getMax(B1281,C1281,INDIRECT(J$2),INDIRECT(I1281),test))</f>
        <v>58.333333333333186</v>
      </c>
      <c r="F1281" s="1" t="str">
        <f t="shared" si="78"/>
        <v>50</v>
      </c>
      <c r="G1281" s="1" t="str">
        <f t="shared" si="79"/>
        <v/>
      </c>
      <c r="I1281" s="1" t="str">
        <f t="shared" si="77"/>
        <v>威尔新数值1.06.xlsm!suitPower</v>
      </c>
    </row>
    <row r="1282" spans="1:9" x14ac:dyDescent="0.15">
      <c r="A1282" s="1">
        <v>1281</v>
      </c>
      <c r="B1282" s="1">
        <v>102090600</v>
      </c>
      <c r="C1282" s="1">
        <f t="shared" si="80"/>
        <v>8</v>
      </c>
      <c r="D1282" s="5">
        <f ca="1">IF(getQuality(B1282)&lt;4,getOtherMin(B1282,C1282,INDIRECT(J$2),INDIRECT(I1282),test),getMin(B1282,C1282,INDIRECT(J$2),INDIRECT(I1282),test))</f>
        <v>117.66666666666667</v>
      </c>
      <c r="E1282" s="5">
        <f ca="1">IF(getQuality(B1282)&lt;4,getOtherMax(B1282,C1282,INDIRECT(J$2),INDIRECT(I1282),test),getMax(B1282,C1282,INDIRECT(J$2),INDIRECT(I1282),test))</f>
        <v>131.25</v>
      </c>
      <c r="F1282" s="1" t="str">
        <f t="shared" si="78"/>
        <v>50</v>
      </c>
      <c r="G1282" s="1" t="str">
        <f t="shared" si="79"/>
        <v/>
      </c>
      <c r="I1282" s="1" t="str">
        <f t="shared" ref="I1282:I1345" si="81">IF(C1282&lt;100,VLOOKUP(C1282,test,3,FALSE),VLOOKUP(C1282,test1,3,FALSE))</f>
        <v>威尔新数值1.06.xlsm!suitPower</v>
      </c>
    </row>
    <row r="1283" spans="1:9" x14ac:dyDescent="0.15">
      <c r="A1283" s="1">
        <v>1282</v>
      </c>
      <c r="B1283" s="1">
        <v>102090600</v>
      </c>
      <c r="C1283" s="1">
        <f t="shared" si="80"/>
        <v>9</v>
      </c>
      <c r="D1283" s="5">
        <f ca="1">IF(getQuality(B1283)&lt;4,getOtherMin(B1283,C1283,INDIRECT(J$2),INDIRECT(I1283),test),getMin(B1283,C1283,INDIRECT(J$2),INDIRECT(I1283),test))</f>
        <v>288.24542239033156</v>
      </c>
      <c r="E1283" s="5">
        <f ca="1">IF(getQuality(B1283)&lt;4,getOtherMax(B1283,C1283,INDIRECT(J$2),INDIRECT(I1283),test),getMax(B1283,C1283,INDIRECT(J$2),INDIRECT(I1283),test))</f>
        <v>342.05887732784834</v>
      </c>
      <c r="F1283" s="1" t="str">
        <f t="shared" ref="F1283:F1346" si="82">getper(B1283,C1283)</f>
        <v>50</v>
      </c>
      <c r="G1283" s="1" t="str">
        <f t="shared" ref="G1283:G1346" si="83">getMust(B1283,C1283)</f>
        <v/>
      </c>
      <c r="I1283" s="1" t="str">
        <f t="shared" si="81"/>
        <v>威尔新数值1.06.xlsm!suitPower</v>
      </c>
    </row>
    <row r="1284" spans="1:9" x14ac:dyDescent="0.15">
      <c r="A1284" s="1">
        <v>1283</v>
      </c>
      <c r="B1284" s="1">
        <v>102090600</v>
      </c>
      <c r="C1284" s="1">
        <f t="shared" si="80"/>
        <v>10</v>
      </c>
      <c r="D1284" s="5">
        <f ca="1">IF(getQuality(B1284)&lt;4,getOtherMin(B1284,C1284,INDIRECT(J$2),INDIRECT(I1284),test),getMin(B1284,C1284,INDIRECT(J$2),INDIRECT(I1284),test))</f>
        <v>288.24542239033156</v>
      </c>
      <c r="E1284" s="5">
        <f ca="1">IF(getQuality(B1284)&lt;4,getOtherMax(B1284,C1284,INDIRECT(J$2),INDIRECT(I1284),test),getMax(B1284,C1284,INDIRECT(J$2),INDIRECT(I1284),test))</f>
        <v>342.05887732784834</v>
      </c>
      <c r="F1284" s="1" t="str">
        <f t="shared" si="82"/>
        <v>50</v>
      </c>
      <c r="G1284" s="1" t="str">
        <f t="shared" si="83"/>
        <v/>
      </c>
      <c r="I1284" s="1" t="str">
        <f t="shared" si="81"/>
        <v>威尔新数值1.06.xlsm!suitPower</v>
      </c>
    </row>
    <row r="1285" spans="1:9" x14ac:dyDescent="0.15">
      <c r="A1285" s="1">
        <v>1284</v>
      </c>
      <c r="B1285" s="1">
        <v>102090600</v>
      </c>
      <c r="C1285" s="1">
        <f t="shared" si="80"/>
        <v>11</v>
      </c>
      <c r="D1285" s="5">
        <f ca="1">IF(getQuality(B1285)&lt;4,getOtherMin(B1285,C1285,INDIRECT(J$2),INDIRECT(I1285),test),getMin(B1285,C1285,INDIRECT(J$2),INDIRECT(I1285),test))</f>
        <v>288.24542239033156</v>
      </c>
      <c r="E1285" s="5">
        <f ca="1">IF(getQuality(B1285)&lt;4,getOtherMax(B1285,C1285,INDIRECT(J$2),INDIRECT(I1285),test),getMax(B1285,C1285,INDIRECT(J$2),INDIRECT(I1285),test))</f>
        <v>342.05887732784834</v>
      </c>
      <c r="F1285" s="1" t="str">
        <f t="shared" si="82"/>
        <v>50</v>
      </c>
      <c r="G1285" s="1" t="str">
        <f t="shared" si="83"/>
        <v/>
      </c>
      <c r="I1285" s="1" t="str">
        <f t="shared" si="81"/>
        <v>威尔新数值1.06.xlsm!suitPower</v>
      </c>
    </row>
    <row r="1286" spans="1:9" x14ac:dyDescent="0.15">
      <c r="A1286" s="1">
        <v>1285</v>
      </c>
      <c r="B1286" s="1">
        <v>102090600</v>
      </c>
      <c r="C1286" s="1">
        <f t="shared" si="80"/>
        <v>12</v>
      </c>
      <c r="D1286" s="5">
        <f ca="1">IF(getQuality(B1286)&lt;4,getOtherMin(B1286,C1286,INDIRECT(J$2),INDIRECT(I1286),test),getMin(B1286,C1286,INDIRECT(J$2),INDIRECT(I1286),test))</f>
        <v>288.24542239033156</v>
      </c>
      <c r="E1286" s="5">
        <f ca="1">IF(getQuality(B1286)&lt;4,getOtherMax(B1286,C1286,INDIRECT(J$2),INDIRECT(I1286),test),getMax(B1286,C1286,INDIRECT(J$2),INDIRECT(I1286),test))</f>
        <v>342.05887732784834</v>
      </c>
      <c r="F1286" s="1" t="str">
        <f t="shared" si="82"/>
        <v>50</v>
      </c>
      <c r="G1286" s="1" t="str">
        <f t="shared" si="83"/>
        <v/>
      </c>
      <c r="I1286" s="1" t="str">
        <f t="shared" si="81"/>
        <v>威尔新数值1.06.xlsm!suitPower</v>
      </c>
    </row>
    <row r="1287" spans="1:9" x14ac:dyDescent="0.15">
      <c r="A1287" s="1">
        <v>1286</v>
      </c>
      <c r="B1287" s="1">
        <v>102090600</v>
      </c>
      <c r="C1287" s="1">
        <f t="shared" si="80"/>
        <v>13</v>
      </c>
      <c r="D1287" s="5">
        <f ca="1">IF(getQuality(B1287)&lt;4,getOtherMin(B1287,C1287,INDIRECT(J$2),INDIRECT(I1287),test),getMin(B1287,C1287,INDIRECT(J$2),INDIRECT(I1287),test))</f>
        <v>288.24542239033156</v>
      </c>
      <c r="E1287" s="5">
        <f ca="1">IF(getQuality(B1287)&lt;4,getOtherMax(B1287,C1287,INDIRECT(J$2),INDIRECT(I1287),test),getMax(B1287,C1287,INDIRECT(J$2),INDIRECT(I1287),test))</f>
        <v>342.05887732784834</v>
      </c>
      <c r="F1287" s="1" t="str">
        <f t="shared" si="82"/>
        <v>50</v>
      </c>
      <c r="G1287" s="1" t="str">
        <f t="shared" si="83"/>
        <v/>
      </c>
      <c r="I1287" s="1" t="str">
        <f t="shared" si="81"/>
        <v>威尔新数值1.06.xlsm!suitPower</v>
      </c>
    </row>
    <row r="1288" spans="1:9" x14ac:dyDescent="0.15">
      <c r="A1288" s="1">
        <v>1287</v>
      </c>
      <c r="B1288" s="1">
        <v>102090600</v>
      </c>
      <c r="C1288" s="1">
        <f t="shared" si="80"/>
        <v>14</v>
      </c>
      <c r="D1288" s="5">
        <f ca="1">IF(getQuality(B1288)&lt;4,getOtherMin(B1288,C1288,INDIRECT(J$2),INDIRECT(I1288),test),getMin(B1288,C1288,INDIRECT(J$2),INDIRECT(I1288),test))</f>
        <v>288.24542239033156</v>
      </c>
      <c r="E1288" s="5">
        <f ca="1">IF(getQuality(B1288)&lt;4,getOtherMax(B1288,C1288,INDIRECT(J$2),INDIRECT(I1288),test),getMax(B1288,C1288,INDIRECT(J$2),INDIRECT(I1288),test))</f>
        <v>342.05887732784834</v>
      </c>
      <c r="F1288" s="1" t="str">
        <f t="shared" si="82"/>
        <v>50</v>
      </c>
      <c r="G1288" s="1" t="str">
        <f t="shared" si="83"/>
        <v/>
      </c>
      <c r="I1288" s="1" t="str">
        <f t="shared" si="81"/>
        <v>威尔新数值1.06.xlsm!suitPower</v>
      </c>
    </row>
    <row r="1289" spans="1:9" x14ac:dyDescent="0.15">
      <c r="A1289" s="1">
        <v>1288</v>
      </c>
      <c r="B1289" s="1">
        <v>102090600</v>
      </c>
      <c r="C1289" s="1">
        <f t="shared" si="80"/>
        <v>15</v>
      </c>
      <c r="D1289" s="5">
        <f ca="1">IF(getQuality(B1289)&lt;4,getOtherMin(B1289,C1289,INDIRECT(J$2),INDIRECT(I1289),test),getMin(B1289,C1289,INDIRECT(J$2),INDIRECT(I1289),test))</f>
        <v>288.24542239033156</v>
      </c>
      <c r="E1289" s="5">
        <f ca="1">IF(getQuality(B1289)&lt;4,getOtherMax(B1289,C1289,INDIRECT(J$2),INDIRECT(I1289),test),getMax(B1289,C1289,INDIRECT(J$2),INDIRECT(I1289),test))</f>
        <v>342.05887732784834</v>
      </c>
      <c r="F1289" s="1" t="str">
        <f t="shared" si="82"/>
        <v>50</v>
      </c>
      <c r="G1289" s="1" t="str">
        <f t="shared" si="83"/>
        <v/>
      </c>
      <c r="I1289" s="1" t="str">
        <f t="shared" si="81"/>
        <v>威尔新数值1.06.xlsm!suitPower</v>
      </c>
    </row>
    <row r="1290" spans="1:9" x14ac:dyDescent="0.15">
      <c r="A1290" s="1">
        <v>1289</v>
      </c>
      <c r="B1290" s="1">
        <v>102090600</v>
      </c>
      <c r="C1290" s="1">
        <f t="shared" si="80"/>
        <v>101</v>
      </c>
      <c r="D1290" s="5">
        <f ca="1">IF(getQuality(B1290)&lt;4,getOtherMin(B1290,C1290,INDIRECT(J$2),INDIRECT(I1290),test),getMin(B1290,C1290,INDIRECT(J$2),INDIRECT(I1290),test))</f>
        <v>0.14000000000000001</v>
      </c>
      <c r="E1290" s="5">
        <f ca="1">IF(getQuality(B1290)&lt;4,getOtherMax(B1290,C1290,INDIRECT(J$2),INDIRECT(I1290),test),getMax(B1290,C1290,INDIRECT(J$2),INDIRECT(I1290),test))</f>
        <v>0.17</v>
      </c>
      <c r="F1290" s="1" t="str">
        <f t="shared" si="82"/>
        <v>50</v>
      </c>
      <c r="G1290" s="1" t="str">
        <f t="shared" si="83"/>
        <v/>
      </c>
      <c r="I1290" s="1" t="str">
        <f t="shared" si="81"/>
        <v>威尔新数值1.06.xlsm!circlePer</v>
      </c>
    </row>
    <row r="1291" spans="1:9" x14ac:dyDescent="0.15">
      <c r="A1291" s="1">
        <v>1290</v>
      </c>
      <c r="B1291" s="1">
        <v>102090600</v>
      </c>
      <c r="C1291" s="1">
        <f t="shared" si="80"/>
        <v>102</v>
      </c>
      <c r="D1291" s="5">
        <f ca="1">IF(getQuality(B1291)&lt;4,getOtherMin(B1291,C1291,INDIRECT(J$2),INDIRECT(I1291),test),getMin(B1291,C1291,INDIRECT(J$2),INDIRECT(I1291),test))</f>
        <v>1.2</v>
      </c>
      <c r="E1291" s="5">
        <f ca="1">IF(getQuality(B1291)&lt;4,getOtherMax(B1291,C1291,INDIRECT(J$2),INDIRECT(I1291),test),getMax(B1291,C1291,INDIRECT(J$2),INDIRECT(I1291),test))</f>
        <v>1.6</v>
      </c>
      <c r="F1291" s="1" t="str">
        <f t="shared" si="82"/>
        <v>50</v>
      </c>
      <c r="G1291" s="1" t="str">
        <f t="shared" si="83"/>
        <v/>
      </c>
      <c r="I1291" s="1" t="str">
        <f t="shared" si="81"/>
        <v>威尔新数值1.06.xlsm!circleValue</v>
      </c>
    </row>
    <row r="1292" spans="1:9" x14ac:dyDescent="0.15">
      <c r="A1292" s="1">
        <v>1291</v>
      </c>
      <c r="B1292" s="1">
        <v>102090600</v>
      </c>
      <c r="C1292" s="1">
        <f t="shared" si="80"/>
        <v>103</v>
      </c>
      <c r="D1292" s="5">
        <f ca="1">IF(getQuality(B1292)&lt;4,getOtherMin(B1292,C1292,INDIRECT(J$2),INDIRECT(I1292),test),getMin(B1292,C1292,INDIRECT(J$2),INDIRECT(I1292),test))</f>
        <v>0.14000000000000001</v>
      </c>
      <c r="E1292" s="5">
        <f ca="1">IF(getQuality(B1292)&lt;4,getOtherMax(B1292,C1292,INDIRECT(J$2),INDIRECT(I1292),test),getMax(B1292,C1292,INDIRECT(J$2),INDIRECT(I1292),test))</f>
        <v>0.17</v>
      </c>
      <c r="F1292" s="1" t="str">
        <f t="shared" si="82"/>
        <v>50</v>
      </c>
      <c r="G1292" s="1" t="str">
        <f t="shared" si="83"/>
        <v/>
      </c>
      <c r="I1292" s="1" t="str">
        <f t="shared" si="81"/>
        <v>威尔新数值1.06.xlsm!otherDamage</v>
      </c>
    </row>
    <row r="1293" spans="1:9" x14ac:dyDescent="0.15">
      <c r="A1293" s="1">
        <v>1292</v>
      </c>
      <c r="B1293" s="1">
        <v>102090600</v>
      </c>
      <c r="C1293" s="1">
        <f t="shared" si="80"/>
        <v>104</v>
      </c>
      <c r="D1293" s="5">
        <f ca="1">IF(getQuality(B1293)&lt;4,getOtherMin(B1293,C1293,INDIRECT(J$2),INDIRECT(I1293),test),getMin(B1293,C1293,INDIRECT(J$2),INDIRECT(I1293),test))</f>
        <v>0.14000000000000001</v>
      </c>
      <c r="E1293" s="5">
        <f ca="1">IF(getQuality(B1293)&lt;4,getOtherMax(B1293,C1293,INDIRECT(J$2),INDIRECT(I1293),test),getMax(B1293,C1293,INDIRECT(J$2),INDIRECT(I1293),test))</f>
        <v>0.28000000000000003</v>
      </c>
      <c r="F1293" s="1" t="str">
        <f t="shared" si="82"/>
        <v>50</v>
      </c>
      <c r="G1293" s="1" t="str">
        <f t="shared" si="83"/>
        <v/>
      </c>
      <c r="I1293" s="1" t="str">
        <f t="shared" si="81"/>
        <v>威尔新数值1.06.xlsm!monsterDamage</v>
      </c>
    </row>
    <row r="1294" spans="1:9" x14ac:dyDescent="0.15">
      <c r="A1294" s="1">
        <v>1293</v>
      </c>
      <c r="B1294" s="1">
        <v>102090600</v>
      </c>
      <c r="C1294" s="1">
        <f t="shared" si="80"/>
        <v>105</v>
      </c>
      <c r="D1294" s="5">
        <f ca="1">IF(getQuality(B1294)&lt;4,getOtherMin(B1294,C1294,INDIRECT(J$2),INDIRECT(I1294),test),getMin(B1294,C1294,INDIRECT(J$2),INDIRECT(I1294),test))</f>
        <v>0.14000000000000001</v>
      </c>
      <c r="E1294" s="5">
        <f ca="1">IF(getQuality(B1294)&lt;4,getOtherMax(B1294,C1294,INDIRECT(J$2),INDIRECT(I1294),test),getMax(B1294,C1294,INDIRECT(J$2),INDIRECT(I1294),test))</f>
        <v>0.28000000000000003</v>
      </c>
      <c r="F1294" s="1" t="str">
        <f t="shared" si="82"/>
        <v>50</v>
      </c>
      <c r="G1294" s="1" t="str">
        <f t="shared" si="83"/>
        <v/>
      </c>
      <c r="I1294" s="1" t="str">
        <f t="shared" si="81"/>
        <v>威尔新数值1.06.xlsm!monsterDamage</v>
      </c>
    </row>
    <row r="1295" spans="1:9" x14ac:dyDescent="0.15">
      <c r="A1295" s="1">
        <v>1294</v>
      </c>
      <c r="B1295" s="1">
        <v>102090600</v>
      </c>
      <c r="C1295" s="1">
        <f t="shared" si="80"/>
        <v>106</v>
      </c>
      <c r="D1295" s="5">
        <f ca="1">IF(getQuality(B1295)&lt;4,getOtherMin(B1295,C1295,INDIRECT(J$2),INDIRECT(I1295),test),getMin(B1295,C1295,INDIRECT(J$2),INDIRECT(I1295),test))</f>
        <v>0.14000000000000001</v>
      </c>
      <c r="E1295" s="5">
        <f ca="1">IF(getQuality(B1295)&lt;4,getOtherMax(B1295,C1295,INDIRECT(J$2),INDIRECT(I1295),test),getMax(B1295,C1295,INDIRECT(J$2),INDIRECT(I1295),test))</f>
        <v>0.28000000000000003</v>
      </c>
      <c r="F1295" s="1" t="str">
        <f t="shared" si="82"/>
        <v>50</v>
      </c>
      <c r="G1295" s="1" t="str">
        <f t="shared" si="83"/>
        <v/>
      </c>
      <c r="I1295" s="1" t="str">
        <f t="shared" si="81"/>
        <v>威尔新数值1.06.xlsm!monsterDamage</v>
      </c>
    </row>
    <row r="1296" spans="1:9" x14ac:dyDescent="0.15">
      <c r="A1296" s="1">
        <v>1295</v>
      </c>
      <c r="B1296" s="1">
        <v>102090600</v>
      </c>
      <c r="C1296" s="1">
        <f t="shared" si="80"/>
        <v>107</v>
      </c>
      <c r="D1296" s="5">
        <f ca="1">IF(getQuality(B1296)&lt;4,getOtherMin(B1296,C1296,INDIRECT(J$2),INDIRECT(I1296),test),getMin(B1296,C1296,INDIRECT(J$2),INDIRECT(I1296),test))</f>
        <v>0.14000000000000001</v>
      </c>
      <c r="E1296" s="5">
        <f ca="1">IF(getQuality(B1296)&lt;4,getOtherMax(B1296,C1296,INDIRECT(J$2),INDIRECT(I1296),test),getMax(B1296,C1296,INDIRECT(J$2),INDIRECT(I1296),test))</f>
        <v>0.28000000000000003</v>
      </c>
      <c r="F1296" s="1" t="str">
        <f t="shared" si="82"/>
        <v>50</v>
      </c>
      <c r="G1296" s="1" t="str">
        <f t="shared" si="83"/>
        <v/>
      </c>
      <c r="I1296" s="1" t="str">
        <f t="shared" si="81"/>
        <v>威尔新数值1.06.xlsm!monsterDamage</v>
      </c>
    </row>
    <row r="1297" spans="1:9" x14ac:dyDescent="0.15">
      <c r="A1297" s="1">
        <v>1296</v>
      </c>
      <c r="B1297" s="1">
        <v>102090600</v>
      </c>
      <c r="C1297" s="1">
        <f t="shared" si="80"/>
        <v>108</v>
      </c>
      <c r="D1297" s="5">
        <f ca="1">IF(getQuality(B1297)&lt;4,getOtherMin(B1297,C1297,INDIRECT(J$2),INDIRECT(I1297),test),getMin(B1297,C1297,INDIRECT(J$2),INDIRECT(I1297),test))</f>
        <v>0.14000000000000001</v>
      </c>
      <c r="E1297" s="5">
        <f ca="1">IF(getQuality(B1297)&lt;4,getOtherMax(B1297,C1297,INDIRECT(J$2),INDIRECT(I1297),test),getMax(B1297,C1297,INDIRECT(J$2),INDIRECT(I1297),test))</f>
        <v>0.28000000000000003</v>
      </c>
      <c r="F1297" s="1" t="str">
        <f t="shared" si="82"/>
        <v>50</v>
      </c>
      <c r="G1297" s="1" t="str">
        <f t="shared" si="83"/>
        <v/>
      </c>
      <c r="I1297" s="1" t="str">
        <f t="shared" si="81"/>
        <v>威尔新数值1.06.xlsm!monsterDamage</v>
      </c>
    </row>
    <row r="1298" spans="1:9" x14ac:dyDescent="0.15">
      <c r="A1298" s="1">
        <v>1297</v>
      </c>
      <c r="B1298" s="1">
        <v>102010700</v>
      </c>
      <c r="C1298" s="1">
        <f t="shared" si="80"/>
        <v>3</v>
      </c>
      <c r="D1298" s="5">
        <f ca="1">IF(getQuality(B1298)&lt;4,getOtherMin(B1298,C1298,INDIRECT(J$2),INDIRECT(I1298),test),getMin(B1298,C1298,INDIRECT(J$2),INDIRECT(I1298),test))</f>
        <v>1</v>
      </c>
      <c r="E1298" s="5">
        <f ca="1">IF(getQuality(B1298)&lt;4,getOtherMax(B1298,C1298,INDIRECT(J$2),INDIRECT(I1298),test),getMax(B1298,C1298,INDIRECT(J$2),INDIRECT(I1298),test))</f>
        <v>21.008641265250315</v>
      </c>
      <c r="F1298" s="1" t="str">
        <f t="shared" si="82"/>
        <v>50</v>
      </c>
      <c r="G1298" s="1" t="str">
        <f t="shared" si="83"/>
        <v>1</v>
      </c>
      <c r="I1298" s="1" t="str">
        <f t="shared" si="81"/>
        <v>威尔新数值1.06.xlsm!suitPower</v>
      </c>
    </row>
    <row r="1299" spans="1:9" x14ac:dyDescent="0.15">
      <c r="A1299" s="1">
        <v>1298</v>
      </c>
      <c r="B1299" s="1">
        <v>102010700</v>
      </c>
      <c r="C1299" s="1">
        <f t="shared" si="80"/>
        <v>5</v>
      </c>
      <c r="D1299" s="5">
        <f ca="1">IF(getQuality(B1299)&lt;4,getOtherMin(B1299,C1299,INDIRECT(J$2),INDIRECT(I1299),test),getMin(B1299,C1299,INDIRECT(J$2),INDIRECT(I1299),test))</f>
        <v>1</v>
      </c>
      <c r="E1299" s="5">
        <f ca="1">IF(getQuality(B1299)&lt;4,getOtherMax(B1299,C1299,INDIRECT(J$2),INDIRECT(I1299),test),getMax(B1299,C1299,INDIRECT(J$2),INDIRECT(I1299),test))</f>
        <v>21.008641265250315</v>
      </c>
      <c r="F1299" s="1" t="str">
        <f t="shared" si="82"/>
        <v>50</v>
      </c>
      <c r="G1299" s="1" t="str">
        <f t="shared" si="83"/>
        <v/>
      </c>
      <c r="I1299" s="1" t="str">
        <f t="shared" si="81"/>
        <v>威尔新数值1.06.xlsm!suitPower</v>
      </c>
    </row>
    <row r="1300" spans="1:9" x14ac:dyDescent="0.15">
      <c r="A1300" s="1">
        <v>1299</v>
      </c>
      <c r="B1300" s="1">
        <v>102010700</v>
      </c>
      <c r="C1300" s="1">
        <f t="shared" si="80"/>
        <v>7</v>
      </c>
      <c r="D1300" s="5">
        <f ca="1">IF(getQuality(B1300)&lt;4,getOtherMin(B1300,C1300,INDIRECT(J$2),INDIRECT(I1300),test),getMin(B1300,C1300,INDIRECT(J$2),INDIRECT(I1300),test))</f>
        <v>1</v>
      </c>
      <c r="E1300" s="5">
        <f ca="1">IF(getQuality(B1300)&lt;4,getOtherMax(B1300,C1300,INDIRECT(J$2),INDIRECT(I1300),test),getMax(B1300,C1300,INDIRECT(J$2),INDIRECT(I1300),test))</f>
        <v>6.481481481481465</v>
      </c>
      <c r="F1300" s="1" t="str">
        <f t="shared" si="82"/>
        <v>50</v>
      </c>
      <c r="G1300" s="1" t="str">
        <f t="shared" si="83"/>
        <v/>
      </c>
      <c r="I1300" s="1" t="str">
        <f t="shared" si="81"/>
        <v>威尔新数值1.06.xlsm!suitPower</v>
      </c>
    </row>
    <row r="1301" spans="1:9" x14ac:dyDescent="0.15">
      <c r="A1301" s="1">
        <v>1300</v>
      </c>
      <c r="B1301" s="1">
        <v>102010700</v>
      </c>
      <c r="C1301" s="1">
        <f t="shared" si="80"/>
        <v>8</v>
      </c>
      <c r="D1301" s="5">
        <f ca="1">IF(getQuality(B1301)&lt;4,getOtherMin(B1301,C1301,INDIRECT(J$2),INDIRECT(I1301),test),getMin(B1301,C1301,INDIRECT(J$2),INDIRECT(I1301),test))</f>
        <v>1</v>
      </c>
      <c r="E1301" s="5">
        <f ca="1">IF(getQuality(B1301)&lt;4,getOtherMax(B1301,C1301,INDIRECT(J$2),INDIRECT(I1301),test),getMax(B1301,C1301,INDIRECT(J$2),INDIRECT(I1301),test))</f>
        <v>14.583333333333334</v>
      </c>
      <c r="F1301" s="1" t="str">
        <f t="shared" si="82"/>
        <v>50</v>
      </c>
      <c r="G1301" s="1" t="str">
        <f t="shared" si="83"/>
        <v/>
      </c>
      <c r="I1301" s="1" t="str">
        <f t="shared" si="81"/>
        <v>威尔新数值1.06.xlsm!suitPower</v>
      </c>
    </row>
    <row r="1302" spans="1:9" x14ac:dyDescent="0.15">
      <c r="A1302" s="1">
        <v>1301</v>
      </c>
      <c r="B1302" s="1">
        <v>102010700</v>
      </c>
      <c r="C1302" s="1">
        <f t="shared" si="80"/>
        <v>9</v>
      </c>
      <c r="D1302" s="5">
        <f ca="1">IF(getQuality(B1302)&lt;4,getOtherMin(B1302,C1302,INDIRECT(J$2),INDIRECT(I1302),test),getMin(B1302,C1302,INDIRECT(J$2),INDIRECT(I1302),test))</f>
        <v>1</v>
      </c>
      <c r="E1302" s="5">
        <f ca="1">IF(getQuality(B1302)&lt;4,getOtherMax(B1302,C1302,INDIRECT(J$2),INDIRECT(I1302),test),getMax(B1302,C1302,INDIRECT(J$2),INDIRECT(I1302),test))</f>
        <v>21.008641265250315</v>
      </c>
      <c r="F1302" s="1" t="str">
        <f t="shared" si="82"/>
        <v>50</v>
      </c>
      <c r="G1302" s="1" t="str">
        <f t="shared" si="83"/>
        <v/>
      </c>
      <c r="I1302" s="1" t="str">
        <f t="shared" si="81"/>
        <v>威尔新数值1.06.xlsm!suitPower</v>
      </c>
    </row>
    <row r="1303" spans="1:9" x14ac:dyDescent="0.15">
      <c r="A1303" s="1">
        <v>1302</v>
      </c>
      <c r="B1303" s="1">
        <v>102010700</v>
      </c>
      <c r="C1303" s="1">
        <f t="shared" si="80"/>
        <v>10</v>
      </c>
      <c r="D1303" s="5">
        <f ca="1">IF(getQuality(B1303)&lt;4,getOtherMin(B1303,C1303,INDIRECT(J$2),INDIRECT(I1303),test),getMin(B1303,C1303,INDIRECT(J$2),INDIRECT(I1303),test))</f>
        <v>1</v>
      </c>
      <c r="E1303" s="5">
        <f ca="1">IF(getQuality(B1303)&lt;4,getOtherMax(B1303,C1303,INDIRECT(J$2),INDIRECT(I1303),test),getMax(B1303,C1303,INDIRECT(J$2),INDIRECT(I1303),test))</f>
        <v>21.008641265250315</v>
      </c>
      <c r="F1303" s="1" t="str">
        <f t="shared" si="82"/>
        <v>50</v>
      </c>
      <c r="G1303" s="1" t="str">
        <f t="shared" si="83"/>
        <v/>
      </c>
      <c r="I1303" s="1" t="str">
        <f t="shared" si="81"/>
        <v>威尔新数值1.06.xlsm!suitPower</v>
      </c>
    </row>
    <row r="1304" spans="1:9" x14ac:dyDescent="0.15">
      <c r="A1304" s="1">
        <v>1303</v>
      </c>
      <c r="B1304" s="1">
        <v>102010700</v>
      </c>
      <c r="C1304" s="1">
        <f t="shared" si="80"/>
        <v>11</v>
      </c>
      <c r="D1304" s="5">
        <f ca="1">IF(getQuality(B1304)&lt;4,getOtherMin(B1304,C1304,INDIRECT(J$2),INDIRECT(I1304),test),getMin(B1304,C1304,INDIRECT(J$2),INDIRECT(I1304),test))</f>
        <v>1</v>
      </c>
      <c r="E1304" s="5">
        <f ca="1">IF(getQuality(B1304)&lt;4,getOtherMax(B1304,C1304,INDIRECT(J$2),INDIRECT(I1304),test),getMax(B1304,C1304,INDIRECT(J$2),INDIRECT(I1304),test))</f>
        <v>21.008641265250315</v>
      </c>
      <c r="F1304" s="1" t="str">
        <f t="shared" si="82"/>
        <v>50</v>
      </c>
      <c r="G1304" s="1" t="str">
        <f t="shared" si="83"/>
        <v/>
      </c>
      <c r="I1304" s="1" t="str">
        <f t="shared" si="81"/>
        <v>威尔新数值1.06.xlsm!suitPower</v>
      </c>
    </row>
    <row r="1305" spans="1:9" x14ac:dyDescent="0.15">
      <c r="A1305" s="1">
        <v>1304</v>
      </c>
      <c r="B1305" s="1">
        <v>102010700</v>
      </c>
      <c r="C1305" s="1">
        <f t="shared" si="80"/>
        <v>12</v>
      </c>
      <c r="D1305" s="5">
        <f ca="1">IF(getQuality(B1305)&lt;4,getOtherMin(B1305,C1305,INDIRECT(J$2),INDIRECT(I1305),test),getMin(B1305,C1305,INDIRECT(J$2),INDIRECT(I1305),test))</f>
        <v>1</v>
      </c>
      <c r="E1305" s="5">
        <f ca="1">IF(getQuality(B1305)&lt;4,getOtherMax(B1305,C1305,INDIRECT(J$2),INDIRECT(I1305),test),getMax(B1305,C1305,INDIRECT(J$2),INDIRECT(I1305),test))</f>
        <v>21.008641265250315</v>
      </c>
      <c r="F1305" s="1" t="str">
        <f t="shared" si="82"/>
        <v>50</v>
      </c>
      <c r="G1305" s="1" t="str">
        <f t="shared" si="83"/>
        <v/>
      </c>
      <c r="I1305" s="1" t="str">
        <f t="shared" si="81"/>
        <v>威尔新数值1.06.xlsm!suitPower</v>
      </c>
    </row>
    <row r="1306" spans="1:9" x14ac:dyDescent="0.15">
      <c r="A1306" s="1">
        <v>1305</v>
      </c>
      <c r="B1306" s="1">
        <v>102010700</v>
      </c>
      <c r="C1306" s="1">
        <f t="shared" si="80"/>
        <v>13</v>
      </c>
      <c r="D1306" s="5">
        <f ca="1">IF(getQuality(B1306)&lt;4,getOtherMin(B1306,C1306,INDIRECT(J$2),INDIRECT(I1306),test),getMin(B1306,C1306,INDIRECT(J$2),INDIRECT(I1306),test))</f>
        <v>1</v>
      </c>
      <c r="E1306" s="5">
        <f ca="1">IF(getQuality(B1306)&lt;4,getOtherMax(B1306,C1306,INDIRECT(J$2),INDIRECT(I1306),test),getMax(B1306,C1306,INDIRECT(J$2),INDIRECT(I1306),test))</f>
        <v>21.008641265250315</v>
      </c>
      <c r="F1306" s="1" t="str">
        <f t="shared" si="82"/>
        <v>50</v>
      </c>
      <c r="G1306" s="1" t="str">
        <f t="shared" si="83"/>
        <v/>
      </c>
      <c r="I1306" s="1" t="str">
        <f t="shared" si="81"/>
        <v>威尔新数值1.06.xlsm!suitPower</v>
      </c>
    </row>
    <row r="1307" spans="1:9" x14ac:dyDescent="0.15">
      <c r="A1307" s="1">
        <v>1306</v>
      </c>
      <c r="B1307" s="1">
        <v>102010700</v>
      </c>
      <c r="C1307" s="1">
        <f t="shared" si="80"/>
        <v>14</v>
      </c>
      <c r="D1307" s="5">
        <f ca="1">IF(getQuality(B1307)&lt;4,getOtherMin(B1307,C1307,INDIRECT(J$2),INDIRECT(I1307),test),getMin(B1307,C1307,INDIRECT(J$2),INDIRECT(I1307),test))</f>
        <v>1</v>
      </c>
      <c r="E1307" s="5">
        <f ca="1">IF(getQuality(B1307)&lt;4,getOtherMax(B1307,C1307,INDIRECT(J$2),INDIRECT(I1307),test),getMax(B1307,C1307,INDIRECT(J$2),INDIRECT(I1307),test))</f>
        <v>21.008641265250315</v>
      </c>
      <c r="F1307" s="1" t="str">
        <f t="shared" si="82"/>
        <v>50</v>
      </c>
      <c r="G1307" s="1" t="str">
        <f t="shared" si="83"/>
        <v/>
      </c>
      <c r="I1307" s="1" t="str">
        <f t="shared" si="81"/>
        <v>威尔新数值1.06.xlsm!suitPower</v>
      </c>
    </row>
    <row r="1308" spans="1:9" x14ac:dyDescent="0.15">
      <c r="A1308" s="1">
        <v>1307</v>
      </c>
      <c r="B1308" s="1">
        <v>102010700</v>
      </c>
      <c r="C1308" s="1">
        <f t="shared" si="80"/>
        <v>15</v>
      </c>
      <c r="D1308" s="5">
        <f ca="1">IF(getQuality(B1308)&lt;4,getOtherMin(B1308,C1308,INDIRECT(J$2),INDIRECT(I1308),test),getMin(B1308,C1308,INDIRECT(J$2),INDIRECT(I1308),test))</f>
        <v>1</v>
      </c>
      <c r="E1308" s="5">
        <f ca="1">IF(getQuality(B1308)&lt;4,getOtherMax(B1308,C1308,INDIRECT(J$2),INDIRECT(I1308),test),getMax(B1308,C1308,INDIRECT(J$2),INDIRECT(I1308),test))</f>
        <v>21.008641265250315</v>
      </c>
      <c r="F1308" s="1" t="str">
        <f t="shared" si="82"/>
        <v>50</v>
      </c>
      <c r="G1308" s="1" t="str">
        <f t="shared" si="83"/>
        <v/>
      </c>
      <c r="I1308" s="1" t="str">
        <f t="shared" si="81"/>
        <v>威尔新数值1.06.xlsm!suitPower</v>
      </c>
    </row>
    <row r="1309" spans="1:9" x14ac:dyDescent="0.15">
      <c r="A1309" s="1">
        <v>1308</v>
      </c>
      <c r="B1309" s="1">
        <v>102010700</v>
      </c>
      <c r="C1309" s="1">
        <f t="shared" si="80"/>
        <v>101</v>
      </c>
      <c r="D1309" s="5">
        <f ca="1">IF(getQuality(B1309)&lt;4,getOtherMin(B1309,C1309,INDIRECT(J$2),INDIRECT(I1309),test),getMin(B1309,C1309,INDIRECT(J$2),INDIRECT(I1309),test))</f>
        <v>0.06</v>
      </c>
      <c r="E1309" s="5">
        <f ca="1">IF(getQuality(B1309)&lt;4,getOtherMax(B1309,C1309,INDIRECT(J$2),INDIRECT(I1309),test),getMax(B1309,C1309,INDIRECT(J$2),INDIRECT(I1309),test))</f>
        <v>0.09</v>
      </c>
      <c r="F1309" s="1" t="str">
        <f t="shared" si="82"/>
        <v>50</v>
      </c>
      <c r="G1309" s="1" t="str">
        <f t="shared" si="83"/>
        <v/>
      </c>
      <c r="I1309" s="1" t="str">
        <f t="shared" si="81"/>
        <v>威尔新数值1.06.xlsm!circlePer</v>
      </c>
    </row>
    <row r="1310" spans="1:9" x14ac:dyDescent="0.15">
      <c r="A1310" s="1">
        <v>1309</v>
      </c>
      <c r="B1310" s="1">
        <v>102010700</v>
      </c>
      <c r="C1310" s="1">
        <f t="shared" si="80"/>
        <v>102</v>
      </c>
      <c r="D1310" s="5">
        <f ca="1">IF(getQuality(B1310)&lt;4,getOtherMin(B1310,C1310,INDIRECT(J$2),INDIRECT(I1310),test),getMin(B1310,C1310,INDIRECT(J$2),INDIRECT(I1310),test))</f>
        <v>0.4</v>
      </c>
      <c r="E1310" s="5">
        <f ca="1">IF(getQuality(B1310)&lt;4,getOtherMax(B1310,C1310,INDIRECT(J$2),INDIRECT(I1310),test),getMax(B1310,C1310,INDIRECT(J$2),INDIRECT(I1310),test))</f>
        <v>0.8</v>
      </c>
      <c r="F1310" s="1" t="str">
        <f t="shared" si="82"/>
        <v>50</v>
      </c>
      <c r="G1310" s="1" t="str">
        <f t="shared" si="83"/>
        <v/>
      </c>
      <c r="I1310" s="1" t="str">
        <f t="shared" si="81"/>
        <v>威尔新数值1.06.xlsm!circleValue</v>
      </c>
    </row>
    <row r="1311" spans="1:9" x14ac:dyDescent="0.15">
      <c r="A1311" s="1">
        <v>1310</v>
      </c>
      <c r="B1311" s="1">
        <v>102010700</v>
      </c>
      <c r="C1311" s="1">
        <f t="shared" si="80"/>
        <v>103</v>
      </c>
      <c r="D1311" s="5">
        <f ca="1">IF(getQuality(B1311)&lt;4,getOtherMin(B1311,C1311,INDIRECT(J$2),INDIRECT(I1311),test),getMin(B1311,C1311,INDIRECT(J$2),INDIRECT(I1311),test))</f>
        <v>0.06</v>
      </c>
      <c r="E1311" s="5">
        <f ca="1">IF(getQuality(B1311)&lt;4,getOtherMax(B1311,C1311,INDIRECT(J$2),INDIRECT(I1311),test),getMax(B1311,C1311,INDIRECT(J$2),INDIRECT(I1311),test))</f>
        <v>0.09</v>
      </c>
      <c r="F1311" s="1" t="str">
        <f t="shared" si="82"/>
        <v>50</v>
      </c>
      <c r="G1311" s="1" t="str">
        <f t="shared" si="83"/>
        <v/>
      </c>
      <c r="I1311" s="1" t="str">
        <f t="shared" si="81"/>
        <v>威尔新数值1.06.xlsm!otherDamage</v>
      </c>
    </row>
    <row r="1312" spans="1:9" x14ac:dyDescent="0.15">
      <c r="A1312" s="1">
        <v>1311</v>
      </c>
      <c r="B1312" s="1">
        <v>102010700</v>
      </c>
      <c r="C1312" s="1">
        <f t="shared" si="80"/>
        <v>104</v>
      </c>
      <c r="D1312" s="5">
        <f ca="1">IF(getQuality(B1312)&lt;4,getOtherMin(B1312,C1312,INDIRECT(J$2),INDIRECT(I1312),test),getMin(B1312,C1312,INDIRECT(J$2),INDIRECT(I1312),test))</f>
        <v>0.06</v>
      </c>
      <c r="E1312" s="5">
        <f ca="1">IF(getQuality(B1312)&lt;4,getOtherMax(B1312,C1312,INDIRECT(J$2),INDIRECT(I1312),test),getMax(B1312,C1312,INDIRECT(J$2),INDIRECT(I1312),test))</f>
        <v>0.12</v>
      </c>
      <c r="F1312" s="1" t="str">
        <f t="shared" si="82"/>
        <v>50</v>
      </c>
      <c r="G1312" s="1" t="str">
        <f t="shared" si="83"/>
        <v/>
      </c>
      <c r="I1312" s="1" t="str">
        <f t="shared" si="81"/>
        <v>威尔新数值1.06.xlsm!monsterDamage</v>
      </c>
    </row>
    <row r="1313" spans="1:9" x14ac:dyDescent="0.15">
      <c r="A1313" s="1">
        <v>1312</v>
      </c>
      <c r="B1313" s="1">
        <v>102010700</v>
      </c>
      <c r="C1313" s="1">
        <f t="shared" si="80"/>
        <v>105</v>
      </c>
      <c r="D1313" s="5">
        <f ca="1">IF(getQuality(B1313)&lt;4,getOtherMin(B1313,C1313,INDIRECT(J$2),INDIRECT(I1313),test),getMin(B1313,C1313,INDIRECT(J$2),INDIRECT(I1313),test))</f>
        <v>0.06</v>
      </c>
      <c r="E1313" s="5">
        <f ca="1">IF(getQuality(B1313)&lt;4,getOtherMax(B1313,C1313,INDIRECT(J$2),INDIRECT(I1313),test),getMax(B1313,C1313,INDIRECT(J$2),INDIRECT(I1313),test))</f>
        <v>0.12</v>
      </c>
      <c r="F1313" s="1" t="str">
        <f t="shared" si="82"/>
        <v>50</v>
      </c>
      <c r="G1313" s="1" t="str">
        <f t="shared" si="83"/>
        <v/>
      </c>
      <c r="I1313" s="1" t="str">
        <f t="shared" si="81"/>
        <v>威尔新数值1.06.xlsm!monsterDamage</v>
      </c>
    </row>
    <row r="1314" spans="1:9" x14ac:dyDescent="0.15">
      <c r="A1314" s="1">
        <v>1313</v>
      </c>
      <c r="B1314" s="1">
        <v>102010700</v>
      </c>
      <c r="C1314" s="1">
        <f t="shared" si="80"/>
        <v>106</v>
      </c>
      <c r="D1314" s="5">
        <f ca="1">IF(getQuality(B1314)&lt;4,getOtherMin(B1314,C1314,INDIRECT(J$2),INDIRECT(I1314),test),getMin(B1314,C1314,INDIRECT(J$2),INDIRECT(I1314),test))</f>
        <v>0.06</v>
      </c>
      <c r="E1314" s="5">
        <f ca="1">IF(getQuality(B1314)&lt;4,getOtherMax(B1314,C1314,INDIRECT(J$2),INDIRECT(I1314),test),getMax(B1314,C1314,INDIRECT(J$2),INDIRECT(I1314),test))</f>
        <v>0.12</v>
      </c>
      <c r="F1314" s="1" t="str">
        <f t="shared" si="82"/>
        <v>50</v>
      </c>
      <c r="G1314" s="1" t="str">
        <f t="shared" si="83"/>
        <v/>
      </c>
      <c r="I1314" s="1" t="str">
        <f t="shared" si="81"/>
        <v>威尔新数值1.06.xlsm!monsterDamage</v>
      </c>
    </row>
    <row r="1315" spans="1:9" x14ac:dyDescent="0.15">
      <c r="A1315" s="1">
        <v>1314</v>
      </c>
      <c r="B1315" s="1">
        <v>102010700</v>
      </c>
      <c r="C1315" s="1">
        <f t="shared" si="80"/>
        <v>107</v>
      </c>
      <c r="D1315" s="5">
        <f ca="1">IF(getQuality(B1315)&lt;4,getOtherMin(B1315,C1315,INDIRECT(J$2),INDIRECT(I1315),test),getMin(B1315,C1315,INDIRECT(J$2),INDIRECT(I1315),test))</f>
        <v>0.06</v>
      </c>
      <c r="E1315" s="5">
        <f ca="1">IF(getQuality(B1315)&lt;4,getOtherMax(B1315,C1315,INDIRECT(J$2),INDIRECT(I1315),test),getMax(B1315,C1315,INDIRECT(J$2),INDIRECT(I1315),test))</f>
        <v>0.12</v>
      </c>
      <c r="F1315" s="1" t="str">
        <f t="shared" si="82"/>
        <v>50</v>
      </c>
      <c r="G1315" s="1" t="str">
        <f t="shared" si="83"/>
        <v/>
      </c>
      <c r="I1315" s="1" t="str">
        <f t="shared" si="81"/>
        <v>威尔新数值1.06.xlsm!monsterDamage</v>
      </c>
    </row>
    <row r="1316" spans="1:9" x14ac:dyDescent="0.15">
      <c r="A1316" s="1">
        <v>1315</v>
      </c>
      <c r="B1316" s="1">
        <v>102010700</v>
      </c>
      <c r="C1316" s="1">
        <f t="shared" ref="C1316:C1379" si="84">C1297</f>
        <v>108</v>
      </c>
      <c r="D1316" s="5">
        <f ca="1">IF(getQuality(B1316)&lt;4,getOtherMin(B1316,C1316,INDIRECT(J$2),INDIRECT(I1316),test),getMin(B1316,C1316,INDIRECT(J$2),INDIRECT(I1316),test))</f>
        <v>0.06</v>
      </c>
      <c r="E1316" s="5">
        <f ca="1">IF(getQuality(B1316)&lt;4,getOtherMax(B1316,C1316,INDIRECT(J$2),INDIRECT(I1316),test),getMax(B1316,C1316,INDIRECT(J$2),INDIRECT(I1316),test))</f>
        <v>0.12</v>
      </c>
      <c r="F1316" s="1" t="str">
        <f t="shared" si="82"/>
        <v>50</v>
      </c>
      <c r="G1316" s="1" t="str">
        <f t="shared" si="83"/>
        <v/>
      </c>
      <c r="I1316" s="1" t="str">
        <f t="shared" si="81"/>
        <v>威尔新数值1.06.xlsm!monsterDamage</v>
      </c>
    </row>
    <row r="1317" spans="1:9" x14ac:dyDescent="0.15">
      <c r="A1317" s="1">
        <v>1316</v>
      </c>
      <c r="B1317" s="1">
        <v>102020700</v>
      </c>
      <c r="C1317" s="1">
        <f t="shared" si="84"/>
        <v>3</v>
      </c>
      <c r="D1317" s="5">
        <f ca="1">IF(getQuality(B1317)&lt;4,getOtherMin(B1317,C1317,INDIRECT(J$2),INDIRECT(I1317),test),getMin(B1317,C1317,INDIRECT(J$2),INDIRECT(I1317),test))</f>
        <v>22.008641265250315</v>
      </c>
      <c r="E1317" s="5">
        <f ca="1">IF(getQuality(B1317)&lt;4,getOtherMax(B1317,C1317,INDIRECT(J$2),INDIRECT(I1317),test),getMax(B1317,C1317,INDIRECT(J$2),INDIRECT(I1317),test))</f>
        <v>46.219010783550694</v>
      </c>
      <c r="F1317" s="1" t="str">
        <f t="shared" si="82"/>
        <v>50</v>
      </c>
      <c r="G1317" s="1" t="str">
        <f t="shared" si="83"/>
        <v>1</v>
      </c>
      <c r="I1317" s="1" t="str">
        <f t="shared" si="81"/>
        <v>威尔新数值1.06.xlsm!suitPower</v>
      </c>
    </row>
    <row r="1318" spans="1:9" x14ac:dyDescent="0.15">
      <c r="A1318" s="1">
        <v>1317</v>
      </c>
      <c r="B1318" s="1">
        <v>102020700</v>
      </c>
      <c r="C1318" s="1">
        <f t="shared" si="84"/>
        <v>5</v>
      </c>
      <c r="D1318" s="5">
        <f ca="1">IF(getQuality(B1318)&lt;4,getOtherMin(B1318,C1318,INDIRECT(J$2),INDIRECT(I1318),test),getMin(B1318,C1318,INDIRECT(J$2),INDIRECT(I1318),test))</f>
        <v>22.008641265250315</v>
      </c>
      <c r="E1318" s="5">
        <f ca="1">IF(getQuality(B1318)&lt;4,getOtherMax(B1318,C1318,INDIRECT(J$2),INDIRECT(I1318),test),getMax(B1318,C1318,INDIRECT(J$2),INDIRECT(I1318),test))</f>
        <v>46.219010783550694</v>
      </c>
      <c r="F1318" s="1" t="str">
        <f t="shared" si="82"/>
        <v>50</v>
      </c>
      <c r="G1318" s="1" t="str">
        <f t="shared" si="83"/>
        <v/>
      </c>
      <c r="I1318" s="1" t="str">
        <f t="shared" si="81"/>
        <v>威尔新数值1.06.xlsm!suitPower</v>
      </c>
    </row>
    <row r="1319" spans="1:9" x14ac:dyDescent="0.15">
      <c r="A1319" s="1">
        <v>1318</v>
      </c>
      <c r="B1319" s="1">
        <v>102020700</v>
      </c>
      <c r="C1319" s="1">
        <f t="shared" si="84"/>
        <v>7</v>
      </c>
      <c r="D1319" s="5">
        <f ca="1">IF(getQuality(B1319)&lt;4,getOtherMin(B1319,C1319,INDIRECT(J$2),INDIRECT(I1319),test),getMin(B1319,C1319,INDIRECT(J$2),INDIRECT(I1319),test))</f>
        <v>7.481481481481465</v>
      </c>
      <c r="E1319" s="5">
        <f ca="1">IF(getQuality(B1319)&lt;4,getOtherMax(B1319,C1319,INDIRECT(J$2),INDIRECT(I1319),test),getMax(B1319,C1319,INDIRECT(J$2),INDIRECT(I1319),test))</f>
        <v>12.96296296296293</v>
      </c>
      <c r="F1319" s="1" t="str">
        <f t="shared" si="82"/>
        <v>50</v>
      </c>
      <c r="G1319" s="1" t="str">
        <f t="shared" si="83"/>
        <v/>
      </c>
      <c r="I1319" s="1" t="str">
        <f t="shared" si="81"/>
        <v>威尔新数值1.06.xlsm!suitPower</v>
      </c>
    </row>
    <row r="1320" spans="1:9" x14ac:dyDescent="0.15">
      <c r="A1320" s="1">
        <v>1319</v>
      </c>
      <c r="B1320" s="1">
        <v>102020700</v>
      </c>
      <c r="C1320" s="1">
        <f t="shared" si="84"/>
        <v>8</v>
      </c>
      <c r="D1320" s="5">
        <f ca="1">IF(getQuality(B1320)&lt;4,getOtherMin(B1320,C1320,INDIRECT(J$2),INDIRECT(I1320),test),getMin(B1320,C1320,INDIRECT(J$2),INDIRECT(I1320),test))</f>
        <v>15.583333333333334</v>
      </c>
      <c r="E1320" s="5">
        <f ca="1">IF(getQuality(B1320)&lt;4,getOtherMax(B1320,C1320,INDIRECT(J$2),INDIRECT(I1320),test),getMax(B1320,C1320,INDIRECT(J$2),INDIRECT(I1320),test))</f>
        <v>29.166666666666668</v>
      </c>
      <c r="F1320" s="1" t="str">
        <f t="shared" si="82"/>
        <v>50</v>
      </c>
      <c r="G1320" s="1" t="str">
        <f t="shared" si="83"/>
        <v/>
      </c>
      <c r="I1320" s="1" t="str">
        <f t="shared" si="81"/>
        <v>威尔新数值1.06.xlsm!suitPower</v>
      </c>
    </row>
    <row r="1321" spans="1:9" x14ac:dyDescent="0.15">
      <c r="A1321" s="1">
        <v>1320</v>
      </c>
      <c r="B1321" s="1">
        <v>102020700</v>
      </c>
      <c r="C1321" s="1">
        <f t="shared" si="84"/>
        <v>9</v>
      </c>
      <c r="D1321" s="5">
        <f ca="1">IF(getQuality(B1321)&lt;4,getOtherMin(B1321,C1321,INDIRECT(J$2),INDIRECT(I1321),test),getMin(B1321,C1321,INDIRECT(J$2),INDIRECT(I1321),test))</f>
        <v>22.008641265250315</v>
      </c>
      <c r="E1321" s="5">
        <f ca="1">IF(getQuality(B1321)&lt;4,getOtherMax(B1321,C1321,INDIRECT(J$2),INDIRECT(I1321),test),getMax(B1321,C1321,INDIRECT(J$2),INDIRECT(I1321),test))</f>
        <v>46.219010783550694</v>
      </c>
      <c r="F1321" s="1" t="str">
        <f t="shared" si="82"/>
        <v>50</v>
      </c>
      <c r="G1321" s="1" t="str">
        <f t="shared" si="83"/>
        <v/>
      </c>
      <c r="I1321" s="1" t="str">
        <f t="shared" si="81"/>
        <v>威尔新数值1.06.xlsm!suitPower</v>
      </c>
    </row>
    <row r="1322" spans="1:9" x14ac:dyDescent="0.15">
      <c r="A1322" s="1">
        <v>1321</v>
      </c>
      <c r="B1322" s="1">
        <v>102020700</v>
      </c>
      <c r="C1322" s="1">
        <f t="shared" si="84"/>
        <v>10</v>
      </c>
      <c r="D1322" s="5">
        <f ca="1">IF(getQuality(B1322)&lt;4,getOtherMin(B1322,C1322,INDIRECT(J$2),INDIRECT(I1322),test),getMin(B1322,C1322,INDIRECT(J$2),INDIRECT(I1322),test))</f>
        <v>22.008641265250315</v>
      </c>
      <c r="E1322" s="5">
        <f ca="1">IF(getQuality(B1322)&lt;4,getOtherMax(B1322,C1322,INDIRECT(J$2),INDIRECT(I1322),test),getMax(B1322,C1322,INDIRECT(J$2),INDIRECT(I1322),test))</f>
        <v>46.219010783550694</v>
      </c>
      <c r="F1322" s="1" t="str">
        <f t="shared" si="82"/>
        <v>50</v>
      </c>
      <c r="G1322" s="1" t="str">
        <f t="shared" si="83"/>
        <v/>
      </c>
      <c r="I1322" s="1" t="str">
        <f t="shared" si="81"/>
        <v>威尔新数值1.06.xlsm!suitPower</v>
      </c>
    </row>
    <row r="1323" spans="1:9" x14ac:dyDescent="0.15">
      <c r="A1323" s="1">
        <v>1322</v>
      </c>
      <c r="B1323" s="1">
        <v>102020700</v>
      </c>
      <c r="C1323" s="1">
        <f t="shared" si="84"/>
        <v>11</v>
      </c>
      <c r="D1323" s="5">
        <f ca="1">IF(getQuality(B1323)&lt;4,getOtherMin(B1323,C1323,INDIRECT(J$2),INDIRECT(I1323),test),getMin(B1323,C1323,INDIRECT(J$2),INDIRECT(I1323),test))</f>
        <v>22.008641265250315</v>
      </c>
      <c r="E1323" s="5">
        <f ca="1">IF(getQuality(B1323)&lt;4,getOtherMax(B1323,C1323,INDIRECT(J$2),INDIRECT(I1323),test),getMax(B1323,C1323,INDIRECT(J$2),INDIRECT(I1323),test))</f>
        <v>46.219010783550694</v>
      </c>
      <c r="F1323" s="1" t="str">
        <f t="shared" si="82"/>
        <v>50</v>
      </c>
      <c r="G1323" s="1" t="str">
        <f t="shared" si="83"/>
        <v/>
      </c>
      <c r="I1323" s="1" t="str">
        <f t="shared" si="81"/>
        <v>威尔新数值1.06.xlsm!suitPower</v>
      </c>
    </row>
    <row r="1324" spans="1:9" x14ac:dyDescent="0.15">
      <c r="A1324" s="1">
        <v>1323</v>
      </c>
      <c r="B1324" s="1">
        <v>102020700</v>
      </c>
      <c r="C1324" s="1">
        <f t="shared" si="84"/>
        <v>12</v>
      </c>
      <c r="D1324" s="5">
        <f ca="1">IF(getQuality(B1324)&lt;4,getOtherMin(B1324,C1324,INDIRECT(J$2),INDIRECT(I1324),test),getMin(B1324,C1324,INDIRECT(J$2),INDIRECT(I1324),test))</f>
        <v>22.008641265250315</v>
      </c>
      <c r="E1324" s="5">
        <f ca="1">IF(getQuality(B1324)&lt;4,getOtherMax(B1324,C1324,INDIRECT(J$2),INDIRECT(I1324),test),getMax(B1324,C1324,INDIRECT(J$2),INDIRECT(I1324),test))</f>
        <v>46.219010783550694</v>
      </c>
      <c r="F1324" s="1" t="str">
        <f t="shared" si="82"/>
        <v>50</v>
      </c>
      <c r="G1324" s="1" t="str">
        <f t="shared" si="83"/>
        <v/>
      </c>
      <c r="I1324" s="1" t="str">
        <f t="shared" si="81"/>
        <v>威尔新数值1.06.xlsm!suitPower</v>
      </c>
    </row>
    <row r="1325" spans="1:9" x14ac:dyDescent="0.15">
      <c r="A1325" s="1">
        <v>1324</v>
      </c>
      <c r="B1325" s="1">
        <v>102020700</v>
      </c>
      <c r="C1325" s="1">
        <f t="shared" si="84"/>
        <v>13</v>
      </c>
      <c r="D1325" s="5">
        <f ca="1">IF(getQuality(B1325)&lt;4,getOtherMin(B1325,C1325,INDIRECT(J$2),INDIRECT(I1325),test),getMin(B1325,C1325,INDIRECT(J$2),INDIRECT(I1325),test))</f>
        <v>22.008641265250315</v>
      </c>
      <c r="E1325" s="5">
        <f ca="1">IF(getQuality(B1325)&lt;4,getOtherMax(B1325,C1325,INDIRECT(J$2),INDIRECT(I1325),test),getMax(B1325,C1325,INDIRECT(J$2),INDIRECT(I1325),test))</f>
        <v>46.219010783550694</v>
      </c>
      <c r="F1325" s="1" t="str">
        <f t="shared" si="82"/>
        <v>50</v>
      </c>
      <c r="G1325" s="1" t="str">
        <f t="shared" si="83"/>
        <v/>
      </c>
      <c r="I1325" s="1" t="str">
        <f t="shared" si="81"/>
        <v>威尔新数值1.06.xlsm!suitPower</v>
      </c>
    </row>
    <row r="1326" spans="1:9" x14ac:dyDescent="0.15">
      <c r="A1326" s="1">
        <v>1325</v>
      </c>
      <c r="B1326" s="1">
        <v>102020700</v>
      </c>
      <c r="C1326" s="1">
        <f t="shared" si="84"/>
        <v>14</v>
      </c>
      <c r="D1326" s="5">
        <f ca="1">IF(getQuality(B1326)&lt;4,getOtherMin(B1326,C1326,INDIRECT(J$2),INDIRECT(I1326),test),getMin(B1326,C1326,INDIRECT(J$2),INDIRECT(I1326),test))</f>
        <v>22.008641265250315</v>
      </c>
      <c r="E1326" s="5">
        <f ca="1">IF(getQuality(B1326)&lt;4,getOtherMax(B1326,C1326,INDIRECT(J$2),INDIRECT(I1326),test),getMax(B1326,C1326,INDIRECT(J$2),INDIRECT(I1326),test))</f>
        <v>46.219010783550694</v>
      </c>
      <c r="F1326" s="1" t="str">
        <f t="shared" si="82"/>
        <v>50</v>
      </c>
      <c r="G1326" s="1" t="str">
        <f t="shared" si="83"/>
        <v/>
      </c>
      <c r="I1326" s="1" t="str">
        <f t="shared" si="81"/>
        <v>威尔新数值1.06.xlsm!suitPower</v>
      </c>
    </row>
    <row r="1327" spans="1:9" x14ac:dyDescent="0.15">
      <c r="A1327" s="1">
        <v>1326</v>
      </c>
      <c r="B1327" s="1">
        <v>102020700</v>
      </c>
      <c r="C1327" s="1">
        <f t="shared" si="84"/>
        <v>15</v>
      </c>
      <c r="D1327" s="5">
        <f ca="1">IF(getQuality(B1327)&lt;4,getOtherMin(B1327,C1327,INDIRECT(J$2),INDIRECT(I1327),test),getMin(B1327,C1327,INDIRECT(J$2),INDIRECT(I1327),test))</f>
        <v>22.008641265250315</v>
      </c>
      <c r="E1327" s="5">
        <f ca="1">IF(getQuality(B1327)&lt;4,getOtherMax(B1327,C1327,INDIRECT(J$2),INDIRECT(I1327),test),getMax(B1327,C1327,INDIRECT(J$2),INDIRECT(I1327),test))</f>
        <v>46.219010783550694</v>
      </c>
      <c r="F1327" s="1" t="str">
        <f t="shared" si="82"/>
        <v>50</v>
      </c>
      <c r="G1327" s="1" t="str">
        <f t="shared" si="83"/>
        <v/>
      </c>
      <c r="I1327" s="1" t="str">
        <f t="shared" si="81"/>
        <v>威尔新数值1.06.xlsm!suitPower</v>
      </c>
    </row>
    <row r="1328" spans="1:9" x14ac:dyDescent="0.15">
      <c r="A1328" s="1">
        <v>1327</v>
      </c>
      <c r="B1328" s="1">
        <v>102020700</v>
      </c>
      <c r="C1328" s="1">
        <f t="shared" si="84"/>
        <v>101</v>
      </c>
      <c r="D1328" s="5">
        <f ca="1">IF(getQuality(B1328)&lt;4,getOtherMin(B1328,C1328,INDIRECT(J$2),INDIRECT(I1328),test),getMin(B1328,C1328,INDIRECT(J$2),INDIRECT(I1328),test))</f>
        <v>7.0000000000000007E-2</v>
      </c>
      <c r="E1328" s="5">
        <f ca="1">IF(getQuality(B1328)&lt;4,getOtherMax(B1328,C1328,INDIRECT(J$2),INDIRECT(I1328),test),getMax(B1328,C1328,INDIRECT(J$2),INDIRECT(I1328),test))</f>
        <v>0.1</v>
      </c>
      <c r="F1328" s="1" t="str">
        <f t="shared" si="82"/>
        <v>50</v>
      </c>
      <c r="G1328" s="1" t="str">
        <f t="shared" si="83"/>
        <v/>
      </c>
      <c r="I1328" s="1" t="str">
        <f t="shared" si="81"/>
        <v>威尔新数值1.06.xlsm!circlePer</v>
      </c>
    </row>
    <row r="1329" spans="1:9" x14ac:dyDescent="0.15">
      <c r="A1329" s="1">
        <v>1328</v>
      </c>
      <c r="B1329" s="1">
        <v>102020700</v>
      </c>
      <c r="C1329" s="1">
        <f t="shared" si="84"/>
        <v>102</v>
      </c>
      <c r="D1329" s="5">
        <f ca="1">IF(getQuality(B1329)&lt;4,getOtherMin(B1329,C1329,INDIRECT(J$2),INDIRECT(I1329),test),getMin(B1329,C1329,INDIRECT(J$2),INDIRECT(I1329),test))</f>
        <v>0.5</v>
      </c>
      <c r="E1329" s="5">
        <f ca="1">IF(getQuality(B1329)&lt;4,getOtherMax(B1329,C1329,INDIRECT(J$2),INDIRECT(I1329),test),getMax(B1329,C1329,INDIRECT(J$2),INDIRECT(I1329),test))</f>
        <v>0.9</v>
      </c>
      <c r="F1329" s="1" t="str">
        <f t="shared" si="82"/>
        <v>50</v>
      </c>
      <c r="G1329" s="1" t="str">
        <f t="shared" si="83"/>
        <v/>
      </c>
      <c r="I1329" s="1" t="str">
        <f t="shared" si="81"/>
        <v>威尔新数值1.06.xlsm!circleValue</v>
      </c>
    </row>
    <row r="1330" spans="1:9" x14ac:dyDescent="0.15">
      <c r="A1330" s="1">
        <v>1329</v>
      </c>
      <c r="B1330" s="1">
        <v>102020700</v>
      </c>
      <c r="C1330" s="1">
        <f t="shared" si="84"/>
        <v>103</v>
      </c>
      <c r="D1330" s="5">
        <f ca="1">IF(getQuality(B1330)&lt;4,getOtherMin(B1330,C1330,INDIRECT(J$2),INDIRECT(I1330),test),getMin(B1330,C1330,INDIRECT(J$2),INDIRECT(I1330),test))</f>
        <v>7.0000000000000007E-2</v>
      </c>
      <c r="E1330" s="5">
        <f ca="1">IF(getQuality(B1330)&lt;4,getOtherMax(B1330,C1330,INDIRECT(J$2),INDIRECT(I1330),test),getMax(B1330,C1330,INDIRECT(J$2),INDIRECT(I1330),test))</f>
        <v>0.1</v>
      </c>
      <c r="F1330" s="1" t="str">
        <f t="shared" si="82"/>
        <v>50</v>
      </c>
      <c r="G1330" s="1" t="str">
        <f t="shared" si="83"/>
        <v/>
      </c>
      <c r="I1330" s="1" t="str">
        <f t="shared" si="81"/>
        <v>威尔新数值1.06.xlsm!otherDamage</v>
      </c>
    </row>
    <row r="1331" spans="1:9" x14ac:dyDescent="0.15">
      <c r="A1331" s="1">
        <v>1330</v>
      </c>
      <c r="B1331" s="1">
        <v>102020700</v>
      </c>
      <c r="C1331" s="1">
        <f t="shared" si="84"/>
        <v>104</v>
      </c>
      <c r="D1331" s="5">
        <f ca="1">IF(getQuality(B1331)&lt;4,getOtherMin(B1331,C1331,INDIRECT(J$2),INDIRECT(I1331),test),getMin(B1331,C1331,INDIRECT(J$2),INDIRECT(I1331),test))</f>
        <v>7.0000000000000007E-2</v>
      </c>
      <c r="E1331" s="5">
        <f ca="1">IF(getQuality(B1331)&lt;4,getOtherMax(B1331,C1331,INDIRECT(J$2),INDIRECT(I1331),test),getMax(B1331,C1331,INDIRECT(J$2),INDIRECT(I1331),test))</f>
        <v>0.14000000000000001</v>
      </c>
      <c r="F1331" s="1" t="str">
        <f t="shared" si="82"/>
        <v>50</v>
      </c>
      <c r="G1331" s="1" t="str">
        <f t="shared" si="83"/>
        <v/>
      </c>
      <c r="I1331" s="1" t="str">
        <f t="shared" si="81"/>
        <v>威尔新数值1.06.xlsm!monsterDamage</v>
      </c>
    </row>
    <row r="1332" spans="1:9" x14ac:dyDescent="0.15">
      <c r="A1332" s="1">
        <v>1331</v>
      </c>
      <c r="B1332" s="1">
        <v>102020700</v>
      </c>
      <c r="C1332" s="1">
        <f t="shared" si="84"/>
        <v>105</v>
      </c>
      <c r="D1332" s="5">
        <f ca="1">IF(getQuality(B1332)&lt;4,getOtherMin(B1332,C1332,INDIRECT(J$2),INDIRECT(I1332),test),getMin(B1332,C1332,INDIRECT(J$2),INDIRECT(I1332),test))</f>
        <v>7.0000000000000007E-2</v>
      </c>
      <c r="E1332" s="5">
        <f ca="1">IF(getQuality(B1332)&lt;4,getOtherMax(B1332,C1332,INDIRECT(J$2),INDIRECT(I1332),test),getMax(B1332,C1332,INDIRECT(J$2),INDIRECT(I1332),test))</f>
        <v>0.14000000000000001</v>
      </c>
      <c r="F1332" s="1" t="str">
        <f t="shared" si="82"/>
        <v>50</v>
      </c>
      <c r="G1332" s="1" t="str">
        <f t="shared" si="83"/>
        <v/>
      </c>
      <c r="I1332" s="1" t="str">
        <f t="shared" si="81"/>
        <v>威尔新数值1.06.xlsm!monsterDamage</v>
      </c>
    </row>
    <row r="1333" spans="1:9" x14ac:dyDescent="0.15">
      <c r="A1333" s="1">
        <v>1332</v>
      </c>
      <c r="B1333" s="1">
        <v>102020700</v>
      </c>
      <c r="C1333" s="1">
        <f t="shared" si="84"/>
        <v>106</v>
      </c>
      <c r="D1333" s="5">
        <f ca="1">IF(getQuality(B1333)&lt;4,getOtherMin(B1333,C1333,INDIRECT(J$2),INDIRECT(I1333),test),getMin(B1333,C1333,INDIRECT(J$2),INDIRECT(I1333),test))</f>
        <v>7.0000000000000007E-2</v>
      </c>
      <c r="E1333" s="5">
        <f ca="1">IF(getQuality(B1333)&lt;4,getOtherMax(B1333,C1333,INDIRECT(J$2),INDIRECT(I1333),test),getMax(B1333,C1333,INDIRECT(J$2),INDIRECT(I1333),test))</f>
        <v>0.14000000000000001</v>
      </c>
      <c r="F1333" s="1" t="str">
        <f t="shared" si="82"/>
        <v>50</v>
      </c>
      <c r="G1333" s="1" t="str">
        <f t="shared" si="83"/>
        <v/>
      </c>
      <c r="I1333" s="1" t="str">
        <f t="shared" si="81"/>
        <v>威尔新数值1.06.xlsm!monsterDamage</v>
      </c>
    </row>
    <row r="1334" spans="1:9" x14ac:dyDescent="0.15">
      <c r="A1334" s="1">
        <v>1333</v>
      </c>
      <c r="B1334" s="1">
        <v>102020700</v>
      </c>
      <c r="C1334" s="1">
        <f t="shared" si="84"/>
        <v>107</v>
      </c>
      <c r="D1334" s="5">
        <f ca="1">IF(getQuality(B1334)&lt;4,getOtherMin(B1334,C1334,INDIRECT(J$2),INDIRECT(I1334),test),getMin(B1334,C1334,INDIRECT(J$2),INDIRECT(I1334),test))</f>
        <v>7.0000000000000007E-2</v>
      </c>
      <c r="E1334" s="5">
        <f ca="1">IF(getQuality(B1334)&lt;4,getOtherMax(B1334,C1334,INDIRECT(J$2),INDIRECT(I1334),test),getMax(B1334,C1334,INDIRECT(J$2),INDIRECT(I1334),test))</f>
        <v>0.14000000000000001</v>
      </c>
      <c r="F1334" s="1" t="str">
        <f t="shared" si="82"/>
        <v>50</v>
      </c>
      <c r="G1334" s="1" t="str">
        <f t="shared" si="83"/>
        <v/>
      </c>
      <c r="I1334" s="1" t="str">
        <f t="shared" si="81"/>
        <v>威尔新数值1.06.xlsm!monsterDamage</v>
      </c>
    </row>
    <row r="1335" spans="1:9" x14ac:dyDescent="0.15">
      <c r="A1335" s="1">
        <v>1334</v>
      </c>
      <c r="B1335" s="1">
        <v>102020700</v>
      </c>
      <c r="C1335" s="1">
        <f t="shared" si="84"/>
        <v>108</v>
      </c>
      <c r="D1335" s="5">
        <f ca="1">IF(getQuality(B1335)&lt;4,getOtherMin(B1335,C1335,INDIRECT(J$2),INDIRECT(I1335),test),getMin(B1335,C1335,INDIRECT(J$2),INDIRECT(I1335),test))</f>
        <v>7.0000000000000007E-2</v>
      </c>
      <c r="E1335" s="5">
        <f ca="1">IF(getQuality(B1335)&lt;4,getOtherMax(B1335,C1335,INDIRECT(J$2),INDIRECT(I1335),test),getMax(B1335,C1335,INDIRECT(J$2),INDIRECT(I1335),test))</f>
        <v>0.14000000000000001</v>
      </c>
      <c r="F1335" s="1" t="str">
        <f t="shared" si="82"/>
        <v>50</v>
      </c>
      <c r="G1335" s="1" t="str">
        <f t="shared" si="83"/>
        <v/>
      </c>
      <c r="I1335" s="1" t="str">
        <f t="shared" si="81"/>
        <v>威尔新数值1.06.xlsm!monsterDamage</v>
      </c>
    </row>
    <row r="1336" spans="1:9" x14ac:dyDescent="0.15">
      <c r="A1336" s="1">
        <v>1335</v>
      </c>
      <c r="B1336" s="1">
        <v>102030700</v>
      </c>
      <c r="C1336" s="1">
        <f t="shared" si="84"/>
        <v>3</v>
      </c>
      <c r="D1336" s="5">
        <f ca="1">IF(getQuality(B1336)&lt;4,getOtherMin(B1336,C1336,INDIRECT(J$2),INDIRECT(I1336),test),getMin(B1336,C1336,INDIRECT(J$2),INDIRECT(I1336),test))</f>
        <v>47.219010783550694</v>
      </c>
      <c r="E1336" s="5">
        <f ca="1">IF(getQuality(B1336)&lt;4,getOtherMax(B1336,C1336,INDIRECT(J$2),INDIRECT(I1336),test),getMax(B1336,C1336,INDIRECT(J$2),INDIRECT(I1336),test))</f>
        <v>75.631108554901132</v>
      </c>
      <c r="F1336" s="1" t="str">
        <f t="shared" si="82"/>
        <v>50</v>
      </c>
      <c r="G1336" s="1" t="str">
        <f t="shared" si="83"/>
        <v>1</v>
      </c>
      <c r="I1336" s="1" t="str">
        <f t="shared" si="81"/>
        <v>威尔新数值1.06.xlsm!suitPower</v>
      </c>
    </row>
    <row r="1337" spans="1:9" x14ac:dyDescent="0.15">
      <c r="A1337" s="1">
        <v>1336</v>
      </c>
      <c r="B1337" s="1">
        <v>102030700</v>
      </c>
      <c r="C1337" s="1">
        <f t="shared" si="84"/>
        <v>5</v>
      </c>
      <c r="D1337" s="5">
        <f ca="1">IF(getQuality(B1337)&lt;4,getOtherMin(B1337,C1337,INDIRECT(J$2),INDIRECT(I1337),test),getMin(B1337,C1337,INDIRECT(J$2),INDIRECT(I1337),test))</f>
        <v>47.219010783550694</v>
      </c>
      <c r="E1337" s="5">
        <f ca="1">IF(getQuality(B1337)&lt;4,getOtherMax(B1337,C1337,INDIRECT(J$2),INDIRECT(I1337),test),getMax(B1337,C1337,INDIRECT(J$2),INDIRECT(I1337),test))</f>
        <v>75.631108554901132</v>
      </c>
      <c r="F1337" s="1" t="str">
        <f t="shared" si="82"/>
        <v>50</v>
      </c>
      <c r="G1337" s="1" t="str">
        <f t="shared" si="83"/>
        <v/>
      </c>
      <c r="I1337" s="1" t="str">
        <f t="shared" si="81"/>
        <v>威尔新数值1.06.xlsm!suitPower</v>
      </c>
    </row>
    <row r="1338" spans="1:9" x14ac:dyDescent="0.15">
      <c r="A1338" s="1">
        <v>1337</v>
      </c>
      <c r="B1338" s="1">
        <v>102030700</v>
      </c>
      <c r="C1338" s="1">
        <f t="shared" si="84"/>
        <v>7</v>
      </c>
      <c r="D1338" s="5">
        <f ca="1">IF(getQuality(B1338)&lt;4,getOtherMin(B1338,C1338,INDIRECT(J$2),INDIRECT(I1338),test),getMin(B1338,C1338,INDIRECT(J$2),INDIRECT(I1338),test))</f>
        <v>13.96296296296293</v>
      </c>
      <c r="E1338" s="5">
        <f ca="1">IF(getQuality(B1338)&lt;4,getOtherMax(B1338,C1338,INDIRECT(J$2),INDIRECT(I1338),test),getMax(B1338,C1338,INDIRECT(J$2),INDIRECT(I1338),test))</f>
        <v>19.444444444444393</v>
      </c>
      <c r="F1338" s="1" t="str">
        <f t="shared" si="82"/>
        <v>50</v>
      </c>
      <c r="G1338" s="1" t="str">
        <f t="shared" si="83"/>
        <v/>
      </c>
      <c r="I1338" s="1" t="str">
        <f t="shared" si="81"/>
        <v>威尔新数值1.06.xlsm!suitPower</v>
      </c>
    </row>
    <row r="1339" spans="1:9" x14ac:dyDescent="0.15">
      <c r="A1339" s="1">
        <v>1338</v>
      </c>
      <c r="B1339" s="1">
        <v>102030700</v>
      </c>
      <c r="C1339" s="1">
        <f t="shared" si="84"/>
        <v>8</v>
      </c>
      <c r="D1339" s="5">
        <f ca="1">IF(getQuality(B1339)&lt;4,getOtherMin(B1339,C1339,INDIRECT(J$2),INDIRECT(I1339),test),getMin(B1339,C1339,INDIRECT(J$2),INDIRECT(I1339),test))</f>
        <v>30.166666666666668</v>
      </c>
      <c r="E1339" s="5">
        <f ca="1">IF(getQuality(B1339)&lt;4,getOtherMax(B1339,C1339,INDIRECT(J$2),INDIRECT(I1339),test),getMax(B1339,C1339,INDIRECT(J$2),INDIRECT(I1339),test))</f>
        <v>43.75</v>
      </c>
      <c r="F1339" s="1" t="str">
        <f t="shared" si="82"/>
        <v>50</v>
      </c>
      <c r="G1339" s="1" t="str">
        <f t="shared" si="83"/>
        <v/>
      </c>
      <c r="I1339" s="1" t="str">
        <f t="shared" si="81"/>
        <v>威尔新数值1.06.xlsm!suitPower</v>
      </c>
    </row>
    <row r="1340" spans="1:9" x14ac:dyDescent="0.15">
      <c r="A1340" s="1">
        <v>1339</v>
      </c>
      <c r="B1340" s="1">
        <v>102030700</v>
      </c>
      <c r="C1340" s="1">
        <f t="shared" si="84"/>
        <v>9</v>
      </c>
      <c r="D1340" s="5">
        <f ca="1">IF(getQuality(B1340)&lt;4,getOtherMin(B1340,C1340,INDIRECT(J$2),INDIRECT(I1340),test),getMin(B1340,C1340,INDIRECT(J$2),INDIRECT(I1340),test))</f>
        <v>47.219010783550694</v>
      </c>
      <c r="E1340" s="5">
        <f ca="1">IF(getQuality(B1340)&lt;4,getOtherMax(B1340,C1340,INDIRECT(J$2),INDIRECT(I1340),test),getMax(B1340,C1340,INDIRECT(J$2),INDIRECT(I1340),test))</f>
        <v>75.631108554901132</v>
      </c>
      <c r="F1340" s="1" t="str">
        <f t="shared" si="82"/>
        <v>50</v>
      </c>
      <c r="G1340" s="1" t="str">
        <f t="shared" si="83"/>
        <v/>
      </c>
      <c r="I1340" s="1" t="str">
        <f t="shared" si="81"/>
        <v>威尔新数值1.06.xlsm!suitPower</v>
      </c>
    </row>
    <row r="1341" spans="1:9" x14ac:dyDescent="0.15">
      <c r="A1341" s="1">
        <v>1340</v>
      </c>
      <c r="B1341" s="1">
        <v>102030700</v>
      </c>
      <c r="C1341" s="1">
        <f t="shared" si="84"/>
        <v>10</v>
      </c>
      <c r="D1341" s="5">
        <f ca="1">IF(getQuality(B1341)&lt;4,getOtherMin(B1341,C1341,INDIRECT(J$2),INDIRECT(I1341),test),getMin(B1341,C1341,INDIRECT(J$2),INDIRECT(I1341),test))</f>
        <v>47.219010783550694</v>
      </c>
      <c r="E1341" s="5">
        <f ca="1">IF(getQuality(B1341)&lt;4,getOtherMax(B1341,C1341,INDIRECT(J$2),INDIRECT(I1341),test),getMax(B1341,C1341,INDIRECT(J$2),INDIRECT(I1341),test))</f>
        <v>75.631108554901132</v>
      </c>
      <c r="F1341" s="1" t="str">
        <f t="shared" si="82"/>
        <v>50</v>
      </c>
      <c r="G1341" s="1" t="str">
        <f t="shared" si="83"/>
        <v/>
      </c>
      <c r="I1341" s="1" t="str">
        <f t="shared" si="81"/>
        <v>威尔新数值1.06.xlsm!suitPower</v>
      </c>
    </row>
    <row r="1342" spans="1:9" x14ac:dyDescent="0.15">
      <c r="A1342" s="1">
        <v>1341</v>
      </c>
      <c r="B1342" s="1">
        <v>102030700</v>
      </c>
      <c r="C1342" s="1">
        <f t="shared" si="84"/>
        <v>11</v>
      </c>
      <c r="D1342" s="5">
        <f ca="1">IF(getQuality(B1342)&lt;4,getOtherMin(B1342,C1342,INDIRECT(J$2),INDIRECT(I1342),test),getMin(B1342,C1342,INDIRECT(J$2),INDIRECT(I1342),test))</f>
        <v>47.219010783550694</v>
      </c>
      <c r="E1342" s="5">
        <f ca="1">IF(getQuality(B1342)&lt;4,getOtherMax(B1342,C1342,INDIRECT(J$2),INDIRECT(I1342),test),getMax(B1342,C1342,INDIRECT(J$2),INDIRECT(I1342),test))</f>
        <v>75.631108554901132</v>
      </c>
      <c r="F1342" s="1" t="str">
        <f t="shared" si="82"/>
        <v>50</v>
      </c>
      <c r="G1342" s="1" t="str">
        <f t="shared" si="83"/>
        <v/>
      </c>
      <c r="I1342" s="1" t="str">
        <f t="shared" si="81"/>
        <v>威尔新数值1.06.xlsm!suitPower</v>
      </c>
    </row>
    <row r="1343" spans="1:9" x14ac:dyDescent="0.15">
      <c r="A1343" s="1">
        <v>1342</v>
      </c>
      <c r="B1343" s="1">
        <v>102030700</v>
      </c>
      <c r="C1343" s="1">
        <f t="shared" si="84"/>
        <v>12</v>
      </c>
      <c r="D1343" s="5">
        <f ca="1">IF(getQuality(B1343)&lt;4,getOtherMin(B1343,C1343,INDIRECT(J$2),INDIRECT(I1343),test),getMin(B1343,C1343,INDIRECT(J$2),INDIRECT(I1343),test))</f>
        <v>47.219010783550694</v>
      </c>
      <c r="E1343" s="5">
        <f ca="1">IF(getQuality(B1343)&lt;4,getOtherMax(B1343,C1343,INDIRECT(J$2),INDIRECT(I1343),test),getMax(B1343,C1343,INDIRECT(J$2),INDIRECT(I1343),test))</f>
        <v>75.631108554901132</v>
      </c>
      <c r="F1343" s="1" t="str">
        <f t="shared" si="82"/>
        <v>50</v>
      </c>
      <c r="G1343" s="1" t="str">
        <f t="shared" si="83"/>
        <v/>
      </c>
      <c r="I1343" s="1" t="str">
        <f t="shared" si="81"/>
        <v>威尔新数值1.06.xlsm!suitPower</v>
      </c>
    </row>
    <row r="1344" spans="1:9" x14ac:dyDescent="0.15">
      <c r="A1344" s="1">
        <v>1343</v>
      </c>
      <c r="B1344" s="1">
        <v>102030700</v>
      </c>
      <c r="C1344" s="1">
        <f t="shared" si="84"/>
        <v>13</v>
      </c>
      <c r="D1344" s="5">
        <f ca="1">IF(getQuality(B1344)&lt;4,getOtherMin(B1344,C1344,INDIRECT(J$2),INDIRECT(I1344),test),getMin(B1344,C1344,INDIRECT(J$2),INDIRECT(I1344),test))</f>
        <v>47.219010783550694</v>
      </c>
      <c r="E1344" s="5">
        <f ca="1">IF(getQuality(B1344)&lt;4,getOtherMax(B1344,C1344,INDIRECT(J$2),INDIRECT(I1344),test),getMax(B1344,C1344,INDIRECT(J$2),INDIRECT(I1344),test))</f>
        <v>75.631108554901132</v>
      </c>
      <c r="F1344" s="1" t="str">
        <f t="shared" si="82"/>
        <v>50</v>
      </c>
      <c r="G1344" s="1" t="str">
        <f t="shared" si="83"/>
        <v/>
      </c>
      <c r="I1344" s="1" t="str">
        <f t="shared" si="81"/>
        <v>威尔新数值1.06.xlsm!suitPower</v>
      </c>
    </row>
    <row r="1345" spans="1:9" x14ac:dyDescent="0.15">
      <c r="A1345" s="1">
        <v>1344</v>
      </c>
      <c r="B1345" s="1">
        <v>102030700</v>
      </c>
      <c r="C1345" s="1">
        <f t="shared" si="84"/>
        <v>14</v>
      </c>
      <c r="D1345" s="5">
        <f ca="1">IF(getQuality(B1345)&lt;4,getOtherMin(B1345,C1345,INDIRECT(J$2),INDIRECT(I1345),test),getMin(B1345,C1345,INDIRECT(J$2),INDIRECT(I1345),test))</f>
        <v>47.219010783550694</v>
      </c>
      <c r="E1345" s="5">
        <f ca="1">IF(getQuality(B1345)&lt;4,getOtherMax(B1345,C1345,INDIRECT(J$2),INDIRECT(I1345),test),getMax(B1345,C1345,INDIRECT(J$2),INDIRECT(I1345),test))</f>
        <v>75.631108554901132</v>
      </c>
      <c r="F1345" s="1" t="str">
        <f t="shared" si="82"/>
        <v>50</v>
      </c>
      <c r="G1345" s="1" t="str">
        <f t="shared" si="83"/>
        <v/>
      </c>
      <c r="I1345" s="1" t="str">
        <f t="shared" si="81"/>
        <v>威尔新数值1.06.xlsm!suitPower</v>
      </c>
    </row>
    <row r="1346" spans="1:9" x14ac:dyDescent="0.15">
      <c r="A1346" s="1">
        <v>1345</v>
      </c>
      <c r="B1346" s="1">
        <v>102030700</v>
      </c>
      <c r="C1346" s="1">
        <f t="shared" si="84"/>
        <v>15</v>
      </c>
      <c r="D1346" s="5">
        <f ca="1">IF(getQuality(B1346)&lt;4,getOtherMin(B1346,C1346,INDIRECT(J$2),INDIRECT(I1346),test),getMin(B1346,C1346,INDIRECT(J$2),INDIRECT(I1346),test))</f>
        <v>47.219010783550694</v>
      </c>
      <c r="E1346" s="5">
        <f ca="1">IF(getQuality(B1346)&lt;4,getOtherMax(B1346,C1346,INDIRECT(J$2),INDIRECT(I1346),test),getMax(B1346,C1346,INDIRECT(J$2),INDIRECT(I1346),test))</f>
        <v>75.631108554901132</v>
      </c>
      <c r="F1346" s="1" t="str">
        <f t="shared" si="82"/>
        <v>50</v>
      </c>
      <c r="G1346" s="1" t="str">
        <f t="shared" si="83"/>
        <v/>
      </c>
      <c r="I1346" s="1" t="str">
        <f t="shared" ref="I1346:I1409" si="85">IF(C1346&lt;100,VLOOKUP(C1346,test,3,FALSE),VLOOKUP(C1346,test1,3,FALSE))</f>
        <v>威尔新数值1.06.xlsm!suitPower</v>
      </c>
    </row>
    <row r="1347" spans="1:9" x14ac:dyDescent="0.15">
      <c r="A1347" s="1">
        <v>1346</v>
      </c>
      <c r="B1347" s="1">
        <v>102030700</v>
      </c>
      <c r="C1347" s="1">
        <f t="shared" si="84"/>
        <v>101</v>
      </c>
      <c r="D1347" s="5">
        <f ca="1">IF(getQuality(B1347)&lt;4,getOtherMin(B1347,C1347,INDIRECT(J$2),INDIRECT(I1347),test),getMin(B1347,C1347,INDIRECT(J$2),INDIRECT(I1347),test))</f>
        <v>0.08</v>
      </c>
      <c r="E1347" s="5">
        <f ca="1">IF(getQuality(B1347)&lt;4,getOtherMax(B1347,C1347,INDIRECT(J$2),INDIRECT(I1347),test),getMax(B1347,C1347,INDIRECT(J$2),INDIRECT(I1347),test))</f>
        <v>0.11</v>
      </c>
      <c r="F1347" s="1" t="str">
        <f t="shared" ref="F1347:F1410" si="86">getper(B1347,C1347)</f>
        <v>50</v>
      </c>
      <c r="G1347" s="1" t="str">
        <f t="shared" ref="G1347:G1410" si="87">getMust(B1347,C1347)</f>
        <v/>
      </c>
      <c r="I1347" s="1" t="str">
        <f t="shared" si="85"/>
        <v>威尔新数值1.06.xlsm!circlePer</v>
      </c>
    </row>
    <row r="1348" spans="1:9" x14ac:dyDescent="0.15">
      <c r="A1348" s="1">
        <v>1347</v>
      </c>
      <c r="B1348" s="1">
        <v>102030700</v>
      </c>
      <c r="C1348" s="1">
        <f t="shared" si="84"/>
        <v>102</v>
      </c>
      <c r="D1348" s="5">
        <f ca="1">IF(getQuality(B1348)&lt;4,getOtherMin(B1348,C1348,INDIRECT(J$2),INDIRECT(I1348),test),getMin(B1348,C1348,INDIRECT(J$2),INDIRECT(I1348),test))</f>
        <v>0.6</v>
      </c>
      <c r="E1348" s="5">
        <f ca="1">IF(getQuality(B1348)&lt;4,getOtherMax(B1348,C1348,INDIRECT(J$2),INDIRECT(I1348),test),getMax(B1348,C1348,INDIRECT(J$2),INDIRECT(I1348),test))</f>
        <v>1</v>
      </c>
      <c r="F1348" s="1" t="str">
        <f t="shared" si="86"/>
        <v>50</v>
      </c>
      <c r="G1348" s="1" t="str">
        <f t="shared" si="87"/>
        <v/>
      </c>
      <c r="I1348" s="1" t="str">
        <f t="shared" si="85"/>
        <v>威尔新数值1.06.xlsm!circleValue</v>
      </c>
    </row>
    <row r="1349" spans="1:9" x14ac:dyDescent="0.15">
      <c r="A1349" s="1">
        <v>1348</v>
      </c>
      <c r="B1349" s="1">
        <v>102030700</v>
      </c>
      <c r="C1349" s="1">
        <f t="shared" si="84"/>
        <v>103</v>
      </c>
      <c r="D1349" s="5">
        <f ca="1">IF(getQuality(B1349)&lt;4,getOtherMin(B1349,C1349,INDIRECT(J$2),INDIRECT(I1349),test),getMin(B1349,C1349,INDIRECT(J$2),INDIRECT(I1349),test))</f>
        <v>0.08</v>
      </c>
      <c r="E1349" s="5">
        <f ca="1">IF(getQuality(B1349)&lt;4,getOtherMax(B1349,C1349,INDIRECT(J$2),INDIRECT(I1349),test),getMax(B1349,C1349,INDIRECT(J$2),INDIRECT(I1349),test))</f>
        <v>0.11</v>
      </c>
      <c r="F1349" s="1" t="str">
        <f t="shared" si="86"/>
        <v>50</v>
      </c>
      <c r="G1349" s="1" t="str">
        <f t="shared" si="87"/>
        <v/>
      </c>
      <c r="I1349" s="1" t="str">
        <f t="shared" si="85"/>
        <v>威尔新数值1.06.xlsm!otherDamage</v>
      </c>
    </row>
    <row r="1350" spans="1:9" x14ac:dyDescent="0.15">
      <c r="A1350" s="1">
        <v>1349</v>
      </c>
      <c r="B1350" s="1">
        <v>102030700</v>
      </c>
      <c r="C1350" s="1">
        <f t="shared" si="84"/>
        <v>104</v>
      </c>
      <c r="D1350" s="5">
        <f ca="1">IF(getQuality(B1350)&lt;4,getOtherMin(B1350,C1350,INDIRECT(J$2),INDIRECT(I1350),test),getMin(B1350,C1350,INDIRECT(J$2),INDIRECT(I1350),test))</f>
        <v>0.08</v>
      </c>
      <c r="E1350" s="5">
        <f ca="1">IF(getQuality(B1350)&lt;4,getOtherMax(B1350,C1350,INDIRECT(J$2),INDIRECT(I1350),test),getMax(B1350,C1350,INDIRECT(J$2),INDIRECT(I1350),test))</f>
        <v>0.16</v>
      </c>
      <c r="F1350" s="1" t="str">
        <f t="shared" si="86"/>
        <v>50</v>
      </c>
      <c r="G1350" s="1" t="str">
        <f t="shared" si="87"/>
        <v/>
      </c>
      <c r="I1350" s="1" t="str">
        <f t="shared" si="85"/>
        <v>威尔新数值1.06.xlsm!monsterDamage</v>
      </c>
    </row>
    <row r="1351" spans="1:9" x14ac:dyDescent="0.15">
      <c r="A1351" s="1">
        <v>1350</v>
      </c>
      <c r="B1351" s="1">
        <v>102030700</v>
      </c>
      <c r="C1351" s="1">
        <f t="shared" si="84"/>
        <v>105</v>
      </c>
      <c r="D1351" s="5">
        <f ca="1">IF(getQuality(B1351)&lt;4,getOtherMin(B1351,C1351,INDIRECT(J$2),INDIRECT(I1351),test),getMin(B1351,C1351,INDIRECT(J$2),INDIRECT(I1351),test))</f>
        <v>0.08</v>
      </c>
      <c r="E1351" s="5">
        <f ca="1">IF(getQuality(B1351)&lt;4,getOtherMax(B1351,C1351,INDIRECT(J$2),INDIRECT(I1351),test),getMax(B1351,C1351,INDIRECT(J$2),INDIRECT(I1351),test))</f>
        <v>0.16</v>
      </c>
      <c r="F1351" s="1" t="str">
        <f t="shared" si="86"/>
        <v>50</v>
      </c>
      <c r="G1351" s="1" t="str">
        <f t="shared" si="87"/>
        <v/>
      </c>
      <c r="I1351" s="1" t="str">
        <f t="shared" si="85"/>
        <v>威尔新数值1.06.xlsm!monsterDamage</v>
      </c>
    </row>
    <row r="1352" spans="1:9" x14ac:dyDescent="0.15">
      <c r="A1352" s="1">
        <v>1351</v>
      </c>
      <c r="B1352" s="1">
        <v>102030700</v>
      </c>
      <c r="C1352" s="1">
        <f t="shared" si="84"/>
        <v>106</v>
      </c>
      <c r="D1352" s="5">
        <f ca="1">IF(getQuality(B1352)&lt;4,getOtherMin(B1352,C1352,INDIRECT(J$2),INDIRECT(I1352),test),getMin(B1352,C1352,INDIRECT(J$2),INDIRECT(I1352),test))</f>
        <v>0.08</v>
      </c>
      <c r="E1352" s="5">
        <f ca="1">IF(getQuality(B1352)&lt;4,getOtherMax(B1352,C1352,INDIRECT(J$2),INDIRECT(I1352),test),getMax(B1352,C1352,INDIRECT(J$2),INDIRECT(I1352),test))</f>
        <v>0.16</v>
      </c>
      <c r="F1352" s="1" t="str">
        <f t="shared" si="86"/>
        <v>50</v>
      </c>
      <c r="G1352" s="1" t="str">
        <f t="shared" si="87"/>
        <v/>
      </c>
      <c r="I1352" s="1" t="str">
        <f t="shared" si="85"/>
        <v>威尔新数值1.06.xlsm!monsterDamage</v>
      </c>
    </row>
    <row r="1353" spans="1:9" x14ac:dyDescent="0.15">
      <c r="A1353" s="1">
        <v>1352</v>
      </c>
      <c r="B1353" s="1">
        <v>102030700</v>
      </c>
      <c r="C1353" s="1">
        <f t="shared" si="84"/>
        <v>107</v>
      </c>
      <c r="D1353" s="5">
        <f ca="1">IF(getQuality(B1353)&lt;4,getOtherMin(B1353,C1353,INDIRECT(J$2),INDIRECT(I1353),test),getMin(B1353,C1353,INDIRECT(J$2),INDIRECT(I1353),test))</f>
        <v>0.08</v>
      </c>
      <c r="E1353" s="5">
        <f ca="1">IF(getQuality(B1353)&lt;4,getOtherMax(B1353,C1353,INDIRECT(J$2),INDIRECT(I1353),test),getMax(B1353,C1353,INDIRECT(J$2),INDIRECT(I1353),test))</f>
        <v>0.16</v>
      </c>
      <c r="F1353" s="1" t="str">
        <f t="shared" si="86"/>
        <v>50</v>
      </c>
      <c r="G1353" s="1" t="str">
        <f t="shared" si="87"/>
        <v/>
      </c>
      <c r="I1353" s="1" t="str">
        <f t="shared" si="85"/>
        <v>威尔新数值1.06.xlsm!monsterDamage</v>
      </c>
    </row>
    <row r="1354" spans="1:9" x14ac:dyDescent="0.15">
      <c r="A1354" s="1">
        <v>1353</v>
      </c>
      <c r="B1354" s="1">
        <v>102030700</v>
      </c>
      <c r="C1354" s="1">
        <f t="shared" si="84"/>
        <v>108</v>
      </c>
      <c r="D1354" s="5">
        <f ca="1">IF(getQuality(B1354)&lt;4,getOtherMin(B1354,C1354,INDIRECT(J$2),INDIRECT(I1354),test),getMin(B1354,C1354,INDIRECT(J$2),INDIRECT(I1354),test))</f>
        <v>0.08</v>
      </c>
      <c r="E1354" s="5">
        <f ca="1">IF(getQuality(B1354)&lt;4,getOtherMax(B1354,C1354,INDIRECT(J$2),INDIRECT(I1354),test),getMax(B1354,C1354,INDIRECT(J$2),INDIRECT(I1354),test))</f>
        <v>0.16</v>
      </c>
      <c r="F1354" s="1" t="str">
        <f t="shared" si="86"/>
        <v>50</v>
      </c>
      <c r="G1354" s="1" t="str">
        <f t="shared" si="87"/>
        <v/>
      </c>
      <c r="I1354" s="1" t="str">
        <f t="shared" si="85"/>
        <v>威尔新数值1.06.xlsm!monsterDamage</v>
      </c>
    </row>
    <row r="1355" spans="1:9" x14ac:dyDescent="0.15">
      <c r="A1355" s="1">
        <v>1354</v>
      </c>
      <c r="B1355" s="1">
        <v>102040700</v>
      </c>
      <c r="C1355" s="1">
        <f t="shared" si="84"/>
        <v>3</v>
      </c>
      <c r="D1355" s="5">
        <f ca="1">IF(getQuality(B1355)&lt;4,getOtherMin(B1355,C1355,INDIRECT(J$2),INDIRECT(I1355),test),getMin(B1355,C1355,INDIRECT(J$2),INDIRECT(I1355),test))</f>
        <v>76.631108554901132</v>
      </c>
      <c r="E1355" s="5">
        <f ca="1">IF(getQuality(B1355)&lt;4,getOtherMax(B1355,C1355,INDIRECT(J$2),INDIRECT(I1355),test),getMax(B1355,C1355,INDIRECT(J$2),INDIRECT(I1355),test))</f>
        <v>109.24493457930163</v>
      </c>
      <c r="F1355" s="1" t="str">
        <f t="shared" si="86"/>
        <v>50</v>
      </c>
      <c r="G1355" s="1" t="str">
        <f t="shared" si="87"/>
        <v>1</v>
      </c>
      <c r="I1355" s="1" t="str">
        <f t="shared" si="85"/>
        <v>威尔新数值1.06.xlsm!suitPower</v>
      </c>
    </row>
    <row r="1356" spans="1:9" x14ac:dyDescent="0.15">
      <c r="A1356" s="1">
        <v>1355</v>
      </c>
      <c r="B1356" s="1">
        <v>102040700</v>
      </c>
      <c r="C1356" s="1">
        <f t="shared" si="84"/>
        <v>5</v>
      </c>
      <c r="D1356" s="5">
        <f ca="1">IF(getQuality(B1356)&lt;4,getOtherMin(B1356,C1356,INDIRECT(J$2),INDIRECT(I1356),test),getMin(B1356,C1356,INDIRECT(J$2),INDIRECT(I1356),test))</f>
        <v>76.631108554901132</v>
      </c>
      <c r="E1356" s="5">
        <f ca="1">IF(getQuality(B1356)&lt;4,getOtherMax(B1356,C1356,INDIRECT(J$2),INDIRECT(I1356),test),getMax(B1356,C1356,INDIRECT(J$2),INDIRECT(I1356),test))</f>
        <v>109.24493457930163</v>
      </c>
      <c r="F1356" s="1" t="str">
        <f t="shared" si="86"/>
        <v>50</v>
      </c>
      <c r="G1356" s="1" t="str">
        <f t="shared" si="87"/>
        <v/>
      </c>
      <c r="I1356" s="1" t="str">
        <f t="shared" si="85"/>
        <v>威尔新数值1.06.xlsm!suitPower</v>
      </c>
    </row>
    <row r="1357" spans="1:9" x14ac:dyDescent="0.15">
      <c r="A1357" s="1">
        <v>1356</v>
      </c>
      <c r="B1357" s="1">
        <v>102040700</v>
      </c>
      <c r="C1357" s="1">
        <f t="shared" si="84"/>
        <v>7</v>
      </c>
      <c r="D1357" s="5">
        <f ca="1">IF(getQuality(B1357)&lt;4,getOtherMin(B1357,C1357,INDIRECT(J$2),INDIRECT(I1357),test),getMin(B1357,C1357,INDIRECT(J$2),INDIRECT(I1357),test))</f>
        <v>20.444444444444393</v>
      </c>
      <c r="E1357" s="5">
        <f ca="1">IF(getQuality(B1357)&lt;4,getOtherMax(B1357,C1357,INDIRECT(J$2),INDIRECT(I1357),test),getMax(B1357,C1357,INDIRECT(J$2),INDIRECT(I1357),test))</f>
        <v>25.92592592592586</v>
      </c>
      <c r="F1357" s="1" t="str">
        <f t="shared" si="86"/>
        <v>50</v>
      </c>
      <c r="G1357" s="1" t="str">
        <f t="shared" si="87"/>
        <v/>
      </c>
      <c r="I1357" s="1" t="str">
        <f t="shared" si="85"/>
        <v>威尔新数值1.06.xlsm!suitPower</v>
      </c>
    </row>
    <row r="1358" spans="1:9" x14ac:dyDescent="0.15">
      <c r="A1358" s="1">
        <v>1357</v>
      </c>
      <c r="B1358" s="1">
        <v>102040700</v>
      </c>
      <c r="C1358" s="1">
        <f t="shared" si="84"/>
        <v>8</v>
      </c>
      <c r="D1358" s="5">
        <f ca="1">IF(getQuality(B1358)&lt;4,getOtherMin(B1358,C1358,INDIRECT(J$2),INDIRECT(I1358),test),getMin(B1358,C1358,INDIRECT(J$2),INDIRECT(I1358),test))</f>
        <v>44.75</v>
      </c>
      <c r="E1358" s="5">
        <f ca="1">IF(getQuality(B1358)&lt;4,getOtherMax(B1358,C1358,INDIRECT(J$2),INDIRECT(I1358),test),getMax(B1358,C1358,INDIRECT(J$2),INDIRECT(I1358),test))</f>
        <v>58.333333333333336</v>
      </c>
      <c r="F1358" s="1" t="str">
        <f t="shared" si="86"/>
        <v>50</v>
      </c>
      <c r="G1358" s="1" t="str">
        <f t="shared" si="87"/>
        <v/>
      </c>
      <c r="I1358" s="1" t="str">
        <f t="shared" si="85"/>
        <v>威尔新数值1.06.xlsm!suitPower</v>
      </c>
    </row>
    <row r="1359" spans="1:9" x14ac:dyDescent="0.15">
      <c r="A1359" s="1">
        <v>1358</v>
      </c>
      <c r="B1359" s="1">
        <v>102040700</v>
      </c>
      <c r="C1359" s="1">
        <f t="shared" si="84"/>
        <v>9</v>
      </c>
      <c r="D1359" s="5">
        <f ca="1">IF(getQuality(B1359)&lt;4,getOtherMin(B1359,C1359,INDIRECT(J$2),INDIRECT(I1359),test),getMin(B1359,C1359,INDIRECT(J$2),INDIRECT(I1359),test))</f>
        <v>76.631108554901132</v>
      </c>
      <c r="E1359" s="5">
        <f ca="1">IF(getQuality(B1359)&lt;4,getOtherMax(B1359,C1359,INDIRECT(J$2),INDIRECT(I1359),test),getMax(B1359,C1359,INDIRECT(J$2),INDIRECT(I1359),test))</f>
        <v>109.24493457930163</v>
      </c>
      <c r="F1359" s="1" t="str">
        <f t="shared" si="86"/>
        <v>50</v>
      </c>
      <c r="G1359" s="1" t="str">
        <f t="shared" si="87"/>
        <v/>
      </c>
      <c r="I1359" s="1" t="str">
        <f t="shared" si="85"/>
        <v>威尔新数值1.06.xlsm!suitPower</v>
      </c>
    </row>
    <row r="1360" spans="1:9" x14ac:dyDescent="0.15">
      <c r="A1360" s="1">
        <v>1359</v>
      </c>
      <c r="B1360" s="1">
        <v>102040700</v>
      </c>
      <c r="C1360" s="1">
        <f t="shared" si="84"/>
        <v>10</v>
      </c>
      <c r="D1360" s="5">
        <f ca="1">IF(getQuality(B1360)&lt;4,getOtherMin(B1360,C1360,INDIRECT(J$2),INDIRECT(I1360),test),getMin(B1360,C1360,INDIRECT(J$2),INDIRECT(I1360),test))</f>
        <v>76.631108554901132</v>
      </c>
      <c r="E1360" s="5">
        <f ca="1">IF(getQuality(B1360)&lt;4,getOtherMax(B1360,C1360,INDIRECT(J$2),INDIRECT(I1360),test),getMax(B1360,C1360,INDIRECT(J$2),INDIRECT(I1360),test))</f>
        <v>109.24493457930163</v>
      </c>
      <c r="F1360" s="1" t="str">
        <f t="shared" si="86"/>
        <v>50</v>
      </c>
      <c r="G1360" s="1" t="str">
        <f t="shared" si="87"/>
        <v/>
      </c>
      <c r="I1360" s="1" t="str">
        <f t="shared" si="85"/>
        <v>威尔新数值1.06.xlsm!suitPower</v>
      </c>
    </row>
    <row r="1361" spans="1:9" x14ac:dyDescent="0.15">
      <c r="A1361" s="1">
        <v>1360</v>
      </c>
      <c r="B1361" s="1">
        <v>102040700</v>
      </c>
      <c r="C1361" s="1">
        <f t="shared" si="84"/>
        <v>11</v>
      </c>
      <c r="D1361" s="5">
        <f ca="1">IF(getQuality(B1361)&lt;4,getOtherMin(B1361,C1361,INDIRECT(J$2),INDIRECT(I1361),test),getMin(B1361,C1361,INDIRECT(J$2),INDIRECT(I1361),test))</f>
        <v>76.631108554901132</v>
      </c>
      <c r="E1361" s="5">
        <f ca="1">IF(getQuality(B1361)&lt;4,getOtherMax(B1361,C1361,INDIRECT(J$2),INDIRECT(I1361),test),getMax(B1361,C1361,INDIRECT(J$2),INDIRECT(I1361),test))</f>
        <v>109.24493457930163</v>
      </c>
      <c r="F1361" s="1" t="str">
        <f t="shared" si="86"/>
        <v>50</v>
      </c>
      <c r="G1361" s="1" t="str">
        <f t="shared" si="87"/>
        <v/>
      </c>
      <c r="I1361" s="1" t="str">
        <f t="shared" si="85"/>
        <v>威尔新数值1.06.xlsm!suitPower</v>
      </c>
    </row>
    <row r="1362" spans="1:9" x14ac:dyDescent="0.15">
      <c r="A1362" s="1">
        <v>1361</v>
      </c>
      <c r="B1362" s="1">
        <v>102040700</v>
      </c>
      <c r="C1362" s="1">
        <f t="shared" si="84"/>
        <v>12</v>
      </c>
      <c r="D1362" s="5">
        <f ca="1">IF(getQuality(B1362)&lt;4,getOtherMin(B1362,C1362,INDIRECT(J$2),INDIRECT(I1362),test),getMin(B1362,C1362,INDIRECT(J$2),INDIRECT(I1362),test))</f>
        <v>76.631108554901132</v>
      </c>
      <c r="E1362" s="5">
        <f ca="1">IF(getQuality(B1362)&lt;4,getOtherMax(B1362,C1362,INDIRECT(J$2),INDIRECT(I1362),test),getMax(B1362,C1362,INDIRECT(J$2),INDIRECT(I1362),test))</f>
        <v>109.24493457930163</v>
      </c>
      <c r="F1362" s="1" t="str">
        <f t="shared" si="86"/>
        <v>50</v>
      </c>
      <c r="G1362" s="1" t="str">
        <f t="shared" si="87"/>
        <v/>
      </c>
      <c r="I1362" s="1" t="str">
        <f t="shared" si="85"/>
        <v>威尔新数值1.06.xlsm!suitPower</v>
      </c>
    </row>
    <row r="1363" spans="1:9" x14ac:dyDescent="0.15">
      <c r="A1363" s="1">
        <v>1362</v>
      </c>
      <c r="B1363" s="1">
        <v>102040700</v>
      </c>
      <c r="C1363" s="1">
        <f t="shared" si="84"/>
        <v>13</v>
      </c>
      <c r="D1363" s="5">
        <f ca="1">IF(getQuality(B1363)&lt;4,getOtherMin(B1363,C1363,INDIRECT(J$2),INDIRECT(I1363),test),getMin(B1363,C1363,INDIRECT(J$2),INDIRECT(I1363),test))</f>
        <v>76.631108554901132</v>
      </c>
      <c r="E1363" s="5">
        <f ca="1">IF(getQuality(B1363)&lt;4,getOtherMax(B1363,C1363,INDIRECT(J$2),INDIRECT(I1363),test),getMax(B1363,C1363,INDIRECT(J$2),INDIRECT(I1363),test))</f>
        <v>109.24493457930163</v>
      </c>
      <c r="F1363" s="1" t="str">
        <f t="shared" si="86"/>
        <v>50</v>
      </c>
      <c r="G1363" s="1" t="str">
        <f t="shared" si="87"/>
        <v/>
      </c>
      <c r="I1363" s="1" t="str">
        <f t="shared" si="85"/>
        <v>威尔新数值1.06.xlsm!suitPower</v>
      </c>
    </row>
    <row r="1364" spans="1:9" x14ac:dyDescent="0.15">
      <c r="A1364" s="1">
        <v>1363</v>
      </c>
      <c r="B1364" s="1">
        <v>102040700</v>
      </c>
      <c r="C1364" s="1">
        <f t="shared" si="84"/>
        <v>14</v>
      </c>
      <c r="D1364" s="5">
        <f ca="1">IF(getQuality(B1364)&lt;4,getOtherMin(B1364,C1364,INDIRECT(J$2),INDIRECT(I1364),test),getMin(B1364,C1364,INDIRECT(J$2),INDIRECT(I1364),test))</f>
        <v>76.631108554901132</v>
      </c>
      <c r="E1364" s="5">
        <f ca="1">IF(getQuality(B1364)&lt;4,getOtherMax(B1364,C1364,INDIRECT(J$2),INDIRECT(I1364),test),getMax(B1364,C1364,INDIRECT(J$2),INDIRECT(I1364),test))</f>
        <v>109.24493457930163</v>
      </c>
      <c r="F1364" s="1" t="str">
        <f t="shared" si="86"/>
        <v>50</v>
      </c>
      <c r="G1364" s="1" t="str">
        <f t="shared" si="87"/>
        <v/>
      </c>
      <c r="I1364" s="1" t="str">
        <f t="shared" si="85"/>
        <v>威尔新数值1.06.xlsm!suitPower</v>
      </c>
    </row>
    <row r="1365" spans="1:9" x14ac:dyDescent="0.15">
      <c r="A1365" s="1">
        <v>1364</v>
      </c>
      <c r="B1365" s="1">
        <v>102040700</v>
      </c>
      <c r="C1365" s="1">
        <f t="shared" si="84"/>
        <v>15</v>
      </c>
      <c r="D1365" s="5">
        <f ca="1">IF(getQuality(B1365)&lt;4,getOtherMin(B1365,C1365,INDIRECT(J$2),INDIRECT(I1365),test),getMin(B1365,C1365,INDIRECT(J$2),INDIRECT(I1365),test))</f>
        <v>76.631108554901132</v>
      </c>
      <c r="E1365" s="5">
        <f ca="1">IF(getQuality(B1365)&lt;4,getOtherMax(B1365,C1365,INDIRECT(J$2),INDIRECT(I1365),test),getMax(B1365,C1365,INDIRECT(J$2),INDIRECT(I1365),test))</f>
        <v>109.24493457930163</v>
      </c>
      <c r="F1365" s="1" t="str">
        <f t="shared" si="86"/>
        <v>50</v>
      </c>
      <c r="G1365" s="1" t="str">
        <f t="shared" si="87"/>
        <v/>
      </c>
      <c r="I1365" s="1" t="str">
        <f t="shared" si="85"/>
        <v>威尔新数值1.06.xlsm!suitPower</v>
      </c>
    </row>
    <row r="1366" spans="1:9" x14ac:dyDescent="0.15">
      <c r="A1366" s="1">
        <v>1365</v>
      </c>
      <c r="B1366" s="1">
        <v>102040700</v>
      </c>
      <c r="C1366" s="1">
        <f t="shared" si="84"/>
        <v>101</v>
      </c>
      <c r="D1366" s="5">
        <f ca="1">IF(getQuality(B1366)&lt;4,getOtherMin(B1366,C1366,INDIRECT(J$2),INDIRECT(I1366),test),getMin(B1366,C1366,INDIRECT(J$2),INDIRECT(I1366),test))</f>
        <v>0.09</v>
      </c>
      <c r="E1366" s="5">
        <f ca="1">IF(getQuality(B1366)&lt;4,getOtherMax(B1366,C1366,INDIRECT(J$2),INDIRECT(I1366),test),getMax(B1366,C1366,INDIRECT(J$2),INDIRECT(I1366),test))</f>
        <v>0.12</v>
      </c>
      <c r="F1366" s="1" t="str">
        <f t="shared" si="86"/>
        <v>50</v>
      </c>
      <c r="G1366" s="1" t="str">
        <f t="shared" si="87"/>
        <v/>
      </c>
      <c r="I1366" s="1" t="str">
        <f t="shared" si="85"/>
        <v>威尔新数值1.06.xlsm!circlePer</v>
      </c>
    </row>
    <row r="1367" spans="1:9" x14ac:dyDescent="0.15">
      <c r="A1367" s="1">
        <v>1366</v>
      </c>
      <c r="B1367" s="1">
        <v>102040700</v>
      </c>
      <c r="C1367" s="1">
        <f t="shared" si="84"/>
        <v>102</v>
      </c>
      <c r="D1367" s="5">
        <f ca="1">IF(getQuality(B1367)&lt;4,getOtherMin(B1367,C1367,INDIRECT(J$2),INDIRECT(I1367),test),getMin(B1367,C1367,INDIRECT(J$2),INDIRECT(I1367),test))</f>
        <v>0.7</v>
      </c>
      <c r="E1367" s="5">
        <f ca="1">IF(getQuality(B1367)&lt;4,getOtherMax(B1367,C1367,INDIRECT(J$2),INDIRECT(I1367),test),getMax(B1367,C1367,INDIRECT(J$2),INDIRECT(I1367),test))</f>
        <v>1.1000000000000001</v>
      </c>
      <c r="F1367" s="1" t="str">
        <f t="shared" si="86"/>
        <v>50</v>
      </c>
      <c r="G1367" s="1" t="str">
        <f t="shared" si="87"/>
        <v/>
      </c>
      <c r="I1367" s="1" t="str">
        <f t="shared" si="85"/>
        <v>威尔新数值1.06.xlsm!circleValue</v>
      </c>
    </row>
    <row r="1368" spans="1:9" x14ac:dyDescent="0.15">
      <c r="A1368" s="1">
        <v>1367</v>
      </c>
      <c r="B1368" s="1">
        <v>102040700</v>
      </c>
      <c r="C1368" s="1">
        <f t="shared" si="84"/>
        <v>103</v>
      </c>
      <c r="D1368" s="5">
        <f ca="1">IF(getQuality(B1368)&lt;4,getOtherMin(B1368,C1368,INDIRECT(J$2),INDIRECT(I1368),test),getMin(B1368,C1368,INDIRECT(J$2),INDIRECT(I1368),test))</f>
        <v>0.09</v>
      </c>
      <c r="E1368" s="5">
        <f ca="1">IF(getQuality(B1368)&lt;4,getOtherMax(B1368,C1368,INDIRECT(J$2),INDIRECT(I1368),test),getMax(B1368,C1368,INDIRECT(J$2),INDIRECT(I1368),test))</f>
        <v>0.12</v>
      </c>
      <c r="F1368" s="1" t="str">
        <f t="shared" si="86"/>
        <v>50</v>
      </c>
      <c r="G1368" s="1" t="str">
        <f t="shared" si="87"/>
        <v/>
      </c>
      <c r="I1368" s="1" t="str">
        <f t="shared" si="85"/>
        <v>威尔新数值1.06.xlsm!otherDamage</v>
      </c>
    </row>
    <row r="1369" spans="1:9" x14ac:dyDescent="0.15">
      <c r="A1369" s="1">
        <v>1368</v>
      </c>
      <c r="B1369" s="1">
        <v>102040700</v>
      </c>
      <c r="C1369" s="1">
        <f t="shared" si="84"/>
        <v>104</v>
      </c>
      <c r="D1369" s="5">
        <f ca="1">IF(getQuality(B1369)&lt;4,getOtherMin(B1369,C1369,INDIRECT(J$2),INDIRECT(I1369),test),getMin(B1369,C1369,INDIRECT(J$2),INDIRECT(I1369),test))</f>
        <v>0.09</v>
      </c>
      <c r="E1369" s="5">
        <f ca="1">IF(getQuality(B1369)&lt;4,getOtherMax(B1369,C1369,INDIRECT(J$2),INDIRECT(I1369),test),getMax(B1369,C1369,INDIRECT(J$2),INDIRECT(I1369),test))</f>
        <v>0.18</v>
      </c>
      <c r="F1369" s="1" t="str">
        <f t="shared" si="86"/>
        <v>50</v>
      </c>
      <c r="G1369" s="1" t="str">
        <f t="shared" si="87"/>
        <v/>
      </c>
      <c r="I1369" s="1" t="str">
        <f t="shared" si="85"/>
        <v>威尔新数值1.06.xlsm!monsterDamage</v>
      </c>
    </row>
    <row r="1370" spans="1:9" x14ac:dyDescent="0.15">
      <c r="A1370" s="1">
        <v>1369</v>
      </c>
      <c r="B1370" s="1">
        <v>102040700</v>
      </c>
      <c r="C1370" s="1">
        <f t="shared" si="84"/>
        <v>105</v>
      </c>
      <c r="D1370" s="5">
        <f ca="1">IF(getQuality(B1370)&lt;4,getOtherMin(B1370,C1370,INDIRECT(J$2),INDIRECT(I1370),test),getMin(B1370,C1370,INDIRECT(J$2),INDIRECT(I1370),test))</f>
        <v>0.09</v>
      </c>
      <c r="E1370" s="5">
        <f ca="1">IF(getQuality(B1370)&lt;4,getOtherMax(B1370,C1370,INDIRECT(J$2),INDIRECT(I1370),test),getMax(B1370,C1370,INDIRECT(J$2),INDIRECT(I1370),test))</f>
        <v>0.18</v>
      </c>
      <c r="F1370" s="1" t="str">
        <f t="shared" si="86"/>
        <v>50</v>
      </c>
      <c r="G1370" s="1" t="str">
        <f t="shared" si="87"/>
        <v/>
      </c>
      <c r="I1370" s="1" t="str">
        <f t="shared" si="85"/>
        <v>威尔新数值1.06.xlsm!monsterDamage</v>
      </c>
    </row>
    <row r="1371" spans="1:9" x14ac:dyDescent="0.15">
      <c r="A1371" s="1">
        <v>1370</v>
      </c>
      <c r="B1371" s="1">
        <v>102040700</v>
      </c>
      <c r="C1371" s="1">
        <f t="shared" si="84"/>
        <v>106</v>
      </c>
      <c r="D1371" s="5">
        <f ca="1">IF(getQuality(B1371)&lt;4,getOtherMin(B1371,C1371,INDIRECT(J$2),INDIRECT(I1371),test),getMin(B1371,C1371,INDIRECT(J$2),INDIRECT(I1371),test))</f>
        <v>0.09</v>
      </c>
      <c r="E1371" s="5">
        <f ca="1">IF(getQuality(B1371)&lt;4,getOtherMax(B1371,C1371,INDIRECT(J$2),INDIRECT(I1371),test),getMax(B1371,C1371,INDIRECT(J$2),INDIRECT(I1371),test))</f>
        <v>0.18</v>
      </c>
      <c r="F1371" s="1" t="str">
        <f t="shared" si="86"/>
        <v>50</v>
      </c>
      <c r="G1371" s="1" t="str">
        <f t="shared" si="87"/>
        <v/>
      </c>
      <c r="I1371" s="1" t="str">
        <f t="shared" si="85"/>
        <v>威尔新数值1.06.xlsm!monsterDamage</v>
      </c>
    </row>
    <row r="1372" spans="1:9" x14ac:dyDescent="0.15">
      <c r="A1372" s="1">
        <v>1371</v>
      </c>
      <c r="B1372" s="1">
        <v>102040700</v>
      </c>
      <c r="C1372" s="1">
        <f t="shared" si="84"/>
        <v>107</v>
      </c>
      <c r="D1372" s="5">
        <f ca="1">IF(getQuality(B1372)&lt;4,getOtherMin(B1372,C1372,INDIRECT(J$2),INDIRECT(I1372),test),getMin(B1372,C1372,INDIRECT(J$2),INDIRECT(I1372),test))</f>
        <v>0.09</v>
      </c>
      <c r="E1372" s="5">
        <f ca="1">IF(getQuality(B1372)&lt;4,getOtherMax(B1372,C1372,INDIRECT(J$2),INDIRECT(I1372),test),getMax(B1372,C1372,INDIRECT(J$2),INDIRECT(I1372),test))</f>
        <v>0.18</v>
      </c>
      <c r="F1372" s="1" t="str">
        <f t="shared" si="86"/>
        <v>50</v>
      </c>
      <c r="G1372" s="1" t="str">
        <f t="shared" si="87"/>
        <v/>
      </c>
      <c r="I1372" s="1" t="str">
        <f t="shared" si="85"/>
        <v>威尔新数值1.06.xlsm!monsterDamage</v>
      </c>
    </row>
    <row r="1373" spans="1:9" x14ac:dyDescent="0.15">
      <c r="A1373" s="1">
        <v>1372</v>
      </c>
      <c r="B1373" s="1">
        <v>102040700</v>
      </c>
      <c r="C1373" s="1">
        <f t="shared" si="84"/>
        <v>108</v>
      </c>
      <c r="D1373" s="5">
        <f ca="1">IF(getQuality(B1373)&lt;4,getOtherMin(B1373,C1373,INDIRECT(J$2),INDIRECT(I1373),test),getMin(B1373,C1373,INDIRECT(J$2),INDIRECT(I1373),test))</f>
        <v>0.09</v>
      </c>
      <c r="E1373" s="5">
        <f ca="1">IF(getQuality(B1373)&lt;4,getOtherMax(B1373,C1373,INDIRECT(J$2),INDIRECT(I1373),test),getMax(B1373,C1373,INDIRECT(J$2),INDIRECT(I1373),test))</f>
        <v>0.18</v>
      </c>
      <c r="F1373" s="1" t="str">
        <f t="shared" si="86"/>
        <v>50</v>
      </c>
      <c r="G1373" s="1" t="str">
        <f t="shared" si="87"/>
        <v/>
      </c>
      <c r="I1373" s="1" t="str">
        <f t="shared" si="85"/>
        <v>威尔新数值1.06.xlsm!monsterDamage</v>
      </c>
    </row>
    <row r="1374" spans="1:9" x14ac:dyDescent="0.15">
      <c r="A1374" s="1">
        <v>1373</v>
      </c>
      <c r="B1374" s="1">
        <v>102050700</v>
      </c>
      <c r="C1374" s="1">
        <f t="shared" si="84"/>
        <v>3</v>
      </c>
      <c r="D1374" s="5">
        <f ca="1">IF(getQuality(B1374)&lt;4,getOtherMin(B1374,C1374,INDIRECT(J$2),INDIRECT(I1374),test),getMin(B1374,C1374,INDIRECT(J$2),INDIRECT(I1374),test))</f>
        <v>110.24493457930163</v>
      </c>
      <c r="E1374" s="5">
        <f ca="1">IF(getQuality(B1374)&lt;4,getOtherMax(B1374,C1374,INDIRECT(J$2),INDIRECT(I1374),test),getMax(B1374,C1374,INDIRECT(J$2),INDIRECT(I1374),test))</f>
        <v>148.01542709608177</v>
      </c>
      <c r="F1374" s="1" t="str">
        <f t="shared" si="86"/>
        <v>50</v>
      </c>
      <c r="G1374" s="1" t="str">
        <f t="shared" si="87"/>
        <v>1</v>
      </c>
      <c r="I1374" s="1" t="str">
        <f t="shared" si="85"/>
        <v>威尔新数值1.06.xlsm!suitPower</v>
      </c>
    </row>
    <row r="1375" spans="1:9" x14ac:dyDescent="0.15">
      <c r="A1375" s="1">
        <v>1374</v>
      </c>
      <c r="B1375" s="1">
        <v>102050700</v>
      </c>
      <c r="C1375" s="1">
        <f t="shared" si="84"/>
        <v>5</v>
      </c>
      <c r="D1375" s="5">
        <f ca="1">IF(getQuality(B1375)&lt;4,getOtherMin(B1375,C1375,INDIRECT(J$2),INDIRECT(I1375),test),getMin(B1375,C1375,INDIRECT(J$2),INDIRECT(I1375),test))</f>
        <v>110.24493457930163</v>
      </c>
      <c r="E1375" s="5">
        <f ca="1">IF(getQuality(B1375)&lt;4,getOtherMax(B1375,C1375,INDIRECT(J$2),INDIRECT(I1375),test),getMax(B1375,C1375,INDIRECT(J$2),INDIRECT(I1375),test))</f>
        <v>148.01542709608177</v>
      </c>
      <c r="F1375" s="1" t="str">
        <f t="shared" si="86"/>
        <v>50</v>
      </c>
      <c r="G1375" s="1" t="str">
        <f t="shared" si="87"/>
        <v/>
      </c>
      <c r="I1375" s="1" t="str">
        <f t="shared" si="85"/>
        <v>威尔新数值1.06.xlsm!suitPower</v>
      </c>
    </row>
    <row r="1376" spans="1:9" x14ac:dyDescent="0.15">
      <c r="A1376" s="1">
        <v>1375</v>
      </c>
      <c r="B1376" s="1">
        <v>102050700</v>
      </c>
      <c r="C1376" s="1">
        <f t="shared" si="84"/>
        <v>7</v>
      </c>
      <c r="D1376" s="5">
        <f ca="1">IF(getQuality(B1376)&lt;4,getOtherMin(B1376,C1376,INDIRECT(J$2),INDIRECT(I1376),test),getMin(B1376,C1376,INDIRECT(J$2),INDIRECT(I1376),test))</f>
        <v>26.92592592592586</v>
      </c>
      <c r="E1376" s="5">
        <f ca="1">IF(getQuality(B1376)&lt;4,getOtherMax(B1376,C1376,INDIRECT(J$2),INDIRECT(I1376),test),getMax(B1376,C1376,INDIRECT(J$2),INDIRECT(I1376),test))</f>
        <v>32.407407407407327</v>
      </c>
      <c r="F1376" s="1" t="str">
        <f t="shared" si="86"/>
        <v>50</v>
      </c>
      <c r="G1376" s="1" t="str">
        <f t="shared" si="87"/>
        <v/>
      </c>
      <c r="I1376" s="1" t="str">
        <f t="shared" si="85"/>
        <v>威尔新数值1.06.xlsm!suitPower</v>
      </c>
    </row>
    <row r="1377" spans="1:9" x14ac:dyDescent="0.15">
      <c r="A1377" s="1">
        <v>1376</v>
      </c>
      <c r="B1377" s="1">
        <v>102050700</v>
      </c>
      <c r="C1377" s="1">
        <f t="shared" si="84"/>
        <v>8</v>
      </c>
      <c r="D1377" s="5">
        <f ca="1">IF(getQuality(B1377)&lt;4,getOtherMin(B1377,C1377,INDIRECT(J$2),INDIRECT(I1377),test),getMin(B1377,C1377,INDIRECT(J$2),INDIRECT(I1377),test))</f>
        <v>59.333333333333336</v>
      </c>
      <c r="E1377" s="5">
        <f ca="1">IF(getQuality(B1377)&lt;4,getOtherMax(B1377,C1377,INDIRECT(J$2),INDIRECT(I1377),test),getMax(B1377,C1377,INDIRECT(J$2),INDIRECT(I1377),test))</f>
        <v>72.916666666666671</v>
      </c>
      <c r="F1377" s="1" t="str">
        <f t="shared" si="86"/>
        <v>50</v>
      </c>
      <c r="G1377" s="1" t="str">
        <f t="shared" si="87"/>
        <v/>
      </c>
      <c r="I1377" s="1" t="str">
        <f t="shared" si="85"/>
        <v>威尔新数值1.06.xlsm!suitPower</v>
      </c>
    </row>
    <row r="1378" spans="1:9" x14ac:dyDescent="0.15">
      <c r="A1378" s="1">
        <v>1377</v>
      </c>
      <c r="B1378" s="1">
        <v>102050700</v>
      </c>
      <c r="C1378" s="1">
        <f t="shared" si="84"/>
        <v>9</v>
      </c>
      <c r="D1378" s="5">
        <f ca="1">IF(getQuality(B1378)&lt;4,getOtherMin(B1378,C1378,INDIRECT(J$2),INDIRECT(I1378),test),getMin(B1378,C1378,INDIRECT(J$2),INDIRECT(I1378),test))</f>
        <v>110.24493457930163</v>
      </c>
      <c r="E1378" s="5">
        <f ca="1">IF(getQuality(B1378)&lt;4,getOtherMax(B1378,C1378,INDIRECT(J$2),INDIRECT(I1378),test),getMax(B1378,C1378,INDIRECT(J$2),INDIRECT(I1378),test))</f>
        <v>148.01542709608177</v>
      </c>
      <c r="F1378" s="1" t="str">
        <f t="shared" si="86"/>
        <v>50</v>
      </c>
      <c r="G1378" s="1" t="str">
        <f t="shared" si="87"/>
        <v/>
      </c>
      <c r="I1378" s="1" t="str">
        <f t="shared" si="85"/>
        <v>威尔新数值1.06.xlsm!suitPower</v>
      </c>
    </row>
    <row r="1379" spans="1:9" x14ac:dyDescent="0.15">
      <c r="A1379" s="1">
        <v>1378</v>
      </c>
      <c r="B1379" s="1">
        <v>102050700</v>
      </c>
      <c r="C1379" s="1">
        <f t="shared" si="84"/>
        <v>10</v>
      </c>
      <c r="D1379" s="5">
        <f ca="1">IF(getQuality(B1379)&lt;4,getOtherMin(B1379,C1379,INDIRECT(J$2),INDIRECT(I1379),test),getMin(B1379,C1379,INDIRECT(J$2),INDIRECT(I1379),test))</f>
        <v>110.24493457930163</v>
      </c>
      <c r="E1379" s="5">
        <f ca="1">IF(getQuality(B1379)&lt;4,getOtherMax(B1379,C1379,INDIRECT(J$2),INDIRECT(I1379),test),getMax(B1379,C1379,INDIRECT(J$2),INDIRECT(I1379),test))</f>
        <v>148.01542709608177</v>
      </c>
      <c r="F1379" s="1" t="str">
        <f t="shared" si="86"/>
        <v>50</v>
      </c>
      <c r="G1379" s="1" t="str">
        <f t="shared" si="87"/>
        <v/>
      </c>
      <c r="I1379" s="1" t="str">
        <f t="shared" si="85"/>
        <v>威尔新数值1.06.xlsm!suitPower</v>
      </c>
    </row>
    <row r="1380" spans="1:9" x14ac:dyDescent="0.15">
      <c r="A1380" s="1">
        <v>1379</v>
      </c>
      <c r="B1380" s="1">
        <v>102050700</v>
      </c>
      <c r="C1380" s="1">
        <f t="shared" ref="C1380:C1443" si="88">C1361</f>
        <v>11</v>
      </c>
      <c r="D1380" s="5">
        <f ca="1">IF(getQuality(B1380)&lt;4,getOtherMin(B1380,C1380,INDIRECT(J$2),INDIRECT(I1380),test),getMin(B1380,C1380,INDIRECT(J$2),INDIRECT(I1380),test))</f>
        <v>110.24493457930163</v>
      </c>
      <c r="E1380" s="5">
        <f ca="1">IF(getQuality(B1380)&lt;4,getOtherMax(B1380,C1380,INDIRECT(J$2),INDIRECT(I1380),test),getMax(B1380,C1380,INDIRECT(J$2),INDIRECT(I1380),test))</f>
        <v>148.01542709608177</v>
      </c>
      <c r="F1380" s="1" t="str">
        <f t="shared" si="86"/>
        <v>50</v>
      </c>
      <c r="G1380" s="1" t="str">
        <f t="shared" si="87"/>
        <v/>
      </c>
      <c r="I1380" s="1" t="str">
        <f t="shared" si="85"/>
        <v>威尔新数值1.06.xlsm!suitPower</v>
      </c>
    </row>
    <row r="1381" spans="1:9" x14ac:dyDescent="0.15">
      <c r="A1381" s="1">
        <v>1380</v>
      </c>
      <c r="B1381" s="1">
        <v>102050700</v>
      </c>
      <c r="C1381" s="1">
        <f t="shared" si="88"/>
        <v>12</v>
      </c>
      <c r="D1381" s="5">
        <f ca="1">IF(getQuality(B1381)&lt;4,getOtherMin(B1381,C1381,INDIRECT(J$2),INDIRECT(I1381),test),getMin(B1381,C1381,INDIRECT(J$2),INDIRECT(I1381),test))</f>
        <v>110.24493457930163</v>
      </c>
      <c r="E1381" s="5">
        <f ca="1">IF(getQuality(B1381)&lt;4,getOtherMax(B1381,C1381,INDIRECT(J$2),INDIRECT(I1381),test),getMax(B1381,C1381,INDIRECT(J$2),INDIRECT(I1381),test))</f>
        <v>148.01542709608177</v>
      </c>
      <c r="F1381" s="1" t="str">
        <f t="shared" si="86"/>
        <v>50</v>
      </c>
      <c r="G1381" s="1" t="str">
        <f t="shared" si="87"/>
        <v/>
      </c>
      <c r="I1381" s="1" t="str">
        <f t="shared" si="85"/>
        <v>威尔新数值1.06.xlsm!suitPower</v>
      </c>
    </row>
    <row r="1382" spans="1:9" x14ac:dyDescent="0.15">
      <c r="A1382" s="1">
        <v>1381</v>
      </c>
      <c r="B1382" s="1">
        <v>102050700</v>
      </c>
      <c r="C1382" s="1">
        <f t="shared" si="88"/>
        <v>13</v>
      </c>
      <c r="D1382" s="5">
        <f ca="1">IF(getQuality(B1382)&lt;4,getOtherMin(B1382,C1382,INDIRECT(J$2),INDIRECT(I1382),test),getMin(B1382,C1382,INDIRECT(J$2),INDIRECT(I1382),test))</f>
        <v>110.24493457930163</v>
      </c>
      <c r="E1382" s="5">
        <f ca="1">IF(getQuality(B1382)&lt;4,getOtherMax(B1382,C1382,INDIRECT(J$2),INDIRECT(I1382),test),getMax(B1382,C1382,INDIRECT(J$2),INDIRECT(I1382),test))</f>
        <v>148.01542709608177</v>
      </c>
      <c r="F1382" s="1" t="str">
        <f t="shared" si="86"/>
        <v>50</v>
      </c>
      <c r="G1382" s="1" t="str">
        <f t="shared" si="87"/>
        <v/>
      </c>
      <c r="I1382" s="1" t="str">
        <f t="shared" si="85"/>
        <v>威尔新数值1.06.xlsm!suitPower</v>
      </c>
    </row>
    <row r="1383" spans="1:9" x14ac:dyDescent="0.15">
      <c r="A1383" s="1">
        <v>1382</v>
      </c>
      <c r="B1383" s="1">
        <v>102050700</v>
      </c>
      <c r="C1383" s="1">
        <f t="shared" si="88"/>
        <v>14</v>
      </c>
      <c r="D1383" s="5">
        <f ca="1">IF(getQuality(B1383)&lt;4,getOtherMin(B1383,C1383,INDIRECT(J$2),INDIRECT(I1383),test),getMin(B1383,C1383,INDIRECT(J$2),INDIRECT(I1383),test))</f>
        <v>110.24493457930163</v>
      </c>
      <c r="E1383" s="5">
        <f ca="1">IF(getQuality(B1383)&lt;4,getOtherMax(B1383,C1383,INDIRECT(J$2),INDIRECT(I1383),test),getMax(B1383,C1383,INDIRECT(J$2),INDIRECT(I1383),test))</f>
        <v>148.01542709608177</v>
      </c>
      <c r="F1383" s="1" t="str">
        <f t="shared" si="86"/>
        <v>50</v>
      </c>
      <c r="G1383" s="1" t="str">
        <f t="shared" si="87"/>
        <v/>
      </c>
      <c r="I1383" s="1" t="str">
        <f t="shared" si="85"/>
        <v>威尔新数值1.06.xlsm!suitPower</v>
      </c>
    </row>
    <row r="1384" spans="1:9" x14ac:dyDescent="0.15">
      <c r="A1384" s="1">
        <v>1383</v>
      </c>
      <c r="B1384" s="1">
        <v>102050700</v>
      </c>
      <c r="C1384" s="1">
        <f t="shared" si="88"/>
        <v>15</v>
      </c>
      <c r="D1384" s="5">
        <f ca="1">IF(getQuality(B1384)&lt;4,getOtherMin(B1384,C1384,INDIRECT(J$2),INDIRECT(I1384),test),getMin(B1384,C1384,INDIRECT(J$2),INDIRECT(I1384),test))</f>
        <v>110.24493457930163</v>
      </c>
      <c r="E1384" s="5">
        <f ca="1">IF(getQuality(B1384)&lt;4,getOtherMax(B1384,C1384,INDIRECT(J$2),INDIRECT(I1384),test),getMax(B1384,C1384,INDIRECT(J$2),INDIRECT(I1384),test))</f>
        <v>148.01542709608177</v>
      </c>
      <c r="F1384" s="1" t="str">
        <f t="shared" si="86"/>
        <v>50</v>
      </c>
      <c r="G1384" s="1" t="str">
        <f t="shared" si="87"/>
        <v/>
      </c>
      <c r="I1384" s="1" t="str">
        <f t="shared" si="85"/>
        <v>威尔新数值1.06.xlsm!suitPower</v>
      </c>
    </row>
    <row r="1385" spans="1:9" x14ac:dyDescent="0.15">
      <c r="A1385" s="1">
        <v>1384</v>
      </c>
      <c r="B1385" s="1">
        <v>102050700</v>
      </c>
      <c r="C1385" s="1">
        <f t="shared" si="88"/>
        <v>101</v>
      </c>
      <c r="D1385" s="5">
        <f ca="1">IF(getQuality(B1385)&lt;4,getOtherMin(B1385,C1385,INDIRECT(J$2),INDIRECT(I1385),test),getMin(B1385,C1385,INDIRECT(J$2),INDIRECT(I1385),test))</f>
        <v>0.1</v>
      </c>
      <c r="E1385" s="5">
        <f ca="1">IF(getQuality(B1385)&lt;4,getOtherMax(B1385,C1385,INDIRECT(J$2),INDIRECT(I1385),test),getMax(B1385,C1385,INDIRECT(J$2),INDIRECT(I1385),test))</f>
        <v>0.13</v>
      </c>
      <c r="F1385" s="1" t="str">
        <f t="shared" si="86"/>
        <v>50</v>
      </c>
      <c r="G1385" s="1" t="str">
        <f t="shared" si="87"/>
        <v/>
      </c>
      <c r="I1385" s="1" t="str">
        <f t="shared" si="85"/>
        <v>威尔新数值1.06.xlsm!circlePer</v>
      </c>
    </row>
    <row r="1386" spans="1:9" x14ac:dyDescent="0.15">
      <c r="A1386" s="1">
        <v>1385</v>
      </c>
      <c r="B1386" s="1">
        <v>102050700</v>
      </c>
      <c r="C1386" s="1">
        <f t="shared" si="88"/>
        <v>102</v>
      </c>
      <c r="D1386" s="5">
        <f ca="1">IF(getQuality(B1386)&lt;4,getOtherMin(B1386,C1386,INDIRECT(J$2),INDIRECT(I1386),test),getMin(B1386,C1386,INDIRECT(J$2),INDIRECT(I1386),test))</f>
        <v>0.8</v>
      </c>
      <c r="E1386" s="5">
        <f ca="1">IF(getQuality(B1386)&lt;4,getOtherMax(B1386,C1386,INDIRECT(J$2),INDIRECT(I1386),test),getMax(B1386,C1386,INDIRECT(J$2),INDIRECT(I1386),test))</f>
        <v>1.2</v>
      </c>
      <c r="F1386" s="1" t="str">
        <f t="shared" si="86"/>
        <v>50</v>
      </c>
      <c r="G1386" s="1" t="str">
        <f t="shared" si="87"/>
        <v/>
      </c>
      <c r="I1386" s="1" t="str">
        <f t="shared" si="85"/>
        <v>威尔新数值1.06.xlsm!circleValue</v>
      </c>
    </row>
    <row r="1387" spans="1:9" x14ac:dyDescent="0.15">
      <c r="A1387" s="1">
        <v>1386</v>
      </c>
      <c r="B1387" s="1">
        <v>102050700</v>
      </c>
      <c r="C1387" s="1">
        <f t="shared" si="88"/>
        <v>103</v>
      </c>
      <c r="D1387" s="5">
        <f ca="1">IF(getQuality(B1387)&lt;4,getOtherMin(B1387,C1387,INDIRECT(J$2),INDIRECT(I1387),test),getMin(B1387,C1387,INDIRECT(J$2),INDIRECT(I1387),test))</f>
        <v>0.1</v>
      </c>
      <c r="E1387" s="5">
        <f ca="1">IF(getQuality(B1387)&lt;4,getOtherMax(B1387,C1387,INDIRECT(J$2),INDIRECT(I1387),test),getMax(B1387,C1387,INDIRECT(J$2),INDIRECT(I1387),test))</f>
        <v>0.13</v>
      </c>
      <c r="F1387" s="1" t="str">
        <f t="shared" si="86"/>
        <v>50</v>
      </c>
      <c r="G1387" s="1" t="str">
        <f t="shared" si="87"/>
        <v/>
      </c>
      <c r="I1387" s="1" t="str">
        <f t="shared" si="85"/>
        <v>威尔新数值1.06.xlsm!otherDamage</v>
      </c>
    </row>
    <row r="1388" spans="1:9" x14ac:dyDescent="0.15">
      <c r="A1388" s="1">
        <v>1387</v>
      </c>
      <c r="B1388" s="1">
        <v>102050700</v>
      </c>
      <c r="C1388" s="1">
        <f t="shared" si="88"/>
        <v>104</v>
      </c>
      <c r="D1388" s="5">
        <f ca="1">IF(getQuality(B1388)&lt;4,getOtherMin(B1388,C1388,INDIRECT(J$2),INDIRECT(I1388),test),getMin(B1388,C1388,INDIRECT(J$2),INDIRECT(I1388),test))</f>
        <v>0.1</v>
      </c>
      <c r="E1388" s="5">
        <f ca="1">IF(getQuality(B1388)&lt;4,getOtherMax(B1388,C1388,INDIRECT(J$2),INDIRECT(I1388),test),getMax(B1388,C1388,INDIRECT(J$2),INDIRECT(I1388),test))</f>
        <v>0.2</v>
      </c>
      <c r="F1388" s="1" t="str">
        <f t="shared" si="86"/>
        <v>50</v>
      </c>
      <c r="G1388" s="1" t="str">
        <f t="shared" si="87"/>
        <v/>
      </c>
      <c r="I1388" s="1" t="str">
        <f t="shared" si="85"/>
        <v>威尔新数值1.06.xlsm!monsterDamage</v>
      </c>
    </row>
    <row r="1389" spans="1:9" x14ac:dyDescent="0.15">
      <c r="A1389" s="1">
        <v>1388</v>
      </c>
      <c r="B1389" s="1">
        <v>102050700</v>
      </c>
      <c r="C1389" s="1">
        <f t="shared" si="88"/>
        <v>105</v>
      </c>
      <c r="D1389" s="5">
        <f ca="1">IF(getQuality(B1389)&lt;4,getOtherMin(B1389,C1389,INDIRECT(J$2),INDIRECT(I1389),test),getMin(B1389,C1389,INDIRECT(J$2),INDIRECT(I1389),test))</f>
        <v>0.1</v>
      </c>
      <c r="E1389" s="5">
        <f ca="1">IF(getQuality(B1389)&lt;4,getOtherMax(B1389,C1389,INDIRECT(J$2),INDIRECT(I1389),test),getMax(B1389,C1389,INDIRECT(J$2),INDIRECT(I1389),test))</f>
        <v>0.2</v>
      </c>
      <c r="F1389" s="1" t="str">
        <f t="shared" si="86"/>
        <v>50</v>
      </c>
      <c r="G1389" s="1" t="str">
        <f t="shared" si="87"/>
        <v/>
      </c>
      <c r="I1389" s="1" t="str">
        <f t="shared" si="85"/>
        <v>威尔新数值1.06.xlsm!monsterDamage</v>
      </c>
    </row>
    <row r="1390" spans="1:9" x14ac:dyDescent="0.15">
      <c r="A1390" s="1">
        <v>1389</v>
      </c>
      <c r="B1390" s="1">
        <v>102050700</v>
      </c>
      <c r="C1390" s="1">
        <f t="shared" si="88"/>
        <v>106</v>
      </c>
      <c r="D1390" s="5">
        <f ca="1">IF(getQuality(B1390)&lt;4,getOtherMin(B1390,C1390,INDIRECT(J$2),INDIRECT(I1390),test),getMin(B1390,C1390,INDIRECT(J$2),INDIRECT(I1390),test))</f>
        <v>0.1</v>
      </c>
      <c r="E1390" s="5">
        <f ca="1">IF(getQuality(B1390)&lt;4,getOtherMax(B1390,C1390,INDIRECT(J$2),INDIRECT(I1390),test),getMax(B1390,C1390,INDIRECT(J$2),INDIRECT(I1390),test))</f>
        <v>0.2</v>
      </c>
      <c r="F1390" s="1" t="str">
        <f t="shared" si="86"/>
        <v>50</v>
      </c>
      <c r="G1390" s="1" t="str">
        <f t="shared" si="87"/>
        <v/>
      </c>
      <c r="I1390" s="1" t="str">
        <f t="shared" si="85"/>
        <v>威尔新数值1.06.xlsm!monsterDamage</v>
      </c>
    </row>
    <row r="1391" spans="1:9" x14ac:dyDescent="0.15">
      <c r="A1391" s="1">
        <v>1390</v>
      </c>
      <c r="B1391" s="1">
        <v>102050700</v>
      </c>
      <c r="C1391" s="1">
        <f t="shared" si="88"/>
        <v>107</v>
      </c>
      <c r="D1391" s="5">
        <f ca="1">IF(getQuality(B1391)&lt;4,getOtherMin(B1391,C1391,INDIRECT(J$2),INDIRECT(I1391),test),getMin(B1391,C1391,INDIRECT(J$2),INDIRECT(I1391),test))</f>
        <v>0.1</v>
      </c>
      <c r="E1391" s="5">
        <f ca="1">IF(getQuality(B1391)&lt;4,getOtherMax(B1391,C1391,INDIRECT(J$2),INDIRECT(I1391),test),getMax(B1391,C1391,INDIRECT(J$2),INDIRECT(I1391),test))</f>
        <v>0.2</v>
      </c>
      <c r="F1391" s="1" t="str">
        <f t="shared" si="86"/>
        <v>50</v>
      </c>
      <c r="G1391" s="1" t="str">
        <f t="shared" si="87"/>
        <v/>
      </c>
      <c r="I1391" s="1" t="str">
        <f t="shared" si="85"/>
        <v>威尔新数值1.06.xlsm!monsterDamage</v>
      </c>
    </row>
    <row r="1392" spans="1:9" x14ac:dyDescent="0.15">
      <c r="A1392" s="1">
        <v>1391</v>
      </c>
      <c r="B1392" s="1">
        <v>102050700</v>
      </c>
      <c r="C1392" s="1">
        <f t="shared" si="88"/>
        <v>108</v>
      </c>
      <c r="D1392" s="5">
        <f ca="1">IF(getQuality(B1392)&lt;4,getOtherMin(B1392,C1392,INDIRECT(J$2),INDIRECT(I1392),test),getMin(B1392,C1392,INDIRECT(J$2),INDIRECT(I1392),test))</f>
        <v>0.1</v>
      </c>
      <c r="E1392" s="5">
        <f ca="1">IF(getQuality(B1392)&lt;4,getOtherMax(B1392,C1392,INDIRECT(J$2),INDIRECT(I1392),test),getMax(B1392,C1392,INDIRECT(J$2),INDIRECT(I1392),test))</f>
        <v>0.2</v>
      </c>
      <c r="F1392" s="1" t="str">
        <f t="shared" si="86"/>
        <v>50</v>
      </c>
      <c r="G1392" s="1" t="str">
        <f t="shared" si="87"/>
        <v/>
      </c>
      <c r="I1392" s="1" t="str">
        <f t="shared" si="85"/>
        <v>威尔新数值1.06.xlsm!monsterDamage</v>
      </c>
    </row>
    <row r="1393" spans="1:9" x14ac:dyDescent="0.15">
      <c r="A1393" s="1">
        <v>1392</v>
      </c>
      <c r="B1393" s="1">
        <v>102060700</v>
      </c>
      <c r="C1393" s="1">
        <f t="shared" si="88"/>
        <v>3</v>
      </c>
      <c r="D1393" s="5">
        <f ca="1">IF(getQuality(B1393)&lt;4,getOtherMin(B1393,C1393,INDIRECT(J$2),INDIRECT(I1393),test),getMin(B1393,C1393,INDIRECT(J$2),INDIRECT(I1393),test))</f>
        <v>149.01542709608177</v>
      </c>
      <c r="E1393" s="5">
        <f ca="1">IF(getQuality(B1393)&lt;4,getOtherMax(B1393,C1393,INDIRECT(J$2),INDIRECT(I1393),test),getMax(B1393,C1393,INDIRECT(J$2),INDIRECT(I1393),test))</f>
        <v>190.22369727444828</v>
      </c>
      <c r="F1393" s="1" t="str">
        <f t="shared" si="86"/>
        <v>50</v>
      </c>
      <c r="G1393" s="1" t="str">
        <f t="shared" si="87"/>
        <v>1</v>
      </c>
      <c r="I1393" s="1" t="str">
        <f t="shared" si="85"/>
        <v>威尔新数值1.06.xlsm!suitPower</v>
      </c>
    </row>
    <row r="1394" spans="1:9" x14ac:dyDescent="0.15">
      <c r="A1394" s="1">
        <v>1393</v>
      </c>
      <c r="B1394" s="1">
        <v>102060700</v>
      </c>
      <c r="C1394" s="1">
        <f t="shared" si="88"/>
        <v>5</v>
      </c>
      <c r="D1394" s="5">
        <f ca="1">IF(getQuality(B1394)&lt;4,getOtherMin(B1394,C1394,INDIRECT(J$2),INDIRECT(I1394),test),getMin(B1394,C1394,INDIRECT(J$2),INDIRECT(I1394),test))</f>
        <v>149.01542709608177</v>
      </c>
      <c r="E1394" s="5">
        <f ca="1">IF(getQuality(B1394)&lt;4,getOtherMax(B1394,C1394,INDIRECT(J$2),INDIRECT(I1394),test),getMax(B1394,C1394,INDIRECT(J$2),INDIRECT(I1394),test))</f>
        <v>190.22369727444828</v>
      </c>
      <c r="F1394" s="1" t="str">
        <f t="shared" si="86"/>
        <v>50</v>
      </c>
      <c r="G1394" s="1" t="str">
        <f t="shared" si="87"/>
        <v/>
      </c>
      <c r="I1394" s="1" t="str">
        <f t="shared" si="85"/>
        <v>威尔新数值1.06.xlsm!suitPower</v>
      </c>
    </row>
    <row r="1395" spans="1:9" x14ac:dyDescent="0.15">
      <c r="A1395" s="1">
        <v>1394</v>
      </c>
      <c r="B1395" s="1">
        <v>102060700</v>
      </c>
      <c r="C1395" s="1">
        <f t="shared" si="88"/>
        <v>7</v>
      </c>
      <c r="D1395" s="5">
        <f ca="1">IF(getQuality(B1395)&lt;4,getOtherMin(B1395,C1395,INDIRECT(J$2),INDIRECT(I1395),test),getMin(B1395,C1395,INDIRECT(J$2),INDIRECT(I1395),test))</f>
        <v>33.407407407407327</v>
      </c>
      <c r="E1395" s="5">
        <f ca="1">IF(getQuality(B1395)&lt;4,getOtherMax(B1395,C1395,INDIRECT(J$2),INDIRECT(I1395),test),getMax(B1395,C1395,INDIRECT(J$2),INDIRECT(I1395),test))</f>
        <v>38.888888888888786</v>
      </c>
      <c r="F1395" s="1" t="str">
        <f t="shared" si="86"/>
        <v>50</v>
      </c>
      <c r="G1395" s="1" t="str">
        <f t="shared" si="87"/>
        <v/>
      </c>
      <c r="I1395" s="1" t="str">
        <f t="shared" si="85"/>
        <v>威尔新数值1.06.xlsm!suitPower</v>
      </c>
    </row>
    <row r="1396" spans="1:9" x14ac:dyDescent="0.15">
      <c r="A1396" s="1">
        <v>1395</v>
      </c>
      <c r="B1396" s="1">
        <v>102060700</v>
      </c>
      <c r="C1396" s="1">
        <f t="shared" si="88"/>
        <v>8</v>
      </c>
      <c r="D1396" s="5">
        <f ca="1">IF(getQuality(B1396)&lt;4,getOtherMin(B1396,C1396,INDIRECT(J$2),INDIRECT(I1396),test),getMin(B1396,C1396,INDIRECT(J$2),INDIRECT(I1396),test))</f>
        <v>73.916666666666671</v>
      </c>
      <c r="E1396" s="5">
        <f ca="1">IF(getQuality(B1396)&lt;4,getOtherMax(B1396,C1396,INDIRECT(J$2),INDIRECT(I1396),test),getMax(B1396,C1396,INDIRECT(J$2),INDIRECT(I1396),test))</f>
        <v>87.5</v>
      </c>
      <c r="F1396" s="1" t="str">
        <f t="shared" si="86"/>
        <v>50</v>
      </c>
      <c r="G1396" s="1" t="str">
        <f t="shared" si="87"/>
        <v/>
      </c>
      <c r="I1396" s="1" t="str">
        <f t="shared" si="85"/>
        <v>威尔新数值1.06.xlsm!suitPower</v>
      </c>
    </row>
    <row r="1397" spans="1:9" x14ac:dyDescent="0.15">
      <c r="A1397" s="1">
        <v>1396</v>
      </c>
      <c r="B1397" s="1">
        <v>102060700</v>
      </c>
      <c r="C1397" s="1">
        <f t="shared" si="88"/>
        <v>9</v>
      </c>
      <c r="D1397" s="5">
        <f ca="1">IF(getQuality(B1397)&lt;4,getOtherMin(B1397,C1397,INDIRECT(J$2),INDIRECT(I1397),test),getMin(B1397,C1397,INDIRECT(J$2),INDIRECT(I1397),test))</f>
        <v>149.01542709608177</v>
      </c>
      <c r="E1397" s="5">
        <f ca="1">IF(getQuality(B1397)&lt;4,getOtherMax(B1397,C1397,INDIRECT(J$2),INDIRECT(I1397),test),getMax(B1397,C1397,INDIRECT(J$2),INDIRECT(I1397),test))</f>
        <v>190.22369727444828</v>
      </c>
      <c r="F1397" s="1" t="str">
        <f t="shared" si="86"/>
        <v>50</v>
      </c>
      <c r="G1397" s="1" t="str">
        <f t="shared" si="87"/>
        <v/>
      </c>
      <c r="I1397" s="1" t="str">
        <f t="shared" si="85"/>
        <v>威尔新数值1.06.xlsm!suitPower</v>
      </c>
    </row>
    <row r="1398" spans="1:9" x14ac:dyDescent="0.15">
      <c r="A1398" s="1">
        <v>1397</v>
      </c>
      <c r="B1398" s="1">
        <v>102060700</v>
      </c>
      <c r="C1398" s="1">
        <f t="shared" si="88"/>
        <v>10</v>
      </c>
      <c r="D1398" s="5">
        <f ca="1">IF(getQuality(B1398)&lt;4,getOtherMin(B1398,C1398,INDIRECT(J$2),INDIRECT(I1398),test),getMin(B1398,C1398,INDIRECT(J$2),INDIRECT(I1398),test))</f>
        <v>149.01542709608177</v>
      </c>
      <c r="E1398" s="5">
        <f ca="1">IF(getQuality(B1398)&lt;4,getOtherMax(B1398,C1398,INDIRECT(J$2),INDIRECT(I1398),test),getMax(B1398,C1398,INDIRECT(J$2),INDIRECT(I1398),test))</f>
        <v>190.22369727444828</v>
      </c>
      <c r="F1398" s="1" t="str">
        <f t="shared" si="86"/>
        <v>50</v>
      </c>
      <c r="G1398" s="1" t="str">
        <f t="shared" si="87"/>
        <v/>
      </c>
      <c r="I1398" s="1" t="str">
        <f t="shared" si="85"/>
        <v>威尔新数值1.06.xlsm!suitPower</v>
      </c>
    </row>
    <row r="1399" spans="1:9" x14ac:dyDescent="0.15">
      <c r="A1399" s="1">
        <v>1398</v>
      </c>
      <c r="B1399" s="1">
        <v>102060700</v>
      </c>
      <c r="C1399" s="1">
        <f t="shared" si="88"/>
        <v>11</v>
      </c>
      <c r="D1399" s="5">
        <f ca="1">IF(getQuality(B1399)&lt;4,getOtherMin(B1399,C1399,INDIRECT(J$2),INDIRECT(I1399),test),getMin(B1399,C1399,INDIRECT(J$2),INDIRECT(I1399),test))</f>
        <v>149.01542709608177</v>
      </c>
      <c r="E1399" s="5">
        <f ca="1">IF(getQuality(B1399)&lt;4,getOtherMax(B1399,C1399,INDIRECT(J$2),INDIRECT(I1399),test),getMax(B1399,C1399,INDIRECT(J$2),INDIRECT(I1399),test))</f>
        <v>190.22369727444828</v>
      </c>
      <c r="F1399" s="1" t="str">
        <f t="shared" si="86"/>
        <v>50</v>
      </c>
      <c r="G1399" s="1" t="str">
        <f t="shared" si="87"/>
        <v/>
      </c>
      <c r="I1399" s="1" t="str">
        <f t="shared" si="85"/>
        <v>威尔新数值1.06.xlsm!suitPower</v>
      </c>
    </row>
    <row r="1400" spans="1:9" x14ac:dyDescent="0.15">
      <c r="A1400" s="1">
        <v>1399</v>
      </c>
      <c r="B1400" s="1">
        <v>102060700</v>
      </c>
      <c r="C1400" s="1">
        <f t="shared" si="88"/>
        <v>12</v>
      </c>
      <c r="D1400" s="5">
        <f ca="1">IF(getQuality(B1400)&lt;4,getOtherMin(B1400,C1400,INDIRECT(J$2),INDIRECT(I1400),test),getMin(B1400,C1400,INDIRECT(J$2),INDIRECT(I1400),test))</f>
        <v>149.01542709608177</v>
      </c>
      <c r="E1400" s="5">
        <f ca="1">IF(getQuality(B1400)&lt;4,getOtherMax(B1400,C1400,INDIRECT(J$2),INDIRECT(I1400),test),getMax(B1400,C1400,INDIRECT(J$2),INDIRECT(I1400),test))</f>
        <v>190.22369727444828</v>
      </c>
      <c r="F1400" s="1" t="str">
        <f t="shared" si="86"/>
        <v>50</v>
      </c>
      <c r="G1400" s="1" t="str">
        <f t="shared" si="87"/>
        <v/>
      </c>
      <c r="I1400" s="1" t="str">
        <f t="shared" si="85"/>
        <v>威尔新数值1.06.xlsm!suitPower</v>
      </c>
    </row>
    <row r="1401" spans="1:9" x14ac:dyDescent="0.15">
      <c r="A1401" s="1">
        <v>1400</v>
      </c>
      <c r="B1401" s="1">
        <v>102060700</v>
      </c>
      <c r="C1401" s="1">
        <f t="shared" si="88"/>
        <v>13</v>
      </c>
      <c r="D1401" s="5">
        <f ca="1">IF(getQuality(B1401)&lt;4,getOtherMin(B1401,C1401,INDIRECT(J$2),INDIRECT(I1401),test),getMin(B1401,C1401,INDIRECT(J$2),INDIRECT(I1401),test))</f>
        <v>149.01542709608177</v>
      </c>
      <c r="E1401" s="5">
        <f ca="1">IF(getQuality(B1401)&lt;4,getOtherMax(B1401,C1401,INDIRECT(J$2),INDIRECT(I1401),test),getMax(B1401,C1401,INDIRECT(J$2),INDIRECT(I1401),test))</f>
        <v>190.22369727444828</v>
      </c>
      <c r="F1401" s="1" t="str">
        <f t="shared" si="86"/>
        <v>50</v>
      </c>
      <c r="G1401" s="1" t="str">
        <f t="shared" si="87"/>
        <v/>
      </c>
      <c r="I1401" s="1" t="str">
        <f t="shared" si="85"/>
        <v>威尔新数值1.06.xlsm!suitPower</v>
      </c>
    </row>
    <row r="1402" spans="1:9" x14ac:dyDescent="0.15">
      <c r="A1402" s="1">
        <v>1401</v>
      </c>
      <c r="B1402" s="1">
        <v>102060700</v>
      </c>
      <c r="C1402" s="1">
        <f t="shared" si="88"/>
        <v>14</v>
      </c>
      <c r="D1402" s="5">
        <f ca="1">IF(getQuality(B1402)&lt;4,getOtherMin(B1402,C1402,INDIRECT(J$2),INDIRECT(I1402),test),getMin(B1402,C1402,INDIRECT(J$2),INDIRECT(I1402),test))</f>
        <v>149.01542709608177</v>
      </c>
      <c r="E1402" s="5">
        <f ca="1">IF(getQuality(B1402)&lt;4,getOtherMax(B1402,C1402,INDIRECT(J$2),INDIRECT(I1402),test),getMax(B1402,C1402,INDIRECT(J$2),INDIRECT(I1402),test))</f>
        <v>190.22369727444828</v>
      </c>
      <c r="F1402" s="1" t="str">
        <f t="shared" si="86"/>
        <v>50</v>
      </c>
      <c r="G1402" s="1" t="str">
        <f t="shared" si="87"/>
        <v/>
      </c>
      <c r="I1402" s="1" t="str">
        <f t="shared" si="85"/>
        <v>威尔新数值1.06.xlsm!suitPower</v>
      </c>
    </row>
    <row r="1403" spans="1:9" x14ac:dyDescent="0.15">
      <c r="A1403" s="1">
        <v>1402</v>
      </c>
      <c r="B1403" s="1">
        <v>102060700</v>
      </c>
      <c r="C1403" s="1">
        <f t="shared" si="88"/>
        <v>15</v>
      </c>
      <c r="D1403" s="5">
        <f ca="1">IF(getQuality(B1403)&lt;4,getOtherMin(B1403,C1403,INDIRECT(J$2),INDIRECT(I1403),test),getMin(B1403,C1403,INDIRECT(J$2),INDIRECT(I1403),test))</f>
        <v>149.01542709608177</v>
      </c>
      <c r="E1403" s="5">
        <f ca="1">IF(getQuality(B1403)&lt;4,getOtherMax(B1403,C1403,INDIRECT(J$2),INDIRECT(I1403),test),getMax(B1403,C1403,INDIRECT(J$2),INDIRECT(I1403),test))</f>
        <v>190.22369727444828</v>
      </c>
      <c r="F1403" s="1" t="str">
        <f t="shared" si="86"/>
        <v>50</v>
      </c>
      <c r="G1403" s="1" t="str">
        <f t="shared" si="87"/>
        <v/>
      </c>
      <c r="I1403" s="1" t="str">
        <f t="shared" si="85"/>
        <v>威尔新数值1.06.xlsm!suitPower</v>
      </c>
    </row>
    <row r="1404" spans="1:9" x14ac:dyDescent="0.15">
      <c r="A1404" s="1">
        <v>1403</v>
      </c>
      <c r="B1404" s="1">
        <v>102060700</v>
      </c>
      <c r="C1404" s="1">
        <f t="shared" si="88"/>
        <v>101</v>
      </c>
      <c r="D1404" s="5">
        <f ca="1">IF(getQuality(B1404)&lt;4,getOtherMin(B1404,C1404,INDIRECT(J$2),INDIRECT(I1404),test),getMin(B1404,C1404,INDIRECT(J$2),INDIRECT(I1404),test))</f>
        <v>0.11</v>
      </c>
      <c r="E1404" s="5">
        <f ca="1">IF(getQuality(B1404)&lt;4,getOtherMax(B1404,C1404,INDIRECT(J$2),INDIRECT(I1404),test),getMax(B1404,C1404,INDIRECT(J$2),INDIRECT(I1404),test))</f>
        <v>0.14000000000000001</v>
      </c>
      <c r="F1404" s="1" t="str">
        <f t="shared" si="86"/>
        <v>50</v>
      </c>
      <c r="G1404" s="1" t="str">
        <f t="shared" si="87"/>
        <v/>
      </c>
      <c r="I1404" s="1" t="str">
        <f t="shared" si="85"/>
        <v>威尔新数值1.06.xlsm!circlePer</v>
      </c>
    </row>
    <row r="1405" spans="1:9" x14ac:dyDescent="0.15">
      <c r="A1405" s="1">
        <v>1404</v>
      </c>
      <c r="B1405" s="1">
        <v>102060700</v>
      </c>
      <c r="C1405" s="1">
        <f t="shared" si="88"/>
        <v>102</v>
      </c>
      <c r="D1405" s="5">
        <f ca="1">IF(getQuality(B1405)&lt;4,getOtherMin(B1405,C1405,INDIRECT(J$2),INDIRECT(I1405),test),getMin(B1405,C1405,INDIRECT(J$2),INDIRECT(I1405),test))</f>
        <v>0.9</v>
      </c>
      <c r="E1405" s="5">
        <f ca="1">IF(getQuality(B1405)&lt;4,getOtherMax(B1405,C1405,INDIRECT(J$2),INDIRECT(I1405),test),getMax(B1405,C1405,INDIRECT(J$2),INDIRECT(I1405),test))</f>
        <v>1.3</v>
      </c>
      <c r="F1405" s="1" t="str">
        <f t="shared" si="86"/>
        <v>50</v>
      </c>
      <c r="G1405" s="1" t="str">
        <f t="shared" si="87"/>
        <v/>
      </c>
      <c r="I1405" s="1" t="str">
        <f t="shared" si="85"/>
        <v>威尔新数值1.06.xlsm!circleValue</v>
      </c>
    </row>
    <row r="1406" spans="1:9" x14ac:dyDescent="0.15">
      <c r="A1406" s="1">
        <v>1405</v>
      </c>
      <c r="B1406" s="1">
        <v>102060700</v>
      </c>
      <c r="C1406" s="1">
        <f t="shared" si="88"/>
        <v>103</v>
      </c>
      <c r="D1406" s="5">
        <f ca="1">IF(getQuality(B1406)&lt;4,getOtherMin(B1406,C1406,INDIRECT(J$2),INDIRECT(I1406),test),getMin(B1406,C1406,INDIRECT(J$2),INDIRECT(I1406),test))</f>
        <v>0.11</v>
      </c>
      <c r="E1406" s="5">
        <f ca="1">IF(getQuality(B1406)&lt;4,getOtherMax(B1406,C1406,INDIRECT(J$2),INDIRECT(I1406),test),getMax(B1406,C1406,INDIRECT(J$2),INDIRECT(I1406),test))</f>
        <v>0.14000000000000001</v>
      </c>
      <c r="F1406" s="1" t="str">
        <f t="shared" si="86"/>
        <v>50</v>
      </c>
      <c r="G1406" s="1" t="str">
        <f t="shared" si="87"/>
        <v/>
      </c>
      <c r="I1406" s="1" t="str">
        <f t="shared" si="85"/>
        <v>威尔新数值1.06.xlsm!otherDamage</v>
      </c>
    </row>
    <row r="1407" spans="1:9" x14ac:dyDescent="0.15">
      <c r="A1407" s="1">
        <v>1406</v>
      </c>
      <c r="B1407" s="1">
        <v>102060700</v>
      </c>
      <c r="C1407" s="1">
        <f t="shared" si="88"/>
        <v>104</v>
      </c>
      <c r="D1407" s="5">
        <f ca="1">IF(getQuality(B1407)&lt;4,getOtherMin(B1407,C1407,INDIRECT(J$2),INDIRECT(I1407),test),getMin(B1407,C1407,INDIRECT(J$2),INDIRECT(I1407),test))</f>
        <v>0.11</v>
      </c>
      <c r="E1407" s="5">
        <f ca="1">IF(getQuality(B1407)&lt;4,getOtherMax(B1407,C1407,INDIRECT(J$2),INDIRECT(I1407),test),getMax(B1407,C1407,INDIRECT(J$2),INDIRECT(I1407),test))</f>
        <v>0.22</v>
      </c>
      <c r="F1407" s="1" t="str">
        <f t="shared" si="86"/>
        <v>50</v>
      </c>
      <c r="G1407" s="1" t="str">
        <f t="shared" si="87"/>
        <v/>
      </c>
      <c r="I1407" s="1" t="str">
        <f t="shared" si="85"/>
        <v>威尔新数值1.06.xlsm!monsterDamage</v>
      </c>
    </row>
    <row r="1408" spans="1:9" x14ac:dyDescent="0.15">
      <c r="A1408" s="1">
        <v>1407</v>
      </c>
      <c r="B1408" s="1">
        <v>102060700</v>
      </c>
      <c r="C1408" s="1">
        <f t="shared" si="88"/>
        <v>105</v>
      </c>
      <c r="D1408" s="5">
        <f ca="1">IF(getQuality(B1408)&lt;4,getOtherMin(B1408,C1408,INDIRECT(J$2),INDIRECT(I1408),test),getMin(B1408,C1408,INDIRECT(J$2),INDIRECT(I1408),test))</f>
        <v>0.11</v>
      </c>
      <c r="E1408" s="5">
        <f ca="1">IF(getQuality(B1408)&lt;4,getOtherMax(B1408,C1408,INDIRECT(J$2),INDIRECT(I1408),test),getMax(B1408,C1408,INDIRECT(J$2),INDIRECT(I1408),test))</f>
        <v>0.22</v>
      </c>
      <c r="F1408" s="1" t="str">
        <f t="shared" si="86"/>
        <v>50</v>
      </c>
      <c r="G1408" s="1" t="str">
        <f t="shared" si="87"/>
        <v/>
      </c>
      <c r="I1408" s="1" t="str">
        <f t="shared" si="85"/>
        <v>威尔新数值1.06.xlsm!monsterDamage</v>
      </c>
    </row>
    <row r="1409" spans="1:9" x14ac:dyDescent="0.15">
      <c r="A1409" s="1">
        <v>1408</v>
      </c>
      <c r="B1409" s="1">
        <v>102060700</v>
      </c>
      <c r="C1409" s="1">
        <f t="shared" si="88"/>
        <v>106</v>
      </c>
      <c r="D1409" s="5">
        <f ca="1">IF(getQuality(B1409)&lt;4,getOtherMin(B1409,C1409,INDIRECT(J$2),INDIRECT(I1409),test),getMin(B1409,C1409,INDIRECT(J$2),INDIRECT(I1409),test))</f>
        <v>0.11</v>
      </c>
      <c r="E1409" s="5">
        <f ca="1">IF(getQuality(B1409)&lt;4,getOtherMax(B1409,C1409,INDIRECT(J$2),INDIRECT(I1409),test),getMax(B1409,C1409,INDIRECT(J$2),INDIRECT(I1409),test))</f>
        <v>0.22</v>
      </c>
      <c r="F1409" s="1" t="str">
        <f t="shared" si="86"/>
        <v>50</v>
      </c>
      <c r="G1409" s="1" t="str">
        <f t="shared" si="87"/>
        <v/>
      </c>
      <c r="I1409" s="1" t="str">
        <f t="shared" si="85"/>
        <v>威尔新数值1.06.xlsm!monsterDamage</v>
      </c>
    </row>
    <row r="1410" spans="1:9" x14ac:dyDescent="0.15">
      <c r="A1410" s="1">
        <v>1409</v>
      </c>
      <c r="B1410" s="1">
        <v>102060700</v>
      </c>
      <c r="C1410" s="1">
        <f t="shared" si="88"/>
        <v>107</v>
      </c>
      <c r="D1410" s="5">
        <f ca="1">IF(getQuality(B1410)&lt;4,getOtherMin(B1410,C1410,INDIRECT(J$2),INDIRECT(I1410),test),getMin(B1410,C1410,INDIRECT(J$2),INDIRECT(I1410),test))</f>
        <v>0.11</v>
      </c>
      <c r="E1410" s="5">
        <f ca="1">IF(getQuality(B1410)&lt;4,getOtherMax(B1410,C1410,INDIRECT(J$2),INDIRECT(I1410),test),getMax(B1410,C1410,INDIRECT(J$2),INDIRECT(I1410),test))</f>
        <v>0.22</v>
      </c>
      <c r="F1410" s="1" t="str">
        <f t="shared" si="86"/>
        <v>50</v>
      </c>
      <c r="G1410" s="1" t="str">
        <f t="shared" si="87"/>
        <v/>
      </c>
      <c r="I1410" s="1" t="str">
        <f t="shared" ref="I1410:I1473" si="89">IF(C1410&lt;100,VLOOKUP(C1410,test,3,FALSE),VLOOKUP(C1410,test1,3,FALSE))</f>
        <v>威尔新数值1.06.xlsm!monsterDamage</v>
      </c>
    </row>
    <row r="1411" spans="1:9" x14ac:dyDescent="0.15">
      <c r="A1411" s="1">
        <v>1410</v>
      </c>
      <c r="B1411" s="1">
        <v>102060700</v>
      </c>
      <c r="C1411" s="1">
        <f t="shared" si="88"/>
        <v>108</v>
      </c>
      <c r="D1411" s="5">
        <f ca="1">IF(getQuality(B1411)&lt;4,getOtherMin(B1411,C1411,INDIRECT(J$2),INDIRECT(I1411),test),getMin(B1411,C1411,INDIRECT(J$2),INDIRECT(I1411),test))</f>
        <v>0.11</v>
      </c>
      <c r="E1411" s="5">
        <f ca="1">IF(getQuality(B1411)&lt;4,getOtherMax(B1411,C1411,INDIRECT(J$2),INDIRECT(I1411),test),getMax(B1411,C1411,INDIRECT(J$2),INDIRECT(I1411),test))</f>
        <v>0.22</v>
      </c>
      <c r="F1411" s="1" t="str">
        <f t="shared" ref="F1411:F1474" si="90">getper(B1411,C1411)</f>
        <v>50</v>
      </c>
      <c r="G1411" s="1" t="str">
        <f t="shared" ref="G1411:G1474" si="91">getMust(B1411,C1411)</f>
        <v/>
      </c>
      <c r="I1411" s="1" t="str">
        <f t="shared" si="89"/>
        <v>威尔新数值1.06.xlsm!monsterDamage</v>
      </c>
    </row>
    <row r="1412" spans="1:9" x14ac:dyDescent="0.15">
      <c r="A1412" s="1">
        <v>1411</v>
      </c>
      <c r="B1412" s="1">
        <v>102070700</v>
      </c>
      <c r="C1412" s="1">
        <f t="shared" si="88"/>
        <v>3</v>
      </c>
      <c r="D1412" s="5">
        <f ca="1">IF(getQuality(B1412)&lt;4,getOtherMin(B1412,C1412,INDIRECT(J$2),INDIRECT(I1412),test),getMin(B1412,C1412,INDIRECT(J$2),INDIRECT(I1412),test))</f>
        <v>191.22369727444828</v>
      </c>
      <c r="E1412" s="5">
        <f ca="1">IF(getQuality(B1412)&lt;4,getOtherMax(B1412,C1412,INDIRECT(J$2),INDIRECT(I1412),test),getMax(B1412,C1412,INDIRECT(J$2),INDIRECT(I1412),test))</f>
        <v>236.63369570586491</v>
      </c>
      <c r="F1412" s="1" t="str">
        <f t="shared" si="90"/>
        <v>50</v>
      </c>
      <c r="G1412" s="1" t="str">
        <f t="shared" si="91"/>
        <v>1</v>
      </c>
      <c r="I1412" s="1" t="str">
        <f t="shared" si="89"/>
        <v>威尔新数值1.06.xlsm!suitPower</v>
      </c>
    </row>
    <row r="1413" spans="1:9" x14ac:dyDescent="0.15">
      <c r="A1413" s="1">
        <v>1412</v>
      </c>
      <c r="B1413" s="1">
        <v>102070700</v>
      </c>
      <c r="C1413" s="1">
        <f t="shared" si="88"/>
        <v>5</v>
      </c>
      <c r="D1413" s="5">
        <f ca="1">IF(getQuality(B1413)&lt;4,getOtherMin(B1413,C1413,INDIRECT(J$2),INDIRECT(I1413),test),getMin(B1413,C1413,INDIRECT(J$2),INDIRECT(I1413),test))</f>
        <v>191.22369727444828</v>
      </c>
      <c r="E1413" s="5">
        <f ca="1">IF(getQuality(B1413)&lt;4,getOtherMax(B1413,C1413,INDIRECT(J$2),INDIRECT(I1413),test),getMax(B1413,C1413,INDIRECT(J$2),INDIRECT(I1413),test))</f>
        <v>236.63369570586491</v>
      </c>
      <c r="F1413" s="1" t="str">
        <f t="shared" si="90"/>
        <v>50</v>
      </c>
      <c r="G1413" s="1" t="str">
        <f t="shared" si="91"/>
        <v/>
      </c>
      <c r="I1413" s="1" t="str">
        <f t="shared" si="89"/>
        <v>威尔新数值1.06.xlsm!suitPower</v>
      </c>
    </row>
    <row r="1414" spans="1:9" x14ac:dyDescent="0.15">
      <c r="A1414" s="1">
        <v>1413</v>
      </c>
      <c r="B1414" s="1">
        <v>102070700</v>
      </c>
      <c r="C1414" s="1">
        <f t="shared" si="88"/>
        <v>7</v>
      </c>
      <c r="D1414" s="5">
        <f ca="1">IF(getQuality(B1414)&lt;4,getOtherMin(B1414,C1414,INDIRECT(J$2),INDIRECT(I1414),test),getMin(B1414,C1414,INDIRECT(J$2),INDIRECT(I1414),test))</f>
        <v>39.888888888888786</v>
      </c>
      <c r="E1414" s="5">
        <f ca="1">IF(getQuality(B1414)&lt;4,getOtherMax(B1414,C1414,INDIRECT(J$2),INDIRECT(I1414),test),getMax(B1414,C1414,INDIRECT(J$2),INDIRECT(I1414),test))</f>
        <v>45.370370370370253</v>
      </c>
      <c r="F1414" s="1" t="str">
        <f t="shared" si="90"/>
        <v>50</v>
      </c>
      <c r="G1414" s="1" t="str">
        <f t="shared" si="91"/>
        <v/>
      </c>
      <c r="I1414" s="1" t="str">
        <f t="shared" si="89"/>
        <v>威尔新数值1.06.xlsm!suitPower</v>
      </c>
    </row>
    <row r="1415" spans="1:9" x14ac:dyDescent="0.15">
      <c r="A1415" s="1">
        <v>1414</v>
      </c>
      <c r="B1415" s="1">
        <v>102070700</v>
      </c>
      <c r="C1415" s="1">
        <f t="shared" si="88"/>
        <v>8</v>
      </c>
      <c r="D1415" s="5">
        <f ca="1">IF(getQuality(B1415)&lt;4,getOtherMin(B1415,C1415,INDIRECT(J$2),INDIRECT(I1415),test),getMin(B1415,C1415,INDIRECT(J$2),INDIRECT(I1415),test))</f>
        <v>88.5</v>
      </c>
      <c r="E1415" s="5">
        <f ca="1">IF(getQuality(B1415)&lt;4,getOtherMax(B1415,C1415,INDIRECT(J$2),INDIRECT(I1415),test),getMax(B1415,C1415,INDIRECT(J$2),INDIRECT(I1415),test))</f>
        <v>102.08333333333333</v>
      </c>
      <c r="F1415" s="1" t="str">
        <f t="shared" si="90"/>
        <v>50</v>
      </c>
      <c r="G1415" s="1" t="str">
        <f t="shared" si="91"/>
        <v/>
      </c>
      <c r="I1415" s="1" t="str">
        <f t="shared" si="89"/>
        <v>威尔新数值1.06.xlsm!suitPower</v>
      </c>
    </row>
    <row r="1416" spans="1:9" x14ac:dyDescent="0.15">
      <c r="A1416" s="1">
        <v>1415</v>
      </c>
      <c r="B1416" s="1">
        <v>102070700</v>
      </c>
      <c r="C1416" s="1">
        <f t="shared" si="88"/>
        <v>9</v>
      </c>
      <c r="D1416" s="5">
        <f ca="1">IF(getQuality(B1416)&lt;4,getOtherMin(B1416,C1416,INDIRECT(J$2),INDIRECT(I1416),test),getMin(B1416,C1416,INDIRECT(J$2),INDIRECT(I1416),test))</f>
        <v>191.22369727444828</v>
      </c>
      <c r="E1416" s="5">
        <f ca="1">IF(getQuality(B1416)&lt;4,getOtherMax(B1416,C1416,INDIRECT(J$2),INDIRECT(I1416),test),getMax(B1416,C1416,INDIRECT(J$2),INDIRECT(I1416),test))</f>
        <v>236.63369570586491</v>
      </c>
      <c r="F1416" s="1" t="str">
        <f t="shared" si="90"/>
        <v>50</v>
      </c>
      <c r="G1416" s="1" t="str">
        <f t="shared" si="91"/>
        <v/>
      </c>
      <c r="I1416" s="1" t="str">
        <f t="shared" si="89"/>
        <v>威尔新数值1.06.xlsm!suitPower</v>
      </c>
    </row>
    <row r="1417" spans="1:9" x14ac:dyDescent="0.15">
      <c r="A1417" s="1">
        <v>1416</v>
      </c>
      <c r="B1417" s="1">
        <v>102070700</v>
      </c>
      <c r="C1417" s="1">
        <f t="shared" si="88"/>
        <v>10</v>
      </c>
      <c r="D1417" s="5">
        <f ca="1">IF(getQuality(B1417)&lt;4,getOtherMin(B1417,C1417,INDIRECT(J$2),INDIRECT(I1417),test),getMin(B1417,C1417,INDIRECT(J$2),INDIRECT(I1417),test))</f>
        <v>191.22369727444828</v>
      </c>
      <c r="E1417" s="5">
        <f ca="1">IF(getQuality(B1417)&lt;4,getOtherMax(B1417,C1417,INDIRECT(J$2),INDIRECT(I1417),test),getMax(B1417,C1417,INDIRECT(J$2),INDIRECT(I1417),test))</f>
        <v>236.63369570586491</v>
      </c>
      <c r="F1417" s="1" t="str">
        <f t="shared" si="90"/>
        <v>50</v>
      </c>
      <c r="G1417" s="1" t="str">
        <f t="shared" si="91"/>
        <v/>
      </c>
      <c r="I1417" s="1" t="str">
        <f t="shared" si="89"/>
        <v>威尔新数值1.06.xlsm!suitPower</v>
      </c>
    </row>
    <row r="1418" spans="1:9" x14ac:dyDescent="0.15">
      <c r="A1418" s="1">
        <v>1417</v>
      </c>
      <c r="B1418" s="1">
        <v>102070700</v>
      </c>
      <c r="C1418" s="1">
        <f t="shared" si="88"/>
        <v>11</v>
      </c>
      <c r="D1418" s="5">
        <f ca="1">IF(getQuality(B1418)&lt;4,getOtherMin(B1418,C1418,INDIRECT(J$2),INDIRECT(I1418),test),getMin(B1418,C1418,INDIRECT(J$2),INDIRECT(I1418),test))</f>
        <v>191.22369727444828</v>
      </c>
      <c r="E1418" s="5">
        <f ca="1">IF(getQuality(B1418)&lt;4,getOtherMax(B1418,C1418,INDIRECT(J$2),INDIRECT(I1418),test),getMax(B1418,C1418,INDIRECT(J$2),INDIRECT(I1418),test))</f>
        <v>236.63369570586491</v>
      </c>
      <c r="F1418" s="1" t="str">
        <f t="shared" si="90"/>
        <v>50</v>
      </c>
      <c r="G1418" s="1" t="str">
        <f t="shared" si="91"/>
        <v/>
      </c>
      <c r="I1418" s="1" t="str">
        <f t="shared" si="89"/>
        <v>威尔新数值1.06.xlsm!suitPower</v>
      </c>
    </row>
    <row r="1419" spans="1:9" x14ac:dyDescent="0.15">
      <c r="A1419" s="1">
        <v>1418</v>
      </c>
      <c r="B1419" s="1">
        <v>102070700</v>
      </c>
      <c r="C1419" s="1">
        <f t="shared" si="88"/>
        <v>12</v>
      </c>
      <c r="D1419" s="5">
        <f ca="1">IF(getQuality(B1419)&lt;4,getOtherMin(B1419,C1419,INDIRECT(J$2),INDIRECT(I1419),test),getMin(B1419,C1419,INDIRECT(J$2),INDIRECT(I1419),test))</f>
        <v>191.22369727444828</v>
      </c>
      <c r="E1419" s="5">
        <f ca="1">IF(getQuality(B1419)&lt;4,getOtherMax(B1419,C1419,INDIRECT(J$2),INDIRECT(I1419),test),getMax(B1419,C1419,INDIRECT(J$2),INDIRECT(I1419),test))</f>
        <v>236.63369570586491</v>
      </c>
      <c r="F1419" s="1" t="str">
        <f t="shared" si="90"/>
        <v>50</v>
      </c>
      <c r="G1419" s="1" t="str">
        <f t="shared" si="91"/>
        <v/>
      </c>
      <c r="I1419" s="1" t="str">
        <f t="shared" si="89"/>
        <v>威尔新数值1.06.xlsm!suitPower</v>
      </c>
    </row>
    <row r="1420" spans="1:9" x14ac:dyDescent="0.15">
      <c r="A1420" s="1">
        <v>1419</v>
      </c>
      <c r="B1420" s="1">
        <v>102070700</v>
      </c>
      <c r="C1420" s="1">
        <f t="shared" si="88"/>
        <v>13</v>
      </c>
      <c r="D1420" s="5">
        <f ca="1">IF(getQuality(B1420)&lt;4,getOtherMin(B1420,C1420,INDIRECT(J$2),INDIRECT(I1420),test),getMin(B1420,C1420,INDIRECT(J$2),INDIRECT(I1420),test))</f>
        <v>191.22369727444828</v>
      </c>
      <c r="E1420" s="5">
        <f ca="1">IF(getQuality(B1420)&lt;4,getOtherMax(B1420,C1420,INDIRECT(J$2),INDIRECT(I1420),test),getMax(B1420,C1420,INDIRECT(J$2),INDIRECT(I1420),test))</f>
        <v>236.63369570586491</v>
      </c>
      <c r="F1420" s="1" t="str">
        <f t="shared" si="90"/>
        <v>50</v>
      </c>
      <c r="G1420" s="1" t="str">
        <f t="shared" si="91"/>
        <v/>
      </c>
      <c r="I1420" s="1" t="str">
        <f t="shared" si="89"/>
        <v>威尔新数值1.06.xlsm!suitPower</v>
      </c>
    </row>
    <row r="1421" spans="1:9" x14ac:dyDescent="0.15">
      <c r="A1421" s="1">
        <v>1420</v>
      </c>
      <c r="B1421" s="1">
        <v>102070700</v>
      </c>
      <c r="C1421" s="1">
        <f t="shared" si="88"/>
        <v>14</v>
      </c>
      <c r="D1421" s="5">
        <f ca="1">IF(getQuality(B1421)&lt;4,getOtherMin(B1421,C1421,INDIRECT(J$2),INDIRECT(I1421),test),getMin(B1421,C1421,INDIRECT(J$2),INDIRECT(I1421),test))</f>
        <v>191.22369727444828</v>
      </c>
      <c r="E1421" s="5">
        <f ca="1">IF(getQuality(B1421)&lt;4,getOtherMax(B1421,C1421,INDIRECT(J$2),INDIRECT(I1421),test),getMax(B1421,C1421,INDIRECT(J$2),INDIRECT(I1421),test))</f>
        <v>236.63369570586491</v>
      </c>
      <c r="F1421" s="1" t="str">
        <f t="shared" si="90"/>
        <v>50</v>
      </c>
      <c r="G1421" s="1" t="str">
        <f t="shared" si="91"/>
        <v/>
      </c>
      <c r="I1421" s="1" t="str">
        <f t="shared" si="89"/>
        <v>威尔新数值1.06.xlsm!suitPower</v>
      </c>
    </row>
    <row r="1422" spans="1:9" x14ac:dyDescent="0.15">
      <c r="A1422" s="1">
        <v>1421</v>
      </c>
      <c r="B1422" s="1">
        <v>102070700</v>
      </c>
      <c r="C1422" s="1">
        <f t="shared" si="88"/>
        <v>15</v>
      </c>
      <c r="D1422" s="5">
        <f ca="1">IF(getQuality(B1422)&lt;4,getOtherMin(B1422,C1422,INDIRECT(J$2),INDIRECT(I1422),test),getMin(B1422,C1422,INDIRECT(J$2),INDIRECT(I1422),test))</f>
        <v>191.22369727444828</v>
      </c>
      <c r="E1422" s="5">
        <f ca="1">IF(getQuality(B1422)&lt;4,getOtherMax(B1422,C1422,INDIRECT(J$2),INDIRECT(I1422),test),getMax(B1422,C1422,INDIRECT(J$2),INDIRECT(I1422),test))</f>
        <v>236.63369570586491</v>
      </c>
      <c r="F1422" s="1" t="str">
        <f t="shared" si="90"/>
        <v>50</v>
      </c>
      <c r="G1422" s="1" t="str">
        <f t="shared" si="91"/>
        <v/>
      </c>
      <c r="I1422" s="1" t="str">
        <f t="shared" si="89"/>
        <v>威尔新数值1.06.xlsm!suitPower</v>
      </c>
    </row>
    <row r="1423" spans="1:9" x14ac:dyDescent="0.15">
      <c r="A1423" s="1">
        <v>1422</v>
      </c>
      <c r="B1423" s="1">
        <v>102070700</v>
      </c>
      <c r="C1423" s="1">
        <f t="shared" si="88"/>
        <v>101</v>
      </c>
      <c r="D1423" s="5">
        <f ca="1">IF(getQuality(B1423)&lt;4,getOtherMin(B1423,C1423,INDIRECT(J$2),INDIRECT(I1423),test),getMin(B1423,C1423,INDIRECT(J$2),INDIRECT(I1423),test))</f>
        <v>0.12</v>
      </c>
      <c r="E1423" s="5">
        <f ca="1">IF(getQuality(B1423)&lt;4,getOtherMax(B1423,C1423,INDIRECT(J$2),INDIRECT(I1423),test),getMax(B1423,C1423,INDIRECT(J$2),INDIRECT(I1423),test))</f>
        <v>0.15</v>
      </c>
      <c r="F1423" s="1" t="str">
        <f t="shared" si="90"/>
        <v>50</v>
      </c>
      <c r="G1423" s="1" t="str">
        <f t="shared" si="91"/>
        <v/>
      </c>
      <c r="I1423" s="1" t="str">
        <f t="shared" si="89"/>
        <v>威尔新数值1.06.xlsm!circlePer</v>
      </c>
    </row>
    <row r="1424" spans="1:9" x14ac:dyDescent="0.15">
      <c r="A1424" s="1">
        <v>1423</v>
      </c>
      <c r="B1424" s="1">
        <v>102070700</v>
      </c>
      <c r="C1424" s="1">
        <f t="shared" si="88"/>
        <v>102</v>
      </c>
      <c r="D1424" s="5">
        <f ca="1">IF(getQuality(B1424)&lt;4,getOtherMin(B1424,C1424,INDIRECT(J$2),INDIRECT(I1424),test),getMin(B1424,C1424,INDIRECT(J$2),INDIRECT(I1424),test))</f>
        <v>1</v>
      </c>
      <c r="E1424" s="5">
        <f ca="1">IF(getQuality(B1424)&lt;4,getOtherMax(B1424,C1424,INDIRECT(J$2),INDIRECT(I1424),test),getMax(B1424,C1424,INDIRECT(J$2),INDIRECT(I1424),test))</f>
        <v>1.4</v>
      </c>
      <c r="F1424" s="1" t="str">
        <f t="shared" si="90"/>
        <v>50</v>
      </c>
      <c r="G1424" s="1" t="str">
        <f t="shared" si="91"/>
        <v/>
      </c>
      <c r="I1424" s="1" t="str">
        <f t="shared" si="89"/>
        <v>威尔新数值1.06.xlsm!circleValue</v>
      </c>
    </row>
    <row r="1425" spans="1:9" x14ac:dyDescent="0.15">
      <c r="A1425" s="1">
        <v>1424</v>
      </c>
      <c r="B1425" s="1">
        <v>102070700</v>
      </c>
      <c r="C1425" s="1">
        <f t="shared" si="88"/>
        <v>103</v>
      </c>
      <c r="D1425" s="5">
        <f ca="1">IF(getQuality(B1425)&lt;4,getOtherMin(B1425,C1425,INDIRECT(J$2),INDIRECT(I1425),test),getMin(B1425,C1425,INDIRECT(J$2),INDIRECT(I1425),test))</f>
        <v>0.12</v>
      </c>
      <c r="E1425" s="5">
        <f ca="1">IF(getQuality(B1425)&lt;4,getOtherMax(B1425,C1425,INDIRECT(J$2),INDIRECT(I1425),test),getMax(B1425,C1425,INDIRECT(J$2),INDIRECT(I1425),test))</f>
        <v>0.15</v>
      </c>
      <c r="F1425" s="1" t="str">
        <f t="shared" si="90"/>
        <v>50</v>
      </c>
      <c r="G1425" s="1" t="str">
        <f t="shared" si="91"/>
        <v/>
      </c>
      <c r="I1425" s="1" t="str">
        <f t="shared" si="89"/>
        <v>威尔新数值1.06.xlsm!otherDamage</v>
      </c>
    </row>
    <row r="1426" spans="1:9" x14ac:dyDescent="0.15">
      <c r="A1426" s="1">
        <v>1425</v>
      </c>
      <c r="B1426" s="1">
        <v>102070700</v>
      </c>
      <c r="C1426" s="1">
        <f t="shared" si="88"/>
        <v>104</v>
      </c>
      <c r="D1426" s="5">
        <f ca="1">IF(getQuality(B1426)&lt;4,getOtherMin(B1426,C1426,INDIRECT(J$2),INDIRECT(I1426),test),getMin(B1426,C1426,INDIRECT(J$2),INDIRECT(I1426),test))</f>
        <v>0.12</v>
      </c>
      <c r="E1426" s="5">
        <f ca="1">IF(getQuality(B1426)&lt;4,getOtherMax(B1426,C1426,INDIRECT(J$2),INDIRECT(I1426),test),getMax(B1426,C1426,INDIRECT(J$2),INDIRECT(I1426),test))</f>
        <v>0.24</v>
      </c>
      <c r="F1426" s="1" t="str">
        <f t="shared" si="90"/>
        <v>50</v>
      </c>
      <c r="G1426" s="1" t="str">
        <f t="shared" si="91"/>
        <v/>
      </c>
      <c r="I1426" s="1" t="str">
        <f t="shared" si="89"/>
        <v>威尔新数值1.06.xlsm!monsterDamage</v>
      </c>
    </row>
    <row r="1427" spans="1:9" x14ac:dyDescent="0.15">
      <c r="A1427" s="1">
        <v>1426</v>
      </c>
      <c r="B1427" s="1">
        <v>102070700</v>
      </c>
      <c r="C1427" s="1">
        <f t="shared" si="88"/>
        <v>105</v>
      </c>
      <c r="D1427" s="5">
        <f ca="1">IF(getQuality(B1427)&lt;4,getOtherMin(B1427,C1427,INDIRECT(J$2),INDIRECT(I1427),test),getMin(B1427,C1427,INDIRECT(J$2),INDIRECT(I1427),test))</f>
        <v>0.12</v>
      </c>
      <c r="E1427" s="5">
        <f ca="1">IF(getQuality(B1427)&lt;4,getOtherMax(B1427,C1427,INDIRECT(J$2),INDIRECT(I1427),test),getMax(B1427,C1427,INDIRECT(J$2),INDIRECT(I1427),test))</f>
        <v>0.24</v>
      </c>
      <c r="F1427" s="1" t="str">
        <f t="shared" si="90"/>
        <v>50</v>
      </c>
      <c r="G1427" s="1" t="str">
        <f t="shared" si="91"/>
        <v/>
      </c>
      <c r="I1427" s="1" t="str">
        <f t="shared" si="89"/>
        <v>威尔新数值1.06.xlsm!monsterDamage</v>
      </c>
    </row>
    <row r="1428" spans="1:9" x14ac:dyDescent="0.15">
      <c r="A1428" s="1">
        <v>1427</v>
      </c>
      <c r="B1428" s="1">
        <v>102070700</v>
      </c>
      <c r="C1428" s="1">
        <f t="shared" si="88"/>
        <v>106</v>
      </c>
      <c r="D1428" s="5">
        <f ca="1">IF(getQuality(B1428)&lt;4,getOtherMin(B1428,C1428,INDIRECT(J$2),INDIRECT(I1428),test),getMin(B1428,C1428,INDIRECT(J$2),INDIRECT(I1428),test))</f>
        <v>0.12</v>
      </c>
      <c r="E1428" s="5">
        <f ca="1">IF(getQuality(B1428)&lt;4,getOtherMax(B1428,C1428,INDIRECT(J$2),INDIRECT(I1428),test),getMax(B1428,C1428,INDIRECT(J$2),INDIRECT(I1428),test))</f>
        <v>0.24</v>
      </c>
      <c r="F1428" s="1" t="str">
        <f t="shared" si="90"/>
        <v>50</v>
      </c>
      <c r="G1428" s="1" t="str">
        <f t="shared" si="91"/>
        <v/>
      </c>
      <c r="I1428" s="1" t="str">
        <f t="shared" si="89"/>
        <v>威尔新数值1.06.xlsm!monsterDamage</v>
      </c>
    </row>
    <row r="1429" spans="1:9" x14ac:dyDescent="0.15">
      <c r="A1429" s="1">
        <v>1428</v>
      </c>
      <c r="B1429" s="1">
        <v>102070700</v>
      </c>
      <c r="C1429" s="1">
        <f t="shared" si="88"/>
        <v>107</v>
      </c>
      <c r="D1429" s="5">
        <f ca="1">IF(getQuality(B1429)&lt;4,getOtherMin(B1429,C1429,INDIRECT(J$2),INDIRECT(I1429),test),getMin(B1429,C1429,INDIRECT(J$2),INDIRECT(I1429),test))</f>
        <v>0.12</v>
      </c>
      <c r="E1429" s="5">
        <f ca="1">IF(getQuality(B1429)&lt;4,getOtherMax(B1429,C1429,INDIRECT(J$2),INDIRECT(I1429),test),getMax(B1429,C1429,INDIRECT(J$2),INDIRECT(I1429),test))</f>
        <v>0.24</v>
      </c>
      <c r="F1429" s="1" t="str">
        <f t="shared" si="90"/>
        <v>50</v>
      </c>
      <c r="G1429" s="1" t="str">
        <f t="shared" si="91"/>
        <v/>
      </c>
      <c r="I1429" s="1" t="str">
        <f t="shared" si="89"/>
        <v>威尔新数值1.06.xlsm!monsterDamage</v>
      </c>
    </row>
    <row r="1430" spans="1:9" x14ac:dyDescent="0.15">
      <c r="A1430" s="1">
        <v>1429</v>
      </c>
      <c r="B1430" s="1">
        <v>102070700</v>
      </c>
      <c r="C1430" s="1">
        <f t="shared" si="88"/>
        <v>108</v>
      </c>
      <c r="D1430" s="5">
        <f ca="1">IF(getQuality(B1430)&lt;4,getOtherMin(B1430,C1430,INDIRECT(J$2),INDIRECT(I1430),test),getMin(B1430,C1430,INDIRECT(J$2),INDIRECT(I1430),test))</f>
        <v>0.12</v>
      </c>
      <c r="E1430" s="5">
        <f ca="1">IF(getQuality(B1430)&lt;4,getOtherMax(B1430,C1430,INDIRECT(J$2),INDIRECT(I1430),test),getMax(B1430,C1430,INDIRECT(J$2),INDIRECT(I1430),test))</f>
        <v>0.24</v>
      </c>
      <c r="F1430" s="1" t="str">
        <f t="shared" si="90"/>
        <v>50</v>
      </c>
      <c r="G1430" s="1" t="str">
        <f t="shared" si="91"/>
        <v/>
      </c>
      <c r="I1430" s="1" t="str">
        <f t="shared" si="89"/>
        <v>威尔新数值1.06.xlsm!monsterDamage</v>
      </c>
    </row>
    <row r="1431" spans="1:9" x14ac:dyDescent="0.15">
      <c r="A1431" s="1">
        <v>1430</v>
      </c>
      <c r="B1431" s="1">
        <v>102080700</v>
      </c>
      <c r="C1431" s="1">
        <f t="shared" si="88"/>
        <v>3</v>
      </c>
      <c r="D1431" s="5">
        <f ca="1">IF(getQuality(B1431)&lt;4,getOtherMin(B1431,C1431,INDIRECT(J$2),INDIRECT(I1431),test),getMin(B1431,C1431,INDIRECT(J$2),INDIRECT(I1431),test))</f>
        <v>237.63369570586491</v>
      </c>
      <c r="E1431" s="5">
        <f ca="1">IF(getQuality(B1431)&lt;4,getOtherMax(B1431,C1431,INDIRECT(J$2),INDIRECT(I1431),test),getMax(B1431,C1431,INDIRECT(J$2),INDIRECT(I1431),test))</f>
        <v>287.24542239033156</v>
      </c>
      <c r="F1431" s="1" t="str">
        <f t="shared" si="90"/>
        <v>50</v>
      </c>
      <c r="G1431" s="1" t="str">
        <f t="shared" si="91"/>
        <v>1</v>
      </c>
      <c r="I1431" s="1" t="str">
        <f t="shared" si="89"/>
        <v>威尔新数值1.06.xlsm!suitPower</v>
      </c>
    </row>
    <row r="1432" spans="1:9" x14ac:dyDescent="0.15">
      <c r="A1432" s="1">
        <v>1431</v>
      </c>
      <c r="B1432" s="1">
        <v>102080700</v>
      </c>
      <c r="C1432" s="1">
        <f t="shared" si="88"/>
        <v>5</v>
      </c>
      <c r="D1432" s="5">
        <f ca="1">IF(getQuality(B1432)&lt;4,getOtherMin(B1432,C1432,INDIRECT(J$2),INDIRECT(I1432),test),getMin(B1432,C1432,INDIRECT(J$2),INDIRECT(I1432),test))</f>
        <v>237.63369570586491</v>
      </c>
      <c r="E1432" s="5">
        <f ca="1">IF(getQuality(B1432)&lt;4,getOtherMax(B1432,C1432,INDIRECT(J$2),INDIRECT(I1432),test),getMax(B1432,C1432,INDIRECT(J$2),INDIRECT(I1432),test))</f>
        <v>287.24542239033156</v>
      </c>
      <c r="F1432" s="1" t="str">
        <f t="shared" si="90"/>
        <v>50</v>
      </c>
      <c r="G1432" s="1" t="str">
        <f t="shared" si="91"/>
        <v/>
      </c>
      <c r="I1432" s="1" t="str">
        <f t="shared" si="89"/>
        <v>威尔新数值1.06.xlsm!suitPower</v>
      </c>
    </row>
    <row r="1433" spans="1:9" x14ac:dyDescent="0.15">
      <c r="A1433" s="1">
        <v>1432</v>
      </c>
      <c r="B1433" s="1">
        <v>102080700</v>
      </c>
      <c r="C1433" s="1">
        <f t="shared" si="88"/>
        <v>7</v>
      </c>
      <c r="D1433" s="5">
        <f ca="1">IF(getQuality(B1433)&lt;4,getOtherMin(B1433,C1433,INDIRECT(J$2),INDIRECT(I1433),test),getMin(B1433,C1433,INDIRECT(J$2),INDIRECT(I1433),test))</f>
        <v>46.370370370370253</v>
      </c>
      <c r="E1433" s="5">
        <f ca="1">IF(getQuality(B1433)&lt;4,getOtherMax(B1433,C1433,INDIRECT(J$2),INDIRECT(I1433),test),getMax(B1433,C1433,INDIRECT(J$2),INDIRECT(I1433),test))</f>
        <v>51.85185185185172</v>
      </c>
      <c r="F1433" s="1" t="str">
        <f t="shared" si="90"/>
        <v>50</v>
      </c>
      <c r="G1433" s="1" t="str">
        <f t="shared" si="91"/>
        <v/>
      </c>
      <c r="I1433" s="1" t="str">
        <f t="shared" si="89"/>
        <v>威尔新数值1.06.xlsm!suitPower</v>
      </c>
    </row>
    <row r="1434" spans="1:9" x14ac:dyDescent="0.15">
      <c r="A1434" s="1">
        <v>1433</v>
      </c>
      <c r="B1434" s="1">
        <v>102080700</v>
      </c>
      <c r="C1434" s="1">
        <f t="shared" si="88"/>
        <v>8</v>
      </c>
      <c r="D1434" s="5">
        <f ca="1">IF(getQuality(B1434)&lt;4,getOtherMin(B1434,C1434,INDIRECT(J$2),INDIRECT(I1434),test),getMin(B1434,C1434,INDIRECT(J$2),INDIRECT(I1434),test))</f>
        <v>103.08333333333333</v>
      </c>
      <c r="E1434" s="5">
        <f ca="1">IF(getQuality(B1434)&lt;4,getOtherMax(B1434,C1434,INDIRECT(J$2),INDIRECT(I1434),test),getMax(B1434,C1434,INDIRECT(J$2),INDIRECT(I1434),test))</f>
        <v>116.66666666666667</v>
      </c>
      <c r="F1434" s="1" t="str">
        <f t="shared" si="90"/>
        <v>50</v>
      </c>
      <c r="G1434" s="1" t="str">
        <f t="shared" si="91"/>
        <v/>
      </c>
      <c r="I1434" s="1" t="str">
        <f t="shared" si="89"/>
        <v>威尔新数值1.06.xlsm!suitPower</v>
      </c>
    </row>
    <row r="1435" spans="1:9" x14ac:dyDescent="0.15">
      <c r="A1435" s="1">
        <v>1434</v>
      </c>
      <c r="B1435" s="1">
        <v>102080700</v>
      </c>
      <c r="C1435" s="1">
        <f t="shared" si="88"/>
        <v>9</v>
      </c>
      <c r="D1435" s="5">
        <f ca="1">IF(getQuality(B1435)&lt;4,getOtherMin(B1435,C1435,INDIRECT(J$2),INDIRECT(I1435),test),getMin(B1435,C1435,INDIRECT(J$2),INDIRECT(I1435),test))</f>
        <v>237.63369570586491</v>
      </c>
      <c r="E1435" s="5">
        <f ca="1">IF(getQuality(B1435)&lt;4,getOtherMax(B1435,C1435,INDIRECT(J$2),INDIRECT(I1435),test),getMax(B1435,C1435,INDIRECT(J$2),INDIRECT(I1435),test))</f>
        <v>287.24542239033156</v>
      </c>
      <c r="F1435" s="1" t="str">
        <f t="shared" si="90"/>
        <v>50</v>
      </c>
      <c r="G1435" s="1" t="str">
        <f t="shared" si="91"/>
        <v/>
      </c>
      <c r="I1435" s="1" t="str">
        <f t="shared" si="89"/>
        <v>威尔新数值1.06.xlsm!suitPower</v>
      </c>
    </row>
    <row r="1436" spans="1:9" x14ac:dyDescent="0.15">
      <c r="A1436" s="1">
        <v>1435</v>
      </c>
      <c r="B1436" s="1">
        <v>102080700</v>
      </c>
      <c r="C1436" s="1">
        <f t="shared" si="88"/>
        <v>10</v>
      </c>
      <c r="D1436" s="5">
        <f ca="1">IF(getQuality(B1436)&lt;4,getOtherMin(B1436,C1436,INDIRECT(J$2),INDIRECT(I1436),test),getMin(B1436,C1436,INDIRECT(J$2),INDIRECT(I1436),test))</f>
        <v>237.63369570586491</v>
      </c>
      <c r="E1436" s="5">
        <f ca="1">IF(getQuality(B1436)&lt;4,getOtherMax(B1436,C1436,INDIRECT(J$2),INDIRECT(I1436),test),getMax(B1436,C1436,INDIRECT(J$2),INDIRECT(I1436),test))</f>
        <v>287.24542239033156</v>
      </c>
      <c r="F1436" s="1" t="str">
        <f t="shared" si="90"/>
        <v>50</v>
      </c>
      <c r="G1436" s="1" t="str">
        <f t="shared" si="91"/>
        <v/>
      </c>
      <c r="I1436" s="1" t="str">
        <f t="shared" si="89"/>
        <v>威尔新数值1.06.xlsm!suitPower</v>
      </c>
    </row>
    <row r="1437" spans="1:9" x14ac:dyDescent="0.15">
      <c r="A1437" s="1">
        <v>1436</v>
      </c>
      <c r="B1437" s="1">
        <v>102080700</v>
      </c>
      <c r="C1437" s="1">
        <f t="shared" si="88"/>
        <v>11</v>
      </c>
      <c r="D1437" s="5">
        <f ca="1">IF(getQuality(B1437)&lt;4,getOtherMin(B1437,C1437,INDIRECT(J$2),INDIRECT(I1437),test),getMin(B1437,C1437,INDIRECT(J$2),INDIRECT(I1437),test))</f>
        <v>237.63369570586491</v>
      </c>
      <c r="E1437" s="5">
        <f ca="1">IF(getQuality(B1437)&lt;4,getOtherMax(B1437,C1437,INDIRECT(J$2),INDIRECT(I1437),test),getMax(B1437,C1437,INDIRECT(J$2),INDIRECT(I1437),test))</f>
        <v>287.24542239033156</v>
      </c>
      <c r="F1437" s="1" t="str">
        <f t="shared" si="90"/>
        <v>50</v>
      </c>
      <c r="G1437" s="1" t="str">
        <f t="shared" si="91"/>
        <v/>
      </c>
      <c r="I1437" s="1" t="str">
        <f t="shared" si="89"/>
        <v>威尔新数值1.06.xlsm!suitPower</v>
      </c>
    </row>
    <row r="1438" spans="1:9" x14ac:dyDescent="0.15">
      <c r="A1438" s="1">
        <v>1437</v>
      </c>
      <c r="B1438" s="1">
        <v>102080700</v>
      </c>
      <c r="C1438" s="1">
        <f t="shared" si="88"/>
        <v>12</v>
      </c>
      <c r="D1438" s="5">
        <f ca="1">IF(getQuality(B1438)&lt;4,getOtherMin(B1438,C1438,INDIRECT(J$2),INDIRECT(I1438),test),getMin(B1438,C1438,INDIRECT(J$2),INDIRECT(I1438),test))</f>
        <v>237.63369570586491</v>
      </c>
      <c r="E1438" s="5">
        <f ca="1">IF(getQuality(B1438)&lt;4,getOtherMax(B1438,C1438,INDIRECT(J$2),INDIRECT(I1438),test),getMax(B1438,C1438,INDIRECT(J$2),INDIRECT(I1438),test))</f>
        <v>287.24542239033156</v>
      </c>
      <c r="F1438" s="1" t="str">
        <f t="shared" si="90"/>
        <v>50</v>
      </c>
      <c r="G1438" s="1" t="str">
        <f t="shared" si="91"/>
        <v/>
      </c>
      <c r="I1438" s="1" t="str">
        <f t="shared" si="89"/>
        <v>威尔新数值1.06.xlsm!suitPower</v>
      </c>
    </row>
    <row r="1439" spans="1:9" x14ac:dyDescent="0.15">
      <c r="A1439" s="1">
        <v>1438</v>
      </c>
      <c r="B1439" s="1">
        <v>102080700</v>
      </c>
      <c r="C1439" s="1">
        <f t="shared" si="88"/>
        <v>13</v>
      </c>
      <c r="D1439" s="5">
        <f ca="1">IF(getQuality(B1439)&lt;4,getOtherMin(B1439,C1439,INDIRECT(J$2),INDIRECT(I1439),test),getMin(B1439,C1439,INDIRECT(J$2),INDIRECT(I1439),test))</f>
        <v>237.63369570586491</v>
      </c>
      <c r="E1439" s="5">
        <f ca="1">IF(getQuality(B1439)&lt;4,getOtherMax(B1439,C1439,INDIRECT(J$2),INDIRECT(I1439),test),getMax(B1439,C1439,INDIRECT(J$2),INDIRECT(I1439),test))</f>
        <v>287.24542239033156</v>
      </c>
      <c r="F1439" s="1" t="str">
        <f t="shared" si="90"/>
        <v>50</v>
      </c>
      <c r="G1439" s="1" t="str">
        <f t="shared" si="91"/>
        <v/>
      </c>
      <c r="I1439" s="1" t="str">
        <f t="shared" si="89"/>
        <v>威尔新数值1.06.xlsm!suitPower</v>
      </c>
    </row>
    <row r="1440" spans="1:9" x14ac:dyDescent="0.15">
      <c r="A1440" s="1">
        <v>1439</v>
      </c>
      <c r="B1440" s="1">
        <v>102080700</v>
      </c>
      <c r="C1440" s="1">
        <f t="shared" si="88"/>
        <v>14</v>
      </c>
      <c r="D1440" s="5">
        <f ca="1">IF(getQuality(B1440)&lt;4,getOtherMin(B1440,C1440,INDIRECT(J$2),INDIRECT(I1440),test),getMin(B1440,C1440,INDIRECT(J$2),INDIRECT(I1440),test))</f>
        <v>237.63369570586491</v>
      </c>
      <c r="E1440" s="5">
        <f ca="1">IF(getQuality(B1440)&lt;4,getOtherMax(B1440,C1440,INDIRECT(J$2),INDIRECT(I1440),test),getMax(B1440,C1440,INDIRECT(J$2),INDIRECT(I1440),test))</f>
        <v>287.24542239033156</v>
      </c>
      <c r="F1440" s="1" t="str">
        <f t="shared" si="90"/>
        <v>50</v>
      </c>
      <c r="G1440" s="1" t="str">
        <f t="shared" si="91"/>
        <v/>
      </c>
      <c r="I1440" s="1" t="str">
        <f t="shared" si="89"/>
        <v>威尔新数值1.06.xlsm!suitPower</v>
      </c>
    </row>
    <row r="1441" spans="1:9" x14ac:dyDescent="0.15">
      <c r="A1441" s="1">
        <v>1440</v>
      </c>
      <c r="B1441" s="1">
        <v>102080700</v>
      </c>
      <c r="C1441" s="1">
        <f t="shared" si="88"/>
        <v>15</v>
      </c>
      <c r="D1441" s="5">
        <f ca="1">IF(getQuality(B1441)&lt;4,getOtherMin(B1441,C1441,INDIRECT(J$2),INDIRECT(I1441),test),getMin(B1441,C1441,INDIRECT(J$2),INDIRECT(I1441),test))</f>
        <v>237.63369570586491</v>
      </c>
      <c r="E1441" s="5">
        <f ca="1">IF(getQuality(B1441)&lt;4,getOtherMax(B1441,C1441,INDIRECT(J$2),INDIRECT(I1441),test),getMax(B1441,C1441,INDIRECT(J$2),INDIRECT(I1441),test))</f>
        <v>287.24542239033156</v>
      </c>
      <c r="F1441" s="1" t="str">
        <f t="shared" si="90"/>
        <v>50</v>
      </c>
      <c r="G1441" s="1" t="str">
        <f t="shared" si="91"/>
        <v/>
      </c>
      <c r="I1441" s="1" t="str">
        <f t="shared" si="89"/>
        <v>威尔新数值1.06.xlsm!suitPower</v>
      </c>
    </row>
    <row r="1442" spans="1:9" x14ac:dyDescent="0.15">
      <c r="A1442" s="1">
        <v>1441</v>
      </c>
      <c r="B1442" s="1">
        <v>102080700</v>
      </c>
      <c r="C1442" s="1">
        <f t="shared" si="88"/>
        <v>101</v>
      </c>
      <c r="D1442" s="5">
        <f ca="1">IF(getQuality(B1442)&lt;4,getOtherMin(B1442,C1442,INDIRECT(J$2),INDIRECT(I1442),test),getMin(B1442,C1442,INDIRECT(J$2),INDIRECT(I1442),test))</f>
        <v>0.13</v>
      </c>
      <c r="E1442" s="5">
        <f ca="1">IF(getQuality(B1442)&lt;4,getOtherMax(B1442,C1442,INDIRECT(J$2),INDIRECT(I1442),test),getMax(B1442,C1442,INDIRECT(J$2),INDIRECT(I1442),test))</f>
        <v>0.16</v>
      </c>
      <c r="F1442" s="1" t="str">
        <f t="shared" si="90"/>
        <v>50</v>
      </c>
      <c r="G1442" s="1" t="str">
        <f t="shared" si="91"/>
        <v/>
      </c>
      <c r="I1442" s="1" t="str">
        <f t="shared" si="89"/>
        <v>威尔新数值1.06.xlsm!circlePer</v>
      </c>
    </row>
    <row r="1443" spans="1:9" x14ac:dyDescent="0.15">
      <c r="A1443" s="1">
        <v>1442</v>
      </c>
      <c r="B1443" s="1">
        <v>102080700</v>
      </c>
      <c r="C1443" s="1">
        <f t="shared" si="88"/>
        <v>102</v>
      </c>
      <c r="D1443" s="5">
        <f ca="1">IF(getQuality(B1443)&lt;4,getOtherMin(B1443,C1443,INDIRECT(J$2),INDIRECT(I1443),test),getMin(B1443,C1443,INDIRECT(J$2),INDIRECT(I1443),test))</f>
        <v>1.1000000000000001</v>
      </c>
      <c r="E1443" s="5">
        <f ca="1">IF(getQuality(B1443)&lt;4,getOtherMax(B1443,C1443,INDIRECT(J$2),INDIRECT(I1443),test),getMax(B1443,C1443,INDIRECT(J$2),INDIRECT(I1443),test))</f>
        <v>1.5</v>
      </c>
      <c r="F1443" s="1" t="str">
        <f t="shared" si="90"/>
        <v>50</v>
      </c>
      <c r="G1443" s="1" t="str">
        <f t="shared" si="91"/>
        <v/>
      </c>
      <c r="I1443" s="1" t="str">
        <f t="shared" si="89"/>
        <v>威尔新数值1.06.xlsm!circleValue</v>
      </c>
    </row>
    <row r="1444" spans="1:9" x14ac:dyDescent="0.15">
      <c r="A1444" s="1">
        <v>1443</v>
      </c>
      <c r="B1444" s="1">
        <v>102080700</v>
      </c>
      <c r="C1444" s="1">
        <f t="shared" ref="C1444:C1507" si="92">C1425</f>
        <v>103</v>
      </c>
      <c r="D1444" s="5">
        <f ca="1">IF(getQuality(B1444)&lt;4,getOtherMin(B1444,C1444,INDIRECT(J$2),INDIRECT(I1444),test),getMin(B1444,C1444,INDIRECT(J$2),INDIRECT(I1444),test))</f>
        <v>0.13</v>
      </c>
      <c r="E1444" s="5">
        <f ca="1">IF(getQuality(B1444)&lt;4,getOtherMax(B1444,C1444,INDIRECT(J$2),INDIRECT(I1444),test),getMax(B1444,C1444,INDIRECT(J$2),INDIRECT(I1444),test))</f>
        <v>0.16</v>
      </c>
      <c r="F1444" s="1" t="str">
        <f t="shared" si="90"/>
        <v>50</v>
      </c>
      <c r="G1444" s="1" t="str">
        <f t="shared" si="91"/>
        <v/>
      </c>
      <c r="I1444" s="1" t="str">
        <f t="shared" si="89"/>
        <v>威尔新数值1.06.xlsm!otherDamage</v>
      </c>
    </row>
    <row r="1445" spans="1:9" x14ac:dyDescent="0.15">
      <c r="A1445" s="1">
        <v>1444</v>
      </c>
      <c r="B1445" s="1">
        <v>102080700</v>
      </c>
      <c r="C1445" s="1">
        <f t="shared" si="92"/>
        <v>104</v>
      </c>
      <c r="D1445" s="5">
        <f ca="1">IF(getQuality(B1445)&lt;4,getOtherMin(B1445,C1445,INDIRECT(J$2),INDIRECT(I1445),test),getMin(B1445,C1445,INDIRECT(J$2),INDIRECT(I1445),test))</f>
        <v>0.13</v>
      </c>
      <c r="E1445" s="5">
        <f ca="1">IF(getQuality(B1445)&lt;4,getOtherMax(B1445,C1445,INDIRECT(J$2),INDIRECT(I1445),test),getMax(B1445,C1445,INDIRECT(J$2),INDIRECT(I1445),test))</f>
        <v>0.26</v>
      </c>
      <c r="F1445" s="1" t="str">
        <f t="shared" si="90"/>
        <v>50</v>
      </c>
      <c r="G1445" s="1" t="str">
        <f t="shared" si="91"/>
        <v/>
      </c>
      <c r="I1445" s="1" t="str">
        <f t="shared" si="89"/>
        <v>威尔新数值1.06.xlsm!monsterDamage</v>
      </c>
    </row>
    <row r="1446" spans="1:9" x14ac:dyDescent="0.15">
      <c r="A1446" s="1">
        <v>1445</v>
      </c>
      <c r="B1446" s="1">
        <v>102080700</v>
      </c>
      <c r="C1446" s="1">
        <f t="shared" si="92"/>
        <v>105</v>
      </c>
      <c r="D1446" s="5">
        <f ca="1">IF(getQuality(B1446)&lt;4,getOtherMin(B1446,C1446,INDIRECT(J$2),INDIRECT(I1446),test),getMin(B1446,C1446,INDIRECT(J$2),INDIRECT(I1446),test))</f>
        <v>0.13</v>
      </c>
      <c r="E1446" s="5">
        <f ca="1">IF(getQuality(B1446)&lt;4,getOtherMax(B1446,C1446,INDIRECT(J$2),INDIRECT(I1446),test),getMax(B1446,C1446,INDIRECT(J$2),INDIRECT(I1446),test))</f>
        <v>0.26</v>
      </c>
      <c r="F1446" s="1" t="str">
        <f t="shared" si="90"/>
        <v>50</v>
      </c>
      <c r="G1446" s="1" t="str">
        <f t="shared" si="91"/>
        <v/>
      </c>
      <c r="I1446" s="1" t="str">
        <f t="shared" si="89"/>
        <v>威尔新数值1.06.xlsm!monsterDamage</v>
      </c>
    </row>
    <row r="1447" spans="1:9" x14ac:dyDescent="0.15">
      <c r="A1447" s="1">
        <v>1446</v>
      </c>
      <c r="B1447" s="1">
        <v>102080700</v>
      </c>
      <c r="C1447" s="1">
        <f t="shared" si="92"/>
        <v>106</v>
      </c>
      <c r="D1447" s="5">
        <f ca="1">IF(getQuality(B1447)&lt;4,getOtherMin(B1447,C1447,INDIRECT(J$2),INDIRECT(I1447),test),getMin(B1447,C1447,INDIRECT(J$2),INDIRECT(I1447),test))</f>
        <v>0.13</v>
      </c>
      <c r="E1447" s="5">
        <f ca="1">IF(getQuality(B1447)&lt;4,getOtherMax(B1447,C1447,INDIRECT(J$2),INDIRECT(I1447),test),getMax(B1447,C1447,INDIRECT(J$2),INDIRECT(I1447),test))</f>
        <v>0.26</v>
      </c>
      <c r="F1447" s="1" t="str">
        <f t="shared" si="90"/>
        <v>50</v>
      </c>
      <c r="G1447" s="1" t="str">
        <f t="shared" si="91"/>
        <v/>
      </c>
      <c r="I1447" s="1" t="str">
        <f t="shared" si="89"/>
        <v>威尔新数值1.06.xlsm!monsterDamage</v>
      </c>
    </row>
    <row r="1448" spans="1:9" x14ac:dyDescent="0.15">
      <c r="A1448" s="1">
        <v>1447</v>
      </c>
      <c r="B1448" s="1">
        <v>102080700</v>
      </c>
      <c r="C1448" s="1">
        <f t="shared" si="92"/>
        <v>107</v>
      </c>
      <c r="D1448" s="5">
        <f ca="1">IF(getQuality(B1448)&lt;4,getOtherMin(B1448,C1448,INDIRECT(J$2),INDIRECT(I1448),test),getMin(B1448,C1448,INDIRECT(J$2),INDIRECT(I1448),test))</f>
        <v>0.13</v>
      </c>
      <c r="E1448" s="5">
        <f ca="1">IF(getQuality(B1448)&lt;4,getOtherMax(B1448,C1448,INDIRECT(J$2),INDIRECT(I1448),test),getMax(B1448,C1448,INDIRECT(J$2),INDIRECT(I1448),test))</f>
        <v>0.26</v>
      </c>
      <c r="F1448" s="1" t="str">
        <f t="shared" si="90"/>
        <v>50</v>
      </c>
      <c r="G1448" s="1" t="str">
        <f t="shared" si="91"/>
        <v/>
      </c>
      <c r="I1448" s="1" t="str">
        <f t="shared" si="89"/>
        <v>威尔新数值1.06.xlsm!monsterDamage</v>
      </c>
    </row>
    <row r="1449" spans="1:9" x14ac:dyDescent="0.15">
      <c r="A1449" s="1">
        <v>1448</v>
      </c>
      <c r="B1449" s="1">
        <v>102080700</v>
      </c>
      <c r="C1449" s="1">
        <f t="shared" si="92"/>
        <v>108</v>
      </c>
      <c r="D1449" s="5">
        <f ca="1">IF(getQuality(B1449)&lt;4,getOtherMin(B1449,C1449,INDIRECT(J$2),INDIRECT(I1449),test),getMin(B1449,C1449,INDIRECT(J$2),INDIRECT(I1449),test))</f>
        <v>0.13</v>
      </c>
      <c r="E1449" s="5">
        <f ca="1">IF(getQuality(B1449)&lt;4,getOtherMax(B1449,C1449,INDIRECT(J$2),INDIRECT(I1449),test),getMax(B1449,C1449,INDIRECT(J$2),INDIRECT(I1449),test))</f>
        <v>0.26</v>
      </c>
      <c r="F1449" s="1" t="str">
        <f t="shared" si="90"/>
        <v>50</v>
      </c>
      <c r="G1449" s="1" t="str">
        <f t="shared" si="91"/>
        <v/>
      </c>
      <c r="I1449" s="1" t="str">
        <f t="shared" si="89"/>
        <v>威尔新数值1.06.xlsm!monsterDamage</v>
      </c>
    </row>
    <row r="1450" spans="1:9" x14ac:dyDescent="0.15">
      <c r="A1450" s="1">
        <v>1449</v>
      </c>
      <c r="B1450" s="1">
        <v>102090700</v>
      </c>
      <c r="C1450" s="1">
        <f t="shared" si="92"/>
        <v>3</v>
      </c>
      <c r="D1450" s="5">
        <f ca="1">IF(getQuality(B1450)&lt;4,getOtherMin(B1450,C1450,INDIRECT(J$2),INDIRECT(I1450),test),getMin(B1450,C1450,INDIRECT(J$2),INDIRECT(I1450),test))</f>
        <v>288.24542239033156</v>
      </c>
      <c r="E1450" s="5">
        <f ca="1">IF(getQuality(B1450)&lt;4,getOtherMax(B1450,C1450,INDIRECT(J$2),INDIRECT(I1450),test),getMax(B1450,C1450,INDIRECT(J$2),INDIRECT(I1450),test))</f>
        <v>342.05887732784834</v>
      </c>
      <c r="F1450" s="1" t="str">
        <f t="shared" si="90"/>
        <v>50</v>
      </c>
      <c r="G1450" s="1" t="str">
        <f t="shared" si="91"/>
        <v>1</v>
      </c>
      <c r="I1450" s="1" t="str">
        <f t="shared" si="89"/>
        <v>威尔新数值1.06.xlsm!suitPower</v>
      </c>
    </row>
    <row r="1451" spans="1:9" x14ac:dyDescent="0.15">
      <c r="A1451" s="1">
        <v>1450</v>
      </c>
      <c r="B1451" s="1">
        <v>102090700</v>
      </c>
      <c r="C1451" s="1">
        <f t="shared" si="92"/>
        <v>5</v>
      </c>
      <c r="D1451" s="5">
        <f ca="1">IF(getQuality(B1451)&lt;4,getOtherMin(B1451,C1451,INDIRECT(J$2),INDIRECT(I1451),test),getMin(B1451,C1451,INDIRECT(J$2),INDIRECT(I1451),test))</f>
        <v>288.24542239033156</v>
      </c>
      <c r="E1451" s="5">
        <f ca="1">IF(getQuality(B1451)&lt;4,getOtherMax(B1451,C1451,INDIRECT(J$2),INDIRECT(I1451),test),getMax(B1451,C1451,INDIRECT(J$2),INDIRECT(I1451),test))</f>
        <v>342.05887732784834</v>
      </c>
      <c r="F1451" s="1" t="str">
        <f t="shared" si="90"/>
        <v>50</v>
      </c>
      <c r="G1451" s="1" t="str">
        <f t="shared" si="91"/>
        <v/>
      </c>
      <c r="I1451" s="1" t="str">
        <f t="shared" si="89"/>
        <v>威尔新数值1.06.xlsm!suitPower</v>
      </c>
    </row>
    <row r="1452" spans="1:9" x14ac:dyDescent="0.15">
      <c r="A1452" s="1">
        <v>1451</v>
      </c>
      <c r="B1452" s="1">
        <v>102090700</v>
      </c>
      <c r="C1452" s="1">
        <f t="shared" si="92"/>
        <v>7</v>
      </c>
      <c r="D1452" s="5">
        <f ca="1">IF(getQuality(B1452)&lt;4,getOtherMin(B1452,C1452,INDIRECT(J$2),INDIRECT(I1452),test),getMin(B1452,C1452,INDIRECT(J$2),INDIRECT(I1452),test))</f>
        <v>52.85185185185172</v>
      </c>
      <c r="E1452" s="5">
        <f ca="1">IF(getQuality(B1452)&lt;4,getOtherMax(B1452,C1452,INDIRECT(J$2),INDIRECT(I1452),test),getMax(B1452,C1452,INDIRECT(J$2),INDIRECT(I1452),test))</f>
        <v>58.333333333333186</v>
      </c>
      <c r="F1452" s="1" t="str">
        <f t="shared" si="90"/>
        <v>50</v>
      </c>
      <c r="G1452" s="1" t="str">
        <f t="shared" si="91"/>
        <v/>
      </c>
      <c r="I1452" s="1" t="str">
        <f t="shared" si="89"/>
        <v>威尔新数值1.06.xlsm!suitPower</v>
      </c>
    </row>
    <row r="1453" spans="1:9" x14ac:dyDescent="0.15">
      <c r="A1453" s="1">
        <v>1452</v>
      </c>
      <c r="B1453" s="1">
        <v>102090700</v>
      </c>
      <c r="C1453" s="1">
        <f t="shared" si="92"/>
        <v>8</v>
      </c>
      <c r="D1453" s="5">
        <f ca="1">IF(getQuality(B1453)&lt;4,getOtherMin(B1453,C1453,INDIRECT(J$2),INDIRECT(I1453),test),getMin(B1453,C1453,INDIRECT(J$2),INDIRECT(I1453),test))</f>
        <v>117.66666666666667</v>
      </c>
      <c r="E1453" s="5">
        <f ca="1">IF(getQuality(B1453)&lt;4,getOtherMax(B1453,C1453,INDIRECT(J$2),INDIRECT(I1453),test),getMax(B1453,C1453,INDIRECT(J$2),INDIRECT(I1453),test))</f>
        <v>131.25</v>
      </c>
      <c r="F1453" s="1" t="str">
        <f t="shared" si="90"/>
        <v>50</v>
      </c>
      <c r="G1453" s="1" t="str">
        <f t="shared" si="91"/>
        <v/>
      </c>
      <c r="I1453" s="1" t="str">
        <f t="shared" si="89"/>
        <v>威尔新数值1.06.xlsm!suitPower</v>
      </c>
    </row>
    <row r="1454" spans="1:9" x14ac:dyDescent="0.15">
      <c r="A1454" s="1">
        <v>1453</v>
      </c>
      <c r="B1454" s="1">
        <v>102090700</v>
      </c>
      <c r="C1454" s="1">
        <f t="shared" si="92"/>
        <v>9</v>
      </c>
      <c r="D1454" s="5">
        <f ca="1">IF(getQuality(B1454)&lt;4,getOtherMin(B1454,C1454,INDIRECT(J$2),INDIRECT(I1454),test),getMin(B1454,C1454,INDIRECT(J$2),INDIRECT(I1454),test))</f>
        <v>288.24542239033156</v>
      </c>
      <c r="E1454" s="5">
        <f ca="1">IF(getQuality(B1454)&lt;4,getOtherMax(B1454,C1454,INDIRECT(J$2),INDIRECT(I1454),test),getMax(B1454,C1454,INDIRECT(J$2),INDIRECT(I1454),test))</f>
        <v>342.05887732784834</v>
      </c>
      <c r="F1454" s="1" t="str">
        <f t="shared" si="90"/>
        <v>50</v>
      </c>
      <c r="G1454" s="1" t="str">
        <f t="shared" si="91"/>
        <v/>
      </c>
      <c r="I1454" s="1" t="str">
        <f t="shared" si="89"/>
        <v>威尔新数值1.06.xlsm!suitPower</v>
      </c>
    </row>
    <row r="1455" spans="1:9" x14ac:dyDescent="0.15">
      <c r="A1455" s="1">
        <v>1454</v>
      </c>
      <c r="B1455" s="1">
        <v>102090700</v>
      </c>
      <c r="C1455" s="1">
        <f t="shared" si="92"/>
        <v>10</v>
      </c>
      <c r="D1455" s="5">
        <f ca="1">IF(getQuality(B1455)&lt;4,getOtherMin(B1455,C1455,INDIRECT(J$2),INDIRECT(I1455),test),getMin(B1455,C1455,INDIRECT(J$2),INDIRECT(I1455),test))</f>
        <v>288.24542239033156</v>
      </c>
      <c r="E1455" s="5">
        <f ca="1">IF(getQuality(B1455)&lt;4,getOtherMax(B1455,C1455,INDIRECT(J$2),INDIRECT(I1455),test),getMax(B1455,C1455,INDIRECT(J$2),INDIRECT(I1455),test))</f>
        <v>342.05887732784834</v>
      </c>
      <c r="F1455" s="1" t="str">
        <f t="shared" si="90"/>
        <v>50</v>
      </c>
      <c r="G1455" s="1" t="str">
        <f t="shared" si="91"/>
        <v/>
      </c>
      <c r="I1455" s="1" t="str">
        <f t="shared" si="89"/>
        <v>威尔新数值1.06.xlsm!suitPower</v>
      </c>
    </row>
    <row r="1456" spans="1:9" x14ac:dyDescent="0.15">
      <c r="A1456" s="1">
        <v>1455</v>
      </c>
      <c r="B1456" s="1">
        <v>102090700</v>
      </c>
      <c r="C1456" s="1">
        <f t="shared" si="92"/>
        <v>11</v>
      </c>
      <c r="D1456" s="5">
        <f ca="1">IF(getQuality(B1456)&lt;4,getOtherMin(B1456,C1456,INDIRECT(J$2),INDIRECT(I1456),test),getMin(B1456,C1456,INDIRECT(J$2),INDIRECT(I1456),test))</f>
        <v>288.24542239033156</v>
      </c>
      <c r="E1456" s="5">
        <f ca="1">IF(getQuality(B1456)&lt;4,getOtherMax(B1456,C1456,INDIRECT(J$2),INDIRECT(I1456),test),getMax(B1456,C1456,INDIRECT(J$2),INDIRECT(I1456),test))</f>
        <v>342.05887732784834</v>
      </c>
      <c r="F1456" s="1" t="str">
        <f t="shared" si="90"/>
        <v>50</v>
      </c>
      <c r="G1456" s="1" t="str">
        <f t="shared" si="91"/>
        <v/>
      </c>
      <c r="I1456" s="1" t="str">
        <f t="shared" si="89"/>
        <v>威尔新数值1.06.xlsm!suitPower</v>
      </c>
    </row>
    <row r="1457" spans="1:9" x14ac:dyDescent="0.15">
      <c r="A1457" s="1">
        <v>1456</v>
      </c>
      <c r="B1457" s="1">
        <v>102090700</v>
      </c>
      <c r="C1457" s="1">
        <f t="shared" si="92"/>
        <v>12</v>
      </c>
      <c r="D1457" s="5">
        <f ca="1">IF(getQuality(B1457)&lt;4,getOtherMin(B1457,C1457,INDIRECT(J$2),INDIRECT(I1457),test),getMin(B1457,C1457,INDIRECT(J$2),INDIRECT(I1457),test))</f>
        <v>288.24542239033156</v>
      </c>
      <c r="E1457" s="5">
        <f ca="1">IF(getQuality(B1457)&lt;4,getOtherMax(B1457,C1457,INDIRECT(J$2),INDIRECT(I1457),test),getMax(B1457,C1457,INDIRECT(J$2),INDIRECT(I1457),test))</f>
        <v>342.05887732784834</v>
      </c>
      <c r="F1457" s="1" t="str">
        <f t="shared" si="90"/>
        <v>50</v>
      </c>
      <c r="G1457" s="1" t="str">
        <f t="shared" si="91"/>
        <v/>
      </c>
      <c r="I1457" s="1" t="str">
        <f t="shared" si="89"/>
        <v>威尔新数值1.06.xlsm!suitPower</v>
      </c>
    </row>
    <row r="1458" spans="1:9" x14ac:dyDescent="0.15">
      <c r="A1458" s="1">
        <v>1457</v>
      </c>
      <c r="B1458" s="1">
        <v>102090700</v>
      </c>
      <c r="C1458" s="1">
        <f t="shared" si="92"/>
        <v>13</v>
      </c>
      <c r="D1458" s="5">
        <f ca="1">IF(getQuality(B1458)&lt;4,getOtherMin(B1458,C1458,INDIRECT(J$2),INDIRECT(I1458),test),getMin(B1458,C1458,INDIRECT(J$2),INDIRECT(I1458),test))</f>
        <v>288.24542239033156</v>
      </c>
      <c r="E1458" s="5">
        <f ca="1">IF(getQuality(B1458)&lt;4,getOtherMax(B1458,C1458,INDIRECT(J$2),INDIRECT(I1458),test),getMax(B1458,C1458,INDIRECT(J$2),INDIRECT(I1458),test))</f>
        <v>342.05887732784834</v>
      </c>
      <c r="F1458" s="1" t="str">
        <f t="shared" si="90"/>
        <v>50</v>
      </c>
      <c r="G1458" s="1" t="str">
        <f t="shared" si="91"/>
        <v/>
      </c>
      <c r="I1458" s="1" t="str">
        <f t="shared" si="89"/>
        <v>威尔新数值1.06.xlsm!suitPower</v>
      </c>
    </row>
    <row r="1459" spans="1:9" x14ac:dyDescent="0.15">
      <c r="A1459" s="1">
        <v>1458</v>
      </c>
      <c r="B1459" s="1">
        <v>102090700</v>
      </c>
      <c r="C1459" s="1">
        <f t="shared" si="92"/>
        <v>14</v>
      </c>
      <c r="D1459" s="5">
        <f ca="1">IF(getQuality(B1459)&lt;4,getOtherMin(B1459,C1459,INDIRECT(J$2),INDIRECT(I1459),test),getMin(B1459,C1459,INDIRECT(J$2),INDIRECT(I1459),test))</f>
        <v>288.24542239033156</v>
      </c>
      <c r="E1459" s="5">
        <f ca="1">IF(getQuality(B1459)&lt;4,getOtherMax(B1459,C1459,INDIRECT(J$2),INDIRECT(I1459),test),getMax(B1459,C1459,INDIRECT(J$2),INDIRECT(I1459),test))</f>
        <v>342.05887732784834</v>
      </c>
      <c r="F1459" s="1" t="str">
        <f t="shared" si="90"/>
        <v>50</v>
      </c>
      <c r="G1459" s="1" t="str">
        <f t="shared" si="91"/>
        <v/>
      </c>
      <c r="I1459" s="1" t="str">
        <f t="shared" si="89"/>
        <v>威尔新数值1.06.xlsm!suitPower</v>
      </c>
    </row>
    <row r="1460" spans="1:9" x14ac:dyDescent="0.15">
      <c r="A1460" s="1">
        <v>1459</v>
      </c>
      <c r="B1460" s="1">
        <v>102090700</v>
      </c>
      <c r="C1460" s="1">
        <f t="shared" si="92"/>
        <v>15</v>
      </c>
      <c r="D1460" s="5">
        <f ca="1">IF(getQuality(B1460)&lt;4,getOtherMin(B1460,C1460,INDIRECT(J$2),INDIRECT(I1460),test),getMin(B1460,C1460,INDIRECT(J$2),INDIRECT(I1460),test))</f>
        <v>288.24542239033156</v>
      </c>
      <c r="E1460" s="5">
        <f ca="1">IF(getQuality(B1460)&lt;4,getOtherMax(B1460,C1460,INDIRECT(J$2),INDIRECT(I1460),test),getMax(B1460,C1460,INDIRECT(J$2),INDIRECT(I1460),test))</f>
        <v>342.05887732784834</v>
      </c>
      <c r="F1460" s="1" t="str">
        <f t="shared" si="90"/>
        <v>50</v>
      </c>
      <c r="G1460" s="1" t="str">
        <f t="shared" si="91"/>
        <v/>
      </c>
      <c r="I1460" s="1" t="str">
        <f t="shared" si="89"/>
        <v>威尔新数值1.06.xlsm!suitPower</v>
      </c>
    </row>
    <row r="1461" spans="1:9" x14ac:dyDescent="0.15">
      <c r="A1461" s="1">
        <v>1460</v>
      </c>
      <c r="B1461" s="1">
        <v>102090700</v>
      </c>
      <c r="C1461" s="1">
        <f t="shared" si="92"/>
        <v>101</v>
      </c>
      <c r="D1461" s="5">
        <f ca="1">IF(getQuality(B1461)&lt;4,getOtherMin(B1461,C1461,INDIRECT(J$2),INDIRECT(I1461),test),getMin(B1461,C1461,INDIRECT(J$2),INDIRECT(I1461),test))</f>
        <v>0.14000000000000001</v>
      </c>
      <c r="E1461" s="5">
        <f ca="1">IF(getQuality(B1461)&lt;4,getOtherMax(B1461,C1461,INDIRECT(J$2),INDIRECT(I1461),test),getMax(B1461,C1461,INDIRECT(J$2),INDIRECT(I1461),test))</f>
        <v>0.17</v>
      </c>
      <c r="F1461" s="1" t="str">
        <f t="shared" si="90"/>
        <v>50</v>
      </c>
      <c r="G1461" s="1" t="str">
        <f t="shared" si="91"/>
        <v/>
      </c>
      <c r="I1461" s="1" t="str">
        <f t="shared" si="89"/>
        <v>威尔新数值1.06.xlsm!circlePer</v>
      </c>
    </row>
    <row r="1462" spans="1:9" x14ac:dyDescent="0.15">
      <c r="A1462" s="1">
        <v>1461</v>
      </c>
      <c r="B1462" s="1">
        <v>102090700</v>
      </c>
      <c r="C1462" s="1">
        <f t="shared" si="92"/>
        <v>102</v>
      </c>
      <c r="D1462" s="5">
        <f ca="1">IF(getQuality(B1462)&lt;4,getOtherMin(B1462,C1462,INDIRECT(J$2),INDIRECT(I1462),test),getMin(B1462,C1462,INDIRECT(J$2),INDIRECT(I1462),test))</f>
        <v>1.2</v>
      </c>
      <c r="E1462" s="5">
        <f ca="1">IF(getQuality(B1462)&lt;4,getOtherMax(B1462,C1462,INDIRECT(J$2),INDIRECT(I1462),test),getMax(B1462,C1462,INDIRECT(J$2),INDIRECT(I1462),test))</f>
        <v>1.6</v>
      </c>
      <c r="F1462" s="1" t="str">
        <f t="shared" si="90"/>
        <v>50</v>
      </c>
      <c r="G1462" s="1" t="str">
        <f t="shared" si="91"/>
        <v/>
      </c>
      <c r="I1462" s="1" t="str">
        <f t="shared" si="89"/>
        <v>威尔新数值1.06.xlsm!circleValue</v>
      </c>
    </row>
    <row r="1463" spans="1:9" x14ac:dyDescent="0.15">
      <c r="A1463" s="1">
        <v>1462</v>
      </c>
      <c r="B1463" s="1">
        <v>102090700</v>
      </c>
      <c r="C1463" s="1">
        <f t="shared" si="92"/>
        <v>103</v>
      </c>
      <c r="D1463" s="5">
        <f ca="1">IF(getQuality(B1463)&lt;4,getOtherMin(B1463,C1463,INDIRECT(J$2),INDIRECT(I1463),test),getMin(B1463,C1463,INDIRECT(J$2),INDIRECT(I1463),test))</f>
        <v>0.14000000000000001</v>
      </c>
      <c r="E1463" s="5">
        <f ca="1">IF(getQuality(B1463)&lt;4,getOtherMax(B1463,C1463,INDIRECT(J$2),INDIRECT(I1463),test),getMax(B1463,C1463,INDIRECT(J$2),INDIRECT(I1463),test))</f>
        <v>0.17</v>
      </c>
      <c r="F1463" s="1" t="str">
        <f t="shared" si="90"/>
        <v>50</v>
      </c>
      <c r="G1463" s="1" t="str">
        <f t="shared" si="91"/>
        <v/>
      </c>
      <c r="I1463" s="1" t="str">
        <f t="shared" si="89"/>
        <v>威尔新数值1.06.xlsm!otherDamage</v>
      </c>
    </row>
    <row r="1464" spans="1:9" x14ac:dyDescent="0.15">
      <c r="A1464" s="1">
        <v>1463</v>
      </c>
      <c r="B1464" s="1">
        <v>102090700</v>
      </c>
      <c r="C1464" s="1">
        <f t="shared" si="92"/>
        <v>104</v>
      </c>
      <c r="D1464" s="5">
        <f ca="1">IF(getQuality(B1464)&lt;4,getOtherMin(B1464,C1464,INDIRECT(J$2),INDIRECT(I1464),test),getMin(B1464,C1464,INDIRECT(J$2),INDIRECT(I1464),test))</f>
        <v>0.14000000000000001</v>
      </c>
      <c r="E1464" s="5">
        <f ca="1">IF(getQuality(B1464)&lt;4,getOtherMax(B1464,C1464,INDIRECT(J$2),INDIRECT(I1464),test),getMax(B1464,C1464,INDIRECT(J$2),INDIRECT(I1464),test))</f>
        <v>0.28000000000000003</v>
      </c>
      <c r="F1464" s="1" t="str">
        <f t="shared" si="90"/>
        <v>50</v>
      </c>
      <c r="G1464" s="1" t="str">
        <f t="shared" si="91"/>
        <v/>
      </c>
      <c r="I1464" s="1" t="str">
        <f t="shared" si="89"/>
        <v>威尔新数值1.06.xlsm!monsterDamage</v>
      </c>
    </row>
    <row r="1465" spans="1:9" x14ac:dyDescent="0.15">
      <c r="A1465" s="1">
        <v>1464</v>
      </c>
      <c r="B1465" s="1">
        <v>102090700</v>
      </c>
      <c r="C1465" s="1">
        <f t="shared" si="92"/>
        <v>105</v>
      </c>
      <c r="D1465" s="5">
        <f ca="1">IF(getQuality(B1465)&lt;4,getOtherMin(B1465,C1465,INDIRECT(J$2),INDIRECT(I1465),test),getMin(B1465,C1465,INDIRECT(J$2),INDIRECT(I1465),test))</f>
        <v>0.14000000000000001</v>
      </c>
      <c r="E1465" s="5">
        <f ca="1">IF(getQuality(B1465)&lt;4,getOtherMax(B1465,C1465,INDIRECT(J$2),INDIRECT(I1465),test),getMax(B1465,C1465,INDIRECT(J$2),INDIRECT(I1465),test))</f>
        <v>0.28000000000000003</v>
      </c>
      <c r="F1465" s="1" t="str">
        <f t="shared" si="90"/>
        <v>50</v>
      </c>
      <c r="G1465" s="1" t="str">
        <f t="shared" si="91"/>
        <v/>
      </c>
      <c r="I1465" s="1" t="str">
        <f t="shared" si="89"/>
        <v>威尔新数值1.06.xlsm!monsterDamage</v>
      </c>
    </row>
    <row r="1466" spans="1:9" x14ac:dyDescent="0.15">
      <c r="A1466" s="1">
        <v>1465</v>
      </c>
      <c r="B1466" s="1">
        <v>102090700</v>
      </c>
      <c r="C1466" s="1">
        <f t="shared" si="92"/>
        <v>106</v>
      </c>
      <c r="D1466" s="5">
        <f ca="1">IF(getQuality(B1466)&lt;4,getOtherMin(B1466,C1466,INDIRECT(J$2),INDIRECT(I1466),test),getMin(B1466,C1466,INDIRECT(J$2),INDIRECT(I1466),test))</f>
        <v>0.14000000000000001</v>
      </c>
      <c r="E1466" s="5">
        <f ca="1">IF(getQuality(B1466)&lt;4,getOtherMax(B1466,C1466,INDIRECT(J$2),INDIRECT(I1466),test),getMax(B1466,C1466,INDIRECT(J$2),INDIRECT(I1466),test))</f>
        <v>0.28000000000000003</v>
      </c>
      <c r="F1466" s="1" t="str">
        <f t="shared" si="90"/>
        <v>50</v>
      </c>
      <c r="G1466" s="1" t="str">
        <f t="shared" si="91"/>
        <v/>
      </c>
      <c r="I1466" s="1" t="str">
        <f t="shared" si="89"/>
        <v>威尔新数值1.06.xlsm!monsterDamage</v>
      </c>
    </row>
    <row r="1467" spans="1:9" x14ac:dyDescent="0.15">
      <c r="A1467" s="1">
        <v>1466</v>
      </c>
      <c r="B1467" s="1">
        <v>102090700</v>
      </c>
      <c r="C1467" s="1">
        <f t="shared" si="92"/>
        <v>107</v>
      </c>
      <c r="D1467" s="5">
        <f ca="1">IF(getQuality(B1467)&lt;4,getOtherMin(B1467,C1467,INDIRECT(J$2),INDIRECT(I1467),test),getMin(B1467,C1467,INDIRECT(J$2),INDIRECT(I1467),test))</f>
        <v>0.14000000000000001</v>
      </c>
      <c r="E1467" s="5">
        <f ca="1">IF(getQuality(B1467)&lt;4,getOtherMax(B1467,C1467,INDIRECT(J$2),INDIRECT(I1467),test),getMax(B1467,C1467,INDIRECT(J$2),INDIRECT(I1467),test))</f>
        <v>0.28000000000000003</v>
      </c>
      <c r="F1467" s="1" t="str">
        <f t="shared" si="90"/>
        <v>50</v>
      </c>
      <c r="G1467" s="1" t="str">
        <f t="shared" si="91"/>
        <v/>
      </c>
      <c r="I1467" s="1" t="str">
        <f t="shared" si="89"/>
        <v>威尔新数值1.06.xlsm!monsterDamage</v>
      </c>
    </row>
    <row r="1468" spans="1:9" x14ac:dyDescent="0.15">
      <c r="A1468" s="1">
        <v>1467</v>
      </c>
      <c r="B1468" s="1">
        <v>102090700</v>
      </c>
      <c r="C1468" s="1">
        <f t="shared" si="92"/>
        <v>108</v>
      </c>
      <c r="D1468" s="5">
        <f ca="1">IF(getQuality(B1468)&lt;4,getOtherMin(B1468,C1468,INDIRECT(J$2),INDIRECT(I1468),test),getMin(B1468,C1468,INDIRECT(J$2),INDIRECT(I1468),test))</f>
        <v>0.14000000000000001</v>
      </c>
      <c r="E1468" s="5">
        <f ca="1">IF(getQuality(B1468)&lt;4,getOtherMax(B1468,C1468,INDIRECT(J$2),INDIRECT(I1468),test),getMax(B1468,C1468,INDIRECT(J$2),INDIRECT(I1468),test))</f>
        <v>0.28000000000000003</v>
      </c>
      <c r="F1468" s="1" t="str">
        <f t="shared" si="90"/>
        <v>50</v>
      </c>
      <c r="G1468" s="1" t="str">
        <f t="shared" si="91"/>
        <v/>
      </c>
      <c r="I1468" s="1" t="str">
        <f t="shared" si="89"/>
        <v>威尔新数值1.06.xlsm!monsterDamage</v>
      </c>
    </row>
    <row r="1469" spans="1:9" x14ac:dyDescent="0.15">
      <c r="A1469" s="1">
        <v>1468</v>
      </c>
      <c r="B1469" s="1">
        <v>102010800</v>
      </c>
      <c r="C1469" s="1">
        <f t="shared" si="92"/>
        <v>3</v>
      </c>
      <c r="D1469" s="5">
        <f ca="1">IF(getQuality(B1469)&lt;4,getOtherMin(B1469,C1469,INDIRECT(J$2),INDIRECT(I1469),test),getMin(B1469,C1469,INDIRECT(J$2),INDIRECT(I1469),test))</f>
        <v>1</v>
      </c>
      <c r="E1469" s="5">
        <f ca="1">IF(getQuality(B1469)&lt;4,getOtherMax(B1469,C1469,INDIRECT(J$2),INDIRECT(I1469),test),getMax(B1469,C1469,INDIRECT(J$2),INDIRECT(I1469),test))</f>
        <v>21.008641265250315</v>
      </c>
      <c r="F1469" s="1" t="str">
        <f t="shared" si="90"/>
        <v>50</v>
      </c>
      <c r="G1469" s="1" t="str">
        <f t="shared" si="91"/>
        <v/>
      </c>
      <c r="I1469" s="1" t="str">
        <f t="shared" si="89"/>
        <v>威尔新数值1.06.xlsm!suitPower</v>
      </c>
    </row>
    <row r="1470" spans="1:9" x14ac:dyDescent="0.15">
      <c r="A1470" s="1">
        <v>1469</v>
      </c>
      <c r="B1470" s="1">
        <v>102010800</v>
      </c>
      <c r="C1470" s="1">
        <f t="shared" si="92"/>
        <v>5</v>
      </c>
      <c r="D1470" s="5">
        <f ca="1">IF(getQuality(B1470)&lt;4,getOtherMin(B1470,C1470,INDIRECT(J$2),INDIRECT(I1470),test),getMin(B1470,C1470,INDIRECT(J$2),INDIRECT(I1470),test))</f>
        <v>1</v>
      </c>
      <c r="E1470" s="5">
        <f ca="1">IF(getQuality(B1470)&lt;4,getOtherMax(B1470,C1470,INDIRECT(J$2),INDIRECT(I1470),test),getMax(B1470,C1470,INDIRECT(J$2),INDIRECT(I1470),test))</f>
        <v>21.008641265250315</v>
      </c>
      <c r="F1470" s="1" t="str">
        <f t="shared" si="90"/>
        <v>50</v>
      </c>
      <c r="G1470" s="1" t="str">
        <f t="shared" si="91"/>
        <v>1</v>
      </c>
      <c r="I1470" s="1" t="str">
        <f t="shared" si="89"/>
        <v>威尔新数值1.06.xlsm!suitPower</v>
      </c>
    </row>
    <row r="1471" spans="1:9" x14ac:dyDescent="0.15">
      <c r="A1471" s="1">
        <v>1470</v>
      </c>
      <c r="B1471" s="1">
        <v>102010800</v>
      </c>
      <c r="C1471" s="1">
        <f t="shared" si="92"/>
        <v>7</v>
      </c>
      <c r="D1471" s="5">
        <f ca="1">IF(getQuality(B1471)&lt;4,getOtherMin(B1471,C1471,INDIRECT(J$2),INDIRECT(I1471),test),getMin(B1471,C1471,INDIRECT(J$2),INDIRECT(I1471),test))</f>
        <v>1</v>
      </c>
      <c r="E1471" s="5">
        <f ca="1">IF(getQuality(B1471)&lt;4,getOtherMax(B1471,C1471,INDIRECT(J$2),INDIRECT(I1471),test),getMax(B1471,C1471,INDIRECT(J$2),INDIRECT(I1471),test))</f>
        <v>6.481481481481465</v>
      </c>
      <c r="F1471" s="1" t="str">
        <f t="shared" si="90"/>
        <v>50</v>
      </c>
      <c r="G1471" s="1" t="str">
        <f t="shared" si="91"/>
        <v/>
      </c>
      <c r="I1471" s="1" t="str">
        <f t="shared" si="89"/>
        <v>威尔新数值1.06.xlsm!suitPower</v>
      </c>
    </row>
    <row r="1472" spans="1:9" x14ac:dyDescent="0.15">
      <c r="A1472" s="1">
        <v>1471</v>
      </c>
      <c r="B1472" s="1">
        <v>102010800</v>
      </c>
      <c r="C1472" s="1">
        <f t="shared" si="92"/>
        <v>8</v>
      </c>
      <c r="D1472" s="5">
        <f ca="1">IF(getQuality(B1472)&lt;4,getOtherMin(B1472,C1472,INDIRECT(J$2),INDIRECT(I1472),test),getMin(B1472,C1472,INDIRECT(J$2),INDIRECT(I1472),test))</f>
        <v>1</v>
      </c>
      <c r="E1472" s="5">
        <f ca="1">IF(getQuality(B1472)&lt;4,getOtherMax(B1472,C1472,INDIRECT(J$2),INDIRECT(I1472),test),getMax(B1472,C1472,INDIRECT(J$2),INDIRECT(I1472),test))</f>
        <v>14.583333333333334</v>
      </c>
      <c r="F1472" s="1" t="str">
        <f t="shared" si="90"/>
        <v>50</v>
      </c>
      <c r="G1472" s="1" t="str">
        <f t="shared" si="91"/>
        <v/>
      </c>
      <c r="I1472" s="1" t="str">
        <f t="shared" si="89"/>
        <v>威尔新数值1.06.xlsm!suitPower</v>
      </c>
    </row>
    <row r="1473" spans="1:9" x14ac:dyDescent="0.15">
      <c r="A1473" s="1">
        <v>1472</v>
      </c>
      <c r="B1473" s="1">
        <v>102010800</v>
      </c>
      <c r="C1473" s="1">
        <f t="shared" si="92"/>
        <v>9</v>
      </c>
      <c r="D1473" s="5">
        <f ca="1">IF(getQuality(B1473)&lt;4,getOtherMin(B1473,C1473,INDIRECT(J$2),INDIRECT(I1473),test),getMin(B1473,C1473,INDIRECT(J$2),INDIRECT(I1473),test))</f>
        <v>1</v>
      </c>
      <c r="E1473" s="5">
        <f ca="1">IF(getQuality(B1473)&lt;4,getOtherMax(B1473,C1473,INDIRECT(J$2),INDIRECT(I1473),test),getMax(B1473,C1473,INDIRECT(J$2),INDIRECT(I1473),test))</f>
        <v>21.008641265250315</v>
      </c>
      <c r="F1473" s="1" t="str">
        <f t="shared" si="90"/>
        <v>50</v>
      </c>
      <c r="G1473" s="1" t="str">
        <f t="shared" si="91"/>
        <v/>
      </c>
      <c r="I1473" s="1" t="str">
        <f t="shared" si="89"/>
        <v>威尔新数值1.06.xlsm!suitPower</v>
      </c>
    </row>
    <row r="1474" spans="1:9" x14ac:dyDescent="0.15">
      <c r="A1474" s="1">
        <v>1473</v>
      </c>
      <c r="B1474" s="1">
        <v>102010800</v>
      </c>
      <c r="C1474" s="1">
        <f t="shared" si="92"/>
        <v>10</v>
      </c>
      <c r="D1474" s="5">
        <f ca="1">IF(getQuality(B1474)&lt;4,getOtherMin(B1474,C1474,INDIRECT(J$2),INDIRECT(I1474),test),getMin(B1474,C1474,INDIRECT(J$2),INDIRECT(I1474),test))</f>
        <v>1</v>
      </c>
      <c r="E1474" s="5">
        <f ca="1">IF(getQuality(B1474)&lt;4,getOtherMax(B1474,C1474,INDIRECT(J$2),INDIRECT(I1474),test),getMax(B1474,C1474,INDIRECT(J$2),INDIRECT(I1474),test))</f>
        <v>21.008641265250315</v>
      </c>
      <c r="F1474" s="1" t="str">
        <f t="shared" si="90"/>
        <v>50</v>
      </c>
      <c r="G1474" s="1" t="str">
        <f t="shared" si="91"/>
        <v/>
      </c>
      <c r="I1474" s="1" t="str">
        <f t="shared" ref="I1474:I1537" si="93">IF(C1474&lt;100,VLOOKUP(C1474,test,3,FALSE),VLOOKUP(C1474,test1,3,FALSE))</f>
        <v>威尔新数值1.06.xlsm!suitPower</v>
      </c>
    </row>
    <row r="1475" spans="1:9" x14ac:dyDescent="0.15">
      <c r="A1475" s="1">
        <v>1474</v>
      </c>
      <c r="B1475" s="1">
        <v>102010800</v>
      </c>
      <c r="C1475" s="1">
        <f t="shared" si="92"/>
        <v>11</v>
      </c>
      <c r="D1475" s="5">
        <f ca="1">IF(getQuality(B1475)&lt;4,getOtherMin(B1475,C1475,INDIRECT(J$2),INDIRECT(I1475),test),getMin(B1475,C1475,INDIRECT(J$2),INDIRECT(I1475),test))</f>
        <v>1</v>
      </c>
      <c r="E1475" s="5">
        <f ca="1">IF(getQuality(B1475)&lt;4,getOtherMax(B1475,C1475,INDIRECT(J$2),INDIRECT(I1475),test),getMax(B1475,C1475,INDIRECT(J$2),INDIRECT(I1475),test))</f>
        <v>21.008641265250315</v>
      </c>
      <c r="F1475" s="1" t="str">
        <f t="shared" ref="F1475:F1538" si="94">getper(B1475,C1475)</f>
        <v>50</v>
      </c>
      <c r="G1475" s="1" t="str">
        <f t="shared" ref="G1475:G1538" si="95">getMust(B1475,C1475)</f>
        <v/>
      </c>
      <c r="I1475" s="1" t="str">
        <f t="shared" si="93"/>
        <v>威尔新数值1.06.xlsm!suitPower</v>
      </c>
    </row>
    <row r="1476" spans="1:9" x14ac:dyDescent="0.15">
      <c r="A1476" s="1">
        <v>1475</v>
      </c>
      <c r="B1476" s="1">
        <v>102010800</v>
      </c>
      <c r="C1476" s="1">
        <f t="shared" si="92"/>
        <v>12</v>
      </c>
      <c r="D1476" s="5">
        <f ca="1">IF(getQuality(B1476)&lt;4,getOtherMin(B1476,C1476,INDIRECT(J$2),INDIRECT(I1476),test),getMin(B1476,C1476,INDIRECT(J$2),INDIRECT(I1476),test))</f>
        <v>1</v>
      </c>
      <c r="E1476" s="5">
        <f ca="1">IF(getQuality(B1476)&lt;4,getOtherMax(B1476,C1476,INDIRECT(J$2),INDIRECT(I1476),test),getMax(B1476,C1476,INDIRECT(J$2),INDIRECT(I1476),test))</f>
        <v>21.008641265250315</v>
      </c>
      <c r="F1476" s="1" t="str">
        <f t="shared" si="94"/>
        <v>50</v>
      </c>
      <c r="G1476" s="1" t="str">
        <f t="shared" si="95"/>
        <v/>
      </c>
      <c r="I1476" s="1" t="str">
        <f t="shared" si="93"/>
        <v>威尔新数值1.06.xlsm!suitPower</v>
      </c>
    </row>
    <row r="1477" spans="1:9" x14ac:dyDescent="0.15">
      <c r="A1477" s="1">
        <v>1476</v>
      </c>
      <c r="B1477" s="1">
        <v>102010800</v>
      </c>
      <c r="C1477" s="1">
        <f t="shared" si="92"/>
        <v>13</v>
      </c>
      <c r="D1477" s="5">
        <f ca="1">IF(getQuality(B1477)&lt;4,getOtherMin(B1477,C1477,INDIRECT(J$2),INDIRECT(I1477),test),getMin(B1477,C1477,INDIRECT(J$2),INDIRECT(I1477),test))</f>
        <v>1</v>
      </c>
      <c r="E1477" s="5">
        <f ca="1">IF(getQuality(B1477)&lt;4,getOtherMax(B1477,C1477,INDIRECT(J$2),INDIRECT(I1477),test),getMax(B1477,C1477,INDIRECT(J$2),INDIRECT(I1477),test))</f>
        <v>21.008641265250315</v>
      </c>
      <c r="F1477" s="1" t="str">
        <f t="shared" si="94"/>
        <v>50</v>
      </c>
      <c r="G1477" s="1" t="str">
        <f t="shared" si="95"/>
        <v/>
      </c>
      <c r="I1477" s="1" t="str">
        <f t="shared" si="93"/>
        <v>威尔新数值1.06.xlsm!suitPower</v>
      </c>
    </row>
    <row r="1478" spans="1:9" x14ac:dyDescent="0.15">
      <c r="A1478" s="1">
        <v>1477</v>
      </c>
      <c r="B1478" s="1">
        <v>102010800</v>
      </c>
      <c r="C1478" s="1">
        <f t="shared" si="92"/>
        <v>14</v>
      </c>
      <c r="D1478" s="5">
        <f ca="1">IF(getQuality(B1478)&lt;4,getOtherMin(B1478,C1478,INDIRECT(J$2),INDIRECT(I1478),test),getMin(B1478,C1478,INDIRECT(J$2),INDIRECT(I1478),test))</f>
        <v>1</v>
      </c>
      <c r="E1478" s="5">
        <f ca="1">IF(getQuality(B1478)&lt;4,getOtherMax(B1478,C1478,INDIRECT(J$2),INDIRECT(I1478),test),getMax(B1478,C1478,INDIRECT(J$2),INDIRECT(I1478),test))</f>
        <v>21.008641265250315</v>
      </c>
      <c r="F1478" s="1" t="str">
        <f t="shared" si="94"/>
        <v>50</v>
      </c>
      <c r="G1478" s="1" t="str">
        <f t="shared" si="95"/>
        <v/>
      </c>
      <c r="I1478" s="1" t="str">
        <f t="shared" si="93"/>
        <v>威尔新数值1.06.xlsm!suitPower</v>
      </c>
    </row>
    <row r="1479" spans="1:9" x14ac:dyDescent="0.15">
      <c r="A1479" s="1">
        <v>1478</v>
      </c>
      <c r="B1479" s="1">
        <v>102010800</v>
      </c>
      <c r="C1479" s="1">
        <f t="shared" si="92"/>
        <v>15</v>
      </c>
      <c r="D1479" s="5">
        <f ca="1">IF(getQuality(B1479)&lt;4,getOtherMin(B1479,C1479,INDIRECT(J$2),INDIRECT(I1479),test),getMin(B1479,C1479,INDIRECT(J$2),INDIRECT(I1479),test))</f>
        <v>1</v>
      </c>
      <c r="E1479" s="5">
        <f ca="1">IF(getQuality(B1479)&lt;4,getOtherMax(B1479,C1479,INDIRECT(J$2),INDIRECT(I1479),test),getMax(B1479,C1479,INDIRECT(J$2),INDIRECT(I1479),test))</f>
        <v>21.008641265250315</v>
      </c>
      <c r="F1479" s="1" t="str">
        <f t="shared" si="94"/>
        <v>50</v>
      </c>
      <c r="G1479" s="1" t="str">
        <f t="shared" si="95"/>
        <v/>
      </c>
      <c r="I1479" s="1" t="str">
        <f t="shared" si="93"/>
        <v>威尔新数值1.06.xlsm!suitPower</v>
      </c>
    </row>
    <row r="1480" spans="1:9" x14ac:dyDescent="0.15">
      <c r="A1480" s="1">
        <v>1479</v>
      </c>
      <c r="B1480" s="1">
        <v>102010800</v>
      </c>
      <c r="C1480" s="1">
        <f t="shared" si="92"/>
        <v>101</v>
      </c>
      <c r="D1480" s="5">
        <f ca="1">IF(getQuality(B1480)&lt;4,getOtherMin(B1480,C1480,INDIRECT(J$2),INDIRECT(I1480),test),getMin(B1480,C1480,INDIRECT(J$2),INDIRECT(I1480),test))</f>
        <v>0.06</v>
      </c>
      <c r="E1480" s="5">
        <f ca="1">IF(getQuality(B1480)&lt;4,getOtherMax(B1480,C1480,INDIRECT(J$2),INDIRECT(I1480),test),getMax(B1480,C1480,INDIRECT(J$2),INDIRECT(I1480),test))</f>
        <v>0.09</v>
      </c>
      <c r="F1480" s="1" t="str">
        <f t="shared" si="94"/>
        <v>50</v>
      </c>
      <c r="G1480" s="1" t="str">
        <f t="shared" si="95"/>
        <v/>
      </c>
      <c r="I1480" s="1" t="str">
        <f t="shared" si="93"/>
        <v>威尔新数值1.06.xlsm!circlePer</v>
      </c>
    </row>
    <row r="1481" spans="1:9" x14ac:dyDescent="0.15">
      <c r="A1481" s="1">
        <v>1480</v>
      </c>
      <c r="B1481" s="1">
        <v>102010800</v>
      </c>
      <c r="C1481" s="1">
        <f t="shared" si="92"/>
        <v>102</v>
      </c>
      <c r="D1481" s="5">
        <f ca="1">IF(getQuality(B1481)&lt;4,getOtherMin(B1481,C1481,INDIRECT(J$2),INDIRECT(I1481),test),getMin(B1481,C1481,INDIRECT(J$2),INDIRECT(I1481),test))</f>
        <v>0.4</v>
      </c>
      <c r="E1481" s="5">
        <f ca="1">IF(getQuality(B1481)&lt;4,getOtherMax(B1481,C1481,INDIRECT(J$2),INDIRECT(I1481),test),getMax(B1481,C1481,INDIRECT(J$2),INDIRECT(I1481),test))</f>
        <v>0.8</v>
      </c>
      <c r="F1481" s="1" t="str">
        <f t="shared" si="94"/>
        <v>50</v>
      </c>
      <c r="G1481" s="1" t="str">
        <f t="shared" si="95"/>
        <v/>
      </c>
      <c r="I1481" s="1" t="str">
        <f t="shared" si="93"/>
        <v>威尔新数值1.06.xlsm!circleValue</v>
      </c>
    </row>
    <row r="1482" spans="1:9" x14ac:dyDescent="0.15">
      <c r="A1482" s="1">
        <v>1481</v>
      </c>
      <c r="B1482" s="1">
        <v>102010800</v>
      </c>
      <c r="C1482" s="1">
        <f t="shared" si="92"/>
        <v>103</v>
      </c>
      <c r="D1482" s="5">
        <f ca="1">IF(getQuality(B1482)&lt;4,getOtherMin(B1482,C1482,INDIRECT(J$2),INDIRECT(I1482),test),getMin(B1482,C1482,INDIRECT(J$2),INDIRECT(I1482),test))</f>
        <v>0.06</v>
      </c>
      <c r="E1482" s="5">
        <f ca="1">IF(getQuality(B1482)&lt;4,getOtherMax(B1482,C1482,INDIRECT(J$2),INDIRECT(I1482),test),getMax(B1482,C1482,INDIRECT(J$2),INDIRECT(I1482),test))</f>
        <v>0.09</v>
      </c>
      <c r="F1482" s="1" t="str">
        <f t="shared" si="94"/>
        <v>50</v>
      </c>
      <c r="G1482" s="1" t="str">
        <f t="shared" si="95"/>
        <v/>
      </c>
      <c r="I1482" s="1" t="str">
        <f t="shared" si="93"/>
        <v>威尔新数值1.06.xlsm!otherDamage</v>
      </c>
    </row>
    <row r="1483" spans="1:9" x14ac:dyDescent="0.15">
      <c r="A1483" s="1">
        <v>1482</v>
      </c>
      <c r="B1483" s="1">
        <v>102010800</v>
      </c>
      <c r="C1483" s="1">
        <f t="shared" si="92"/>
        <v>104</v>
      </c>
      <c r="D1483" s="5">
        <f ca="1">IF(getQuality(B1483)&lt;4,getOtherMin(B1483,C1483,INDIRECT(J$2),INDIRECT(I1483),test),getMin(B1483,C1483,INDIRECT(J$2),INDIRECT(I1483),test))</f>
        <v>0.06</v>
      </c>
      <c r="E1483" s="5">
        <f ca="1">IF(getQuality(B1483)&lt;4,getOtherMax(B1483,C1483,INDIRECT(J$2),INDIRECT(I1483),test),getMax(B1483,C1483,INDIRECT(J$2),INDIRECT(I1483),test))</f>
        <v>0.12</v>
      </c>
      <c r="F1483" s="1" t="str">
        <f t="shared" si="94"/>
        <v>50</v>
      </c>
      <c r="G1483" s="1" t="str">
        <f t="shared" si="95"/>
        <v/>
      </c>
      <c r="I1483" s="1" t="str">
        <f t="shared" si="93"/>
        <v>威尔新数值1.06.xlsm!monsterDamage</v>
      </c>
    </row>
    <row r="1484" spans="1:9" x14ac:dyDescent="0.15">
      <c r="A1484" s="1">
        <v>1483</v>
      </c>
      <c r="B1484" s="1">
        <v>102010800</v>
      </c>
      <c r="C1484" s="1">
        <f t="shared" si="92"/>
        <v>105</v>
      </c>
      <c r="D1484" s="5">
        <f ca="1">IF(getQuality(B1484)&lt;4,getOtherMin(B1484,C1484,INDIRECT(J$2),INDIRECT(I1484),test),getMin(B1484,C1484,INDIRECT(J$2),INDIRECT(I1484),test))</f>
        <v>0.06</v>
      </c>
      <c r="E1484" s="5">
        <f ca="1">IF(getQuality(B1484)&lt;4,getOtherMax(B1484,C1484,INDIRECT(J$2),INDIRECT(I1484),test),getMax(B1484,C1484,INDIRECT(J$2),INDIRECT(I1484),test))</f>
        <v>0.12</v>
      </c>
      <c r="F1484" s="1" t="str">
        <f t="shared" si="94"/>
        <v>50</v>
      </c>
      <c r="G1484" s="1" t="str">
        <f t="shared" si="95"/>
        <v/>
      </c>
      <c r="I1484" s="1" t="str">
        <f t="shared" si="93"/>
        <v>威尔新数值1.06.xlsm!monsterDamage</v>
      </c>
    </row>
    <row r="1485" spans="1:9" x14ac:dyDescent="0.15">
      <c r="A1485" s="1">
        <v>1484</v>
      </c>
      <c r="B1485" s="1">
        <v>102010800</v>
      </c>
      <c r="C1485" s="1">
        <f t="shared" si="92"/>
        <v>106</v>
      </c>
      <c r="D1485" s="5">
        <f ca="1">IF(getQuality(B1485)&lt;4,getOtherMin(B1485,C1485,INDIRECT(J$2),INDIRECT(I1485),test),getMin(B1485,C1485,INDIRECT(J$2),INDIRECT(I1485),test))</f>
        <v>0.06</v>
      </c>
      <c r="E1485" s="5">
        <f ca="1">IF(getQuality(B1485)&lt;4,getOtherMax(B1485,C1485,INDIRECT(J$2),INDIRECT(I1485),test),getMax(B1485,C1485,INDIRECT(J$2),INDIRECT(I1485),test))</f>
        <v>0.12</v>
      </c>
      <c r="F1485" s="1" t="str">
        <f t="shared" si="94"/>
        <v>50</v>
      </c>
      <c r="G1485" s="1" t="str">
        <f t="shared" si="95"/>
        <v/>
      </c>
      <c r="I1485" s="1" t="str">
        <f t="shared" si="93"/>
        <v>威尔新数值1.06.xlsm!monsterDamage</v>
      </c>
    </row>
    <row r="1486" spans="1:9" x14ac:dyDescent="0.15">
      <c r="A1486" s="1">
        <v>1485</v>
      </c>
      <c r="B1486" s="1">
        <v>102010800</v>
      </c>
      <c r="C1486" s="1">
        <f t="shared" si="92"/>
        <v>107</v>
      </c>
      <c r="D1486" s="5">
        <f ca="1">IF(getQuality(B1486)&lt;4,getOtherMin(B1486,C1486,INDIRECT(J$2),INDIRECT(I1486),test),getMin(B1486,C1486,INDIRECT(J$2),INDIRECT(I1486),test))</f>
        <v>0.06</v>
      </c>
      <c r="E1486" s="5">
        <f ca="1">IF(getQuality(B1486)&lt;4,getOtherMax(B1486,C1486,INDIRECT(J$2),INDIRECT(I1486),test),getMax(B1486,C1486,INDIRECT(J$2),INDIRECT(I1486),test))</f>
        <v>0.12</v>
      </c>
      <c r="F1486" s="1" t="str">
        <f t="shared" si="94"/>
        <v>50</v>
      </c>
      <c r="G1486" s="1" t="str">
        <f t="shared" si="95"/>
        <v/>
      </c>
      <c r="I1486" s="1" t="str">
        <f t="shared" si="93"/>
        <v>威尔新数值1.06.xlsm!monsterDamage</v>
      </c>
    </row>
    <row r="1487" spans="1:9" x14ac:dyDescent="0.15">
      <c r="A1487" s="1">
        <v>1486</v>
      </c>
      <c r="B1487" s="1">
        <v>102010800</v>
      </c>
      <c r="C1487" s="1">
        <f t="shared" si="92"/>
        <v>108</v>
      </c>
      <c r="D1487" s="5">
        <f ca="1">IF(getQuality(B1487)&lt;4,getOtherMin(B1487,C1487,INDIRECT(J$2),INDIRECT(I1487),test),getMin(B1487,C1487,INDIRECT(J$2),INDIRECT(I1487),test))</f>
        <v>0.06</v>
      </c>
      <c r="E1487" s="5">
        <f ca="1">IF(getQuality(B1487)&lt;4,getOtherMax(B1487,C1487,INDIRECT(J$2),INDIRECT(I1487),test),getMax(B1487,C1487,INDIRECT(J$2),INDIRECT(I1487),test))</f>
        <v>0.12</v>
      </c>
      <c r="F1487" s="1" t="str">
        <f t="shared" si="94"/>
        <v>50</v>
      </c>
      <c r="G1487" s="1" t="str">
        <f t="shared" si="95"/>
        <v/>
      </c>
      <c r="I1487" s="1" t="str">
        <f t="shared" si="93"/>
        <v>威尔新数值1.06.xlsm!monsterDamage</v>
      </c>
    </row>
    <row r="1488" spans="1:9" x14ac:dyDescent="0.15">
      <c r="A1488" s="1">
        <v>1487</v>
      </c>
      <c r="B1488" s="1">
        <v>102020800</v>
      </c>
      <c r="C1488" s="1">
        <f t="shared" si="92"/>
        <v>3</v>
      </c>
      <c r="D1488" s="5">
        <f ca="1">IF(getQuality(B1488)&lt;4,getOtherMin(B1488,C1488,INDIRECT(J$2),INDIRECT(I1488),test),getMin(B1488,C1488,INDIRECT(J$2),INDIRECT(I1488),test))</f>
        <v>22.008641265250315</v>
      </c>
      <c r="E1488" s="5">
        <f ca="1">IF(getQuality(B1488)&lt;4,getOtherMax(B1488,C1488,INDIRECT(J$2),INDIRECT(I1488),test),getMax(B1488,C1488,INDIRECT(J$2),INDIRECT(I1488),test))</f>
        <v>46.219010783550694</v>
      </c>
      <c r="F1488" s="1" t="str">
        <f t="shared" si="94"/>
        <v>50</v>
      </c>
      <c r="G1488" s="1" t="str">
        <f t="shared" si="95"/>
        <v/>
      </c>
      <c r="I1488" s="1" t="str">
        <f t="shared" si="93"/>
        <v>威尔新数值1.06.xlsm!suitPower</v>
      </c>
    </row>
    <row r="1489" spans="1:9" x14ac:dyDescent="0.15">
      <c r="A1489" s="1">
        <v>1488</v>
      </c>
      <c r="B1489" s="1">
        <v>102020800</v>
      </c>
      <c r="C1489" s="1">
        <f t="shared" si="92"/>
        <v>5</v>
      </c>
      <c r="D1489" s="5">
        <f ca="1">IF(getQuality(B1489)&lt;4,getOtherMin(B1489,C1489,INDIRECT(J$2),INDIRECT(I1489),test),getMin(B1489,C1489,INDIRECT(J$2),INDIRECT(I1489),test))</f>
        <v>22.008641265250315</v>
      </c>
      <c r="E1489" s="5">
        <f ca="1">IF(getQuality(B1489)&lt;4,getOtherMax(B1489,C1489,INDIRECT(J$2),INDIRECT(I1489),test),getMax(B1489,C1489,INDIRECT(J$2),INDIRECT(I1489),test))</f>
        <v>46.219010783550694</v>
      </c>
      <c r="F1489" s="1" t="str">
        <f t="shared" si="94"/>
        <v>50</v>
      </c>
      <c r="G1489" s="1" t="str">
        <f t="shared" si="95"/>
        <v>1</v>
      </c>
      <c r="I1489" s="1" t="str">
        <f t="shared" si="93"/>
        <v>威尔新数值1.06.xlsm!suitPower</v>
      </c>
    </row>
    <row r="1490" spans="1:9" x14ac:dyDescent="0.15">
      <c r="A1490" s="1">
        <v>1489</v>
      </c>
      <c r="B1490" s="1">
        <v>102020800</v>
      </c>
      <c r="C1490" s="1">
        <f t="shared" si="92"/>
        <v>7</v>
      </c>
      <c r="D1490" s="5">
        <f ca="1">IF(getQuality(B1490)&lt;4,getOtherMin(B1490,C1490,INDIRECT(J$2),INDIRECT(I1490),test),getMin(B1490,C1490,INDIRECT(J$2),INDIRECT(I1490),test))</f>
        <v>7.481481481481465</v>
      </c>
      <c r="E1490" s="5">
        <f ca="1">IF(getQuality(B1490)&lt;4,getOtherMax(B1490,C1490,INDIRECT(J$2),INDIRECT(I1490),test),getMax(B1490,C1490,INDIRECT(J$2),INDIRECT(I1490),test))</f>
        <v>12.96296296296293</v>
      </c>
      <c r="F1490" s="1" t="str">
        <f t="shared" si="94"/>
        <v>50</v>
      </c>
      <c r="G1490" s="1" t="str">
        <f t="shared" si="95"/>
        <v/>
      </c>
      <c r="I1490" s="1" t="str">
        <f t="shared" si="93"/>
        <v>威尔新数值1.06.xlsm!suitPower</v>
      </c>
    </row>
    <row r="1491" spans="1:9" x14ac:dyDescent="0.15">
      <c r="A1491" s="1">
        <v>1490</v>
      </c>
      <c r="B1491" s="1">
        <v>102020800</v>
      </c>
      <c r="C1491" s="1">
        <f t="shared" si="92"/>
        <v>8</v>
      </c>
      <c r="D1491" s="5">
        <f ca="1">IF(getQuality(B1491)&lt;4,getOtherMin(B1491,C1491,INDIRECT(J$2),INDIRECT(I1491),test),getMin(B1491,C1491,INDIRECT(J$2),INDIRECT(I1491),test))</f>
        <v>15.583333333333334</v>
      </c>
      <c r="E1491" s="5">
        <f ca="1">IF(getQuality(B1491)&lt;4,getOtherMax(B1491,C1491,INDIRECT(J$2),INDIRECT(I1491),test),getMax(B1491,C1491,INDIRECT(J$2),INDIRECT(I1491),test))</f>
        <v>29.166666666666668</v>
      </c>
      <c r="F1491" s="1" t="str">
        <f t="shared" si="94"/>
        <v>50</v>
      </c>
      <c r="G1491" s="1" t="str">
        <f t="shared" si="95"/>
        <v/>
      </c>
      <c r="I1491" s="1" t="str">
        <f t="shared" si="93"/>
        <v>威尔新数值1.06.xlsm!suitPower</v>
      </c>
    </row>
    <row r="1492" spans="1:9" x14ac:dyDescent="0.15">
      <c r="A1492" s="1">
        <v>1491</v>
      </c>
      <c r="B1492" s="1">
        <v>102020800</v>
      </c>
      <c r="C1492" s="1">
        <f t="shared" si="92"/>
        <v>9</v>
      </c>
      <c r="D1492" s="5">
        <f ca="1">IF(getQuality(B1492)&lt;4,getOtherMin(B1492,C1492,INDIRECT(J$2),INDIRECT(I1492),test),getMin(B1492,C1492,INDIRECT(J$2),INDIRECT(I1492),test))</f>
        <v>22.008641265250315</v>
      </c>
      <c r="E1492" s="5">
        <f ca="1">IF(getQuality(B1492)&lt;4,getOtherMax(B1492,C1492,INDIRECT(J$2),INDIRECT(I1492),test),getMax(B1492,C1492,INDIRECT(J$2),INDIRECT(I1492),test))</f>
        <v>46.219010783550694</v>
      </c>
      <c r="F1492" s="1" t="str">
        <f t="shared" si="94"/>
        <v>50</v>
      </c>
      <c r="G1492" s="1" t="str">
        <f t="shared" si="95"/>
        <v/>
      </c>
      <c r="I1492" s="1" t="str">
        <f t="shared" si="93"/>
        <v>威尔新数值1.06.xlsm!suitPower</v>
      </c>
    </row>
    <row r="1493" spans="1:9" x14ac:dyDescent="0.15">
      <c r="A1493" s="1">
        <v>1492</v>
      </c>
      <c r="B1493" s="1">
        <v>102020800</v>
      </c>
      <c r="C1493" s="1">
        <f t="shared" si="92"/>
        <v>10</v>
      </c>
      <c r="D1493" s="5">
        <f ca="1">IF(getQuality(B1493)&lt;4,getOtherMin(B1493,C1493,INDIRECT(J$2),INDIRECT(I1493),test),getMin(B1493,C1493,INDIRECT(J$2),INDIRECT(I1493),test))</f>
        <v>22.008641265250315</v>
      </c>
      <c r="E1493" s="5">
        <f ca="1">IF(getQuality(B1493)&lt;4,getOtherMax(B1493,C1493,INDIRECT(J$2),INDIRECT(I1493),test),getMax(B1493,C1493,INDIRECT(J$2),INDIRECT(I1493),test))</f>
        <v>46.219010783550694</v>
      </c>
      <c r="F1493" s="1" t="str">
        <f t="shared" si="94"/>
        <v>50</v>
      </c>
      <c r="G1493" s="1" t="str">
        <f t="shared" si="95"/>
        <v/>
      </c>
      <c r="I1493" s="1" t="str">
        <f t="shared" si="93"/>
        <v>威尔新数值1.06.xlsm!suitPower</v>
      </c>
    </row>
    <row r="1494" spans="1:9" x14ac:dyDescent="0.15">
      <c r="A1494" s="1">
        <v>1493</v>
      </c>
      <c r="B1494" s="1">
        <v>102020800</v>
      </c>
      <c r="C1494" s="1">
        <f t="shared" si="92"/>
        <v>11</v>
      </c>
      <c r="D1494" s="5">
        <f ca="1">IF(getQuality(B1494)&lt;4,getOtherMin(B1494,C1494,INDIRECT(J$2),INDIRECT(I1494),test),getMin(B1494,C1494,INDIRECT(J$2),INDIRECT(I1494),test))</f>
        <v>22.008641265250315</v>
      </c>
      <c r="E1494" s="5">
        <f ca="1">IF(getQuality(B1494)&lt;4,getOtherMax(B1494,C1494,INDIRECT(J$2),INDIRECT(I1494),test),getMax(B1494,C1494,INDIRECT(J$2),INDIRECT(I1494),test))</f>
        <v>46.219010783550694</v>
      </c>
      <c r="F1494" s="1" t="str">
        <f t="shared" si="94"/>
        <v>50</v>
      </c>
      <c r="G1494" s="1" t="str">
        <f t="shared" si="95"/>
        <v/>
      </c>
      <c r="I1494" s="1" t="str">
        <f t="shared" si="93"/>
        <v>威尔新数值1.06.xlsm!suitPower</v>
      </c>
    </row>
    <row r="1495" spans="1:9" x14ac:dyDescent="0.15">
      <c r="A1495" s="1">
        <v>1494</v>
      </c>
      <c r="B1495" s="1">
        <v>102020800</v>
      </c>
      <c r="C1495" s="1">
        <f t="shared" si="92"/>
        <v>12</v>
      </c>
      <c r="D1495" s="5">
        <f ca="1">IF(getQuality(B1495)&lt;4,getOtherMin(B1495,C1495,INDIRECT(J$2),INDIRECT(I1495),test),getMin(B1495,C1495,INDIRECT(J$2),INDIRECT(I1495),test))</f>
        <v>22.008641265250315</v>
      </c>
      <c r="E1495" s="5">
        <f ca="1">IF(getQuality(B1495)&lt;4,getOtherMax(B1495,C1495,INDIRECT(J$2),INDIRECT(I1495),test),getMax(B1495,C1495,INDIRECT(J$2),INDIRECT(I1495),test))</f>
        <v>46.219010783550694</v>
      </c>
      <c r="F1495" s="1" t="str">
        <f t="shared" si="94"/>
        <v>50</v>
      </c>
      <c r="G1495" s="1" t="str">
        <f t="shared" si="95"/>
        <v/>
      </c>
      <c r="I1495" s="1" t="str">
        <f t="shared" si="93"/>
        <v>威尔新数值1.06.xlsm!suitPower</v>
      </c>
    </row>
    <row r="1496" spans="1:9" x14ac:dyDescent="0.15">
      <c r="A1496" s="1">
        <v>1495</v>
      </c>
      <c r="B1496" s="1">
        <v>102020800</v>
      </c>
      <c r="C1496" s="1">
        <f t="shared" si="92"/>
        <v>13</v>
      </c>
      <c r="D1496" s="5">
        <f ca="1">IF(getQuality(B1496)&lt;4,getOtherMin(B1496,C1496,INDIRECT(J$2),INDIRECT(I1496),test),getMin(B1496,C1496,INDIRECT(J$2),INDIRECT(I1496),test))</f>
        <v>22.008641265250315</v>
      </c>
      <c r="E1496" s="5">
        <f ca="1">IF(getQuality(B1496)&lt;4,getOtherMax(B1496,C1496,INDIRECT(J$2),INDIRECT(I1496),test),getMax(B1496,C1496,INDIRECT(J$2),INDIRECT(I1496),test))</f>
        <v>46.219010783550694</v>
      </c>
      <c r="F1496" s="1" t="str">
        <f t="shared" si="94"/>
        <v>50</v>
      </c>
      <c r="G1496" s="1" t="str">
        <f t="shared" si="95"/>
        <v/>
      </c>
      <c r="I1496" s="1" t="str">
        <f t="shared" si="93"/>
        <v>威尔新数值1.06.xlsm!suitPower</v>
      </c>
    </row>
    <row r="1497" spans="1:9" x14ac:dyDescent="0.15">
      <c r="A1497" s="1">
        <v>1496</v>
      </c>
      <c r="B1497" s="1">
        <v>102020800</v>
      </c>
      <c r="C1497" s="1">
        <f t="shared" si="92"/>
        <v>14</v>
      </c>
      <c r="D1497" s="5">
        <f ca="1">IF(getQuality(B1497)&lt;4,getOtherMin(B1497,C1497,INDIRECT(J$2),INDIRECT(I1497),test),getMin(B1497,C1497,INDIRECT(J$2),INDIRECT(I1497),test))</f>
        <v>22.008641265250315</v>
      </c>
      <c r="E1497" s="5">
        <f ca="1">IF(getQuality(B1497)&lt;4,getOtherMax(B1497,C1497,INDIRECT(J$2),INDIRECT(I1497),test),getMax(B1497,C1497,INDIRECT(J$2),INDIRECT(I1497),test))</f>
        <v>46.219010783550694</v>
      </c>
      <c r="F1497" s="1" t="str">
        <f t="shared" si="94"/>
        <v>50</v>
      </c>
      <c r="G1497" s="1" t="str">
        <f t="shared" si="95"/>
        <v/>
      </c>
      <c r="I1497" s="1" t="str">
        <f t="shared" si="93"/>
        <v>威尔新数值1.06.xlsm!suitPower</v>
      </c>
    </row>
    <row r="1498" spans="1:9" x14ac:dyDescent="0.15">
      <c r="A1498" s="1">
        <v>1497</v>
      </c>
      <c r="B1498" s="1">
        <v>102020800</v>
      </c>
      <c r="C1498" s="1">
        <f t="shared" si="92"/>
        <v>15</v>
      </c>
      <c r="D1498" s="5">
        <f ca="1">IF(getQuality(B1498)&lt;4,getOtherMin(B1498,C1498,INDIRECT(J$2),INDIRECT(I1498),test),getMin(B1498,C1498,INDIRECT(J$2),INDIRECT(I1498),test))</f>
        <v>22.008641265250315</v>
      </c>
      <c r="E1498" s="5">
        <f ca="1">IF(getQuality(B1498)&lt;4,getOtherMax(B1498,C1498,INDIRECT(J$2),INDIRECT(I1498),test),getMax(B1498,C1498,INDIRECT(J$2),INDIRECT(I1498),test))</f>
        <v>46.219010783550694</v>
      </c>
      <c r="F1498" s="1" t="str">
        <f t="shared" si="94"/>
        <v>50</v>
      </c>
      <c r="G1498" s="1" t="str">
        <f t="shared" si="95"/>
        <v/>
      </c>
      <c r="I1498" s="1" t="str">
        <f t="shared" si="93"/>
        <v>威尔新数值1.06.xlsm!suitPower</v>
      </c>
    </row>
    <row r="1499" spans="1:9" x14ac:dyDescent="0.15">
      <c r="A1499" s="1">
        <v>1498</v>
      </c>
      <c r="B1499" s="1">
        <v>102020800</v>
      </c>
      <c r="C1499" s="1">
        <f t="shared" si="92"/>
        <v>101</v>
      </c>
      <c r="D1499" s="5">
        <f ca="1">IF(getQuality(B1499)&lt;4,getOtherMin(B1499,C1499,INDIRECT(J$2),INDIRECT(I1499),test),getMin(B1499,C1499,INDIRECT(J$2),INDIRECT(I1499),test))</f>
        <v>7.0000000000000007E-2</v>
      </c>
      <c r="E1499" s="5">
        <f ca="1">IF(getQuality(B1499)&lt;4,getOtherMax(B1499,C1499,INDIRECT(J$2),INDIRECT(I1499),test),getMax(B1499,C1499,INDIRECT(J$2),INDIRECT(I1499),test))</f>
        <v>0.1</v>
      </c>
      <c r="F1499" s="1" t="str">
        <f t="shared" si="94"/>
        <v>50</v>
      </c>
      <c r="G1499" s="1" t="str">
        <f t="shared" si="95"/>
        <v/>
      </c>
      <c r="I1499" s="1" t="str">
        <f t="shared" si="93"/>
        <v>威尔新数值1.06.xlsm!circlePer</v>
      </c>
    </row>
    <row r="1500" spans="1:9" x14ac:dyDescent="0.15">
      <c r="A1500" s="1">
        <v>1499</v>
      </c>
      <c r="B1500" s="1">
        <v>102020800</v>
      </c>
      <c r="C1500" s="1">
        <f t="shared" si="92"/>
        <v>102</v>
      </c>
      <c r="D1500" s="5">
        <f ca="1">IF(getQuality(B1500)&lt;4,getOtherMin(B1500,C1500,INDIRECT(J$2),INDIRECT(I1500),test),getMin(B1500,C1500,INDIRECT(J$2),INDIRECT(I1500),test))</f>
        <v>0.5</v>
      </c>
      <c r="E1500" s="5">
        <f ca="1">IF(getQuality(B1500)&lt;4,getOtherMax(B1500,C1500,INDIRECT(J$2),INDIRECT(I1500),test),getMax(B1500,C1500,INDIRECT(J$2),INDIRECT(I1500),test))</f>
        <v>0.9</v>
      </c>
      <c r="F1500" s="1" t="str">
        <f t="shared" si="94"/>
        <v>50</v>
      </c>
      <c r="G1500" s="1" t="str">
        <f t="shared" si="95"/>
        <v/>
      </c>
      <c r="I1500" s="1" t="str">
        <f t="shared" si="93"/>
        <v>威尔新数值1.06.xlsm!circleValue</v>
      </c>
    </row>
    <row r="1501" spans="1:9" x14ac:dyDescent="0.15">
      <c r="A1501" s="1">
        <v>1500</v>
      </c>
      <c r="B1501" s="1">
        <v>102020800</v>
      </c>
      <c r="C1501" s="1">
        <f t="shared" si="92"/>
        <v>103</v>
      </c>
      <c r="D1501" s="5">
        <f ca="1">IF(getQuality(B1501)&lt;4,getOtherMin(B1501,C1501,INDIRECT(J$2),INDIRECT(I1501),test),getMin(B1501,C1501,INDIRECT(J$2),INDIRECT(I1501),test))</f>
        <v>7.0000000000000007E-2</v>
      </c>
      <c r="E1501" s="5">
        <f ca="1">IF(getQuality(B1501)&lt;4,getOtherMax(B1501,C1501,INDIRECT(J$2),INDIRECT(I1501),test),getMax(B1501,C1501,INDIRECT(J$2),INDIRECT(I1501),test))</f>
        <v>0.1</v>
      </c>
      <c r="F1501" s="1" t="str">
        <f t="shared" si="94"/>
        <v>50</v>
      </c>
      <c r="G1501" s="1" t="str">
        <f t="shared" si="95"/>
        <v/>
      </c>
      <c r="I1501" s="1" t="str">
        <f t="shared" si="93"/>
        <v>威尔新数值1.06.xlsm!otherDamage</v>
      </c>
    </row>
    <row r="1502" spans="1:9" x14ac:dyDescent="0.15">
      <c r="A1502" s="1">
        <v>1501</v>
      </c>
      <c r="B1502" s="1">
        <v>102020800</v>
      </c>
      <c r="C1502" s="1">
        <f t="shared" si="92"/>
        <v>104</v>
      </c>
      <c r="D1502" s="5">
        <f ca="1">IF(getQuality(B1502)&lt;4,getOtherMin(B1502,C1502,INDIRECT(J$2),INDIRECT(I1502),test),getMin(B1502,C1502,INDIRECT(J$2),INDIRECT(I1502),test))</f>
        <v>7.0000000000000007E-2</v>
      </c>
      <c r="E1502" s="5">
        <f ca="1">IF(getQuality(B1502)&lt;4,getOtherMax(B1502,C1502,INDIRECT(J$2),INDIRECT(I1502),test),getMax(B1502,C1502,INDIRECT(J$2),INDIRECT(I1502),test))</f>
        <v>0.14000000000000001</v>
      </c>
      <c r="F1502" s="1" t="str">
        <f t="shared" si="94"/>
        <v>50</v>
      </c>
      <c r="G1502" s="1" t="str">
        <f t="shared" si="95"/>
        <v/>
      </c>
      <c r="I1502" s="1" t="str">
        <f t="shared" si="93"/>
        <v>威尔新数值1.06.xlsm!monsterDamage</v>
      </c>
    </row>
    <row r="1503" spans="1:9" x14ac:dyDescent="0.15">
      <c r="A1503" s="1">
        <v>1502</v>
      </c>
      <c r="B1503" s="1">
        <v>102020800</v>
      </c>
      <c r="C1503" s="1">
        <f t="shared" si="92"/>
        <v>105</v>
      </c>
      <c r="D1503" s="5">
        <f ca="1">IF(getQuality(B1503)&lt;4,getOtherMin(B1503,C1503,INDIRECT(J$2),INDIRECT(I1503),test),getMin(B1503,C1503,INDIRECT(J$2),INDIRECT(I1503),test))</f>
        <v>7.0000000000000007E-2</v>
      </c>
      <c r="E1503" s="5">
        <f ca="1">IF(getQuality(B1503)&lt;4,getOtherMax(B1503,C1503,INDIRECT(J$2),INDIRECT(I1503),test),getMax(B1503,C1503,INDIRECT(J$2),INDIRECT(I1503),test))</f>
        <v>0.14000000000000001</v>
      </c>
      <c r="F1503" s="1" t="str">
        <f t="shared" si="94"/>
        <v>50</v>
      </c>
      <c r="G1503" s="1" t="str">
        <f t="shared" si="95"/>
        <v/>
      </c>
      <c r="I1503" s="1" t="str">
        <f t="shared" si="93"/>
        <v>威尔新数值1.06.xlsm!monsterDamage</v>
      </c>
    </row>
    <row r="1504" spans="1:9" x14ac:dyDescent="0.15">
      <c r="A1504" s="1">
        <v>1503</v>
      </c>
      <c r="B1504" s="1">
        <v>102020800</v>
      </c>
      <c r="C1504" s="1">
        <f t="shared" si="92"/>
        <v>106</v>
      </c>
      <c r="D1504" s="5">
        <f ca="1">IF(getQuality(B1504)&lt;4,getOtherMin(B1504,C1504,INDIRECT(J$2),INDIRECT(I1504),test),getMin(B1504,C1504,INDIRECT(J$2),INDIRECT(I1504),test))</f>
        <v>7.0000000000000007E-2</v>
      </c>
      <c r="E1504" s="5">
        <f ca="1">IF(getQuality(B1504)&lt;4,getOtherMax(B1504,C1504,INDIRECT(J$2),INDIRECT(I1504),test),getMax(B1504,C1504,INDIRECT(J$2),INDIRECT(I1504),test))</f>
        <v>0.14000000000000001</v>
      </c>
      <c r="F1504" s="1" t="str">
        <f t="shared" si="94"/>
        <v>50</v>
      </c>
      <c r="G1504" s="1" t="str">
        <f t="shared" si="95"/>
        <v/>
      </c>
      <c r="I1504" s="1" t="str">
        <f t="shared" si="93"/>
        <v>威尔新数值1.06.xlsm!monsterDamage</v>
      </c>
    </row>
    <row r="1505" spans="1:9" x14ac:dyDescent="0.15">
      <c r="A1505" s="1">
        <v>1504</v>
      </c>
      <c r="B1505" s="1">
        <v>102020800</v>
      </c>
      <c r="C1505" s="1">
        <f t="shared" si="92"/>
        <v>107</v>
      </c>
      <c r="D1505" s="5">
        <f ca="1">IF(getQuality(B1505)&lt;4,getOtherMin(B1505,C1505,INDIRECT(J$2),INDIRECT(I1505),test),getMin(B1505,C1505,INDIRECT(J$2),INDIRECT(I1505),test))</f>
        <v>7.0000000000000007E-2</v>
      </c>
      <c r="E1505" s="5">
        <f ca="1">IF(getQuality(B1505)&lt;4,getOtherMax(B1505,C1505,INDIRECT(J$2),INDIRECT(I1505),test),getMax(B1505,C1505,INDIRECT(J$2),INDIRECT(I1505),test))</f>
        <v>0.14000000000000001</v>
      </c>
      <c r="F1505" s="1" t="str">
        <f t="shared" si="94"/>
        <v>50</v>
      </c>
      <c r="G1505" s="1" t="str">
        <f t="shared" si="95"/>
        <v/>
      </c>
      <c r="I1505" s="1" t="str">
        <f t="shared" si="93"/>
        <v>威尔新数值1.06.xlsm!monsterDamage</v>
      </c>
    </row>
    <row r="1506" spans="1:9" x14ac:dyDescent="0.15">
      <c r="A1506" s="1">
        <v>1505</v>
      </c>
      <c r="B1506" s="1">
        <v>102020800</v>
      </c>
      <c r="C1506" s="1">
        <f t="shared" si="92"/>
        <v>108</v>
      </c>
      <c r="D1506" s="5">
        <f ca="1">IF(getQuality(B1506)&lt;4,getOtherMin(B1506,C1506,INDIRECT(J$2),INDIRECT(I1506),test),getMin(B1506,C1506,INDIRECT(J$2),INDIRECT(I1506),test))</f>
        <v>7.0000000000000007E-2</v>
      </c>
      <c r="E1506" s="5">
        <f ca="1">IF(getQuality(B1506)&lt;4,getOtherMax(B1506,C1506,INDIRECT(J$2),INDIRECT(I1506),test),getMax(B1506,C1506,INDIRECT(J$2),INDIRECT(I1506),test))</f>
        <v>0.14000000000000001</v>
      </c>
      <c r="F1506" s="1" t="str">
        <f t="shared" si="94"/>
        <v>50</v>
      </c>
      <c r="G1506" s="1" t="str">
        <f t="shared" si="95"/>
        <v/>
      </c>
      <c r="I1506" s="1" t="str">
        <f t="shared" si="93"/>
        <v>威尔新数值1.06.xlsm!monsterDamage</v>
      </c>
    </row>
    <row r="1507" spans="1:9" x14ac:dyDescent="0.15">
      <c r="A1507" s="1">
        <v>1506</v>
      </c>
      <c r="B1507" s="1">
        <v>102030800</v>
      </c>
      <c r="C1507" s="1">
        <f t="shared" si="92"/>
        <v>3</v>
      </c>
      <c r="D1507" s="5">
        <f ca="1">IF(getQuality(B1507)&lt;4,getOtherMin(B1507,C1507,INDIRECT(J$2),INDIRECT(I1507),test),getMin(B1507,C1507,INDIRECT(J$2),INDIRECT(I1507),test))</f>
        <v>47.219010783550694</v>
      </c>
      <c r="E1507" s="5">
        <f ca="1">IF(getQuality(B1507)&lt;4,getOtherMax(B1507,C1507,INDIRECT(J$2),INDIRECT(I1507),test),getMax(B1507,C1507,INDIRECT(J$2),INDIRECT(I1507),test))</f>
        <v>75.631108554901132</v>
      </c>
      <c r="F1507" s="1" t="str">
        <f t="shared" si="94"/>
        <v>50</v>
      </c>
      <c r="G1507" s="1" t="str">
        <f t="shared" si="95"/>
        <v/>
      </c>
      <c r="I1507" s="1" t="str">
        <f t="shared" si="93"/>
        <v>威尔新数值1.06.xlsm!suitPower</v>
      </c>
    </row>
    <row r="1508" spans="1:9" x14ac:dyDescent="0.15">
      <c r="A1508" s="1">
        <v>1507</v>
      </c>
      <c r="B1508" s="1">
        <v>102030800</v>
      </c>
      <c r="C1508" s="1">
        <f t="shared" ref="C1508:C1571" si="96">C1489</f>
        <v>5</v>
      </c>
      <c r="D1508" s="5">
        <f ca="1">IF(getQuality(B1508)&lt;4,getOtherMin(B1508,C1508,INDIRECT(J$2),INDIRECT(I1508),test),getMin(B1508,C1508,INDIRECT(J$2),INDIRECT(I1508),test))</f>
        <v>47.219010783550694</v>
      </c>
      <c r="E1508" s="5">
        <f ca="1">IF(getQuality(B1508)&lt;4,getOtherMax(B1508,C1508,INDIRECT(J$2),INDIRECT(I1508),test),getMax(B1508,C1508,INDIRECT(J$2),INDIRECT(I1508),test))</f>
        <v>75.631108554901132</v>
      </c>
      <c r="F1508" s="1" t="str">
        <f t="shared" si="94"/>
        <v>50</v>
      </c>
      <c r="G1508" s="1" t="str">
        <f t="shared" si="95"/>
        <v>1</v>
      </c>
      <c r="I1508" s="1" t="str">
        <f t="shared" si="93"/>
        <v>威尔新数值1.06.xlsm!suitPower</v>
      </c>
    </row>
    <row r="1509" spans="1:9" x14ac:dyDescent="0.15">
      <c r="A1509" s="1">
        <v>1508</v>
      </c>
      <c r="B1509" s="1">
        <v>102030800</v>
      </c>
      <c r="C1509" s="1">
        <f t="shared" si="96"/>
        <v>7</v>
      </c>
      <c r="D1509" s="5">
        <f ca="1">IF(getQuality(B1509)&lt;4,getOtherMin(B1509,C1509,INDIRECT(J$2),INDIRECT(I1509),test),getMin(B1509,C1509,INDIRECT(J$2),INDIRECT(I1509),test))</f>
        <v>13.96296296296293</v>
      </c>
      <c r="E1509" s="5">
        <f ca="1">IF(getQuality(B1509)&lt;4,getOtherMax(B1509,C1509,INDIRECT(J$2),INDIRECT(I1509),test),getMax(B1509,C1509,INDIRECT(J$2),INDIRECT(I1509),test))</f>
        <v>19.444444444444393</v>
      </c>
      <c r="F1509" s="1" t="str">
        <f t="shared" si="94"/>
        <v>50</v>
      </c>
      <c r="G1509" s="1" t="str">
        <f t="shared" si="95"/>
        <v/>
      </c>
      <c r="I1509" s="1" t="str">
        <f t="shared" si="93"/>
        <v>威尔新数值1.06.xlsm!suitPower</v>
      </c>
    </row>
    <row r="1510" spans="1:9" x14ac:dyDescent="0.15">
      <c r="A1510" s="1">
        <v>1509</v>
      </c>
      <c r="B1510" s="1">
        <v>102030800</v>
      </c>
      <c r="C1510" s="1">
        <f t="shared" si="96"/>
        <v>8</v>
      </c>
      <c r="D1510" s="5">
        <f ca="1">IF(getQuality(B1510)&lt;4,getOtherMin(B1510,C1510,INDIRECT(J$2),INDIRECT(I1510),test),getMin(B1510,C1510,INDIRECT(J$2),INDIRECT(I1510),test))</f>
        <v>30.166666666666668</v>
      </c>
      <c r="E1510" s="5">
        <f ca="1">IF(getQuality(B1510)&lt;4,getOtherMax(B1510,C1510,INDIRECT(J$2),INDIRECT(I1510),test),getMax(B1510,C1510,INDIRECT(J$2),INDIRECT(I1510),test))</f>
        <v>43.75</v>
      </c>
      <c r="F1510" s="1" t="str">
        <f t="shared" si="94"/>
        <v>50</v>
      </c>
      <c r="G1510" s="1" t="str">
        <f t="shared" si="95"/>
        <v/>
      </c>
      <c r="I1510" s="1" t="str">
        <f t="shared" si="93"/>
        <v>威尔新数值1.06.xlsm!suitPower</v>
      </c>
    </row>
    <row r="1511" spans="1:9" x14ac:dyDescent="0.15">
      <c r="A1511" s="1">
        <v>1510</v>
      </c>
      <c r="B1511" s="1">
        <v>102030800</v>
      </c>
      <c r="C1511" s="1">
        <f t="shared" si="96"/>
        <v>9</v>
      </c>
      <c r="D1511" s="5">
        <f ca="1">IF(getQuality(B1511)&lt;4,getOtherMin(B1511,C1511,INDIRECT(J$2),INDIRECT(I1511),test),getMin(B1511,C1511,INDIRECT(J$2),INDIRECT(I1511),test))</f>
        <v>47.219010783550694</v>
      </c>
      <c r="E1511" s="5">
        <f ca="1">IF(getQuality(B1511)&lt;4,getOtherMax(B1511,C1511,INDIRECT(J$2),INDIRECT(I1511),test),getMax(B1511,C1511,INDIRECT(J$2),INDIRECT(I1511),test))</f>
        <v>75.631108554901132</v>
      </c>
      <c r="F1511" s="1" t="str">
        <f t="shared" si="94"/>
        <v>50</v>
      </c>
      <c r="G1511" s="1" t="str">
        <f t="shared" si="95"/>
        <v/>
      </c>
      <c r="I1511" s="1" t="str">
        <f t="shared" si="93"/>
        <v>威尔新数值1.06.xlsm!suitPower</v>
      </c>
    </row>
    <row r="1512" spans="1:9" x14ac:dyDescent="0.15">
      <c r="A1512" s="1">
        <v>1511</v>
      </c>
      <c r="B1512" s="1">
        <v>102030800</v>
      </c>
      <c r="C1512" s="1">
        <f t="shared" si="96"/>
        <v>10</v>
      </c>
      <c r="D1512" s="5">
        <f ca="1">IF(getQuality(B1512)&lt;4,getOtherMin(B1512,C1512,INDIRECT(J$2),INDIRECT(I1512),test),getMin(B1512,C1512,INDIRECT(J$2),INDIRECT(I1512),test))</f>
        <v>47.219010783550694</v>
      </c>
      <c r="E1512" s="5">
        <f ca="1">IF(getQuality(B1512)&lt;4,getOtherMax(B1512,C1512,INDIRECT(J$2),INDIRECT(I1512),test),getMax(B1512,C1512,INDIRECT(J$2),INDIRECT(I1512),test))</f>
        <v>75.631108554901132</v>
      </c>
      <c r="F1512" s="1" t="str">
        <f t="shared" si="94"/>
        <v>50</v>
      </c>
      <c r="G1512" s="1" t="str">
        <f t="shared" si="95"/>
        <v/>
      </c>
      <c r="I1512" s="1" t="str">
        <f t="shared" si="93"/>
        <v>威尔新数值1.06.xlsm!suitPower</v>
      </c>
    </row>
    <row r="1513" spans="1:9" x14ac:dyDescent="0.15">
      <c r="A1513" s="1">
        <v>1512</v>
      </c>
      <c r="B1513" s="1">
        <v>102030800</v>
      </c>
      <c r="C1513" s="1">
        <f t="shared" si="96"/>
        <v>11</v>
      </c>
      <c r="D1513" s="5">
        <f ca="1">IF(getQuality(B1513)&lt;4,getOtherMin(B1513,C1513,INDIRECT(J$2),INDIRECT(I1513),test),getMin(B1513,C1513,INDIRECT(J$2),INDIRECT(I1513),test))</f>
        <v>47.219010783550694</v>
      </c>
      <c r="E1513" s="5">
        <f ca="1">IF(getQuality(B1513)&lt;4,getOtherMax(B1513,C1513,INDIRECT(J$2),INDIRECT(I1513),test),getMax(B1513,C1513,INDIRECT(J$2),INDIRECT(I1513),test))</f>
        <v>75.631108554901132</v>
      </c>
      <c r="F1513" s="1" t="str">
        <f t="shared" si="94"/>
        <v>50</v>
      </c>
      <c r="G1513" s="1" t="str">
        <f t="shared" si="95"/>
        <v/>
      </c>
      <c r="I1513" s="1" t="str">
        <f t="shared" si="93"/>
        <v>威尔新数值1.06.xlsm!suitPower</v>
      </c>
    </row>
    <row r="1514" spans="1:9" x14ac:dyDescent="0.15">
      <c r="A1514" s="1">
        <v>1513</v>
      </c>
      <c r="B1514" s="1">
        <v>102030800</v>
      </c>
      <c r="C1514" s="1">
        <f t="shared" si="96"/>
        <v>12</v>
      </c>
      <c r="D1514" s="5">
        <f ca="1">IF(getQuality(B1514)&lt;4,getOtherMin(B1514,C1514,INDIRECT(J$2),INDIRECT(I1514),test),getMin(B1514,C1514,INDIRECT(J$2),INDIRECT(I1514),test))</f>
        <v>47.219010783550694</v>
      </c>
      <c r="E1514" s="5">
        <f ca="1">IF(getQuality(B1514)&lt;4,getOtherMax(B1514,C1514,INDIRECT(J$2),INDIRECT(I1514),test),getMax(B1514,C1514,INDIRECT(J$2),INDIRECT(I1514),test))</f>
        <v>75.631108554901132</v>
      </c>
      <c r="F1514" s="1" t="str">
        <f t="shared" si="94"/>
        <v>50</v>
      </c>
      <c r="G1514" s="1" t="str">
        <f t="shared" si="95"/>
        <v/>
      </c>
      <c r="I1514" s="1" t="str">
        <f t="shared" si="93"/>
        <v>威尔新数值1.06.xlsm!suitPower</v>
      </c>
    </row>
    <row r="1515" spans="1:9" x14ac:dyDescent="0.15">
      <c r="A1515" s="1">
        <v>1514</v>
      </c>
      <c r="B1515" s="1">
        <v>102030800</v>
      </c>
      <c r="C1515" s="1">
        <f t="shared" si="96"/>
        <v>13</v>
      </c>
      <c r="D1515" s="5">
        <f ca="1">IF(getQuality(B1515)&lt;4,getOtherMin(B1515,C1515,INDIRECT(J$2),INDIRECT(I1515),test),getMin(B1515,C1515,INDIRECT(J$2),INDIRECT(I1515),test))</f>
        <v>47.219010783550694</v>
      </c>
      <c r="E1515" s="5">
        <f ca="1">IF(getQuality(B1515)&lt;4,getOtherMax(B1515,C1515,INDIRECT(J$2),INDIRECT(I1515),test),getMax(B1515,C1515,INDIRECT(J$2),INDIRECT(I1515),test))</f>
        <v>75.631108554901132</v>
      </c>
      <c r="F1515" s="1" t="str">
        <f t="shared" si="94"/>
        <v>50</v>
      </c>
      <c r="G1515" s="1" t="str">
        <f t="shared" si="95"/>
        <v/>
      </c>
      <c r="I1515" s="1" t="str">
        <f t="shared" si="93"/>
        <v>威尔新数值1.06.xlsm!suitPower</v>
      </c>
    </row>
    <row r="1516" spans="1:9" x14ac:dyDescent="0.15">
      <c r="A1516" s="1">
        <v>1515</v>
      </c>
      <c r="B1516" s="1">
        <v>102030800</v>
      </c>
      <c r="C1516" s="1">
        <f t="shared" si="96"/>
        <v>14</v>
      </c>
      <c r="D1516" s="5">
        <f ca="1">IF(getQuality(B1516)&lt;4,getOtherMin(B1516,C1516,INDIRECT(J$2),INDIRECT(I1516),test),getMin(B1516,C1516,INDIRECT(J$2),INDIRECT(I1516),test))</f>
        <v>47.219010783550694</v>
      </c>
      <c r="E1516" s="5">
        <f ca="1">IF(getQuality(B1516)&lt;4,getOtherMax(B1516,C1516,INDIRECT(J$2),INDIRECT(I1516),test),getMax(B1516,C1516,INDIRECT(J$2),INDIRECT(I1516),test))</f>
        <v>75.631108554901132</v>
      </c>
      <c r="F1516" s="1" t="str">
        <f t="shared" si="94"/>
        <v>50</v>
      </c>
      <c r="G1516" s="1" t="str">
        <f t="shared" si="95"/>
        <v/>
      </c>
      <c r="I1516" s="1" t="str">
        <f t="shared" si="93"/>
        <v>威尔新数值1.06.xlsm!suitPower</v>
      </c>
    </row>
    <row r="1517" spans="1:9" x14ac:dyDescent="0.15">
      <c r="A1517" s="1">
        <v>1516</v>
      </c>
      <c r="B1517" s="1">
        <v>102030800</v>
      </c>
      <c r="C1517" s="1">
        <f t="shared" si="96"/>
        <v>15</v>
      </c>
      <c r="D1517" s="5">
        <f ca="1">IF(getQuality(B1517)&lt;4,getOtherMin(B1517,C1517,INDIRECT(J$2),INDIRECT(I1517),test),getMin(B1517,C1517,INDIRECT(J$2),INDIRECT(I1517),test))</f>
        <v>47.219010783550694</v>
      </c>
      <c r="E1517" s="5">
        <f ca="1">IF(getQuality(B1517)&lt;4,getOtherMax(B1517,C1517,INDIRECT(J$2),INDIRECT(I1517),test),getMax(B1517,C1517,INDIRECT(J$2),INDIRECT(I1517),test))</f>
        <v>75.631108554901132</v>
      </c>
      <c r="F1517" s="1" t="str">
        <f t="shared" si="94"/>
        <v>50</v>
      </c>
      <c r="G1517" s="1" t="str">
        <f t="shared" si="95"/>
        <v/>
      </c>
      <c r="I1517" s="1" t="str">
        <f t="shared" si="93"/>
        <v>威尔新数值1.06.xlsm!suitPower</v>
      </c>
    </row>
    <row r="1518" spans="1:9" x14ac:dyDescent="0.15">
      <c r="A1518" s="1">
        <v>1517</v>
      </c>
      <c r="B1518" s="1">
        <v>102030800</v>
      </c>
      <c r="C1518" s="1">
        <f t="shared" si="96"/>
        <v>101</v>
      </c>
      <c r="D1518" s="5">
        <f ca="1">IF(getQuality(B1518)&lt;4,getOtherMin(B1518,C1518,INDIRECT(J$2),INDIRECT(I1518),test),getMin(B1518,C1518,INDIRECT(J$2),INDIRECT(I1518),test))</f>
        <v>0.08</v>
      </c>
      <c r="E1518" s="5">
        <f ca="1">IF(getQuality(B1518)&lt;4,getOtherMax(B1518,C1518,INDIRECT(J$2),INDIRECT(I1518),test),getMax(B1518,C1518,INDIRECT(J$2),INDIRECT(I1518),test))</f>
        <v>0.11</v>
      </c>
      <c r="F1518" s="1" t="str">
        <f t="shared" si="94"/>
        <v>50</v>
      </c>
      <c r="G1518" s="1" t="str">
        <f t="shared" si="95"/>
        <v/>
      </c>
      <c r="I1518" s="1" t="str">
        <f t="shared" si="93"/>
        <v>威尔新数值1.06.xlsm!circlePer</v>
      </c>
    </row>
    <row r="1519" spans="1:9" x14ac:dyDescent="0.15">
      <c r="A1519" s="1">
        <v>1518</v>
      </c>
      <c r="B1519" s="1">
        <v>102030800</v>
      </c>
      <c r="C1519" s="1">
        <f t="shared" si="96"/>
        <v>102</v>
      </c>
      <c r="D1519" s="5">
        <f ca="1">IF(getQuality(B1519)&lt;4,getOtherMin(B1519,C1519,INDIRECT(J$2),INDIRECT(I1519),test),getMin(B1519,C1519,INDIRECT(J$2),INDIRECT(I1519),test))</f>
        <v>0.6</v>
      </c>
      <c r="E1519" s="5">
        <f ca="1">IF(getQuality(B1519)&lt;4,getOtherMax(B1519,C1519,INDIRECT(J$2),INDIRECT(I1519),test),getMax(B1519,C1519,INDIRECT(J$2),INDIRECT(I1519),test))</f>
        <v>1</v>
      </c>
      <c r="F1519" s="1" t="str">
        <f t="shared" si="94"/>
        <v>50</v>
      </c>
      <c r="G1519" s="1" t="str">
        <f t="shared" si="95"/>
        <v/>
      </c>
      <c r="I1519" s="1" t="str">
        <f t="shared" si="93"/>
        <v>威尔新数值1.06.xlsm!circleValue</v>
      </c>
    </row>
    <row r="1520" spans="1:9" x14ac:dyDescent="0.15">
      <c r="A1520" s="1">
        <v>1519</v>
      </c>
      <c r="B1520" s="1">
        <v>102030800</v>
      </c>
      <c r="C1520" s="1">
        <f t="shared" si="96"/>
        <v>103</v>
      </c>
      <c r="D1520" s="5">
        <f ca="1">IF(getQuality(B1520)&lt;4,getOtherMin(B1520,C1520,INDIRECT(J$2),INDIRECT(I1520),test),getMin(B1520,C1520,INDIRECT(J$2),INDIRECT(I1520),test))</f>
        <v>0.08</v>
      </c>
      <c r="E1520" s="5">
        <f ca="1">IF(getQuality(B1520)&lt;4,getOtherMax(B1520,C1520,INDIRECT(J$2),INDIRECT(I1520),test),getMax(B1520,C1520,INDIRECT(J$2),INDIRECT(I1520),test))</f>
        <v>0.11</v>
      </c>
      <c r="F1520" s="1" t="str">
        <f t="shared" si="94"/>
        <v>50</v>
      </c>
      <c r="G1520" s="1" t="str">
        <f t="shared" si="95"/>
        <v/>
      </c>
      <c r="I1520" s="1" t="str">
        <f t="shared" si="93"/>
        <v>威尔新数值1.06.xlsm!otherDamage</v>
      </c>
    </row>
    <row r="1521" spans="1:9" x14ac:dyDescent="0.15">
      <c r="A1521" s="1">
        <v>1520</v>
      </c>
      <c r="B1521" s="1">
        <v>102030800</v>
      </c>
      <c r="C1521" s="1">
        <f t="shared" si="96"/>
        <v>104</v>
      </c>
      <c r="D1521" s="5">
        <f ca="1">IF(getQuality(B1521)&lt;4,getOtherMin(B1521,C1521,INDIRECT(J$2),INDIRECT(I1521),test),getMin(B1521,C1521,INDIRECT(J$2),INDIRECT(I1521),test))</f>
        <v>0.08</v>
      </c>
      <c r="E1521" s="5">
        <f ca="1">IF(getQuality(B1521)&lt;4,getOtherMax(B1521,C1521,INDIRECT(J$2),INDIRECT(I1521),test),getMax(B1521,C1521,INDIRECT(J$2),INDIRECT(I1521),test))</f>
        <v>0.16</v>
      </c>
      <c r="F1521" s="1" t="str">
        <f t="shared" si="94"/>
        <v>50</v>
      </c>
      <c r="G1521" s="1" t="str">
        <f t="shared" si="95"/>
        <v/>
      </c>
      <c r="I1521" s="1" t="str">
        <f t="shared" si="93"/>
        <v>威尔新数值1.06.xlsm!monsterDamage</v>
      </c>
    </row>
    <row r="1522" spans="1:9" x14ac:dyDescent="0.15">
      <c r="A1522" s="1">
        <v>1521</v>
      </c>
      <c r="B1522" s="1">
        <v>102030800</v>
      </c>
      <c r="C1522" s="1">
        <f t="shared" si="96"/>
        <v>105</v>
      </c>
      <c r="D1522" s="5">
        <f ca="1">IF(getQuality(B1522)&lt;4,getOtherMin(B1522,C1522,INDIRECT(J$2),INDIRECT(I1522),test),getMin(B1522,C1522,INDIRECT(J$2),INDIRECT(I1522),test))</f>
        <v>0.08</v>
      </c>
      <c r="E1522" s="5">
        <f ca="1">IF(getQuality(B1522)&lt;4,getOtherMax(B1522,C1522,INDIRECT(J$2),INDIRECT(I1522),test),getMax(B1522,C1522,INDIRECT(J$2),INDIRECT(I1522),test))</f>
        <v>0.16</v>
      </c>
      <c r="F1522" s="1" t="str">
        <f t="shared" si="94"/>
        <v>50</v>
      </c>
      <c r="G1522" s="1" t="str">
        <f t="shared" si="95"/>
        <v/>
      </c>
      <c r="I1522" s="1" t="str">
        <f t="shared" si="93"/>
        <v>威尔新数值1.06.xlsm!monsterDamage</v>
      </c>
    </row>
    <row r="1523" spans="1:9" x14ac:dyDescent="0.15">
      <c r="A1523" s="1">
        <v>1522</v>
      </c>
      <c r="B1523" s="1">
        <v>102030800</v>
      </c>
      <c r="C1523" s="1">
        <f t="shared" si="96"/>
        <v>106</v>
      </c>
      <c r="D1523" s="5">
        <f ca="1">IF(getQuality(B1523)&lt;4,getOtherMin(B1523,C1523,INDIRECT(J$2),INDIRECT(I1523),test),getMin(B1523,C1523,INDIRECT(J$2),INDIRECT(I1523),test))</f>
        <v>0.08</v>
      </c>
      <c r="E1523" s="5">
        <f ca="1">IF(getQuality(B1523)&lt;4,getOtherMax(B1523,C1523,INDIRECT(J$2),INDIRECT(I1523),test),getMax(B1523,C1523,INDIRECT(J$2),INDIRECT(I1523),test))</f>
        <v>0.16</v>
      </c>
      <c r="F1523" s="1" t="str">
        <f t="shared" si="94"/>
        <v>50</v>
      </c>
      <c r="G1523" s="1" t="str">
        <f t="shared" si="95"/>
        <v/>
      </c>
      <c r="I1523" s="1" t="str">
        <f t="shared" si="93"/>
        <v>威尔新数值1.06.xlsm!monsterDamage</v>
      </c>
    </row>
    <row r="1524" spans="1:9" x14ac:dyDescent="0.15">
      <c r="A1524" s="1">
        <v>1523</v>
      </c>
      <c r="B1524" s="1">
        <v>102030800</v>
      </c>
      <c r="C1524" s="1">
        <f t="shared" si="96"/>
        <v>107</v>
      </c>
      <c r="D1524" s="5">
        <f ca="1">IF(getQuality(B1524)&lt;4,getOtherMin(B1524,C1524,INDIRECT(J$2),INDIRECT(I1524),test),getMin(B1524,C1524,INDIRECT(J$2),INDIRECT(I1524),test))</f>
        <v>0.08</v>
      </c>
      <c r="E1524" s="5">
        <f ca="1">IF(getQuality(B1524)&lt;4,getOtherMax(B1524,C1524,INDIRECT(J$2),INDIRECT(I1524),test),getMax(B1524,C1524,INDIRECT(J$2),INDIRECT(I1524),test))</f>
        <v>0.16</v>
      </c>
      <c r="F1524" s="1" t="str">
        <f t="shared" si="94"/>
        <v>50</v>
      </c>
      <c r="G1524" s="1" t="str">
        <f t="shared" si="95"/>
        <v/>
      </c>
      <c r="I1524" s="1" t="str">
        <f t="shared" si="93"/>
        <v>威尔新数值1.06.xlsm!monsterDamage</v>
      </c>
    </row>
    <row r="1525" spans="1:9" x14ac:dyDescent="0.15">
      <c r="A1525" s="1">
        <v>1524</v>
      </c>
      <c r="B1525" s="1">
        <v>102030800</v>
      </c>
      <c r="C1525" s="1">
        <f t="shared" si="96"/>
        <v>108</v>
      </c>
      <c r="D1525" s="5">
        <f ca="1">IF(getQuality(B1525)&lt;4,getOtherMin(B1525,C1525,INDIRECT(J$2),INDIRECT(I1525),test),getMin(B1525,C1525,INDIRECT(J$2),INDIRECT(I1525),test))</f>
        <v>0.08</v>
      </c>
      <c r="E1525" s="5">
        <f ca="1">IF(getQuality(B1525)&lt;4,getOtherMax(B1525,C1525,INDIRECT(J$2),INDIRECT(I1525),test),getMax(B1525,C1525,INDIRECT(J$2),INDIRECT(I1525),test))</f>
        <v>0.16</v>
      </c>
      <c r="F1525" s="1" t="str">
        <f t="shared" si="94"/>
        <v>50</v>
      </c>
      <c r="G1525" s="1" t="str">
        <f t="shared" si="95"/>
        <v/>
      </c>
      <c r="I1525" s="1" t="str">
        <f t="shared" si="93"/>
        <v>威尔新数值1.06.xlsm!monsterDamage</v>
      </c>
    </row>
    <row r="1526" spans="1:9" x14ac:dyDescent="0.15">
      <c r="A1526" s="1">
        <v>1525</v>
      </c>
      <c r="B1526" s="1">
        <v>102040800</v>
      </c>
      <c r="C1526" s="1">
        <f t="shared" si="96"/>
        <v>3</v>
      </c>
      <c r="D1526" s="5">
        <f ca="1">IF(getQuality(B1526)&lt;4,getOtherMin(B1526,C1526,INDIRECT(J$2),INDIRECT(I1526),test),getMin(B1526,C1526,INDIRECT(J$2),INDIRECT(I1526),test))</f>
        <v>76.631108554901132</v>
      </c>
      <c r="E1526" s="5">
        <f ca="1">IF(getQuality(B1526)&lt;4,getOtherMax(B1526,C1526,INDIRECT(J$2),INDIRECT(I1526),test),getMax(B1526,C1526,INDIRECT(J$2),INDIRECT(I1526),test))</f>
        <v>109.24493457930163</v>
      </c>
      <c r="F1526" s="1" t="str">
        <f t="shared" si="94"/>
        <v>50</v>
      </c>
      <c r="G1526" s="1" t="str">
        <f t="shared" si="95"/>
        <v/>
      </c>
      <c r="I1526" s="1" t="str">
        <f t="shared" si="93"/>
        <v>威尔新数值1.06.xlsm!suitPower</v>
      </c>
    </row>
    <row r="1527" spans="1:9" x14ac:dyDescent="0.15">
      <c r="A1527" s="1">
        <v>1526</v>
      </c>
      <c r="B1527" s="1">
        <v>102040800</v>
      </c>
      <c r="C1527" s="1">
        <f t="shared" si="96"/>
        <v>5</v>
      </c>
      <c r="D1527" s="5">
        <f ca="1">IF(getQuality(B1527)&lt;4,getOtherMin(B1527,C1527,INDIRECT(J$2),INDIRECT(I1527),test),getMin(B1527,C1527,INDIRECT(J$2),INDIRECT(I1527),test))</f>
        <v>76.631108554901132</v>
      </c>
      <c r="E1527" s="5">
        <f ca="1">IF(getQuality(B1527)&lt;4,getOtherMax(B1527,C1527,INDIRECT(J$2),INDIRECT(I1527),test),getMax(B1527,C1527,INDIRECT(J$2),INDIRECT(I1527),test))</f>
        <v>109.24493457930163</v>
      </c>
      <c r="F1527" s="1" t="str">
        <f t="shared" si="94"/>
        <v>50</v>
      </c>
      <c r="G1527" s="1" t="str">
        <f t="shared" si="95"/>
        <v>1</v>
      </c>
      <c r="I1527" s="1" t="str">
        <f t="shared" si="93"/>
        <v>威尔新数值1.06.xlsm!suitPower</v>
      </c>
    </row>
    <row r="1528" spans="1:9" x14ac:dyDescent="0.15">
      <c r="A1528" s="1">
        <v>1527</v>
      </c>
      <c r="B1528" s="1">
        <v>102040800</v>
      </c>
      <c r="C1528" s="1">
        <f t="shared" si="96"/>
        <v>7</v>
      </c>
      <c r="D1528" s="5">
        <f ca="1">IF(getQuality(B1528)&lt;4,getOtherMin(B1528,C1528,INDIRECT(J$2),INDIRECT(I1528),test),getMin(B1528,C1528,INDIRECT(J$2),INDIRECT(I1528),test))</f>
        <v>20.444444444444393</v>
      </c>
      <c r="E1528" s="5">
        <f ca="1">IF(getQuality(B1528)&lt;4,getOtherMax(B1528,C1528,INDIRECT(J$2),INDIRECT(I1528),test),getMax(B1528,C1528,INDIRECT(J$2),INDIRECT(I1528),test))</f>
        <v>25.92592592592586</v>
      </c>
      <c r="F1528" s="1" t="str">
        <f t="shared" si="94"/>
        <v>50</v>
      </c>
      <c r="G1528" s="1" t="str">
        <f t="shared" si="95"/>
        <v/>
      </c>
      <c r="I1528" s="1" t="str">
        <f t="shared" si="93"/>
        <v>威尔新数值1.06.xlsm!suitPower</v>
      </c>
    </row>
    <row r="1529" spans="1:9" x14ac:dyDescent="0.15">
      <c r="A1529" s="1">
        <v>1528</v>
      </c>
      <c r="B1529" s="1">
        <v>102040800</v>
      </c>
      <c r="C1529" s="1">
        <f t="shared" si="96"/>
        <v>8</v>
      </c>
      <c r="D1529" s="5">
        <f ca="1">IF(getQuality(B1529)&lt;4,getOtherMin(B1529,C1529,INDIRECT(J$2),INDIRECT(I1529),test),getMin(B1529,C1529,INDIRECT(J$2),INDIRECT(I1529),test))</f>
        <v>44.75</v>
      </c>
      <c r="E1529" s="5">
        <f ca="1">IF(getQuality(B1529)&lt;4,getOtherMax(B1529,C1529,INDIRECT(J$2),INDIRECT(I1529),test),getMax(B1529,C1529,INDIRECT(J$2),INDIRECT(I1529),test))</f>
        <v>58.333333333333336</v>
      </c>
      <c r="F1529" s="1" t="str">
        <f t="shared" si="94"/>
        <v>50</v>
      </c>
      <c r="G1529" s="1" t="str">
        <f t="shared" si="95"/>
        <v/>
      </c>
      <c r="I1529" s="1" t="str">
        <f t="shared" si="93"/>
        <v>威尔新数值1.06.xlsm!suitPower</v>
      </c>
    </row>
    <row r="1530" spans="1:9" x14ac:dyDescent="0.15">
      <c r="A1530" s="1">
        <v>1529</v>
      </c>
      <c r="B1530" s="1">
        <v>102040800</v>
      </c>
      <c r="C1530" s="1">
        <f t="shared" si="96"/>
        <v>9</v>
      </c>
      <c r="D1530" s="5">
        <f ca="1">IF(getQuality(B1530)&lt;4,getOtherMin(B1530,C1530,INDIRECT(J$2),INDIRECT(I1530),test),getMin(B1530,C1530,INDIRECT(J$2),INDIRECT(I1530),test))</f>
        <v>76.631108554901132</v>
      </c>
      <c r="E1530" s="5">
        <f ca="1">IF(getQuality(B1530)&lt;4,getOtherMax(B1530,C1530,INDIRECT(J$2),INDIRECT(I1530),test),getMax(B1530,C1530,INDIRECT(J$2),INDIRECT(I1530),test))</f>
        <v>109.24493457930163</v>
      </c>
      <c r="F1530" s="1" t="str">
        <f t="shared" si="94"/>
        <v>50</v>
      </c>
      <c r="G1530" s="1" t="str">
        <f t="shared" si="95"/>
        <v/>
      </c>
      <c r="I1530" s="1" t="str">
        <f t="shared" si="93"/>
        <v>威尔新数值1.06.xlsm!suitPower</v>
      </c>
    </row>
    <row r="1531" spans="1:9" x14ac:dyDescent="0.15">
      <c r="A1531" s="1">
        <v>1530</v>
      </c>
      <c r="B1531" s="1">
        <v>102040800</v>
      </c>
      <c r="C1531" s="1">
        <f t="shared" si="96"/>
        <v>10</v>
      </c>
      <c r="D1531" s="5">
        <f ca="1">IF(getQuality(B1531)&lt;4,getOtherMin(B1531,C1531,INDIRECT(J$2),INDIRECT(I1531),test),getMin(B1531,C1531,INDIRECT(J$2),INDIRECT(I1531),test))</f>
        <v>76.631108554901132</v>
      </c>
      <c r="E1531" s="5">
        <f ca="1">IF(getQuality(B1531)&lt;4,getOtherMax(B1531,C1531,INDIRECT(J$2),INDIRECT(I1531),test),getMax(B1531,C1531,INDIRECT(J$2),INDIRECT(I1531),test))</f>
        <v>109.24493457930163</v>
      </c>
      <c r="F1531" s="1" t="str">
        <f t="shared" si="94"/>
        <v>50</v>
      </c>
      <c r="G1531" s="1" t="str">
        <f t="shared" si="95"/>
        <v/>
      </c>
      <c r="I1531" s="1" t="str">
        <f t="shared" si="93"/>
        <v>威尔新数值1.06.xlsm!suitPower</v>
      </c>
    </row>
    <row r="1532" spans="1:9" x14ac:dyDescent="0.15">
      <c r="A1532" s="1">
        <v>1531</v>
      </c>
      <c r="B1532" s="1">
        <v>102040800</v>
      </c>
      <c r="C1532" s="1">
        <f t="shared" si="96"/>
        <v>11</v>
      </c>
      <c r="D1532" s="5">
        <f ca="1">IF(getQuality(B1532)&lt;4,getOtherMin(B1532,C1532,INDIRECT(J$2),INDIRECT(I1532),test),getMin(B1532,C1532,INDIRECT(J$2),INDIRECT(I1532),test))</f>
        <v>76.631108554901132</v>
      </c>
      <c r="E1532" s="5">
        <f ca="1">IF(getQuality(B1532)&lt;4,getOtherMax(B1532,C1532,INDIRECT(J$2),INDIRECT(I1532),test),getMax(B1532,C1532,INDIRECT(J$2),INDIRECT(I1532),test))</f>
        <v>109.24493457930163</v>
      </c>
      <c r="F1532" s="1" t="str">
        <f t="shared" si="94"/>
        <v>50</v>
      </c>
      <c r="G1532" s="1" t="str">
        <f t="shared" si="95"/>
        <v/>
      </c>
      <c r="I1532" s="1" t="str">
        <f t="shared" si="93"/>
        <v>威尔新数值1.06.xlsm!suitPower</v>
      </c>
    </row>
    <row r="1533" spans="1:9" x14ac:dyDescent="0.15">
      <c r="A1533" s="1">
        <v>1532</v>
      </c>
      <c r="B1533" s="1">
        <v>102040800</v>
      </c>
      <c r="C1533" s="1">
        <f t="shared" si="96"/>
        <v>12</v>
      </c>
      <c r="D1533" s="5">
        <f ca="1">IF(getQuality(B1533)&lt;4,getOtherMin(B1533,C1533,INDIRECT(J$2),INDIRECT(I1533),test),getMin(B1533,C1533,INDIRECT(J$2),INDIRECT(I1533),test))</f>
        <v>76.631108554901132</v>
      </c>
      <c r="E1533" s="5">
        <f ca="1">IF(getQuality(B1533)&lt;4,getOtherMax(B1533,C1533,INDIRECT(J$2),INDIRECT(I1533),test),getMax(B1533,C1533,INDIRECT(J$2),INDIRECT(I1533),test))</f>
        <v>109.24493457930163</v>
      </c>
      <c r="F1533" s="1" t="str">
        <f t="shared" si="94"/>
        <v>50</v>
      </c>
      <c r="G1533" s="1" t="str">
        <f t="shared" si="95"/>
        <v/>
      </c>
      <c r="I1533" s="1" t="str">
        <f t="shared" si="93"/>
        <v>威尔新数值1.06.xlsm!suitPower</v>
      </c>
    </row>
    <row r="1534" spans="1:9" x14ac:dyDescent="0.15">
      <c r="A1534" s="1">
        <v>1533</v>
      </c>
      <c r="B1534" s="1">
        <v>102040800</v>
      </c>
      <c r="C1534" s="1">
        <f t="shared" si="96"/>
        <v>13</v>
      </c>
      <c r="D1534" s="5">
        <f ca="1">IF(getQuality(B1534)&lt;4,getOtherMin(B1534,C1534,INDIRECT(J$2),INDIRECT(I1534),test),getMin(B1534,C1534,INDIRECT(J$2),INDIRECT(I1534),test))</f>
        <v>76.631108554901132</v>
      </c>
      <c r="E1534" s="5">
        <f ca="1">IF(getQuality(B1534)&lt;4,getOtherMax(B1534,C1534,INDIRECT(J$2),INDIRECT(I1534),test),getMax(B1534,C1534,INDIRECT(J$2),INDIRECT(I1534),test))</f>
        <v>109.24493457930163</v>
      </c>
      <c r="F1534" s="1" t="str">
        <f t="shared" si="94"/>
        <v>50</v>
      </c>
      <c r="G1534" s="1" t="str">
        <f t="shared" si="95"/>
        <v/>
      </c>
      <c r="I1534" s="1" t="str">
        <f t="shared" si="93"/>
        <v>威尔新数值1.06.xlsm!suitPower</v>
      </c>
    </row>
    <row r="1535" spans="1:9" x14ac:dyDescent="0.15">
      <c r="A1535" s="1">
        <v>1534</v>
      </c>
      <c r="B1535" s="1">
        <v>102040800</v>
      </c>
      <c r="C1535" s="1">
        <f t="shared" si="96"/>
        <v>14</v>
      </c>
      <c r="D1535" s="5">
        <f ca="1">IF(getQuality(B1535)&lt;4,getOtherMin(B1535,C1535,INDIRECT(J$2),INDIRECT(I1535),test),getMin(B1535,C1535,INDIRECT(J$2),INDIRECT(I1535),test))</f>
        <v>76.631108554901132</v>
      </c>
      <c r="E1535" s="5">
        <f ca="1">IF(getQuality(B1535)&lt;4,getOtherMax(B1535,C1535,INDIRECT(J$2),INDIRECT(I1535),test),getMax(B1535,C1535,INDIRECT(J$2),INDIRECT(I1535),test))</f>
        <v>109.24493457930163</v>
      </c>
      <c r="F1535" s="1" t="str">
        <f t="shared" si="94"/>
        <v>50</v>
      </c>
      <c r="G1535" s="1" t="str">
        <f t="shared" si="95"/>
        <v/>
      </c>
      <c r="I1535" s="1" t="str">
        <f t="shared" si="93"/>
        <v>威尔新数值1.06.xlsm!suitPower</v>
      </c>
    </row>
    <row r="1536" spans="1:9" x14ac:dyDescent="0.15">
      <c r="A1536" s="1">
        <v>1535</v>
      </c>
      <c r="B1536" s="1">
        <v>102040800</v>
      </c>
      <c r="C1536" s="1">
        <f t="shared" si="96"/>
        <v>15</v>
      </c>
      <c r="D1536" s="5">
        <f ca="1">IF(getQuality(B1536)&lt;4,getOtherMin(B1536,C1536,INDIRECT(J$2),INDIRECT(I1536),test),getMin(B1536,C1536,INDIRECT(J$2),INDIRECT(I1536),test))</f>
        <v>76.631108554901132</v>
      </c>
      <c r="E1536" s="5">
        <f ca="1">IF(getQuality(B1536)&lt;4,getOtherMax(B1536,C1536,INDIRECT(J$2),INDIRECT(I1536),test),getMax(B1536,C1536,INDIRECT(J$2),INDIRECT(I1536),test))</f>
        <v>109.24493457930163</v>
      </c>
      <c r="F1536" s="1" t="str">
        <f t="shared" si="94"/>
        <v>50</v>
      </c>
      <c r="G1536" s="1" t="str">
        <f t="shared" si="95"/>
        <v/>
      </c>
      <c r="I1536" s="1" t="str">
        <f t="shared" si="93"/>
        <v>威尔新数值1.06.xlsm!suitPower</v>
      </c>
    </row>
    <row r="1537" spans="1:9" x14ac:dyDescent="0.15">
      <c r="A1537" s="1">
        <v>1536</v>
      </c>
      <c r="B1537" s="1">
        <v>102040800</v>
      </c>
      <c r="C1537" s="1">
        <f t="shared" si="96"/>
        <v>101</v>
      </c>
      <c r="D1537" s="5">
        <f ca="1">IF(getQuality(B1537)&lt;4,getOtherMin(B1537,C1537,INDIRECT(J$2),INDIRECT(I1537),test),getMin(B1537,C1537,INDIRECT(J$2),INDIRECT(I1537),test))</f>
        <v>0.09</v>
      </c>
      <c r="E1537" s="5">
        <f ca="1">IF(getQuality(B1537)&lt;4,getOtherMax(B1537,C1537,INDIRECT(J$2),INDIRECT(I1537),test),getMax(B1537,C1537,INDIRECT(J$2),INDIRECT(I1537),test))</f>
        <v>0.12</v>
      </c>
      <c r="F1537" s="1" t="str">
        <f t="shared" si="94"/>
        <v>50</v>
      </c>
      <c r="G1537" s="1" t="str">
        <f t="shared" si="95"/>
        <v/>
      </c>
      <c r="I1537" s="1" t="str">
        <f t="shared" si="93"/>
        <v>威尔新数值1.06.xlsm!circlePer</v>
      </c>
    </row>
    <row r="1538" spans="1:9" x14ac:dyDescent="0.15">
      <c r="A1538" s="1">
        <v>1537</v>
      </c>
      <c r="B1538" s="1">
        <v>102040800</v>
      </c>
      <c r="C1538" s="1">
        <f t="shared" si="96"/>
        <v>102</v>
      </c>
      <c r="D1538" s="5">
        <f ca="1">IF(getQuality(B1538)&lt;4,getOtherMin(B1538,C1538,INDIRECT(J$2),INDIRECT(I1538),test),getMin(B1538,C1538,INDIRECT(J$2),INDIRECT(I1538),test))</f>
        <v>0.7</v>
      </c>
      <c r="E1538" s="5">
        <f ca="1">IF(getQuality(B1538)&lt;4,getOtherMax(B1538,C1538,INDIRECT(J$2),INDIRECT(I1538),test),getMax(B1538,C1538,INDIRECT(J$2),INDIRECT(I1538),test))</f>
        <v>1.1000000000000001</v>
      </c>
      <c r="F1538" s="1" t="str">
        <f t="shared" si="94"/>
        <v>50</v>
      </c>
      <c r="G1538" s="1" t="str">
        <f t="shared" si="95"/>
        <v/>
      </c>
      <c r="I1538" s="1" t="str">
        <f t="shared" ref="I1538:I1601" si="97">IF(C1538&lt;100,VLOOKUP(C1538,test,3,FALSE),VLOOKUP(C1538,test1,3,FALSE))</f>
        <v>威尔新数值1.06.xlsm!circleValue</v>
      </c>
    </row>
    <row r="1539" spans="1:9" x14ac:dyDescent="0.15">
      <c r="A1539" s="1">
        <v>1538</v>
      </c>
      <c r="B1539" s="1">
        <v>102040800</v>
      </c>
      <c r="C1539" s="1">
        <f t="shared" si="96"/>
        <v>103</v>
      </c>
      <c r="D1539" s="5">
        <f ca="1">IF(getQuality(B1539)&lt;4,getOtherMin(B1539,C1539,INDIRECT(J$2),INDIRECT(I1539),test),getMin(B1539,C1539,INDIRECT(J$2),INDIRECT(I1539),test))</f>
        <v>0.09</v>
      </c>
      <c r="E1539" s="5">
        <f ca="1">IF(getQuality(B1539)&lt;4,getOtherMax(B1539,C1539,INDIRECT(J$2),INDIRECT(I1539),test),getMax(B1539,C1539,INDIRECT(J$2),INDIRECT(I1539),test))</f>
        <v>0.12</v>
      </c>
      <c r="F1539" s="1" t="str">
        <f t="shared" ref="F1539:F1602" si="98">getper(B1539,C1539)</f>
        <v>50</v>
      </c>
      <c r="G1539" s="1" t="str">
        <f t="shared" ref="G1539:G1602" si="99">getMust(B1539,C1539)</f>
        <v/>
      </c>
      <c r="I1539" s="1" t="str">
        <f t="shared" si="97"/>
        <v>威尔新数值1.06.xlsm!otherDamage</v>
      </c>
    </row>
    <row r="1540" spans="1:9" x14ac:dyDescent="0.15">
      <c r="A1540" s="1">
        <v>1539</v>
      </c>
      <c r="B1540" s="1">
        <v>102040800</v>
      </c>
      <c r="C1540" s="1">
        <f t="shared" si="96"/>
        <v>104</v>
      </c>
      <c r="D1540" s="5">
        <f ca="1">IF(getQuality(B1540)&lt;4,getOtherMin(B1540,C1540,INDIRECT(J$2),INDIRECT(I1540),test),getMin(B1540,C1540,INDIRECT(J$2),INDIRECT(I1540),test))</f>
        <v>0.09</v>
      </c>
      <c r="E1540" s="5">
        <f ca="1">IF(getQuality(B1540)&lt;4,getOtherMax(B1540,C1540,INDIRECT(J$2),INDIRECT(I1540),test),getMax(B1540,C1540,INDIRECT(J$2),INDIRECT(I1540),test))</f>
        <v>0.18</v>
      </c>
      <c r="F1540" s="1" t="str">
        <f t="shared" si="98"/>
        <v>50</v>
      </c>
      <c r="G1540" s="1" t="str">
        <f t="shared" si="99"/>
        <v/>
      </c>
      <c r="I1540" s="1" t="str">
        <f t="shared" si="97"/>
        <v>威尔新数值1.06.xlsm!monsterDamage</v>
      </c>
    </row>
    <row r="1541" spans="1:9" x14ac:dyDescent="0.15">
      <c r="A1541" s="1">
        <v>1540</v>
      </c>
      <c r="B1541" s="1">
        <v>102040800</v>
      </c>
      <c r="C1541" s="1">
        <f t="shared" si="96"/>
        <v>105</v>
      </c>
      <c r="D1541" s="5">
        <f ca="1">IF(getQuality(B1541)&lt;4,getOtherMin(B1541,C1541,INDIRECT(J$2),INDIRECT(I1541),test),getMin(B1541,C1541,INDIRECT(J$2),INDIRECT(I1541),test))</f>
        <v>0.09</v>
      </c>
      <c r="E1541" s="5">
        <f ca="1">IF(getQuality(B1541)&lt;4,getOtherMax(B1541,C1541,INDIRECT(J$2),INDIRECT(I1541),test),getMax(B1541,C1541,INDIRECT(J$2),INDIRECT(I1541),test))</f>
        <v>0.18</v>
      </c>
      <c r="F1541" s="1" t="str">
        <f t="shared" si="98"/>
        <v>50</v>
      </c>
      <c r="G1541" s="1" t="str">
        <f t="shared" si="99"/>
        <v/>
      </c>
      <c r="I1541" s="1" t="str">
        <f t="shared" si="97"/>
        <v>威尔新数值1.06.xlsm!monsterDamage</v>
      </c>
    </row>
    <row r="1542" spans="1:9" x14ac:dyDescent="0.15">
      <c r="A1542" s="1">
        <v>1541</v>
      </c>
      <c r="B1542" s="1">
        <v>102040800</v>
      </c>
      <c r="C1542" s="1">
        <f t="shared" si="96"/>
        <v>106</v>
      </c>
      <c r="D1542" s="5">
        <f ca="1">IF(getQuality(B1542)&lt;4,getOtherMin(B1542,C1542,INDIRECT(J$2),INDIRECT(I1542),test),getMin(B1542,C1542,INDIRECT(J$2),INDIRECT(I1542),test))</f>
        <v>0.09</v>
      </c>
      <c r="E1542" s="5">
        <f ca="1">IF(getQuality(B1542)&lt;4,getOtherMax(B1542,C1542,INDIRECT(J$2),INDIRECT(I1542),test),getMax(B1542,C1542,INDIRECT(J$2),INDIRECT(I1542),test))</f>
        <v>0.18</v>
      </c>
      <c r="F1542" s="1" t="str">
        <f t="shared" si="98"/>
        <v>50</v>
      </c>
      <c r="G1542" s="1" t="str">
        <f t="shared" si="99"/>
        <v/>
      </c>
      <c r="I1542" s="1" t="str">
        <f t="shared" si="97"/>
        <v>威尔新数值1.06.xlsm!monsterDamage</v>
      </c>
    </row>
    <row r="1543" spans="1:9" x14ac:dyDescent="0.15">
      <c r="A1543" s="1">
        <v>1542</v>
      </c>
      <c r="B1543" s="1">
        <v>102040800</v>
      </c>
      <c r="C1543" s="1">
        <f t="shared" si="96"/>
        <v>107</v>
      </c>
      <c r="D1543" s="5">
        <f ca="1">IF(getQuality(B1543)&lt;4,getOtherMin(B1543,C1543,INDIRECT(J$2),INDIRECT(I1543),test),getMin(B1543,C1543,INDIRECT(J$2),INDIRECT(I1543),test))</f>
        <v>0.09</v>
      </c>
      <c r="E1543" s="5">
        <f ca="1">IF(getQuality(B1543)&lt;4,getOtherMax(B1543,C1543,INDIRECT(J$2),INDIRECT(I1543),test),getMax(B1543,C1543,INDIRECT(J$2),INDIRECT(I1543),test))</f>
        <v>0.18</v>
      </c>
      <c r="F1543" s="1" t="str">
        <f t="shared" si="98"/>
        <v>50</v>
      </c>
      <c r="G1543" s="1" t="str">
        <f t="shared" si="99"/>
        <v/>
      </c>
      <c r="I1543" s="1" t="str">
        <f t="shared" si="97"/>
        <v>威尔新数值1.06.xlsm!monsterDamage</v>
      </c>
    </row>
    <row r="1544" spans="1:9" x14ac:dyDescent="0.15">
      <c r="A1544" s="1">
        <v>1543</v>
      </c>
      <c r="B1544" s="1">
        <v>102040800</v>
      </c>
      <c r="C1544" s="1">
        <f t="shared" si="96"/>
        <v>108</v>
      </c>
      <c r="D1544" s="5">
        <f ca="1">IF(getQuality(B1544)&lt;4,getOtherMin(B1544,C1544,INDIRECT(J$2),INDIRECT(I1544),test),getMin(B1544,C1544,INDIRECT(J$2),INDIRECT(I1544),test))</f>
        <v>0.09</v>
      </c>
      <c r="E1544" s="5">
        <f ca="1">IF(getQuality(B1544)&lt;4,getOtherMax(B1544,C1544,INDIRECT(J$2),INDIRECT(I1544),test),getMax(B1544,C1544,INDIRECT(J$2),INDIRECT(I1544),test))</f>
        <v>0.18</v>
      </c>
      <c r="F1544" s="1" t="str">
        <f t="shared" si="98"/>
        <v>50</v>
      </c>
      <c r="G1544" s="1" t="str">
        <f t="shared" si="99"/>
        <v/>
      </c>
      <c r="I1544" s="1" t="str">
        <f t="shared" si="97"/>
        <v>威尔新数值1.06.xlsm!monsterDamage</v>
      </c>
    </row>
    <row r="1545" spans="1:9" x14ac:dyDescent="0.15">
      <c r="A1545" s="1">
        <v>1544</v>
      </c>
      <c r="B1545" s="1">
        <v>102050800</v>
      </c>
      <c r="C1545" s="1">
        <f t="shared" si="96"/>
        <v>3</v>
      </c>
      <c r="D1545" s="5">
        <f ca="1">IF(getQuality(B1545)&lt;4,getOtherMin(B1545,C1545,INDIRECT(J$2),INDIRECT(I1545),test),getMin(B1545,C1545,INDIRECT(J$2),INDIRECT(I1545),test))</f>
        <v>110.24493457930163</v>
      </c>
      <c r="E1545" s="5">
        <f ca="1">IF(getQuality(B1545)&lt;4,getOtherMax(B1545,C1545,INDIRECT(J$2),INDIRECT(I1545),test),getMax(B1545,C1545,INDIRECT(J$2),INDIRECT(I1545),test))</f>
        <v>148.01542709608177</v>
      </c>
      <c r="F1545" s="1" t="str">
        <f t="shared" si="98"/>
        <v>50</v>
      </c>
      <c r="G1545" s="1" t="str">
        <f t="shared" si="99"/>
        <v/>
      </c>
      <c r="I1545" s="1" t="str">
        <f t="shared" si="97"/>
        <v>威尔新数值1.06.xlsm!suitPower</v>
      </c>
    </row>
    <row r="1546" spans="1:9" x14ac:dyDescent="0.15">
      <c r="A1546" s="1">
        <v>1545</v>
      </c>
      <c r="B1546" s="1">
        <v>102050800</v>
      </c>
      <c r="C1546" s="1">
        <f t="shared" si="96"/>
        <v>5</v>
      </c>
      <c r="D1546" s="5">
        <f ca="1">IF(getQuality(B1546)&lt;4,getOtherMin(B1546,C1546,INDIRECT(J$2),INDIRECT(I1546),test),getMin(B1546,C1546,INDIRECT(J$2),INDIRECT(I1546),test))</f>
        <v>110.24493457930163</v>
      </c>
      <c r="E1546" s="5">
        <f ca="1">IF(getQuality(B1546)&lt;4,getOtherMax(B1546,C1546,INDIRECT(J$2),INDIRECT(I1546),test),getMax(B1546,C1546,INDIRECT(J$2),INDIRECT(I1546),test))</f>
        <v>148.01542709608177</v>
      </c>
      <c r="F1546" s="1" t="str">
        <f t="shared" si="98"/>
        <v>50</v>
      </c>
      <c r="G1546" s="1" t="str">
        <f t="shared" si="99"/>
        <v>1</v>
      </c>
      <c r="I1546" s="1" t="str">
        <f t="shared" si="97"/>
        <v>威尔新数值1.06.xlsm!suitPower</v>
      </c>
    </row>
    <row r="1547" spans="1:9" x14ac:dyDescent="0.15">
      <c r="A1547" s="1">
        <v>1546</v>
      </c>
      <c r="B1547" s="1">
        <v>102050800</v>
      </c>
      <c r="C1547" s="1">
        <f t="shared" si="96"/>
        <v>7</v>
      </c>
      <c r="D1547" s="5">
        <f ca="1">IF(getQuality(B1547)&lt;4,getOtherMin(B1547,C1547,INDIRECT(J$2),INDIRECT(I1547),test),getMin(B1547,C1547,INDIRECT(J$2),INDIRECT(I1547),test))</f>
        <v>26.92592592592586</v>
      </c>
      <c r="E1547" s="5">
        <f ca="1">IF(getQuality(B1547)&lt;4,getOtherMax(B1547,C1547,INDIRECT(J$2),INDIRECT(I1547),test),getMax(B1547,C1547,INDIRECT(J$2),INDIRECT(I1547),test))</f>
        <v>32.407407407407327</v>
      </c>
      <c r="F1547" s="1" t="str">
        <f t="shared" si="98"/>
        <v>50</v>
      </c>
      <c r="G1547" s="1" t="str">
        <f t="shared" si="99"/>
        <v/>
      </c>
      <c r="I1547" s="1" t="str">
        <f t="shared" si="97"/>
        <v>威尔新数值1.06.xlsm!suitPower</v>
      </c>
    </row>
    <row r="1548" spans="1:9" x14ac:dyDescent="0.15">
      <c r="A1548" s="1">
        <v>1547</v>
      </c>
      <c r="B1548" s="1">
        <v>102050800</v>
      </c>
      <c r="C1548" s="1">
        <f t="shared" si="96"/>
        <v>8</v>
      </c>
      <c r="D1548" s="5">
        <f ca="1">IF(getQuality(B1548)&lt;4,getOtherMin(B1548,C1548,INDIRECT(J$2),INDIRECT(I1548),test),getMin(B1548,C1548,INDIRECT(J$2),INDIRECT(I1548),test))</f>
        <v>59.333333333333336</v>
      </c>
      <c r="E1548" s="5">
        <f ca="1">IF(getQuality(B1548)&lt;4,getOtherMax(B1548,C1548,INDIRECT(J$2),INDIRECT(I1548),test),getMax(B1548,C1548,INDIRECT(J$2),INDIRECT(I1548),test))</f>
        <v>72.916666666666671</v>
      </c>
      <c r="F1548" s="1" t="str">
        <f t="shared" si="98"/>
        <v>50</v>
      </c>
      <c r="G1548" s="1" t="str">
        <f t="shared" si="99"/>
        <v/>
      </c>
      <c r="I1548" s="1" t="str">
        <f t="shared" si="97"/>
        <v>威尔新数值1.06.xlsm!suitPower</v>
      </c>
    </row>
    <row r="1549" spans="1:9" x14ac:dyDescent="0.15">
      <c r="A1549" s="1">
        <v>1548</v>
      </c>
      <c r="B1549" s="1">
        <v>102050800</v>
      </c>
      <c r="C1549" s="1">
        <f t="shared" si="96"/>
        <v>9</v>
      </c>
      <c r="D1549" s="5">
        <f ca="1">IF(getQuality(B1549)&lt;4,getOtherMin(B1549,C1549,INDIRECT(J$2),INDIRECT(I1549),test),getMin(B1549,C1549,INDIRECT(J$2),INDIRECT(I1549),test))</f>
        <v>110.24493457930163</v>
      </c>
      <c r="E1549" s="5">
        <f ca="1">IF(getQuality(B1549)&lt;4,getOtherMax(B1549,C1549,INDIRECT(J$2),INDIRECT(I1549),test),getMax(B1549,C1549,INDIRECT(J$2),INDIRECT(I1549),test))</f>
        <v>148.01542709608177</v>
      </c>
      <c r="F1549" s="1" t="str">
        <f t="shared" si="98"/>
        <v>50</v>
      </c>
      <c r="G1549" s="1" t="str">
        <f t="shared" si="99"/>
        <v/>
      </c>
      <c r="I1549" s="1" t="str">
        <f t="shared" si="97"/>
        <v>威尔新数值1.06.xlsm!suitPower</v>
      </c>
    </row>
    <row r="1550" spans="1:9" x14ac:dyDescent="0.15">
      <c r="A1550" s="1">
        <v>1549</v>
      </c>
      <c r="B1550" s="1">
        <v>102050800</v>
      </c>
      <c r="C1550" s="1">
        <f t="shared" si="96"/>
        <v>10</v>
      </c>
      <c r="D1550" s="5">
        <f ca="1">IF(getQuality(B1550)&lt;4,getOtherMin(B1550,C1550,INDIRECT(J$2),INDIRECT(I1550),test),getMin(B1550,C1550,INDIRECT(J$2),INDIRECT(I1550),test))</f>
        <v>110.24493457930163</v>
      </c>
      <c r="E1550" s="5">
        <f ca="1">IF(getQuality(B1550)&lt;4,getOtherMax(B1550,C1550,INDIRECT(J$2),INDIRECT(I1550),test),getMax(B1550,C1550,INDIRECT(J$2),INDIRECT(I1550),test))</f>
        <v>148.01542709608177</v>
      </c>
      <c r="F1550" s="1" t="str">
        <f t="shared" si="98"/>
        <v>50</v>
      </c>
      <c r="G1550" s="1" t="str">
        <f t="shared" si="99"/>
        <v/>
      </c>
      <c r="I1550" s="1" t="str">
        <f t="shared" si="97"/>
        <v>威尔新数值1.06.xlsm!suitPower</v>
      </c>
    </row>
    <row r="1551" spans="1:9" x14ac:dyDescent="0.15">
      <c r="A1551" s="1">
        <v>1550</v>
      </c>
      <c r="B1551" s="1">
        <v>102050800</v>
      </c>
      <c r="C1551" s="1">
        <f t="shared" si="96"/>
        <v>11</v>
      </c>
      <c r="D1551" s="5">
        <f ca="1">IF(getQuality(B1551)&lt;4,getOtherMin(B1551,C1551,INDIRECT(J$2),INDIRECT(I1551),test),getMin(B1551,C1551,INDIRECT(J$2),INDIRECT(I1551),test))</f>
        <v>110.24493457930163</v>
      </c>
      <c r="E1551" s="5">
        <f ca="1">IF(getQuality(B1551)&lt;4,getOtherMax(B1551,C1551,INDIRECT(J$2),INDIRECT(I1551),test),getMax(B1551,C1551,INDIRECT(J$2),INDIRECT(I1551),test))</f>
        <v>148.01542709608177</v>
      </c>
      <c r="F1551" s="1" t="str">
        <f t="shared" si="98"/>
        <v>50</v>
      </c>
      <c r="G1551" s="1" t="str">
        <f t="shared" si="99"/>
        <v/>
      </c>
      <c r="I1551" s="1" t="str">
        <f t="shared" si="97"/>
        <v>威尔新数值1.06.xlsm!suitPower</v>
      </c>
    </row>
    <row r="1552" spans="1:9" x14ac:dyDescent="0.15">
      <c r="A1552" s="1">
        <v>1551</v>
      </c>
      <c r="B1552" s="1">
        <v>102050800</v>
      </c>
      <c r="C1552" s="1">
        <f t="shared" si="96"/>
        <v>12</v>
      </c>
      <c r="D1552" s="5">
        <f ca="1">IF(getQuality(B1552)&lt;4,getOtherMin(B1552,C1552,INDIRECT(J$2),INDIRECT(I1552),test),getMin(B1552,C1552,INDIRECT(J$2),INDIRECT(I1552),test))</f>
        <v>110.24493457930163</v>
      </c>
      <c r="E1552" s="5">
        <f ca="1">IF(getQuality(B1552)&lt;4,getOtherMax(B1552,C1552,INDIRECT(J$2),INDIRECT(I1552),test),getMax(B1552,C1552,INDIRECT(J$2),INDIRECT(I1552),test))</f>
        <v>148.01542709608177</v>
      </c>
      <c r="F1552" s="1" t="str">
        <f t="shared" si="98"/>
        <v>50</v>
      </c>
      <c r="G1552" s="1" t="str">
        <f t="shared" si="99"/>
        <v/>
      </c>
      <c r="I1552" s="1" t="str">
        <f t="shared" si="97"/>
        <v>威尔新数值1.06.xlsm!suitPower</v>
      </c>
    </row>
    <row r="1553" spans="1:9" x14ac:dyDescent="0.15">
      <c r="A1553" s="1">
        <v>1552</v>
      </c>
      <c r="B1553" s="1">
        <v>102050800</v>
      </c>
      <c r="C1553" s="1">
        <f t="shared" si="96"/>
        <v>13</v>
      </c>
      <c r="D1553" s="5">
        <f ca="1">IF(getQuality(B1553)&lt;4,getOtherMin(B1553,C1553,INDIRECT(J$2),INDIRECT(I1553),test),getMin(B1553,C1553,INDIRECT(J$2),INDIRECT(I1553),test))</f>
        <v>110.24493457930163</v>
      </c>
      <c r="E1553" s="5">
        <f ca="1">IF(getQuality(B1553)&lt;4,getOtherMax(B1553,C1553,INDIRECT(J$2),INDIRECT(I1553),test),getMax(B1553,C1553,INDIRECT(J$2),INDIRECT(I1553),test))</f>
        <v>148.01542709608177</v>
      </c>
      <c r="F1553" s="1" t="str">
        <f t="shared" si="98"/>
        <v>50</v>
      </c>
      <c r="G1553" s="1" t="str">
        <f t="shared" si="99"/>
        <v/>
      </c>
      <c r="I1553" s="1" t="str">
        <f t="shared" si="97"/>
        <v>威尔新数值1.06.xlsm!suitPower</v>
      </c>
    </row>
    <row r="1554" spans="1:9" x14ac:dyDescent="0.15">
      <c r="A1554" s="1">
        <v>1553</v>
      </c>
      <c r="B1554" s="1">
        <v>102050800</v>
      </c>
      <c r="C1554" s="1">
        <f t="shared" si="96"/>
        <v>14</v>
      </c>
      <c r="D1554" s="5">
        <f ca="1">IF(getQuality(B1554)&lt;4,getOtherMin(B1554,C1554,INDIRECT(J$2),INDIRECT(I1554),test),getMin(B1554,C1554,INDIRECT(J$2),INDIRECT(I1554),test))</f>
        <v>110.24493457930163</v>
      </c>
      <c r="E1554" s="5">
        <f ca="1">IF(getQuality(B1554)&lt;4,getOtherMax(B1554,C1554,INDIRECT(J$2),INDIRECT(I1554),test),getMax(B1554,C1554,INDIRECT(J$2),INDIRECT(I1554),test))</f>
        <v>148.01542709608177</v>
      </c>
      <c r="F1554" s="1" t="str">
        <f t="shared" si="98"/>
        <v>50</v>
      </c>
      <c r="G1554" s="1" t="str">
        <f t="shared" si="99"/>
        <v/>
      </c>
      <c r="I1554" s="1" t="str">
        <f t="shared" si="97"/>
        <v>威尔新数值1.06.xlsm!suitPower</v>
      </c>
    </row>
    <row r="1555" spans="1:9" x14ac:dyDescent="0.15">
      <c r="A1555" s="1">
        <v>1554</v>
      </c>
      <c r="B1555" s="1">
        <v>102050800</v>
      </c>
      <c r="C1555" s="1">
        <f t="shared" si="96"/>
        <v>15</v>
      </c>
      <c r="D1555" s="5">
        <f ca="1">IF(getQuality(B1555)&lt;4,getOtherMin(B1555,C1555,INDIRECT(J$2),INDIRECT(I1555),test),getMin(B1555,C1555,INDIRECT(J$2),INDIRECT(I1555),test))</f>
        <v>110.24493457930163</v>
      </c>
      <c r="E1555" s="5">
        <f ca="1">IF(getQuality(B1555)&lt;4,getOtherMax(B1555,C1555,INDIRECT(J$2),INDIRECT(I1555),test),getMax(B1555,C1555,INDIRECT(J$2),INDIRECT(I1555),test))</f>
        <v>148.01542709608177</v>
      </c>
      <c r="F1555" s="1" t="str">
        <f t="shared" si="98"/>
        <v>50</v>
      </c>
      <c r="G1555" s="1" t="str">
        <f t="shared" si="99"/>
        <v/>
      </c>
      <c r="I1555" s="1" t="str">
        <f t="shared" si="97"/>
        <v>威尔新数值1.06.xlsm!suitPower</v>
      </c>
    </row>
    <row r="1556" spans="1:9" x14ac:dyDescent="0.15">
      <c r="A1556" s="1">
        <v>1555</v>
      </c>
      <c r="B1556" s="1">
        <v>102050800</v>
      </c>
      <c r="C1556" s="1">
        <f t="shared" si="96"/>
        <v>101</v>
      </c>
      <c r="D1556" s="5">
        <f ca="1">IF(getQuality(B1556)&lt;4,getOtherMin(B1556,C1556,INDIRECT(J$2),INDIRECT(I1556),test),getMin(B1556,C1556,INDIRECT(J$2),INDIRECT(I1556),test))</f>
        <v>0.1</v>
      </c>
      <c r="E1556" s="5">
        <f ca="1">IF(getQuality(B1556)&lt;4,getOtherMax(B1556,C1556,INDIRECT(J$2),INDIRECT(I1556),test),getMax(B1556,C1556,INDIRECT(J$2),INDIRECT(I1556),test))</f>
        <v>0.13</v>
      </c>
      <c r="F1556" s="1" t="str">
        <f t="shared" si="98"/>
        <v>50</v>
      </c>
      <c r="G1556" s="1" t="str">
        <f t="shared" si="99"/>
        <v/>
      </c>
      <c r="I1556" s="1" t="str">
        <f t="shared" si="97"/>
        <v>威尔新数值1.06.xlsm!circlePer</v>
      </c>
    </row>
    <row r="1557" spans="1:9" x14ac:dyDescent="0.15">
      <c r="A1557" s="1">
        <v>1556</v>
      </c>
      <c r="B1557" s="1">
        <v>102050800</v>
      </c>
      <c r="C1557" s="1">
        <f t="shared" si="96"/>
        <v>102</v>
      </c>
      <c r="D1557" s="5">
        <f ca="1">IF(getQuality(B1557)&lt;4,getOtherMin(B1557,C1557,INDIRECT(J$2),INDIRECT(I1557),test),getMin(B1557,C1557,INDIRECT(J$2),INDIRECT(I1557),test))</f>
        <v>0.8</v>
      </c>
      <c r="E1557" s="5">
        <f ca="1">IF(getQuality(B1557)&lt;4,getOtherMax(B1557,C1557,INDIRECT(J$2),INDIRECT(I1557),test),getMax(B1557,C1557,INDIRECT(J$2),INDIRECT(I1557),test))</f>
        <v>1.2</v>
      </c>
      <c r="F1557" s="1" t="str">
        <f t="shared" si="98"/>
        <v>50</v>
      </c>
      <c r="G1557" s="1" t="str">
        <f t="shared" si="99"/>
        <v/>
      </c>
      <c r="I1557" s="1" t="str">
        <f t="shared" si="97"/>
        <v>威尔新数值1.06.xlsm!circleValue</v>
      </c>
    </row>
    <row r="1558" spans="1:9" x14ac:dyDescent="0.15">
      <c r="A1558" s="1">
        <v>1557</v>
      </c>
      <c r="B1558" s="1">
        <v>102050800</v>
      </c>
      <c r="C1558" s="1">
        <f t="shared" si="96"/>
        <v>103</v>
      </c>
      <c r="D1558" s="5">
        <f ca="1">IF(getQuality(B1558)&lt;4,getOtherMin(B1558,C1558,INDIRECT(J$2),INDIRECT(I1558),test),getMin(B1558,C1558,INDIRECT(J$2),INDIRECT(I1558),test))</f>
        <v>0.1</v>
      </c>
      <c r="E1558" s="5">
        <f ca="1">IF(getQuality(B1558)&lt;4,getOtherMax(B1558,C1558,INDIRECT(J$2),INDIRECT(I1558),test),getMax(B1558,C1558,INDIRECT(J$2),INDIRECT(I1558),test))</f>
        <v>0.13</v>
      </c>
      <c r="F1558" s="1" t="str">
        <f t="shared" si="98"/>
        <v>50</v>
      </c>
      <c r="G1558" s="1" t="str">
        <f t="shared" si="99"/>
        <v/>
      </c>
      <c r="I1558" s="1" t="str">
        <f t="shared" si="97"/>
        <v>威尔新数值1.06.xlsm!otherDamage</v>
      </c>
    </row>
    <row r="1559" spans="1:9" x14ac:dyDescent="0.15">
      <c r="A1559" s="1">
        <v>1558</v>
      </c>
      <c r="B1559" s="1">
        <v>102050800</v>
      </c>
      <c r="C1559" s="1">
        <f t="shared" si="96"/>
        <v>104</v>
      </c>
      <c r="D1559" s="5">
        <f ca="1">IF(getQuality(B1559)&lt;4,getOtherMin(B1559,C1559,INDIRECT(J$2),INDIRECT(I1559),test),getMin(B1559,C1559,INDIRECT(J$2),INDIRECT(I1559),test))</f>
        <v>0.1</v>
      </c>
      <c r="E1559" s="5">
        <f ca="1">IF(getQuality(B1559)&lt;4,getOtherMax(B1559,C1559,INDIRECT(J$2),INDIRECT(I1559),test),getMax(B1559,C1559,INDIRECT(J$2),INDIRECT(I1559),test))</f>
        <v>0.2</v>
      </c>
      <c r="F1559" s="1" t="str">
        <f t="shared" si="98"/>
        <v>50</v>
      </c>
      <c r="G1559" s="1" t="str">
        <f t="shared" si="99"/>
        <v/>
      </c>
      <c r="I1559" s="1" t="str">
        <f t="shared" si="97"/>
        <v>威尔新数值1.06.xlsm!monsterDamage</v>
      </c>
    </row>
    <row r="1560" spans="1:9" x14ac:dyDescent="0.15">
      <c r="A1560" s="1">
        <v>1559</v>
      </c>
      <c r="B1560" s="1">
        <v>102050800</v>
      </c>
      <c r="C1560" s="1">
        <f t="shared" si="96"/>
        <v>105</v>
      </c>
      <c r="D1560" s="5">
        <f ca="1">IF(getQuality(B1560)&lt;4,getOtherMin(B1560,C1560,INDIRECT(J$2),INDIRECT(I1560),test),getMin(B1560,C1560,INDIRECT(J$2),INDIRECT(I1560),test))</f>
        <v>0.1</v>
      </c>
      <c r="E1560" s="5">
        <f ca="1">IF(getQuality(B1560)&lt;4,getOtherMax(B1560,C1560,INDIRECT(J$2),INDIRECT(I1560),test),getMax(B1560,C1560,INDIRECT(J$2),INDIRECT(I1560),test))</f>
        <v>0.2</v>
      </c>
      <c r="F1560" s="1" t="str">
        <f t="shared" si="98"/>
        <v>50</v>
      </c>
      <c r="G1560" s="1" t="str">
        <f t="shared" si="99"/>
        <v/>
      </c>
      <c r="I1560" s="1" t="str">
        <f t="shared" si="97"/>
        <v>威尔新数值1.06.xlsm!monsterDamage</v>
      </c>
    </row>
    <row r="1561" spans="1:9" x14ac:dyDescent="0.15">
      <c r="A1561" s="1">
        <v>1560</v>
      </c>
      <c r="B1561" s="1">
        <v>102050800</v>
      </c>
      <c r="C1561" s="1">
        <f t="shared" si="96"/>
        <v>106</v>
      </c>
      <c r="D1561" s="5">
        <f ca="1">IF(getQuality(B1561)&lt;4,getOtherMin(B1561,C1561,INDIRECT(J$2),INDIRECT(I1561),test),getMin(B1561,C1561,INDIRECT(J$2),INDIRECT(I1561),test))</f>
        <v>0.1</v>
      </c>
      <c r="E1561" s="5">
        <f ca="1">IF(getQuality(B1561)&lt;4,getOtherMax(B1561,C1561,INDIRECT(J$2),INDIRECT(I1561),test),getMax(B1561,C1561,INDIRECT(J$2),INDIRECT(I1561),test))</f>
        <v>0.2</v>
      </c>
      <c r="F1561" s="1" t="str">
        <f t="shared" si="98"/>
        <v>50</v>
      </c>
      <c r="G1561" s="1" t="str">
        <f t="shared" si="99"/>
        <v/>
      </c>
      <c r="I1561" s="1" t="str">
        <f t="shared" si="97"/>
        <v>威尔新数值1.06.xlsm!monsterDamage</v>
      </c>
    </row>
    <row r="1562" spans="1:9" x14ac:dyDescent="0.15">
      <c r="A1562" s="1">
        <v>1561</v>
      </c>
      <c r="B1562" s="1">
        <v>102050800</v>
      </c>
      <c r="C1562" s="1">
        <f t="shared" si="96"/>
        <v>107</v>
      </c>
      <c r="D1562" s="5">
        <f ca="1">IF(getQuality(B1562)&lt;4,getOtherMin(B1562,C1562,INDIRECT(J$2),INDIRECT(I1562),test),getMin(B1562,C1562,INDIRECT(J$2),INDIRECT(I1562),test))</f>
        <v>0.1</v>
      </c>
      <c r="E1562" s="5">
        <f ca="1">IF(getQuality(B1562)&lt;4,getOtherMax(B1562,C1562,INDIRECT(J$2),INDIRECT(I1562),test),getMax(B1562,C1562,INDIRECT(J$2),INDIRECT(I1562),test))</f>
        <v>0.2</v>
      </c>
      <c r="F1562" s="1" t="str">
        <f t="shared" si="98"/>
        <v>50</v>
      </c>
      <c r="G1562" s="1" t="str">
        <f t="shared" si="99"/>
        <v/>
      </c>
      <c r="I1562" s="1" t="str">
        <f t="shared" si="97"/>
        <v>威尔新数值1.06.xlsm!monsterDamage</v>
      </c>
    </row>
    <row r="1563" spans="1:9" x14ac:dyDescent="0.15">
      <c r="A1563" s="1">
        <v>1562</v>
      </c>
      <c r="B1563" s="1">
        <v>102050800</v>
      </c>
      <c r="C1563" s="1">
        <f t="shared" si="96"/>
        <v>108</v>
      </c>
      <c r="D1563" s="5">
        <f ca="1">IF(getQuality(B1563)&lt;4,getOtherMin(B1563,C1563,INDIRECT(J$2),INDIRECT(I1563),test),getMin(B1563,C1563,INDIRECT(J$2),INDIRECT(I1563),test))</f>
        <v>0.1</v>
      </c>
      <c r="E1563" s="5">
        <f ca="1">IF(getQuality(B1563)&lt;4,getOtherMax(B1563,C1563,INDIRECT(J$2),INDIRECT(I1563),test),getMax(B1563,C1563,INDIRECT(J$2),INDIRECT(I1563),test))</f>
        <v>0.2</v>
      </c>
      <c r="F1563" s="1" t="str">
        <f t="shared" si="98"/>
        <v>50</v>
      </c>
      <c r="G1563" s="1" t="str">
        <f t="shared" si="99"/>
        <v/>
      </c>
      <c r="I1563" s="1" t="str">
        <f t="shared" si="97"/>
        <v>威尔新数值1.06.xlsm!monsterDamage</v>
      </c>
    </row>
    <row r="1564" spans="1:9" x14ac:dyDescent="0.15">
      <c r="A1564" s="1">
        <v>1563</v>
      </c>
      <c r="B1564" s="1">
        <v>102060800</v>
      </c>
      <c r="C1564" s="1">
        <f t="shared" si="96"/>
        <v>3</v>
      </c>
      <c r="D1564" s="5">
        <f ca="1">IF(getQuality(B1564)&lt;4,getOtherMin(B1564,C1564,INDIRECT(J$2),INDIRECT(I1564),test),getMin(B1564,C1564,INDIRECT(J$2),INDIRECT(I1564),test))</f>
        <v>149.01542709608177</v>
      </c>
      <c r="E1564" s="5">
        <f ca="1">IF(getQuality(B1564)&lt;4,getOtherMax(B1564,C1564,INDIRECT(J$2),INDIRECT(I1564),test),getMax(B1564,C1564,INDIRECT(J$2),INDIRECT(I1564),test))</f>
        <v>190.22369727444828</v>
      </c>
      <c r="F1564" s="1" t="str">
        <f t="shared" si="98"/>
        <v>50</v>
      </c>
      <c r="G1564" s="1" t="str">
        <f t="shared" si="99"/>
        <v/>
      </c>
      <c r="I1564" s="1" t="str">
        <f t="shared" si="97"/>
        <v>威尔新数值1.06.xlsm!suitPower</v>
      </c>
    </row>
    <row r="1565" spans="1:9" x14ac:dyDescent="0.15">
      <c r="A1565" s="1">
        <v>1564</v>
      </c>
      <c r="B1565" s="1">
        <v>102060800</v>
      </c>
      <c r="C1565" s="1">
        <f t="shared" si="96"/>
        <v>5</v>
      </c>
      <c r="D1565" s="5">
        <f ca="1">IF(getQuality(B1565)&lt;4,getOtherMin(B1565,C1565,INDIRECT(J$2),INDIRECT(I1565),test),getMin(B1565,C1565,INDIRECT(J$2),INDIRECT(I1565),test))</f>
        <v>149.01542709608177</v>
      </c>
      <c r="E1565" s="5">
        <f ca="1">IF(getQuality(B1565)&lt;4,getOtherMax(B1565,C1565,INDIRECT(J$2),INDIRECT(I1565),test),getMax(B1565,C1565,INDIRECT(J$2),INDIRECT(I1565),test))</f>
        <v>190.22369727444828</v>
      </c>
      <c r="F1565" s="1" t="str">
        <f t="shared" si="98"/>
        <v>50</v>
      </c>
      <c r="G1565" s="1" t="str">
        <f t="shared" si="99"/>
        <v>1</v>
      </c>
      <c r="I1565" s="1" t="str">
        <f t="shared" si="97"/>
        <v>威尔新数值1.06.xlsm!suitPower</v>
      </c>
    </row>
    <row r="1566" spans="1:9" x14ac:dyDescent="0.15">
      <c r="A1566" s="1">
        <v>1565</v>
      </c>
      <c r="B1566" s="1">
        <v>102060800</v>
      </c>
      <c r="C1566" s="1">
        <f t="shared" si="96"/>
        <v>7</v>
      </c>
      <c r="D1566" s="5">
        <f ca="1">IF(getQuality(B1566)&lt;4,getOtherMin(B1566,C1566,INDIRECT(J$2),INDIRECT(I1566),test),getMin(B1566,C1566,INDIRECT(J$2),INDIRECT(I1566),test))</f>
        <v>33.407407407407327</v>
      </c>
      <c r="E1566" s="5">
        <f ca="1">IF(getQuality(B1566)&lt;4,getOtherMax(B1566,C1566,INDIRECT(J$2),INDIRECT(I1566),test),getMax(B1566,C1566,INDIRECT(J$2),INDIRECT(I1566),test))</f>
        <v>38.888888888888786</v>
      </c>
      <c r="F1566" s="1" t="str">
        <f t="shared" si="98"/>
        <v>50</v>
      </c>
      <c r="G1566" s="1" t="str">
        <f t="shared" si="99"/>
        <v/>
      </c>
      <c r="I1566" s="1" t="str">
        <f t="shared" si="97"/>
        <v>威尔新数值1.06.xlsm!suitPower</v>
      </c>
    </row>
    <row r="1567" spans="1:9" x14ac:dyDescent="0.15">
      <c r="A1567" s="1">
        <v>1566</v>
      </c>
      <c r="B1567" s="1">
        <v>102060800</v>
      </c>
      <c r="C1567" s="1">
        <f t="shared" si="96"/>
        <v>8</v>
      </c>
      <c r="D1567" s="5">
        <f ca="1">IF(getQuality(B1567)&lt;4,getOtherMin(B1567,C1567,INDIRECT(J$2),INDIRECT(I1567),test),getMin(B1567,C1567,INDIRECT(J$2),INDIRECT(I1567),test))</f>
        <v>73.916666666666671</v>
      </c>
      <c r="E1567" s="5">
        <f ca="1">IF(getQuality(B1567)&lt;4,getOtherMax(B1567,C1567,INDIRECT(J$2),INDIRECT(I1567),test),getMax(B1567,C1567,INDIRECT(J$2),INDIRECT(I1567),test))</f>
        <v>87.5</v>
      </c>
      <c r="F1567" s="1" t="str">
        <f t="shared" si="98"/>
        <v>50</v>
      </c>
      <c r="G1567" s="1" t="str">
        <f t="shared" si="99"/>
        <v/>
      </c>
      <c r="I1567" s="1" t="str">
        <f t="shared" si="97"/>
        <v>威尔新数值1.06.xlsm!suitPower</v>
      </c>
    </row>
    <row r="1568" spans="1:9" x14ac:dyDescent="0.15">
      <c r="A1568" s="1">
        <v>1567</v>
      </c>
      <c r="B1568" s="1">
        <v>102060800</v>
      </c>
      <c r="C1568" s="1">
        <f t="shared" si="96"/>
        <v>9</v>
      </c>
      <c r="D1568" s="5">
        <f ca="1">IF(getQuality(B1568)&lt;4,getOtherMin(B1568,C1568,INDIRECT(J$2),INDIRECT(I1568),test),getMin(B1568,C1568,INDIRECT(J$2),INDIRECT(I1568),test))</f>
        <v>149.01542709608177</v>
      </c>
      <c r="E1568" s="5">
        <f ca="1">IF(getQuality(B1568)&lt;4,getOtherMax(B1568,C1568,INDIRECT(J$2),INDIRECT(I1568),test),getMax(B1568,C1568,INDIRECT(J$2),INDIRECT(I1568),test))</f>
        <v>190.22369727444828</v>
      </c>
      <c r="F1568" s="1" t="str">
        <f t="shared" si="98"/>
        <v>50</v>
      </c>
      <c r="G1568" s="1" t="str">
        <f t="shared" si="99"/>
        <v/>
      </c>
      <c r="I1568" s="1" t="str">
        <f t="shared" si="97"/>
        <v>威尔新数值1.06.xlsm!suitPower</v>
      </c>
    </row>
    <row r="1569" spans="1:9" x14ac:dyDescent="0.15">
      <c r="A1569" s="1">
        <v>1568</v>
      </c>
      <c r="B1569" s="1">
        <v>102060800</v>
      </c>
      <c r="C1569" s="1">
        <f t="shared" si="96"/>
        <v>10</v>
      </c>
      <c r="D1569" s="5">
        <f ca="1">IF(getQuality(B1569)&lt;4,getOtherMin(B1569,C1569,INDIRECT(J$2),INDIRECT(I1569),test),getMin(B1569,C1569,INDIRECT(J$2),INDIRECT(I1569),test))</f>
        <v>149.01542709608177</v>
      </c>
      <c r="E1569" s="5">
        <f ca="1">IF(getQuality(B1569)&lt;4,getOtherMax(B1569,C1569,INDIRECT(J$2),INDIRECT(I1569),test),getMax(B1569,C1569,INDIRECT(J$2),INDIRECT(I1569),test))</f>
        <v>190.22369727444828</v>
      </c>
      <c r="F1569" s="1" t="str">
        <f t="shared" si="98"/>
        <v>50</v>
      </c>
      <c r="G1569" s="1" t="str">
        <f t="shared" si="99"/>
        <v/>
      </c>
      <c r="I1569" s="1" t="str">
        <f t="shared" si="97"/>
        <v>威尔新数值1.06.xlsm!suitPower</v>
      </c>
    </row>
    <row r="1570" spans="1:9" x14ac:dyDescent="0.15">
      <c r="A1570" s="1">
        <v>1569</v>
      </c>
      <c r="B1570" s="1">
        <v>102060800</v>
      </c>
      <c r="C1570" s="1">
        <f t="shared" si="96"/>
        <v>11</v>
      </c>
      <c r="D1570" s="5">
        <f ca="1">IF(getQuality(B1570)&lt;4,getOtherMin(B1570,C1570,INDIRECT(J$2),INDIRECT(I1570),test),getMin(B1570,C1570,INDIRECT(J$2),INDIRECT(I1570),test))</f>
        <v>149.01542709608177</v>
      </c>
      <c r="E1570" s="5">
        <f ca="1">IF(getQuality(B1570)&lt;4,getOtherMax(B1570,C1570,INDIRECT(J$2),INDIRECT(I1570),test),getMax(B1570,C1570,INDIRECT(J$2),INDIRECT(I1570),test))</f>
        <v>190.22369727444828</v>
      </c>
      <c r="F1570" s="1" t="str">
        <f t="shared" si="98"/>
        <v>50</v>
      </c>
      <c r="G1570" s="1" t="str">
        <f t="shared" si="99"/>
        <v/>
      </c>
      <c r="I1570" s="1" t="str">
        <f t="shared" si="97"/>
        <v>威尔新数值1.06.xlsm!suitPower</v>
      </c>
    </row>
    <row r="1571" spans="1:9" x14ac:dyDescent="0.15">
      <c r="A1571" s="1">
        <v>1570</v>
      </c>
      <c r="B1571" s="1">
        <v>102060800</v>
      </c>
      <c r="C1571" s="1">
        <f t="shared" si="96"/>
        <v>12</v>
      </c>
      <c r="D1571" s="5">
        <f ca="1">IF(getQuality(B1571)&lt;4,getOtherMin(B1571,C1571,INDIRECT(J$2),INDIRECT(I1571),test),getMin(B1571,C1571,INDIRECT(J$2),INDIRECT(I1571),test))</f>
        <v>149.01542709608177</v>
      </c>
      <c r="E1571" s="5">
        <f ca="1">IF(getQuality(B1571)&lt;4,getOtherMax(B1571,C1571,INDIRECT(J$2),INDIRECT(I1571),test),getMax(B1571,C1571,INDIRECT(J$2),INDIRECT(I1571),test))</f>
        <v>190.22369727444828</v>
      </c>
      <c r="F1571" s="1" t="str">
        <f t="shared" si="98"/>
        <v>50</v>
      </c>
      <c r="G1571" s="1" t="str">
        <f t="shared" si="99"/>
        <v/>
      </c>
      <c r="I1571" s="1" t="str">
        <f t="shared" si="97"/>
        <v>威尔新数值1.06.xlsm!suitPower</v>
      </c>
    </row>
    <row r="1572" spans="1:9" x14ac:dyDescent="0.15">
      <c r="A1572" s="1">
        <v>1571</v>
      </c>
      <c r="B1572" s="1">
        <v>102060800</v>
      </c>
      <c r="C1572" s="1">
        <f t="shared" ref="C1572:C1635" si="100">C1553</f>
        <v>13</v>
      </c>
      <c r="D1572" s="5">
        <f ca="1">IF(getQuality(B1572)&lt;4,getOtherMin(B1572,C1572,INDIRECT(J$2),INDIRECT(I1572),test),getMin(B1572,C1572,INDIRECT(J$2),INDIRECT(I1572),test))</f>
        <v>149.01542709608177</v>
      </c>
      <c r="E1572" s="5">
        <f ca="1">IF(getQuality(B1572)&lt;4,getOtherMax(B1572,C1572,INDIRECT(J$2),INDIRECT(I1572),test),getMax(B1572,C1572,INDIRECT(J$2),INDIRECT(I1572),test))</f>
        <v>190.22369727444828</v>
      </c>
      <c r="F1572" s="1" t="str">
        <f t="shared" si="98"/>
        <v>50</v>
      </c>
      <c r="G1572" s="1" t="str">
        <f t="shared" si="99"/>
        <v/>
      </c>
      <c r="I1572" s="1" t="str">
        <f t="shared" si="97"/>
        <v>威尔新数值1.06.xlsm!suitPower</v>
      </c>
    </row>
    <row r="1573" spans="1:9" x14ac:dyDescent="0.15">
      <c r="A1573" s="1">
        <v>1572</v>
      </c>
      <c r="B1573" s="1">
        <v>102060800</v>
      </c>
      <c r="C1573" s="1">
        <f t="shared" si="100"/>
        <v>14</v>
      </c>
      <c r="D1573" s="5">
        <f ca="1">IF(getQuality(B1573)&lt;4,getOtherMin(B1573,C1573,INDIRECT(J$2),INDIRECT(I1573),test),getMin(B1573,C1573,INDIRECT(J$2),INDIRECT(I1573),test))</f>
        <v>149.01542709608177</v>
      </c>
      <c r="E1573" s="5">
        <f ca="1">IF(getQuality(B1573)&lt;4,getOtherMax(B1573,C1573,INDIRECT(J$2),INDIRECT(I1573),test),getMax(B1573,C1573,INDIRECT(J$2),INDIRECT(I1573),test))</f>
        <v>190.22369727444828</v>
      </c>
      <c r="F1573" s="1" t="str">
        <f t="shared" si="98"/>
        <v>50</v>
      </c>
      <c r="G1573" s="1" t="str">
        <f t="shared" si="99"/>
        <v/>
      </c>
      <c r="I1573" s="1" t="str">
        <f t="shared" si="97"/>
        <v>威尔新数值1.06.xlsm!suitPower</v>
      </c>
    </row>
    <row r="1574" spans="1:9" x14ac:dyDescent="0.15">
      <c r="A1574" s="1">
        <v>1573</v>
      </c>
      <c r="B1574" s="1">
        <v>102060800</v>
      </c>
      <c r="C1574" s="1">
        <f t="shared" si="100"/>
        <v>15</v>
      </c>
      <c r="D1574" s="5">
        <f ca="1">IF(getQuality(B1574)&lt;4,getOtherMin(B1574,C1574,INDIRECT(J$2),INDIRECT(I1574),test),getMin(B1574,C1574,INDIRECT(J$2),INDIRECT(I1574),test))</f>
        <v>149.01542709608177</v>
      </c>
      <c r="E1574" s="5">
        <f ca="1">IF(getQuality(B1574)&lt;4,getOtherMax(B1574,C1574,INDIRECT(J$2),INDIRECT(I1574),test),getMax(B1574,C1574,INDIRECT(J$2),INDIRECT(I1574),test))</f>
        <v>190.22369727444828</v>
      </c>
      <c r="F1574" s="1" t="str">
        <f t="shared" si="98"/>
        <v>50</v>
      </c>
      <c r="G1574" s="1" t="str">
        <f t="shared" si="99"/>
        <v/>
      </c>
      <c r="I1574" s="1" t="str">
        <f t="shared" si="97"/>
        <v>威尔新数值1.06.xlsm!suitPower</v>
      </c>
    </row>
    <row r="1575" spans="1:9" x14ac:dyDescent="0.15">
      <c r="A1575" s="1">
        <v>1574</v>
      </c>
      <c r="B1575" s="1">
        <v>102060800</v>
      </c>
      <c r="C1575" s="1">
        <f t="shared" si="100"/>
        <v>101</v>
      </c>
      <c r="D1575" s="5">
        <f ca="1">IF(getQuality(B1575)&lt;4,getOtherMin(B1575,C1575,INDIRECT(J$2),INDIRECT(I1575),test),getMin(B1575,C1575,INDIRECT(J$2),INDIRECT(I1575),test))</f>
        <v>0.11</v>
      </c>
      <c r="E1575" s="5">
        <f ca="1">IF(getQuality(B1575)&lt;4,getOtherMax(B1575,C1575,INDIRECT(J$2),INDIRECT(I1575),test),getMax(B1575,C1575,INDIRECT(J$2),INDIRECT(I1575),test))</f>
        <v>0.14000000000000001</v>
      </c>
      <c r="F1575" s="1" t="str">
        <f t="shared" si="98"/>
        <v>50</v>
      </c>
      <c r="G1575" s="1" t="str">
        <f t="shared" si="99"/>
        <v/>
      </c>
      <c r="I1575" s="1" t="str">
        <f t="shared" si="97"/>
        <v>威尔新数值1.06.xlsm!circlePer</v>
      </c>
    </row>
    <row r="1576" spans="1:9" x14ac:dyDescent="0.15">
      <c r="A1576" s="1">
        <v>1575</v>
      </c>
      <c r="B1576" s="1">
        <v>102060800</v>
      </c>
      <c r="C1576" s="1">
        <f t="shared" si="100"/>
        <v>102</v>
      </c>
      <c r="D1576" s="5">
        <f ca="1">IF(getQuality(B1576)&lt;4,getOtherMin(B1576,C1576,INDIRECT(J$2),INDIRECT(I1576),test),getMin(B1576,C1576,INDIRECT(J$2),INDIRECT(I1576),test))</f>
        <v>0.9</v>
      </c>
      <c r="E1576" s="5">
        <f ca="1">IF(getQuality(B1576)&lt;4,getOtherMax(B1576,C1576,INDIRECT(J$2),INDIRECT(I1576),test),getMax(B1576,C1576,INDIRECT(J$2),INDIRECT(I1576),test))</f>
        <v>1.3</v>
      </c>
      <c r="F1576" s="1" t="str">
        <f t="shared" si="98"/>
        <v>50</v>
      </c>
      <c r="G1576" s="1" t="str">
        <f t="shared" si="99"/>
        <v/>
      </c>
      <c r="I1576" s="1" t="str">
        <f t="shared" si="97"/>
        <v>威尔新数值1.06.xlsm!circleValue</v>
      </c>
    </row>
    <row r="1577" spans="1:9" x14ac:dyDescent="0.15">
      <c r="A1577" s="1">
        <v>1576</v>
      </c>
      <c r="B1577" s="1">
        <v>102060800</v>
      </c>
      <c r="C1577" s="1">
        <f t="shared" si="100"/>
        <v>103</v>
      </c>
      <c r="D1577" s="5">
        <f ca="1">IF(getQuality(B1577)&lt;4,getOtherMin(B1577,C1577,INDIRECT(J$2),INDIRECT(I1577),test),getMin(B1577,C1577,INDIRECT(J$2),INDIRECT(I1577),test))</f>
        <v>0.11</v>
      </c>
      <c r="E1577" s="5">
        <f ca="1">IF(getQuality(B1577)&lt;4,getOtherMax(B1577,C1577,INDIRECT(J$2),INDIRECT(I1577),test),getMax(B1577,C1577,INDIRECT(J$2),INDIRECT(I1577),test))</f>
        <v>0.14000000000000001</v>
      </c>
      <c r="F1577" s="1" t="str">
        <f t="shared" si="98"/>
        <v>50</v>
      </c>
      <c r="G1577" s="1" t="str">
        <f t="shared" si="99"/>
        <v/>
      </c>
      <c r="I1577" s="1" t="str">
        <f t="shared" si="97"/>
        <v>威尔新数值1.06.xlsm!otherDamage</v>
      </c>
    </row>
    <row r="1578" spans="1:9" x14ac:dyDescent="0.15">
      <c r="A1578" s="1">
        <v>1577</v>
      </c>
      <c r="B1578" s="1">
        <v>102060800</v>
      </c>
      <c r="C1578" s="1">
        <f t="shared" si="100"/>
        <v>104</v>
      </c>
      <c r="D1578" s="5">
        <f ca="1">IF(getQuality(B1578)&lt;4,getOtherMin(B1578,C1578,INDIRECT(J$2),INDIRECT(I1578),test),getMin(B1578,C1578,INDIRECT(J$2),INDIRECT(I1578),test))</f>
        <v>0.11</v>
      </c>
      <c r="E1578" s="5">
        <f ca="1">IF(getQuality(B1578)&lt;4,getOtherMax(B1578,C1578,INDIRECT(J$2),INDIRECT(I1578),test),getMax(B1578,C1578,INDIRECT(J$2),INDIRECT(I1578),test))</f>
        <v>0.22</v>
      </c>
      <c r="F1578" s="1" t="str">
        <f t="shared" si="98"/>
        <v>50</v>
      </c>
      <c r="G1578" s="1" t="str">
        <f t="shared" si="99"/>
        <v/>
      </c>
      <c r="I1578" s="1" t="str">
        <f t="shared" si="97"/>
        <v>威尔新数值1.06.xlsm!monsterDamage</v>
      </c>
    </row>
    <row r="1579" spans="1:9" x14ac:dyDescent="0.15">
      <c r="A1579" s="1">
        <v>1578</v>
      </c>
      <c r="B1579" s="1">
        <v>102060800</v>
      </c>
      <c r="C1579" s="1">
        <f t="shared" si="100"/>
        <v>105</v>
      </c>
      <c r="D1579" s="5">
        <f ca="1">IF(getQuality(B1579)&lt;4,getOtherMin(B1579,C1579,INDIRECT(J$2),INDIRECT(I1579),test),getMin(B1579,C1579,INDIRECT(J$2),INDIRECT(I1579),test))</f>
        <v>0.11</v>
      </c>
      <c r="E1579" s="5">
        <f ca="1">IF(getQuality(B1579)&lt;4,getOtherMax(B1579,C1579,INDIRECT(J$2),INDIRECT(I1579),test),getMax(B1579,C1579,INDIRECT(J$2),INDIRECT(I1579),test))</f>
        <v>0.22</v>
      </c>
      <c r="F1579" s="1" t="str">
        <f t="shared" si="98"/>
        <v>50</v>
      </c>
      <c r="G1579" s="1" t="str">
        <f t="shared" si="99"/>
        <v/>
      </c>
      <c r="I1579" s="1" t="str">
        <f t="shared" si="97"/>
        <v>威尔新数值1.06.xlsm!monsterDamage</v>
      </c>
    </row>
    <row r="1580" spans="1:9" x14ac:dyDescent="0.15">
      <c r="A1580" s="1">
        <v>1579</v>
      </c>
      <c r="B1580" s="1">
        <v>102060800</v>
      </c>
      <c r="C1580" s="1">
        <f t="shared" si="100"/>
        <v>106</v>
      </c>
      <c r="D1580" s="5">
        <f ca="1">IF(getQuality(B1580)&lt;4,getOtherMin(B1580,C1580,INDIRECT(J$2),INDIRECT(I1580),test),getMin(B1580,C1580,INDIRECT(J$2),INDIRECT(I1580),test))</f>
        <v>0.11</v>
      </c>
      <c r="E1580" s="5">
        <f ca="1">IF(getQuality(B1580)&lt;4,getOtherMax(B1580,C1580,INDIRECT(J$2),INDIRECT(I1580),test),getMax(B1580,C1580,INDIRECT(J$2),INDIRECT(I1580),test))</f>
        <v>0.22</v>
      </c>
      <c r="F1580" s="1" t="str">
        <f t="shared" si="98"/>
        <v>50</v>
      </c>
      <c r="G1580" s="1" t="str">
        <f t="shared" si="99"/>
        <v/>
      </c>
      <c r="I1580" s="1" t="str">
        <f t="shared" si="97"/>
        <v>威尔新数值1.06.xlsm!monsterDamage</v>
      </c>
    </row>
    <row r="1581" spans="1:9" x14ac:dyDescent="0.15">
      <c r="A1581" s="1">
        <v>1580</v>
      </c>
      <c r="B1581" s="1">
        <v>102060800</v>
      </c>
      <c r="C1581" s="1">
        <f t="shared" si="100"/>
        <v>107</v>
      </c>
      <c r="D1581" s="5">
        <f ca="1">IF(getQuality(B1581)&lt;4,getOtherMin(B1581,C1581,INDIRECT(J$2),INDIRECT(I1581),test),getMin(B1581,C1581,INDIRECT(J$2),INDIRECT(I1581),test))</f>
        <v>0.11</v>
      </c>
      <c r="E1581" s="5">
        <f ca="1">IF(getQuality(B1581)&lt;4,getOtherMax(B1581,C1581,INDIRECT(J$2),INDIRECT(I1581),test),getMax(B1581,C1581,INDIRECT(J$2),INDIRECT(I1581),test))</f>
        <v>0.22</v>
      </c>
      <c r="F1581" s="1" t="str">
        <f t="shared" si="98"/>
        <v>50</v>
      </c>
      <c r="G1581" s="1" t="str">
        <f t="shared" si="99"/>
        <v/>
      </c>
      <c r="I1581" s="1" t="str">
        <f t="shared" si="97"/>
        <v>威尔新数值1.06.xlsm!monsterDamage</v>
      </c>
    </row>
    <row r="1582" spans="1:9" x14ac:dyDescent="0.15">
      <c r="A1582" s="1">
        <v>1581</v>
      </c>
      <c r="B1582" s="1">
        <v>102060800</v>
      </c>
      <c r="C1582" s="1">
        <f t="shared" si="100"/>
        <v>108</v>
      </c>
      <c r="D1582" s="5">
        <f ca="1">IF(getQuality(B1582)&lt;4,getOtherMin(B1582,C1582,INDIRECT(J$2),INDIRECT(I1582),test),getMin(B1582,C1582,INDIRECT(J$2),INDIRECT(I1582),test))</f>
        <v>0.11</v>
      </c>
      <c r="E1582" s="5">
        <f ca="1">IF(getQuality(B1582)&lt;4,getOtherMax(B1582,C1582,INDIRECT(J$2),INDIRECT(I1582),test),getMax(B1582,C1582,INDIRECT(J$2),INDIRECT(I1582),test))</f>
        <v>0.22</v>
      </c>
      <c r="F1582" s="1" t="str">
        <f t="shared" si="98"/>
        <v>50</v>
      </c>
      <c r="G1582" s="1" t="str">
        <f t="shared" si="99"/>
        <v/>
      </c>
      <c r="I1582" s="1" t="str">
        <f t="shared" si="97"/>
        <v>威尔新数值1.06.xlsm!monsterDamage</v>
      </c>
    </row>
    <row r="1583" spans="1:9" x14ac:dyDescent="0.15">
      <c r="A1583" s="1">
        <v>1582</v>
      </c>
      <c r="B1583" s="1">
        <v>102070800</v>
      </c>
      <c r="C1583" s="1">
        <f t="shared" si="100"/>
        <v>3</v>
      </c>
      <c r="D1583" s="5">
        <f ca="1">IF(getQuality(B1583)&lt;4,getOtherMin(B1583,C1583,INDIRECT(J$2),INDIRECT(I1583),test),getMin(B1583,C1583,INDIRECT(J$2),INDIRECT(I1583),test))</f>
        <v>191.22369727444828</v>
      </c>
      <c r="E1583" s="5">
        <f ca="1">IF(getQuality(B1583)&lt;4,getOtherMax(B1583,C1583,INDIRECT(J$2),INDIRECT(I1583),test),getMax(B1583,C1583,INDIRECT(J$2),INDIRECT(I1583),test))</f>
        <v>236.63369570586491</v>
      </c>
      <c r="F1583" s="1" t="str">
        <f t="shared" si="98"/>
        <v>50</v>
      </c>
      <c r="G1583" s="1" t="str">
        <f t="shared" si="99"/>
        <v/>
      </c>
      <c r="I1583" s="1" t="str">
        <f t="shared" si="97"/>
        <v>威尔新数值1.06.xlsm!suitPower</v>
      </c>
    </row>
    <row r="1584" spans="1:9" x14ac:dyDescent="0.15">
      <c r="A1584" s="1">
        <v>1583</v>
      </c>
      <c r="B1584" s="1">
        <v>102070800</v>
      </c>
      <c r="C1584" s="1">
        <f t="shared" si="100"/>
        <v>5</v>
      </c>
      <c r="D1584" s="5">
        <f ca="1">IF(getQuality(B1584)&lt;4,getOtherMin(B1584,C1584,INDIRECT(J$2),INDIRECT(I1584),test),getMin(B1584,C1584,INDIRECT(J$2),INDIRECT(I1584),test))</f>
        <v>191.22369727444828</v>
      </c>
      <c r="E1584" s="5">
        <f ca="1">IF(getQuality(B1584)&lt;4,getOtherMax(B1584,C1584,INDIRECT(J$2),INDIRECT(I1584),test),getMax(B1584,C1584,INDIRECT(J$2),INDIRECT(I1584),test))</f>
        <v>236.63369570586491</v>
      </c>
      <c r="F1584" s="1" t="str">
        <f t="shared" si="98"/>
        <v>50</v>
      </c>
      <c r="G1584" s="1" t="str">
        <f t="shared" si="99"/>
        <v>1</v>
      </c>
      <c r="I1584" s="1" t="str">
        <f t="shared" si="97"/>
        <v>威尔新数值1.06.xlsm!suitPower</v>
      </c>
    </row>
    <row r="1585" spans="1:9" x14ac:dyDescent="0.15">
      <c r="A1585" s="1">
        <v>1584</v>
      </c>
      <c r="B1585" s="1">
        <v>102070800</v>
      </c>
      <c r="C1585" s="1">
        <f t="shared" si="100"/>
        <v>7</v>
      </c>
      <c r="D1585" s="5">
        <f ca="1">IF(getQuality(B1585)&lt;4,getOtherMin(B1585,C1585,INDIRECT(J$2),INDIRECT(I1585),test),getMin(B1585,C1585,INDIRECT(J$2),INDIRECT(I1585),test))</f>
        <v>39.888888888888786</v>
      </c>
      <c r="E1585" s="5">
        <f ca="1">IF(getQuality(B1585)&lt;4,getOtherMax(B1585,C1585,INDIRECT(J$2),INDIRECT(I1585),test),getMax(B1585,C1585,INDIRECT(J$2),INDIRECT(I1585),test))</f>
        <v>45.370370370370253</v>
      </c>
      <c r="F1585" s="1" t="str">
        <f t="shared" si="98"/>
        <v>50</v>
      </c>
      <c r="G1585" s="1" t="str">
        <f t="shared" si="99"/>
        <v/>
      </c>
      <c r="I1585" s="1" t="str">
        <f t="shared" si="97"/>
        <v>威尔新数值1.06.xlsm!suitPower</v>
      </c>
    </row>
    <row r="1586" spans="1:9" x14ac:dyDescent="0.15">
      <c r="A1586" s="1">
        <v>1585</v>
      </c>
      <c r="B1586" s="1">
        <v>102070800</v>
      </c>
      <c r="C1586" s="1">
        <f t="shared" si="100"/>
        <v>8</v>
      </c>
      <c r="D1586" s="5">
        <f ca="1">IF(getQuality(B1586)&lt;4,getOtherMin(B1586,C1586,INDIRECT(J$2),INDIRECT(I1586),test),getMin(B1586,C1586,INDIRECT(J$2),INDIRECT(I1586),test))</f>
        <v>88.5</v>
      </c>
      <c r="E1586" s="5">
        <f ca="1">IF(getQuality(B1586)&lt;4,getOtherMax(B1586,C1586,INDIRECT(J$2),INDIRECT(I1586),test),getMax(B1586,C1586,INDIRECT(J$2),INDIRECT(I1586),test))</f>
        <v>102.08333333333333</v>
      </c>
      <c r="F1586" s="1" t="str">
        <f t="shared" si="98"/>
        <v>50</v>
      </c>
      <c r="G1586" s="1" t="str">
        <f t="shared" si="99"/>
        <v/>
      </c>
      <c r="I1586" s="1" t="str">
        <f t="shared" si="97"/>
        <v>威尔新数值1.06.xlsm!suitPower</v>
      </c>
    </row>
    <row r="1587" spans="1:9" x14ac:dyDescent="0.15">
      <c r="A1587" s="1">
        <v>1586</v>
      </c>
      <c r="B1587" s="1">
        <v>102070800</v>
      </c>
      <c r="C1587" s="1">
        <f t="shared" si="100"/>
        <v>9</v>
      </c>
      <c r="D1587" s="5">
        <f ca="1">IF(getQuality(B1587)&lt;4,getOtherMin(B1587,C1587,INDIRECT(J$2),INDIRECT(I1587),test),getMin(B1587,C1587,INDIRECT(J$2),INDIRECT(I1587),test))</f>
        <v>191.22369727444828</v>
      </c>
      <c r="E1587" s="5">
        <f ca="1">IF(getQuality(B1587)&lt;4,getOtherMax(B1587,C1587,INDIRECT(J$2),INDIRECT(I1587),test),getMax(B1587,C1587,INDIRECT(J$2),INDIRECT(I1587),test))</f>
        <v>236.63369570586491</v>
      </c>
      <c r="F1587" s="1" t="str">
        <f t="shared" si="98"/>
        <v>50</v>
      </c>
      <c r="G1587" s="1" t="str">
        <f t="shared" si="99"/>
        <v/>
      </c>
      <c r="I1587" s="1" t="str">
        <f t="shared" si="97"/>
        <v>威尔新数值1.06.xlsm!suitPower</v>
      </c>
    </row>
    <row r="1588" spans="1:9" x14ac:dyDescent="0.15">
      <c r="A1588" s="1">
        <v>1587</v>
      </c>
      <c r="B1588" s="1">
        <v>102070800</v>
      </c>
      <c r="C1588" s="1">
        <f t="shared" si="100"/>
        <v>10</v>
      </c>
      <c r="D1588" s="5">
        <f ca="1">IF(getQuality(B1588)&lt;4,getOtherMin(B1588,C1588,INDIRECT(J$2),INDIRECT(I1588),test),getMin(B1588,C1588,INDIRECT(J$2),INDIRECT(I1588),test))</f>
        <v>191.22369727444828</v>
      </c>
      <c r="E1588" s="5">
        <f ca="1">IF(getQuality(B1588)&lt;4,getOtherMax(B1588,C1588,INDIRECT(J$2),INDIRECT(I1588),test),getMax(B1588,C1588,INDIRECT(J$2),INDIRECT(I1588),test))</f>
        <v>236.63369570586491</v>
      </c>
      <c r="F1588" s="1" t="str">
        <f t="shared" si="98"/>
        <v>50</v>
      </c>
      <c r="G1588" s="1" t="str">
        <f t="shared" si="99"/>
        <v/>
      </c>
      <c r="I1588" s="1" t="str">
        <f t="shared" si="97"/>
        <v>威尔新数值1.06.xlsm!suitPower</v>
      </c>
    </row>
    <row r="1589" spans="1:9" x14ac:dyDescent="0.15">
      <c r="A1589" s="1">
        <v>1588</v>
      </c>
      <c r="B1589" s="1">
        <v>102070800</v>
      </c>
      <c r="C1589" s="1">
        <f t="shared" si="100"/>
        <v>11</v>
      </c>
      <c r="D1589" s="5">
        <f ca="1">IF(getQuality(B1589)&lt;4,getOtherMin(B1589,C1589,INDIRECT(J$2),INDIRECT(I1589),test),getMin(B1589,C1589,INDIRECT(J$2),INDIRECT(I1589),test))</f>
        <v>191.22369727444828</v>
      </c>
      <c r="E1589" s="5">
        <f ca="1">IF(getQuality(B1589)&lt;4,getOtherMax(B1589,C1589,INDIRECT(J$2),INDIRECT(I1589),test),getMax(B1589,C1589,INDIRECT(J$2),INDIRECT(I1589),test))</f>
        <v>236.63369570586491</v>
      </c>
      <c r="F1589" s="1" t="str">
        <f t="shared" si="98"/>
        <v>50</v>
      </c>
      <c r="G1589" s="1" t="str">
        <f t="shared" si="99"/>
        <v/>
      </c>
      <c r="I1589" s="1" t="str">
        <f t="shared" si="97"/>
        <v>威尔新数值1.06.xlsm!suitPower</v>
      </c>
    </row>
    <row r="1590" spans="1:9" x14ac:dyDescent="0.15">
      <c r="A1590" s="1">
        <v>1589</v>
      </c>
      <c r="B1590" s="1">
        <v>102070800</v>
      </c>
      <c r="C1590" s="1">
        <f t="shared" si="100"/>
        <v>12</v>
      </c>
      <c r="D1590" s="5">
        <f ca="1">IF(getQuality(B1590)&lt;4,getOtherMin(B1590,C1590,INDIRECT(J$2),INDIRECT(I1590),test),getMin(B1590,C1590,INDIRECT(J$2),INDIRECT(I1590),test))</f>
        <v>191.22369727444828</v>
      </c>
      <c r="E1590" s="5">
        <f ca="1">IF(getQuality(B1590)&lt;4,getOtherMax(B1590,C1590,INDIRECT(J$2),INDIRECT(I1590),test),getMax(B1590,C1590,INDIRECT(J$2),INDIRECT(I1590),test))</f>
        <v>236.63369570586491</v>
      </c>
      <c r="F1590" s="1" t="str">
        <f t="shared" si="98"/>
        <v>50</v>
      </c>
      <c r="G1590" s="1" t="str">
        <f t="shared" si="99"/>
        <v/>
      </c>
      <c r="I1590" s="1" t="str">
        <f t="shared" si="97"/>
        <v>威尔新数值1.06.xlsm!suitPower</v>
      </c>
    </row>
    <row r="1591" spans="1:9" x14ac:dyDescent="0.15">
      <c r="A1591" s="1">
        <v>1590</v>
      </c>
      <c r="B1591" s="1">
        <v>102070800</v>
      </c>
      <c r="C1591" s="1">
        <f t="shared" si="100"/>
        <v>13</v>
      </c>
      <c r="D1591" s="5">
        <f ca="1">IF(getQuality(B1591)&lt;4,getOtherMin(B1591,C1591,INDIRECT(J$2),INDIRECT(I1591),test),getMin(B1591,C1591,INDIRECT(J$2),INDIRECT(I1591),test))</f>
        <v>191.22369727444828</v>
      </c>
      <c r="E1591" s="5">
        <f ca="1">IF(getQuality(B1591)&lt;4,getOtherMax(B1591,C1591,INDIRECT(J$2),INDIRECT(I1591),test),getMax(B1591,C1591,INDIRECT(J$2),INDIRECT(I1591),test))</f>
        <v>236.63369570586491</v>
      </c>
      <c r="F1591" s="1" t="str">
        <f t="shared" si="98"/>
        <v>50</v>
      </c>
      <c r="G1591" s="1" t="str">
        <f t="shared" si="99"/>
        <v/>
      </c>
      <c r="I1591" s="1" t="str">
        <f t="shared" si="97"/>
        <v>威尔新数值1.06.xlsm!suitPower</v>
      </c>
    </row>
    <row r="1592" spans="1:9" x14ac:dyDescent="0.15">
      <c r="A1592" s="1">
        <v>1591</v>
      </c>
      <c r="B1592" s="1">
        <v>102070800</v>
      </c>
      <c r="C1592" s="1">
        <f t="shared" si="100"/>
        <v>14</v>
      </c>
      <c r="D1592" s="5">
        <f ca="1">IF(getQuality(B1592)&lt;4,getOtherMin(B1592,C1592,INDIRECT(J$2),INDIRECT(I1592),test),getMin(B1592,C1592,INDIRECT(J$2),INDIRECT(I1592),test))</f>
        <v>191.22369727444828</v>
      </c>
      <c r="E1592" s="5">
        <f ca="1">IF(getQuality(B1592)&lt;4,getOtherMax(B1592,C1592,INDIRECT(J$2),INDIRECT(I1592),test),getMax(B1592,C1592,INDIRECT(J$2),INDIRECT(I1592),test))</f>
        <v>236.63369570586491</v>
      </c>
      <c r="F1592" s="1" t="str">
        <f t="shared" si="98"/>
        <v>50</v>
      </c>
      <c r="G1592" s="1" t="str">
        <f t="shared" si="99"/>
        <v/>
      </c>
      <c r="I1592" s="1" t="str">
        <f t="shared" si="97"/>
        <v>威尔新数值1.06.xlsm!suitPower</v>
      </c>
    </row>
    <row r="1593" spans="1:9" x14ac:dyDescent="0.15">
      <c r="A1593" s="1">
        <v>1592</v>
      </c>
      <c r="B1593" s="1">
        <v>102070800</v>
      </c>
      <c r="C1593" s="1">
        <f t="shared" si="100"/>
        <v>15</v>
      </c>
      <c r="D1593" s="5">
        <f ca="1">IF(getQuality(B1593)&lt;4,getOtherMin(B1593,C1593,INDIRECT(J$2),INDIRECT(I1593),test),getMin(B1593,C1593,INDIRECT(J$2),INDIRECT(I1593),test))</f>
        <v>191.22369727444828</v>
      </c>
      <c r="E1593" s="5">
        <f ca="1">IF(getQuality(B1593)&lt;4,getOtherMax(B1593,C1593,INDIRECT(J$2),INDIRECT(I1593),test),getMax(B1593,C1593,INDIRECT(J$2),INDIRECT(I1593),test))</f>
        <v>236.63369570586491</v>
      </c>
      <c r="F1593" s="1" t="str">
        <f t="shared" si="98"/>
        <v>50</v>
      </c>
      <c r="G1593" s="1" t="str">
        <f t="shared" si="99"/>
        <v/>
      </c>
      <c r="I1593" s="1" t="str">
        <f t="shared" si="97"/>
        <v>威尔新数值1.06.xlsm!suitPower</v>
      </c>
    </row>
    <row r="1594" spans="1:9" x14ac:dyDescent="0.15">
      <c r="A1594" s="1">
        <v>1593</v>
      </c>
      <c r="B1594" s="1">
        <v>102070800</v>
      </c>
      <c r="C1594" s="1">
        <f t="shared" si="100"/>
        <v>101</v>
      </c>
      <c r="D1594" s="5">
        <f ca="1">IF(getQuality(B1594)&lt;4,getOtherMin(B1594,C1594,INDIRECT(J$2),INDIRECT(I1594),test),getMin(B1594,C1594,INDIRECT(J$2),INDIRECT(I1594),test))</f>
        <v>0.12</v>
      </c>
      <c r="E1594" s="5">
        <f ca="1">IF(getQuality(B1594)&lt;4,getOtherMax(B1594,C1594,INDIRECT(J$2),INDIRECT(I1594),test),getMax(B1594,C1594,INDIRECT(J$2),INDIRECT(I1594),test))</f>
        <v>0.15</v>
      </c>
      <c r="F1594" s="1" t="str">
        <f t="shared" si="98"/>
        <v>50</v>
      </c>
      <c r="G1594" s="1" t="str">
        <f t="shared" si="99"/>
        <v/>
      </c>
      <c r="I1594" s="1" t="str">
        <f t="shared" si="97"/>
        <v>威尔新数值1.06.xlsm!circlePer</v>
      </c>
    </row>
    <row r="1595" spans="1:9" x14ac:dyDescent="0.15">
      <c r="A1595" s="1">
        <v>1594</v>
      </c>
      <c r="B1595" s="1">
        <v>102070800</v>
      </c>
      <c r="C1595" s="1">
        <f t="shared" si="100"/>
        <v>102</v>
      </c>
      <c r="D1595" s="5">
        <f ca="1">IF(getQuality(B1595)&lt;4,getOtherMin(B1595,C1595,INDIRECT(J$2),INDIRECT(I1595),test),getMin(B1595,C1595,INDIRECT(J$2),INDIRECT(I1595),test))</f>
        <v>1</v>
      </c>
      <c r="E1595" s="5">
        <f ca="1">IF(getQuality(B1595)&lt;4,getOtherMax(B1595,C1595,INDIRECT(J$2),INDIRECT(I1595),test),getMax(B1595,C1595,INDIRECT(J$2),INDIRECT(I1595),test))</f>
        <v>1.4</v>
      </c>
      <c r="F1595" s="1" t="str">
        <f t="shared" si="98"/>
        <v>50</v>
      </c>
      <c r="G1595" s="1" t="str">
        <f t="shared" si="99"/>
        <v/>
      </c>
      <c r="I1595" s="1" t="str">
        <f t="shared" si="97"/>
        <v>威尔新数值1.06.xlsm!circleValue</v>
      </c>
    </row>
    <row r="1596" spans="1:9" x14ac:dyDescent="0.15">
      <c r="A1596" s="1">
        <v>1595</v>
      </c>
      <c r="B1596" s="1">
        <v>102070800</v>
      </c>
      <c r="C1596" s="1">
        <f t="shared" si="100"/>
        <v>103</v>
      </c>
      <c r="D1596" s="5">
        <f ca="1">IF(getQuality(B1596)&lt;4,getOtherMin(B1596,C1596,INDIRECT(J$2),INDIRECT(I1596),test),getMin(B1596,C1596,INDIRECT(J$2),INDIRECT(I1596),test))</f>
        <v>0.12</v>
      </c>
      <c r="E1596" s="5">
        <f ca="1">IF(getQuality(B1596)&lt;4,getOtherMax(B1596,C1596,INDIRECT(J$2),INDIRECT(I1596),test),getMax(B1596,C1596,INDIRECT(J$2),INDIRECT(I1596),test))</f>
        <v>0.15</v>
      </c>
      <c r="F1596" s="1" t="str">
        <f t="shared" si="98"/>
        <v>50</v>
      </c>
      <c r="G1596" s="1" t="str">
        <f t="shared" si="99"/>
        <v/>
      </c>
      <c r="I1596" s="1" t="str">
        <f t="shared" si="97"/>
        <v>威尔新数值1.06.xlsm!otherDamage</v>
      </c>
    </row>
    <row r="1597" spans="1:9" x14ac:dyDescent="0.15">
      <c r="A1597" s="1">
        <v>1596</v>
      </c>
      <c r="B1597" s="1">
        <v>102070800</v>
      </c>
      <c r="C1597" s="1">
        <f t="shared" si="100"/>
        <v>104</v>
      </c>
      <c r="D1597" s="5">
        <f ca="1">IF(getQuality(B1597)&lt;4,getOtherMin(B1597,C1597,INDIRECT(J$2),INDIRECT(I1597),test),getMin(B1597,C1597,INDIRECT(J$2),INDIRECT(I1597),test))</f>
        <v>0.12</v>
      </c>
      <c r="E1597" s="5">
        <f ca="1">IF(getQuality(B1597)&lt;4,getOtherMax(B1597,C1597,INDIRECT(J$2),INDIRECT(I1597),test),getMax(B1597,C1597,INDIRECT(J$2),INDIRECT(I1597),test))</f>
        <v>0.24</v>
      </c>
      <c r="F1597" s="1" t="str">
        <f t="shared" si="98"/>
        <v>50</v>
      </c>
      <c r="G1597" s="1" t="str">
        <f t="shared" si="99"/>
        <v/>
      </c>
      <c r="I1597" s="1" t="str">
        <f t="shared" si="97"/>
        <v>威尔新数值1.06.xlsm!monsterDamage</v>
      </c>
    </row>
    <row r="1598" spans="1:9" x14ac:dyDescent="0.15">
      <c r="A1598" s="1">
        <v>1597</v>
      </c>
      <c r="B1598" s="1">
        <v>102070800</v>
      </c>
      <c r="C1598" s="1">
        <f t="shared" si="100"/>
        <v>105</v>
      </c>
      <c r="D1598" s="5">
        <f ca="1">IF(getQuality(B1598)&lt;4,getOtherMin(B1598,C1598,INDIRECT(J$2),INDIRECT(I1598),test),getMin(B1598,C1598,INDIRECT(J$2),INDIRECT(I1598),test))</f>
        <v>0.12</v>
      </c>
      <c r="E1598" s="5">
        <f ca="1">IF(getQuality(B1598)&lt;4,getOtherMax(B1598,C1598,INDIRECT(J$2),INDIRECT(I1598),test),getMax(B1598,C1598,INDIRECT(J$2),INDIRECT(I1598),test))</f>
        <v>0.24</v>
      </c>
      <c r="F1598" s="1" t="str">
        <f t="shared" si="98"/>
        <v>50</v>
      </c>
      <c r="G1598" s="1" t="str">
        <f t="shared" si="99"/>
        <v/>
      </c>
      <c r="I1598" s="1" t="str">
        <f t="shared" si="97"/>
        <v>威尔新数值1.06.xlsm!monsterDamage</v>
      </c>
    </row>
    <row r="1599" spans="1:9" x14ac:dyDescent="0.15">
      <c r="A1599" s="1">
        <v>1598</v>
      </c>
      <c r="B1599" s="1">
        <v>102070800</v>
      </c>
      <c r="C1599" s="1">
        <f t="shared" si="100"/>
        <v>106</v>
      </c>
      <c r="D1599" s="5">
        <f ca="1">IF(getQuality(B1599)&lt;4,getOtherMin(B1599,C1599,INDIRECT(J$2),INDIRECT(I1599),test),getMin(B1599,C1599,INDIRECT(J$2),INDIRECT(I1599),test))</f>
        <v>0.12</v>
      </c>
      <c r="E1599" s="5">
        <f ca="1">IF(getQuality(B1599)&lt;4,getOtherMax(B1599,C1599,INDIRECT(J$2),INDIRECT(I1599),test),getMax(B1599,C1599,INDIRECT(J$2),INDIRECT(I1599),test))</f>
        <v>0.24</v>
      </c>
      <c r="F1599" s="1" t="str">
        <f t="shared" si="98"/>
        <v>50</v>
      </c>
      <c r="G1599" s="1" t="str">
        <f t="shared" si="99"/>
        <v/>
      </c>
      <c r="I1599" s="1" t="str">
        <f t="shared" si="97"/>
        <v>威尔新数值1.06.xlsm!monsterDamage</v>
      </c>
    </row>
    <row r="1600" spans="1:9" x14ac:dyDescent="0.15">
      <c r="A1600" s="1">
        <v>1599</v>
      </c>
      <c r="B1600" s="1">
        <v>102070800</v>
      </c>
      <c r="C1600" s="1">
        <f t="shared" si="100"/>
        <v>107</v>
      </c>
      <c r="D1600" s="5">
        <f ca="1">IF(getQuality(B1600)&lt;4,getOtherMin(B1600,C1600,INDIRECT(J$2),INDIRECT(I1600),test),getMin(B1600,C1600,INDIRECT(J$2),INDIRECT(I1600),test))</f>
        <v>0.12</v>
      </c>
      <c r="E1600" s="5">
        <f ca="1">IF(getQuality(B1600)&lt;4,getOtherMax(B1600,C1600,INDIRECT(J$2),INDIRECT(I1600),test),getMax(B1600,C1600,INDIRECT(J$2),INDIRECT(I1600),test))</f>
        <v>0.24</v>
      </c>
      <c r="F1600" s="1" t="str">
        <f t="shared" si="98"/>
        <v>50</v>
      </c>
      <c r="G1600" s="1" t="str">
        <f t="shared" si="99"/>
        <v/>
      </c>
      <c r="I1600" s="1" t="str">
        <f t="shared" si="97"/>
        <v>威尔新数值1.06.xlsm!monsterDamage</v>
      </c>
    </row>
    <row r="1601" spans="1:9" x14ac:dyDescent="0.15">
      <c r="A1601" s="1">
        <v>1600</v>
      </c>
      <c r="B1601" s="1">
        <v>102070800</v>
      </c>
      <c r="C1601" s="1">
        <f t="shared" si="100"/>
        <v>108</v>
      </c>
      <c r="D1601" s="5">
        <f ca="1">IF(getQuality(B1601)&lt;4,getOtherMin(B1601,C1601,INDIRECT(J$2),INDIRECT(I1601),test),getMin(B1601,C1601,INDIRECT(J$2),INDIRECT(I1601),test))</f>
        <v>0.12</v>
      </c>
      <c r="E1601" s="5">
        <f ca="1">IF(getQuality(B1601)&lt;4,getOtherMax(B1601,C1601,INDIRECT(J$2),INDIRECT(I1601),test),getMax(B1601,C1601,INDIRECT(J$2),INDIRECT(I1601),test))</f>
        <v>0.24</v>
      </c>
      <c r="F1601" s="1" t="str">
        <f t="shared" si="98"/>
        <v>50</v>
      </c>
      <c r="G1601" s="1" t="str">
        <f t="shared" si="99"/>
        <v/>
      </c>
      <c r="I1601" s="1" t="str">
        <f t="shared" si="97"/>
        <v>威尔新数值1.06.xlsm!monsterDamage</v>
      </c>
    </row>
    <row r="1602" spans="1:9" x14ac:dyDescent="0.15">
      <c r="A1602" s="1">
        <v>1601</v>
      </c>
      <c r="B1602" s="1">
        <v>102080800</v>
      </c>
      <c r="C1602" s="1">
        <f t="shared" si="100"/>
        <v>3</v>
      </c>
      <c r="D1602" s="5">
        <f ca="1">IF(getQuality(B1602)&lt;4,getOtherMin(B1602,C1602,INDIRECT(J$2),INDIRECT(I1602),test),getMin(B1602,C1602,INDIRECT(J$2),INDIRECT(I1602),test))</f>
        <v>237.63369570586491</v>
      </c>
      <c r="E1602" s="5">
        <f ca="1">IF(getQuality(B1602)&lt;4,getOtherMax(B1602,C1602,INDIRECT(J$2),INDIRECT(I1602),test),getMax(B1602,C1602,INDIRECT(J$2),INDIRECT(I1602),test))</f>
        <v>287.24542239033156</v>
      </c>
      <c r="F1602" s="1" t="str">
        <f t="shared" si="98"/>
        <v>50</v>
      </c>
      <c r="G1602" s="1" t="str">
        <f t="shared" si="99"/>
        <v/>
      </c>
      <c r="I1602" s="1" t="str">
        <f t="shared" ref="I1602:I1665" si="101">IF(C1602&lt;100,VLOOKUP(C1602,test,3,FALSE),VLOOKUP(C1602,test1,3,FALSE))</f>
        <v>威尔新数值1.06.xlsm!suitPower</v>
      </c>
    </row>
    <row r="1603" spans="1:9" x14ac:dyDescent="0.15">
      <c r="A1603" s="1">
        <v>1602</v>
      </c>
      <c r="B1603" s="1">
        <v>102080800</v>
      </c>
      <c r="C1603" s="1">
        <f t="shared" si="100"/>
        <v>5</v>
      </c>
      <c r="D1603" s="5">
        <f ca="1">IF(getQuality(B1603)&lt;4,getOtherMin(B1603,C1603,INDIRECT(J$2),INDIRECT(I1603),test),getMin(B1603,C1603,INDIRECT(J$2),INDIRECT(I1603),test))</f>
        <v>237.63369570586491</v>
      </c>
      <c r="E1603" s="5">
        <f ca="1">IF(getQuality(B1603)&lt;4,getOtherMax(B1603,C1603,INDIRECT(J$2),INDIRECT(I1603),test),getMax(B1603,C1603,INDIRECT(J$2),INDIRECT(I1603),test))</f>
        <v>287.24542239033156</v>
      </c>
      <c r="F1603" s="1" t="str">
        <f t="shared" ref="F1603:F1666" si="102">getper(B1603,C1603)</f>
        <v>50</v>
      </c>
      <c r="G1603" s="1" t="str">
        <f t="shared" ref="G1603:G1666" si="103">getMust(B1603,C1603)</f>
        <v>1</v>
      </c>
      <c r="I1603" s="1" t="str">
        <f t="shared" si="101"/>
        <v>威尔新数值1.06.xlsm!suitPower</v>
      </c>
    </row>
    <row r="1604" spans="1:9" x14ac:dyDescent="0.15">
      <c r="A1604" s="1">
        <v>1603</v>
      </c>
      <c r="B1604" s="1">
        <v>102080800</v>
      </c>
      <c r="C1604" s="1">
        <f t="shared" si="100"/>
        <v>7</v>
      </c>
      <c r="D1604" s="5">
        <f ca="1">IF(getQuality(B1604)&lt;4,getOtherMin(B1604,C1604,INDIRECT(J$2),INDIRECT(I1604),test),getMin(B1604,C1604,INDIRECT(J$2),INDIRECT(I1604),test))</f>
        <v>46.370370370370253</v>
      </c>
      <c r="E1604" s="5">
        <f ca="1">IF(getQuality(B1604)&lt;4,getOtherMax(B1604,C1604,INDIRECT(J$2),INDIRECT(I1604),test),getMax(B1604,C1604,INDIRECT(J$2),INDIRECT(I1604),test))</f>
        <v>51.85185185185172</v>
      </c>
      <c r="F1604" s="1" t="str">
        <f t="shared" si="102"/>
        <v>50</v>
      </c>
      <c r="G1604" s="1" t="str">
        <f t="shared" si="103"/>
        <v/>
      </c>
      <c r="I1604" s="1" t="str">
        <f t="shared" si="101"/>
        <v>威尔新数值1.06.xlsm!suitPower</v>
      </c>
    </row>
    <row r="1605" spans="1:9" x14ac:dyDescent="0.15">
      <c r="A1605" s="1">
        <v>1604</v>
      </c>
      <c r="B1605" s="1">
        <v>102080800</v>
      </c>
      <c r="C1605" s="1">
        <f t="shared" si="100"/>
        <v>8</v>
      </c>
      <c r="D1605" s="5">
        <f ca="1">IF(getQuality(B1605)&lt;4,getOtherMin(B1605,C1605,INDIRECT(J$2),INDIRECT(I1605),test),getMin(B1605,C1605,INDIRECT(J$2),INDIRECT(I1605),test))</f>
        <v>103.08333333333333</v>
      </c>
      <c r="E1605" s="5">
        <f ca="1">IF(getQuality(B1605)&lt;4,getOtherMax(B1605,C1605,INDIRECT(J$2),INDIRECT(I1605),test),getMax(B1605,C1605,INDIRECT(J$2),INDIRECT(I1605),test))</f>
        <v>116.66666666666667</v>
      </c>
      <c r="F1605" s="1" t="str">
        <f t="shared" si="102"/>
        <v>50</v>
      </c>
      <c r="G1605" s="1" t="str">
        <f t="shared" si="103"/>
        <v/>
      </c>
      <c r="I1605" s="1" t="str">
        <f t="shared" si="101"/>
        <v>威尔新数值1.06.xlsm!suitPower</v>
      </c>
    </row>
    <row r="1606" spans="1:9" x14ac:dyDescent="0.15">
      <c r="A1606" s="1">
        <v>1605</v>
      </c>
      <c r="B1606" s="1">
        <v>102080800</v>
      </c>
      <c r="C1606" s="1">
        <f t="shared" si="100"/>
        <v>9</v>
      </c>
      <c r="D1606" s="5">
        <f ca="1">IF(getQuality(B1606)&lt;4,getOtherMin(B1606,C1606,INDIRECT(J$2),INDIRECT(I1606),test),getMin(B1606,C1606,INDIRECT(J$2),INDIRECT(I1606),test))</f>
        <v>237.63369570586491</v>
      </c>
      <c r="E1606" s="5">
        <f ca="1">IF(getQuality(B1606)&lt;4,getOtherMax(B1606,C1606,INDIRECT(J$2),INDIRECT(I1606),test),getMax(B1606,C1606,INDIRECT(J$2),INDIRECT(I1606),test))</f>
        <v>287.24542239033156</v>
      </c>
      <c r="F1606" s="1" t="str">
        <f t="shared" si="102"/>
        <v>50</v>
      </c>
      <c r="G1606" s="1" t="str">
        <f t="shared" si="103"/>
        <v/>
      </c>
      <c r="I1606" s="1" t="str">
        <f t="shared" si="101"/>
        <v>威尔新数值1.06.xlsm!suitPower</v>
      </c>
    </row>
    <row r="1607" spans="1:9" x14ac:dyDescent="0.15">
      <c r="A1607" s="1">
        <v>1606</v>
      </c>
      <c r="B1607" s="1">
        <v>102080800</v>
      </c>
      <c r="C1607" s="1">
        <f t="shared" si="100"/>
        <v>10</v>
      </c>
      <c r="D1607" s="5">
        <f ca="1">IF(getQuality(B1607)&lt;4,getOtherMin(B1607,C1607,INDIRECT(J$2),INDIRECT(I1607),test),getMin(B1607,C1607,INDIRECT(J$2),INDIRECT(I1607),test))</f>
        <v>237.63369570586491</v>
      </c>
      <c r="E1607" s="5">
        <f ca="1">IF(getQuality(B1607)&lt;4,getOtherMax(B1607,C1607,INDIRECT(J$2),INDIRECT(I1607),test),getMax(B1607,C1607,INDIRECT(J$2),INDIRECT(I1607),test))</f>
        <v>287.24542239033156</v>
      </c>
      <c r="F1607" s="1" t="str">
        <f t="shared" si="102"/>
        <v>50</v>
      </c>
      <c r="G1607" s="1" t="str">
        <f t="shared" si="103"/>
        <v/>
      </c>
      <c r="I1607" s="1" t="str">
        <f t="shared" si="101"/>
        <v>威尔新数值1.06.xlsm!suitPower</v>
      </c>
    </row>
    <row r="1608" spans="1:9" x14ac:dyDescent="0.15">
      <c r="A1608" s="1">
        <v>1607</v>
      </c>
      <c r="B1608" s="1">
        <v>102080800</v>
      </c>
      <c r="C1608" s="1">
        <f t="shared" si="100"/>
        <v>11</v>
      </c>
      <c r="D1608" s="5">
        <f ca="1">IF(getQuality(B1608)&lt;4,getOtherMin(B1608,C1608,INDIRECT(J$2),INDIRECT(I1608),test),getMin(B1608,C1608,INDIRECT(J$2),INDIRECT(I1608),test))</f>
        <v>237.63369570586491</v>
      </c>
      <c r="E1608" s="5">
        <f ca="1">IF(getQuality(B1608)&lt;4,getOtherMax(B1608,C1608,INDIRECT(J$2),INDIRECT(I1608),test),getMax(B1608,C1608,INDIRECT(J$2),INDIRECT(I1608),test))</f>
        <v>287.24542239033156</v>
      </c>
      <c r="F1608" s="1" t="str">
        <f t="shared" si="102"/>
        <v>50</v>
      </c>
      <c r="G1608" s="1" t="str">
        <f t="shared" si="103"/>
        <v/>
      </c>
      <c r="I1608" s="1" t="str">
        <f t="shared" si="101"/>
        <v>威尔新数值1.06.xlsm!suitPower</v>
      </c>
    </row>
    <row r="1609" spans="1:9" x14ac:dyDescent="0.15">
      <c r="A1609" s="1">
        <v>1608</v>
      </c>
      <c r="B1609" s="1">
        <v>102080800</v>
      </c>
      <c r="C1609" s="1">
        <f t="shared" si="100"/>
        <v>12</v>
      </c>
      <c r="D1609" s="5">
        <f ca="1">IF(getQuality(B1609)&lt;4,getOtherMin(B1609,C1609,INDIRECT(J$2),INDIRECT(I1609),test),getMin(B1609,C1609,INDIRECT(J$2),INDIRECT(I1609),test))</f>
        <v>237.63369570586491</v>
      </c>
      <c r="E1609" s="5">
        <f ca="1">IF(getQuality(B1609)&lt;4,getOtherMax(B1609,C1609,INDIRECT(J$2),INDIRECT(I1609),test),getMax(B1609,C1609,INDIRECT(J$2),INDIRECT(I1609),test))</f>
        <v>287.24542239033156</v>
      </c>
      <c r="F1609" s="1" t="str">
        <f t="shared" si="102"/>
        <v>50</v>
      </c>
      <c r="G1609" s="1" t="str">
        <f t="shared" si="103"/>
        <v/>
      </c>
      <c r="I1609" s="1" t="str">
        <f t="shared" si="101"/>
        <v>威尔新数值1.06.xlsm!suitPower</v>
      </c>
    </row>
    <row r="1610" spans="1:9" x14ac:dyDescent="0.15">
      <c r="A1610" s="1">
        <v>1609</v>
      </c>
      <c r="B1610" s="1">
        <v>102080800</v>
      </c>
      <c r="C1610" s="1">
        <f t="shared" si="100"/>
        <v>13</v>
      </c>
      <c r="D1610" s="5">
        <f ca="1">IF(getQuality(B1610)&lt;4,getOtherMin(B1610,C1610,INDIRECT(J$2),INDIRECT(I1610),test),getMin(B1610,C1610,INDIRECT(J$2),INDIRECT(I1610),test))</f>
        <v>237.63369570586491</v>
      </c>
      <c r="E1610" s="5">
        <f ca="1">IF(getQuality(B1610)&lt;4,getOtherMax(B1610,C1610,INDIRECT(J$2),INDIRECT(I1610),test),getMax(B1610,C1610,INDIRECT(J$2),INDIRECT(I1610),test))</f>
        <v>287.24542239033156</v>
      </c>
      <c r="F1610" s="1" t="str">
        <f t="shared" si="102"/>
        <v>50</v>
      </c>
      <c r="G1610" s="1" t="str">
        <f t="shared" si="103"/>
        <v/>
      </c>
      <c r="I1610" s="1" t="str">
        <f t="shared" si="101"/>
        <v>威尔新数值1.06.xlsm!suitPower</v>
      </c>
    </row>
    <row r="1611" spans="1:9" x14ac:dyDescent="0.15">
      <c r="A1611" s="1">
        <v>1610</v>
      </c>
      <c r="B1611" s="1">
        <v>102080800</v>
      </c>
      <c r="C1611" s="1">
        <f t="shared" si="100"/>
        <v>14</v>
      </c>
      <c r="D1611" s="5">
        <f ca="1">IF(getQuality(B1611)&lt;4,getOtherMin(B1611,C1611,INDIRECT(J$2),INDIRECT(I1611),test),getMin(B1611,C1611,INDIRECT(J$2),INDIRECT(I1611),test))</f>
        <v>237.63369570586491</v>
      </c>
      <c r="E1611" s="5">
        <f ca="1">IF(getQuality(B1611)&lt;4,getOtherMax(B1611,C1611,INDIRECT(J$2),INDIRECT(I1611),test),getMax(B1611,C1611,INDIRECT(J$2),INDIRECT(I1611),test))</f>
        <v>287.24542239033156</v>
      </c>
      <c r="F1611" s="1" t="str">
        <f t="shared" si="102"/>
        <v>50</v>
      </c>
      <c r="G1611" s="1" t="str">
        <f t="shared" si="103"/>
        <v/>
      </c>
      <c r="I1611" s="1" t="str">
        <f t="shared" si="101"/>
        <v>威尔新数值1.06.xlsm!suitPower</v>
      </c>
    </row>
    <row r="1612" spans="1:9" x14ac:dyDescent="0.15">
      <c r="A1612" s="1">
        <v>1611</v>
      </c>
      <c r="B1612" s="1">
        <v>102080800</v>
      </c>
      <c r="C1612" s="1">
        <f t="shared" si="100"/>
        <v>15</v>
      </c>
      <c r="D1612" s="5">
        <f ca="1">IF(getQuality(B1612)&lt;4,getOtherMin(B1612,C1612,INDIRECT(J$2),INDIRECT(I1612),test),getMin(B1612,C1612,INDIRECT(J$2),INDIRECT(I1612),test))</f>
        <v>237.63369570586491</v>
      </c>
      <c r="E1612" s="5">
        <f ca="1">IF(getQuality(B1612)&lt;4,getOtherMax(B1612,C1612,INDIRECT(J$2),INDIRECT(I1612),test),getMax(B1612,C1612,INDIRECT(J$2),INDIRECT(I1612),test))</f>
        <v>287.24542239033156</v>
      </c>
      <c r="F1612" s="1" t="str">
        <f t="shared" si="102"/>
        <v>50</v>
      </c>
      <c r="G1612" s="1" t="str">
        <f t="shared" si="103"/>
        <v/>
      </c>
      <c r="I1612" s="1" t="str">
        <f t="shared" si="101"/>
        <v>威尔新数值1.06.xlsm!suitPower</v>
      </c>
    </row>
    <row r="1613" spans="1:9" x14ac:dyDescent="0.15">
      <c r="A1613" s="1">
        <v>1612</v>
      </c>
      <c r="B1613" s="1">
        <v>102080800</v>
      </c>
      <c r="C1613" s="1">
        <f t="shared" si="100"/>
        <v>101</v>
      </c>
      <c r="D1613" s="5">
        <f ca="1">IF(getQuality(B1613)&lt;4,getOtherMin(B1613,C1613,INDIRECT(J$2),INDIRECT(I1613),test),getMin(B1613,C1613,INDIRECT(J$2),INDIRECT(I1613),test))</f>
        <v>0.13</v>
      </c>
      <c r="E1613" s="5">
        <f ca="1">IF(getQuality(B1613)&lt;4,getOtherMax(B1613,C1613,INDIRECT(J$2),INDIRECT(I1613),test),getMax(B1613,C1613,INDIRECT(J$2),INDIRECT(I1613),test))</f>
        <v>0.16</v>
      </c>
      <c r="F1613" s="1" t="str">
        <f t="shared" si="102"/>
        <v>50</v>
      </c>
      <c r="G1613" s="1" t="str">
        <f t="shared" si="103"/>
        <v/>
      </c>
      <c r="I1613" s="1" t="str">
        <f t="shared" si="101"/>
        <v>威尔新数值1.06.xlsm!circlePer</v>
      </c>
    </row>
    <row r="1614" spans="1:9" x14ac:dyDescent="0.15">
      <c r="A1614" s="1">
        <v>1613</v>
      </c>
      <c r="B1614" s="1">
        <v>102080800</v>
      </c>
      <c r="C1614" s="1">
        <f t="shared" si="100"/>
        <v>102</v>
      </c>
      <c r="D1614" s="5">
        <f ca="1">IF(getQuality(B1614)&lt;4,getOtherMin(B1614,C1614,INDIRECT(J$2),INDIRECT(I1614),test),getMin(B1614,C1614,INDIRECT(J$2),INDIRECT(I1614),test))</f>
        <v>1.1000000000000001</v>
      </c>
      <c r="E1614" s="5">
        <f ca="1">IF(getQuality(B1614)&lt;4,getOtherMax(B1614,C1614,INDIRECT(J$2),INDIRECT(I1614),test),getMax(B1614,C1614,INDIRECT(J$2),INDIRECT(I1614),test))</f>
        <v>1.5</v>
      </c>
      <c r="F1614" s="1" t="str">
        <f t="shared" si="102"/>
        <v>50</v>
      </c>
      <c r="G1614" s="1" t="str">
        <f t="shared" si="103"/>
        <v/>
      </c>
      <c r="I1614" s="1" t="str">
        <f t="shared" si="101"/>
        <v>威尔新数值1.06.xlsm!circleValue</v>
      </c>
    </row>
    <row r="1615" spans="1:9" x14ac:dyDescent="0.15">
      <c r="A1615" s="1">
        <v>1614</v>
      </c>
      <c r="B1615" s="1">
        <v>102080800</v>
      </c>
      <c r="C1615" s="1">
        <f t="shared" si="100"/>
        <v>103</v>
      </c>
      <c r="D1615" s="5">
        <f ca="1">IF(getQuality(B1615)&lt;4,getOtherMin(B1615,C1615,INDIRECT(J$2),INDIRECT(I1615),test),getMin(B1615,C1615,INDIRECT(J$2),INDIRECT(I1615),test))</f>
        <v>0.13</v>
      </c>
      <c r="E1615" s="5">
        <f ca="1">IF(getQuality(B1615)&lt;4,getOtherMax(B1615,C1615,INDIRECT(J$2),INDIRECT(I1615),test),getMax(B1615,C1615,INDIRECT(J$2),INDIRECT(I1615),test))</f>
        <v>0.16</v>
      </c>
      <c r="F1615" s="1" t="str">
        <f t="shared" si="102"/>
        <v>50</v>
      </c>
      <c r="G1615" s="1" t="str">
        <f t="shared" si="103"/>
        <v/>
      </c>
      <c r="I1615" s="1" t="str">
        <f t="shared" si="101"/>
        <v>威尔新数值1.06.xlsm!otherDamage</v>
      </c>
    </row>
    <row r="1616" spans="1:9" x14ac:dyDescent="0.15">
      <c r="A1616" s="1">
        <v>1615</v>
      </c>
      <c r="B1616" s="1">
        <v>102080800</v>
      </c>
      <c r="C1616" s="1">
        <f t="shared" si="100"/>
        <v>104</v>
      </c>
      <c r="D1616" s="5">
        <f ca="1">IF(getQuality(B1616)&lt;4,getOtherMin(B1616,C1616,INDIRECT(J$2),INDIRECT(I1616),test),getMin(B1616,C1616,INDIRECT(J$2),INDIRECT(I1616),test))</f>
        <v>0.13</v>
      </c>
      <c r="E1616" s="5">
        <f ca="1">IF(getQuality(B1616)&lt;4,getOtherMax(B1616,C1616,INDIRECT(J$2),INDIRECT(I1616),test),getMax(B1616,C1616,INDIRECT(J$2),INDIRECT(I1616),test))</f>
        <v>0.26</v>
      </c>
      <c r="F1616" s="1" t="str">
        <f t="shared" si="102"/>
        <v>50</v>
      </c>
      <c r="G1616" s="1" t="str">
        <f t="shared" si="103"/>
        <v/>
      </c>
      <c r="I1616" s="1" t="str">
        <f t="shared" si="101"/>
        <v>威尔新数值1.06.xlsm!monsterDamage</v>
      </c>
    </row>
    <row r="1617" spans="1:9" x14ac:dyDescent="0.15">
      <c r="A1617" s="1">
        <v>1616</v>
      </c>
      <c r="B1617" s="1">
        <v>102080800</v>
      </c>
      <c r="C1617" s="1">
        <f t="shared" si="100"/>
        <v>105</v>
      </c>
      <c r="D1617" s="5">
        <f ca="1">IF(getQuality(B1617)&lt;4,getOtherMin(B1617,C1617,INDIRECT(J$2),INDIRECT(I1617),test),getMin(B1617,C1617,INDIRECT(J$2),INDIRECT(I1617),test))</f>
        <v>0.13</v>
      </c>
      <c r="E1617" s="5">
        <f ca="1">IF(getQuality(B1617)&lt;4,getOtherMax(B1617,C1617,INDIRECT(J$2),INDIRECT(I1617),test),getMax(B1617,C1617,INDIRECT(J$2),INDIRECT(I1617),test))</f>
        <v>0.26</v>
      </c>
      <c r="F1617" s="1" t="str">
        <f t="shared" si="102"/>
        <v>50</v>
      </c>
      <c r="G1617" s="1" t="str">
        <f t="shared" si="103"/>
        <v/>
      </c>
      <c r="I1617" s="1" t="str">
        <f t="shared" si="101"/>
        <v>威尔新数值1.06.xlsm!monsterDamage</v>
      </c>
    </row>
    <row r="1618" spans="1:9" x14ac:dyDescent="0.15">
      <c r="A1618" s="1">
        <v>1617</v>
      </c>
      <c r="B1618" s="1">
        <v>102080800</v>
      </c>
      <c r="C1618" s="1">
        <f t="shared" si="100"/>
        <v>106</v>
      </c>
      <c r="D1618" s="5">
        <f ca="1">IF(getQuality(B1618)&lt;4,getOtherMin(B1618,C1618,INDIRECT(J$2),INDIRECT(I1618),test),getMin(B1618,C1618,INDIRECT(J$2),INDIRECT(I1618),test))</f>
        <v>0.13</v>
      </c>
      <c r="E1618" s="5">
        <f ca="1">IF(getQuality(B1618)&lt;4,getOtherMax(B1618,C1618,INDIRECT(J$2),INDIRECT(I1618),test),getMax(B1618,C1618,INDIRECT(J$2),INDIRECT(I1618),test))</f>
        <v>0.26</v>
      </c>
      <c r="F1618" s="1" t="str">
        <f t="shared" si="102"/>
        <v>50</v>
      </c>
      <c r="G1618" s="1" t="str">
        <f t="shared" si="103"/>
        <v/>
      </c>
      <c r="I1618" s="1" t="str">
        <f t="shared" si="101"/>
        <v>威尔新数值1.06.xlsm!monsterDamage</v>
      </c>
    </row>
    <row r="1619" spans="1:9" x14ac:dyDescent="0.15">
      <c r="A1619" s="1">
        <v>1618</v>
      </c>
      <c r="B1619" s="1">
        <v>102080800</v>
      </c>
      <c r="C1619" s="1">
        <f t="shared" si="100"/>
        <v>107</v>
      </c>
      <c r="D1619" s="5">
        <f ca="1">IF(getQuality(B1619)&lt;4,getOtherMin(B1619,C1619,INDIRECT(J$2),INDIRECT(I1619),test),getMin(B1619,C1619,INDIRECT(J$2),INDIRECT(I1619),test))</f>
        <v>0.13</v>
      </c>
      <c r="E1619" s="5">
        <f ca="1">IF(getQuality(B1619)&lt;4,getOtherMax(B1619,C1619,INDIRECT(J$2),INDIRECT(I1619),test),getMax(B1619,C1619,INDIRECT(J$2),INDIRECT(I1619),test))</f>
        <v>0.26</v>
      </c>
      <c r="F1619" s="1" t="str">
        <f t="shared" si="102"/>
        <v>50</v>
      </c>
      <c r="G1619" s="1" t="str">
        <f t="shared" si="103"/>
        <v/>
      </c>
      <c r="I1619" s="1" t="str">
        <f t="shared" si="101"/>
        <v>威尔新数值1.06.xlsm!monsterDamage</v>
      </c>
    </row>
    <row r="1620" spans="1:9" x14ac:dyDescent="0.15">
      <c r="A1620" s="1">
        <v>1619</v>
      </c>
      <c r="B1620" s="1">
        <v>102080800</v>
      </c>
      <c r="C1620" s="1">
        <f t="shared" si="100"/>
        <v>108</v>
      </c>
      <c r="D1620" s="5">
        <f ca="1">IF(getQuality(B1620)&lt;4,getOtherMin(B1620,C1620,INDIRECT(J$2),INDIRECT(I1620),test),getMin(B1620,C1620,INDIRECT(J$2),INDIRECT(I1620),test))</f>
        <v>0.13</v>
      </c>
      <c r="E1620" s="5">
        <f ca="1">IF(getQuality(B1620)&lt;4,getOtherMax(B1620,C1620,INDIRECT(J$2),INDIRECT(I1620),test),getMax(B1620,C1620,INDIRECT(J$2),INDIRECT(I1620),test))</f>
        <v>0.26</v>
      </c>
      <c r="F1620" s="1" t="str">
        <f t="shared" si="102"/>
        <v>50</v>
      </c>
      <c r="G1620" s="1" t="str">
        <f t="shared" si="103"/>
        <v/>
      </c>
      <c r="I1620" s="1" t="str">
        <f t="shared" si="101"/>
        <v>威尔新数值1.06.xlsm!monsterDamage</v>
      </c>
    </row>
    <row r="1621" spans="1:9" x14ac:dyDescent="0.15">
      <c r="A1621" s="1">
        <v>1620</v>
      </c>
      <c r="B1621" s="1">
        <v>102090800</v>
      </c>
      <c r="C1621" s="1">
        <f t="shared" si="100"/>
        <v>3</v>
      </c>
      <c r="D1621" s="5">
        <f ca="1">IF(getQuality(B1621)&lt;4,getOtherMin(B1621,C1621,INDIRECT(J$2),INDIRECT(I1621),test),getMin(B1621,C1621,INDIRECT(J$2),INDIRECT(I1621),test))</f>
        <v>288.24542239033156</v>
      </c>
      <c r="E1621" s="5">
        <f ca="1">IF(getQuality(B1621)&lt;4,getOtherMax(B1621,C1621,INDIRECT(J$2),INDIRECT(I1621),test),getMax(B1621,C1621,INDIRECT(J$2),INDIRECT(I1621),test))</f>
        <v>342.05887732784834</v>
      </c>
      <c r="F1621" s="1" t="str">
        <f t="shared" si="102"/>
        <v>50</v>
      </c>
      <c r="G1621" s="1" t="str">
        <f t="shared" si="103"/>
        <v/>
      </c>
      <c r="I1621" s="1" t="str">
        <f t="shared" si="101"/>
        <v>威尔新数值1.06.xlsm!suitPower</v>
      </c>
    </row>
    <row r="1622" spans="1:9" x14ac:dyDescent="0.15">
      <c r="A1622" s="1">
        <v>1621</v>
      </c>
      <c r="B1622" s="1">
        <v>102090800</v>
      </c>
      <c r="C1622" s="1">
        <f t="shared" si="100"/>
        <v>5</v>
      </c>
      <c r="D1622" s="5">
        <f ca="1">IF(getQuality(B1622)&lt;4,getOtherMin(B1622,C1622,INDIRECT(J$2),INDIRECT(I1622),test),getMin(B1622,C1622,INDIRECT(J$2),INDIRECT(I1622),test))</f>
        <v>288.24542239033156</v>
      </c>
      <c r="E1622" s="5">
        <f ca="1">IF(getQuality(B1622)&lt;4,getOtherMax(B1622,C1622,INDIRECT(J$2),INDIRECT(I1622),test),getMax(B1622,C1622,INDIRECT(J$2),INDIRECT(I1622),test))</f>
        <v>342.05887732784834</v>
      </c>
      <c r="F1622" s="1" t="str">
        <f t="shared" si="102"/>
        <v>50</v>
      </c>
      <c r="G1622" s="1" t="str">
        <f t="shared" si="103"/>
        <v>1</v>
      </c>
      <c r="I1622" s="1" t="str">
        <f t="shared" si="101"/>
        <v>威尔新数值1.06.xlsm!suitPower</v>
      </c>
    </row>
    <row r="1623" spans="1:9" x14ac:dyDescent="0.15">
      <c r="A1623" s="1">
        <v>1622</v>
      </c>
      <c r="B1623" s="1">
        <v>102090800</v>
      </c>
      <c r="C1623" s="1">
        <f t="shared" si="100"/>
        <v>7</v>
      </c>
      <c r="D1623" s="5">
        <f ca="1">IF(getQuality(B1623)&lt;4,getOtherMin(B1623,C1623,INDIRECT(J$2),INDIRECT(I1623),test),getMin(B1623,C1623,INDIRECT(J$2),INDIRECT(I1623),test))</f>
        <v>52.85185185185172</v>
      </c>
      <c r="E1623" s="5">
        <f ca="1">IF(getQuality(B1623)&lt;4,getOtherMax(B1623,C1623,INDIRECT(J$2),INDIRECT(I1623),test),getMax(B1623,C1623,INDIRECT(J$2),INDIRECT(I1623),test))</f>
        <v>58.333333333333186</v>
      </c>
      <c r="F1623" s="1" t="str">
        <f t="shared" si="102"/>
        <v>50</v>
      </c>
      <c r="G1623" s="1" t="str">
        <f t="shared" si="103"/>
        <v/>
      </c>
      <c r="I1623" s="1" t="str">
        <f t="shared" si="101"/>
        <v>威尔新数值1.06.xlsm!suitPower</v>
      </c>
    </row>
    <row r="1624" spans="1:9" x14ac:dyDescent="0.15">
      <c r="A1624" s="1">
        <v>1623</v>
      </c>
      <c r="B1624" s="1">
        <v>102090800</v>
      </c>
      <c r="C1624" s="1">
        <f t="shared" si="100"/>
        <v>8</v>
      </c>
      <c r="D1624" s="5">
        <f ca="1">IF(getQuality(B1624)&lt;4,getOtherMin(B1624,C1624,INDIRECT(J$2),INDIRECT(I1624),test),getMin(B1624,C1624,INDIRECT(J$2),INDIRECT(I1624),test))</f>
        <v>117.66666666666667</v>
      </c>
      <c r="E1624" s="5">
        <f ca="1">IF(getQuality(B1624)&lt;4,getOtherMax(B1624,C1624,INDIRECT(J$2),INDIRECT(I1624),test),getMax(B1624,C1624,INDIRECT(J$2),INDIRECT(I1624),test))</f>
        <v>131.25</v>
      </c>
      <c r="F1624" s="1" t="str">
        <f t="shared" si="102"/>
        <v>50</v>
      </c>
      <c r="G1624" s="1" t="str">
        <f t="shared" si="103"/>
        <v/>
      </c>
      <c r="I1624" s="1" t="str">
        <f t="shared" si="101"/>
        <v>威尔新数值1.06.xlsm!suitPower</v>
      </c>
    </row>
    <row r="1625" spans="1:9" x14ac:dyDescent="0.15">
      <c r="A1625" s="1">
        <v>1624</v>
      </c>
      <c r="B1625" s="1">
        <v>102090800</v>
      </c>
      <c r="C1625" s="1">
        <f t="shared" si="100"/>
        <v>9</v>
      </c>
      <c r="D1625" s="5">
        <f ca="1">IF(getQuality(B1625)&lt;4,getOtherMin(B1625,C1625,INDIRECT(J$2),INDIRECT(I1625),test),getMin(B1625,C1625,INDIRECT(J$2),INDIRECT(I1625),test))</f>
        <v>288.24542239033156</v>
      </c>
      <c r="E1625" s="5">
        <f ca="1">IF(getQuality(B1625)&lt;4,getOtherMax(B1625,C1625,INDIRECT(J$2),INDIRECT(I1625),test),getMax(B1625,C1625,INDIRECT(J$2),INDIRECT(I1625),test))</f>
        <v>342.05887732784834</v>
      </c>
      <c r="F1625" s="1" t="str">
        <f t="shared" si="102"/>
        <v>50</v>
      </c>
      <c r="G1625" s="1" t="str">
        <f t="shared" si="103"/>
        <v/>
      </c>
      <c r="I1625" s="1" t="str">
        <f t="shared" si="101"/>
        <v>威尔新数值1.06.xlsm!suitPower</v>
      </c>
    </row>
    <row r="1626" spans="1:9" x14ac:dyDescent="0.15">
      <c r="A1626" s="1">
        <v>1625</v>
      </c>
      <c r="B1626" s="1">
        <v>102090800</v>
      </c>
      <c r="C1626" s="1">
        <f t="shared" si="100"/>
        <v>10</v>
      </c>
      <c r="D1626" s="5">
        <f ca="1">IF(getQuality(B1626)&lt;4,getOtherMin(B1626,C1626,INDIRECT(J$2),INDIRECT(I1626),test),getMin(B1626,C1626,INDIRECT(J$2),INDIRECT(I1626),test))</f>
        <v>288.24542239033156</v>
      </c>
      <c r="E1626" s="5">
        <f ca="1">IF(getQuality(B1626)&lt;4,getOtherMax(B1626,C1626,INDIRECT(J$2),INDIRECT(I1626),test),getMax(B1626,C1626,INDIRECT(J$2),INDIRECT(I1626),test))</f>
        <v>342.05887732784834</v>
      </c>
      <c r="F1626" s="1" t="str">
        <f t="shared" si="102"/>
        <v>50</v>
      </c>
      <c r="G1626" s="1" t="str">
        <f t="shared" si="103"/>
        <v/>
      </c>
      <c r="I1626" s="1" t="str">
        <f t="shared" si="101"/>
        <v>威尔新数值1.06.xlsm!suitPower</v>
      </c>
    </row>
    <row r="1627" spans="1:9" x14ac:dyDescent="0.15">
      <c r="A1627" s="1">
        <v>1626</v>
      </c>
      <c r="B1627" s="1">
        <v>102090800</v>
      </c>
      <c r="C1627" s="1">
        <f t="shared" si="100"/>
        <v>11</v>
      </c>
      <c r="D1627" s="5">
        <f ca="1">IF(getQuality(B1627)&lt;4,getOtherMin(B1627,C1627,INDIRECT(J$2),INDIRECT(I1627),test),getMin(B1627,C1627,INDIRECT(J$2),INDIRECT(I1627),test))</f>
        <v>288.24542239033156</v>
      </c>
      <c r="E1627" s="5">
        <f ca="1">IF(getQuality(B1627)&lt;4,getOtherMax(B1627,C1627,INDIRECT(J$2),INDIRECT(I1627),test),getMax(B1627,C1627,INDIRECT(J$2),INDIRECT(I1627),test))</f>
        <v>342.05887732784834</v>
      </c>
      <c r="F1627" s="1" t="str">
        <f t="shared" si="102"/>
        <v>50</v>
      </c>
      <c r="G1627" s="1" t="str">
        <f t="shared" si="103"/>
        <v/>
      </c>
      <c r="I1627" s="1" t="str">
        <f t="shared" si="101"/>
        <v>威尔新数值1.06.xlsm!suitPower</v>
      </c>
    </row>
    <row r="1628" spans="1:9" x14ac:dyDescent="0.15">
      <c r="A1628" s="1">
        <v>1627</v>
      </c>
      <c r="B1628" s="1">
        <v>102090800</v>
      </c>
      <c r="C1628" s="1">
        <f t="shared" si="100"/>
        <v>12</v>
      </c>
      <c r="D1628" s="5">
        <f ca="1">IF(getQuality(B1628)&lt;4,getOtherMin(B1628,C1628,INDIRECT(J$2),INDIRECT(I1628),test),getMin(B1628,C1628,INDIRECT(J$2),INDIRECT(I1628),test))</f>
        <v>288.24542239033156</v>
      </c>
      <c r="E1628" s="5">
        <f ca="1">IF(getQuality(B1628)&lt;4,getOtherMax(B1628,C1628,INDIRECT(J$2),INDIRECT(I1628),test),getMax(B1628,C1628,INDIRECT(J$2),INDIRECT(I1628),test))</f>
        <v>342.05887732784834</v>
      </c>
      <c r="F1628" s="1" t="str">
        <f t="shared" si="102"/>
        <v>50</v>
      </c>
      <c r="G1628" s="1" t="str">
        <f t="shared" si="103"/>
        <v/>
      </c>
      <c r="I1628" s="1" t="str">
        <f t="shared" si="101"/>
        <v>威尔新数值1.06.xlsm!suitPower</v>
      </c>
    </row>
    <row r="1629" spans="1:9" x14ac:dyDescent="0.15">
      <c r="A1629" s="1">
        <v>1628</v>
      </c>
      <c r="B1629" s="1">
        <v>102090800</v>
      </c>
      <c r="C1629" s="1">
        <f t="shared" si="100"/>
        <v>13</v>
      </c>
      <c r="D1629" s="5">
        <f ca="1">IF(getQuality(B1629)&lt;4,getOtherMin(B1629,C1629,INDIRECT(J$2),INDIRECT(I1629),test),getMin(B1629,C1629,INDIRECT(J$2),INDIRECT(I1629),test))</f>
        <v>288.24542239033156</v>
      </c>
      <c r="E1629" s="5">
        <f ca="1">IF(getQuality(B1629)&lt;4,getOtherMax(B1629,C1629,INDIRECT(J$2),INDIRECT(I1629),test),getMax(B1629,C1629,INDIRECT(J$2),INDIRECT(I1629),test))</f>
        <v>342.05887732784834</v>
      </c>
      <c r="F1629" s="1" t="str">
        <f t="shared" si="102"/>
        <v>50</v>
      </c>
      <c r="G1629" s="1" t="str">
        <f t="shared" si="103"/>
        <v/>
      </c>
      <c r="I1629" s="1" t="str">
        <f t="shared" si="101"/>
        <v>威尔新数值1.06.xlsm!suitPower</v>
      </c>
    </row>
    <row r="1630" spans="1:9" x14ac:dyDescent="0.15">
      <c r="A1630" s="1">
        <v>1629</v>
      </c>
      <c r="B1630" s="1">
        <v>102090800</v>
      </c>
      <c r="C1630" s="1">
        <f t="shared" si="100"/>
        <v>14</v>
      </c>
      <c r="D1630" s="5">
        <f ca="1">IF(getQuality(B1630)&lt;4,getOtherMin(B1630,C1630,INDIRECT(J$2),INDIRECT(I1630),test),getMin(B1630,C1630,INDIRECT(J$2),INDIRECT(I1630),test))</f>
        <v>288.24542239033156</v>
      </c>
      <c r="E1630" s="5">
        <f ca="1">IF(getQuality(B1630)&lt;4,getOtherMax(B1630,C1630,INDIRECT(J$2),INDIRECT(I1630),test),getMax(B1630,C1630,INDIRECT(J$2),INDIRECT(I1630),test))</f>
        <v>342.05887732784834</v>
      </c>
      <c r="F1630" s="1" t="str">
        <f t="shared" si="102"/>
        <v>50</v>
      </c>
      <c r="G1630" s="1" t="str">
        <f t="shared" si="103"/>
        <v/>
      </c>
      <c r="I1630" s="1" t="str">
        <f t="shared" si="101"/>
        <v>威尔新数值1.06.xlsm!suitPower</v>
      </c>
    </row>
    <row r="1631" spans="1:9" x14ac:dyDescent="0.15">
      <c r="A1631" s="1">
        <v>1630</v>
      </c>
      <c r="B1631" s="1">
        <v>102090800</v>
      </c>
      <c r="C1631" s="1">
        <f t="shared" si="100"/>
        <v>15</v>
      </c>
      <c r="D1631" s="5">
        <f ca="1">IF(getQuality(B1631)&lt;4,getOtherMin(B1631,C1631,INDIRECT(J$2),INDIRECT(I1631),test),getMin(B1631,C1631,INDIRECT(J$2),INDIRECT(I1631),test))</f>
        <v>288.24542239033156</v>
      </c>
      <c r="E1631" s="5">
        <f ca="1">IF(getQuality(B1631)&lt;4,getOtherMax(B1631,C1631,INDIRECT(J$2),INDIRECT(I1631),test),getMax(B1631,C1631,INDIRECT(J$2),INDIRECT(I1631),test))</f>
        <v>342.05887732784834</v>
      </c>
      <c r="F1631" s="1" t="str">
        <f t="shared" si="102"/>
        <v>50</v>
      </c>
      <c r="G1631" s="1" t="str">
        <f t="shared" si="103"/>
        <v/>
      </c>
      <c r="I1631" s="1" t="str">
        <f t="shared" si="101"/>
        <v>威尔新数值1.06.xlsm!suitPower</v>
      </c>
    </row>
    <row r="1632" spans="1:9" x14ac:dyDescent="0.15">
      <c r="A1632" s="1">
        <v>1631</v>
      </c>
      <c r="B1632" s="1">
        <v>102090800</v>
      </c>
      <c r="C1632" s="1">
        <f t="shared" si="100"/>
        <v>101</v>
      </c>
      <c r="D1632" s="5">
        <f ca="1">IF(getQuality(B1632)&lt;4,getOtherMin(B1632,C1632,INDIRECT(J$2),INDIRECT(I1632),test),getMin(B1632,C1632,INDIRECT(J$2),INDIRECT(I1632),test))</f>
        <v>0.14000000000000001</v>
      </c>
      <c r="E1632" s="5">
        <f ca="1">IF(getQuality(B1632)&lt;4,getOtherMax(B1632,C1632,INDIRECT(J$2),INDIRECT(I1632),test),getMax(B1632,C1632,INDIRECT(J$2),INDIRECT(I1632),test))</f>
        <v>0.17</v>
      </c>
      <c r="F1632" s="1" t="str">
        <f t="shared" si="102"/>
        <v>50</v>
      </c>
      <c r="G1632" s="1" t="str">
        <f t="shared" si="103"/>
        <v/>
      </c>
      <c r="I1632" s="1" t="str">
        <f t="shared" si="101"/>
        <v>威尔新数值1.06.xlsm!circlePer</v>
      </c>
    </row>
    <row r="1633" spans="1:9" x14ac:dyDescent="0.15">
      <c r="A1633" s="1">
        <v>1632</v>
      </c>
      <c r="B1633" s="1">
        <v>102090800</v>
      </c>
      <c r="C1633" s="1">
        <f t="shared" si="100"/>
        <v>102</v>
      </c>
      <c r="D1633" s="5">
        <f ca="1">IF(getQuality(B1633)&lt;4,getOtherMin(B1633,C1633,INDIRECT(J$2),INDIRECT(I1633),test),getMin(B1633,C1633,INDIRECT(J$2),INDIRECT(I1633),test))</f>
        <v>1.2</v>
      </c>
      <c r="E1633" s="5">
        <f ca="1">IF(getQuality(B1633)&lt;4,getOtherMax(B1633,C1633,INDIRECT(J$2),INDIRECT(I1633),test),getMax(B1633,C1633,INDIRECT(J$2),INDIRECT(I1633),test))</f>
        <v>1.6</v>
      </c>
      <c r="F1633" s="1" t="str">
        <f t="shared" si="102"/>
        <v>50</v>
      </c>
      <c r="G1633" s="1" t="str">
        <f t="shared" si="103"/>
        <v/>
      </c>
      <c r="I1633" s="1" t="str">
        <f t="shared" si="101"/>
        <v>威尔新数值1.06.xlsm!circleValue</v>
      </c>
    </row>
    <row r="1634" spans="1:9" x14ac:dyDescent="0.15">
      <c r="A1634" s="1">
        <v>1633</v>
      </c>
      <c r="B1634" s="1">
        <v>102090800</v>
      </c>
      <c r="C1634" s="1">
        <f t="shared" si="100"/>
        <v>103</v>
      </c>
      <c r="D1634" s="5">
        <f ca="1">IF(getQuality(B1634)&lt;4,getOtherMin(B1634,C1634,INDIRECT(J$2),INDIRECT(I1634),test),getMin(B1634,C1634,INDIRECT(J$2),INDIRECT(I1634),test))</f>
        <v>0.14000000000000001</v>
      </c>
      <c r="E1634" s="5">
        <f ca="1">IF(getQuality(B1634)&lt;4,getOtherMax(B1634,C1634,INDIRECT(J$2),INDIRECT(I1634),test),getMax(B1634,C1634,INDIRECT(J$2),INDIRECT(I1634),test))</f>
        <v>0.17</v>
      </c>
      <c r="F1634" s="1" t="str">
        <f t="shared" si="102"/>
        <v>50</v>
      </c>
      <c r="G1634" s="1" t="str">
        <f t="shared" si="103"/>
        <v/>
      </c>
      <c r="I1634" s="1" t="str">
        <f t="shared" si="101"/>
        <v>威尔新数值1.06.xlsm!otherDamage</v>
      </c>
    </row>
    <row r="1635" spans="1:9" x14ac:dyDescent="0.15">
      <c r="A1635" s="1">
        <v>1634</v>
      </c>
      <c r="B1635" s="1">
        <v>102090800</v>
      </c>
      <c r="C1635" s="1">
        <f t="shared" si="100"/>
        <v>104</v>
      </c>
      <c r="D1635" s="5">
        <f ca="1">IF(getQuality(B1635)&lt;4,getOtherMin(B1635,C1635,INDIRECT(J$2),INDIRECT(I1635),test),getMin(B1635,C1635,INDIRECT(J$2),INDIRECT(I1635),test))</f>
        <v>0.14000000000000001</v>
      </c>
      <c r="E1635" s="5">
        <f ca="1">IF(getQuality(B1635)&lt;4,getOtherMax(B1635,C1635,INDIRECT(J$2),INDIRECT(I1635),test),getMax(B1635,C1635,INDIRECT(J$2),INDIRECT(I1635),test))</f>
        <v>0.28000000000000003</v>
      </c>
      <c r="F1635" s="1" t="str">
        <f t="shared" si="102"/>
        <v>50</v>
      </c>
      <c r="G1635" s="1" t="str">
        <f t="shared" si="103"/>
        <v/>
      </c>
      <c r="I1635" s="1" t="str">
        <f t="shared" si="101"/>
        <v>威尔新数值1.06.xlsm!monsterDamage</v>
      </c>
    </row>
    <row r="1636" spans="1:9" x14ac:dyDescent="0.15">
      <c r="A1636" s="1">
        <v>1635</v>
      </c>
      <c r="B1636" s="1">
        <v>102090800</v>
      </c>
      <c r="C1636" s="1">
        <f t="shared" ref="C1636:C1699" si="104">C1617</f>
        <v>105</v>
      </c>
      <c r="D1636" s="5">
        <f ca="1">IF(getQuality(B1636)&lt;4,getOtherMin(B1636,C1636,INDIRECT(J$2),INDIRECT(I1636),test),getMin(B1636,C1636,INDIRECT(J$2),INDIRECT(I1636),test))</f>
        <v>0.14000000000000001</v>
      </c>
      <c r="E1636" s="5">
        <f ca="1">IF(getQuality(B1636)&lt;4,getOtherMax(B1636,C1636,INDIRECT(J$2),INDIRECT(I1636),test),getMax(B1636,C1636,INDIRECT(J$2),INDIRECT(I1636),test))</f>
        <v>0.28000000000000003</v>
      </c>
      <c r="F1636" s="1" t="str">
        <f t="shared" si="102"/>
        <v>50</v>
      </c>
      <c r="G1636" s="1" t="str">
        <f t="shared" si="103"/>
        <v/>
      </c>
      <c r="I1636" s="1" t="str">
        <f t="shared" si="101"/>
        <v>威尔新数值1.06.xlsm!monsterDamage</v>
      </c>
    </row>
    <row r="1637" spans="1:9" x14ac:dyDescent="0.15">
      <c r="A1637" s="1">
        <v>1636</v>
      </c>
      <c r="B1637" s="1">
        <v>102090800</v>
      </c>
      <c r="C1637" s="1">
        <f t="shared" si="104"/>
        <v>106</v>
      </c>
      <c r="D1637" s="5">
        <f ca="1">IF(getQuality(B1637)&lt;4,getOtherMin(B1637,C1637,INDIRECT(J$2),INDIRECT(I1637),test),getMin(B1637,C1637,INDIRECT(J$2),INDIRECT(I1637),test))</f>
        <v>0.14000000000000001</v>
      </c>
      <c r="E1637" s="5">
        <f ca="1">IF(getQuality(B1637)&lt;4,getOtherMax(B1637,C1637,INDIRECT(J$2),INDIRECT(I1637),test),getMax(B1637,C1637,INDIRECT(J$2),INDIRECT(I1637),test))</f>
        <v>0.28000000000000003</v>
      </c>
      <c r="F1637" s="1" t="str">
        <f t="shared" si="102"/>
        <v>50</v>
      </c>
      <c r="G1637" s="1" t="str">
        <f t="shared" si="103"/>
        <v/>
      </c>
      <c r="I1637" s="1" t="str">
        <f t="shared" si="101"/>
        <v>威尔新数值1.06.xlsm!monsterDamage</v>
      </c>
    </row>
    <row r="1638" spans="1:9" x14ac:dyDescent="0.15">
      <c r="A1638" s="1">
        <v>1637</v>
      </c>
      <c r="B1638" s="1">
        <v>102090800</v>
      </c>
      <c r="C1638" s="1">
        <f t="shared" si="104"/>
        <v>107</v>
      </c>
      <c r="D1638" s="5">
        <f ca="1">IF(getQuality(B1638)&lt;4,getOtherMin(B1638,C1638,INDIRECT(J$2),INDIRECT(I1638),test),getMin(B1638,C1638,INDIRECT(J$2),INDIRECT(I1638),test))</f>
        <v>0.14000000000000001</v>
      </c>
      <c r="E1638" s="5">
        <f ca="1">IF(getQuality(B1638)&lt;4,getOtherMax(B1638,C1638,INDIRECT(J$2),INDIRECT(I1638),test),getMax(B1638,C1638,INDIRECT(J$2),INDIRECT(I1638),test))</f>
        <v>0.28000000000000003</v>
      </c>
      <c r="F1638" s="1" t="str">
        <f t="shared" si="102"/>
        <v>50</v>
      </c>
      <c r="G1638" s="1" t="str">
        <f t="shared" si="103"/>
        <v/>
      </c>
      <c r="I1638" s="1" t="str">
        <f t="shared" si="101"/>
        <v>威尔新数值1.06.xlsm!monsterDamage</v>
      </c>
    </row>
    <row r="1639" spans="1:9" x14ac:dyDescent="0.15">
      <c r="A1639" s="1">
        <v>1638</v>
      </c>
      <c r="B1639" s="1">
        <v>102090800</v>
      </c>
      <c r="C1639" s="1">
        <f t="shared" si="104"/>
        <v>108</v>
      </c>
      <c r="D1639" s="5">
        <f ca="1">IF(getQuality(B1639)&lt;4,getOtherMin(B1639,C1639,INDIRECT(J$2),INDIRECT(I1639),test),getMin(B1639,C1639,INDIRECT(J$2),INDIRECT(I1639),test))</f>
        <v>0.14000000000000001</v>
      </c>
      <c r="E1639" s="5">
        <f ca="1">IF(getQuality(B1639)&lt;4,getOtherMax(B1639,C1639,INDIRECT(J$2),INDIRECT(I1639),test),getMax(B1639,C1639,INDIRECT(J$2),INDIRECT(I1639),test))</f>
        <v>0.28000000000000003</v>
      </c>
      <c r="F1639" s="1" t="str">
        <f t="shared" si="102"/>
        <v>50</v>
      </c>
      <c r="G1639" s="1" t="str">
        <f t="shared" si="103"/>
        <v/>
      </c>
      <c r="I1639" s="1" t="str">
        <f t="shared" si="101"/>
        <v>威尔新数值1.06.xlsm!monsterDamage</v>
      </c>
    </row>
    <row r="1640" spans="1:9" x14ac:dyDescent="0.15">
      <c r="A1640" s="1">
        <v>1639</v>
      </c>
      <c r="B1640" s="1">
        <v>102010900</v>
      </c>
      <c r="C1640" s="1">
        <f t="shared" si="104"/>
        <v>3</v>
      </c>
      <c r="D1640" s="5">
        <f ca="1">IF(getQuality(B1640)&lt;4,getOtherMin(B1640,C1640,INDIRECT(J$2),INDIRECT(I1640),test),getMin(B1640,C1640,INDIRECT(J$2),INDIRECT(I1640),test))</f>
        <v>1</v>
      </c>
      <c r="E1640" s="5">
        <f ca="1">IF(getQuality(B1640)&lt;4,getOtherMax(B1640,C1640,INDIRECT(J$2),INDIRECT(I1640),test),getMax(B1640,C1640,INDIRECT(J$2),INDIRECT(I1640),test))</f>
        <v>21.008641265250315</v>
      </c>
      <c r="F1640" s="1" t="str">
        <f t="shared" si="102"/>
        <v>50</v>
      </c>
      <c r="G1640" s="1" t="str">
        <f t="shared" si="103"/>
        <v/>
      </c>
      <c r="I1640" s="1" t="str">
        <f t="shared" si="101"/>
        <v>威尔新数值1.06.xlsm!suitPower</v>
      </c>
    </row>
    <row r="1641" spans="1:9" x14ac:dyDescent="0.15">
      <c r="A1641" s="1">
        <v>1640</v>
      </c>
      <c r="B1641" s="1">
        <v>102010900</v>
      </c>
      <c r="C1641" s="1">
        <f t="shared" si="104"/>
        <v>5</v>
      </c>
      <c r="D1641" s="5">
        <f ca="1">IF(getQuality(B1641)&lt;4,getOtherMin(B1641,C1641,INDIRECT(J$2),INDIRECT(I1641),test),getMin(B1641,C1641,INDIRECT(J$2),INDIRECT(I1641),test))</f>
        <v>1</v>
      </c>
      <c r="E1641" s="5">
        <f ca="1">IF(getQuality(B1641)&lt;4,getOtherMax(B1641,C1641,INDIRECT(J$2),INDIRECT(I1641),test),getMax(B1641,C1641,INDIRECT(J$2),INDIRECT(I1641),test))</f>
        <v>21.008641265250315</v>
      </c>
      <c r="F1641" s="1" t="str">
        <f t="shared" si="102"/>
        <v>50</v>
      </c>
      <c r="G1641" s="1" t="str">
        <f t="shared" si="103"/>
        <v>1</v>
      </c>
      <c r="I1641" s="1" t="str">
        <f t="shared" si="101"/>
        <v>威尔新数值1.06.xlsm!suitPower</v>
      </c>
    </row>
    <row r="1642" spans="1:9" x14ac:dyDescent="0.15">
      <c r="A1642" s="1">
        <v>1641</v>
      </c>
      <c r="B1642" s="1">
        <v>102010900</v>
      </c>
      <c r="C1642" s="1">
        <f t="shared" si="104"/>
        <v>7</v>
      </c>
      <c r="D1642" s="5">
        <f ca="1">IF(getQuality(B1642)&lt;4,getOtherMin(B1642,C1642,INDIRECT(J$2),INDIRECT(I1642),test),getMin(B1642,C1642,INDIRECT(J$2),INDIRECT(I1642),test))</f>
        <v>1</v>
      </c>
      <c r="E1642" s="5">
        <f ca="1">IF(getQuality(B1642)&lt;4,getOtherMax(B1642,C1642,INDIRECT(J$2),INDIRECT(I1642),test),getMax(B1642,C1642,INDIRECT(J$2),INDIRECT(I1642),test))</f>
        <v>6.481481481481465</v>
      </c>
      <c r="F1642" s="1" t="str">
        <f t="shared" si="102"/>
        <v>50</v>
      </c>
      <c r="G1642" s="1" t="str">
        <f t="shared" si="103"/>
        <v/>
      </c>
      <c r="I1642" s="1" t="str">
        <f t="shared" si="101"/>
        <v>威尔新数值1.06.xlsm!suitPower</v>
      </c>
    </row>
    <row r="1643" spans="1:9" x14ac:dyDescent="0.15">
      <c r="A1643" s="1">
        <v>1642</v>
      </c>
      <c r="B1643" s="1">
        <v>102010900</v>
      </c>
      <c r="C1643" s="1">
        <f t="shared" si="104"/>
        <v>8</v>
      </c>
      <c r="D1643" s="5">
        <f ca="1">IF(getQuality(B1643)&lt;4,getOtherMin(B1643,C1643,INDIRECT(J$2),INDIRECT(I1643),test),getMin(B1643,C1643,INDIRECT(J$2),INDIRECT(I1643),test))</f>
        <v>1</v>
      </c>
      <c r="E1643" s="5">
        <f ca="1">IF(getQuality(B1643)&lt;4,getOtherMax(B1643,C1643,INDIRECT(J$2),INDIRECT(I1643),test),getMax(B1643,C1643,INDIRECT(J$2),INDIRECT(I1643),test))</f>
        <v>14.583333333333334</v>
      </c>
      <c r="F1643" s="1" t="str">
        <f t="shared" si="102"/>
        <v>50</v>
      </c>
      <c r="G1643" s="1" t="str">
        <f t="shared" si="103"/>
        <v/>
      </c>
      <c r="I1643" s="1" t="str">
        <f t="shared" si="101"/>
        <v>威尔新数值1.06.xlsm!suitPower</v>
      </c>
    </row>
    <row r="1644" spans="1:9" x14ac:dyDescent="0.15">
      <c r="A1644" s="1">
        <v>1643</v>
      </c>
      <c r="B1644" s="1">
        <v>102010900</v>
      </c>
      <c r="C1644" s="1">
        <f t="shared" si="104"/>
        <v>9</v>
      </c>
      <c r="D1644" s="5">
        <f ca="1">IF(getQuality(B1644)&lt;4,getOtherMin(B1644,C1644,INDIRECT(J$2),INDIRECT(I1644),test),getMin(B1644,C1644,INDIRECT(J$2),INDIRECT(I1644),test))</f>
        <v>1</v>
      </c>
      <c r="E1644" s="5">
        <f ca="1">IF(getQuality(B1644)&lt;4,getOtherMax(B1644,C1644,INDIRECT(J$2),INDIRECT(I1644),test),getMax(B1644,C1644,INDIRECT(J$2),INDIRECT(I1644),test))</f>
        <v>21.008641265250315</v>
      </c>
      <c r="F1644" s="1" t="str">
        <f t="shared" si="102"/>
        <v>50</v>
      </c>
      <c r="G1644" s="1" t="str">
        <f t="shared" si="103"/>
        <v/>
      </c>
      <c r="I1644" s="1" t="str">
        <f t="shared" si="101"/>
        <v>威尔新数值1.06.xlsm!suitPower</v>
      </c>
    </row>
    <row r="1645" spans="1:9" x14ac:dyDescent="0.15">
      <c r="A1645" s="1">
        <v>1644</v>
      </c>
      <c r="B1645" s="1">
        <v>102010900</v>
      </c>
      <c r="C1645" s="1">
        <f t="shared" si="104"/>
        <v>10</v>
      </c>
      <c r="D1645" s="5">
        <f ca="1">IF(getQuality(B1645)&lt;4,getOtherMin(B1645,C1645,INDIRECT(J$2),INDIRECT(I1645),test),getMin(B1645,C1645,INDIRECT(J$2),INDIRECT(I1645),test))</f>
        <v>1</v>
      </c>
      <c r="E1645" s="5">
        <f ca="1">IF(getQuality(B1645)&lt;4,getOtherMax(B1645,C1645,INDIRECT(J$2),INDIRECT(I1645),test),getMax(B1645,C1645,INDIRECT(J$2),INDIRECT(I1645),test))</f>
        <v>21.008641265250315</v>
      </c>
      <c r="F1645" s="1" t="str">
        <f t="shared" si="102"/>
        <v>50</v>
      </c>
      <c r="G1645" s="1" t="str">
        <f t="shared" si="103"/>
        <v/>
      </c>
      <c r="I1645" s="1" t="str">
        <f t="shared" si="101"/>
        <v>威尔新数值1.06.xlsm!suitPower</v>
      </c>
    </row>
    <row r="1646" spans="1:9" x14ac:dyDescent="0.15">
      <c r="A1646" s="1">
        <v>1645</v>
      </c>
      <c r="B1646" s="1">
        <v>102010900</v>
      </c>
      <c r="C1646" s="1">
        <f t="shared" si="104"/>
        <v>11</v>
      </c>
      <c r="D1646" s="5">
        <f ca="1">IF(getQuality(B1646)&lt;4,getOtherMin(B1646,C1646,INDIRECT(J$2),INDIRECT(I1646),test),getMin(B1646,C1646,INDIRECT(J$2),INDIRECT(I1646),test))</f>
        <v>1</v>
      </c>
      <c r="E1646" s="5">
        <f ca="1">IF(getQuality(B1646)&lt;4,getOtherMax(B1646,C1646,INDIRECT(J$2),INDIRECT(I1646),test),getMax(B1646,C1646,INDIRECT(J$2),INDIRECT(I1646),test))</f>
        <v>21.008641265250315</v>
      </c>
      <c r="F1646" s="1" t="str">
        <f t="shared" si="102"/>
        <v>50</v>
      </c>
      <c r="G1646" s="1" t="str">
        <f t="shared" si="103"/>
        <v/>
      </c>
      <c r="I1646" s="1" t="str">
        <f t="shared" si="101"/>
        <v>威尔新数值1.06.xlsm!suitPower</v>
      </c>
    </row>
    <row r="1647" spans="1:9" x14ac:dyDescent="0.15">
      <c r="A1647" s="1">
        <v>1646</v>
      </c>
      <c r="B1647" s="1">
        <v>102010900</v>
      </c>
      <c r="C1647" s="1">
        <f t="shared" si="104"/>
        <v>12</v>
      </c>
      <c r="D1647" s="5">
        <f ca="1">IF(getQuality(B1647)&lt;4,getOtherMin(B1647,C1647,INDIRECT(J$2),INDIRECT(I1647),test),getMin(B1647,C1647,INDIRECT(J$2),INDIRECT(I1647),test))</f>
        <v>1</v>
      </c>
      <c r="E1647" s="5">
        <f ca="1">IF(getQuality(B1647)&lt;4,getOtherMax(B1647,C1647,INDIRECT(J$2),INDIRECT(I1647),test),getMax(B1647,C1647,INDIRECT(J$2),INDIRECT(I1647),test))</f>
        <v>21.008641265250315</v>
      </c>
      <c r="F1647" s="1" t="str">
        <f t="shared" si="102"/>
        <v>50</v>
      </c>
      <c r="G1647" s="1" t="str">
        <f t="shared" si="103"/>
        <v/>
      </c>
      <c r="I1647" s="1" t="str">
        <f t="shared" si="101"/>
        <v>威尔新数值1.06.xlsm!suitPower</v>
      </c>
    </row>
    <row r="1648" spans="1:9" x14ac:dyDescent="0.15">
      <c r="A1648" s="1">
        <v>1647</v>
      </c>
      <c r="B1648" s="1">
        <v>102010900</v>
      </c>
      <c r="C1648" s="1">
        <f t="shared" si="104"/>
        <v>13</v>
      </c>
      <c r="D1648" s="5">
        <f ca="1">IF(getQuality(B1648)&lt;4,getOtherMin(B1648,C1648,INDIRECT(J$2),INDIRECT(I1648),test),getMin(B1648,C1648,INDIRECT(J$2),INDIRECT(I1648),test))</f>
        <v>1</v>
      </c>
      <c r="E1648" s="5">
        <f ca="1">IF(getQuality(B1648)&lt;4,getOtherMax(B1648,C1648,INDIRECT(J$2),INDIRECT(I1648),test),getMax(B1648,C1648,INDIRECT(J$2),INDIRECT(I1648),test))</f>
        <v>21.008641265250315</v>
      </c>
      <c r="F1648" s="1" t="str">
        <f t="shared" si="102"/>
        <v>50</v>
      </c>
      <c r="G1648" s="1" t="str">
        <f t="shared" si="103"/>
        <v/>
      </c>
      <c r="I1648" s="1" t="str">
        <f t="shared" si="101"/>
        <v>威尔新数值1.06.xlsm!suitPower</v>
      </c>
    </row>
    <row r="1649" spans="1:9" x14ac:dyDescent="0.15">
      <c r="A1649" s="1">
        <v>1648</v>
      </c>
      <c r="B1649" s="1">
        <v>102010900</v>
      </c>
      <c r="C1649" s="1">
        <f t="shared" si="104"/>
        <v>14</v>
      </c>
      <c r="D1649" s="5">
        <f ca="1">IF(getQuality(B1649)&lt;4,getOtherMin(B1649,C1649,INDIRECT(J$2),INDIRECT(I1649),test),getMin(B1649,C1649,INDIRECT(J$2),INDIRECT(I1649),test))</f>
        <v>1</v>
      </c>
      <c r="E1649" s="5">
        <f ca="1">IF(getQuality(B1649)&lt;4,getOtherMax(B1649,C1649,INDIRECT(J$2),INDIRECT(I1649),test),getMax(B1649,C1649,INDIRECT(J$2),INDIRECT(I1649),test))</f>
        <v>21.008641265250315</v>
      </c>
      <c r="F1649" s="1" t="str">
        <f t="shared" si="102"/>
        <v>50</v>
      </c>
      <c r="G1649" s="1" t="str">
        <f t="shared" si="103"/>
        <v/>
      </c>
      <c r="I1649" s="1" t="str">
        <f t="shared" si="101"/>
        <v>威尔新数值1.06.xlsm!suitPower</v>
      </c>
    </row>
    <row r="1650" spans="1:9" x14ac:dyDescent="0.15">
      <c r="A1650" s="1">
        <v>1649</v>
      </c>
      <c r="B1650" s="1">
        <v>102010900</v>
      </c>
      <c r="C1650" s="1">
        <f t="shared" si="104"/>
        <v>15</v>
      </c>
      <c r="D1650" s="5">
        <f ca="1">IF(getQuality(B1650)&lt;4,getOtherMin(B1650,C1650,INDIRECT(J$2),INDIRECT(I1650),test),getMin(B1650,C1650,INDIRECT(J$2),INDIRECT(I1650),test))</f>
        <v>1</v>
      </c>
      <c r="E1650" s="5">
        <f ca="1">IF(getQuality(B1650)&lt;4,getOtherMax(B1650,C1650,INDIRECT(J$2),INDIRECT(I1650),test),getMax(B1650,C1650,INDIRECT(J$2),INDIRECT(I1650),test))</f>
        <v>21.008641265250315</v>
      </c>
      <c r="F1650" s="1" t="str">
        <f t="shared" si="102"/>
        <v>50</v>
      </c>
      <c r="G1650" s="1" t="str">
        <f t="shared" si="103"/>
        <v/>
      </c>
      <c r="I1650" s="1" t="str">
        <f t="shared" si="101"/>
        <v>威尔新数值1.06.xlsm!suitPower</v>
      </c>
    </row>
    <row r="1651" spans="1:9" x14ac:dyDescent="0.15">
      <c r="A1651" s="1">
        <v>1650</v>
      </c>
      <c r="B1651" s="1">
        <v>102010900</v>
      </c>
      <c r="C1651" s="1">
        <f t="shared" si="104"/>
        <v>101</v>
      </c>
      <c r="D1651" s="5">
        <f ca="1">IF(getQuality(B1651)&lt;4,getOtherMin(B1651,C1651,INDIRECT(J$2),INDIRECT(I1651),test),getMin(B1651,C1651,INDIRECT(J$2),INDIRECT(I1651),test))</f>
        <v>0.06</v>
      </c>
      <c r="E1651" s="5">
        <f ca="1">IF(getQuality(B1651)&lt;4,getOtherMax(B1651,C1651,INDIRECT(J$2),INDIRECT(I1651),test),getMax(B1651,C1651,INDIRECT(J$2),INDIRECT(I1651),test))</f>
        <v>0.09</v>
      </c>
      <c r="F1651" s="1" t="str">
        <f t="shared" si="102"/>
        <v>50</v>
      </c>
      <c r="G1651" s="1" t="str">
        <f t="shared" si="103"/>
        <v/>
      </c>
      <c r="I1651" s="1" t="str">
        <f t="shared" si="101"/>
        <v>威尔新数值1.06.xlsm!circlePer</v>
      </c>
    </row>
    <row r="1652" spans="1:9" x14ac:dyDescent="0.15">
      <c r="A1652" s="1">
        <v>1651</v>
      </c>
      <c r="B1652" s="1">
        <v>102010900</v>
      </c>
      <c r="C1652" s="1">
        <f t="shared" si="104"/>
        <v>102</v>
      </c>
      <c r="D1652" s="5">
        <f ca="1">IF(getQuality(B1652)&lt;4,getOtherMin(B1652,C1652,INDIRECT(J$2),INDIRECT(I1652),test),getMin(B1652,C1652,INDIRECT(J$2),INDIRECT(I1652),test))</f>
        <v>0.4</v>
      </c>
      <c r="E1652" s="5">
        <f ca="1">IF(getQuality(B1652)&lt;4,getOtherMax(B1652,C1652,INDIRECT(J$2),INDIRECT(I1652),test),getMax(B1652,C1652,INDIRECT(J$2),INDIRECT(I1652),test))</f>
        <v>0.8</v>
      </c>
      <c r="F1652" s="1" t="str">
        <f t="shared" si="102"/>
        <v>50</v>
      </c>
      <c r="G1652" s="1" t="str">
        <f t="shared" si="103"/>
        <v/>
      </c>
      <c r="I1652" s="1" t="str">
        <f t="shared" si="101"/>
        <v>威尔新数值1.06.xlsm!circleValue</v>
      </c>
    </row>
    <row r="1653" spans="1:9" x14ac:dyDescent="0.15">
      <c r="A1653" s="1">
        <v>1652</v>
      </c>
      <c r="B1653" s="1">
        <v>102010900</v>
      </c>
      <c r="C1653" s="1">
        <f t="shared" si="104"/>
        <v>103</v>
      </c>
      <c r="D1653" s="5">
        <f ca="1">IF(getQuality(B1653)&lt;4,getOtherMin(B1653,C1653,INDIRECT(J$2),INDIRECT(I1653),test),getMin(B1653,C1653,INDIRECT(J$2),INDIRECT(I1653),test))</f>
        <v>0.06</v>
      </c>
      <c r="E1653" s="5">
        <f ca="1">IF(getQuality(B1653)&lt;4,getOtherMax(B1653,C1653,INDIRECT(J$2),INDIRECT(I1653),test),getMax(B1653,C1653,INDIRECT(J$2),INDIRECT(I1653),test))</f>
        <v>0.09</v>
      </c>
      <c r="F1653" s="1" t="str">
        <f t="shared" si="102"/>
        <v>50</v>
      </c>
      <c r="G1653" s="1" t="str">
        <f t="shared" si="103"/>
        <v/>
      </c>
      <c r="I1653" s="1" t="str">
        <f t="shared" si="101"/>
        <v>威尔新数值1.06.xlsm!otherDamage</v>
      </c>
    </row>
    <row r="1654" spans="1:9" x14ac:dyDescent="0.15">
      <c r="A1654" s="1">
        <v>1653</v>
      </c>
      <c r="B1654" s="1">
        <v>102010900</v>
      </c>
      <c r="C1654" s="1">
        <f t="shared" si="104"/>
        <v>104</v>
      </c>
      <c r="D1654" s="5">
        <f ca="1">IF(getQuality(B1654)&lt;4,getOtherMin(B1654,C1654,INDIRECT(J$2),INDIRECT(I1654),test),getMin(B1654,C1654,INDIRECT(J$2),INDIRECT(I1654),test))</f>
        <v>0.06</v>
      </c>
      <c r="E1654" s="5">
        <f ca="1">IF(getQuality(B1654)&lt;4,getOtherMax(B1654,C1654,INDIRECT(J$2),INDIRECT(I1654),test),getMax(B1654,C1654,INDIRECT(J$2),INDIRECT(I1654),test))</f>
        <v>0.12</v>
      </c>
      <c r="F1654" s="1" t="str">
        <f t="shared" si="102"/>
        <v>50</v>
      </c>
      <c r="G1654" s="1" t="str">
        <f t="shared" si="103"/>
        <v/>
      </c>
      <c r="I1654" s="1" t="str">
        <f t="shared" si="101"/>
        <v>威尔新数值1.06.xlsm!monsterDamage</v>
      </c>
    </row>
    <row r="1655" spans="1:9" x14ac:dyDescent="0.15">
      <c r="A1655" s="1">
        <v>1654</v>
      </c>
      <c r="B1655" s="1">
        <v>102010900</v>
      </c>
      <c r="C1655" s="1">
        <f t="shared" si="104"/>
        <v>105</v>
      </c>
      <c r="D1655" s="5">
        <f ca="1">IF(getQuality(B1655)&lt;4,getOtherMin(B1655,C1655,INDIRECT(J$2),INDIRECT(I1655),test),getMin(B1655,C1655,INDIRECT(J$2),INDIRECT(I1655),test))</f>
        <v>0.06</v>
      </c>
      <c r="E1655" s="5">
        <f ca="1">IF(getQuality(B1655)&lt;4,getOtherMax(B1655,C1655,INDIRECT(J$2),INDIRECT(I1655),test),getMax(B1655,C1655,INDIRECT(J$2),INDIRECT(I1655),test))</f>
        <v>0.12</v>
      </c>
      <c r="F1655" s="1" t="str">
        <f t="shared" si="102"/>
        <v>50</v>
      </c>
      <c r="G1655" s="1" t="str">
        <f t="shared" si="103"/>
        <v/>
      </c>
      <c r="I1655" s="1" t="str">
        <f t="shared" si="101"/>
        <v>威尔新数值1.06.xlsm!monsterDamage</v>
      </c>
    </row>
    <row r="1656" spans="1:9" x14ac:dyDescent="0.15">
      <c r="A1656" s="1">
        <v>1655</v>
      </c>
      <c r="B1656" s="1">
        <v>102010900</v>
      </c>
      <c r="C1656" s="1">
        <f t="shared" si="104"/>
        <v>106</v>
      </c>
      <c r="D1656" s="5">
        <f ca="1">IF(getQuality(B1656)&lt;4,getOtherMin(B1656,C1656,INDIRECT(J$2),INDIRECT(I1656),test),getMin(B1656,C1656,INDIRECT(J$2),INDIRECT(I1656),test))</f>
        <v>0.06</v>
      </c>
      <c r="E1656" s="5">
        <f ca="1">IF(getQuality(B1656)&lt;4,getOtherMax(B1656,C1656,INDIRECT(J$2),INDIRECT(I1656),test),getMax(B1656,C1656,INDIRECT(J$2),INDIRECT(I1656),test))</f>
        <v>0.12</v>
      </c>
      <c r="F1656" s="1" t="str">
        <f t="shared" si="102"/>
        <v>50</v>
      </c>
      <c r="G1656" s="1" t="str">
        <f t="shared" si="103"/>
        <v/>
      </c>
      <c r="I1656" s="1" t="str">
        <f t="shared" si="101"/>
        <v>威尔新数值1.06.xlsm!monsterDamage</v>
      </c>
    </row>
    <row r="1657" spans="1:9" x14ac:dyDescent="0.15">
      <c r="A1657" s="1">
        <v>1656</v>
      </c>
      <c r="B1657" s="1">
        <v>102010900</v>
      </c>
      <c r="C1657" s="1">
        <f t="shared" si="104"/>
        <v>107</v>
      </c>
      <c r="D1657" s="5">
        <f ca="1">IF(getQuality(B1657)&lt;4,getOtherMin(B1657,C1657,INDIRECT(J$2),INDIRECT(I1657),test),getMin(B1657,C1657,INDIRECT(J$2),INDIRECT(I1657),test))</f>
        <v>0.06</v>
      </c>
      <c r="E1657" s="5">
        <f ca="1">IF(getQuality(B1657)&lt;4,getOtherMax(B1657,C1657,INDIRECT(J$2),INDIRECT(I1657),test),getMax(B1657,C1657,INDIRECT(J$2),INDIRECT(I1657),test))</f>
        <v>0.12</v>
      </c>
      <c r="F1657" s="1" t="str">
        <f t="shared" si="102"/>
        <v>50</v>
      </c>
      <c r="G1657" s="1" t="str">
        <f t="shared" si="103"/>
        <v/>
      </c>
      <c r="I1657" s="1" t="str">
        <f t="shared" si="101"/>
        <v>威尔新数值1.06.xlsm!monsterDamage</v>
      </c>
    </row>
    <row r="1658" spans="1:9" x14ac:dyDescent="0.15">
      <c r="A1658" s="1">
        <v>1657</v>
      </c>
      <c r="B1658" s="1">
        <v>102010900</v>
      </c>
      <c r="C1658" s="1">
        <f t="shared" si="104"/>
        <v>108</v>
      </c>
      <c r="D1658" s="5">
        <f ca="1">IF(getQuality(B1658)&lt;4,getOtherMin(B1658,C1658,INDIRECT(J$2),INDIRECT(I1658),test),getMin(B1658,C1658,INDIRECT(J$2),INDIRECT(I1658),test))</f>
        <v>0.06</v>
      </c>
      <c r="E1658" s="5">
        <f ca="1">IF(getQuality(B1658)&lt;4,getOtherMax(B1658,C1658,INDIRECT(J$2),INDIRECT(I1658),test),getMax(B1658,C1658,INDIRECT(J$2),INDIRECT(I1658),test))</f>
        <v>0.12</v>
      </c>
      <c r="F1658" s="1" t="str">
        <f t="shared" si="102"/>
        <v>50</v>
      </c>
      <c r="G1658" s="1" t="str">
        <f t="shared" si="103"/>
        <v/>
      </c>
      <c r="I1658" s="1" t="str">
        <f t="shared" si="101"/>
        <v>威尔新数值1.06.xlsm!monsterDamage</v>
      </c>
    </row>
    <row r="1659" spans="1:9" x14ac:dyDescent="0.15">
      <c r="A1659" s="1">
        <v>1658</v>
      </c>
      <c r="B1659" s="1">
        <v>102020900</v>
      </c>
      <c r="C1659" s="1">
        <f t="shared" si="104"/>
        <v>3</v>
      </c>
      <c r="D1659" s="5">
        <f ca="1">IF(getQuality(B1659)&lt;4,getOtherMin(B1659,C1659,INDIRECT(J$2),INDIRECT(I1659),test),getMin(B1659,C1659,INDIRECT(J$2),INDIRECT(I1659),test))</f>
        <v>22.008641265250315</v>
      </c>
      <c r="E1659" s="5">
        <f ca="1">IF(getQuality(B1659)&lt;4,getOtherMax(B1659,C1659,INDIRECT(J$2),INDIRECT(I1659),test),getMax(B1659,C1659,INDIRECT(J$2),INDIRECT(I1659),test))</f>
        <v>46.219010783550694</v>
      </c>
      <c r="F1659" s="1" t="str">
        <f t="shared" si="102"/>
        <v>50</v>
      </c>
      <c r="G1659" s="1" t="str">
        <f t="shared" si="103"/>
        <v/>
      </c>
      <c r="I1659" s="1" t="str">
        <f t="shared" si="101"/>
        <v>威尔新数值1.06.xlsm!suitPower</v>
      </c>
    </row>
    <row r="1660" spans="1:9" x14ac:dyDescent="0.15">
      <c r="A1660" s="1">
        <v>1659</v>
      </c>
      <c r="B1660" s="1">
        <v>102020900</v>
      </c>
      <c r="C1660" s="1">
        <f t="shared" si="104"/>
        <v>5</v>
      </c>
      <c r="D1660" s="5">
        <f ca="1">IF(getQuality(B1660)&lt;4,getOtherMin(B1660,C1660,INDIRECT(J$2),INDIRECT(I1660),test),getMin(B1660,C1660,INDIRECT(J$2),INDIRECT(I1660),test))</f>
        <v>22.008641265250315</v>
      </c>
      <c r="E1660" s="5">
        <f ca="1">IF(getQuality(B1660)&lt;4,getOtherMax(B1660,C1660,INDIRECT(J$2),INDIRECT(I1660),test),getMax(B1660,C1660,INDIRECT(J$2),INDIRECT(I1660),test))</f>
        <v>46.219010783550694</v>
      </c>
      <c r="F1660" s="1" t="str">
        <f t="shared" si="102"/>
        <v>50</v>
      </c>
      <c r="G1660" s="1" t="str">
        <f t="shared" si="103"/>
        <v>1</v>
      </c>
      <c r="I1660" s="1" t="str">
        <f t="shared" si="101"/>
        <v>威尔新数值1.06.xlsm!suitPower</v>
      </c>
    </row>
    <row r="1661" spans="1:9" x14ac:dyDescent="0.15">
      <c r="A1661" s="1">
        <v>1660</v>
      </c>
      <c r="B1661" s="1">
        <v>102020900</v>
      </c>
      <c r="C1661" s="1">
        <f t="shared" si="104"/>
        <v>7</v>
      </c>
      <c r="D1661" s="5">
        <f ca="1">IF(getQuality(B1661)&lt;4,getOtherMin(B1661,C1661,INDIRECT(J$2),INDIRECT(I1661),test),getMin(B1661,C1661,INDIRECT(J$2),INDIRECT(I1661),test))</f>
        <v>7.481481481481465</v>
      </c>
      <c r="E1661" s="5">
        <f ca="1">IF(getQuality(B1661)&lt;4,getOtherMax(B1661,C1661,INDIRECT(J$2),INDIRECT(I1661),test),getMax(B1661,C1661,INDIRECT(J$2),INDIRECT(I1661),test))</f>
        <v>12.96296296296293</v>
      </c>
      <c r="F1661" s="1" t="str">
        <f t="shared" si="102"/>
        <v>50</v>
      </c>
      <c r="G1661" s="1" t="str">
        <f t="shared" si="103"/>
        <v/>
      </c>
      <c r="I1661" s="1" t="str">
        <f t="shared" si="101"/>
        <v>威尔新数值1.06.xlsm!suitPower</v>
      </c>
    </row>
    <row r="1662" spans="1:9" x14ac:dyDescent="0.15">
      <c r="A1662" s="1">
        <v>1661</v>
      </c>
      <c r="B1662" s="1">
        <v>102020900</v>
      </c>
      <c r="C1662" s="1">
        <f t="shared" si="104"/>
        <v>8</v>
      </c>
      <c r="D1662" s="5">
        <f ca="1">IF(getQuality(B1662)&lt;4,getOtherMin(B1662,C1662,INDIRECT(J$2),INDIRECT(I1662),test),getMin(B1662,C1662,INDIRECT(J$2),INDIRECT(I1662),test))</f>
        <v>15.583333333333334</v>
      </c>
      <c r="E1662" s="5">
        <f ca="1">IF(getQuality(B1662)&lt;4,getOtherMax(B1662,C1662,INDIRECT(J$2),INDIRECT(I1662),test),getMax(B1662,C1662,INDIRECT(J$2),INDIRECT(I1662),test))</f>
        <v>29.166666666666668</v>
      </c>
      <c r="F1662" s="1" t="str">
        <f t="shared" si="102"/>
        <v>50</v>
      </c>
      <c r="G1662" s="1" t="str">
        <f t="shared" si="103"/>
        <v/>
      </c>
      <c r="I1662" s="1" t="str">
        <f t="shared" si="101"/>
        <v>威尔新数值1.06.xlsm!suitPower</v>
      </c>
    </row>
    <row r="1663" spans="1:9" x14ac:dyDescent="0.15">
      <c r="A1663" s="1">
        <v>1662</v>
      </c>
      <c r="B1663" s="1">
        <v>102020900</v>
      </c>
      <c r="C1663" s="1">
        <f t="shared" si="104"/>
        <v>9</v>
      </c>
      <c r="D1663" s="5">
        <f ca="1">IF(getQuality(B1663)&lt;4,getOtherMin(B1663,C1663,INDIRECT(J$2),INDIRECT(I1663),test),getMin(B1663,C1663,INDIRECT(J$2),INDIRECT(I1663),test))</f>
        <v>22.008641265250315</v>
      </c>
      <c r="E1663" s="5">
        <f ca="1">IF(getQuality(B1663)&lt;4,getOtherMax(B1663,C1663,INDIRECT(J$2),INDIRECT(I1663),test),getMax(B1663,C1663,INDIRECT(J$2),INDIRECT(I1663),test))</f>
        <v>46.219010783550694</v>
      </c>
      <c r="F1663" s="1" t="str">
        <f t="shared" si="102"/>
        <v>50</v>
      </c>
      <c r="G1663" s="1" t="str">
        <f t="shared" si="103"/>
        <v/>
      </c>
      <c r="I1663" s="1" t="str">
        <f t="shared" si="101"/>
        <v>威尔新数值1.06.xlsm!suitPower</v>
      </c>
    </row>
    <row r="1664" spans="1:9" x14ac:dyDescent="0.15">
      <c r="A1664" s="1">
        <v>1663</v>
      </c>
      <c r="B1664" s="1">
        <v>102020900</v>
      </c>
      <c r="C1664" s="1">
        <f t="shared" si="104"/>
        <v>10</v>
      </c>
      <c r="D1664" s="5">
        <f ca="1">IF(getQuality(B1664)&lt;4,getOtherMin(B1664,C1664,INDIRECT(J$2),INDIRECT(I1664),test),getMin(B1664,C1664,INDIRECT(J$2),INDIRECT(I1664),test))</f>
        <v>22.008641265250315</v>
      </c>
      <c r="E1664" s="5">
        <f ca="1">IF(getQuality(B1664)&lt;4,getOtherMax(B1664,C1664,INDIRECT(J$2),INDIRECT(I1664),test),getMax(B1664,C1664,INDIRECT(J$2),INDIRECT(I1664),test))</f>
        <v>46.219010783550694</v>
      </c>
      <c r="F1664" s="1" t="str">
        <f t="shared" si="102"/>
        <v>50</v>
      </c>
      <c r="G1664" s="1" t="str">
        <f t="shared" si="103"/>
        <v/>
      </c>
      <c r="I1664" s="1" t="str">
        <f t="shared" si="101"/>
        <v>威尔新数值1.06.xlsm!suitPower</v>
      </c>
    </row>
    <row r="1665" spans="1:9" x14ac:dyDescent="0.15">
      <c r="A1665" s="1">
        <v>1664</v>
      </c>
      <c r="B1665" s="1">
        <v>102020900</v>
      </c>
      <c r="C1665" s="1">
        <f t="shared" si="104"/>
        <v>11</v>
      </c>
      <c r="D1665" s="5">
        <f ca="1">IF(getQuality(B1665)&lt;4,getOtherMin(B1665,C1665,INDIRECT(J$2),INDIRECT(I1665),test),getMin(B1665,C1665,INDIRECT(J$2),INDIRECT(I1665),test))</f>
        <v>22.008641265250315</v>
      </c>
      <c r="E1665" s="5">
        <f ca="1">IF(getQuality(B1665)&lt;4,getOtherMax(B1665,C1665,INDIRECT(J$2),INDIRECT(I1665),test),getMax(B1665,C1665,INDIRECT(J$2),INDIRECT(I1665),test))</f>
        <v>46.219010783550694</v>
      </c>
      <c r="F1665" s="1" t="str">
        <f t="shared" si="102"/>
        <v>50</v>
      </c>
      <c r="G1665" s="1" t="str">
        <f t="shared" si="103"/>
        <v/>
      </c>
      <c r="I1665" s="1" t="str">
        <f t="shared" si="101"/>
        <v>威尔新数值1.06.xlsm!suitPower</v>
      </c>
    </row>
    <row r="1666" spans="1:9" x14ac:dyDescent="0.15">
      <c r="A1666" s="1">
        <v>1665</v>
      </c>
      <c r="B1666" s="1">
        <v>102020900</v>
      </c>
      <c r="C1666" s="1">
        <f t="shared" si="104"/>
        <v>12</v>
      </c>
      <c r="D1666" s="5">
        <f ca="1">IF(getQuality(B1666)&lt;4,getOtherMin(B1666,C1666,INDIRECT(J$2),INDIRECT(I1666),test),getMin(B1666,C1666,INDIRECT(J$2),INDIRECT(I1666),test))</f>
        <v>22.008641265250315</v>
      </c>
      <c r="E1666" s="5">
        <f ca="1">IF(getQuality(B1666)&lt;4,getOtherMax(B1666,C1666,INDIRECT(J$2),INDIRECT(I1666),test),getMax(B1666,C1666,INDIRECT(J$2),INDIRECT(I1666),test))</f>
        <v>46.219010783550694</v>
      </c>
      <c r="F1666" s="1" t="str">
        <f t="shared" si="102"/>
        <v>50</v>
      </c>
      <c r="G1666" s="1" t="str">
        <f t="shared" si="103"/>
        <v/>
      </c>
      <c r="I1666" s="1" t="str">
        <f t="shared" ref="I1666:I1729" si="105">IF(C1666&lt;100,VLOOKUP(C1666,test,3,FALSE),VLOOKUP(C1666,test1,3,FALSE))</f>
        <v>威尔新数值1.06.xlsm!suitPower</v>
      </c>
    </row>
    <row r="1667" spans="1:9" x14ac:dyDescent="0.15">
      <c r="A1667" s="1">
        <v>1666</v>
      </c>
      <c r="B1667" s="1">
        <v>102020900</v>
      </c>
      <c r="C1667" s="1">
        <f t="shared" si="104"/>
        <v>13</v>
      </c>
      <c r="D1667" s="5">
        <f ca="1">IF(getQuality(B1667)&lt;4,getOtherMin(B1667,C1667,INDIRECT(J$2),INDIRECT(I1667),test),getMin(B1667,C1667,INDIRECT(J$2),INDIRECT(I1667),test))</f>
        <v>22.008641265250315</v>
      </c>
      <c r="E1667" s="5">
        <f ca="1">IF(getQuality(B1667)&lt;4,getOtherMax(B1667,C1667,INDIRECT(J$2),INDIRECT(I1667),test),getMax(B1667,C1667,INDIRECT(J$2),INDIRECT(I1667),test))</f>
        <v>46.219010783550694</v>
      </c>
      <c r="F1667" s="1" t="str">
        <f t="shared" ref="F1667:F1730" si="106">getper(B1667,C1667)</f>
        <v>50</v>
      </c>
      <c r="G1667" s="1" t="str">
        <f t="shared" ref="G1667:G1730" si="107">getMust(B1667,C1667)</f>
        <v/>
      </c>
      <c r="I1667" s="1" t="str">
        <f t="shared" si="105"/>
        <v>威尔新数值1.06.xlsm!suitPower</v>
      </c>
    </row>
    <row r="1668" spans="1:9" x14ac:dyDescent="0.15">
      <c r="A1668" s="1">
        <v>1667</v>
      </c>
      <c r="B1668" s="1">
        <v>102020900</v>
      </c>
      <c r="C1668" s="1">
        <f t="shared" si="104"/>
        <v>14</v>
      </c>
      <c r="D1668" s="5">
        <f ca="1">IF(getQuality(B1668)&lt;4,getOtherMin(B1668,C1668,INDIRECT(J$2),INDIRECT(I1668),test),getMin(B1668,C1668,INDIRECT(J$2),INDIRECT(I1668),test))</f>
        <v>22.008641265250315</v>
      </c>
      <c r="E1668" s="5">
        <f ca="1">IF(getQuality(B1668)&lt;4,getOtherMax(B1668,C1668,INDIRECT(J$2),INDIRECT(I1668),test),getMax(B1668,C1668,INDIRECT(J$2),INDIRECT(I1668),test))</f>
        <v>46.219010783550694</v>
      </c>
      <c r="F1668" s="1" t="str">
        <f t="shared" si="106"/>
        <v>50</v>
      </c>
      <c r="G1668" s="1" t="str">
        <f t="shared" si="107"/>
        <v/>
      </c>
      <c r="I1668" s="1" t="str">
        <f t="shared" si="105"/>
        <v>威尔新数值1.06.xlsm!suitPower</v>
      </c>
    </row>
    <row r="1669" spans="1:9" x14ac:dyDescent="0.15">
      <c r="A1669" s="1">
        <v>1668</v>
      </c>
      <c r="B1669" s="1">
        <v>102020900</v>
      </c>
      <c r="C1669" s="1">
        <f t="shared" si="104"/>
        <v>15</v>
      </c>
      <c r="D1669" s="5">
        <f ca="1">IF(getQuality(B1669)&lt;4,getOtherMin(B1669,C1669,INDIRECT(J$2),INDIRECT(I1669),test),getMin(B1669,C1669,INDIRECT(J$2),INDIRECT(I1669),test))</f>
        <v>22.008641265250315</v>
      </c>
      <c r="E1669" s="5">
        <f ca="1">IF(getQuality(B1669)&lt;4,getOtherMax(B1669,C1669,INDIRECT(J$2),INDIRECT(I1669),test),getMax(B1669,C1669,INDIRECT(J$2),INDIRECT(I1669),test))</f>
        <v>46.219010783550694</v>
      </c>
      <c r="F1669" s="1" t="str">
        <f t="shared" si="106"/>
        <v>50</v>
      </c>
      <c r="G1669" s="1" t="str">
        <f t="shared" si="107"/>
        <v/>
      </c>
      <c r="I1669" s="1" t="str">
        <f t="shared" si="105"/>
        <v>威尔新数值1.06.xlsm!suitPower</v>
      </c>
    </row>
    <row r="1670" spans="1:9" x14ac:dyDescent="0.15">
      <c r="A1670" s="1">
        <v>1669</v>
      </c>
      <c r="B1670" s="1">
        <v>102020900</v>
      </c>
      <c r="C1670" s="1">
        <f t="shared" si="104"/>
        <v>101</v>
      </c>
      <c r="D1670" s="5">
        <f ca="1">IF(getQuality(B1670)&lt;4,getOtherMin(B1670,C1670,INDIRECT(J$2),INDIRECT(I1670),test),getMin(B1670,C1670,INDIRECT(J$2),INDIRECT(I1670),test))</f>
        <v>7.0000000000000007E-2</v>
      </c>
      <c r="E1670" s="5">
        <f ca="1">IF(getQuality(B1670)&lt;4,getOtherMax(B1670,C1670,INDIRECT(J$2),INDIRECT(I1670),test),getMax(B1670,C1670,INDIRECT(J$2),INDIRECT(I1670),test))</f>
        <v>0.1</v>
      </c>
      <c r="F1670" s="1" t="str">
        <f t="shared" si="106"/>
        <v>50</v>
      </c>
      <c r="G1670" s="1" t="str">
        <f t="shared" si="107"/>
        <v/>
      </c>
      <c r="I1670" s="1" t="str">
        <f t="shared" si="105"/>
        <v>威尔新数值1.06.xlsm!circlePer</v>
      </c>
    </row>
    <row r="1671" spans="1:9" x14ac:dyDescent="0.15">
      <c r="A1671" s="1">
        <v>1670</v>
      </c>
      <c r="B1671" s="1">
        <v>102020900</v>
      </c>
      <c r="C1671" s="1">
        <f t="shared" si="104"/>
        <v>102</v>
      </c>
      <c r="D1671" s="5">
        <f ca="1">IF(getQuality(B1671)&lt;4,getOtherMin(B1671,C1671,INDIRECT(J$2),INDIRECT(I1671),test),getMin(B1671,C1671,INDIRECT(J$2),INDIRECT(I1671),test))</f>
        <v>0.5</v>
      </c>
      <c r="E1671" s="5">
        <f ca="1">IF(getQuality(B1671)&lt;4,getOtherMax(B1671,C1671,INDIRECT(J$2),INDIRECT(I1671),test),getMax(B1671,C1671,INDIRECT(J$2),INDIRECT(I1671),test))</f>
        <v>0.9</v>
      </c>
      <c r="F1671" s="1" t="str">
        <f t="shared" si="106"/>
        <v>50</v>
      </c>
      <c r="G1671" s="1" t="str">
        <f t="shared" si="107"/>
        <v/>
      </c>
      <c r="I1671" s="1" t="str">
        <f t="shared" si="105"/>
        <v>威尔新数值1.06.xlsm!circleValue</v>
      </c>
    </row>
    <row r="1672" spans="1:9" x14ac:dyDescent="0.15">
      <c r="A1672" s="1">
        <v>1671</v>
      </c>
      <c r="B1672" s="1">
        <v>102020900</v>
      </c>
      <c r="C1672" s="1">
        <f t="shared" si="104"/>
        <v>103</v>
      </c>
      <c r="D1672" s="5">
        <f ca="1">IF(getQuality(B1672)&lt;4,getOtherMin(B1672,C1672,INDIRECT(J$2),INDIRECT(I1672),test),getMin(B1672,C1672,INDIRECT(J$2),INDIRECT(I1672),test))</f>
        <v>7.0000000000000007E-2</v>
      </c>
      <c r="E1672" s="5">
        <f ca="1">IF(getQuality(B1672)&lt;4,getOtherMax(B1672,C1672,INDIRECT(J$2),INDIRECT(I1672),test),getMax(B1672,C1672,INDIRECT(J$2),INDIRECT(I1672),test))</f>
        <v>0.1</v>
      </c>
      <c r="F1672" s="1" t="str">
        <f t="shared" si="106"/>
        <v>50</v>
      </c>
      <c r="G1672" s="1" t="str">
        <f t="shared" si="107"/>
        <v/>
      </c>
      <c r="I1672" s="1" t="str">
        <f t="shared" si="105"/>
        <v>威尔新数值1.06.xlsm!otherDamage</v>
      </c>
    </row>
    <row r="1673" spans="1:9" x14ac:dyDescent="0.15">
      <c r="A1673" s="1">
        <v>1672</v>
      </c>
      <c r="B1673" s="1">
        <v>102020900</v>
      </c>
      <c r="C1673" s="1">
        <f t="shared" si="104"/>
        <v>104</v>
      </c>
      <c r="D1673" s="5">
        <f ca="1">IF(getQuality(B1673)&lt;4,getOtherMin(B1673,C1673,INDIRECT(J$2),INDIRECT(I1673),test),getMin(B1673,C1673,INDIRECT(J$2),INDIRECT(I1673),test))</f>
        <v>7.0000000000000007E-2</v>
      </c>
      <c r="E1673" s="5">
        <f ca="1">IF(getQuality(B1673)&lt;4,getOtherMax(B1673,C1673,INDIRECT(J$2),INDIRECT(I1673),test),getMax(B1673,C1673,INDIRECT(J$2),INDIRECT(I1673),test))</f>
        <v>0.14000000000000001</v>
      </c>
      <c r="F1673" s="1" t="str">
        <f t="shared" si="106"/>
        <v>50</v>
      </c>
      <c r="G1673" s="1" t="str">
        <f t="shared" si="107"/>
        <v/>
      </c>
      <c r="I1673" s="1" t="str">
        <f t="shared" si="105"/>
        <v>威尔新数值1.06.xlsm!monsterDamage</v>
      </c>
    </row>
    <row r="1674" spans="1:9" x14ac:dyDescent="0.15">
      <c r="A1674" s="1">
        <v>1673</v>
      </c>
      <c r="B1674" s="1">
        <v>102020900</v>
      </c>
      <c r="C1674" s="1">
        <f t="shared" si="104"/>
        <v>105</v>
      </c>
      <c r="D1674" s="5">
        <f ca="1">IF(getQuality(B1674)&lt;4,getOtherMin(B1674,C1674,INDIRECT(J$2),INDIRECT(I1674),test),getMin(B1674,C1674,INDIRECT(J$2),INDIRECT(I1674),test))</f>
        <v>7.0000000000000007E-2</v>
      </c>
      <c r="E1674" s="5">
        <f ca="1">IF(getQuality(B1674)&lt;4,getOtherMax(B1674,C1674,INDIRECT(J$2),INDIRECT(I1674),test),getMax(B1674,C1674,INDIRECT(J$2),INDIRECT(I1674),test))</f>
        <v>0.14000000000000001</v>
      </c>
      <c r="F1674" s="1" t="str">
        <f t="shared" si="106"/>
        <v>50</v>
      </c>
      <c r="G1674" s="1" t="str">
        <f t="shared" si="107"/>
        <v/>
      </c>
      <c r="I1674" s="1" t="str">
        <f t="shared" si="105"/>
        <v>威尔新数值1.06.xlsm!monsterDamage</v>
      </c>
    </row>
    <row r="1675" spans="1:9" x14ac:dyDescent="0.15">
      <c r="A1675" s="1">
        <v>1674</v>
      </c>
      <c r="B1675" s="1">
        <v>102020900</v>
      </c>
      <c r="C1675" s="1">
        <f t="shared" si="104"/>
        <v>106</v>
      </c>
      <c r="D1675" s="5">
        <f ca="1">IF(getQuality(B1675)&lt;4,getOtherMin(B1675,C1675,INDIRECT(J$2),INDIRECT(I1675),test),getMin(B1675,C1675,INDIRECT(J$2),INDIRECT(I1675),test))</f>
        <v>7.0000000000000007E-2</v>
      </c>
      <c r="E1675" s="5">
        <f ca="1">IF(getQuality(B1675)&lt;4,getOtherMax(B1675,C1675,INDIRECT(J$2),INDIRECT(I1675),test),getMax(B1675,C1675,INDIRECT(J$2),INDIRECT(I1675),test))</f>
        <v>0.14000000000000001</v>
      </c>
      <c r="F1675" s="1" t="str">
        <f t="shared" si="106"/>
        <v>50</v>
      </c>
      <c r="G1675" s="1" t="str">
        <f t="shared" si="107"/>
        <v/>
      </c>
      <c r="I1675" s="1" t="str">
        <f t="shared" si="105"/>
        <v>威尔新数值1.06.xlsm!monsterDamage</v>
      </c>
    </row>
    <row r="1676" spans="1:9" x14ac:dyDescent="0.15">
      <c r="A1676" s="1">
        <v>1675</v>
      </c>
      <c r="B1676" s="1">
        <v>102020900</v>
      </c>
      <c r="C1676" s="1">
        <f t="shared" si="104"/>
        <v>107</v>
      </c>
      <c r="D1676" s="5">
        <f ca="1">IF(getQuality(B1676)&lt;4,getOtherMin(B1676,C1676,INDIRECT(J$2),INDIRECT(I1676),test),getMin(B1676,C1676,INDIRECT(J$2),INDIRECT(I1676),test))</f>
        <v>7.0000000000000007E-2</v>
      </c>
      <c r="E1676" s="5">
        <f ca="1">IF(getQuality(B1676)&lt;4,getOtherMax(B1676,C1676,INDIRECT(J$2),INDIRECT(I1676),test),getMax(B1676,C1676,INDIRECT(J$2),INDIRECT(I1676),test))</f>
        <v>0.14000000000000001</v>
      </c>
      <c r="F1676" s="1" t="str">
        <f t="shared" si="106"/>
        <v>50</v>
      </c>
      <c r="G1676" s="1" t="str">
        <f t="shared" si="107"/>
        <v/>
      </c>
      <c r="I1676" s="1" t="str">
        <f t="shared" si="105"/>
        <v>威尔新数值1.06.xlsm!monsterDamage</v>
      </c>
    </row>
    <row r="1677" spans="1:9" x14ac:dyDescent="0.15">
      <c r="A1677" s="1">
        <v>1676</v>
      </c>
      <c r="B1677" s="1">
        <v>102020900</v>
      </c>
      <c r="C1677" s="1">
        <f t="shared" si="104"/>
        <v>108</v>
      </c>
      <c r="D1677" s="5">
        <f ca="1">IF(getQuality(B1677)&lt;4,getOtherMin(B1677,C1677,INDIRECT(J$2),INDIRECT(I1677),test),getMin(B1677,C1677,INDIRECT(J$2),INDIRECT(I1677),test))</f>
        <v>7.0000000000000007E-2</v>
      </c>
      <c r="E1677" s="5">
        <f ca="1">IF(getQuality(B1677)&lt;4,getOtherMax(B1677,C1677,INDIRECT(J$2),INDIRECT(I1677),test),getMax(B1677,C1677,INDIRECT(J$2),INDIRECT(I1677),test))</f>
        <v>0.14000000000000001</v>
      </c>
      <c r="F1677" s="1" t="str">
        <f t="shared" si="106"/>
        <v>50</v>
      </c>
      <c r="G1677" s="1" t="str">
        <f t="shared" si="107"/>
        <v/>
      </c>
      <c r="I1677" s="1" t="str">
        <f t="shared" si="105"/>
        <v>威尔新数值1.06.xlsm!monsterDamage</v>
      </c>
    </row>
    <row r="1678" spans="1:9" x14ac:dyDescent="0.15">
      <c r="A1678" s="1">
        <v>1677</v>
      </c>
      <c r="B1678" s="1">
        <v>102030900</v>
      </c>
      <c r="C1678" s="1">
        <f t="shared" si="104"/>
        <v>3</v>
      </c>
      <c r="D1678" s="5">
        <f ca="1">IF(getQuality(B1678)&lt;4,getOtherMin(B1678,C1678,INDIRECT(J$2),INDIRECT(I1678),test),getMin(B1678,C1678,INDIRECT(J$2),INDIRECT(I1678),test))</f>
        <v>47.219010783550694</v>
      </c>
      <c r="E1678" s="5">
        <f ca="1">IF(getQuality(B1678)&lt;4,getOtherMax(B1678,C1678,INDIRECT(J$2),INDIRECT(I1678),test),getMax(B1678,C1678,INDIRECT(J$2),INDIRECT(I1678),test))</f>
        <v>75.631108554901132</v>
      </c>
      <c r="F1678" s="1" t="str">
        <f t="shared" si="106"/>
        <v>50</v>
      </c>
      <c r="G1678" s="1" t="str">
        <f t="shared" si="107"/>
        <v/>
      </c>
      <c r="I1678" s="1" t="str">
        <f t="shared" si="105"/>
        <v>威尔新数值1.06.xlsm!suitPower</v>
      </c>
    </row>
    <row r="1679" spans="1:9" x14ac:dyDescent="0.15">
      <c r="A1679" s="1">
        <v>1678</v>
      </c>
      <c r="B1679" s="1">
        <v>102030900</v>
      </c>
      <c r="C1679" s="1">
        <f t="shared" si="104"/>
        <v>5</v>
      </c>
      <c r="D1679" s="5">
        <f ca="1">IF(getQuality(B1679)&lt;4,getOtherMin(B1679,C1679,INDIRECT(J$2),INDIRECT(I1679),test),getMin(B1679,C1679,INDIRECT(J$2),INDIRECT(I1679),test))</f>
        <v>47.219010783550694</v>
      </c>
      <c r="E1679" s="5">
        <f ca="1">IF(getQuality(B1679)&lt;4,getOtherMax(B1679,C1679,INDIRECT(J$2),INDIRECT(I1679),test),getMax(B1679,C1679,INDIRECT(J$2),INDIRECT(I1679),test))</f>
        <v>75.631108554901132</v>
      </c>
      <c r="F1679" s="1" t="str">
        <f t="shared" si="106"/>
        <v>50</v>
      </c>
      <c r="G1679" s="1" t="str">
        <f t="shared" si="107"/>
        <v>1</v>
      </c>
      <c r="I1679" s="1" t="str">
        <f t="shared" si="105"/>
        <v>威尔新数值1.06.xlsm!suitPower</v>
      </c>
    </row>
    <row r="1680" spans="1:9" x14ac:dyDescent="0.15">
      <c r="A1680" s="1">
        <v>1679</v>
      </c>
      <c r="B1680" s="1">
        <v>102030900</v>
      </c>
      <c r="C1680" s="1">
        <f t="shared" si="104"/>
        <v>7</v>
      </c>
      <c r="D1680" s="5">
        <f ca="1">IF(getQuality(B1680)&lt;4,getOtherMin(B1680,C1680,INDIRECT(J$2),INDIRECT(I1680),test),getMin(B1680,C1680,INDIRECT(J$2),INDIRECT(I1680),test))</f>
        <v>13.96296296296293</v>
      </c>
      <c r="E1680" s="5">
        <f ca="1">IF(getQuality(B1680)&lt;4,getOtherMax(B1680,C1680,INDIRECT(J$2),INDIRECT(I1680),test),getMax(B1680,C1680,INDIRECT(J$2),INDIRECT(I1680),test))</f>
        <v>19.444444444444393</v>
      </c>
      <c r="F1680" s="1" t="str">
        <f t="shared" si="106"/>
        <v>50</v>
      </c>
      <c r="G1680" s="1" t="str">
        <f t="shared" si="107"/>
        <v/>
      </c>
      <c r="I1680" s="1" t="str">
        <f t="shared" si="105"/>
        <v>威尔新数值1.06.xlsm!suitPower</v>
      </c>
    </row>
    <row r="1681" spans="1:9" x14ac:dyDescent="0.15">
      <c r="A1681" s="1">
        <v>1680</v>
      </c>
      <c r="B1681" s="1">
        <v>102030900</v>
      </c>
      <c r="C1681" s="1">
        <f t="shared" si="104"/>
        <v>8</v>
      </c>
      <c r="D1681" s="5">
        <f ca="1">IF(getQuality(B1681)&lt;4,getOtherMin(B1681,C1681,INDIRECT(J$2),INDIRECT(I1681),test),getMin(B1681,C1681,INDIRECT(J$2),INDIRECT(I1681),test))</f>
        <v>30.166666666666668</v>
      </c>
      <c r="E1681" s="5">
        <f ca="1">IF(getQuality(B1681)&lt;4,getOtherMax(B1681,C1681,INDIRECT(J$2),INDIRECT(I1681),test),getMax(B1681,C1681,INDIRECT(J$2),INDIRECT(I1681),test))</f>
        <v>43.75</v>
      </c>
      <c r="F1681" s="1" t="str">
        <f t="shared" si="106"/>
        <v>50</v>
      </c>
      <c r="G1681" s="1" t="str">
        <f t="shared" si="107"/>
        <v/>
      </c>
      <c r="I1681" s="1" t="str">
        <f t="shared" si="105"/>
        <v>威尔新数值1.06.xlsm!suitPower</v>
      </c>
    </row>
    <row r="1682" spans="1:9" x14ac:dyDescent="0.15">
      <c r="A1682" s="1">
        <v>1681</v>
      </c>
      <c r="B1682" s="1">
        <v>102030900</v>
      </c>
      <c r="C1682" s="1">
        <f t="shared" si="104"/>
        <v>9</v>
      </c>
      <c r="D1682" s="5">
        <f ca="1">IF(getQuality(B1682)&lt;4,getOtherMin(B1682,C1682,INDIRECT(J$2),INDIRECT(I1682),test),getMin(B1682,C1682,INDIRECT(J$2),INDIRECT(I1682),test))</f>
        <v>47.219010783550694</v>
      </c>
      <c r="E1682" s="5">
        <f ca="1">IF(getQuality(B1682)&lt;4,getOtherMax(B1682,C1682,INDIRECT(J$2),INDIRECT(I1682),test),getMax(B1682,C1682,INDIRECT(J$2),INDIRECT(I1682),test))</f>
        <v>75.631108554901132</v>
      </c>
      <c r="F1682" s="1" t="str">
        <f t="shared" si="106"/>
        <v>50</v>
      </c>
      <c r="G1682" s="1" t="str">
        <f t="shared" si="107"/>
        <v/>
      </c>
      <c r="I1682" s="1" t="str">
        <f t="shared" si="105"/>
        <v>威尔新数值1.06.xlsm!suitPower</v>
      </c>
    </row>
    <row r="1683" spans="1:9" x14ac:dyDescent="0.15">
      <c r="A1683" s="1">
        <v>1682</v>
      </c>
      <c r="B1683" s="1">
        <v>102030900</v>
      </c>
      <c r="C1683" s="1">
        <f t="shared" si="104"/>
        <v>10</v>
      </c>
      <c r="D1683" s="5">
        <f ca="1">IF(getQuality(B1683)&lt;4,getOtherMin(B1683,C1683,INDIRECT(J$2),INDIRECT(I1683),test),getMin(B1683,C1683,INDIRECT(J$2),INDIRECT(I1683),test))</f>
        <v>47.219010783550694</v>
      </c>
      <c r="E1683" s="5">
        <f ca="1">IF(getQuality(B1683)&lt;4,getOtherMax(B1683,C1683,INDIRECT(J$2),INDIRECT(I1683),test),getMax(B1683,C1683,INDIRECT(J$2),INDIRECT(I1683),test))</f>
        <v>75.631108554901132</v>
      </c>
      <c r="F1683" s="1" t="str">
        <f t="shared" si="106"/>
        <v>50</v>
      </c>
      <c r="G1683" s="1" t="str">
        <f t="shared" si="107"/>
        <v/>
      </c>
      <c r="I1683" s="1" t="str">
        <f t="shared" si="105"/>
        <v>威尔新数值1.06.xlsm!suitPower</v>
      </c>
    </row>
    <row r="1684" spans="1:9" x14ac:dyDescent="0.15">
      <c r="A1684" s="1">
        <v>1683</v>
      </c>
      <c r="B1684" s="1">
        <v>102030900</v>
      </c>
      <c r="C1684" s="1">
        <f t="shared" si="104"/>
        <v>11</v>
      </c>
      <c r="D1684" s="5">
        <f ca="1">IF(getQuality(B1684)&lt;4,getOtherMin(B1684,C1684,INDIRECT(J$2),INDIRECT(I1684),test),getMin(B1684,C1684,INDIRECT(J$2),INDIRECT(I1684),test))</f>
        <v>47.219010783550694</v>
      </c>
      <c r="E1684" s="5">
        <f ca="1">IF(getQuality(B1684)&lt;4,getOtherMax(B1684,C1684,INDIRECT(J$2),INDIRECT(I1684),test),getMax(B1684,C1684,INDIRECT(J$2),INDIRECT(I1684),test))</f>
        <v>75.631108554901132</v>
      </c>
      <c r="F1684" s="1" t="str">
        <f t="shared" si="106"/>
        <v>50</v>
      </c>
      <c r="G1684" s="1" t="str">
        <f t="shared" si="107"/>
        <v/>
      </c>
      <c r="I1684" s="1" t="str">
        <f t="shared" si="105"/>
        <v>威尔新数值1.06.xlsm!suitPower</v>
      </c>
    </row>
    <row r="1685" spans="1:9" x14ac:dyDescent="0.15">
      <c r="A1685" s="1">
        <v>1684</v>
      </c>
      <c r="B1685" s="1">
        <v>102030900</v>
      </c>
      <c r="C1685" s="1">
        <f t="shared" si="104"/>
        <v>12</v>
      </c>
      <c r="D1685" s="5">
        <f ca="1">IF(getQuality(B1685)&lt;4,getOtherMin(B1685,C1685,INDIRECT(J$2),INDIRECT(I1685),test),getMin(B1685,C1685,INDIRECT(J$2),INDIRECT(I1685),test))</f>
        <v>47.219010783550694</v>
      </c>
      <c r="E1685" s="5">
        <f ca="1">IF(getQuality(B1685)&lt;4,getOtherMax(B1685,C1685,INDIRECT(J$2),INDIRECT(I1685),test),getMax(B1685,C1685,INDIRECT(J$2),INDIRECT(I1685),test))</f>
        <v>75.631108554901132</v>
      </c>
      <c r="F1685" s="1" t="str">
        <f t="shared" si="106"/>
        <v>50</v>
      </c>
      <c r="G1685" s="1" t="str">
        <f t="shared" si="107"/>
        <v/>
      </c>
      <c r="I1685" s="1" t="str">
        <f t="shared" si="105"/>
        <v>威尔新数值1.06.xlsm!suitPower</v>
      </c>
    </row>
    <row r="1686" spans="1:9" x14ac:dyDescent="0.15">
      <c r="A1686" s="1">
        <v>1685</v>
      </c>
      <c r="B1686" s="1">
        <v>102030900</v>
      </c>
      <c r="C1686" s="1">
        <f t="shared" si="104"/>
        <v>13</v>
      </c>
      <c r="D1686" s="5">
        <f ca="1">IF(getQuality(B1686)&lt;4,getOtherMin(B1686,C1686,INDIRECT(J$2),INDIRECT(I1686),test),getMin(B1686,C1686,INDIRECT(J$2),INDIRECT(I1686),test))</f>
        <v>47.219010783550694</v>
      </c>
      <c r="E1686" s="5">
        <f ca="1">IF(getQuality(B1686)&lt;4,getOtherMax(B1686,C1686,INDIRECT(J$2),INDIRECT(I1686),test),getMax(B1686,C1686,INDIRECT(J$2),INDIRECT(I1686),test))</f>
        <v>75.631108554901132</v>
      </c>
      <c r="F1686" s="1" t="str">
        <f t="shared" si="106"/>
        <v>50</v>
      </c>
      <c r="G1686" s="1" t="str">
        <f t="shared" si="107"/>
        <v/>
      </c>
      <c r="I1686" s="1" t="str">
        <f t="shared" si="105"/>
        <v>威尔新数值1.06.xlsm!suitPower</v>
      </c>
    </row>
    <row r="1687" spans="1:9" x14ac:dyDescent="0.15">
      <c r="A1687" s="1">
        <v>1686</v>
      </c>
      <c r="B1687" s="1">
        <v>102030900</v>
      </c>
      <c r="C1687" s="1">
        <f t="shared" si="104"/>
        <v>14</v>
      </c>
      <c r="D1687" s="5">
        <f ca="1">IF(getQuality(B1687)&lt;4,getOtherMin(B1687,C1687,INDIRECT(J$2),INDIRECT(I1687),test),getMin(B1687,C1687,INDIRECT(J$2),INDIRECT(I1687),test))</f>
        <v>47.219010783550694</v>
      </c>
      <c r="E1687" s="5">
        <f ca="1">IF(getQuality(B1687)&lt;4,getOtherMax(B1687,C1687,INDIRECT(J$2),INDIRECT(I1687),test),getMax(B1687,C1687,INDIRECT(J$2),INDIRECT(I1687),test))</f>
        <v>75.631108554901132</v>
      </c>
      <c r="F1687" s="1" t="str">
        <f t="shared" si="106"/>
        <v>50</v>
      </c>
      <c r="G1687" s="1" t="str">
        <f t="shared" si="107"/>
        <v/>
      </c>
      <c r="I1687" s="1" t="str">
        <f t="shared" si="105"/>
        <v>威尔新数值1.06.xlsm!suitPower</v>
      </c>
    </row>
    <row r="1688" spans="1:9" x14ac:dyDescent="0.15">
      <c r="A1688" s="1">
        <v>1687</v>
      </c>
      <c r="B1688" s="1">
        <v>102030900</v>
      </c>
      <c r="C1688" s="1">
        <f t="shared" si="104"/>
        <v>15</v>
      </c>
      <c r="D1688" s="5">
        <f ca="1">IF(getQuality(B1688)&lt;4,getOtherMin(B1688,C1688,INDIRECT(J$2),INDIRECT(I1688),test),getMin(B1688,C1688,INDIRECT(J$2),INDIRECT(I1688),test))</f>
        <v>47.219010783550694</v>
      </c>
      <c r="E1688" s="5">
        <f ca="1">IF(getQuality(B1688)&lt;4,getOtherMax(B1688,C1688,INDIRECT(J$2),INDIRECT(I1688),test),getMax(B1688,C1688,INDIRECT(J$2),INDIRECT(I1688),test))</f>
        <v>75.631108554901132</v>
      </c>
      <c r="F1688" s="1" t="str">
        <f t="shared" si="106"/>
        <v>50</v>
      </c>
      <c r="G1688" s="1" t="str">
        <f t="shared" si="107"/>
        <v/>
      </c>
      <c r="I1688" s="1" t="str">
        <f t="shared" si="105"/>
        <v>威尔新数值1.06.xlsm!suitPower</v>
      </c>
    </row>
    <row r="1689" spans="1:9" x14ac:dyDescent="0.15">
      <c r="A1689" s="1">
        <v>1688</v>
      </c>
      <c r="B1689" s="1">
        <v>102030900</v>
      </c>
      <c r="C1689" s="1">
        <f t="shared" si="104"/>
        <v>101</v>
      </c>
      <c r="D1689" s="5">
        <f ca="1">IF(getQuality(B1689)&lt;4,getOtherMin(B1689,C1689,INDIRECT(J$2),INDIRECT(I1689),test),getMin(B1689,C1689,INDIRECT(J$2),INDIRECT(I1689),test))</f>
        <v>0.08</v>
      </c>
      <c r="E1689" s="5">
        <f ca="1">IF(getQuality(B1689)&lt;4,getOtherMax(B1689,C1689,INDIRECT(J$2),INDIRECT(I1689),test),getMax(B1689,C1689,INDIRECT(J$2),INDIRECT(I1689),test))</f>
        <v>0.11</v>
      </c>
      <c r="F1689" s="1" t="str">
        <f t="shared" si="106"/>
        <v>50</v>
      </c>
      <c r="G1689" s="1" t="str">
        <f t="shared" si="107"/>
        <v/>
      </c>
      <c r="I1689" s="1" t="str">
        <f t="shared" si="105"/>
        <v>威尔新数值1.06.xlsm!circlePer</v>
      </c>
    </row>
    <row r="1690" spans="1:9" x14ac:dyDescent="0.15">
      <c r="A1690" s="1">
        <v>1689</v>
      </c>
      <c r="B1690" s="1">
        <v>102030900</v>
      </c>
      <c r="C1690" s="1">
        <f t="shared" si="104"/>
        <v>102</v>
      </c>
      <c r="D1690" s="5">
        <f ca="1">IF(getQuality(B1690)&lt;4,getOtherMin(B1690,C1690,INDIRECT(J$2),INDIRECT(I1690),test),getMin(B1690,C1690,INDIRECT(J$2),INDIRECT(I1690),test))</f>
        <v>0.6</v>
      </c>
      <c r="E1690" s="5">
        <f ca="1">IF(getQuality(B1690)&lt;4,getOtherMax(B1690,C1690,INDIRECT(J$2),INDIRECT(I1690),test),getMax(B1690,C1690,INDIRECT(J$2),INDIRECT(I1690),test))</f>
        <v>1</v>
      </c>
      <c r="F1690" s="1" t="str">
        <f t="shared" si="106"/>
        <v>50</v>
      </c>
      <c r="G1690" s="1" t="str">
        <f t="shared" si="107"/>
        <v/>
      </c>
      <c r="I1690" s="1" t="str">
        <f t="shared" si="105"/>
        <v>威尔新数值1.06.xlsm!circleValue</v>
      </c>
    </row>
    <row r="1691" spans="1:9" x14ac:dyDescent="0.15">
      <c r="A1691" s="1">
        <v>1690</v>
      </c>
      <c r="B1691" s="1">
        <v>102030900</v>
      </c>
      <c r="C1691" s="1">
        <f t="shared" si="104"/>
        <v>103</v>
      </c>
      <c r="D1691" s="5">
        <f ca="1">IF(getQuality(B1691)&lt;4,getOtherMin(B1691,C1691,INDIRECT(J$2),INDIRECT(I1691),test),getMin(B1691,C1691,INDIRECT(J$2),INDIRECT(I1691),test))</f>
        <v>0.08</v>
      </c>
      <c r="E1691" s="5">
        <f ca="1">IF(getQuality(B1691)&lt;4,getOtherMax(B1691,C1691,INDIRECT(J$2),INDIRECT(I1691),test),getMax(B1691,C1691,INDIRECT(J$2),INDIRECT(I1691),test))</f>
        <v>0.11</v>
      </c>
      <c r="F1691" s="1" t="str">
        <f t="shared" si="106"/>
        <v>50</v>
      </c>
      <c r="G1691" s="1" t="str">
        <f t="shared" si="107"/>
        <v/>
      </c>
      <c r="I1691" s="1" t="str">
        <f t="shared" si="105"/>
        <v>威尔新数值1.06.xlsm!otherDamage</v>
      </c>
    </row>
    <row r="1692" spans="1:9" x14ac:dyDescent="0.15">
      <c r="A1692" s="1">
        <v>1691</v>
      </c>
      <c r="B1692" s="1">
        <v>102030900</v>
      </c>
      <c r="C1692" s="1">
        <f t="shared" si="104"/>
        <v>104</v>
      </c>
      <c r="D1692" s="5">
        <f ca="1">IF(getQuality(B1692)&lt;4,getOtherMin(B1692,C1692,INDIRECT(J$2),INDIRECT(I1692),test),getMin(B1692,C1692,INDIRECT(J$2),INDIRECT(I1692),test))</f>
        <v>0.08</v>
      </c>
      <c r="E1692" s="5">
        <f ca="1">IF(getQuality(B1692)&lt;4,getOtherMax(B1692,C1692,INDIRECT(J$2),INDIRECT(I1692),test),getMax(B1692,C1692,INDIRECT(J$2),INDIRECT(I1692),test))</f>
        <v>0.16</v>
      </c>
      <c r="F1692" s="1" t="str">
        <f t="shared" si="106"/>
        <v>50</v>
      </c>
      <c r="G1692" s="1" t="str">
        <f t="shared" si="107"/>
        <v/>
      </c>
      <c r="I1692" s="1" t="str">
        <f t="shared" si="105"/>
        <v>威尔新数值1.06.xlsm!monsterDamage</v>
      </c>
    </row>
    <row r="1693" spans="1:9" x14ac:dyDescent="0.15">
      <c r="A1693" s="1">
        <v>1692</v>
      </c>
      <c r="B1693" s="1">
        <v>102030900</v>
      </c>
      <c r="C1693" s="1">
        <f t="shared" si="104"/>
        <v>105</v>
      </c>
      <c r="D1693" s="5">
        <f ca="1">IF(getQuality(B1693)&lt;4,getOtherMin(B1693,C1693,INDIRECT(J$2),INDIRECT(I1693),test),getMin(B1693,C1693,INDIRECT(J$2),INDIRECT(I1693),test))</f>
        <v>0.08</v>
      </c>
      <c r="E1693" s="5">
        <f ca="1">IF(getQuality(B1693)&lt;4,getOtherMax(B1693,C1693,INDIRECT(J$2),INDIRECT(I1693),test),getMax(B1693,C1693,INDIRECT(J$2),INDIRECT(I1693),test))</f>
        <v>0.16</v>
      </c>
      <c r="F1693" s="1" t="str">
        <f t="shared" si="106"/>
        <v>50</v>
      </c>
      <c r="G1693" s="1" t="str">
        <f t="shared" si="107"/>
        <v/>
      </c>
      <c r="I1693" s="1" t="str">
        <f t="shared" si="105"/>
        <v>威尔新数值1.06.xlsm!monsterDamage</v>
      </c>
    </row>
    <row r="1694" spans="1:9" x14ac:dyDescent="0.15">
      <c r="A1694" s="1">
        <v>1693</v>
      </c>
      <c r="B1694" s="1">
        <v>102030900</v>
      </c>
      <c r="C1694" s="1">
        <f t="shared" si="104"/>
        <v>106</v>
      </c>
      <c r="D1694" s="5">
        <f ca="1">IF(getQuality(B1694)&lt;4,getOtherMin(B1694,C1694,INDIRECT(J$2),INDIRECT(I1694),test),getMin(B1694,C1694,INDIRECT(J$2),INDIRECT(I1694),test))</f>
        <v>0.08</v>
      </c>
      <c r="E1694" s="5">
        <f ca="1">IF(getQuality(B1694)&lt;4,getOtherMax(B1694,C1694,INDIRECT(J$2),INDIRECT(I1694),test),getMax(B1694,C1694,INDIRECT(J$2),INDIRECT(I1694),test))</f>
        <v>0.16</v>
      </c>
      <c r="F1694" s="1" t="str">
        <f t="shared" si="106"/>
        <v>50</v>
      </c>
      <c r="G1694" s="1" t="str">
        <f t="shared" si="107"/>
        <v/>
      </c>
      <c r="I1694" s="1" t="str">
        <f t="shared" si="105"/>
        <v>威尔新数值1.06.xlsm!monsterDamage</v>
      </c>
    </row>
    <row r="1695" spans="1:9" x14ac:dyDescent="0.15">
      <c r="A1695" s="1">
        <v>1694</v>
      </c>
      <c r="B1695" s="1">
        <v>102030900</v>
      </c>
      <c r="C1695" s="1">
        <f t="shared" si="104"/>
        <v>107</v>
      </c>
      <c r="D1695" s="5">
        <f ca="1">IF(getQuality(B1695)&lt;4,getOtherMin(B1695,C1695,INDIRECT(J$2),INDIRECT(I1695),test),getMin(B1695,C1695,INDIRECT(J$2),INDIRECT(I1695),test))</f>
        <v>0.08</v>
      </c>
      <c r="E1695" s="5">
        <f ca="1">IF(getQuality(B1695)&lt;4,getOtherMax(B1695,C1695,INDIRECT(J$2),INDIRECT(I1695),test),getMax(B1695,C1695,INDIRECT(J$2),INDIRECT(I1695),test))</f>
        <v>0.16</v>
      </c>
      <c r="F1695" s="1" t="str">
        <f t="shared" si="106"/>
        <v>50</v>
      </c>
      <c r="G1695" s="1" t="str">
        <f t="shared" si="107"/>
        <v/>
      </c>
      <c r="I1695" s="1" t="str">
        <f t="shared" si="105"/>
        <v>威尔新数值1.06.xlsm!monsterDamage</v>
      </c>
    </row>
    <row r="1696" spans="1:9" x14ac:dyDescent="0.15">
      <c r="A1696" s="1">
        <v>1695</v>
      </c>
      <c r="B1696" s="1">
        <v>102030900</v>
      </c>
      <c r="C1696" s="1">
        <f t="shared" si="104"/>
        <v>108</v>
      </c>
      <c r="D1696" s="5">
        <f ca="1">IF(getQuality(B1696)&lt;4,getOtherMin(B1696,C1696,INDIRECT(J$2),INDIRECT(I1696),test),getMin(B1696,C1696,INDIRECT(J$2),INDIRECT(I1696),test))</f>
        <v>0.08</v>
      </c>
      <c r="E1696" s="5">
        <f ca="1">IF(getQuality(B1696)&lt;4,getOtherMax(B1696,C1696,INDIRECT(J$2),INDIRECT(I1696),test),getMax(B1696,C1696,INDIRECT(J$2),INDIRECT(I1696),test))</f>
        <v>0.16</v>
      </c>
      <c r="F1696" s="1" t="str">
        <f t="shared" si="106"/>
        <v>50</v>
      </c>
      <c r="G1696" s="1" t="str">
        <f t="shared" si="107"/>
        <v/>
      </c>
      <c r="I1696" s="1" t="str">
        <f t="shared" si="105"/>
        <v>威尔新数值1.06.xlsm!monsterDamage</v>
      </c>
    </row>
    <row r="1697" spans="1:9" x14ac:dyDescent="0.15">
      <c r="A1697" s="1">
        <v>1696</v>
      </c>
      <c r="B1697" s="1">
        <v>102040900</v>
      </c>
      <c r="C1697" s="1">
        <f t="shared" si="104"/>
        <v>3</v>
      </c>
      <c r="D1697" s="5">
        <f ca="1">IF(getQuality(B1697)&lt;4,getOtherMin(B1697,C1697,INDIRECT(J$2),INDIRECT(I1697),test),getMin(B1697,C1697,INDIRECT(J$2),INDIRECT(I1697),test))</f>
        <v>76.631108554901132</v>
      </c>
      <c r="E1697" s="5">
        <f ca="1">IF(getQuality(B1697)&lt;4,getOtherMax(B1697,C1697,INDIRECT(J$2),INDIRECT(I1697),test),getMax(B1697,C1697,INDIRECT(J$2),INDIRECT(I1697),test))</f>
        <v>109.24493457930163</v>
      </c>
      <c r="F1697" s="1" t="str">
        <f t="shared" si="106"/>
        <v>50</v>
      </c>
      <c r="G1697" s="1" t="str">
        <f t="shared" si="107"/>
        <v/>
      </c>
      <c r="I1697" s="1" t="str">
        <f t="shared" si="105"/>
        <v>威尔新数值1.06.xlsm!suitPower</v>
      </c>
    </row>
    <row r="1698" spans="1:9" x14ac:dyDescent="0.15">
      <c r="A1698" s="1">
        <v>1697</v>
      </c>
      <c r="B1698" s="1">
        <v>102040900</v>
      </c>
      <c r="C1698" s="1">
        <f t="shared" si="104"/>
        <v>5</v>
      </c>
      <c r="D1698" s="5">
        <f ca="1">IF(getQuality(B1698)&lt;4,getOtherMin(B1698,C1698,INDIRECT(J$2),INDIRECT(I1698),test),getMin(B1698,C1698,INDIRECT(J$2),INDIRECT(I1698),test))</f>
        <v>76.631108554901132</v>
      </c>
      <c r="E1698" s="5">
        <f ca="1">IF(getQuality(B1698)&lt;4,getOtherMax(B1698,C1698,INDIRECT(J$2),INDIRECT(I1698),test),getMax(B1698,C1698,INDIRECT(J$2),INDIRECT(I1698),test))</f>
        <v>109.24493457930163</v>
      </c>
      <c r="F1698" s="1" t="str">
        <f t="shared" si="106"/>
        <v>50</v>
      </c>
      <c r="G1698" s="1" t="str">
        <f t="shared" si="107"/>
        <v>1</v>
      </c>
      <c r="I1698" s="1" t="str">
        <f t="shared" si="105"/>
        <v>威尔新数值1.06.xlsm!suitPower</v>
      </c>
    </row>
    <row r="1699" spans="1:9" x14ac:dyDescent="0.15">
      <c r="A1699" s="1">
        <v>1698</v>
      </c>
      <c r="B1699" s="1">
        <v>102040900</v>
      </c>
      <c r="C1699" s="1">
        <f t="shared" si="104"/>
        <v>7</v>
      </c>
      <c r="D1699" s="5">
        <f ca="1">IF(getQuality(B1699)&lt;4,getOtherMin(B1699,C1699,INDIRECT(J$2),INDIRECT(I1699),test),getMin(B1699,C1699,INDIRECT(J$2),INDIRECT(I1699),test))</f>
        <v>20.444444444444393</v>
      </c>
      <c r="E1699" s="5">
        <f ca="1">IF(getQuality(B1699)&lt;4,getOtherMax(B1699,C1699,INDIRECT(J$2),INDIRECT(I1699),test),getMax(B1699,C1699,INDIRECT(J$2),INDIRECT(I1699),test))</f>
        <v>25.92592592592586</v>
      </c>
      <c r="F1699" s="1" t="str">
        <f t="shared" si="106"/>
        <v>50</v>
      </c>
      <c r="G1699" s="1" t="str">
        <f t="shared" si="107"/>
        <v/>
      </c>
      <c r="I1699" s="1" t="str">
        <f t="shared" si="105"/>
        <v>威尔新数值1.06.xlsm!suitPower</v>
      </c>
    </row>
    <row r="1700" spans="1:9" x14ac:dyDescent="0.15">
      <c r="A1700" s="1">
        <v>1699</v>
      </c>
      <c r="B1700" s="1">
        <v>102040900</v>
      </c>
      <c r="C1700" s="1">
        <f t="shared" ref="C1700:C1763" si="108">C1681</f>
        <v>8</v>
      </c>
      <c r="D1700" s="5">
        <f ca="1">IF(getQuality(B1700)&lt;4,getOtherMin(B1700,C1700,INDIRECT(J$2),INDIRECT(I1700),test),getMin(B1700,C1700,INDIRECT(J$2),INDIRECT(I1700),test))</f>
        <v>44.75</v>
      </c>
      <c r="E1700" s="5">
        <f ca="1">IF(getQuality(B1700)&lt;4,getOtherMax(B1700,C1700,INDIRECT(J$2),INDIRECT(I1700),test),getMax(B1700,C1700,INDIRECT(J$2),INDIRECT(I1700),test))</f>
        <v>58.333333333333336</v>
      </c>
      <c r="F1700" s="1" t="str">
        <f t="shared" si="106"/>
        <v>50</v>
      </c>
      <c r="G1700" s="1" t="str">
        <f t="shared" si="107"/>
        <v/>
      </c>
      <c r="I1700" s="1" t="str">
        <f t="shared" si="105"/>
        <v>威尔新数值1.06.xlsm!suitPower</v>
      </c>
    </row>
    <row r="1701" spans="1:9" x14ac:dyDescent="0.15">
      <c r="A1701" s="1">
        <v>1700</v>
      </c>
      <c r="B1701" s="1">
        <v>102040900</v>
      </c>
      <c r="C1701" s="1">
        <f t="shared" si="108"/>
        <v>9</v>
      </c>
      <c r="D1701" s="5">
        <f ca="1">IF(getQuality(B1701)&lt;4,getOtherMin(B1701,C1701,INDIRECT(J$2),INDIRECT(I1701),test),getMin(B1701,C1701,INDIRECT(J$2),INDIRECT(I1701),test))</f>
        <v>76.631108554901132</v>
      </c>
      <c r="E1701" s="5">
        <f ca="1">IF(getQuality(B1701)&lt;4,getOtherMax(B1701,C1701,INDIRECT(J$2),INDIRECT(I1701),test),getMax(B1701,C1701,INDIRECT(J$2),INDIRECT(I1701),test))</f>
        <v>109.24493457930163</v>
      </c>
      <c r="F1701" s="1" t="str">
        <f t="shared" si="106"/>
        <v>50</v>
      </c>
      <c r="G1701" s="1" t="str">
        <f t="shared" si="107"/>
        <v/>
      </c>
      <c r="I1701" s="1" t="str">
        <f t="shared" si="105"/>
        <v>威尔新数值1.06.xlsm!suitPower</v>
      </c>
    </row>
    <row r="1702" spans="1:9" x14ac:dyDescent="0.15">
      <c r="A1702" s="1">
        <v>1701</v>
      </c>
      <c r="B1702" s="1">
        <v>102040900</v>
      </c>
      <c r="C1702" s="1">
        <f t="shared" si="108"/>
        <v>10</v>
      </c>
      <c r="D1702" s="5">
        <f ca="1">IF(getQuality(B1702)&lt;4,getOtherMin(B1702,C1702,INDIRECT(J$2),INDIRECT(I1702),test),getMin(B1702,C1702,INDIRECT(J$2),INDIRECT(I1702),test))</f>
        <v>76.631108554901132</v>
      </c>
      <c r="E1702" s="5">
        <f ca="1">IF(getQuality(B1702)&lt;4,getOtherMax(B1702,C1702,INDIRECT(J$2),INDIRECT(I1702),test),getMax(B1702,C1702,INDIRECT(J$2),INDIRECT(I1702),test))</f>
        <v>109.24493457930163</v>
      </c>
      <c r="F1702" s="1" t="str">
        <f t="shared" si="106"/>
        <v>50</v>
      </c>
      <c r="G1702" s="1" t="str">
        <f t="shared" si="107"/>
        <v/>
      </c>
      <c r="I1702" s="1" t="str">
        <f t="shared" si="105"/>
        <v>威尔新数值1.06.xlsm!suitPower</v>
      </c>
    </row>
    <row r="1703" spans="1:9" x14ac:dyDescent="0.15">
      <c r="A1703" s="1">
        <v>1702</v>
      </c>
      <c r="B1703" s="1">
        <v>102040900</v>
      </c>
      <c r="C1703" s="1">
        <f t="shared" si="108"/>
        <v>11</v>
      </c>
      <c r="D1703" s="5">
        <f ca="1">IF(getQuality(B1703)&lt;4,getOtherMin(B1703,C1703,INDIRECT(J$2),INDIRECT(I1703),test),getMin(B1703,C1703,INDIRECT(J$2),INDIRECT(I1703),test))</f>
        <v>76.631108554901132</v>
      </c>
      <c r="E1703" s="5">
        <f ca="1">IF(getQuality(B1703)&lt;4,getOtherMax(B1703,C1703,INDIRECT(J$2),INDIRECT(I1703),test),getMax(B1703,C1703,INDIRECT(J$2),INDIRECT(I1703),test))</f>
        <v>109.24493457930163</v>
      </c>
      <c r="F1703" s="1" t="str">
        <f t="shared" si="106"/>
        <v>50</v>
      </c>
      <c r="G1703" s="1" t="str">
        <f t="shared" si="107"/>
        <v/>
      </c>
      <c r="I1703" s="1" t="str">
        <f t="shared" si="105"/>
        <v>威尔新数值1.06.xlsm!suitPower</v>
      </c>
    </row>
    <row r="1704" spans="1:9" x14ac:dyDescent="0.15">
      <c r="A1704" s="1">
        <v>1703</v>
      </c>
      <c r="B1704" s="1">
        <v>102040900</v>
      </c>
      <c r="C1704" s="1">
        <f t="shared" si="108"/>
        <v>12</v>
      </c>
      <c r="D1704" s="5">
        <f ca="1">IF(getQuality(B1704)&lt;4,getOtherMin(B1704,C1704,INDIRECT(J$2),INDIRECT(I1704),test),getMin(B1704,C1704,INDIRECT(J$2),INDIRECT(I1704),test))</f>
        <v>76.631108554901132</v>
      </c>
      <c r="E1704" s="5">
        <f ca="1">IF(getQuality(B1704)&lt;4,getOtherMax(B1704,C1704,INDIRECT(J$2),INDIRECT(I1704),test),getMax(B1704,C1704,INDIRECT(J$2),INDIRECT(I1704),test))</f>
        <v>109.24493457930163</v>
      </c>
      <c r="F1704" s="1" t="str">
        <f t="shared" si="106"/>
        <v>50</v>
      </c>
      <c r="G1704" s="1" t="str">
        <f t="shared" si="107"/>
        <v/>
      </c>
      <c r="I1704" s="1" t="str">
        <f t="shared" si="105"/>
        <v>威尔新数值1.06.xlsm!suitPower</v>
      </c>
    </row>
    <row r="1705" spans="1:9" x14ac:dyDescent="0.15">
      <c r="A1705" s="1">
        <v>1704</v>
      </c>
      <c r="B1705" s="1">
        <v>102040900</v>
      </c>
      <c r="C1705" s="1">
        <f t="shared" si="108"/>
        <v>13</v>
      </c>
      <c r="D1705" s="5">
        <f ca="1">IF(getQuality(B1705)&lt;4,getOtherMin(B1705,C1705,INDIRECT(J$2),INDIRECT(I1705),test),getMin(B1705,C1705,INDIRECT(J$2),INDIRECT(I1705),test))</f>
        <v>76.631108554901132</v>
      </c>
      <c r="E1705" s="5">
        <f ca="1">IF(getQuality(B1705)&lt;4,getOtherMax(B1705,C1705,INDIRECT(J$2),INDIRECT(I1705),test),getMax(B1705,C1705,INDIRECT(J$2),INDIRECT(I1705),test))</f>
        <v>109.24493457930163</v>
      </c>
      <c r="F1705" s="1" t="str">
        <f t="shared" si="106"/>
        <v>50</v>
      </c>
      <c r="G1705" s="1" t="str">
        <f t="shared" si="107"/>
        <v/>
      </c>
      <c r="I1705" s="1" t="str">
        <f t="shared" si="105"/>
        <v>威尔新数值1.06.xlsm!suitPower</v>
      </c>
    </row>
    <row r="1706" spans="1:9" x14ac:dyDescent="0.15">
      <c r="A1706" s="1">
        <v>1705</v>
      </c>
      <c r="B1706" s="1">
        <v>102040900</v>
      </c>
      <c r="C1706" s="1">
        <f t="shared" si="108"/>
        <v>14</v>
      </c>
      <c r="D1706" s="5">
        <f ca="1">IF(getQuality(B1706)&lt;4,getOtherMin(B1706,C1706,INDIRECT(J$2),INDIRECT(I1706),test),getMin(B1706,C1706,INDIRECT(J$2),INDIRECT(I1706),test))</f>
        <v>76.631108554901132</v>
      </c>
      <c r="E1706" s="5">
        <f ca="1">IF(getQuality(B1706)&lt;4,getOtherMax(B1706,C1706,INDIRECT(J$2),INDIRECT(I1706),test),getMax(B1706,C1706,INDIRECT(J$2),INDIRECT(I1706),test))</f>
        <v>109.24493457930163</v>
      </c>
      <c r="F1706" s="1" t="str">
        <f t="shared" si="106"/>
        <v>50</v>
      </c>
      <c r="G1706" s="1" t="str">
        <f t="shared" si="107"/>
        <v/>
      </c>
      <c r="I1706" s="1" t="str">
        <f t="shared" si="105"/>
        <v>威尔新数值1.06.xlsm!suitPower</v>
      </c>
    </row>
    <row r="1707" spans="1:9" x14ac:dyDescent="0.15">
      <c r="A1707" s="1">
        <v>1706</v>
      </c>
      <c r="B1707" s="1">
        <v>102040900</v>
      </c>
      <c r="C1707" s="1">
        <f t="shared" si="108"/>
        <v>15</v>
      </c>
      <c r="D1707" s="5">
        <f ca="1">IF(getQuality(B1707)&lt;4,getOtherMin(B1707,C1707,INDIRECT(J$2),INDIRECT(I1707),test),getMin(B1707,C1707,INDIRECT(J$2),INDIRECT(I1707),test))</f>
        <v>76.631108554901132</v>
      </c>
      <c r="E1707" s="5">
        <f ca="1">IF(getQuality(B1707)&lt;4,getOtherMax(B1707,C1707,INDIRECT(J$2),INDIRECT(I1707),test),getMax(B1707,C1707,INDIRECT(J$2),INDIRECT(I1707),test))</f>
        <v>109.24493457930163</v>
      </c>
      <c r="F1707" s="1" t="str">
        <f t="shared" si="106"/>
        <v>50</v>
      </c>
      <c r="G1707" s="1" t="str">
        <f t="shared" si="107"/>
        <v/>
      </c>
      <c r="I1707" s="1" t="str">
        <f t="shared" si="105"/>
        <v>威尔新数值1.06.xlsm!suitPower</v>
      </c>
    </row>
    <row r="1708" spans="1:9" x14ac:dyDescent="0.15">
      <c r="A1708" s="1">
        <v>1707</v>
      </c>
      <c r="B1708" s="1">
        <v>102040900</v>
      </c>
      <c r="C1708" s="1">
        <f t="shared" si="108"/>
        <v>101</v>
      </c>
      <c r="D1708" s="5">
        <f ca="1">IF(getQuality(B1708)&lt;4,getOtherMin(B1708,C1708,INDIRECT(J$2),INDIRECT(I1708),test),getMin(B1708,C1708,INDIRECT(J$2),INDIRECT(I1708),test))</f>
        <v>0.09</v>
      </c>
      <c r="E1708" s="5">
        <f ca="1">IF(getQuality(B1708)&lt;4,getOtherMax(B1708,C1708,INDIRECT(J$2),INDIRECT(I1708),test),getMax(B1708,C1708,INDIRECT(J$2),INDIRECT(I1708),test))</f>
        <v>0.12</v>
      </c>
      <c r="F1708" s="1" t="str">
        <f t="shared" si="106"/>
        <v>50</v>
      </c>
      <c r="G1708" s="1" t="str">
        <f t="shared" si="107"/>
        <v/>
      </c>
      <c r="I1708" s="1" t="str">
        <f t="shared" si="105"/>
        <v>威尔新数值1.06.xlsm!circlePer</v>
      </c>
    </row>
    <row r="1709" spans="1:9" x14ac:dyDescent="0.15">
      <c r="A1709" s="1">
        <v>1708</v>
      </c>
      <c r="B1709" s="1">
        <v>102040900</v>
      </c>
      <c r="C1709" s="1">
        <f t="shared" si="108"/>
        <v>102</v>
      </c>
      <c r="D1709" s="5">
        <f ca="1">IF(getQuality(B1709)&lt;4,getOtherMin(B1709,C1709,INDIRECT(J$2),INDIRECT(I1709),test),getMin(B1709,C1709,INDIRECT(J$2),INDIRECT(I1709),test))</f>
        <v>0.7</v>
      </c>
      <c r="E1709" s="5">
        <f ca="1">IF(getQuality(B1709)&lt;4,getOtherMax(B1709,C1709,INDIRECT(J$2),INDIRECT(I1709),test),getMax(B1709,C1709,INDIRECT(J$2),INDIRECT(I1709),test))</f>
        <v>1.1000000000000001</v>
      </c>
      <c r="F1709" s="1" t="str">
        <f t="shared" si="106"/>
        <v>50</v>
      </c>
      <c r="G1709" s="1" t="str">
        <f t="shared" si="107"/>
        <v/>
      </c>
      <c r="I1709" s="1" t="str">
        <f t="shared" si="105"/>
        <v>威尔新数值1.06.xlsm!circleValue</v>
      </c>
    </row>
    <row r="1710" spans="1:9" x14ac:dyDescent="0.15">
      <c r="A1710" s="1">
        <v>1709</v>
      </c>
      <c r="B1710" s="1">
        <v>102040900</v>
      </c>
      <c r="C1710" s="1">
        <f t="shared" si="108"/>
        <v>103</v>
      </c>
      <c r="D1710" s="5">
        <f ca="1">IF(getQuality(B1710)&lt;4,getOtherMin(B1710,C1710,INDIRECT(J$2),INDIRECT(I1710),test),getMin(B1710,C1710,INDIRECT(J$2),INDIRECT(I1710),test))</f>
        <v>0.09</v>
      </c>
      <c r="E1710" s="5">
        <f ca="1">IF(getQuality(B1710)&lt;4,getOtherMax(B1710,C1710,INDIRECT(J$2),INDIRECT(I1710),test),getMax(B1710,C1710,INDIRECT(J$2),INDIRECT(I1710),test))</f>
        <v>0.12</v>
      </c>
      <c r="F1710" s="1" t="str">
        <f t="shared" si="106"/>
        <v>50</v>
      </c>
      <c r="G1710" s="1" t="str">
        <f t="shared" si="107"/>
        <v/>
      </c>
      <c r="I1710" s="1" t="str">
        <f t="shared" si="105"/>
        <v>威尔新数值1.06.xlsm!otherDamage</v>
      </c>
    </row>
    <row r="1711" spans="1:9" x14ac:dyDescent="0.15">
      <c r="A1711" s="1">
        <v>1710</v>
      </c>
      <c r="B1711" s="1">
        <v>102040900</v>
      </c>
      <c r="C1711" s="1">
        <f t="shared" si="108"/>
        <v>104</v>
      </c>
      <c r="D1711" s="5">
        <f ca="1">IF(getQuality(B1711)&lt;4,getOtherMin(B1711,C1711,INDIRECT(J$2),INDIRECT(I1711),test),getMin(B1711,C1711,INDIRECT(J$2),INDIRECT(I1711),test))</f>
        <v>0.09</v>
      </c>
      <c r="E1711" s="5">
        <f ca="1">IF(getQuality(B1711)&lt;4,getOtherMax(B1711,C1711,INDIRECT(J$2),INDIRECT(I1711),test),getMax(B1711,C1711,INDIRECT(J$2),INDIRECT(I1711),test))</f>
        <v>0.18</v>
      </c>
      <c r="F1711" s="1" t="str">
        <f t="shared" si="106"/>
        <v>50</v>
      </c>
      <c r="G1711" s="1" t="str">
        <f t="shared" si="107"/>
        <v/>
      </c>
      <c r="I1711" s="1" t="str">
        <f t="shared" si="105"/>
        <v>威尔新数值1.06.xlsm!monsterDamage</v>
      </c>
    </row>
    <row r="1712" spans="1:9" x14ac:dyDescent="0.15">
      <c r="A1712" s="1">
        <v>1711</v>
      </c>
      <c r="B1712" s="1">
        <v>102040900</v>
      </c>
      <c r="C1712" s="1">
        <f t="shared" si="108"/>
        <v>105</v>
      </c>
      <c r="D1712" s="5">
        <f ca="1">IF(getQuality(B1712)&lt;4,getOtherMin(B1712,C1712,INDIRECT(J$2),INDIRECT(I1712),test),getMin(B1712,C1712,INDIRECT(J$2),INDIRECT(I1712),test))</f>
        <v>0.09</v>
      </c>
      <c r="E1712" s="5">
        <f ca="1">IF(getQuality(B1712)&lt;4,getOtherMax(B1712,C1712,INDIRECT(J$2),INDIRECT(I1712),test),getMax(B1712,C1712,INDIRECT(J$2),INDIRECT(I1712),test))</f>
        <v>0.18</v>
      </c>
      <c r="F1712" s="1" t="str">
        <f t="shared" si="106"/>
        <v>50</v>
      </c>
      <c r="G1712" s="1" t="str">
        <f t="shared" si="107"/>
        <v/>
      </c>
      <c r="I1712" s="1" t="str">
        <f t="shared" si="105"/>
        <v>威尔新数值1.06.xlsm!monsterDamage</v>
      </c>
    </row>
    <row r="1713" spans="1:9" x14ac:dyDescent="0.15">
      <c r="A1713" s="1">
        <v>1712</v>
      </c>
      <c r="B1713" s="1">
        <v>102040900</v>
      </c>
      <c r="C1713" s="1">
        <f t="shared" si="108"/>
        <v>106</v>
      </c>
      <c r="D1713" s="5">
        <f ca="1">IF(getQuality(B1713)&lt;4,getOtherMin(B1713,C1713,INDIRECT(J$2),INDIRECT(I1713),test),getMin(B1713,C1713,INDIRECT(J$2),INDIRECT(I1713),test))</f>
        <v>0.09</v>
      </c>
      <c r="E1713" s="5">
        <f ca="1">IF(getQuality(B1713)&lt;4,getOtherMax(B1713,C1713,INDIRECT(J$2),INDIRECT(I1713),test),getMax(B1713,C1713,INDIRECT(J$2),INDIRECT(I1713),test))</f>
        <v>0.18</v>
      </c>
      <c r="F1713" s="1" t="str">
        <f t="shared" si="106"/>
        <v>50</v>
      </c>
      <c r="G1713" s="1" t="str">
        <f t="shared" si="107"/>
        <v/>
      </c>
      <c r="I1713" s="1" t="str">
        <f t="shared" si="105"/>
        <v>威尔新数值1.06.xlsm!monsterDamage</v>
      </c>
    </row>
    <row r="1714" spans="1:9" x14ac:dyDescent="0.15">
      <c r="A1714" s="1">
        <v>1713</v>
      </c>
      <c r="B1714" s="1">
        <v>102040900</v>
      </c>
      <c r="C1714" s="1">
        <f t="shared" si="108"/>
        <v>107</v>
      </c>
      <c r="D1714" s="5">
        <f ca="1">IF(getQuality(B1714)&lt;4,getOtherMin(B1714,C1714,INDIRECT(J$2),INDIRECT(I1714),test),getMin(B1714,C1714,INDIRECT(J$2),INDIRECT(I1714),test))</f>
        <v>0.09</v>
      </c>
      <c r="E1714" s="5">
        <f ca="1">IF(getQuality(B1714)&lt;4,getOtherMax(B1714,C1714,INDIRECT(J$2),INDIRECT(I1714),test),getMax(B1714,C1714,INDIRECT(J$2),INDIRECT(I1714),test))</f>
        <v>0.18</v>
      </c>
      <c r="F1714" s="1" t="str">
        <f t="shared" si="106"/>
        <v>50</v>
      </c>
      <c r="G1714" s="1" t="str">
        <f t="shared" si="107"/>
        <v/>
      </c>
      <c r="I1714" s="1" t="str">
        <f t="shared" si="105"/>
        <v>威尔新数值1.06.xlsm!monsterDamage</v>
      </c>
    </row>
    <row r="1715" spans="1:9" x14ac:dyDescent="0.15">
      <c r="A1715" s="1">
        <v>1714</v>
      </c>
      <c r="B1715" s="1">
        <v>102040900</v>
      </c>
      <c r="C1715" s="1">
        <f t="shared" si="108"/>
        <v>108</v>
      </c>
      <c r="D1715" s="5">
        <f ca="1">IF(getQuality(B1715)&lt;4,getOtherMin(B1715,C1715,INDIRECT(J$2),INDIRECT(I1715),test),getMin(B1715,C1715,INDIRECT(J$2),INDIRECT(I1715),test))</f>
        <v>0.09</v>
      </c>
      <c r="E1715" s="5">
        <f ca="1">IF(getQuality(B1715)&lt;4,getOtherMax(B1715,C1715,INDIRECT(J$2),INDIRECT(I1715),test),getMax(B1715,C1715,INDIRECT(J$2),INDIRECT(I1715),test))</f>
        <v>0.18</v>
      </c>
      <c r="F1715" s="1" t="str">
        <f t="shared" si="106"/>
        <v>50</v>
      </c>
      <c r="G1715" s="1" t="str">
        <f t="shared" si="107"/>
        <v/>
      </c>
      <c r="I1715" s="1" t="str">
        <f t="shared" si="105"/>
        <v>威尔新数值1.06.xlsm!monsterDamage</v>
      </c>
    </row>
    <row r="1716" spans="1:9" x14ac:dyDescent="0.15">
      <c r="A1716" s="1">
        <v>1715</v>
      </c>
      <c r="B1716" s="1">
        <v>102050900</v>
      </c>
      <c r="C1716" s="1">
        <f t="shared" si="108"/>
        <v>3</v>
      </c>
      <c r="D1716" s="5">
        <f ca="1">IF(getQuality(B1716)&lt;4,getOtherMin(B1716,C1716,INDIRECT(J$2),INDIRECT(I1716),test),getMin(B1716,C1716,INDIRECT(J$2),INDIRECT(I1716),test))</f>
        <v>110.24493457930163</v>
      </c>
      <c r="E1716" s="5">
        <f ca="1">IF(getQuality(B1716)&lt;4,getOtherMax(B1716,C1716,INDIRECT(J$2),INDIRECT(I1716),test),getMax(B1716,C1716,INDIRECT(J$2),INDIRECT(I1716),test))</f>
        <v>148.01542709608177</v>
      </c>
      <c r="F1716" s="1" t="str">
        <f t="shared" si="106"/>
        <v>50</v>
      </c>
      <c r="G1716" s="1" t="str">
        <f t="shared" si="107"/>
        <v/>
      </c>
      <c r="I1716" s="1" t="str">
        <f t="shared" si="105"/>
        <v>威尔新数值1.06.xlsm!suitPower</v>
      </c>
    </row>
    <row r="1717" spans="1:9" x14ac:dyDescent="0.15">
      <c r="A1717" s="1">
        <v>1716</v>
      </c>
      <c r="B1717" s="1">
        <v>102050900</v>
      </c>
      <c r="C1717" s="1">
        <f t="shared" si="108"/>
        <v>5</v>
      </c>
      <c r="D1717" s="5">
        <f ca="1">IF(getQuality(B1717)&lt;4,getOtherMin(B1717,C1717,INDIRECT(J$2),INDIRECT(I1717),test),getMin(B1717,C1717,INDIRECT(J$2),INDIRECT(I1717),test))</f>
        <v>110.24493457930163</v>
      </c>
      <c r="E1717" s="5">
        <f ca="1">IF(getQuality(B1717)&lt;4,getOtherMax(B1717,C1717,INDIRECT(J$2),INDIRECT(I1717),test),getMax(B1717,C1717,INDIRECT(J$2),INDIRECT(I1717),test))</f>
        <v>148.01542709608177</v>
      </c>
      <c r="F1717" s="1" t="str">
        <f t="shared" si="106"/>
        <v>50</v>
      </c>
      <c r="G1717" s="1" t="str">
        <f t="shared" si="107"/>
        <v>1</v>
      </c>
      <c r="I1717" s="1" t="str">
        <f t="shared" si="105"/>
        <v>威尔新数值1.06.xlsm!suitPower</v>
      </c>
    </row>
    <row r="1718" spans="1:9" x14ac:dyDescent="0.15">
      <c r="A1718" s="1">
        <v>1717</v>
      </c>
      <c r="B1718" s="1">
        <v>102050900</v>
      </c>
      <c r="C1718" s="1">
        <f t="shared" si="108"/>
        <v>7</v>
      </c>
      <c r="D1718" s="5">
        <f ca="1">IF(getQuality(B1718)&lt;4,getOtherMin(B1718,C1718,INDIRECT(J$2),INDIRECT(I1718),test),getMin(B1718,C1718,INDIRECT(J$2),INDIRECT(I1718),test))</f>
        <v>26.92592592592586</v>
      </c>
      <c r="E1718" s="5">
        <f ca="1">IF(getQuality(B1718)&lt;4,getOtherMax(B1718,C1718,INDIRECT(J$2),INDIRECT(I1718),test),getMax(B1718,C1718,INDIRECT(J$2),INDIRECT(I1718),test))</f>
        <v>32.407407407407327</v>
      </c>
      <c r="F1718" s="1" t="str">
        <f t="shared" si="106"/>
        <v>50</v>
      </c>
      <c r="G1718" s="1" t="str">
        <f t="shared" si="107"/>
        <v/>
      </c>
      <c r="I1718" s="1" t="str">
        <f t="shared" si="105"/>
        <v>威尔新数值1.06.xlsm!suitPower</v>
      </c>
    </row>
    <row r="1719" spans="1:9" x14ac:dyDescent="0.15">
      <c r="A1719" s="1">
        <v>1718</v>
      </c>
      <c r="B1719" s="1">
        <v>102050900</v>
      </c>
      <c r="C1719" s="1">
        <f t="shared" si="108"/>
        <v>8</v>
      </c>
      <c r="D1719" s="5">
        <f ca="1">IF(getQuality(B1719)&lt;4,getOtherMin(B1719,C1719,INDIRECT(J$2),INDIRECT(I1719),test),getMin(B1719,C1719,INDIRECT(J$2),INDIRECT(I1719),test))</f>
        <v>59.333333333333336</v>
      </c>
      <c r="E1719" s="5">
        <f ca="1">IF(getQuality(B1719)&lt;4,getOtherMax(B1719,C1719,INDIRECT(J$2),INDIRECT(I1719),test),getMax(B1719,C1719,INDIRECT(J$2),INDIRECT(I1719),test))</f>
        <v>72.916666666666671</v>
      </c>
      <c r="F1719" s="1" t="str">
        <f t="shared" si="106"/>
        <v>50</v>
      </c>
      <c r="G1719" s="1" t="str">
        <f t="shared" si="107"/>
        <v/>
      </c>
      <c r="I1719" s="1" t="str">
        <f t="shared" si="105"/>
        <v>威尔新数值1.06.xlsm!suitPower</v>
      </c>
    </row>
    <row r="1720" spans="1:9" x14ac:dyDescent="0.15">
      <c r="A1720" s="1">
        <v>1719</v>
      </c>
      <c r="B1720" s="1">
        <v>102050900</v>
      </c>
      <c r="C1720" s="1">
        <f t="shared" si="108"/>
        <v>9</v>
      </c>
      <c r="D1720" s="5">
        <f ca="1">IF(getQuality(B1720)&lt;4,getOtherMin(B1720,C1720,INDIRECT(J$2),INDIRECT(I1720),test),getMin(B1720,C1720,INDIRECT(J$2),INDIRECT(I1720),test))</f>
        <v>110.24493457930163</v>
      </c>
      <c r="E1720" s="5">
        <f ca="1">IF(getQuality(B1720)&lt;4,getOtherMax(B1720,C1720,INDIRECT(J$2),INDIRECT(I1720),test),getMax(B1720,C1720,INDIRECT(J$2),INDIRECT(I1720),test))</f>
        <v>148.01542709608177</v>
      </c>
      <c r="F1720" s="1" t="str">
        <f t="shared" si="106"/>
        <v>50</v>
      </c>
      <c r="G1720" s="1" t="str">
        <f t="shared" si="107"/>
        <v/>
      </c>
      <c r="I1720" s="1" t="str">
        <f t="shared" si="105"/>
        <v>威尔新数值1.06.xlsm!suitPower</v>
      </c>
    </row>
    <row r="1721" spans="1:9" x14ac:dyDescent="0.15">
      <c r="A1721" s="1">
        <v>1720</v>
      </c>
      <c r="B1721" s="1">
        <v>102050900</v>
      </c>
      <c r="C1721" s="1">
        <f t="shared" si="108"/>
        <v>10</v>
      </c>
      <c r="D1721" s="5">
        <f ca="1">IF(getQuality(B1721)&lt;4,getOtherMin(B1721,C1721,INDIRECT(J$2),INDIRECT(I1721),test),getMin(B1721,C1721,INDIRECT(J$2),INDIRECT(I1721),test))</f>
        <v>110.24493457930163</v>
      </c>
      <c r="E1721" s="5">
        <f ca="1">IF(getQuality(B1721)&lt;4,getOtherMax(B1721,C1721,INDIRECT(J$2),INDIRECT(I1721),test),getMax(B1721,C1721,INDIRECT(J$2),INDIRECT(I1721),test))</f>
        <v>148.01542709608177</v>
      </c>
      <c r="F1721" s="1" t="str">
        <f t="shared" si="106"/>
        <v>50</v>
      </c>
      <c r="G1721" s="1" t="str">
        <f t="shared" si="107"/>
        <v/>
      </c>
      <c r="I1721" s="1" t="str">
        <f t="shared" si="105"/>
        <v>威尔新数值1.06.xlsm!suitPower</v>
      </c>
    </row>
    <row r="1722" spans="1:9" x14ac:dyDescent="0.15">
      <c r="A1722" s="1">
        <v>1721</v>
      </c>
      <c r="B1722" s="1">
        <v>102050900</v>
      </c>
      <c r="C1722" s="1">
        <f t="shared" si="108"/>
        <v>11</v>
      </c>
      <c r="D1722" s="5">
        <f ca="1">IF(getQuality(B1722)&lt;4,getOtherMin(B1722,C1722,INDIRECT(J$2),INDIRECT(I1722),test),getMin(B1722,C1722,INDIRECT(J$2),INDIRECT(I1722),test))</f>
        <v>110.24493457930163</v>
      </c>
      <c r="E1722" s="5">
        <f ca="1">IF(getQuality(B1722)&lt;4,getOtherMax(B1722,C1722,INDIRECT(J$2),INDIRECT(I1722),test),getMax(B1722,C1722,INDIRECT(J$2),INDIRECT(I1722),test))</f>
        <v>148.01542709608177</v>
      </c>
      <c r="F1722" s="1" t="str">
        <f t="shared" si="106"/>
        <v>50</v>
      </c>
      <c r="G1722" s="1" t="str">
        <f t="shared" si="107"/>
        <v/>
      </c>
      <c r="I1722" s="1" t="str">
        <f t="shared" si="105"/>
        <v>威尔新数值1.06.xlsm!suitPower</v>
      </c>
    </row>
    <row r="1723" spans="1:9" x14ac:dyDescent="0.15">
      <c r="A1723" s="1">
        <v>1722</v>
      </c>
      <c r="B1723" s="1">
        <v>102050900</v>
      </c>
      <c r="C1723" s="1">
        <f t="shared" si="108"/>
        <v>12</v>
      </c>
      <c r="D1723" s="5">
        <f ca="1">IF(getQuality(B1723)&lt;4,getOtherMin(B1723,C1723,INDIRECT(J$2),INDIRECT(I1723),test),getMin(B1723,C1723,INDIRECT(J$2),INDIRECT(I1723),test))</f>
        <v>110.24493457930163</v>
      </c>
      <c r="E1723" s="5">
        <f ca="1">IF(getQuality(B1723)&lt;4,getOtherMax(B1723,C1723,INDIRECT(J$2),INDIRECT(I1723),test),getMax(B1723,C1723,INDIRECT(J$2),INDIRECT(I1723),test))</f>
        <v>148.01542709608177</v>
      </c>
      <c r="F1723" s="1" t="str">
        <f t="shared" si="106"/>
        <v>50</v>
      </c>
      <c r="G1723" s="1" t="str">
        <f t="shared" si="107"/>
        <v/>
      </c>
      <c r="I1723" s="1" t="str">
        <f t="shared" si="105"/>
        <v>威尔新数值1.06.xlsm!suitPower</v>
      </c>
    </row>
    <row r="1724" spans="1:9" x14ac:dyDescent="0.15">
      <c r="A1724" s="1">
        <v>1723</v>
      </c>
      <c r="B1724" s="1">
        <v>102050900</v>
      </c>
      <c r="C1724" s="1">
        <f t="shared" si="108"/>
        <v>13</v>
      </c>
      <c r="D1724" s="5">
        <f ca="1">IF(getQuality(B1724)&lt;4,getOtherMin(B1724,C1724,INDIRECT(J$2),INDIRECT(I1724),test),getMin(B1724,C1724,INDIRECT(J$2),INDIRECT(I1724),test))</f>
        <v>110.24493457930163</v>
      </c>
      <c r="E1724" s="5">
        <f ca="1">IF(getQuality(B1724)&lt;4,getOtherMax(B1724,C1724,INDIRECT(J$2),INDIRECT(I1724),test),getMax(B1724,C1724,INDIRECT(J$2),INDIRECT(I1724),test))</f>
        <v>148.01542709608177</v>
      </c>
      <c r="F1724" s="1" t="str">
        <f t="shared" si="106"/>
        <v>50</v>
      </c>
      <c r="G1724" s="1" t="str">
        <f t="shared" si="107"/>
        <v/>
      </c>
      <c r="I1724" s="1" t="str">
        <f t="shared" si="105"/>
        <v>威尔新数值1.06.xlsm!suitPower</v>
      </c>
    </row>
    <row r="1725" spans="1:9" x14ac:dyDescent="0.15">
      <c r="A1725" s="1">
        <v>1724</v>
      </c>
      <c r="B1725" s="1">
        <v>102050900</v>
      </c>
      <c r="C1725" s="1">
        <f t="shared" si="108"/>
        <v>14</v>
      </c>
      <c r="D1725" s="5">
        <f ca="1">IF(getQuality(B1725)&lt;4,getOtherMin(B1725,C1725,INDIRECT(J$2),INDIRECT(I1725),test),getMin(B1725,C1725,INDIRECT(J$2),INDIRECT(I1725),test))</f>
        <v>110.24493457930163</v>
      </c>
      <c r="E1725" s="5">
        <f ca="1">IF(getQuality(B1725)&lt;4,getOtherMax(B1725,C1725,INDIRECT(J$2),INDIRECT(I1725),test),getMax(B1725,C1725,INDIRECT(J$2),INDIRECT(I1725),test))</f>
        <v>148.01542709608177</v>
      </c>
      <c r="F1725" s="1" t="str">
        <f t="shared" si="106"/>
        <v>50</v>
      </c>
      <c r="G1725" s="1" t="str">
        <f t="shared" si="107"/>
        <v/>
      </c>
      <c r="I1725" s="1" t="str">
        <f t="shared" si="105"/>
        <v>威尔新数值1.06.xlsm!suitPower</v>
      </c>
    </row>
    <row r="1726" spans="1:9" x14ac:dyDescent="0.15">
      <c r="A1726" s="1">
        <v>1725</v>
      </c>
      <c r="B1726" s="1">
        <v>102050900</v>
      </c>
      <c r="C1726" s="1">
        <f t="shared" si="108"/>
        <v>15</v>
      </c>
      <c r="D1726" s="5">
        <f ca="1">IF(getQuality(B1726)&lt;4,getOtherMin(B1726,C1726,INDIRECT(J$2),INDIRECT(I1726),test),getMin(B1726,C1726,INDIRECT(J$2),INDIRECT(I1726),test))</f>
        <v>110.24493457930163</v>
      </c>
      <c r="E1726" s="5">
        <f ca="1">IF(getQuality(B1726)&lt;4,getOtherMax(B1726,C1726,INDIRECT(J$2),INDIRECT(I1726),test),getMax(B1726,C1726,INDIRECT(J$2),INDIRECT(I1726),test))</f>
        <v>148.01542709608177</v>
      </c>
      <c r="F1726" s="1" t="str">
        <f t="shared" si="106"/>
        <v>50</v>
      </c>
      <c r="G1726" s="1" t="str">
        <f t="shared" si="107"/>
        <v/>
      </c>
      <c r="I1726" s="1" t="str">
        <f t="shared" si="105"/>
        <v>威尔新数值1.06.xlsm!suitPower</v>
      </c>
    </row>
    <row r="1727" spans="1:9" x14ac:dyDescent="0.15">
      <c r="A1727" s="1">
        <v>1726</v>
      </c>
      <c r="B1727" s="1">
        <v>102050900</v>
      </c>
      <c r="C1727" s="1">
        <f t="shared" si="108"/>
        <v>101</v>
      </c>
      <c r="D1727" s="5">
        <f ca="1">IF(getQuality(B1727)&lt;4,getOtherMin(B1727,C1727,INDIRECT(J$2),INDIRECT(I1727),test),getMin(B1727,C1727,INDIRECT(J$2),INDIRECT(I1727),test))</f>
        <v>0.1</v>
      </c>
      <c r="E1727" s="5">
        <f ca="1">IF(getQuality(B1727)&lt;4,getOtherMax(B1727,C1727,INDIRECT(J$2),INDIRECT(I1727),test),getMax(B1727,C1727,INDIRECT(J$2),INDIRECT(I1727),test))</f>
        <v>0.13</v>
      </c>
      <c r="F1727" s="1" t="str">
        <f t="shared" si="106"/>
        <v>50</v>
      </c>
      <c r="G1727" s="1" t="str">
        <f t="shared" si="107"/>
        <v/>
      </c>
      <c r="I1727" s="1" t="str">
        <f t="shared" si="105"/>
        <v>威尔新数值1.06.xlsm!circlePer</v>
      </c>
    </row>
    <row r="1728" spans="1:9" x14ac:dyDescent="0.15">
      <c r="A1728" s="1">
        <v>1727</v>
      </c>
      <c r="B1728" s="1">
        <v>102050900</v>
      </c>
      <c r="C1728" s="1">
        <f t="shared" si="108"/>
        <v>102</v>
      </c>
      <c r="D1728" s="5">
        <f ca="1">IF(getQuality(B1728)&lt;4,getOtherMin(B1728,C1728,INDIRECT(J$2),INDIRECT(I1728),test),getMin(B1728,C1728,INDIRECT(J$2),INDIRECT(I1728),test))</f>
        <v>0.8</v>
      </c>
      <c r="E1728" s="5">
        <f ca="1">IF(getQuality(B1728)&lt;4,getOtherMax(B1728,C1728,INDIRECT(J$2),INDIRECT(I1728),test),getMax(B1728,C1728,INDIRECT(J$2),INDIRECT(I1728),test))</f>
        <v>1.2</v>
      </c>
      <c r="F1728" s="1" t="str">
        <f t="shared" si="106"/>
        <v>50</v>
      </c>
      <c r="G1728" s="1" t="str">
        <f t="shared" si="107"/>
        <v/>
      </c>
      <c r="I1728" s="1" t="str">
        <f t="shared" si="105"/>
        <v>威尔新数值1.06.xlsm!circleValue</v>
      </c>
    </row>
    <row r="1729" spans="1:9" x14ac:dyDescent="0.15">
      <c r="A1729" s="1">
        <v>1728</v>
      </c>
      <c r="B1729" s="1">
        <v>102050900</v>
      </c>
      <c r="C1729" s="1">
        <f t="shared" si="108"/>
        <v>103</v>
      </c>
      <c r="D1729" s="5">
        <f ca="1">IF(getQuality(B1729)&lt;4,getOtherMin(B1729,C1729,INDIRECT(J$2),INDIRECT(I1729),test),getMin(B1729,C1729,INDIRECT(J$2),INDIRECT(I1729),test))</f>
        <v>0.1</v>
      </c>
      <c r="E1729" s="5">
        <f ca="1">IF(getQuality(B1729)&lt;4,getOtherMax(B1729,C1729,INDIRECT(J$2),INDIRECT(I1729),test),getMax(B1729,C1729,INDIRECT(J$2),INDIRECT(I1729),test))</f>
        <v>0.13</v>
      </c>
      <c r="F1729" s="1" t="str">
        <f t="shared" si="106"/>
        <v>50</v>
      </c>
      <c r="G1729" s="1" t="str">
        <f t="shared" si="107"/>
        <v/>
      </c>
      <c r="I1729" s="1" t="str">
        <f t="shared" si="105"/>
        <v>威尔新数值1.06.xlsm!otherDamage</v>
      </c>
    </row>
    <row r="1730" spans="1:9" x14ac:dyDescent="0.15">
      <c r="A1730" s="1">
        <v>1729</v>
      </c>
      <c r="B1730" s="1">
        <v>102050900</v>
      </c>
      <c r="C1730" s="1">
        <f t="shared" si="108"/>
        <v>104</v>
      </c>
      <c r="D1730" s="5">
        <f ca="1">IF(getQuality(B1730)&lt;4,getOtherMin(B1730,C1730,INDIRECT(J$2),INDIRECT(I1730),test),getMin(B1730,C1730,INDIRECT(J$2),INDIRECT(I1730),test))</f>
        <v>0.1</v>
      </c>
      <c r="E1730" s="5">
        <f ca="1">IF(getQuality(B1730)&lt;4,getOtherMax(B1730,C1730,INDIRECT(J$2),INDIRECT(I1730),test),getMax(B1730,C1730,INDIRECT(J$2),INDIRECT(I1730),test))</f>
        <v>0.2</v>
      </c>
      <c r="F1730" s="1" t="str">
        <f t="shared" si="106"/>
        <v>50</v>
      </c>
      <c r="G1730" s="1" t="str">
        <f t="shared" si="107"/>
        <v/>
      </c>
      <c r="I1730" s="1" t="str">
        <f t="shared" ref="I1730:I1793" si="109">IF(C1730&lt;100,VLOOKUP(C1730,test,3,FALSE),VLOOKUP(C1730,test1,3,FALSE))</f>
        <v>威尔新数值1.06.xlsm!monsterDamage</v>
      </c>
    </row>
    <row r="1731" spans="1:9" x14ac:dyDescent="0.15">
      <c r="A1731" s="1">
        <v>1730</v>
      </c>
      <c r="B1731" s="1">
        <v>102050900</v>
      </c>
      <c r="C1731" s="1">
        <f t="shared" si="108"/>
        <v>105</v>
      </c>
      <c r="D1731" s="5">
        <f ca="1">IF(getQuality(B1731)&lt;4,getOtherMin(B1731,C1731,INDIRECT(J$2),INDIRECT(I1731),test),getMin(B1731,C1731,INDIRECT(J$2),INDIRECT(I1731),test))</f>
        <v>0.1</v>
      </c>
      <c r="E1731" s="5">
        <f ca="1">IF(getQuality(B1731)&lt;4,getOtherMax(B1731,C1731,INDIRECT(J$2),INDIRECT(I1731),test),getMax(B1731,C1731,INDIRECT(J$2),INDIRECT(I1731),test))</f>
        <v>0.2</v>
      </c>
      <c r="F1731" s="1" t="str">
        <f t="shared" ref="F1731:F1794" si="110">getper(B1731,C1731)</f>
        <v>50</v>
      </c>
      <c r="G1731" s="1" t="str">
        <f t="shared" ref="G1731:G1794" si="111">getMust(B1731,C1731)</f>
        <v/>
      </c>
      <c r="I1731" s="1" t="str">
        <f t="shared" si="109"/>
        <v>威尔新数值1.06.xlsm!monsterDamage</v>
      </c>
    </row>
    <row r="1732" spans="1:9" x14ac:dyDescent="0.15">
      <c r="A1732" s="1">
        <v>1731</v>
      </c>
      <c r="B1732" s="1">
        <v>102050900</v>
      </c>
      <c r="C1732" s="1">
        <f t="shared" si="108"/>
        <v>106</v>
      </c>
      <c r="D1732" s="5">
        <f ca="1">IF(getQuality(B1732)&lt;4,getOtherMin(B1732,C1732,INDIRECT(J$2),INDIRECT(I1732),test),getMin(B1732,C1732,INDIRECT(J$2),INDIRECT(I1732),test))</f>
        <v>0.1</v>
      </c>
      <c r="E1732" s="5">
        <f ca="1">IF(getQuality(B1732)&lt;4,getOtherMax(B1732,C1732,INDIRECT(J$2),INDIRECT(I1732),test),getMax(B1732,C1732,INDIRECT(J$2),INDIRECT(I1732),test))</f>
        <v>0.2</v>
      </c>
      <c r="F1732" s="1" t="str">
        <f t="shared" si="110"/>
        <v>50</v>
      </c>
      <c r="G1732" s="1" t="str">
        <f t="shared" si="111"/>
        <v/>
      </c>
      <c r="I1732" s="1" t="str">
        <f t="shared" si="109"/>
        <v>威尔新数值1.06.xlsm!monsterDamage</v>
      </c>
    </row>
    <row r="1733" spans="1:9" x14ac:dyDescent="0.15">
      <c r="A1733" s="1">
        <v>1732</v>
      </c>
      <c r="B1733" s="1">
        <v>102050900</v>
      </c>
      <c r="C1733" s="1">
        <f t="shared" si="108"/>
        <v>107</v>
      </c>
      <c r="D1733" s="5">
        <f ca="1">IF(getQuality(B1733)&lt;4,getOtherMin(B1733,C1733,INDIRECT(J$2),INDIRECT(I1733),test),getMin(B1733,C1733,INDIRECT(J$2),INDIRECT(I1733),test))</f>
        <v>0.1</v>
      </c>
      <c r="E1733" s="5">
        <f ca="1">IF(getQuality(B1733)&lt;4,getOtherMax(B1733,C1733,INDIRECT(J$2),INDIRECT(I1733),test),getMax(B1733,C1733,INDIRECT(J$2),INDIRECT(I1733),test))</f>
        <v>0.2</v>
      </c>
      <c r="F1733" s="1" t="str">
        <f t="shared" si="110"/>
        <v>50</v>
      </c>
      <c r="G1733" s="1" t="str">
        <f t="shared" si="111"/>
        <v/>
      </c>
      <c r="I1733" s="1" t="str">
        <f t="shared" si="109"/>
        <v>威尔新数值1.06.xlsm!monsterDamage</v>
      </c>
    </row>
    <row r="1734" spans="1:9" x14ac:dyDescent="0.15">
      <c r="A1734" s="1">
        <v>1733</v>
      </c>
      <c r="B1734" s="1">
        <v>102050900</v>
      </c>
      <c r="C1734" s="1">
        <f t="shared" si="108"/>
        <v>108</v>
      </c>
      <c r="D1734" s="5">
        <f ca="1">IF(getQuality(B1734)&lt;4,getOtherMin(B1734,C1734,INDIRECT(J$2),INDIRECT(I1734),test),getMin(B1734,C1734,INDIRECT(J$2),INDIRECT(I1734),test))</f>
        <v>0.1</v>
      </c>
      <c r="E1734" s="5">
        <f ca="1">IF(getQuality(B1734)&lt;4,getOtherMax(B1734,C1734,INDIRECT(J$2),INDIRECT(I1734),test),getMax(B1734,C1734,INDIRECT(J$2),INDIRECT(I1734),test))</f>
        <v>0.2</v>
      </c>
      <c r="F1734" s="1" t="str">
        <f t="shared" si="110"/>
        <v>50</v>
      </c>
      <c r="G1734" s="1" t="str">
        <f t="shared" si="111"/>
        <v/>
      </c>
      <c r="I1734" s="1" t="str">
        <f t="shared" si="109"/>
        <v>威尔新数值1.06.xlsm!monsterDamage</v>
      </c>
    </row>
    <row r="1735" spans="1:9" x14ac:dyDescent="0.15">
      <c r="A1735" s="1">
        <v>1734</v>
      </c>
      <c r="B1735" s="1">
        <v>102060900</v>
      </c>
      <c r="C1735" s="1">
        <f t="shared" si="108"/>
        <v>3</v>
      </c>
      <c r="D1735" s="5">
        <f ca="1">IF(getQuality(B1735)&lt;4,getOtherMin(B1735,C1735,INDIRECT(J$2),INDIRECT(I1735),test),getMin(B1735,C1735,INDIRECT(J$2),INDIRECT(I1735),test))</f>
        <v>149.01542709608177</v>
      </c>
      <c r="E1735" s="5">
        <f ca="1">IF(getQuality(B1735)&lt;4,getOtherMax(B1735,C1735,INDIRECT(J$2),INDIRECT(I1735),test),getMax(B1735,C1735,INDIRECT(J$2),INDIRECT(I1735),test))</f>
        <v>190.22369727444828</v>
      </c>
      <c r="F1735" s="1" t="str">
        <f t="shared" si="110"/>
        <v>50</v>
      </c>
      <c r="G1735" s="1" t="str">
        <f t="shared" si="111"/>
        <v/>
      </c>
      <c r="I1735" s="1" t="str">
        <f t="shared" si="109"/>
        <v>威尔新数值1.06.xlsm!suitPower</v>
      </c>
    </row>
    <row r="1736" spans="1:9" x14ac:dyDescent="0.15">
      <c r="A1736" s="1">
        <v>1735</v>
      </c>
      <c r="B1736" s="1">
        <v>102060900</v>
      </c>
      <c r="C1736" s="1">
        <f t="shared" si="108"/>
        <v>5</v>
      </c>
      <c r="D1736" s="5">
        <f ca="1">IF(getQuality(B1736)&lt;4,getOtherMin(B1736,C1736,INDIRECT(J$2),INDIRECT(I1736),test),getMin(B1736,C1736,INDIRECT(J$2),INDIRECT(I1736),test))</f>
        <v>149.01542709608177</v>
      </c>
      <c r="E1736" s="5">
        <f ca="1">IF(getQuality(B1736)&lt;4,getOtherMax(B1736,C1736,INDIRECT(J$2),INDIRECT(I1736),test),getMax(B1736,C1736,INDIRECT(J$2),INDIRECT(I1736),test))</f>
        <v>190.22369727444828</v>
      </c>
      <c r="F1736" s="1" t="str">
        <f t="shared" si="110"/>
        <v>50</v>
      </c>
      <c r="G1736" s="1" t="str">
        <f t="shared" si="111"/>
        <v>1</v>
      </c>
      <c r="I1736" s="1" t="str">
        <f t="shared" si="109"/>
        <v>威尔新数值1.06.xlsm!suitPower</v>
      </c>
    </row>
    <row r="1737" spans="1:9" x14ac:dyDescent="0.15">
      <c r="A1737" s="1">
        <v>1736</v>
      </c>
      <c r="B1737" s="1">
        <v>102060900</v>
      </c>
      <c r="C1737" s="1">
        <f t="shared" si="108"/>
        <v>7</v>
      </c>
      <c r="D1737" s="5">
        <f ca="1">IF(getQuality(B1737)&lt;4,getOtherMin(B1737,C1737,INDIRECT(J$2),INDIRECT(I1737),test),getMin(B1737,C1737,INDIRECT(J$2),INDIRECT(I1737),test))</f>
        <v>33.407407407407327</v>
      </c>
      <c r="E1737" s="5">
        <f ca="1">IF(getQuality(B1737)&lt;4,getOtherMax(B1737,C1737,INDIRECT(J$2),INDIRECT(I1737),test),getMax(B1737,C1737,INDIRECT(J$2),INDIRECT(I1737),test))</f>
        <v>38.888888888888786</v>
      </c>
      <c r="F1737" s="1" t="str">
        <f t="shared" si="110"/>
        <v>50</v>
      </c>
      <c r="G1737" s="1" t="str">
        <f t="shared" si="111"/>
        <v/>
      </c>
      <c r="I1737" s="1" t="str">
        <f t="shared" si="109"/>
        <v>威尔新数值1.06.xlsm!suitPower</v>
      </c>
    </row>
    <row r="1738" spans="1:9" x14ac:dyDescent="0.15">
      <c r="A1738" s="1">
        <v>1737</v>
      </c>
      <c r="B1738" s="1">
        <v>102060900</v>
      </c>
      <c r="C1738" s="1">
        <f t="shared" si="108"/>
        <v>8</v>
      </c>
      <c r="D1738" s="5">
        <f ca="1">IF(getQuality(B1738)&lt;4,getOtherMin(B1738,C1738,INDIRECT(J$2),INDIRECT(I1738),test),getMin(B1738,C1738,INDIRECT(J$2),INDIRECT(I1738),test))</f>
        <v>73.916666666666671</v>
      </c>
      <c r="E1738" s="5">
        <f ca="1">IF(getQuality(B1738)&lt;4,getOtherMax(B1738,C1738,INDIRECT(J$2),INDIRECT(I1738),test),getMax(B1738,C1738,INDIRECT(J$2),INDIRECT(I1738),test))</f>
        <v>87.5</v>
      </c>
      <c r="F1738" s="1" t="str">
        <f t="shared" si="110"/>
        <v>50</v>
      </c>
      <c r="G1738" s="1" t="str">
        <f t="shared" si="111"/>
        <v/>
      </c>
      <c r="I1738" s="1" t="str">
        <f t="shared" si="109"/>
        <v>威尔新数值1.06.xlsm!suitPower</v>
      </c>
    </row>
    <row r="1739" spans="1:9" x14ac:dyDescent="0.15">
      <c r="A1739" s="1">
        <v>1738</v>
      </c>
      <c r="B1739" s="1">
        <v>102060900</v>
      </c>
      <c r="C1739" s="1">
        <f t="shared" si="108"/>
        <v>9</v>
      </c>
      <c r="D1739" s="5">
        <f ca="1">IF(getQuality(B1739)&lt;4,getOtherMin(B1739,C1739,INDIRECT(J$2),INDIRECT(I1739),test),getMin(B1739,C1739,INDIRECT(J$2),INDIRECT(I1739),test))</f>
        <v>149.01542709608177</v>
      </c>
      <c r="E1739" s="5">
        <f ca="1">IF(getQuality(B1739)&lt;4,getOtherMax(B1739,C1739,INDIRECT(J$2),INDIRECT(I1739),test),getMax(B1739,C1739,INDIRECT(J$2),INDIRECT(I1739),test))</f>
        <v>190.22369727444828</v>
      </c>
      <c r="F1739" s="1" t="str">
        <f t="shared" si="110"/>
        <v>50</v>
      </c>
      <c r="G1739" s="1" t="str">
        <f t="shared" si="111"/>
        <v/>
      </c>
      <c r="I1739" s="1" t="str">
        <f t="shared" si="109"/>
        <v>威尔新数值1.06.xlsm!suitPower</v>
      </c>
    </row>
    <row r="1740" spans="1:9" x14ac:dyDescent="0.15">
      <c r="A1740" s="1">
        <v>1739</v>
      </c>
      <c r="B1740" s="1">
        <v>102060900</v>
      </c>
      <c r="C1740" s="1">
        <f t="shared" si="108"/>
        <v>10</v>
      </c>
      <c r="D1740" s="5">
        <f ca="1">IF(getQuality(B1740)&lt;4,getOtherMin(B1740,C1740,INDIRECT(J$2),INDIRECT(I1740),test),getMin(B1740,C1740,INDIRECT(J$2),INDIRECT(I1740),test))</f>
        <v>149.01542709608177</v>
      </c>
      <c r="E1740" s="5">
        <f ca="1">IF(getQuality(B1740)&lt;4,getOtherMax(B1740,C1740,INDIRECT(J$2),INDIRECT(I1740),test),getMax(B1740,C1740,INDIRECT(J$2),INDIRECT(I1740),test))</f>
        <v>190.22369727444828</v>
      </c>
      <c r="F1740" s="1" t="str">
        <f t="shared" si="110"/>
        <v>50</v>
      </c>
      <c r="G1740" s="1" t="str">
        <f t="shared" si="111"/>
        <v/>
      </c>
      <c r="I1740" s="1" t="str">
        <f t="shared" si="109"/>
        <v>威尔新数值1.06.xlsm!suitPower</v>
      </c>
    </row>
    <row r="1741" spans="1:9" x14ac:dyDescent="0.15">
      <c r="A1741" s="1">
        <v>1740</v>
      </c>
      <c r="B1741" s="1">
        <v>102060900</v>
      </c>
      <c r="C1741" s="1">
        <f t="shared" si="108"/>
        <v>11</v>
      </c>
      <c r="D1741" s="5">
        <f ca="1">IF(getQuality(B1741)&lt;4,getOtherMin(B1741,C1741,INDIRECT(J$2),INDIRECT(I1741),test),getMin(B1741,C1741,INDIRECT(J$2),INDIRECT(I1741),test))</f>
        <v>149.01542709608177</v>
      </c>
      <c r="E1741" s="5">
        <f ca="1">IF(getQuality(B1741)&lt;4,getOtherMax(B1741,C1741,INDIRECT(J$2),INDIRECT(I1741),test),getMax(B1741,C1741,INDIRECT(J$2),INDIRECT(I1741),test))</f>
        <v>190.22369727444828</v>
      </c>
      <c r="F1741" s="1" t="str">
        <f t="shared" si="110"/>
        <v>50</v>
      </c>
      <c r="G1741" s="1" t="str">
        <f t="shared" si="111"/>
        <v/>
      </c>
      <c r="I1741" s="1" t="str">
        <f t="shared" si="109"/>
        <v>威尔新数值1.06.xlsm!suitPower</v>
      </c>
    </row>
    <row r="1742" spans="1:9" x14ac:dyDescent="0.15">
      <c r="A1742" s="1">
        <v>1741</v>
      </c>
      <c r="B1742" s="1">
        <v>102060900</v>
      </c>
      <c r="C1742" s="1">
        <f t="shared" si="108"/>
        <v>12</v>
      </c>
      <c r="D1742" s="5">
        <f ca="1">IF(getQuality(B1742)&lt;4,getOtherMin(B1742,C1742,INDIRECT(J$2),INDIRECT(I1742),test),getMin(B1742,C1742,INDIRECT(J$2),INDIRECT(I1742),test))</f>
        <v>149.01542709608177</v>
      </c>
      <c r="E1742" s="5">
        <f ca="1">IF(getQuality(B1742)&lt;4,getOtherMax(B1742,C1742,INDIRECT(J$2),INDIRECT(I1742),test),getMax(B1742,C1742,INDIRECT(J$2),INDIRECT(I1742),test))</f>
        <v>190.22369727444828</v>
      </c>
      <c r="F1742" s="1" t="str">
        <f t="shared" si="110"/>
        <v>50</v>
      </c>
      <c r="G1742" s="1" t="str">
        <f t="shared" si="111"/>
        <v/>
      </c>
      <c r="I1742" s="1" t="str">
        <f t="shared" si="109"/>
        <v>威尔新数值1.06.xlsm!suitPower</v>
      </c>
    </row>
    <row r="1743" spans="1:9" x14ac:dyDescent="0.15">
      <c r="A1743" s="1">
        <v>1742</v>
      </c>
      <c r="B1743" s="1">
        <v>102060900</v>
      </c>
      <c r="C1743" s="1">
        <f t="shared" si="108"/>
        <v>13</v>
      </c>
      <c r="D1743" s="5">
        <f ca="1">IF(getQuality(B1743)&lt;4,getOtherMin(B1743,C1743,INDIRECT(J$2),INDIRECT(I1743),test),getMin(B1743,C1743,INDIRECT(J$2),INDIRECT(I1743),test))</f>
        <v>149.01542709608177</v>
      </c>
      <c r="E1743" s="5">
        <f ca="1">IF(getQuality(B1743)&lt;4,getOtherMax(B1743,C1743,INDIRECT(J$2),INDIRECT(I1743),test),getMax(B1743,C1743,INDIRECT(J$2),INDIRECT(I1743),test))</f>
        <v>190.22369727444828</v>
      </c>
      <c r="F1743" s="1" t="str">
        <f t="shared" si="110"/>
        <v>50</v>
      </c>
      <c r="G1743" s="1" t="str">
        <f t="shared" si="111"/>
        <v/>
      </c>
      <c r="I1743" s="1" t="str">
        <f t="shared" si="109"/>
        <v>威尔新数值1.06.xlsm!suitPower</v>
      </c>
    </row>
    <row r="1744" spans="1:9" x14ac:dyDescent="0.15">
      <c r="A1744" s="1">
        <v>1743</v>
      </c>
      <c r="B1744" s="1">
        <v>102060900</v>
      </c>
      <c r="C1744" s="1">
        <f t="shared" si="108"/>
        <v>14</v>
      </c>
      <c r="D1744" s="5">
        <f ca="1">IF(getQuality(B1744)&lt;4,getOtherMin(B1744,C1744,INDIRECT(J$2),INDIRECT(I1744),test),getMin(B1744,C1744,INDIRECT(J$2),INDIRECT(I1744),test))</f>
        <v>149.01542709608177</v>
      </c>
      <c r="E1744" s="5">
        <f ca="1">IF(getQuality(B1744)&lt;4,getOtherMax(B1744,C1744,INDIRECT(J$2),INDIRECT(I1744),test),getMax(B1744,C1744,INDIRECT(J$2),INDIRECT(I1744),test))</f>
        <v>190.22369727444828</v>
      </c>
      <c r="F1744" s="1" t="str">
        <f t="shared" si="110"/>
        <v>50</v>
      </c>
      <c r="G1744" s="1" t="str">
        <f t="shared" si="111"/>
        <v/>
      </c>
      <c r="I1744" s="1" t="str">
        <f t="shared" si="109"/>
        <v>威尔新数值1.06.xlsm!suitPower</v>
      </c>
    </row>
    <row r="1745" spans="1:9" x14ac:dyDescent="0.15">
      <c r="A1745" s="1">
        <v>1744</v>
      </c>
      <c r="B1745" s="1">
        <v>102060900</v>
      </c>
      <c r="C1745" s="1">
        <f t="shared" si="108"/>
        <v>15</v>
      </c>
      <c r="D1745" s="5">
        <f ca="1">IF(getQuality(B1745)&lt;4,getOtherMin(B1745,C1745,INDIRECT(J$2),INDIRECT(I1745),test),getMin(B1745,C1745,INDIRECT(J$2),INDIRECT(I1745),test))</f>
        <v>149.01542709608177</v>
      </c>
      <c r="E1745" s="5">
        <f ca="1">IF(getQuality(B1745)&lt;4,getOtherMax(B1745,C1745,INDIRECT(J$2),INDIRECT(I1745),test),getMax(B1745,C1745,INDIRECT(J$2),INDIRECT(I1745),test))</f>
        <v>190.22369727444828</v>
      </c>
      <c r="F1745" s="1" t="str">
        <f t="shared" si="110"/>
        <v>50</v>
      </c>
      <c r="G1745" s="1" t="str">
        <f t="shared" si="111"/>
        <v/>
      </c>
      <c r="I1745" s="1" t="str">
        <f t="shared" si="109"/>
        <v>威尔新数值1.06.xlsm!suitPower</v>
      </c>
    </row>
    <row r="1746" spans="1:9" x14ac:dyDescent="0.15">
      <c r="A1746" s="1">
        <v>1745</v>
      </c>
      <c r="B1746" s="1">
        <v>102060900</v>
      </c>
      <c r="C1746" s="1">
        <f t="shared" si="108"/>
        <v>101</v>
      </c>
      <c r="D1746" s="5">
        <f ca="1">IF(getQuality(B1746)&lt;4,getOtherMin(B1746,C1746,INDIRECT(J$2),INDIRECT(I1746),test),getMin(B1746,C1746,INDIRECT(J$2),INDIRECT(I1746),test))</f>
        <v>0.11</v>
      </c>
      <c r="E1746" s="5">
        <f ca="1">IF(getQuality(B1746)&lt;4,getOtherMax(B1746,C1746,INDIRECT(J$2),INDIRECT(I1746),test),getMax(B1746,C1746,INDIRECT(J$2),INDIRECT(I1746),test))</f>
        <v>0.14000000000000001</v>
      </c>
      <c r="F1746" s="1" t="str">
        <f t="shared" si="110"/>
        <v>50</v>
      </c>
      <c r="G1746" s="1" t="str">
        <f t="shared" si="111"/>
        <v/>
      </c>
      <c r="I1746" s="1" t="str">
        <f t="shared" si="109"/>
        <v>威尔新数值1.06.xlsm!circlePer</v>
      </c>
    </row>
    <row r="1747" spans="1:9" x14ac:dyDescent="0.15">
      <c r="A1747" s="1">
        <v>1746</v>
      </c>
      <c r="B1747" s="1">
        <v>102060900</v>
      </c>
      <c r="C1747" s="1">
        <f t="shared" si="108"/>
        <v>102</v>
      </c>
      <c r="D1747" s="5">
        <f ca="1">IF(getQuality(B1747)&lt;4,getOtherMin(B1747,C1747,INDIRECT(J$2),INDIRECT(I1747),test),getMin(B1747,C1747,INDIRECT(J$2),INDIRECT(I1747),test))</f>
        <v>0.9</v>
      </c>
      <c r="E1747" s="5">
        <f ca="1">IF(getQuality(B1747)&lt;4,getOtherMax(B1747,C1747,INDIRECT(J$2),INDIRECT(I1747),test),getMax(B1747,C1747,INDIRECT(J$2),INDIRECT(I1747),test))</f>
        <v>1.3</v>
      </c>
      <c r="F1747" s="1" t="str">
        <f t="shared" si="110"/>
        <v>50</v>
      </c>
      <c r="G1747" s="1" t="str">
        <f t="shared" si="111"/>
        <v/>
      </c>
      <c r="I1747" s="1" t="str">
        <f t="shared" si="109"/>
        <v>威尔新数值1.06.xlsm!circleValue</v>
      </c>
    </row>
    <row r="1748" spans="1:9" x14ac:dyDescent="0.15">
      <c r="A1748" s="1">
        <v>1747</v>
      </c>
      <c r="B1748" s="1">
        <v>102060900</v>
      </c>
      <c r="C1748" s="1">
        <f t="shared" si="108"/>
        <v>103</v>
      </c>
      <c r="D1748" s="5">
        <f ca="1">IF(getQuality(B1748)&lt;4,getOtherMin(B1748,C1748,INDIRECT(J$2),INDIRECT(I1748),test),getMin(B1748,C1748,INDIRECT(J$2),INDIRECT(I1748),test))</f>
        <v>0.11</v>
      </c>
      <c r="E1748" s="5">
        <f ca="1">IF(getQuality(B1748)&lt;4,getOtherMax(B1748,C1748,INDIRECT(J$2),INDIRECT(I1748),test),getMax(B1748,C1748,INDIRECT(J$2),INDIRECT(I1748),test))</f>
        <v>0.14000000000000001</v>
      </c>
      <c r="F1748" s="1" t="str">
        <f t="shared" si="110"/>
        <v>50</v>
      </c>
      <c r="G1748" s="1" t="str">
        <f t="shared" si="111"/>
        <v/>
      </c>
      <c r="I1748" s="1" t="str">
        <f t="shared" si="109"/>
        <v>威尔新数值1.06.xlsm!otherDamage</v>
      </c>
    </row>
    <row r="1749" spans="1:9" x14ac:dyDescent="0.15">
      <c r="A1749" s="1">
        <v>1748</v>
      </c>
      <c r="B1749" s="1">
        <v>102060900</v>
      </c>
      <c r="C1749" s="1">
        <f t="shared" si="108"/>
        <v>104</v>
      </c>
      <c r="D1749" s="5">
        <f ca="1">IF(getQuality(B1749)&lt;4,getOtherMin(B1749,C1749,INDIRECT(J$2),INDIRECT(I1749),test),getMin(B1749,C1749,INDIRECT(J$2),INDIRECT(I1749),test))</f>
        <v>0.11</v>
      </c>
      <c r="E1749" s="5">
        <f ca="1">IF(getQuality(B1749)&lt;4,getOtherMax(B1749,C1749,INDIRECT(J$2),INDIRECT(I1749),test),getMax(B1749,C1749,INDIRECT(J$2),INDIRECT(I1749),test))</f>
        <v>0.22</v>
      </c>
      <c r="F1749" s="1" t="str">
        <f t="shared" si="110"/>
        <v>50</v>
      </c>
      <c r="G1749" s="1" t="str">
        <f t="shared" si="111"/>
        <v/>
      </c>
      <c r="I1749" s="1" t="str">
        <f t="shared" si="109"/>
        <v>威尔新数值1.06.xlsm!monsterDamage</v>
      </c>
    </row>
    <row r="1750" spans="1:9" x14ac:dyDescent="0.15">
      <c r="A1750" s="1">
        <v>1749</v>
      </c>
      <c r="B1750" s="1">
        <v>102060900</v>
      </c>
      <c r="C1750" s="1">
        <f t="shared" si="108"/>
        <v>105</v>
      </c>
      <c r="D1750" s="5">
        <f ca="1">IF(getQuality(B1750)&lt;4,getOtherMin(B1750,C1750,INDIRECT(J$2),INDIRECT(I1750),test),getMin(B1750,C1750,INDIRECT(J$2),INDIRECT(I1750),test))</f>
        <v>0.11</v>
      </c>
      <c r="E1750" s="5">
        <f ca="1">IF(getQuality(B1750)&lt;4,getOtherMax(B1750,C1750,INDIRECT(J$2),INDIRECT(I1750),test),getMax(B1750,C1750,INDIRECT(J$2),INDIRECT(I1750),test))</f>
        <v>0.22</v>
      </c>
      <c r="F1750" s="1" t="str">
        <f t="shared" si="110"/>
        <v>50</v>
      </c>
      <c r="G1750" s="1" t="str">
        <f t="shared" si="111"/>
        <v/>
      </c>
      <c r="I1750" s="1" t="str">
        <f t="shared" si="109"/>
        <v>威尔新数值1.06.xlsm!monsterDamage</v>
      </c>
    </row>
    <row r="1751" spans="1:9" x14ac:dyDescent="0.15">
      <c r="A1751" s="1">
        <v>1750</v>
      </c>
      <c r="B1751" s="1">
        <v>102060900</v>
      </c>
      <c r="C1751" s="1">
        <f t="shared" si="108"/>
        <v>106</v>
      </c>
      <c r="D1751" s="5">
        <f ca="1">IF(getQuality(B1751)&lt;4,getOtherMin(B1751,C1751,INDIRECT(J$2),INDIRECT(I1751),test),getMin(B1751,C1751,INDIRECT(J$2),INDIRECT(I1751),test))</f>
        <v>0.11</v>
      </c>
      <c r="E1751" s="5">
        <f ca="1">IF(getQuality(B1751)&lt;4,getOtherMax(B1751,C1751,INDIRECT(J$2),INDIRECT(I1751),test),getMax(B1751,C1751,INDIRECT(J$2),INDIRECT(I1751),test))</f>
        <v>0.22</v>
      </c>
      <c r="F1751" s="1" t="str">
        <f t="shared" si="110"/>
        <v>50</v>
      </c>
      <c r="G1751" s="1" t="str">
        <f t="shared" si="111"/>
        <v/>
      </c>
      <c r="I1751" s="1" t="str">
        <f t="shared" si="109"/>
        <v>威尔新数值1.06.xlsm!monsterDamage</v>
      </c>
    </row>
    <row r="1752" spans="1:9" x14ac:dyDescent="0.15">
      <c r="A1752" s="1">
        <v>1751</v>
      </c>
      <c r="B1752" s="1">
        <v>102060900</v>
      </c>
      <c r="C1752" s="1">
        <f t="shared" si="108"/>
        <v>107</v>
      </c>
      <c r="D1752" s="5">
        <f ca="1">IF(getQuality(B1752)&lt;4,getOtherMin(B1752,C1752,INDIRECT(J$2),INDIRECT(I1752),test),getMin(B1752,C1752,INDIRECT(J$2),INDIRECT(I1752),test))</f>
        <v>0.11</v>
      </c>
      <c r="E1752" s="5">
        <f ca="1">IF(getQuality(B1752)&lt;4,getOtherMax(B1752,C1752,INDIRECT(J$2),INDIRECT(I1752),test),getMax(B1752,C1752,INDIRECT(J$2),INDIRECT(I1752),test))</f>
        <v>0.22</v>
      </c>
      <c r="F1752" s="1" t="str">
        <f t="shared" si="110"/>
        <v>50</v>
      </c>
      <c r="G1752" s="1" t="str">
        <f t="shared" si="111"/>
        <v/>
      </c>
      <c r="I1752" s="1" t="str">
        <f t="shared" si="109"/>
        <v>威尔新数值1.06.xlsm!monsterDamage</v>
      </c>
    </row>
    <row r="1753" spans="1:9" x14ac:dyDescent="0.15">
      <c r="A1753" s="1">
        <v>1752</v>
      </c>
      <c r="B1753" s="1">
        <v>102060900</v>
      </c>
      <c r="C1753" s="1">
        <f t="shared" si="108"/>
        <v>108</v>
      </c>
      <c r="D1753" s="5">
        <f ca="1">IF(getQuality(B1753)&lt;4,getOtherMin(B1753,C1753,INDIRECT(J$2),INDIRECT(I1753),test),getMin(B1753,C1753,INDIRECT(J$2),INDIRECT(I1753),test))</f>
        <v>0.11</v>
      </c>
      <c r="E1753" s="5">
        <f ca="1">IF(getQuality(B1753)&lt;4,getOtherMax(B1753,C1753,INDIRECT(J$2),INDIRECT(I1753),test),getMax(B1753,C1753,INDIRECT(J$2),INDIRECT(I1753),test))</f>
        <v>0.22</v>
      </c>
      <c r="F1753" s="1" t="str">
        <f t="shared" si="110"/>
        <v>50</v>
      </c>
      <c r="G1753" s="1" t="str">
        <f t="shared" si="111"/>
        <v/>
      </c>
      <c r="I1753" s="1" t="str">
        <f t="shared" si="109"/>
        <v>威尔新数值1.06.xlsm!monsterDamage</v>
      </c>
    </row>
    <row r="1754" spans="1:9" x14ac:dyDescent="0.15">
      <c r="A1754" s="1">
        <v>1753</v>
      </c>
      <c r="B1754" s="1">
        <v>102070900</v>
      </c>
      <c r="C1754" s="1">
        <f t="shared" si="108"/>
        <v>3</v>
      </c>
      <c r="D1754" s="5">
        <f ca="1">IF(getQuality(B1754)&lt;4,getOtherMin(B1754,C1754,INDIRECT(J$2),INDIRECT(I1754),test),getMin(B1754,C1754,INDIRECT(J$2),INDIRECT(I1754),test))</f>
        <v>191.22369727444828</v>
      </c>
      <c r="E1754" s="5">
        <f ca="1">IF(getQuality(B1754)&lt;4,getOtherMax(B1754,C1754,INDIRECT(J$2),INDIRECT(I1754),test),getMax(B1754,C1754,INDIRECT(J$2),INDIRECT(I1754),test))</f>
        <v>236.63369570586491</v>
      </c>
      <c r="F1754" s="1" t="str">
        <f t="shared" si="110"/>
        <v>50</v>
      </c>
      <c r="G1754" s="1" t="str">
        <f t="shared" si="111"/>
        <v/>
      </c>
      <c r="I1754" s="1" t="str">
        <f t="shared" si="109"/>
        <v>威尔新数值1.06.xlsm!suitPower</v>
      </c>
    </row>
    <row r="1755" spans="1:9" x14ac:dyDescent="0.15">
      <c r="A1755" s="1">
        <v>1754</v>
      </c>
      <c r="B1755" s="1">
        <v>102070900</v>
      </c>
      <c r="C1755" s="1">
        <f t="shared" si="108"/>
        <v>5</v>
      </c>
      <c r="D1755" s="5">
        <f ca="1">IF(getQuality(B1755)&lt;4,getOtherMin(B1755,C1755,INDIRECT(J$2),INDIRECT(I1755),test),getMin(B1755,C1755,INDIRECT(J$2),INDIRECT(I1755),test))</f>
        <v>191.22369727444828</v>
      </c>
      <c r="E1755" s="5">
        <f ca="1">IF(getQuality(B1755)&lt;4,getOtherMax(B1755,C1755,INDIRECT(J$2),INDIRECT(I1755),test),getMax(B1755,C1755,INDIRECT(J$2),INDIRECT(I1755),test))</f>
        <v>236.63369570586491</v>
      </c>
      <c r="F1755" s="1" t="str">
        <f t="shared" si="110"/>
        <v>50</v>
      </c>
      <c r="G1755" s="1" t="str">
        <f t="shared" si="111"/>
        <v>1</v>
      </c>
      <c r="I1755" s="1" t="str">
        <f t="shared" si="109"/>
        <v>威尔新数值1.06.xlsm!suitPower</v>
      </c>
    </row>
    <row r="1756" spans="1:9" x14ac:dyDescent="0.15">
      <c r="A1756" s="1">
        <v>1755</v>
      </c>
      <c r="B1756" s="1">
        <v>102070900</v>
      </c>
      <c r="C1756" s="1">
        <f t="shared" si="108"/>
        <v>7</v>
      </c>
      <c r="D1756" s="5">
        <f ca="1">IF(getQuality(B1756)&lt;4,getOtherMin(B1756,C1756,INDIRECT(J$2),INDIRECT(I1756),test),getMin(B1756,C1756,INDIRECT(J$2),INDIRECT(I1756),test))</f>
        <v>39.888888888888786</v>
      </c>
      <c r="E1756" s="5">
        <f ca="1">IF(getQuality(B1756)&lt;4,getOtherMax(B1756,C1756,INDIRECT(J$2),INDIRECT(I1756),test),getMax(B1756,C1756,INDIRECT(J$2),INDIRECT(I1756),test))</f>
        <v>45.370370370370253</v>
      </c>
      <c r="F1756" s="1" t="str">
        <f t="shared" si="110"/>
        <v>50</v>
      </c>
      <c r="G1756" s="1" t="str">
        <f t="shared" si="111"/>
        <v/>
      </c>
      <c r="I1756" s="1" t="str">
        <f t="shared" si="109"/>
        <v>威尔新数值1.06.xlsm!suitPower</v>
      </c>
    </row>
    <row r="1757" spans="1:9" x14ac:dyDescent="0.15">
      <c r="A1757" s="1">
        <v>1756</v>
      </c>
      <c r="B1757" s="1">
        <v>102070900</v>
      </c>
      <c r="C1757" s="1">
        <f t="shared" si="108"/>
        <v>8</v>
      </c>
      <c r="D1757" s="5">
        <f ca="1">IF(getQuality(B1757)&lt;4,getOtherMin(B1757,C1757,INDIRECT(J$2),INDIRECT(I1757),test),getMin(B1757,C1757,INDIRECT(J$2),INDIRECT(I1757),test))</f>
        <v>88.5</v>
      </c>
      <c r="E1757" s="5">
        <f ca="1">IF(getQuality(B1757)&lt;4,getOtherMax(B1757,C1757,INDIRECT(J$2),INDIRECT(I1757),test),getMax(B1757,C1757,INDIRECT(J$2),INDIRECT(I1757),test))</f>
        <v>102.08333333333333</v>
      </c>
      <c r="F1757" s="1" t="str">
        <f t="shared" si="110"/>
        <v>50</v>
      </c>
      <c r="G1757" s="1" t="str">
        <f t="shared" si="111"/>
        <v/>
      </c>
      <c r="I1757" s="1" t="str">
        <f t="shared" si="109"/>
        <v>威尔新数值1.06.xlsm!suitPower</v>
      </c>
    </row>
    <row r="1758" spans="1:9" x14ac:dyDescent="0.15">
      <c r="A1758" s="1">
        <v>1757</v>
      </c>
      <c r="B1758" s="1">
        <v>102070900</v>
      </c>
      <c r="C1758" s="1">
        <f t="shared" si="108"/>
        <v>9</v>
      </c>
      <c r="D1758" s="5">
        <f ca="1">IF(getQuality(B1758)&lt;4,getOtherMin(B1758,C1758,INDIRECT(J$2),INDIRECT(I1758),test),getMin(B1758,C1758,INDIRECT(J$2),INDIRECT(I1758),test))</f>
        <v>191.22369727444828</v>
      </c>
      <c r="E1758" s="5">
        <f ca="1">IF(getQuality(B1758)&lt;4,getOtherMax(B1758,C1758,INDIRECT(J$2),INDIRECT(I1758),test),getMax(B1758,C1758,INDIRECT(J$2),INDIRECT(I1758),test))</f>
        <v>236.63369570586491</v>
      </c>
      <c r="F1758" s="1" t="str">
        <f t="shared" si="110"/>
        <v>50</v>
      </c>
      <c r="G1758" s="1" t="str">
        <f t="shared" si="111"/>
        <v/>
      </c>
      <c r="I1758" s="1" t="str">
        <f t="shared" si="109"/>
        <v>威尔新数值1.06.xlsm!suitPower</v>
      </c>
    </row>
    <row r="1759" spans="1:9" x14ac:dyDescent="0.15">
      <c r="A1759" s="1">
        <v>1758</v>
      </c>
      <c r="B1759" s="1">
        <v>102070900</v>
      </c>
      <c r="C1759" s="1">
        <f t="shared" si="108"/>
        <v>10</v>
      </c>
      <c r="D1759" s="5">
        <f ca="1">IF(getQuality(B1759)&lt;4,getOtherMin(B1759,C1759,INDIRECT(J$2),INDIRECT(I1759),test),getMin(B1759,C1759,INDIRECT(J$2),INDIRECT(I1759),test))</f>
        <v>191.22369727444828</v>
      </c>
      <c r="E1759" s="5">
        <f ca="1">IF(getQuality(B1759)&lt;4,getOtherMax(B1759,C1759,INDIRECT(J$2),INDIRECT(I1759),test),getMax(B1759,C1759,INDIRECT(J$2),INDIRECT(I1759),test))</f>
        <v>236.63369570586491</v>
      </c>
      <c r="F1759" s="1" t="str">
        <f t="shared" si="110"/>
        <v>50</v>
      </c>
      <c r="G1759" s="1" t="str">
        <f t="shared" si="111"/>
        <v/>
      </c>
      <c r="I1759" s="1" t="str">
        <f t="shared" si="109"/>
        <v>威尔新数值1.06.xlsm!suitPower</v>
      </c>
    </row>
    <row r="1760" spans="1:9" x14ac:dyDescent="0.15">
      <c r="A1760" s="1">
        <v>1759</v>
      </c>
      <c r="B1760" s="1">
        <v>102070900</v>
      </c>
      <c r="C1760" s="1">
        <f t="shared" si="108"/>
        <v>11</v>
      </c>
      <c r="D1760" s="5">
        <f ca="1">IF(getQuality(B1760)&lt;4,getOtherMin(B1760,C1760,INDIRECT(J$2),INDIRECT(I1760),test),getMin(B1760,C1760,INDIRECT(J$2),INDIRECT(I1760),test))</f>
        <v>191.22369727444828</v>
      </c>
      <c r="E1760" s="5">
        <f ca="1">IF(getQuality(B1760)&lt;4,getOtherMax(B1760,C1760,INDIRECT(J$2),INDIRECT(I1760),test),getMax(B1760,C1760,INDIRECT(J$2),INDIRECT(I1760),test))</f>
        <v>236.63369570586491</v>
      </c>
      <c r="F1760" s="1" t="str">
        <f t="shared" si="110"/>
        <v>50</v>
      </c>
      <c r="G1760" s="1" t="str">
        <f t="shared" si="111"/>
        <v/>
      </c>
      <c r="I1760" s="1" t="str">
        <f t="shared" si="109"/>
        <v>威尔新数值1.06.xlsm!suitPower</v>
      </c>
    </row>
    <row r="1761" spans="1:9" x14ac:dyDescent="0.15">
      <c r="A1761" s="1">
        <v>1760</v>
      </c>
      <c r="B1761" s="1">
        <v>102070900</v>
      </c>
      <c r="C1761" s="1">
        <f t="shared" si="108"/>
        <v>12</v>
      </c>
      <c r="D1761" s="5">
        <f ca="1">IF(getQuality(B1761)&lt;4,getOtherMin(B1761,C1761,INDIRECT(J$2),INDIRECT(I1761),test),getMin(B1761,C1761,INDIRECT(J$2),INDIRECT(I1761),test))</f>
        <v>191.22369727444828</v>
      </c>
      <c r="E1761" s="5">
        <f ca="1">IF(getQuality(B1761)&lt;4,getOtherMax(B1761,C1761,INDIRECT(J$2),INDIRECT(I1761),test),getMax(B1761,C1761,INDIRECT(J$2),INDIRECT(I1761),test))</f>
        <v>236.63369570586491</v>
      </c>
      <c r="F1761" s="1" t="str">
        <f t="shared" si="110"/>
        <v>50</v>
      </c>
      <c r="G1761" s="1" t="str">
        <f t="shared" si="111"/>
        <v/>
      </c>
      <c r="I1761" s="1" t="str">
        <f t="shared" si="109"/>
        <v>威尔新数值1.06.xlsm!suitPower</v>
      </c>
    </row>
    <row r="1762" spans="1:9" x14ac:dyDescent="0.15">
      <c r="A1762" s="1">
        <v>1761</v>
      </c>
      <c r="B1762" s="1">
        <v>102070900</v>
      </c>
      <c r="C1762" s="1">
        <f t="shared" si="108"/>
        <v>13</v>
      </c>
      <c r="D1762" s="5">
        <f ca="1">IF(getQuality(B1762)&lt;4,getOtherMin(B1762,C1762,INDIRECT(J$2),INDIRECT(I1762),test),getMin(B1762,C1762,INDIRECT(J$2),INDIRECT(I1762),test))</f>
        <v>191.22369727444828</v>
      </c>
      <c r="E1762" s="5">
        <f ca="1">IF(getQuality(B1762)&lt;4,getOtherMax(B1762,C1762,INDIRECT(J$2),INDIRECT(I1762),test),getMax(B1762,C1762,INDIRECT(J$2),INDIRECT(I1762),test))</f>
        <v>236.63369570586491</v>
      </c>
      <c r="F1762" s="1" t="str">
        <f t="shared" si="110"/>
        <v>50</v>
      </c>
      <c r="G1762" s="1" t="str">
        <f t="shared" si="111"/>
        <v/>
      </c>
      <c r="I1762" s="1" t="str">
        <f t="shared" si="109"/>
        <v>威尔新数值1.06.xlsm!suitPower</v>
      </c>
    </row>
    <row r="1763" spans="1:9" x14ac:dyDescent="0.15">
      <c r="A1763" s="1">
        <v>1762</v>
      </c>
      <c r="B1763" s="1">
        <v>102070900</v>
      </c>
      <c r="C1763" s="1">
        <f t="shared" si="108"/>
        <v>14</v>
      </c>
      <c r="D1763" s="5">
        <f ca="1">IF(getQuality(B1763)&lt;4,getOtherMin(B1763,C1763,INDIRECT(J$2),INDIRECT(I1763),test),getMin(B1763,C1763,INDIRECT(J$2),INDIRECT(I1763),test))</f>
        <v>191.22369727444828</v>
      </c>
      <c r="E1763" s="5">
        <f ca="1">IF(getQuality(B1763)&lt;4,getOtherMax(B1763,C1763,INDIRECT(J$2),INDIRECT(I1763),test),getMax(B1763,C1763,INDIRECT(J$2),INDIRECT(I1763),test))</f>
        <v>236.63369570586491</v>
      </c>
      <c r="F1763" s="1" t="str">
        <f t="shared" si="110"/>
        <v>50</v>
      </c>
      <c r="G1763" s="1" t="str">
        <f t="shared" si="111"/>
        <v/>
      </c>
      <c r="I1763" s="1" t="str">
        <f t="shared" si="109"/>
        <v>威尔新数值1.06.xlsm!suitPower</v>
      </c>
    </row>
    <row r="1764" spans="1:9" x14ac:dyDescent="0.15">
      <c r="A1764" s="1">
        <v>1763</v>
      </c>
      <c r="B1764" s="1">
        <v>102070900</v>
      </c>
      <c r="C1764" s="1">
        <f t="shared" ref="C1764:C1827" si="112">C1745</f>
        <v>15</v>
      </c>
      <c r="D1764" s="5">
        <f ca="1">IF(getQuality(B1764)&lt;4,getOtherMin(B1764,C1764,INDIRECT(J$2),INDIRECT(I1764),test),getMin(B1764,C1764,INDIRECT(J$2),INDIRECT(I1764),test))</f>
        <v>191.22369727444828</v>
      </c>
      <c r="E1764" s="5">
        <f ca="1">IF(getQuality(B1764)&lt;4,getOtherMax(B1764,C1764,INDIRECT(J$2),INDIRECT(I1764),test),getMax(B1764,C1764,INDIRECT(J$2),INDIRECT(I1764),test))</f>
        <v>236.63369570586491</v>
      </c>
      <c r="F1764" s="1" t="str">
        <f t="shared" si="110"/>
        <v>50</v>
      </c>
      <c r="G1764" s="1" t="str">
        <f t="shared" si="111"/>
        <v/>
      </c>
      <c r="I1764" s="1" t="str">
        <f t="shared" si="109"/>
        <v>威尔新数值1.06.xlsm!suitPower</v>
      </c>
    </row>
    <row r="1765" spans="1:9" x14ac:dyDescent="0.15">
      <c r="A1765" s="1">
        <v>1764</v>
      </c>
      <c r="B1765" s="1">
        <v>102070900</v>
      </c>
      <c r="C1765" s="1">
        <f t="shared" si="112"/>
        <v>101</v>
      </c>
      <c r="D1765" s="5">
        <f ca="1">IF(getQuality(B1765)&lt;4,getOtherMin(B1765,C1765,INDIRECT(J$2),INDIRECT(I1765),test),getMin(B1765,C1765,INDIRECT(J$2),INDIRECT(I1765),test))</f>
        <v>0.12</v>
      </c>
      <c r="E1765" s="5">
        <f ca="1">IF(getQuality(B1765)&lt;4,getOtherMax(B1765,C1765,INDIRECT(J$2),INDIRECT(I1765),test),getMax(B1765,C1765,INDIRECT(J$2),INDIRECT(I1765),test))</f>
        <v>0.15</v>
      </c>
      <c r="F1765" s="1" t="str">
        <f t="shared" si="110"/>
        <v>50</v>
      </c>
      <c r="G1765" s="1" t="str">
        <f t="shared" si="111"/>
        <v/>
      </c>
      <c r="I1765" s="1" t="str">
        <f t="shared" si="109"/>
        <v>威尔新数值1.06.xlsm!circlePer</v>
      </c>
    </row>
    <row r="1766" spans="1:9" x14ac:dyDescent="0.15">
      <c r="A1766" s="1">
        <v>1765</v>
      </c>
      <c r="B1766" s="1">
        <v>102070900</v>
      </c>
      <c r="C1766" s="1">
        <f t="shared" si="112"/>
        <v>102</v>
      </c>
      <c r="D1766" s="5">
        <f ca="1">IF(getQuality(B1766)&lt;4,getOtherMin(B1766,C1766,INDIRECT(J$2),INDIRECT(I1766),test),getMin(B1766,C1766,INDIRECT(J$2),INDIRECT(I1766),test))</f>
        <v>1</v>
      </c>
      <c r="E1766" s="5">
        <f ca="1">IF(getQuality(B1766)&lt;4,getOtherMax(B1766,C1766,INDIRECT(J$2),INDIRECT(I1766),test),getMax(B1766,C1766,INDIRECT(J$2),INDIRECT(I1766),test))</f>
        <v>1.4</v>
      </c>
      <c r="F1766" s="1" t="str">
        <f t="shared" si="110"/>
        <v>50</v>
      </c>
      <c r="G1766" s="1" t="str">
        <f t="shared" si="111"/>
        <v/>
      </c>
      <c r="I1766" s="1" t="str">
        <f t="shared" si="109"/>
        <v>威尔新数值1.06.xlsm!circleValue</v>
      </c>
    </row>
    <row r="1767" spans="1:9" x14ac:dyDescent="0.15">
      <c r="A1767" s="1">
        <v>1766</v>
      </c>
      <c r="B1767" s="1">
        <v>102070900</v>
      </c>
      <c r="C1767" s="1">
        <f t="shared" si="112"/>
        <v>103</v>
      </c>
      <c r="D1767" s="5">
        <f ca="1">IF(getQuality(B1767)&lt;4,getOtherMin(B1767,C1767,INDIRECT(J$2),INDIRECT(I1767),test),getMin(B1767,C1767,INDIRECT(J$2),INDIRECT(I1767),test))</f>
        <v>0.12</v>
      </c>
      <c r="E1767" s="5">
        <f ca="1">IF(getQuality(B1767)&lt;4,getOtherMax(B1767,C1767,INDIRECT(J$2),INDIRECT(I1767),test),getMax(B1767,C1767,INDIRECT(J$2),INDIRECT(I1767),test))</f>
        <v>0.15</v>
      </c>
      <c r="F1767" s="1" t="str">
        <f t="shared" si="110"/>
        <v>50</v>
      </c>
      <c r="G1767" s="1" t="str">
        <f t="shared" si="111"/>
        <v/>
      </c>
      <c r="I1767" s="1" t="str">
        <f t="shared" si="109"/>
        <v>威尔新数值1.06.xlsm!otherDamage</v>
      </c>
    </row>
    <row r="1768" spans="1:9" x14ac:dyDescent="0.15">
      <c r="A1768" s="1">
        <v>1767</v>
      </c>
      <c r="B1768" s="1">
        <v>102070900</v>
      </c>
      <c r="C1768" s="1">
        <f t="shared" si="112"/>
        <v>104</v>
      </c>
      <c r="D1768" s="5">
        <f ca="1">IF(getQuality(B1768)&lt;4,getOtherMin(B1768,C1768,INDIRECT(J$2),INDIRECT(I1768),test),getMin(B1768,C1768,INDIRECT(J$2),INDIRECT(I1768),test))</f>
        <v>0.12</v>
      </c>
      <c r="E1768" s="5">
        <f ca="1">IF(getQuality(B1768)&lt;4,getOtherMax(B1768,C1768,INDIRECT(J$2),INDIRECT(I1768),test),getMax(B1768,C1768,INDIRECT(J$2),INDIRECT(I1768),test))</f>
        <v>0.24</v>
      </c>
      <c r="F1768" s="1" t="str">
        <f t="shared" si="110"/>
        <v>50</v>
      </c>
      <c r="G1768" s="1" t="str">
        <f t="shared" si="111"/>
        <v/>
      </c>
      <c r="I1768" s="1" t="str">
        <f t="shared" si="109"/>
        <v>威尔新数值1.06.xlsm!monsterDamage</v>
      </c>
    </row>
    <row r="1769" spans="1:9" x14ac:dyDescent="0.15">
      <c r="A1769" s="1">
        <v>1768</v>
      </c>
      <c r="B1769" s="1">
        <v>102070900</v>
      </c>
      <c r="C1769" s="1">
        <f t="shared" si="112"/>
        <v>105</v>
      </c>
      <c r="D1769" s="5">
        <f ca="1">IF(getQuality(B1769)&lt;4,getOtherMin(B1769,C1769,INDIRECT(J$2),INDIRECT(I1769),test),getMin(B1769,C1769,INDIRECT(J$2),INDIRECT(I1769),test))</f>
        <v>0.12</v>
      </c>
      <c r="E1769" s="5">
        <f ca="1">IF(getQuality(B1769)&lt;4,getOtherMax(B1769,C1769,INDIRECT(J$2),INDIRECT(I1769),test),getMax(B1769,C1769,INDIRECT(J$2),INDIRECT(I1769),test))</f>
        <v>0.24</v>
      </c>
      <c r="F1769" s="1" t="str">
        <f t="shared" si="110"/>
        <v>50</v>
      </c>
      <c r="G1769" s="1" t="str">
        <f t="shared" si="111"/>
        <v/>
      </c>
      <c r="I1769" s="1" t="str">
        <f t="shared" si="109"/>
        <v>威尔新数值1.06.xlsm!monsterDamage</v>
      </c>
    </row>
    <row r="1770" spans="1:9" x14ac:dyDescent="0.15">
      <c r="A1770" s="1">
        <v>1769</v>
      </c>
      <c r="B1770" s="1">
        <v>102070900</v>
      </c>
      <c r="C1770" s="1">
        <f t="shared" si="112"/>
        <v>106</v>
      </c>
      <c r="D1770" s="5">
        <f ca="1">IF(getQuality(B1770)&lt;4,getOtherMin(B1770,C1770,INDIRECT(J$2),INDIRECT(I1770),test),getMin(B1770,C1770,INDIRECT(J$2),INDIRECT(I1770),test))</f>
        <v>0.12</v>
      </c>
      <c r="E1770" s="5">
        <f ca="1">IF(getQuality(B1770)&lt;4,getOtherMax(B1770,C1770,INDIRECT(J$2),INDIRECT(I1770),test),getMax(B1770,C1770,INDIRECT(J$2),INDIRECT(I1770),test))</f>
        <v>0.24</v>
      </c>
      <c r="F1770" s="1" t="str">
        <f t="shared" si="110"/>
        <v>50</v>
      </c>
      <c r="G1770" s="1" t="str">
        <f t="shared" si="111"/>
        <v/>
      </c>
      <c r="I1770" s="1" t="str">
        <f t="shared" si="109"/>
        <v>威尔新数值1.06.xlsm!monsterDamage</v>
      </c>
    </row>
    <row r="1771" spans="1:9" x14ac:dyDescent="0.15">
      <c r="A1771" s="1">
        <v>1770</v>
      </c>
      <c r="B1771" s="1">
        <v>102070900</v>
      </c>
      <c r="C1771" s="1">
        <f t="shared" si="112"/>
        <v>107</v>
      </c>
      <c r="D1771" s="5">
        <f ca="1">IF(getQuality(B1771)&lt;4,getOtherMin(B1771,C1771,INDIRECT(J$2),INDIRECT(I1771),test),getMin(B1771,C1771,INDIRECT(J$2),INDIRECT(I1771),test))</f>
        <v>0.12</v>
      </c>
      <c r="E1771" s="5">
        <f ca="1">IF(getQuality(B1771)&lt;4,getOtherMax(B1771,C1771,INDIRECT(J$2),INDIRECT(I1771),test),getMax(B1771,C1771,INDIRECT(J$2),INDIRECT(I1771),test))</f>
        <v>0.24</v>
      </c>
      <c r="F1771" s="1" t="str">
        <f t="shared" si="110"/>
        <v>50</v>
      </c>
      <c r="G1771" s="1" t="str">
        <f t="shared" si="111"/>
        <v/>
      </c>
      <c r="I1771" s="1" t="str">
        <f t="shared" si="109"/>
        <v>威尔新数值1.06.xlsm!monsterDamage</v>
      </c>
    </row>
    <row r="1772" spans="1:9" x14ac:dyDescent="0.15">
      <c r="A1772" s="1">
        <v>1771</v>
      </c>
      <c r="B1772" s="1">
        <v>102070900</v>
      </c>
      <c r="C1772" s="1">
        <f t="shared" si="112"/>
        <v>108</v>
      </c>
      <c r="D1772" s="5">
        <f ca="1">IF(getQuality(B1772)&lt;4,getOtherMin(B1772,C1772,INDIRECT(J$2),INDIRECT(I1772),test),getMin(B1772,C1772,INDIRECT(J$2),INDIRECT(I1772),test))</f>
        <v>0.12</v>
      </c>
      <c r="E1772" s="5">
        <f ca="1">IF(getQuality(B1772)&lt;4,getOtherMax(B1772,C1772,INDIRECT(J$2),INDIRECT(I1772),test),getMax(B1772,C1772,INDIRECT(J$2),INDIRECT(I1772),test))</f>
        <v>0.24</v>
      </c>
      <c r="F1772" s="1" t="str">
        <f t="shared" si="110"/>
        <v>50</v>
      </c>
      <c r="G1772" s="1" t="str">
        <f t="shared" si="111"/>
        <v/>
      </c>
      <c r="I1772" s="1" t="str">
        <f t="shared" si="109"/>
        <v>威尔新数值1.06.xlsm!monsterDamage</v>
      </c>
    </row>
    <row r="1773" spans="1:9" x14ac:dyDescent="0.15">
      <c r="A1773" s="1">
        <v>1772</v>
      </c>
      <c r="B1773" s="1">
        <v>102080900</v>
      </c>
      <c r="C1773" s="1">
        <f t="shared" si="112"/>
        <v>3</v>
      </c>
      <c r="D1773" s="5">
        <f ca="1">IF(getQuality(B1773)&lt;4,getOtherMin(B1773,C1773,INDIRECT(J$2),INDIRECT(I1773),test),getMin(B1773,C1773,INDIRECT(J$2),INDIRECT(I1773),test))</f>
        <v>237.63369570586491</v>
      </c>
      <c r="E1773" s="5">
        <f ca="1">IF(getQuality(B1773)&lt;4,getOtherMax(B1773,C1773,INDIRECT(J$2),INDIRECT(I1773),test),getMax(B1773,C1773,INDIRECT(J$2),INDIRECT(I1773),test))</f>
        <v>287.24542239033156</v>
      </c>
      <c r="F1773" s="1" t="str">
        <f t="shared" si="110"/>
        <v>50</v>
      </c>
      <c r="G1773" s="1" t="str">
        <f t="shared" si="111"/>
        <v/>
      </c>
      <c r="I1773" s="1" t="str">
        <f t="shared" si="109"/>
        <v>威尔新数值1.06.xlsm!suitPower</v>
      </c>
    </row>
    <row r="1774" spans="1:9" x14ac:dyDescent="0.15">
      <c r="A1774" s="1">
        <v>1773</v>
      </c>
      <c r="B1774" s="1">
        <v>102080900</v>
      </c>
      <c r="C1774" s="1">
        <f t="shared" si="112"/>
        <v>5</v>
      </c>
      <c r="D1774" s="5">
        <f ca="1">IF(getQuality(B1774)&lt;4,getOtherMin(B1774,C1774,INDIRECT(J$2),INDIRECT(I1774),test),getMin(B1774,C1774,INDIRECT(J$2),INDIRECT(I1774),test))</f>
        <v>237.63369570586491</v>
      </c>
      <c r="E1774" s="5">
        <f ca="1">IF(getQuality(B1774)&lt;4,getOtherMax(B1774,C1774,INDIRECT(J$2),INDIRECT(I1774),test),getMax(B1774,C1774,INDIRECT(J$2),INDIRECT(I1774),test))</f>
        <v>287.24542239033156</v>
      </c>
      <c r="F1774" s="1" t="str">
        <f t="shared" si="110"/>
        <v>50</v>
      </c>
      <c r="G1774" s="1" t="str">
        <f t="shared" si="111"/>
        <v>1</v>
      </c>
      <c r="I1774" s="1" t="str">
        <f t="shared" si="109"/>
        <v>威尔新数值1.06.xlsm!suitPower</v>
      </c>
    </row>
    <row r="1775" spans="1:9" x14ac:dyDescent="0.15">
      <c r="A1775" s="1">
        <v>1774</v>
      </c>
      <c r="B1775" s="1">
        <v>102080900</v>
      </c>
      <c r="C1775" s="1">
        <f t="shared" si="112"/>
        <v>7</v>
      </c>
      <c r="D1775" s="5">
        <f ca="1">IF(getQuality(B1775)&lt;4,getOtherMin(B1775,C1775,INDIRECT(J$2),INDIRECT(I1775),test),getMin(B1775,C1775,INDIRECT(J$2),INDIRECT(I1775),test))</f>
        <v>46.370370370370253</v>
      </c>
      <c r="E1775" s="5">
        <f ca="1">IF(getQuality(B1775)&lt;4,getOtherMax(B1775,C1775,INDIRECT(J$2),INDIRECT(I1775),test),getMax(B1775,C1775,INDIRECT(J$2),INDIRECT(I1775),test))</f>
        <v>51.85185185185172</v>
      </c>
      <c r="F1775" s="1" t="str">
        <f t="shared" si="110"/>
        <v>50</v>
      </c>
      <c r="G1775" s="1" t="str">
        <f t="shared" si="111"/>
        <v/>
      </c>
      <c r="I1775" s="1" t="str">
        <f t="shared" si="109"/>
        <v>威尔新数值1.06.xlsm!suitPower</v>
      </c>
    </row>
    <row r="1776" spans="1:9" x14ac:dyDescent="0.15">
      <c r="A1776" s="1">
        <v>1775</v>
      </c>
      <c r="B1776" s="1">
        <v>102080900</v>
      </c>
      <c r="C1776" s="1">
        <f t="shared" si="112"/>
        <v>8</v>
      </c>
      <c r="D1776" s="5">
        <f ca="1">IF(getQuality(B1776)&lt;4,getOtherMin(B1776,C1776,INDIRECT(J$2),INDIRECT(I1776),test),getMin(B1776,C1776,INDIRECT(J$2),INDIRECT(I1776),test))</f>
        <v>103.08333333333333</v>
      </c>
      <c r="E1776" s="5">
        <f ca="1">IF(getQuality(B1776)&lt;4,getOtherMax(B1776,C1776,INDIRECT(J$2),INDIRECT(I1776),test),getMax(B1776,C1776,INDIRECT(J$2),INDIRECT(I1776),test))</f>
        <v>116.66666666666667</v>
      </c>
      <c r="F1776" s="1" t="str">
        <f t="shared" si="110"/>
        <v>50</v>
      </c>
      <c r="G1776" s="1" t="str">
        <f t="shared" si="111"/>
        <v/>
      </c>
      <c r="I1776" s="1" t="str">
        <f t="shared" si="109"/>
        <v>威尔新数值1.06.xlsm!suitPower</v>
      </c>
    </row>
    <row r="1777" spans="1:9" x14ac:dyDescent="0.15">
      <c r="A1777" s="1">
        <v>1776</v>
      </c>
      <c r="B1777" s="1">
        <v>102080900</v>
      </c>
      <c r="C1777" s="1">
        <f t="shared" si="112"/>
        <v>9</v>
      </c>
      <c r="D1777" s="5">
        <f ca="1">IF(getQuality(B1777)&lt;4,getOtherMin(B1777,C1777,INDIRECT(J$2),INDIRECT(I1777),test),getMin(B1777,C1777,INDIRECT(J$2),INDIRECT(I1777),test))</f>
        <v>237.63369570586491</v>
      </c>
      <c r="E1777" s="5">
        <f ca="1">IF(getQuality(B1777)&lt;4,getOtherMax(B1777,C1777,INDIRECT(J$2),INDIRECT(I1777),test),getMax(B1777,C1777,INDIRECT(J$2),INDIRECT(I1777),test))</f>
        <v>287.24542239033156</v>
      </c>
      <c r="F1777" s="1" t="str">
        <f t="shared" si="110"/>
        <v>50</v>
      </c>
      <c r="G1777" s="1" t="str">
        <f t="shared" si="111"/>
        <v/>
      </c>
      <c r="I1777" s="1" t="str">
        <f t="shared" si="109"/>
        <v>威尔新数值1.06.xlsm!suitPower</v>
      </c>
    </row>
    <row r="1778" spans="1:9" x14ac:dyDescent="0.15">
      <c r="A1778" s="1">
        <v>1777</v>
      </c>
      <c r="B1778" s="1">
        <v>102080900</v>
      </c>
      <c r="C1778" s="1">
        <f t="shared" si="112"/>
        <v>10</v>
      </c>
      <c r="D1778" s="5">
        <f ca="1">IF(getQuality(B1778)&lt;4,getOtherMin(B1778,C1778,INDIRECT(J$2),INDIRECT(I1778),test),getMin(B1778,C1778,INDIRECT(J$2),INDIRECT(I1778),test))</f>
        <v>237.63369570586491</v>
      </c>
      <c r="E1778" s="5">
        <f ca="1">IF(getQuality(B1778)&lt;4,getOtherMax(B1778,C1778,INDIRECT(J$2),INDIRECT(I1778),test),getMax(B1778,C1778,INDIRECT(J$2),INDIRECT(I1778),test))</f>
        <v>287.24542239033156</v>
      </c>
      <c r="F1778" s="1" t="str">
        <f t="shared" si="110"/>
        <v>50</v>
      </c>
      <c r="G1778" s="1" t="str">
        <f t="shared" si="111"/>
        <v/>
      </c>
      <c r="I1778" s="1" t="str">
        <f t="shared" si="109"/>
        <v>威尔新数值1.06.xlsm!suitPower</v>
      </c>
    </row>
    <row r="1779" spans="1:9" x14ac:dyDescent="0.15">
      <c r="A1779" s="1">
        <v>1778</v>
      </c>
      <c r="B1779" s="1">
        <v>102080900</v>
      </c>
      <c r="C1779" s="1">
        <f t="shared" si="112"/>
        <v>11</v>
      </c>
      <c r="D1779" s="5">
        <f ca="1">IF(getQuality(B1779)&lt;4,getOtherMin(B1779,C1779,INDIRECT(J$2),INDIRECT(I1779),test),getMin(B1779,C1779,INDIRECT(J$2),INDIRECT(I1779),test))</f>
        <v>237.63369570586491</v>
      </c>
      <c r="E1779" s="5">
        <f ca="1">IF(getQuality(B1779)&lt;4,getOtherMax(B1779,C1779,INDIRECT(J$2),INDIRECT(I1779),test),getMax(B1779,C1779,INDIRECT(J$2),INDIRECT(I1779),test))</f>
        <v>287.24542239033156</v>
      </c>
      <c r="F1779" s="1" t="str">
        <f t="shared" si="110"/>
        <v>50</v>
      </c>
      <c r="G1779" s="1" t="str">
        <f t="shared" si="111"/>
        <v/>
      </c>
      <c r="I1779" s="1" t="str">
        <f t="shared" si="109"/>
        <v>威尔新数值1.06.xlsm!suitPower</v>
      </c>
    </row>
    <row r="1780" spans="1:9" x14ac:dyDescent="0.15">
      <c r="A1780" s="1">
        <v>1779</v>
      </c>
      <c r="B1780" s="1">
        <v>102080900</v>
      </c>
      <c r="C1780" s="1">
        <f t="shared" si="112"/>
        <v>12</v>
      </c>
      <c r="D1780" s="5">
        <f ca="1">IF(getQuality(B1780)&lt;4,getOtherMin(B1780,C1780,INDIRECT(J$2),INDIRECT(I1780),test),getMin(B1780,C1780,INDIRECT(J$2),INDIRECT(I1780),test))</f>
        <v>237.63369570586491</v>
      </c>
      <c r="E1780" s="5">
        <f ca="1">IF(getQuality(B1780)&lt;4,getOtherMax(B1780,C1780,INDIRECT(J$2),INDIRECT(I1780),test),getMax(B1780,C1780,INDIRECT(J$2),INDIRECT(I1780),test))</f>
        <v>287.24542239033156</v>
      </c>
      <c r="F1780" s="1" t="str">
        <f t="shared" si="110"/>
        <v>50</v>
      </c>
      <c r="G1780" s="1" t="str">
        <f t="shared" si="111"/>
        <v/>
      </c>
      <c r="I1780" s="1" t="str">
        <f t="shared" si="109"/>
        <v>威尔新数值1.06.xlsm!suitPower</v>
      </c>
    </row>
    <row r="1781" spans="1:9" x14ac:dyDescent="0.15">
      <c r="A1781" s="1">
        <v>1780</v>
      </c>
      <c r="B1781" s="1">
        <v>102080900</v>
      </c>
      <c r="C1781" s="1">
        <f t="shared" si="112"/>
        <v>13</v>
      </c>
      <c r="D1781" s="5">
        <f ca="1">IF(getQuality(B1781)&lt;4,getOtherMin(B1781,C1781,INDIRECT(J$2),INDIRECT(I1781),test),getMin(B1781,C1781,INDIRECT(J$2),INDIRECT(I1781),test))</f>
        <v>237.63369570586491</v>
      </c>
      <c r="E1781" s="5">
        <f ca="1">IF(getQuality(B1781)&lt;4,getOtherMax(B1781,C1781,INDIRECT(J$2),INDIRECT(I1781),test),getMax(B1781,C1781,INDIRECT(J$2),INDIRECT(I1781),test))</f>
        <v>287.24542239033156</v>
      </c>
      <c r="F1781" s="1" t="str">
        <f t="shared" si="110"/>
        <v>50</v>
      </c>
      <c r="G1781" s="1" t="str">
        <f t="shared" si="111"/>
        <v/>
      </c>
      <c r="I1781" s="1" t="str">
        <f t="shared" si="109"/>
        <v>威尔新数值1.06.xlsm!suitPower</v>
      </c>
    </row>
    <row r="1782" spans="1:9" x14ac:dyDescent="0.15">
      <c r="A1782" s="1">
        <v>1781</v>
      </c>
      <c r="B1782" s="1">
        <v>102080900</v>
      </c>
      <c r="C1782" s="1">
        <f t="shared" si="112"/>
        <v>14</v>
      </c>
      <c r="D1782" s="5">
        <f ca="1">IF(getQuality(B1782)&lt;4,getOtherMin(B1782,C1782,INDIRECT(J$2),INDIRECT(I1782),test),getMin(B1782,C1782,INDIRECT(J$2),INDIRECT(I1782),test))</f>
        <v>237.63369570586491</v>
      </c>
      <c r="E1782" s="5">
        <f ca="1">IF(getQuality(B1782)&lt;4,getOtherMax(B1782,C1782,INDIRECT(J$2),INDIRECT(I1782),test),getMax(B1782,C1782,INDIRECT(J$2),INDIRECT(I1782),test))</f>
        <v>287.24542239033156</v>
      </c>
      <c r="F1782" s="1" t="str">
        <f t="shared" si="110"/>
        <v>50</v>
      </c>
      <c r="G1782" s="1" t="str">
        <f t="shared" si="111"/>
        <v/>
      </c>
      <c r="I1782" s="1" t="str">
        <f t="shared" si="109"/>
        <v>威尔新数值1.06.xlsm!suitPower</v>
      </c>
    </row>
    <row r="1783" spans="1:9" x14ac:dyDescent="0.15">
      <c r="A1783" s="1">
        <v>1782</v>
      </c>
      <c r="B1783" s="1">
        <v>102080900</v>
      </c>
      <c r="C1783" s="1">
        <f t="shared" si="112"/>
        <v>15</v>
      </c>
      <c r="D1783" s="5">
        <f ca="1">IF(getQuality(B1783)&lt;4,getOtherMin(B1783,C1783,INDIRECT(J$2),INDIRECT(I1783),test),getMin(B1783,C1783,INDIRECT(J$2),INDIRECT(I1783),test))</f>
        <v>237.63369570586491</v>
      </c>
      <c r="E1783" s="5">
        <f ca="1">IF(getQuality(B1783)&lt;4,getOtherMax(B1783,C1783,INDIRECT(J$2),INDIRECT(I1783),test),getMax(B1783,C1783,INDIRECT(J$2),INDIRECT(I1783),test))</f>
        <v>287.24542239033156</v>
      </c>
      <c r="F1783" s="1" t="str">
        <f t="shared" si="110"/>
        <v>50</v>
      </c>
      <c r="G1783" s="1" t="str">
        <f t="shared" si="111"/>
        <v/>
      </c>
      <c r="I1783" s="1" t="str">
        <f t="shared" si="109"/>
        <v>威尔新数值1.06.xlsm!suitPower</v>
      </c>
    </row>
    <row r="1784" spans="1:9" x14ac:dyDescent="0.15">
      <c r="A1784" s="1">
        <v>1783</v>
      </c>
      <c r="B1784" s="1">
        <v>102080900</v>
      </c>
      <c r="C1784" s="1">
        <f t="shared" si="112"/>
        <v>101</v>
      </c>
      <c r="D1784" s="5">
        <f ca="1">IF(getQuality(B1784)&lt;4,getOtherMin(B1784,C1784,INDIRECT(J$2),INDIRECT(I1784),test),getMin(B1784,C1784,INDIRECT(J$2),INDIRECT(I1784),test))</f>
        <v>0.13</v>
      </c>
      <c r="E1784" s="5">
        <f ca="1">IF(getQuality(B1784)&lt;4,getOtherMax(B1784,C1784,INDIRECT(J$2),INDIRECT(I1784),test),getMax(B1784,C1784,INDIRECT(J$2),INDIRECT(I1784),test))</f>
        <v>0.16</v>
      </c>
      <c r="F1784" s="1" t="str">
        <f t="shared" si="110"/>
        <v>50</v>
      </c>
      <c r="G1784" s="1" t="str">
        <f t="shared" si="111"/>
        <v/>
      </c>
      <c r="I1784" s="1" t="str">
        <f t="shared" si="109"/>
        <v>威尔新数值1.06.xlsm!circlePer</v>
      </c>
    </row>
    <row r="1785" spans="1:9" x14ac:dyDescent="0.15">
      <c r="A1785" s="1">
        <v>1784</v>
      </c>
      <c r="B1785" s="1">
        <v>102080900</v>
      </c>
      <c r="C1785" s="1">
        <f t="shared" si="112"/>
        <v>102</v>
      </c>
      <c r="D1785" s="5">
        <f ca="1">IF(getQuality(B1785)&lt;4,getOtherMin(B1785,C1785,INDIRECT(J$2),INDIRECT(I1785),test),getMin(B1785,C1785,INDIRECT(J$2),INDIRECT(I1785),test))</f>
        <v>1.1000000000000001</v>
      </c>
      <c r="E1785" s="5">
        <f ca="1">IF(getQuality(B1785)&lt;4,getOtherMax(B1785,C1785,INDIRECT(J$2),INDIRECT(I1785),test),getMax(B1785,C1785,INDIRECT(J$2),INDIRECT(I1785),test))</f>
        <v>1.5</v>
      </c>
      <c r="F1785" s="1" t="str">
        <f t="shared" si="110"/>
        <v>50</v>
      </c>
      <c r="G1785" s="1" t="str">
        <f t="shared" si="111"/>
        <v/>
      </c>
      <c r="I1785" s="1" t="str">
        <f t="shared" si="109"/>
        <v>威尔新数值1.06.xlsm!circleValue</v>
      </c>
    </row>
    <row r="1786" spans="1:9" x14ac:dyDescent="0.15">
      <c r="A1786" s="1">
        <v>1785</v>
      </c>
      <c r="B1786" s="1">
        <v>102080900</v>
      </c>
      <c r="C1786" s="1">
        <f t="shared" si="112"/>
        <v>103</v>
      </c>
      <c r="D1786" s="5">
        <f ca="1">IF(getQuality(B1786)&lt;4,getOtherMin(B1786,C1786,INDIRECT(J$2),INDIRECT(I1786),test),getMin(B1786,C1786,INDIRECT(J$2),INDIRECT(I1786),test))</f>
        <v>0.13</v>
      </c>
      <c r="E1786" s="5">
        <f ca="1">IF(getQuality(B1786)&lt;4,getOtherMax(B1786,C1786,INDIRECT(J$2),INDIRECT(I1786),test),getMax(B1786,C1786,INDIRECT(J$2),INDIRECT(I1786),test))</f>
        <v>0.16</v>
      </c>
      <c r="F1786" s="1" t="str">
        <f t="shared" si="110"/>
        <v>50</v>
      </c>
      <c r="G1786" s="1" t="str">
        <f t="shared" si="111"/>
        <v/>
      </c>
      <c r="I1786" s="1" t="str">
        <f t="shared" si="109"/>
        <v>威尔新数值1.06.xlsm!otherDamage</v>
      </c>
    </row>
    <row r="1787" spans="1:9" x14ac:dyDescent="0.15">
      <c r="A1787" s="1">
        <v>1786</v>
      </c>
      <c r="B1787" s="1">
        <v>102080900</v>
      </c>
      <c r="C1787" s="1">
        <f t="shared" si="112"/>
        <v>104</v>
      </c>
      <c r="D1787" s="5">
        <f ca="1">IF(getQuality(B1787)&lt;4,getOtherMin(B1787,C1787,INDIRECT(J$2),INDIRECT(I1787),test),getMin(B1787,C1787,INDIRECT(J$2),INDIRECT(I1787),test))</f>
        <v>0.13</v>
      </c>
      <c r="E1787" s="5">
        <f ca="1">IF(getQuality(B1787)&lt;4,getOtherMax(B1787,C1787,INDIRECT(J$2),INDIRECT(I1787),test),getMax(B1787,C1787,INDIRECT(J$2),INDIRECT(I1787),test))</f>
        <v>0.26</v>
      </c>
      <c r="F1787" s="1" t="str">
        <f t="shared" si="110"/>
        <v>50</v>
      </c>
      <c r="G1787" s="1" t="str">
        <f t="shared" si="111"/>
        <v/>
      </c>
      <c r="I1787" s="1" t="str">
        <f t="shared" si="109"/>
        <v>威尔新数值1.06.xlsm!monsterDamage</v>
      </c>
    </row>
    <row r="1788" spans="1:9" x14ac:dyDescent="0.15">
      <c r="A1788" s="1">
        <v>1787</v>
      </c>
      <c r="B1788" s="1">
        <v>102080900</v>
      </c>
      <c r="C1788" s="1">
        <f t="shared" si="112"/>
        <v>105</v>
      </c>
      <c r="D1788" s="5">
        <f ca="1">IF(getQuality(B1788)&lt;4,getOtherMin(B1788,C1788,INDIRECT(J$2),INDIRECT(I1788),test),getMin(B1788,C1788,INDIRECT(J$2),INDIRECT(I1788),test))</f>
        <v>0.13</v>
      </c>
      <c r="E1788" s="5">
        <f ca="1">IF(getQuality(B1788)&lt;4,getOtherMax(B1788,C1788,INDIRECT(J$2),INDIRECT(I1788),test),getMax(B1788,C1788,INDIRECT(J$2),INDIRECT(I1788),test))</f>
        <v>0.26</v>
      </c>
      <c r="F1788" s="1" t="str">
        <f t="shared" si="110"/>
        <v>50</v>
      </c>
      <c r="G1788" s="1" t="str">
        <f t="shared" si="111"/>
        <v/>
      </c>
      <c r="I1788" s="1" t="str">
        <f t="shared" si="109"/>
        <v>威尔新数值1.06.xlsm!monsterDamage</v>
      </c>
    </row>
    <row r="1789" spans="1:9" x14ac:dyDescent="0.15">
      <c r="A1789" s="1">
        <v>1788</v>
      </c>
      <c r="B1789" s="1">
        <v>102080900</v>
      </c>
      <c r="C1789" s="1">
        <f t="shared" si="112"/>
        <v>106</v>
      </c>
      <c r="D1789" s="5">
        <f ca="1">IF(getQuality(B1789)&lt;4,getOtherMin(B1789,C1789,INDIRECT(J$2),INDIRECT(I1789),test),getMin(B1789,C1789,INDIRECT(J$2),INDIRECT(I1789),test))</f>
        <v>0.13</v>
      </c>
      <c r="E1789" s="5">
        <f ca="1">IF(getQuality(B1789)&lt;4,getOtherMax(B1789,C1789,INDIRECT(J$2),INDIRECT(I1789),test),getMax(B1789,C1789,INDIRECT(J$2),INDIRECT(I1789),test))</f>
        <v>0.26</v>
      </c>
      <c r="F1789" s="1" t="str">
        <f t="shared" si="110"/>
        <v>50</v>
      </c>
      <c r="G1789" s="1" t="str">
        <f t="shared" si="111"/>
        <v/>
      </c>
      <c r="I1789" s="1" t="str">
        <f t="shared" si="109"/>
        <v>威尔新数值1.06.xlsm!monsterDamage</v>
      </c>
    </row>
    <row r="1790" spans="1:9" x14ac:dyDescent="0.15">
      <c r="A1790" s="1">
        <v>1789</v>
      </c>
      <c r="B1790" s="1">
        <v>102080900</v>
      </c>
      <c r="C1790" s="1">
        <f t="shared" si="112"/>
        <v>107</v>
      </c>
      <c r="D1790" s="5">
        <f ca="1">IF(getQuality(B1790)&lt;4,getOtherMin(B1790,C1790,INDIRECT(J$2),INDIRECT(I1790),test),getMin(B1790,C1790,INDIRECT(J$2),INDIRECT(I1790),test))</f>
        <v>0.13</v>
      </c>
      <c r="E1790" s="5">
        <f ca="1">IF(getQuality(B1790)&lt;4,getOtherMax(B1790,C1790,INDIRECT(J$2),INDIRECT(I1790),test),getMax(B1790,C1790,INDIRECT(J$2),INDIRECT(I1790),test))</f>
        <v>0.26</v>
      </c>
      <c r="F1790" s="1" t="str">
        <f t="shared" si="110"/>
        <v>50</v>
      </c>
      <c r="G1790" s="1" t="str">
        <f t="shared" si="111"/>
        <v/>
      </c>
      <c r="I1790" s="1" t="str">
        <f t="shared" si="109"/>
        <v>威尔新数值1.06.xlsm!monsterDamage</v>
      </c>
    </row>
    <row r="1791" spans="1:9" x14ac:dyDescent="0.15">
      <c r="A1791" s="1">
        <v>1790</v>
      </c>
      <c r="B1791" s="1">
        <v>102080900</v>
      </c>
      <c r="C1791" s="1">
        <f t="shared" si="112"/>
        <v>108</v>
      </c>
      <c r="D1791" s="5">
        <f ca="1">IF(getQuality(B1791)&lt;4,getOtherMin(B1791,C1791,INDIRECT(J$2),INDIRECT(I1791),test),getMin(B1791,C1791,INDIRECT(J$2),INDIRECT(I1791),test))</f>
        <v>0.13</v>
      </c>
      <c r="E1791" s="5">
        <f ca="1">IF(getQuality(B1791)&lt;4,getOtherMax(B1791,C1791,INDIRECT(J$2),INDIRECT(I1791),test),getMax(B1791,C1791,INDIRECT(J$2),INDIRECT(I1791),test))</f>
        <v>0.26</v>
      </c>
      <c r="F1791" s="1" t="str">
        <f t="shared" si="110"/>
        <v>50</v>
      </c>
      <c r="G1791" s="1" t="str">
        <f t="shared" si="111"/>
        <v/>
      </c>
      <c r="I1791" s="1" t="str">
        <f t="shared" si="109"/>
        <v>威尔新数值1.06.xlsm!monsterDamage</v>
      </c>
    </row>
    <row r="1792" spans="1:9" x14ac:dyDescent="0.15">
      <c r="A1792" s="1">
        <v>1791</v>
      </c>
      <c r="B1792" s="1">
        <v>102090900</v>
      </c>
      <c r="C1792" s="1">
        <f t="shared" si="112"/>
        <v>3</v>
      </c>
      <c r="D1792" s="5">
        <f ca="1">IF(getQuality(B1792)&lt;4,getOtherMin(B1792,C1792,INDIRECT(J$2),INDIRECT(I1792),test),getMin(B1792,C1792,INDIRECT(J$2),INDIRECT(I1792),test))</f>
        <v>288.24542239033156</v>
      </c>
      <c r="E1792" s="5">
        <f ca="1">IF(getQuality(B1792)&lt;4,getOtherMax(B1792,C1792,INDIRECT(J$2),INDIRECT(I1792),test),getMax(B1792,C1792,INDIRECT(J$2),INDIRECT(I1792),test))</f>
        <v>342.05887732784834</v>
      </c>
      <c r="F1792" s="1" t="str">
        <f t="shared" si="110"/>
        <v>50</v>
      </c>
      <c r="G1792" s="1" t="str">
        <f t="shared" si="111"/>
        <v/>
      </c>
      <c r="I1792" s="1" t="str">
        <f t="shared" si="109"/>
        <v>威尔新数值1.06.xlsm!suitPower</v>
      </c>
    </row>
    <row r="1793" spans="1:9" x14ac:dyDescent="0.15">
      <c r="A1793" s="1">
        <v>1792</v>
      </c>
      <c r="B1793" s="1">
        <v>102090900</v>
      </c>
      <c r="C1793" s="1">
        <f t="shared" si="112"/>
        <v>5</v>
      </c>
      <c r="D1793" s="5">
        <f ca="1">IF(getQuality(B1793)&lt;4,getOtherMin(B1793,C1793,INDIRECT(J$2),INDIRECT(I1793),test),getMin(B1793,C1793,INDIRECT(J$2),INDIRECT(I1793),test))</f>
        <v>288.24542239033156</v>
      </c>
      <c r="E1793" s="5">
        <f ca="1">IF(getQuality(B1793)&lt;4,getOtherMax(B1793,C1793,INDIRECT(J$2),INDIRECT(I1793),test),getMax(B1793,C1793,INDIRECT(J$2),INDIRECT(I1793),test))</f>
        <v>342.05887732784834</v>
      </c>
      <c r="F1793" s="1" t="str">
        <f t="shared" si="110"/>
        <v>50</v>
      </c>
      <c r="G1793" s="1" t="str">
        <f t="shared" si="111"/>
        <v>1</v>
      </c>
      <c r="I1793" s="1" t="str">
        <f t="shared" si="109"/>
        <v>威尔新数值1.06.xlsm!suitPower</v>
      </c>
    </row>
    <row r="1794" spans="1:9" x14ac:dyDescent="0.15">
      <c r="A1794" s="1">
        <v>1793</v>
      </c>
      <c r="B1794" s="1">
        <v>102090900</v>
      </c>
      <c r="C1794" s="1">
        <f t="shared" si="112"/>
        <v>7</v>
      </c>
      <c r="D1794" s="5">
        <f ca="1">IF(getQuality(B1794)&lt;4,getOtherMin(B1794,C1794,INDIRECT(J$2),INDIRECT(I1794),test),getMin(B1794,C1794,INDIRECT(J$2),INDIRECT(I1794),test))</f>
        <v>52.85185185185172</v>
      </c>
      <c r="E1794" s="5">
        <f ca="1">IF(getQuality(B1794)&lt;4,getOtherMax(B1794,C1794,INDIRECT(J$2),INDIRECT(I1794),test),getMax(B1794,C1794,INDIRECT(J$2),INDIRECT(I1794),test))</f>
        <v>58.333333333333186</v>
      </c>
      <c r="F1794" s="1" t="str">
        <f t="shared" si="110"/>
        <v>50</v>
      </c>
      <c r="G1794" s="1" t="str">
        <f t="shared" si="111"/>
        <v/>
      </c>
      <c r="I1794" s="1" t="str">
        <f t="shared" ref="I1794:I1857" si="113">IF(C1794&lt;100,VLOOKUP(C1794,test,3,FALSE),VLOOKUP(C1794,test1,3,FALSE))</f>
        <v>威尔新数值1.06.xlsm!suitPower</v>
      </c>
    </row>
    <row r="1795" spans="1:9" x14ac:dyDescent="0.15">
      <c r="A1795" s="1">
        <v>1794</v>
      </c>
      <c r="B1795" s="1">
        <v>102090900</v>
      </c>
      <c r="C1795" s="1">
        <f t="shared" si="112"/>
        <v>8</v>
      </c>
      <c r="D1795" s="5">
        <f ca="1">IF(getQuality(B1795)&lt;4,getOtherMin(B1795,C1795,INDIRECT(J$2),INDIRECT(I1795),test),getMin(B1795,C1795,INDIRECT(J$2),INDIRECT(I1795),test))</f>
        <v>117.66666666666667</v>
      </c>
      <c r="E1795" s="5">
        <f ca="1">IF(getQuality(B1795)&lt;4,getOtherMax(B1795,C1795,INDIRECT(J$2),INDIRECT(I1795),test),getMax(B1795,C1795,INDIRECT(J$2),INDIRECT(I1795),test))</f>
        <v>131.25</v>
      </c>
      <c r="F1795" s="1" t="str">
        <f t="shared" ref="F1795:F1858" si="114">getper(B1795,C1795)</f>
        <v>50</v>
      </c>
      <c r="G1795" s="1" t="str">
        <f t="shared" ref="G1795:G1858" si="115">getMust(B1795,C1795)</f>
        <v/>
      </c>
      <c r="I1795" s="1" t="str">
        <f t="shared" si="113"/>
        <v>威尔新数值1.06.xlsm!suitPower</v>
      </c>
    </row>
    <row r="1796" spans="1:9" x14ac:dyDescent="0.15">
      <c r="A1796" s="1">
        <v>1795</v>
      </c>
      <c r="B1796" s="1">
        <v>102090900</v>
      </c>
      <c r="C1796" s="1">
        <f t="shared" si="112"/>
        <v>9</v>
      </c>
      <c r="D1796" s="5">
        <f ca="1">IF(getQuality(B1796)&lt;4,getOtherMin(B1796,C1796,INDIRECT(J$2),INDIRECT(I1796),test),getMin(B1796,C1796,INDIRECT(J$2),INDIRECT(I1796),test))</f>
        <v>288.24542239033156</v>
      </c>
      <c r="E1796" s="5">
        <f ca="1">IF(getQuality(B1796)&lt;4,getOtherMax(B1796,C1796,INDIRECT(J$2),INDIRECT(I1796),test),getMax(B1796,C1796,INDIRECT(J$2),INDIRECT(I1796),test))</f>
        <v>342.05887732784834</v>
      </c>
      <c r="F1796" s="1" t="str">
        <f t="shared" si="114"/>
        <v>50</v>
      </c>
      <c r="G1796" s="1" t="str">
        <f t="shared" si="115"/>
        <v/>
      </c>
      <c r="I1796" s="1" t="str">
        <f t="shared" si="113"/>
        <v>威尔新数值1.06.xlsm!suitPower</v>
      </c>
    </row>
    <row r="1797" spans="1:9" x14ac:dyDescent="0.15">
      <c r="A1797" s="1">
        <v>1796</v>
      </c>
      <c r="B1797" s="1">
        <v>102090900</v>
      </c>
      <c r="C1797" s="1">
        <f t="shared" si="112"/>
        <v>10</v>
      </c>
      <c r="D1797" s="5">
        <f ca="1">IF(getQuality(B1797)&lt;4,getOtherMin(B1797,C1797,INDIRECT(J$2),INDIRECT(I1797),test),getMin(B1797,C1797,INDIRECT(J$2),INDIRECT(I1797),test))</f>
        <v>288.24542239033156</v>
      </c>
      <c r="E1797" s="5">
        <f ca="1">IF(getQuality(B1797)&lt;4,getOtherMax(B1797,C1797,INDIRECT(J$2),INDIRECT(I1797),test),getMax(B1797,C1797,INDIRECT(J$2),INDIRECT(I1797),test))</f>
        <v>342.05887732784834</v>
      </c>
      <c r="F1797" s="1" t="str">
        <f t="shared" si="114"/>
        <v>50</v>
      </c>
      <c r="G1797" s="1" t="str">
        <f t="shared" si="115"/>
        <v/>
      </c>
      <c r="I1797" s="1" t="str">
        <f t="shared" si="113"/>
        <v>威尔新数值1.06.xlsm!suitPower</v>
      </c>
    </row>
    <row r="1798" spans="1:9" x14ac:dyDescent="0.15">
      <c r="A1798" s="1">
        <v>1797</v>
      </c>
      <c r="B1798" s="1">
        <v>102090900</v>
      </c>
      <c r="C1798" s="1">
        <f t="shared" si="112"/>
        <v>11</v>
      </c>
      <c r="D1798" s="5">
        <f ca="1">IF(getQuality(B1798)&lt;4,getOtherMin(B1798,C1798,INDIRECT(J$2),INDIRECT(I1798),test),getMin(B1798,C1798,INDIRECT(J$2),INDIRECT(I1798),test))</f>
        <v>288.24542239033156</v>
      </c>
      <c r="E1798" s="5">
        <f ca="1">IF(getQuality(B1798)&lt;4,getOtherMax(B1798,C1798,INDIRECT(J$2),INDIRECT(I1798),test),getMax(B1798,C1798,INDIRECT(J$2),INDIRECT(I1798),test))</f>
        <v>342.05887732784834</v>
      </c>
      <c r="F1798" s="1" t="str">
        <f t="shared" si="114"/>
        <v>50</v>
      </c>
      <c r="G1798" s="1" t="str">
        <f t="shared" si="115"/>
        <v/>
      </c>
      <c r="I1798" s="1" t="str">
        <f t="shared" si="113"/>
        <v>威尔新数值1.06.xlsm!suitPower</v>
      </c>
    </row>
    <row r="1799" spans="1:9" x14ac:dyDescent="0.15">
      <c r="A1799" s="1">
        <v>1798</v>
      </c>
      <c r="B1799" s="1">
        <v>102090900</v>
      </c>
      <c r="C1799" s="1">
        <f t="shared" si="112"/>
        <v>12</v>
      </c>
      <c r="D1799" s="5">
        <f ca="1">IF(getQuality(B1799)&lt;4,getOtherMin(B1799,C1799,INDIRECT(J$2),INDIRECT(I1799),test),getMin(B1799,C1799,INDIRECT(J$2),INDIRECT(I1799),test))</f>
        <v>288.24542239033156</v>
      </c>
      <c r="E1799" s="5">
        <f ca="1">IF(getQuality(B1799)&lt;4,getOtherMax(B1799,C1799,INDIRECT(J$2),INDIRECT(I1799),test),getMax(B1799,C1799,INDIRECT(J$2),INDIRECT(I1799),test))</f>
        <v>342.05887732784834</v>
      </c>
      <c r="F1799" s="1" t="str">
        <f t="shared" si="114"/>
        <v>50</v>
      </c>
      <c r="G1799" s="1" t="str">
        <f t="shared" si="115"/>
        <v/>
      </c>
      <c r="I1799" s="1" t="str">
        <f t="shared" si="113"/>
        <v>威尔新数值1.06.xlsm!suitPower</v>
      </c>
    </row>
    <row r="1800" spans="1:9" x14ac:dyDescent="0.15">
      <c r="A1800" s="1">
        <v>1799</v>
      </c>
      <c r="B1800" s="1">
        <v>102090900</v>
      </c>
      <c r="C1800" s="1">
        <f t="shared" si="112"/>
        <v>13</v>
      </c>
      <c r="D1800" s="5">
        <f ca="1">IF(getQuality(B1800)&lt;4,getOtherMin(B1800,C1800,INDIRECT(J$2),INDIRECT(I1800),test),getMin(B1800,C1800,INDIRECT(J$2),INDIRECT(I1800),test))</f>
        <v>288.24542239033156</v>
      </c>
      <c r="E1800" s="5">
        <f ca="1">IF(getQuality(B1800)&lt;4,getOtherMax(B1800,C1800,INDIRECT(J$2),INDIRECT(I1800),test),getMax(B1800,C1800,INDIRECT(J$2),INDIRECT(I1800),test))</f>
        <v>342.05887732784834</v>
      </c>
      <c r="F1800" s="1" t="str">
        <f t="shared" si="114"/>
        <v>50</v>
      </c>
      <c r="G1800" s="1" t="str">
        <f t="shared" si="115"/>
        <v/>
      </c>
      <c r="I1800" s="1" t="str">
        <f t="shared" si="113"/>
        <v>威尔新数值1.06.xlsm!suitPower</v>
      </c>
    </row>
    <row r="1801" spans="1:9" x14ac:dyDescent="0.15">
      <c r="A1801" s="1">
        <v>1800</v>
      </c>
      <c r="B1801" s="1">
        <v>102090900</v>
      </c>
      <c r="C1801" s="1">
        <f t="shared" si="112"/>
        <v>14</v>
      </c>
      <c r="D1801" s="5">
        <f ca="1">IF(getQuality(B1801)&lt;4,getOtherMin(B1801,C1801,INDIRECT(J$2),INDIRECT(I1801),test),getMin(B1801,C1801,INDIRECT(J$2),INDIRECT(I1801),test))</f>
        <v>288.24542239033156</v>
      </c>
      <c r="E1801" s="5">
        <f ca="1">IF(getQuality(B1801)&lt;4,getOtherMax(B1801,C1801,INDIRECT(J$2),INDIRECT(I1801),test),getMax(B1801,C1801,INDIRECT(J$2),INDIRECT(I1801),test))</f>
        <v>342.05887732784834</v>
      </c>
      <c r="F1801" s="1" t="str">
        <f t="shared" si="114"/>
        <v>50</v>
      </c>
      <c r="G1801" s="1" t="str">
        <f t="shared" si="115"/>
        <v/>
      </c>
      <c r="I1801" s="1" t="str">
        <f t="shared" si="113"/>
        <v>威尔新数值1.06.xlsm!suitPower</v>
      </c>
    </row>
    <row r="1802" spans="1:9" x14ac:dyDescent="0.15">
      <c r="A1802" s="1">
        <v>1801</v>
      </c>
      <c r="B1802" s="1">
        <v>102090900</v>
      </c>
      <c r="C1802" s="1">
        <f t="shared" si="112"/>
        <v>15</v>
      </c>
      <c r="D1802" s="5">
        <f ca="1">IF(getQuality(B1802)&lt;4,getOtherMin(B1802,C1802,INDIRECT(J$2),INDIRECT(I1802),test),getMin(B1802,C1802,INDIRECT(J$2),INDIRECT(I1802),test))</f>
        <v>288.24542239033156</v>
      </c>
      <c r="E1802" s="5">
        <f ca="1">IF(getQuality(B1802)&lt;4,getOtherMax(B1802,C1802,INDIRECT(J$2),INDIRECT(I1802),test),getMax(B1802,C1802,INDIRECT(J$2),INDIRECT(I1802),test))</f>
        <v>342.05887732784834</v>
      </c>
      <c r="F1802" s="1" t="str">
        <f t="shared" si="114"/>
        <v>50</v>
      </c>
      <c r="G1802" s="1" t="str">
        <f t="shared" si="115"/>
        <v/>
      </c>
      <c r="I1802" s="1" t="str">
        <f t="shared" si="113"/>
        <v>威尔新数值1.06.xlsm!suitPower</v>
      </c>
    </row>
    <row r="1803" spans="1:9" x14ac:dyDescent="0.15">
      <c r="A1803" s="1">
        <v>1802</v>
      </c>
      <c r="B1803" s="1">
        <v>102090900</v>
      </c>
      <c r="C1803" s="1">
        <f t="shared" si="112"/>
        <v>101</v>
      </c>
      <c r="D1803" s="5">
        <f ca="1">IF(getQuality(B1803)&lt;4,getOtherMin(B1803,C1803,INDIRECT(J$2),INDIRECT(I1803),test),getMin(B1803,C1803,INDIRECT(J$2),INDIRECT(I1803),test))</f>
        <v>0.14000000000000001</v>
      </c>
      <c r="E1803" s="5">
        <f ca="1">IF(getQuality(B1803)&lt;4,getOtherMax(B1803,C1803,INDIRECT(J$2),INDIRECT(I1803),test),getMax(B1803,C1803,INDIRECT(J$2),INDIRECT(I1803),test))</f>
        <v>0.17</v>
      </c>
      <c r="F1803" s="1" t="str">
        <f t="shared" si="114"/>
        <v>50</v>
      </c>
      <c r="G1803" s="1" t="str">
        <f t="shared" si="115"/>
        <v/>
      </c>
      <c r="I1803" s="1" t="str">
        <f t="shared" si="113"/>
        <v>威尔新数值1.06.xlsm!circlePer</v>
      </c>
    </row>
    <row r="1804" spans="1:9" x14ac:dyDescent="0.15">
      <c r="A1804" s="1">
        <v>1803</v>
      </c>
      <c r="B1804" s="1">
        <v>102090900</v>
      </c>
      <c r="C1804" s="1">
        <f t="shared" si="112"/>
        <v>102</v>
      </c>
      <c r="D1804" s="5">
        <f ca="1">IF(getQuality(B1804)&lt;4,getOtherMin(B1804,C1804,INDIRECT(J$2),INDIRECT(I1804),test),getMin(B1804,C1804,INDIRECT(J$2),INDIRECT(I1804),test))</f>
        <v>1.2</v>
      </c>
      <c r="E1804" s="5">
        <f ca="1">IF(getQuality(B1804)&lt;4,getOtherMax(B1804,C1804,INDIRECT(J$2),INDIRECT(I1804),test),getMax(B1804,C1804,INDIRECT(J$2),INDIRECT(I1804),test))</f>
        <v>1.6</v>
      </c>
      <c r="F1804" s="1" t="str">
        <f t="shared" si="114"/>
        <v>50</v>
      </c>
      <c r="G1804" s="1" t="str">
        <f t="shared" si="115"/>
        <v/>
      </c>
      <c r="I1804" s="1" t="str">
        <f t="shared" si="113"/>
        <v>威尔新数值1.06.xlsm!circleValue</v>
      </c>
    </row>
    <row r="1805" spans="1:9" x14ac:dyDescent="0.15">
      <c r="A1805" s="1">
        <v>1804</v>
      </c>
      <c r="B1805" s="1">
        <v>102090900</v>
      </c>
      <c r="C1805" s="1">
        <f t="shared" si="112"/>
        <v>103</v>
      </c>
      <c r="D1805" s="5">
        <f ca="1">IF(getQuality(B1805)&lt;4,getOtherMin(B1805,C1805,INDIRECT(J$2),INDIRECT(I1805),test),getMin(B1805,C1805,INDIRECT(J$2),INDIRECT(I1805),test))</f>
        <v>0.14000000000000001</v>
      </c>
      <c r="E1805" s="5">
        <f ca="1">IF(getQuality(B1805)&lt;4,getOtherMax(B1805,C1805,INDIRECT(J$2),INDIRECT(I1805),test),getMax(B1805,C1805,INDIRECT(J$2),INDIRECT(I1805),test))</f>
        <v>0.17</v>
      </c>
      <c r="F1805" s="1" t="str">
        <f t="shared" si="114"/>
        <v>50</v>
      </c>
      <c r="G1805" s="1" t="str">
        <f t="shared" si="115"/>
        <v/>
      </c>
      <c r="I1805" s="1" t="str">
        <f t="shared" si="113"/>
        <v>威尔新数值1.06.xlsm!otherDamage</v>
      </c>
    </row>
    <row r="1806" spans="1:9" x14ac:dyDescent="0.15">
      <c r="A1806" s="1">
        <v>1805</v>
      </c>
      <c r="B1806" s="1">
        <v>102090900</v>
      </c>
      <c r="C1806" s="1">
        <f t="shared" si="112"/>
        <v>104</v>
      </c>
      <c r="D1806" s="5">
        <f ca="1">IF(getQuality(B1806)&lt;4,getOtherMin(B1806,C1806,INDIRECT(J$2),INDIRECT(I1806),test),getMin(B1806,C1806,INDIRECT(J$2),INDIRECT(I1806),test))</f>
        <v>0.14000000000000001</v>
      </c>
      <c r="E1806" s="5">
        <f ca="1">IF(getQuality(B1806)&lt;4,getOtherMax(B1806,C1806,INDIRECT(J$2),INDIRECT(I1806),test),getMax(B1806,C1806,INDIRECT(J$2),INDIRECT(I1806),test))</f>
        <v>0.28000000000000003</v>
      </c>
      <c r="F1806" s="1" t="str">
        <f t="shared" si="114"/>
        <v>50</v>
      </c>
      <c r="G1806" s="1" t="str">
        <f t="shared" si="115"/>
        <v/>
      </c>
      <c r="I1806" s="1" t="str">
        <f t="shared" si="113"/>
        <v>威尔新数值1.06.xlsm!monsterDamage</v>
      </c>
    </row>
    <row r="1807" spans="1:9" x14ac:dyDescent="0.15">
      <c r="A1807" s="1">
        <v>1806</v>
      </c>
      <c r="B1807" s="1">
        <v>102090900</v>
      </c>
      <c r="C1807" s="1">
        <f t="shared" si="112"/>
        <v>105</v>
      </c>
      <c r="D1807" s="5">
        <f ca="1">IF(getQuality(B1807)&lt;4,getOtherMin(B1807,C1807,INDIRECT(J$2),INDIRECT(I1807),test),getMin(B1807,C1807,INDIRECT(J$2),INDIRECT(I1807),test))</f>
        <v>0.14000000000000001</v>
      </c>
      <c r="E1807" s="5">
        <f ca="1">IF(getQuality(B1807)&lt;4,getOtherMax(B1807,C1807,INDIRECT(J$2),INDIRECT(I1807),test),getMax(B1807,C1807,INDIRECT(J$2),INDIRECT(I1807),test))</f>
        <v>0.28000000000000003</v>
      </c>
      <c r="F1807" s="1" t="str">
        <f t="shared" si="114"/>
        <v>50</v>
      </c>
      <c r="G1807" s="1" t="str">
        <f t="shared" si="115"/>
        <v/>
      </c>
      <c r="I1807" s="1" t="str">
        <f t="shared" si="113"/>
        <v>威尔新数值1.06.xlsm!monsterDamage</v>
      </c>
    </row>
    <row r="1808" spans="1:9" x14ac:dyDescent="0.15">
      <c r="A1808" s="1">
        <v>1807</v>
      </c>
      <c r="B1808" s="1">
        <v>102090900</v>
      </c>
      <c r="C1808" s="1">
        <f t="shared" si="112"/>
        <v>106</v>
      </c>
      <c r="D1808" s="5">
        <f ca="1">IF(getQuality(B1808)&lt;4,getOtherMin(B1808,C1808,INDIRECT(J$2),INDIRECT(I1808),test),getMin(B1808,C1808,INDIRECT(J$2),INDIRECT(I1808),test))</f>
        <v>0.14000000000000001</v>
      </c>
      <c r="E1808" s="5">
        <f ca="1">IF(getQuality(B1808)&lt;4,getOtherMax(B1808,C1808,INDIRECT(J$2),INDIRECT(I1808),test),getMax(B1808,C1808,INDIRECT(J$2),INDIRECT(I1808),test))</f>
        <v>0.28000000000000003</v>
      </c>
      <c r="F1808" s="1" t="str">
        <f t="shared" si="114"/>
        <v>50</v>
      </c>
      <c r="G1808" s="1" t="str">
        <f t="shared" si="115"/>
        <v/>
      </c>
      <c r="I1808" s="1" t="str">
        <f t="shared" si="113"/>
        <v>威尔新数值1.06.xlsm!monsterDamage</v>
      </c>
    </row>
    <row r="1809" spans="1:9" x14ac:dyDescent="0.15">
      <c r="A1809" s="1">
        <v>1808</v>
      </c>
      <c r="B1809" s="1">
        <v>102090900</v>
      </c>
      <c r="C1809" s="1">
        <f t="shared" si="112"/>
        <v>107</v>
      </c>
      <c r="D1809" s="5">
        <f ca="1">IF(getQuality(B1809)&lt;4,getOtherMin(B1809,C1809,INDIRECT(J$2),INDIRECT(I1809),test),getMin(B1809,C1809,INDIRECT(J$2),INDIRECT(I1809),test))</f>
        <v>0.14000000000000001</v>
      </c>
      <c r="E1809" s="5">
        <f ca="1">IF(getQuality(B1809)&lt;4,getOtherMax(B1809,C1809,INDIRECT(J$2),INDIRECT(I1809),test),getMax(B1809,C1809,INDIRECT(J$2),INDIRECT(I1809),test))</f>
        <v>0.28000000000000003</v>
      </c>
      <c r="F1809" s="1" t="str">
        <f t="shared" si="114"/>
        <v>50</v>
      </c>
      <c r="G1809" s="1" t="str">
        <f t="shared" si="115"/>
        <v/>
      </c>
      <c r="I1809" s="1" t="str">
        <f t="shared" si="113"/>
        <v>威尔新数值1.06.xlsm!monsterDamage</v>
      </c>
    </row>
    <row r="1810" spans="1:9" x14ac:dyDescent="0.15">
      <c r="A1810" s="1">
        <v>1809</v>
      </c>
      <c r="B1810" s="1">
        <v>102090900</v>
      </c>
      <c r="C1810" s="1">
        <f t="shared" si="112"/>
        <v>108</v>
      </c>
      <c r="D1810" s="5">
        <f ca="1">IF(getQuality(B1810)&lt;4,getOtherMin(B1810,C1810,INDIRECT(J$2),INDIRECT(I1810),test),getMin(B1810,C1810,INDIRECT(J$2),INDIRECT(I1810),test))</f>
        <v>0.14000000000000001</v>
      </c>
      <c r="E1810" s="5">
        <f ca="1">IF(getQuality(B1810)&lt;4,getOtherMax(B1810,C1810,INDIRECT(J$2),INDIRECT(I1810),test),getMax(B1810,C1810,INDIRECT(J$2),INDIRECT(I1810),test))</f>
        <v>0.28000000000000003</v>
      </c>
      <c r="F1810" s="1" t="str">
        <f t="shared" si="114"/>
        <v>50</v>
      </c>
      <c r="G1810" s="1" t="str">
        <f t="shared" si="115"/>
        <v/>
      </c>
      <c r="I1810" s="1" t="str">
        <f t="shared" si="113"/>
        <v>威尔新数值1.06.xlsm!monsterDamage</v>
      </c>
    </row>
    <row r="1811" spans="1:9" x14ac:dyDescent="0.15">
      <c r="A1811" s="1">
        <v>1810</v>
      </c>
      <c r="B1811" s="1">
        <v>102011000</v>
      </c>
      <c r="C1811" s="1">
        <f t="shared" si="112"/>
        <v>3</v>
      </c>
      <c r="D1811" s="5">
        <f ca="1">IF(getQuality(B1811)&lt;4,getOtherMin(B1811,C1811,INDIRECT(J$2),INDIRECT(I1811),test),getMin(B1811,C1811,INDIRECT(J$2),INDIRECT(I1811),test))</f>
        <v>1</v>
      </c>
      <c r="E1811" s="5">
        <f ca="1">IF(getQuality(B1811)&lt;4,getOtherMax(B1811,C1811,INDIRECT(J$2),INDIRECT(I1811),test),getMax(B1811,C1811,INDIRECT(J$2),INDIRECT(I1811),test))</f>
        <v>21.008641265250315</v>
      </c>
      <c r="F1811" s="1" t="str">
        <f t="shared" si="114"/>
        <v>50</v>
      </c>
      <c r="G1811" s="1" t="str">
        <f t="shared" si="115"/>
        <v>1</v>
      </c>
      <c r="I1811" s="1" t="str">
        <f t="shared" si="113"/>
        <v>威尔新数值1.06.xlsm!suitPower</v>
      </c>
    </row>
    <row r="1812" spans="1:9" x14ac:dyDescent="0.15">
      <c r="A1812" s="1">
        <v>1811</v>
      </c>
      <c r="B1812" s="1">
        <v>102011000</v>
      </c>
      <c r="C1812" s="1">
        <f t="shared" si="112"/>
        <v>5</v>
      </c>
      <c r="D1812" s="5">
        <f ca="1">IF(getQuality(B1812)&lt;4,getOtherMin(B1812,C1812,INDIRECT(J$2),INDIRECT(I1812),test),getMin(B1812,C1812,INDIRECT(J$2),INDIRECT(I1812),test))</f>
        <v>1</v>
      </c>
      <c r="E1812" s="5">
        <f ca="1">IF(getQuality(B1812)&lt;4,getOtherMax(B1812,C1812,INDIRECT(J$2),INDIRECT(I1812),test),getMax(B1812,C1812,INDIRECT(J$2),INDIRECT(I1812),test))</f>
        <v>21.008641265250315</v>
      </c>
      <c r="F1812" s="1" t="str">
        <f t="shared" si="114"/>
        <v>50</v>
      </c>
      <c r="G1812" s="1" t="str">
        <f t="shared" si="115"/>
        <v/>
      </c>
      <c r="I1812" s="1" t="str">
        <f t="shared" si="113"/>
        <v>威尔新数值1.06.xlsm!suitPower</v>
      </c>
    </row>
    <row r="1813" spans="1:9" x14ac:dyDescent="0.15">
      <c r="A1813" s="1">
        <v>1812</v>
      </c>
      <c r="B1813" s="1">
        <v>102011000</v>
      </c>
      <c r="C1813" s="1">
        <f t="shared" si="112"/>
        <v>7</v>
      </c>
      <c r="D1813" s="5">
        <f ca="1">IF(getQuality(B1813)&lt;4,getOtherMin(B1813,C1813,INDIRECT(J$2),INDIRECT(I1813),test),getMin(B1813,C1813,INDIRECT(J$2),INDIRECT(I1813),test))</f>
        <v>1</v>
      </c>
      <c r="E1813" s="5">
        <f ca="1">IF(getQuality(B1813)&lt;4,getOtherMax(B1813,C1813,INDIRECT(J$2),INDIRECT(I1813),test),getMax(B1813,C1813,INDIRECT(J$2),INDIRECT(I1813),test))</f>
        <v>6.481481481481465</v>
      </c>
      <c r="F1813" s="1" t="str">
        <f t="shared" si="114"/>
        <v>50</v>
      </c>
      <c r="G1813" s="1" t="str">
        <f t="shared" si="115"/>
        <v/>
      </c>
      <c r="I1813" s="1" t="str">
        <f t="shared" si="113"/>
        <v>威尔新数值1.06.xlsm!suitPower</v>
      </c>
    </row>
    <row r="1814" spans="1:9" x14ac:dyDescent="0.15">
      <c r="A1814" s="1">
        <v>1813</v>
      </c>
      <c r="B1814" s="1">
        <v>102011000</v>
      </c>
      <c r="C1814" s="1">
        <f t="shared" si="112"/>
        <v>8</v>
      </c>
      <c r="D1814" s="5">
        <f ca="1">IF(getQuality(B1814)&lt;4,getOtherMin(B1814,C1814,INDIRECT(J$2),INDIRECT(I1814),test),getMin(B1814,C1814,INDIRECT(J$2),INDIRECT(I1814),test))</f>
        <v>1</v>
      </c>
      <c r="E1814" s="5">
        <f ca="1">IF(getQuality(B1814)&lt;4,getOtherMax(B1814,C1814,INDIRECT(J$2),INDIRECT(I1814),test),getMax(B1814,C1814,INDIRECT(J$2),INDIRECT(I1814),test))</f>
        <v>14.583333333333334</v>
      </c>
      <c r="F1814" s="1" t="str">
        <f t="shared" si="114"/>
        <v>50</v>
      </c>
      <c r="G1814" s="1" t="str">
        <f t="shared" si="115"/>
        <v/>
      </c>
      <c r="I1814" s="1" t="str">
        <f t="shared" si="113"/>
        <v>威尔新数值1.06.xlsm!suitPower</v>
      </c>
    </row>
    <row r="1815" spans="1:9" x14ac:dyDescent="0.15">
      <c r="A1815" s="1">
        <v>1814</v>
      </c>
      <c r="B1815" s="1">
        <v>102011000</v>
      </c>
      <c r="C1815" s="1">
        <f t="shared" si="112"/>
        <v>9</v>
      </c>
      <c r="D1815" s="5">
        <f ca="1">IF(getQuality(B1815)&lt;4,getOtherMin(B1815,C1815,INDIRECT(J$2),INDIRECT(I1815),test),getMin(B1815,C1815,INDIRECT(J$2),INDIRECT(I1815),test))</f>
        <v>1</v>
      </c>
      <c r="E1815" s="5">
        <f ca="1">IF(getQuality(B1815)&lt;4,getOtherMax(B1815,C1815,INDIRECT(J$2),INDIRECT(I1815),test),getMax(B1815,C1815,INDIRECT(J$2),INDIRECT(I1815),test))</f>
        <v>21.008641265250315</v>
      </c>
      <c r="F1815" s="1" t="str">
        <f t="shared" si="114"/>
        <v>50</v>
      </c>
      <c r="G1815" s="1" t="str">
        <f t="shared" si="115"/>
        <v/>
      </c>
      <c r="I1815" s="1" t="str">
        <f t="shared" si="113"/>
        <v>威尔新数值1.06.xlsm!suitPower</v>
      </c>
    </row>
    <row r="1816" spans="1:9" x14ac:dyDescent="0.15">
      <c r="A1816" s="1">
        <v>1815</v>
      </c>
      <c r="B1816" s="1">
        <v>102011000</v>
      </c>
      <c r="C1816" s="1">
        <f t="shared" si="112"/>
        <v>10</v>
      </c>
      <c r="D1816" s="5">
        <f ca="1">IF(getQuality(B1816)&lt;4,getOtherMin(B1816,C1816,INDIRECT(J$2),INDIRECT(I1816),test),getMin(B1816,C1816,INDIRECT(J$2),INDIRECT(I1816),test))</f>
        <v>1</v>
      </c>
      <c r="E1816" s="5">
        <f ca="1">IF(getQuality(B1816)&lt;4,getOtherMax(B1816,C1816,INDIRECT(J$2),INDIRECT(I1816),test),getMax(B1816,C1816,INDIRECT(J$2),INDIRECT(I1816),test))</f>
        <v>21.008641265250315</v>
      </c>
      <c r="F1816" s="1" t="str">
        <f t="shared" si="114"/>
        <v>50</v>
      </c>
      <c r="G1816" s="1" t="str">
        <f t="shared" si="115"/>
        <v/>
      </c>
      <c r="I1816" s="1" t="str">
        <f t="shared" si="113"/>
        <v>威尔新数值1.06.xlsm!suitPower</v>
      </c>
    </row>
    <row r="1817" spans="1:9" x14ac:dyDescent="0.15">
      <c r="A1817" s="1">
        <v>1816</v>
      </c>
      <c r="B1817" s="1">
        <v>102011000</v>
      </c>
      <c r="C1817" s="1">
        <f t="shared" si="112"/>
        <v>11</v>
      </c>
      <c r="D1817" s="5">
        <f ca="1">IF(getQuality(B1817)&lt;4,getOtherMin(B1817,C1817,INDIRECT(J$2),INDIRECT(I1817),test),getMin(B1817,C1817,INDIRECT(J$2),INDIRECT(I1817),test))</f>
        <v>1</v>
      </c>
      <c r="E1817" s="5">
        <f ca="1">IF(getQuality(B1817)&lt;4,getOtherMax(B1817,C1817,INDIRECT(J$2),INDIRECT(I1817),test),getMax(B1817,C1817,INDIRECT(J$2),INDIRECT(I1817),test))</f>
        <v>21.008641265250315</v>
      </c>
      <c r="F1817" s="1" t="str">
        <f t="shared" si="114"/>
        <v>50</v>
      </c>
      <c r="G1817" s="1" t="str">
        <f t="shared" si="115"/>
        <v/>
      </c>
      <c r="I1817" s="1" t="str">
        <f t="shared" si="113"/>
        <v>威尔新数值1.06.xlsm!suitPower</v>
      </c>
    </row>
    <row r="1818" spans="1:9" x14ac:dyDescent="0.15">
      <c r="A1818" s="1">
        <v>1817</v>
      </c>
      <c r="B1818" s="1">
        <v>102011000</v>
      </c>
      <c r="C1818" s="1">
        <f t="shared" si="112"/>
        <v>12</v>
      </c>
      <c r="D1818" s="5">
        <f ca="1">IF(getQuality(B1818)&lt;4,getOtherMin(B1818,C1818,INDIRECT(J$2),INDIRECT(I1818),test),getMin(B1818,C1818,INDIRECT(J$2),INDIRECT(I1818),test))</f>
        <v>1</v>
      </c>
      <c r="E1818" s="5">
        <f ca="1">IF(getQuality(B1818)&lt;4,getOtherMax(B1818,C1818,INDIRECT(J$2),INDIRECT(I1818),test),getMax(B1818,C1818,INDIRECT(J$2),INDIRECT(I1818),test))</f>
        <v>21.008641265250315</v>
      </c>
      <c r="F1818" s="1" t="str">
        <f t="shared" si="114"/>
        <v>50</v>
      </c>
      <c r="G1818" s="1" t="str">
        <f t="shared" si="115"/>
        <v/>
      </c>
      <c r="I1818" s="1" t="str">
        <f t="shared" si="113"/>
        <v>威尔新数值1.06.xlsm!suitPower</v>
      </c>
    </row>
    <row r="1819" spans="1:9" x14ac:dyDescent="0.15">
      <c r="A1819" s="1">
        <v>1818</v>
      </c>
      <c r="B1819" s="1">
        <v>102011000</v>
      </c>
      <c r="C1819" s="1">
        <f t="shared" si="112"/>
        <v>13</v>
      </c>
      <c r="D1819" s="5">
        <f ca="1">IF(getQuality(B1819)&lt;4,getOtherMin(B1819,C1819,INDIRECT(J$2),INDIRECT(I1819),test),getMin(B1819,C1819,INDIRECT(J$2),INDIRECT(I1819),test))</f>
        <v>1</v>
      </c>
      <c r="E1819" s="5">
        <f ca="1">IF(getQuality(B1819)&lt;4,getOtherMax(B1819,C1819,INDIRECT(J$2),INDIRECT(I1819),test),getMax(B1819,C1819,INDIRECT(J$2),INDIRECT(I1819),test))</f>
        <v>21.008641265250315</v>
      </c>
      <c r="F1819" s="1" t="str">
        <f t="shared" si="114"/>
        <v>50</v>
      </c>
      <c r="G1819" s="1" t="str">
        <f t="shared" si="115"/>
        <v/>
      </c>
      <c r="I1819" s="1" t="str">
        <f t="shared" si="113"/>
        <v>威尔新数值1.06.xlsm!suitPower</v>
      </c>
    </row>
    <row r="1820" spans="1:9" x14ac:dyDescent="0.15">
      <c r="A1820" s="1">
        <v>1819</v>
      </c>
      <c r="B1820" s="1">
        <v>102011000</v>
      </c>
      <c r="C1820" s="1">
        <f t="shared" si="112"/>
        <v>14</v>
      </c>
      <c r="D1820" s="5">
        <f ca="1">IF(getQuality(B1820)&lt;4,getOtherMin(B1820,C1820,INDIRECT(J$2),INDIRECT(I1820),test),getMin(B1820,C1820,INDIRECT(J$2),INDIRECT(I1820),test))</f>
        <v>1</v>
      </c>
      <c r="E1820" s="5">
        <f ca="1">IF(getQuality(B1820)&lt;4,getOtherMax(B1820,C1820,INDIRECT(J$2),INDIRECT(I1820),test),getMax(B1820,C1820,INDIRECT(J$2),INDIRECT(I1820),test))</f>
        <v>21.008641265250315</v>
      </c>
      <c r="F1820" s="1" t="str">
        <f t="shared" si="114"/>
        <v>50</v>
      </c>
      <c r="G1820" s="1" t="str">
        <f t="shared" si="115"/>
        <v/>
      </c>
      <c r="I1820" s="1" t="str">
        <f t="shared" si="113"/>
        <v>威尔新数值1.06.xlsm!suitPower</v>
      </c>
    </row>
    <row r="1821" spans="1:9" x14ac:dyDescent="0.15">
      <c r="A1821" s="1">
        <v>1820</v>
      </c>
      <c r="B1821" s="1">
        <v>102011000</v>
      </c>
      <c r="C1821" s="1">
        <f t="shared" si="112"/>
        <v>15</v>
      </c>
      <c r="D1821" s="5">
        <f ca="1">IF(getQuality(B1821)&lt;4,getOtherMin(B1821,C1821,INDIRECT(J$2),INDIRECT(I1821),test),getMin(B1821,C1821,INDIRECT(J$2),INDIRECT(I1821),test))</f>
        <v>1</v>
      </c>
      <c r="E1821" s="5">
        <f ca="1">IF(getQuality(B1821)&lt;4,getOtherMax(B1821,C1821,INDIRECT(J$2),INDIRECT(I1821),test),getMax(B1821,C1821,INDIRECT(J$2),INDIRECT(I1821),test))</f>
        <v>21.008641265250315</v>
      </c>
      <c r="F1821" s="1" t="str">
        <f t="shared" si="114"/>
        <v>50</v>
      </c>
      <c r="G1821" s="1" t="str">
        <f t="shared" si="115"/>
        <v/>
      </c>
      <c r="I1821" s="1" t="str">
        <f t="shared" si="113"/>
        <v>威尔新数值1.06.xlsm!suitPower</v>
      </c>
    </row>
    <row r="1822" spans="1:9" x14ac:dyDescent="0.15">
      <c r="A1822" s="1">
        <v>1821</v>
      </c>
      <c r="B1822" s="1">
        <v>102011000</v>
      </c>
      <c r="C1822" s="1">
        <f t="shared" si="112"/>
        <v>101</v>
      </c>
      <c r="D1822" s="5">
        <f ca="1">IF(getQuality(B1822)&lt;4,getOtherMin(B1822,C1822,INDIRECT(J$2),INDIRECT(I1822),test),getMin(B1822,C1822,INDIRECT(J$2),INDIRECT(I1822),test))</f>
        <v>0.06</v>
      </c>
      <c r="E1822" s="5">
        <f ca="1">IF(getQuality(B1822)&lt;4,getOtherMax(B1822,C1822,INDIRECT(J$2),INDIRECT(I1822),test),getMax(B1822,C1822,INDIRECT(J$2),INDIRECT(I1822),test))</f>
        <v>0.09</v>
      </c>
      <c r="F1822" s="1" t="str">
        <f t="shared" si="114"/>
        <v>50</v>
      </c>
      <c r="G1822" s="1" t="str">
        <f t="shared" si="115"/>
        <v/>
      </c>
      <c r="I1822" s="1" t="str">
        <f t="shared" si="113"/>
        <v>威尔新数值1.06.xlsm!circlePer</v>
      </c>
    </row>
    <row r="1823" spans="1:9" x14ac:dyDescent="0.15">
      <c r="A1823" s="1">
        <v>1822</v>
      </c>
      <c r="B1823" s="1">
        <v>102011000</v>
      </c>
      <c r="C1823" s="1">
        <f t="shared" si="112"/>
        <v>102</v>
      </c>
      <c r="D1823" s="5">
        <f ca="1">IF(getQuality(B1823)&lt;4,getOtherMin(B1823,C1823,INDIRECT(J$2),INDIRECT(I1823),test),getMin(B1823,C1823,INDIRECT(J$2),INDIRECT(I1823),test))</f>
        <v>0.4</v>
      </c>
      <c r="E1823" s="5">
        <f ca="1">IF(getQuality(B1823)&lt;4,getOtherMax(B1823,C1823,INDIRECT(J$2),INDIRECT(I1823),test),getMax(B1823,C1823,INDIRECT(J$2),INDIRECT(I1823),test))</f>
        <v>0.8</v>
      </c>
      <c r="F1823" s="1" t="str">
        <f t="shared" si="114"/>
        <v>50</v>
      </c>
      <c r="G1823" s="1" t="str">
        <f t="shared" si="115"/>
        <v/>
      </c>
      <c r="I1823" s="1" t="str">
        <f t="shared" si="113"/>
        <v>威尔新数值1.06.xlsm!circleValue</v>
      </c>
    </row>
    <row r="1824" spans="1:9" x14ac:dyDescent="0.15">
      <c r="A1824" s="1">
        <v>1823</v>
      </c>
      <c r="B1824" s="1">
        <v>102011000</v>
      </c>
      <c r="C1824" s="1">
        <f t="shared" si="112"/>
        <v>103</v>
      </c>
      <c r="D1824" s="5">
        <f ca="1">IF(getQuality(B1824)&lt;4,getOtherMin(B1824,C1824,INDIRECT(J$2),INDIRECT(I1824),test),getMin(B1824,C1824,INDIRECT(J$2),INDIRECT(I1824),test))</f>
        <v>0.06</v>
      </c>
      <c r="E1824" s="5">
        <f ca="1">IF(getQuality(B1824)&lt;4,getOtherMax(B1824,C1824,INDIRECT(J$2),INDIRECT(I1824),test),getMax(B1824,C1824,INDIRECT(J$2),INDIRECT(I1824),test))</f>
        <v>0.09</v>
      </c>
      <c r="F1824" s="1" t="str">
        <f t="shared" si="114"/>
        <v>50</v>
      </c>
      <c r="G1824" s="1" t="str">
        <f t="shared" si="115"/>
        <v/>
      </c>
      <c r="I1824" s="1" t="str">
        <f t="shared" si="113"/>
        <v>威尔新数值1.06.xlsm!otherDamage</v>
      </c>
    </row>
    <row r="1825" spans="1:9" x14ac:dyDescent="0.15">
      <c r="A1825" s="1">
        <v>1824</v>
      </c>
      <c r="B1825" s="1">
        <v>102011000</v>
      </c>
      <c r="C1825" s="1">
        <f t="shared" si="112"/>
        <v>104</v>
      </c>
      <c r="D1825" s="5">
        <f ca="1">IF(getQuality(B1825)&lt;4,getOtherMin(B1825,C1825,INDIRECT(J$2),INDIRECT(I1825),test),getMin(B1825,C1825,INDIRECT(J$2),INDIRECT(I1825),test))</f>
        <v>0.06</v>
      </c>
      <c r="E1825" s="5">
        <f ca="1">IF(getQuality(B1825)&lt;4,getOtherMax(B1825,C1825,INDIRECT(J$2),INDIRECT(I1825),test),getMax(B1825,C1825,INDIRECT(J$2),INDIRECT(I1825),test))</f>
        <v>0.12</v>
      </c>
      <c r="F1825" s="1" t="str">
        <f t="shared" si="114"/>
        <v>50</v>
      </c>
      <c r="G1825" s="1" t="str">
        <f t="shared" si="115"/>
        <v/>
      </c>
      <c r="I1825" s="1" t="str">
        <f t="shared" si="113"/>
        <v>威尔新数值1.06.xlsm!monsterDamage</v>
      </c>
    </row>
    <row r="1826" spans="1:9" x14ac:dyDescent="0.15">
      <c r="A1826" s="1">
        <v>1825</v>
      </c>
      <c r="B1826" s="1">
        <v>102011000</v>
      </c>
      <c r="C1826" s="1">
        <f t="shared" si="112"/>
        <v>105</v>
      </c>
      <c r="D1826" s="5">
        <f ca="1">IF(getQuality(B1826)&lt;4,getOtherMin(B1826,C1826,INDIRECT(J$2),INDIRECT(I1826),test),getMin(B1826,C1826,INDIRECT(J$2),INDIRECT(I1826),test))</f>
        <v>0.06</v>
      </c>
      <c r="E1826" s="5">
        <f ca="1">IF(getQuality(B1826)&lt;4,getOtherMax(B1826,C1826,INDIRECT(J$2),INDIRECT(I1826),test),getMax(B1826,C1826,INDIRECT(J$2),INDIRECT(I1826),test))</f>
        <v>0.12</v>
      </c>
      <c r="F1826" s="1" t="str">
        <f t="shared" si="114"/>
        <v>50</v>
      </c>
      <c r="G1826" s="1" t="str">
        <f t="shared" si="115"/>
        <v/>
      </c>
      <c r="I1826" s="1" t="str">
        <f t="shared" si="113"/>
        <v>威尔新数值1.06.xlsm!monsterDamage</v>
      </c>
    </row>
    <row r="1827" spans="1:9" x14ac:dyDescent="0.15">
      <c r="A1827" s="1">
        <v>1826</v>
      </c>
      <c r="B1827" s="1">
        <v>102011000</v>
      </c>
      <c r="C1827" s="1">
        <f t="shared" si="112"/>
        <v>106</v>
      </c>
      <c r="D1827" s="5">
        <f ca="1">IF(getQuality(B1827)&lt;4,getOtherMin(B1827,C1827,INDIRECT(J$2),INDIRECT(I1827),test),getMin(B1827,C1827,INDIRECT(J$2),INDIRECT(I1827),test))</f>
        <v>0.06</v>
      </c>
      <c r="E1827" s="5">
        <f ca="1">IF(getQuality(B1827)&lt;4,getOtherMax(B1827,C1827,INDIRECT(J$2),INDIRECT(I1827),test),getMax(B1827,C1827,INDIRECT(J$2),INDIRECT(I1827),test))</f>
        <v>0.12</v>
      </c>
      <c r="F1827" s="1" t="str">
        <f t="shared" si="114"/>
        <v>50</v>
      </c>
      <c r="G1827" s="1" t="str">
        <f t="shared" si="115"/>
        <v/>
      </c>
      <c r="I1827" s="1" t="str">
        <f t="shared" si="113"/>
        <v>威尔新数值1.06.xlsm!monsterDamage</v>
      </c>
    </row>
    <row r="1828" spans="1:9" x14ac:dyDescent="0.15">
      <c r="A1828" s="1">
        <v>1827</v>
      </c>
      <c r="B1828" s="1">
        <v>102011000</v>
      </c>
      <c r="C1828" s="1">
        <f t="shared" ref="C1828:C1891" si="116">C1809</f>
        <v>107</v>
      </c>
      <c r="D1828" s="5">
        <f ca="1">IF(getQuality(B1828)&lt;4,getOtherMin(B1828,C1828,INDIRECT(J$2),INDIRECT(I1828),test),getMin(B1828,C1828,INDIRECT(J$2),INDIRECT(I1828),test))</f>
        <v>0.06</v>
      </c>
      <c r="E1828" s="5">
        <f ca="1">IF(getQuality(B1828)&lt;4,getOtherMax(B1828,C1828,INDIRECT(J$2),INDIRECT(I1828),test),getMax(B1828,C1828,INDIRECT(J$2),INDIRECT(I1828),test))</f>
        <v>0.12</v>
      </c>
      <c r="F1828" s="1" t="str">
        <f t="shared" si="114"/>
        <v>50</v>
      </c>
      <c r="G1828" s="1" t="str">
        <f t="shared" si="115"/>
        <v/>
      </c>
      <c r="I1828" s="1" t="str">
        <f t="shared" si="113"/>
        <v>威尔新数值1.06.xlsm!monsterDamage</v>
      </c>
    </row>
    <row r="1829" spans="1:9" x14ac:dyDescent="0.15">
      <c r="A1829" s="1">
        <v>1828</v>
      </c>
      <c r="B1829" s="1">
        <v>102011000</v>
      </c>
      <c r="C1829" s="1">
        <f t="shared" si="116"/>
        <v>108</v>
      </c>
      <c r="D1829" s="5">
        <f ca="1">IF(getQuality(B1829)&lt;4,getOtherMin(B1829,C1829,INDIRECT(J$2),INDIRECT(I1829),test),getMin(B1829,C1829,INDIRECT(J$2),INDIRECT(I1829),test))</f>
        <v>0.06</v>
      </c>
      <c r="E1829" s="5">
        <f ca="1">IF(getQuality(B1829)&lt;4,getOtherMax(B1829,C1829,INDIRECT(J$2),INDIRECT(I1829),test),getMax(B1829,C1829,INDIRECT(J$2),INDIRECT(I1829),test))</f>
        <v>0.12</v>
      </c>
      <c r="F1829" s="1" t="str">
        <f t="shared" si="114"/>
        <v>50</v>
      </c>
      <c r="G1829" s="1" t="str">
        <f t="shared" si="115"/>
        <v/>
      </c>
      <c r="I1829" s="1" t="str">
        <f t="shared" si="113"/>
        <v>威尔新数值1.06.xlsm!monsterDamage</v>
      </c>
    </row>
    <row r="1830" spans="1:9" x14ac:dyDescent="0.15">
      <c r="A1830" s="1">
        <v>1829</v>
      </c>
      <c r="B1830" s="1">
        <v>102021000</v>
      </c>
      <c r="C1830" s="1">
        <f t="shared" si="116"/>
        <v>3</v>
      </c>
      <c r="D1830" s="5">
        <f ca="1">IF(getQuality(B1830)&lt;4,getOtherMin(B1830,C1830,INDIRECT(J$2),INDIRECT(I1830),test),getMin(B1830,C1830,INDIRECT(J$2),INDIRECT(I1830),test))</f>
        <v>22.008641265250315</v>
      </c>
      <c r="E1830" s="5">
        <f ca="1">IF(getQuality(B1830)&lt;4,getOtherMax(B1830,C1830,INDIRECT(J$2),INDIRECT(I1830),test),getMax(B1830,C1830,INDIRECT(J$2),INDIRECT(I1830),test))</f>
        <v>46.219010783550694</v>
      </c>
      <c r="F1830" s="1" t="str">
        <f t="shared" si="114"/>
        <v>50</v>
      </c>
      <c r="G1830" s="1" t="str">
        <f t="shared" si="115"/>
        <v>1</v>
      </c>
      <c r="I1830" s="1" t="str">
        <f t="shared" si="113"/>
        <v>威尔新数值1.06.xlsm!suitPower</v>
      </c>
    </row>
    <row r="1831" spans="1:9" x14ac:dyDescent="0.15">
      <c r="A1831" s="1">
        <v>1830</v>
      </c>
      <c r="B1831" s="1">
        <v>102021000</v>
      </c>
      <c r="C1831" s="1">
        <f t="shared" si="116"/>
        <v>5</v>
      </c>
      <c r="D1831" s="5">
        <f ca="1">IF(getQuality(B1831)&lt;4,getOtherMin(B1831,C1831,INDIRECT(J$2),INDIRECT(I1831),test),getMin(B1831,C1831,INDIRECT(J$2),INDIRECT(I1831),test))</f>
        <v>22.008641265250315</v>
      </c>
      <c r="E1831" s="5">
        <f ca="1">IF(getQuality(B1831)&lt;4,getOtherMax(B1831,C1831,INDIRECT(J$2),INDIRECT(I1831),test),getMax(B1831,C1831,INDIRECT(J$2),INDIRECT(I1831),test))</f>
        <v>46.219010783550694</v>
      </c>
      <c r="F1831" s="1" t="str">
        <f t="shared" si="114"/>
        <v>50</v>
      </c>
      <c r="G1831" s="1" t="str">
        <f t="shared" si="115"/>
        <v/>
      </c>
      <c r="I1831" s="1" t="str">
        <f t="shared" si="113"/>
        <v>威尔新数值1.06.xlsm!suitPower</v>
      </c>
    </row>
    <row r="1832" spans="1:9" x14ac:dyDescent="0.15">
      <c r="A1832" s="1">
        <v>1831</v>
      </c>
      <c r="B1832" s="1">
        <v>102021000</v>
      </c>
      <c r="C1832" s="1">
        <f t="shared" si="116"/>
        <v>7</v>
      </c>
      <c r="D1832" s="5">
        <f ca="1">IF(getQuality(B1832)&lt;4,getOtherMin(B1832,C1832,INDIRECT(J$2),INDIRECT(I1832),test),getMin(B1832,C1832,INDIRECT(J$2),INDIRECT(I1832),test))</f>
        <v>7.481481481481465</v>
      </c>
      <c r="E1832" s="5">
        <f ca="1">IF(getQuality(B1832)&lt;4,getOtherMax(B1832,C1832,INDIRECT(J$2),INDIRECT(I1832),test),getMax(B1832,C1832,INDIRECT(J$2),INDIRECT(I1832),test))</f>
        <v>12.96296296296293</v>
      </c>
      <c r="F1832" s="1" t="str">
        <f t="shared" si="114"/>
        <v>50</v>
      </c>
      <c r="G1832" s="1" t="str">
        <f t="shared" si="115"/>
        <v/>
      </c>
      <c r="I1832" s="1" t="str">
        <f t="shared" si="113"/>
        <v>威尔新数值1.06.xlsm!suitPower</v>
      </c>
    </row>
    <row r="1833" spans="1:9" x14ac:dyDescent="0.15">
      <c r="A1833" s="1">
        <v>1832</v>
      </c>
      <c r="B1833" s="1">
        <v>102021000</v>
      </c>
      <c r="C1833" s="1">
        <f t="shared" si="116"/>
        <v>8</v>
      </c>
      <c r="D1833" s="5">
        <f ca="1">IF(getQuality(B1833)&lt;4,getOtherMin(B1833,C1833,INDIRECT(J$2),INDIRECT(I1833),test),getMin(B1833,C1833,INDIRECT(J$2),INDIRECT(I1833),test))</f>
        <v>15.583333333333334</v>
      </c>
      <c r="E1833" s="5">
        <f ca="1">IF(getQuality(B1833)&lt;4,getOtherMax(B1833,C1833,INDIRECT(J$2),INDIRECT(I1833),test),getMax(B1833,C1833,INDIRECT(J$2),INDIRECT(I1833),test))</f>
        <v>29.166666666666668</v>
      </c>
      <c r="F1833" s="1" t="str">
        <f t="shared" si="114"/>
        <v>50</v>
      </c>
      <c r="G1833" s="1" t="str">
        <f t="shared" si="115"/>
        <v/>
      </c>
      <c r="I1833" s="1" t="str">
        <f t="shared" si="113"/>
        <v>威尔新数值1.06.xlsm!suitPower</v>
      </c>
    </row>
    <row r="1834" spans="1:9" x14ac:dyDescent="0.15">
      <c r="A1834" s="1">
        <v>1833</v>
      </c>
      <c r="B1834" s="1">
        <v>102021000</v>
      </c>
      <c r="C1834" s="1">
        <f t="shared" si="116"/>
        <v>9</v>
      </c>
      <c r="D1834" s="5">
        <f ca="1">IF(getQuality(B1834)&lt;4,getOtherMin(B1834,C1834,INDIRECT(J$2),INDIRECT(I1834),test),getMin(B1834,C1834,INDIRECT(J$2),INDIRECT(I1834),test))</f>
        <v>22.008641265250315</v>
      </c>
      <c r="E1834" s="5">
        <f ca="1">IF(getQuality(B1834)&lt;4,getOtherMax(B1834,C1834,INDIRECT(J$2),INDIRECT(I1834),test),getMax(B1834,C1834,INDIRECT(J$2),INDIRECT(I1834),test))</f>
        <v>46.219010783550694</v>
      </c>
      <c r="F1834" s="1" t="str">
        <f t="shared" si="114"/>
        <v>50</v>
      </c>
      <c r="G1834" s="1" t="str">
        <f t="shared" si="115"/>
        <v/>
      </c>
      <c r="I1834" s="1" t="str">
        <f t="shared" si="113"/>
        <v>威尔新数值1.06.xlsm!suitPower</v>
      </c>
    </row>
    <row r="1835" spans="1:9" x14ac:dyDescent="0.15">
      <c r="A1835" s="1">
        <v>1834</v>
      </c>
      <c r="B1835" s="1">
        <v>102021000</v>
      </c>
      <c r="C1835" s="1">
        <f t="shared" si="116"/>
        <v>10</v>
      </c>
      <c r="D1835" s="5">
        <f ca="1">IF(getQuality(B1835)&lt;4,getOtherMin(B1835,C1835,INDIRECT(J$2),INDIRECT(I1835),test),getMin(B1835,C1835,INDIRECT(J$2),INDIRECT(I1835),test))</f>
        <v>22.008641265250315</v>
      </c>
      <c r="E1835" s="5">
        <f ca="1">IF(getQuality(B1835)&lt;4,getOtherMax(B1835,C1835,INDIRECT(J$2),INDIRECT(I1835),test),getMax(B1835,C1835,INDIRECT(J$2),INDIRECT(I1835),test))</f>
        <v>46.219010783550694</v>
      </c>
      <c r="F1835" s="1" t="str">
        <f t="shared" si="114"/>
        <v>50</v>
      </c>
      <c r="G1835" s="1" t="str">
        <f t="shared" si="115"/>
        <v/>
      </c>
      <c r="I1835" s="1" t="str">
        <f t="shared" si="113"/>
        <v>威尔新数值1.06.xlsm!suitPower</v>
      </c>
    </row>
    <row r="1836" spans="1:9" x14ac:dyDescent="0.15">
      <c r="A1836" s="1">
        <v>1835</v>
      </c>
      <c r="B1836" s="1">
        <v>102021000</v>
      </c>
      <c r="C1836" s="1">
        <f t="shared" si="116"/>
        <v>11</v>
      </c>
      <c r="D1836" s="5">
        <f ca="1">IF(getQuality(B1836)&lt;4,getOtherMin(B1836,C1836,INDIRECT(J$2),INDIRECT(I1836),test),getMin(B1836,C1836,INDIRECT(J$2),INDIRECT(I1836),test))</f>
        <v>22.008641265250315</v>
      </c>
      <c r="E1836" s="5">
        <f ca="1">IF(getQuality(B1836)&lt;4,getOtherMax(B1836,C1836,INDIRECT(J$2),INDIRECT(I1836),test),getMax(B1836,C1836,INDIRECT(J$2),INDIRECT(I1836),test))</f>
        <v>46.219010783550694</v>
      </c>
      <c r="F1836" s="1" t="str">
        <f t="shared" si="114"/>
        <v>50</v>
      </c>
      <c r="G1836" s="1" t="str">
        <f t="shared" si="115"/>
        <v/>
      </c>
      <c r="I1836" s="1" t="str">
        <f t="shared" si="113"/>
        <v>威尔新数值1.06.xlsm!suitPower</v>
      </c>
    </row>
    <row r="1837" spans="1:9" x14ac:dyDescent="0.15">
      <c r="A1837" s="1">
        <v>1836</v>
      </c>
      <c r="B1837" s="1">
        <v>102021000</v>
      </c>
      <c r="C1837" s="1">
        <f t="shared" si="116"/>
        <v>12</v>
      </c>
      <c r="D1837" s="5">
        <f ca="1">IF(getQuality(B1837)&lt;4,getOtherMin(B1837,C1837,INDIRECT(J$2),INDIRECT(I1837),test),getMin(B1837,C1837,INDIRECT(J$2),INDIRECT(I1837),test))</f>
        <v>22.008641265250315</v>
      </c>
      <c r="E1837" s="5">
        <f ca="1">IF(getQuality(B1837)&lt;4,getOtherMax(B1837,C1837,INDIRECT(J$2),INDIRECT(I1837),test),getMax(B1837,C1837,INDIRECT(J$2),INDIRECT(I1837),test))</f>
        <v>46.219010783550694</v>
      </c>
      <c r="F1837" s="1" t="str">
        <f t="shared" si="114"/>
        <v>50</v>
      </c>
      <c r="G1837" s="1" t="str">
        <f t="shared" si="115"/>
        <v/>
      </c>
      <c r="I1837" s="1" t="str">
        <f t="shared" si="113"/>
        <v>威尔新数值1.06.xlsm!suitPower</v>
      </c>
    </row>
    <row r="1838" spans="1:9" x14ac:dyDescent="0.15">
      <c r="A1838" s="1">
        <v>1837</v>
      </c>
      <c r="B1838" s="1">
        <v>102021000</v>
      </c>
      <c r="C1838" s="1">
        <f t="shared" si="116"/>
        <v>13</v>
      </c>
      <c r="D1838" s="5">
        <f ca="1">IF(getQuality(B1838)&lt;4,getOtherMin(B1838,C1838,INDIRECT(J$2),INDIRECT(I1838),test),getMin(B1838,C1838,INDIRECT(J$2),INDIRECT(I1838),test))</f>
        <v>22.008641265250315</v>
      </c>
      <c r="E1838" s="5">
        <f ca="1">IF(getQuality(B1838)&lt;4,getOtherMax(B1838,C1838,INDIRECT(J$2),INDIRECT(I1838),test),getMax(B1838,C1838,INDIRECT(J$2),INDIRECT(I1838),test))</f>
        <v>46.219010783550694</v>
      </c>
      <c r="F1838" s="1" t="str">
        <f t="shared" si="114"/>
        <v>50</v>
      </c>
      <c r="G1838" s="1" t="str">
        <f t="shared" si="115"/>
        <v/>
      </c>
      <c r="I1838" s="1" t="str">
        <f t="shared" si="113"/>
        <v>威尔新数值1.06.xlsm!suitPower</v>
      </c>
    </row>
    <row r="1839" spans="1:9" x14ac:dyDescent="0.15">
      <c r="A1839" s="1">
        <v>1838</v>
      </c>
      <c r="B1839" s="1">
        <v>102021000</v>
      </c>
      <c r="C1839" s="1">
        <f t="shared" si="116"/>
        <v>14</v>
      </c>
      <c r="D1839" s="5">
        <f ca="1">IF(getQuality(B1839)&lt;4,getOtherMin(B1839,C1839,INDIRECT(J$2),INDIRECT(I1839),test),getMin(B1839,C1839,INDIRECT(J$2),INDIRECT(I1839),test))</f>
        <v>22.008641265250315</v>
      </c>
      <c r="E1839" s="5">
        <f ca="1">IF(getQuality(B1839)&lt;4,getOtherMax(B1839,C1839,INDIRECT(J$2),INDIRECT(I1839),test),getMax(B1839,C1839,INDIRECT(J$2),INDIRECT(I1839),test))</f>
        <v>46.219010783550694</v>
      </c>
      <c r="F1839" s="1" t="str">
        <f t="shared" si="114"/>
        <v>50</v>
      </c>
      <c r="G1839" s="1" t="str">
        <f t="shared" si="115"/>
        <v/>
      </c>
      <c r="I1839" s="1" t="str">
        <f t="shared" si="113"/>
        <v>威尔新数值1.06.xlsm!suitPower</v>
      </c>
    </row>
    <row r="1840" spans="1:9" x14ac:dyDescent="0.15">
      <c r="A1840" s="1">
        <v>1839</v>
      </c>
      <c r="B1840" s="1">
        <v>102021000</v>
      </c>
      <c r="C1840" s="1">
        <f t="shared" si="116"/>
        <v>15</v>
      </c>
      <c r="D1840" s="5">
        <f ca="1">IF(getQuality(B1840)&lt;4,getOtherMin(B1840,C1840,INDIRECT(J$2),INDIRECT(I1840),test),getMin(B1840,C1840,INDIRECT(J$2),INDIRECT(I1840),test))</f>
        <v>22.008641265250315</v>
      </c>
      <c r="E1840" s="5">
        <f ca="1">IF(getQuality(B1840)&lt;4,getOtherMax(B1840,C1840,INDIRECT(J$2),INDIRECT(I1840),test),getMax(B1840,C1840,INDIRECT(J$2),INDIRECT(I1840),test))</f>
        <v>46.219010783550694</v>
      </c>
      <c r="F1840" s="1" t="str">
        <f t="shared" si="114"/>
        <v>50</v>
      </c>
      <c r="G1840" s="1" t="str">
        <f t="shared" si="115"/>
        <v/>
      </c>
      <c r="I1840" s="1" t="str">
        <f t="shared" si="113"/>
        <v>威尔新数值1.06.xlsm!suitPower</v>
      </c>
    </row>
    <row r="1841" spans="1:9" x14ac:dyDescent="0.15">
      <c r="A1841" s="1">
        <v>1840</v>
      </c>
      <c r="B1841" s="1">
        <v>102021000</v>
      </c>
      <c r="C1841" s="1">
        <f t="shared" si="116"/>
        <v>101</v>
      </c>
      <c r="D1841" s="5">
        <f ca="1">IF(getQuality(B1841)&lt;4,getOtherMin(B1841,C1841,INDIRECT(J$2),INDIRECT(I1841),test),getMin(B1841,C1841,INDIRECT(J$2),INDIRECT(I1841),test))</f>
        <v>7.0000000000000007E-2</v>
      </c>
      <c r="E1841" s="5">
        <f ca="1">IF(getQuality(B1841)&lt;4,getOtherMax(B1841,C1841,INDIRECT(J$2),INDIRECT(I1841),test),getMax(B1841,C1841,INDIRECT(J$2),INDIRECT(I1841),test))</f>
        <v>0.1</v>
      </c>
      <c r="F1841" s="1" t="str">
        <f t="shared" si="114"/>
        <v>50</v>
      </c>
      <c r="G1841" s="1" t="str">
        <f t="shared" si="115"/>
        <v/>
      </c>
      <c r="I1841" s="1" t="str">
        <f t="shared" si="113"/>
        <v>威尔新数值1.06.xlsm!circlePer</v>
      </c>
    </row>
    <row r="1842" spans="1:9" x14ac:dyDescent="0.15">
      <c r="A1842" s="1">
        <v>1841</v>
      </c>
      <c r="B1842" s="1">
        <v>102021000</v>
      </c>
      <c r="C1842" s="1">
        <f t="shared" si="116"/>
        <v>102</v>
      </c>
      <c r="D1842" s="5">
        <f ca="1">IF(getQuality(B1842)&lt;4,getOtherMin(B1842,C1842,INDIRECT(J$2),INDIRECT(I1842),test),getMin(B1842,C1842,INDIRECT(J$2),INDIRECT(I1842),test))</f>
        <v>0.5</v>
      </c>
      <c r="E1842" s="5">
        <f ca="1">IF(getQuality(B1842)&lt;4,getOtherMax(B1842,C1842,INDIRECT(J$2),INDIRECT(I1842),test),getMax(B1842,C1842,INDIRECT(J$2),INDIRECT(I1842),test))</f>
        <v>0.9</v>
      </c>
      <c r="F1842" s="1" t="str">
        <f t="shared" si="114"/>
        <v>50</v>
      </c>
      <c r="G1842" s="1" t="str">
        <f t="shared" si="115"/>
        <v/>
      </c>
      <c r="I1842" s="1" t="str">
        <f t="shared" si="113"/>
        <v>威尔新数值1.06.xlsm!circleValue</v>
      </c>
    </row>
    <row r="1843" spans="1:9" x14ac:dyDescent="0.15">
      <c r="A1843" s="1">
        <v>1842</v>
      </c>
      <c r="B1843" s="1">
        <v>102021000</v>
      </c>
      <c r="C1843" s="1">
        <f t="shared" si="116"/>
        <v>103</v>
      </c>
      <c r="D1843" s="5">
        <f ca="1">IF(getQuality(B1843)&lt;4,getOtherMin(B1843,C1843,INDIRECT(J$2),INDIRECT(I1843),test),getMin(B1843,C1843,INDIRECT(J$2),INDIRECT(I1843),test))</f>
        <v>7.0000000000000007E-2</v>
      </c>
      <c r="E1843" s="5">
        <f ca="1">IF(getQuality(B1843)&lt;4,getOtherMax(B1843,C1843,INDIRECT(J$2),INDIRECT(I1843),test),getMax(B1843,C1843,INDIRECT(J$2),INDIRECT(I1843),test))</f>
        <v>0.1</v>
      </c>
      <c r="F1843" s="1" t="str">
        <f t="shared" si="114"/>
        <v>50</v>
      </c>
      <c r="G1843" s="1" t="str">
        <f t="shared" si="115"/>
        <v/>
      </c>
      <c r="I1843" s="1" t="str">
        <f t="shared" si="113"/>
        <v>威尔新数值1.06.xlsm!otherDamage</v>
      </c>
    </row>
    <row r="1844" spans="1:9" x14ac:dyDescent="0.15">
      <c r="A1844" s="1">
        <v>1843</v>
      </c>
      <c r="B1844" s="1">
        <v>102021000</v>
      </c>
      <c r="C1844" s="1">
        <f t="shared" si="116"/>
        <v>104</v>
      </c>
      <c r="D1844" s="5">
        <f ca="1">IF(getQuality(B1844)&lt;4,getOtherMin(B1844,C1844,INDIRECT(J$2),INDIRECT(I1844),test),getMin(B1844,C1844,INDIRECT(J$2),INDIRECT(I1844),test))</f>
        <v>7.0000000000000007E-2</v>
      </c>
      <c r="E1844" s="5">
        <f ca="1">IF(getQuality(B1844)&lt;4,getOtherMax(B1844,C1844,INDIRECT(J$2),INDIRECT(I1844),test),getMax(B1844,C1844,INDIRECT(J$2),INDIRECT(I1844),test))</f>
        <v>0.14000000000000001</v>
      </c>
      <c r="F1844" s="1" t="str">
        <f t="shared" si="114"/>
        <v>50</v>
      </c>
      <c r="G1844" s="1" t="str">
        <f t="shared" si="115"/>
        <v/>
      </c>
      <c r="I1844" s="1" t="str">
        <f t="shared" si="113"/>
        <v>威尔新数值1.06.xlsm!monsterDamage</v>
      </c>
    </row>
    <row r="1845" spans="1:9" x14ac:dyDescent="0.15">
      <c r="A1845" s="1">
        <v>1844</v>
      </c>
      <c r="B1845" s="1">
        <v>102021000</v>
      </c>
      <c r="C1845" s="1">
        <f t="shared" si="116"/>
        <v>105</v>
      </c>
      <c r="D1845" s="5">
        <f ca="1">IF(getQuality(B1845)&lt;4,getOtherMin(B1845,C1845,INDIRECT(J$2),INDIRECT(I1845),test),getMin(B1845,C1845,INDIRECT(J$2),INDIRECT(I1845),test))</f>
        <v>7.0000000000000007E-2</v>
      </c>
      <c r="E1845" s="5">
        <f ca="1">IF(getQuality(B1845)&lt;4,getOtherMax(B1845,C1845,INDIRECT(J$2),INDIRECT(I1845),test),getMax(B1845,C1845,INDIRECT(J$2),INDIRECT(I1845),test))</f>
        <v>0.14000000000000001</v>
      </c>
      <c r="F1845" s="1" t="str">
        <f t="shared" si="114"/>
        <v>50</v>
      </c>
      <c r="G1845" s="1" t="str">
        <f t="shared" si="115"/>
        <v/>
      </c>
      <c r="I1845" s="1" t="str">
        <f t="shared" si="113"/>
        <v>威尔新数值1.06.xlsm!monsterDamage</v>
      </c>
    </row>
    <row r="1846" spans="1:9" x14ac:dyDescent="0.15">
      <c r="A1846" s="1">
        <v>1845</v>
      </c>
      <c r="B1846" s="1">
        <v>102021000</v>
      </c>
      <c r="C1846" s="1">
        <f t="shared" si="116"/>
        <v>106</v>
      </c>
      <c r="D1846" s="5">
        <f ca="1">IF(getQuality(B1846)&lt;4,getOtherMin(B1846,C1846,INDIRECT(J$2),INDIRECT(I1846),test),getMin(B1846,C1846,INDIRECT(J$2),INDIRECT(I1846),test))</f>
        <v>7.0000000000000007E-2</v>
      </c>
      <c r="E1846" s="5">
        <f ca="1">IF(getQuality(B1846)&lt;4,getOtherMax(B1846,C1846,INDIRECT(J$2),INDIRECT(I1846),test),getMax(B1846,C1846,INDIRECT(J$2),INDIRECT(I1846),test))</f>
        <v>0.14000000000000001</v>
      </c>
      <c r="F1846" s="1" t="str">
        <f t="shared" si="114"/>
        <v>50</v>
      </c>
      <c r="G1846" s="1" t="str">
        <f t="shared" si="115"/>
        <v/>
      </c>
      <c r="I1846" s="1" t="str">
        <f t="shared" si="113"/>
        <v>威尔新数值1.06.xlsm!monsterDamage</v>
      </c>
    </row>
    <row r="1847" spans="1:9" x14ac:dyDescent="0.15">
      <c r="A1847" s="1">
        <v>1846</v>
      </c>
      <c r="B1847" s="1">
        <v>102021000</v>
      </c>
      <c r="C1847" s="1">
        <f t="shared" si="116"/>
        <v>107</v>
      </c>
      <c r="D1847" s="5">
        <f ca="1">IF(getQuality(B1847)&lt;4,getOtherMin(B1847,C1847,INDIRECT(J$2),INDIRECT(I1847),test),getMin(B1847,C1847,INDIRECT(J$2),INDIRECT(I1847),test))</f>
        <v>7.0000000000000007E-2</v>
      </c>
      <c r="E1847" s="5">
        <f ca="1">IF(getQuality(B1847)&lt;4,getOtherMax(B1847,C1847,INDIRECT(J$2),INDIRECT(I1847),test),getMax(B1847,C1847,INDIRECT(J$2),INDIRECT(I1847),test))</f>
        <v>0.14000000000000001</v>
      </c>
      <c r="F1847" s="1" t="str">
        <f t="shared" si="114"/>
        <v>50</v>
      </c>
      <c r="G1847" s="1" t="str">
        <f t="shared" si="115"/>
        <v/>
      </c>
      <c r="I1847" s="1" t="str">
        <f t="shared" si="113"/>
        <v>威尔新数值1.06.xlsm!monsterDamage</v>
      </c>
    </row>
    <row r="1848" spans="1:9" x14ac:dyDescent="0.15">
      <c r="A1848" s="1">
        <v>1847</v>
      </c>
      <c r="B1848" s="1">
        <v>102021000</v>
      </c>
      <c r="C1848" s="1">
        <f t="shared" si="116"/>
        <v>108</v>
      </c>
      <c r="D1848" s="5">
        <f ca="1">IF(getQuality(B1848)&lt;4,getOtherMin(B1848,C1848,INDIRECT(J$2),INDIRECT(I1848),test),getMin(B1848,C1848,INDIRECT(J$2),INDIRECT(I1848),test))</f>
        <v>7.0000000000000007E-2</v>
      </c>
      <c r="E1848" s="5">
        <f ca="1">IF(getQuality(B1848)&lt;4,getOtherMax(B1848,C1848,INDIRECT(J$2),INDIRECT(I1848),test),getMax(B1848,C1848,INDIRECT(J$2),INDIRECT(I1848),test))</f>
        <v>0.14000000000000001</v>
      </c>
      <c r="F1848" s="1" t="str">
        <f t="shared" si="114"/>
        <v>50</v>
      </c>
      <c r="G1848" s="1" t="str">
        <f t="shared" si="115"/>
        <v/>
      </c>
      <c r="I1848" s="1" t="str">
        <f t="shared" si="113"/>
        <v>威尔新数值1.06.xlsm!monsterDamage</v>
      </c>
    </row>
    <row r="1849" spans="1:9" x14ac:dyDescent="0.15">
      <c r="A1849" s="1">
        <v>1848</v>
      </c>
      <c r="B1849" s="1">
        <v>102031000</v>
      </c>
      <c r="C1849" s="1">
        <f t="shared" si="116"/>
        <v>3</v>
      </c>
      <c r="D1849" s="5">
        <f ca="1">IF(getQuality(B1849)&lt;4,getOtherMin(B1849,C1849,INDIRECT(J$2),INDIRECT(I1849),test),getMin(B1849,C1849,INDIRECT(J$2),INDIRECT(I1849),test))</f>
        <v>47.219010783550694</v>
      </c>
      <c r="E1849" s="5">
        <f ca="1">IF(getQuality(B1849)&lt;4,getOtherMax(B1849,C1849,INDIRECT(J$2),INDIRECT(I1849),test),getMax(B1849,C1849,INDIRECT(J$2),INDIRECT(I1849),test))</f>
        <v>75.631108554901132</v>
      </c>
      <c r="F1849" s="1" t="str">
        <f t="shared" si="114"/>
        <v>50</v>
      </c>
      <c r="G1849" s="1" t="str">
        <f t="shared" si="115"/>
        <v>1</v>
      </c>
      <c r="I1849" s="1" t="str">
        <f t="shared" si="113"/>
        <v>威尔新数值1.06.xlsm!suitPower</v>
      </c>
    </row>
    <row r="1850" spans="1:9" x14ac:dyDescent="0.15">
      <c r="A1850" s="1">
        <v>1849</v>
      </c>
      <c r="B1850" s="1">
        <v>102031000</v>
      </c>
      <c r="C1850" s="1">
        <f t="shared" si="116"/>
        <v>5</v>
      </c>
      <c r="D1850" s="5">
        <f ca="1">IF(getQuality(B1850)&lt;4,getOtherMin(B1850,C1850,INDIRECT(J$2),INDIRECT(I1850),test),getMin(B1850,C1850,INDIRECT(J$2),INDIRECT(I1850),test))</f>
        <v>47.219010783550694</v>
      </c>
      <c r="E1850" s="5">
        <f ca="1">IF(getQuality(B1850)&lt;4,getOtherMax(B1850,C1850,INDIRECT(J$2),INDIRECT(I1850),test),getMax(B1850,C1850,INDIRECT(J$2),INDIRECT(I1850),test))</f>
        <v>75.631108554901132</v>
      </c>
      <c r="F1850" s="1" t="str">
        <f t="shared" si="114"/>
        <v>50</v>
      </c>
      <c r="G1850" s="1" t="str">
        <f t="shared" si="115"/>
        <v/>
      </c>
      <c r="I1850" s="1" t="str">
        <f t="shared" si="113"/>
        <v>威尔新数值1.06.xlsm!suitPower</v>
      </c>
    </row>
    <row r="1851" spans="1:9" x14ac:dyDescent="0.15">
      <c r="A1851" s="1">
        <v>1850</v>
      </c>
      <c r="B1851" s="1">
        <v>102031000</v>
      </c>
      <c r="C1851" s="1">
        <f t="shared" si="116"/>
        <v>7</v>
      </c>
      <c r="D1851" s="5">
        <f ca="1">IF(getQuality(B1851)&lt;4,getOtherMin(B1851,C1851,INDIRECT(J$2),INDIRECT(I1851),test),getMin(B1851,C1851,INDIRECT(J$2),INDIRECT(I1851),test))</f>
        <v>13.96296296296293</v>
      </c>
      <c r="E1851" s="5">
        <f ca="1">IF(getQuality(B1851)&lt;4,getOtherMax(B1851,C1851,INDIRECT(J$2),INDIRECT(I1851),test),getMax(B1851,C1851,INDIRECT(J$2),INDIRECT(I1851),test))</f>
        <v>19.444444444444393</v>
      </c>
      <c r="F1851" s="1" t="str">
        <f t="shared" si="114"/>
        <v>50</v>
      </c>
      <c r="G1851" s="1" t="str">
        <f t="shared" si="115"/>
        <v/>
      </c>
      <c r="I1851" s="1" t="str">
        <f t="shared" si="113"/>
        <v>威尔新数值1.06.xlsm!suitPower</v>
      </c>
    </row>
    <row r="1852" spans="1:9" x14ac:dyDescent="0.15">
      <c r="A1852" s="1">
        <v>1851</v>
      </c>
      <c r="B1852" s="1">
        <v>102031000</v>
      </c>
      <c r="C1852" s="1">
        <f t="shared" si="116"/>
        <v>8</v>
      </c>
      <c r="D1852" s="5">
        <f ca="1">IF(getQuality(B1852)&lt;4,getOtherMin(B1852,C1852,INDIRECT(J$2),INDIRECT(I1852),test),getMin(B1852,C1852,INDIRECT(J$2),INDIRECT(I1852),test))</f>
        <v>30.166666666666668</v>
      </c>
      <c r="E1852" s="5">
        <f ca="1">IF(getQuality(B1852)&lt;4,getOtherMax(B1852,C1852,INDIRECT(J$2),INDIRECT(I1852),test),getMax(B1852,C1852,INDIRECT(J$2),INDIRECT(I1852),test))</f>
        <v>43.75</v>
      </c>
      <c r="F1852" s="1" t="str">
        <f t="shared" si="114"/>
        <v>50</v>
      </c>
      <c r="G1852" s="1" t="str">
        <f t="shared" si="115"/>
        <v/>
      </c>
      <c r="I1852" s="1" t="str">
        <f t="shared" si="113"/>
        <v>威尔新数值1.06.xlsm!suitPower</v>
      </c>
    </row>
    <row r="1853" spans="1:9" x14ac:dyDescent="0.15">
      <c r="A1853" s="1">
        <v>1852</v>
      </c>
      <c r="B1853" s="1">
        <v>102031000</v>
      </c>
      <c r="C1853" s="1">
        <f t="shared" si="116"/>
        <v>9</v>
      </c>
      <c r="D1853" s="5">
        <f ca="1">IF(getQuality(B1853)&lt;4,getOtherMin(B1853,C1853,INDIRECT(J$2),INDIRECT(I1853),test),getMin(B1853,C1853,INDIRECT(J$2),INDIRECT(I1853),test))</f>
        <v>47.219010783550694</v>
      </c>
      <c r="E1853" s="5">
        <f ca="1">IF(getQuality(B1853)&lt;4,getOtherMax(B1853,C1853,INDIRECT(J$2),INDIRECT(I1853),test),getMax(B1853,C1853,INDIRECT(J$2),INDIRECT(I1853),test))</f>
        <v>75.631108554901132</v>
      </c>
      <c r="F1853" s="1" t="str">
        <f t="shared" si="114"/>
        <v>50</v>
      </c>
      <c r="G1853" s="1" t="str">
        <f t="shared" si="115"/>
        <v/>
      </c>
      <c r="I1853" s="1" t="str">
        <f t="shared" si="113"/>
        <v>威尔新数值1.06.xlsm!suitPower</v>
      </c>
    </row>
    <row r="1854" spans="1:9" x14ac:dyDescent="0.15">
      <c r="A1854" s="1">
        <v>1853</v>
      </c>
      <c r="B1854" s="1">
        <v>102031000</v>
      </c>
      <c r="C1854" s="1">
        <f t="shared" si="116"/>
        <v>10</v>
      </c>
      <c r="D1854" s="5">
        <f ca="1">IF(getQuality(B1854)&lt;4,getOtherMin(B1854,C1854,INDIRECT(J$2),INDIRECT(I1854),test),getMin(B1854,C1854,INDIRECT(J$2),INDIRECT(I1854),test))</f>
        <v>47.219010783550694</v>
      </c>
      <c r="E1854" s="5">
        <f ca="1">IF(getQuality(B1854)&lt;4,getOtherMax(B1854,C1854,INDIRECT(J$2),INDIRECT(I1854),test),getMax(B1854,C1854,INDIRECT(J$2),INDIRECT(I1854),test))</f>
        <v>75.631108554901132</v>
      </c>
      <c r="F1854" s="1" t="str">
        <f t="shared" si="114"/>
        <v>50</v>
      </c>
      <c r="G1854" s="1" t="str">
        <f t="shared" si="115"/>
        <v/>
      </c>
      <c r="I1854" s="1" t="str">
        <f t="shared" si="113"/>
        <v>威尔新数值1.06.xlsm!suitPower</v>
      </c>
    </row>
    <row r="1855" spans="1:9" x14ac:dyDescent="0.15">
      <c r="A1855" s="1">
        <v>1854</v>
      </c>
      <c r="B1855" s="1">
        <v>102031000</v>
      </c>
      <c r="C1855" s="1">
        <f t="shared" si="116"/>
        <v>11</v>
      </c>
      <c r="D1855" s="5">
        <f ca="1">IF(getQuality(B1855)&lt;4,getOtherMin(B1855,C1855,INDIRECT(J$2),INDIRECT(I1855),test),getMin(B1855,C1855,INDIRECT(J$2),INDIRECT(I1855),test))</f>
        <v>47.219010783550694</v>
      </c>
      <c r="E1855" s="5">
        <f ca="1">IF(getQuality(B1855)&lt;4,getOtherMax(B1855,C1855,INDIRECT(J$2),INDIRECT(I1855),test),getMax(B1855,C1855,INDIRECT(J$2),INDIRECT(I1855),test))</f>
        <v>75.631108554901132</v>
      </c>
      <c r="F1855" s="1" t="str">
        <f t="shared" si="114"/>
        <v>50</v>
      </c>
      <c r="G1855" s="1" t="str">
        <f t="shared" si="115"/>
        <v/>
      </c>
      <c r="I1855" s="1" t="str">
        <f t="shared" si="113"/>
        <v>威尔新数值1.06.xlsm!suitPower</v>
      </c>
    </row>
    <row r="1856" spans="1:9" x14ac:dyDescent="0.15">
      <c r="A1856" s="1">
        <v>1855</v>
      </c>
      <c r="B1856" s="1">
        <v>102031000</v>
      </c>
      <c r="C1856" s="1">
        <f t="shared" si="116"/>
        <v>12</v>
      </c>
      <c r="D1856" s="5">
        <f ca="1">IF(getQuality(B1856)&lt;4,getOtherMin(B1856,C1856,INDIRECT(J$2),INDIRECT(I1856),test),getMin(B1856,C1856,INDIRECT(J$2),INDIRECT(I1856),test))</f>
        <v>47.219010783550694</v>
      </c>
      <c r="E1856" s="5">
        <f ca="1">IF(getQuality(B1856)&lt;4,getOtherMax(B1856,C1856,INDIRECT(J$2),INDIRECT(I1856),test),getMax(B1856,C1856,INDIRECT(J$2),INDIRECT(I1856),test))</f>
        <v>75.631108554901132</v>
      </c>
      <c r="F1856" s="1" t="str">
        <f t="shared" si="114"/>
        <v>50</v>
      </c>
      <c r="G1856" s="1" t="str">
        <f t="shared" si="115"/>
        <v/>
      </c>
      <c r="I1856" s="1" t="str">
        <f t="shared" si="113"/>
        <v>威尔新数值1.06.xlsm!suitPower</v>
      </c>
    </row>
    <row r="1857" spans="1:9" x14ac:dyDescent="0.15">
      <c r="A1857" s="1">
        <v>1856</v>
      </c>
      <c r="B1857" s="1">
        <v>102031000</v>
      </c>
      <c r="C1857" s="1">
        <f t="shared" si="116"/>
        <v>13</v>
      </c>
      <c r="D1857" s="5">
        <f ca="1">IF(getQuality(B1857)&lt;4,getOtherMin(B1857,C1857,INDIRECT(J$2),INDIRECT(I1857),test),getMin(B1857,C1857,INDIRECT(J$2),INDIRECT(I1857),test))</f>
        <v>47.219010783550694</v>
      </c>
      <c r="E1857" s="5">
        <f ca="1">IF(getQuality(B1857)&lt;4,getOtherMax(B1857,C1857,INDIRECT(J$2),INDIRECT(I1857),test),getMax(B1857,C1857,INDIRECT(J$2),INDIRECT(I1857),test))</f>
        <v>75.631108554901132</v>
      </c>
      <c r="F1857" s="1" t="str">
        <f t="shared" si="114"/>
        <v>50</v>
      </c>
      <c r="G1857" s="1" t="str">
        <f t="shared" si="115"/>
        <v/>
      </c>
      <c r="I1857" s="1" t="str">
        <f t="shared" si="113"/>
        <v>威尔新数值1.06.xlsm!suitPower</v>
      </c>
    </row>
    <row r="1858" spans="1:9" x14ac:dyDescent="0.15">
      <c r="A1858" s="1">
        <v>1857</v>
      </c>
      <c r="B1858" s="1">
        <v>102031000</v>
      </c>
      <c r="C1858" s="1">
        <f t="shared" si="116"/>
        <v>14</v>
      </c>
      <c r="D1858" s="5">
        <f ca="1">IF(getQuality(B1858)&lt;4,getOtherMin(B1858,C1858,INDIRECT(J$2),INDIRECT(I1858),test),getMin(B1858,C1858,INDIRECT(J$2),INDIRECT(I1858),test))</f>
        <v>47.219010783550694</v>
      </c>
      <c r="E1858" s="5">
        <f ca="1">IF(getQuality(B1858)&lt;4,getOtherMax(B1858,C1858,INDIRECT(J$2),INDIRECT(I1858),test),getMax(B1858,C1858,INDIRECT(J$2),INDIRECT(I1858),test))</f>
        <v>75.631108554901132</v>
      </c>
      <c r="F1858" s="1" t="str">
        <f t="shared" si="114"/>
        <v>50</v>
      </c>
      <c r="G1858" s="1" t="str">
        <f t="shared" si="115"/>
        <v/>
      </c>
      <c r="I1858" s="1" t="str">
        <f t="shared" ref="I1858:I1921" si="117">IF(C1858&lt;100,VLOOKUP(C1858,test,3,FALSE),VLOOKUP(C1858,test1,3,FALSE))</f>
        <v>威尔新数值1.06.xlsm!suitPower</v>
      </c>
    </row>
    <row r="1859" spans="1:9" x14ac:dyDescent="0.15">
      <c r="A1859" s="1">
        <v>1858</v>
      </c>
      <c r="B1859" s="1">
        <v>102031000</v>
      </c>
      <c r="C1859" s="1">
        <f t="shared" si="116"/>
        <v>15</v>
      </c>
      <c r="D1859" s="5">
        <f ca="1">IF(getQuality(B1859)&lt;4,getOtherMin(B1859,C1859,INDIRECT(J$2),INDIRECT(I1859),test),getMin(B1859,C1859,INDIRECT(J$2),INDIRECT(I1859),test))</f>
        <v>47.219010783550694</v>
      </c>
      <c r="E1859" s="5">
        <f ca="1">IF(getQuality(B1859)&lt;4,getOtherMax(B1859,C1859,INDIRECT(J$2),INDIRECT(I1859),test),getMax(B1859,C1859,INDIRECT(J$2),INDIRECT(I1859),test))</f>
        <v>75.631108554901132</v>
      </c>
      <c r="F1859" s="1" t="str">
        <f t="shared" ref="F1859:F1922" si="118">getper(B1859,C1859)</f>
        <v>50</v>
      </c>
      <c r="G1859" s="1" t="str">
        <f t="shared" ref="G1859:G1922" si="119">getMust(B1859,C1859)</f>
        <v/>
      </c>
      <c r="I1859" s="1" t="str">
        <f t="shared" si="117"/>
        <v>威尔新数值1.06.xlsm!suitPower</v>
      </c>
    </row>
    <row r="1860" spans="1:9" x14ac:dyDescent="0.15">
      <c r="A1860" s="1">
        <v>1859</v>
      </c>
      <c r="B1860" s="1">
        <v>102031000</v>
      </c>
      <c r="C1860" s="1">
        <f t="shared" si="116"/>
        <v>101</v>
      </c>
      <c r="D1860" s="5">
        <f ca="1">IF(getQuality(B1860)&lt;4,getOtherMin(B1860,C1860,INDIRECT(J$2),INDIRECT(I1860),test),getMin(B1860,C1860,INDIRECT(J$2),INDIRECT(I1860),test))</f>
        <v>0.08</v>
      </c>
      <c r="E1860" s="5">
        <f ca="1">IF(getQuality(B1860)&lt;4,getOtherMax(B1860,C1860,INDIRECT(J$2),INDIRECT(I1860),test),getMax(B1860,C1860,INDIRECT(J$2),INDIRECT(I1860),test))</f>
        <v>0.11</v>
      </c>
      <c r="F1860" s="1" t="str">
        <f t="shared" si="118"/>
        <v>50</v>
      </c>
      <c r="G1860" s="1" t="str">
        <f t="shared" si="119"/>
        <v/>
      </c>
      <c r="I1860" s="1" t="str">
        <f t="shared" si="117"/>
        <v>威尔新数值1.06.xlsm!circlePer</v>
      </c>
    </row>
    <row r="1861" spans="1:9" x14ac:dyDescent="0.15">
      <c r="A1861" s="1">
        <v>1860</v>
      </c>
      <c r="B1861" s="1">
        <v>102031000</v>
      </c>
      <c r="C1861" s="1">
        <f t="shared" si="116"/>
        <v>102</v>
      </c>
      <c r="D1861" s="5">
        <f ca="1">IF(getQuality(B1861)&lt;4,getOtherMin(B1861,C1861,INDIRECT(J$2),INDIRECT(I1861),test),getMin(B1861,C1861,INDIRECT(J$2),INDIRECT(I1861),test))</f>
        <v>0.6</v>
      </c>
      <c r="E1861" s="5">
        <f ca="1">IF(getQuality(B1861)&lt;4,getOtherMax(B1861,C1861,INDIRECT(J$2),INDIRECT(I1861),test),getMax(B1861,C1861,INDIRECT(J$2),INDIRECT(I1861),test))</f>
        <v>1</v>
      </c>
      <c r="F1861" s="1" t="str">
        <f t="shared" si="118"/>
        <v>50</v>
      </c>
      <c r="G1861" s="1" t="str">
        <f t="shared" si="119"/>
        <v/>
      </c>
      <c r="I1861" s="1" t="str">
        <f t="shared" si="117"/>
        <v>威尔新数值1.06.xlsm!circleValue</v>
      </c>
    </row>
    <row r="1862" spans="1:9" x14ac:dyDescent="0.15">
      <c r="A1862" s="1">
        <v>1861</v>
      </c>
      <c r="B1862" s="1">
        <v>102031000</v>
      </c>
      <c r="C1862" s="1">
        <f t="shared" si="116"/>
        <v>103</v>
      </c>
      <c r="D1862" s="5">
        <f ca="1">IF(getQuality(B1862)&lt;4,getOtherMin(B1862,C1862,INDIRECT(J$2),INDIRECT(I1862),test),getMin(B1862,C1862,INDIRECT(J$2),INDIRECT(I1862),test))</f>
        <v>0.08</v>
      </c>
      <c r="E1862" s="5">
        <f ca="1">IF(getQuality(B1862)&lt;4,getOtherMax(B1862,C1862,INDIRECT(J$2),INDIRECT(I1862),test),getMax(B1862,C1862,INDIRECT(J$2),INDIRECT(I1862),test))</f>
        <v>0.11</v>
      </c>
      <c r="F1862" s="1" t="str">
        <f t="shared" si="118"/>
        <v>50</v>
      </c>
      <c r="G1862" s="1" t="str">
        <f t="shared" si="119"/>
        <v/>
      </c>
      <c r="I1862" s="1" t="str">
        <f t="shared" si="117"/>
        <v>威尔新数值1.06.xlsm!otherDamage</v>
      </c>
    </row>
    <row r="1863" spans="1:9" x14ac:dyDescent="0.15">
      <c r="A1863" s="1">
        <v>1862</v>
      </c>
      <c r="B1863" s="1">
        <v>102031000</v>
      </c>
      <c r="C1863" s="1">
        <f t="shared" si="116"/>
        <v>104</v>
      </c>
      <c r="D1863" s="5">
        <f ca="1">IF(getQuality(B1863)&lt;4,getOtherMin(B1863,C1863,INDIRECT(J$2),INDIRECT(I1863),test),getMin(B1863,C1863,INDIRECT(J$2),INDIRECT(I1863),test))</f>
        <v>0.08</v>
      </c>
      <c r="E1863" s="5">
        <f ca="1">IF(getQuality(B1863)&lt;4,getOtherMax(B1863,C1863,INDIRECT(J$2),INDIRECT(I1863),test),getMax(B1863,C1863,INDIRECT(J$2),INDIRECT(I1863),test))</f>
        <v>0.16</v>
      </c>
      <c r="F1863" s="1" t="str">
        <f t="shared" si="118"/>
        <v>50</v>
      </c>
      <c r="G1863" s="1" t="str">
        <f t="shared" si="119"/>
        <v/>
      </c>
      <c r="I1863" s="1" t="str">
        <f t="shared" si="117"/>
        <v>威尔新数值1.06.xlsm!monsterDamage</v>
      </c>
    </row>
    <row r="1864" spans="1:9" x14ac:dyDescent="0.15">
      <c r="A1864" s="1">
        <v>1863</v>
      </c>
      <c r="B1864" s="1">
        <v>102031000</v>
      </c>
      <c r="C1864" s="1">
        <f t="shared" si="116"/>
        <v>105</v>
      </c>
      <c r="D1864" s="5">
        <f ca="1">IF(getQuality(B1864)&lt;4,getOtherMin(B1864,C1864,INDIRECT(J$2),INDIRECT(I1864),test),getMin(B1864,C1864,INDIRECT(J$2),INDIRECT(I1864),test))</f>
        <v>0.08</v>
      </c>
      <c r="E1864" s="5">
        <f ca="1">IF(getQuality(B1864)&lt;4,getOtherMax(B1864,C1864,INDIRECT(J$2),INDIRECT(I1864),test),getMax(B1864,C1864,INDIRECT(J$2),INDIRECT(I1864),test))</f>
        <v>0.16</v>
      </c>
      <c r="F1864" s="1" t="str">
        <f t="shared" si="118"/>
        <v>50</v>
      </c>
      <c r="G1864" s="1" t="str">
        <f t="shared" si="119"/>
        <v/>
      </c>
      <c r="I1864" s="1" t="str">
        <f t="shared" si="117"/>
        <v>威尔新数值1.06.xlsm!monsterDamage</v>
      </c>
    </row>
    <row r="1865" spans="1:9" x14ac:dyDescent="0.15">
      <c r="A1865" s="1">
        <v>1864</v>
      </c>
      <c r="B1865" s="1">
        <v>102031000</v>
      </c>
      <c r="C1865" s="1">
        <f t="shared" si="116"/>
        <v>106</v>
      </c>
      <c r="D1865" s="5">
        <f ca="1">IF(getQuality(B1865)&lt;4,getOtherMin(B1865,C1865,INDIRECT(J$2),INDIRECT(I1865),test),getMin(B1865,C1865,INDIRECT(J$2),INDIRECT(I1865),test))</f>
        <v>0.08</v>
      </c>
      <c r="E1865" s="5">
        <f ca="1">IF(getQuality(B1865)&lt;4,getOtherMax(B1865,C1865,INDIRECT(J$2),INDIRECT(I1865),test),getMax(B1865,C1865,INDIRECT(J$2),INDIRECT(I1865),test))</f>
        <v>0.16</v>
      </c>
      <c r="F1865" s="1" t="str">
        <f t="shared" si="118"/>
        <v>50</v>
      </c>
      <c r="G1865" s="1" t="str">
        <f t="shared" si="119"/>
        <v/>
      </c>
      <c r="I1865" s="1" t="str">
        <f t="shared" si="117"/>
        <v>威尔新数值1.06.xlsm!monsterDamage</v>
      </c>
    </row>
    <row r="1866" spans="1:9" x14ac:dyDescent="0.15">
      <c r="A1866" s="1">
        <v>1865</v>
      </c>
      <c r="B1866" s="1">
        <v>102031000</v>
      </c>
      <c r="C1866" s="1">
        <f t="shared" si="116"/>
        <v>107</v>
      </c>
      <c r="D1866" s="5">
        <f ca="1">IF(getQuality(B1866)&lt;4,getOtherMin(B1866,C1866,INDIRECT(J$2),INDIRECT(I1866),test),getMin(B1866,C1866,INDIRECT(J$2),INDIRECT(I1866),test))</f>
        <v>0.08</v>
      </c>
      <c r="E1866" s="5">
        <f ca="1">IF(getQuality(B1866)&lt;4,getOtherMax(B1866,C1866,INDIRECT(J$2),INDIRECT(I1866),test),getMax(B1866,C1866,INDIRECT(J$2),INDIRECT(I1866),test))</f>
        <v>0.16</v>
      </c>
      <c r="F1866" s="1" t="str">
        <f t="shared" si="118"/>
        <v>50</v>
      </c>
      <c r="G1866" s="1" t="str">
        <f t="shared" si="119"/>
        <v/>
      </c>
      <c r="I1866" s="1" t="str">
        <f t="shared" si="117"/>
        <v>威尔新数值1.06.xlsm!monsterDamage</v>
      </c>
    </row>
    <row r="1867" spans="1:9" x14ac:dyDescent="0.15">
      <c r="A1867" s="1">
        <v>1866</v>
      </c>
      <c r="B1867" s="1">
        <v>102031000</v>
      </c>
      <c r="C1867" s="1">
        <f t="shared" si="116"/>
        <v>108</v>
      </c>
      <c r="D1867" s="5">
        <f ca="1">IF(getQuality(B1867)&lt;4,getOtherMin(B1867,C1867,INDIRECT(J$2),INDIRECT(I1867),test),getMin(B1867,C1867,INDIRECT(J$2),INDIRECT(I1867),test))</f>
        <v>0.08</v>
      </c>
      <c r="E1867" s="5">
        <f ca="1">IF(getQuality(B1867)&lt;4,getOtherMax(B1867,C1867,INDIRECT(J$2),INDIRECT(I1867),test),getMax(B1867,C1867,INDIRECT(J$2),INDIRECT(I1867),test))</f>
        <v>0.16</v>
      </c>
      <c r="F1867" s="1" t="str">
        <f t="shared" si="118"/>
        <v>50</v>
      </c>
      <c r="G1867" s="1" t="str">
        <f t="shared" si="119"/>
        <v/>
      </c>
      <c r="I1867" s="1" t="str">
        <f t="shared" si="117"/>
        <v>威尔新数值1.06.xlsm!monsterDamage</v>
      </c>
    </row>
    <row r="1868" spans="1:9" x14ac:dyDescent="0.15">
      <c r="A1868" s="1">
        <v>1867</v>
      </c>
      <c r="B1868" s="1">
        <v>102041000</v>
      </c>
      <c r="C1868" s="1">
        <f t="shared" si="116"/>
        <v>3</v>
      </c>
      <c r="D1868" s="5">
        <f ca="1">IF(getQuality(B1868)&lt;4,getOtherMin(B1868,C1868,INDIRECT(J$2),INDIRECT(I1868),test),getMin(B1868,C1868,INDIRECT(J$2),INDIRECT(I1868),test))</f>
        <v>76.631108554901132</v>
      </c>
      <c r="E1868" s="5">
        <f ca="1">IF(getQuality(B1868)&lt;4,getOtherMax(B1868,C1868,INDIRECT(J$2),INDIRECT(I1868),test),getMax(B1868,C1868,INDIRECT(J$2),INDIRECT(I1868),test))</f>
        <v>109.24493457930163</v>
      </c>
      <c r="F1868" s="1" t="str">
        <f t="shared" si="118"/>
        <v>50</v>
      </c>
      <c r="G1868" s="1" t="str">
        <f t="shared" si="119"/>
        <v>1</v>
      </c>
      <c r="I1868" s="1" t="str">
        <f t="shared" si="117"/>
        <v>威尔新数值1.06.xlsm!suitPower</v>
      </c>
    </row>
    <row r="1869" spans="1:9" x14ac:dyDescent="0.15">
      <c r="A1869" s="1">
        <v>1868</v>
      </c>
      <c r="B1869" s="1">
        <v>102041000</v>
      </c>
      <c r="C1869" s="1">
        <f t="shared" si="116"/>
        <v>5</v>
      </c>
      <c r="D1869" s="5">
        <f ca="1">IF(getQuality(B1869)&lt;4,getOtherMin(B1869,C1869,INDIRECT(J$2),INDIRECT(I1869),test),getMin(B1869,C1869,INDIRECT(J$2),INDIRECT(I1869),test))</f>
        <v>76.631108554901132</v>
      </c>
      <c r="E1869" s="5">
        <f ca="1">IF(getQuality(B1869)&lt;4,getOtherMax(B1869,C1869,INDIRECT(J$2),INDIRECT(I1869),test),getMax(B1869,C1869,INDIRECT(J$2),INDIRECT(I1869),test))</f>
        <v>109.24493457930163</v>
      </c>
      <c r="F1869" s="1" t="str">
        <f t="shared" si="118"/>
        <v>50</v>
      </c>
      <c r="G1869" s="1" t="str">
        <f t="shared" si="119"/>
        <v/>
      </c>
      <c r="I1869" s="1" t="str">
        <f t="shared" si="117"/>
        <v>威尔新数值1.06.xlsm!suitPower</v>
      </c>
    </row>
    <row r="1870" spans="1:9" x14ac:dyDescent="0.15">
      <c r="A1870" s="1">
        <v>1869</v>
      </c>
      <c r="B1870" s="1">
        <v>102041000</v>
      </c>
      <c r="C1870" s="1">
        <f t="shared" si="116"/>
        <v>7</v>
      </c>
      <c r="D1870" s="5">
        <f ca="1">IF(getQuality(B1870)&lt;4,getOtherMin(B1870,C1870,INDIRECT(J$2),INDIRECT(I1870),test),getMin(B1870,C1870,INDIRECT(J$2),INDIRECT(I1870),test))</f>
        <v>20.444444444444393</v>
      </c>
      <c r="E1870" s="5">
        <f ca="1">IF(getQuality(B1870)&lt;4,getOtherMax(B1870,C1870,INDIRECT(J$2),INDIRECT(I1870),test),getMax(B1870,C1870,INDIRECT(J$2),INDIRECT(I1870),test))</f>
        <v>25.92592592592586</v>
      </c>
      <c r="F1870" s="1" t="str">
        <f t="shared" si="118"/>
        <v>50</v>
      </c>
      <c r="G1870" s="1" t="str">
        <f t="shared" si="119"/>
        <v/>
      </c>
      <c r="I1870" s="1" t="str">
        <f t="shared" si="117"/>
        <v>威尔新数值1.06.xlsm!suitPower</v>
      </c>
    </row>
    <row r="1871" spans="1:9" x14ac:dyDescent="0.15">
      <c r="A1871" s="1">
        <v>1870</v>
      </c>
      <c r="B1871" s="1">
        <v>102041000</v>
      </c>
      <c r="C1871" s="1">
        <f t="shared" si="116"/>
        <v>8</v>
      </c>
      <c r="D1871" s="5">
        <f ca="1">IF(getQuality(B1871)&lt;4,getOtherMin(B1871,C1871,INDIRECT(J$2),INDIRECT(I1871),test),getMin(B1871,C1871,INDIRECT(J$2),INDIRECT(I1871),test))</f>
        <v>44.75</v>
      </c>
      <c r="E1871" s="5">
        <f ca="1">IF(getQuality(B1871)&lt;4,getOtherMax(B1871,C1871,INDIRECT(J$2),INDIRECT(I1871),test),getMax(B1871,C1871,INDIRECT(J$2),INDIRECT(I1871),test))</f>
        <v>58.333333333333336</v>
      </c>
      <c r="F1871" s="1" t="str">
        <f t="shared" si="118"/>
        <v>50</v>
      </c>
      <c r="G1871" s="1" t="str">
        <f t="shared" si="119"/>
        <v/>
      </c>
      <c r="I1871" s="1" t="str">
        <f t="shared" si="117"/>
        <v>威尔新数值1.06.xlsm!suitPower</v>
      </c>
    </row>
    <row r="1872" spans="1:9" x14ac:dyDescent="0.15">
      <c r="A1872" s="1">
        <v>1871</v>
      </c>
      <c r="B1872" s="1">
        <v>102041000</v>
      </c>
      <c r="C1872" s="1">
        <f t="shared" si="116"/>
        <v>9</v>
      </c>
      <c r="D1872" s="5">
        <f ca="1">IF(getQuality(B1872)&lt;4,getOtherMin(B1872,C1872,INDIRECT(J$2),INDIRECT(I1872),test),getMin(B1872,C1872,INDIRECT(J$2),INDIRECT(I1872),test))</f>
        <v>76.631108554901132</v>
      </c>
      <c r="E1872" s="5">
        <f ca="1">IF(getQuality(B1872)&lt;4,getOtherMax(B1872,C1872,INDIRECT(J$2),INDIRECT(I1872),test),getMax(B1872,C1872,INDIRECT(J$2),INDIRECT(I1872),test))</f>
        <v>109.24493457930163</v>
      </c>
      <c r="F1872" s="1" t="str">
        <f t="shared" si="118"/>
        <v>50</v>
      </c>
      <c r="G1872" s="1" t="str">
        <f t="shared" si="119"/>
        <v/>
      </c>
      <c r="I1872" s="1" t="str">
        <f t="shared" si="117"/>
        <v>威尔新数值1.06.xlsm!suitPower</v>
      </c>
    </row>
    <row r="1873" spans="1:9" x14ac:dyDescent="0.15">
      <c r="A1873" s="1">
        <v>1872</v>
      </c>
      <c r="B1873" s="1">
        <v>102041000</v>
      </c>
      <c r="C1873" s="1">
        <f t="shared" si="116"/>
        <v>10</v>
      </c>
      <c r="D1873" s="5">
        <f ca="1">IF(getQuality(B1873)&lt;4,getOtherMin(B1873,C1873,INDIRECT(J$2),INDIRECT(I1873),test),getMin(B1873,C1873,INDIRECT(J$2),INDIRECT(I1873),test))</f>
        <v>76.631108554901132</v>
      </c>
      <c r="E1873" s="5">
        <f ca="1">IF(getQuality(B1873)&lt;4,getOtherMax(B1873,C1873,INDIRECT(J$2),INDIRECT(I1873),test),getMax(B1873,C1873,INDIRECT(J$2),INDIRECT(I1873),test))</f>
        <v>109.24493457930163</v>
      </c>
      <c r="F1873" s="1" t="str">
        <f t="shared" si="118"/>
        <v>50</v>
      </c>
      <c r="G1873" s="1" t="str">
        <f t="shared" si="119"/>
        <v/>
      </c>
      <c r="I1873" s="1" t="str">
        <f t="shared" si="117"/>
        <v>威尔新数值1.06.xlsm!suitPower</v>
      </c>
    </row>
    <row r="1874" spans="1:9" x14ac:dyDescent="0.15">
      <c r="A1874" s="1">
        <v>1873</v>
      </c>
      <c r="B1874" s="1">
        <v>102041000</v>
      </c>
      <c r="C1874" s="1">
        <f t="shared" si="116"/>
        <v>11</v>
      </c>
      <c r="D1874" s="5">
        <f ca="1">IF(getQuality(B1874)&lt;4,getOtherMin(B1874,C1874,INDIRECT(J$2),INDIRECT(I1874),test),getMin(B1874,C1874,INDIRECT(J$2),INDIRECT(I1874),test))</f>
        <v>76.631108554901132</v>
      </c>
      <c r="E1874" s="5">
        <f ca="1">IF(getQuality(B1874)&lt;4,getOtherMax(B1874,C1874,INDIRECT(J$2),INDIRECT(I1874),test),getMax(B1874,C1874,INDIRECT(J$2),INDIRECT(I1874),test))</f>
        <v>109.24493457930163</v>
      </c>
      <c r="F1874" s="1" t="str">
        <f t="shared" si="118"/>
        <v>50</v>
      </c>
      <c r="G1874" s="1" t="str">
        <f t="shared" si="119"/>
        <v/>
      </c>
      <c r="I1874" s="1" t="str">
        <f t="shared" si="117"/>
        <v>威尔新数值1.06.xlsm!suitPower</v>
      </c>
    </row>
    <row r="1875" spans="1:9" x14ac:dyDescent="0.15">
      <c r="A1875" s="1">
        <v>1874</v>
      </c>
      <c r="B1875" s="1">
        <v>102041000</v>
      </c>
      <c r="C1875" s="1">
        <f t="shared" si="116"/>
        <v>12</v>
      </c>
      <c r="D1875" s="5">
        <f ca="1">IF(getQuality(B1875)&lt;4,getOtherMin(B1875,C1875,INDIRECT(J$2),INDIRECT(I1875),test),getMin(B1875,C1875,INDIRECT(J$2),INDIRECT(I1875),test))</f>
        <v>76.631108554901132</v>
      </c>
      <c r="E1875" s="5">
        <f ca="1">IF(getQuality(B1875)&lt;4,getOtherMax(B1875,C1875,INDIRECT(J$2),INDIRECT(I1875),test),getMax(B1875,C1875,INDIRECT(J$2),INDIRECT(I1875),test))</f>
        <v>109.24493457930163</v>
      </c>
      <c r="F1875" s="1" t="str">
        <f t="shared" si="118"/>
        <v>50</v>
      </c>
      <c r="G1875" s="1" t="str">
        <f t="shared" si="119"/>
        <v/>
      </c>
      <c r="I1875" s="1" t="str">
        <f t="shared" si="117"/>
        <v>威尔新数值1.06.xlsm!suitPower</v>
      </c>
    </row>
    <row r="1876" spans="1:9" x14ac:dyDescent="0.15">
      <c r="A1876" s="1">
        <v>1875</v>
      </c>
      <c r="B1876" s="1">
        <v>102041000</v>
      </c>
      <c r="C1876" s="1">
        <f t="shared" si="116"/>
        <v>13</v>
      </c>
      <c r="D1876" s="5">
        <f ca="1">IF(getQuality(B1876)&lt;4,getOtherMin(B1876,C1876,INDIRECT(J$2),INDIRECT(I1876),test),getMin(B1876,C1876,INDIRECT(J$2),INDIRECT(I1876),test))</f>
        <v>76.631108554901132</v>
      </c>
      <c r="E1876" s="5">
        <f ca="1">IF(getQuality(B1876)&lt;4,getOtherMax(B1876,C1876,INDIRECT(J$2),INDIRECT(I1876),test),getMax(B1876,C1876,INDIRECT(J$2),INDIRECT(I1876),test))</f>
        <v>109.24493457930163</v>
      </c>
      <c r="F1876" s="1" t="str">
        <f t="shared" si="118"/>
        <v>50</v>
      </c>
      <c r="G1876" s="1" t="str">
        <f t="shared" si="119"/>
        <v/>
      </c>
      <c r="I1876" s="1" t="str">
        <f t="shared" si="117"/>
        <v>威尔新数值1.06.xlsm!suitPower</v>
      </c>
    </row>
    <row r="1877" spans="1:9" x14ac:dyDescent="0.15">
      <c r="A1877" s="1">
        <v>1876</v>
      </c>
      <c r="B1877" s="1">
        <v>102041000</v>
      </c>
      <c r="C1877" s="1">
        <f t="shared" si="116"/>
        <v>14</v>
      </c>
      <c r="D1877" s="5">
        <f ca="1">IF(getQuality(B1877)&lt;4,getOtherMin(B1877,C1877,INDIRECT(J$2),INDIRECT(I1877),test),getMin(B1877,C1877,INDIRECT(J$2),INDIRECT(I1877),test))</f>
        <v>76.631108554901132</v>
      </c>
      <c r="E1877" s="5">
        <f ca="1">IF(getQuality(B1877)&lt;4,getOtherMax(B1877,C1877,INDIRECT(J$2),INDIRECT(I1877),test),getMax(B1877,C1877,INDIRECT(J$2),INDIRECT(I1877),test))</f>
        <v>109.24493457930163</v>
      </c>
      <c r="F1877" s="1" t="str">
        <f t="shared" si="118"/>
        <v>50</v>
      </c>
      <c r="G1877" s="1" t="str">
        <f t="shared" si="119"/>
        <v/>
      </c>
      <c r="I1877" s="1" t="str">
        <f t="shared" si="117"/>
        <v>威尔新数值1.06.xlsm!suitPower</v>
      </c>
    </row>
    <row r="1878" spans="1:9" x14ac:dyDescent="0.15">
      <c r="A1878" s="1">
        <v>1877</v>
      </c>
      <c r="B1878" s="1">
        <v>102041000</v>
      </c>
      <c r="C1878" s="1">
        <f t="shared" si="116"/>
        <v>15</v>
      </c>
      <c r="D1878" s="5">
        <f ca="1">IF(getQuality(B1878)&lt;4,getOtherMin(B1878,C1878,INDIRECT(J$2),INDIRECT(I1878),test),getMin(B1878,C1878,INDIRECT(J$2),INDIRECT(I1878),test))</f>
        <v>76.631108554901132</v>
      </c>
      <c r="E1878" s="5">
        <f ca="1">IF(getQuality(B1878)&lt;4,getOtherMax(B1878,C1878,INDIRECT(J$2),INDIRECT(I1878),test),getMax(B1878,C1878,INDIRECT(J$2),INDIRECT(I1878),test))</f>
        <v>109.24493457930163</v>
      </c>
      <c r="F1878" s="1" t="str">
        <f t="shared" si="118"/>
        <v>50</v>
      </c>
      <c r="G1878" s="1" t="str">
        <f t="shared" si="119"/>
        <v/>
      </c>
      <c r="I1878" s="1" t="str">
        <f t="shared" si="117"/>
        <v>威尔新数值1.06.xlsm!suitPower</v>
      </c>
    </row>
    <row r="1879" spans="1:9" x14ac:dyDescent="0.15">
      <c r="A1879" s="1">
        <v>1878</v>
      </c>
      <c r="B1879" s="1">
        <v>102041000</v>
      </c>
      <c r="C1879" s="1">
        <f t="shared" si="116"/>
        <v>101</v>
      </c>
      <c r="D1879" s="5">
        <f ca="1">IF(getQuality(B1879)&lt;4,getOtherMin(B1879,C1879,INDIRECT(J$2),INDIRECT(I1879),test),getMin(B1879,C1879,INDIRECT(J$2),INDIRECT(I1879),test))</f>
        <v>0.09</v>
      </c>
      <c r="E1879" s="5">
        <f ca="1">IF(getQuality(B1879)&lt;4,getOtherMax(B1879,C1879,INDIRECT(J$2),INDIRECT(I1879),test),getMax(B1879,C1879,INDIRECT(J$2),INDIRECT(I1879),test))</f>
        <v>0.12</v>
      </c>
      <c r="F1879" s="1" t="str">
        <f t="shared" si="118"/>
        <v>50</v>
      </c>
      <c r="G1879" s="1" t="str">
        <f t="shared" si="119"/>
        <v/>
      </c>
      <c r="I1879" s="1" t="str">
        <f t="shared" si="117"/>
        <v>威尔新数值1.06.xlsm!circlePer</v>
      </c>
    </row>
    <row r="1880" spans="1:9" x14ac:dyDescent="0.15">
      <c r="A1880" s="1">
        <v>1879</v>
      </c>
      <c r="B1880" s="1">
        <v>102041000</v>
      </c>
      <c r="C1880" s="1">
        <f t="shared" si="116"/>
        <v>102</v>
      </c>
      <c r="D1880" s="5">
        <f ca="1">IF(getQuality(B1880)&lt;4,getOtherMin(B1880,C1880,INDIRECT(J$2),INDIRECT(I1880),test),getMin(B1880,C1880,INDIRECT(J$2),INDIRECT(I1880),test))</f>
        <v>0.7</v>
      </c>
      <c r="E1880" s="5">
        <f ca="1">IF(getQuality(B1880)&lt;4,getOtherMax(B1880,C1880,INDIRECT(J$2),INDIRECT(I1880),test),getMax(B1880,C1880,INDIRECT(J$2),INDIRECT(I1880),test))</f>
        <v>1.1000000000000001</v>
      </c>
      <c r="F1880" s="1" t="str">
        <f t="shared" si="118"/>
        <v>50</v>
      </c>
      <c r="G1880" s="1" t="str">
        <f t="shared" si="119"/>
        <v/>
      </c>
      <c r="I1880" s="1" t="str">
        <f t="shared" si="117"/>
        <v>威尔新数值1.06.xlsm!circleValue</v>
      </c>
    </row>
    <row r="1881" spans="1:9" x14ac:dyDescent="0.15">
      <c r="A1881" s="1">
        <v>1880</v>
      </c>
      <c r="B1881" s="1">
        <v>102041000</v>
      </c>
      <c r="C1881" s="1">
        <f t="shared" si="116"/>
        <v>103</v>
      </c>
      <c r="D1881" s="5">
        <f ca="1">IF(getQuality(B1881)&lt;4,getOtherMin(B1881,C1881,INDIRECT(J$2),INDIRECT(I1881),test),getMin(B1881,C1881,INDIRECT(J$2),INDIRECT(I1881),test))</f>
        <v>0.09</v>
      </c>
      <c r="E1881" s="5">
        <f ca="1">IF(getQuality(B1881)&lt;4,getOtherMax(B1881,C1881,INDIRECT(J$2),INDIRECT(I1881),test),getMax(B1881,C1881,INDIRECT(J$2),INDIRECT(I1881),test))</f>
        <v>0.12</v>
      </c>
      <c r="F1881" s="1" t="str">
        <f t="shared" si="118"/>
        <v>50</v>
      </c>
      <c r="G1881" s="1" t="str">
        <f t="shared" si="119"/>
        <v/>
      </c>
      <c r="I1881" s="1" t="str">
        <f t="shared" si="117"/>
        <v>威尔新数值1.06.xlsm!otherDamage</v>
      </c>
    </row>
    <row r="1882" spans="1:9" x14ac:dyDescent="0.15">
      <c r="A1882" s="1">
        <v>1881</v>
      </c>
      <c r="B1882" s="1">
        <v>102041000</v>
      </c>
      <c r="C1882" s="1">
        <f t="shared" si="116"/>
        <v>104</v>
      </c>
      <c r="D1882" s="5">
        <f ca="1">IF(getQuality(B1882)&lt;4,getOtherMin(B1882,C1882,INDIRECT(J$2),INDIRECT(I1882),test),getMin(B1882,C1882,INDIRECT(J$2),INDIRECT(I1882),test))</f>
        <v>0.09</v>
      </c>
      <c r="E1882" s="5">
        <f ca="1">IF(getQuality(B1882)&lt;4,getOtherMax(B1882,C1882,INDIRECT(J$2),INDIRECT(I1882),test),getMax(B1882,C1882,INDIRECT(J$2),INDIRECT(I1882),test))</f>
        <v>0.18</v>
      </c>
      <c r="F1882" s="1" t="str">
        <f t="shared" si="118"/>
        <v>50</v>
      </c>
      <c r="G1882" s="1" t="str">
        <f t="shared" si="119"/>
        <v/>
      </c>
      <c r="I1882" s="1" t="str">
        <f t="shared" si="117"/>
        <v>威尔新数值1.06.xlsm!monsterDamage</v>
      </c>
    </row>
    <row r="1883" spans="1:9" x14ac:dyDescent="0.15">
      <c r="A1883" s="1">
        <v>1882</v>
      </c>
      <c r="B1883" s="1">
        <v>102041000</v>
      </c>
      <c r="C1883" s="1">
        <f t="shared" si="116"/>
        <v>105</v>
      </c>
      <c r="D1883" s="5">
        <f ca="1">IF(getQuality(B1883)&lt;4,getOtherMin(B1883,C1883,INDIRECT(J$2),INDIRECT(I1883),test),getMin(B1883,C1883,INDIRECT(J$2),INDIRECT(I1883),test))</f>
        <v>0.09</v>
      </c>
      <c r="E1883" s="5">
        <f ca="1">IF(getQuality(B1883)&lt;4,getOtherMax(B1883,C1883,INDIRECT(J$2),INDIRECT(I1883),test),getMax(B1883,C1883,INDIRECT(J$2),INDIRECT(I1883),test))</f>
        <v>0.18</v>
      </c>
      <c r="F1883" s="1" t="str">
        <f t="shared" si="118"/>
        <v>50</v>
      </c>
      <c r="G1883" s="1" t="str">
        <f t="shared" si="119"/>
        <v/>
      </c>
      <c r="I1883" s="1" t="str">
        <f t="shared" si="117"/>
        <v>威尔新数值1.06.xlsm!monsterDamage</v>
      </c>
    </row>
    <row r="1884" spans="1:9" x14ac:dyDescent="0.15">
      <c r="A1884" s="1">
        <v>1883</v>
      </c>
      <c r="B1884" s="1">
        <v>102041000</v>
      </c>
      <c r="C1884" s="1">
        <f t="shared" si="116"/>
        <v>106</v>
      </c>
      <c r="D1884" s="5">
        <f ca="1">IF(getQuality(B1884)&lt;4,getOtherMin(B1884,C1884,INDIRECT(J$2),INDIRECT(I1884),test),getMin(B1884,C1884,INDIRECT(J$2),INDIRECT(I1884),test))</f>
        <v>0.09</v>
      </c>
      <c r="E1884" s="5">
        <f ca="1">IF(getQuality(B1884)&lt;4,getOtherMax(B1884,C1884,INDIRECT(J$2),INDIRECT(I1884),test),getMax(B1884,C1884,INDIRECT(J$2),INDIRECT(I1884),test))</f>
        <v>0.18</v>
      </c>
      <c r="F1884" s="1" t="str">
        <f t="shared" si="118"/>
        <v>50</v>
      </c>
      <c r="G1884" s="1" t="str">
        <f t="shared" si="119"/>
        <v/>
      </c>
      <c r="I1884" s="1" t="str">
        <f t="shared" si="117"/>
        <v>威尔新数值1.06.xlsm!monsterDamage</v>
      </c>
    </row>
    <row r="1885" spans="1:9" x14ac:dyDescent="0.15">
      <c r="A1885" s="1">
        <v>1884</v>
      </c>
      <c r="B1885" s="1">
        <v>102041000</v>
      </c>
      <c r="C1885" s="1">
        <f t="shared" si="116"/>
        <v>107</v>
      </c>
      <c r="D1885" s="5">
        <f ca="1">IF(getQuality(B1885)&lt;4,getOtherMin(B1885,C1885,INDIRECT(J$2),INDIRECT(I1885),test),getMin(B1885,C1885,INDIRECT(J$2),INDIRECT(I1885),test))</f>
        <v>0.09</v>
      </c>
      <c r="E1885" s="5">
        <f ca="1">IF(getQuality(B1885)&lt;4,getOtherMax(B1885,C1885,INDIRECT(J$2),INDIRECT(I1885),test),getMax(B1885,C1885,INDIRECT(J$2),INDIRECT(I1885),test))</f>
        <v>0.18</v>
      </c>
      <c r="F1885" s="1" t="str">
        <f t="shared" si="118"/>
        <v>50</v>
      </c>
      <c r="G1885" s="1" t="str">
        <f t="shared" si="119"/>
        <v/>
      </c>
      <c r="I1885" s="1" t="str">
        <f t="shared" si="117"/>
        <v>威尔新数值1.06.xlsm!monsterDamage</v>
      </c>
    </row>
    <row r="1886" spans="1:9" x14ac:dyDescent="0.15">
      <c r="A1886" s="1">
        <v>1885</v>
      </c>
      <c r="B1886" s="1">
        <v>102041000</v>
      </c>
      <c r="C1886" s="1">
        <f t="shared" si="116"/>
        <v>108</v>
      </c>
      <c r="D1886" s="5">
        <f ca="1">IF(getQuality(B1886)&lt;4,getOtherMin(B1886,C1886,INDIRECT(J$2),INDIRECT(I1886),test),getMin(B1886,C1886,INDIRECT(J$2),INDIRECT(I1886),test))</f>
        <v>0.09</v>
      </c>
      <c r="E1886" s="5">
        <f ca="1">IF(getQuality(B1886)&lt;4,getOtherMax(B1886,C1886,INDIRECT(J$2),INDIRECT(I1886),test),getMax(B1886,C1886,INDIRECT(J$2),INDIRECT(I1886),test))</f>
        <v>0.18</v>
      </c>
      <c r="F1886" s="1" t="str">
        <f t="shared" si="118"/>
        <v>50</v>
      </c>
      <c r="G1886" s="1" t="str">
        <f t="shared" si="119"/>
        <v/>
      </c>
      <c r="I1886" s="1" t="str">
        <f t="shared" si="117"/>
        <v>威尔新数值1.06.xlsm!monsterDamage</v>
      </c>
    </row>
    <row r="1887" spans="1:9" x14ac:dyDescent="0.15">
      <c r="A1887" s="1">
        <v>1886</v>
      </c>
      <c r="B1887" s="1">
        <v>102051000</v>
      </c>
      <c r="C1887" s="1">
        <f t="shared" si="116"/>
        <v>3</v>
      </c>
      <c r="D1887" s="5">
        <f ca="1">IF(getQuality(B1887)&lt;4,getOtherMin(B1887,C1887,INDIRECT(J$2),INDIRECT(I1887),test),getMin(B1887,C1887,INDIRECT(J$2),INDIRECT(I1887),test))</f>
        <v>110.24493457930163</v>
      </c>
      <c r="E1887" s="5">
        <f ca="1">IF(getQuality(B1887)&lt;4,getOtherMax(B1887,C1887,INDIRECT(J$2),INDIRECT(I1887),test),getMax(B1887,C1887,INDIRECT(J$2),INDIRECT(I1887),test))</f>
        <v>148.01542709608177</v>
      </c>
      <c r="F1887" s="1" t="str">
        <f t="shared" si="118"/>
        <v>50</v>
      </c>
      <c r="G1887" s="1" t="str">
        <f t="shared" si="119"/>
        <v>1</v>
      </c>
      <c r="I1887" s="1" t="str">
        <f t="shared" si="117"/>
        <v>威尔新数值1.06.xlsm!suitPower</v>
      </c>
    </row>
    <row r="1888" spans="1:9" x14ac:dyDescent="0.15">
      <c r="A1888" s="1">
        <v>1887</v>
      </c>
      <c r="B1888" s="1">
        <v>102051000</v>
      </c>
      <c r="C1888" s="1">
        <f t="shared" si="116"/>
        <v>5</v>
      </c>
      <c r="D1888" s="5">
        <f ca="1">IF(getQuality(B1888)&lt;4,getOtherMin(B1888,C1888,INDIRECT(J$2),INDIRECT(I1888),test),getMin(B1888,C1888,INDIRECT(J$2),INDIRECT(I1888),test))</f>
        <v>110.24493457930163</v>
      </c>
      <c r="E1888" s="5">
        <f ca="1">IF(getQuality(B1888)&lt;4,getOtherMax(B1888,C1888,INDIRECT(J$2),INDIRECT(I1888),test),getMax(B1888,C1888,INDIRECT(J$2),INDIRECT(I1888),test))</f>
        <v>148.01542709608177</v>
      </c>
      <c r="F1888" s="1" t="str">
        <f t="shared" si="118"/>
        <v>50</v>
      </c>
      <c r="G1888" s="1" t="str">
        <f t="shared" si="119"/>
        <v/>
      </c>
      <c r="I1888" s="1" t="str">
        <f t="shared" si="117"/>
        <v>威尔新数值1.06.xlsm!suitPower</v>
      </c>
    </row>
    <row r="1889" spans="1:9" x14ac:dyDescent="0.15">
      <c r="A1889" s="1">
        <v>1888</v>
      </c>
      <c r="B1889" s="1">
        <v>102051000</v>
      </c>
      <c r="C1889" s="1">
        <f t="shared" si="116"/>
        <v>7</v>
      </c>
      <c r="D1889" s="5">
        <f ca="1">IF(getQuality(B1889)&lt;4,getOtherMin(B1889,C1889,INDIRECT(J$2),INDIRECT(I1889),test),getMin(B1889,C1889,INDIRECT(J$2),INDIRECT(I1889),test))</f>
        <v>26.92592592592586</v>
      </c>
      <c r="E1889" s="5">
        <f ca="1">IF(getQuality(B1889)&lt;4,getOtherMax(B1889,C1889,INDIRECT(J$2),INDIRECT(I1889),test),getMax(B1889,C1889,INDIRECT(J$2),INDIRECT(I1889),test))</f>
        <v>32.407407407407327</v>
      </c>
      <c r="F1889" s="1" t="str">
        <f t="shared" si="118"/>
        <v>50</v>
      </c>
      <c r="G1889" s="1" t="str">
        <f t="shared" si="119"/>
        <v/>
      </c>
      <c r="I1889" s="1" t="str">
        <f t="shared" si="117"/>
        <v>威尔新数值1.06.xlsm!suitPower</v>
      </c>
    </row>
    <row r="1890" spans="1:9" x14ac:dyDescent="0.15">
      <c r="A1890" s="1">
        <v>1889</v>
      </c>
      <c r="B1890" s="1">
        <v>102051000</v>
      </c>
      <c r="C1890" s="1">
        <f t="shared" si="116"/>
        <v>8</v>
      </c>
      <c r="D1890" s="5">
        <f ca="1">IF(getQuality(B1890)&lt;4,getOtherMin(B1890,C1890,INDIRECT(J$2),INDIRECT(I1890),test),getMin(B1890,C1890,INDIRECT(J$2),INDIRECT(I1890),test))</f>
        <v>59.333333333333336</v>
      </c>
      <c r="E1890" s="5">
        <f ca="1">IF(getQuality(B1890)&lt;4,getOtherMax(B1890,C1890,INDIRECT(J$2),INDIRECT(I1890),test),getMax(B1890,C1890,INDIRECT(J$2),INDIRECT(I1890),test))</f>
        <v>72.916666666666671</v>
      </c>
      <c r="F1890" s="1" t="str">
        <f t="shared" si="118"/>
        <v>50</v>
      </c>
      <c r="G1890" s="1" t="str">
        <f t="shared" si="119"/>
        <v/>
      </c>
      <c r="I1890" s="1" t="str">
        <f t="shared" si="117"/>
        <v>威尔新数值1.06.xlsm!suitPower</v>
      </c>
    </row>
    <row r="1891" spans="1:9" x14ac:dyDescent="0.15">
      <c r="A1891" s="1">
        <v>1890</v>
      </c>
      <c r="B1891" s="1">
        <v>102051000</v>
      </c>
      <c r="C1891" s="1">
        <f t="shared" si="116"/>
        <v>9</v>
      </c>
      <c r="D1891" s="5">
        <f ca="1">IF(getQuality(B1891)&lt;4,getOtherMin(B1891,C1891,INDIRECT(J$2),INDIRECT(I1891),test),getMin(B1891,C1891,INDIRECT(J$2),INDIRECT(I1891),test))</f>
        <v>110.24493457930163</v>
      </c>
      <c r="E1891" s="5">
        <f ca="1">IF(getQuality(B1891)&lt;4,getOtherMax(B1891,C1891,INDIRECT(J$2),INDIRECT(I1891),test),getMax(B1891,C1891,INDIRECT(J$2),INDIRECT(I1891),test))</f>
        <v>148.01542709608177</v>
      </c>
      <c r="F1891" s="1" t="str">
        <f t="shared" si="118"/>
        <v>50</v>
      </c>
      <c r="G1891" s="1" t="str">
        <f t="shared" si="119"/>
        <v/>
      </c>
      <c r="I1891" s="1" t="str">
        <f t="shared" si="117"/>
        <v>威尔新数值1.06.xlsm!suitPower</v>
      </c>
    </row>
    <row r="1892" spans="1:9" x14ac:dyDescent="0.15">
      <c r="A1892" s="1">
        <v>1891</v>
      </c>
      <c r="B1892" s="1">
        <v>102051000</v>
      </c>
      <c r="C1892" s="1">
        <f t="shared" ref="C1892:C1955" si="120">C1873</f>
        <v>10</v>
      </c>
      <c r="D1892" s="5">
        <f ca="1">IF(getQuality(B1892)&lt;4,getOtherMin(B1892,C1892,INDIRECT(J$2),INDIRECT(I1892),test),getMin(B1892,C1892,INDIRECT(J$2),INDIRECT(I1892),test))</f>
        <v>110.24493457930163</v>
      </c>
      <c r="E1892" s="5">
        <f ca="1">IF(getQuality(B1892)&lt;4,getOtherMax(B1892,C1892,INDIRECT(J$2),INDIRECT(I1892),test),getMax(B1892,C1892,INDIRECT(J$2),INDIRECT(I1892),test))</f>
        <v>148.01542709608177</v>
      </c>
      <c r="F1892" s="1" t="str">
        <f t="shared" si="118"/>
        <v>50</v>
      </c>
      <c r="G1892" s="1" t="str">
        <f t="shared" si="119"/>
        <v/>
      </c>
      <c r="I1892" s="1" t="str">
        <f t="shared" si="117"/>
        <v>威尔新数值1.06.xlsm!suitPower</v>
      </c>
    </row>
    <row r="1893" spans="1:9" x14ac:dyDescent="0.15">
      <c r="A1893" s="1">
        <v>1892</v>
      </c>
      <c r="B1893" s="1">
        <v>102051000</v>
      </c>
      <c r="C1893" s="1">
        <f t="shared" si="120"/>
        <v>11</v>
      </c>
      <c r="D1893" s="5">
        <f ca="1">IF(getQuality(B1893)&lt;4,getOtherMin(B1893,C1893,INDIRECT(J$2),INDIRECT(I1893),test),getMin(B1893,C1893,INDIRECT(J$2),INDIRECT(I1893),test))</f>
        <v>110.24493457930163</v>
      </c>
      <c r="E1893" s="5">
        <f ca="1">IF(getQuality(B1893)&lt;4,getOtherMax(B1893,C1893,INDIRECT(J$2),INDIRECT(I1893),test),getMax(B1893,C1893,INDIRECT(J$2),INDIRECT(I1893),test))</f>
        <v>148.01542709608177</v>
      </c>
      <c r="F1893" s="1" t="str">
        <f t="shared" si="118"/>
        <v>50</v>
      </c>
      <c r="G1893" s="1" t="str">
        <f t="shared" si="119"/>
        <v/>
      </c>
      <c r="I1893" s="1" t="str">
        <f t="shared" si="117"/>
        <v>威尔新数值1.06.xlsm!suitPower</v>
      </c>
    </row>
    <row r="1894" spans="1:9" x14ac:dyDescent="0.15">
      <c r="A1894" s="1">
        <v>1893</v>
      </c>
      <c r="B1894" s="1">
        <v>102051000</v>
      </c>
      <c r="C1894" s="1">
        <f t="shared" si="120"/>
        <v>12</v>
      </c>
      <c r="D1894" s="5">
        <f ca="1">IF(getQuality(B1894)&lt;4,getOtherMin(B1894,C1894,INDIRECT(J$2),INDIRECT(I1894),test),getMin(B1894,C1894,INDIRECT(J$2),INDIRECT(I1894),test))</f>
        <v>110.24493457930163</v>
      </c>
      <c r="E1894" s="5">
        <f ca="1">IF(getQuality(B1894)&lt;4,getOtherMax(B1894,C1894,INDIRECT(J$2),INDIRECT(I1894),test),getMax(B1894,C1894,INDIRECT(J$2),INDIRECT(I1894),test))</f>
        <v>148.01542709608177</v>
      </c>
      <c r="F1894" s="1" t="str">
        <f t="shared" si="118"/>
        <v>50</v>
      </c>
      <c r="G1894" s="1" t="str">
        <f t="shared" si="119"/>
        <v/>
      </c>
      <c r="I1894" s="1" t="str">
        <f t="shared" si="117"/>
        <v>威尔新数值1.06.xlsm!suitPower</v>
      </c>
    </row>
    <row r="1895" spans="1:9" x14ac:dyDescent="0.15">
      <c r="A1895" s="1">
        <v>1894</v>
      </c>
      <c r="B1895" s="1">
        <v>102051000</v>
      </c>
      <c r="C1895" s="1">
        <f t="shared" si="120"/>
        <v>13</v>
      </c>
      <c r="D1895" s="5">
        <f ca="1">IF(getQuality(B1895)&lt;4,getOtherMin(B1895,C1895,INDIRECT(J$2),INDIRECT(I1895),test),getMin(B1895,C1895,INDIRECT(J$2),INDIRECT(I1895),test))</f>
        <v>110.24493457930163</v>
      </c>
      <c r="E1895" s="5">
        <f ca="1">IF(getQuality(B1895)&lt;4,getOtherMax(B1895,C1895,INDIRECT(J$2),INDIRECT(I1895),test),getMax(B1895,C1895,INDIRECT(J$2),INDIRECT(I1895),test))</f>
        <v>148.01542709608177</v>
      </c>
      <c r="F1895" s="1" t="str">
        <f t="shared" si="118"/>
        <v>50</v>
      </c>
      <c r="G1895" s="1" t="str">
        <f t="shared" si="119"/>
        <v/>
      </c>
      <c r="I1895" s="1" t="str">
        <f t="shared" si="117"/>
        <v>威尔新数值1.06.xlsm!suitPower</v>
      </c>
    </row>
    <row r="1896" spans="1:9" x14ac:dyDescent="0.15">
      <c r="A1896" s="1">
        <v>1895</v>
      </c>
      <c r="B1896" s="1">
        <v>102051000</v>
      </c>
      <c r="C1896" s="1">
        <f t="shared" si="120"/>
        <v>14</v>
      </c>
      <c r="D1896" s="5">
        <f ca="1">IF(getQuality(B1896)&lt;4,getOtherMin(B1896,C1896,INDIRECT(J$2),INDIRECT(I1896),test),getMin(B1896,C1896,INDIRECT(J$2),INDIRECT(I1896),test))</f>
        <v>110.24493457930163</v>
      </c>
      <c r="E1896" s="5">
        <f ca="1">IF(getQuality(B1896)&lt;4,getOtherMax(B1896,C1896,INDIRECT(J$2),INDIRECT(I1896),test),getMax(B1896,C1896,INDIRECT(J$2),INDIRECT(I1896),test))</f>
        <v>148.01542709608177</v>
      </c>
      <c r="F1896" s="1" t="str">
        <f t="shared" si="118"/>
        <v>50</v>
      </c>
      <c r="G1896" s="1" t="str">
        <f t="shared" si="119"/>
        <v/>
      </c>
      <c r="I1896" s="1" t="str">
        <f t="shared" si="117"/>
        <v>威尔新数值1.06.xlsm!suitPower</v>
      </c>
    </row>
    <row r="1897" spans="1:9" x14ac:dyDescent="0.15">
      <c r="A1897" s="1">
        <v>1896</v>
      </c>
      <c r="B1897" s="1">
        <v>102051000</v>
      </c>
      <c r="C1897" s="1">
        <f t="shared" si="120"/>
        <v>15</v>
      </c>
      <c r="D1897" s="5">
        <f ca="1">IF(getQuality(B1897)&lt;4,getOtherMin(B1897,C1897,INDIRECT(J$2),INDIRECT(I1897),test),getMin(B1897,C1897,INDIRECT(J$2),INDIRECT(I1897),test))</f>
        <v>110.24493457930163</v>
      </c>
      <c r="E1897" s="5">
        <f ca="1">IF(getQuality(B1897)&lt;4,getOtherMax(B1897,C1897,INDIRECT(J$2),INDIRECT(I1897),test),getMax(B1897,C1897,INDIRECT(J$2),INDIRECT(I1897),test))</f>
        <v>148.01542709608177</v>
      </c>
      <c r="F1897" s="1" t="str">
        <f t="shared" si="118"/>
        <v>50</v>
      </c>
      <c r="G1897" s="1" t="str">
        <f t="shared" si="119"/>
        <v/>
      </c>
      <c r="I1897" s="1" t="str">
        <f t="shared" si="117"/>
        <v>威尔新数值1.06.xlsm!suitPower</v>
      </c>
    </row>
    <row r="1898" spans="1:9" x14ac:dyDescent="0.15">
      <c r="A1898" s="1">
        <v>1897</v>
      </c>
      <c r="B1898" s="1">
        <v>102051000</v>
      </c>
      <c r="C1898" s="1">
        <f t="shared" si="120"/>
        <v>101</v>
      </c>
      <c r="D1898" s="5">
        <f ca="1">IF(getQuality(B1898)&lt;4,getOtherMin(B1898,C1898,INDIRECT(J$2),INDIRECT(I1898),test),getMin(B1898,C1898,INDIRECT(J$2),INDIRECT(I1898),test))</f>
        <v>0.1</v>
      </c>
      <c r="E1898" s="5">
        <f ca="1">IF(getQuality(B1898)&lt;4,getOtherMax(B1898,C1898,INDIRECT(J$2),INDIRECT(I1898),test),getMax(B1898,C1898,INDIRECT(J$2),INDIRECT(I1898),test))</f>
        <v>0.13</v>
      </c>
      <c r="F1898" s="1" t="str">
        <f t="shared" si="118"/>
        <v>50</v>
      </c>
      <c r="G1898" s="1" t="str">
        <f t="shared" si="119"/>
        <v/>
      </c>
      <c r="I1898" s="1" t="str">
        <f t="shared" si="117"/>
        <v>威尔新数值1.06.xlsm!circlePer</v>
      </c>
    </row>
    <row r="1899" spans="1:9" x14ac:dyDescent="0.15">
      <c r="A1899" s="1">
        <v>1898</v>
      </c>
      <c r="B1899" s="1">
        <v>102051000</v>
      </c>
      <c r="C1899" s="1">
        <f t="shared" si="120"/>
        <v>102</v>
      </c>
      <c r="D1899" s="5">
        <f ca="1">IF(getQuality(B1899)&lt;4,getOtherMin(B1899,C1899,INDIRECT(J$2),INDIRECT(I1899),test),getMin(B1899,C1899,INDIRECT(J$2),INDIRECT(I1899),test))</f>
        <v>0.8</v>
      </c>
      <c r="E1899" s="5">
        <f ca="1">IF(getQuality(B1899)&lt;4,getOtherMax(B1899,C1899,INDIRECT(J$2),INDIRECT(I1899),test),getMax(B1899,C1899,INDIRECT(J$2),INDIRECT(I1899),test))</f>
        <v>1.2</v>
      </c>
      <c r="F1899" s="1" t="str">
        <f t="shared" si="118"/>
        <v>50</v>
      </c>
      <c r="G1899" s="1" t="str">
        <f t="shared" si="119"/>
        <v/>
      </c>
      <c r="I1899" s="1" t="str">
        <f t="shared" si="117"/>
        <v>威尔新数值1.06.xlsm!circleValue</v>
      </c>
    </row>
    <row r="1900" spans="1:9" x14ac:dyDescent="0.15">
      <c r="A1900" s="1">
        <v>1899</v>
      </c>
      <c r="B1900" s="1">
        <v>102051000</v>
      </c>
      <c r="C1900" s="1">
        <f t="shared" si="120"/>
        <v>103</v>
      </c>
      <c r="D1900" s="5">
        <f ca="1">IF(getQuality(B1900)&lt;4,getOtherMin(B1900,C1900,INDIRECT(J$2),INDIRECT(I1900),test),getMin(B1900,C1900,INDIRECT(J$2),INDIRECT(I1900),test))</f>
        <v>0.1</v>
      </c>
      <c r="E1900" s="5">
        <f ca="1">IF(getQuality(B1900)&lt;4,getOtherMax(B1900,C1900,INDIRECT(J$2),INDIRECT(I1900),test),getMax(B1900,C1900,INDIRECT(J$2),INDIRECT(I1900),test))</f>
        <v>0.13</v>
      </c>
      <c r="F1900" s="1" t="str">
        <f t="shared" si="118"/>
        <v>50</v>
      </c>
      <c r="G1900" s="1" t="str">
        <f t="shared" si="119"/>
        <v/>
      </c>
      <c r="I1900" s="1" t="str">
        <f t="shared" si="117"/>
        <v>威尔新数值1.06.xlsm!otherDamage</v>
      </c>
    </row>
    <row r="1901" spans="1:9" x14ac:dyDescent="0.15">
      <c r="A1901" s="1">
        <v>1900</v>
      </c>
      <c r="B1901" s="1">
        <v>102051000</v>
      </c>
      <c r="C1901" s="1">
        <f t="shared" si="120"/>
        <v>104</v>
      </c>
      <c r="D1901" s="5">
        <f ca="1">IF(getQuality(B1901)&lt;4,getOtherMin(B1901,C1901,INDIRECT(J$2),INDIRECT(I1901),test),getMin(B1901,C1901,INDIRECT(J$2),INDIRECT(I1901),test))</f>
        <v>0.1</v>
      </c>
      <c r="E1901" s="5">
        <f ca="1">IF(getQuality(B1901)&lt;4,getOtherMax(B1901,C1901,INDIRECT(J$2),INDIRECT(I1901),test),getMax(B1901,C1901,INDIRECT(J$2),INDIRECT(I1901),test))</f>
        <v>0.2</v>
      </c>
      <c r="F1901" s="1" t="str">
        <f t="shared" si="118"/>
        <v>50</v>
      </c>
      <c r="G1901" s="1" t="str">
        <f t="shared" si="119"/>
        <v/>
      </c>
      <c r="I1901" s="1" t="str">
        <f t="shared" si="117"/>
        <v>威尔新数值1.06.xlsm!monsterDamage</v>
      </c>
    </row>
    <row r="1902" spans="1:9" x14ac:dyDescent="0.15">
      <c r="A1902" s="1">
        <v>1901</v>
      </c>
      <c r="B1902" s="1">
        <v>102051000</v>
      </c>
      <c r="C1902" s="1">
        <f t="shared" si="120"/>
        <v>105</v>
      </c>
      <c r="D1902" s="5">
        <f ca="1">IF(getQuality(B1902)&lt;4,getOtherMin(B1902,C1902,INDIRECT(J$2),INDIRECT(I1902),test),getMin(B1902,C1902,INDIRECT(J$2),INDIRECT(I1902),test))</f>
        <v>0.1</v>
      </c>
      <c r="E1902" s="5">
        <f ca="1">IF(getQuality(B1902)&lt;4,getOtherMax(B1902,C1902,INDIRECT(J$2),INDIRECT(I1902),test),getMax(B1902,C1902,INDIRECT(J$2),INDIRECT(I1902),test))</f>
        <v>0.2</v>
      </c>
      <c r="F1902" s="1" t="str">
        <f t="shared" si="118"/>
        <v>50</v>
      </c>
      <c r="G1902" s="1" t="str">
        <f t="shared" si="119"/>
        <v/>
      </c>
      <c r="I1902" s="1" t="str">
        <f t="shared" si="117"/>
        <v>威尔新数值1.06.xlsm!monsterDamage</v>
      </c>
    </row>
    <row r="1903" spans="1:9" x14ac:dyDescent="0.15">
      <c r="A1903" s="1">
        <v>1902</v>
      </c>
      <c r="B1903" s="1">
        <v>102051000</v>
      </c>
      <c r="C1903" s="1">
        <f t="shared" si="120"/>
        <v>106</v>
      </c>
      <c r="D1903" s="5">
        <f ca="1">IF(getQuality(B1903)&lt;4,getOtherMin(B1903,C1903,INDIRECT(J$2),INDIRECT(I1903),test),getMin(B1903,C1903,INDIRECT(J$2),INDIRECT(I1903),test))</f>
        <v>0.1</v>
      </c>
      <c r="E1903" s="5">
        <f ca="1">IF(getQuality(B1903)&lt;4,getOtherMax(B1903,C1903,INDIRECT(J$2),INDIRECT(I1903),test),getMax(B1903,C1903,INDIRECT(J$2),INDIRECT(I1903),test))</f>
        <v>0.2</v>
      </c>
      <c r="F1903" s="1" t="str">
        <f t="shared" si="118"/>
        <v>50</v>
      </c>
      <c r="G1903" s="1" t="str">
        <f t="shared" si="119"/>
        <v/>
      </c>
      <c r="I1903" s="1" t="str">
        <f t="shared" si="117"/>
        <v>威尔新数值1.06.xlsm!monsterDamage</v>
      </c>
    </row>
    <row r="1904" spans="1:9" x14ac:dyDescent="0.15">
      <c r="A1904" s="1">
        <v>1903</v>
      </c>
      <c r="B1904" s="1">
        <v>102051000</v>
      </c>
      <c r="C1904" s="1">
        <f t="shared" si="120"/>
        <v>107</v>
      </c>
      <c r="D1904" s="5">
        <f ca="1">IF(getQuality(B1904)&lt;4,getOtherMin(B1904,C1904,INDIRECT(J$2),INDIRECT(I1904),test),getMin(B1904,C1904,INDIRECT(J$2),INDIRECT(I1904),test))</f>
        <v>0.1</v>
      </c>
      <c r="E1904" s="5">
        <f ca="1">IF(getQuality(B1904)&lt;4,getOtherMax(B1904,C1904,INDIRECT(J$2),INDIRECT(I1904),test),getMax(B1904,C1904,INDIRECT(J$2),INDIRECT(I1904),test))</f>
        <v>0.2</v>
      </c>
      <c r="F1904" s="1" t="str">
        <f t="shared" si="118"/>
        <v>50</v>
      </c>
      <c r="G1904" s="1" t="str">
        <f t="shared" si="119"/>
        <v/>
      </c>
      <c r="I1904" s="1" t="str">
        <f t="shared" si="117"/>
        <v>威尔新数值1.06.xlsm!monsterDamage</v>
      </c>
    </row>
    <row r="1905" spans="1:9" x14ac:dyDescent="0.15">
      <c r="A1905" s="1">
        <v>1904</v>
      </c>
      <c r="B1905" s="1">
        <v>102051000</v>
      </c>
      <c r="C1905" s="1">
        <f t="shared" si="120"/>
        <v>108</v>
      </c>
      <c r="D1905" s="5">
        <f ca="1">IF(getQuality(B1905)&lt;4,getOtherMin(B1905,C1905,INDIRECT(J$2),INDIRECT(I1905),test),getMin(B1905,C1905,INDIRECT(J$2),INDIRECT(I1905),test))</f>
        <v>0.1</v>
      </c>
      <c r="E1905" s="5">
        <f ca="1">IF(getQuality(B1905)&lt;4,getOtherMax(B1905,C1905,INDIRECT(J$2),INDIRECT(I1905),test),getMax(B1905,C1905,INDIRECT(J$2),INDIRECT(I1905),test))</f>
        <v>0.2</v>
      </c>
      <c r="F1905" s="1" t="str">
        <f t="shared" si="118"/>
        <v>50</v>
      </c>
      <c r="G1905" s="1" t="str">
        <f t="shared" si="119"/>
        <v/>
      </c>
      <c r="I1905" s="1" t="str">
        <f t="shared" si="117"/>
        <v>威尔新数值1.06.xlsm!monsterDamage</v>
      </c>
    </row>
    <row r="1906" spans="1:9" x14ac:dyDescent="0.15">
      <c r="A1906" s="1">
        <v>1905</v>
      </c>
      <c r="B1906" s="1">
        <v>102061000</v>
      </c>
      <c r="C1906" s="1">
        <f t="shared" si="120"/>
        <v>3</v>
      </c>
      <c r="D1906" s="5">
        <f ca="1">IF(getQuality(B1906)&lt;4,getOtherMin(B1906,C1906,INDIRECT(J$2),INDIRECT(I1906),test),getMin(B1906,C1906,INDIRECT(J$2),INDIRECT(I1906),test))</f>
        <v>149.01542709608177</v>
      </c>
      <c r="E1906" s="5">
        <f ca="1">IF(getQuality(B1906)&lt;4,getOtherMax(B1906,C1906,INDIRECT(J$2),INDIRECT(I1906),test),getMax(B1906,C1906,INDIRECT(J$2),INDIRECT(I1906),test))</f>
        <v>190.22369727444828</v>
      </c>
      <c r="F1906" s="1" t="str">
        <f t="shared" si="118"/>
        <v>50</v>
      </c>
      <c r="G1906" s="1" t="str">
        <f t="shared" si="119"/>
        <v>1</v>
      </c>
      <c r="I1906" s="1" t="str">
        <f t="shared" si="117"/>
        <v>威尔新数值1.06.xlsm!suitPower</v>
      </c>
    </row>
    <row r="1907" spans="1:9" x14ac:dyDescent="0.15">
      <c r="A1907" s="1">
        <v>1906</v>
      </c>
      <c r="B1907" s="1">
        <v>102061000</v>
      </c>
      <c r="C1907" s="1">
        <f t="shared" si="120"/>
        <v>5</v>
      </c>
      <c r="D1907" s="5">
        <f ca="1">IF(getQuality(B1907)&lt;4,getOtherMin(B1907,C1907,INDIRECT(J$2),INDIRECT(I1907),test),getMin(B1907,C1907,INDIRECT(J$2),INDIRECT(I1907),test))</f>
        <v>149.01542709608177</v>
      </c>
      <c r="E1907" s="5">
        <f ca="1">IF(getQuality(B1907)&lt;4,getOtherMax(B1907,C1907,INDIRECT(J$2),INDIRECT(I1907),test),getMax(B1907,C1907,INDIRECT(J$2),INDIRECT(I1907),test))</f>
        <v>190.22369727444828</v>
      </c>
      <c r="F1907" s="1" t="str">
        <f t="shared" si="118"/>
        <v>50</v>
      </c>
      <c r="G1907" s="1" t="str">
        <f t="shared" si="119"/>
        <v/>
      </c>
      <c r="I1907" s="1" t="str">
        <f t="shared" si="117"/>
        <v>威尔新数值1.06.xlsm!suitPower</v>
      </c>
    </row>
    <row r="1908" spans="1:9" x14ac:dyDescent="0.15">
      <c r="A1908" s="1">
        <v>1907</v>
      </c>
      <c r="B1908" s="1">
        <v>102061000</v>
      </c>
      <c r="C1908" s="1">
        <f t="shared" si="120"/>
        <v>7</v>
      </c>
      <c r="D1908" s="5">
        <f ca="1">IF(getQuality(B1908)&lt;4,getOtherMin(B1908,C1908,INDIRECT(J$2),INDIRECT(I1908),test),getMin(B1908,C1908,INDIRECT(J$2),INDIRECT(I1908),test))</f>
        <v>33.407407407407327</v>
      </c>
      <c r="E1908" s="5">
        <f ca="1">IF(getQuality(B1908)&lt;4,getOtherMax(B1908,C1908,INDIRECT(J$2),INDIRECT(I1908),test),getMax(B1908,C1908,INDIRECT(J$2),INDIRECT(I1908),test))</f>
        <v>38.888888888888786</v>
      </c>
      <c r="F1908" s="1" t="str">
        <f t="shared" si="118"/>
        <v>50</v>
      </c>
      <c r="G1908" s="1" t="str">
        <f t="shared" si="119"/>
        <v/>
      </c>
      <c r="I1908" s="1" t="str">
        <f t="shared" si="117"/>
        <v>威尔新数值1.06.xlsm!suitPower</v>
      </c>
    </row>
    <row r="1909" spans="1:9" x14ac:dyDescent="0.15">
      <c r="A1909" s="1">
        <v>1908</v>
      </c>
      <c r="B1909" s="1">
        <v>102061000</v>
      </c>
      <c r="C1909" s="1">
        <f t="shared" si="120"/>
        <v>8</v>
      </c>
      <c r="D1909" s="5">
        <f ca="1">IF(getQuality(B1909)&lt;4,getOtherMin(B1909,C1909,INDIRECT(J$2),INDIRECT(I1909),test),getMin(B1909,C1909,INDIRECT(J$2),INDIRECT(I1909),test))</f>
        <v>73.916666666666671</v>
      </c>
      <c r="E1909" s="5">
        <f ca="1">IF(getQuality(B1909)&lt;4,getOtherMax(B1909,C1909,INDIRECT(J$2),INDIRECT(I1909),test),getMax(B1909,C1909,INDIRECT(J$2),INDIRECT(I1909),test))</f>
        <v>87.5</v>
      </c>
      <c r="F1909" s="1" t="str">
        <f t="shared" si="118"/>
        <v>50</v>
      </c>
      <c r="G1909" s="1" t="str">
        <f t="shared" si="119"/>
        <v/>
      </c>
      <c r="I1909" s="1" t="str">
        <f t="shared" si="117"/>
        <v>威尔新数值1.06.xlsm!suitPower</v>
      </c>
    </row>
    <row r="1910" spans="1:9" x14ac:dyDescent="0.15">
      <c r="A1910" s="1">
        <v>1909</v>
      </c>
      <c r="B1910" s="1">
        <v>102061000</v>
      </c>
      <c r="C1910" s="1">
        <f t="shared" si="120"/>
        <v>9</v>
      </c>
      <c r="D1910" s="5">
        <f ca="1">IF(getQuality(B1910)&lt;4,getOtherMin(B1910,C1910,INDIRECT(J$2),INDIRECT(I1910),test),getMin(B1910,C1910,INDIRECT(J$2),INDIRECT(I1910),test))</f>
        <v>149.01542709608177</v>
      </c>
      <c r="E1910" s="5">
        <f ca="1">IF(getQuality(B1910)&lt;4,getOtherMax(B1910,C1910,INDIRECT(J$2),INDIRECT(I1910),test),getMax(B1910,C1910,INDIRECT(J$2),INDIRECT(I1910),test))</f>
        <v>190.22369727444828</v>
      </c>
      <c r="F1910" s="1" t="str">
        <f t="shared" si="118"/>
        <v>50</v>
      </c>
      <c r="G1910" s="1" t="str">
        <f t="shared" si="119"/>
        <v/>
      </c>
      <c r="I1910" s="1" t="str">
        <f t="shared" si="117"/>
        <v>威尔新数值1.06.xlsm!suitPower</v>
      </c>
    </row>
    <row r="1911" spans="1:9" x14ac:dyDescent="0.15">
      <c r="A1911" s="1">
        <v>1910</v>
      </c>
      <c r="B1911" s="1">
        <v>102061000</v>
      </c>
      <c r="C1911" s="1">
        <f t="shared" si="120"/>
        <v>10</v>
      </c>
      <c r="D1911" s="5">
        <f ca="1">IF(getQuality(B1911)&lt;4,getOtherMin(B1911,C1911,INDIRECT(J$2),INDIRECT(I1911),test),getMin(B1911,C1911,INDIRECT(J$2),INDIRECT(I1911),test))</f>
        <v>149.01542709608177</v>
      </c>
      <c r="E1911" s="5">
        <f ca="1">IF(getQuality(B1911)&lt;4,getOtherMax(B1911,C1911,INDIRECT(J$2),INDIRECT(I1911),test),getMax(B1911,C1911,INDIRECT(J$2),INDIRECT(I1911),test))</f>
        <v>190.22369727444828</v>
      </c>
      <c r="F1911" s="1" t="str">
        <f t="shared" si="118"/>
        <v>50</v>
      </c>
      <c r="G1911" s="1" t="str">
        <f t="shared" si="119"/>
        <v/>
      </c>
      <c r="I1911" s="1" t="str">
        <f t="shared" si="117"/>
        <v>威尔新数值1.06.xlsm!suitPower</v>
      </c>
    </row>
    <row r="1912" spans="1:9" x14ac:dyDescent="0.15">
      <c r="A1912" s="1">
        <v>1911</v>
      </c>
      <c r="B1912" s="1">
        <v>102061000</v>
      </c>
      <c r="C1912" s="1">
        <f t="shared" si="120"/>
        <v>11</v>
      </c>
      <c r="D1912" s="5">
        <f ca="1">IF(getQuality(B1912)&lt;4,getOtherMin(B1912,C1912,INDIRECT(J$2),INDIRECT(I1912),test),getMin(B1912,C1912,INDIRECT(J$2),INDIRECT(I1912),test))</f>
        <v>149.01542709608177</v>
      </c>
      <c r="E1912" s="5">
        <f ca="1">IF(getQuality(B1912)&lt;4,getOtherMax(B1912,C1912,INDIRECT(J$2),INDIRECT(I1912),test),getMax(B1912,C1912,INDIRECT(J$2),INDIRECT(I1912),test))</f>
        <v>190.22369727444828</v>
      </c>
      <c r="F1912" s="1" t="str">
        <f t="shared" si="118"/>
        <v>50</v>
      </c>
      <c r="G1912" s="1" t="str">
        <f t="shared" si="119"/>
        <v/>
      </c>
      <c r="I1912" s="1" t="str">
        <f t="shared" si="117"/>
        <v>威尔新数值1.06.xlsm!suitPower</v>
      </c>
    </row>
    <row r="1913" spans="1:9" x14ac:dyDescent="0.15">
      <c r="A1913" s="1">
        <v>1912</v>
      </c>
      <c r="B1913" s="1">
        <v>102061000</v>
      </c>
      <c r="C1913" s="1">
        <f t="shared" si="120"/>
        <v>12</v>
      </c>
      <c r="D1913" s="5">
        <f ca="1">IF(getQuality(B1913)&lt;4,getOtherMin(B1913,C1913,INDIRECT(J$2),INDIRECT(I1913),test),getMin(B1913,C1913,INDIRECT(J$2),INDIRECT(I1913),test))</f>
        <v>149.01542709608177</v>
      </c>
      <c r="E1913" s="5">
        <f ca="1">IF(getQuality(B1913)&lt;4,getOtherMax(B1913,C1913,INDIRECT(J$2),INDIRECT(I1913),test),getMax(B1913,C1913,INDIRECT(J$2),INDIRECT(I1913),test))</f>
        <v>190.22369727444828</v>
      </c>
      <c r="F1913" s="1" t="str">
        <f t="shared" si="118"/>
        <v>50</v>
      </c>
      <c r="G1913" s="1" t="str">
        <f t="shared" si="119"/>
        <v/>
      </c>
      <c r="I1913" s="1" t="str">
        <f t="shared" si="117"/>
        <v>威尔新数值1.06.xlsm!suitPower</v>
      </c>
    </row>
    <row r="1914" spans="1:9" x14ac:dyDescent="0.15">
      <c r="A1914" s="1">
        <v>1913</v>
      </c>
      <c r="B1914" s="1">
        <v>102061000</v>
      </c>
      <c r="C1914" s="1">
        <f t="shared" si="120"/>
        <v>13</v>
      </c>
      <c r="D1914" s="5">
        <f ca="1">IF(getQuality(B1914)&lt;4,getOtherMin(B1914,C1914,INDIRECT(J$2),INDIRECT(I1914),test),getMin(B1914,C1914,INDIRECT(J$2),INDIRECT(I1914),test))</f>
        <v>149.01542709608177</v>
      </c>
      <c r="E1914" s="5">
        <f ca="1">IF(getQuality(B1914)&lt;4,getOtherMax(B1914,C1914,INDIRECT(J$2),INDIRECT(I1914),test),getMax(B1914,C1914,INDIRECT(J$2),INDIRECT(I1914),test))</f>
        <v>190.22369727444828</v>
      </c>
      <c r="F1914" s="1" t="str">
        <f t="shared" si="118"/>
        <v>50</v>
      </c>
      <c r="G1914" s="1" t="str">
        <f t="shared" si="119"/>
        <v/>
      </c>
      <c r="I1914" s="1" t="str">
        <f t="shared" si="117"/>
        <v>威尔新数值1.06.xlsm!suitPower</v>
      </c>
    </row>
    <row r="1915" spans="1:9" x14ac:dyDescent="0.15">
      <c r="A1915" s="1">
        <v>1914</v>
      </c>
      <c r="B1915" s="1">
        <v>102061000</v>
      </c>
      <c r="C1915" s="1">
        <f t="shared" si="120"/>
        <v>14</v>
      </c>
      <c r="D1915" s="5">
        <f ca="1">IF(getQuality(B1915)&lt;4,getOtherMin(B1915,C1915,INDIRECT(J$2),INDIRECT(I1915),test),getMin(B1915,C1915,INDIRECT(J$2),INDIRECT(I1915),test))</f>
        <v>149.01542709608177</v>
      </c>
      <c r="E1915" s="5">
        <f ca="1">IF(getQuality(B1915)&lt;4,getOtherMax(B1915,C1915,INDIRECT(J$2),INDIRECT(I1915),test),getMax(B1915,C1915,INDIRECT(J$2),INDIRECT(I1915),test))</f>
        <v>190.22369727444828</v>
      </c>
      <c r="F1915" s="1" t="str">
        <f t="shared" si="118"/>
        <v>50</v>
      </c>
      <c r="G1915" s="1" t="str">
        <f t="shared" si="119"/>
        <v/>
      </c>
      <c r="I1915" s="1" t="str">
        <f t="shared" si="117"/>
        <v>威尔新数值1.06.xlsm!suitPower</v>
      </c>
    </row>
    <row r="1916" spans="1:9" x14ac:dyDescent="0.15">
      <c r="A1916" s="1">
        <v>1915</v>
      </c>
      <c r="B1916" s="1">
        <v>102061000</v>
      </c>
      <c r="C1916" s="1">
        <f t="shared" si="120"/>
        <v>15</v>
      </c>
      <c r="D1916" s="5">
        <f ca="1">IF(getQuality(B1916)&lt;4,getOtherMin(B1916,C1916,INDIRECT(J$2),INDIRECT(I1916),test),getMin(B1916,C1916,INDIRECT(J$2),INDIRECT(I1916),test))</f>
        <v>149.01542709608177</v>
      </c>
      <c r="E1916" s="5">
        <f ca="1">IF(getQuality(B1916)&lt;4,getOtherMax(B1916,C1916,INDIRECT(J$2),INDIRECT(I1916),test),getMax(B1916,C1916,INDIRECT(J$2),INDIRECT(I1916),test))</f>
        <v>190.22369727444828</v>
      </c>
      <c r="F1916" s="1" t="str">
        <f t="shared" si="118"/>
        <v>50</v>
      </c>
      <c r="G1916" s="1" t="str">
        <f t="shared" si="119"/>
        <v/>
      </c>
      <c r="I1916" s="1" t="str">
        <f t="shared" si="117"/>
        <v>威尔新数值1.06.xlsm!suitPower</v>
      </c>
    </row>
    <row r="1917" spans="1:9" x14ac:dyDescent="0.15">
      <c r="A1917" s="1">
        <v>1916</v>
      </c>
      <c r="B1917" s="1">
        <v>102061000</v>
      </c>
      <c r="C1917" s="1">
        <f t="shared" si="120"/>
        <v>101</v>
      </c>
      <c r="D1917" s="5">
        <f ca="1">IF(getQuality(B1917)&lt;4,getOtherMin(B1917,C1917,INDIRECT(J$2),INDIRECT(I1917),test),getMin(B1917,C1917,INDIRECT(J$2),INDIRECT(I1917),test))</f>
        <v>0.11</v>
      </c>
      <c r="E1917" s="5">
        <f ca="1">IF(getQuality(B1917)&lt;4,getOtherMax(B1917,C1917,INDIRECT(J$2),INDIRECT(I1917),test),getMax(B1917,C1917,INDIRECT(J$2),INDIRECT(I1917),test))</f>
        <v>0.14000000000000001</v>
      </c>
      <c r="F1917" s="1" t="str">
        <f t="shared" si="118"/>
        <v>50</v>
      </c>
      <c r="G1917" s="1" t="str">
        <f t="shared" si="119"/>
        <v/>
      </c>
      <c r="I1917" s="1" t="str">
        <f t="shared" si="117"/>
        <v>威尔新数值1.06.xlsm!circlePer</v>
      </c>
    </row>
    <row r="1918" spans="1:9" x14ac:dyDescent="0.15">
      <c r="A1918" s="1">
        <v>1917</v>
      </c>
      <c r="B1918" s="1">
        <v>102061000</v>
      </c>
      <c r="C1918" s="1">
        <f t="shared" si="120"/>
        <v>102</v>
      </c>
      <c r="D1918" s="5">
        <f ca="1">IF(getQuality(B1918)&lt;4,getOtherMin(B1918,C1918,INDIRECT(J$2),INDIRECT(I1918),test),getMin(B1918,C1918,INDIRECT(J$2),INDIRECT(I1918),test))</f>
        <v>0.9</v>
      </c>
      <c r="E1918" s="5">
        <f ca="1">IF(getQuality(B1918)&lt;4,getOtherMax(B1918,C1918,INDIRECT(J$2),INDIRECT(I1918),test),getMax(B1918,C1918,INDIRECT(J$2),INDIRECT(I1918),test))</f>
        <v>1.3</v>
      </c>
      <c r="F1918" s="1" t="str">
        <f t="shared" si="118"/>
        <v>50</v>
      </c>
      <c r="G1918" s="1" t="str">
        <f t="shared" si="119"/>
        <v/>
      </c>
      <c r="I1918" s="1" t="str">
        <f t="shared" si="117"/>
        <v>威尔新数值1.06.xlsm!circleValue</v>
      </c>
    </row>
    <row r="1919" spans="1:9" x14ac:dyDescent="0.15">
      <c r="A1919" s="1">
        <v>1918</v>
      </c>
      <c r="B1919" s="1">
        <v>102061000</v>
      </c>
      <c r="C1919" s="1">
        <f t="shared" si="120"/>
        <v>103</v>
      </c>
      <c r="D1919" s="5">
        <f ca="1">IF(getQuality(B1919)&lt;4,getOtherMin(B1919,C1919,INDIRECT(J$2),INDIRECT(I1919),test),getMin(B1919,C1919,INDIRECT(J$2),INDIRECT(I1919),test))</f>
        <v>0.11</v>
      </c>
      <c r="E1919" s="5">
        <f ca="1">IF(getQuality(B1919)&lt;4,getOtherMax(B1919,C1919,INDIRECT(J$2),INDIRECT(I1919),test),getMax(B1919,C1919,INDIRECT(J$2),INDIRECT(I1919),test))</f>
        <v>0.14000000000000001</v>
      </c>
      <c r="F1919" s="1" t="str">
        <f t="shared" si="118"/>
        <v>50</v>
      </c>
      <c r="G1919" s="1" t="str">
        <f t="shared" si="119"/>
        <v/>
      </c>
      <c r="I1919" s="1" t="str">
        <f t="shared" si="117"/>
        <v>威尔新数值1.06.xlsm!otherDamage</v>
      </c>
    </row>
    <row r="1920" spans="1:9" x14ac:dyDescent="0.15">
      <c r="A1920" s="1">
        <v>1919</v>
      </c>
      <c r="B1920" s="1">
        <v>102061000</v>
      </c>
      <c r="C1920" s="1">
        <f t="shared" si="120"/>
        <v>104</v>
      </c>
      <c r="D1920" s="5">
        <f ca="1">IF(getQuality(B1920)&lt;4,getOtherMin(B1920,C1920,INDIRECT(J$2),INDIRECT(I1920),test),getMin(B1920,C1920,INDIRECT(J$2),INDIRECT(I1920),test))</f>
        <v>0.11</v>
      </c>
      <c r="E1920" s="5">
        <f ca="1">IF(getQuality(B1920)&lt;4,getOtherMax(B1920,C1920,INDIRECT(J$2),INDIRECT(I1920),test),getMax(B1920,C1920,INDIRECT(J$2),INDIRECT(I1920),test))</f>
        <v>0.22</v>
      </c>
      <c r="F1920" s="1" t="str">
        <f t="shared" si="118"/>
        <v>50</v>
      </c>
      <c r="G1920" s="1" t="str">
        <f t="shared" si="119"/>
        <v/>
      </c>
      <c r="I1920" s="1" t="str">
        <f t="shared" si="117"/>
        <v>威尔新数值1.06.xlsm!monsterDamage</v>
      </c>
    </row>
    <row r="1921" spans="1:9" x14ac:dyDescent="0.15">
      <c r="A1921" s="1">
        <v>1920</v>
      </c>
      <c r="B1921" s="1">
        <v>102061000</v>
      </c>
      <c r="C1921" s="1">
        <f t="shared" si="120"/>
        <v>105</v>
      </c>
      <c r="D1921" s="5">
        <f ca="1">IF(getQuality(B1921)&lt;4,getOtherMin(B1921,C1921,INDIRECT(J$2),INDIRECT(I1921),test),getMin(B1921,C1921,INDIRECT(J$2),INDIRECT(I1921),test))</f>
        <v>0.11</v>
      </c>
      <c r="E1921" s="5">
        <f ca="1">IF(getQuality(B1921)&lt;4,getOtherMax(B1921,C1921,INDIRECT(J$2),INDIRECT(I1921),test),getMax(B1921,C1921,INDIRECT(J$2),INDIRECT(I1921),test))</f>
        <v>0.22</v>
      </c>
      <c r="F1921" s="1" t="str">
        <f t="shared" si="118"/>
        <v>50</v>
      </c>
      <c r="G1921" s="1" t="str">
        <f t="shared" si="119"/>
        <v/>
      </c>
      <c r="I1921" s="1" t="str">
        <f t="shared" si="117"/>
        <v>威尔新数值1.06.xlsm!monsterDamage</v>
      </c>
    </row>
    <row r="1922" spans="1:9" x14ac:dyDescent="0.15">
      <c r="A1922" s="1">
        <v>1921</v>
      </c>
      <c r="B1922" s="1">
        <v>102061000</v>
      </c>
      <c r="C1922" s="1">
        <f t="shared" si="120"/>
        <v>106</v>
      </c>
      <c r="D1922" s="5">
        <f ca="1">IF(getQuality(B1922)&lt;4,getOtherMin(B1922,C1922,INDIRECT(J$2),INDIRECT(I1922),test),getMin(B1922,C1922,INDIRECT(J$2),INDIRECT(I1922),test))</f>
        <v>0.11</v>
      </c>
      <c r="E1922" s="5">
        <f ca="1">IF(getQuality(B1922)&lt;4,getOtherMax(B1922,C1922,INDIRECT(J$2),INDIRECT(I1922),test),getMax(B1922,C1922,INDIRECT(J$2),INDIRECT(I1922),test))</f>
        <v>0.22</v>
      </c>
      <c r="F1922" s="1" t="str">
        <f t="shared" si="118"/>
        <v>50</v>
      </c>
      <c r="G1922" s="1" t="str">
        <f t="shared" si="119"/>
        <v/>
      </c>
      <c r="I1922" s="1" t="str">
        <f t="shared" ref="I1922:I1985" si="121">IF(C1922&lt;100,VLOOKUP(C1922,test,3,FALSE),VLOOKUP(C1922,test1,3,FALSE))</f>
        <v>威尔新数值1.06.xlsm!monsterDamage</v>
      </c>
    </row>
    <row r="1923" spans="1:9" x14ac:dyDescent="0.15">
      <c r="A1923" s="1">
        <v>1922</v>
      </c>
      <c r="B1923" s="1">
        <v>102061000</v>
      </c>
      <c r="C1923" s="1">
        <f t="shared" si="120"/>
        <v>107</v>
      </c>
      <c r="D1923" s="5">
        <f ca="1">IF(getQuality(B1923)&lt;4,getOtherMin(B1923,C1923,INDIRECT(J$2),INDIRECT(I1923),test),getMin(B1923,C1923,INDIRECT(J$2),INDIRECT(I1923),test))</f>
        <v>0.11</v>
      </c>
      <c r="E1923" s="5">
        <f ca="1">IF(getQuality(B1923)&lt;4,getOtherMax(B1923,C1923,INDIRECT(J$2),INDIRECT(I1923),test),getMax(B1923,C1923,INDIRECT(J$2),INDIRECT(I1923),test))</f>
        <v>0.22</v>
      </c>
      <c r="F1923" s="1" t="str">
        <f t="shared" ref="F1923:F1986" si="122">getper(B1923,C1923)</f>
        <v>50</v>
      </c>
      <c r="G1923" s="1" t="str">
        <f t="shared" ref="G1923:G1986" si="123">getMust(B1923,C1923)</f>
        <v/>
      </c>
      <c r="I1923" s="1" t="str">
        <f t="shared" si="121"/>
        <v>威尔新数值1.06.xlsm!monsterDamage</v>
      </c>
    </row>
    <row r="1924" spans="1:9" x14ac:dyDescent="0.15">
      <c r="A1924" s="1">
        <v>1923</v>
      </c>
      <c r="B1924" s="1">
        <v>102061000</v>
      </c>
      <c r="C1924" s="1">
        <f t="shared" si="120"/>
        <v>108</v>
      </c>
      <c r="D1924" s="5">
        <f ca="1">IF(getQuality(B1924)&lt;4,getOtherMin(B1924,C1924,INDIRECT(J$2),INDIRECT(I1924),test),getMin(B1924,C1924,INDIRECT(J$2),INDIRECT(I1924),test))</f>
        <v>0.11</v>
      </c>
      <c r="E1924" s="5">
        <f ca="1">IF(getQuality(B1924)&lt;4,getOtherMax(B1924,C1924,INDIRECT(J$2),INDIRECT(I1924),test),getMax(B1924,C1924,INDIRECT(J$2),INDIRECT(I1924),test))</f>
        <v>0.22</v>
      </c>
      <c r="F1924" s="1" t="str">
        <f t="shared" si="122"/>
        <v>50</v>
      </c>
      <c r="G1924" s="1" t="str">
        <f t="shared" si="123"/>
        <v/>
      </c>
      <c r="I1924" s="1" t="str">
        <f t="shared" si="121"/>
        <v>威尔新数值1.06.xlsm!monsterDamage</v>
      </c>
    </row>
    <row r="1925" spans="1:9" x14ac:dyDescent="0.15">
      <c r="A1925" s="1">
        <v>1924</v>
      </c>
      <c r="B1925" s="1">
        <v>102071000</v>
      </c>
      <c r="C1925" s="1">
        <f t="shared" si="120"/>
        <v>3</v>
      </c>
      <c r="D1925" s="5">
        <f ca="1">IF(getQuality(B1925)&lt;4,getOtherMin(B1925,C1925,INDIRECT(J$2),INDIRECT(I1925),test),getMin(B1925,C1925,INDIRECT(J$2),INDIRECT(I1925),test))</f>
        <v>191.22369727444828</v>
      </c>
      <c r="E1925" s="5">
        <f ca="1">IF(getQuality(B1925)&lt;4,getOtherMax(B1925,C1925,INDIRECT(J$2),INDIRECT(I1925),test),getMax(B1925,C1925,INDIRECT(J$2),INDIRECT(I1925),test))</f>
        <v>236.63369570586491</v>
      </c>
      <c r="F1925" s="1" t="str">
        <f t="shared" si="122"/>
        <v>50</v>
      </c>
      <c r="G1925" s="1" t="str">
        <f t="shared" si="123"/>
        <v>1</v>
      </c>
      <c r="I1925" s="1" t="str">
        <f t="shared" si="121"/>
        <v>威尔新数值1.06.xlsm!suitPower</v>
      </c>
    </row>
    <row r="1926" spans="1:9" x14ac:dyDescent="0.15">
      <c r="A1926" s="1">
        <v>1925</v>
      </c>
      <c r="B1926" s="1">
        <v>102071000</v>
      </c>
      <c r="C1926" s="1">
        <f t="shared" si="120"/>
        <v>5</v>
      </c>
      <c r="D1926" s="5">
        <f ca="1">IF(getQuality(B1926)&lt;4,getOtherMin(B1926,C1926,INDIRECT(J$2),INDIRECT(I1926),test),getMin(B1926,C1926,INDIRECT(J$2),INDIRECT(I1926),test))</f>
        <v>191.22369727444828</v>
      </c>
      <c r="E1926" s="5">
        <f ca="1">IF(getQuality(B1926)&lt;4,getOtherMax(B1926,C1926,INDIRECT(J$2),INDIRECT(I1926),test),getMax(B1926,C1926,INDIRECT(J$2),INDIRECT(I1926),test))</f>
        <v>236.63369570586491</v>
      </c>
      <c r="F1926" s="1" t="str">
        <f t="shared" si="122"/>
        <v>50</v>
      </c>
      <c r="G1926" s="1" t="str">
        <f t="shared" si="123"/>
        <v/>
      </c>
      <c r="I1926" s="1" t="str">
        <f t="shared" si="121"/>
        <v>威尔新数值1.06.xlsm!suitPower</v>
      </c>
    </row>
    <row r="1927" spans="1:9" x14ac:dyDescent="0.15">
      <c r="A1927" s="1">
        <v>1926</v>
      </c>
      <c r="B1927" s="1">
        <v>102071000</v>
      </c>
      <c r="C1927" s="1">
        <f t="shared" si="120"/>
        <v>7</v>
      </c>
      <c r="D1927" s="5">
        <f ca="1">IF(getQuality(B1927)&lt;4,getOtherMin(B1927,C1927,INDIRECT(J$2),INDIRECT(I1927),test),getMin(B1927,C1927,INDIRECT(J$2),INDIRECT(I1927),test))</f>
        <v>39.888888888888786</v>
      </c>
      <c r="E1927" s="5">
        <f ca="1">IF(getQuality(B1927)&lt;4,getOtherMax(B1927,C1927,INDIRECT(J$2),INDIRECT(I1927),test),getMax(B1927,C1927,INDIRECT(J$2),INDIRECT(I1927),test))</f>
        <v>45.370370370370253</v>
      </c>
      <c r="F1927" s="1" t="str">
        <f t="shared" si="122"/>
        <v>50</v>
      </c>
      <c r="G1927" s="1" t="str">
        <f t="shared" si="123"/>
        <v/>
      </c>
      <c r="I1927" s="1" t="str">
        <f t="shared" si="121"/>
        <v>威尔新数值1.06.xlsm!suitPower</v>
      </c>
    </row>
    <row r="1928" spans="1:9" x14ac:dyDescent="0.15">
      <c r="A1928" s="1">
        <v>1927</v>
      </c>
      <c r="B1928" s="1">
        <v>102071000</v>
      </c>
      <c r="C1928" s="1">
        <f t="shared" si="120"/>
        <v>8</v>
      </c>
      <c r="D1928" s="5">
        <f ca="1">IF(getQuality(B1928)&lt;4,getOtherMin(B1928,C1928,INDIRECT(J$2),INDIRECT(I1928),test),getMin(B1928,C1928,INDIRECT(J$2),INDIRECT(I1928),test))</f>
        <v>88.5</v>
      </c>
      <c r="E1928" s="5">
        <f ca="1">IF(getQuality(B1928)&lt;4,getOtherMax(B1928,C1928,INDIRECT(J$2),INDIRECT(I1928),test),getMax(B1928,C1928,INDIRECT(J$2),INDIRECT(I1928),test))</f>
        <v>102.08333333333333</v>
      </c>
      <c r="F1928" s="1" t="str">
        <f t="shared" si="122"/>
        <v>50</v>
      </c>
      <c r="G1928" s="1" t="str">
        <f t="shared" si="123"/>
        <v/>
      </c>
      <c r="I1928" s="1" t="str">
        <f t="shared" si="121"/>
        <v>威尔新数值1.06.xlsm!suitPower</v>
      </c>
    </row>
    <row r="1929" spans="1:9" x14ac:dyDescent="0.15">
      <c r="A1929" s="1">
        <v>1928</v>
      </c>
      <c r="B1929" s="1">
        <v>102071000</v>
      </c>
      <c r="C1929" s="1">
        <f t="shared" si="120"/>
        <v>9</v>
      </c>
      <c r="D1929" s="5">
        <f ca="1">IF(getQuality(B1929)&lt;4,getOtherMin(B1929,C1929,INDIRECT(J$2),INDIRECT(I1929),test),getMin(B1929,C1929,INDIRECT(J$2),INDIRECT(I1929),test))</f>
        <v>191.22369727444828</v>
      </c>
      <c r="E1929" s="5">
        <f ca="1">IF(getQuality(B1929)&lt;4,getOtherMax(B1929,C1929,INDIRECT(J$2),INDIRECT(I1929),test),getMax(B1929,C1929,INDIRECT(J$2),INDIRECT(I1929),test))</f>
        <v>236.63369570586491</v>
      </c>
      <c r="F1929" s="1" t="str">
        <f t="shared" si="122"/>
        <v>50</v>
      </c>
      <c r="G1929" s="1" t="str">
        <f t="shared" si="123"/>
        <v/>
      </c>
      <c r="I1929" s="1" t="str">
        <f t="shared" si="121"/>
        <v>威尔新数值1.06.xlsm!suitPower</v>
      </c>
    </row>
    <row r="1930" spans="1:9" x14ac:dyDescent="0.15">
      <c r="A1930" s="1">
        <v>1929</v>
      </c>
      <c r="B1930" s="1">
        <v>102071000</v>
      </c>
      <c r="C1930" s="1">
        <f t="shared" si="120"/>
        <v>10</v>
      </c>
      <c r="D1930" s="5">
        <f ca="1">IF(getQuality(B1930)&lt;4,getOtherMin(B1930,C1930,INDIRECT(J$2),INDIRECT(I1930),test),getMin(B1930,C1930,INDIRECT(J$2),INDIRECT(I1930),test))</f>
        <v>191.22369727444828</v>
      </c>
      <c r="E1930" s="5">
        <f ca="1">IF(getQuality(B1930)&lt;4,getOtherMax(B1930,C1930,INDIRECT(J$2),INDIRECT(I1930),test),getMax(B1930,C1930,INDIRECT(J$2),INDIRECT(I1930),test))</f>
        <v>236.63369570586491</v>
      </c>
      <c r="F1930" s="1" t="str">
        <f t="shared" si="122"/>
        <v>50</v>
      </c>
      <c r="G1930" s="1" t="str">
        <f t="shared" si="123"/>
        <v/>
      </c>
      <c r="I1930" s="1" t="str">
        <f t="shared" si="121"/>
        <v>威尔新数值1.06.xlsm!suitPower</v>
      </c>
    </row>
    <row r="1931" spans="1:9" x14ac:dyDescent="0.15">
      <c r="A1931" s="1">
        <v>1930</v>
      </c>
      <c r="B1931" s="1">
        <v>102071000</v>
      </c>
      <c r="C1931" s="1">
        <f t="shared" si="120"/>
        <v>11</v>
      </c>
      <c r="D1931" s="5">
        <f ca="1">IF(getQuality(B1931)&lt;4,getOtherMin(B1931,C1931,INDIRECT(J$2),INDIRECT(I1931),test),getMin(B1931,C1931,INDIRECT(J$2),INDIRECT(I1931),test))</f>
        <v>191.22369727444828</v>
      </c>
      <c r="E1931" s="5">
        <f ca="1">IF(getQuality(B1931)&lt;4,getOtherMax(B1931,C1931,INDIRECT(J$2),INDIRECT(I1931),test),getMax(B1931,C1931,INDIRECT(J$2),INDIRECT(I1931),test))</f>
        <v>236.63369570586491</v>
      </c>
      <c r="F1931" s="1" t="str">
        <f t="shared" si="122"/>
        <v>50</v>
      </c>
      <c r="G1931" s="1" t="str">
        <f t="shared" si="123"/>
        <v/>
      </c>
      <c r="I1931" s="1" t="str">
        <f t="shared" si="121"/>
        <v>威尔新数值1.06.xlsm!suitPower</v>
      </c>
    </row>
    <row r="1932" spans="1:9" x14ac:dyDescent="0.15">
      <c r="A1932" s="1">
        <v>1931</v>
      </c>
      <c r="B1932" s="1">
        <v>102071000</v>
      </c>
      <c r="C1932" s="1">
        <f t="shared" si="120"/>
        <v>12</v>
      </c>
      <c r="D1932" s="5">
        <f ca="1">IF(getQuality(B1932)&lt;4,getOtherMin(B1932,C1932,INDIRECT(J$2),INDIRECT(I1932),test),getMin(B1932,C1932,INDIRECT(J$2),INDIRECT(I1932),test))</f>
        <v>191.22369727444828</v>
      </c>
      <c r="E1932" s="5">
        <f ca="1">IF(getQuality(B1932)&lt;4,getOtherMax(B1932,C1932,INDIRECT(J$2),INDIRECT(I1932),test),getMax(B1932,C1932,INDIRECT(J$2),INDIRECT(I1932),test))</f>
        <v>236.63369570586491</v>
      </c>
      <c r="F1932" s="1" t="str">
        <f t="shared" si="122"/>
        <v>50</v>
      </c>
      <c r="G1932" s="1" t="str">
        <f t="shared" si="123"/>
        <v/>
      </c>
      <c r="I1932" s="1" t="str">
        <f t="shared" si="121"/>
        <v>威尔新数值1.06.xlsm!suitPower</v>
      </c>
    </row>
    <row r="1933" spans="1:9" x14ac:dyDescent="0.15">
      <c r="A1933" s="1">
        <v>1932</v>
      </c>
      <c r="B1933" s="1">
        <v>102071000</v>
      </c>
      <c r="C1933" s="1">
        <f t="shared" si="120"/>
        <v>13</v>
      </c>
      <c r="D1933" s="5">
        <f ca="1">IF(getQuality(B1933)&lt;4,getOtherMin(B1933,C1933,INDIRECT(J$2),INDIRECT(I1933),test),getMin(B1933,C1933,INDIRECT(J$2),INDIRECT(I1933),test))</f>
        <v>191.22369727444828</v>
      </c>
      <c r="E1933" s="5">
        <f ca="1">IF(getQuality(B1933)&lt;4,getOtherMax(B1933,C1933,INDIRECT(J$2),INDIRECT(I1933),test),getMax(B1933,C1933,INDIRECT(J$2),INDIRECT(I1933),test))</f>
        <v>236.63369570586491</v>
      </c>
      <c r="F1933" s="1" t="str">
        <f t="shared" si="122"/>
        <v>50</v>
      </c>
      <c r="G1933" s="1" t="str">
        <f t="shared" si="123"/>
        <v/>
      </c>
      <c r="I1933" s="1" t="str">
        <f t="shared" si="121"/>
        <v>威尔新数值1.06.xlsm!suitPower</v>
      </c>
    </row>
    <row r="1934" spans="1:9" x14ac:dyDescent="0.15">
      <c r="A1934" s="1">
        <v>1933</v>
      </c>
      <c r="B1934" s="1">
        <v>102071000</v>
      </c>
      <c r="C1934" s="1">
        <f t="shared" si="120"/>
        <v>14</v>
      </c>
      <c r="D1934" s="5">
        <f ca="1">IF(getQuality(B1934)&lt;4,getOtherMin(B1934,C1934,INDIRECT(J$2),INDIRECT(I1934),test),getMin(B1934,C1934,INDIRECT(J$2),INDIRECT(I1934),test))</f>
        <v>191.22369727444828</v>
      </c>
      <c r="E1934" s="5">
        <f ca="1">IF(getQuality(B1934)&lt;4,getOtherMax(B1934,C1934,INDIRECT(J$2),INDIRECT(I1934),test),getMax(B1934,C1934,INDIRECT(J$2),INDIRECT(I1934),test))</f>
        <v>236.63369570586491</v>
      </c>
      <c r="F1934" s="1" t="str">
        <f t="shared" si="122"/>
        <v>50</v>
      </c>
      <c r="G1934" s="1" t="str">
        <f t="shared" si="123"/>
        <v/>
      </c>
      <c r="I1934" s="1" t="str">
        <f t="shared" si="121"/>
        <v>威尔新数值1.06.xlsm!suitPower</v>
      </c>
    </row>
    <row r="1935" spans="1:9" x14ac:dyDescent="0.15">
      <c r="A1935" s="1">
        <v>1934</v>
      </c>
      <c r="B1935" s="1">
        <v>102071000</v>
      </c>
      <c r="C1935" s="1">
        <f t="shared" si="120"/>
        <v>15</v>
      </c>
      <c r="D1935" s="5">
        <f ca="1">IF(getQuality(B1935)&lt;4,getOtherMin(B1935,C1935,INDIRECT(J$2),INDIRECT(I1935),test),getMin(B1935,C1935,INDIRECT(J$2),INDIRECT(I1935),test))</f>
        <v>191.22369727444828</v>
      </c>
      <c r="E1935" s="5">
        <f ca="1">IF(getQuality(B1935)&lt;4,getOtherMax(B1935,C1935,INDIRECT(J$2),INDIRECT(I1935),test),getMax(B1935,C1935,INDIRECT(J$2),INDIRECT(I1935),test))</f>
        <v>236.63369570586491</v>
      </c>
      <c r="F1935" s="1" t="str">
        <f t="shared" si="122"/>
        <v>50</v>
      </c>
      <c r="G1935" s="1" t="str">
        <f t="shared" si="123"/>
        <v/>
      </c>
      <c r="I1935" s="1" t="str">
        <f t="shared" si="121"/>
        <v>威尔新数值1.06.xlsm!suitPower</v>
      </c>
    </row>
    <row r="1936" spans="1:9" x14ac:dyDescent="0.15">
      <c r="A1936" s="1">
        <v>1935</v>
      </c>
      <c r="B1936" s="1">
        <v>102071000</v>
      </c>
      <c r="C1936" s="1">
        <f t="shared" si="120"/>
        <v>101</v>
      </c>
      <c r="D1936" s="5">
        <f ca="1">IF(getQuality(B1936)&lt;4,getOtherMin(B1936,C1936,INDIRECT(J$2),INDIRECT(I1936),test),getMin(B1936,C1936,INDIRECT(J$2),INDIRECT(I1936),test))</f>
        <v>0.12</v>
      </c>
      <c r="E1936" s="5">
        <f ca="1">IF(getQuality(B1936)&lt;4,getOtherMax(B1936,C1936,INDIRECT(J$2),INDIRECT(I1936),test),getMax(B1936,C1936,INDIRECT(J$2),INDIRECT(I1936),test))</f>
        <v>0.15</v>
      </c>
      <c r="F1936" s="1" t="str">
        <f t="shared" si="122"/>
        <v>50</v>
      </c>
      <c r="G1936" s="1" t="str">
        <f t="shared" si="123"/>
        <v/>
      </c>
      <c r="I1936" s="1" t="str">
        <f t="shared" si="121"/>
        <v>威尔新数值1.06.xlsm!circlePer</v>
      </c>
    </row>
    <row r="1937" spans="1:9" x14ac:dyDescent="0.15">
      <c r="A1937" s="1">
        <v>1936</v>
      </c>
      <c r="B1937" s="1">
        <v>102071000</v>
      </c>
      <c r="C1937" s="1">
        <f t="shared" si="120"/>
        <v>102</v>
      </c>
      <c r="D1937" s="5">
        <f ca="1">IF(getQuality(B1937)&lt;4,getOtherMin(B1937,C1937,INDIRECT(J$2),INDIRECT(I1937),test),getMin(B1937,C1937,INDIRECT(J$2),INDIRECT(I1937),test))</f>
        <v>1</v>
      </c>
      <c r="E1937" s="5">
        <f ca="1">IF(getQuality(B1937)&lt;4,getOtherMax(B1937,C1937,INDIRECT(J$2),INDIRECT(I1937),test),getMax(B1937,C1937,INDIRECT(J$2),INDIRECT(I1937),test))</f>
        <v>1.4</v>
      </c>
      <c r="F1937" s="1" t="str">
        <f t="shared" si="122"/>
        <v>50</v>
      </c>
      <c r="G1937" s="1" t="str">
        <f t="shared" si="123"/>
        <v/>
      </c>
      <c r="I1937" s="1" t="str">
        <f t="shared" si="121"/>
        <v>威尔新数值1.06.xlsm!circleValue</v>
      </c>
    </row>
    <row r="1938" spans="1:9" x14ac:dyDescent="0.15">
      <c r="A1938" s="1">
        <v>1937</v>
      </c>
      <c r="B1938" s="1">
        <v>102071000</v>
      </c>
      <c r="C1938" s="1">
        <f t="shared" si="120"/>
        <v>103</v>
      </c>
      <c r="D1938" s="5">
        <f ca="1">IF(getQuality(B1938)&lt;4,getOtherMin(B1938,C1938,INDIRECT(J$2),INDIRECT(I1938),test),getMin(B1938,C1938,INDIRECT(J$2),INDIRECT(I1938),test))</f>
        <v>0.12</v>
      </c>
      <c r="E1938" s="5">
        <f ca="1">IF(getQuality(B1938)&lt;4,getOtherMax(B1938,C1938,INDIRECT(J$2),INDIRECT(I1938),test),getMax(B1938,C1938,INDIRECT(J$2),INDIRECT(I1938),test))</f>
        <v>0.15</v>
      </c>
      <c r="F1938" s="1" t="str">
        <f t="shared" si="122"/>
        <v>50</v>
      </c>
      <c r="G1938" s="1" t="str">
        <f t="shared" si="123"/>
        <v/>
      </c>
      <c r="I1938" s="1" t="str">
        <f t="shared" si="121"/>
        <v>威尔新数值1.06.xlsm!otherDamage</v>
      </c>
    </row>
    <row r="1939" spans="1:9" x14ac:dyDescent="0.15">
      <c r="A1939" s="1">
        <v>1938</v>
      </c>
      <c r="B1939" s="1">
        <v>102071000</v>
      </c>
      <c r="C1939" s="1">
        <f t="shared" si="120"/>
        <v>104</v>
      </c>
      <c r="D1939" s="5">
        <f ca="1">IF(getQuality(B1939)&lt;4,getOtherMin(B1939,C1939,INDIRECT(J$2),INDIRECT(I1939),test),getMin(B1939,C1939,INDIRECT(J$2),INDIRECT(I1939),test))</f>
        <v>0.12</v>
      </c>
      <c r="E1939" s="5">
        <f ca="1">IF(getQuality(B1939)&lt;4,getOtherMax(B1939,C1939,INDIRECT(J$2),INDIRECT(I1939),test),getMax(B1939,C1939,INDIRECT(J$2),INDIRECT(I1939),test))</f>
        <v>0.24</v>
      </c>
      <c r="F1939" s="1" t="str">
        <f t="shared" si="122"/>
        <v>50</v>
      </c>
      <c r="G1939" s="1" t="str">
        <f t="shared" si="123"/>
        <v/>
      </c>
      <c r="I1939" s="1" t="str">
        <f t="shared" si="121"/>
        <v>威尔新数值1.06.xlsm!monsterDamage</v>
      </c>
    </row>
    <row r="1940" spans="1:9" x14ac:dyDescent="0.15">
      <c r="A1940" s="1">
        <v>1939</v>
      </c>
      <c r="B1940" s="1">
        <v>102071000</v>
      </c>
      <c r="C1940" s="1">
        <f t="shared" si="120"/>
        <v>105</v>
      </c>
      <c r="D1940" s="5">
        <f ca="1">IF(getQuality(B1940)&lt;4,getOtherMin(B1940,C1940,INDIRECT(J$2),INDIRECT(I1940),test),getMin(B1940,C1940,INDIRECT(J$2),INDIRECT(I1940),test))</f>
        <v>0.12</v>
      </c>
      <c r="E1940" s="5">
        <f ca="1">IF(getQuality(B1940)&lt;4,getOtherMax(B1940,C1940,INDIRECT(J$2),INDIRECT(I1940),test),getMax(B1940,C1940,INDIRECT(J$2),INDIRECT(I1940),test))</f>
        <v>0.24</v>
      </c>
      <c r="F1940" s="1" t="str">
        <f t="shared" si="122"/>
        <v>50</v>
      </c>
      <c r="G1940" s="1" t="str">
        <f t="shared" si="123"/>
        <v/>
      </c>
      <c r="I1940" s="1" t="str">
        <f t="shared" si="121"/>
        <v>威尔新数值1.06.xlsm!monsterDamage</v>
      </c>
    </row>
    <row r="1941" spans="1:9" x14ac:dyDescent="0.15">
      <c r="A1941" s="1">
        <v>1940</v>
      </c>
      <c r="B1941" s="1">
        <v>102071000</v>
      </c>
      <c r="C1941" s="1">
        <f t="shared" si="120"/>
        <v>106</v>
      </c>
      <c r="D1941" s="5">
        <f ca="1">IF(getQuality(B1941)&lt;4,getOtherMin(B1941,C1941,INDIRECT(J$2),INDIRECT(I1941),test),getMin(B1941,C1941,INDIRECT(J$2),INDIRECT(I1941),test))</f>
        <v>0.12</v>
      </c>
      <c r="E1941" s="5">
        <f ca="1">IF(getQuality(B1941)&lt;4,getOtherMax(B1941,C1941,INDIRECT(J$2),INDIRECT(I1941),test),getMax(B1941,C1941,INDIRECT(J$2),INDIRECT(I1941),test))</f>
        <v>0.24</v>
      </c>
      <c r="F1941" s="1" t="str">
        <f t="shared" si="122"/>
        <v>50</v>
      </c>
      <c r="G1941" s="1" t="str">
        <f t="shared" si="123"/>
        <v/>
      </c>
      <c r="I1941" s="1" t="str">
        <f t="shared" si="121"/>
        <v>威尔新数值1.06.xlsm!monsterDamage</v>
      </c>
    </row>
    <row r="1942" spans="1:9" x14ac:dyDescent="0.15">
      <c r="A1942" s="1">
        <v>1941</v>
      </c>
      <c r="B1942" s="1">
        <v>102071000</v>
      </c>
      <c r="C1942" s="1">
        <f t="shared" si="120"/>
        <v>107</v>
      </c>
      <c r="D1942" s="5">
        <f ca="1">IF(getQuality(B1942)&lt;4,getOtherMin(B1942,C1942,INDIRECT(J$2),INDIRECT(I1942),test),getMin(B1942,C1942,INDIRECT(J$2),INDIRECT(I1942),test))</f>
        <v>0.12</v>
      </c>
      <c r="E1942" s="5">
        <f ca="1">IF(getQuality(B1942)&lt;4,getOtherMax(B1942,C1942,INDIRECT(J$2),INDIRECT(I1942),test),getMax(B1942,C1942,INDIRECT(J$2),INDIRECT(I1942),test))</f>
        <v>0.24</v>
      </c>
      <c r="F1942" s="1" t="str">
        <f t="shared" si="122"/>
        <v>50</v>
      </c>
      <c r="G1942" s="1" t="str">
        <f t="shared" si="123"/>
        <v/>
      </c>
      <c r="I1942" s="1" t="str">
        <f t="shared" si="121"/>
        <v>威尔新数值1.06.xlsm!monsterDamage</v>
      </c>
    </row>
    <row r="1943" spans="1:9" x14ac:dyDescent="0.15">
      <c r="A1943" s="1">
        <v>1942</v>
      </c>
      <c r="B1943" s="1">
        <v>102071000</v>
      </c>
      <c r="C1943" s="1">
        <f t="shared" si="120"/>
        <v>108</v>
      </c>
      <c r="D1943" s="5">
        <f ca="1">IF(getQuality(B1943)&lt;4,getOtherMin(B1943,C1943,INDIRECT(J$2),INDIRECT(I1943),test),getMin(B1943,C1943,INDIRECT(J$2),INDIRECT(I1943),test))</f>
        <v>0.12</v>
      </c>
      <c r="E1943" s="5">
        <f ca="1">IF(getQuality(B1943)&lt;4,getOtherMax(B1943,C1943,INDIRECT(J$2),INDIRECT(I1943),test),getMax(B1943,C1943,INDIRECT(J$2),INDIRECT(I1943),test))</f>
        <v>0.24</v>
      </c>
      <c r="F1943" s="1" t="str">
        <f t="shared" si="122"/>
        <v>50</v>
      </c>
      <c r="G1943" s="1" t="str">
        <f t="shared" si="123"/>
        <v/>
      </c>
      <c r="I1943" s="1" t="str">
        <f t="shared" si="121"/>
        <v>威尔新数值1.06.xlsm!monsterDamage</v>
      </c>
    </row>
    <row r="1944" spans="1:9" x14ac:dyDescent="0.15">
      <c r="A1944" s="1">
        <v>1943</v>
      </c>
      <c r="B1944" s="1">
        <v>102081000</v>
      </c>
      <c r="C1944" s="1">
        <f t="shared" si="120"/>
        <v>3</v>
      </c>
      <c r="D1944" s="5">
        <f ca="1">IF(getQuality(B1944)&lt;4,getOtherMin(B1944,C1944,INDIRECT(J$2),INDIRECT(I1944),test),getMin(B1944,C1944,INDIRECT(J$2),INDIRECT(I1944),test))</f>
        <v>237.63369570586491</v>
      </c>
      <c r="E1944" s="5">
        <f ca="1">IF(getQuality(B1944)&lt;4,getOtherMax(B1944,C1944,INDIRECT(J$2),INDIRECT(I1944),test),getMax(B1944,C1944,INDIRECT(J$2),INDIRECT(I1944),test))</f>
        <v>287.24542239033156</v>
      </c>
      <c r="F1944" s="1" t="str">
        <f t="shared" si="122"/>
        <v>50</v>
      </c>
      <c r="G1944" s="1" t="str">
        <f t="shared" si="123"/>
        <v>1</v>
      </c>
      <c r="I1944" s="1" t="str">
        <f t="shared" si="121"/>
        <v>威尔新数值1.06.xlsm!suitPower</v>
      </c>
    </row>
    <row r="1945" spans="1:9" x14ac:dyDescent="0.15">
      <c r="A1945" s="1">
        <v>1944</v>
      </c>
      <c r="B1945" s="1">
        <v>102081000</v>
      </c>
      <c r="C1945" s="1">
        <f t="shared" si="120"/>
        <v>5</v>
      </c>
      <c r="D1945" s="5">
        <f ca="1">IF(getQuality(B1945)&lt;4,getOtherMin(B1945,C1945,INDIRECT(J$2),INDIRECT(I1945),test),getMin(B1945,C1945,INDIRECT(J$2),INDIRECT(I1945),test))</f>
        <v>237.63369570586491</v>
      </c>
      <c r="E1945" s="5">
        <f ca="1">IF(getQuality(B1945)&lt;4,getOtherMax(B1945,C1945,INDIRECT(J$2),INDIRECT(I1945),test),getMax(B1945,C1945,INDIRECT(J$2),INDIRECT(I1945),test))</f>
        <v>287.24542239033156</v>
      </c>
      <c r="F1945" s="1" t="str">
        <f t="shared" si="122"/>
        <v>50</v>
      </c>
      <c r="G1945" s="1" t="str">
        <f t="shared" si="123"/>
        <v/>
      </c>
      <c r="I1945" s="1" t="str">
        <f t="shared" si="121"/>
        <v>威尔新数值1.06.xlsm!suitPower</v>
      </c>
    </row>
    <row r="1946" spans="1:9" x14ac:dyDescent="0.15">
      <c r="A1946" s="1">
        <v>1945</v>
      </c>
      <c r="B1946" s="1">
        <v>102081000</v>
      </c>
      <c r="C1946" s="1">
        <f t="shared" si="120"/>
        <v>7</v>
      </c>
      <c r="D1946" s="5">
        <f ca="1">IF(getQuality(B1946)&lt;4,getOtherMin(B1946,C1946,INDIRECT(J$2),INDIRECT(I1946),test),getMin(B1946,C1946,INDIRECT(J$2),INDIRECT(I1946),test))</f>
        <v>46.370370370370253</v>
      </c>
      <c r="E1946" s="5">
        <f ca="1">IF(getQuality(B1946)&lt;4,getOtherMax(B1946,C1946,INDIRECT(J$2),INDIRECT(I1946),test),getMax(B1946,C1946,INDIRECT(J$2),INDIRECT(I1946),test))</f>
        <v>51.85185185185172</v>
      </c>
      <c r="F1946" s="1" t="str">
        <f t="shared" si="122"/>
        <v>50</v>
      </c>
      <c r="G1946" s="1" t="str">
        <f t="shared" si="123"/>
        <v/>
      </c>
      <c r="I1946" s="1" t="str">
        <f t="shared" si="121"/>
        <v>威尔新数值1.06.xlsm!suitPower</v>
      </c>
    </row>
    <row r="1947" spans="1:9" x14ac:dyDescent="0.15">
      <c r="A1947" s="1">
        <v>1946</v>
      </c>
      <c r="B1947" s="1">
        <v>102081000</v>
      </c>
      <c r="C1947" s="1">
        <f t="shared" si="120"/>
        <v>8</v>
      </c>
      <c r="D1947" s="5">
        <f ca="1">IF(getQuality(B1947)&lt;4,getOtherMin(B1947,C1947,INDIRECT(J$2),INDIRECT(I1947),test),getMin(B1947,C1947,INDIRECT(J$2),INDIRECT(I1947),test))</f>
        <v>103.08333333333333</v>
      </c>
      <c r="E1947" s="5">
        <f ca="1">IF(getQuality(B1947)&lt;4,getOtherMax(B1947,C1947,INDIRECT(J$2),INDIRECT(I1947),test),getMax(B1947,C1947,INDIRECT(J$2),INDIRECT(I1947),test))</f>
        <v>116.66666666666667</v>
      </c>
      <c r="F1947" s="1" t="str">
        <f t="shared" si="122"/>
        <v>50</v>
      </c>
      <c r="G1947" s="1" t="str">
        <f t="shared" si="123"/>
        <v/>
      </c>
      <c r="I1947" s="1" t="str">
        <f t="shared" si="121"/>
        <v>威尔新数值1.06.xlsm!suitPower</v>
      </c>
    </row>
    <row r="1948" spans="1:9" x14ac:dyDescent="0.15">
      <c r="A1948" s="1">
        <v>1947</v>
      </c>
      <c r="B1948" s="1">
        <v>102081000</v>
      </c>
      <c r="C1948" s="1">
        <f t="shared" si="120"/>
        <v>9</v>
      </c>
      <c r="D1948" s="5">
        <f ca="1">IF(getQuality(B1948)&lt;4,getOtherMin(B1948,C1948,INDIRECT(J$2),INDIRECT(I1948),test),getMin(B1948,C1948,INDIRECT(J$2),INDIRECT(I1948),test))</f>
        <v>237.63369570586491</v>
      </c>
      <c r="E1948" s="5">
        <f ca="1">IF(getQuality(B1948)&lt;4,getOtherMax(B1948,C1948,INDIRECT(J$2),INDIRECT(I1948),test),getMax(B1948,C1948,INDIRECT(J$2),INDIRECT(I1948),test))</f>
        <v>287.24542239033156</v>
      </c>
      <c r="F1948" s="1" t="str">
        <f t="shared" si="122"/>
        <v>50</v>
      </c>
      <c r="G1948" s="1" t="str">
        <f t="shared" si="123"/>
        <v/>
      </c>
      <c r="I1948" s="1" t="str">
        <f t="shared" si="121"/>
        <v>威尔新数值1.06.xlsm!suitPower</v>
      </c>
    </row>
    <row r="1949" spans="1:9" x14ac:dyDescent="0.15">
      <c r="A1949" s="1">
        <v>1948</v>
      </c>
      <c r="B1949" s="1">
        <v>102081000</v>
      </c>
      <c r="C1949" s="1">
        <f t="shared" si="120"/>
        <v>10</v>
      </c>
      <c r="D1949" s="5">
        <f ca="1">IF(getQuality(B1949)&lt;4,getOtherMin(B1949,C1949,INDIRECT(J$2),INDIRECT(I1949),test),getMin(B1949,C1949,INDIRECT(J$2),INDIRECT(I1949),test))</f>
        <v>237.63369570586491</v>
      </c>
      <c r="E1949" s="5">
        <f ca="1">IF(getQuality(B1949)&lt;4,getOtherMax(B1949,C1949,INDIRECT(J$2),INDIRECT(I1949),test),getMax(B1949,C1949,INDIRECT(J$2),INDIRECT(I1949),test))</f>
        <v>287.24542239033156</v>
      </c>
      <c r="F1949" s="1" t="str">
        <f t="shared" si="122"/>
        <v>50</v>
      </c>
      <c r="G1949" s="1" t="str">
        <f t="shared" si="123"/>
        <v/>
      </c>
      <c r="I1949" s="1" t="str">
        <f t="shared" si="121"/>
        <v>威尔新数值1.06.xlsm!suitPower</v>
      </c>
    </row>
    <row r="1950" spans="1:9" x14ac:dyDescent="0.15">
      <c r="A1950" s="1">
        <v>1949</v>
      </c>
      <c r="B1950" s="1">
        <v>102081000</v>
      </c>
      <c r="C1950" s="1">
        <f t="shared" si="120"/>
        <v>11</v>
      </c>
      <c r="D1950" s="5">
        <f ca="1">IF(getQuality(B1950)&lt;4,getOtherMin(B1950,C1950,INDIRECT(J$2),INDIRECT(I1950),test),getMin(B1950,C1950,INDIRECT(J$2),INDIRECT(I1950),test))</f>
        <v>237.63369570586491</v>
      </c>
      <c r="E1950" s="5">
        <f ca="1">IF(getQuality(B1950)&lt;4,getOtherMax(B1950,C1950,INDIRECT(J$2),INDIRECT(I1950),test),getMax(B1950,C1950,INDIRECT(J$2),INDIRECT(I1950),test))</f>
        <v>287.24542239033156</v>
      </c>
      <c r="F1950" s="1" t="str">
        <f t="shared" si="122"/>
        <v>50</v>
      </c>
      <c r="G1950" s="1" t="str">
        <f t="shared" si="123"/>
        <v/>
      </c>
      <c r="I1950" s="1" t="str">
        <f t="shared" si="121"/>
        <v>威尔新数值1.06.xlsm!suitPower</v>
      </c>
    </row>
    <row r="1951" spans="1:9" x14ac:dyDescent="0.15">
      <c r="A1951" s="1">
        <v>1950</v>
      </c>
      <c r="B1951" s="1">
        <v>102081000</v>
      </c>
      <c r="C1951" s="1">
        <f t="shared" si="120"/>
        <v>12</v>
      </c>
      <c r="D1951" s="5">
        <f ca="1">IF(getQuality(B1951)&lt;4,getOtherMin(B1951,C1951,INDIRECT(J$2),INDIRECT(I1951),test),getMin(B1951,C1951,INDIRECT(J$2),INDIRECT(I1951),test))</f>
        <v>237.63369570586491</v>
      </c>
      <c r="E1951" s="5">
        <f ca="1">IF(getQuality(B1951)&lt;4,getOtherMax(B1951,C1951,INDIRECT(J$2),INDIRECT(I1951),test),getMax(B1951,C1951,INDIRECT(J$2),INDIRECT(I1951),test))</f>
        <v>287.24542239033156</v>
      </c>
      <c r="F1951" s="1" t="str">
        <f t="shared" si="122"/>
        <v>50</v>
      </c>
      <c r="G1951" s="1" t="str">
        <f t="shared" si="123"/>
        <v/>
      </c>
      <c r="I1951" s="1" t="str">
        <f t="shared" si="121"/>
        <v>威尔新数值1.06.xlsm!suitPower</v>
      </c>
    </row>
    <row r="1952" spans="1:9" x14ac:dyDescent="0.15">
      <c r="A1952" s="1">
        <v>1951</v>
      </c>
      <c r="B1952" s="1">
        <v>102081000</v>
      </c>
      <c r="C1952" s="1">
        <f t="shared" si="120"/>
        <v>13</v>
      </c>
      <c r="D1952" s="5">
        <f ca="1">IF(getQuality(B1952)&lt;4,getOtherMin(B1952,C1952,INDIRECT(J$2),INDIRECT(I1952),test),getMin(B1952,C1952,INDIRECT(J$2),INDIRECT(I1952),test))</f>
        <v>237.63369570586491</v>
      </c>
      <c r="E1952" s="5">
        <f ca="1">IF(getQuality(B1952)&lt;4,getOtherMax(B1952,C1952,INDIRECT(J$2),INDIRECT(I1952),test),getMax(B1952,C1952,INDIRECT(J$2),INDIRECT(I1952),test))</f>
        <v>287.24542239033156</v>
      </c>
      <c r="F1952" s="1" t="str">
        <f t="shared" si="122"/>
        <v>50</v>
      </c>
      <c r="G1952" s="1" t="str">
        <f t="shared" si="123"/>
        <v/>
      </c>
      <c r="I1952" s="1" t="str">
        <f t="shared" si="121"/>
        <v>威尔新数值1.06.xlsm!suitPower</v>
      </c>
    </row>
    <row r="1953" spans="1:9" x14ac:dyDescent="0.15">
      <c r="A1953" s="1">
        <v>1952</v>
      </c>
      <c r="B1953" s="1">
        <v>102081000</v>
      </c>
      <c r="C1953" s="1">
        <f t="shared" si="120"/>
        <v>14</v>
      </c>
      <c r="D1953" s="5">
        <f ca="1">IF(getQuality(B1953)&lt;4,getOtherMin(B1953,C1953,INDIRECT(J$2),INDIRECT(I1953),test),getMin(B1953,C1953,INDIRECT(J$2),INDIRECT(I1953),test))</f>
        <v>237.63369570586491</v>
      </c>
      <c r="E1953" s="5">
        <f ca="1">IF(getQuality(B1953)&lt;4,getOtherMax(B1953,C1953,INDIRECT(J$2),INDIRECT(I1953),test),getMax(B1953,C1953,INDIRECT(J$2),INDIRECT(I1953),test))</f>
        <v>287.24542239033156</v>
      </c>
      <c r="F1953" s="1" t="str">
        <f t="shared" si="122"/>
        <v>50</v>
      </c>
      <c r="G1953" s="1" t="str">
        <f t="shared" si="123"/>
        <v/>
      </c>
      <c r="I1953" s="1" t="str">
        <f t="shared" si="121"/>
        <v>威尔新数值1.06.xlsm!suitPower</v>
      </c>
    </row>
    <row r="1954" spans="1:9" x14ac:dyDescent="0.15">
      <c r="A1954" s="1">
        <v>1953</v>
      </c>
      <c r="B1954" s="1">
        <v>102081000</v>
      </c>
      <c r="C1954" s="1">
        <f t="shared" si="120"/>
        <v>15</v>
      </c>
      <c r="D1954" s="5">
        <f ca="1">IF(getQuality(B1954)&lt;4,getOtherMin(B1954,C1954,INDIRECT(J$2),INDIRECT(I1954),test),getMin(B1954,C1954,INDIRECT(J$2),INDIRECT(I1954),test))</f>
        <v>237.63369570586491</v>
      </c>
      <c r="E1954" s="5">
        <f ca="1">IF(getQuality(B1954)&lt;4,getOtherMax(B1954,C1954,INDIRECT(J$2),INDIRECT(I1954),test),getMax(B1954,C1954,INDIRECT(J$2),INDIRECT(I1954),test))</f>
        <v>287.24542239033156</v>
      </c>
      <c r="F1954" s="1" t="str">
        <f t="shared" si="122"/>
        <v>50</v>
      </c>
      <c r="G1954" s="1" t="str">
        <f t="shared" si="123"/>
        <v/>
      </c>
      <c r="I1954" s="1" t="str">
        <f t="shared" si="121"/>
        <v>威尔新数值1.06.xlsm!suitPower</v>
      </c>
    </row>
    <row r="1955" spans="1:9" x14ac:dyDescent="0.15">
      <c r="A1955" s="1">
        <v>1954</v>
      </c>
      <c r="B1955" s="1">
        <v>102081000</v>
      </c>
      <c r="C1955" s="1">
        <f t="shared" si="120"/>
        <v>101</v>
      </c>
      <c r="D1955" s="5">
        <f ca="1">IF(getQuality(B1955)&lt;4,getOtherMin(B1955,C1955,INDIRECT(J$2),INDIRECT(I1955),test),getMin(B1955,C1955,INDIRECT(J$2),INDIRECT(I1955),test))</f>
        <v>0.13</v>
      </c>
      <c r="E1955" s="5">
        <f ca="1">IF(getQuality(B1955)&lt;4,getOtherMax(B1955,C1955,INDIRECT(J$2),INDIRECT(I1955),test),getMax(B1955,C1955,INDIRECT(J$2),INDIRECT(I1955),test))</f>
        <v>0.16</v>
      </c>
      <c r="F1955" s="1" t="str">
        <f t="shared" si="122"/>
        <v>50</v>
      </c>
      <c r="G1955" s="1" t="str">
        <f t="shared" si="123"/>
        <v/>
      </c>
      <c r="I1955" s="1" t="str">
        <f t="shared" si="121"/>
        <v>威尔新数值1.06.xlsm!circlePer</v>
      </c>
    </row>
    <row r="1956" spans="1:9" x14ac:dyDescent="0.15">
      <c r="A1956" s="1">
        <v>1955</v>
      </c>
      <c r="B1956" s="1">
        <v>102081000</v>
      </c>
      <c r="C1956" s="1">
        <f t="shared" ref="C1956:C2019" si="124">C1937</f>
        <v>102</v>
      </c>
      <c r="D1956" s="5">
        <f ca="1">IF(getQuality(B1956)&lt;4,getOtherMin(B1956,C1956,INDIRECT(J$2),INDIRECT(I1956),test),getMin(B1956,C1956,INDIRECT(J$2),INDIRECT(I1956),test))</f>
        <v>1.1000000000000001</v>
      </c>
      <c r="E1956" s="5">
        <f ca="1">IF(getQuality(B1956)&lt;4,getOtherMax(B1956,C1956,INDIRECT(J$2),INDIRECT(I1956),test),getMax(B1956,C1956,INDIRECT(J$2),INDIRECT(I1956),test))</f>
        <v>1.5</v>
      </c>
      <c r="F1956" s="1" t="str">
        <f t="shared" si="122"/>
        <v>50</v>
      </c>
      <c r="G1956" s="1" t="str">
        <f t="shared" si="123"/>
        <v/>
      </c>
      <c r="I1956" s="1" t="str">
        <f t="shared" si="121"/>
        <v>威尔新数值1.06.xlsm!circleValue</v>
      </c>
    </row>
    <row r="1957" spans="1:9" x14ac:dyDescent="0.15">
      <c r="A1957" s="1">
        <v>1956</v>
      </c>
      <c r="B1957" s="1">
        <v>102081000</v>
      </c>
      <c r="C1957" s="1">
        <f t="shared" si="124"/>
        <v>103</v>
      </c>
      <c r="D1957" s="5">
        <f ca="1">IF(getQuality(B1957)&lt;4,getOtherMin(B1957,C1957,INDIRECT(J$2),INDIRECT(I1957),test),getMin(B1957,C1957,INDIRECT(J$2),INDIRECT(I1957),test))</f>
        <v>0.13</v>
      </c>
      <c r="E1957" s="5">
        <f ca="1">IF(getQuality(B1957)&lt;4,getOtherMax(B1957,C1957,INDIRECT(J$2),INDIRECT(I1957),test),getMax(B1957,C1957,INDIRECT(J$2),INDIRECT(I1957),test))</f>
        <v>0.16</v>
      </c>
      <c r="F1957" s="1" t="str">
        <f t="shared" si="122"/>
        <v>50</v>
      </c>
      <c r="G1957" s="1" t="str">
        <f t="shared" si="123"/>
        <v/>
      </c>
      <c r="I1957" s="1" t="str">
        <f t="shared" si="121"/>
        <v>威尔新数值1.06.xlsm!otherDamage</v>
      </c>
    </row>
    <row r="1958" spans="1:9" x14ac:dyDescent="0.15">
      <c r="A1958" s="1">
        <v>1957</v>
      </c>
      <c r="B1958" s="1">
        <v>102081000</v>
      </c>
      <c r="C1958" s="1">
        <f t="shared" si="124"/>
        <v>104</v>
      </c>
      <c r="D1958" s="5">
        <f ca="1">IF(getQuality(B1958)&lt;4,getOtherMin(B1958,C1958,INDIRECT(J$2),INDIRECT(I1958),test),getMin(B1958,C1958,INDIRECT(J$2),INDIRECT(I1958),test))</f>
        <v>0.13</v>
      </c>
      <c r="E1958" s="5">
        <f ca="1">IF(getQuality(B1958)&lt;4,getOtherMax(B1958,C1958,INDIRECT(J$2),INDIRECT(I1958),test),getMax(B1958,C1958,INDIRECT(J$2),INDIRECT(I1958),test))</f>
        <v>0.26</v>
      </c>
      <c r="F1958" s="1" t="str">
        <f t="shared" si="122"/>
        <v>50</v>
      </c>
      <c r="G1958" s="1" t="str">
        <f t="shared" si="123"/>
        <v/>
      </c>
      <c r="I1958" s="1" t="str">
        <f t="shared" si="121"/>
        <v>威尔新数值1.06.xlsm!monsterDamage</v>
      </c>
    </row>
    <row r="1959" spans="1:9" x14ac:dyDescent="0.15">
      <c r="A1959" s="1">
        <v>1958</v>
      </c>
      <c r="B1959" s="1">
        <v>102081000</v>
      </c>
      <c r="C1959" s="1">
        <f t="shared" si="124"/>
        <v>105</v>
      </c>
      <c r="D1959" s="5">
        <f ca="1">IF(getQuality(B1959)&lt;4,getOtherMin(B1959,C1959,INDIRECT(J$2),INDIRECT(I1959),test),getMin(B1959,C1959,INDIRECT(J$2),INDIRECT(I1959),test))</f>
        <v>0.13</v>
      </c>
      <c r="E1959" s="5">
        <f ca="1">IF(getQuality(B1959)&lt;4,getOtherMax(B1959,C1959,INDIRECT(J$2),INDIRECT(I1959),test),getMax(B1959,C1959,INDIRECT(J$2),INDIRECT(I1959),test))</f>
        <v>0.26</v>
      </c>
      <c r="F1959" s="1" t="str">
        <f t="shared" si="122"/>
        <v>50</v>
      </c>
      <c r="G1959" s="1" t="str">
        <f t="shared" si="123"/>
        <v/>
      </c>
      <c r="I1959" s="1" t="str">
        <f t="shared" si="121"/>
        <v>威尔新数值1.06.xlsm!monsterDamage</v>
      </c>
    </row>
    <row r="1960" spans="1:9" x14ac:dyDescent="0.15">
      <c r="A1960" s="1">
        <v>1959</v>
      </c>
      <c r="B1960" s="1">
        <v>102081000</v>
      </c>
      <c r="C1960" s="1">
        <f t="shared" si="124"/>
        <v>106</v>
      </c>
      <c r="D1960" s="5">
        <f ca="1">IF(getQuality(B1960)&lt;4,getOtherMin(B1960,C1960,INDIRECT(J$2),INDIRECT(I1960),test),getMin(B1960,C1960,INDIRECT(J$2),INDIRECT(I1960),test))</f>
        <v>0.13</v>
      </c>
      <c r="E1960" s="5">
        <f ca="1">IF(getQuality(B1960)&lt;4,getOtherMax(B1960,C1960,INDIRECT(J$2),INDIRECT(I1960),test),getMax(B1960,C1960,INDIRECT(J$2),INDIRECT(I1960),test))</f>
        <v>0.26</v>
      </c>
      <c r="F1960" s="1" t="str">
        <f t="shared" si="122"/>
        <v>50</v>
      </c>
      <c r="G1960" s="1" t="str">
        <f t="shared" si="123"/>
        <v/>
      </c>
      <c r="I1960" s="1" t="str">
        <f t="shared" si="121"/>
        <v>威尔新数值1.06.xlsm!monsterDamage</v>
      </c>
    </row>
    <row r="1961" spans="1:9" x14ac:dyDescent="0.15">
      <c r="A1961" s="1">
        <v>1960</v>
      </c>
      <c r="B1961" s="1">
        <v>102081000</v>
      </c>
      <c r="C1961" s="1">
        <f t="shared" si="124"/>
        <v>107</v>
      </c>
      <c r="D1961" s="5">
        <f ca="1">IF(getQuality(B1961)&lt;4,getOtherMin(B1961,C1961,INDIRECT(J$2),INDIRECT(I1961),test),getMin(B1961,C1961,INDIRECT(J$2),INDIRECT(I1961),test))</f>
        <v>0.13</v>
      </c>
      <c r="E1961" s="5">
        <f ca="1">IF(getQuality(B1961)&lt;4,getOtherMax(B1961,C1961,INDIRECT(J$2),INDIRECT(I1961),test),getMax(B1961,C1961,INDIRECT(J$2),INDIRECT(I1961),test))</f>
        <v>0.26</v>
      </c>
      <c r="F1961" s="1" t="str">
        <f t="shared" si="122"/>
        <v>50</v>
      </c>
      <c r="G1961" s="1" t="str">
        <f t="shared" si="123"/>
        <v/>
      </c>
      <c r="I1961" s="1" t="str">
        <f t="shared" si="121"/>
        <v>威尔新数值1.06.xlsm!monsterDamage</v>
      </c>
    </row>
    <row r="1962" spans="1:9" x14ac:dyDescent="0.15">
      <c r="A1962" s="1">
        <v>1961</v>
      </c>
      <c r="B1962" s="1">
        <v>102081000</v>
      </c>
      <c r="C1962" s="1">
        <f t="shared" si="124"/>
        <v>108</v>
      </c>
      <c r="D1962" s="5">
        <f ca="1">IF(getQuality(B1962)&lt;4,getOtherMin(B1962,C1962,INDIRECT(J$2),INDIRECT(I1962),test),getMin(B1962,C1962,INDIRECT(J$2),INDIRECT(I1962),test))</f>
        <v>0.13</v>
      </c>
      <c r="E1962" s="5">
        <f ca="1">IF(getQuality(B1962)&lt;4,getOtherMax(B1962,C1962,INDIRECT(J$2),INDIRECT(I1962),test),getMax(B1962,C1962,INDIRECT(J$2),INDIRECT(I1962),test))</f>
        <v>0.26</v>
      </c>
      <c r="F1962" s="1" t="str">
        <f t="shared" si="122"/>
        <v>50</v>
      </c>
      <c r="G1962" s="1" t="str">
        <f t="shared" si="123"/>
        <v/>
      </c>
      <c r="I1962" s="1" t="str">
        <f t="shared" si="121"/>
        <v>威尔新数值1.06.xlsm!monsterDamage</v>
      </c>
    </row>
    <row r="1963" spans="1:9" x14ac:dyDescent="0.15">
      <c r="A1963" s="1">
        <v>1962</v>
      </c>
      <c r="B1963" s="1">
        <v>102091000</v>
      </c>
      <c r="C1963" s="1">
        <f t="shared" si="124"/>
        <v>3</v>
      </c>
      <c r="D1963" s="5">
        <f ca="1">IF(getQuality(B1963)&lt;4,getOtherMin(B1963,C1963,INDIRECT(J$2),INDIRECT(I1963),test),getMin(B1963,C1963,INDIRECT(J$2),INDIRECT(I1963),test))</f>
        <v>288.24542239033156</v>
      </c>
      <c r="E1963" s="5">
        <f ca="1">IF(getQuality(B1963)&lt;4,getOtherMax(B1963,C1963,INDIRECT(J$2),INDIRECT(I1963),test),getMax(B1963,C1963,INDIRECT(J$2),INDIRECT(I1963),test))</f>
        <v>342.05887732784834</v>
      </c>
      <c r="F1963" s="1" t="str">
        <f t="shared" si="122"/>
        <v>50</v>
      </c>
      <c r="G1963" s="1" t="str">
        <f t="shared" si="123"/>
        <v>1</v>
      </c>
      <c r="I1963" s="1" t="str">
        <f t="shared" si="121"/>
        <v>威尔新数值1.06.xlsm!suitPower</v>
      </c>
    </row>
    <row r="1964" spans="1:9" x14ac:dyDescent="0.15">
      <c r="A1964" s="1">
        <v>1963</v>
      </c>
      <c r="B1964" s="1">
        <v>102091000</v>
      </c>
      <c r="C1964" s="1">
        <f t="shared" si="124"/>
        <v>5</v>
      </c>
      <c r="D1964" s="5">
        <f ca="1">IF(getQuality(B1964)&lt;4,getOtherMin(B1964,C1964,INDIRECT(J$2),INDIRECT(I1964),test),getMin(B1964,C1964,INDIRECT(J$2),INDIRECT(I1964),test))</f>
        <v>288.24542239033156</v>
      </c>
      <c r="E1964" s="5">
        <f ca="1">IF(getQuality(B1964)&lt;4,getOtherMax(B1964,C1964,INDIRECT(J$2),INDIRECT(I1964),test),getMax(B1964,C1964,INDIRECT(J$2),INDIRECT(I1964),test))</f>
        <v>342.05887732784834</v>
      </c>
      <c r="F1964" s="1" t="str">
        <f t="shared" si="122"/>
        <v>50</v>
      </c>
      <c r="G1964" s="1" t="str">
        <f t="shared" si="123"/>
        <v/>
      </c>
      <c r="I1964" s="1" t="str">
        <f t="shared" si="121"/>
        <v>威尔新数值1.06.xlsm!suitPower</v>
      </c>
    </row>
    <row r="1965" spans="1:9" x14ac:dyDescent="0.15">
      <c r="A1965" s="1">
        <v>1964</v>
      </c>
      <c r="B1965" s="1">
        <v>102091000</v>
      </c>
      <c r="C1965" s="1">
        <f t="shared" si="124"/>
        <v>7</v>
      </c>
      <c r="D1965" s="5">
        <f ca="1">IF(getQuality(B1965)&lt;4,getOtherMin(B1965,C1965,INDIRECT(J$2),INDIRECT(I1965),test),getMin(B1965,C1965,INDIRECT(J$2),INDIRECT(I1965),test))</f>
        <v>52.85185185185172</v>
      </c>
      <c r="E1965" s="5">
        <f ca="1">IF(getQuality(B1965)&lt;4,getOtherMax(B1965,C1965,INDIRECT(J$2),INDIRECT(I1965),test),getMax(B1965,C1965,INDIRECT(J$2),INDIRECT(I1965),test))</f>
        <v>58.333333333333186</v>
      </c>
      <c r="F1965" s="1" t="str">
        <f t="shared" si="122"/>
        <v>50</v>
      </c>
      <c r="G1965" s="1" t="str">
        <f t="shared" si="123"/>
        <v/>
      </c>
      <c r="I1965" s="1" t="str">
        <f t="shared" si="121"/>
        <v>威尔新数值1.06.xlsm!suitPower</v>
      </c>
    </row>
    <row r="1966" spans="1:9" x14ac:dyDescent="0.15">
      <c r="A1966" s="1">
        <v>1965</v>
      </c>
      <c r="B1966" s="1">
        <v>102091000</v>
      </c>
      <c r="C1966" s="1">
        <f t="shared" si="124"/>
        <v>8</v>
      </c>
      <c r="D1966" s="5">
        <f ca="1">IF(getQuality(B1966)&lt;4,getOtherMin(B1966,C1966,INDIRECT(J$2),INDIRECT(I1966),test),getMin(B1966,C1966,INDIRECT(J$2),INDIRECT(I1966),test))</f>
        <v>117.66666666666667</v>
      </c>
      <c r="E1966" s="5">
        <f ca="1">IF(getQuality(B1966)&lt;4,getOtherMax(B1966,C1966,INDIRECT(J$2),INDIRECT(I1966),test),getMax(B1966,C1966,INDIRECT(J$2),INDIRECT(I1966),test))</f>
        <v>131.25</v>
      </c>
      <c r="F1966" s="1" t="str">
        <f t="shared" si="122"/>
        <v>50</v>
      </c>
      <c r="G1966" s="1" t="str">
        <f t="shared" si="123"/>
        <v/>
      </c>
      <c r="I1966" s="1" t="str">
        <f t="shared" si="121"/>
        <v>威尔新数值1.06.xlsm!suitPower</v>
      </c>
    </row>
    <row r="1967" spans="1:9" x14ac:dyDescent="0.15">
      <c r="A1967" s="1">
        <v>1966</v>
      </c>
      <c r="B1967" s="1">
        <v>102091000</v>
      </c>
      <c r="C1967" s="1">
        <f t="shared" si="124"/>
        <v>9</v>
      </c>
      <c r="D1967" s="5">
        <f ca="1">IF(getQuality(B1967)&lt;4,getOtherMin(B1967,C1967,INDIRECT(J$2),INDIRECT(I1967),test),getMin(B1967,C1967,INDIRECT(J$2),INDIRECT(I1967),test))</f>
        <v>288.24542239033156</v>
      </c>
      <c r="E1967" s="5">
        <f ca="1">IF(getQuality(B1967)&lt;4,getOtherMax(B1967,C1967,INDIRECT(J$2),INDIRECT(I1967),test),getMax(B1967,C1967,INDIRECT(J$2),INDIRECT(I1967),test))</f>
        <v>342.05887732784834</v>
      </c>
      <c r="F1967" s="1" t="str">
        <f t="shared" si="122"/>
        <v>50</v>
      </c>
      <c r="G1967" s="1" t="str">
        <f t="shared" si="123"/>
        <v/>
      </c>
      <c r="I1967" s="1" t="str">
        <f t="shared" si="121"/>
        <v>威尔新数值1.06.xlsm!suitPower</v>
      </c>
    </row>
    <row r="1968" spans="1:9" x14ac:dyDescent="0.15">
      <c r="A1968" s="1">
        <v>1967</v>
      </c>
      <c r="B1968" s="1">
        <v>102091000</v>
      </c>
      <c r="C1968" s="1">
        <f t="shared" si="124"/>
        <v>10</v>
      </c>
      <c r="D1968" s="5">
        <f ca="1">IF(getQuality(B1968)&lt;4,getOtherMin(B1968,C1968,INDIRECT(J$2),INDIRECT(I1968),test),getMin(B1968,C1968,INDIRECT(J$2),INDIRECT(I1968),test))</f>
        <v>288.24542239033156</v>
      </c>
      <c r="E1968" s="5">
        <f ca="1">IF(getQuality(B1968)&lt;4,getOtherMax(B1968,C1968,INDIRECT(J$2),INDIRECT(I1968),test),getMax(B1968,C1968,INDIRECT(J$2),INDIRECT(I1968),test))</f>
        <v>342.05887732784834</v>
      </c>
      <c r="F1968" s="1" t="str">
        <f t="shared" si="122"/>
        <v>50</v>
      </c>
      <c r="G1968" s="1" t="str">
        <f t="shared" si="123"/>
        <v/>
      </c>
      <c r="I1968" s="1" t="str">
        <f t="shared" si="121"/>
        <v>威尔新数值1.06.xlsm!suitPower</v>
      </c>
    </row>
    <row r="1969" spans="1:9" x14ac:dyDescent="0.15">
      <c r="A1969" s="1">
        <v>1968</v>
      </c>
      <c r="B1969" s="1">
        <v>102091000</v>
      </c>
      <c r="C1969" s="1">
        <f t="shared" si="124"/>
        <v>11</v>
      </c>
      <c r="D1969" s="5">
        <f ca="1">IF(getQuality(B1969)&lt;4,getOtherMin(B1969,C1969,INDIRECT(J$2),INDIRECT(I1969),test),getMin(B1969,C1969,INDIRECT(J$2),INDIRECT(I1969),test))</f>
        <v>288.24542239033156</v>
      </c>
      <c r="E1969" s="5">
        <f ca="1">IF(getQuality(B1969)&lt;4,getOtherMax(B1969,C1969,INDIRECT(J$2),INDIRECT(I1969),test),getMax(B1969,C1969,INDIRECT(J$2),INDIRECT(I1969),test))</f>
        <v>342.05887732784834</v>
      </c>
      <c r="F1969" s="1" t="str">
        <f t="shared" si="122"/>
        <v>50</v>
      </c>
      <c r="G1969" s="1" t="str">
        <f t="shared" si="123"/>
        <v/>
      </c>
      <c r="I1969" s="1" t="str">
        <f t="shared" si="121"/>
        <v>威尔新数值1.06.xlsm!suitPower</v>
      </c>
    </row>
    <row r="1970" spans="1:9" x14ac:dyDescent="0.15">
      <c r="A1970" s="1">
        <v>1969</v>
      </c>
      <c r="B1970" s="1">
        <v>102091000</v>
      </c>
      <c r="C1970" s="1">
        <f t="shared" si="124"/>
        <v>12</v>
      </c>
      <c r="D1970" s="5">
        <f ca="1">IF(getQuality(B1970)&lt;4,getOtherMin(B1970,C1970,INDIRECT(J$2),INDIRECT(I1970),test),getMin(B1970,C1970,INDIRECT(J$2),INDIRECT(I1970),test))</f>
        <v>288.24542239033156</v>
      </c>
      <c r="E1970" s="5">
        <f ca="1">IF(getQuality(B1970)&lt;4,getOtherMax(B1970,C1970,INDIRECT(J$2),INDIRECT(I1970),test),getMax(B1970,C1970,INDIRECT(J$2),INDIRECT(I1970),test))</f>
        <v>342.05887732784834</v>
      </c>
      <c r="F1970" s="1" t="str">
        <f t="shared" si="122"/>
        <v>50</v>
      </c>
      <c r="G1970" s="1" t="str">
        <f t="shared" si="123"/>
        <v/>
      </c>
      <c r="I1970" s="1" t="str">
        <f t="shared" si="121"/>
        <v>威尔新数值1.06.xlsm!suitPower</v>
      </c>
    </row>
    <row r="1971" spans="1:9" x14ac:dyDescent="0.15">
      <c r="A1971" s="1">
        <v>1970</v>
      </c>
      <c r="B1971" s="1">
        <v>102091000</v>
      </c>
      <c r="C1971" s="1">
        <f t="shared" si="124"/>
        <v>13</v>
      </c>
      <c r="D1971" s="5">
        <f ca="1">IF(getQuality(B1971)&lt;4,getOtherMin(B1971,C1971,INDIRECT(J$2),INDIRECT(I1971),test),getMin(B1971,C1971,INDIRECT(J$2),INDIRECT(I1971),test))</f>
        <v>288.24542239033156</v>
      </c>
      <c r="E1971" s="5">
        <f ca="1">IF(getQuality(B1971)&lt;4,getOtherMax(B1971,C1971,INDIRECT(J$2),INDIRECT(I1971),test),getMax(B1971,C1971,INDIRECT(J$2),INDIRECT(I1971),test))</f>
        <v>342.05887732784834</v>
      </c>
      <c r="F1971" s="1" t="str">
        <f t="shared" si="122"/>
        <v>50</v>
      </c>
      <c r="G1971" s="1" t="str">
        <f t="shared" si="123"/>
        <v/>
      </c>
      <c r="I1971" s="1" t="str">
        <f t="shared" si="121"/>
        <v>威尔新数值1.06.xlsm!suitPower</v>
      </c>
    </row>
    <row r="1972" spans="1:9" x14ac:dyDescent="0.15">
      <c r="A1972" s="1">
        <v>1971</v>
      </c>
      <c r="B1972" s="1">
        <v>102091000</v>
      </c>
      <c r="C1972" s="1">
        <f t="shared" si="124"/>
        <v>14</v>
      </c>
      <c r="D1972" s="5">
        <f ca="1">IF(getQuality(B1972)&lt;4,getOtherMin(B1972,C1972,INDIRECT(J$2),INDIRECT(I1972),test),getMin(B1972,C1972,INDIRECT(J$2),INDIRECT(I1972),test))</f>
        <v>288.24542239033156</v>
      </c>
      <c r="E1972" s="5">
        <f ca="1">IF(getQuality(B1972)&lt;4,getOtherMax(B1972,C1972,INDIRECT(J$2),INDIRECT(I1972),test),getMax(B1972,C1972,INDIRECT(J$2),INDIRECT(I1972),test))</f>
        <v>342.05887732784834</v>
      </c>
      <c r="F1972" s="1" t="str">
        <f t="shared" si="122"/>
        <v>50</v>
      </c>
      <c r="G1972" s="1" t="str">
        <f t="shared" si="123"/>
        <v/>
      </c>
      <c r="I1972" s="1" t="str">
        <f t="shared" si="121"/>
        <v>威尔新数值1.06.xlsm!suitPower</v>
      </c>
    </row>
    <row r="1973" spans="1:9" x14ac:dyDescent="0.15">
      <c r="A1973" s="1">
        <v>1972</v>
      </c>
      <c r="B1973" s="1">
        <v>102091000</v>
      </c>
      <c r="C1973" s="1">
        <f t="shared" si="124"/>
        <v>15</v>
      </c>
      <c r="D1973" s="5">
        <f ca="1">IF(getQuality(B1973)&lt;4,getOtherMin(B1973,C1973,INDIRECT(J$2),INDIRECT(I1973),test),getMin(B1973,C1973,INDIRECT(J$2),INDIRECT(I1973),test))</f>
        <v>288.24542239033156</v>
      </c>
      <c r="E1973" s="5">
        <f ca="1">IF(getQuality(B1973)&lt;4,getOtherMax(B1973,C1973,INDIRECT(J$2),INDIRECT(I1973),test),getMax(B1973,C1973,INDIRECT(J$2),INDIRECT(I1973),test))</f>
        <v>342.05887732784834</v>
      </c>
      <c r="F1973" s="1" t="str">
        <f t="shared" si="122"/>
        <v>50</v>
      </c>
      <c r="G1973" s="1" t="str">
        <f t="shared" si="123"/>
        <v/>
      </c>
      <c r="I1973" s="1" t="str">
        <f t="shared" si="121"/>
        <v>威尔新数值1.06.xlsm!suitPower</v>
      </c>
    </row>
    <row r="1974" spans="1:9" x14ac:dyDescent="0.15">
      <c r="A1974" s="1">
        <v>1973</v>
      </c>
      <c r="B1974" s="1">
        <v>102091000</v>
      </c>
      <c r="C1974" s="1">
        <f t="shared" si="124"/>
        <v>101</v>
      </c>
      <c r="D1974" s="5">
        <f ca="1">IF(getQuality(B1974)&lt;4,getOtherMin(B1974,C1974,INDIRECT(J$2),INDIRECT(I1974),test),getMin(B1974,C1974,INDIRECT(J$2),INDIRECT(I1974),test))</f>
        <v>0.14000000000000001</v>
      </c>
      <c r="E1974" s="5">
        <f ca="1">IF(getQuality(B1974)&lt;4,getOtherMax(B1974,C1974,INDIRECT(J$2),INDIRECT(I1974),test),getMax(B1974,C1974,INDIRECT(J$2),INDIRECT(I1974),test))</f>
        <v>0.17</v>
      </c>
      <c r="F1974" s="1" t="str">
        <f t="shared" si="122"/>
        <v>50</v>
      </c>
      <c r="G1974" s="1" t="str">
        <f t="shared" si="123"/>
        <v/>
      </c>
      <c r="I1974" s="1" t="str">
        <f t="shared" si="121"/>
        <v>威尔新数值1.06.xlsm!circlePer</v>
      </c>
    </row>
    <row r="1975" spans="1:9" x14ac:dyDescent="0.15">
      <c r="A1975" s="1">
        <v>1974</v>
      </c>
      <c r="B1975" s="1">
        <v>102091000</v>
      </c>
      <c r="C1975" s="1">
        <f t="shared" si="124"/>
        <v>102</v>
      </c>
      <c r="D1975" s="5">
        <f ca="1">IF(getQuality(B1975)&lt;4,getOtherMin(B1975,C1975,INDIRECT(J$2),INDIRECT(I1975),test),getMin(B1975,C1975,INDIRECT(J$2),INDIRECT(I1975),test))</f>
        <v>1.2</v>
      </c>
      <c r="E1975" s="5">
        <f ca="1">IF(getQuality(B1975)&lt;4,getOtherMax(B1975,C1975,INDIRECT(J$2),INDIRECT(I1975),test),getMax(B1975,C1975,INDIRECT(J$2),INDIRECT(I1975),test))</f>
        <v>1.6</v>
      </c>
      <c r="F1975" s="1" t="str">
        <f t="shared" si="122"/>
        <v>50</v>
      </c>
      <c r="G1975" s="1" t="str">
        <f t="shared" si="123"/>
        <v/>
      </c>
      <c r="I1975" s="1" t="str">
        <f t="shared" si="121"/>
        <v>威尔新数值1.06.xlsm!circleValue</v>
      </c>
    </row>
    <row r="1976" spans="1:9" x14ac:dyDescent="0.15">
      <c r="A1976" s="1">
        <v>1975</v>
      </c>
      <c r="B1976" s="1">
        <v>102091000</v>
      </c>
      <c r="C1976" s="1">
        <f t="shared" si="124"/>
        <v>103</v>
      </c>
      <c r="D1976" s="5">
        <f ca="1">IF(getQuality(B1976)&lt;4,getOtherMin(B1976,C1976,INDIRECT(J$2),INDIRECT(I1976),test),getMin(B1976,C1976,INDIRECT(J$2),INDIRECT(I1976),test))</f>
        <v>0.14000000000000001</v>
      </c>
      <c r="E1976" s="5">
        <f ca="1">IF(getQuality(B1976)&lt;4,getOtherMax(B1976,C1976,INDIRECT(J$2),INDIRECT(I1976),test),getMax(B1976,C1976,INDIRECT(J$2),INDIRECT(I1976),test))</f>
        <v>0.17</v>
      </c>
      <c r="F1976" s="1" t="str">
        <f t="shared" si="122"/>
        <v>50</v>
      </c>
      <c r="G1976" s="1" t="str">
        <f t="shared" si="123"/>
        <v/>
      </c>
      <c r="I1976" s="1" t="str">
        <f t="shared" si="121"/>
        <v>威尔新数值1.06.xlsm!otherDamage</v>
      </c>
    </row>
    <row r="1977" spans="1:9" x14ac:dyDescent="0.15">
      <c r="A1977" s="1">
        <v>1976</v>
      </c>
      <c r="B1977" s="1">
        <v>102091000</v>
      </c>
      <c r="C1977" s="1">
        <f t="shared" si="124"/>
        <v>104</v>
      </c>
      <c r="D1977" s="5">
        <f ca="1">IF(getQuality(B1977)&lt;4,getOtherMin(B1977,C1977,INDIRECT(J$2),INDIRECT(I1977),test),getMin(B1977,C1977,INDIRECT(J$2),INDIRECT(I1977),test))</f>
        <v>0.14000000000000001</v>
      </c>
      <c r="E1977" s="5">
        <f ca="1">IF(getQuality(B1977)&lt;4,getOtherMax(B1977,C1977,INDIRECT(J$2),INDIRECT(I1977),test),getMax(B1977,C1977,INDIRECT(J$2),INDIRECT(I1977),test))</f>
        <v>0.28000000000000003</v>
      </c>
      <c r="F1977" s="1" t="str">
        <f t="shared" si="122"/>
        <v>50</v>
      </c>
      <c r="G1977" s="1" t="str">
        <f t="shared" si="123"/>
        <v/>
      </c>
      <c r="I1977" s="1" t="str">
        <f t="shared" si="121"/>
        <v>威尔新数值1.06.xlsm!monsterDamage</v>
      </c>
    </row>
    <row r="1978" spans="1:9" x14ac:dyDescent="0.15">
      <c r="A1978" s="1">
        <v>1977</v>
      </c>
      <c r="B1978" s="1">
        <v>102091000</v>
      </c>
      <c r="C1978" s="1">
        <f t="shared" si="124"/>
        <v>105</v>
      </c>
      <c r="D1978" s="5">
        <f ca="1">IF(getQuality(B1978)&lt;4,getOtherMin(B1978,C1978,INDIRECT(J$2),INDIRECT(I1978),test),getMin(B1978,C1978,INDIRECT(J$2),INDIRECT(I1978),test))</f>
        <v>0.14000000000000001</v>
      </c>
      <c r="E1978" s="5">
        <f ca="1">IF(getQuality(B1978)&lt;4,getOtherMax(B1978,C1978,INDIRECT(J$2),INDIRECT(I1978),test),getMax(B1978,C1978,INDIRECT(J$2),INDIRECT(I1978),test))</f>
        <v>0.28000000000000003</v>
      </c>
      <c r="F1978" s="1" t="str">
        <f t="shared" si="122"/>
        <v>50</v>
      </c>
      <c r="G1978" s="1" t="str">
        <f t="shared" si="123"/>
        <v/>
      </c>
      <c r="I1978" s="1" t="str">
        <f t="shared" si="121"/>
        <v>威尔新数值1.06.xlsm!monsterDamage</v>
      </c>
    </row>
    <row r="1979" spans="1:9" x14ac:dyDescent="0.15">
      <c r="A1979" s="1">
        <v>1978</v>
      </c>
      <c r="B1979" s="1">
        <v>102091000</v>
      </c>
      <c r="C1979" s="1">
        <f t="shared" si="124"/>
        <v>106</v>
      </c>
      <c r="D1979" s="5">
        <f ca="1">IF(getQuality(B1979)&lt;4,getOtherMin(B1979,C1979,INDIRECT(J$2),INDIRECT(I1979),test),getMin(B1979,C1979,INDIRECT(J$2),INDIRECT(I1979),test))</f>
        <v>0.14000000000000001</v>
      </c>
      <c r="E1979" s="5">
        <f ca="1">IF(getQuality(B1979)&lt;4,getOtherMax(B1979,C1979,INDIRECT(J$2),INDIRECT(I1979),test),getMax(B1979,C1979,INDIRECT(J$2),INDIRECT(I1979),test))</f>
        <v>0.28000000000000003</v>
      </c>
      <c r="F1979" s="1" t="str">
        <f t="shared" si="122"/>
        <v>50</v>
      </c>
      <c r="G1979" s="1" t="str">
        <f t="shared" si="123"/>
        <v/>
      </c>
      <c r="I1979" s="1" t="str">
        <f t="shared" si="121"/>
        <v>威尔新数值1.06.xlsm!monsterDamage</v>
      </c>
    </row>
    <row r="1980" spans="1:9" x14ac:dyDescent="0.15">
      <c r="A1980" s="1">
        <v>1979</v>
      </c>
      <c r="B1980" s="1">
        <v>102091000</v>
      </c>
      <c r="C1980" s="1">
        <f t="shared" si="124"/>
        <v>107</v>
      </c>
      <c r="D1980" s="5">
        <f ca="1">IF(getQuality(B1980)&lt;4,getOtherMin(B1980,C1980,INDIRECT(J$2),INDIRECT(I1980),test),getMin(B1980,C1980,INDIRECT(J$2),INDIRECT(I1980),test))</f>
        <v>0.14000000000000001</v>
      </c>
      <c r="E1980" s="5">
        <f ca="1">IF(getQuality(B1980)&lt;4,getOtherMax(B1980,C1980,INDIRECT(J$2),INDIRECT(I1980),test),getMax(B1980,C1980,INDIRECT(J$2),INDIRECT(I1980),test))</f>
        <v>0.28000000000000003</v>
      </c>
      <c r="F1980" s="1" t="str">
        <f t="shared" si="122"/>
        <v>50</v>
      </c>
      <c r="G1980" s="1" t="str">
        <f t="shared" si="123"/>
        <v/>
      </c>
      <c r="I1980" s="1" t="str">
        <f t="shared" si="121"/>
        <v>威尔新数值1.06.xlsm!monsterDamage</v>
      </c>
    </row>
    <row r="1981" spans="1:9" x14ac:dyDescent="0.15">
      <c r="A1981" s="1">
        <v>1980</v>
      </c>
      <c r="B1981" s="1">
        <v>102091000</v>
      </c>
      <c r="C1981" s="1">
        <f t="shared" si="124"/>
        <v>108</v>
      </c>
      <c r="D1981" s="5">
        <f ca="1">IF(getQuality(B1981)&lt;4,getOtherMin(B1981,C1981,INDIRECT(J$2),INDIRECT(I1981),test),getMin(B1981,C1981,INDIRECT(J$2),INDIRECT(I1981),test))</f>
        <v>0.14000000000000001</v>
      </c>
      <c r="E1981" s="5">
        <f ca="1">IF(getQuality(B1981)&lt;4,getOtherMax(B1981,C1981,INDIRECT(J$2),INDIRECT(I1981),test),getMax(B1981,C1981,INDIRECT(J$2),INDIRECT(I1981),test))</f>
        <v>0.28000000000000003</v>
      </c>
      <c r="F1981" s="1" t="str">
        <f t="shared" si="122"/>
        <v>50</v>
      </c>
      <c r="G1981" s="1" t="str">
        <f t="shared" si="123"/>
        <v/>
      </c>
      <c r="I1981" s="1" t="str">
        <f t="shared" si="121"/>
        <v>威尔新数值1.06.xlsm!monsterDamage</v>
      </c>
    </row>
    <row r="1982" spans="1:9" x14ac:dyDescent="0.15">
      <c r="A1982" s="1">
        <v>1981</v>
      </c>
      <c r="B1982" s="1">
        <v>102011100</v>
      </c>
      <c r="C1982" s="1">
        <f t="shared" si="124"/>
        <v>3</v>
      </c>
      <c r="D1982" s="5">
        <f ca="1">IF(getQuality(B1982)&lt;4,getOtherMin(B1982,C1982,INDIRECT(J$2),INDIRECT(I1982),test),getMin(B1982,C1982,INDIRECT(J$2),INDIRECT(I1982),test))</f>
        <v>1</v>
      </c>
      <c r="E1982" s="5">
        <f ca="1">IF(getQuality(B1982)&lt;4,getOtherMax(B1982,C1982,INDIRECT(J$2),INDIRECT(I1982),test),getMax(B1982,C1982,INDIRECT(J$2),INDIRECT(I1982),test))</f>
        <v>21.008641265250315</v>
      </c>
      <c r="F1982" s="1" t="str">
        <f t="shared" si="122"/>
        <v>50</v>
      </c>
      <c r="G1982" s="1" t="str">
        <f t="shared" si="123"/>
        <v/>
      </c>
      <c r="I1982" s="1" t="str">
        <f t="shared" si="121"/>
        <v>威尔新数值1.06.xlsm!suitPower</v>
      </c>
    </row>
    <row r="1983" spans="1:9" x14ac:dyDescent="0.15">
      <c r="A1983" s="1">
        <v>1982</v>
      </c>
      <c r="B1983" s="1">
        <v>102011100</v>
      </c>
      <c r="C1983" s="1">
        <f t="shared" si="124"/>
        <v>5</v>
      </c>
      <c r="D1983" s="5">
        <f ca="1">IF(getQuality(B1983)&lt;4,getOtherMin(B1983,C1983,INDIRECT(J$2),INDIRECT(I1983),test),getMin(B1983,C1983,INDIRECT(J$2),INDIRECT(I1983),test))</f>
        <v>1</v>
      </c>
      <c r="E1983" s="5">
        <f ca="1">IF(getQuality(B1983)&lt;4,getOtherMax(B1983,C1983,INDIRECT(J$2),INDIRECT(I1983),test),getMax(B1983,C1983,INDIRECT(J$2),INDIRECT(I1983),test))</f>
        <v>21.008641265250315</v>
      </c>
      <c r="F1983" s="1" t="str">
        <f t="shared" si="122"/>
        <v>50</v>
      </c>
      <c r="G1983" s="1" t="str">
        <f t="shared" si="123"/>
        <v>1</v>
      </c>
      <c r="I1983" s="1" t="str">
        <f t="shared" si="121"/>
        <v>威尔新数值1.06.xlsm!suitPower</v>
      </c>
    </row>
    <row r="1984" spans="1:9" x14ac:dyDescent="0.15">
      <c r="A1984" s="1">
        <v>1983</v>
      </c>
      <c r="B1984" s="1">
        <v>102011100</v>
      </c>
      <c r="C1984" s="1">
        <f t="shared" si="124"/>
        <v>7</v>
      </c>
      <c r="D1984" s="5">
        <f ca="1">IF(getQuality(B1984)&lt;4,getOtherMin(B1984,C1984,INDIRECT(J$2),INDIRECT(I1984),test),getMin(B1984,C1984,INDIRECT(J$2),INDIRECT(I1984),test))</f>
        <v>1</v>
      </c>
      <c r="E1984" s="5">
        <f ca="1">IF(getQuality(B1984)&lt;4,getOtherMax(B1984,C1984,INDIRECT(J$2),INDIRECT(I1984),test),getMax(B1984,C1984,INDIRECT(J$2),INDIRECT(I1984),test))</f>
        <v>6.481481481481465</v>
      </c>
      <c r="F1984" s="1" t="str">
        <f t="shared" si="122"/>
        <v>50</v>
      </c>
      <c r="G1984" s="1" t="str">
        <f t="shared" si="123"/>
        <v/>
      </c>
      <c r="I1984" s="1" t="str">
        <f t="shared" si="121"/>
        <v>威尔新数值1.06.xlsm!suitPower</v>
      </c>
    </row>
    <row r="1985" spans="1:9" x14ac:dyDescent="0.15">
      <c r="A1985" s="1">
        <v>1984</v>
      </c>
      <c r="B1985" s="1">
        <v>102011100</v>
      </c>
      <c r="C1985" s="1">
        <f t="shared" si="124"/>
        <v>8</v>
      </c>
      <c r="D1985" s="5">
        <f ca="1">IF(getQuality(B1985)&lt;4,getOtherMin(B1985,C1985,INDIRECT(J$2),INDIRECT(I1985),test),getMin(B1985,C1985,INDIRECT(J$2),INDIRECT(I1985),test))</f>
        <v>1</v>
      </c>
      <c r="E1985" s="5">
        <f ca="1">IF(getQuality(B1985)&lt;4,getOtherMax(B1985,C1985,INDIRECT(J$2),INDIRECT(I1985),test),getMax(B1985,C1985,INDIRECT(J$2),INDIRECT(I1985),test))</f>
        <v>14.583333333333334</v>
      </c>
      <c r="F1985" s="1" t="str">
        <f t="shared" si="122"/>
        <v>50</v>
      </c>
      <c r="G1985" s="1" t="str">
        <f t="shared" si="123"/>
        <v/>
      </c>
      <c r="I1985" s="1" t="str">
        <f t="shared" si="121"/>
        <v>威尔新数值1.06.xlsm!suitPower</v>
      </c>
    </row>
    <row r="1986" spans="1:9" x14ac:dyDescent="0.15">
      <c r="A1986" s="1">
        <v>1985</v>
      </c>
      <c r="B1986" s="1">
        <v>102011100</v>
      </c>
      <c r="C1986" s="1">
        <f t="shared" si="124"/>
        <v>9</v>
      </c>
      <c r="D1986" s="5">
        <f ca="1">IF(getQuality(B1986)&lt;4,getOtherMin(B1986,C1986,INDIRECT(J$2),INDIRECT(I1986),test),getMin(B1986,C1986,INDIRECT(J$2),INDIRECT(I1986),test))</f>
        <v>1</v>
      </c>
      <c r="E1986" s="5">
        <f ca="1">IF(getQuality(B1986)&lt;4,getOtherMax(B1986,C1986,INDIRECT(J$2),INDIRECT(I1986),test),getMax(B1986,C1986,INDIRECT(J$2),INDIRECT(I1986),test))</f>
        <v>21.008641265250315</v>
      </c>
      <c r="F1986" s="1" t="str">
        <f t="shared" si="122"/>
        <v>50</v>
      </c>
      <c r="G1986" s="1" t="str">
        <f t="shared" si="123"/>
        <v/>
      </c>
      <c r="I1986" s="1" t="str">
        <f t="shared" ref="I1986:I2049" si="125">IF(C1986&lt;100,VLOOKUP(C1986,test,3,FALSE),VLOOKUP(C1986,test1,3,FALSE))</f>
        <v>威尔新数值1.06.xlsm!suitPower</v>
      </c>
    </row>
    <row r="1987" spans="1:9" x14ac:dyDescent="0.15">
      <c r="A1987" s="1">
        <v>1986</v>
      </c>
      <c r="B1987" s="1">
        <v>102011100</v>
      </c>
      <c r="C1987" s="1">
        <f t="shared" si="124"/>
        <v>10</v>
      </c>
      <c r="D1987" s="5">
        <f ca="1">IF(getQuality(B1987)&lt;4,getOtherMin(B1987,C1987,INDIRECT(J$2),INDIRECT(I1987),test),getMin(B1987,C1987,INDIRECT(J$2),INDIRECT(I1987),test))</f>
        <v>1</v>
      </c>
      <c r="E1987" s="5">
        <f ca="1">IF(getQuality(B1987)&lt;4,getOtherMax(B1987,C1987,INDIRECT(J$2),INDIRECT(I1987),test),getMax(B1987,C1987,INDIRECT(J$2),INDIRECT(I1987),test))</f>
        <v>21.008641265250315</v>
      </c>
      <c r="F1987" s="1" t="str">
        <f t="shared" ref="F1987:F2050" si="126">getper(B1987,C1987)</f>
        <v>50</v>
      </c>
      <c r="G1987" s="1" t="str">
        <f t="shared" ref="G1987:G2050" si="127">getMust(B1987,C1987)</f>
        <v/>
      </c>
      <c r="I1987" s="1" t="str">
        <f t="shared" si="125"/>
        <v>威尔新数值1.06.xlsm!suitPower</v>
      </c>
    </row>
    <row r="1988" spans="1:9" x14ac:dyDescent="0.15">
      <c r="A1988" s="1">
        <v>1987</v>
      </c>
      <c r="B1988" s="1">
        <v>102011100</v>
      </c>
      <c r="C1988" s="1">
        <f t="shared" si="124"/>
        <v>11</v>
      </c>
      <c r="D1988" s="5">
        <f ca="1">IF(getQuality(B1988)&lt;4,getOtherMin(B1988,C1988,INDIRECT(J$2),INDIRECT(I1988),test),getMin(B1988,C1988,INDIRECT(J$2),INDIRECT(I1988),test))</f>
        <v>1</v>
      </c>
      <c r="E1988" s="5">
        <f ca="1">IF(getQuality(B1988)&lt;4,getOtherMax(B1988,C1988,INDIRECT(J$2),INDIRECT(I1988),test),getMax(B1988,C1988,INDIRECT(J$2),INDIRECT(I1988),test))</f>
        <v>21.008641265250315</v>
      </c>
      <c r="F1988" s="1" t="str">
        <f t="shared" si="126"/>
        <v>50</v>
      </c>
      <c r="G1988" s="1" t="str">
        <f t="shared" si="127"/>
        <v/>
      </c>
      <c r="I1988" s="1" t="str">
        <f t="shared" si="125"/>
        <v>威尔新数值1.06.xlsm!suitPower</v>
      </c>
    </row>
    <row r="1989" spans="1:9" x14ac:dyDescent="0.15">
      <c r="A1989" s="1">
        <v>1988</v>
      </c>
      <c r="B1989" s="1">
        <v>102011100</v>
      </c>
      <c r="C1989" s="1">
        <f t="shared" si="124"/>
        <v>12</v>
      </c>
      <c r="D1989" s="5">
        <f ca="1">IF(getQuality(B1989)&lt;4,getOtherMin(B1989,C1989,INDIRECT(J$2),INDIRECT(I1989),test),getMin(B1989,C1989,INDIRECT(J$2),INDIRECT(I1989),test))</f>
        <v>1</v>
      </c>
      <c r="E1989" s="5">
        <f ca="1">IF(getQuality(B1989)&lt;4,getOtherMax(B1989,C1989,INDIRECT(J$2),INDIRECT(I1989),test),getMax(B1989,C1989,INDIRECT(J$2),INDIRECT(I1989),test))</f>
        <v>21.008641265250315</v>
      </c>
      <c r="F1989" s="1" t="str">
        <f t="shared" si="126"/>
        <v>50</v>
      </c>
      <c r="G1989" s="1" t="str">
        <f t="shared" si="127"/>
        <v/>
      </c>
      <c r="I1989" s="1" t="str">
        <f t="shared" si="125"/>
        <v>威尔新数值1.06.xlsm!suitPower</v>
      </c>
    </row>
    <row r="1990" spans="1:9" x14ac:dyDescent="0.15">
      <c r="A1990" s="1">
        <v>1989</v>
      </c>
      <c r="B1990" s="1">
        <v>102011100</v>
      </c>
      <c r="C1990" s="1">
        <f t="shared" si="124"/>
        <v>13</v>
      </c>
      <c r="D1990" s="5">
        <f ca="1">IF(getQuality(B1990)&lt;4,getOtherMin(B1990,C1990,INDIRECT(J$2),INDIRECT(I1990),test),getMin(B1990,C1990,INDIRECT(J$2),INDIRECT(I1990),test))</f>
        <v>1</v>
      </c>
      <c r="E1990" s="5">
        <f ca="1">IF(getQuality(B1990)&lt;4,getOtherMax(B1990,C1990,INDIRECT(J$2),INDIRECT(I1990),test),getMax(B1990,C1990,INDIRECT(J$2),INDIRECT(I1990),test))</f>
        <v>21.008641265250315</v>
      </c>
      <c r="F1990" s="1" t="str">
        <f t="shared" si="126"/>
        <v>50</v>
      </c>
      <c r="G1990" s="1" t="str">
        <f t="shared" si="127"/>
        <v/>
      </c>
      <c r="I1990" s="1" t="str">
        <f t="shared" si="125"/>
        <v>威尔新数值1.06.xlsm!suitPower</v>
      </c>
    </row>
    <row r="1991" spans="1:9" x14ac:dyDescent="0.15">
      <c r="A1991" s="1">
        <v>1990</v>
      </c>
      <c r="B1991" s="1">
        <v>102011100</v>
      </c>
      <c r="C1991" s="1">
        <f t="shared" si="124"/>
        <v>14</v>
      </c>
      <c r="D1991" s="5">
        <f ca="1">IF(getQuality(B1991)&lt;4,getOtherMin(B1991,C1991,INDIRECT(J$2),INDIRECT(I1991),test),getMin(B1991,C1991,INDIRECT(J$2),INDIRECT(I1991),test))</f>
        <v>1</v>
      </c>
      <c r="E1991" s="5">
        <f ca="1">IF(getQuality(B1991)&lt;4,getOtherMax(B1991,C1991,INDIRECT(J$2),INDIRECT(I1991),test),getMax(B1991,C1991,INDIRECT(J$2),INDIRECT(I1991),test))</f>
        <v>21.008641265250315</v>
      </c>
      <c r="F1991" s="1" t="str">
        <f t="shared" si="126"/>
        <v>50</v>
      </c>
      <c r="G1991" s="1" t="str">
        <f t="shared" si="127"/>
        <v/>
      </c>
      <c r="I1991" s="1" t="str">
        <f t="shared" si="125"/>
        <v>威尔新数值1.06.xlsm!suitPower</v>
      </c>
    </row>
    <row r="1992" spans="1:9" x14ac:dyDescent="0.15">
      <c r="A1992" s="1">
        <v>1991</v>
      </c>
      <c r="B1992" s="1">
        <v>102011100</v>
      </c>
      <c r="C1992" s="1">
        <f t="shared" si="124"/>
        <v>15</v>
      </c>
      <c r="D1992" s="5">
        <f ca="1">IF(getQuality(B1992)&lt;4,getOtherMin(B1992,C1992,INDIRECT(J$2),INDIRECT(I1992),test),getMin(B1992,C1992,INDIRECT(J$2),INDIRECT(I1992),test))</f>
        <v>1</v>
      </c>
      <c r="E1992" s="5">
        <f ca="1">IF(getQuality(B1992)&lt;4,getOtherMax(B1992,C1992,INDIRECT(J$2),INDIRECT(I1992),test),getMax(B1992,C1992,INDIRECT(J$2),INDIRECT(I1992),test))</f>
        <v>21.008641265250315</v>
      </c>
      <c r="F1992" s="1" t="str">
        <f t="shared" si="126"/>
        <v>50</v>
      </c>
      <c r="G1992" s="1" t="str">
        <f t="shared" si="127"/>
        <v/>
      </c>
      <c r="I1992" s="1" t="str">
        <f t="shared" si="125"/>
        <v>威尔新数值1.06.xlsm!suitPower</v>
      </c>
    </row>
    <row r="1993" spans="1:9" x14ac:dyDescent="0.15">
      <c r="A1993" s="1">
        <v>1992</v>
      </c>
      <c r="B1993" s="1">
        <v>102011100</v>
      </c>
      <c r="C1993" s="1">
        <f t="shared" si="124"/>
        <v>101</v>
      </c>
      <c r="D1993" s="5">
        <f ca="1">IF(getQuality(B1993)&lt;4,getOtherMin(B1993,C1993,INDIRECT(J$2),INDIRECT(I1993),test),getMin(B1993,C1993,INDIRECT(J$2),INDIRECT(I1993),test))</f>
        <v>0.06</v>
      </c>
      <c r="E1993" s="5">
        <f ca="1">IF(getQuality(B1993)&lt;4,getOtherMax(B1993,C1993,INDIRECT(J$2),INDIRECT(I1993),test),getMax(B1993,C1993,INDIRECT(J$2),INDIRECT(I1993),test))</f>
        <v>0.09</v>
      </c>
      <c r="F1993" s="1" t="str">
        <f t="shared" si="126"/>
        <v>50</v>
      </c>
      <c r="G1993" s="1" t="str">
        <f t="shared" si="127"/>
        <v/>
      </c>
      <c r="I1993" s="1" t="str">
        <f t="shared" si="125"/>
        <v>威尔新数值1.06.xlsm!circlePer</v>
      </c>
    </row>
    <row r="1994" spans="1:9" x14ac:dyDescent="0.15">
      <c r="A1994" s="1">
        <v>1993</v>
      </c>
      <c r="B1994" s="1">
        <v>102011100</v>
      </c>
      <c r="C1994" s="1">
        <f t="shared" si="124"/>
        <v>102</v>
      </c>
      <c r="D1994" s="5">
        <f ca="1">IF(getQuality(B1994)&lt;4,getOtherMin(B1994,C1994,INDIRECT(J$2),INDIRECT(I1994),test),getMin(B1994,C1994,INDIRECT(J$2),INDIRECT(I1994),test))</f>
        <v>0.4</v>
      </c>
      <c r="E1994" s="5">
        <f ca="1">IF(getQuality(B1994)&lt;4,getOtherMax(B1994,C1994,INDIRECT(J$2),INDIRECT(I1994),test),getMax(B1994,C1994,INDIRECT(J$2),INDIRECT(I1994),test))</f>
        <v>0.8</v>
      </c>
      <c r="F1994" s="1" t="str">
        <f t="shared" si="126"/>
        <v>50</v>
      </c>
      <c r="G1994" s="1" t="str">
        <f t="shared" si="127"/>
        <v/>
      </c>
      <c r="I1994" s="1" t="str">
        <f t="shared" si="125"/>
        <v>威尔新数值1.06.xlsm!circleValue</v>
      </c>
    </row>
    <row r="1995" spans="1:9" x14ac:dyDescent="0.15">
      <c r="A1995" s="1">
        <v>1994</v>
      </c>
      <c r="B1995" s="1">
        <v>102011100</v>
      </c>
      <c r="C1995" s="1">
        <f t="shared" si="124"/>
        <v>103</v>
      </c>
      <c r="D1995" s="5">
        <f ca="1">IF(getQuality(B1995)&lt;4,getOtherMin(B1995,C1995,INDIRECT(J$2),INDIRECT(I1995),test),getMin(B1995,C1995,INDIRECT(J$2),INDIRECT(I1995),test))</f>
        <v>0.06</v>
      </c>
      <c r="E1995" s="5">
        <f ca="1">IF(getQuality(B1995)&lt;4,getOtherMax(B1995,C1995,INDIRECT(J$2),INDIRECT(I1995),test),getMax(B1995,C1995,INDIRECT(J$2),INDIRECT(I1995),test))</f>
        <v>0.09</v>
      </c>
      <c r="F1995" s="1" t="str">
        <f t="shared" si="126"/>
        <v>50</v>
      </c>
      <c r="G1995" s="1" t="str">
        <f t="shared" si="127"/>
        <v/>
      </c>
      <c r="I1995" s="1" t="str">
        <f t="shared" si="125"/>
        <v>威尔新数值1.06.xlsm!otherDamage</v>
      </c>
    </row>
    <row r="1996" spans="1:9" x14ac:dyDescent="0.15">
      <c r="A1996" s="1">
        <v>1995</v>
      </c>
      <c r="B1996" s="1">
        <v>102011100</v>
      </c>
      <c r="C1996" s="1">
        <f t="shared" si="124"/>
        <v>104</v>
      </c>
      <c r="D1996" s="5">
        <f ca="1">IF(getQuality(B1996)&lt;4,getOtherMin(B1996,C1996,INDIRECT(J$2),INDIRECT(I1996),test),getMin(B1996,C1996,INDIRECT(J$2),INDIRECT(I1996),test))</f>
        <v>0.06</v>
      </c>
      <c r="E1996" s="5">
        <f ca="1">IF(getQuality(B1996)&lt;4,getOtherMax(B1996,C1996,INDIRECT(J$2),INDIRECT(I1996),test),getMax(B1996,C1996,INDIRECT(J$2),INDIRECT(I1996),test))</f>
        <v>0.12</v>
      </c>
      <c r="F1996" s="1" t="str">
        <f t="shared" si="126"/>
        <v>50</v>
      </c>
      <c r="G1996" s="1" t="str">
        <f t="shared" si="127"/>
        <v/>
      </c>
      <c r="I1996" s="1" t="str">
        <f t="shared" si="125"/>
        <v>威尔新数值1.06.xlsm!monsterDamage</v>
      </c>
    </row>
    <row r="1997" spans="1:9" x14ac:dyDescent="0.15">
      <c r="A1997" s="1">
        <v>1996</v>
      </c>
      <c r="B1997" s="1">
        <v>102011100</v>
      </c>
      <c r="C1997" s="1">
        <f t="shared" si="124"/>
        <v>105</v>
      </c>
      <c r="D1997" s="5">
        <f ca="1">IF(getQuality(B1997)&lt;4,getOtherMin(B1997,C1997,INDIRECT(J$2),INDIRECT(I1997),test),getMin(B1997,C1997,INDIRECT(J$2),INDIRECT(I1997),test))</f>
        <v>0.06</v>
      </c>
      <c r="E1997" s="5">
        <f ca="1">IF(getQuality(B1997)&lt;4,getOtherMax(B1997,C1997,INDIRECT(J$2),INDIRECT(I1997),test),getMax(B1997,C1997,INDIRECT(J$2),INDIRECT(I1997),test))</f>
        <v>0.12</v>
      </c>
      <c r="F1997" s="1" t="str">
        <f t="shared" si="126"/>
        <v>50</v>
      </c>
      <c r="G1997" s="1" t="str">
        <f t="shared" si="127"/>
        <v/>
      </c>
      <c r="I1997" s="1" t="str">
        <f t="shared" si="125"/>
        <v>威尔新数值1.06.xlsm!monsterDamage</v>
      </c>
    </row>
    <row r="1998" spans="1:9" x14ac:dyDescent="0.15">
      <c r="A1998" s="1">
        <v>1997</v>
      </c>
      <c r="B1998" s="1">
        <v>102011100</v>
      </c>
      <c r="C1998" s="1">
        <f t="shared" si="124"/>
        <v>106</v>
      </c>
      <c r="D1998" s="5">
        <f ca="1">IF(getQuality(B1998)&lt;4,getOtherMin(B1998,C1998,INDIRECT(J$2),INDIRECT(I1998),test),getMin(B1998,C1998,INDIRECT(J$2),INDIRECT(I1998),test))</f>
        <v>0.06</v>
      </c>
      <c r="E1998" s="5">
        <f ca="1">IF(getQuality(B1998)&lt;4,getOtherMax(B1998,C1998,INDIRECT(J$2),INDIRECT(I1998),test),getMax(B1998,C1998,INDIRECT(J$2),INDIRECT(I1998),test))</f>
        <v>0.12</v>
      </c>
      <c r="F1998" s="1" t="str">
        <f t="shared" si="126"/>
        <v>50</v>
      </c>
      <c r="G1998" s="1" t="str">
        <f t="shared" si="127"/>
        <v/>
      </c>
      <c r="I1998" s="1" t="str">
        <f t="shared" si="125"/>
        <v>威尔新数值1.06.xlsm!monsterDamage</v>
      </c>
    </row>
    <row r="1999" spans="1:9" x14ac:dyDescent="0.15">
      <c r="A1999" s="1">
        <v>1998</v>
      </c>
      <c r="B1999" s="1">
        <v>102011100</v>
      </c>
      <c r="C1999" s="1">
        <f t="shared" si="124"/>
        <v>107</v>
      </c>
      <c r="D1999" s="5">
        <f ca="1">IF(getQuality(B1999)&lt;4,getOtherMin(B1999,C1999,INDIRECT(J$2),INDIRECT(I1999),test),getMin(B1999,C1999,INDIRECT(J$2),INDIRECT(I1999),test))</f>
        <v>0.06</v>
      </c>
      <c r="E1999" s="5">
        <f ca="1">IF(getQuality(B1999)&lt;4,getOtherMax(B1999,C1999,INDIRECT(J$2),INDIRECT(I1999),test),getMax(B1999,C1999,INDIRECT(J$2),INDIRECT(I1999),test))</f>
        <v>0.12</v>
      </c>
      <c r="F1999" s="1" t="str">
        <f t="shared" si="126"/>
        <v>50</v>
      </c>
      <c r="G1999" s="1" t="str">
        <f t="shared" si="127"/>
        <v/>
      </c>
      <c r="I1999" s="1" t="str">
        <f t="shared" si="125"/>
        <v>威尔新数值1.06.xlsm!monsterDamage</v>
      </c>
    </row>
    <row r="2000" spans="1:9" x14ac:dyDescent="0.15">
      <c r="A2000" s="1">
        <v>1999</v>
      </c>
      <c r="B2000" s="1">
        <v>102011100</v>
      </c>
      <c r="C2000" s="1">
        <f t="shared" si="124"/>
        <v>108</v>
      </c>
      <c r="D2000" s="5">
        <f ca="1">IF(getQuality(B2000)&lt;4,getOtherMin(B2000,C2000,INDIRECT(J$2),INDIRECT(I2000),test),getMin(B2000,C2000,INDIRECT(J$2),INDIRECT(I2000),test))</f>
        <v>0.06</v>
      </c>
      <c r="E2000" s="5">
        <f ca="1">IF(getQuality(B2000)&lt;4,getOtherMax(B2000,C2000,INDIRECT(J$2),INDIRECT(I2000),test),getMax(B2000,C2000,INDIRECT(J$2),INDIRECT(I2000),test))</f>
        <v>0.12</v>
      </c>
      <c r="F2000" s="1" t="str">
        <f t="shared" si="126"/>
        <v>50</v>
      </c>
      <c r="G2000" s="1" t="str">
        <f t="shared" si="127"/>
        <v/>
      </c>
      <c r="I2000" s="1" t="str">
        <f t="shared" si="125"/>
        <v>威尔新数值1.06.xlsm!monsterDamage</v>
      </c>
    </row>
    <row r="2001" spans="1:9" x14ac:dyDescent="0.15">
      <c r="A2001" s="1">
        <v>2000</v>
      </c>
      <c r="B2001" s="1">
        <v>102021100</v>
      </c>
      <c r="C2001" s="1">
        <f t="shared" si="124"/>
        <v>3</v>
      </c>
      <c r="D2001" s="5">
        <f ca="1">IF(getQuality(B2001)&lt;4,getOtherMin(B2001,C2001,INDIRECT(J$2),INDIRECT(I2001),test),getMin(B2001,C2001,INDIRECT(J$2),INDIRECT(I2001),test))</f>
        <v>22.008641265250315</v>
      </c>
      <c r="E2001" s="5">
        <f ca="1">IF(getQuality(B2001)&lt;4,getOtherMax(B2001,C2001,INDIRECT(J$2),INDIRECT(I2001),test),getMax(B2001,C2001,INDIRECT(J$2),INDIRECT(I2001),test))</f>
        <v>46.219010783550694</v>
      </c>
      <c r="F2001" s="1" t="str">
        <f t="shared" si="126"/>
        <v>50</v>
      </c>
      <c r="G2001" s="1" t="str">
        <f t="shared" si="127"/>
        <v/>
      </c>
      <c r="I2001" s="1" t="str">
        <f t="shared" si="125"/>
        <v>威尔新数值1.06.xlsm!suitPower</v>
      </c>
    </row>
    <row r="2002" spans="1:9" x14ac:dyDescent="0.15">
      <c r="A2002" s="1">
        <v>2001</v>
      </c>
      <c r="B2002" s="1">
        <v>102021100</v>
      </c>
      <c r="C2002" s="1">
        <f t="shared" si="124"/>
        <v>5</v>
      </c>
      <c r="D2002" s="5">
        <f ca="1">IF(getQuality(B2002)&lt;4,getOtherMin(B2002,C2002,INDIRECT(J$2),INDIRECT(I2002),test),getMin(B2002,C2002,INDIRECT(J$2),INDIRECT(I2002),test))</f>
        <v>22.008641265250315</v>
      </c>
      <c r="E2002" s="5">
        <f ca="1">IF(getQuality(B2002)&lt;4,getOtherMax(B2002,C2002,INDIRECT(J$2),INDIRECT(I2002),test),getMax(B2002,C2002,INDIRECT(J$2),INDIRECT(I2002),test))</f>
        <v>46.219010783550694</v>
      </c>
      <c r="F2002" s="1" t="str">
        <f t="shared" si="126"/>
        <v>50</v>
      </c>
      <c r="G2002" s="1" t="str">
        <f t="shared" si="127"/>
        <v>1</v>
      </c>
      <c r="I2002" s="1" t="str">
        <f t="shared" si="125"/>
        <v>威尔新数值1.06.xlsm!suitPower</v>
      </c>
    </row>
    <row r="2003" spans="1:9" x14ac:dyDescent="0.15">
      <c r="A2003" s="1">
        <v>2002</v>
      </c>
      <c r="B2003" s="1">
        <v>102021100</v>
      </c>
      <c r="C2003" s="1">
        <f t="shared" si="124"/>
        <v>7</v>
      </c>
      <c r="D2003" s="5">
        <f ca="1">IF(getQuality(B2003)&lt;4,getOtherMin(B2003,C2003,INDIRECT(J$2),INDIRECT(I2003),test),getMin(B2003,C2003,INDIRECT(J$2),INDIRECT(I2003),test))</f>
        <v>7.481481481481465</v>
      </c>
      <c r="E2003" s="5">
        <f ca="1">IF(getQuality(B2003)&lt;4,getOtherMax(B2003,C2003,INDIRECT(J$2),INDIRECT(I2003),test),getMax(B2003,C2003,INDIRECT(J$2),INDIRECT(I2003),test))</f>
        <v>12.96296296296293</v>
      </c>
      <c r="F2003" s="1" t="str">
        <f t="shared" si="126"/>
        <v>50</v>
      </c>
      <c r="G2003" s="1" t="str">
        <f t="shared" si="127"/>
        <v/>
      </c>
      <c r="I2003" s="1" t="str">
        <f t="shared" si="125"/>
        <v>威尔新数值1.06.xlsm!suitPower</v>
      </c>
    </row>
    <row r="2004" spans="1:9" x14ac:dyDescent="0.15">
      <c r="A2004" s="1">
        <v>2003</v>
      </c>
      <c r="B2004" s="1">
        <v>102021100</v>
      </c>
      <c r="C2004" s="1">
        <f t="shared" si="124"/>
        <v>8</v>
      </c>
      <c r="D2004" s="5">
        <f ca="1">IF(getQuality(B2004)&lt;4,getOtherMin(B2004,C2004,INDIRECT(J$2),INDIRECT(I2004),test),getMin(B2004,C2004,INDIRECT(J$2),INDIRECT(I2004),test))</f>
        <v>15.583333333333334</v>
      </c>
      <c r="E2004" s="5">
        <f ca="1">IF(getQuality(B2004)&lt;4,getOtherMax(B2004,C2004,INDIRECT(J$2),INDIRECT(I2004),test),getMax(B2004,C2004,INDIRECT(J$2),INDIRECT(I2004),test))</f>
        <v>29.166666666666668</v>
      </c>
      <c r="F2004" s="1" t="str">
        <f t="shared" si="126"/>
        <v>50</v>
      </c>
      <c r="G2004" s="1" t="str">
        <f t="shared" si="127"/>
        <v/>
      </c>
      <c r="I2004" s="1" t="str">
        <f t="shared" si="125"/>
        <v>威尔新数值1.06.xlsm!suitPower</v>
      </c>
    </row>
    <row r="2005" spans="1:9" x14ac:dyDescent="0.15">
      <c r="A2005" s="1">
        <v>2004</v>
      </c>
      <c r="B2005" s="1">
        <v>102021100</v>
      </c>
      <c r="C2005" s="1">
        <f t="shared" si="124"/>
        <v>9</v>
      </c>
      <c r="D2005" s="5">
        <f ca="1">IF(getQuality(B2005)&lt;4,getOtherMin(B2005,C2005,INDIRECT(J$2),INDIRECT(I2005),test),getMin(B2005,C2005,INDIRECT(J$2),INDIRECT(I2005),test))</f>
        <v>22.008641265250315</v>
      </c>
      <c r="E2005" s="5">
        <f ca="1">IF(getQuality(B2005)&lt;4,getOtherMax(B2005,C2005,INDIRECT(J$2),INDIRECT(I2005),test),getMax(B2005,C2005,INDIRECT(J$2),INDIRECT(I2005),test))</f>
        <v>46.219010783550694</v>
      </c>
      <c r="F2005" s="1" t="str">
        <f t="shared" si="126"/>
        <v>50</v>
      </c>
      <c r="G2005" s="1" t="str">
        <f t="shared" si="127"/>
        <v/>
      </c>
      <c r="I2005" s="1" t="str">
        <f t="shared" si="125"/>
        <v>威尔新数值1.06.xlsm!suitPower</v>
      </c>
    </row>
    <row r="2006" spans="1:9" x14ac:dyDescent="0.15">
      <c r="A2006" s="1">
        <v>2005</v>
      </c>
      <c r="B2006" s="1">
        <v>102021100</v>
      </c>
      <c r="C2006" s="1">
        <f t="shared" si="124"/>
        <v>10</v>
      </c>
      <c r="D2006" s="5">
        <f ca="1">IF(getQuality(B2006)&lt;4,getOtherMin(B2006,C2006,INDIRECT(J$2),INDIRECT(I2006),test),getMin(B2006,C2006,INDIRECT(J$2),INDIRECT(I2006),test))</f>
        <v>22.008641265250315</v>
      </c>
      <c r="E2006" s="5">
        <f ca="1">IF(getQuality(B2006)&lt;4,getOtherMax(B2006,C2006,INDIRECT(J$2),INDIRECT(I2006),test),getMax(B2006,C2006,INDIRECT(J$2),INDIRECT(I2006),test))</f>
        <v>46.219010783550694</v>
      </c>
      <c r="F2006" s="1" t="str">
        <f t="shared" si="126"/>
        <v>50</v>
      </c>
      <c r="G2006" s="1" t="str">
        <f t="shared" si="127"/>
        <v/>
      </c>
      <c r="I2006" s="1" t="str">
        <f t="shared" si="125"/>
        <v>威尔新数值1.06.xlsm!suitPower</v>
      </c>
    </row>
    <row r="2007" spans="1:9" x14ac:dyDescent="0.15">
      <c r="A2007" s="1">
        <v>2006</v>
      </c>
      <c r="B2007" s="1">
        <v>102021100</v>
      </c>
      <c r="C2007" s="1">
        <f t="shared" si="124"/>
        <v>11</v>
      </c>
      <c r="D2007" s="5">
        <f ca="1">IF(getQuality(B2007)&lt;4,getOtherMin(B2007,C2007,INDIRECT(J$2),INDIRECT(I2007),test),getMin(B2007,C2007,INDIRECT(J$2),INDIRECT(I2007),test))</f>
        <v>22.008641265250315</v>
      </c>
      <c r="E2007" s="5">
        <f ca="1">IF(getQuality(B2007)&lt;4,getOtherMax(B2007,C2007,INDIRECT(J$2),INDIRECT(I2007),test),getMax(B2007,C2007,INDIRECT(J$2),INDIRECT(I2007),test))</f>
        <v>46.219010783550694</v>
      </c>
      <c r="F2007" s="1" t="str">
        <f t="shared" si="126"/>
        <v>50</v>
      </c>
      <c r="G2007" s="1" t="str">
        <f t="shared" si="127"/>
        <v/>
      </c>
      <c r="I2007" s="1" t="str">
        <f t="shared" si="125"/>
        <v>威尔新数值1.06.xlsm!suitPower</v>
      </c>
    </row>
    <row r="2008" spans="1:9" x14ac:dyDescent="0.15">
      <c r="A2008" s="1">
        <v>2007</v>
      </c>
      <c r="B2008" s="1">
        <v>102021100</v>
      </c>
      <c r="C2008" s="1">
        <f t="shared" si="124"/>
        <v>12</v>
      </c>
      <c r="D2008" s="5">
        <f ca="1">IF(getQuality(B2008)&lt;4,getOtherMin(B2008,C2008,INDIRECT(J$2),INDIRECT(I2008),test),getMin(B2008,C2008,INDIRECT(J$2),INDIRECT(I2008),test))</f>
        <v>22.008641265250315</v>
      </c>
      <c r="E2008" s="5">
        <f ca="1">IF(getQuality(B2008)&lt;4,getOtherMax(B2008,C2008,INDIRECT(J$2),INDIRECT(I2008),test),getMax(B2008,C2008,INDIRECT(J$2),INDIRECT(I2008),test))</f>
        <v>46.219010783550694</v>
      </c>
      <c r="F2008" s="1" t="str">
        <f t="shared" si="126"/>
        <v>50</v>
      </c>
      <c r="G2008" s="1" t="str">
        <f t="shared" si="127"/>
        <v/>
      </c>
      <c r="I2008" s="1" t="str">
        <f t="shared" si="125"/>
        <v>威尔新数值1.06.xlsm!suitPower</v>
      </c>
    </row>
    <row r="2009" spans="1:9" x14ac:dyDescent="0.15">
      <c r="A2009" s="1">
        <v>2008</v>
      </c>
      <c r="B2009" s="1">
        <v>102021100</v>
      </c>
      <c r="C2009" s="1">
        <f t="shared" si="124"/>
        <v>13</v>
      </c>
      <c r="D2009" s="5">
        <f ca="1">IF(getQuality(B2009)&lt;4,getOtherMin(B2009,C2009,INDIRECT(J$2),INDIRECT(I2009),test),getMin(B2009,C2009,INDIRECT(J$2),INDIRECT(I2009),test))</f>
        <v>22.008641265250315</v>
      </c>
      <c r="E2009" s="5">
        <f ca="1">IF(getQuality(B2009)&lt;4,getOtherMax(B2009,C2009,INDIRECT(J$2),INDIRECT(I2009),test),getMax(B2009,C2009,INDIRECT(J$2),INDIRECT(I2009),test))</f>
        <v>46.219010783550694</v>
      </c>
      <c r="F2009" s="1" t="str">
        <f t="shared" si="126"/>
        <v>50</v>
      </c>
      <c r="G2009" s="1" t="str">
        <f t="shared" si="127"/>
        <v/>
      </c>
      <c r="I2009" s="1" t="str">
        <f t="shared" si="125"/>
        <v>威尔新数值1.06.xlsm!suitPower</v>
      </c>
    </row>
    <row r="2010" spans="1:9" x14ac:dyDescent="0.15">
      <c r="A2010" s="1">
        <v>2009</v>
      </c>
      <c r="B2010" s="1">
        <v>102021100</v>
      </c>
      <c r="C2010" s="1">
        <f t="shared" si="124"/>
        <v>14</v>
      </c>
      <c r="D2010" s="5">
        <f ca="1">IF(getQuality(B2010)&lt;4,getOtherMin(B2010,C2010,INDIRECT(J$2),INDIRECT(I2010),test),getMin(B2010,C2010,INDIRECT(J$2),INDIRECT(I2010),test))</f>
        <v>22.008641265250315</v>
      </c>
      <c r="E2010" s="5">
        <f ca="1">IF(getQuality(B2010)&lt;4,getOtherMax(B2010,C2010,INDIRECT(J$2),INDIRECT(I2010),test),getMax(B2010,C2010,INDIRECT(J$2),INDIRECT(I2010),test))</f>
        <v>46.219010783550694</v>
      </c>
      <c r="F2010" s="1" t="str">
        <f t="shared" si="126"/>
        <v>50</v>
      </c>
      <c r="G2010" s="1" t="str">
        <f t="shared" si="127"/>
        <v/>
      </c>
      <c r="I2010" s="1" t="str">
        <f t="shared" si="125"/>
        <v>威尔新数值1.06.xlsm!suitPower</v>
      </c>
    </row>
    <row r="2011" spans="1:9" x14ac:dyDescent="0.15">
      <c r="A2011" s="1">
        <v>2010</v>
      </c>
      <c r="B2011" s="1">
        <v>102021100</v>
      </c>
      <c r="C2011" s="1">
        <f t="shared" si="124"/>
        <v>15</v>
      </c>
      <c r="D2011" s="5">
        <f ca="1">IF(getQuality(B2011)&lt;4,getOtherMin(B2011,C2011,INDIRECT(J$2),INDIRECT(I2011),test),getMin(B2011,C2011,INDIRECT(J$2),INDIRECT(I2011),test))</f>
        <v>22.008641265250315</v>
      </c>
      <c r="E2011" s="5">
        <f ca="1">IF(getQuality(B2011)&lt;4,getOtherMax(B2011,C2011,INDIRECT(J$2),INDIRECT(I2011),test),getMax(B2011,C2011,INDIRECT(J$2),INDIRECT(I2011),test))</f>
        <v>46.219010783550694</v>
      </c>
      <c r="F2011" s="1" t="str">
        <f t="shared" si="126"/>
        <v>50</v>
      </c>
      <c r="G2011" s="1" t="str">
        <f t="shared" si="127"/>
        <v/>
      </c>
      <c r="I2011" s="1" t="str">
        <f t="shared" si="125"/>
        <v>威尔新数值1.06.xlsm!suitPower</v>
      </c>
    </row>
    <row r="2012" spans="1:9" x14ac:dyDescent="0.15">
      <c r="A2012" s="1">
        <v>2011</v>
      </c>
      <c r="B2012" s="1">
        <v>102021100</v>
      </c>
      <c r="C2012" s="1">
        <f t="shared" si="124"/>
        <v>101</v>
      </c>
      <c r="D2012" s="5">
        <f ca="1">IF(getQuality(B2012)&lt;4,getOtherMin(B2012,C2012,INDIRECT(J$2),INDIRECT(I2012),test),getMin(B2012,C2012,INDIRECT(J$2),INDIRECT(I2012),test))</f>
        <v>7.0000000000000007E-2</v>
      </c>
      <c r="E2012" s="5">
        <f ca="1">IF(getQuality(B2012)&lt;4,getOtherMax(B2012,C2012,INDIRECT(J$2),INDIRECT(I2012),test),getMax(B2012,C2012,INDIRECT(J$2),INDIRECT(I2012),test))</f>
        <v>0.1</v>
      </c>
      <c r="F2012" s="1" t="str">
        <f t="shared" si="126"/>
        <v>50</v>
      </c>
      <c r="G2012" s="1" t="str">
        <f t="shared" si="127"/>
        <v/>
      </c>
      <c r="I2012" s="1" t="str">
        <f t="shared" si="125"/>
        <v>威尔新数值1.06.xlsm!circlePer</v>
      </c>
    </row>
    <row r="2013" spans="1:9" x14ac:dyDescent="0.15">
      <c r="A2013" s="1">
        <v>2012</v>
      </c>
      <c r="B2013" s="1">
        <v>102021100</v>
      </c>
      <c r="C2013" s="1">
        <f t="shared" si="124"/>
        <v>102</v>
      </c>
      <c r="D2013" s="5">
        <f ca="1">IF(getQuality(B2013)&lt;4,getOtherMin(B2013,C2013,INDIRECT(J$2),INDIRECT(I2013),test),getMin(B2013,C2013,INDIRECT(J$2),INDIRECT(I2013),test))</f>
        <v>0.5</v>
      </c>
      <c r="E2013" s="5">
        <f ca="1">IF(getQuality(B2013)&lt;4,getOtherMax(B2013,C2013,INDIRECT(J$2),INDIRECT(I2013),test),getMax(B2013,C2013,INDIRECT(J$2),INDIRECT(I2013),test))</f>
        <v>0.9</v>
      </c>
      <c r="F2013" s="1" t="str">
        <f t="shared" si="126"/>
        <v>50</v>
      </c>
      <c r="G2013" s="1" t="str">
        <f t="shared" si="127"/>
        <v/>
      </c>
      <c r="I2013" s="1" t="str">
        <f t="shared" si="125"/>
        <v>威尔新数值1.06.xlsm!circleValue</v>
      </c>
    </row>
    <row r="2014" spans="1:9" x14ac:dyDescent="0.15">
      <c r="A2014" s="1">
        <v>2013</v>
      </c>
      <c r="B2014" s="1">
        <v>102021100</v>
      </c>
      <c r="C2014" s="1">
        <f t="shared" si="124"/>
        <v>103</v>
      </c>
      <c r="D2014" s="5">
        <f ca="1">IF(getQuality(B2014)&lt;4,getOtherMin(B2014,C2014,INDIRECT(J$2),INDIRECT(I2014),test),getMin(B2014,C2014,INDIRECT(J$2),INDIRECT(I2014),test))</f>
        <v>7.0000000000000007E-2</v>
      </c>
      <c r="E2014" s="5">
        <f ca="1">IF(getQuality(B2014)&lt;4,getOtherMax(B2014,C2014,INDIRECT(J$2),INDIRECT(I2014),test),getMax(B2014,C2014,INDIRECT(J$2),INDIRECT(I2014),test))</f>
        <v>0.1</v>
      </c>
      <c r="F2014" s="1" t="str">
        <f t="shared" si="126"/>
        <v>50</v>
      </c>
      <c r="G2014" s="1" t="str">
        <f t="shared" si="127"/>
        <v/>
      </c>
      <c r="I2014" s="1" t="str">
        <f t="shared" si="125"/>
        <v>威尔新数值1.06.xlsm!otherDamage</v>
      </c>
    </row>
    <row r="2015" spans="1:9" x14ac:dyDescent="0.15">
      <c r="A2015" s="1">
        <v>2014</v>
      </c>
      <c r="B2015" s="1">
        <v>102021100</v>
      </c>
      <c r="C2015" s="1">
        <f t="shared" si="124"/>
        <v>104</v>
      </c>
      <c r="D2015" s="5">
        <f ca="1">IF(getQuality(B2015)&lt;4,getOtherMin(B2015,C2015,INDIRECT(J$2),INDIRECT(I2015),test),getMin(B2015,C2015,INDIRECT(J$2),INDIRECT(I2015),test))</f>
        <v>7.0000000000000007E-2</v>
      </c>
      <c r="E2015" s="5">
        <f ca="1">IF(getQuality(B2015)&lt;4,getOtherMax(B2015,C2015,INDIRECT(J$2),INDIRECT(I2015),test),getMax(B2015,C2015,INDIRECT(J$2),INDIRECT(I2015),test))</f>
        <v>0.14000000000000001</v>
      </c>
      <c r="F2015" s="1" t="str">
        <f t="shared" si="126"/>
        <v>50</v>
      </c>
      <c r="G2015" s="1" t="str">
        <f t="shared" si="127"/>
        <v/>
      </c>
      <c r="I2015" s="1" t="str">
        <f t="shared" si="125"/>
        <v>威尔新数值1.06.xlsm!monsterDamage</v>
      </c>
    </row>
    <row r="2016" spans="1:9" x14ac:dyDescent="0.15">
      <c r="A2016" s="1">
        <v>2015</v>
      </c>
      <c r="B2016" s="1">
        <v>102021100</v>
      </c>
      <c r="C2016" s="1">
        <f t="shared" si="124"/>
        <v>105</v>
      </c>
      <c r="D2016" s="5">
        <f ca="1">IF(getQuality(B2016)&lt;4,getOtherMin(B2016,C2016,INDIRECT(J$2),INDIRECT(I2016),test),getMin(B2016,C2016,INDIRECT(J$2),INDIRECT(I2016),test))</f>
        <v>7.0000000000000007E-2</v>
      </c>
      <c r="E2016" s="5">
        <f ca="1">IF(getQuality(B2016)&lt;4,getOtherMax(B2016,C2016,INDIRECT(J$2),INDIRECT(I2016),test),getMax(B2016,C2016,INDIRECT(J$2),INDIRECT(I2016),test))</f>
        <v>0.14000000000000001</v>
      </c>
      <c r="F2016" s="1" t="str">
        <f t="shared" si="126"/>
        <v>50</v>
      </c>
      <c r="G2016" s="1" t="str">
        <f t="shared" si="127"/>
        <v/>
      </c>
      <c r="I2016" s="1" t="str">
        <f t="shared" si="125"/>
        <v>威尔新数值1.06.xlsm!monsterDamage</v>
      </c>
    </row>
    <row r="2017" spans="1:9" x14ac:dyDescent="0.15">
      <c r="A2017" s="1">
        <v>2016</v>
      </c>
      <c r="B2017" s="1">
        <v>102021100</v>
      </c>
      <c r="C2017" s="1">
        <f t="shared" si="124"/>
        <v>106</v>
      </c>
      <c r="D2017" s="5">
        <f ca="1">IF(getQuality(B2017)&lt;4,getOtherMin(B2017,C2017,INDIRECT(J$2),INDIRECT(I2017),test),getMin(B2017,C2017,INDIRECT(J$2),INDIRECT(I2017),test))</f>
        <v>7.0000000000000007E-2</v>
      </c>
      <c r="E2017" s="5">
        <f ca="1">IF(getQuality(B2017)&lt;4,getOtherMax(B2017,C2017,INDIRECT(J$2),INDIRECT(I2017),test),getMax(B2017,C2017,INDIRECT(J$2),INDIRECT(I2017),test))</f>
        <v>0.14000000000000001</v>
      </c>
      <c r="F2017" s="1" t="str">
        <f t="shared" si="126"/>
        <v>50</v>
      </c>
      <c r="G2017" s="1" t="str">
        <f t="shared" si="127"/>
        <v/>
      </c>
      <c r="I2017" s="1" t="str">
        <f t="shared" si="125"/>
        <v>威尔新数值1.06.xlsm!monsterDamage</v>
      </c>
    </row>
    <row r="2018" spans="1:9" x14ac:dyDescent="0.15">
      <c r="A2018" s="1">
        <v>2017</v>
      </c>
      <c r="B2018" s="1">
        <v>102021100</v>
      </c>
      <c r="C2018" s="1">
        <f t="shared" si="124"/>
        <v>107</v>
      </c>
      <c r="D2018" s="5">
        <f ca="1">IF(getQuality(B2018)&lt;4,getOtherMin(B2018,C2018,INDIRECT(J$2),INDIRECT(I2018),test),getMin(B2018,C2018,INDIRECT(J$2),INDIRECT(I2018),test))</f>
        <v>7.0000000000000007E-2</v>
      </c>
      <c r="E2018" s="5">
        <f ca="1">IF(getQuality(B2018)&lt;4,getOtherMax(B2018,C2018,INDIRECT(J$2),INDIRECT(I2018),test),getMax(B2018,C2018,INDIRECT(J$2),INDIRECT(I2018),test))</f>
        <v>0.14000000000000001</v>
      </c>
      <c r="F2018" s="1" t="str">
        <f t="shared" si="126"/>
        <v>50</v>
      </c>
      <c r="G2018" s="1" t="str">
        <f t="shared" si="127"/>
        <v/>
      </c>
      <c r="I2018" s="1" t="str">
        <f t="shared" si="125"/>
        <v>威尔新数值1.06.xlsm!monsterDamage</v>
      </c>
    </row>
    <row r="2019" spans="1:9" x14ac:dyDescent="0.15">
      <c r="A2019" s="1">
        <v>2018</v>
      </c>
      <c r="B2019" s="1">
        <v>102021100</v>
      </c>
      <c r="C2019" s="1">
        <f t="shared" si="124"/>
        <v>108</v>
      </c>
      <c r="D2019" s="5">
        <f ca="1">IF(getQuality(B2019)&lt;4,getOtherMin(B2019,C2019,INDIRECT(J$2),INDIRECT(I2019),test),getMin(B2019,C2019,INDIRECT(J$2),INDIRECT(I2019),test))</f>
        <v>7.0000000000000007E-2</v>
      </c>
      <c r="E2019" s="5">
        <f ca="1">IF(getQuality(B2019)&lt;4,getOtherMax(B2019,C2019,INDIRECT(J$2),INDIRECT(I2019),test),getMax(B2019,C2019,INDIRECT(J$2),INDIRECT(I2019),test))</f>
        <v>0.14000000000000001</v>
      </c>
      <c r="F2019" s="1" t="str">
        <f t="shared" si="126"/>
        <v>50</v>
      </c>
      <c r="G2019" s="1" t="str">
        <f t="shared" si="127"/>
        <v/>
      </c>
      <c r="I2019" s="1" t="str">
        <f t="shared" si="125"/>
        <v>威尔新数值1.06.xlsm!monsterDamage</v>
      </c>
    </row>
    <row r="2020" spans="1:9" x14ac:dyDescent="0.15">
      <c r="A2020" s="1">
        <v>2019</v>
      </c>
      <c r="B2020" s="1">
        <v>102031100</v>
      </c>
      <c r="C2020" s="1">
        <f t="shared" ref="C2020:C2083" si="128">C2001</f>
        <v>3</v>
      </c>
      <c r="D2020" s="5">
        <f ca="1">IF(getQuality(B2020)&lt;4,getOtherMin(B2020,C2020,INDIRECT(J$2),INDIRECT(I2020),test),getMin(B2020,C2020,INDIRECT(J$2),INDIRECT(I2020),test))</f>
        <v>47.219010783550694</v>
      </c>
      <c r="E2020" s="5">
        <f ca="1">IF(getQuality(B2020)&lt;4,getOtherMax(B2020,C2020,INDIRECT(J$2),INDIRECT(I2020),test),getMax(B2020,C2020,INDIRECT(J$2),INDIRECT(I2020),test))</f>
        <v>75.631108554901132</v>
      </c>
      <c r="F2020" s="1" t="str">
        <f t="shared" si="126"/>
        <v>50</v>
      </c>
      <c r="G2020" s="1" t="str">
        <f t="shared" si="127"/>
        <v/>
      </c>
      <c r="I2020" s="1" t="str">
        <f t="shared" si="125"/>
        <v>威尔新数值1.06.xlsm!suitPower</v>
      </c>
    </row>
    <row r="2021" spans="1:9" x14ac:dyDescent="0.15">
      <c r="A2021" s="1">
        <v>2020</v>
      </c>
      <c r="B2021" s="1">
        <v>102031100</v>
      </c>
      <c r="C2021" s="1">
        <f t="shared" si="128"/>
        <v>5</v>
      </c>
      <c r="D2021" s="5">
        <f ca="1">IF(getQuality(B2021)&lt;4,getOtherMin(B2021,C2021,INDIRECT(J$2),INDIRECT(I2021),test),getMin(B2021,C2021,INDIRECT(J$2),INDIRECT(I2021),test))</f>
        <v>47.219010783550694</v>
      </c>
      <c r="E2021" s="5">
        <f ca="1">IF(getQuality(B2021)&lt;4,getOtherMax(B2021,C2021,INDIRECT(J$2),INDIRECT(I2021),test),getMax(B2021,C2021,INDIRECT(J$2),INDIRECT(I2021),test))</f>
        <v>75.631108554901132</v>
      </c>
      <c r="F2021" s="1" t="str">
        <f t="shared" si="126"/>
        <v>50</v>
      </c>
      <c r="G2021" s="1" t="str">
        <f t="shared" si="127"/>
        <v>1</v>
      </c>
      <c r="I2021" s="1" t="str">
        <f t="shared" si="125"/>
        <v>威尔新数值1.06.xlsm!suitPower</v>
      </c>
    </row>
    <row r="2022" spans="1:9" x14ac:dyDescent="0.15">
      <c r="A2022" s="1">
        <v>2021</v>
      </c>
      <c r="B2022" s="1">
        <v>102031100</v>
      </c>
      <c r="C2022" s="1">
        <f t="shared" si="128"/>
        <v>7</v>
      </c>
      <c r="D2022" s="5">
        <f ca="1">IF(getQuality(B2022)&lt;4,getOtherMin(B2022,C2022,INDIRECT(J$2),INDIRECT(I2022),test),getMin(B2022,C2022,INDIRECT(J$2),INDIRECT(I2022),test))</f>
        <v>13.96296296296293</v>
      </c>
      <c r="E2022" s="5">
        <f ca="1">IF(getQuality(B2022)&lt;4,getOtherMax(B2022,C2022,INDIRECT(J$2),INDIRECT(I2022),test),getMax(B2022,C2022,INDIRECT(J$2),INDIRECT(I2022),test))</f>
        <v>19.444444444444393</v>
      </c>
      <c r="F2022" s="1" t="str">
        <f t="shared" si="126"/>
        <v>50</v>
      </c>
      <c r="G2022" s="1" t="str">
        <f t="shared" si="127"/>
        <v/>
      </c>
      <c r="I2022" s="1" t="str">
        <f t="shared" si="125"/>
        <v>威尔新数值1.06.xlsm!suitPower</v>
      </c>
    </row>
    <row r="2023" spans="1:9" x14ac:dyDescent="0.15">
      <c r="A2023" s="1">
        <v>2022</v>
      </c>
      <c r="B2023" s="1">
        <v>102031100</v>
      </c>
      <c r="C2023" s="1">
        <f t="shared" si="128"/>
        <v>8</v>
      </c>
      <c r="D2023" s="5">
        <f ca="1">IF(getQuality(B2023)&lt;4,getOtherMin(B2023,C2023,INDIRECT(J$2),INDIRECT(I2023),test),getMin(B2023,C2023,INDIRECT(J$2),INDIRECT(I2023),test))</f>
        <v>30.166666666666668</v>
      </c>
      <c r="E2023" s="5">
        <f ca="1">IF(getQuality(B2023)&lt;4,getOtherMax(B2023,C2023,INDIRECT(J$2),INDIRECT(I2023),test),getMax(B2023,C2023,INDIRECT(J$2),INDIRECT(I2023),test))</f>
        <v>43.75</v>
      </c>
      <c r="F2023" s="1" t="str">
        <f t="shared" si="126"/>
        <v>50</v>
      </c>
      <c r="G2023" s="1" t="str">
        <f t="shared" si="127"/>
        <v/>
      </c>
      <c r="I2023" s="1" t="str">
        <f t="shared" si="125"/>
        <v>威尔新数值1.06.xlsm!suitPower</v>
      </c>
    </row>
    <row r="2024" spans="1:9" x14ac:dyDescent="0.15">
      <c r="A2024" s="1">
        <v>2023</v>
      </c>
      <c r="B2024" s="1">
        <v>102031100</v>
      </c>
      <c r="C2024" s="1">
        <f t="shared" si="128"/>
        <v>9</v>
      </c>
      <c r="D2024" s="5">
        <f ca="1">IF(getQuality(B2024)&lt;4,getOtherMin(B2024,C2024,INDIRECT(J$2),INDIRECT(I2024),test),getMin(B2024,C2024,INDIRECT(J$2),INDIRECT(I2024),test))</f>
        <v>47.219010783550694</v>
      </c>
      <c r="E2024" s="5">
        <f ca="1">IF(getQuality(B2024)&lt;4,getOtherMax(B2024,C2024,INDIRECT(J$2),INDIRECT(I2024),test),getMax(B2024,C2024,INDIRECT(J$2),INDIRECT(I2024),test))</f>
        <v>75.631108554901132</v>
      </c>
      <c r="F2024" s="1" t="str">
        <f t="shared" si="126"/>
        <v>50</v>
      </c>
      <c r="G2024" s="1" t="str">
        <f t="shared" si="127"/>
        <v/>
      </c>
      <c r="I2024" s="1" t="str">
        <f t="shared" si="125"/>
        <v>威尔新数值1.06.xlsm!suitPower</v>
      </c>
    </row>
    <row r="2025" spans="1:9" x14ac:dyDescent="0.15">
      <c r="A2025" s="1">
        <v>2024</v>
      </c>
      <c r="B2025" s="1">
        <v>102031100</v>
      </c>
      <c r="C2025" s="1">
        <f t="shared" si="128"/>
        <v>10</v>
      </c>
      <c r="D2025" s="5">
        <f ca="1">IF(getQuality(B2025)&lt;4,getOtherMin(B2025,C2025,INDIRECT(J$2),INDIRECT(I2025),test),getMin(B2025,C2025,INDIRECT(J$2),INDIRECT(I2025),test))</f>
        <v>47.219010783550694</v>
      </c>
      <c r="E2025" s="5">
        <f ca="1">IF(getQuality(B2025)&lt;4,getOtherMax(B2025,C2025,INDIRECT(J$2),INDIRECT(I2025),test),getMax(B2025,C2025,INDIRECT(J$2),INDIRECT(I2025),test))</f>
        <v>75.631108554901132</v>
      </c>
      <c r="F2025" s="1" t="str">
        <f t="shared" si="126"/>
        <v>50</v>
      </c>
      <c r="G2025" s="1" t="str">
        <f t="shared" si="127"/>
        <v/>
      </c>
      <c r="I2025" s="1" t="str">
        <f t="shared" si="125"/>
        <v>威尔新数值1.06.xlsm!suitPower</v>
      </c>
    </row>
    <row r="2026" spans="1:9" x14ac:dyDescent="0.15">
      <c r="A2026" s="1">
        <v>2025</v>
      </c>
      <c r="B2026" s="1">
        <v>102031100</v>
      </c>
      <c r="C2026" s="1">
        <f t="shared" si="128"/>
        <v>11</v>
      </c>
      <c r="D2026" s="5">
        <f ca="1">IF(getQuality(B2026)&lt;4,getOtherMin(B2026,C2026,INDIRECT(J$2),INDIRECT(I2026),test),getMin(B2026,C2026,INDIRECT(J$2),INDIRECT(I2026),test))</f>
        <v>47.219010783550694</v>
      </c>
      <c r="E2026" s="5">
        <f ca="1">IF(getQuality(B2026)&lt;4,getOtherMax(B2026,C2026,INDIRECT(J$2),INDIRECT(I2026),test),getMax(B2026,C2026,INDIRECT(J$2),INDIRECT(I2026),test))</f>
        <v>75.631108554901132</v>
      </c>
      <c r="F2026" s="1" t="str">
        <f t="shared" si="126"/>
        <v>50</v>
      </c>
      <c r="G2026" s="1" t="str">
        <f t="shared" si="127"/>
        <v/>
      </c>
      <c r="I2026" s="1" t="str">
        <f t="shared" si="125"/>
        <v>威尔新数值1.06.xlsm!suitPower</v>
      </c>
    </row>
    <row r="2027" spans="1:9" x14ac:dyDescent="0.15">
      <c r="A2027" s="1">
        <v>2026</v>
      </c>
      <c r="B2027" s="1">
        <v>102031100</v>
      </c>
      <c r="C2027" s="1">
        <f t="shared" si="128"/>
        <v>12</v>
      </c>
      <c r="D2027" s="5">
        <f ca="1">IF(getQuality(B2027)&lt;4,getOtherMin(B2027,C2027,INDIRECT(J$2),INDIRECT(I2027),test),getMin(B2027,C2027,INDIRECT(J$2),INDIRECT(I2027),test))</f>
        <v>47.219010783550694</v>
      </c>
      <c r="E2027" s="5">
        <f ca="1">IF(getQuality(B2027)&lt;4,getOtherMax(B2027,C2027,INDIRECT(J$2),INDIRECT(I2027),test),getMax(B2027,C2027,INDIRECT(J$2),INDIRECT(I2027),test))</f>
        <v>75.631108554901132</v>
      </c>
      <c r="F2027" s="1" t="str">
        <f t="shared" si="126"/>
        <v>50</v>
      </c>
      <c r="G2027" s="1" t="str">
        <f t="shared" si="127"/>
        <v/>
      </c>
      <c r="I2027" s="1" t="str">
        <f t="shared" si="125"/>
        <v>威尔新数值1.06.xlsm!suitPower</v>
      </c>
    </row>
    <row r="2028" spans="1:9" x14ac:dyDescent="0.15">
      <c r="A2028" s="1">
        <v>2027</v>
      </c>
      <c r="B2028" s="1">
        <v>102031100</v>
      </c>
      <c r="C2028" s="1">
        <f t="shared" si="128"/>
        <v>13</v>
      </c>
      <c r="D2028" s="5">
        <f ca="1">IF(getQuality(B2028)&lt;4,getOtherMin(B2028,C2028,INDIRECT(J$2),INDIRECT(I2028),test),getMin(B2028,C2028,INDIRECT(J$2),INDIRECT(I2028),test))</f>
        <v>47.219010783550694</v>
      </c>
      <c r="E2028" s="5">
        <f ca="1">IF(getQuality(B2028)&lt;4,getOtherMax(B2028,C2028,INDIRECT(J$2),INDIRECT(I2028),test),getMax(B2028,C2028,INDIRECT(J$2),INDIRECT(I2028),test))</f>
        <v>75.631108554901132</v>
      </c>
      <c r="F2028" s="1" t="str">
        <f t="shared" si="126"/>
        <v>50</v>
      </c>
      <c r="G2028" s="1" t="str">
        <f t="shared" si="127"/>
        <v/>
      </c>
      <c r="I2028" s="1" t="str">
        <f t="shared" si="125"/>
        <v>威尔新数值1.06.xlsm!suitPower</v>
      </c>
    </row>
    <row r="2029" spans="1:9" x14ac:dyDescent="0.15">
      <c r="A2029" s="1">
        <v>2028</v>
      </c>
      <c r="B2029" s="1">
        <v>102031100</v>
      </c>
      <c r="C2029" s="1">
        <f t="shared" si="128"/>
        <v>14</v>
      </c>
      <c r="D2029" s="5">
        <f ca="1">IF(getQuality(B2029)&lt;4,getOtherMin(B2029,C2029,INDIRECT(J$2),INDIRECT(I2029),test),getMin(B2029,C2029,INDIRECT(J$2),INDIRECT(I2029),test))</f>
        <v>47.219010783550694</v>
      </c>
      <c r="E2029" s="5">
        <f ca="1">IF(getQuality(B2029)&lt;4,getOtherMax(B2029,C2029,INDIRECT(J$2),INDIRECT(I2029),test),getMax(B2029,C2029,INDIRECT(J$2),INDIRECT(I2029),test))</f>
        <v>75.631108554901132</v>
      </c>
      <c r="F2029" s="1" t="str">
        <f t="shared" si="126"/>
        <v>50</v>
      </c>
      <c r="G2029" s="1" t="str">
        <f t="shared" si="127"/>
        <v/>
      </c>
      <c r="I2029" s="1" t="str">
        <f t="shared" si="125"/>
        <v>威尔新数值1.06.xlsm!suitPower</v>
      </c>
    </row>
    <row r="2030" spans="1:9" x14ac:dyDescent="0.15">
      <c r="A2030" s="1">
        <v>2029</v>
      </c>
      <c r="B2030" s="1">
        <v>102031100</v>
      </c>
      <c r="C2030" s="1">
        <f t="shared" si="128"/>
        <v>15</v>
      </c>
      <c r="D2030" s="5">
        <f ca="1">IF(getQuality(B2030)&lt;4,getOtherMin(B2030,C2030,INDIRECT(J$2),INDIRECT(I2030),test),getMin(B2030,C2030,INDIRECT(J$2),INDIRECT(I2030),test))</f>
        <v>47.219010783550694</v>
      </c>
      <c r="E2030" s="5">
        <f ca="1">IF(getQuality(B2030)&lt;4,getOtherMax(B2030,C2030,INDIRECT(J$2),INDIRECT(I2030),test),getMax(B2030,C2030,INDIRECT(J$2),INDIRECT(I2030),test))</f>
        <v>75.631108554901132</v>
      </c>
      <c r="F2030" s="1" t="str">
        <f t="shared" si="126"/>
        <v>50</v>
      </c>
      <c r="G2030" s="1" t="str">
        <f t="shared" si="127"/>
        <v/>
      </c>
      <c r="I2030" s="1" t="str">
        <f t="shared" si="125"/>
        <v>威尔新数值1.06.xlsm!suitPower</v>
      </c>
    </row>
    <row r="2031" spans="1:9" x14ac:dyDescent="0.15">
      <c r="A2031" s="1">
        <v>2030</v>
      </c>
      <c r="B2031" s="1">
        <v>102031100</v>
      </c>
      <c r="C2031" s="1">
        <f t="shared" si="128"/>
        <v>101</v>
      </c>
      <c r="D2031" s="5">
        <f ca="1">IF(getQuality(B2031)&lt;4,getOtherMin(B2031,C2031,INDIRECT(J$2),INDIRECT(I2031),test),getMin(B2031,C2031,INDIRECT(J$2),INDIRECT(I2031),test))</f>
        <v>0.08</v>
      </c>
      <c r="E2031" s="5">
        <f ca="1">IF(getQuality(B2031)&lt;4,getOtherMax(B2031,C2031,INDIRECT(J$2),INDIRECT(I2031),test),getMax(B2031,C2031,INDIRECT(J$2),INDIRECT(I2031),test))</f>
        <v>0.11</v>
      </c>
      <c r="F2031" s="1" t="str">
        <f t="shared" si="126"/>
        <v>50</v>
      </c>
      <c r="G2031" s="1" t="str">
        <f t="shared" si="127"/>
        <v/>
      </c>
      <c r="I2031" s="1" t="str">
        <f t="shared" si="125"/>
        <v>威尔新数值1.06.xlsm!circlePer</v>
      </c>
    </row>
    <row r="2032" spans="1:9" x14ac:dyDescent="0.15">
      <c r="A2032" s="1">
        <v>2031</v>
      </c>
      <c r="B2032" s="1">
        <v>102031100</v>
      </c>
      <c r="C2032" s="1">
        <f t="shared" si="128"/>
        <v>102</v>
      </c>
      <c r="D2032" s="5">
        <f ca="1">IF(getQuality(B2032)&lt;4,getOtherMin(B2032,C2032,INDIRECT(J$2),INDIRECT(I2032),test),getMin(B2032,C2032,INDIRECT(J$2),INDIRECT(I2032),test))</f>
        <v>0.6</v>
      </c>
      <c r="E2032" s="5">
        <f ca="1">IF(getQuality(B2032)&lt;4,getOtherMax(B2032,C2032,INDIRECT(J$2),INDIRECT(I2032),test),getMax(B2032,C2032,INDIRECT(J$2),INDIRECT(I2032),test))</f>
        <v>1</v>
      </c>
      <c r="F2032" s="1" t="str">
        <f t="shared" si="126"/>
        <v>50</v>
      </c>
      <c r="G2032" s="1" t="str">
        <f t="shared" si="127"/>
        <v/>
      </c>
      <c r="I2032" s="1" t="str">
        <f t="shared" si="125"/>
        <v>威尔新数值1.06.xlsm!circleValue</v>
      </c>
    </row>
    <row r="2033" spans="1:9" x14ac:dyDescent="0.15">
      <c r="A2033" s="1">
        <v>2032</v>
      </c>
      <c r="B2033" s="1">
        <v>102031100</v>
      </c>
      <c r="C2033" s="1">
        <f t="shared" si="128"/>
        <v>103</v>
      </c>
      <c r="D2033" s="5">
        <f ca="1">IF(getQuality(B2033)&lt;4,getOtherMin(B2033,C2033,INDIRECT(J$2),INDIRECT(I2033),test),getMin(B2033,C2033,INDIRECT(J$2),INDIRECT(I2033),test))</f>
        <v>0.08</v>
      </c>
      <c r="E2033" s="5">
        <f ca="1">IF(getQuality(B2033)&lt;4,getOtherMax(B2033,C2033,INDIRECT(J$2),INDIRECT(I2033),test),getMax(B2033,C2033,INDIRECT(J$2),INDIRECT(I2033),test))</f>
        <v>0.11</v>
      </c>
      <c r="F2033" s="1" t="str">
        <f t="shared" si="126"/>
        <v>50</v>
      </c>
      <c r="G2033" s="1" t="str">
        <f t="shared" si="127"/>
        <v/>
      </c>
      <c r="I2033" s="1" t="str">
        <f t="shared" si="125"/>
        <v>威尔新数值1.06.xlsm!otherDamage</v>
      </c>
    </row>
    <row r="2034" spans="1:9" x14ac:dyDescent="0.15">
      <c r="A2034" s="1">
        <v>2033</v>
      </c>
      <c r="B2034" s="1">
        <v>102031100</v>
      </c>
      <c r="C2034" s="1">
        <f t="shared" si="128"/>
        <v>104</v>
      </c>
      <c r="D2034" s="5">
        <f ca="1">IF(getQuality(B2034)&lt;4,getOtherMin(B2034,C2034,INDIRECT(J$2),INDIRECT(I2034),test),getMin(B2034,C2034,INDIRECT(J$2),INDIRECT(I2034),test))</f>
        <v>0.08</v>
      </c>
      <c r="E2034" s="5">
        <f ca="1">IF(getQuality(B2034)&lt;4,getOtherMax(B2034,C2034,INDIRECT(J$2),INDIRECT(I2034),test),getMax(B2034,C2034,INDIRECT(J$2),INDIRECT(I2034),test))</f>
        <v>0.16</v>
      </c>
      <c r="F2034" s="1" t="str">
        <f t="shared" si="126"/>
        <v>50</v>
      </c>
      <c r="G2034" s="1" t="str">
        <f t="shared" si="127"/>
        <v/>
      </c>
      <c r="I2034" s="1" t="str">
        <f t="shared" si="125"/>
        <v>威尔新数值1.06.xlsm!monsterDamage</v>
      </c>
    </row>
    <row r="2035" spans="1:9" x14ac:dyDescent="0.15">
      <c r="A2035" s="1">
        <v>2034</v>
      </c>
      <c r="B2035" s="1">
        <v>102031100</v>
      </c>
      <c r="C2035" s="1">
        <f t="shared" si="128"/>
        <v>105</v>
      </c>
      <c r="D2035" s="5">
        <f ca="1">IF(getQuality(B2035)&lt;4,getOtherMin(B2035,C2035,INDIRECT(J$2),INDIRECT(I2035),test),getMin(B2035,C2035,INDIRECT(J$2),INDIRECT(I2035),test))</f>
        <v>0.08</v>
      </c>
      <c r="E2035" s="5">
        <f ca="1">IF(getQuality(B2035)&lt;4,getOtherMax(B2035,C2035,INDIRECT(J$2),INDIRECT(I2035),test),getMax(B2035,C2035,INDIRECT(J$2),INDIRECT(I2035),test))</f>
        <v>0.16</v>
      </c>
      <c r="F2035" s="1" t="str">
        <f t="shared" si="126"/>
        <v>50</v>
      </c>
      <c r="G2035" s="1" t="str">
        <f t="shared" si="127"/>
        <v/>
      </c>
      <c r="I2035" s="1" t="str">
        <f t="shared" si="125"/>
        <v>威尔新数值1.06.xlsm!monsterDamage</v>
      </c>
    </row>
    <row r="2036" spans="1:9" x14ac:dyDescent="0.15">
      <c r="A2036" s="1">
        <v>2035</v>
      </c>
      <c r="B2036" s="1">
        <v>102031100</v>
      </c>
      <c r="C2036" s="1">
        <f t="shared" si="128"/>
        <v>106</v>
      </c>
      <c r="D2036" s="5">
        <f ca="1">IF(getQuality(B2036)&lt;4,getOtherMin(B2036,C2036,INDIRECT(J$2),INDIRECT(I2036),test),getMin(B2036,C2036,INDIRECT(J$2),INDIRECT(I2036),test))</f>
        <v>0.08</v>
      </c>
      <c r="E2036" s="5">
        <f ca="1">IF(getQuality(B2036)&lt;4,getOtherMax(B2036,C2036,INDIRECT(J$2),INDIRECT(I2036),test),getMax(B2036,C2036,INDIRECT(J$2),INDIRECT(I2036),test))</f>
        <v>0.16</v>
      </c>
      <c r="F2036" s="1" t="str">
        <f t="shared" si="126"/>
        <v>50</v>
      </c>
      <c r="G2036" s="1" t="str">
        <f t="shared" si="127"/>
        <v/>
      </c>
      <c r="I2036" s="1" t="str">
        <f t="shared" si="125"/>
        <v>威尔新数值1.06.xlsm!monsterDamage</v>
      </c>
    </row>
    <row r="2037" spans="1:9" x14ac:dyDescent="0.15">
      <c r="A2037" s="1">
        <v>2036</v>
      </c>
      <c r="B2037" s="1">
        <v>102031100</v>
      </c>
      <c r="C2037" s="1">
        <f t="shared" si="128"/>
        <v>107</v>
      </c>
      <c r="D2037" s="5">
        <f ca="1">IF(getQuality(B2037)&lt;4,getOtherMin(B2037,C2037,INDIRECT(J$2),INDIRECT(I2037),test),getMin(B2037,C2037,INDIRECT(J$2),INDIRECT(I2037),test))</f>
        <v>0.08</v>
      </c>
      <c r="E2037" s="5">
        <f ca="1">IF(getQuality(B2037)&lt;4,getOtherMax(B2037,C2037,INDIRECT(J$2),INDIRECT(I2037),test),getMax(B2037,C2037,INDIRECT(J$2),INDIRECT(I2037),test))</f>
        <v>0.16</v>
      </c>
      <c r="F2037" s="1" t="str">
        <f t="shared" si="126"/>
        <v>50</v>
      </c>
      <c r="G2037" s="1" t="str">
        <f t="shared" si="127"/>
        <v/>
      </c>
      <c r="I2037" s="1" t="str">
        <f t="shared" si="125"/>
        <v>威尔新数值1.06.xlsm!monsterDamage</v>
      </c>
    </row>
    <row r="2038" spans="1:9" x14ac:dyDescent="0.15">
      <c r="A2038" s="1">
        <v>2037</v>
      </c>
      <c r="B2038" s="1">
        <v>102031100</v>
      </c>
      <c r="C2038" s="1">
        <f t="shared" si="128"/>
        <v>108</v>
      </c>
      <c r="D2038" s="5">
        <f ca="1">IF(getQuality(B2038)&lt;4,getOtherMin(B2038,C2038,INDIRECT(J$2),INDIRECT(I2038),test),getMin(B2038,C2038,INDIRECT(J$2),INDIRECT(I2038),test))</f>
        <v>0.08</v>
      </c>
      <c r="E2038" s="5">
        <f ca="1">IF(getQuality(B2038)&lt;4,getOtherMax(B2038,C2038,INDIRECT(J$2),INDIRECT(I2038),test),getMax(B2038,C2038,INDIRECT(J$2),INDIRECT(I2038),test))</f>
        <v>0.16</v>
      </c>
      <c r="F2038" s="1" t="str">
        <f t="shared" si="126"/>
        <v>50</v>
      </c>
      <c r="G2038" s="1" t="str">
        <f t="shared" si="127"/>
        <v/>
      </c>
      <c r="I2038" s="1" t="str">
        <f t="shared" si="125"/>
        <v>威尔新数值1.06.xlsm!monsterDamage</v>
      </c>
    </row>
    <row r="2039" spans="1:9" x14ac:dyDescent="0.15">
      <c r="A2039" s="1">
        <v>2038</v>
      </c>
      <c r="B2039" s="1">
        <v>102041100</v>
      </c>
      <c r="C2039" s="1">
        <f t="shared" si="128"/>
        <v>3</v>
      </c>
      <c r="D2039" s="5">
        <f ca="1">IF(getQuality(B2039)&lt;4,getOtherMin(B2039,C2039,INDIRECT(J$2),INDIRECT(I2039),test),getMin(B2039,C2039,INDIRECT(J$2),INDIRECT(I2039),test))</f>
        <v>76.631108554901132</v>
      </c>
      <c r="E2039" s="5">
        <f ca="1">IF(getQuality(B2039)&lt;4,getOtherMax(B2039,C2039,INDIRECT(J$2),INDIRECT(I2039),test),getMax(B2039,C2039,INDIRECT(J$2),INDIRECT(I2039),test))</f>
        <v>109.24493457930163</v>
      </c>
      <c r="F2039" s="1" t="str">
        <f t="shared" si="126"/>
        <v>50</v>
      </c>
      <c r="G2039" s="1" t="str">
        <f t="shared" si="127"/>
        <v/>
      </c>
      <c r="I2039" s="1" t="str">
        <f t="shared" si="125"/>
        <v>威尔新数值1.06.xlsm!suitPower</v>
      </c>
    </row>
    <row r="2040" spans="1:9" x14ac:dyDescent="0.15">
      <c r="A2040" s="1">
        <v>2039</v>
      </c>
      <c r="B2040" s="1">
        <v>102041100</v>
      </c>
      <c r="C2040" s="1">
        <f t="shared" si="128"/>
        <v>5</v>
      </c>
      <c r="D2040" s="5">
        <f ca="1">IF(getQuality(B2040)&lt;4,getOtherMin(B2040,C2040,INDIRECT(J$2),INDIRECT(I2040),test),getMin(B2040,C2040,INDIRECT(J$2),INDIRECT(I2040),test))</f>
        <v>76.631108554901132</v>
      </c>
      <c r="E2040" s="5">
        <f ca="1">IF(getQuality(B2040)&lt;4,getOtherMax(B2040,C2040,INDIRECT(J$2),INDIRECT(I2040),test),getMax(B2040,C2040,INDIRECT(J$2),INDIRECT(I2040),test))</f>
        <v>109.24493457930163</v>
      </c>
      <c r="F2040" s="1" t="str">
        <f t="shared" si="126"/>
        <v>50</v>
      </c>
      <c r="G2040" s="1" t="str">
        <f t="shared" si="127"/>
        <v>1</v>
      </c>
      <c r="I2040" s="1" t="str">
        <f t="shared" si="125"/>
        <v>威尔新数值1.06.xlsm!suitPower</v>
      </c>
    </row>
    <row r="2041" spans="1:9" x14ac:dyDescent="0.15">
      <c r="A2041" s="1">
        <v>2040</v>
      </c>
      <c r="B2041" s="1">
        <v>102041100</v>
      </c>
      <c r="C2041" s="1">
        <f t="shared" si="128"/>
        <v>7</v>
      </c>
      <c r="D2041" s="5">
        <f ca="1">IF(getQuality(B2041)&lt;4,getOtherMin(B2041,C2041,INDIRECT(J$2),INDIRECT(I2041),test),getMin(B2041,C2041,INDIRECT(J$2),INDIRECT(I2041),test))</f>
        <v>20.444444444444393</v>
      </c>
      <c r="E2041" s="5">
        <f ca="1">IF(getQuality(B2041)&lt;4,getOtherMax(B2041,C2041,INDIRECT(J$2),INDIRECT(I2041),test),getMax(B2041,C2041,INDIRECT(J$2),INDIRECT(I2041),test))</f>
        <v>25.92592592592586</v>
      </c>
      <c r="F2041" s="1" t="str">
        <f t="shared" si="126"/>
        <v>50</v>
      </c>
      <c r="G2041" s="1" t="str">
        <f t="shared" si="127"/>
        <v/>
      </c>
      <c r="I2041" s="1" t="str">
        <f t="shared" si="125"/>
        <v>威尔新数值1.06.xlsm!suitPower</v>
      </c>
    </row>
    <row r="2042" spans="1:9" x14ac:dyDescent="0.15">
      <c r="A2042" s="1">
        <v>2041</v>
      </c>
      <c r="B2042" s="1">
        <v>102041100</v>
      </c>
      <c r="C2042" s="1">
        <f t="shared" si="128"/>
        <v>8</v>
      </c>
      <c r="D2042" s="5">
        <f ca="1">IF(getQuality(B2042)&lt;4,getOtherMin(B2042,C2042,INDIRECT(J$2),INDIRECT(I2042),test),getMin(B2042,C2042,INDIRECT(J$2),INDIRECT(I2042),test))</f>
        <v>44.75</v>
      </c>
      <c r="E2042" s="5">
        <f ca="1">IF(getQuality(B2042)&lt;4,getOtherMax(B2042,C2042,INDIRECT(J$2),INDIRECT(I2042),test),getMax(B2042,C2042,INDIRECT(J$2),INDIRECT(I2042),test))</f>
        <v>58.333333333333336</v>
      </c>
      <c r="F2042" s="1" t="str">
        <f t="shared" si="126"/>
        <v>50</v>
      </c>
      <c r="G2042" s="1" t="str">
        <f t="shared" si="127"/>
        <v/>
      </c>
      <c r="I2042" s="1" t="str">
        <f t="shared" si="125"/>
        <v>威尔新数值1.06.xlsm!suitPower</v>
      </c>
    </row>
    <row r="2043" spans="1:9" x14ac:dyDescent="0.15">
      <c r="A2043" s="1">
        <v>2042</v>
      </c>
      <c r="B2043" s="1">
        <v>102041100</v>
      </c>
      <c r="C2043" s="1">
        <f t="shared" si="128"/>
        <v>9</v>
      </c>
      <c r="D2043" s="5">
        <f ca="1">IF(getQuality(B2043)&lt;4,getOtherMin(B2043,C2043,INDIRECT(J$2),INDIRECT(I2043),test),getMin(B2043,C2043,INDIRECT(J$2),INDIRECT(I2043),test))</f>
        <v>76.631108554901132</v>
      </c>
      <c r="E2043" s="5">
        <f ca="1">IF(getQuality(B2043)&lt;4,getOtherMax(B2043,C2043,INDIRECT(J$2),INDIRECT(I2043),test),getMax(B2043,C2043,INDIRECT(J$2),INDIRECT(I2043),test))</f>
        <v>109.24493457930163</v>
      </c>
      <c r="F2043" s="1" t="str">
        <f t="shared" si="126"/>
        <v>50</v>
      </c>
      <c r="G2043" s="1" t="str">
        <f t="shared" si="127"/>
        <v/>
      </c>
      <c r="I2043" s="1" t="str">
        <f t="shared" si="125"/>
        <v>威尔新数值1.06.xlsm!suitPower</v>
      </c>
    </row>
    <row r="2044" spans="1:9" x14ac:dyDescent="0.15">
      <c r="A2044" s="1">
        <v>2043</v>
      </c>
      <c r="B2044" s="1">
        <v>102041100</v>
      </c>
      <c r="C2044" s="1">
        <f t="shared" si="128"/>
        <v>10</v>
      </c>
      <c r="D2044" s="5">
        <f ca="1">IF(getQuality(B2044)&lt;4,getOtherMin(B2044,C2044,INDIRECT(J$2),INDIRECT(I2044),test),getMin(B2044,C2044,INDIRECT(J$2),INDIRECT(I2044),test))</f>
        <v>76.631108554901132</v>
      </c>
      <c r="E2044" s="5">
        <f ca="1">IF(getQuality(B2044)&lt;4,getOtherMax(B2044,C2044,INDIRECT(J$2),INDIRECT(I2044),test),getMax(B2044,C2044,INDIRECT(J$2),INDIRECT(I2044),test))</f>
        <v>109.24493457930163</v>
      </c>
      <c r="F2044" s="1" t="str">
        <f t="shared" si="126"/>
        <v>50</v>
      </c>
      <c r="G2044" s="1" t="str">
        <f t="shared" si="127"/>
        <v/>
      </c>
      <c r="I2044" s="1" t="str">
        <f t="shared" si="125"/>
        <v>威尔新数值1.06.xlsm!suitPower</v>
      </c>
    </row>
    <row r="2045" spans="1:9" x14ac:dyDescent="0.15">
      <c r="A2045" s="1">
        <v>2044</v>
      </c>
      <c r="B2045" s="1">
        <v>102041100</v>
      </c>
      <c r="C2045" s="1">
        <f t="shared" si="128"/>
        <v>11</v>
      </c>
      <c r="D2045" s="5">
        <f ca="1">IF(getQuality(B2045)&lt;4,getOtherMin(B2045,C2045,INDIRECT(J$2),INDIRECT(I2045),test),getMin(B2045,C2045,INDIRECT(J$2),INDIRECT(I2045),test))</f>
        <v>76.631108554901132</v>
      </c>
      <c r="E2045" s="5">
        <f ca="1">IF(getQuality(B2045)&lt;4,getOtherMax(B2045,C2045,INDIRECT(J$2),INDIRECT(I2045),test),getMax(B2045,C2045,INDIRECT(J$2),INDIRECT(I2045),test))</f>
        <v>109.24493457930163</v>
      </c>
      <c r="F2045" s="1" t="str">
        <f t="shared" si="126"/>
        <v>50</v>
      </c>
      <c r="G2045" s="1" t="str">
        <f t="shared" si="127"/>
        <v/>
      </c>
      <c r="I2045" s="1" t="str">
        <f t="shared" si="125"/>
        <v>威尔新数值1.06.xlsm!suitPower</v>
      </c>
    </row>
    <row r="2046" spans="1:9" x14ac:dyDescent="0.15">
      <c r="A2046" s="1">
        <v>2045</v>
      </c>
      <c r="B2046" s="1">
        <v>102041100</v>
      </c>
      <c r="C2046" s="1">
        <f t="shared" si="128"/>
        <v>12</v>
      </c>
      <c r="D2046" s="5">
        <f ca="1">IF(getQuality(B2046)&lt;4,getOtherMin(B2046,C2046,INDIRECT(J$2),INDIRECT(I2046),test),getMin(B2046,C2046,INDIRECT(J$2),INDIRECT(I2046),test))</f>
        <v>76.631108554901132</v>
      </c>
      <c r="E2046" s="5">
        <f ca="1">IF(getQuality(B2046)&lt;4,getOtherMax(B2046,C2046,INDIRECT(J$2),INDIRECT(I2046),test),getMax(B2046,C2046,INDIRECT(J$2),INDIRECT(I2046),test))</f>
        <v>109.24493457930163</v>
      </c>
      <c r="F2046" s="1" t="str">
        <f t="shared" si="126"/>
        <v>50</v>
      </c>
      <c r="G2046" s="1" t="str">
        <f t="shared" si="127"/>
        <v/>
      </c>
      <c r="I2046" s="1" t="str">
        <f t="shared" si="125"/>
        <v>威尔新数值1.06.xlsm!suitPower</v>
      </c>
    </row>
    <row r="2047" spans="1:9" x14ac:dyDescent="0.15">
      <c r="A2047" s="1">
        <v>2046</v>
      </c>
      <c r="B2047" s="1">
        <v>102041100</v>
      </c>
      <c r="C2047" s="1">
        <f t="shared" si="128"/>
        <v>13</v>
      </c>
      <c r="D2047" s="5">
        <f ca="1">IF(getQuality(B2047)&lt;4,getOtherMin(B2047,C2047,INDIRECT(J$2),INDIRECT(I2047),test),getMin(B2047,C2047,INDIRECT(J$2),INDIRECT(I2047),test))</f>
        <v>76.631108554901132</v>
      </c>
      <c r="E2047" s="5">
        <f ca="1">IF(getQuality(B2047)&lt;4,getOtherMax(B2047,C2047,INDIRECT(J$2),INDIRECT(I2047),test),getMax(B2047,C2047,INDIRECT(J$2),INDIRECT(I2047),test))</f>
        <v>109.24493457930163</v>
      </c>
      <c r="F2047" s="1" t="str">
        <f t="shared" si="126"/>
        <v>50</v>
      </c>
      <c r="G2047" s="1" t="str">
        <f t="shared" si="127"/>
        <v/>
      </c>
      <c r="I2047" s="1" t="str">
        <f t="shared" si="125"/>
        <v>威尔新数值1.06.xlsm!suitPower</v>
      </c>
    </row>
    <row r="2048" spans="1:9" x14ac:dyDescent="0.15">
      <c r="A2048" s="1">
        <v>2047</v>
      </c>
      <c r="B2048" s="1">
        <v>102041100</v>
      </c>
      <c r="C2048" s="1">
        <f t="shared" si="128"/>
        <v>14</v>
      </c>
      <c r="D2048" s="5">
        <f ca="1">IF(getQuality(B2048)&lt;4,getOtherMin(B2048,C2048,INDIRECT(J$2),INDIRECT(I2048),test),getMin(B2048,C2048,INDIRECT(J$2),INDIRECT(I2048),test))</f>
        <v>76.631108554901132</v>
      </c>
      <c r="E2048" s="5">
        <f ca="1">IF(getQuality(B2048)&lt;4,getOtherMax(B2048,C2048,INDIRECT(J$2),INDIRECT(I2048),test),getMax(B2048,C2048,INDIRECT(J$2),INDIRECT(I2048),test))</f>
        <v>109.24493457930163</v>
      </c>
      <c r="F2048" s="1" t="str">
        <f t="shared" si="126"/>
        <v>50</v>
      </c>
      <c r="G2048" s="1" t="str">
        <f t="shared" si="127"/>
        <v/>
      </c>
      <c r="I2048" s="1" t="str">
        <f t="shared" si="125"/>
        <v>威尔新数值1.06.xlsm!suitPower</v>
      </c>
    </row>
    <row r="2049" spans="1:9" x14ac:dyDescent="0.15">
      <c r="A2049" s="1">
        <v>2048</v>
      </c>
      <c r="B2049" s="1">
        <v>102041100</v>
      </c>
      <c r="C2049" s="1">
        <f t="shared" si="128"/>
        <v>15</v>
      </c>
      <c r="D2049" s="5">
        <f ca="1">IF(getQuality(B2049)&lt;4,getOtherMin(B2049,C2049,INDIRECT(J$2),INDIRECT(I2049),test),getMin(B2049,C2049,INDIRECT(J$2),INDIRECT(I2049),test))</f>
        <v>76.631108554901132</v>
      </c>
      <c r="E2049" s="5">
        <f ca="1">IF(getQuality(B2049)&lt;4,getOtherMax(B2049,C2049,INDIRECT(J$2),INDIRECT(I2049),test),getMax(B2049,C2049,INDIRECT(J$2),INDIRECT(I2049),test))</f>
        <v>109.24493457930163</v>
      </c>
      <c r="F2049" s="1" t="str">
        <f t="shared" si="126"/>
        <v>50</v>
      </c>
      <c r="G2049" s="1" t="str">
        <f t="shared" si="127"/>
        <v/>
      </c>
      <c r="I2049" s="1" t="str">
        <f t="shared" si="125"/>
        <v>威尔新数值1.06.xlsm!suitPower</v>
      </c>
    </row>
    <row r="2050" spans="1:9" x14ac:dyDescent="0.15">
      <c r="A2050" s="1">
        <v>2049</v>
      </c>
      <c r="B2050" s="1">
        <v>102041100</v>
      </c>
      <c r="C2050" s="1">
        <f t="shared" si="128"/>
        <v>101</v>
      </c>
      <c r="D2050" s="5">
        <f ca="1">IF(getQuality(B2050)&lt;4,getOtherMin(B2050,C2050,INDIRECT(J$2),INDIRECT(I2050),test),getMin(B2050,C2050,INDIRECT(J$2),INDIRECT(I2050),test))</f>
        <v>0.09</v>
      </c>
      <c r="E2050" s="5">
        <f ca="1">IF(getQuality(B2050)&lt;4,getOtherMax(B2050,C2050,INDIRECT(J$2),INDIRECT(I2050),test),getMax(B2050,C2050,INDIRECT(J$2),INDIRECT(I2050),test))</f>
        <v>0.12</v>
      </c>
      <c r="F2050" s="1" t="str">
        <f t="shared" si="126"/>
        <v>50</v>
      </c>
      <c r="G2050" s="1" t="str">
        <f t="shared" si="127"/>
        <v/>
      </c>
      <c r="I2050" s="1" t="str">
        <f t="shared" ref="I2050:I2113" si="129">IF(C2050&lt;100,VLOOKUP(C2050,test,3,FALSE),VLOOKUP(C2050,test1,3,FALSE))</f>
        <v>威尔新数值1.06.xlsm!circlePer</v>
      </c>
    </row>
    <row r="2051" spans="1:9" x14ac:dyDescent="0.15">
      <c r="A2051" s="1">
        <v>2050</v>
      </c>
      <c r="B2051" s="1">
        <v>102041100</v>
      </c>
      <c r="C2051" s="1">
        <f t="shared" si="128"/>
        <v>102</v>
      </c>
      <c r="D2051" s="5">
        <f ca="1">IF(getQuality(B2051)&lt;4,getOtherMin(B2051,C2051,INDIRECT(J$2),INDIRECT(I2051),test),getMin(B2051,C2051,INDIRECT(J$2),INDIRECT(I2051),test))</f>
        <v>0.7</v>
      </c>
      <c r="E2051" s="5">
        <f ca="1">IF(getQuality(B2051)&lt;4,getOtherMax(B2051,C2051,INDIRECT(J$2),INDIRECT(I2051),test),getMax(B2051,C2051,INDIRECT(J$2),INDIRECT(I2051),test))</f>
        <v>1.1000000000000001</v>
      </c>
      <c r="F2051" s="1" t="str">
        <f t="shared" ref="F2051:F2114" si="130">getper(B2051,C2051)</f>
        <v>50</v>
      </c>
      <c r="G2051" s="1" t="str">
        <f t="shared" ref="G2051:G2114" si="131">getMust(B2051,C2051)</f>
        <v/>
      </c>
      <c r="I2051" s="1" t="str">
        <f t="shared" si="129"/>
        <v>威尔新数值1.06.xlsm!circleValue</v>
      </c>
    </row>
    <row r="2052" spans="1:9" x14ac:dyDescent="0.15">
      <c r="A2052" s="1">
        <v>2051</v>
      </c>
      <c r="B2052" s="1">
        <v>102041100</v>
      </c>
      <c r="C2052" s="1">
        <f t="shared" si="128"/>
        <v>103</v>
      </c>
      <c r="D2052" s="5">
        <f ca="1">IF(getQuality(B2052)&lt;4,getOtherMin(B2052,C2052,INDIRECT(J$2),INDIRECT(I2052),test),getMin(B2052,C2052,INDIRECT(J$2),INDIRECT(I2052),test))</f>
        <v>0.09</v>
      </c>
      <c r="E2052" s="5">
        <f ca="1">IF(getQuality(B2052)&lt;4,getOtherMax(B2052,C2052,INDIRECT(J$2),INDIRECT(I2052),test),getMax(B2052,C2052,INDIRECT(J$2),INDIRECT(I2052),test))</f>
        <v>0.12</v>
      </c>
      <c r="F2052" s="1" t="str">
        <f t="shared" si="130"/>
        <v>50</v>
      </c>
      <c r="G2052" s="1" t="str">
        <f t="shared" si="131"/>
        <v/>
      </c>
      <c r="I2052" s="1" t="str">
        <f t="shared" si="129"/>
        <v>威尔新数值1.06.xlsm!otherDamage</v>
      </c>
    </row>
    <row r="2053" spans="1:9" x14ac:dyDescent="0.15">
      <c r="A2053" s="1">
        <v>2052</v>
      </c>
      <c r="B2053" s="1">
        <v>102041100</v>
      </c>
      <c r="C2053" s="1">
        <f t="shared" si="128"/>
        <v>104</v>
      </c>
      <c r="D2053" s="5">
        <f ca="1">IF(getQuality(B2053)&lt;4,getOtherMin(B2053,C2053,INDIRECT(J$2),INDIRECT(I2053),test),getMin(B2053,C2053,INDIRECT(J$2),INDIRECT(I2053),test))</f>
        <v>0.09</v>
      </c>
      <c r="E2053" s="5">
        <f ca="1">IF(getQuality(B2053)&lt;4,getOtherMax(B2053,C2053,INDIRECT(J$2),INDIRECT(I2053),test),getMax(B2053,C2053,INDIRECT(J$2),INDIRECT(I2053),test))</f>
        <v>0.18</v>
      </c>
      <c r="F2053" s="1" t="str">
        <f t="shared" si="130"/>
        <v>50</v>
      </c>
      <c r="G2053" s="1" t="str">
        <f t="shared" si="131"/>
        <v/>
      </c>
      <c r="I2053" s="1" t="str">
        <f t="shared" si="129"/>
        <v>威尔新数值1.06.xlsm!monsterDamage</v>
      </c>
    </row>
    <row r="2054" spans="1:9" x14ac:dyDescent="0.15">
      <c r="A2054" s="1">
        <v>2053</v>
      </c>
      <c r="B2054" s="1">
        <v>102041100</v>
      </c>
      <c r="C2054" s="1">
        <f t="shared" si="128"/>
        <v>105</v>
      </c>
      <c r="D2054" s="5">
        <f ca="1">IF(getQuality(B2054)&lt;4,getOtherMin(B2054,C2054,INDIRECT(J$2),INDIRECT(I2054),test),getMin(B2054,C2054,INDIRECT(J$2),INDIRECT(I2054),test))</f>
        <v>0.09</v>
      </c>
      <c r="E2054" s="5">
        <f ca="1">IF(getQuality(B2054)&lt;4,getOtherMax(B2054,C2054,INDIRECT(J$2),INDIRECT(I2054),test),getMax(B2054,C2054,INDIRECT(J$2),INDIRECT(I2054),test))</f>
        <v>0.18</v>
      </c>
      <c r="F2054" s="1" t="str">
        <f t="shared" si="130"/>
        <v>50</v>
      </c>
      <c r="G2054" s="1" t="str">
        <f t="shared" si="131"/>
        <v/>
      </c>
      <c r="I2054" s="1" t="str">
        <f t="shared" si="129"/>
        <v>威尔新数值1.06.xlsm!monsterDamage</v>
      </c>
    </row>
    <row r="2055" spans="1:9" x14ac:dyDescent="0.15">
      <c r="A2055" s="1">
        <v>2054</v>
      </c>
      <c r="B2055" s="1">
        <v>102041100</v>
      </c>
      <c r="C2055" s="1">
        <f t="shared" si="128"/>
        <v>106</v>
      </c>
      <c r="D2055" s="5">
        <f ca="1">IF(getQuality(B2055)&lt;4,getOtherMin(B2055,C2055,INDIRECT(J$2),INDIRECT(I2055),test),getMin(B2055,C2055,INDIRECT(J$2),INDIRECT(I2055),test))</f>
        <v>0.09</v>
      </c>
      <c r="E2055" s="5">
        <f ca="1">IF(getQuality(B2055)&lt;4,getOtherMax(B2055,C2055,INDIRECT(J$2),INDIRECT(I2055),test),getMax(B2055,C2055,INDIRECT(J$2),INDIRECT(I2055),test))</f>
        <v>0.18</v>
      </c>
      <c r="F2055" s="1" t="str">
        <f t="shared" si="130"/>
        <v>50</v>
      </c>
      <c r="G2055" s="1" t="str">
        <f t="shared" si="131"/>
        <v/>
      </c>
      <c r="I2055" s="1" t="str">
        <f t="shared" si="129"/>
        <v>威尔新数值1.06.xlsm!monsterDamage</v>
      </c>
    </row>
    <row r="2056" spans="1:9" x14ac:dyDescent="0.15">
      <c r="A2056" s="1">
        <v>2055</v>
      </c>
      <c r="B2056" s="1">
        <v>102041100</v>
      </c>
      <c r="C2056" s="1">
        <f t="shared" si="128"/>
        <v>107</v>
      </c>
      <c r="D2056" s="5">
        <f ca="1">IF(getQuality(B2056)&lt;4,getOtherMin(B2056,C2056,INDIRECT(J$2),INDIRECT(I2056),test),getMin(B2056,C2056,INDIRECT(J$2),INDIRECT(I2056),test))</f>
        <v>0.09</v>
      </c>
      <c r="E2056" s="5">
        <f ca="1">IF(getQuality(B2056)&lt;4,getOtherMax(B2056,C2056,INDIRECT(J$2),INDIRECT(I2056),test),getMax(B2056,C2056,INDIRECT(J$2),INDIRECT(I2056),test))</f>
        <v>0.18</v>
      </c>
      <c r="F2056" s="1" t="str">
        <f t="shared" si="130"/>
        <v>50</v>
      </c>
      <c r="G2056" s="1" t="str">
        <f t="shared" si="131"/>
        <v/>
      </c>
      <c r="I2056" s="1" t="str">
        <f t="shared" si="129"/>
        <v>威尔新数值1.06.xlsm!monsterDamage</v>
      </c>
    </row>
    <row r="2057" spans="1:9" x14ac:dyDescent="0.15">
      <c r="A2057" s="1">
        <v>2056</v>
      </c>
      <c r="B2057" s="1">
        <v>102041100</v>
      </c>
      <c r="C2057" s="1">
        <f t="shared" si="128"/>
        <v>108</v>
      </c>
      <c r="D2057" s="5">
        <f ca="1">IF(getQuality(B2057)&lt;4,getOtherMin(B2057,C2057,INDIRECT(J$2),INDIRECT(I2057),test),getMin(B2057,C2057,INDIRECT(J$2),INDIRECT(I2057),test))</f>
        <v>0.09</v>
      </c>
      <c r="E2057" s="5">
        <f ca="1">IF(getQuality(B2057)&lt;4,getOtherMax(B2057,C2057,INDIRECT(J$2),INDIRECT(I2057),test),getMax(B2057,C2057,INDIRECT(J$2),INDIRECT(I2057),test))</f>
        <v>0.18</v>
      </c>
      <c r="F2057" s="1" t="str">
        <f t="shared" si="130"/>
        <v>50</v>
      </c>
      <c r="G2057" s="1" t="str">
        <f t="shared" si="131"/>
        <v/>
      </c>
      <c r="I2057" s="1" t="str">
        <f t="shared" si="129"/>
        <v>威尔新数值1.06.xlsm!monsterDamage</v>
      </c>
    </row>
    <row r="2058" spans="1:9" x14ac:dyDescent="0.15">
      <c r="A2058" s="1">
        <v>2057</v>
      </c>
      <c r="B2058" s="1">
        <v>102051100</v>
      </c>
      <c r="C2058" s="1">
        <f t="shared" si="128"/>
        <v>3</v>
      </c>
      <c r="D2058" s="5">
        <f ca="1">IF(getQuality(B2058)&lt;4,getOtherMin(B2058,C2058,INDIRECT(J$2),INDIRECT(I2058),test),getMin(B2058,C2058,INDIRECT(J$2),INDIRECT(I2058),test))</f>
        <v>110.24493457930163</v>
      </c>
      <c r="E2058" s="5">
        <f ca="1">IF(getQuality(B2058)&lt;4,getOtherMax(B2058,C2058,INDIRECT(J$2),INDIRECT(I2058),test),getMax(B2058,C2058,INDIRECT(J$2),INDIRECT(I2058),test))</f>
        <v>148.01542709608177</v>
      </c>
      <c r="F2058" s="1" t="str">
        <f t="shared" si="130"/>
        <v>50</v>
      </c>
      <c r="G2058" s="1" t="str">
        <f t="shared" si="131"/>
        <v/>
      </c>
      <c r="I2058" s="1" t="str">
        <f t="shared" si="129"/>
        <v>威尔新数值1.06.xlsm!suitPower</v>
      </c>
    </row>
    <row r="2059" spans="1:9" x14ac:dyDescent="0.15">
      <c r="A2059" s="1">
        <v>2058</v>
      </c>
      <c r="B2059" s="1">
        <v>102051100</v>
      </c>
      <c r="C2059" s="1">
        <f t="shared" si="128"/>
        <v>5</v>
      </c>
      <c r="D2059" s="5">
        <f ca="1">IF(getQuality(B2059)&lt;4,getOtherMin(B2059,C2059,INDIRECT(J$2),INDIRECT(I2059),test),getMin(B2059,C2059,INDIRECT(J$2),INDIRECT(I2059),test))</f>
        <v>110.24493457930163</v>
      </c>
      <c r="E2059" s="5">
        <f ca="1">IF(getQuality(B2059)&lt;4,getOtherMax(B2059,C2059,INDIRECT(J$2),INDIRECT(I2059),test),getMax(B2059,C2059,INDIRECT(J$2),INDIRECT(I2059),test))</f>
        <v>148.01542709608177</v>
      </c>
      <c r="F2059" s="1" t="str">
        <f t="shared" si="130"/>
        <v>50</v>
      </c>
      <c r="G2059" s="1" t="str">
        <f t="shared" si="131"/>
        <v>1</v>
      </c>
      <c r="I2059" s="1" t="str">
        <f t="shared" si="129"/>
        <v>威尔新数值1.06.xlsm!suitPower</v>
      </c>
    </row>
    <row r="2060" spans="1:9" x14ac:dyDescent="0.15">
      <c r="A2060" s="1">
        <v>2059</v>
      </c>
      <c r="B2060" s="1">
        <v>102051100</v>
      </c>
      <c r="C2060" s="1">
        <f t="shared" si="128"/>
        <v>7</v>
      </c>
      <c r="D2060" s="5">
        <f ca="1">IF(getQuality(B2060)&lt;4,getOtherMin(B2060,C2060,INDIRECT(J$2),INDIRECT(I2060),test),getMin(B2060,C2060,INDIRECT(J$2),INDIRECT(I2060),test))</f>
        <v>26.92592592592586</v>
      </c>
      <c r="E2060" s="5">
        <f ca="1">IF(getQuality(B2060)&lt;4,getOtherMax(B2060,C2060,INDIRECT(J$2),INDIRECT(I2060),test),getMax(B2060,C2060,INDIRECT(J$2),INDIRECT(I2060),test))</f>
        <v>32.407407407407327</v>
      </c>
      <c r="F2060" s="1" t="str">
        <f t="shared" si="130"/>
        <v>50</v>
      </c>
      <c r="G2060" s="1" t="str">
        <f t="shared" si="131"/>
        <v/>
      </c>
      <c r="I2060" s="1" t="str">
        <f t="shared" si="129"/>
        <v>威尔新数值1.06.xlsm!suitPower</v>
      </c>
    </row>
    <row r="2061" spans="1:9" x14ac:dyDescent="0.15">
      <c r="A2061" s="1">
        <v>2060</v>
      </c>
      <c r="B2061" s="1">
        <v>102051100</v>
      </c>
      <c r="C2061" s="1">
        <f t="shared" si="128"/>
        <v>8</v>
      </c>
      <c r="D2061" s="5">
        <f ca="1">IF(getQuality(B2061)&lt;4,getOtherMin(B2061,C2061,INDIRECT(J$2),INDIRECT(I2061),test),getMin(B2061,C2061,INDIRECT(J$2),INDIRECT(I2061),test))</f>
        <v>59.333333333333336</v>
      </c>
      <c r="E2061" s="5">
        <f ca="1">IF(getQuality(B2061)&lt;4,getOtherMax(B2061,C2061,INDIRECT(J$2),INDIRECT(I2061),test),getMax(B2061,C2061,INDIRECT(J$2),INDIRECT(I2061),test))</f>
        <v>72.916666666666671</v>
      </c>
      <c r="F2061" s="1" t="str">
        <f t="shared" si="130"/>
        <v>50</v>
      </c>
      <c r="G2061" s="1" t="str">
        <f t="shared" si="131"/>
        <v/>
      </c>
      <c r="I2061" s="1" t="str">
        <f t="shared" si="129"/>
        <v>威尔新数值1.06.xlsm!suitPower</v>
      </c>
    </row>
    <row r="2062" spans="1:9" x14ac:dyDescent="0.15">
      <c r="A2062" s="1">
        <v>2061</v>
      </c>
      <c r="B2062" s="1">
        <v>102051100</v>
      </c>
      <c r="C2062" s="1">
        <f t="shared" si="128"/>
        <v>9</v>
      </c>
      <c r="D2062" s="5">
        <f ca="1">IF(getQuality(B2062)&lt;4,getOtherMin(B2062,C2062,INDIRECT(J$2),INDIRECT(I2062),test),getMin(B2062,C2062,INDIRECT(J$2),INDIRECT(I2062),test))</f>
        <v>110.24493457930163</v>
      </c>
      <c r="E2062" s="5">
        <f ca="1">IF(getQuality(B2062)&lt;4,getOtherMax(B2062,C2062,INDIRECT(J$2),INDIRECT(I2062),test),getMax(B2062,C2062,INDIRECT(J$2),INDIRECT(I2062),test))</f>
        <v>148.01542709608177</v>
      </c>
      <c r="F2062" s="1" t="str">
        <f t="shared" si="130"/>
        <v>50</v>
      </c>
      <c r="G2062" s="1" t="str">
        <f t="shared" si="131"/>
        <v/>
      </c>
      <c r="I2062" s="1" t="str">
        <f t="shared" si="129"/>
        <v>威尔新数值1.06.xlsm!suitPower</v>
      </c>
    </row>
    <row r="2063" spans="1:9" x14ac:dyDescent="0.15">
      <c r="A2063" s="1">
        <v>2062</v>
      </c>
      <c r="B2063" s="1">
        <v>102051100</v>
      </c>
      <c r="C2063" s="1">
        <f t="shared" si="128"/>
        <v>10</v>
      </c>
      <c r="D2063" s="5">
        <f ca="1">IF(getQuality(B2063)&lt;4,getOtherMin(B2063,C2063,INDIRECT(J$2),INDIRECT(I2063),test),getMin(B2063,C2063,INDIRECT(J$2),INDIRECT(I2063),test))</f>
        <v>110.24493457930163</v>
      </c>
      <c r="E2063" s="5">
        <f ca="1">IF(getQuality(B2063)&lt;4,getOtherMax(B2063,C2063,INDIRECT(J$2),INDIRECT(I2063),test),getMax(B2063,C2063,INDIRECT(J$2),INDIRECT(I2063),test))</f>
        <v>148.01542709608177</v>
      </c>
      <c r="F2063" s="1" t="str">
        <f t="shared" si="130"/>
        <v>50</v>
      </c>
      <c r="G2063" s="1" t="str">
        <f t="shared" si="131"/>
        <v/>
      </c>
      <c r="I2063" s="1" t="str">
        <f t="shared" si="129"/>
        <v>威尔新数值1.06.xlsm!suitPower</v>
      </c>
    </row>
    <row r="2064" spans="1:9" x14ac:dyDescent="0.15">
      <c r="A2064" s="1">
        <v>2063</v>
      </c>
      <c r="B2064" s="1">
        <v>102051100</v>
      </c>
      <c r="C2064" s="1">
        <f t="shared" si="128"/>
        <v>11</v>
      </c>
      <c r="D2064" s="5">
        <f ca="1">IF(getQuality(B2064)&lt;4,getOtherMin(B2064,C2064,INDIRECT(J$2),INDIRECT(I2064),test),getMin(B2064,C2064,INDIRECT(J$2),INDIRECT(I2064),test))</f>
        <v>110.24493457930163</v>
      </c>
      <c r="E2064" s="5">
        <f ca="1">IF(getQuality(B2064)&lt;4,getOtherMax(B2064,C2064,INDIRECT(J$2),INDIRECT(I2064),test),getMax(B2064,C2064,INDIRECT(J$2),INDIRECT(I2064),test))</f>
        <v>148.01542709608177</v>
      </c>
      <c r="F2064" s="1" t="str">
        <f t="shared" si="130"/>
        <v>50</v>
      </c>
      <c r="G2064" s="1" t="str">
        <f t="shared" si="131"/>
        <v/>
      </c>
      <c r="I2064" s="1" t="str">
        <f t="shared" si="129"/>
        <v>威尔新数值1.06.xlsm!suitPower</v>
      </c>
    </row>
    <row r="2065" spans="1:9" x14ac:dyDescent="0.15">
      <c r="A2065" s="1">
        <v>2064</v>
      </c>
      <c r="B2065" s="1">
        <v>102051100</v>
      </c>
      <c r="C2065" s="1">
        <f t="shared" si="128"/>
        <v>12</v>
      </c>
      <c r="D2065" s="5">
        <f ca="1">IF(getQuality(B2065)&lt;4,getOtherMin(B2065,C2065,INDIRECT(J$2),INDIRECT(I2065),test),getMin(B2065,C2065,INDIRECT(J$2),INDIRECT(I2065),test))</f>
        <v>110.24493457930163</v>
      </c>
      <c r="E2065" s="5">
        <f ca="1">IF(getQuality(B2065)&lt;4,getOtherMax(B2065,C2065,INDIRECT(J$2),INDIRECT(I2065),test),getMax(B2065,C2065,INDIRECT(J$2),INDIRECT(I2065),test))</f>
        <v>148.01542709608177</v>
      </c>
      <c r="F2065" s="1" t="str">
        <f t="shared" si="130"/>
        <v>50</v>
      </c>
      <c r="G2065" s="1" t="str">
        <f t="shared" si="131"/>
        <v/>
      </c>
      <c r="I2065" s="1" t="str">
        <f t="shared" si="129"/>
        <v>威尔新数值1.06.xlsm!suitPower</v>
      </c>
    </row>
    <row r="2066" spans="1:9" x14ac:dyDescent="0.15">
      <c r="A2066" s="1">
        <v>2065</v>
      </c>
      <c r="B2066" s="1">
        <v>102051100</v>
      </c>
      <c r="C2066" s="1">
        <f t="shared" si="128"/>
        <v>13</v>
      </c>
      <c r="D2066" s="5">
        <f ca="1">IF(getQuality(B2066)&lt;4,getOtherMin(B2066,C2066,INDIRECT(J$2),INDIRECT(I2066),test),getMin(B2066,C2066,INDIRECT(J$2),INDIRECT(I2066),test))</f>
        <v>110.24493457930163</v>
      </c>
      <c r="E2066" s="5">
        <f ca="1">IF(getQuality(B2066)&lt;4,getOtherMax(B2066,C2066,INDIRECT(J$2),INDIRECT(I2066),test),getMax(B2066,C2066,INDIRECT(J$2),INDIRECT(I2066),test))</f>
        <v>148.01542709608177</v>
      </c>
      <c r="F2066" s="1" t="str">
        <f t="shared" si="130"/>
        <v>50</v>
      </c>
      <c r="G2066" s="1" t="str">
        <f t="shared" si="131"/>
        <v/>
      </c>
      <c r="I2066" s="1" t="str">
        <f t="shared" si="129"/>
        <v>威尔新数值1.06.xlsm!suitPower</v>
      </c>
    </row>
    <row r="2067" spans="1:9" x14ac:dyDescent="0.15">
      <c r="A2067" s="1">
        <v>2066</v>
      </c>
      <c r="B2067" s="1">
        <v>102051100</v>
      </c>
      <c r="C2067" s="1">
        <f t="shared" si="128"/>
        <v>14</v>
      </c>
      <c r="D2067" s="5">
        <f ca="1">IF(getQuality(B2067)&lt;4,getOtherMin(B2067,C2067,INDIRECT(J$2),INDIRECT(I2067),test),getMin(B2067,C2067,INDIRECT(J$2),INDIRECT(I2067),test))</f>
        <v>110.24493457930163</v>
      </c>
      <c r="E2067" s="5">
        <f ca="1">IF(getQuality(B2067)&lt;4,getOtherMax(B2067,C2067,INDIRECT(J$2),INDIRECT(I2067),test),getMax(B2067,C2067,INDIRECT(J$2),INDIRECT(I2067),test))</f>
        <v>148.01542709608177</v>
      </c>
      <c r="F2067" s="1" t="str">
        <f t="shared" si="130"/>
        <v>50</v>
      </c>
      <c r="G2067" s="1" t="str">
        <f t="shared" si="131"/>
        <v/>
      </c>
      <c r="I2067" s="1" t="str">
        <f t="shared" si="129"/>
        <v>威尔新数值1.06.xlsm!suitPower</v>
      </c>
    </row>
    <row r="2068" spans="1:9" x14ac:dyDescent="0.15">
      <c r="A2068" s="1">
        <v>2067</v>
      </c>
      <c r="B2068" s="1">
        <v>102051100</v>
      </c>
      <c r="C2068" s="1">
        <f t="shared" si="128"/>
        <v>15</v>
      </c>
      <c r="D2068" s="5">
        <f ca="1">IF(getQuality(B2068)&lt;4,getOtherMin(B2068,C2068,INDIRECT(J$2),INDIRECT(I2068),test),getMin(B2068,C2068,INDIRECT(J$2),INDIRECT(I2068),test))</f>
        <v>110.24493457930163</v>
      </c>
      <c r="E2068" s="5">
        <f ca="1">IF(getQuality(B2068)&lt;4,getOtherMax(B2068,C2068,INDIRECT(J$2),INDIRECT(I2068),test),getMax(B2068,C2068,INDIRECT(J$2),INDIRECT(I2068),test))</f>
        <v>148.01542709608177</v>
      </c>
      <c r="F2068" s="1" t="str">
        <f t="shared" si="130"/>
        <v>50</v>
      </c>
      <c r="G2068" s="1" t="str">
        <f t="shared" si="131"/>
        <v/>
      </c>
      <c r="I2068" s="1" t="str">
        <f t="shared" si="129"/>
        <v>威尔新数值1.06.xlsm!suitPower</v>
      </c>
    </row>
    <row r="2069" spans="1:9" x14ac:dyDescent="0.15">
      <c r="A2069" s="1">
        <v>2068</v>
      </c>
      <c r="B2069" s="1">
        <v>102051100</v>
      </c>
      <c r="C2069" s="1">
        <f t="shared" si="128"/>
        <v>101</v>
      </c>
      <c r="D2069" s="5">
        <f ca="1">IF(getQuality(B2069)&lt;4,getOtherMin(B2069,C2069,INDIRECT(J$2),INDIRECT(I2069),test),getMin(B2069,C2069,INDIRECT(J$2),INDIRECT(I2069),test))</f>
        <v>0.1</v>
      </c>
      <c r="E2069" s="5">
        <f ca="1">IF(getQuality(B2069)&lt;4,getOtherMax(B2069,C2069,INDIRECT(J$2),INDIRECT(I2069),test),getMax(B2069,C2069,INDIRECT(J$2),INDIRECT(I2069),test))</f>
        <v>0.13</v>
      </c>
      <c r="F2069" s="1" t="str">
        <f t="shared" si="130"/>
        <v>50</v>
      </c>
      <c r="G2069" s="1" t="str">
        <f t="shared" si="131"/>
        <v/>
      </c>
      <c r="I2069" s="1" t="str">
        <f t="shared" si="129"/>
        <v>威尔新数值1.06.xlsm!circlePer</v>
      </c>
    </row>
    <row r="2070" spans="1:9" x14ac:dyDescent="0.15">
      <c r="A2070" s="1">
        <v>2069</v>
      </c>
      <c r="B2070" s="1">
        <v>102051100</v>
      </c>
      <c r="C2070" s="1">
        <f t="shared" si="128"/>
        <v>102</v>
      </c>
      <c r="D2070" s="5">
        <f ca="1">IF(getQuality(B2070)&lt;4,getOtherMin(B2070,C2070,INDIRECT(J$2),INDIRECT(I2070),test),getMin(B2070,C2070,INDIRECT(J$2),INDIRECT(I2070),test))</f>
        <v>0.8</v>
      </c>
      <c r="E2070" s="5">
        <f ca="1">IF(getQuality(B2070)&lt;4,getOtherMax(B2070,C2070,INDIRECT(J$2),INDIRECT(I2070),test),getMax(B2070,C2070,INDIRECT(J$2),INDIRECT(I2070),test))</f>
        <v>1.2</v>
      </c>
      <c r="F2070" s="1" t="str">
        <f t="shared" si="130"/>
        <v>50</v>
      </c>
      <c r="G2070" s="1" t="str">
        <f t="shared" si="131"/>
        <v/>
      </c>
      <c r="I2070" s="1" t="str">
        <f t="shared" si="129"/>
        <v>威尔新数值1.06.xlsm!circleValue</v>
      </c>
    </row>
    <row r="2071" spans="1:9" x14ac:dyDescent="0.15">
      <c r="A2071" s="1">
        <v>2070</v>
      </c>
      <c r="B2071" s="1">
        <v>102051100</v>
      </c>
      <c r="C2071" s="1">
        <f t="shared" si="128"/>
        <v>103</v>
      </c>
      <c r="D2071" s="5">
        <f ca="1">IF(getQuality(B2071)&lt;4,getOtherMin(B2071,C2071,INDIRECT(J$2),INDIRECT(I2071),test),getMin(B2071,C2071,INDIRECT(J$2),INDIRECT(I2071),test))</f>
        <v>0.1</v>
      </c>
      <c r="E2071" s="5">
        <f ca="1">IF(getQuality(B2071)&lt;4,getOtherMax(B2071,C2071,INDIRECT(J$2),INDIRECT(I2071),test),getMax(B2071,C2071,INDIRECT(J$2),INDIRECT(I2071),test))</f>
        <v>0.13</v>
      </c>
      <c r="F2071" s="1" t="str">
        <f t="shared" si="130"/>
        <v>50</v>
      </c>
      <c r="G2071" s="1" t="str">
        <f t="shared" si="131"/>
        <v/>
      </c>
      <c r="I2071" s="1" t="str">
        <f t="shared" si="129"/>
        <v>威尔新数值1.06.xlsm!otherDamage</v>
      </c>
    </row>
    <row r="2072" spans="1:9" x14ac:dyDescent="0.15">
      <c r="A2072" s="1">
        <v>2071</v>
      </c>
      <c r="B2072" s="1">
        <v>102051100</v>
      </c>
      <c r="C2072" s="1">
        <f t="shared" si="128"/>
        <v>104</v>
      </c>
      <c r="D2072" s="5">
        <f ca="1">IF(getQuality(B2072)&lt;4,getOtherMin(B2072,C2072,INDIRECT(J$2),INDIRECT(I2072),test),getMin(B2072,C2072,INDIRECT(J$2),INDIRECT(I2072),test))</f>
        <v>0.1</v>
      </c>
      <c r="E2072" s="5">
        <f ca="1">IF(getQuality(B2072)&lt;4,getOtherMax(B2072,C2072,INDIRECT(J$2),INDIRECT(I2072),test),getMax(B2072,C2072,INDIRECT(J$2),INDIRECT(I2072),test))</f>
        <v>0.2</v>
      </c>
      <c r="F2072" s="1" t="str">
        <f t="shared" si="130"/>
        <v>50</v>
      </c>
      <c r="G2072" s="1" t="str">
        <f t="shared" si="131"/>
        <v/>
      </c>
      <c r="I2072" s="1" t="str">
        <f t="shared" si="129"/>
        <v>威尔新数值1.06.xlsm!monsterDamage</v>
      </c>
    </row>
    <row r="2073" spans="1:9" x14ac:dyDescent="0.15">
      <c r="A2073" s="1">
        <v>2072</v>
      </c>
      <c r="B2073" s="1">
        <v>102051100</v>
      </c>
      <c r="C2073" s="1">
        <f t="shared" si="128"/>
        <v>105</v>
      </c>
      <c r="D2073" s="5">
        <f ca="1">IF(getQuality(B2073)&lt;4,getOtherMin(B2073,C2073,INDIRECT(J$2),INDIRECT(I2073),test),getMin(B2073,C2073,INDIRECT(J$2),INDIRECT(I2073),test))</f>
        <v>0.1</v>
      </c>
      <c r="E2073" s="5">
        <f ca="1">IF(getQuality(B2073)&lt;4,getOtherMax(B2073,C2073,INDIRECT(J$2),INDIRECT(I2073),test),getMax(B2073,C2073,INDIRECT(J$2),INDIRECT(I2073),test))</f>
        <v>0.2</v>
      </c>
      <c r="F2073" s="1" t="str">
        <f t="shared" si="130"/>
        <v>50</v>
      </c>
      <c r="G2073" s="1" t="str">
        <f t="shared" si="131"/>
        <v/>
      </c>
      <c r="I2073" s="1" t="str">
        <f t="shared" si="129"/>
        <v>威尔新数值1.06.xlsm!monsterDamage</v>
      </c>
    </row>
    <row r="2074" spans="1:9" x14ac:dyDescent="0.15">
      <c r="A2074" s="1">
        <v>2073</v>
      </c>
      <c r="B2074" s="1">
        <v>102051100</v>
      </c>
      <c r="C2074" s="1">
        <f t="shared" si="128"/>
        <v>106</v>
      </c>
      <c r="D2074" s="5">
        <f ca="1">IF(getQuality(B2074)&lt;4,getOtherMin(B2074,C2074,INDIRECT(J$2),INDIRECT(I2074),test),getMin(B2074,C2074,INDIRECT(J$2),INDIRECT(I2074),test))</f>
        <v>0.1</v>
      </c>
      <c r="E2074" s="5">
        <f ca="1">IF(getQuality(B2074)&lt;4,getOtherMax(B2074,C2074,INDIRECT(J$2),INDIRECT(I2074),test),getMax(B2074,C2074,INDIRECT(J$2),INDIRECT(I2074),test))</f>
        <v>0.2</v>
      </c>
      <c r="F2074" s="1" t="str">
        <f t="shared" si="130"/>
        <v>50</v>
      </c>
      <c r="G2074" s="1" t="str">
        <f t="shared" si="131"/>
        <v/>
      </c>
      <c r="I2074" s="1" t="str">
        <f t="shared" si="129"/>
        <v>威尔新数值1.06.xlsm!monsterDamage</v>
      </c>
    </row>
    <row r="2075" spans="1:9" x14ac:dyDescent="0.15">
      <c r="A2075" s="1">
        <v>2074</v>
      </c>
      <c r="B2075" s="1">
        <v>102051100</v>
      </c>
      <c r="C2075" s="1">
        <f t="shared" si="128"/>
        <v>107</v>
      </c>
      <c r="D2075" s="5">
        <f ca="1">IF(getQuality(B2075)&lt;4,getOtherMin(B2075,C2075,INDIRECT(J$2),INDIRECT(I2075),test),getMin(B2075,C2075,INDIRECT(J$2),INDIRECT(I2075),test))</f>
        <v>0.1</v>
      </c>
      <c r="E2075" s="5">
        <f ca="1">IF(getQuality(B2075)&lt;4,getOtherMax(B2075,C2075,INDIRECT(J$2),INDIRECT(I2075),test),getMax(B2075,C2075,INDIRECT(J$2),INDIRECT(I2075),test))</f>
        <v>0.2</v>
      </c>
      <c r="F2075" s="1" t="str">
        <f t="shared" si="130"/>
        <v>50</v>
      </c>
      <c r="G2075" s="1" t="str">
        <f t="shared" si="131"/>
        <v/>
      </c>
      <c r="I2075" s="1" t="str">
        <f t="shared" si="129"/>
        <v>威尔新数值1.06.xlsm!monsterDamage</v>
      </c>
    </row>
    <row r="2076" spans="1:9" x14ac:dyDescent="0.15">
      <c r="A2076" s="1">
        <v>2075</v>
      </c>
      <c r="B2076" s="1">
        <v>102051100</v>
      </c>
      <c r="C2076" s="1">
        <f t="shared" si="128"/>
        <v>108</v>
      </c>
      <c r="D2076" s="5">
        <f ca="1">IF(getQuality(B2076)&lt;4,getOtherMin(B2076,C2076,INDIRECT(J$2),INDIRECT(I2076),test),getMin(B2076,C2076,INDIRECT(J$2),INDIRECT(I2076),test))</f>
        <v>0.1</v>
      </c>
      <c r="E2076" s="5">
        <f ca="1">IF(getQuality(B2076)&lt;4,getOtherMax(B2076,C2076,INDIRECT(J$2),INDIRECT(I2076),test),getMax(B2076,C2076,INDIRECT(J$2),INDIRECT(I2076),test))</f>
        <v>0.2</v>
      </c>
      <c r="F2076" s="1" t="str">
        <f t="shared" si="130"/>
        <v>50</v>
      </c>
      <c r="G2076" s="1" t="str">
        <f t="shared" si="131"/>
        <v/>
      </c>
      <c r="I2076" s="1" t="str">
        <f t="shared" si="129"/>
        <v>威尔新数值1.06.xlsm!monsterDamage</v>
      </c>
    </row>
    <row r="2077" spans="1:9" x14ac:dyDescent="0.15">
      <c r="A2077" s="1">
        <v>2076</v>
      </c>
      <c r="B2077" s="1">
        <v>102061100</v>
      </c>
      <c r="C2077" s="1">
        <f t="shared" si="128"/>
        <v>3</v>
      </c>
      <c r="D2077" s="5">
        <f ca="1">IF(getQuality(B2077)&lt;4,getOtherMin(B2077,C2077,INDIRECT(J$2),INDIRECT(I2077),test),getMin(B2077,C2077,INDIRECT(J$2),INDIRECT(I2077),test))</f>
        <v>149.01542709608177</v>
      </c>
      <c r="E2077" s="5">
        <f ca="1">IF(getQuality(B2077)&lt;4,getOtherMax(B2077,C2077,INDIRECT(J$2),INDIRECT(I2077),test),getMax(B2077,C2077,INDIRECT(J$2),INDIRECT(I2077),test))</f>
        <v>190.22369727444828</v>
      </c>
      <c r="F2077" s="1" t="str">
        <f t="shared" si="130"/>
        <v>50</v>
      </c>
      <c r="G2077" s="1" t="str">
        <f t="shared" si="131"/>
        <v/>
      </c>
      <c r="I2077" s="1" t="str">
        <f t="shared" si="129"/>
        <v>威尔新数值1.06.xlsm!suitPower</v>
      </c>
    </row>
    <row r="2078" spans="1:9" x14ac:dyDescent="0.15">
      <c r="A2078" s="1">
        <v>2077</v>
      </c>
      <c r="B2078" s="1">
        <v>102061100</v>
      </c>
      <c r="C2078" s="1">
        <f t="shared" si="128"/>
        <v>5</v>
      </c>
      <c r="D2078" s="5">
        <f ca="1">IF(getQuality(B2078)&lt;4,getOtherMin(B2078,C2078,INDIRECT(J$2),INDIRECT(I2078),test),getMin(B2078,C2078,INDIRECT(J$2),INDIRECT(I2078),test))</f>
        <v>149.01542709608177</v>
      </c>
      <c r="E2078" s="5">
        <f ca="1">IF(getQuality(B2078)&lt;4,getOtherMax(B2078,C2078,INDIRECT(J$2),INDIRECT(I2078),test),getMax(B2078,C2078,INDIRECT(J$2),INDIRECT(I2078),test))</f>
        <v>190.22369727444828</v>
      </c>
      <c r="F2078" s="1" t="str">
        <f t="shared" si="130"/>
        <v>50</v>
      </c>
      <c r="G2078" s="1" t="str">
        <f t="shared" si="131"/>
        <v>1</v>
      </c>
      <c r="I2078" s="1" t="str">
        <f t="shared" si="129"/>
        <v>威尔新数值1.06.xlsm!suitPower</v>
      </c>
    </row>
    <row r="2079" spans="1:9" x14ac:dyDescent="0.15">
      <c r="A2079" s="1">
        <v>2078</v>
      </c>
      <c r="B2079" s="1">
        <v>102061100</v>
      </c>
      <c r="C2079" s="1">
        <f t="shared" si="128"/>
        <v>7</v>
      </c>
      <c r="D2079" s="5">
        <f ca="1">IF(getQuality(B2079)&lt;4,getOtherMin(B2079,C2079,INDIRECT(J$2),INDIRECT(I2079),test),getMin(B2079,C2079,INDIRECT(J$2),INDIRECT(I2079),test))</f>
        <v>33.407407407407327</v>
      </c>
      <c r="E2079" s="5">
        <f ca="1">IF(getQuality(B2079)&lt;4,getOtherMax(B2079,C2079,INDIRECT(J$2),INDIRECT(I2079),test),getMax(B2079,C2079,INDIRECT(J$2),INDIRECT(I2079),test))</f>
        <v>38.888888888888786</v>
      </c>
      <c r="F2079" s="1" t="str">
        <f t="shared" si="130"/>
        <v>50</v>
      </c>
      <c r="G2079" s="1" t="str">
        <f t="shared" si="131"/>
        <v/>
      </c>
      <c r="I2079" s="1" t="str">
        <f t="shared" si="129"/>
        <v>威尔新数值1.06.xlsm!suitPower</v>
      </c>
    </row>
    <row r="2080" spans="1:9" x14ac:dyDescent="0.15">
      <c r="A2080" s="1">
        <v>2079</v>
      </c>
      <c r="B2080" s="1">
        <v>102061100</v>
      </c>
      <c r="C2080" s="1">
        <f t="shared" si="128"/>
        <v>8</v>
      </c>
      <c r="D2080" s="5">
        <f ca="1">IF(getQuality(B2080)&lt;4,getOtherMin(B2080,C2080,INDIRECT(J$2),INDIRECT(I2080),test),getMin(B2080,C2080,INDIRECT(J$2),INDIRECT(I2080),test))</f>
        <v>73.916666666666671</v>
      </c>
      <c r="E2080" s="5">
        <f ca="1">IF(getQuality(B2080)&lt;4,getOtherMax(B2080,C2080,INDIRECT(J$2),INDIRECT(I2080),test),getMax(B2080,C2080,INDIRECT(J$2),INDIRECT(I2080),test))</f>
        <v>87.5</v>
      </c>
      <c r="F2080" s="1" t="str">
        <f t="shared" si="130"/>
        <v>50</v>
      </c>
      <c r="G2080" s="1" t="str">
        <f t="shared" si="131"/>
        <v/>
      </c>
      <c r="I2080" s="1" t="str">
        <f t="shared" si="129"/>
        <v>威尔新数值1.06.xlsm!suitPower</v>
      </c>
    </row>
    <row r="2081" spans="1:9" x14ac:dyDescent="0.15">
      <c r="A2081" s="1">
        <v>2080</v>
      </c>
      <c r="B2081" s="1">
        <v>102061100</v>
      </c>
      <c r="C2081" s="1">
        <f t="shared" si="128"/>
        <v>9</v>
      </c>
      <c r="D2081" s="5">
        <f ca="1">IF(getQuality(B2081)&lt;4,getOtherMin(B2081,C2081,INDIRECT(J$2),INDIRECT(I2081),test),getMin(B2081,C2081,INDIRECT(J$2),INDIRECT(I2081),test))</f>
        <v>149.01542709608177</v>
      </c>
      <c r="E2081" s="5">
        <f ca="1">IF(getQuality(B2081)&lt;4,getOtherMax(B2081,C2081,INDIRECT(J$2),INDIRECT(I2081),test),getMax(B2081,C2081,INDIRECT(J$2),INDIRECT(I2081),test))</f>
        <v>190.22369727444828</v>
      </c>
      <c r="F2081" s="1" t="str">
        <f t="shared" si="130"/>
        <v>50</v>
      </c>
      <c r="G2081" s="1" t="str">
        <f t="shared" si="131"/>
        <v/>
      </c>
      <c r="I2081" s="1" t="str">
        <f t="shared" si="129"/>
        <v>威尔新数值1.06.xlsm!suitPower</v>
      </c>
    </row>
    <row r="2082" spans="1:9" x14ac:dyDescent="0.15">
      <c r="A2082" s="1">
        <v>2081</v>
      </c>
      <c r="B2082" s="1">
        <v>102061100</v>
      </c>
      <c r="C2082" s="1">
        <f t="shared" si="128"/>
        <v>10</v>
      </c>
      <c r="D2082" s="5">
        <f ca="1">IF(getQuality(B2082)&lt;4,getOtherMin(B2082,C2082,INDIRECT(J$2),INDIRECT(I2082),test),getMin(B2082,C2082,INDIRECT(J$2),INDIRECT(I2082),test))</f>
        <v>149.01542709608177</v>
      </c>
      <c r="E2082" s="5">
        <f ca="1">IF(getQuality(B2082)&lt;4,getOtherMax(B2082,C2082,INDIRECT(J$2),INDIRECT(I2082),test),getMax(B2082,C2082,INDIRECT(J$2),INDIRECT(I2082),test))</f>
        <v>190.22369727444828</v>
      </c>
      <c r="F2082" s="1" t="str">
        <f t="shared" si="130"/>
        <v>50</v>
      </c>
      <c r="G2082" s="1" t="str">
        <f t="shared" si="131"/>
        <v/>
      </c>
      <c r="I2082" s="1" t="str">
        <f t="shared" si="129"/>
        <v>威尔新数值1.06.xlsm!suitPower</v>
      </c>
    </row>
    <row r="2083" spans="1:9" x14ac:dyDescent="0.15">
      <c r="A2083" s="1">
        <v>2082</v>
      </c>
      <c r="B2083" s="1">
        <v>102061100</v>
      </c>
      <c r="C2083" s="1">
        <f t="shared" si="128"/>
        <v>11</v>
      </c>
      <c r="D2083" s="5">
        <f ca="1">IF(getQuality(B2083)&lt;4,getOtherMin(B2083,C2083,INDIRECT(J$2),INDIRECT(I2083),test),getMin(B2083,C2083,INDIRECT(J$2),INDIRECT(I2083),test))</f>
        <v>149.01542709608177</v>
      </c>
      <c r="E2083" s="5">
        <f ca="1">IF(getQuality(B2083)&lt;4,getOtherMax(B2083,C2083,INDIRECT(J$2),INDIRECT(I2083),test),getMax(B2083,C2083,INDIRECT(J$2),INDIRECT(I2083),test))</f>
        <v>190.22369727444828</v>
      </c>
      <c r="F2083" s="1" t="str">
        <f t="shared" si="130"/>
        <v>50</v>
      </c>
      <c r="G2083" s="1" t="str">
        <f t="shared" si="131"/>
        <v/>
      </c>
      <c r="I2083" s="1" t="str">
        <f t="shared" si="129"/>
        <v>威尔新数值1.06.xlsm!suitPower</v>
      </c>
    </row>
    <row r="2084" spans="1:9" x14ac:dyDescent="0.15">
      <c r="A2084" s="1">
        <v>2083</v>
      </c>
      <c r="B2084" s="1">
        <v>102061100</v>
      </c>
      <c r="C2084" s="1">
        <f t="shared" ref="C2084:C2147" si="132">C2065</f>
        <v>12</v>
      </c>
      <c r="D2084" s="5">
        <f ca="1">IF(getQuality(B2084)&lt;4,getOtherMin(B2084,C2084,INDIRECT(J$2),INDIRECT(I2084),test),getMin(B2084,C2084,INDIRECT(J$2),INDIRECT(I2084),test))</f>
        <v>149.01542709608177</v>
      </c>
      <c r="E2084" s="5">
        <f ca="1">IF(getQuality(B2084)&lt;4,getOtherMax(B2084,C2084,INDIRECT(J$2),INDIRECT(I2084),test),getMax(B2084,C2084,INDIRECT(J$2),INDIRECT(I2084),test))</f>
        <v>190.22369727444828</v>
      </c>
      <c r="F2084" s="1" t="str">
        <f t="shared" si="130"/>
        <v>50</v>
      </c>
      <c r="G2084" s="1" t="str">
        <f t="shared" si="131"/>
        <v/>
      </c>
      <c r="I2084" s="1" t="str">
        <f t="shared" si="129"/>
        <v>威尔新数值1.06.xlsm!suitPower</v>
      </c>
    </row>
    <row r="2085" spans="1:9" x14ac:dyDescent="0.15">
      <c r="A2085" s="1">
        <v>2084</v>
      </c>
      <c r="B2085" s="1">
        <v>102061100</v>
      </c>
      <c r="C2085" s="1">
        <f t="shared" si="132"/>
        <v>13</v>
      </c>
      <c r="D2085" s="5">
        <f ca="1">IF(getQuality(B2085)&lt;4,getOtherMin(B2085,C2085,INDIRECT(J$2),INDIRECT(I2085),test),getMin(B2085,C2085,INDIRECT(J$2),INDIRECT(I2085),test))</f>
        <v>149.01542709608177</v>
      </c>
      <c r="E2085" s="5">
        <f ca="1">IF(getQuality(B2085)&lt;4,getOtherMax(B2085,C2085,INDIRECT(J$2),INDIRECT(I2085),test),getMax(B2085,C2085,INDIRECT(J$2),INDIRECT(I2085),test))</f>
        <v>190.22369727444828</v>
      </c>
      <c r="F2085" s="1" t="str">
        <f t="shared" si="130"/>
        <v>50</v>
      </c>
      <c r="G2085" s="1" t="str">
        <f t="shared" si="131"/>
        <v/>
      </c>
      <c r="I2085" s="1" t="str">
        <f t="shared" si="129"/>
        <v>威尔新数值1.06.xlsm!suitPower</v>
      </c>
    </row>
    <row r="2086" spans="1:9" x14ac:dyDescent="0.15">
      <c r="A2086" s="1">
        <v>2085</v>
      </c>
      <c r="B2086" s="1">
        <v>102061100</v>
      </c>
      <c r="C2086" s="1">
        <f t="shared" si="132"/>
        <v>14</v>
      </c>
      <c r="D2086" s="5">
        <f ca="1">IF(getQuality(B2086)&lt;4,getOtherMin(B2086,C2086,INDIRECT(J$2),INDIRECT(I2086),test),getMin(B2086,C2086,INDIRECT(J$2),INDIRECT(I2086),test))</f>
        <v>149.01542709608177</v>
      </c>
      <c r="E2086" s="5">
        <f ca="1">IF(getQuality(B2086)&lt;4,getOtherMax(B2086,C2086,INDIRECT(J$2),INDIRECT(I2086),test),getMax(B2086,C2086,INDIRECT(J$2),INDIRECT(I2086),test))</f>
        <v>190.22369727444828</v>
      </c>
      <c r="F2086" s="1" t="str">
        <f t="shared" si="130"/>
        <v>50</v>
      </c>
      <c r="G2086" s="1" t="str">
        <f t="shared" si="131"/>
        <v/>
      </c>
      <c r="I2086" s="1" t="str">
        <f t="shared" si="129"/>
        <v>威尔新数值1.06.xlsm!suitPower</v>
      </c>
    </row>
    <row r="2087" spans="1:9" x14ac:dyDescent="0.15">
      <c r="A2087" s="1">
        <v>2086</v>
      </c>
      <c r="B2087" s="1">
        <v>102061100</v>
      </c>
      <c r="C2087" s="1">
        <f t="shared" si="132"/>
        <v>15</v>
      </c>
      <c r="D2087" s="5">
        <f ca="1">IF(getQuality(B2087)&lt;4,getOtherMin(B2087,C2087,INDIRECT(J$2),INDIRECT(I2087),test),getMin(B2087,C2087,INDIRECT(J$2),INDIRECT(I2087),test))</f>
        <v>149.01542709608177</v>
      </c>
      <c r="E2087" s="5">
        <f ca="1">IF(getQuality(B2087)&lt;4,getOtherMax(B2087,C2087,INDIRECT(J$2),INDIRECT(I2087),test),getMax(B2087,C2087,INDIRECT(J$2),INDIRECT(I2087),test))</f>
        <v>190.22369727444828</v>
      </c>
      <c r="F2087" s="1" t="str">
        <f t="shared" si="130"/>
        <v>50</v>
      </c>
      <c r="G2087" s="1" t="str">
        <f t="shared" si="131"/>
        <v/>
      </c>
      <c r="I2087" s="1" t="str">
        <f t="shared" si="129"/>
        <v>威尔新数值1.06.xlsm!suitPower</v>
      </c>
    </row>
    <row r="2088" spans="1:9" x14ac:dyDescent="0.15">
      <c r="A2088" s="1">
        <v>2087</v>
      </c>
      <c r="B2088" s="1">
        <v>102061100</v>
      </c>
      <c r="C2088" s="1">
        <f t="shared" si="132"/>
        <v>101</v>
      </c>
      <c r="D2088" s="5">
        <f ca="1">IF(getQuality(B2088)&lt;4,getOtherMin(B2088,C2088,INDIRECT(J$2),INDIRECT(I2088),test),getMin(B2088,C2088,INDIRECT(J$2),INDIRECT(I2088),test))</f>
        <v>0.11</v>
      </c>
      <c r="E2088" s="5">
        <f ca="1">IF(getQuality(B2088)&lt;4,getOtherMax(B2088,C2088,INDIRECT(J$2),INDIRECT(I2088),test),getMax(B2088,C2088,INDIRECT(J$2),INDIRECT(I2088),test))</f>
        <v>0.14000000000000001</v>
      </c>
      <c r="F2088" s="1" t="str">
        <f t="shared" si="130"/>
        <v>50</v>
      </c>
      <c r="G2088" s="1" t="str">
        <f t="shared" si="131"/>
        <v/>
      </c>
      <c r="I2088" s="1" t="str">
        <f t="shared" si="129"/>
        <v>威尔新数值1.06.xlsm!circlePer</v>
      </c>
    </row>
    <row r="2089" spans="1:9" x14ac:dyDescent="0.15">
      <c r="A2089" s="1">
        <v>2088</v>
      </c>
      <c r="B2089" s="1">
        <v>102061100</v>
      </c>
      <c r="C2089" s="1">
        <f t="shared" si="132"/>
        <v>102</v>
      </c>
      <c r="D2089" s="5">
        <f ca="1">IF(getQuality(B2089)&lt;4,getOtherMin(B2089,C2089,INDIRECT(J$2),INDIRECT(I2089),test),getMin(B2089,C2089,INDIRECT(J$2),INDIRECT(I2089),test))</f>
        <v>0.9</v>
      </c>
      <c r="E2089" s="5">
        <f ca="1">IF(getQuality(B2089)&lt;4,getOtherMax(B2089,C2089,INDIRECT(J$2),INDIRECT(I2089),test),getMax(B2089,C2089,INDIRECT(J$2),INDIRECT(I2089),test))</f>
        <v>1.3</v>
      </c>
      <c r="F2089" s="1" t="str">
        <f t="shared" si="130"/>
        <v>50</v>
      </c>
      <c r="G2089" s="1" t="str">
        <f t="shared" si="131"/>
        <v/>
      </c>
      <c r="I2089" s="1" t="str">
        <f t="shared" si="129"/>
        <v>威尔新数值1.06.xlsm!circleValue</v>
      </c>
    </row>
    <row r="2090" spans="1:9" x14ac:dyDescent="0.15">
      <c r="A2090" s="1">
        <v>2089</v>
      </c>
      <c r="B2090" s="1">
        <v>102061100</v>
      </c>
      <c r="C2090" s="1">
        <f t="shared" si="132"/>
        <v>103</v>
      </c>
      <c r="D2090" s="5">
        <f ca="1">IF(getQuality(B2090)&lt;4,getOtherMin(B2090,C2090,INDIRECT(J$2),INDIRECT(I2090),test),getMin(B2090,C2090,INDIRECT(J$2),INDIRECT(I2090),test))</f>
        <v>0.11</v>
      </c>
      <c r="E2090" s="5">
        <f ca="1">IF(getQuality(B2090)&lt;4,getOtherMax(B2090,C2090,INDIRECT(J$2),INDIRECT(I2090),test),getMax(B2090,C2090,INDIRECT(J$2),INDIRECT(I2090),test))</f>
        <v>0.14000000000000001</v>
      </c>
      <c r="F2090" s="1" t="str">
        <f t="shared" si="130"/>
        <v>50</v>
      </c>
      <c r="G2090" s="1" t="str">
        <f t="shared" si="131"/>
        <v/>
      </c>
      <c r="I2090" s="1" t="str">
        <f t="shared" si="129"/>
        <v>威尔新数值1.06.xlsm!otherDamage</v>
      </c>
    </row>
    <row r="2091" spans="1:9" x14ac:dyDescent="0.15">
      <c r="A2091" s="1">
        <v>2090</v>
      </c>
      <c r="B2091" s="1">
        <v>102061100</v>
      </c>
      <c r="C2091" s="1">
        <f t="shared" si="132"/>
        <v>104</v>
      </c>
      <c r="D2091" s="5">
        <f ca="1">IF(getQuality(B2091)&lt;4,getOtherMin(B2091,C2091,INDIRECT(J$2),INDIRECT(I2091),test),getMin(B2091,C2091,INDIRECT(J$2),INDIRECT(I2091),test))</f>
        <v>0.11</v>
      </c>
      <c r="E2091" s="5">
        <f ca="1">IF(getQuality(B2091)&lt;4,getOtherMax(B2091,C2091,INDIRECT(J$2),INDIRECT(I2091),test),getMax(B2091,C2091,INDIRECT(J$2),INDIRECT(I2091),test))</f>
        <v>0.22</v>
      </c>
      <c r="F2091" s="1" t="str">
        <f t="shared" si="130"/>
        <v>50</v>
      </c>
      <c r="G2091" s="1" t="str">
        <f t="shared" si="131"/>
        <v/>
      </c>
      <c r="I2091" s="1" t="str">
        <f t="shared" si="129"/>
        <v>威尔新数值1.06.xlsm!monsterDamage</v>
      </c>
    </row>
    <row r="2092" spans="1:9" x14ac:dyDescent="0.15">
      <c r="A2092" s="1">
        <v>2091</v>
      </c>
      <c r="B2092" s="1">
        <v>102061100</v>
      </c>
      <c r="C2092" s="1">
        <f t="shared" si="132"/>
        <v>105</v>
      </c>
      <c r="D2092" s="5">
        <f ca="1">IF(getQuality(B2092)&lt;4,getOtherMin(B2092,C2092,INDIRECT(J$2),INDIRECT(I2092),test),getMin(B2092,C2092,INDIRECT(J$2),INDIRECT(I2092),test))</f>
        <v>0.11</v>
      </c>
      <c r="E2092" s="5">
        <f ca="1">IF(getQuality(B2092)&lt;4,getOtherMax(B2092,C2092,INDIRECT(J$2),INDIRECT(I2092),test),getMax(B2092,C2092,INDIRECT(J$2),INDIRECT(I2092),test))</f>
        <v>0.22</v>
      </c>
      <c r="F2092" s="1" t="str">
        <f t="shared" si="130"/>
        <v>50</v>
      </c>
      <c r="G2092" s="1" t="str">
        <f t="shared" si="131"/>
        <v/>
      </c>
      <c r="I2092" s="1" t="str">
        <f t="shared" si="129"/>
        <v>威尔新数值1.06.xlsm!monsterDamage</v>
      </c>
    </row>
    <row r="2093" spans="1:9" x14ac:dyDescent="0.15">
      <c r="A2093" s="1">
        <v>2092</v>
      </c>
      <c r="B2093" s="1">
        <v>102061100</v>
      </c>
      <c r="C2093" s="1">
        <f t="shared" si="132"/>
        <v>106</v>
      </c>
      <c r="D2093" s="5">
        <f ca="1">IF(getQuality(B2093)&lt;4,getOtherMin(B2093,C2093,INDIRECT(J$2),INDIRECT(I2093),test),getMin(B2093,C2093,INDIRECT(J$2),INDIRECT(I2093),test))</f>
        <v>0.11</v>
      </c>
      <c r="E2093" s="5">
        <f ca="1">IF(getQuality(B2093)&lt;4,getOtherMax(B2093,C2093,INDIRECT(J$2),INDIRECT(I2093),test),getMax(B2093,C2093,INDIRECT(J$2),INDIRECT(I2093),test))</f>
        <v>0.22</v>
      </c>
      <c r="F2093" s="1" t="str">
        <f t="shared" si="130"/>
        <v>50</v>
      </c>
      <c r="G2093" s="1" t="str">
        <f t="shared" si="131"/>
        <v/>
      </c>
      <c r="I2093" s="1" t="str">
        <f t="shared" si="129"/>
        <v>威尔新数值1.06.xlsm!monsterDamage</v>
      </c>
    </row>
    <row r="2094" spans="1:9" x14ac:dyDescent="0.15">
      <c r="A2094" s="1">
        <v>2093</v>
      </c>
      <c r="B2094" s="1">
        <v>102061100</v>
      </c>
      <c r="C2094" s="1">
        <f t="shared" si="132"/>
        <v>107</v>
      </c>
      <c r="D2094" s="5">
        <f ca="1">IF(getQuality(B2094)&lt;4,getOtherMin(B2094,C2094,INDIRECT(J$2),INDIRECT(I2094),test),getMin(B2094,C2094,INDIRECT(J$2),INDIRECT(I2094),test))</f>
        <v>0.11</v>
      </c>
      <c r="E2094" s="5">
        <f ca="1">IF(getQuality(B2094)&lt;4,getOtherMax(B2094,C2094,INDIRECT(J$2),INDIRECT(I2094),test),getMax(B2094,C2094,INDIRECT(J$2),INDIRECT(I2094),test))</f>
        <v>0.22</v>
      </c>
      <c r="F2094" s="1" t="str">
        <f t="shared" si="130"/>
        <v>50</v>
      </c>
      <c r="G2094" s="1" t="str">
        <f t="shared" si="131"/>
        <v/>
      </c>
      <c r="I2094" s="1" t="str">
        <f t="shared" si="129"/>
        <v>威尔新数值1.06.xlsm!monsterDamage</v>
      </c>
    </row>
    <row r="2095" spans="1:9" x14ac:dyDescent="0.15">
      <c r="A2095" s="1">
        <v>2094</v>
      </c>
      <c r="B2095" s="1">
        <v>102061100</v>
      </c>
      <c r="C2095" s="1">
        <f t="shared" si="132"/>
        <v>108</v>
      </c>
      <c r="D2095" s="5">
        <f ca="1">IF(getQuality(B2095)&lt;4,getOtherMin(B2095,C2095,INDIRECT(J$2),INDIRECT(I2095),test),getMin(B2095,C2095,INDIRECT(J$2),INDIRECT(I2095),test))</f>
        <v>0.11</v>
      </c>
      <c r="E2095" s="5">
        <f ca="1">IF(getQuality(B2095)&lt;4,getOtherMax(B2095,C2095,INDIRECT(J$2),INDIRECT(I2095),test),getMax(B2095,C2095,INDIRECT(J$2),INDIRECT(I2095),test))</f>
        <v>0.22</v>
      </c>
      <c r="F2095" s="1" t="str">
        <f t="shared" si="130"/>
        <v>50</v>
      </c>
      <c r="G2095" s="1" t="str">
        <f t="shared" si="131"/>
        <v/>
      </c>
      <c r="I2095" s="1" t="str">
        <f t="shared" si="129"/>
        <v>威尔新数值1.06.xlsm!monsterDamage</v>
      </c>
    </row>
    <row r="2096" spans="1:9" x14ac:dyDescent="0.15">
      <c r="A2096" s="1">
        <v>2095</v>
      </c>
      <c r="B2096" s="1">
        <v>102071100</v>
      </c>
      <c r="C2096" s="1">
        <f t="shared" si="132"/>
        <v>3</v>
      </c>
      <c r="D2096" s="5">
        <f ca="1">IF(getQuality(B2096)&lt;4,getOtherMin(B2096,C2096,INDIRECT(J$2),INDIRECT(I2096),test),getMin(B2096,C2096,INDIRECT(J$2),INDIRECT(I2096),test))</f>
        <v>191.22369727444828</v>
      </c>
      <c r="E2096" s="5">
        <f ca="1">IF(getQuality(B2096)&lt;4,getOtherMax(B2096,C2096,INDIRECT(J$2),INDIRECT(I2096),test),getMax(B2096,C2096,INDIRECT(J$2),INDIRECT(I2096),test))</f>
        <v>236.63369570586491</v>
      </c>
      <c r="F2096" s="1" t="str">
        <f t="shared" si="130"/>
        <v>50</v>
      </c>
      <c r="G2096" s="1" t="str">
        <f t="shared" si="131"/>
        <v/>
      </c>
      <c r="I2096" s="1" t="str">
        <f t="shared" si="129"/>
        <v>威尔新数值1.06.xlsm!suitPower</v>
      </c>
    </row>
    <row r="2097" spans="1:9" x14ac:dyDescent="0.15">
      <c r="A2097" s="1">
        <v>2096</v>
      </c>
      <c r="B2097" s="1">
        <v>102071100</v>
      </c>
      <c r="C2097" s="1">
        <f t="shared" si="132"/>
        <v>5</v>
      </c>
      <c r="D2097" s="5">
        <f ca="1">IF(getQuality(B2097)&lt;4,getOtherMin(B2097,C2097,INDIRECT(J$2),INDIRECT(I2097),test),getMin(B2097,C2097,INDIRECT(J$2),INDIRECT(I2097),test))</f>
        <v>191.22369727444828</v>
      </c>
      <c r="E2097" s="5">
        <f ca="1">IF(getQuality(B2097)&lt;4,getOtherMax(B2097,C2097,INDIRECT(J$2),INDIRECT(I2097),test),getMax(B2097,C2097,INDIRECT(J$2),INDIRECT(I2097),test))</f>
        <v>236.63369570586491</v>
      </c>
      <c r="F2097" s="1" t="str">
        <f t="shared" si="130"/>
        <v>50</v>
      </c>
      <c r="G2097" s="1" t="str">
        <f t="shared" si="131"/>
        <v>1</v>
      </c>
      <c r="I2097" s="1" t="str">
        <f t="shared" si="129"/>
        <v>威尔新数值1.06.xlsm!suitPower</v>
      </c>
    </row>
    <row r="2098" spans="1:9" x14ac:dyDescent="0.15">
      <c r="A2098" s="1">
        <v>2097</v>
      </c>
      <c r="B2098" s="1">
        <v>102071100</v>
      </c>
      <c r="C2098" s="1">
        <f t="shared" si="132"/>
        <v>7</v>
      </c>
      <c r="D2098" s="5">
        <f ca="1">IF(getQuality(B2098)&lt;4,getOtherMin(B2098,C2098,INDIRECT(J$2),INDIRECT(I2098),test),getMin(B2098,C2098,INDIRECT(J$2),INDIRECT(I2098),test))</f>
        <v>39.888888888888786</v>
      </c>
      <c r="E2098" s="5">
        <f ca="1">IF(getQuality(B2098)&lt;4,getOtherMax(B2098,C2098,INDIRECT(J$2),INDIRECT(I2098),test),getMax(B2098,C2098,INDIRECT(J$2),INDIRECT(I2098),test))</f>
        <v>45.370370370370253</v>
      </c>
      <c r="F2098" s="1" t="str">
        <f t="shared" si="130"/>
        <v>50</v>
      </c>
      <c r="G2098" s="1" t="str">
        <f t="shared" si="131"/>
        <v/>
      </c>
      <c r="I2098" s="1" t="str">
        <f t="shared" si="129"/>
        <v>威尔新数值1.06.xlsm!suitPower</v>
      </c>
    </row>
    <row r="2099" spans="1:9" x14ac:dyDescent="0.15">
      <c r="A2099" s="1">
        <v>2098</v>
      </c>
      <c r="B2099" s="1">
        <v>102071100</v>
      </c>
      <c r="C2099" s="1">
        <f t="shared" si="132"/>
        <v>8</v>
      </c>
      <c r="D2099" s="5">
        <f ca="1">IF(getQuality(B2099)&lt;4,getOtherMin(B2099,C2099,INDIRECT(J$2),INDIRECT(I2099),test),getMin(B2099,C2099,INDIRECT(J$2),INDIRECT(I2099),test))</f>
        <v>88.5</v>
      </c>
      <c r="E2099" s="5">
        <f ca="1">IF(getQuality(B2099)&lt;4,getOtherMax(B2099,C2099,INDIRECT(J$2),INDIRECT(I2099),test),getMax(B2099,C2099,INDIRECT(J$2),INDIRECT(I2099),test))</f>
        <v>102.08333333333333</v>
      </c>
      <c r="F2099" s="1" t="str">
        <f t="shared" si="130"/>
        <v>50</v>
      </c>
      <c r="G2099" s="1" t="str">
        <f t="shared" si="131"/>
        <v/>
      </c>
      <c r="I2099" s="1" t="str">
        <f t="shared" si="129"/>
        <v>威尔新数值1.06.xlsm!suitPower</v>
      </c>
    </row>
    <row r="2100" spans="1:9" x14ac:dyDescent="0.15">
      <c r="A2100" s="1">
        <v>2099</v>
      </c>
      <c r="B2100" s="1">
        <v>102071100</v>
      </c>
      <c r="C2100" s="1">
        <f t="shared" si="132"/>
        <v>9</v>
      </c>
      <c r="D2100" s="5">
        <f ca="1">IF(getQuality(B2100)&lt;4,getOtherMin(B2100,C2100,INDIRECT(J$2),INDIRECT(I2100),test),getMin(B2100,C2100,INDIRECT(J$2),INDIRECT(I2100),test))</f>
        <v>191.22369727444828</v>
      </c>
      <c r="E2100" s="5">
        <f ca="1">IF(getQuality(B2100)&lt;4,getOtherMax(B2100,C2100,INDIRECT(J$2),INDIRECT(I2100),test),getMax(B2100,C2100,INDIRECT(J$2),INDIRECT(I2100),test))</f>
        <v>236.63369570586491</v>
      </c>
      <c r="F2100" s="1" t="str">
        <f t="shared" si="130"/>
        <v>50</v>
      </c>
      <c r="G2100" s="1" t="str">
        <f t="shared" si="131"/>
        <v/>
      </c>
      <c r="I2100" s="1" t="str">
        <f t="shared" si="129"/>
        <v>威尔新数值1.06.xlsm!suitPower</v>
      </c>
    </row>
    <row r="2101" spans="1:9" x14ac:dyDescent="0.15">
      <c r="A2101" s="1">
        <v>2100</v>
      </c>
      <c r="B2101" s="1">
        <v>102071100</v>
      </c>
      <c r="C2101" s="1">
        <f t="shared" si="132"/>
        <v>10</v>
      </c>
      <c r="D2101" s="5">
        <f ca="1">IF(getQuality(B2101)&lt;4,getOtherMin(B2101,C2101,INDIRECT(J$2),INDIRECT(I2101),test),getMin(B2101,C2101,INDIRECT(J$2),INDIRECT(I2101),test))</f>
        <v>191.22369727444828</v>
      </c>
      <c r="E2101" s="5">
        <f ca="1">IF(getQuality(B2101)&lt;4,getOtherMax(B2101,C2101,INDIRECT(J$2),INDIRECT(I2101),test),getMax(B2101,C2101,INDIRECT(J$2),INDIRECT(I2101),test))</f>
        <v>236.63369570586491</v>
      </c>
      <c r="F2101" s="1" t="str">
        <f t="shared" si="130"/>
        <v>50</v>
      </c>
      <c r="G2101" s="1" t="str">
        <f t="shared" si="131"/>
        <v/>
      </c>
      <c r="I2101" s="1" t="str">
        <f t="shared" si="129"/>
        <v>威尔新数值1.06.xlsm!suitPower</v>
      </c>
    </row>
    <row r="2102" spans="1:9" x14ac:dyDescent="0.15">
      <c r="A2102" s="1">
        <v>2101</v>
      </c>
      <c r="B2102" s="1">
        <v>102071100</v>
      </c>
      <c r="C2102" s="1">
        <f t="shared" si="132"/>
        <v>11</v>
      </c>
      <c r="D2102" s="5">
        <f ca="1">IF(getQuality(B2102)&lt;4,getOtherMin(B2102,C2102,INDIRECT(J$2),INDIRECT(I2102),test),getMin(B2102,C2102,INDIRECT(J$2),INDIRECT(I2102),test))</f>
        <v>191.22369727444828</v>
      </c>
      <c r="E2102" s="5">
        <f ca="1">IF(getQuality(B2102)&lt;4,getOtherMax(B2102,C2102,INDIRECT(J$2),INDIRECT(I2102),test),getMax(B2102,C2102,INDIRECT(J$2),INDIRECT(I2102),test))</f>
        <v>236.63369570586491</v>
      </c>
      <c r="F2102" s="1" t="str">
        <f t="shared" si="130"/>
        <v>50</v>
      </c>
      <c r="G2102" s="1" t="str">
        <f t="shared" si="131"/>
        <v/>
      </c>
      <c r="I2102" s="1" t="str">
        <f t="shared" si="129"/>
        <v>威尔新数值1.06.xlsm!suitPower</v>
      </c>
    </row>
    <row r="2103" spans="1:9" x14ac:dyDescent="0.15">
      <c r="A2103" s="1">
        <v>2102</v>
      </c>
      <c r="B2103" s="1">
        <v>102071100</v>
      </c>
      <c r="C2103" s="1">
        <f t="shared" si="132"/>
        <v>12</v>
      </c>
      <c r="D2103" s="5">
        <f ca="1">IF(getQuality(B2103)&lt;4,getOtherMin(B2103,C2103,INDIRECT(J$2),INDIRECT(I2103),test),getMin(B2103,C2103,INDIRECT(J$2),INDIRECT(I2103),test))</f>
        <v>191.22369727444828</v>
      </c>
      <c r="E2103" s="5">
        <f ca="1">IF(getQuality(B2103)&lt;4,getOtherMax(B2103,C2103,INDIRECT(J$2),INDIRECT(I2103),test),getMax(B2103,C2103,INDIRECT(J$2),INDIRECT(I2103),test))</f>
        <v>236.63369570586491</v>
      </c>
      <c r="F2103" s="1" t="str">
        <f t="shared" si="130"/>
        <v>50</v>
      </c>
      <c r="G2103" s="1" t="str">
        <f t="shared" si="131"/>
        <v/>
      </c>
      <c r="I2103" s="1" t="str">
        <f t="shared" si="129"/>
        <v>威尔新数值1.06.xlsm!suitPower</v>
      </c>
    </row>
    <row r="2104" spans="1:9" x14ac:dyDescent="0.15">
      <c r="A2104" s="1">
        <v>2103</v>
      </c>
      <c r="B2104" s="1">
        <v>102071100</v>
      </c>
      <c r="C2104" s="1">
        <f t="shared" si="132"/>
        <v>13</v>
      </c>
      <c r="D2104" s="5">
        <f ca="1">IF(getQuality(B2104)&lt;4,getOtherMin(B2104,C2104,INDIRECT(J$2),INDIRECT(I2104),test),getMin(B2104,C2104,INDIRECT(J$2),INDIRECT(I2104),test))</f>
        <v>191.22369727444828</v>
      </c>
      <c r="E2104" s="5">
        <f ca="1">IF(getQuality(B2104)&lt;4,getOtherMax(B2104,C2104,INDIRECT(J$2),INDIRECT(I2104),test),getMax(B2104,C2104,INDIRECT(J$2),INDIRECT(I2104),test))</f>
        <v>236.63369570586491</v>
      </c>
      <c r="F2104" s="1" t="str">
        <f t="shared" si="130"/>
        <v>50</v>
      </c>
      <c r="G2104" s="1" t="str">
        <f t="shared" si="131"/>
        <v/>
      </c>
      <c r="I2104" s="1" t="str">
        <f t="shared" si="129"/>
        <v>威尔新数值1.06.xlsm!suitPower</v>
      </c>
    </row>
    <row r="2105" spans="1:9" x14ac:dyDescent="0.15">
      <c r="A2105" s="1">
        <v>2104</v>
      </c>
      <c r="B2105" s="1">
        <v>102071100</v>
      </c>
      <c r="C2105" s="1">
        <f t="shared" si="132"/>
        <v>14</v>
      </c>
      <c r="D2105" s="5">
        <f ca="1">IF(getQuality(B2105)&lt;4,getOtherMin(B2105,C2105,INDIRECT(J$2),INDIRECT(I2105),test),getMin(B2105,C2105,INDIRECT(J$2),INDIRECT(I2105),test))</f>
        <v>191.22369727444828</v>
      </c>
      <c r="E2105" s="5">
        <f ca="1">IF(getQuality(B2105)&lt;4,getOtherMax(B2105,C2105,INDIRECT(J$2),INDIRECT(I2105),test),getMax(B2105,C2105,INDIRECT(J$2),INDIRECT(I2105),test))</f>
        <v>236.63369570586491</v>
      </c>
      <c r="F2105" s="1" t="str">
        <f t="shared" si="130"/>
        <v>50</v>
      </c>
      <c r="G2105" s="1" t="str">
        <f t="shared" si="131"/>
        <v/>
      </c>
      <c r="I2105" s="1" t="str">
        <f t="shared" si="129"/>
        <v>威尔新数值1.06.xlsm!suitPower</v>
      </c>
    </row>
    <row r="2106" spans="1:9" x14ac:dyDescent="0.15">
      <c r="A2106" s="1">
        <v>2105</v>
      </c>
      <c r="B2106" s="1">
        <v>102071100</v>
      </c>
      <c r="C2106" s="1">
        <f t="shared" si="132"/>
        <v>15</v>
      </c>
      <c r="D2106" s="5">
        <f ca="1">IF(getQuality(B2106)&lt;4,getOtherMin(B2106,C2106,INDIRECT(J$2),INDIRECT(I2106),test),getMin(B2106,C2106,INDIRECT(J$2),INDIRECT(I2106),test))</f>
        <v>191.22369727444828</v>
      </c>
      <c r="E2106" s="5">
        <f ca="1">IF(getQuality(B2106)&lt;4,getOtherMax(B2106,C2106,INDIRECT(J$2),INDIRECT(I2106),test),getMax(B2106,C2106,INDIRECT(J$2),INDIRECT(I2106),test))</f>
        <v>236.63369570586491</v>
      </c>
      <c r="F2106" s="1" t="str">
        <f t="shared" si="130"/>
        <v>50</v>
      </c>
      <c r="G2106" s="1" t="str">
        <f t="shared" si="131"/>
        <v/>
      </c>
      <c r="I2106" s="1" t="str">
        <f t="shared" si="129"/>
        <v>威尔新数值1.06.xlsm!suitPower</v>
      </c>
    </row>
    <row r="2107" spans="1:9" x14ac:dyDescent="0.15">
      <c r="A2107" s="1">
        <v>2106</v>
      </c>
      <c r="B2107" s="1">
        <v>102071100</v>
      </c>
      <c r="C2107" s="1">
        <f t="shared" si="132"/>
        <v>101</v>
      </c>
      <c r="D2107" s="5">
        <f ca="1">IF(getQuality(B2107)&lt;4,getOtherMin(B2107,C2107,INDIRECT(J$2),INDIRECT(I2107),test),getMin(B2107,C2107,INDIRECT(J$2),INDIRECT(I2107),test))</f>
        <v>0.12</v>
      </c>
      <c r="E2107" s="5">
        <f ca="1">IF(getQuality(B2107)&lt;4,getOtherMax(B2107,C2107,INDIRECT(J$2),INDIRECT(I2107),test),getMax(B2107,C2107,INDIRECT(J$2),INDIRECT(I2107),test))</f>
        <v>0.15</v>
      </c>
      <c r="F2107" s="1" t="str">
        <f t="shared" si="130"/>
        <v>50</v>
      </c>
      <c r="G2107" s="1" t="str">
        <f t="shared" si="131"/>
        <v/>
      </c>
      <c r="I2107" s="1" t="str">
        <f t="shared" si="129"/>
        <v>威尔新数值1.06.xlsm!circlePer</v>
      </c>
    </row>
    <row r="2108" spans="1:9" x14ac:dyDescent="0.15">
      <c r="A2108" s="1">
        <v>2107</v>
      </c>
      <c r="B2108" s="1">
        <v>102071100</v>
      </c>
      <c r="C2108" s="1">
        <f t="shared" si="132"/>
        <v>102</v>
      </c>
      <c r="D2108" s="5">
        <f ca="1">IF(getQuality(B2108)&lt;4,getOtherMin(B2108,C2108,INDIRECT(J$2),INDIRECT(I2108),test),getMin(B2108,C2108,INDIRECT(J$2),INDIRECT(I2108),test))</f>
        <v>1</v>
      </c>
      <c r="E2108" s="5">
        <f ca="1">IF(getQuality(B2108)&lt;4,getOtherMax(B2108,C2108,INDIRECT(J$2),INDIRECT(I2108),test),getMax(B2108,C2108,INDIRECT(J$2),INDIRECT(I2108),test))</f>
        <v>1.4</v>
      </c>
      <c r="F2108" s="1" t="str">
        <f t="shared" si="130"/>
        <v>50</v>
      </c>
      <c r="G2108" s="1" t="str">
        <f t="shared" si="131"/>
        <v/>
      </c>
      <c r="I2108" s="1" t="str">
        <f t="shared" si="129"/>
        <v>威尔新数值1.06.xlsm!circleValue</v>
      </c>
    </row>
    <row r="2109" spans="1:9" x14ac:dyDescent="0.15">
      <c r="A2109" s="1">
        <v>2108</v>
      </c>
      <c r="B2109" s="1">
        <v>102071100</v>
      </c>
      <c r="C2109" s="1">
        <f t="shared" si="132"/>
        <v>103</v>
      </c>
      <c r="D2109" s="5">
        <f ca="1">IF(getQuality(B2109)&lt;4,getOtherMin(B2109,C2109,INDIRECT(J$2),INDIRECT(I2109),test),getMin(B2109,C2109,INDIRECT(J$2),INDIRECT(I2109),test))</f>
        <v>0.12</v>
      </c>
      <c r="E2109" s="5">
        <f ca="1">IF(getQuality(B2109)&lt;4,getOtherMax(B2109,C2109,INDIRECT(J$2),INDIRECT(I2109),test),getMax(B2109,C2109,INDIRECT(J$2),INDIRECT(I2109),test))</f>
        <v>0.15</v>
      </c>
      <c r="F2109" s="1" t="str">
        <f t="shared" si="130"/>
        <v>50</v>
      </c>
      <c r="G2109" s="1" t="str">
        <f t="shared" si="131"/>
        <v/>
      </c>
      <c r="I2109" s="1" t="str">
        <f t="shared" si="129"/>
        <v>威尔新数值1.06.xlsm!otherDamage</v>
      </c>
    </row>
    <row r="2110" spans="1:9" x14ac:dyDescent="0.15">
      <c r="A2110" s="1">
        <v>2109</v>
      </c>
      <c r="B2110" s="1">
        <v>102071100</v>
      </c>
      <c r="C2110" s="1">
        <f t="shared" si="132"/>
        <v>104</v>
      </c>
      <c r="D2110" s="5">
        <f ca="1">IF(getQuality(B2110)&lt;4,getOtherMin(B2110,C2110,INDIRECT(J$2),INDIRECT(I2110),test),getMin(B2110,C2110,INDIRECT(J$2),INDIRECT(I2110),test))</f>
        <v>0.12</v>
      </c>
      <c r="E2110" s="5">
        <f ca="1">IF(getQuality(B2110)&lt;4,getOtherMax(B2110,C2110,INDIRECT(J$2),INDIRECT(I2110),test),getMax(B2110,C2110,INDIRECT(J$2),INDIRECT(I2110),test))</f>
        <v>0.24</v>
      </c>
      <c r="F2110" s="1" t="str">
        <f t="shared" si="130"/>
        <v>50</v>
      </c>
      <c r="G2110" s="1" t="str">
        <f t="shared" si="131"/>
        <v/>
      </c>
      <c r="I2110" s="1" t="str">
        <f t="shared" si="129"/>
        <v>威尔新数值1.06.xlsm!monsterDamage</v>
      </c>
    </row>
    <row r="2111" spans="1:9" x14ac:dyDescent="0.15">
      <c r="A2111" s="1">
        <v>2110</v>
      </c>
      <c r="B2111" s="1">
        <v>102071100</v>
      </c>
      <c r="C2111" s="1">
        <f t="shared" si="132"/>
        <v>105</v>
      </c>
      <c r="D2111" s="5">
        <f ca="1">IF(getQuality(B2111)&lt;4,getOtherMin(B2111,C2111,INDIRECT(J$2),INDIRECT(I2111),test),getMin(B2111,C2111,INDIRECT(J$2),INDIRECT(I2111),test))</f>
        <v>0.12</v>
      </c>
      <c r="E2111" s="5">
        <f ca="1">IF(getQuality(B2111)&lt;4,getOtherMax(B2111,C2111,INDIRECT(J$2),INDIRECT(I2111),test),getMax(B2111,C2111,INDIRECT(J$2),INDIRECT(I2111),test))</f>
        <v>0.24</v>
      </c>
      <c r="F2111" s="1" t="str">
        <f t="shared" si="130"/>
        <v>50</v>
      </c>
      <c r="G2111" s="1" t="str">
        <f t="shared" si="131"/>
        <v/>
      </c>
      <c r="I2111" s="1" t="str">
        <f t="shared" si="129"/>
        <v>威尔新数值1.06.xlsm!monsterDamage</v>
      </c>
    </row>
    <row r="2112" spans="1:9" x14ac:dyDescent="0.15">
      <c r="A2112" s="1">
        <v>2111</v>
      </c>
      <c r="B2112" s="1">
        <v>102071100</v>
      </c>
      <c r="C2112" s="1">
        <f t="shared" si="132"/>
        <v>106</v>
      </c>
      <c r="D2112" s="5">
        <f ca="1">IF(getQuality(B2112)&lt;4,getOtherMin(B2112,C2112,INDIRECT(J$2),INDIRECT(I2112),test),getMin(B2112,C2112,INDIRECT(J$2),INDIRECT(I2112),test))</f>
        <v>0.12</v>
      </c>
      <c r="E2112" s="5">
        <f ca="1">IF(getQuality(B2112)&lt;4,getOtherMax(B2112,C2112,INDIRECT(J$2),INDIRECT(I2112),test),getMax(B2112,C2112,INDIRECT(J$2),INDIRECT(I2112),test))</f>
        <v>0.24</v>
      </c>
      <c r="F2112" s="1" t="str">
        <f t="shared" si="130"/>
        <v>50</v>
      </c>
      <c r="G2112" s="1" t="str">
        <f t="shared" si="131"/>
        <v/>
      </c>
      <c r="I2112" s="1" t="str">
        <f t="shared" si="129"/>
        <v>威尔新数值1.06.xlsm!monsterDamage</v>
      </c>
    </row>
    <row r="2113" spans="1:9" x14ac:dyDescent="0.15">
      <c r="A2113" s="1">
        <v>2112</v>
      </c>
      <c r="B2113" s="1">
        <v>102071100</v>
      </c>
      <c r="C2113" s="1">
        <f t="shared" si="132"/>
        <v>107</v>
      </c>
      <c r="D2113" s="5">
        <f ca="1">IF(getQuality(B2113)&lt;4,getOtherMin(B2113,C2113,INDIRECT(J$2),INDIRECT(I2113),test),getMin(B2113,C2113,INDIRECT(J$2),INDIRECT(I2113),test))</f>
        <v>0.12</v>
      </c>
      <c r="E2113" s="5">
        <f ca="1">IF(getQuality(B2113)&lt;4,getOtherMax(B2113,C2113,INDIRECT(J$2),INDIRECT(I2113),test),getMax(B2113,C2113,INDIRECT(J$2),INDIRECT(I2113),test))</f>
        <v>0.24</v>
      </c>
      <c r="F2113" s="1" t="str">
        <f t="shared" si="130"/>
        <v>50</v>
      </c>
      <c r="G2113" s="1" t="str">
        <f t="shared" si="131"/>
        <v/>
      </c>
      <c r="I2113" s="1" t="str">
        <f t="shared" si="129"/>
        <v>威尔新数值1.06.xlsm!monsterDamage</v>
      </c>
    </row>
    <row r="2114" spans="1:9" x14ac:dyDescent="0.15">
      <c r="A2114" s="1">
        <v>2113</v>
      </c>
      <c r="B2114" s="1">
        <v>102071100</v>
      </c>
      <c r="C2114" s="1">
        <f t="shared" si="132"/>
        <v>108</v>
      </c>
      <c r="D2114" s="5">
        <f ca="1">IF(getQuality(B2114)&lt;4,getOtherMin(B2114,C2114,INDIRECT(J$2),INDIRECT(I2114),test),getMin(B2114,C2114,INDIRECT(J$2),INDIRECT(I2114),test))</f>
        <v>0.12</v>
      </c>
      <c r="E2114" s="5">
        <f ca="1">IF(getQuality(B2114)&lt;4,getOtherMax(B2114,C2114,INDIRECT(J$2),INDIRECT(I2114),test),getMax(B2114,C2114,INDIRECT(J$2),INDIRECT(I2114),test))</f>
        <v>0.24</v>
      </c>
      <c r="F2114" s="1" t="str">
        <f t="shared" si="130"/>
        <v>50</v>
      </c>
      <c r="G2114" s="1" t="str">
        <f t="shared" si="131"/>
        <v/>
      </c>
      <c r="I2114" s="1" t="str">
        <f t="shared" ref="I2114:I2177" si="133">IF(C2114&lt;100,VLOOKUP(C2114,test,3,FALSE),VLOOKUP(C2114,test1,3,FALSE))</f>
        <v>威尔新数值1.06.xlsm!monsterDamage</v>
      </c>
    </row>
    <row r="2115" spans="1:9" x14ac:dyDescent="0.15">
      <c r="A2115" s="1">
        <v>2114</v>
      </c>
      <c r="B2115" s="1">
        <v>102081100</v>
      </c>
      <c r="C2115" s="1">
        <f t="shared" si="132"/>
        <v>3</v>
      </c>
      <c r="D2115" s="5">
        <f ca="1">IF(getQuality(B2115)&lt;4,getOtherMin(B2115,C2115,INDIRECT(J$2),INDIRECT(I2115),test),getMin(B2115,C2115,INDIRECT(J$2),INDIRECT(I2115),test))</f>
        <v>237.63369570586491</v>
      </c>
      <c r="E2115" s="5">
        <f ca="1">IF(getQuality(B2115)&lt;4,getOtherMax(B2115,C2115,INDIRECT(J$2),INDIRECT(I2115),test),getMax(B2115,C2115,INDIRECT(J$2),INDIRECT(I2115),test))</f>
        <v>287.24542239033156</v>
      </c>
      <c r="F2115" s="1" t="str">
        <f t="shared" ref="F2115:F2178" si="134">getper(B2115,C2115)</f>
        <v>50</v>
      </c>
      <c r="G2115" s="1" t="str">
        <f t="shared" ref="G2115:G2178" si="135">getMust(B2115,C2115)</f>
        <v/>
      </c>
      <c r="I2115" s="1" t="str">
        <f t="shared" si="133"/>
        <v>威尔新数值1.06.xlsm!suitPower</v>
      </c>
    </row>
    <row r="2116" spans="1:9" x14ac:dyDescent="0.15">
      <c r="A2116" s="1">
        <v>2115</v>
      </c>
      <c r="B2116" s="1">
        <v>102081100</v>
      </c>
      <c r="C2116" s="1">
        <f t="shared" si="132"/>
        <v>5</v>
      </c>
      <c r="D2116" s="5">
        <f ca="1">IF(getQuality(B2116)&lt;4,getOtherMin(B2116,C2116,INDIRECT(J$2),INDIRECT(I2116),test),getMin(B2116,C2116,INDIRECT(J$2),INDIRECT(I2116),test))</f>
        <v>237.63369570586491</v>
      </c>
      <c r="E2116" s="5">
        <f ca="1">IF(getQuality(B2116)&lt;4,getOtherMax(B2116,C2116,INDIRECT(J$2),INDIRECT(I2116),test),getMax(B2116,C2116,INDIRECT(J$2),INDIRECT(I2116),test))</f>
        <v>287.24542239033156</v>
      </c>
      <c r="F2116" s="1" t="str">
        <f t="shared" si="134"/>
        <v>50</v>
      </c>
      <c r="G2116" s="1" t="str">
        <f t="shared" si="135"/>
        <v>1</v>
      </c>
      <c r="I2116" s="1" t="str">
        <f t="shared" si="133"/>
        <v>威尔新数值1.06.xlsm!suitPower</v>
      </c>
    </row>
    <row r="2117" spans="1:9" x14ac:dyDescent="0.15">
      <c r="A2117" s="1">
        <v>2116</v>
      </c>
      <c r="B2117" s="1">
        <v>102081100</v>
      </c>
      <c r="C2117" s="1">
        <f t="shared" si="132"/>
        <v>7</v>
      </c>
      <c r="D2117" s="5">
        <f ca="1">IF(getQuality(B2117)&lt;4,getOtherMin(B2117,C2117,INDIRECT(J$2),INDIRECT(I2117),test),getMin(B2117,C2117,INDIRECT(J$2),INDIRECT(I2117),test))</f>
        <v>46.370370370370253</v>
      </c>
      <c r="E2117" s="5">
        <f ca="1">IF(getQuality(B2117)&lt;4,getOtherMax(B2117,C2117,INDIRECT(J$2),INDIRECT(I2117),test),getMax(B2117,C2117,INDIRECT(J$2),INDIRECT(I2117),test))</f>
        <v>51.85185185185172</v>
      </c>
      <c r="F2117" s="1" t="str">
        <f t="shared" si="134"/>
        <v>50</v>
      </c>
      <c r="G2117" s="1" t="str">
        <f t="shared" si="135"/>
        <v/>
      </c>
      <c r="I2117" s="1" t="str">
        <f t="shared" si="133"/>
        <v>威尔新数值1.06.xlsm!suitPower</v>
      </c>
    </row>
    <row r="2118" spans="1:9" x14ac:dyDescent="0.15">
      <c r="A2118" s="1">
        <v>2117</v>
      </c>
      <c r="B2118" s="1">
        <v>102081100</v>
      </c>
      <c r="C2118" s="1">
        <f t="shared" si="132"/>
        <v>8</v>
      </c>
      <c r="D2118" s="5">
        <f ca="1">IF(getQuality(B2118)&lt;4,getOtherMin(B2118,C2118,INDIRECT(J$2),INDIRECT(I2118),test),getMin(B2118,C2118,INDIRECT(J$2),INDIRECT(I2118),test))</f>
        <v>103.08333333333333</v>
      </c>
      <c r="E2118" s="5">
        <f ca="1">IF(getQuality(B2118)&lt;4,getOtherMax(B2118,C2118,INDIRECT(J$2),INDIRECT(I2118),test),getMax(B2118,C2118,INDIRECT(J$2),INDIRECT(I2118),test))</f>
        <v>116.66666666666667</v>
      </c>
      <c r="F2118" s="1" t="str">
        <f t="shared" si="134"/>
        <v>50</v>
      </c>
      <c r="G2118" s="1" t="str">
        <f t="shared" si="135"/>
        <v/>
      </c>
      <c r="I2118" s="1" t="str">
        <f t="shared" si="133"/>
        <v>威尔新数值1.06.xlsm!suitPower</v>
      </c>
    </row>
    <row r="2119" spans="1:9" x14ac:dyDescent="0.15">
      <c r="A2119" s="1">
        <v>2118</v>
      </c>
      <c r="B2119" s="1">
        <v>102081100</v>
      </c>
      <c r="C2119" s="1">
        <f t="shared" si="132"/>
        <v>9</v>
      </c>
      <c r="D2119" s="5">
        <f ca="1">IF(getQuality(B2119)&lt;4,getOtherMin(B2119,C2119,INDIRECT(J$2),INDIRECT(I2119),test),getMin(B2119,C2119,INDIRECT(J$2),INDIRECT(I2119),test))</f>
        <v>237.63369570586491</v>
      </c>
      <c r="E2119" s="5">
        <f ca="1">IF(getQuality(B2119)&lt;4,getOtherMax(B2119,C2119,INDIRECT(J$2),INDIRECT(I2119),test),getMax(B2119,C2119,INDIRECT(J$2),INDIRECT(I2119),test))</f>
        <v>287.24542239033156</v>
      </c>
      <c r="F2119" s="1" t="str">
        <f t="shared" si="134"/>
        <v>50</v>
      </c>
      <c r="G2119" s="1" t="str">
        <f t="shared" si="135"/>
        <v/>
      </c>
      <c r="I2119" s="1" t="str">
        <f t="shared" si="133"/>
        <v>威尔新数值1.06.xlsm!suitPower</v>
      </c>
    </row>
    <row r="2120" spans="1:9" x14ac:dyDescent="0.15">
      <c r="A2120" s="1">
        <v>2119</v>
      </c>
      <c r="B2120" s="1">
        <v>102081100</v>
      </c>
      <c r="C2120" s="1">
        <f t="shared" si="132"/>
        <v>10</v>
      </c>
      <c r="D2120" s="5">
        <f ca="1">IF(getQuality(B2120)&lt;4,getOtherMin(B2120,C2120,INDIRECT(J$2),INDIRECT(I2120),test),getMin(B2120,C2120,INDIRECT(J$2),INDIRECT(I2120),test))</f>
        <v>237.63369570586491</v>
      </c>
      <c r="E2120" s="5">
        <f ca="1">IF(getQuality(B2120)&lt;4,getOtherMax(B2120,C2120,INDIRECT(J$2),INDIRECT(I2120),test),getMax(B2120,C2120,INDIRECT(J$2),INDIRECT(I2120),test))</f>
        <v>287.24542239033156</v>
      </c>
      <c r="F2120" s="1" t="str">
        <f t="shared" si="134"/>
        <v>50</v>
      </c>
      <c r="G2120" s="1" t="str">
        <f t="shared" si="135"/>
        <v/>
      </c>
      <c r="I2120" s="1" t="str">
        <f t="shared" si="133"/>
        <v>威尔新数值1.06.xlsm!suitPower</v>
      </c>
    </row>
    <row r="2121" spans="1:9" x14ac:dyDescent="0.15">
      <c r="A2121" s="1">
        <v>2120</v>
      </c>
      <c r="B2121" s="1">
        <v>102081100</v>
      </c>
      <c r="C2121" s="1">
        <f t="shared" si="132"/>
        <v>11</v>
      </c>
      <c r="D2121" s="5">
        <f ca="1">IF(getQuality(B2121)&lt;4,getOtherMin(B2121,C2121,INDIRECT(J$2),INDIRECT(I2121),test),getMin(B2121,C2121,INDIRECT(J$2),INDIRECT(I2121),test))</f>
        <v>237.63369570586491</v>
      </c>
      <c r="E2121" s="5">
        <f ca="1">IF(getQuality(B2121)&lt;4,getOtherMax(B2121,C2121,INDIRECT(J$2),INDIRECT(I2121),test),getMax(B2121,C2121,INDIRECT(J$2),INDIRECT(I2121),test))</f>
        <v>287.24542239033156</v>
      </c>
      <c r="F2121" s="1" t="str">
        <f t="shared" si="134"/>
        <v>50</v>
      </c>
      <c r="G2121" s="1" t="str">
        <f t="shared" si="135"/>
        <v/>
      </c>
      <c r="I2121" s="1" t="str">
        <f t="shared" si="133"/>
        <v>威尔新数值1.06.xlsm!suitPower</v>
      </c>
    </row>
    <row r="2122" spans="1:9" x14ac:dyDescent="0.15">
      <c r="A2122" s="1">
        <v>2121</v>
      </c>
      <c r="B2122" s="1">
        <v>102081100</v>
      </c>
      <c r="C2122" s="1">
        <f t="shared" si="132"/>
        <v>12</v>
      </c>
      <c r="D2122" s="5">
        <f ca="1">IF(getQuality(B2122)&lt;4,getOtherMin(B2122,C2122,INDIRECT(J$2),INDIRECT(I2122),test),getMin(B2122,C2122,INDIRECT(J$2),INDIRECT(I2122),test))</f>
        <v>237.63369570586491</v>
      </c>
      <c r="E2122" s="5">
        <f ca="1">IF(getQuality(B2122)&lt;4,getOtherMax(B2122,C2122,INDIRECT(J$2),INDIRECT(I2122),test),getMax(B2122,C2122,INDIRECT(J$2),INDIRECT(I2122),test))</f>
        <v>287.24542239033156</v>
      </c>
      <c r="F2122" s="1" t="str">
        <f t="shared" si="134"/>
        <v>50</v>
      </c>
      <c r="G2122" s="1" t="str">
        <f t="shared" si="135"/>
        <v/>
      </c>
      <c r="I2122" s="1" t="str">
        <f t="shared" si="133"/>
        <v>威尔新数值1.06.xlsm!suitPower</v>
      </c>
    </row>
    <row r="2123" spans="1:9" x14ac:dyDescent="0.15">
      <c r="A2123" s="1">
        <v>2122</v>
      </c>
      <c r="B2123" s="1">
        <v>102081100</v>
      </c>
      <c r="C2123" s="1">
        <f t="shared" si="132"/>
        <v>13</v>
      </c>
      <c r="D2123" s="5">
        <f ca="1">IF(getQuality(B2123)&lt;4,getOtherMin(B2123,C2123,INDIRECT(J$2),INDIRECT(I2123),test),getMin(B2123,C2123,INDIRECT(J$2),INDIRECT(I2123),test))</f>
        <v>237.63369570586491</v>
      </c>
      <c r="E2123" s="5">
        <f ca="1">IF(getQuality(B2123)&lt;4,getOtherMax(B2123,C2123,INDIRECT(J$2),INDIRECT(I2123),test),getMax(B2123,C2123,INDIRECT(J$2),INDIRECT(I2123),test))</f>
        <v>287.24542239033156</v>
      </c>
      <c r="F2123" s="1" t="str">
        <f t="shared" si="134"/>
        <v>50</v>
      </c>
      <c r="G2123" s="1" t="str">
        <f t="shared" si="135"/>
        <v/>
      </c>
      <c r="I2123" s="1" t="str">
        <f t="shared" si="133"/>
        <v>威尔新数值1.06.xlsm!suitPower</v>
      </c>
    </row>
    <row r="2124" spans="1:9" x14ac:dyDescent="0.15">
      <c r="A2124" s="1">
        <v>2123</v>
      </c>
      <c r="B2124" s="1">
        <v>102081100</v>
      </c>
      <c r="C2124" s="1">
        <f t="shared" si="132"/>
        <v>14</v>
      </c>
      <c r="D2124" s="5">
        <f ca="1">IF(getQuality(B2124)&lt;4,getOtherMin(B2124,C2124,INDIRECT(J$2),INDIRECT(I2124),test),getMin(B2124,C2124,INDIRECT(J$2),INDIRECT(I2124),test))</f>
        <v>237.63369570586491</v>
      </c>
      <c r="E2124" s="5">
        <f ca="1">IF(getQuality(B2124)&lt;4,getOtherMax(B2124,C2124,INDIRECT(J$2),INDIRECT(I2124),test),getMax(B2124,C2124,INDIRECT(J$2),INDIRECT(I2124),test))</f>
        <v>287.24542239033156</v>
      </c>
      <c r="F2124" s="1" t="str">
        <f t="shared" si="134"/>
        <v>50</v>
      </c>
      <c r="G2124" s="1" t="str">
        <f t="shared" si="135"/>
        <v/>
      </c>
      <c r="I2124" s="1" t="str">
        <f t="shared" si="133"/>
        <v>威尔新数值1.06.xlsm!suitPower</v>
      </c>
    </row>
    <row r="2125" spans="1:9" x14ac:dyDescent="0.15">
      <c r="A2125" s="1">
        <v>2124</v>
      </c>
      <c r="B2125" s="1">
        <v>102081100</v>
      </c>
      <c r="C2125" s="1">
        <f t="shared" si="132"/>
        <v>15</v>
      </c>
      <c r="D2125" s="5">
        <f ca="1">IF(getQuality(B2125)&lt;4,getOtherMin(B2125,C2125,INDIRECT(J$2),INDIRECT(I2125),test),getMin(B2125,C2125,INDIRECT(J$2),INDIRECT(I2125),test))</f>
        <v>237.63369570586491</v>
      </c>
      <c r="E2125" s="5">
        <f ca="1">IF(getQuality(B2125)&lt;4,getOtherMax(B2125,C2125,INDIRECT(J$2),INDIRECT(I2125),test),getMax(B2125,C2125,INDIRECT(J$2),INDIRECT(I2125),test))</f>
        <v>287.24542239033156</v>
      </c>
      <c r="F2125" s="1" t="str">
        <f t="shared" si="134"/>
        <v>50</v>
      </c>
      <c r="G2125" s="1" t="str">
        <f t="shared" si="135"/>
        <v/>
      </c>
      <c r="I2125" s="1" t="str">
        <f t="shared" si="133"/>
        <v>威尔新数值1.06.xlsm!suitPower</v>
      </c>
    </row>
    <row r="2126" spans="1:9" x14ac:dyDescent="0.15">
      <c r="A2126" s="1">
        <v>2125</v>
      </c>
      <c r="B2126" s="1">
        <v>102081100</v>
      </c>
      <c r="C2126" s="1">
        <f t="shared" si="132"/>
        <v>101</v>
      </c>
      <c r="D2126" s="5">
        <f ca="1">IF(getQuality(B2126)&lt;4,getOtherMin(B2126,C2126,INDIRECT(J$2),INDIRECT(I2126),test),getMin(B2126,C2126,INDIRECT(J$2),INDIRECT(I2126),test))</f>
        <v>0.13</v>
      </c>
      <c r="E2126" s="5">
        <f ca="1">IF(getQuality(B2126)&lt;4,getOtherMax(B2126,C2126,INDIRECT(J$2),INDIRECT(I2126),test),getMax(B2126,C2126,INDIRECT(J$2),INDIRECT(I2126),test))</f>
        <v>0.16</v>
      </c>
      <c r="F2126" s="1" t="str">
        <f t="shared" si="134"/>
        <v>50</v>
      </c>
      <c r="G2126" s="1" t="str">
        <f t="shared" si="135"/>
        <v/>
      </c>
      <c r="I2126" s="1" t="str">
        <f t="shared" si="133"/>
        <v>威尔新数值1.06.xlsm!circlePer</v>
      </c>
    </row>
    <row r="2127" spans="1:9" x14ac:dyDescent="0.15">
      <c r="A2127" s="1">
        <v>2126</v>
      </c>
      <c r="B2127" s="1">
        <v>102081100</v>
      </c>
      <c r="C2127" s="1">
        <f t="shared" si="132"/>
        <v>102</v>
      </c>
      <c r="D2127" s="5">
        <f ca="1">IF(getQuality(B2127)&lt;4,getOtherMin(B2127,C2127,INDIRECT(J$2),INDIRECT(I2127),test),getMin(B2127,C2127,INDIRECT(J$2),INDIRECT(I2127),test))</f>
        <v>1.1000000000000001</v>
      </c>
      <c r="E2127" s="5">
        <f ca="1">IF(getQuality(B2127)&lt;4,getOtherMax(B2127,C2127,INDIRECT(J$2),INDIRECT(I2127),test),getMax(B2127,C2127,INDIRECT(J$2),INDIRECT(I2127),test))</f>
        <v>1.5</v>
      </c>
      <c r="F2127" s="1" t="str">
        <f t="shared" si="134"/>
        <v>50</v>
      </c>
      <c r="G2127" s="1" t="str">
        <f t="shared" si="135"/>
        <v/>
      </c>
      <c r="I2127" s="1" t="str">
        <f t="shared" si="133"/>
        <v>威尔新数值1.06.xlsm!circleValue</v>
      </c>
    </row>
    <row r="2128" spans="1:9" x14ac:dyDescent="0.15">
      <c r="A2128" s="1">
        <v>2127</v>
      </c>
      <c r="B2128" s="1">
        <v>102081100</v>
      </c>
      <c r="C2128" s="1">
        <f t="shared" si="132"/>
        <v>103</v>
      </c>
      <c r="D2128" s="5">
        <f ca="1">IF(getQuality(B2128)&lt;4,getOtherMin(B2128,C2128,INDIRECT(J$2),INDIRECT(I2128),test),getMin(B2128,C2128,INDIRECT(J$2),INDIRECT(I2128),test))</f>
        <v>0.13</v>
      </c>
      <c r="E2128" s="5">
        <f ca="1">IF(getQuality(B2128)&lt;4,getOtherMax(B2128,C2128,INDIRECT(J$2),INDIRECT(I2128),test),getMax(B2128,C2128,INDIRECT(J$2),INDIRECT(I2128),test))</f>
        <v>0.16</v>
      </c>
      <c r="F2128" s="1" t="str">
        <f t="shared" si="134"/>
        <v>50</v>
      </c>
      <c r="G2128" s="1" t="str">
        <f t="shared" si="135"/>
        <v/>
      </c>
      <c r="I2128" s="1" t="str">
        <f t="shared" si="133"/>
        <v>威尔新数值1.06.xlsm!otherDamage</v>
      </c>
    </row>
    <row r="2129" spans="1:9" x14ac:dyDescent="0.15">
      <c r="A2129" s="1">
        <v>2128</v>
      </c>
      <c r="B2129" s="1">
        <v>102081100</v>
      </c>
      <c r="C2129" s="1">
        <f t="shared" si="132"/>
        <v>104</v>
      </c>
      <c r="D2129" s="5">
        <f ca="1">IF(getQuality(B2129)&lt;4,getOtherMin(B2129,C2129,INDIRECT(J$2),INDIRECT(I2129),test),getMin(B2129,C2129,INDIRECT(J$2),INDIRECT(I2129),test))</f>
        <v>0.13</v>
      </c>
      <c r="E2129" s="5">
        <f ca="1">IF(getQuality(B2129)&lt;4,getOtherMax(B2129,C2129,INDIRECT(J$2),INDIRECT(I2129),test),getMax(B2129,C2129,INDIRECT(J$2),INDIRECT(I2129),test))</f>
        <v>0.26</v>
      </c>
      <c r="F2129" s="1" t="str">
        <f t="shared" si="134"/>
        <v>50</v>
      </c>
      <c r="G2129" s="1" t="str">
        <f t="shared" si="135"/>
        <v/>
      </c>
      <c r="I2129" s="1" t="str">
        <f t="shared" si="133"/>
        <v>威尔新数值1.06.xlsm!monsterDamage</v>
      </c>
    </row>
    <row r="2130" spans="1:9" x14ac:dyDescent="0.15">
      <c r="A2130" s="1">
        <v>2129</v>
      </c>
      <c r="B2130" s="1">
        <v>102081100</v>
      </c>
      <c r="C2130" s="1">
        <f t="shared" si="132"/>
        <v>105</v>
      </c>
      <c r="D2130" s="5">
        <f ca="1">IF(getQuality(B2130)&lt;4,getOtherMin(B2130,C2130,INDIRECT(J$2),INDIRECT(I2130),test),getMin(B2130,C2130,INDIRECT(J$2),INDIRECT(I2130),test))</f>
        <v>0.13</v>
      </c>
      <c r="E2130" s="5">
        <f ca="1">IF(getQuality(B2130)&lt;4,getOtherMax(B2130,C2130,INDIRECT(J$2),INDIRECT(I2130),test),getMax(B2130,C2130,INDIRECT(J$2),INDIRECT(I2130),test))</f>
        <v>0.26</v>
      </c>
      <c r="F2130" s="1" t="str">
        <f t="shared" si="134"/>
        <v>50</v>
      </c>
      <c r="G2130" s="1" t="str">
        <f t="shared" si="135"/>
        <v/>
      </c>
      <c r="I2130" s="1" t="str">
        <f t="shared" si="133"/>
        <v>威尔新数值1.06.xlsm!monsterDamage</v>
      </c>
    </row>
    <row r="2131" spans="1:9" x14ac:dyDescent="0.15">
      <c r="A2131" s="1">
        <v>2130</v>
      </c>
      <c r="B2131" s="1">
        <v>102081100</v>
      </c>
      <c r="C2131" s="1">
        <f t="shared" si="132"/>
        <v>106</v>
      </c>
      <c r="D2131" s="5">
        <f ca="1">IF(getQuality(B2131)&lt;4,getOtherMin(B2131,C2131,INDIRECT(J$2),INDIRECT(I2131),test),getMin(B2131,C2131,INDIRECT(J$2),INDIRECT(I2131),test))</f>
        <v>0.13</v>
      </c>
      <c r="E2131" s="5">
        <f ca="1">IF(getQuality(B2131)&lt;4,getOtherMax(B2131,C2131,INDIRECT(J$2),INDIRECT(I2131),test),getMax(B2131,C2131,INDIRECT(J$2),INDIRECT(I2131),test))</f>
        <v>0.26</v>
      </c>
      <c r="F2131" s="1" t="str">
        <f t="shared" si="134"/>
        <v>50</v>
      </c>
      <c r="G2131" s="1" t="str">
        <f t="shared" si="135"/>
        <v/>
      </c>
      <c r="I2131" s="1" t="str">
        <f t="shared" si="133"/>
        <v>威尔新数值1.06.xlsm!monsterDamage</v>
      </c>
    </row>
    <row r="2132" spans="1:9" x14ac:dyDescent="0.15">
      <c r="A2132" s="1">
        <v>2131</v>
      </c>
      <c r="B2132" s="1">
        <v>102081100</v>
      </c>
      <c r="C2132" s="1">
        <f t="shared" si="132"/>
        <v>107</v>
      </c>
      <c r="D2132" s="5">
        <f ca="1">IF(getQuality(B2132)&lt;4,getOtherMin(B2132,C2132,INDIRECT(J$2),INDIRECT(I2132),test),getMin(B2132,C2132,INDIRECT(J$2),INDIRECT(I2132),test))</f>
        <v>0.13</v>
      </c>
      <c r="E2132" s="5">
        <f ca="1">IF(getQuality(B2132)&lt;4,getOtherMax(B2132,C2132,INDIRECT(J$2),INDIRECT(I2132),test),getMax(B2132,C2132,INDIRECT(J$2),INDIRECT(I2132),test))</f>
        <v>0.26</v>
      </c>
      <c r="F2132" s="1" t="str">
        <f t="shared" si="134"/>
        <v>50</v>
      </c>
      <c r="G2132" s="1" t="str">
        <f t="shared" si="135"/>
        <v/>
      </c>
      <c r="I2132" s="1" t="str">
        <f t="shared" si="133"/>
        <v>威尔新数值1.06.xlsm!monsterDamage</v>
      </c>
    </row>
    <row r="2133" spans="1:9" x14ac:dyDescent="0.15">
      <c r="A2133" s="1">
        <v>2132</v>
      </c>
      <c r="B2133" s="1">
        <v>102081100</v>
      </c>
      <c r="C2133" s="1">
        <f t="shared" si="132"/>
        <v>108</v>
      </c>
      <c r="D2133" s="5">
        <f ca="1">IF(getQuality(B2133)&lt;4,getOtherMin(B2133,C2133,INDIRECT(J$2),INDIRECT(I2133),test),getMin(B2133,C2133,INDIRECT(J$2),INDIRECT(I2133),test))</f>
        <v>0.13</v>
      </c>
      <c r="E2133" s="5">
        <f ca="1">IF(getQuality(B2133)&lt;4,getOtherMax(B2133,C2133,INDIRECT(J$2),INDIRECT(I2133),test),getMax(B2133,C2133,INDIRECT(J$2),INDIRECT(I2133),test))</f>
        <v>0.26</v>
      </c>
      <c r="F2133" s="1" t="str">
        <f t="shared" si="134"/>
        <v>50</v>
      </c>
      <c r="G2133" s="1" t="str">
        <f t="shared" si="135"/>
        <v/>
      </c>
      <c r="I2133" s="1" t="str">
        <f t="shared" si="133"/>
        <v>威尔新数值1.06.xlsm!monsterDamage</v>
      </c>
    </row>
    <row r="2134" spans="1:9" x14ac:dyDescent="0.15">
      <c r="A2134" s="1">
        <v>2133</v>
      </c>
      <c r="B2134" s="1">
        <v>102091100</v>
      </c>
      <c r="C2134" s="1">
        <f t="shared" si="132"/>
        <v>3</v>
      </c>
      <c r="D2134" s="5">
        <f ca="1">IF(getQuality(B2134)&lt;4,getOtherMin(B2134,C2134,INDIRECT(J$2),INDIRECT(I2134),test),getMin(B2134,C2134,INDIRECT(J$2),INDIRECT(I2134),test))</f>
        <v>288.24542239033156</v>
      </c>
      <c r="E2134" s="5">
        <f ca="1">IF(getQuality(B2134)&lt;4,getOtherMax(B2134,C2134,INDIRECT(J$2),INDIRECT(I2134),test),getMax(B2134,C2134,INDIRECT(J$2),INDIRECT(I2134),test))</f>
        <v>342.05887732784834</v>
      </c>
      <c r="F2134" s="1" t="str">
        <f t="shared" si="134"/>
        <v>50</v>
      </c>
      <c r="G2134" s="1" t="str">
        <f t="shared" si="135"/>
        <v/>
      </c>
      <c r="I2134" s="1" t="str">
        <f t="shared" si="133"/>
        <v>威尔新数值1.06.xlsm!suitPower</v>
      </c>
    </row>
    <row r="2135" spans="1:9" x14ac:dyDescent="0.15">
      <c r="A2135" s="1">
        <v>2134</v>
      </c>
      <c r="B2135" s="1">
        <v>102091100</v>
      </c>
      <c r="C2135" s="1">
        <f t="shared" si="132"/>
        <v>5</v>
      </c>
      <c r="D2135" s="5">
        <f ca="1">IF(getQuality(B2135)&lt;4,getOtherMin(B2135,C2135,INDIRECT(J$2),INDIRECT(I2135),test),getMin(B2135,C2135,INDIRECT(J$2),INDIRECT(I2135),test))</f>
        <v>288.24542239033156</v>
      </c>
      <c r="E2135" s="5">
        <f ca="1">IF(getQuality(B2135)&lt;4,getOtherMax(B2135,C2135,INDIRECT(J$2),INDIRECT(I2135),test),getMax(B2135,C2135,INDIRECT(J$2),INDIRECT(I2135),test))</f>
        <v>342.05887732784834</v>
      </c>
      <c r="F2135" s="1" t="str">
        <f t="shared" si="134"/>
        <v>50</v>
      </c>
      <c r="G2135" s="1" t="str">
        <f t="shared" si="135"/>
        <v>1</v>
      </c>
      <c r="I2135" s="1" t="str">
        <f t="shared" si="133"/>
        <v>威尔新数值1.06.xlsm!suitPower</v>
      </c>
    </row>
    <row r="2136" spans="1:9" x14ac:dyDescent="0.15">
      <c r="A2136" s="1">
        <v>2135</v>
      </c>
      <c r="B2136" s="1">
        <v>102091100</v>
      </c>
      <c r="C2136" s="1">
        <f t="shared" si="132"/>
        <v>7</v>
      </c>
      <c r="D2136" s="5">
        <f ca="1">IF(getQuality(B2136)&lt;4,getOtherMin(B2136,C2136,INDIRECT(J$2),INDIRECT(I2136),test),getMin(B2136,C2136,INDIRECT(J$2),INDIRECT(I2136),test))</f>
        <v>52.85185185185172</v>
      </c>
      <c r="E2136" s="5">
        <f ca="1">IF(getQuality(B2136)&lt;4,getOtherMax(B2136,C2136,INDIRECT(J$2),INDIRECT(I2136),test),getMax(B2136,C2136,INDIRECT(J$2),INDIRECT(I2136),test))</f>
        <v>58.333333333333186</v>
      </c>
      <c r="F2136" s="1" t="str">
        <f t="shared" si="134"/>
        <v>50</v>
      </c>
      <c r="G2136" s="1" t="str">
        <f t="shared" si="135"/>
        <v/>
      </c>
      <c r="I2136" s="1" t="str">
        <f t="shared" si="133"/>
        <v>威尔新数值1.06.xlsm!suitPower</v>
      </c>
    </row>
    <row r="2137" spans="1:9" x14ac:dyDescent="0.15">
      <c r="A2137" s="1">
        <v>2136</v>
      </c>
      <c r="B2137" s="1">
        <v>102091100</v>
      </c>
      <c r="C2137" s="1">
        <f t="shared" si="132"/>
        <v>8</v>
      </c>
      <c r="D2137" s="5">
        <f ca="1">IF(getQuality(B2137)&lt;4,getOtherMin(B2137,C2137,INDIRECT(J$2),INDIRECT(I2137),test),getMin(B2137,C2137,INDIRECT(J$2),INDIRECT(I2137),test))</f>
        <v>117.66666666666667</v>
      </c>
      <c r="E2137" s="5">
        <f ca="1">IF(getQuality(B2137)&lt;4,getOtherMax(B2137,C2137,INDIRECT(J$2),INDIRECT(I2137),test),getMax(B2137,C2137,INDIRECT(J$2),INDIRECT(I2137),test))</f>
        <v>131.25</v>
      </c>
      <c r="F2137" s="1" t="str">
        <f t="shared" si="134"/>
        <v>50</v>
      </c>
      <c r="G2137" s="1" t="str">
        <f t="shared" si="135"/>
        <v/>
      </c>
      <c r="I2137" s="1" t="str">
        <f t="shared" si="133"/>
        <v>威尔新数值1.06.xlsm!suitPower</v>
      </c>
    </row>
    <row r="2138" spans="1:9" x14ac:dyDescent="0.15">
      <c r="A2138" s="1">
        <v>2137</v>
      </c>
      <c r="B2138" s="1">
        <v>102091100</v>
      </c>
      <c r="C2138" s="1">
        <f t="shared" si="132"/>
        <v>9</v>
      </c>
      <c r="D2138" s="5">
        <f ca="1">IF(getQuality(B2138)&lt;4,getOtherMin(B2138,C2138,INDIRECT(J$2),INDIRECT(I2138),test),getMin(B2138,C2138,INDIRECT(J$2),INDIRECT(I2138),test))</f>
        <v>288.24542239033156</v>
      </c>
      <c r="E2138" s="5">
        <f ca="1">IF(getQuality(B2138)&lt;4,getOtherMax(B2138,C2138,INDIRECT(J$2),INDIRECT(I2138),test),getMax(B2138,C2138,INDIRECT(J$2),INDIRECT(I2138),test))</f>
        <v>342.05887732784834</v>
      </c>
      <c r="F2138" s="1" t="str">
        <f t="shared" si="134"/>
        <v>50</v>
      </c>
      <c r="G2138" s="1" t="str">
        <f t="shared" si="135"/>
        <v/>
      </c>
      <c r="I2138" s="1" t="str">
        <f t="shared" si="133"/>
        <v>威尔新数值1.06.xlsm!suitPower</v>
      </c>
    </row>
    <row r="2139" spans="1:9" x14ac:dyDescent="0.15">
      <c r="A2139" s="1">
        <v>2138</v>
      </c>
      <c r="B2139" s="1">
        <v>102091100</v>
      </c>
      <c r="C2139" s="1">
        <f t="shared" si="132"/>
        <v>10</v>
      </c>
      <c r="D2139" s="5">
        <f ca="1">IF(getQuality(B2139)&lt;4,getOtherMin(B2139,C2139,INDIRECT(J$2),INDIRECT(I2139),test),getMin(B2139,C2139,INDIRECT(J$2),INDIRECT(I2139),test))</f>
        <v>288.24542239033156</v>
      </c>
      <c r="E2139" s="5">
        <f ca="1">IF(getQuality(B2139)&lt;4,getOtherMax(B2139,C2139,INDIRECT(J$2),INDIRECT(I2139),test),getMax(B2139,C2139,INDIRECT(J$2),INDIRECT(I2139),test))</f>
        <v>342.05887732784834</v>
      </c>
      <c r="F2139" s="1" t="str">
        <f t="shared" si="134"/>
        <v>50</v>
      </c>
      <c r="G2139" s="1" t="str">
        <f t="shared" si="135"/>
        <v/>
      </c>
      <c r="I2139" s="1" t="str">
        <f t="shared" si="133"/>
        <v>威尔新数值1.06.xlsm!suitPower</v>
      </c>
    </row>
    <row r="2140" spans="1:9" x14ac:dyDescent="0.15">
      <c r="A2140" s="1">
        <v>2139</v>
      </c>
      <c r="B2140" s="1">
        <v>102091100</v>
      </c>
      <c r="C2140" s="1">
        <f t="shared" si="132"/>
        <v>11</v>
      </c>
      <c r="D2140" s="5">
        <f ca="1">IF(getQuality(B2140)&lt;4,getOtherMin(B2140,C2140,INDIRECT(J$2),INDIRECT(I2140),test),getMin(B2140,C2140,INDIRECT(J$2),INDIRECT(I2140),test))</f>
        <v>288.24542239033156</v>
      </c>
      <c r="E2140" s="5">
        <f ca="1">IF(getQuality(B2140)&lt;4,getOtherMax(B2140,C2140,INDIRECT(J$2),INDIRECT(I2140),test),getMax(B2140,C2140,INDIRECT(J$2),INDIRECT(I2140),test))</f>
        <v>342.05887732784834</v>
      </c>
      <c r="F2140" s="1" t="str">
        <f t="shared" si="134"/>
        <v>50</v>
      </c>
      <c r="G2140" s="1" t="str">
        <f t="shared" si="135"/>
        <v/>
      </c>
      <c r="I2140" s="1" t="str">
        <f t="shared" si="133"/>
        <v>威尔新数值1.06.xlsm!suitPower</v>
      </c>
    </row>
    <row r="2141" spans="1:9" x14ac:dyDescent="0.15">
      <c r="A2141" s="1">
        <v>2140</v>
      </c>
      <c r="B2141" s="1">
        <v>102091100</v>
      </c>
      <c r="C2141" s="1">
        <f t="shared" si="132"/>
        <v>12</v>
      </c>
      <c r="D2141" s="5">
        <f ca="1">IF(getQuality(B2141)&lt;4,getOtherMin(B2141,C2141,INDIRECT(J$2),INDIRECT(I2141),test),getMin(B2141,C2141,INDIRECT(J$2),INDIRECT(I2141),test))</f>
        <v>288.24542239033156</v>
      </c>
      <c r="E2141" s="5">
        <f ca="1">IF(getQuality(B2141)&lt;4,getOtherMax(B2141,C2141,INDIRECT(J$2),INDIRECT(I2141),test),getMax(B2141,C2141,INDIRECT(J$2),INDIRECT(I2141),test))</f>
        <v>342.05887732784834</v>
      </c>
      <c r="F2141" s="1" t="str">
        <f t="shared" si="134"/>
        <v>50</v>
      </c>
      <c r="G2141" s="1" t="str">
        <f t="shared" si="135"/>
        <v/>
      </c>
      <c r="I2141" s="1" t="str">
        <f t="shared" si="133"/>
        <v>威尔新数值1.06.xlsm!suitPower</v>
      </c>
    </row>
    <row r="2142" spans="1:9" x14ac:dyDescent="0.15">
      <c r="A2142" s="1">
        <v>2141</v>
      </c>
      <c r="B2142" s="1">
        <v>102091100</v>
      </c>
      <c r="C2142" s="1">
        <f t="shared" si="132"/>
        <v>13</v>
      </c>
      <c r="D2142" s="5">
        <f ca="1">IF(getQuality(B2142)&lt;4,getOtherMin(B2142,C2142,INDIRECT(J$2),INDIRECT(I2142),test),getMin(B2142,C2142,INDIRECT(J$2),INDIRECT(I2142),test))</f>
        <v>288.24542239033156</v>
      </c>
      <c r="E2142" s="5">
        <f ca="1">IF(getQuality(B2142)&lt;4,getOtherMax(B2142,C2142,INDIRECT(J$2),INDIRECT(I2142),test),getMax(B2142,C2142,INDIRECT(J$2),INDIRECT(I2142),test))</f>
        <v>342.05887732784834</v>
      </c>
      <c r="F2142" s="1" t="str">
        <f t="shared" si="134"/>
        <v>50</v>
      </c>
      <c r="G2142" s="1" t="str">
        <f t="shared" si="135"/>
        <v/>
      </c>
      <c r="I2142" s="1" t="str">
        <f t="shared" si="133"/>
        <v>威尔新数值1.06.xlsm!suitPower</v>
      </c>
    </row>
    <row r="2143" spans="1:9" x14ac:dyDescent="0.15">
      <c r="A2143" s="1">
        <v>2142</v>
      </c>
      <c r="B2143" s="1">
        <v>102091100</v>
      </c>
      <c r="C2143" s="1">
        <f t="shared" si="132"/>
        <v>14</v>
      </c>
      <c r="D2143" s="5">
        <f ca="1">IF(getQuality(B2143)&lt;4,getOtherMin(B2143,C2143,INDIRECT(J$2),INDIRECT(I2143),test),getMin(B2143,C2143,INDIRECT(J$2),INDIRECT(I2143),test))</f>
        <v>288.24542239033156</v>
      </c>
      <c r="E2143" s="5">
        <f ca="1">IF(getQuality(B2143)&lt;4,getOtherMax(B2143,C2143,INDIRECT(J$2),INDIRECT(I2143),test),getMax(B2143,C2143,INDIRECT(J$2),INDIRECT(I2143),test))</f>
        <v>342.05887732784834</v>
      </c>
      <c r="F2143" s="1" t="str">
        <f t="shared" si="134"/>
        <v>50</v>
      </c>
      <c r="G2143" s="1" t="str">
        <f t="shared" si="135"/>
        <v/>
      </c>
      <c r="I2143" s="1" t="str">
        <f t="shared" si="133"/>
        <v>威尔新数值1.06.xlsm!suitPower</v>
      </c>
    </row>
    <row r="2144" spans="1:9" x14ac:dyDescent="0.15">
      <c r="A2144" s="1">
        <v>2143</v>
      </c>
      <c r="B2144" s="1">
        <v>102091100</v>
      </c>
      <c r="C2144" s="1">
        <f t="shared" si="132"/>
        <v>15</v>
      </c>
      <c r="D2144" s="5">
        <f ca="1">IF(getQuality(B2144)&lt;4,getOtherMin(B2144,C2144,INDIRECT(J$2),INDIRECT(I2144),test),getMin(B2144,C2144,INDIRECT(J$2),INDIRECT(I2144),test))</f>
        <v>288.24542239033156</v>
      </c>
      <c r="E2144" s="5">
        <f ca="1">IF(getQuality(B2144)&lt;4,getOtherMax(B2144,C2144,INDIRECT(J$2),INDIRECT(I2144),test),getMax(B2144,C2144,INDIRECT(J$2),INDIRECT(I2144),test))</f>
        <v>342.05887732784834</v>
      </c>
      <c r="F2144" s="1" t="str">
        <f t="shared" si="134"/>
        <v>50</v>
      </c>
      <c r="G2144" s="1" t="str">
        <f t="shared" si="135"/>
        <v/>
      </c>
      <c r="I2144" s="1" t="str">
        <f t="shared" si="133"/>
        <v>威尔新数值1.06.xlsm!suitPower</v>
      </c>
    </row>
    <row r="2145" spans="1:9" x14ac:dyDescent="0.15">
      <c r="A2145" s="1">
        <v>2144</v>
      </c>
      <c r="B2145" s="1">
        <v>102091100</v>
      </c>
      <c r="C2145" s="1">
        <f t="shared" si="132"/>
        <v>101</v>
      </c>
      <c r="D2145" s="5">
        <f ca="1">IF(getQuality(B2145)&lt;4,getOtherMin(B2145,C2145,INDIRECT(J$2),INDIRECT(I2145),test),getMin(B2145,C2145,INDIRECT(J$2),INDIRECT(I2145),test))</f>
        <v>0.14000000000000001</v>
      </c>
      <c r="E2145" s="5">
        <f ca="1">IF(getQuality(B2145)&lt;4,getOtherMax(B2145,C2145,INDIRECT(J$2),INDIRECT(I2145),test),getMax(B2145,C2145,INDIRECT(J$2),INDIRECT(I2145),test))</f>
        <v>0.17</v>
      </c>
      <c r="F2145" s="1" t="str">
        <f t="shared" si="134"/>
        <v>50</v>
      </c>
      <c r="G2145" s="1" t="str">
        <f t="shared" si="135"/>
        <v/>
      </c>
      <c r="I2145" s="1" t="str">
        <f t="shared" si="133"/>
        <v>威尔新数值1.06.xlsm!circlePer</v>
      </c>
    </row>
    <row r="2146" spans="1:9" x14ac:dyDescent="0.15">
      <c r="A2146" s="1">
        <v>2145</v>
      </c>
      <c r="B2146" s="1">
        <v>102091100</v>
      </c>
      <c r="C2146" s="1">
        <f t="shared" si="132"/>
        <v>102</v>
      </c>
      <c r="D2146" s="5">
        <f ca="1">IF(getQuality(B2146)&lt;4,getOtherMin(B2146,C2146,INDIRECT(J$2),INDIRECT(I2146),test),getMin(B2146,C2146,INDIRECT(J$2),INDIRECT(I2146),test))</f>
        <v>1.2</v>
      </c>
      <c r="E2146" s="5">
        <f ca="1">IF(getQuality(B2146)&lt;4,getOtherMax(B2146,C2146,INDIRECT(J$2),INDIRECT(I2146),test),getMax(B2146,C2146,INDIRECT(J$2),INDIRECT(I2146),test))</f>
        <v>1.6</v>
      </c>
      <c r="F2146" s="1" t="str">
        <f t="shared" si="134"/>
        <v>50</v>
      </c>
      <c r="G2146" s="1" t="str">
        <f t="shared" si="135"/>
        <v/>
      </c>
      <c r="I2146" s="1" t="str">
        <f t="shared" si="133"/>
        <v>威尔新数值1.06.xlsm!circleValue</v>
      </c>
    </row>
    <row r="2147" spans="1:9" x14ac:dyDescent="0.15">
      <c r="A2147" s="1">
        <v>2146</v>
      </c>
      <c r="B2147" s="1">
        <v>102091100</v>
      </c>
      <c r="C2147" s="1">
        <f t="shared" si="132"/>
        <v>103</v>
      </c>
      <c r="D2147" s="5">
        <f ca="1">IF(getQuality(B2147)&lt;4,getOtherMin(B2147,C2147,INDIRECT(J$2),INDIRECT(I2147),test),getMin(B2147,C2147,INDIRECT(J$2),INDIRECT(I2147),test))</f>
        <v>0.14000000000000001</v>
      </c>
      <c r="E2147" s="5">
        <f ca="1">IF(getQuality(B2147)&lt;4,getOtherMax(B2147,C2147,INDIRECT(J$2),INDIRECT(I2147),test),getMax(B2147,C2147,INDIRECT(J$2),INDIRECT(I2147),test))</f>
        <v>0.17</v>
      </c>
      <c r="F2147" s="1" t="str">
        <f t="shared" si="134"/>
        <v>50</v>
      </c>
      <c r="G2147" s="1" t="str">
        <f t="shared" si="135"/>
        <v/>
      </c>
      <c r="I2147" s="1" t="str">
        <f t="shared" si="133"/>
        <v>威尔新数值1.06.xlsm!otherDamage</v>
      </c>
    </row>
    <row r="2148" spans="1:9" x14ac:dyDescent="0.15">
      <c r="A2148" s="1">
        <v>2147</v>
      </c>
      <c r="B2148" s="1">
        <v>102091100</v>
      </c>
      <c r="C2148" s="1">
        <f t="shared" ref="C2148:C2211" si="136">C2129</f>
        <v>104</v>
      </c>
      <c r="D2148" s="5">
        <f ca="1">IF(getQuality(B2148)&lt;4,getOtherMin(B2148,C2148,INDIRECT(J$2),INDIRECT(I2148),test),getMin(B2148,C2148,INDIRECT(J$2),INDIRECT(I2148),test))</f>
        <v>0.14000000000000001</v>
      </c>
      <c r="E2148" s="5">
        <f ca="1">IF(getQuality(B2148)&lt;4,getOtherMax(B2148,C2148,INDIRECT(J$2),INDIRECT(I2148),test),getMax(B2148,C2148,INDIRECT(J$2),INDIRECT(I2148),test))</f>
        <v>0.28000000000000003</v>
      </c>
      <c r="F2148" s="1" t="str">
        <f t="shared" si="134"/>
        <v>50</v>
      </c>
      <c r="G2148" s="1" t="str">
        <f t="shared" si="135"/>
        <v/>
      </c>
      <c r="I2148" s="1" t="str">
        <f t="shared" si="133"/>
        <v>威尔新数值1.06.xlsm!monsterDamage</v>
      </c>
    </row>
    <row r="2149" spans="1:9" x14ac:dyDescent="0.15">
      <c r="A2149" s="1">
        <v>2148</v>
      </c>
      <c r="B2149" s="1">
        <v>102091100</v>
      </c>
      <c r="C2149" s="1">
        <f t="shared" si="136"/>
        <v>105</v>
      </c>
      <c r="D2149" s="5">
        <f ca="1">IF(getQuality(B2149)&lt;4,getOtherMin(B2149,C2149,INDIRECT(J$2),INDIRECT(I2149),test),getMin(B2149,C2149,INDIRECT(J$2),INDIRECT(I2149),test))</f>
        <v>0.14000000000000001</v>
      </c>
      <c r="E2149" s="5">
        <f ca="1">IF(getQuality(B2149)&lt;4,getOtherMax(B2149,C2149,INDIRECT(J$2),INDIRECT(I2149),test),getMax(B2149,C2149,INDIRECT(J$2),INDIRECT(I2149),test))</f>
        <v>0.28000000000000003</v>
      </c>
      <c r="F2149" s="1" t="str">
        <f t="shared" si="134"/>
        <v>50</v>
      </c>
      <c r="G2149" s="1" t="str">
        <f t="shared" si="135"/>
        <v/>
      </c>
      <c r="I2149" s="1" t="str">
        <f t="shared" si="133"/>
        <v>威尔新数值1.06.xlsm!monsterDamage</v>
      </c>
    </row>
    <row r="2150" spans="1:9" x14ac:dyDescent="0.15">
      <c r="A2150" s="1">
        <v>2149</v>
      </c>
      <c r="B2150" s="1">
        <v>102091100</v>
      </c>
      <c r="C2150" s="1">
        <f t="shared" si="136"/>
        <v>106</v>
      </c>
      <c r="D2150" s="5">
        <f ca="1">IF(getQuality(B2150)&lt;4,getOtherMin(B2150,C2150,INDIRECT(J$2),INDIRECT(I2150),test),getMin(B2150,C2150,INDIRECT(J$2),INDIRECT(I2150),test))</f>
        <v>0.14000000000000001</v>
      </c>
      <c r="E2150" s="5">
        <f ca="1">IF(getQuality(B2150)&lt;4,getOtherMax(B2150,C2150,INDIRECT(J$2),INDIRECT(I2150),test),getMax(B2150,C2150,INDIRECT(J$2),INDIRECT(I2150),test))</f>
        <v>0.28000000000000003</v>
      </c>
      <c r="F2150" s="1" t="str">
        <f t="shared" si="134"/>
        <v>50</v>
      </c>
      <c r="G2150" s="1" t="str">
        <f t="shared" si="135"/>
        <v/>
      </c>
      <c r="I2150" s="1" t="str">
        <f t="shared" si="133"/>
        <v>威尔新数值1.06.xlsm!monsterDamage</v>
      </c>
    </row>
    <row r="2151" spans="1:9" x14ac:dyDescent="0.15">
      <c r="A2151" s="1">
        <v>2150</v>
      </c>
      <c r="B2151" s="1">
        <v>102091100</v>
      </c>
      <c r="C2151" s="1">
        <f t="shared" si="136"/>
        <v>107</v>
      </c>
      <c r="D2151" s="5">
        <f ca="1">IF(getQuality(B2151)&lt;4,getOtherMin(B2151,C2151,INDIRECT(J$2),INDIRECT(I2151),test),getMin(B2151,C2151,INDIRECT(J$2),INDIRECT(I2151),test))</f>
        <v>0.14000000000000001</v>
      </c>
      <c r="E2151" s="5">
        <f ca="1">IF(getQuality(B2151)&lt;4,getOtherMax(B2151,C2151,INDIRECT(J$2),INDIRECT(I2151),test),getMax(B2151,C2151,INDIRECT(J$2),INDIRECT(I2151),test))</f>
        <v>0.28000000000000003</v>
      </c>
      <c r="F2151" s="1" t="str">
        <f t="shared" si="134"/>
        <v>50</v>
      </c>
      <c r="G2151" s="1" t="str">
        <f t="shared" si="135"/>
        <v/>
      </c>
      <c r="I2151" s="1" t="str">
        <f t="shared" si="133"/>
        <v>威尔新数值1.06.xlsm!monsterDamage</v>
      </c>
    </row>
    <row r="2152" spans="1:9" x14ac:dyDescent="0.15">
      <c r="A2152" s="1">
        <v>2151</v>
      </c>
      <c r="B2152" s="1">
        <v>102091100</v>
      </c>
      <c r="C2152" s="1">
        <f t="shared" si="136"/>
        <v>108</v>
      </c>
      <c r="D2152" s="5">
        <f ca="1">IF(getQuality(B2152)&lt;4,getOtherMin(B2152,C2152,INDIRECT(J$2),INDIRECT(I2152),test),getMin(B2152,C2152,INDIRECT(J$2),INDIRECT(I2152),test))</f>
        <v>0.14000000000000001</v>
      </c>
      <c r="E2152" s="5">
        <f ca="1">IF(getQuality(B2152)&lt;4,getOtherMax(B2152,C2152,INDIRECT(J$2),INDIRECT(I2152),test),getMax(B2152,C2152,INDIRECT(J$2),INDIRECT(I2152),test))</f>
        <v>0.28000000000000003</v>
      </c>
      <c r="F2152" s="1" t="str">
        <f t="shared" si="134"/>
        <v>50</v>
      </c>
      <c r="G2152" s="1" t="str">
        <f t="shared" si="135"/>
        <v/>
      </c>
      <c r="I2152" s="1" t="str">
        <f t="shared" si="133"/>
        <v>威尔新数值1.06.xlsm!monsterDamage</v>
      </c>
    </row>
    <row r="2153" spans="1:9" x14ac:dyDescent="0.15">
      <c r="A2153" s="1">
        <v>2152</v>
      </c>
      <c r="B2153" s="1">
        <v>102011200</v>
      </c>
      <c r="C2153" s="1">
        <f t="shared" si="136"/>
        <v>3</v>
      </c>
      <c r="D2153" s="5">
        <f ca="1">IF(getQuality(B2153)&lt;4,getOtherMin(B2153,C2153,INDIRECT(J$2),INDIRECT(I2153),test),getMin(B2153,C2153,INDIRECT(J$2),INDIRECT(I2153),test))</f>
        <v>1</v>
      </c>
      <c r="E2153" s="5">
        <f ca="1">IF(getQuality(B2153)&lt;4,getOtherMax(B2153,C2153,INDIRECT(J$2),INDIRECT(I2153),test),getMax(B2153,C2153,INDIRECT(J$2),INDIRECT(I2153),test))</f>
        <v>21.008641265250315</v>
      </c>
      <c r="F2153" s="1" t="str">
        <f t="shared" si="134"/>
        <v>50</v>
      </c>
      <c r="G2153" s="1" t="str">
        <f t="shared" si="135"/>
        <v>1</v>
      </c>
      <c r="I2153" s="1" t="str">
        <f t="shared" si="133"/>
        <v>威尔新数值1.06.xlsm!suitPower</v>
      </c>
    </row>
    <row r="2154" spans="1:9" x14ac:dyDescent="0.15">
      <c r="A2154" s="1">
        <v>2153</v>
      </c>
      <c r="B2154" s="1">
        <v>102011200</v>
      </c>
      <c r="C2154" s="1">
        <f t="shared" si="136"/>
        <v>5</v>
      </c>
      <c r="D2154" s="5">
        <f ca="1">IF(getQuality(B2154)&lt;4,getOtherMin(B2154,C2154,INDIRECT(J$2),INDIRECT(I2154),test),getMin(B2154,C2154,INDIRECT(J$2),INDIRECT(I2154),test))</f>
        <v>1</v>
      </c>
      <c r="E2154" s="5">
        <f ca="1">IF(getQuality(B2154)&lt;4,getOtherMax(B2154,C2154,INDIRECT(J$2),INDIRECT(I2154),test),getMax(B2154,C2154,INDIRECT(J$2),INDIRECT(I2154),test))</f>
        <v>21.008641265250315</v>
      </c>
      <c r="F2154" s="1" t="str">
        <f t="shared" si="134"/>
        <v>50</v>
      </c>
      <c r="G2154" s="1" t="str">
        <f t="shared" si="135"/>
        <v/>
      </c>
      <c r="I2154" s="1" t="str">
        <f t="shared" si="133"/>
        <v>威尔新数值1.06.xlsm!suitPower</v>
      </c>
    </row>
    <row r="2155" spans="1:9" x14ac:dyDescent="0.15">
      <c r="A2155" s="1">
        <v>2154</v>
      </c>
      <c r="B2155" s="1">
        <v>102011200</v>
      </c>
      <c r="C2155" s="1">
        <f t="shared" si="136"/>
        <v>7</v>
      </c>
      <c r="D2155" s="5">
        <f ca="1">IF(getQuality(B2155)&lt;4,getOtherMin(B2155,C2155,INDIRECT(J$2),INDIRECT(I2155),test),getMin(B2155,C2155,INDIRECT(J$2),INDIRECT(I2155),test))</f>
        <v>1</v>
      </c>
      <c r="E2155" s="5">
        <f ca="1">IF(getQuality(B2155)&lt;4,getOtherMax(B2155,C2155,INDIRECT(J$2),INDIRECT(I2155),test),getMax(B2155,C2155,INDIRECT(J$2),INDIRECT(I2155),test))</f>
        <v>6.481481481481465</v>
      </c>
      <c r="F2155" s="1" t="str">
        <f t="shared" si="134"/>
        <v>50</v>
      </c>
      <c r="G2155" s="1" t="str">
        <f t="shared" si="135"/>
        <v/>
      </c>
      <c r="I2155" s="1" t="str">
        <f t="shared" si="133"/>
        <v>威尔新数值1.06.xlsm!suitPower</v>
      </c>
    </row>
    <row r="2156" spans="1:9" x14ac:dyDescent="0.15">
      <c r="A2156" s="1">
        <v>2155</v>
      </c>
      <c r="B2156" s="1">
        <v>102011200</v>
      </c>
      <c r="C2156" s="1">
        <f t="shared" si="136"/>
        <v>8</v>
      </c>
      <c r="D2156" s="5">
        <f ca="1">IF(getQuality(B2156)&lt;4,getOtherMin(B2156,C2156,INDIRECT(J$2),INDIRECT(I2156),test),getMin(B2156,C2156,INDIRECT(J$2),INDIRECT(I2156),test))</f>
        <v>1</v>
      </c>
      <c r="E2156" s="5">
        <f ca="1">IF(getQuality(B2156)&lt;4,getOtherMax(B2156,C2156,INDIRECT(J$2),INDIRECT(I2156),test),getMax(B2156,C2156,INDIRECT(J$2),INDIRECT(I2156),test))</f>
        <v>14.583333333333334</v>
      </c>
      <c r="F2156" s="1" t="str">
        <f t="shared" si="134"/>
        <v>50</v>
      </c>
      <c r="G2156" s="1" t="str">
        <f t="shared" si="135"/>
        <v/>
      </c>
      <c r="I2156" s="1" t="str">
        <f t="shared" si="133"/>
        <v>威尔新数值1.06.xlsm!suitPower</v>
      </c>
    </row>
    <row r="2157" spans="1:9" x14ac:dyDescent="0.15">
      <c r="A2157" s="1">
        <v>2156</v>
      </c>
      <c r="B2157" s="1">
        <v>102011200</v>
      </c>
      <c r="C2157" s="1">
        <f t="shared" si="136"/>
        <v>9</v>
      </c>
      <c r="D2157" s="5">
        <f ca="1">IF(getQuality(B2157)&lt;4,getOtherMin(B2157,C2157,INDIRECT(J$2),INDIRECT(I2157),test),getMin(B2157,C2157,INDIRECT(J$2),INDIRECT(I2157),test))</f>
        <v>1</v>
      </c>
      <c r="E2157" s="5">
        <f ca="1">IF(getQuality(B2157)&lt;4,getOtherMax(B2157,C2157,INDIRECT(J$2),INDIRECT(I2157),test),getMax(B2157,C2157,INDIRECT(J$2),INDIRECT(I2157),test))</f>
        <v>21.008641265250315</v>
      </c>
      <c r="F2157" s="1" t="str">
        <f t="shared" si="134"/>
        <v>50</v>
      </c>
      <c r="G2157" s="1" t="str">
        <f t="shared" si="135"/>
        <v/>
      </c>
      <c r="I2157" s="1" t="str">
        <f t="shared" si="133"/>
        <v>威尔新数值1.06.xlsm!suitPower</v>
      </c>
    </row>
    <row r="2158" spans="1:9" x14ac:dyDescent="0.15">
      <c r="A2158" s="1">
        <v>2157</v>
      </c>
      <c r="B2158" s="1">
        <v>102011200</v>
      </c>
      <c r="C2158" s="1">
        <f t="shared" si="136"/>
        <v>10</v>
      </c>
      <c r="D2158" s="5">
        <f ca="1">IF(getQuality(B2158)&lt;4,getOtherMin(B2158,C2158,INDIRECT(J$2),INDIRECT(I2158),test),getMin(B2158,C2158,INDIRECT(J$2),INDIRECT(I2158),test))</f>
        <v>1</v>
      </c>
      <c r="E2158" s="5">
        <f ca="1">IF(getQuality(B2158)&lt;4,getOtherMax(B2158,C2158,INDIRECT(J$2),INDIRECT(I2158),test),getMax(B2158,C2158,INDIRECT(J$2),INDIRECT(I2158),test))</f>
        <v>21.008641265250315</v>
      </c>
      <c r="F2158" s="1" t="str">
        <f t="shared" si="134"/>
        <v>50</v>
      </c>
      <c r="G2158" s="1" t="str">
        <f t="shared" si="135"/>
        <v/>
      </c>
      <c r="I2158" s="1" t="str">
        <f t="shared" si="133"/>
        <v>威尔新数值1.06.xlsm!suitPower</v>
      </c>
    </row>
    <row r="2159" spans="1:9" x14ac:dyDescent="0.15">
      <c r="A2159" s="1">
        <v>2158</v>
      </c>
      <c r="B2159" s="1">
        <v>102011200</v>
      </c>
      <c r="C2159" s="1">
        <f t="shared" si="136"/>
        <v>11</v>
      </c>
      <c r="D2159" s="5">
        <f ca="1">IF(getQuality(B2159)&lt;4,getOtherMin(B2159,C2159,INDIRECT(J$2),INDIRECT(I2159),test),getMin(B2159,C2159,INDIRECT(J$2),INDIRECT(I2159),test))</f>
        <v>1</v>
      </c>
      <c r="E2159" s="5">
        <f ca="1">IF(getQuality(B2159)&lt;4,getOtherMax(B2159,C2159,INDIRECT(J$2),INDIRECT(I2159),test),getMax(B2159,C2159,INDIRECT(J$2),INDIRECT(I2159),test))</f>
        <v>21.008641265250315</v>
      </c>
      <c r="F2159" s="1" t="str">
        <f t="shared" si="134"/>
        <v>50</v>
      </c>
      <c r="G2159" s="1" t="str">
        <f t="shared" si="135"/>
        <v/>
      </c>
      <c r="I2159" s="1" t="str">
        <f t="shared" si="133"/>
        <v>威尔新数值1.06.xlsm!suitPower</v>
      </c>
    </row>
    <row r="2160" spans="1:9" x14ac:dyDescent="0.15">
      <c r="A2160" s="1">
        <v>2159</v>
      </c>
      <c r="B2160" s="1">
        <v>102011200</v>
      </c>
      <c r="C2160" s="1">
        <f t="shared" si="136"/>
        <v>12</v>
      </c>
      <c r="D2160" s="5">
        <f ca="1">IF(getQuality(B2160)&lt;4,getOtherMin(B2160,C2160,INDIRECT(J$2),INDIRECT(I2160),test),getMin(B2160,C2160,INDIRECT(J$2),INDIRECT(I2160),test))</f>
        <v>1</v>
      </c>
      <c r="E2160" s="5">
        <f ca="1">IF(getQuality(B2160)&lt;4,getOtherMax(B2160,C2160,INDIRECT(J$2),INDIRECT(I2160),test),getMax(B2160,C2160,INDIRECT(J$2),INDIRECT(I2160),test))</f>
        <v>21.008641265250315</v>
      </c>
      <c r="F2160" s="1" t="str">
        <f t="shared" si="134"/>
        <v>50</v>
      </c>
      <c r="G2160" s="1" t="str">
        <f t="shared" si="135"/>
        <v/>
      </c>
      <c r="I2160" s="1" t="str">
        <f t="shared" si="133"/>
        <v>威尔新数值1.06.xlsm!suitPower</v>
      </c>
    </row>
    <row r="2161" spans="1:9" x14ac:dyDescent="0.15">
      <c r="A2161" s="1">
        <v>2160</v>
      </c>
      <c r="B2161" s="1">
        <v>102011200</v>
      </c>
      <c r="C2161" s="1">
        <f t="shared" si="136"/>
        <v>13</v>
      </c>
      <c r="D2161" s="5">
        <f ca="1">IF(getQuality(B2161)&lt;4,getOtherMin(B2161,C2161,INDIRECT(J$2),INDIRECT(I2161),test),getMin(B2161,C2161,INDIRECT(J$2),INDIRECT(I2161),test))</f>
        <v>1</v>
      </c>
      <c r="E2161" s="5">
        <f ca="1">IF(getQuality(B2161)&lt;4,getOtherMax(B2161,C2161,INDIRECT(J$2),INDIRECT(I2161),test),getMax(B2161,C2161,INDIRECT(J$2),INDIRECT(I2161),test))</f>
        <v>21.008641265250315</v>
      </c>
      <c r="F2161" s="1" t="str">
        <f t="shared" si="134"/>
        <v>50</v>
      </c>
      <c r="G2161" s="1" t="str">
        <f t="shared" si="135"/>
        <v/>
      </c>
      <c r="I2161" s="1" t="str">
        <f t="shared" si="133"/>
        <v>威尔新数值1.06.xlsm!suitPower</v>
      </c>
    </row>
    <row r="2162" spans="1:9" x14ac:dyDescent="0.15">
      <c r="A2162" s="1">
        <v>2161</v>
      </c>
      <c r="B2162" s="1">
        <v>102011200</v>
      </c>
      <c r="C2162" s="1">
        <f t="shared" si="136"/>
        <v>14</v>
      </c>
      <c r="D2162" s="5">
        <f ca="1">IF(getQuality(B2162)&lt;4,getOtherMin(B2162,C2162,INDIRECT(J$2),INDIRECT(I2162),test),getMin(B2162,C2162,INDIRECT(J$2),INDIRECT(I2162),test))</f>
        <v>1</v>
      </c>
      <c r="E2162" s="5">
        <f ca="1">IF(getQuality(B2162)&lt;4,getOtherMax(B2162,C2162,INDIRECT(J$2),INDIRECT(I2162),test),getMax(B2162,C2162,INDIRECT(J$2),INDIRECT(I2162),test))</f>
        <v>21.008641265250315</v>
      </c>
      <c r="F2162" s="1" t="str">
        <f t="shared" si="134"/>
        <v>50</v>
      </c>
      <c r="G2162" s="1" t="str">
        <f t="shared" si="135"/>
        <v/>
      </c>
      <c r="I2162" s="1" t="str">
        <f t="shared" si="133"/>
        <v>威尔新数值1.06.xlsm!suitPower</v>
      </c>
    </row>
    <row r="2163" spans="1:9" x14ac:dyDescent="0.15">
      <c r="A2163" s="1">
        <v>2162</v>
      </c>
      <c r="B2163" s="1">
        <v>102011200</v>
      </c>
      <c r="C2163" s="1">
        <f t="shared" si="136"/>
        <v>15</v>
      </c>
      <c r="D2163" s="5">
        <f ca="1">IF(getQuality(B2163)&lt;4,getOtherMin(B2163,C2163,INDIRECT(J$2),INDIRECT(I2163),test),getMin(B2163,C2163,INDIRECT(J$2),INDIRECT(I2163),test))</f>
        <v>1</v>
      </c>
      <c r="E2163" s="5">
        <f ca="1">IF(getQuality(B2163)&lt;4,getOtherMax(B2163,C2163,INDIRECT(J$2),INDIRECT(I2163),test),getMax(B2163,C2163,INDIRECT(J$2),INDIRECT(I2163),test))</f>
        <v>21.008641265250315</v>
      </c>
      <c r="F2163" s="1" t="str">
        <f t="shared" si="134"/>
        <v>50</v>
      </c>
      <c r="G2163" s="1" t="str">
        <f t="shared" si="135"/>
        <v/>
      </c>
      <c r="I2163" s="1" t="str">
        <f t="shared" si="133"/>
        <v>威尔新数值1.06.xlsm!suitPower</v>
      </c>
    </row>
    <row r="2164" spans="1:9" x14ac:dyDescent="0.15">
      <c r="A2164" s="1">
        <v>2163</v>
      </c>
      <c r="B2164" s="1">
        <v>102011200</v>
      </c>
      <c r="C2164" s="1">
        <f t="shared" si="136"/>
        <v>101</v>
      </c>
      <c r="D2164" s="5">
        <f ca="1">IF(getQuality(B2164)&lt;4,getOtherMin(B2164,C2164,INDIRECT(J$2),INDIRECT(I2164),test),getMin(B2164,C2164,INDIRECT(J$2),INDIRECT(I2164),test))</f>
        <v>0.06</v>
      </c>
      <c r="E2164" s="5">
        <f ca="1">IF(getQuality(B2164)&lt;4,getOtherMax(B2164,C2164,INDIRECT(J$2),INDIRECT(I2164),test),getMax(B2164,C2164,INDIRECT(J$2),INDIRECT(I2164),test))</f>
        <v>0.09</v>
      </c>
      <c r="F2164" s="1" t="str">
        <f t="shared" si="134"/>
        <v>50</v>
      </c>
      <c r="G2164" s="1" t="str">
        <f t="shared" si="135"/>
        <v/>
      </c>
      <c r="I2164" s="1" t="str">
        <f t="shared" si="133"/>
        <v>威尔新数值1.06.xlsm!circlePer</v>
      </c>
    </row>
    <row r="2165" spans="1:9" x14ac:dyDescent="0.15">
      <c r="A2165" s="1">
        <v>2164</v>
      </c>
      <c r="B2165" s="1">
        <v>102011200</v>
      </c>
      <c r="C2165" s="1">
        <f t="shared" si="136"/>
        <v>102</v>
      </c>
      <c r="D2165" s="5">
        <f ca="1">IF(getQuality(B2165)&lt;4,getOtherMin(B2165,C2165,INDIRECT(J$2),INDIRECT(I2165),test),getMin(B2165,C2165,INDIRECT(J$2),INDIRECT(I2165),test))</f>
        <v>0.4</v>
      </c>
      <c r="E2165" s="5">
        <f ca="1">IF(getQuality(B2165)&lt;4,getOtherMax(B2165,C2165,INDIRECT(J$2),INDIRECT(I2165),test),getMax(B2165,C2165,INDIRECT(J$2),INDIRECT(I2165),test))</f>
        <v>0.8</v>
      </c>
      <c r="F2165" s="1" t="str">
        <f t="shared" si="134"/>
        <v>50</v>
      </c>
      <c r="G2165" s="1" t="str">
        <f t="shared" si="135"/>
        <v/>
      </c>
      <c r="I2165" s="1" t="str">
        <f t="shared" si="133"/>
        <v>威尔新数值1.06.xlsm!circleValue</v>
      </c>
    </row>
    <row r="2166" spans="1:9" x14ac:dyDescent="0.15">
      <c r="A2166" s="1">
        <v>2165</v>
      </c>
      <c r="B2166" s="1">
        <v>102011200</v>
      </c>
      <c r="C2166" s="1">
        <f t="shared" si="136"/>
        <v>103</v>
      </c>
      <c r="D2166" s="5">
        <f ca="1">IF(getQuality(B2166)&lt;4,getOtherMin(B2166,C2166,INDIRECT(J$2),INDIRECT(I2166),test),getMin(B2166,C2166,INDIRECT(J$2),INDIRECT(I2166),test))</f>
        <v>0.06</v>
      </c>
      <c r="E2166" s="5">
        <f ca="1">IF(getQuality(B2166)&lt;4,getOtherMax(B2166,C2166,INDIRECT(J$2),INDIRECT(I2166),test),getMax(B2166,C2166,INDIRECT(J$2),INDIRECT(I2166),test))</f>
        <v>0.09</v>
      </c>
      <c r="F2166" s="1" t="str">
        <f t="shared" si="134"/>
        <v>50</v>
      </c>
      <c r="G2166" s="1" t="str">
        <f t="shared" si="135"/>
        <v/>
      </c>
      <c r="I2166" s="1" t="str">
        <f t="shared" si="133"/>
        <v>威尔新数值1.06.xlsm!otherDamage</v>
      </c>
    </row>
    <row r="2167" spans="1:9" x14ac:dyDescent="0.15">
      <c r="A2167" s="1">
        <v>2166</v>
      </c>
      <c r="B2167" s="1">
        <v>102011200</v>
      </c>
      <c r="C2167" s="1">
        <f t="shared" si="136"/>
        <v>104</v>
      </c>
      <c r="D2167" s="5">
        <f ca="1">IF(getQuality(B2167)&lt;4,getOtherMin(B2167,C2167,INDIRECT(J$2),INDIRECT(I2167),test),getMin(B2167,C2167,INDIRECT(J$2),INDIRECT(I2167),test))</f>
        <v>0.06</v>
      </c>
      <c r="E2167" s="5">
        <f ca="1">IF(getQuality(B2167)&lt;4,getOtherMax(B2167,C2167,INDIRECT(J$2),INDIRECT(I2167),test),getMax(B2167,C2167,INDIRECT(J$2),INDIRECT(I2167),test))</f>
        <v>0.12</v>
      </c>
      <c r="F2167" s="1" t="str">
        <f t="shared" si="134"/>
        <v>50</v>
      </c>
      <c r="G2167" s="1" t="str">
        <f t="shared" si="135"/>
        <v/>
      </c>
      <c r="I2167" s="1" t="str">
        <f t="shared" si="133"/>
        <v>威尔新数值1.06.xlsm!monsterDamage</v>
      </c>
    </row>
    <row r="2168" spans="1:9" x14ac:dyDescent="0.15">
      <c r="A2168" s="1">
        <v>2167</v>
      </c>
      <c r="B2168" s="1">
        <v>102011200</v>
      </c>
      <c r="C2168" s="1">
        <f t="shared" si="136"/>
        <v>105</v>
      </c>
      <c r="D2168" s="5">
        <f ca="1">IF(getQuality(B2168)&lt;4,getOtherMin(B2168,C2168,INDIRECT(J$2),INDIRECT(I2168),test),getMin(B2168,C2168,INDIRECT(J$2),INDIRECT(I2168),test))</f>
        <v>0.06</v>
      </c>
      <c r="E2168" s="5">
        <f ca="1">IF(getQuality(B2168)&lt;4,getOtherMax(B2168,C2168,INDIRECT(J$2),INDIRECT(I2168),test),getMax(B2168,C2168,INDIRECT(J$2),INDIRECT(I2168),test))</f>
        <v>0.12</v>
      </c>
      <c r="F2168" s="1" t="str">
        <f t="shared" si="134"/>
        <v>50</v>
      </c>
      <c r="G2168" s="1" t="str">
        <f t="shared" si="135"/>
        <v/>
      </c>
      <c r="I2168" s="1" t="str">
        <f t="shared" si="133"/>
        <v>威尔新数值1.06.xlsm!monsterDamage</v>
      </c>
    </row>
    <row r="2169" spans="1:9" x14ac:dyDescent="0.15">
      <c r="A2169" s="1">
        <v>2168</v>
      </c>
      <c r="B2169" s="1">
        <v>102011200</v>
      </c>
      <c r="C2169" s="1">
        <f t="shared" si="136"/>
        <v>106</v>
      </c>
      <c r="D2169" s="5">
        <f ca="1">IF(getQuality(B2169)&lt;4,getOtherMin(B2169,C2169,INDIRECT(J$2),INDIRECT(I2169),test),getMin(B2169,C2169,INDIRECT(J$2),INDIRECT(I2169),test))</f>
        <v>0.06</v>
      </c>
      <c r="E2169" s="5">
        <f ca="1">IF(getQuality(B2169)&lt;4,getOtherMax(B2169,C2169,INDIRECT(J$2),INDIRECT(I2169),test),getMax(B2169,C2169,INDIRECT(J$2),INDIRECT(I2169),test))</f>
        <v>0.12</v>
      </c>
      <c r="F2169" s="1" t="str">
        <f t="shared" si="134"/>
        <v>50</v>
      </c>
      <c r="G2169" s="1" t="str">
        <f t="shared" si="135"/>
        <v/>
      </c>
      <c r="I2169" s="1" t="str">
        <f t="shared" si="133"/>
        <v>威尔新数值1.06.xlsm!monsterDamage</v>
      </c>
    </row>
    <row r="2170" spans="1:9" x14ac:dyDescent="0.15">
      <c r="A2170" s="1">
        <v>2169</v>
      </c>
      <c r="B2170" s="1">
        <v>102011200</v>
      </c>
      <c r="C2170" s="1">
        <f t="shared" si="136"/>
        <v>107</v>
      </c>
      <c r="D2170" s="5">
        <f ca="1">IF(getQuality(B2170)&lt;4,getOtherMin(B2170,C2170,INDIRECT(J$2),INDIRECT(I2170),test),getMin(B2170,C2170,INDIRECT(J$2),INDIRECT(I2170),test))</f>
        <v>0.06</v>
      </c>
      <c r="E2170" s="5">
        <f ca="1">IF(getQuality(B2170)&lt;4,getOtherMax(B2170,C2170,INDIRECT(J$2),INDIRECT(I2170),test),getMax(B2170,C2170,INDIRECT(J$2),INDIRECT(I2170),test))</f>
        <v>0.12</v>
      </c>
      <c r="F2170" s="1" t="str">
        <f t="shared" si="134"/>
        <v>50</v>
      </c>
      <c r="G2170" s="1" t="str">
        <f t="shared" si="135"/>
        <v/>
      </c>
      <c r="I2170" s="1" t="str">
        <f t="shared" si="133"/>
        <v>威尔新数值1.06.xlsm!monsterDamage</v>
      </c>
    </row>
    <row r="2171" spans="1:9" x14ac:dyDescent="0.15">
      <c r="A2171" s="1">
        <v>2170</v>
      </c>
      <c r="B2171" s="1">
        <v>102011200</v>
      </c>
      <c r="C2171" s="1">
        <f t="shared" si="136"/>
        <v>108</v>
      </c>
      <c r="D2171" s="5">
        <f ca="1">IF(getQuality(B2171)&lt;4,getOtherMin(B2171,C2171,INDIRECT(J$2),INDIRECT(I2171),test),getMin(B2171,C2171,INDIRECT(J$2),INDIRECT(I2171),test))</f>
        <v>0.06</v>
      </c>
      <c r="E2171" s="5">
        <f ca="1">IF(getQuality(B2171)&lt;4,getOtherMax(B2171,C2171,INDIRECT(J$2),INDIRECT(I2171),test),getMax(B2171,C2171,INDIRECT(J$2),INDIRECT(I2171),test))</f>
        <v>0.12</v>
      </c>
      <c r="F2171" s="1" t="str">
        <f t="shared" si="134"/>
        <v>50</v>
      </c>
      <c r="G2171" s="1" t="str">
        <f t="shared" si="135"/>
        <v/>
      </c>
      <c r="I2171" s="1" t="str">
        <f t="shared" si="133"/>
        <v>威尔新数值1.06.xlsm!monsterDamage</v>
      </c>
    </row>
    <row r="2172" spans="1:9" x14ac:dyDescent="0.15">
      <c r="A2172" s="1">
        <v>2171</v>
      </c>
      <c r="B2172" s="1">
        <v>102021200</v>
      </c>
      <c r="C2172" s="1">
        <f t="shared" si="136"/>
        <v>3</v>
      </c>
      <c r="D2172" s="5">
        <f ca="1">IF(getQuality(B2172)&lt;4,getOtherMin(B2172,C2172,INDIRECT(J$2),INDIRECT(I2172),test),getMin(B2172,C2172,INDIRECT(J$2),INDIRECT(I2172),test))</f>
        <v>22.008641265250315</v>
      </c>
      <c r="E2172" s="5">
        <f ca="1">IF(getQuality(B2172)&lt;4,getOtherMax(B2172,C2172,INDIRECT(J$2),INDIRECT(I2172),test),getMax(B2172,C2172,INDIRECT(J$2),INDIRECT(I2172),test))</f>
        <v>46.219010783550694</v>
      </c>
      <c r="F2172" s="1" t="str">
        <f t="shared" si="134"/>
        <v>50</v>
      </c>
      <c r="G2172" s="1" t="str">
        <f t="shared" si="135"/>
        <v>1</v>
      </c>
      <c r="I2172" s="1" t="str">
        <f t="shared" si="133"/>
        <v>威尔新数值1.06.xlsm!suitPower</v>
      </c>
    </row>
    <row r="2173" spans="1:9" x14ac:dyDescent="0.15">
      <c r="A2173" s="1">
        <v>2172</v>
      </c>
      <c r="B2173" s="1">
        <v>102021200</v>
      </c>
      <c r="C2173" s="1">
        <f t="shared" si="136"/>
        <v>5</v>
      </c>
      <c r="D2173" s="5">
        <f ca="1">IF(getQuality(B2173)&lt;4,getOtherMin(B2173,C2173,INDIRECT(J$2),INDIRECT(I2173),test),getMin(B2173,C2173,INDIRECT(J$2),INDIRECT(I2173),test))</f>
        <v>22.008641265250315</v>
      </c>
      <c r="E2173" s="5">
        <f ca="1">IF(getQuality(B2173)&lt;4,getOtherMax(B2173,C2173,INDIRECT(J$2),INDIRECT(I2173),test),getMax(B2173,C2173,INDIRECT(J$2),INDIRECT(I2173),test))</f>
        <v>46.219010783550694</v>
      </c>
      <c r="F2173" s="1" t="str">
        <f t="shared" si="134"/>
        <v>50</v>
      </c>
      <c r="G2173" s="1" t="str">
        <f t="shared" si="135"/>
        <v/>
      </c>
      <c r="I2173" s="1" t="str">
        <f t="shared" si="133"/>
        <v>威尔新数值1.06.xlsm!suitPower</v>
      </c>
    </row>
    <row r="2174" spans="1:9" x14ac:dyDescent="0.15">
      <c r="A2174" s="1">
        <v>2173</v>
      </c>
      <c r="B2174" s="1">
        <v>102021200</v>
      </c>
      <c r="C2174" s="1">
        <f t="shared" si="136"/>
        <v>7</v>
      </c>
      <c r="D2174" s="5">
        <f ca="1">IF(getQuality(B2174)&lt;4,getOtherMin(B2174,C2174,INDIRECT(J$2),INDIRECT(I2174),test),getMin(B2174,C2174,INDIRECT(J$2),INDIRECT(I2174),test))</f>
        <v>7.481481481481465</v>
      </c>
      <c r="E2174" s="5">
        <f ca="1">IF(getQuality(B2174)&lt;4,getOtherMax(B2174,C2174,INDIRECT(J$2),INDIRECT(I2174),test),getMax(B2174,C2174,INDIRECT(J$2),INDIRECT(I2174),test))</f>
        <v>12.96296296296293</v>
      </c>
      <c r="F2174" s="1" t="str">
        <f t="shared" si="134"/>
        <v>50</v>
      </c>
      <c r="G2174" s="1" t="str">
        <f t="shared" si="135"/>
        <v/>
      </c>
      <c r="I2174" s="1" t="str">
        <f t="shared" si="133"/>
        <v>威尔新数值1.06.xlsm!suitPower</v>
      </c>
    </row>
    <row r="2175" spans="1:9" x14ac:dyDescent="0.15">
      <c r="A2175" s="1">
        <v>2174</v>
      </c>
      <c r="B2175" s="1">
        <v>102021200</v>
      </c>
      <c r="C2175" s="1">
        <f t="shared" si="136"/>
        <v>8</v>
      </c>
      <c r="D2175" s="5">
        <f ca="1">IF(getQuality(B2175)&lt;4,getOtherMin(B2175,C2175,INDIRECT(J$2),INDIRECT(I2175),test),getMin(B2175,C2175,INDIRECT(J$2),INDIRECT(I2175),test))</f>
        <v>15.583333333333334</v>
      </c>
      <c r="E2175" s="5">
        <f ca="1">IF(getQuality(B2175)&lt;4,getOtherMax(B2175,C2175,INDIRECT(J$2),INDIRECT(I2175),test),getMax(B2175,C2175,INDIRECT(J$2),INDIRECT(I2175),test))</f>
        <v>29.166666666666668</v>
      </c>
      <c r="F2175" s="1" t="str">
        <f t="shared" si="134"/>
        <v>50</v>
      </c>
      <c r="G2175" s="1" t="str">
        <f t="shared" si="135"/>
        <v/>
      </c>
      <c r="I2175" s="1" t="str">
        <f t="shared" si="133"/>
        <v>威尔新数值1.06.xlsm!suitPower</v>
      </c>
    </row>
    <row r="2176" spans="1:9" x14ac:dyDescent="0.15">
      <c r="A2176" s="1">
        <v>2175</v>
      </c>
      <c r="B2176" s="1">
        <v>102021200</v>
      </c>
      <c r="C2176" s="1">
        <f t="shared" si="136"/>
        <v>9</v>
      </c>
      <c r="D2176" s="5">
        <f ca="1">IF(getQuality(B2176)&lt;4,getOtherMin(B2176,C2176,INDIRECT(J$2),INDIRECT(I2176),test),getMin(B2176,C2176,INDIRECT(J$2),INDIRECT(I2176),test))</f>
        <v>22.008641265250315</v>
      </c>
      <c r="E2176" s="5">
        <f ca="1">IF(getQuality(B2176)&lt;4,getOtherMax(B2176,C2176,INDIRECT(J$2),INDIRECT(I2176),test),getMax(B2176,C2176,INDIRECT(J$2),INDIRECT(I2176),test))</f>
        <v>46.219010783550694</v>
      </c>
      <c r="F2176" s="1" t="str">
        <f t="shared" si="134"/>
        <v>50</v>
      </c>
      <c r="G2176" s="1" t="str">
        <f t="shared" si="135"/>
        <v/>
      </c>
      <c r="I2176" s="1" t="str">
        <f t="shared" si="133"/>
        <v>威尔新数值1.06.xlsm!suitPower</v>
      </c>
    </row>
    <row r="2177" spans="1:9" x14ac:dyDescent="0.15">
      <c r="A2177" s="1">
        <v>2176</v>
      </c>
      <c r="B2177" s="1">
        <v>102021200</v>
      </c>
      <c r="C2177" s="1">
        <f t="shared" si="136"/>
        <v>10</v>
      </c>
      <c r="D2177" s="5">
        <f ca="1">IF(getQuality(B2177)&lt;4,getOtherMin(B2177,C2177,INDIRECT(J$2),INDIRECT(I2177),test),getMin(B2177,C2177,INDIRECT(J$2),INDIRECT(I2177),test))</f>
        <v>22.008641265250315</v>
      </c>
      <c r="E2177" s="5">
        <f ca="1">IF(getQuality(B2177)&lt;4,getOtherMax(B2177,C2177,INDIRECT(J$2),INDIRECT(I2177),test),getMax(B2177,C2177,INDIRECT(J$2),INDIRECT(I2177),test))</f>
        <v>46.219010783550694</v>
      </c>
      <c r="F2177" s="1" t="str">
        <f t="shared" si="134"/>
        <v>50</v>
      </c>
      <c r="G2177" s="1" t="str">
        <f t="shared" si="135"/>
        <v/>
      </c>
      <c r="I2177" s="1" t="str">
        <f t="shared" si="133"/>
        <v>威尔新数值1.06.xlsm!suitPower</v>
      </c>
    </row>
    <row r="2178" spans="1:9" x14ac:dyDescent="0.15">
      <c r="A2178" s="1">
        <v>2177</v>
      </c>
      <c r="B2178" s="1">
        <v>102021200</v>
      </c>
      <c r="C2178" s="1">
        <f t="shared" si="136"/>
        <v>11</v>
      </c>
      <c r="D2178" s="5">
        <f ca="1">IF(getQuality(B2178)&lt;4,getOtherMin(B2178,C2178,INDIRECT(J$2),INDIRECT(I2178),test),getMin(B2178,C2178,INDIRECT(J$2),INDIRECT(I2178),test))</f>
        <v>22.008641265250315</v>
      </c>
      <c r="E2178" s="5">
        <f ca="1">IF(getQuality(B2178)&lt;4,getOtherMax(B2178,C2178,INDIRECT(J$2),INDIRECT(I2178),test),getMax(B2178,C2178,INDIRECT(J$2),INDIRECT(I2178),test))</f>
        <v>46.219010783550694</v>
      </c>
      <c r="F2178" s="1" t="str">
        <f t="shared" si="134"/>
        <v>50</v>
      </c>
      <c r="G2178" s="1" t="str">
        <f t="shared" si="135"/>
        <v/>
      </c>
      <c r="I2178" s="1" t="str">
        <f t="shared" ref="I2178:I2241" si="137">IF(C2178&lt;100,VLOOKUP(C2178,test,3,FALSE),VLOOKUP(C2178,test1,3,FALSE))</f>
        <v>威尔新数值1.06.xlsm!suitPower</v>
      </c>
    </row>
    <row r="2179" spans="1:9" x14ac:dyDescent="0.15">
      <c r="A2179" s="1">
        <v>2178</v>
      </c>
      <c r="B2179" s="1">
        <v>102021200</v>
      </c>
      <c r="C2179" s="1">
        <f t="shared" si="136"/>
        <v>12</v>
      </c>
      <c r="D2179" s="5">
        <f ca="1">IF(getQuality(B2179)&lt;4,getOtherMin(B2179,C2179,INDIRECT(J$2),INDIRECT(I2179),test),getMin(B2179,C2179,INDIRECT(J$2),INDIRECT(I2179),test))</f>
        <v>22.008641265250315</v>
      </c>
      <c r="E2179" s="5">
        <f ca="1">IF(getQuality(B2179)&lt;4,getOtherMax(B2179,C2179,INDIRECT(J$2),INDIRECT(I2179),test),getMax(B2179,C2179,INDIRECT(J$2),INDIRECT(I2179),test))</f>
        <v>46.219010783550694</v>
      </c>
      <c r="F2179" s="1" t="str">
        <f t="shared" ref="F2179:F2242" si="138">getper(B2179,C2179)</f>
        <v>50</v>
      </c>
      <c r="G2179" s="1" t="str">
        <f t="shared" ref="G2179:G2242" si="139">getMust(B2179,C2179)</f>
        <v/>
      </c>
      <c r="I2179" s="1" t="str">
        <f t="shared" si="137"/>
        <v>威尔新数值1.06.xlsm!suitPower</v>
      </c>
    </row>
    <row r="2180" spans="1:9" x14ac:dyDescent="0.15">
      <c r="A2180" s="1">
        <v>2179</v>
      </c>
      <c r="B2180" s="1">
        <v>102021200</v>
      </c>
      <c r="C2180" s="1">
        <f t="shared" si="136"/>
        <v>13</v>
      </c>
      <c r="D2180" s="5">
        <f ca="1">IF(getQuality(B2180)&lt;4,getOtherMin(B2180,C2180,INDIRECT(J$2),INDIRECT(I2180),test),getMin(B2180,C2180,INDIRECT(J$2),INDIRECT(I2180),test))</f>
        <v>22.008641265250315</v>
      </c>
      <c r="E2180" s="5">
        <f ca="1">IF(getQuality(B2180)&lt;4,getOtherMax(B2180,C2180,INDIRECT(J$2),INDIRECT(I2180),test),getMax(B2180,C2180,INDIRECT(J$2),INDIRECT(I2180),test))</f>
        <v>46.219010783550694</v>
      </c>
      <c r="F2180" s="1" t="str">
        <f t="shared" si="138"/>
        <v>50</v>
      </c>
      <c r="G2180" s="1" t="str">
        <f t="shared" si="139"/>
        <v/>
      </c>
      <c r="I2180" s="1" t="str">
        <f t="shared" si="137"/>
        <v>威尔新数值1.06.xlsm!suitPower</v>
      </c>
    </row>
    <row r="2181" spans="1:9" x14ac:dyDescent="0.15">
      <c r="A2181" s="1">
        <v>2180</v>
      </c>
      <c r="B2181" s="1">
        <v>102021200</v>
      </c>
      <c r="C2181" s="1">
        <f t="shared" si="136"/>
        <v>14</v>
      </c>
      <c r="D2181" s="5">
        <f ca="1">IF(getQuality(B2181)&lt;4,getOtherMin(B2181,C2181,INDIRECT(J$2),INDIRECT(I2181),test),getMin(B2181,C2181,INDIRECT(J$2),INDIRECT(I2181),test))</f>
        <v>22.008641265250315</v>
      </c>
      <c r="E2181" s="5">
        <f ca="1">IF(getQuality(B2181)&lt;4,getOtherMax(B2181,C2181,INDIRECT(J$2),INDIRECT(I2181),test),getMax(B2181,C2181,INDIRECT(J$2),INDIRECT(I2181),test))</f>
        <v>46.219010783550694</v>
      </c>
      <c r="F2181" s="1" t="str">
        <f t="shared" si="138"/>
        <v>50</v>
      </c>
      <c r="G2181" s="1" t="str">
        <f t="shared" si="139"/>
        <v/>
      </c>
      <c r="I2181" s="1" t="str">
        <f t="shared" si="137"/>
        <v>威尔新数值1.06.xlsm!suitPower</v>
      </c>
    </row>
    <row r="2182" spans="1:9" x14ac:dyDescent="0.15">
      <c r="A2182" s="1">
        <v>2181</v>
      </c>
      <c r="B2182" s="1">
        <v>102021200</v>
      </c>
      <c r="C2182" s="1">
        <f t="shared" si="136"/>
        <v>15</v>
      </c>
      <c r="D2182" s="5">
        <f ca="1">IF(getQuality(B2182)&lt;4,getOtherMin(B2182,C2182,INDIRECT(J$2),INDIRECT(I2182),test),getMin(B2182,C2182,INDIRECT(J$2),INDIRECT(I2182),test))</f>
        <v>22.008641265250315</v>
      </c>
      <c r="E2182" s="5">
        <f ca="1">IF(getQuality(B2182)&lt;4,getOtherMax(B2182,C2182,INDIRECT(J$2),INDIRECT(I2182),test),getMax(B2182,C2182,INDIRECT(J$2),INDIRECT(I2182),test))</f>
        <v>46.219010783550694</v>
      </c>
      <c r="F2182" s="1" t="str">
        <f t="shared" si="138"/>
        <v>50</v>
      </c>
      <c r="G2182" s="1" t="str">
        <f t="shared" si="139"/>
        <v/>
      </c>
      <c r="I2182" s="1" t="str">
        <f t="shared" si="137"/>
        <v>威尔新数值1.06.xlsm!suitPower</v>
      </c>
    </row>
    <row r="2183" spans="1:9" x14ac:dyDescent="0.15">
      <c r="A2183" s="1">
        <v>2182</v>
      </c>
      <c r="B2183" s="1">
        <v>102021200</v>
      </c>
      <c r="C2183" s="1">
        <f t="shared" si="136"/>
        <v>101</v>
      </c>
      <c r="D2183" s="5">
        <f ca="1">IF(getQuality(B2183)&lt;4,getOtherMin(B2183,C2183,INDIRECT(J$2),INDIRECT(I2183),test),getMin(B2183,C2183,INDIRECT(J$2),INDIRECT(I2183),test))</f>
        <v>7.0000000000000007E-2</v>
      </c>
      <c r="E2183" s="5">
        <f ca="1">IF(getQuality(B2183)&lt;4,getOtherMax(B2183,C2183,INDIRECT(J$2),INDIRECT(I2183),test),getMax(B2183,C2183,INDIRECT(J$2),INDIRECT(I2183),test))</f>
        <v>0.1</v>
      </c>
      <c r="F2183" s="1" t="str">
        <f t="shared" si="138"/>
        <v>50</v>
      </c>
      <c r="G2183" s="1" t="str">
        <f t="shared" si="139"/>
        <v/>
      </c>
      <c r="I2183" s="1" t="str">
        <f t="shared" si="137"/>
        <v>威尔新数值1.06.xlsm!circlePer</v>
      </c>
    </row>
    <row r="2184" spans="1:9" x14ac:dyDescent="0.15">
      <c r="A2184" s="1">
        <v>2183</v>
      </c>
      <c r="B2184" s="1">
        <v>102021200</v>
      </c>
      <c r="C2184" s="1">
        <f t="shared" si="136"/>
        <v>102</v>
      </c>
      <c r="D2184" s="5">
        <f ca="1">IF(getQuality(B2184)&lt;4,getOtherMin(B2184,C2184,INDIRECT(J$2),INDIRECT(I2184),test),getMin(B2184,C2184,INDIRECT(J$2),INDIRECT(I2184),test))</f>
        <v>0.5</v>
      </c>
      <c r="E2184" s="5">
        <f ca="1">IF(getQuality(B2184)&lt;4,getOtherMax(B2184,C2184,INDIRECT(J$2),INDIRECT(I2184),test),getMax(B2184,C2184,INDIRECT(J$2),INDIRECT(I2184),test))</f>
        <v>0.9</v>
      </c>
      <c r="F2184" s="1" t="str">
        <f t="shared" si="138"/>
        <v>50</v>
      </c>
      <c r="G2184" s="1" t="str">
        <f t="shared" si="139"/>
        <v/>
      </c>
      <c r="I2184" s="1" t="str">
        <f t="shared" si="137"/>
        <v>威尔新数值1.06.xlsm!circleValue</v>
      </c>
    </row>
    <row r="2185" spans="1:9" x14ac:dyDescent="0.15">
      <c r="A2185" s="1">
        <v>2184</v>
      </c>
      <c r="B2185" s="1">
        <v>102021200</v>
      </c>
      <c r="C2185" s="1">
        <f t="shared" si="136"/>
        <v>103</v>
      </c>
      <c r="D2185" s="5">
        <f ca="1">IF(getQuality(B2185)&lt;4,getOtherMin(B2185,C2185,INDIRECT(J$2),INDIRECT(I2185),test),getMin(B2185,C2185,INDIRECT(J$2),INDIRECT(I2185),test))</f>
        <v>7.0000000000000007E-2</v>
      </c>
      <c r="E2185" s="5">
        <f ca="1">IF(getQuality(B2185)&lt;4,getOtherMax(B2185,C2185,INDIRECT(J$2),INDIRECT(I2185),test),getMax(B2185,C2185,INDIRECT(J$2),INDIRECT(I2185),test))</f>
        <v>0.1</v>
      </c>
      <c r="F2185" s="1" t="str">
        <f t="shared" si="138"/>
        <v>50</v>
      </c>
      <c r="G2185" s="1" t="str">
        <f t="shared" si="139"/>
        <v/>
      </c>
      <c r="I2185" s="1" t="str">
        <f t="shared" si="137"/>
        <v>威尔新数值1.06.xlsm!otherDamage</v>
      </c>
    </row>
    <row r="2186" spans="1:9" x14ac:dyDescent="0.15">
      <c r="A2186" s="1">
        <v>2185</v>
      </c>
      <c r="B2186" s="1">
        <v>102021200</v>
      </c>
      <c r="C2186" s="1">
        <f t="shared" si="136"/>
        <v>104</v>
      </c>
      <c r="D2186" s="5">
        <f ca="1">IF(getQuality(B2186)&lt;4,getOtherMin(B2186,C2186,INDIRECT(J$2),INDIRECT(I2186),test),getMin(B2186,C2186,INDIRECT(J$2),INDIRECT(I2186),test))</f>
        <v>7.0000000000000007E-2</v>
      </c>
      <c r="E2186" s="5">
        <f ca="1">IF(getQuality(B2186)&lt;4,getOtherMax(B2186,C2186,INDIRECT(J$2),INDIRECT(I2186),test),getMax(B2186,C2186,INDIRECT(J$2),INDIRECT(I2186),test))</f>
        <v>0.14000000000000001</v>
      </c>
      <c r="F2186" s="1" t="str">
        <f t="shared" si="138"/>
        <v>50</v>
      </c>
      <c r="G2186" s="1" t="str">
        <f t="shared" si="139"/>
        <v/>
      </c>
      <c r="I2186" s="1" t="str">
        <f t="shared" si="137"/>
        <v>威尔新数值1.06.xlsm!monsterDamage</v>
      </c>
    </row>
    <row r="2187" spans="1:9" x14ac:dyDescent="0.15">
      <c r="A2187" s="1">
        <v>2186</v>
      </c>
      <c r="B2187" s="1">
        <v>102021200</v>
      </c>
      <c r="C2187" s="1">
        <f t="shared" si="136"/>
        <v>105</v>
      </c>
      <c r="D2187" s="5">
        <f ca="1">IF(getQuality(B2187)&lt;4,getOtherMin(B2187,C2187,INDIRECT(J$2),INDIRECT(I2187),test),getMin(B2187,C2187,INDIRECT(J$2),INDIRECT(I2187),test))</f>
        <v>7.0000000000000007E-2</v>
      </c>
      <c r="E2187" s="5">
        <f ca="1">IF(getQuality(B2187)&lt;4,getOtherMax(B2187,C2187,INDIRECT(J$2),INDIRECT(I2187),test),getMax(B2187,C2187,INDIRECT(J$2),INDIRECT(I2187),test))</f>
        <v>0.14000000000000001</v>
      </c>
      <c r="F2187" s="1" t="str">
        <f t="shared" si="138"/>
        <v>50</v>
      </c>
      <c r="G2187" s="1" t="str">
        <f t="shared" si="139"/>
        <v/>
      </c>
      <c r="I2187" s="1" t="str">
        <f t="shared" si="137"/>
        <v>威尔新数值1.06.xlsm!monsterDamage</v>
      </c>
    </row>
    <row r="2188" spans="1:9" x14ac:dyDescent="0.15">
      <c r="A2188" s="1">
        <v>2187</v>
      </c>
      <c r="B2188" s="1">
        <v>102021200</v>
      </c>
      <c r="C2188" s="1">
        <f t="shared" si="136"/>
        <v>106</v>
      </c>
      <c r="D2188" s="5">
        <f ca="1">IF(getQuality(B2188)&lt;4,getOtherMin(B2188,C2188,INDIRECT(J$2),INDIRECT(I2188),test),getMin(B2188,C2188,INDIRECT(J$2),INDIRECT(I2188),test))</f>
        <v>7.0000000000000007E-2</v>
      </c>
      <c r="E2188" s="5">
        <f ca="1">IF(getQuality(B2188)&lt;4,getOtherMax(B2188,C2188,INDIRECT(J$2),INDIRECT(I2188),test),getMax(B2188,C2188,INDIRECT(J$2),INDIRECT(I2188),test))</f>
        <v>0.14000000000000001</v>
      </c>
      <c r="F2188" s="1" t="str">
        <f t="shared" si="138"/>
        <v>50</v>
      </c>
      <c r="G2188" s="1" t="str">
        <f t="shared" si="139"/>
        <v/>
      </c>
      <c r="I2188" s="1" t="str">
        <f t="shared" si="137"/>
        <v>威尔新数值1.06.xlsm!monsterDamage</v>
      </c>
    </row>
    <row r="2189" spans="1:9" x14ac:dyDescent="0.15">
      <c r="A2189" s="1">
        <v>2188</v>
      </c>
      <c r="B2189" s="1">
        <v>102021200</v>
      </c>
      <c r="C2189" s="1">
        <f t="shared" si="136"/>
        <v>107</v>
      </c>
      <c r="D2189" s="5">
        <f ca="1">IF(getQuality(B2189)&lt;4,getOtherMin(B2189,C2189,INDIRECT(J$2),INDIRECT(I2189),test),getMin(B2189,C2189,INDIRECT(J$2),INDIRECT(I2189),test))</f>
        <v>7.0000000000000007E-2</v>
      </c>
      <c r="E2189" s="5">
        <f ca="1">IF(getQuality(B2189)&lt;4,getOtherMax(B2189,C2189,INDIRECT(J$2),INDIRECT(I2189),test),getMax(B2189,C2189,INDIRECT(J$2),INDIRECT(I2189),test))</f>
        <v>0.14000000000000001</v>
      </c>
      <c r="F2189" s="1" t="str">
        <f t="shared" si="138"/>
        <v>50</v>
      </c>
      <c r="G2189" s="1" t="str">
        <f t="shared" si="139"/>
        <v/>
      </c>
      <c r="I2189" s="1" t="str">
        <f t="shared" si="137"/>
        <v>威尔新数值1.06.xlsm!monsterDamage</v>
      </c>
    </row>
    <row r="2190" spans="1:9" x14ac:dyDescent="0.15">
      <c r="A2190" s="1">
        <v>2189</v>
      </c>
      <c r="B2190" s="1">
        <v>102021200</v>
      </c>
      <c r="C2190" s="1">
        <f t="shared" si="136"/>
        <v>108</v>
      </c>
      <c r="D2190" s="5">
        <f ca="1">IF(getQuality(B2190)&lt;4,getOtherMin(B2190,C2190,INDIRECT(J$2),INDIRECT(I2190),test),getMin(B2190,C2190,INDIRECT(J$2),INDIRECT(I2190),test))</f>
        <v>7.0000000000000007E-2</v>
      </c>
      <c r="E2190" s="5">
        <f ca="1">IF(getQuality(B2190)&lt;4,getOtherMax(B2190,C2190,INDIRECT(J$2),INDIRECT(I2190),test),getMax(B2190,C2190,INDIRECT(J$2),INDIRECT(I2190),test))</f>
        <v>0.14000000000000001</v>
      </c>
      <c r="F2190" s="1" t="str">
        <f t="shared" si="138"/>
        <v>50</v>
      </c>
      <c r="G2190" s="1" t="str">
        <f t="shared" si="139"/>
        <v/>
      </c>
      <c r="I2190" s="1" t="str">
        <f t="shared" si="137"/>
        <v>威尔新数值1.06.xlsm!monsterDamage</v>
      </c>
    </row>
    <row r="2191" spans="1:9" x14ac:dyDescent="0.15">
      <c r="A2191" s="1">
        <v>2190</v>
      </c>
      <c r="B2191" s="1">
        <v>102031200</v>
      </c>
      <c r="C2191" s="1">
        <f t="shared" si="136"/>
        <v>3</v>
      </c>
      <c r="D2191" s="5">
        <f ca="1">IF(getQuality(B2191)&lt;4,getOtherMin(B2191,C2191,INDIRECT(J$2),INDIRECT(I2191),test),getMin(B2191,C2191,INDIRECT(J$2),INDIRECT(I2191),test))</f>
        <v>47.219010783550694</v>
      </c>
      <c r="E2191" s="5">
        <f ca="1">IF(getQuality(B2191)&lt;4,getOtherMax(B2191,C2191,INDIRECT(J$2),INDIRECT(I2191),test),getMax(B2191,C2191,INDIRECT(J$2),INDIRECT(I2191),test))</f>
        <v>75.631108554901132</v>
      </c>
      <c r="F2191" s="1" t="str">
        <f t="shared" si="138"/>
        <v>50</v>
      </c>
      <c r="G2191" s="1" t="str">
        <f t="shared" si="139"/>
        <v>1</v>
      </c>
      <c r="I2191" s="1" t="str">
        <f t="shared" si="137"/>
        <v>威尔新数值1.06.xlsm!suitPower</v>
      </c>
    </row>
    <row r="2192" spans="1:9" x14ac:dyDescent="0.15">
      <c r="A2192" s="1">
        <v>2191</v>
      </c>
      <c r="B2192" s="1">
        <v>102031200</v>
      </c>
      <c r="C2192" s="1">
        <f t="shared" si="136"/>
        <v>5</v>
      </c>
      <c r="D2192" s="5">
        <f ca="1">IF(getQuality(B2192)&lt;4,getOtherMin(B2192,C2192,INDIRECT(J$2),INDIRECT(I2192),test),getMin(B2192,C2192,INDIRECT(J$2),INDIRECT(I2192),test))</f>
        <v>47.219010783550694</v>
      </c>
      <c r="E2192" s="5">
        <f ca="1">IF(getQuality(B2192)&lt;4,getOtherMax(B2192,C2192,INDIRECT(J$2),INDIRECT(I2192),test),getMax(B2192,C2192,INDIRECT(J$2),INDIRECT(I2192),test))</f>
        <v>75.631108554901132</v>
      </c>
      <c r="F2192" s="1" t="str">
        <f t="shared" si="138"/>
        <v>50</v>
      </c>
      <c r="G2192" s="1" t="str">
        <f t="shared" si="139"/>
        <v/>
      </c>
      <c r="I2192" s="1" t="str">
        <f t="shared" si="137"/>
        <v>威尔新数值1.06.xlsm!suitPower</v>
      </c>
    </row>
    <row r="2193" spans="1:9" x14ac:dyDescent="0.15">
      <c r="A2193" s="1">
        <v>2192</v>
      </c>
      <c r="B2193" s="1">
        <v>102031200</v>
      </c>
      <c r="C2193" s="1">
        <f t="shared" si="136"/>
        <v>7</v>
      </c>
      <c r="D2193" s="5">
        <f ca="1">IF(getQuality(B2193)&lt;4,getOtherMin(B2193,C2193,INDIRECT(J$2),INDIRECT(I2193),test),getMin(B2193,C2193,INDIRECT(J$2),INDIRECT(I2193),test))</f>
        <v>13.96296296296293</v>
      </c>
      <c r="E2193" s="5">
        <f ca="1">IF(getQuality(B2193)&lt;4,getOtherMax(B2193,C2193,INDIRECT(J$2),INDIRECT(I2193),test),getMax(B2193,C2193,INDIRECT(J$2),INDIRECT(I2193),test))</f>
        <v>19.444444444444393</v>
      </c>
      <c r="F2193" s="1" t="str">
        <f t="shared" si="138"/>
        <v>50</v>
      </c>
      <c r="G2193" s="1" t="str">
        <f t="shared" si="139"/>
        <v/>
      </c>
      <c r="I2193" s="1" t="str">
        <f t="shared" si="137"/>
        <v>威尔新数值1.06.xlsm!suitPower</v>
      </c>
    </row>
    <row r="2194" spans="1:9" x14ac:dyDescent="0.15">
      <c r="A2194" s="1">
        <v>2193</v>
      </c>
      <c r="B2194" s="1">
        <v>102031200</v>
      </c>
      <c r="C2194" s="1">
        <f t="shared" si="136"/>
        <v>8</v>
      </c>
      <c r="D2194" s="5">
        <f ca="1">IF(getQuality(B2194)&lt;4,getOtherMin(B2194,C2194,INDIRECT(J$2),INDIRECT(I2194),test),getMin(B2194,C2194,INDIRECT(J$2),INDIRECT(I2194),test))</f>
        <v>30.166666666666668</v>
      </c>
      <c r="E2194" s="5">
        <f ca="1">IF(getQuality(B2194)&lt;4,getOtherMax(B2194,C2194,INDIRECT(J$2),INDIRECT(I2194),test),getMax(B2194,C2194,INDIRECT(J$2),INDIRECT(I2194),test))</f>
        <v>43.75</v>
      </c>
      <c r="F2194" s="1" t="str">
        <f t="shared" si="138"/>
        <v>50</v>
      </c>
      <c r="G2194" s="1" t="str">
        <f t="shared" si="139"/>
        <v/>
      </c>
      <c r="I2194" s="1" t="str">
        <f t="shared" si="137"/>
        <v>威尔新数值1.06.xlsm!suitPower</v>
      </c>
    </row>
    <row r="2195" spans="1:9" x14ac:dyDescent="0.15">
      <c r="A2195" s="1">
        <v>2194</v>
      </c>
      <c r="B2195" s="1">
        <v>102031200</v>
      </c>
      <c r="C2195" s="1">
        <f t="shared" si="136"/>
        <v>9</v>
      </c>
      <c r="D2195" s="5">
        <f ca="1">IF(getQuality(B2195)&lt;4,getOtherMin(B2195,C2195,INDIRECT(J$2),INDIRECT(I2195),test),getMin(B2195,C2195,INDIRECT(J$2),INDIRECT(I2195),test))</f>
        <v>47.219010783550694</v>
      </c>
      <c r="E2195" s="5">
        <f ca="1">IF(getQuality(B2195)&lt;4,getOtherMax(B2195,C2195,INDIRECT(J$2),INDIRECT(I2195),test),getMax(B2195,C2195,INDIRECT(J$2),INDIRECT(I2195),test))</f>
        <v>75.631108554901132</v>
      </c>
      <c r="F2195" s="1" t="str">
        <f t="shared" si="138"/>
        <v>50</v>
      </c>
      <c r="G2195" s="1" t="str">
        <f t="shared" si="139"/>
        <v/>
      </c>
      <c r="I2195" s="1" t="str">
        <f t="shared" si="137"/>
        <v>威尔新数值1.06.xlsm!suitPower</v>
      </c>
    </row>
    <row r="2196" spans="1:9" x14ac:dyDescent="0.15">
      <c r="A2196" s="1">
        <v>2195</v>
      </c>
      <c r="B2196" s="1">
        <v>102031200</v>
      </c>
      <c r="C2196" s="1">
        <f t="shared" si="136"/>
        <v>10</v>
      </c>
      <c r="D2196" s="5">
        <f ca="1">IF(getQuality(B2196)&lt;4,getOtherMin(B2196,C2196,INDIRECT(J$2),INDIRECT(I2196),test),getMin(B2196,C2196,INDIRECT(J$2),INDIRECT(I2196),test))</f>
        <v>47.219010783550694</v>
      </c>
      <c r="E2196" s="5">
        <f ca="1">IF(getQuality(B2196)&lt;4,getOtherMax(B2196,C2196,INDIRECT(J$2),INDIRECT(I2196),test),getMax(B2196,C2196,INDIRECT(J$2),INDIRECT(I2196),test))</f>
        <v>75.631108554901132</v>
      </c>
      <c r="F2196" s="1" t="str">
        <f t="shared" si="138"/>
        <v>50</v>
      </c>
      <c r="G2196" s="1" t="str">
        <f t="shared" si="139"/>
        <v/>
      </c>
      <c r="I2196" s="1" t="str">
        <f t="shared" si="137"/>
        <v>威尔新数值1.06.xlsm!suitPower</v>
      </c>
    </row>
    <row r="2197" spans="1:9" x14ac:dyDescent="0.15">
      <c r="A2197" s="1">
        <v>2196</v>
      </c>
      <c r="B2197" s="1">
        <v>102031200</v>
      </c>
      <c r="C2197" s="1">
        <f t="shared" si="136"/>
        <v>11</v>
      </c>
      <c r="D2197" s="5">
        <f ca="1">IF(getQuality(B2197)&lt;4,getOtherMin(B2197,C2197,INDIRECT(J$2),INDIRECT(I2197),test),getMin(B2197,C2197,INDIRECT(J$2),INDIRECT(I2197),test))</f>
        <v>47.219010783550694</v>
      </c>
      <c r="E2197" s="5">
        <f ca="1">IF(getQuality(B2197)&lt;4,getOtherMax(B2197,C2197,INDIRECT(J$2),INDIRECT(I2197),test),getMax(B2197,C2197,INDIRECT(J$2),INDIRECT(I2197),test))</f>
        <v>75.631108554901132</v>
      </c>
      <c r="F2197" s="1" t="str">
        <f t="shared" si="138"/>
        <v>50</v>
      </c>
      <c r="G2197" s="1" t="str">
        <f t="shared" si="139"/>
        <v/>
      </c>
      <c r="I2197" s="1" t="str">
        <f t="shared" si="137"/>
        <v>威尔新数值1.06.xlsm!suitPower</v>
      </c>
    </row>
    <row r="2198" spans="1:9" x14ac:dyDescent="0.15">
      <c r="A2198" s="1">
        <v>2197</v>
      </c>
      <c r="B2198" s="1">
        <v>102031200</v>
      </c>
      <c r="C2198" s="1">
        <f t="shared" si="136"/>
        <v>12</v>
      </c>
      <c r="D2198" s="5">
        <f ca="1">IF(getQuality(B2198)&lt;4,getOtherMin(B2198,C2198,INDIRECT(J$2),INDIRECT(I2198),test),getMin(B2198,C2198,INDIRECT(J$2),INDIRECT(I2198),test))</f>
        <v>47.219010783550694</v>
      </c>
      <c r="E2198" s="5">
        <f ca="1">IF(getQuality(B2198)&lt;4,getOtherMax(B2198,C2198,INDIRECT(J$2),INDIRECT(I2198),test),getMax(B2198,C2198,INDIRECT(J$2),INDIRECT(I2198),test))</f>
        <v>75.631108554901132</v>
      </c>
      <c r="F2198" s="1" t="str">
        <f t="shared" si="138"/>
        <v>50</v>
      </c>
      <c r="G2198" s="1" t="str">
        <f t="shared" si="139"/>
        <v/>
      </c>
      <c r="I2198" s="1" t="str">
        <f t="shared" si="137"/>
        <v>威尔新数值1.06.xlsm!suitPower</v>
      </c>
    </row>
    <row r="2199" spans="1:9" x14ac:dyDescent="0.15">
      <c r="A2199" s="1">
        <v>2198</v>
      </c>
      <c r="B2199" s="1">
        <v>102031200</v>
      </c>
      <c r="C2199" s="1">
        <f t="shared" si="136"/>
        <v>13</v>
      </c>
      <c r="D2199" s="5">
        <f ca="1">IF(getQuality(B2199)&lt;4,getOtherMin(B2199,C2199,INDIRECT(J$2),INDIRECT(I2199),test),getMin(B2199,C2199,INDIRECT(J$2),INDIRECT(I2199),test))</f>
        <v>47.219010783550694</v>
      </c>
      <c r="E2199" s="5">
        <f ca="1">IF(getQuality(B2199)&lt;4,getOtherMax(B2199,C2199,INDIRECT(J$2),INDIRECT(I2199),test),getMax(B2199,C2199,INDIRECT(J$2),INDIRECT(I2199),test))</f>
        <v>75.631108554901132</v>
      </c>
      <c r="F2199" s="1" t="str">
        <f t="shared" si="138"/>
        <v>50</v>
      </c>
      <c r="G2199" s="1" t="str">
        <f t="shared" si="139"/>
        <v/>
      </c>
      <c r="I2199" s="1" t="str">
        <f t="shared" si="137"/>
        <v>威尔新数值1.06.xlsm!suitPower</v>
      </c>
    </row>
    <row r="2200" spans="1:9" x14ac:dyDescent="0.15">
      <c r="A2200" s="1">
        <v>2199</v>
      </c>
      <c r="B2200" s="1">
        <v>102031200</v>
      </c>
      <c r="C2200" s="1">
        <f t="shared" si="136"/>
        <v>14</v>
      </c>
      <c r="D2200" s="5">
        <f ca="1">IF(getQuality(B2200)&lt;4,getOtherMin(B2200,C2200,INDIRECT(J$2),INDIRECT(I2200),test),getMin(B2200,C2200,INDIRECT(J$2),INDIRECT(I2200),test))</f>
        <v>47.219010783550694</v>
      </c>
      <c r="E2200" s="5">
        <f ca="1">IF(getQuality(B2200)&lt;4,getOtherMax(B2200,C2200,INDIRECT(J$2),INDIRECT(I2200),test),getMax(B2200,C2200,INDIRECT(J$2),INDIRECT(I2200),test))</f>
        <v>75.631108554901132</v>
      </c>
      <c r="F2200" s="1" t="str">
        <f t="shared" si="138"/>
        <v>50</v>
      </c>
      <c r="G2200" s="1" t="str">
        <f t="shared" si="139"/>
        <v/>
      </c>
      <c r="I2200" s="1" t="str">
        <f t="shared" si="137"/>
        <v>威尔新数值1.06.xlsm!suitPower</v>
      </c>
    </row>
    <row r="2201" spans="1:9" x14ac:dyDescent="0.15">
      <c r="A2201" s="1">
        <v>2200</v>
      </c>
      <c r="B2201" s="1">
        <v>102031200</v>
      </c>
      <c r="C2201" s="1">
        <f t="shared" si="136"/>
        <v>15</v>
      </c>
      <c r="D2201" s="5">
        <f ca="1">IF(getQuality(B2201)&lt;4,getOtherMin(B2201,C2201,INDIRECT(J$2),INDIRECT(I2201),test),getMin(B2201,C2201,INDIRECT(J$2),INDIRECT(I2201),test))</f>
        <v>47.219010783550694</v>
      </c>
      <c r="E2201" s="5">
        <f ca="1">IF(getQuality(B2201)&lt;4,getOtherMax(B2201,C2201,INDIRECT(J$2),INDIRECT(I2201),test),getMax(B2201,C2201,INDIRECT(J$2),INDIRECT(I2201),test))</f>
        <v>75.631108554901132</v>
      </c>
      <c r="F2201" s="1" t="str">
        <f t="shared" si="138"/>
        <v>50</v>
      </c>
      <c r="G2201" s="1" t="str">
        <f t="shared" si="139"/>
        <v/>
      </c>
      <c r="I2201" s="1" t="str">
        <f t="shared" si="137"/>
        <v>威尔新数值1.06.xlsm!suitPower</v>
      </c>
    </row>
    <row r="2202" spans="1:9" x14ac:dyDescent="0.15">
      <c r="A2202" s="1">
        <v>2201</v>
      </c>
      <c r="B2202" s="1">
        <v>102031200</v>
      </c>
      <c r="C2202" s="1">
        <f t="shared" si="136"/>
        <v>101</v>
      </c>
      <c r="D2202" s="5">
        <f ca="1">IF(getQuality(B2202)&lt;4,getOtherMin(B2202,C2202,INDIRECT(J$2),INDIRECT(I2202),test),getMin(B2202,C2202,INDIRECT(J$2),INDIRECT(I2202),test))</f>
        <v>0.08</v>
      </c>
      <c r="E2202" s="5">
        <f ca="1">IF(getQuality(B2202)&lt;4,getOtherMax(B2202,C2202,INDIRECT(J$2),INDIRECT(I2202),test),getMax(B2202,C2202,INDIRECT(J$2),INDIRECT(I2202),test))</f>
        <v>0.11</v>
      </c>
      <c r="F2202" s="1" t="str">
        <f t="shared" si="138"/>
        <v>50</v>
      </c>
      <c r="G2202" s="1" t="str">
        <f t="shared" si="139"/>
        <v/>
      </c>
      <c r="I2202" s="1" t="str">
        <f t="shared" si="137"/>
        <v>威尔新数值1.06.xlsm!circlePer</v>
      </c>
    </row>
    <row r="2203" spans="1:9" x14ac:dyDescent="0.15">
      <c r="A2203" s="1">
        <v>2202</v>
      </c>
      <c r="B2203" s="1">
        <v>102031200</v>
      </c>
      <c r="C2203" s="1">
        <f t="shared" si="136"/>
        <v>102</v>
      </c>
      <c r="D2203" s="5">
        <f ca="1">IF(getQuality(B2203)&lt;4,getOtherMin(B2203,C2203,INDIRECT(J$2),INDIRECT(I2203),test),getMin(B2203,C2203,INDIRECT(J$2),INDIRECT(I2203),test))</f>
        <v>0.6</v>
      </c>
      <c r="E2203" s="5">
        <f ca="1">IF(getQuality(B2203)&lt;4,getOtherMax(B2203,C2203,INDIRECT(J$2),INDIRECT(I2203),test),getMax(B2203,C2203,INDIRECT(J$2),INDIRECT(I2203),test))</f>
        <v>1</v>
      </c>
      <c r="F2203" s="1" t="str">
        <f t="shared" si="138"/>
        <v>50</v>
      </c>
      <c r="G2203" s="1" t="str">
        <f t="shared" si="139"/>
        <v/>
      </c>
      <c r="I2203" s="1" t="str">
        <f t="shared" si="137"/>
        <v>威尔新数值1.06.xlsm!circleValue</v>
      </c>
    </row>
    <row r="2204" spans="1:9" x14ac:dyDescent="0.15">
      <c r="A2204" s="1">
        <v>2203</v>
      </c>
      <c r="B2204" s="1">
        <v>102031200</v>
      </c>
      <c r="C2204" s="1">
        <f t="shared" si="136"/>
        <v>103</v>
      </c>
      <c r="D2204" s="5">
        <f ca="1">IF(getQuality(B2204)&lt;4,getOtherMin(B2204,C2204,INDIRECT(J$2),INDIRECT(I2204),test),getMin(B2204,C2204,INDIRECT(J$2),INDIRECT(I2204),test))</f>
        <v>0.08</v>
      </c>
      <c r="E2204" s="5">
        <f ca="1">IF(getQuality(B2204)&lt;4,getOtherMax(B2204,C2204,INDIRECT(J$2),INDIRECT(I2204),test),getMax(B2204,C2204,INDIRECT(J$2),INDIRECT(I2204),test))</f>
        <v>0.11</v>
      </c>
      <c r="F2204" s="1" t="str">
        <f t="shared" si="138"/>
        <v>50</v>
      </c>
      <c r="G2204" s="1" t="str">
        <f t="shared" si="139"/>
        <v/>
      </c>
      <c r="I2204" s="1" t="str">
        <f t="shared" si="137"/>
        <v>威尔新数值1.06.xlsm!otherDamage</v>
      </c>
    </row>
    <row r="2205" spans="1:9" x14ac:dyDescent="0.15">
      <c r="A2205" s="1">
        <v>2204</v>
      </c>
      <c r="B2205" s="1">
        <v>102031200</v>
      </c>
      <c r="C2205" s="1">
        <f t="shared" si="136"/>
        <v>104</v>
      </c>
      <c r="D2205" s="5">
        <f ca="1">IF(getQuality(B2205)&lt;4,getOtherMin(B2205,C2205,INDIRECT(J$2),INDIRECT(I2205),test),getMin(B2205,C2205,INDIRECT(J$2),INDIRECT(I2205),test))</f>
        <v>0.08</v>
      </c>
      <c r="E2205" s="5">
        <f ca="1">IF(getQuality(B2205)&lt;4,getOtherMax(B2205,C2205,INDIRECT(J$2),INDIRECT(I2205),test),getMax(B2205,C2205,INDIRECT(J$2),INDIRECT(I2205),test))</f>
        <v>0.16</v>
      </c>
      <c r="F2205" s="1" t="str">
        <f t="shared" si="138"/>
        <v>50</v>
      </c>
      <c r="G2205" s="1" t="str">
        <f t="shared" si="139"/>
        <v/>
      </c>
      <c r="I2205" s="1" t="str">
        <f t="shared" si="137"/>
        <v>威尔新数值1.06.xlsm!monsterDamage</v>
      </c>
    </row>
    <row r="2206" spans="1:9" x14ac:dyDescent="0.15">
      <c r="A2206" s="1">
        <v>2205</v>
      </c>
      <c r="B2206" s="1">
        <v>102031200</v>
      </c>
      <c r="C2206" s="1">
        <f t="shared" si="136"/>
        <v>105</v>
      </c>
      <c r="D2206" s="5">
        <f ca="1">IF(getQuality(B2206)&lt;4,getOtherMin(B2206,C2206,INDIRECT(J$2),INDIRECT(I2206),test),getMin(B2206,C2206,INDIRECT(J$2),INDIRECT(I2206),test))</f>
        <v>0.08</v>
      </c>
      <c r="E2206" s="5">
        <f ca="1">IF(getQuality(B2206)&lt;4,getOtherMax(B2206,C2206,INDIRECT(J$2),INDIRECT(I2206),test),getMax(B2206,C2206,INDIRECT(J$2),INDIRECT(I2206),test))</f>
        <v>0.16</v>
      </c>
      <c r="F2206" s="1" t="str">
        <f t="shared" si="138"/>
        <v>50</v>
      </c>
      <c r="G2206" s="1" t="str">
        <f t="shared" si="139"/>
        <v/>
      </c>
      <c r="I2206" s="1" t="str">
        <f t="shared" si="137"/>
        <v>威尔新数值1.06.xlsm!monsterDamage</v>
      </c>
    </row>
    <row r="2207" spans="1:9" x14ac:dyDescent="0.15">
      <c r="A2207" s="1">
        <v>2206</v>
      </c>
      <c r="B2207" s="1">
        <v>102031200</v>
      </c>
      <c r="C2207" s="1">
        <f t="shared" si="136"/>
        <v>106</v>
      </c>
      <c r="D2207" s="5">
        <f ca="1">IF(getQuality(B2207)&lt;4,getOtherMin(B2207,C2207,INDIRECT(J$2),INDIRECT(I2207),test),getMin(B2207,C2207,INDIRECT(J$2),INDIRECT(I2207),test))</f>
        <v>0.08</v>
      </c>
      <c r="E2207" s="5">
        <f ca="1">IF(getQuality(B2207)&lt;4,getOtherMax(B2207,C2207,INDIRECT(J$2),INDIRECT(I2207),test),getMax(B2207,C2207,INDIRECT(J$2),INDIRECT(I2207),test))</f>
        <v>0.16</v>
      </c>
      <c r="F2207" s="1" t="str">
        <f t="shared" si="138"/>
        <v>50</v>
      </c>
      <c r="G2207" s="1" t="str">
        <f t="shared" si="139"/>
        <v/>
      </c>
      <c r="I2207" s="1" t="str">
        <f t="shared" si="137"/>
        <v>威尔新数值1.06.xlsm!monsterDamage</v>
      </c>
    </row>
    <row r="2208" spans="1:9" x14ac:dyDescent="0.15">
      <c r="A2208" s="1">
        <v>2207</v>
      </c>
      <c r="B2208" s="1">
        <v>102031200</v>
      </c>
      <c r="C2208" s="1">
        <f t="shared" si="136"/>
        <v>107</v>
      </c>
      <c r="D2208" s="5">
        <f ca="1">IF(getQuality(B2208)&lt;4,getOtherMin(B2208,C2208,INDIRECT(J$2),INDIRECT(I2208),test),getMin(B2208,C2208,INDIRECT(J$2),INDIRECT(I2208),test))</f>
        <v>0.08</v>
      </c>
      <c r="E2208" s="5">
        <f ca="1">IF(getQuality(B2208)&lt;4,getOtherMax(B2208,C2208,INDIRECT(J$2),INDIRECT(I2208),test),getMax(B2208,C2208,INDIRECT(J$2),INDIRECT(I2208),test))</f>
        <v>0.16</v>
      </c>
      <c r="F2208" s="1" t="str">
        <f t="shared" si="138"/>
        <v>50</v>
      </c>
      <c r="G2208" s="1" t="str">
        <f t="shared" si="139"/>
        <v/>
      </c>
      <c r="I2208" s="1" t="str">
        <f t="shared" si="137"/>
        <v>威尔新数值1.06.xlsm!monsterDamage</v>
      </c>
    </row>
    <row r="2209" spans="1:9" x14ac:dyDescent="0.15">
      <c r="A2209" s="1">
        <v>2208</v>
      </c>
      <c r="B2209" s="1">
        <v>102031200</v>
      </c>
      <c r="C2209" s="1">
        <f t="shared" si="136"/>
        <v>108</v>
      </c>
      <c r="D2209" s="5">
        <f ca="1">IF(getQuality(B2209)&lt;4,getOtherMin(B2209,C2209,INDIRECT(J$2),INDIRECT(I2209),test),getMin(B2209,C2209,INDIRECT(J$2),INDIRECT(I2209),test))</f>
        <v>0.08</v>
      </c>
      <c r="E2209" s="5">
        <f ca="1">IF(getQuality(B2209)&lt;4,getOtherMax(B2209,C2209,INDIRECT(J$2),INDIRECT(I2209),test),getMax(B2209,C2209,INDIRECT(J$2),INDIRECT(I2209),test))</f>
        <v>0.16</v>
      </c>
      <c r="F2209" s="1" t="str">
        <f t="shared" si="138"/>
        <v>50</v>
      </c>
      <c r="G2209" s="1" t="str">
        <f t="shared" si="139"/>
        <v/>
      </c>
      <c r="I2209" s="1" t="str">
        <f t="shared" si="137"/>
        <v>威尔新数值1.06.xlsm!monsterDamage</v>
      </c>
    </row>
    <row r="2210" spans="1:9" x14ac:dyDescent="0.15">
      <c r="A2210" s="1">
        <v>2209</v>
      </c>
      <c r="B2210" s="1">
        <v>102041200</v>
      </c>
      <c r="C2210" s="1">
        <f t="shared" si="136"/>
        <v>3</v>
      </c>
      <c r="D2210" s="5">
        <f ca="1">IF(getQuality(B2210)&lt;4,getOtherMin(B2210,C2210,INDIRECT(J$2),INDIRECT(I2210),test),getMin(B2210,C2210,INDIRECT(J$2),INDIRECT(I2210),test))</f>
        <v>76.631108554901132</v>
      </c>
      <c r="E2210" s="5">
        <f ca="1">IF(getQuality(B2210)&lt;4,getOtherMax(B2210,C2210,INDIRECT(J$2),INDIRECT(I2210),test),getMax(B2210,C2210,INDIRECT(J$2),INDIRECT(I2210),test))</f>
        <v>109.24493457930163</v>
      </c>
      <c r="F2210" s="1" t="str">
        <f t="shared" si="138"/>
        <v>50</v>
      </c>
      <c r="G2210" s="1" t="str">
        <f t="shared" si="139"/>
        <v>1</v>
      </c>
      <c r="I2210" s="1" t="str">
        <f t="shared" si="137"/>
        <v>威尔新数值1.06.xlsm!suitPower</v>
      </c>
    </row>
    <row r="2211" spans="1:9" x14ac:dyDescent="0.15">
      <c r="A2211" s="1">
        <v>2210</v>
      </c>
      <c r="B2211" s="1">
        <v>102041200</v>
      </c>
      <c r="C2211" s="1">
        <f t="shared" si="136"/>
        <v>5</v>
      </c>
      <c r="D2211" s="5">
        <f ca="1">IF(getQuality(B2211)&lt;4,getOtherMin(B2211,C2211,INDIRECT(J$2),INDIRECT(I2211),test),getMin(B2211,C2211,INDIRECT(J$2),INDIRECT(I2211),test))</f>
        <v>76.631108554901132</v>
      </c>
      <c r="E2211" s="5">
        <f ca="1">IF(getQuality(B2211)&lt;4,getOtherMax(B2211,C2211,INDIRECT(J$2),INDIRECT(I2211),test),getMax(B2211,C2211,INDIRECT(J$2),INDIRECT(I2211),test))</f>
        <v>109.24493457930163</v>
      </c>
      <c r="F2211" s="1" t="str">
        <f t="shared" si="138"/>
        <v>50</v>
      </c>
      <c r="G2211" s="1" t="str">
        <f t="shared" si="139"/>
        <v/>
      </c>
      <c r="I2211" s="1" t="str">
        <f t="shared" si="137"/>
        <v>威尔新数值1.06.xlsm!suitPower</v>
      </c>
    </row>
    <row r="2212" spans="1:9" x14ac:dyDescent="0.15">
      <c r="A2212" s="1">
        <v>2211</v>
      </c>
      <c r="B2212" s="1">
        <v>102041200</v>
      </c>
      <c r="C2212" s="1">
        <f t="shared" ref="C2212:C2275" si="140">C2193</f>
        <v>7</v>
      </c>
      <c r="D2212" s="5">
        <f ca="1">IF(getQuality(B2212)&lt;4,getOtherMin(B2212,C2212,INDIRECT(J$2),INDIRECT(I2212),test),getMin(B2212,C2212,INDIRECT(J$2),INDIRECT(I2212),test))</f>
        <v>20.444444444444393</v>
      </c>
      <c r="E2212" s="5">
        <f ca="1">IF(getQuality(B2212)&lt;4,getOtherMax(B2212,C2212,INDIRECT(J$2),INDIRECT(I2212),test),getMax(B2212,C2212,INDIRECT(J$2),INDIRECT(I2212),test))</f>
        <v>25.92592592592586</v>
      </c>
      <c r="F2212" s="1" t="str">
        <f t="shared" si="138"/>
        <v>50</v>
      </c>
      <c r="G2212" s="1" t="str">
        <f t="shared" si="139"/>
        <v/>
      </c>
      <c r="I2212" s="1" t="str">
        <f t="shared" si="137"/>
        <v>威尔新数值1.06.xlsm!suitPower</v>
      </c>
    </row>
    <row r="2213" spans="1:9" x14ac:dyDescent="0.15">
      <c r="A2213" s="1">
        <v>2212</v>
      </c>
      <c r="B2213" s="1">
        <v>102041200</v>
      </c>
      <c r="C2213" s="1">
        <f t="shared" si="140"/>
        <v>8</v>
      </c>
      <c r="D2213" s="5">
        <f ca="1">IF(getQuality(B2213)&lt;4,getOtherMin(B2213,C2213,INDIRECT(J$2),INDIRECT(I2213),test),getMin(B2213,C2213,INDIRECT(J$2),INDIRECT(I2213),test))</f>
        <v>44.75</v>
      </c>
      <c r="E2213" s="5">
        <f ca="1">IF(getQuality(B2213)&lt;4,getOtherMax(B2213,C2213,INDIRECT(J$2),INDIRECT(I2213),test),getMax(B2213,C2213,INDIRECT(J$2),INDIRECT(I2213),test))</f>
        <v>58.333333333333336</v>
      </c>
      <c r="F2213" s="1" t="str">
        <f t="shared" si="138"/>
        <v>50</v>
      </c>
      <c r="G2213" s="1" t="str">
        <f t="shared" si="139"/>
        <v/>
      </c>
      <c r="I2213" s="1" t="str">
        <f t="shared" si="137"/>
        <v>威尔新数值1.06.xlsm!suitPower</v>
      </c>
    </row>
    <row r="2214" spans="1:9" x14ac:dyDescent="0.15">
      <c r="A2214" s="1">
        <v>2213</v>
      </c>
      <c r="B2214" s="1">
        <v>102041200</v>
      </c>
      <c r="C2214" s="1">
        <f t="shared" si="140"/>
        <v>9</v>
      </c>
      <c r="D2214" s="5">
        <f ca="1">IF(getQuality(B2214)&lt;4,getOtherMin(B2214,C2214,INDIRECT(J$2),INDIRECT(I2214),test),getMin(B2214,C2214,INDIRECT(J$2),INDIRECT(I2214),test))</f>
        <v>76.631108554901132</v>
      </c>
      <c r="E2214" s="5">
        <f ca="1">IF(getQuality(B2214)&lt;4,getOtherMax(B2214,C2214,INDIRECT(J$2),INDIRECT(I2214),test),getMax(B2214,C2214,INDIRECT(J$2),INDIRECT(I2214),test))</f>
        <v>109.24493457930163</v>
      </c>
      <c r="F2214" s="1" t="str">
        <f t="shared" si="138"/>
        <v>50</v>
      </c>
      <c r="G2214" s="1" t="str">
        <f t="shared" si="139"/>
        <v/>
      </c>
      <c r="I2214" s="1" t="str">
        <f t="shared" si="137"/>
        <v>威尔新数值1.06.xlsm!suitPower</v>
      </c>
    </row>
    <row r="2215" spans="1:9" x14ac:dyDescent="0.15">
      <c r="A2215" s="1">
        <v>2214</v>
      </c>
      <c r="B2215" s="1">
        <v>102041200</v>
      </c>
      <c r="C2215" s="1">
        <f t="shared" si="140"/>
        <v>10</v>
      </c>
      <c r="D2215" s="5">
        <f ca="1">IF(getQuality(B2215)&lt;4,getOtherMin(B2215,C2215,INDIRECT(J$2),INDIRECT(I2215),test),getMin(B2215,C2215,INDIRECT(J$2),INDIRECT(I2215),test))</f>
        <v>76.631108554901132</v>
      </c>
      <c r="E2215" s="5">
        <f ca="1">IF(getQuality(B2215)&lt;4,getOtherMax(B2215,C2215,INDIRECT(J$2),INDIRECT(I2215),test),getMax(B2215,C2215,INDIRECT(J$2),INDIRECT(I2215),test))</f>
        <v>109.24493457930163</v>
      </c>
      <c r="F2215" s="1" t="str">
        <f t="shared" si="138"/>
        <v>50</v>
      </c>
      <c r="G2215" s="1" t="str">
        <f t="shared" si="139"/>
        <v/>
      </c>
      <c r="I2215" s="1" t="str">
        <f t="shared" si="137"/>
        <v>威尔新数值1.06.xlsm!suitPower</v>
      </c>
    </row>
    <row r="2216" spans="1:9" x14ac:dyDescent="0.15">
      <c r="A2216" s="1">
        <v>2215</v>
      </c>
      <c r="B2216" s="1">
        <v>102041200</v>
      </c>
      <c r="C2216" s="1">
        <f t="shared" si="140"/>
        <v>11</v>
      </c>
      <c r="D2216" s="5">
        <f ca="1">IF(getQuality(B2216)&lt;4,getOtherMin(B2216,C2216,INDIRECT(J$2),INDIRECT(I2216),test),getMin(B2216,C2216,INDIRECT(J$2),INDIRECT(I2216),test))</f>
        <v>76.631108554901132</v>
      </c>
      <c r="E2216" s="5">
        <f ca="1">IF(getQuality(B2216)&lt;4,getOtherMax(B2216,C2216,INDIRECT(J$2),INDIRECT(I2216),test),getMax(B2216,C2216,INDIRECT(J$2),INDIRECT(I2216),test))</f>
        <v>109.24493457930163</v>
      </c>
      <c r="F2216" s="1" t="str">
        <f t="shared" si="138"/>
        <v>50</v>
      </c>
      <c r="G2216" s="1" t="str">
        <f t="shared" si="139"/>
        <v/>
      </c>
      <c r="I2216" s="1" t="str">
        <f t="shared" si="137"/>
        <v>威尔新数值1.06.xlsm!suitPower</v>
      </c>
    </row>
    <row r="2217" spans="1:9" x14ac:dyDescent="0.15">
      <c r="A2217" s="1">
        <v>2216</v>
      </c>
      <c r="B2217" s="1">
        <v>102041200</v>
      </c>
      <c r="C2217" s="1">
        <f t="shared" si="140"/>
        <v>12</v>
      </c>
      <c r="D2217" s="5">
        <f ca="1">IF(getQuality(B2217)&lt;4,getOtherMin(B2217,C2217,INDIRECT(J$2),INDIRECT(I2217),test),getMin(B2217,C2217,INDIRECT(J$2),INDIRECT(I2217),test))</f>
        <v>76.631108554901132</v>
      </c>
      <c r="E2217" s="5">
        <f ca="1">IF(getQuality(B2217)&lt;4,getOtherMax(B2217,C2217,INDIRECT(J$2),INDIRECT(I2217),test),getMax(B2217,C2217,INDIRECT(J$2),INDIRECT(I2217),test))</f>
        <v>109.24493457930163</v>
      </c>
      <c r="F2217" s="1" t="str">
        <f t="shared" si="138"/>
        <v>50</v>
      </c>
      <c r="G2217" s="1" t="str">
        <f t="shared" si="139"/>
        <v/>
      </c>
      <c r="I2217" s="1" t="str">
        <f t="shared" si="137"/>
        <v>威尔新数值1.06.xlsm!suitPower</v>
      </c>
    </row>
    <row r="2218" spans="1:9" x14ac:dyDescent="0.15">
      <c r="A2218" s="1">
        <v>2217</v>
      </c>
      <c r="B2218" s="1">
        <v>102041200</v>
      </c>
      <c r="C2218" s="1">
        <f t="shared" si="140"/>
        <v>13</v>
      </c>
      <c r="D2218" s="5">
        <f ca="1">IF(getQuality(B2218)&lt;4,getOtherMin(B2218,C2218,INDIRECT(J$2),INDIRECT(I2218),test),getMin(B2218,C2218,INDIRECT(J$2),INDIRECT(I2218),test))</f>
        <v>76.631108554901132</v>
      </c>
      <c r="E2218" s="5">
        <f ca="1">IF(getQuality(B2218)&lt;4,getOtherMax(B2218,C2218,INDIRECT(J$2),INDIRECT(I2218),test),getMax(B2218,C2218,INDIRECT(J$2),INDIRECT(I2218),test))</f>
        <v>109.24493457930163</v>
      </c>
      <c r="F2218" s="1" t="str">
        <f t="shared" si="138"/>
        <v>50</v>
      </c>
      <c r="G2218" s="1" t="str">
        <f t="shared" si="139"/>
        <v/>
      </c>
      <c r="I2218" s="1" t="str">
        <f t="shared" si="137"/>
        <v>威尔新数值1.06.xlsm!suitPower</v>
      </c>
    </row>
    <row r="2219" spans="1:9" x14ac:dyDescent="0.15">
      <c r="A2219" s="1">
        <v>2218</v>
      </c>
      <c r="B2219" s="1">
        <v>102041200</v>
      </c>
      <c r="C2219" s="1">
        <f t="shared" si="140"/>
        <v>14</v>
      </c>
      <c r="D2219" s="5">
        <f ca="1">IF(getQuality(B2219)&lt;4,getOtherMin(B2219,C2219,INDIRECT(J$2),INDIRECT(I2219),test),getMin(B2219,C2219,INDIRECT(J$2),INDIRECT(I2219),test))</f>
        <v>76.631108554901132</v>
      </c>
      <c r="E2219" s="5">
        <f ca="1">IF(getQuality(B2219)&lt;4,getOtherMax(B2219,C2219,INDIRECT(J$2),INDIRECT(I2219),test),getMax(B2219,C2219,INDIRECT(J$2),INDIRECT(I2219),test))</f>
        <v>109.24493457930163</v>
      </c>
      <c r="F2219" s="1" t="str">
        <f t="shared" si="138"/>
        <v>50</v>
      </c>
      <c r="G2219" s="1" t="str">
        <f t="shared" si="139"/>
        <v/>
      </c>
      <c r="I2219" s="1" t="str">
        <f t="shared" si="137"/>
        <v>威尔新数值1.06.xlsm!suitPower</v>
      </c>
    </row>
    <row r="2220" spans="1:9" x14ac:dyDescent="0.15">
      <c r="A2220" s="1">
        <v>2219</v>
      </c>
      <c r="B2220" s="1">
        <v>102041200</v>
      </c>
      <c r="C2220" s="1">
        <f t="shared" si="140"/>
        <v>15</v>
      </c>
      <c r="D2220" s="5">
        <f ca="1">IF(getQuality(B2220)&lt;4,getOtherMin(B2220,C2220,INDIRECT(J$2),INDIRECT(I2220),test),getMin(B2220,C2220,INDIRECT(J$2),INDIRECT(I2220),test))</f>
        <v>76.631108554901132</v>
      </c>
      <c r="E2220" s="5">
        <f ca="1">IF(getQuality(B2220)&lt;4,getOtherMax(B2220,C2220,INDIRECT(J$2),INDIRECT(I2220),test),getMax(B2220,C2220,INDIRECT(J$2),INDIRECT(I2220),test))</f>
        <v>109.24493457930163</v>
      </c>
      <c r="F2220" s="1" t="str">
        <f t="shared" si="138"/>
        <v>50</v>
      </c>
      <c r="G2220" s="1" t="str">
        <f t="shared" si="139"/>
        <v/>
      </c>
      <c r="I2220" s="1" t="str">
        <f t="shared" si="137"/>
        <v>威尔新数值1.06.xlsm!suitPower</v>
      </c>
    </row>
    <row r="2221" spans="1:9" x14ac:dyDescent="0.15">
      <c r="A2221" s="1">
        <v>2220</v>
      </c>
      <c r="B2221" s="1">
        <v>102041200</v>
      </c>
      <c r="C2221" s="1">
        <f t="shared" si="140"/>
        <v>101</v>
      </c>
      <c r="D2221" s="5">
        <f ca="1">IF(getQuality(B2221)&lt;4,getOtherMin(B2221,C2221,INDIRECT(J$2),INDIRECT(I2221),test),getMin(B2221,C2221,INDIRECT(J$2),INDIRECT(I2221),test))</f>
        <v>0.09</v>
      </c>
      <c r="E2221" s="5">
        <f ca="1">IF(getQuality(B2221)&lt;4,getOtherMax(B2221,C2221,INDIRECT(J$2),INDIRECT(I2221),test),getMax(B2221,C2221,INDIRECT(J$2),INDIRECT(I2221),test))</f>
        <v>0.12</v>
      </c>
      <c r="F2221" s="1" t="str">
        <f t="shared" si="138"/>
        <v>50</v>
      </c>
      <c r="G2221" s="1" t="str">
        <f t="shared" si="139"/>
        <v/>
      </c>
      <c r="I2221" s="1" t="str">
        <f t="shared" si="137"/>
        <v>威尔新数值1.06.xlsm!circlePer</v>
      </c>
    </row>
    <row r="2222" spans="1:9" x14ac:dyDescent="0.15">
      <c r="A2222" s="1">
        <v>2221</v>
      </c>
      <c r="B2222" s="1">
        <v>102041200</v>
      </c>
      <c r="C2222" s="1">
        <f t="shared" si="140"/>
        <v>102</v>
      </c>
      <c r="D2222" s="5">
        <f ca="1">IF(getQuality(B2222)&lt;4,getOtherMin(B2222,C2222,INDIRECT(J$2),INDIRECT(I2222),test),getMin(B2222,C2222,INDIRECT(J$2),INDIRECT(I2222),test))</f>
        <v>0.7</v>
      </c>
      <c r="E2222" s="5">
        <f ca="1">IF(getQuality(B2222)&lt;4,getOtherMax(B2222,C2222,INDIRECT(J$2),INDIRECT(I2222),test),getMax(B2222,C2222,INDIRECT(J$2),INDIRECT(I2222),test))</f>
        <v>1.1000000000000001</v>
      </c>
      <c r="F2222" s="1" t="str">
        <f t="shared" si="138"/>
        <v>50</v>
      </c>
      <c r="G2222" s="1" t="str">
        <f t="shared" si="139"/>
        <v/>
      </c>
      <c r="I2222" s="1" t="str">
        <f t="shared" si="137"/>
        <v>威尔新数值1.06.xlsm!circleValue</v>
      </c>
    </row>
    <row r="2223" spans="1:9" x14ac:dyDescent="0.15">
      <c r="A2223" s="1">
        <v>2222</v>
      </c>
      <c r="B2223" s="1">
        <v>102041200</v>
      </c>
      <c r="C2223" s="1">
        <f t="shared" si="140"/>
        <v>103</v>
      </c>
      <c r="D2223" s="5">
        <f ca="1">IF(getQuality(B2223)&lt;4,getOtherMin(B2223,C2223,INDIRECT(J$2),INDIRECT(I2223),test),getMin(B2223,C2223,INDIRECT(J$2),INDIRECT(I2223),test))</f>
        <v>0.09</v>
      </c>
      <c r="E2223" s="5">
        <f ca="1">IF(getQuality(B2223)&lt;4,getOtherMax(B2223,C2223,INDIRECT(J$2),INDIRECT(I2223),test),getMax(B2223,C2223,INDIRECT(J$2),INDIRECT(I2223),test))</f>
        <v>0.12</v>
      </c>
      <c r="F2223" s="1" t="str">
        <f t="shared" si="138"/>
        <v>50</v>
      </c>
      <c r="G2223" s="1" t="str">
        <f t="shared" si="139"/>
        <v/>
      </c>
      <c r="I2223" s="1" t="str">
        <f t="shared" si="137"/>
        <v>威尔新数值1.06.xlsm!otherDamage</v>
      </c>
    </row>
    <row r="2224" spans="1:9" x14ac:dyDescent="0.15">
      <c r="A2224" s="1">
        <v>2223</v>
      </c>
      <c r="B2224" s="1">
        <v>102041200</v>
      </c>
      <c r="C2224" s="1">
        <f t="shared" si="140"/>
        <v>104</v>
      </c>
      <c r="D2224" s="5">
        <f ca="1">IF(getQuality(B2224)&lt;4,getOtherMin(B2224,C2224,INDIRECT(J$2),INDIRECT(I2224),test),getMin(B2224,C2224,INDIRECT(J$2),INDIRECT(I2224),test))</f>
        <v>0.09</v>
      </c>
      <c r="E2224" s="5">
        <f ca="1">IF(getQuality(B2224)&lt;4,getOtherMax(B2224,C2224,INDIRECT(J$2),INDIRECT(I2224),test),getMax(B2224,C2224,INDIRECT(J$2),INDIRECT(I2224),test))</f>
        <v>0.18</v>
      </c>
      <c r="F2224" s="1" t="str">
        <f t="shared" si="138"/>
        <v>50</v>
      </c>
      <c r="G2224" s="1" t="str">
        <f t="shared" si="139"/>
        <v/>
      </c>
      <c r="I2224" s="1" t="str">
        <f t="shared" si="137"/>
        <v>威尔新数值1.06.xlsm!monsterDamage</v>
      </c>
    </row>
    <row r="2225" spans="1:9" x14ac:dyDescent="0.15">
      <c r="A2225" s="1">
        <v>2224</v>
      </c>
      <c r="B2225" s="1">
        <v>102041200</v>
      </c>
      <c r="C2225" s="1">
        <f t="shared" si="140"/>
        <v>105</v>
      </c>
      <c r="D2225" s="5">
        <f ca="1">IF(getQuality(B2225)&lt;4,getOtherMin(B2225,C2225,INDIRECT(J$2),INDIRECT(I2225),test),getMin(B2225,C2225,INDIRECT(J$2),INDIRECT(I2225),test))</f>
        <v>0.09</v>
      </c>
      <c r="E2225" s="5">
        <f ca="1">IF(getQuality(B2225)&lt;4,getOtherMax(B2225,C2225,INDIRECT(J$2),INDIRECT(I2225),test),getMax(B2225,C2225,INDIRECT(J$2),INDIRECT(I2225),test))</f>
        <v>0.18</v>
      </c>
      <c r="F2225" s="1" t="str">
        <f t="shared" si="138"/>
        <v>50</v>
      </c>
      <c r="G2225" s="1" t="str">
        <f t="shared" si="139"/>
        <v/>
      </c>
      <c r="I2225" s="1" t="str">
        <f t="shared" si="137"/>
        <v>威尔新数值1.06.xlsm!monsterDamage</v>
      </c>
    </row>
    <row r="2226" spans="1:9" x14ac:dyDescent="0.15">
      <c r="A2226" s="1">
        <v>2225</v>
      </c>
      <c r="B2226" s="1">
        <v>102041200</v>
      </c>
      <c r="C2226" s="1">
        <f t="shared" si="140"/>
        <v>106</v>
      </c>
      <c r="D2226" s="5">
        <f ca="1">IF(getQuality(B2226)&lt;4,getOtherMin(B2226,C2226,INDIRECT(J$2),INDIRECT(I2226),test),getMin(B2226,C2226,INDIRECT(J$2),INDIRECT(I2226),test))</f>
        <v>0.09</v>
      </c>
      <c r="E2226" s="5">
        <f ca="1">IF(getQuality(B2226)&lt;4,getOtherMax(B2226,C2226,INDIRECT(J$2),INDIRECT(I2226),test),getMax(B2226,C2226,INDIRECT(J$2),INDIRECT(I2226),test))</f>
        <v>0.18</v>
      </c>
      <c r="F2226" s="1" t="str">
        <f t="shared" si="138"/>
        <v>50</v>
      </c>
      <c r="G2226" s="1" t="str">
        <f t="shared" si="139"/>
        <v/>
      </c>
      <c r="I2226" s="1" t="str">
        <f t="shared" si="137"/>
        <v>威尔新数值1.06.xlsm!monsterDamage</v>
      </c>
    </row>
    <row r="2227" spans="1:9" x14ac:dyDescent="0.15">
      <c r="A2227" s="1">
        <v>2226</v>
      </c>
      <c r="B2227" s="1">
        <v>102041200</v>
      </c>
      <c r="C2227" s="1">
        <f t="shared" si="140"/>
        <v>107</v>
      </c>
      <c r="D2227" s="5">
        <f ca="1">IF(getQuality(B2227)&lt;4,getOtherMin(B2227,C2227,INDIRECT(J$2),INDIRECT(I2227),test),getMin(B2227,C2227,INDIRECT(J$2),INDIRECT(I2227),test))</f>
        <v>0.09</v>
      </c>
      <c r="E2227" s="5">
        <f ca="1">IF(getQuality(B2227)&lt;4,getOtherMax(B2227,C2227,INDIRECT(J$2),INDIRECT(I2227),test),getMax(B2227,C2227,INDIRECT(J$2),INDIRECT(I2227),test))</f>
        <v>0.18</v>
      </c>
      <c r="F2227" s="1" t="str">
        <f t="shared" si="138"/>
        <v>50</v>
      </c>
      <c r="G2227" s="1" t="str">
        <f t="shared" si="139"/>
        <v/>
      </c>
      <c r="I2227" s="1" t="str">
        <f t="shared" si="137"/>
        <v>威尔新数值1.06.xlsm!monsterDamage</v>
      </c>
    </row>
    <row r="2228" spans="1:9" x14ac:dyDescent="0.15">
      <c r="A2228" s="1">
        <v>2227</v>
      </c>
      <c r="B2228" s="1">
        <v>102041200</v>
      </c>
      <c r="C2228" s="1">
        <f t="shared" si="140"/>
        <v>108</v>
      </c>
      <c r="D2228" s="5">
        <f ca="1">IF(getQuality(B2228)&lt;4,getOtherMin(B2228,C2228,INDIRECT(J$2),INDIRECT(I2228),test),getMin(B2228,C2228,INDIRECT(J$2),INDIRECT(I2228),test))</f>
        <v>0.09</v>
      </c>
      <c r="E2228" s="5">
        <f ca="1">IF(getQuality(B2228)&lt;4,getOtherMax(B2228,C2228,INDIRECT(J$2),INDIRECT(I2228),test),getMax(B2228,C2228,INDIRECT(J$2),INDIRECT(I2228),test))</f>
        <v>0.18</v>
      </c>
      <c r="F2228" s="1" t="str">
        <f t="shared" si="138"/>
        <v>50</v>
      </c>
      <c r="G2228" s="1" t="str">
        <f t="shared" si="139"/>
        <v/>
      </c>
      <c r="I2228" s="1" t="str">
        <f t="shared" si="137"/>
        <v>威尔新数值1.06.xlsm!monsterDamage</v>
      </c>
    </row>
    <row r="2229" spans="1:9" x14ac:dyDescent="0.15">
      <c r="A2229" s="1">
        <v>2228</v>
      </c>
      <c r="B2229" s="1">
        <v>102051200</v>
      </c>
      <c r="C2229" s="1">
        <f t="shared" si="140"/>
        <v>3</v>
      </c>
      <c r="D2229" s="5">
        <f ca="1">IF(getQuality(B2229)&lt;4,getOtherMin(B2229,C2229,INDIRECT(J$2),INDIRECT(I2229),test),getMin(B2229,C2229,INDIRECT(J$2),INDIRECT(I2229),test))</f>
        <v>110.24493457930163</v>
      </c>
      <c r="E2229" s="5">
        <f ca="1">IF(getQuality(B2229)&lt;4,getOtherMax(B2229,C2229,INDIRECT(J$2),INDIRECT(I2229),test),getMax(B2229,C2229,INDIRECT(J$2),INDIRECT(I2229),test))</f>
        <v>148.01542709608177</v>
      </c>
      <c r="F2229" s="1" t="str">
        <f t="shared" si="138"/>
        <v>50</v>
      </c>
      <c r="G2229" s="1" t="str">
        <f t="shared" si="139"/>
        <v>1</v>
      </c>
      <c r="I2229" s="1" t="str">
        <f t="shared" si="137"/>
        <v>威尔新数值1.06.xlsm!suitPower</v>
      </c>
    </row>
    <row r="2230" spans="1:9" x14ac:dyDescent="0.15">
      <c r="A2230" s="1">
        <v>2229</v>
      </c>
      <c r="B2230" s="1">
        <v>102051200</v>
      </c>
      <c r="C2230" s="1">
        <f t="shared" si="140"/>
        <v>5</v>
      </c>
      <c r="D2230" s="5">
        <f ca="1">IF(getQuality(B2230)&lt;4,getOtherMin(B2230,C2230,INDIRECT(J$2),INDIRECT(I2230),test),getMin(B2230,C2230,INDIRECT(J$2),INDIRECT(I2230),test))</f>
        <v>110.24493457930163</v>
      </c>
      <c r="E2230" s="5">
        <f ca="1">IF(getQuality(B2230)&lt;4,getOtherMax(B2230,C2230,INDIRECT(J$2),INDIRECT(I2230),test),getMax(B2230,C2230,INDIRECT(J$2),INDIRECT(I2230),test))</f>
        <v>148.01542709608177</v>
      </c>
      <c r="F2230" s="1" t="str">
        <f t="shared" si="138"/>
        <v>50</v>
      </c>
      <c r="G2230" s="1" t="str">
        <f t="shared" si="139"/>
        <v/>
      </c>
      <c r="I2230" s="1" t="str">
        <f t="shared" si="137"/>
        <v>威尔新数值1.06.xlsm!suitPower</v>
      </c>
    </row>
    <row r="2231" spans="1:9" x14ac:dyDescent="0.15">
      <c r="A2231" s="1">
        <v>2230</v>
      </c>
      <c r="B2231" s="1">
        <v>102051200</v>
      </c>
      <c r="C2231" s="1">
        <f t="shared" si="140"/>
        <v>7</v>
      </c>
      <c r="D2231" s="5">
        <f ca="1">IF(getQuality(B2231)&lt;4,getOtherMin(B2231,C2231,INDIRECT(J$2),INDIRECT(I2231),test),getMin(B2231,C2231,INDIRECT(J$2),INDIRECT(I2231),test))</f>
        <v>26.92592592592586</v>
      </c>
      <c r="E2231" s="5">
        <f ca="1">IF(getQuality(B2231)&lt;4,getOtherMax(B2231,C2231,INDIRECT(J$2),INDIRECT(I2231),test),getMax(B2231,C2231,INDIRECT(J$2),INDIRECT(I2231),test))</f>
        <v>32.407407407407327</v>
      </c>
      <c r="F2231" s="1" t="str">
        <f t="shared" si="138"/>
        <v>50</v>
      </c>
      <c r="G2231" s="1" t="str">
        <f t="shared" si="139"/>
        <v/>
      </c>
      <c r="I2231" s="1" t="str">
        <f t="shared" si="137"/>
        <v>威尔新数值1.06.xlsm!suitPower</v>
      </c>
    </row>
    <row r="2232" spans="1:9" x14ac:dyDescent="0.15">
      <c r="A2232" s="1">
        <v>2231</v>
      </c>
      <c r="B2232" s="1">
        <v>102051200</v>
      </c>
      <c r="C2232" s="1">
        <f t="shared" si="140"/>
        <v>8</v>
      </c>
      <c r="D2232" s="5">
        <f ca="1">IF(getQuality(B2232)&lt;4,getOtherMin(B2232,C2232,INDIRECT(J$2),INDIRECT(I2232),test),getMin(B2232,C2232,INDIRECT(J$2),INDIRECT(I2232),test))</f>
        <v>59.333333333333336</v>
      </c>
      <c r="E2232" s="5">
        <f ca="1">IF(getQuality(B2232)&lt;4,getOtherMax(B2232,C2232,INDIRECT(J$2),INDIRECT(I2232),test),getMax(B2232,C2232,INDIRECT(J$2),INDIRECT(I2232),test))</f>
        <v>72.916666666666671</v>
      </c>
      <c r="F2232" s="1" t="str">
        <f t="shared" si="138"/>
        <v>50</v>
      </c>
      <c r="G2232" s="1" t="str">
        <f t="shared" si="139"/>
        <v/>
      </c>
      <c r="I2232" s="1" t="str">
        <f t="shared" si="137"/>
        <v>威尔新数值1.06.xlsm!suitPower</v>
      </c>
    </row>
    <row r="2233" spans="1:9" x14ac:dyDescent="0.15">
      <c r="A2233" s="1">
        <v>2232</v>
      </c>
      <c r="B2233" s="1">
        <v>102051200</v>
      </c>
      <c r="C2233" s="1">
        <f t="shared" si="140"/>
        <v>9</v>
      </c>
      <c r="D2233" s="5">
        <f ca="1">IF(getQuality(B2233)&lt;4,getOtherMin(B2233,C2233,INDIRECT(J$2),INDIRECT(I2233),test),getMin(B2233,C2233,INDIRECT(J$2),INDIRECT(I2233),test))</f>
        <v>110.24493457930163</v>
      </c>
      <c r="E2233" s="5">
        <f ca="1">IF(getQuality(B2233)&lt;4,getOtherMax(B2233,C2233,INDIRECT(J$2),INDIRECT(I2233),test),getMax(B2233,C2233,INDIRECT(J$2),INDIRECT(I2233),test))</f>
        <v>148.01542709608177</v>
      </c>
      <c r="F2233" s="1" t="str">
        <f t="shared" si="138"/>
        <v>50</v>
      </c>
      <c r="G2233" s="1" t="str">
        <f t="shared" si="139"/>
        <v/>
      </c>
      <c r="I2233" s="1" t="str">
        <f t="shared" si="137"/>
        <v>威尔新数值1.06.xlsm!suitPower</v>
      </c>
    </row>
    <row r="2234" spans="1:9" x14ac:dyDescent="0.15">
      <c r="A2234" s="1">
        <v>2233</v>
      </c>
      <c r="B2234" s="1">
        <v>102051200</v>
      </c>
      <c r="C2234" s="1">
        <f t="shared" si="140"/>
        <v>10</v>
      </c>
      <c r="D2234" s="5">
        <f ca="1">IF(getQuality(B2234)&lt;4,getOtherMin(B2234,C2234,INDIRECT(J$2),INDIRECT(I2234),test),getMin(B2234,C2234,INDIRECT(J$2),INDIRECT(I2234),test))</f>
        <v>110.24493457930163</v>
      </c>
      <c r="E2234" s="5">
        <f ca="1">IF(getQuality(B2234)&lt;4,getOtherMax(B2234,C2234,INDIRECT(J$2),INDIRECT(I2234),test),getMax(B2234,C2234,INDIRECT(J$2),INDIRECT(I2234),test))</f>
        <v>148.01542709608177</v>
      </c>
      <c r="F2234" s="1" t="str">
        <f t="shared" si="138"/>
        <v>50</v>
      </c>
      <c r="G2234" s="1" t="str">
        <f t="shared" si="139"/>
        <v/>
      </c>
      <c r="I2234" s="1" t="str">
        <f t="shared" si="137"/>
        <v>威尔新数值1.06.xlsm!suitPower</v>
      </c>
    </row>
    <row r="2235" spans="1:9" x14ac:dyDescent="0.15">
      <c r="A2235" s="1">
        <v>2234</v>
      </c>
      <c r="B2235" s="1">
        <v>102051200</v>
      </c>
      <c r="C2235" s="1">
        <f t="shared" si="140"/>
        <v>11</v>
      </c>
      <c r="D2235" s="5">
        <f ca="1">IF(getQuality(B2235)&lt;4,getOtherMin(B2235,C2235,INDIRECT(J$2),INDIRECT(I2235),test),getMin(B2235,C2235,INDIRECT(J$2),INDIRECT(I2235),test))</f>
        <v>110.24493457930163</v>
      </c>
      <c r="E2235" s="5">
        <f ca="1">IF(getQuality(B2235)&lt;4,getOtherMax(B2235,C2235,INDIRECT(J$2),INDIRECT(I2235),test),getMax(B2235,C2235,INDIRECT(J$2),INDIRECT(I2235),test))</f>
        <v>148.01542709608177</v>
      </c>
      <c r="F2235" s="1" t="str">
        <f t="shared" si="138"/>
        <v>50</v>
      </c>
      <c r="G2235" s="1" t="str">
        <f t="shared" si="139"/>
        <v/>
      </c>
      <c r="I2235" s="1" t="str">
        <f t="shared" si="137"/>
        <v>威尔新数值1.06.xlsm!suitPower</v>
      </c>
    </row>
    <row r="2236" spans="1:9" x14ac:dyDescent="0.15">
      <c r="A2236" s="1">
        <v>2235</v>
      </c>
      <c r="B2236" s="1">
        <v>102051200</v>
      </c>
      <c r="C2236" s="1">
        <f t="shared" si="140"/>
        <v>12</v>
      </c>
      <c r="D2236" s="5">
        <f ca="1">IF(getQuality(B2236)&lt;4,getOtherMin(B2236,C2236,INDIRECT(J$2),INDIRECT(I2236),test),getMin(B2236,C2236,INDIRECT(J$2),INDIRECT(I2236),test))</f>
        <v>110.24493457930163</v>
      </c>
      <c r="E2236" s="5">
        <f ca="1">IF(getQuality(B2236)&lt;4,getOtherMax(B2236,C2236,INDIRECT(J$2),INDIRECT(I2236),test),getMax(B2236,C2236,INDIRECT(J$2),INDIRECT(I2236),test))</f>
        <v>148.01542709608177</v>
      </c>
      <c r="F2236" s="1" t="str">
        <f t="shared" si="138"/>
        <v>50</v>
      </c>
      <c r="G2236" s="1" t="str">
        <f t="shared" si="139"/>
        <v/>
      </c>
      <c r="I2236" s="1" t="str">
        <f t="shared" si="137"/>
        <v>威尔新数值1.06.xlsm!suitPower</v>
      </c>
    </row>
    <row r="2237" spans="1:9" x14ac:dyDescent="0.15">
      <c r="A2237" s="1">
        <v>2236</v>
      </c>
      <c r="B2237" s="1">
        <v>102051200</v>
      </c>
      <c r="C2237" s="1">
        <f t="shared" si="140"/>
        <v>13</v>
      </c>
      <c r="D2237" s="5">
        <f ca="1">IF(getQuality(B2237)&lt;4,getOtherMin(B2237,C2237,INDIRECT(J$2),INDIRECT(I2237),test),getMin(B2237,C2237,INDIRECT(J$2),INDIRECT(I2237),test))</f>
        <v>110.24493457930163</v>
      </c>
      <c r="E2237" s="5">
        <f ca="1">IF(getQuality(B2237)&lt;4,getOtherMax(B2237,C2237,INDIRECT(J$2),INDIRECT(I2237),test),getMax(B2237,C2237,INDIRECT(J$2),INDIRECT(I2237),test))</f>
        <v>148.01542709608177</v>
      </c>
      <c r="F2237" s="1" t="str">
        <f t="shared" si="138"/>
        <v>50</v>
      </c>
      <c r="G2237" s="1" t="str">
        <f t="shared" si="139"/>
        <v/>
      </c>
      <c r="I2237" s="1" t="str">
        <f t="shared" si="137"/>
        <v>威尔新数值1.06.xlsm!suitPower</v>
      </c>
    </row>
    <row r="2238" spans="1:9" x14ac:dyDescent="0.15">
      <c r="A2238" s="1">
        <v>2237</v>
      </c>
      <c r="B2238" s="1">
        <v>102051200</v>
      </c>
      <c r="C2238" s="1">
        <f t="shared" si="140"/>
        <v>14</v>
      </c>
      <c r="D2238" s="5">
        <f ca="1">IF(getQuality(B2238)&lt;4,getOtherMin(B2238,C2238,INDIRECT(J$2),INDIRECT(I2238),test),getMin(B2238,C2238,INDIRECT(J$2),INDIRECT(I2238),test))</f>
        <v>110.24493457930163</v>
      </c>
      <c r="E2238" s="5">
        <f ca="1">IF(getQuality(B2238)&lt;4,getOtherMax(B2238,C2238,INDIRECT(J$2),INDIRECT(I2238),test),getMax(B2238,C2238,INDIRECT(J$2),INDIRECT(I2238),test))</f>
        <v>148.01542709608177</v>
      </c>
      <c r="F2238" s="1" t="str">
        <f t="shared" si="138"/>
        <v>50</v>
      </c>
      <c r="G2238" s="1" t="str">
        <f t="shared" si="139"/>
        <v/>
      </c>
      <c r="I2238" s="1" t="str">
        <f t="shared" si="137"/>
        <v>威尔新数值1.06.xlsm!suitPower</v>
      </c>
    </row>
    <row r="2239" spans="1:9" x14ac:dyDescent="0.15">
      <c r="A2239" s="1">
        <v>2238</v>
      </c>
      <c r="B2239" s="1">
        <v>102051200</v>
      </c>
      <c r="C2239" s="1">
        <f t="shared" si="140"/>
        <v>15</v>
      </c>
      <c r="D2239" s="5">
        <f ca="1">IF(getQuality(B2239)&lt;4,getOtherMin(B2239,C2239,INDIRECT(J$2),INDIRECT(I2239),test),getMin(B2239,C2239,INDIRECT(J$2),INDIRECT(I2239),test))</f>
        <v>110.24493457930163</v>
      </c>
      <c r="E2239" s="5">
        <f ca="1">IF(getQuality(B2239)&lt;4,getOtherMax(B2239,C2239,INDIRECT(J$2),INDIRECT(I2239),test),getMax(B2239,C2239,INDIRECT(J$2),INDIRECT(I2239),test))</f>
        <v>148.01542709608177</v>
      </c>
      <c r="F2239" s="1" t="str">
        <f t="shared" si="138"/>
        <v>50</v>
      </c>
      <c r="G2239" s="1" t="str">
        <f t="shared" si="139"/>
        <v/>
      </c>
      <c r="I2239" s="1" t="str">
        <f t="shared" si="137"/>
        <v>威尔新数值1.06.xlsm!suitPower</v>
      </c>
    </row>
    <row r="2240" spans="1:9" x14ac:dyDescent="0.15">
      <c r="A2240" s="1">
        <v>2239</v>
      </c>
      <c r="B2240" s="1">
        <v>102051200</v>
      </c>
      <c r="C2240" s="1">
        <f t="shared" si="140"/>
        <v>101</v>
      </c>
      <c r="D2240" s="5">
        <f ca="1">IF(getQuality(B2240)&lt;4,getOtherMin(B2240,C2240,INDIRECT(J$2),INDIRECT(I2240),test),getMin(B2240,C2240,INDIRECT(J$2),INDIRECT(I2240),test))</f>
        <v>0.1</v>
      </c>
      <c r="E2240" s="5">
        <f ca="1">IF(getQuality(B2240)&lt;4,getOtherMax(B2240,C2240,INDIRECT(J$2),INDIRECT(I2240),test),getMax(B2240,C2240,INDIRECT(J$2),INDIRECT(I2240),test))</f>
        <v>0.13</v>
      </c>
      <c r="F2240" s="1" t="str">
        <f t="shared" si="138"/>
        <v>50</v>
      </c>
      <c r="G2240" s="1" t="str">
        <f t="shared" si="139"/>
        <v/>
      </c>
      <c r="I2240" s="1" t="str">
        <f t="shared" si="137"/>
        <v>威尔新数值1.06.xlsm!circlePer</v>
      </c>
    </row>
    <row r="2241" spans="1:9" x14ac:dyDescent="0.15">
      <c r="A2241" s="1">
        <v>2240</v>
      </c>
      <c r="B2241" s="1">
        <v>102051200</v>
      </c>
      <c r="C2241" s="1">
        <f t="shared" si="140"/>
        <v>102</v>
      </c>
      <c r="D2241" s="5">
        <f ca="1">IF(getQuality(B2241)&lt;4,getOtherMin(B2241,C2241,INDIRECT(J$2),INDIRECT(I2241),test),getMin(B2241,C2241,INDIRECT(J$2),INDIRECT(I2241),test))</f>
        <v>0.8</v>
      </c>
      <c r="E2241" s="5">
        <f ca="1">IF(getQuality(B2241)&lt;4,getOtherMax(B2241,C2241,INDIRECT(J$2),INDIRECT(I2241),test),getMax(B2241,C2241,INDIRECT(J$2),INDIRECT(I2241),test))</f>
        <v>1.2</v>
      </c>
      <c r="F2241" s="1" t="str">
        <f t="shared" si="138"/>
        <v>50</v>
      </c>
      <c r="G2241" s="1" t="str">
        <f t="shared" si="139"/>
        <v/>
      </c>
      <c r="I2241" s="1" t="str">
        <f t="shared" si="137"/>
        <v>威尔新数值1.06.xlsm!circleValue</v>
      </c>
    </row>
    <row r="2242" spans="1:9" x14ac:dyDescent="0.15">
      <c r="A2242" s="1">
        <v>2241</v>
      </c>
      <c r="B2242" s="1">
        <v>102051200</v>
      </c>
      <c r="C2242" s="1">
        <f t="shared" si="140"/>
        <v>103</v>
      </c>
      <c r="D2242" s="5">
        <f ca="1">IF(getQuality(B2242)&lt;4,getOtherMin(B2242,C2242,INDIRECT(J$2),INDIRECT(I2242),test),getMin(B2242,C2242,INDIRECT(J$2),INDIRECT(I2242),test))</f>
        <v>0.1</v>
      </c>
      <c r="E2242" s="5">
        <f ca="1">IF(getQuality(B2242)&lt;4,getOtherMax(B2242,C2242,INDIRECT(J$2),INDIRECT(I2242),test),getMax(B2242,C2242,INDIRECT(J$2),INDIRECT(I2242),test))</f>
        <v>0.13</v>
      </c>
      <c r="F2242" s="1" t="str">
        <f t="shared" si="138"/>
        <v>50</v>
      </c>
      <c r="G2242" s="1" t="str">
        <f t="shared" si="139"/>
        <v/>
      </c>
      <c r="I2242" s="1" t="str">
        <f t="shared" ref="I2242:I2305" si="141">IF(C2242&lt;100,VLOOKUP(C2242,test,3,FALSE),VLOOKUP(C2242,test1,3,FALSE))</f>
        <v>威尔新数值1.06.xlsm!otherDamage</v>
      </c>
    </row>
    <row r="2243" spans="1:9" x14ac:dyDescent="0.15">
      <c r="A2243" s="1">
        <v>2242</v>
      </c>
      <c r="B2243" s="1">
        <v>102051200</v>
      </c>
      <c r="C2243" s="1">
        <f t="shared" si="140"/>
        <v>104</v>
      </c>
      <c r="D2243" s="5">
        <f ca="1">IF(getQuality(B2243)&lt;4,getOtherMin(B2243,C2243,INDIRECT(J$2),INDIRECT(I2243),test),getMin(B2243,C2243,INDIRECT(J$2),INDIRECT(I2243),test))</f>
        <v>0.1</v>
      </c>
      <c r="E2243" s="5">
        <f ca="1">IF(getQuality(B2243)&lt;4,getOtherMax(B2243,C2243,INDIRECT(J$2),INDIRECT(I2243),test),getMax(B2243,C2243,INDIRECT(J$2),INDIRECT(I2243),test))</f>
        <v>0.2</v>
      </c>
      <c r="F2243" s="1" t="str">
        <f t="shared" ref="F2243:F2306" si="142">getper(B2243,C2243)</f>
        <v>50</v>
      </c>
      <c r="G2243" s="1" t="str">
        <f t="shared" ref="G2243:G2306" si="143">getMust(B2243,C2243)</f>
        <v/>
      </c>
      <c r="I2243" s="1" t="str">
        <f t="shared" si="141"/>
        <v>威尔新数值1.06.xlsm!monsterDamage</v>
      </c>
    </row>
    <row r="2244" spans="1:9" x14ac:dyDescent="0.15">
      <c r="A2244" s="1">
        <v>2243</v>
      </c>
      <c r="B2244" s="1">
        <v>102051200</v>
      </c>
      <c r="C2244" s="1">
        <f t="shared" si="140"/>
        <v>105</v>
      </c>
      <c r="D2244" s="5">
        <f ca="1">IF(getQuality(B2244)&lt;4,getOtherMin(B2244,C2244,INDIRECT(J$2),INDIRECT(I2244),test),getMin(B2244,C2244,INDIRECT(J$2),INDIRECT(I2244),test))</f>
        <v>0.1</v>
      </c>
      <c r="E2244" s="5">
        <f ca="1">IF(getQuality(B2244)&lt;4,getOtherMax(B2244,C2244,INDIRECT(J$2),INDIRECT(I2244),test),getMax(B2244,C2244,INDIRECT(J$2),INDIRECT(I2244),test))</f>
        <v>0.2</v>
      </c>
      <c r="F2244" s="1" t="str">
        <f t="shared" si="142"/>
        <v>50</v>
      </c>
      <c r="G2244" s="1" t="str">
        <f t="shared" si="143"/>
        <v/>
      </c>
      <c r="I2244" s="1" t="str">
        <f t="shared" si="141"/>
        <v>威尔新数值1.06.xlsm!monsterDamage</v>
      </c>
    </row>
    <row r="2245" spans="1:9" x14ac:dyDescent="0.15">
      <c r="A2245" s="1">
        <v>2244</v>
      </c>
      <c r="B2245" s="1">
        <v>102051200</v>
      </c>
      <c r="C2245" s="1">
        <f t="shared" si="140"/>
        <v>106</v>
      </c>
      <c r="D2245" s="5">
        <f ca="1">IF(getQuality(B2245)&lt;4,getOtherMin(B2245,C2245,INDIRECT(J$2),INDIRECT(I2245),test),getMin(B2245,C2245,INDIRECT(J$2),INDIRECT(I2245),test))</f>
        <v>0.1</v>
      </c>
      <c r="E2245" s="5">
        <f ca="1">IF(getQuality(B2245)&lt;4,getOtherMax(B2245,C2245,INDIRECT(J$2),INDIRECT(I2245),test),getMax(B2245,C2245,INDIRECT(J$2),INDIRECT(I2245),test))</f>
        <v>0.2</v>
      </c>
      <c r="F2245" s="1" t="str">
        <f t="shared" si="142"/>
        <v>50</v>
      </c>
      <c r="G2245" s="1" t="str">
        <f t="shared" si="143"/>
        <v/>
      </c>
      <c r="I2245" s="1" t="str">
        <f t="shared" si="141"/>
        <v>威尔新数值1.06.xlsm!monsterDamage</v>
      </c>
    </row>
    <row r="2246" spans="1:9" x14ac:dyDescent="0.15">
      <c r="A2246" s="1">
        <v>2245</v>
      </c>
      <c r="B2246" s="1">
        <v>102051200</v>
      </c>
      <c r="C2246" s="1">
        <f t="shared" si="140"/>
        <v>107</v>
      </c>
      <c r="D2246" s="5">
        <f ca="1">IF(getQuality(B2246)&lt;4,getOtherMin(B2246,C2246,INDIRECT(J$2),INDIRECT(I2246),test),getMin(B2246,C2246,INDIRECT(J$2),INDIRECT(I2246),test))</f>
        <v>0.1</v>
      </c>
      <c r="E2246" s="5">
        <f ca="1">IF(getQuality(B2246)&lt;4,getOtherMax(B2246,C2246,INDIRECT(J$2),INDIRECT(I2246),test),getMax(B2246,C2246,INDIRECT(J$2),INDIRECT(I2246),test))</f>
        <v>0.2</v>
      </c>
      <c r="F2246" s="1" t="str">
        <f t="shared" si="142"/>
        <v>50</v>
      </c>
      <c r="G2246" s="1" t="str">
        <f t="shared" si="143"/>
        <v/>
      </c>
      <c r="I2246" s="1" t="str">
        <f t="shared" si="141"/>
        <v>威尔新数值1.06.xlsm!monsterDamage</v>
      </c>
    </row>
    <row r="2247" spans="1:9" x14ac:dyDescent="0.15">
      <c r="A2247" s="1">
        <v>2246</v>
      </c>
      <c r="B2247" s="1">
        <v>102051200</v>
      </c>
      <c r="C2247" s="1">
        <f t="shared" si="140"/>
        <v>108</v>
      </c>
      <c r="D2247" s="5">
        <f ca="1">IF(getQuality(B2247)&lt;4,getOtherMin(B2247,C2247,INDIRECT(J$2),INDIRECT(I2247),test),getMin(B2247,C2247,INDIRECT(J$2),INDIRECT(I2247),test))</f>
        <v>0.1</v>
      </c>
      <c r="E2247" s="5">
        <f ca="1">IF(getQuality(B2247)&lt;4,getOtherMax(B2247,C2247,INDIRECT(J$2),INDIRECT(I2247),test),getMax(B2247,C2247,INDIRECT(J$2),INDIRECT(I2247),test))</f>
        <v>0.2</v>
      </c>
      <c r="F2247" s="1" t="str">
        <f t="shared" si="142"/>
        <v>50</v>
      </c>
      <c r="G2247" s="1" t="str">
        <f t="shared" si="143"/>
        <v/>
      </c>
      <c r="I2247" s="1" t="str">
        <f t="shared" si="141"/>
        <v>威尔新数值1.06.xlsm!monsterDamage</v>
      </c>
    </row>
    <row r="2248" spans="1:9" x14ac:dyDescent="0.15">
      <c r="A2248" s="1">
        <v>2247</v>
      </c>
      <c r="B2248" s="1">
        <v>102061200</v>
      </c>
      <c r="C2248" s="1">
        <f t="shared" si="140"/>
        <v>3</v>
      </c>
      <c r="D2248" s="5">
        <f ca="1">IF(getQuality(B2248)&lt;4,getOtherMin(B2248,C2248,INDIRECT(J$2),INDIRECT(I2248),test),getMin(B2248,C2248,INDIRECT(J$2),INDIRECT(I2248),test))</f>
        <v>149.01542709608177</v>
      </c>
      <c r="E2248" s="5">
        <f ca="1">IF(getQuality(B2248)&lt;4,getOtherMax(B2248,C2248,INDIRECT(J$2),INDIRECT(I2248),test),getMax(B2248,C2248,INDIRECT(J$2),INDIRECT(I2248),test))</f>
        <v>190.22369727444828</v>
      </c>
      <c r="F2248" s="1" t="str">
        <f t="shared" si="142"/>
        <v>50</v>
      </c>
      <c r="G2248" s="1" t="str">
        <f t="shared" si="143"/>
        <v>1</v>
      </c>
      <c r="I2248" s="1" t="str">
        <f t="shared" si="141"/>
        <v>威尔新数值1.06.xlsm!suitPower</v>
      </c>
    </row>
    <row r="2249" spans="1:9" x14ac:dyDescent="0.15">
      <c r="A2249" s="1">
        <v>2248</v>
      </c>
      <c r="B2249" s="1">
        <v>102061200</v>
      </c>
      <c r="C2249" s="1">
        <f t="shared" si="140"/>
        <v>5</v>
      </c>
      <c r="D2249" s="5">
        <f ca="1">IF(getQuality(B2249)&lt;4,getOtherMin(B2249,C2249,INDIRECT(J$2),INDIRECT(I2249),test),getMin(B2249,C2249,INDIRECT(J$2),INDIRECT(I2249),test))</f>
        <v>149.01542709608177</v>
      </c>
      <c r="E2249" s="5">
        <f ca="1">IF(getQuality(B2249)&lt;4,getOtherMax(B2249,C2249,INDIRECT(J$2),INDIRECT(I2249),test),getMax(B2249,C2249,INDIRECT(J$2),INDIRECT(I2249),test))</f>
        <v>190.22369727444828</v>
      </c>
      <c r="F2249" s="1" t="str">
        <f t="shared" si="142"/>
        <v>50</v>
      </c>
      <c r="G2249" s="1" t="str">
        <f t="shared" si="143"/>
        <v/>
      </c>
      <c r="I2249" s="1" t="str">
        <f t="shared" si="141"/>
        <v>威尔新数值1.06.xlsm!suitPower</v>
      </c>
    </row>
    <row r="2250" spans="1:9" x14ac:dyDescent="0.15">
      <c r="A2250" s="1">
        <v>2249</v>
      </c>
      <c r="B2250" s="1">
        <v>102061200</v>
      </c>
      <c r="C2250" s="1">
        <f t="shared" si="140"/>
        <v>7</v>
      </c>
      <c r="D2250" s="5">
        <f ca="1">IF(getQuality(B2250)&lt;4,getOtherMin(B2250,C2250,INDIRECT(J$2),INDIRECT(I2250),test),getMin(B2250,C2250,INDIRECT(J$2),INDIRECT(I2250),test))</f>
        <v>33.407407407407327</v>
      </c>
      <c r="E2250" s="5">
        <f ca="1">IF(getQuality(B2250)&lt;4,getOtherMax(B2250,C2250,INDIRECT(J$2),INDIRECT(I2250),test),getMax(B2250,C2250,INDIRECT(J$2),INDIRECT(I2250),test))</f>
        <v>38.888888888888786</v>
      </c>
      <c r="F2250" s="1" t="str">
        <f t="shared" si="142"/>
        <v>50</v>
      </c>
      <c r="G2250" s="1" t="str">
        <f t="shared" si="143"/>
        <v/>
      </c>
      <c r="I2250" s="1" t="str">
        <f t="shared" si="141"/>
        <v>威尔新数值1.06.xlsm!suitPower</v>
      </c>
    </row>
    <row r="2251" spans="1:9" x14ac:dyDescent="0.15">
      <c r="A2251" s="1">
        <v>2250</v>
      </c>
      <c r="B2251" s="1">
        <v>102061200</v>
      </c>
      <c r="C2251" s="1">
        <f t="shared" si="140"/>
        <v>8</v>
      </c>
      <c r="D2251" s="5">
        <f ca="1">IF(getQuality(B2251)&lt;4,getOtherMin(B2251,C2251,INDIRECT(J$2),INDIRECT(I2251),test),getMin(B2251,C2251,INDIRECT(J$2),INDIRECT(I2251),test))</f>
        <v>73.916666666666671</v>
      </c>
      <c r="E2251" s="5">
        <f ca="1">IF(getQuality(B2251)&lt;4,getOtherMax(B2251,C2251,INDIRECT(J$2),INDIRECT(I2251),test),getMax(B2251,C2251,INDIRECT(J$2),INDIRECT(I2251),test))</f>
        <v>87.5</v>
      </c>
      <c r="F2251" s="1" t="str">
        <f t="shared" si="142"/>
        <v>50</v>
      </c>
      <c r="G2251" s="1" t="str">
        <f t="shared" si="143"/>
        <v/>
      </c>
      <c r="I2251" s="1" t="str">
        <f t="shared" si="141"/>
        <v>威尔新数值1.06.xlsm!suitPower</v>
      </c>
    </row>
    <row r="2252" spans="1:9" x14ac:dyDescent="0.15">
      <c r="A2252" s="1">
        <v>2251</v>
      </c>
      <c r="B2252" s="1">
        <v>102061200</v>
      </c>
      <c r="C2252" s="1">
        <f t="shared" si="140"/>
        <v>9</v>
      </c>
      <c r="D2252" s="5">
        <f ca="1">IF(getQuality(B2252)&lt;4,getOtherMin(B2252,C2252,INDIRECT(J$2),INDIRECT(I2252),test),getMin(B2252,C2252,INDIRECT(J$2),INDIRECT(I2252),test))</f>
        <v>149.01542709608177</v>
      </c>
      <c r="E2252" s="5">
        <f ca="1">IF(getQuality(B2252)&lt;4,getOtherMax(B2252,C2252,INDIRECT(J$2),INDIRECT(I2252),test),getMax(B2252,C2252,INDIRECT(J$2),INDIRECT(I2252),test))</f>
        <v>190.22369727444828</v>
      </c>
      <c r="F2252" s="1" t="str">
        <f t="shared" si="142"/>
        <v>50</v>
      </c>
      <c r="G2252" s="1" t="str">
        <f t="shared" si="143"/>
        <v/>
      </c>
      <c r="I2252" s="1" t="str">
        <f t="shared" si="141"/>
        <v>威尔新数值1.06.xlsm!suitPower</v>
      </c>
    </row>
    <row r="2253" spans="1:9" x14ac:dyDescent="0.15">
      <c r="A2253" s="1">
        <v>2252</v>
      </c>
      <c r="B2253" s="1">
        <v>102061200</v>
      </c>
      <c r="C2253" s="1">
        <f t="shared" si="140"/>
        <v>10</v>
      </c>
      <c r="D2253" s="5">
        <f ca="1">IF(getQuality(B2253)&lt;4,getOtherMin(B2253,C2253,INDIRECT(J$2),INDIRECT(I2253),test),getMin(B2253,C2253,INDIRECT(J$2),INDIRECT(I2253),test))</f>
        <v>149.01542709608177</v>
      </c>
      <c r="E2253" s="5">
        <f ca="1">IF(getQuality(B2253)&lt;4,getOtherMax(B2253,C2253,INDIRECT(J$2),INDIRECT(I2253),test),getMax(B2253,C2253,INDIRECT(J$2),INDIRECT(I2253),test))</f>
        <v>190.22369727444828</v>
      </c>
      <c r="F2253" s="1" t="str">
        <f t="shared" si="142"/>
        <v>50</v>
      </c>
      <c r="G2253" s="1" t="str">
        <f t="shared" si="143"/>
        <v/>
      </c>
      <c r="I2253" s="1" t="str">
        <f t="shared" si="141"/>
        <v>威尔新数值1.06.xlsm!suitPower</v>
      </c>
    </row>
    <row r="2254" spans="1:9" x14ac:dyDescent="0.15">
      <c r="A2254" s="1">
        <v>2253</v>
      </c>
      <c r="B2254" s="1">
        <v>102061200</v>
      </c>
      <c r="C2254" s="1">
        <f t="shared" si="140"/>
        <v>11</v>
      </c>
      <c r="D2254" s="5">
        <f ca="1">IF(getQuality(B2254)&lt;4,getOtherMin(B2254,C2254,INDIRECT(J$2),INDIRECT(I2254),test),getMin(B2254,C2254,INDIRECT(J$2),INDIRECT(I2254),test))</f>
        <v>149.01542709608177</v>
      </c>
      <c r="E2254" s="5">
        <f ca="1">IF(getQuality(B2254)&lt;4,getOtherMax(B2254,C2254,INDIRECT(J$2),INDIRECT(I2254),test),getMax(B2254,C2254,INDIRECT(J$2),INDIRECT(I2254),test))</f>
        <v>190.22369727444828</v>
      </c>
      <c r="F2254" s="1" t="str">
        <f t="shared" si="142"/>
        <v>50</v>
      </c>
      <c r="G2254" s="1" t="str">
        <f t="shared" si="143"/>
        <v/>
      </c>
      <c r="I2254" s="1" t="str">
        <f t="shared" si="141"/>
        <v>威尔新数值1.06.xlsm!suitPower</v>
      </c>
    </row>
    <row r="2255" spans="1:9" x14ac:dyDescent="0.15">
      <c r="A2255" s="1">
        <v>2254</v>
      </c>
      <c r="B2255" s="1">
        <v>102061200</v>
      </c>
      <c r="C2255" s="1">
        <f t="shared" si="140"/>
        <v>12</v>
      </c>
      <c r="D2255" s="5">
        <f ca="1">IF(getQuality(B2255)&lt;4,getOtherMin(B2255,C2255,INDIRECT(J$2),INDIRECT(I2255),test),getMin(B2255,C2255,INDIRECT(J$2),INDIRECT(I2255),test))</f>
        <v>149.01542709608177</v>
      </c>
      <c r="E2255" s="5">
        <f ca="1">IF(getQuality(B2255)&lt;4,getOtherMax(B2255,C2255,INDIRECT(J$2),INDIRECT(I2255),test),getMax(B2255,C2255,INDIRECT(J$2),INDIRECT(I2255),test))</f>
        <v>190.22369727444828</v>
      </c>
      <c r="F2255" s="1" t="str">
        <f t="shared" si="142"/>
        <v>50</v>
      </c>
      <c r="G2255" s="1" t="str">
        <f t="shared" si="143"/>
        <v/>
      </c>
      <c r="I2255" s="1" t="str">
        <f t="shared" si="141"/>
        <v>威尔新数值1.06.xlsm!suitPower</v>
      </c>
    </row>
    <row r="2256" spans="1:9" x14ac:dyDescent="0.15">
      <c r="A2256" s="1">
        <v>2255</v>
      </c>
      <c r="B2256" s="1">
        <v>102061200</v>
      </c>
      <c r="C2256" s="1">
        <f t="shared" si="140"/>
        <v>13</v>
      </c>
      <c r="D2256" s="5">
        <f ca="1">IF(getQuality(B2256)&lt;4,getOtherMin(B2256,C2256,INDIRECT(J$2),INDIRECT(I2256),test),getMin(B2256,C2256,INDIRECT(J$2),INDIRECT(I2256),test))</f>
        <v>149.01542709608177</v>
      </c>
      <c r="E2256" s="5">
        <f ca="1">IF(getQuality(B2256)&lt;4,getOtherMax(B2256,C2256,INDIRECT(J$2),INDIRECT(I2256),test),getMax(B2256,C2256,INDIRECT(J$2),INDIRECT(I2256),test))</f>
        <v>190.22369727444828</v>
      </c>
      <c r="F2256" s="1" t="str">
        <f t="shared" si="142"/>
        <v>50</v>
      </c>
      <c r="G2256" s="1" t="str">
        <f t="shared" si="143"/>
        <v/>
      </c>
      <c r="I2256" s="1" t="str">
        <f t="shared" si="141"/>
        <v>威尔新数值1.06.xlsm!suitPower</v>
      </c>
    </row>
    <row r="2257" spans="1:9" x14ac:dyDescent="0.15">
      <c r="A2257" s="1">
        <v>2256</v>
      </c>
      <c r="B2257" s="1">
        <v>102061200</v>
      </c>
      <c r="C2257" s="1">
        <f t="shared" si="140"/>
        <v>14</v>
      </c>
      <c r="D2257" s="5">
        <f ca="1">IF(getQuality(B2257)&lt;4,getOtherMin(B2257,C2257,INDIRECT(J$2),INDIRECT(I2257),test),getMin(B2257,C2257,INDIRECT(J$2),INDIRECT(I2257),test))</f>
        <v>149.01542709608177</v>
      </c>
      <c r="E2257" s="5">
        <f ca="1">IF(getQuality(B2257)&lt;4,getOtherMax(B2257,C2257,INDIRECT(J$2),INDIRECT(I2257),test),getMax(B2257,C2257,INDIRECT(J$2),INDIRECT(I2257),test))</f>
        <v>190.22369727444828</v>
      </c>
      <c r="F2257" s="1" t="str">
        <f t="shared" si="142"/>
        <v>50</v>
      </c>
      <c r="G2257" s="1" t="str">
        <f t="shared" si="143"/>
        <v/>
      </c>
      <c r="I2257" s="1" t="str">
        <f t="shared" si="141"/>
        <v>威尔新数值1.06.xlsm!suitPower</v>
      </c>
    </row>
    <row r="2258" spans="1:9" x14ac:dyDescent="0.15">
      <c r="A2258" s="1">
        <v>2257</v>
      </c>
      <c r="B2258" s="1">
        <v>102061200</v>
      </c>
      <c r="C2258" s="1">
        <f t="shared" si="140"/>
        <v>15</v>
      </c>
      <c r="D2258" s="5">
        <f ca="1">IF(getQuality(B2258)&lt;4,getOtherMin(B2258,C2258,INDIRECT(J$2),INDIRECT(I2258),test),getMin(B2258,C2258,INDIRECT(J$2),INDIRECT(I2258),test))</f>
        <v>149.01542709608177</v>
      </c>
      <c r="E2258" s="5">
        <f ca="1">IF(getQuality(B2258)&lt;4,getOtherMax(B2258,C2258,INDIRECT(J$2),INDIRECT(I2258),test),getMax(B2258,C2258,INDIRECT(J$2),INDIRECT(I2258),test))</f>
        <v>190.22369727444828</v>
      </c>
      <c r="F2258" s="1" t="str">
        <f t="shared" si="142"/>
        <v>50</v>
      </c>
      <c r="G2258" s="1" t="str">
        <f t="shared" si="143"/>
        <v/>
      </c>
      <c r="I2258" s="1" t="str">
        <f t="shared" si="141"/>
        <v>威尔新数值1.06.xlsm!suitPower</v>
      </c>
    </row>
    <row r="2259" spans="1:9" x14ac:dyDescent="0.15">
      <c r="A2259" s="1">
        <v>2258</v>
      </c>
      <c r="B2259" s="1">
        <v>102061200</v>
      </c>
      <c r="C2259" s="1">
        <f t="shared" si="140"/>
        <v>101</v>
      </c>
      <c r="D2259" s="5">
        <f ca="1">IF(getQuality(B2259)&lt;4,getOtherMin(B2259,C2259,INDIRECT(J$2),INDIRECT(I2259),test),getMin(B2259,C2259,INDIRECT(J$2),INDIRECT(I2259),test))</f>
        <v>0.11</v>
      </c>
      <c r="E2259" s="5">
        <f ca="1">IF(getQuality(B2259)&lt;4,getOtherMax(B2259,C2259,INDIRECT(J$2),INDIRECT(I2259),test),getMax(B2259,C2259,INDIRECT(J$2),INDIRECT(I2259),test))</f>
        <v>0.14000000000000001</v>
      </c>
      <c r="F2259" s="1" t="str">
        <f t="shared" si="142"/>
        <v>50</v>
      </c>
      <c r="G2259" s="1" t="str">
        <f t="shared" si="143"/>
        <v/>
      </c>
      <c r="I2259" s="1" t="str">
        <f t="shared" si="141"/>
        <v>威尔新数值1.06.xlsm!circlePer</v>
      </c>
    </row>
    <row r="2260" spans="1:9" x14ac:dyDescent="0.15">
      <c r="A2260" s="1">
        <v>2259</v>
      </c>
      <c r="B2260" s="1">
        <v>102061200</v>
      </c>
      <c r="C2260" s="1">
        <f t="shared" si="140"/>
        <v>102</v>
      </c>
      <c r="D2260" s="5">
        <f ca="1">IF(getQuality(B2260)&lt;4,getOtherMin(B2260,C2260,INDIRECT(J$2),INDIRECT(I2260),test),getMin(B2260,C2260,INDIRECT(J$2),INDIRECT(I2260),test))</f>
        <v>0.9</v>
      </c>
      <c r="E2260" s="5">
        <f ca="1">IF(getQuality(B2260)&lt;4,getOtherMax(B2260,C2260,INDIRECT(J$2),INDIRECT(I2260),test),getMax(B2260,C2260,INDIRECT(J$2),INDIRECT(I2260),test))</f>
        <v>1.3</v>
      </c>
      <c r="F2260" s="1" t="str">
        <f t="shared" si="142"/>
        <v>50</v>
      </c>
      <c r="G2260" s="1" t="str">
        <f t="shared" si="143"/>
        <v/>
      </c>
      <c r="I2260" s="1" t="str">
        <f t="shared" si="141"/>
        <v>威尔新数值1.06.xlsm!circleValue</v>
      </c>
    </row>
    <row r="2261" spans="1:9" x14ac:dyDescent="0.15">
      <c r="A2261" s="1">
        <v>2260</v>
      </c>
      <c r="B2261" s="1">
        <v>102061200</v>
      </c>
      <c r="C2261" s="1">
        <f t="shared" si="140"/>
        <v>103</v>
      </c>
      <c r="D2261" s="5">
        <f ca="1">IF(getQuality(B2261)&lt;4,getOtherMin(B2261,C2261,INDIRECT(J$2),INDIRECT(I2261),test),getMin(B2261,C2261,INDIRECT(J$2),INDIRECT(I2261),test))</f>
        <v>0.11</v>
      </c>
      <c r="E2261" s="5">
        <f ca="1">IF(getQuality(B2261)&lt;4,getOtherMax(B2261,C2261,INDIRECT(J$2),INDIRECT(I2261),test),getMax(B2261,C2261,INDIRECT(J$2),INDIRECT(I2261),test))</f>
        <v>0.14000000000000001</v>
      </c>
      <c r="F2261" s="1" t="str">
        <f t="shared" si="142"/>
        <v>50</v>
      </c>
      <c r="G2261" s="1" t="str">
        <f t="shared" si="143"/>
        <v/>
      </c>
      <c r="I2261" s="1" t="str">
        <f t="shared" si="141"/>
        <v>威尔新数值1.06.xlsm!otherDamage</v>
      </c>
    </row>
    <row r="2262" spans="1:9" x14ac:dyDescent="0.15">
      <c r="A2262" s="1">
        <v>2261</v>
      </c>
      <c r="B2262" s="1">
        <v>102061200</v>
      </c>
      <c r="C2262" s="1">
        <f t="shared" si="140"/>
        <v>104</v>
      </c>
      <c r="D2262" s="5">
        <f ca="1">IF(getQuality(B2262)&lt;4,getOtherMin(B2262,C2262,INDIRECT(J$2),INDIRECT(I2262),test),getMin(B2262,C2262,INDIRECT(J$2),INDIRECT(I2262),test))</f>
        <v>0.11</v>
      </c>
      <c r="E2262" s="5">
        <f ca="1">IF(getQuality(B2262)&lt;4,getOtherMax(B2262,C2262,INDIRECT(J$2),INDIRECT(I2262),test),getMax(B2262,C2262,INDIRECT(J$2),INDIRECT(I2262),test))</f>
        <v>0.22</v>
      </c>
      <c r="F2262" s="1" t="str">
        <f t="shared" si="142"/>
        <v>50</v>
      </c>
      <c r="G2262" s="1" t="str">
        <f t="shared" si="143"/>
        <v/>
      </c>
      <c r="I2262" s="1" t="str">
        <f t="shared" si="141"/>
        <v>威尔新数值1.06.xlsm!monsterDamage</v>
      </c>
    </row>
    <row r="2263" spans="1:9" x14ac:dyDescent="0.15">
      <c r="A2263" s="1">
        <v>2262</v>
      </c>
      <c r="B2263" s="1">
        <v>102061200</v>
      </c>
      <c r="C2263" s="1">
        <f t="shared" si="140"/>
        <v>105</v>
      </c>
      <c r="D2263" s="5">
        <f ca="1">IF(getQuality(B2263)&lt;4,getOtherMin(B2263,C2263,INDIRECT(J$2),INDIRECT(I2263),test),getMin(B2263,C2263,INDIRECT(J$2),INDIRECT(I2263),test))</f>
        <v>0.11</v>
      </c>
      <c r="E2263" s="5">
        <f ca="1">IF(getQuality(B2263)&lt;4,getOtherMax(B2263,C2263,INDIRECT(J$2),INDIRECT(I2263),test),getMax(B2263,C2263,INDIRECT(J$2),INDIRECT(I2263),test))</f>
        <v>0.22</v>
      </c>
      <c r="F2263" s="1" t="str">
        <f t="shared" si="142"/>
        <v>50</v>
      </c>
      <c r="G2263" s="1" t="str">
        <f t="shared" si="143"/>
        <v/>
      </c>
      <c r="I2263" s="1" t="str">
        <f t="shared" si="141"/>
        <v>威尔新数值1.06.xlsm!monsterDamage</v>
      </c>
    </row>
    <row r="2264" spans="1:9" x14ac:dyDescent="0.15">
      <c r="A2264" s="1">
        <v>2263</v>
      </c>
      <c r="B2264" s="1">
        <v>102061200</v>
      </c>
      <c r="C2264" s="1">
        <f t="shared" si="140"/>
        <v>106</v>
      </c>
      <c r="D2264" s="5">
        <f ca="1">IF(getQuality(B2264)&lt;4,getOtherMin(B2264,C2264,INDIRECT(J$2),INDIRECT(I2264),test),getMin(B2264,C2264,INDIRECT(J$2),INDIRECT(I2264),test))</f>
        <v>0.11</v>
      </c>
      <c r="E2264" s="5">
        <f ca="1">IF(getQuality(B2264)&lt;4,getOtherMax(B2264,C2264,INDIRECT(J$2),INDIRECT(I2264),test),getMax(B2264,C2264,INDIRECT(J$2),INDIRECT(I2264),test))</f>
        <v>0.22</v>
      </c>
      <c r="F2264" s="1" t="str">
        <f t="shared" si="142"/>
        <v>50</v>
      </c>
      <c r="G2264" s="1" t="str">
        <f t="shared" si="143"/>
        <v/>
      </c>
      <c r="I2264" s="1" t="str">
        <f t="shared" si="141"/>
        <v>威尔新数值1.06.xlsm!monsterDamage</v>
      </c>
    </row>
    <row r="2265" spans="1:9" x14ac:dyDescent="0.15">
      <c r="A2265" s="1">
        <v>2264</v>
      </c>
      <c r="B2265" s="1">
        <v>102061200</v>
      </c>
      <c r="C2265" s="1">
        <f t="shared" si="140"/>
        <v>107</v>
      </c>
      <c r="D2265" s="5">
        <f ca="1">IF(getQuality(B2265)&lt;4,getOtherMin(B2265,C2265,INDIRECT(J$2),INDIRECT(I2265),test),getMin(B2265,C2265,INDIRECT(J$2),INDIRECT(I2265),test))</f>
        <v>0.11</v>
      </c>
      <c r="E2265" s="5">
        <f ca="1">IF(getQuality(B2265)&lt;4,getOtherMax(B2265,C2265,INDIRECT(J$2),INDIRECT(I2265),test),getMax(B2265,C2265,INDIRECT(J$2),INDIRECT(I2265),test))</f>
        <v>0.22</v>
      </c>
      <c r="F2265" s="1" t="str">
        <f t="shared" si="142"/>
        <v>50</v>
      </c>
      <c r="G2265" s="1" t="str">
        <f t="shared" si="143"/>
        <v/>
      </c>
      <c r="I2265" s="1" t="str">
        <f t="shared" si="141"/>
        <v>威尔新数值1.06.xlsm!monsterDamage</v>
      </c>
    </row>
    <row r="2266" spans="1:9" x14ac:dyDescent="0.15">
      <c r="A2266" s="1">
        <v>2265</v>
      </c>
      <c r="B2266" s="1">
        <v>102061200</v>
      </c>
      <c r="C2266" s="1">
        <f t="shared" si="140"/>
        <v>108</v>
      </c>
      <c r="D2266" s="5">
        <f ca="1">IF(getQuality(B2266)&lt;4,getOtherMin(B2266,C2266,INDIRECT(J$2),INDIRECT(I2266),test),getMin(B2266,C2266,INDIRECT(J$2),INDIRECT(I2266),test))</f>
        <v>0.11</v>
      </c>
      <c r="E2266" s="5">
        <f ca="1">IF(getQuality(B2266)&lt;4,getOtherMax(B2266,C2266,INDIRECT(J$2),INDIRECT(I2266),test),getMax(B2266,C2266,INDIRECT(J$2),INDIRECT(I2266),test))</f>
        <v>0.22</v>
      </c>
      <c r="F2266" s="1" t="str">
        <f t="shared" si="142"/>
        <v>50</v>
      </c>
      <c r="G2266" s="1" t="str">
        <f t="shared" si="143"/>
        <v/>
      </c>
      <c r="I2266" s="1" t="str">
        <f t="shared" si="141"/>
        <v>威尔新数值1.06.xlsm!monsterDamage</v>
      </c>
    </row>
    <row r="2267" spans="1:9" x14ac:dyDescent="0.15">
      <c r="A2267" s="1">
        <v>2266</v>
      </c>
      <c r="B2267" s="1">
        <v>102071200</v>
      </c>
      <c r="C2267" s="1">
        <f t="shared" si="140"/>
        <v>3</v>
      </c>
      <c r="D2267" s="5">
        <f ca="1">IF(getQuality(B2267)&lt;4,getOtherMin(B2267,C2267,INDIRECT(J$2),INDIRECT(I2267),test),getMin(B2267,C2267,INDIRECT(J$2),INDIRECT(I2267),test))</f>
        <v>191.22369727444828</v>
      </c>
      <c r="E2267" s="5">
        <f ca="1">IF(getQuality(B2267)&lt;4,getOtherMax(B2267,C2267,INDIRECT(J$2),INDIRECT(I2267),test),getMax(B2267,C2267,INDIRECT(J$2),INDIRECT(I2267),test))</f>
        <v>236.63369570586491</v>
      </c>
      <c r="F2267" s="1" t="str">
        <f t="shared" si="142"/>
        <v>50</v>
      </c>
      <c r="G2267" s="1" t="str">
        <f t="shared" si="143"/>
        <v>1</v>
      </c>
      <c r="I2267" s="1" t="str">
        <f t="shared" si="141"/>
        <v>威尔新数值1.06.xlsm!suitPower</v>
      </c>
    </row>
    <row r="2268" spans="1:9" x14ac:dyDescent="0.15">
      <c r="A2268" s="1">
        <v>2267</v>
      </c>
      <c r="B2268" s="1">
        <v>102071200</v>
      </c>
      <c r="C2268" s="1">
        <f t="shared" si="140"/>
        <v>5</v>
      </c>
      <c r="D2268" s="5">
        <f ca="1">IF(getQuality(B2268)&lt;4,getOtherMin(B2268,C2268,INDIRECT(J$2),INDIRECT(I2268),test),getMin(B2268,C2268,INDIRECT(J$2),INDIRECT(I2268),test))</f>
        <v>191.22369727444828</v>
      </c>
      <c r="E2268" s="5">
        <f ca="1">IF(getQuality(B2268)&lt;4,getOtherMax(B2268,C2268,INDIRECT(J$2),INDIRECT(I2268),test),getMax(B2268,C2268,INDIRECT(J$2),INDIRECT(I2268),test))</f>
        <v>236.63369570586491</v>
      </c>
      <c r="F2268" s="1" t="str">
        <f t="shared" si="142"/>
        <v>50</v>
      </c>
      <c r="G2268" s="1" t="str">
        <f t="shared" si="143"/>
        <v/>
      </c>
      <c r="I2268" s="1" t="str">
        <f t="shared" si="141"/>
        <v>威尔新数值1.06.xlsm!suitPower</v>
      </c>
    </row>
    <row r="2269" spans="1:9" x14ac:dyDescent="0.15">
      <c r="A2269" s="1">
        <v>2268</v>
      </c>
      <c r="B2269" s="1">
        <v>102071200</v>
      </c>
      <c r="C2269" s="1">
        <f t="shared" si="140"/>
        <v>7</v>
      </c>
      <c r="D2269" s="5">
        <f ca="1">IF(getQuality(B2269)&lt;4,getOtherMin(B2269,C2269,INDIRECT(J$2),INDIRECT(I2269),test),getMin(B2269,C2269,INDIRECT(J$2),INDIRECT(I2269),test))</f>
        <v>39.888888888888786</v>
      </c>
      <c r="E2269" s="5">
        <f ca="1">IF(getQuality(B2269)&lt;4,getOtherMax(B2269,C2269,INDIRECT(J$2),INDIRECT(I2269),test),getMax(B2269,C2269,INDIRECT(J$2),INDIRECT(I2269),test))</f>
        <v>45.370370370370253</v>
      </c>
      <c r="F2269" s="1" t="str">
        <f t="shared" si="142"/>
        <v>50</v>
      </c>
      <c r="G2269" s="1" t="str">
        <f t="shared" si="143"/>
        <v/>
      </c>
      <c r="I2269" s="1" t="str">
        <f t="shared" si="141"/>
        <v>威尔新数值1.06.xlsm!suitPower</v>
      </c>
    </row>
    <row r="2270" spans="1:9" x14ac:dyDescent="0.15">
      <c r="A2270" s="1">
        <v>2269</v>
      </c>
      <c r="B2270" s="1">
        <v>102071200</v>
      </c>
      <c r="C2270" s="1">
        <f t="shared" si="140"/>
        <v>8</v>
      </c>
      <c r="D2270" s="5">
        <f ca="1">IF(getQuality(B2270)&lt;4,getOtherMin(B2270,C2270,INDIRECT(J$2),INDIRECT(I2270),test),getMin(B2270,C2270,INDIRECT(J$2),INDIRECT(I2270),test))</f>
        <v>88.5</v>
      </c>
      <c r="E2270" s="5">
        <f ca="1">IF(getQuality(B2270)&lt;4,getOtherMax(B2270,C2270,INDIRECT(J$2),INDIRECT(I2270),test),getMax(B2270,C2270,INDIRECT(J$2),INDIRECT(I2270),test))</f>
        <v>102.08333333333333</v>
      </c>
      <c r="F2270" s="1" t="str">
        <f t="shared" si="142"/>
        <v>50</v>
      </c>
      <c r="G2270" s="1" t="str">
        <f t="shared" si="143"/>
        <v/>
      </c>
      <c r="I2270" s="1" t="str">
        <f t="shared" si="141"/>
        <v>威尔新数值1.06.xlsm!suitPower</v>
      </c>
    </row>
    <row r="2271" spans="1:9" x14ac:dyDescent="0.15">
      <c r="A2271" s="1">
        <v>2270</v>
      </c>
      <c r="B2271" s="1">
        <v>102071200</v>
      </c>
      <c r="C2271" s="1">
        <f t="shared" si="140"/>
        <v>9</v>
      </c>
      <c r="D2271" s="5">
        <f ca="1">IF(getQuality(B2271)&lt;4,getOtherMin(B2271,C2271,INDIRECT(J$2),INDIRECT(I2271),test),getMin(B2271,C2271,INDIRECT(J$2),INDIRECT(I2271),test))</f>
        <v>191.22369727444828</v>
      </c>
      <c r="E2271" s="5">
        <f ca="1">IF(getQuality(B2271)&lt;4,getOtherMax(B2271,C2271,INDIRECT(J$2),INDIRECT(I2271),test),getMax(B2271,C2271,INDIRECT(J$2),INDIRECT(I2271),test))</f>
        <v>236.63369570586491</v>
      </c>
      <c r="F2271" s="1" t="str">
        <f t="shared" si="142"/>
        <v>50</v>
      </c>
      <c r="G2271" s="1" t="str">
        <f t="shared" si="143"/>
        <v/>
      </c>
      <c r="I2271" s="1" t="str">
        <f t="shared" si="141"/>
        <v>威尔新数值1.06.xlsm!suitPower</v>
      </c>
    </row>
    <row r="2272" spans="1:9" x14ac:dyDescent="0.15">
      <c r="A2272" s="1">
        <v>2271</v>
      </c>
      <c r="B2272" s="1">
        <v>102071200</v>
      </c>
      <c r="C2272" s="1">
        <f t="shared" si="140"/>
        <v>10</v>
      </c>
      <c r="D2272" s="5">
        <f ca="1">IF(getQuality(B2272)&lt;4,getOtherMin(B2272,C2272,INDIRECT(J$2),INDIRECT(I2272),test),getMin(B2272,C2272,INDIRECT(J$2),INDIRECT(I2272),test))</f>
        <v>191.22369727444828</v>
      </c>
      <c r="E2272" s="5">
        <f ca="1">IF(getQuality(B2272)&lt;4,getOtherMax(B2272,C2272,INDIRECT(J$2),INDIRECT(I2272),test),getMax(B2272,C2272,INDIRECT(J$2),INDIRECT(I2272),test))</f>
        <v>236.63369570586491</v>
      </c>
      <c r="F2272" s="1" t="str">
        <f t="shared" si="142"/>
        <v>50</v>
      </c>
      <c r="G2272" s="1" t="str">
        <f t="shared" si="143"/>
        <v/>
      </c>
      <c r="I2272" s="1" t="str">
        <f t="shared" si="141"/>
        <v>威尔新数值1.06.xlsm!suitPower</v>
      </c>
    </row>
    <row r="2273" spans="1:9" x14ac:dyDescent="0.15">
      <c r="A2273" s="1">
        <v>2272</v>
      </c>
      <c r="B2273" s="1">
        <v>102071200</v>
      </c>
      <c r="C2273" s="1">
        <f t="shared" si="140"/>
        <v>11</v>
      </c>
      <c r="D2273" s="5">
        <f ca="1">IF(getQuality(B2273)&lt;4,getOtherMin(B2273,C2273,INDIRECT(J$2),INDIRECT(I2273),test),getMin(B2273,C2273,INDIRECT(J$2),INDIRECT(I2273),test))</f>
        <v>191.22369727444828</v>
      </c>
      <c r="E2273" s="5">
        <f ca="1">IF(getQuality(B2273)&lt;4,getOtherMax(B2273,C2273,INDIRECT(J$2),INDIRECT(I2273),test),getMax(B2273,C2273,INDIRECT(J$2),INDIRECT(I2273),test))</f>
        <v>236.63369570586491</v>
      </c>
      <c r="F2273" s="1" t="str">
        <f t="shared" si="142"/>
        <v>50</v>
      </c>
      <c r="G2273" s="1" t="str">
        <f t="shared" si="143"/>
        <v/>
      </c>
      <c r="I2273" s="1" t="str">
        <f t="shared" si="141"/>
        <v>威尔新数值1.06.xlsm!suitPower</v>
      </c>
    </row>
    <row r="2274" spans="1:9" x14ac:dyDescent="0.15">
      <c r="A2274" s="1">
        <v>2273</v>
      </c>
      <c r="B2274" s="1">
        <v>102071200</v>
      </c>
      <c r="C2274" s="1">
        <f t="shared" si="140"/>
        <v>12</v>
      </c>
      <c r="D2274" s="5">
        <f ca="1">IF(getQuality(B2274)&lt;4,getOtherMin(B2274,C2274,INDIRECT(J$2),INDIRECT(I2274),test),getMin(B2274,C2274,INDIRECT(J$2),INDIRECT(I2274),test))</f>
        <v>191.22369727444828</v>
      </c>
      <c r="E2274" s="5">
        <f ca="1">IF(getQuality(B2274)&lt;4,getOtherMax(B2274,C2274,INDIRECT(J$2),INDIRECT(I2274),test),getMax(B2274,C2274,INDIRECT(J$2),INDIRECT(I2274),test))</f>
        <v>236.63369570586491</v>
      </c>
      <c r="F2274" s="1" t="str">
        <f t="shared" si="142"/>
        <v>50</v>
      </c>
      <c r="G2274" s="1" t="str">
        <f t="shared" si="143"/>
        <v/>
      </c>
      <c r="I2274" s="1" t="str">
        <f t="shared" si="141"/>
        <v>威尔新数值1.06.xlsm!suitPower</v>
      </c>
    </row>
    <row r="2275" spans="1:9" x14ac:dyDescent="0.15">
      <c r="A2275" s="1">
        <v>2274</v>
      </c>
      <c r="B2275" s="1">
        <v>102071200</v>
      </c>
      <c r="C2275" s="1">
        <f t="shared" si="140"/>
        <v>13</v>
      </c>
      <c r="D2275" s="5">
        <f ca="1">IF(getQuality(B2275)&lt;4,getOtherMin(B2275,C2275,INDIRECT(J$2),INDIRECT(I2275),test),getMin(B2275,C2275,INDIRECT(J$2),INDIRECT(I2275),test))</f>
        <v>191.22369727444828</v>
      </c>
      <c r="E2275" s="5">
        <f ca="1">IF(getQuality(B2275)&lt;4,getOtherMax(B2275,C2275,INDIRECT(J$2),INDIRECT(I2275),test),getMax(B2275,C2275,INDIRECT(J$2),INDIRECT(I2275),test))</f>
        <v>236.63369570586491</v>
      </c>
      <c r="F2275" s="1" t="str">
        <f t="shared" si="142"/>
        <v>50</v>
      </c>
      <c r="G2275" s="1" t="str">
        <f t="shared" si="143"/>
        <v/>
      </c>
      <c r="I2275" s="1" t="str">
        <f t="shared" si="141"/>
        <v>威尔新数值1.06.xlsm!suitPower</v>
      </c>
    </row>
    <row r="2276" spans="1:9" x14ac:dyDescent="0.15">
      <c r="A2276" s="1">
        <v>2275</v>
      </c>
      <c r="B2276" s="1">
        <v>102071200</v>
      </c>
      <c r="C2276" s="1">
        <f t="shared" ref="C2276:C2339" si="144">C2257</f>
        <v>14</v>
      </c>
      <c r="D2276" s="5">
        <f ca="1">IF(getQuality(B2276)&lt;4,getOtherMin(B2276,C2276,INDIRECT(J$2),INDIRECT(I2276),test),getMin(B2276,C2276,INDIRECT(J$2),INDIRECT(I2276),test))</f>
        <v>191.22369727444828</v>
      </c>
      <c r="E2276" s="5">
        <f ca="1">IF(getQuality(B2276)&lt;4,getOtherMax(B2276,C2276,INDIRECT(J$2),INDIRECT(I2276),test),getMax(B2276,C2276,INDIRECT(J$2),INDIRECT(I2276),test))</f>
        <v>236.63369570586491</v>
      </c>
      <c r="F2276" s="1" t="str">
        <f t="shared" si="142"/>
        <v>50</v>
      </c>
      <c r="G2276" s="1" t="str">
        <f t="shared" si="143"/>
        <v/>
      </c>
      <c r="I2276" s="1" t="str">
        <f t="shared" si="141"/>
        <v>威尔新数值1.06.xlsm!suitPower</v>
      </c>
    </row>
    <row r="2277" spans="1:9" x14ac:dyDescent="0.15">
      <c r="A2277" s="1">
        <v>2276</v>
      </c>
      <c r="B2277" s="1">
        <v>102071200</v>
      </c>
      <c r="C2277" s="1">
        <f t="shared" si="144"/>
        <v>15</v>
      </c>
      <c r="D2277" s="5">
        <f ca="1">IF(getQuality(B2277)&lt;4,getOtherMin(B2277,C2277,INDIRECT(J$2),INDIRECT(I2277),test),getMin(B2277,C2277,INDIRECT(J$2),INDIRECT(I2277),test))</f>
        <v>191.22369727444828</v>
      </c>
      <c r="E2277" s="5">
        <f ca="1">IF(getQuality(B2277)&lt;4,getOtherMax(B2277,C2277,INDIRECT(J$2),INDIRECT(I2277),test),getMax(B2277,C2277,INDIRECT(J$2),INDIRECT(I2277),test))</f>
        <v>236.63369570586491</v>
      </c>
      <c r="F2277" s="1" t="str">
        <f t="shared" si="142"/>
        <v>50</v>
      </c>
      <c r="G2277" s="1" t="str">
        <f t="shared" si="143"/>
        <v/>
      </c>
      <c r="I2277" s="1" t="str">
        <f t="shared" si="141"/>
        <v>威尔新数值1.06.xlsm!suitPower</v>
      </c>
    </row>
    <row r="2278" spans="1:9" x14ac:dyDescent="0.15">
      <c r="A2278" s="1">
        <v>2277</v>
      </c>
      <c r="B2278" s="1">
        <v>102071200</v>
      </c>
      <c r="C2278" s="1">
        <f t="shared" si="144"/>
        <v>101</v>
      </c>
      <c r="D2278" s="5">
        <f ca="1">IF(getQuality(B2278)&lt;4,getOtherMin(B2278,C2278,INDIRECT(J$2),INDIRECT(I2278),test),getMin(B2278,C2278,INDIRECT(J$2),INDIRECT(I2278),test))</f>
        <v>0.12</v>
      </c>
      <c r="E2278" s="5">
        <f ca="1">IF(getQuality(B2278)&lt;4,getOtherMax(B2278,C2278,INDIRECT(J$2),INDIRECT(I2278),test),getMax(B2278,C2278,INDIRECT(J$2),INDIRECT(I2278),test))</f>
        <v>0.15</v>
      </c>
      <c r="F2278" s="1" t="str">
        <f t="shared" si="142"/>
        <v>50</v>
      </c>
      <c r="G2278" s="1" t="str">
        <f t="shared" si="143"/>
        <v/>
      </c>
      <c r="I2278" s="1" t="str">
        <f t="shared" si="141"/>
        <v>威尔新数值1.06.xlsm!circlePer</v>
      </c>
    </row>
    <row r="2279" spans="1:9" x14ac:dyDescent="0.15">
      <c r="A2279" s="1">
        <v>2278</v>
      </c>
      <c r="B2279" s="1">
        <v>102071200</v>
      </c>
      <c r="C2279" s="1">
        <f t="shared" si="144"/>
        <v>102</v>
      </c>
      <c r="D2279" s="5">
        <f ca="1">IF(getQuality(B2279)&lt;4,getOtherMin(B2279,C2279,INDIRECT(J$2),INDIRECT(I2279),test),getMin(B2279,C2279,INDIRECT(J$2),INDIRECT(I2279),test))</f>
        <v>1</v>
      </c>
      <c r="E2279" s="5">
        <f ca="1">IF(getQuality(B2279)&lt;4,getOtherMax(B2279,C2279,INDIRECT(J$2),INDIRECT(I2279),test),getMax(B2279,C2279,INDIRECT(J$2),INDIRECT(I2279),test))</f>
        <v>1.4</v>
      </c>
      <c r="F2279" s="1" t="str">
        <f t="shared" si="142"/>
        <v>50</v>
      </c>
      <c r="G2279" s="1" t="str">
        <f t="shared" si="143"/>
        <v/>
      </c>
      <c r="I2279" s="1" t="str">
        <f t="shared" si="141"/>
        <v>威尔新数值1.06.xlsm!circleValue</v>
      </c>
    </row>
    <row r="2280" spans="1:9" x14ac:dyDescent="0.15">
      <c r="A2280" s="1">
        <v>2279</v>
      </c>
      <c r="B2280" s="1">
        <v>102071200</v>
      </c>
      <c r="C2280" s="1">
        <f t="shared" si="144"/>
        <v>103</v>
      </c>
      <c r="D2280" s="5">
        <f ca="1">IF(getQuality(B2280)&lt;4,getOtherMin(B2280,C2280,INDIRECT(J$2),INDIRECT(I2280),test),getMin(B2280,C2280,INDIRECT(J$2),INDIRECT(I2280),test))</f>
        <v>0.12</v>
      </c>
      <c r="E2280" s="5">
        <f ca="1">IF(getQuality(B2280)&lt;4,getOtherMax(B2280,C2280,INDIRECT(J$2),INDIRECT(I2280),test),getMax(B2280,C2280,INDIRECT(J$2),INDIRECT(I2280),test))</f>
        <v>0.15</v>
      </c>
      <c r="F2280" s="1" t="str">
        <f t="shared" si="142"/>
        <v>50</v>
      </c>
      <c r="G2280" s="1" t="str">
        <f t="shared" si="143"/>
        <v/>
      </c>
      <c r="I2280" s="1" t="str">
        <f t="shared" si="141"/>
        <v>威尔新数值1.06.xlsm!otherDamage</v>
      </c>
    </row>
    <row r="2281" spans="1:9" x14ac:dyDescent="0.15">
      <c r="A2281" s="1">
        <v>2280</v>
      </c>
      <c r="B2281" s="1">
        <v>102071200</v>
      </c>
      <c r="C2281" s="1">
        <f t="shared" si="144"/>
        <v>104</v>
      </c>
      <c r="D2281" s="5">
        <f ca="1">IF(getQuality(B2281)&lt;4,getOtherMin(B2281,C2281,INDIRECT(J$2),INDIRECT(I2281),test),getMin(B2281,C2281,INDIRECT(J$2),INDIRECT(I2281),test))</f>
        <v>0.12</v>
      </c>
      <c r="E2281" s="5">
        <f ca="1">IF(getQuality(B2281)&lt;4,getOtherMax(B2281,C2281,INDIRECT(J$2),INDIRECT(I2281),test),getMax(B2281,C2281,INDIRECT(J$2),INDIRECT(I2281),test))</f>
        <v>0.24</v>
      </c>
      <c r="F2281" s="1" t="str">
        <f t="shared" si="142"/>
        <v>50</v>
      </c>
      <c r="G2281" s="1" t="str">
        <f t="shared" si="143"/>
        <v/>
      </c>
      <c r="I2281" s="1" t="str">
        <f t="shared" si="141"/>
        <v>威尔新数值1.06.xlsm!monsterDamage</v>
      </c>
    </row>
    <row r="2282" spans="1:9" x14ac:dyDescent="0.15">
      <c r="A2282" s="1">
        <v>2281</v>
      </c>
      <c r="B2282" s="1">
        <v>102071200</v>
      </c>
      <c r="C2282" s="1">
        <f t="shared" si="144"/>
        <v>105</v>
      </c>
      <c r="D2282" s="5">
        <f ca="1">IF(getQuality(B2282)&lt;4,getOtherMin(B2282,C2282,INDIRECT(J$2),INDIRECT(I2282),test),getMin(B2282,C2282,INDIRECT(J$2),INDIRECT(I2282),test))</f>
        <v>0.12</v>
      </c>
      <c r="E2282" s="5">
        <f ca="1">IF(getQuality(B2282)&lt;4,getOtherMax(B2282,C2282,INDIRECT(J$2),INDIRECT(I2282),test),getMax(B2282,C2282,INDIRECT(J$2),INDIRECT(I2282),test))</f>
        <v>0.24</v>
      </c>
      <c r="F2282" s="1" t="str">
        <f t="shared" si="142"/>
        <v>50</v>
      </c>
      <c r="G2282" s="1" t="str">
        <f t="shared" si="143"/>
        <v/>
      </c>
      <c r="I2282" s="1" t="str">
        <f t="shared" si="141"/>
        <v>威尔新数值1.06.xlsm!monsterDamage</v>
      </c>
    </row>
    <row r="2283" spans="1:9" x14ac:dyDescent="0.15">
      <c r="A2283" s="1">
        <v>2282</v>
      </c>
      <c r="B2283" s="1">
        <v>102071200</v>
      </c>
      <c r="C2283" s="1">
        <f t="shared" si="144"/>
        <v>106</v>
      </c>
      <c r="D2283" s="5">
        <f ca="1">IF(getQuality(B2283)&lt;4,getOtherMin(B2283,C2283,INDIRECT(J$2),INDIRECT(I2283),test),getMin(B2283,C2283,INDIRECT(J$2),INDIRECT(I2283),test))</f>
        <v>0.12</v>
      </c>
      <c r="E2283" s="5">
        <f ca="1">IF(getQuality(B2283)&lt;4,getOtherMax(B2283,C2283,INDIRECT(J$2),INDIRECT(I2283),test),getMax(B2283,C2283,INDIRECT(J$2),INDIRECT(I2283),test))</f>
        <v>0.24</v>
      </c>
      <c r="F2283" s="1" t="str">
        <f t="shared" si="142"/>
        <v>50</v>
      </c>
      <c r="G2283" s="1" t="str">
        <f t="shared" si="143"/>
        <v/>
      </c>
      <c r="I2283" s="1" t="str">
        <f t="shared" si="141"/>
        <v>威尔新数值1.06.xlsm!monsterDamage</v>
      </c>
    </row>
    <row r="2284" spans="1:9" x14ac:dyDescent="0.15">
      <c r="A2284" s="1">
        <v>2283</v>
      </c>
      <c r="B2284" s="1">
        <v>102071200</v>
      </c>
      <c r="C2284" s="1">
        <f t="shared" si="144"/>
        <v>107</v>
      </c>
      <c r="D2284" s="5">
        <f ca="1">IF(getQuality(B2284)&lt;4,getOtherMin(B2284,C2284,INDIRECT(J$2),INDIRECT(I2284),test),getMin(B2284,C2284,INDIRECT(J$2),INDIRECT(I2284),test))</f>
        <v>0.12</v>
      </c>
      <c r="E2284" s="5">
        <f ca="1">IF(getQuality(B2284)&lt;4,getOtherMax(B2284,C2284,INDIRECT(J$2),INDIRECT(I2284),test),getMax(B2284,C2284,INDIRECT(J$2),INDIRECT(I2284),test))</f>
        <v>0.24</v>
      </c>
      <c r="F2284" s="1" t="str">
        <f t="shared" si="142"/>
        <v>50</v>
      </c>
      <c r="G2284" s="1" t="str">
        <f t="shared" si="143"/>
        <v/>
      </c>
      <c r="I2284" s="1" t="str">
        <f t="shared" si="141"/>
        <v>威尔新数值1.06.xlsm!monsterDamage</v>
      </c>
    </row>
    <row r="2285" spans="1:9" x14ac:dyDescent="0.15">
      <c r="A2285" s="1">
        <v>2284</v>
      </c>
      <c r="B2285" s="1">
        <v>102071200</v>
      </c>
      <c r="C2285" s="1">
        <f t="shared" si="144"/>
        <v>108</v>
      </c>
      <c r="D2285" s="5">
        <f ca="1">IF(getQuality(B2285)&lt;4,getOtherMin(B2285,C2285,INDIRECT(J$2),INDIRECT(I2285),test),getMin(B2285,C2285,INDIRECT(J$2),INDIRECT(I2285),test))</f>
        <v>0.12</v>
      </c>
      <c r="E2285" s="5">
        <f ca="1">IF(getQuality(B2285)&lt;4,getOtherMax(B2285,C2285,INDIRECT(J$2),INDIRECT(I2285),test),getMax(B2285,C2285,INDIRECT(J$2),INDIRECT(I2285),test))</f>
        <v>0.24</v>
      </c>
      <c r="F2285" s="1" t="str">
        <f t="shared" si="142"/>
        <v>50</v>
      </c>
      <c r="G2285" s="1" t="str">
        <f t="shared" si="143"/>
        <v/>
      </c>
      <c r="I2285" s="1" t="str">
        <f t="shared" si="141"/>
        <v>威尔新数值1.06.xlsm!monsterDamage</v>
      </c>
    </row>
    <row r="2286" spans="1:9" x14ac:dyDescent="0.15">
      <c r="A2286" s="1">
        <v>2285</v>
      </c>
      <c r="B2286" s="1">
        <v>102081200</v>
      </c>
      <c r="C2286" s="1">
        <f t="shared" si="144"/>
        <v>3</v>
      </c>
      <c r="D2286" s="5">
        <f ca="1">IF(getQuality(B2286)&lt;4,getOtherMin(B2286,C2286,INDIRECT(J$2),INDIRECT(I2286),test),getMin(B2286,C2286,INDIRECT(J$2),INDIRECT(I2286),test))</f>
        <v>237.63369570586491</v>
      </c>
      <c r="E2286" s="5">
        <f ca="1">IF(getQuality(B2286)&lt;4,getOtherMax(B2286,C2286,INDIRECT(J$2),INDIRECT(I2286),test),getMax(B2286,C2286,INDIRECT(J$2),INDIRECT(I2286),test))</f>
        <v>287.24542239033156</v>
      </c>
      <c r="F2286" s="1" t="str">
        <f t="shared" si="142"/>
        <v>50</v>
      </c>
      <c r="G2286" s="1" t="str">
        <f t="shared" si="143"/>
        <v>1</v>
      </c>
      <c r="I2286" s="1" t="str">
        <f t="shared" si="141"/>
        <v>威尔新数值1.06.xlsm!suitPower</v>
      </c>
    </row>
    <row r="2287" spans="1:9" x14ac:dyDescent="0.15">
      <c r="A2287" s="1">
        <v>2286</v>
      </c>
      <c r="B2287" s="1">
        <v>102081200</v>
      </c>
      <c r="C2287" s="1">
        <f t="shared" si="144"/>
        <v>5</v>
      </c>
      <c r="D2287" s="5">
        <f ca="1">IF(getQuality(B2287)&lt;4,getOtherMin(B2287,C2287,INDIRECT(J$2),INDIRECT(I2287),test),getMin(B2287,C2287,INDIRECT(J$2),INDIRECT(I2287),test))</f>
        <v>237.63369570586491</v>
      </c>
      <c r="E2287" s="5">
        <f ca="1">IF(getQuality(B2287)&lt;4,getOtherMax(B2287,C2287,INDIRECT(J$2),INDIRECT(I2287),test),getMax(B2287,C2287,INDIRECT(J$2),INDIRECT(I2287),test))</f>
        <v>287.24542239033156</v>
      </c>
      <c r="F2287" s="1" t="str">
        <f t="shared" si="142"/>
        <v>50</v>
      </c>
      <c r="G2287" s="1" t="str">
        <f t="shared" si="143"/>
        <v/>
      </c>
      <c r="I2287" s="1" t="str">
        <f t="shared" si="141"/>
        <v>威尔新数值1.06.xlsm!suitPower</v>
      </c>
    </row>
    <row r="2288" spans="1:9" x14ac:dyDescent="0.15">
      <c r="A2288" s="1">
        <v>2287</v>
      </c>
      <c r="B2288" s="1">
        <v>102081200</v>
      </c>
      <c r="C2288" s="1">
        <f t="shared" si="144"/>
        <v>7</v>
      </c>
      <c r="D2288" s="5">
        <f ca="1">IF(getQuality(B2288)&lt;4,getOtherMin(B2288,C2288,INDIRECT(J$2),INDIRECT(I2288),test),getMin(B2288,C2288,INDIRECT(J$2),INDIRECT(I2288),test))</f>
        <v>46.370370370370253</v>
      </c>
      <c r="E2288" s="5">
        <f ca="1">IF(getQuality(B2288)&lt;4,getOtherMax(B2288,C2288,INDIRECT(J$2),INDIRECT(I2288),test),getMax(B2288,C2288,INDIRECT(J$2),INDIRECT(I2288),test))</f>
        <v>51.85185185185172</v>
      </c>
      <c r="F2288" s="1" t="str">
        <f t="shared" si="142"/>
        <v>50</v>
      </c>
      <c r="G2288" s="1" t="str">
        <f t="shared" si="143"/>
        <v/>
      </c>
      <c r="I2288" s="1" t="str">
        <f t="shared" si="141"/>
        <v>威尔新数值1.06.xlsm!suitPower</v>
      </c>
    </row>
    <row r="2289" spans="1:9" x14ac:dyDescent="0.15">
      <c r="A2289" s="1">
        <v>2288</v>
      </c>
      <c r="B2289" s="1">
        <v>102081200</v>
      </c>
      <c r="C2289" s="1">
        <f t="shared" si="144"/>
        <v>8</v>
      </c>
      <c r="D2289" s="5">
        <f ca="1">IF(getQuality(B2289)&lt;4,getOtherMin(B2289,C2289,INDIRECT(J$2),INDIRECT(I2289),test),getMin(B2289,C2289,INDIRECT(J$2),INDIRECT(I2289),test))</f>
        <v>103.08333333333333</v>
      </c>
      <c r="E2289" s="5">
        <f ca="1">IF(getQuality(B2289)&lt;4,getOtherMax(B2289,C2289,INDIRECT(J$2),INDIRECT(I2289),test),getMax(B2289,C2289,INDIRECT(J$2),INDIRECT(I2289),test))</f>
        <v>116.66666666666667</v>
      </c>
      <c r="F2289" s="1" t="str">
        <f t="shared" si="142"/>
        <v>50</v>
      </c>
      <c r="G2289" s="1" t="str">
        <f t="shared" si="143"/>
        <v/>
      </c>
      <c r="I2289" s="1" t="str">
        <f t="shared" si="141"/>
        <v>威尔新数值1.06.xlsm!suitPower</v>
      </c>
    </row>
    <row r="2290" spans="1:9" x14ac:dyDescent="0.15">
      <c r="A2290" s="1">
        <v>2289</v>
      </c>
      <c r="B2290" s="1">
        <v>102081200</v>
      </c>
      <c r="C2290" s="1">
        <f t="shared" si="144"/>
        <v>9</v>
      </c>
      <c r="D2290" s="5">
        <f ca="1">IF(getQuality(B2290)&lt;4,getOtherMin(B2290,C2290,INDIRECT(J$2),INDIRECT(I2290),test),getMin(B2290,C2290,INDIRECT(J$2),INDIRECT(I2290),test))</f>
        <v>237.63369570586491</v>
      </c>
      <c r="E2290" s="5">
        <f ca="1">IF(getQuality(B2290)&lt;4,getOtherMax(B2290,C2290,INDIRECT(J$2),INDIRECT(I2290),test),getMax(B2290,C2290,INDIRECT(J$2),INDIRECT(I2290),test))</f>
        <v>287.24542239033156</v>
      </c>
      <c r="F2290" s="1" t="str">
        <f t="shared" si="142"/>
        <v>50</v>
      </c>
      <c r="G2290" s="1" t="str">
        <f t="shared" si="143"/>
        <v/>
      </c>
      <c r="I2290" s="1" t="str">
        <f t="shared" si="141"/>
        <v>威尔新数值1.06.xlsm!suitPower</v>
      </c>
    </row>
    <row r="2291" spans="1:9" x14ac:dyDescent="0.15">
      <c r="A2291" s="1">
        <v>2290</v>
      </c>
      <c r="B2291" s="1">
        <v>102081200</v>
      </c>
      <c r="C2291" s="1">
        <f t="shared" si="144"/>
        <v>10</v>
      </c>
      <c r="D2291" s="5">
        <f ca="1">IF(getQuality(B2291)&lt;4,getOtherMin(B2291,C2291,INDIRECT(J$2),INDIRECT(I2291),test),getMin(B2291,C2291,INDIRECT(J$2),INDIRECT(I2291),test))</f>
        <v>237.63369570586491</v>
      </c>
      <c r="E2291" s="5">
        <f ca="1">IF(getQuality(B2291)&lt;4,getOtherMax(B2291,C2291,INDIRECT(J$2),INDIRECT(I2291),test),getMax(B2291,C2291,INDIRECT(J$2),INDIRECT(I2291),test))</f>
        <v>287.24542239033156</v>
      </c>
      <c r="F2291" s="1" t="str">
        <f t="shared" si="142"/>
        <v>50</v>
      </c>
      <c r="G2291" s="1" t="str">
        <f t="shared" si="143"/>
        <v/>
      </c>
      <c r="I2291" s="1" t="str">
        <f t="shared" si="141"/>
        <v>威尔新数值1.06.xlsm!suitPower</v>
      </c>
    </row>
    <row r="2292" spans="1:9" x14ac:dyDescent="0.15">
      <c r="A2292" s="1">
        <v>2291</v>
      </c>
      <c r="B2292" s="1">
        <v>102081200</v>
      </c>
      <c r="C2292" s="1">
        <f t="shared" si="144"/>
        <v>11</v>
      </c>
      <c r="D2292" s="5">
        <f ca="1">IF(getQuality(B2292)&lt;4,getOtherMin(B2292,C2292,INDIRECT(J$2),INDIRECT(I2292),test),getMin(B2292,C2292,INDIRECT(J$2),INDIRECT(I2292),test))</f>
        <v>237.63369570586491</v>
      </c>
      <c r="E2292" s="5">
        <f ca="1">IF(getQuality(B2292)&lt;4,getOtherMax(B2292,C2292,INDIRECT(J$2),INDIRECT(I2292),test),getMax(B2292,C2292,INDIRECT(J$2),INDIRECT(I2292),test))</f>
        <v>287.24542239033156</v>
      </c>
      <c r="F2292" s="1" t="str">
        <f t="shared" si="142"/>
        <v>50</v>
      </c>
      <c r="G2292" s="1" t="str">
        <f t="shared" si="143"/>
        <v/>
      </c>
      <c r="I2292" s="1" t="str">
        <f t="shared" si="141"/>
        <v>威尔新数值1.06.xlsm!suitPower</v>
      </c>
    </row>
    <row r="2293" spans="1:9" x14ac:dyDescent="0.15">
      <c r="A2293" s="1">
        <v>2292</v>
      </c>
      <c r="B2293" s="1">
        <v>102081200</v>
      </c>
      <c r="C2293" s="1">
        <f t="shared" si="144"/>
        <v>12</v>
      </c>
      <c r="D2293" s="5">
        <f ca="1">IF(getQuality(B2293)&lt;4,getOtherMin(B2293,C2293,INDIRECT(J$2),INDIRECT(I2293),test),getMin(B2293,C2293,INDIRECT(J$2),INDIRECT(I2293),test))</f>
        <v>237.63369570586491</v>
      </c>
      <c r="E2293" s="5">
        <f ca="1">IF(getQuality(B2293)&lt;4,getOtherMax(B2293,C2293,INDIRECT(J$2),INDIRECT(I2293),test),getMax(B2293,C2293,INDIRECT(J$2),INDIRECT(I2293),test))</f>
        <v>287.24542239033156</v>
      </c>
      <c r="F2293" s="1" t="str">
        <f t="shared" si="142"/>
        <v>50</v>
      </c>
      <c r="G2293" s="1" t="str">
        <f t="shared" si="143"/>
        <v/>
      </c>
      <c r="I2293" s="1" t="str">
        <f t="shared" si="141"/>
        <v>威尔新数值1.06.xlsm!suitPower</v>
      </c>
    </row>
    <row r="2294" spans="1:9" x14ac:dyDescent="0.15">
      <c r="A2294" s="1">
        <v>2293</v>
      </c>
      <c r="B2294" s="1">
        <v>102081200</v>
      </c>
      <c r="C2294" s="1">
        <f t="shared" si="144"/>
        <v>13</v>
      </c>
      <c r="D2294" s="5">
        <f ca="1">IF(getQuality(B2294)&lt;4,getOtherMin(B2294,C2294,INDIRECT(J$2),INDIRECT(I2294),test),getMin(B2294,C2294,INDIRECT(J$2),INDIRECT(I2294),test))</f>
        <v>237.63369570586491</v>
      </c>
      <c r="E2294" s="5">
        <f ca="1">IF(getQuality(B2294)&lt;4,getOtherMax(B2294,C2294,INDIRECT(J$2),INDIRECT(I2294),test),getMax(B2294,C2294,INDIRECT(J$2),INDIRECT(I2294),test))</f>
        <v>287.24542239033156</v>
      </c>
      <c r="F2294" s="1" t="str">
        <f t="shared" si="142"/>
        <v>50</v>
      </c>
      <c r="G2294" s="1" t="str">
        <f t="shared" si="143"/>
        <v/>
      </c>
      <c r="I2294" s="1" t="str">
        <f t="shared" si="141"/>
        <v>威尔新数值1.06.xlsm!suitPower</v>
      </c>
    </row>
    <row r="2295" spans="1:9" x14ac:dyDescent="0.15">
      <c r="A2295" s="1">
        <v>2294</v>
      </c>
      <c r="B2295" s="1">
        <v>102081200</v>
      </c>
      <c r="C2295" s="1">
        <f t="shared" si="144"/>
        <v>14</v>
      </c>
      <c r="D2295" s="5">
        <f ca="1">IF(getQuality(B2295)&lt;4,getOtherMin(B2295,C2295,INDIRECT(J$2),INDIRECT(I2295),test),getMin(B2295,C2295,INDIRECT(J$2),INDIRECT(I2295),test))</f>
        <v>237.63369570586491</v>
      </c>
      <c r="E2295" s="5">
        <f ca="1">IF(getQuality(B2295)&lt;4,getOtherMax(B2295,C2295,INDIRECT(J$2),INDIRECT(I2295),test),getMax(B2295,C2295,INDIRECT(J$2),INDIRECT(I2295),test))</f>
        <v>287.24542239033156</v>
      </c>
      <c r="F2295" s="1" t="str">
        <f t="shared" si="142"/>
        <v>50</v>
      </c>
      <c r="G2295" s="1" t="str">
        <f t="shared" si="143"/>
        <v/>
      </c>
      <c r="I2295" s="1" t="str">
        <f t="shared" si="141"/>
        <v>威尔新数值1.06.xlsm!suitPower</v>
      </c>
    </row>
    <row r="2296" spans="1:9" x14ac:dyDescent="0.15">
      <c r="A2296" s="1">
        <v>2295</v>
      </c>
      <c r="B2296" s="1">
        <v>102081200</v>
      </c>
      <c r="C2296" s="1">
        <f t="shared" si="144"/>
        <v>15</v>
      </c>
      <c r="D2296" s="5">
        <f ca="1">IF(getQuality(B2296)&lt;4,getOtherMin(B2296,C2296,INDIRECT(J$2),INDIRECT(I2296),test),getMin(B2296,C2296,INDIRECT(J$2),INDIRECT(I2296),test))</f>
        <v>237.63369570586491</v>
      </c>
      <c r="E2296" s="5">
        <f ca="1">IF(getQuality(B2296)&lt;4,getOtherMax(B2296,C2296,INDIRECT(J$2),INDIRECT(I2296),test),getMax(B2296,C2296,INDIRECT(J$2),INDIRECT(I2296),test))</f>
        <v>287.24542239033156</v>
      </c>
      <c r="F2296" s="1" t="str">
        <f t="shared" si="142"/>
        <v>50</v>
      </c>
      <c r="G2296" s="1" t="str">
        <f t="shared" si="143"/>
        <v/>
      </c>
      <c r="I2296" s="1" t="str">
        <f t="shared" si="141"/>
        <v>威尔新数值1.06.xlsm!suitPower</v>
      </c>
    </row>
    <row r="2297" spans="1:9" x14ac:dyDescent="0.15">
      <c r="A2297" s="1">
        <v>2296</v>
      </c>
      <c r="B2297" s="1">
        <v>102081200</v>
      </c>
      <c r="C2297" s="1">
        <f t="shared" si="144"/>
        <v>101</v>
      </c>
      <c r="D2297" s="5">
        <f ca="1">IF(getQuality(B2297)&lt;4,getOtherMin(B2297,C2297,INDIRECT(J$2),INDIRECT(I2297),test),getMin(B2297,C2297,INDIRECT(J$2),INDIRECT(I2297),test))</f>
        <v>0.13</v>
      </c>
      <c r="E2297" s="5">
        <f ca="1">IF(getQuality(B2297)&lt;4,getOtherMax(B2297,C2297,INDIRECT(J$2),INDIRECT(I2297),test),getMax(B2297,C2297,INDIRECT(J$2),INDIRECT(I2297),test))</f>
        <v>0.16</v>
      </c>
      <c r="F2297" s="1" t="str">
        <f t="shared" si="142"/>
        <v>50</v>
      </c>
      <c r="G2297" s="1" t="str">
        <f t="shared" si="143"/>
        <v/>
      </c>
      <c r="I2297" s="1" t="str">
        <f t="shared" si="141"/>
        <v>威尔新数值1.06.xlsm!circlePer</v>
      </c>
    </row>
    <row r="2298" spans="1:9" x14ac:dyDescent="0.15">
      <c r="A2298" s="1">
        <v>2297</v>
      </c>
      <c r="B2298" s="1">
        <v>102081200</v>
      </c>
      <c r="C2298" s="1">
        <f t="shared" si="144"/>
        <v>102</v>
      </c>
      <c r="D2298" s="5">
        <f ca="1">IF(getQuality(B2298)&lt;4,getOtherMin(B2298,C2298,INDIRECT(J$2),INDIRECT(I2298),test),getMin(B2298,C2298,INDIRECT(J$2),INDIRECT(I2298),test))</f>
        <v>1.1000000000000001</v>
      </c>
      <c r="E2298" s="5">
        <f ca="1">IF(getQuality(B2298)&lt;4,getOtherMax(B2298,C2298,INDIRECT(J$2),INDIRECT(I2298),test),getMax(B2298,C2298,INDIRECT(J$2),INDIRECT(I2298),test))</f>
        <v>1.5</v>
      </c>
      <c r="F2298" s="1" t="str">
        <f t="shared" si="142"/>
        <v>50</v>
      </c>
      <c r="G2298" s="1" t="str">
        <f t="shared" si="143"/>
        <v/>
      </c>
      <c r="I2298" s="1" t="str">
        <f t="shared" si="141"/>
        <v>威尔新数值1.06.xlsm!circleValue</v>
      </c>
    </row>
    <row r="2299" spans="1:9" x14ac:dyDescent="0.15">
      <c r="A2299" s="1">
        <v>2298</v>
      </c>
      <c r="B2299" s="1">
        <v>102081200</v>
      </c>
      <c r="C2299" s="1">
        <f t="shared" si="144"/>
        <v>103</v>
      </c>
      <c r="D2299" s="5">
        <f ca="1">IF(getQuality(B2299)&lt;4,getOtherMin(B2299,C2299,INDIRECT(J$2),INDIRECT(I2299),test),getMin(B2299,C2299,INDIRECT(J$2),INDIRECT(I2299),test))</f>
        <v>0.13</v>
      </c>
      <c r="E2299" s="5">
        <f ca="1">IF(getQuality(B2299)&lt;4,getOtherMax(B2299,C2299,INDIRECT(J$2),INDIRECT(I2299),test),getMax(B2299,C2299,INDIRECT(J$2),INDIRECT(I2299),test))</f>
        <v>0.16</v>
      </c>
      <c r="F2299" s="1" t="str">
        <f t="shared" si="142"/>
        <v>50</v>
      </c>
      <c r="G2299" s="1" t="str">
        <f t="shared" si="143"/>
        <v/>
      </c>
      <c r="I2299" s="1" t="str">
        <f t="shared" si="141"/>
        <v>威尔新数值1.06.xlsm!otherDamage</v>
      </c>
    </row>
    <row r="2300" spans="1:9" x14ac:dyDescent="0.15">
      <c r="A2300" s="1">
        <v>2299</v>
      </c>
      <c r="B2300" s="1">
        <v>102081200</v>
      </c>
      <c r="C2300" s="1">
        <f t="shared" si="144"/>
        <v>104</v>
      </c>
      <c r="D2300" s="5">
        <f ca="1">IF(getQuality(B2300)&lt;4,getOtherMin(B2300,C2300,INDIRECT(J$2),INDIRECT(I2300),test),getMin(B2300,C2300,INDIRECT(J$2),INDIRECT(I2300),test))</f>
        <v>0.13</v>
      </c>
      <c r="E2300" s="5">
        <f ca="1">IF(getQuality(B2300)&lt;4,getOtherMax(B2300,C2300,INDIRECT(J$2),INDIRECT(I2300),test),getMax(B2300,C2300,INDIRECT(J$2),INDIRECT(I2300),test))</f>
        <v>0.26</v>
      </c>
      <c r="F2300" s="1" t="str">
        <f t="shared" si="142"/>
        <v>50</v>
      </c>
      <c r="G2300" s="1" t="str">
        <f t="shared" si="143"/>
        <v/>
      </c>
      <c r="I2300" s="1" t="str">
        <f t="shared" si="141"/>
        <v>威尔新数值1.06.xlsm!monsterDamage</v>
      </c>
    </row>
    <row r="2301" spans="1:9" x14ac:dyDescent="0.15">
      <c r="A2301" s="1">
        <v>2300</v>
      </c>
      <c r="B2301" s="1">
        <v>102081200</v>
      </c>
      <c r="C2301" s="1">
        <f t="shared" si="144"/>
        <v>105</v>
      </c>
      <c r="D2301" s="5">
        <f ca="1">IF(getQuality(B2301)&lt;4,getOtherMin(B2301,C2301,INDIRECT(J$2),INDIRECT(I2301),test),getMin(B2301,C2301,INDIRECT(J$2),INDIRECT(I2301),test))</f>
        <v>0.13</v>
      </c>
      <c r="E2301" s="5">
        <f ca="1">IF(getQuality(B2301)&lt;4,getOtherMax(B2301,C2301,INDIRECT(J$2),INDIRECT(I2301),test),getMax(B2301,C2301,INDIRECT(J$2),INDIRECT(I2301),test))</f>
        <v>0.26</v>
      </c>
      <c r="F2301" s="1" t="str">
        <f t="shared" si="142"/>
        <v>50</v>
      </c>
      <c r="G2301" s="1" t="str">
        <f t="shared" si="143"/>
        <v/>
      </c>
      <c r="I2301" s="1" t="str">
        <f t="shared" si="141"/>
        <v>威尔新数值1.06.xlsm!monsterDamage</v>
      </c>
    </row>
    <row r="2302" spans="1:9" x14ac:dyDescent="0.15">
      <c r="A2302" s="1">
        <v>2301</v>
      </c>
      <c r="B2302" s="1">
        <v>102081200</v>
      </c>
      <c r="C2302" s="1">
        <f t="shared" si="144"/>
        <v>106</v>
      </c>
      <c r="D2302" s="5">
        <f ca="1">IF(getQuality(B2302)&lt;4,getOtherMin(B2302,C2302,INDIRECT(J$2),INDIRECT(I2302),test),getMin(B2302,C2302,INDIRECT(J$2),INDIRECT(I2302),test))</f>
        <v>0.13</v>
      </c>
      <c r="E2302" s="5">
        <f ca="1">IF(getQuality(B2302)&lt;4,getOtherMax(B2302,C2302,INDIRECT(J$2),INDIRECT(I2302),test),getMax(B2302,C2302,INDIRECT(J$2),INDIRECT(I2302),test))</f>
        <v>0.26</v>
      </c>
      <c r="F2302" s="1" t="str">
        <f t="shared" si="142"/>
        <v>50</v>
      </c>
      <c r="G2302" s="1" t="str">
        <f t="shared" si="143"/>
        <v/>
      </c>
      <c r="I2302" s="1" t="str">
        <f t="shared" si="141"/>
        <v>威尔新数值1.06.xlsm!monsterDamage</v>
      </c>
    </row>
    <row r="2303" spans="1:9" x14ac:dyDescent="0.15">
      <c r="A2303" s="1">
        <v>2302</v>
      </c>
      <c r="B2303" s="1">
        <v>102081200</v>
      </c>
      <c r="C2303" s="1">
        <f t="shared" si="144"/>
        <v>107</v>
      </c>
      <c r="D2303" s="5">
        <f ca="1">IF(getQuality(B2303)&lt;4,getOtherMin(B2303,C2303,INDIRECT(J$2),INDIRECT(I2303),test),getMin(B2303,C2303,INDIRECT(J$2),INDIRECT(I2303),test))</f>
        <v>0.13</v>
      </c>
      <c r="E2303" s="5">
        <f ca="1">IF(getQuality(B2303)&lt;4,getOtherMax(B2303,C2303,INDIRECT(J$2),INDIRECT(I2303),test),getMax(B2303,C2303,INDIRECT(J$2),INDIRECT(I2303),test))</f>
        <v>0.26</v>
      </c>
      <c r="F2303" s="1" t="str">
        <f t="shared" si="142"/>
        <v>50</v>
      </c>
      <c r="G2303" s="1" t="str">
        <f t="shared" si="143"/>
        <v/>
      </c>
      <c r="I2303" s="1" t="str">
        <f t="shared" si="141"/>
        <v>威尔新数值1.06.xlsm!monsterDamage</v>
      </c>
    </row>
    <row r="2304" spans="1:9" x14ac:dyDescent="0.15">
      <c r="A2304" s="1">
        <v>2303</v>
      </c>
      <c r="B2304" s="1">
        <v>102081200</v>
      </c>
      <c r="C2304" s="1">
        <f t="shared" si="144"/>
        <v>108</v>
      </c>
      <c r="D2304" s="5">
        <f ca="1">IF(getQuality(B2304)&lt;4,getOtherMin(B2304,C2304,INDIRECT(J$2),INDIRECT(I2304),test),getMin(B2304,C2304,INDIRECT(J$2),INDIRECT(I2304),test))</f>
        <v>0.13</v>
      </c>
      <c r="E2304" s="5">
        <f ca="1">IF(getQuality(B2304)&lt;4,getOtherMax(B2304,C2304,INDIRECT(J$2),INDIRECT(I2304),test),getMax(B2304,C2304,INDIRECT(J$2),INDIRECT(I2304),test))</f>
        <v>0.26</v>
      </c>
      <c r="F2304" s="1" t="str">
        <f t="shared" si="142"/>
        <v>50</v>
      </c>
      <c r="G2304" s="1" t="str">
        <f t="shared" si="143"/>
        <v/>
      </c>
      <c r="I2304" s="1" t="str">
        <f t="shared" si="141"/>
        <v>威尔新数值1.06.xlsm!monsterDamage</v>
      </c>
    </row>
    <row r="2305" spans="1:9" x14ac:dyDescent="0.15">
      <c r="A2305" s="1">
        <v>2304</v>
      </c>
      <c r="B2305" s="1">
        <v>102091200</v>
      </c>
      <c r="C2305" s="1">
        <f t="shared" si="144"/>
        <v>3</v>
      </c>
      <c r="D2305" s="5">
        <f ca="1">IF(getQuality(B2305)&lt;4,getOtherMin(B2305,C2305,INDIRECT(J$2),INDIRECT(I2305),test),getMin(B2305,C2305,INDIRECT(J$2),INDIRECT(I2305),test))</f>
        <v>288.24542239033156</v>
      </c>
      <c r="E2305" s="5">
        <f ca="1">IF(getQuality(B2305)&lt;4,getOtherMax(B2305,C2305,INDIRECT(J$2),INDIRECT(I2305),test),getMax(B2305,C2305,INDIRECT(J$2),INDIRECT(I2305),test))</f>
        <v>342.05887732784834</v>
      </c>
      <c r="F2305" s="1" t="str">
        <f t="shared" si="142"/>
        <v>50</v>
      </c>
      <c r="G2305" s="1" t="str">
        <f t="shared" si="143"/>
        <v>1</v>
      </c>
      <c r="I2305" s="1" t="str">
        <f t="shared" si="141"/>
        <v>威尔新数值1.06.xlsm!suitPower</v>
      </c>
    </row>
    <row r="2306" spans="1:9" x14ac:dyDescent="0.15">
      <c r="A2306" s="1">
        <v>2305</v>
      </c>
      <c r="B2306" s="1">
        <v>102091200</v>
      </c>
      <c r="C2306" s="1">
        <f t="shared" si="144"/>
        <v>5</v>
      </c>
      <c r="D2306" s="5">
        <f ca="1">IF(getQuality(B2306)&lt;4,getOtherMin(B2306,C2306,INDIRECT(J$2),INDIRECT(I2306),test),getMin(B2306,C2306,INDIRECT(J$2),INDIRECT(I2306),test))</f>
        <v>288.24542239033156</v>
      </c>
      <c r="E2306" s="5">
        <f ca="1">IF(getQuality(B2306)&lt;4,getOtherMax(B2306,C2306,INDIRECT(J$2),INDIRECT(I2306),test),getMax(B2306,C2306,INDIRECT(J$2),INDIRECT(I2306),test))</f>
        <v>342.05887732784834</v>
      </c>
      <c r="F2306" s="1" t="str">
        <f t="shared" si="142"/>
        <v>50</v>
      </c>
      <c r="G2306" s="1" t="str">
        <f t="shared" si="143"/>
        <v/>
      </c>
      <c r="I2306" s="1" t="str">
        <f t="shared" ref="I2306:I2369" si="145">IF(C2306&lt;100,VLOOKUP(C2306,test,3,FALSE),VLOOKUP(C2306,test1,3,FALSE))</f>
        <v>威尔新数值1.06.xlsm!suitPower</v>
      </c>
    </row>
    <row r="2307" spans="1:9" x14ac:dyDescent="0.15">
      <c r="A2307" s="1">
        <v>2306</v>
      </c>
      <c r="B2307" s="1">
        <v>102091200</v>
      </c>
      <c r="C2307" s="1">
        <f t="shared" si="144"/>
        <v>7</v>
      </c>
      <c r="D2307" s="5">
        <f ca="1">IF(getQuality(B2307)&lt;4,getOtherMin(B2307,C2307,INDIRECT(J$2),INDIRECT(I2307),test),getMin(B2307,C2307,INDIRECT(J$2),INDIRECT(I2307),test))</f>
        <v>52.85185185185172</v>
      </c>
      <c r="E2307" s="5">
        <f ca="1">IF(getQuality(B2307)&lt;4,getOtherMax(B2307,C2307,INDIRECT(J$2),INDIRECT(I2307),test),getMax(B2307,C2307,INDIRECT(J$2),INDIRECT(I2307),test))</f>
        <v>58.333333333333186</v>
      </c>
      <c r="F2307" s="1" t="str">
        <f t="shared" ref="F2307:F2370" si="146">getper(B2307,C2307)</f>
        <v>50</v>
      </c>
      <c r="G2307" s="1" t="str">
        <f t="shared" ref="G2307:G2370" si="147">getMust(B2307,C2307)</f>
        <v/>
      </c>
      <c r="I2307" s="1" t="str">
        <f t="shared" si="145"/>
        <v>威尔新数值1.06.xlsm!suitPower</v>
      </c>
    </row>
    <row r="2308" spans="1:9" x14ac:dyDescent="0.15">
      <c r="A2308" s="1">
        <v>2307</v>
      </c>
      <c r="B2308" s="1">
        <v>102091200</v>
      </c>
      <c r="C2308" s="1">
        <f t="shared" si="144"/>
        <v>8</v>
      </c>
      <c r="D2308" s="5">
        <f ca="1">IF(getQuality(B2308)&lt;4,getOtherMin(B2308,C2308,INDIRECT(J$2),INDIRECT(I2308),test),getMin(B2308,C2308,INDIRECT(J$2),INDIRECT(I2308),test))</f>
        <v>117.66666666666667</v>
      </c>
      <c r="E2308" s="5">
        <f ca="1">IF(getQuality(B2308)&lt;4,getOtherMax(B2308,C2308,INDIRECT(J$2),INDIRECT(I2308),test),getMax(B2308,C2308,INDIRECT(J$2),INDIRECT(I2308),test))</f>
        <v>131.25</v>
      </c>
      <c r="F2308" s="1" t="str">
        <f t="shared" si="146"/>
        <v>50</v>
      </c>
      <c r="G2308" s="1" t="str">
        <f t="shared" si="147"/>
        <v/>
      </c>
      <c r="I2308" s="1" t="str">
        <f t="shared" si="145"/>
        <v>威尔新数值1.06.xlsm!suitPower</v>
      </c>
    </row>
    <row r="2309" spans="1:9" x14ac:dyDescent="0.15">
      <c r="A2309" s="1">
        <v>2308</v>
      </c>
      <c r="B2309" s="1">
        <v>102091200</v>
      </c>
      <c r="C2309" s="1">
        <f t="shared" si="144"/>
        <v>9</v>
      </c>
      <c r="D2309" s="5">
        <f ca="1">IF(getQuality(B2309)&lt;4,getOtherMin(B2309,C2309,INDIRECT(J$2),INDIRECT(I2309),test),getMin(B2309,C2309,INDIRECT(J$2),INDIRECT(I2309),test))</f>
        <v>288.24542239033156</v>
      </c>
      <c r="E2309" s="5">
        <f ca="1">IF(getQuality(B2309)&lt;4,getOtherMax(B2309,C2309,INDIRECT(J$2),INDIRECT(I2309),test),getMax(B2309,C2309,INDIRECT(J$2),INDIRECT(I2309),test))</f>
        <v>342.05887732784834</v>
      </c>
      <c r="F2309" s="1" t="str">
        <f t="shared" si="146"/>
        <v>50</v>
      </c>
      <c r="G2309" s="1" t="str">
        <f t="shared" si="147"/>
        <v/>
      </c>
      <c r="I2309" s="1" t="str">
        <f t="shared" si="145"/>
        <v>威尔新数值1.06.xlsm!suitPower</v>
      </c>
    </row>
    <row r="2310" spans="1:9" x14ac:dyDescent="0.15">
      <c r="A2310" s="1">
        <v>2309</v>
      </c>
      <c r="B2310" s="1">
        <v>102091200</v>
      </c>
      <c r="C2310" s="1">
        <f t="shared" si="144"/>
        <v>10</v>
      </c>
      <c r="D2310" s="5">
        <f ca="1">IF(getQuality(B2310)&lt;4,getOtherMin(B2310,C2310,INDIRECT(J$2),INDIRECT(I2310),test),getMin(B2310,C2310,INDIRECT(J$2),INDIRECT(I2310),test))</f>
        <v>288.24542239033156</v>
      </c>
      <c r="E2310" s="5">
        <f ca="1">IF(getQuality(B2310)&lt;4,getOtherMax(B2310,C2310,INDIRECT(J$2),INDIRECT(I2310),test),getMax(B2310,C2310,INDIRECT(J$2),INDIRECT(I2310),test))</f>
        <v>342.05887732784834</v>
      </c>
      <c r="F2310" s="1" t="str">
        <f t="shared" si="146"/>
        <v>50</v>
      </c>
      <c r="G2310" s="1" t="str">
        <f t="shared" si="147"/>
        <v/>
      </c>
      <c r="I2310" s="1" t="str">
        <f t="shared" si="145"/>
        <v>威尔新数值1.06.xlsm!suitPower</v>
      </c>
    </row>
    <row r="2311" spans="1:9" x14ac:dyDescent="0.15">
      <c r="A2311" s="1">
        <v>2310</v>
      </c>
      <c r="B2311" s="1">
        <v>102091200</v>
      </c>
      <c r="C2311" s="1">
        <f t="shared" si="144"/>
        <v>11</v>
      </c>
      <c r="D2311" s="5">
        <f ca="1">IF(getQuality(B2311)&lt;4,getOtherMin(B2311,C2311,INDIRECT(J$2),INDIRECT(I2311),test),getMin(B2311,C2311,INDIRECT(J$2),INDIRECT(I2311),test))</f>
        <v>288.24542239033156</v>
      </c>
      <c r="E2311" s="5">
        <f ca="1">IF(getQuality(B2311)&lt;4,getOtherMax(B2311,C2311,INDIRECT(J$2),INDIRECT(I2311),test),getMax(B2311,C2311,INDIRECT(J$2),INDIRECT(I2311),test))</f>
        <v>342.05887732784834</v>
      </c>
      <c r="F2311" s="1" t="str">
        <f t="shared" si="146"/>
        <v>50</v>
      </c>
      <c r="G2311" s="1" t="str">
        <f t="shared" si="147"/>
        <v/>
      </c>
      <c r="I2311" s="1" t="str">
        <f t="shared" si="145"/>
        <v>威尔新数值1.06.xlsm!suitPower</v>
      </c>
    </row>
    <row r="2312" spans="1:9" x14ac:dyDescent="0.15">
      <c r="A2312" s="1">
        <v>2311</v>
      </c>
      <c r="B2312" s="1">
        <v>102091200</v>
      </c>
      <c r="C2312" s="1">
        <f t="shared" si="144"/>
        <v>12</v>
      </c>
      <c r="D2312" s="5">
        <f ca="1">IF(getQuality(B2312)&lt;4,getOtherMin(B2312,C2312,INDIRECT(J$2),INDIRECT(I2312),test),getMin(B2312,C2312,INDIRECT(J$2),INDIRECT(I2312),test))</f>
        <v>288.24542239033156</v>
      </c>
      <c r="E2312" s="5">
        <f ca="1">IF(getQuality(B2312)&lt;4,getOtherMax(B2312,C2312,INDIRECT(J$2),INDIRECT(I2312),test),getMax(B2312,C2312,INDIRECT(J$2),INDIRECT(I2312),test))</f>
        <v>342.05887732784834</v>
      </c>
      <c r="F2312" s="1" t="str">
        <f t="shared" si="146"/>
        <v>50</v>
      </c>
      <c r="G2312" s="1" t="str">
        <f t="shared" si="147"/>
        <v/>
      </c>
      <c r="I2312" s="1" t="str">
        <f t="shared" si="145"/>
        <v>威尔新数值1.06.xlsm!suitPower</v>
      </c>
    </row>
    <row r="2313" spans="1:9" x14ac:dyDescent="0.15">
      <c r="A2313" s="1">
        <v>2312</v>
      </c>
      <c r="B2313" s="1">
        <v>102091200</v>
      </c>
      <c r="C2313" s="1">
        <f t="shared" si="144"/>
        <v>13</v>
      </c>
      <c r="D2313" s="5">
        <f ca="1">IF(getQuality(B2313)&lt;4,getOtherMin(B2313,C2313,INDIRECT(J$2),INDIRECT(I2313),test),getMin(B2313,C2313,INDIRECT(J$2),INDIRECT(I2313),test))</f>
        <v>288.24542239033156</v>
      </c>
      <c r="E2313" s="5">
        <f ca="1">IF(getQuality(B2313)&lt;4,getOtherMax(B2313,C2313,INDIRECT(J$2),INDIRECT(I2313),test),getMax(B2313,C2313,INDIRECT(J$2),INDIRECT(I2313),test))</f>
        <v>342.05887732784834</v>
      </c>
      <c r="F2313" s="1" t="str">
        <f t="shared" si="146"/>
        <v>50</v>
      </c>
      <c r="G2313" s="1" t="str">
        <f t="shared" si="147"/>
        <v/>
      </c>
      <c r="I2313" s="1" t="str">
        <f t="shared" si="145"/>
        <v>威尔新数值1.06.xlsm!suitPower</v>
      </c>
    </row>
    <row r="2314" spans="1:9" x14ac:dyDescent="0.15">
      <c r="A2314" s="1">
        <v>2313</v>
      </c>
      <c r="B2314" s="1">
        <v>102091200</v>
      </c>
      <c r="C2314" s="1">
        <f t="shared" si="144"/>
        <v>14</v>
      </c>
      <c r="D2314" s="5">
        <f ca="1">IF(getQuality(B2314)&lt;4,getOtherMin(B2314,C2314,INDIRECT(J$2),INDIRECT(I2314),test),getMin(B2314,C2314,INDIRECT(J$2),INDIRECT(I2314),test))</f>
        <v>288.24542239033156</v>
      </c>
      <c r="E2314" s="5">
        <f ca="1">IF(getQuality(B2314)&lt;4,getOtherMax(B2314,C2314,INDIRECT(J$2),INDIRECT(I2314),test),getMax(B2314,C2314,INDIRECT(J$2),INDIRECT(I2314),test))</f>
        <v>342.05887732784834</v>
      </c>
      <c r="F2314" s="1" t="str">
        <f t="shared" si="146"/>
        <v>50</v>
      </c>
      <c r="G2314" s="1" t="str">
        <f t="shared" si="147"/>
        <v/>
      </c>
      <c r="I2314" s="1" t="str">
        <f t="shared" si="145"/>
        <v>威尔新数值1.06.xlsm!suitPower</v>
      </c>
    </row>
    <row r="2315" spans="1:9" x14ac:dyDescent="0.15">
      <c r="A2315" s="1">
        <v>2314</v>
      </c>
      <c r="B2315" s="1">
        <v>102091200</v>
      </c>
      <c r="C2315" s="1">
        <f t="shared" si="144"/>
        <v>15</v>
      </c>
      <c r="D2315" s="5">
        <f ca="1">IF(getQuality(B2315)&lt;4,getOtherMin(B2315,C2315,INDIRECT(J$2),INDIRECT(I2315),test),getMin(B2315,C2315,INDIRECT(J$2),INDIRECT(I2315),test))</f>
        <v>288.24542239033156</v>
      </c>
      <c r="E2315" s="5">
        <f ca="1">IF(getQuality(B2315)&lt;4,getOtherMax(B2315,C2315,INDIRECT(J$2),INDIRECT(I2315),test),getMax(B2315,C2315,INDIRECT(J$2),INDIRECT(I2315),test))</f>
        <v>342.05887732784834</v>
      </c>
      <c r="F2315" s="1" t="str">
        <f t="shared" si="146"/>
        <v>50</v>
      </c>
      <c r="G2315" s="1" t="str">
        <f t="shared" si="147"/>
        <v/>
      </c>
      <c r="I2315" s="1" t="str">
        <f t="shared" si="145"/>
        <v>威尔新数值1.06.xlsm!suitPower</v>
      </c>
    </row>
    <row r="2316" spans="1:9" x14ac:dyDescent="0.15">
      <c r="A2316" s="1">
        <v>2315</v>
      </c>
      <c r="B2316" s="1">
        <v>102091200</v>
      </c>
      <c r="C2316" s="1">
        <f t="shared" si="144"/>
        <v>101</v>
      </c>
      <c r="D2316" s="5">
        <f ca="1">IF(getQuality(B2316)&lt;4,getOtherMin(B2316,C2316,INDIRECT(J$2),INDIRECT(I2316),test),getMin(B2316,C2316,INDIRECT(J$2),INDIRECT(I2316),test))</f>
        <v>0.14000000000000001</v>
      </c>
      <c r="E2316" s="5">
        <f ca="1">IF(getQuality(B2316)&lt;4,getOtherMax(B2316,C2316,INDIRECT(J$2),INDIRECT(I2316),test),getMax(B2316,C2316,INDIRECT(J$2),INDIRECT(I2316),test))</f>
        <v>0.17</v>
      </c>
      <c r="F2316" s="1" t="str">
        <f t="shared" si="146"/>
        <v>50</v>
      </c>
      <c r="G2316" s="1" t="str">
        <f t="shared" si="147"/>
        <v/>
      </c>
      <c r="I2316" s="1" t="str">
        <f t="shared" si="145"/>
        <v>威尔新数值1.06.xlsm!circlePer</v>
      </c>
    </row>
    <row r="2317" spans="1:9" x14ac:dyDescent="0.15">
      <c r="A2317" s="1">
        <v>2316</v>
      </c>
      <c r="B2317" s="1">
        <v>102091200</v>
      </c>
      <c r="C2317" s="1">
        <f t="shared" si="144"/>
        <v>102</v>
      </c>
      <c r="D2317" s="5">
        <f ca="1">IF(getQuality(B2317)&lt;4,getOtherMin(B2317,C2317,INDIRECT(J$2),INDIRECT(I2317),test),getMin(B2317,C2317,INDIRECT(J$2),INDIRECT(I2317),test))</f>
        <v>1.2</v>
      </c>
      <c r="E2317" s="5">
        <f ca="1">IF(getQuality(B2317)&lt;4,getOtherMax(B2317,C2317,INDIRECT(J$2),INDIRECT(I2317),test),getMax(B2317,C2317,INDIRECT(J$2),INDIRECT(I2317),test))</f>
        <v>1.6</v>
      </c>
      <c r="F2317" s="1" t="str">
        <f t="shared" si="146"/>
        <v>50</v>
      </c>
      <c r="G2317" s="1" t="str">
        <f t="shared" si="147"/>
        <v/>
      </c>
      <c r="I2317" s="1" t="str">
        <f t="shared" si="145"/>
        <v>威尔新数值1.06.xlsm!circleValue</v>
      </c>
    </row>
    <row r="2318" spans="1:9" x14ac:dyDescent="0.15">
      <c r="A2318" s="1">
        <v>2317</v>
      </c>
      <c r="B2318" s="1">
        <v>102091200</v>
      </c>
      <c r="C2318" s="1">
        <f t="shared" si="144"/>
        <v>103</v>
      </c>
      <c r="D2318" s="5">
        <f ca="1">IF(getQuality(B2318)&lt;4,getOtherMin(B2318,C2318,INDIRECT(J$2),INDIRECT(I2318),test),getMin(B2318,C2318,INDIRECT(J$2),INDIRECT(I2318),test))</f>
        <v>0.14000000000000001</v>
      </c>
      <c r="E2318" s="5">
        <f ca="1">IF(getQuality(B2318)&lt;4,getOtherMax(B2318,C2318,INDIRECT(J$2),INDIRECT(I2318),test),getMax(B2318,C2318,INDIRECT(J$2),INDIRECT(I2318),test))</f>
        <v>0.17</v>
      </c>
      <c r="F2318" s="1" t="str">
        <f t="shared" si="146"/>
        <v>50</v>
      </c>
      <c r="G2318" s="1" t="str">
        <f t="shared" si="147"/>
        <v/>
      </c>
      <c r="I2318" s="1" t="str">
        <f t="shared" si="145"/>
        <v>威尔新数值1.06.xlsm!otherDamage</v>
      </c>
    </row>
    <row r="2319" spans="1:9" x14ac:dyDescent="0.15">
      <c r="A2319" s="1">
        <v>2318</v>
      </c>
      <c r="B2319" s="1">
        <v>102091200</v>
      </c>
      <c r="C2319" s="1">
        <f t="shared" si="144"/>
        <v>104</v>
      </c>
      <c r="D2319" s="5">
        <f ca="1">IF(getQuality(B2319)&lt;4,getOtherMin(B2319,C2319,INDIRECT(J$2),INDIRECT(I2319),test),getMin(B2319,C2319,INDIRECT(J$2),INDIRECT(I2319),test))</f>
        <v>0.14000000000000001</v>
      </c>
      <c r="E2319" s="5">
        <f ca="1">IF(getQuality(B2319)&lt;4,getOtherMax(B2319,C2319,INDIRECT(J$2),INDIRECT(I2319),test),getMax(B2319,C2319,INDIRECT(J$2),INDIRECT(I2319),test))</f>
        <v>0.28000000000000003</v>
      </c>
      <c r="F2319" s="1" t="str">
        <f t="shared" si="146"/>
        <v>50</v>
      </c>
      <c r="G2319" s="1" t="str">
        <f t="shared" si="147"/>
        <v/>
      </c>
      <c r="I2319" s="1" t="str">
        <f t="shared" si="145"/>
        <v>威尔新数值1.06.xlsm!monsterDamage</v>
      </c>
    </row>
    <row r="2320" spans="1:9" x14ac:dyDescent="0.15">
      <c r="A2320" s="1">
        <v>2319</v>
      </c>
      <c r="B2320" s="1">
        <v>102091200</v>
      </c>
      <c r="C2320" s="1">
        <f t="shared" si="144"/>
        <v>105</v>
      </c>
      <c r="D2320" s="5">
        <f ca="1">IF(getQuality(B2320)&lt;4,getOtherMin(B2320,C2320,INDIRECT(J$2),INDIRECT(I2320),test),getMin(B2320,C2320,INDIRECT(J$2),INDIRECT(I2320),test))</f>
        <v>0.14000000000000001</v>
      </c>
      <c r="E2320" s="5">
        <f ca="1">IF(getQuality(B2320)&lt;4,getOtherMax(B2320,C2320,INDIRECT(J$2),INDIRECT(I2320),test),getMax(B2320,C2320,INDIRECT(J$2),INDIRECT(I2320),test))</f>
        <v>0.28000000000000003</v>
      </c>
      <c r="F2320" s="1" t="str">
        <f t="shared" si="146"/>
        <v>50</v>
      </c>
      <c r="G2320" s="1" t="str">
        <f t="shared" si="147"/>
        <v/>
      </c>
      <c r="I2320" s="1" t="str">
        <f t="shared" si="145"/>
        <v>威尔新数值1.06.xlsm!monsterDamage</v>
      </c>
    </row>
    <row r="2321" spans="1:9" x14ac:dyDescent="0.15">
      <c r="A2321" s="1">
        <v>2320</v>
      </c>
      <c r="B2321" s="1">
        <v>102091200</v>
      </c>
      <c r="C2321" s="1">
        <f t="shared" si="144"/>
        <v>106</v>
      </c>
      <c r="D2321" s="5">
        <f ca="1">IF(getQuality(B2321)&lt;4,getOtherMin(B2321,C2321,INDIRECT(J$2),INDIRECT(I2321),test),getMin(B2321,C2321,INDIRECT(J$2),INDIRECT(I2321),test))</f>
        <v>0.14000000000000001</v>
      </c>
      <c r="E2321" s="5">
        <f ca="1">IF(getQuality(B2321)&lt;4,getOtherMax(B2321,C2321,INDIRECT(J$2),INDIRECT(I2321),test),getMax(B2321,C2321,INDIRECT(J$2),INDIRECT(I2321),test))</f>
        <v>0.28000000000000003</v>
      </c>
      <c r="F2321" s="1" t="str">
        <f t="shared" si="146"/>
        <v>50</v>
      </c>
      <c r="G2321" s="1" t="str">
        <f t="shared" si="147"/>
        <v/>
      </c>
      <c r="I2321" s="1" t="str">
        <f t="shared" si="145"/>
        <v>威尔新数值1.06.xlsm!monsterDamage</v>
      </c>
    </row>
    <row r="2322" spans="1:9" x14ac:dyDescent="0.15">
      <c r="A2322" s="1">
        <v>2321</v>
      </c>
      <c r="B2322" s="1">
        <v>102091200</v>
      </c>
      <c r="C2322" s="1">
        <f t="shared" si="144"/>
        <v>107</v>
      </c>
      <c r="D2322" s="5">
        <f ca="1">IF(getQuality(B2322)&lt;4,getOtherMin(B2322,C2322,INDIRECT(J$2),INDIRECT(I2322),test),getMin(B2322,C2322,INDIRECT(J$2),INDIRECT(I2322),test))</f>
        <v>0.14000000000000001</v>
      </c>
      <c r="E2322" s="5">
        <f ca="1">IF(getQuality(B2322)&lt;4,getOtherMax(B2322,C2322,INDIRECT(J$2),INDIRECT(I2322),test),getMax(B2322,C2322,INDIRECT(J$2),INDIRECT(I2322),test))</f>
        <v>0.28000000000000003</v>
      </c>
      <c r="F2322" s="1" t="str">
        <f t="shared" si="146"/>
        <v>50</v>
      </c>
      <c r="G2322" s="1" t="str">
        <f t="shared" si="147"/>
        <v/>
      </c>
      <c r="I2322" s="1" t="str">
        <f t="shared" si="145"/>
        <v>威尔新数值1.06.xlsm!monsterDamage</v>
      </c>
    </row>
    <row r="2323" spans="1:9" x14ac:dyDescent="0.15">
      <c r="A2323" s="1">
        <v>2322</v>
      </c>
      <c r="B2323" s="1">
        <v>102091200</v>
      </c>
      <c r="C2323" s="1">
        <f t="shared" si="144"/>
        <v>108</v>
      </c>
      <c r="D2323" s="5">
        <f ca="1">IF(getQuality(B2323)&lt;4,getOtherMin(B2323,C2323,INDIRECT(J$2),INDIRECT(I2323),test),getMin(B2323,C2323,INDIRECT(J$2),INDIRECT(I2323),test))</f>
        <v>0.14000000000000001</v>
      </c>
      <c r="E2323" s="5">
        <f ca="1">IF(getQuality(B2323)&lt;4,getOtherMax(B2323,C2323,INDIRECT(J$2),INDIRECT(I2323),test),getMax(B2323,C2323,INDIRECT(J$2),INDIRECT(I2323),test))</f>
        <v>0.28000000000000003</v>
      </c>
      <c r="F2323" s="1" t="str">
        <f t="shared" si="146"/>
        <v>50</v>
      </c>
      <c r="G2323" s="1" t="str">
        <f t="shared" si="147"/>
        <v/>
      </c>
      <c r="I2323" s="1" t="str">
        <f t="shared" si="145"/>
        <v>威尔新数值1.06.xlsm!monsterDamage</v>
      </c>
    </row>
    <row r="2324" spans="1:9" x14ac:dyDescent="0.15">
      <c r="A2324" s="1">
        <v>2323</v>
      </c>
      <c r="B2324" s="1">
        <v>102011300</v>
      </c>
      <c r="C2324" s="1">
        <f t="shared" si="144"/>
        <v>3</v>
      </c>
      <c r="D2324" s="5">
        <f ca="1">IF(getQuality(B2324)&lt;4,getOtherMin(B2324,C2324,INDIRECT(J$2),INDIRECT(I2324),test),getMin(B2324,C2324,INDIRECT(J$2),INDIRECT(I2324),test))</f>
        <v>1</v>
      </c>
      <c r="E2324" s="5">
        <f ca="1">IF(getQuality(B2324)&lt;4,getOtherMax(B2324,C2324,INDIRECT(J$2),INDIRECT(I2324),test),getMax(B2324,C2324,INDIRECT(J$2),INDIRECT(I2324),test))</f>
        <v>21.008641265250315</v>
      </c>
      <c r="F2324" s="1" t="str">
        <f t="shared" si="146"/>
        <v>50</v>
      </c>
      <c r="G2324" s="1" t="str">
        <f t="shared" si="147"/>
        <v>1</v>
      </c>
      <c r="I2324" s="1" t="str">
        <f t="shared" si="145"/>
        <v>威尔新数值1.06.xlsm!suitPower</v>
      </c>
    </row>
    <row r="2325" spans="1:9" x14ac:dyDescent="0.15">
      <c r="A2325" s="1">
        <v>2324</v>
      </c>
      <c r="B2325" s="1">
        <v>102011300</v>
      </c>
      <c r="C2325" s="1">
        <f t="shared" si="144"/>
        <v>5</v>
      </c>
      <c r="D2325" s="5">
        <f ca="1">IF(getQuality(B2325)&lt;4,getOtherMin(B2325,C2325,INDIRECT(J$2),INDIRECT(I2325),test),getMin(B2325,C2325,INDIRECT(J$2),INDIRECT(I2325),test))</f>
        <v>1</v>
      </c>
      <c r="E2325" s="5">
        <f ca="1">IF(getQuality(B2325)&lt;4,getOtherMax(B2325,C2325,INDIRECT(J$2),INDIRECT(I2325),test),getMax(B2325,C2325,INDIRECT(J$2),INDIRECT(I2325),test))</f>
        <v>21.008641265250315</v>
      </c>
      <c r="F2325" s="1" t="str">
        <f t="shared" si="146"/>
        <v>50</v>
      </c>
      <c r="G2325" s="1" t="str">
        <f t="shared" si="147"/>
        <v/>
      </c>
      <c r="I2325" s="1" t="str">
        <f t="shared" si="145"/>
        <v>威尔新数值1.06.xlsm!suitPower</v>
      </c>
    </row>
    <row r="2326" spans="1:9" x14ac:dyDescent="0.15">
      <c r="A2326" s="1">
        <v>2325</v>
      </c>
      <c r="B2326" s="1">
        <v>102011300</v>
      </c>
      <c r="C2326" s="1">
        <f t="shared" si="144"/>
        <v>7</v>
      </c>
      <c r="D2326" s="5">
        <f ca="1">IF(getQuality(B2326)&lt;4,getOtherMin(B2326,C2326,INDIRECT(J$2),INDIRECT(I2326),test),getMin(B2326,C2326,INDIRECT(J$2),INDIRECT(I2326),test))</f>
        <v>1</v>
      </c>
      <c r="E2326" s="5">
        <f ca="1">IF(getQuality(B2326)&lt;4,getOtherMax(B2326,C2326,INDIRECT(J$2),INDIRECT(I2326),test),getMax(B2326,C2326,INDIRECT(J$2),INDIRECT(I2326),test))</f>
        <v>6.481481481481465</v>
      </c>
      <c r="F2326" s="1" t="str">
        <f t="shared" si="146"/>
        <v>50</v>
      </c>
      <c r="G2326" s="1" t="str">
        <f t="shared" si="147"/>
        <v/>
      </c>
      <c r="I2326" s="1" t="str">
        <f t="shared" si="145"/>
        <v>威尔新数值1.06.xlsm!suitPower</v>
      </c>
    </row>
    <row r="2327" spans="1:9" x14ac:dyDescent="0.15">
      <c r="A2327" s="1">
        <v>2326</v>
      </c>
      <c r="B2327" s="1">
        <v>102011300</v>
      </c>
      <c r="C2327" s="1">
        <f t="shared" si="144"/>
        <v>8</v>
      </c>
      <c r="D2327" s="5">
        <f ca="1">IF(getQuality(B2327)&lt;4,getOtherMin(B2327,C2327,INDIRECT(J$2),INDIRECT(I2327),test),getMin(B2327,C2327,INDIRECT(J$2),INDIRECT(I2327),test))</f>
        <v>1</v>
      </c>
      <c r="E2327" s="5">
        <f ca="1">IF(getQuality(B2327)&lt;4,getOtherMax(B2327,C2327,INDIRECT(J$2),INDIRECT(I2327),test),getMax(B2327,C2327,INDIRECT(J$2),INDIRECT(I2327),test))</f>
        <v>14.583333333333334</v>
      </c>
      <c r="F2327" s="1" t="str">
        <f t="shared" si="146"/>
        <v>50</v>
      </c>
      <c r="G2327" s="1" t="str">
        <f t="shared" si="147"/>
        <v/>
      </c>
      <c r="I2327" s="1" t="str">
        <f t="shared" si="145"/>
        <v>威尔新数值1.06.xlsm!suitPower</v>
      </c>
    </row>
    <row r="2328" spans="1:9" x14ac:dyDescent="0.15">
      <c r="A2328" s="1">
        <v>2327</v>
      </c>
      <c r="B2328" s="1">
        <v>102011300</v>
      </c>
      <c r="C2328" s="1">
        <f t="shared" si="144"/>
        <v>9</v>
      </c>
      <c r="D2328" s="5">
        <f ca="1">IF(getQuality(B2328)&lt;4,getOtherMin(B2328,C2328,INDIRECT(J$2),INDIRECT(I2328),test),getMin(B2328,C2328,INDIRECT(J$2),INDIRECT(I2328),test))</f>
        <v>1</v>
      </c>
      <c r="E2328" s="5">
        <f ca="1">IF(getQuality(B2328)&lt;4,getOtherMax(B2328,C2328,INDIRECT(J$2),INDIRECT(I2328),test),getMax(B2328,C2328,INDIRECT(J$2),INDIRECT(I2328),test))</f>
        <v>21.008641265250315</v>
      </c>
      <c r="F2328" s="1" t="str">
        <f t="shared" si="146"/>
        <v>50</v>
      </c>
      <c r="G2328" s="1" t="str">
        <f t="shared" si="147"/>
        <v/>
      </c>
      <c r="I2328" s="1" t="str">
        <f t="shared" si="145"/>
        <v>威尔新数值1.06.xlsm!suitPower</v>
      </c>
    </row>
    <row r="2329" spans="1:9" x14ac:dyDescent="0.15">
      <c r="A2329" s="1">
        <v>2328</v>
      </c>
      <c r="B2329" s="1">
        <v>102011300</v>
      </c>
      <c r="C2329" s="1">
        <f t="shared" si="144"/>
        <v>10</v>
      </c>
      <c r="D2329" s="5">
        <f ca="1">IF(getQuality(B2329)&lt;4,getOtherMin(B2329,C2329,INDIRECT(J$2),INDIRECT(I2329),test),getMin(B2329,C2329,INDIRECT(J$2),INDIRECT(I2329),test))</f>
        <v>1</v>
      </c>
      <c r="E2329" s="5">
        <f ca="1">IF(getQuality(B2329)&lt;4,getOtherMax(B2329,C2329,INDIRECT(J$2),INDIRECT(I2329),test),getMax(B2329,C2329,INDIRECT(J$2),INDIRECT(I2329),test))</f>
        <v>21.008641265250315</v>
      </c>
      <c r="F2329" s="1" t="str">
        <f t="shared" si="146"/>
        <v>50</v>
      </c>
      <c r="G2329" s="1" t="str">
        <f t="shared" si="147"/>
        <v/>
      </c>
      <c r="I2329" s="1" t="str">
        <f t="shared" si="145"/>
        <v>威尔新数值1.06.xlsm!suitPower</v>
      </c>
    </row>
    <row r="2330" spans="1:9" x14ac:dyDescent="0.15">
      <c r="A2330" s="1">
        <v>2329</v>
      </c>
      <c r="B2330" s="1">
        <v>102011300</v>
      </c>
      <c r="C2330" s="1">
        <f t="shared" si="144"/>
        <v>11</v>
      </c>
      <c r="D2330" s="5">
        <f ca="1">IF(getQuality(B2330)&lt;4,getOtherMin(B2330,C2330,INDIRECT(J$2),INDIRECT(I2330),test),getMin(B2330,C2330,INDIRECT(J$2),INDIRECT(I2330),test))</f>
        <v>1</v>
      </c>
      <c r="E2330" s="5">
        <f ca="1">IF(getQuality(B2330)&lt;4,getOtherMax(B2330,C2330,INDIRECT(J$2),INDIRECT(I2330),test),getMax(B2330,C2330,INDIRECT(J$2),INDIRECT(I2330),test))</f>
        <v>21.008641265250315</v>
      </c>
      <c r="F2330" s="1" t="str">
        <f t="shared" si="146"/>
        <v>50</v>
      </c>
      <c r="G2330" s="1" t="str">
        <f t="shared" si="147"/>
        <v/>
      </c>
      <c r="I2330" s="1" t="str">
        <f t="shared" si="145"/>
        <v>威尔新数值1.06.xlsm!suitPower</v>
      </c>
    </row>
    <row r="2331" spans="1:9" x14ac:dyDescent="0.15">
      <c r="A2331" s="1">
        <v>2330</v>
      </c>
      <c r="B2331" s="1">
        <v>102011300</v>
      </c>
      <c r="C2331" s="1">
        <f t="shared" si="144"/>
        <v>12</v>
      </c>
      <c r="D2331" s="5">
        <f ca="1">IF(getQuality(B2331)&lt;4,getOtherMin(B2331,C2331,INDIRECT(J$2),INDIRECT(I2331),test),getMin(B2331,C2331,INDIRECT(J$2),INDIRECT(I2331),test))</f>
        <v>1</v>
      </c>
      <c r="E2331" s="5">
        <f ca="1">IF(getQuality(B2331)&lt;4,getOtherMax(B2331,C2331,INDIRECT(J$2),INDIRECT(I2331),test),getMax(B2331,C2331,INDIRECT(J$2),INDIRECT(I2331),test))</f>
        <v>21.008641265250315</v>
      </c>
      <c r="F2331" s="1" t="str">
        <f t="shared" si="146"/>
        <v>50</v>
      </c>
      <c r="G2331" s="1" t="str">
        <f t="shared" si="147"/>
        <v/>
      </c>
      <c r="I2331" s="1" t="str">
        <f t="shared" si="145"/>
        <v>威尔新数值1.06.xlsm!suitPower</v>
      </c>
    </row>
    <row r="2332" spans="1:9" x14ac:dyDescent="0.15">
      <c r="A2332" s="1">
        <v>2331</v>
      </c>
      <c r="B2332" s="1">
        <v>102011300</v>
      </c>
      <c r="C2332" s="1">
        <f t="shared" si="144"/>
        <v>13</v>
      </c>
      <c r="D2332" s="5">
        <f ca="1">IF(getQuality(B2332)&lt;4,getOtherMin(B2332,C2332,INDIRECT(J$2),INDIRECT(I2332),test),getMin(B2332,C2332,INDIRECT(J$2),INDIRECT(I2332),test))</f>
        <v>1</v>
      </c>
      <c r="E2332" s="5">
        <f ca="1">IF(getQuality(B2332)&lt;4,getOtherMax(B2332,C2332,INDIRECT(J$2),INDIRECT(I2332),test),getMax(B2332,C2332,INDIRECT(J$2),INDIRECT(I2332),test))</f>
        <v>21.008641265250315</v>
      </c>
      <c r="F2332" s="1" t="str">
        <f t="shared" si="146"/>
        <v>50</v>
      </c>
      <c r="G2332" s="1" t="str">
        <f t="shared" si="147"/>
        <v/>
      </c>
      <c r="I2332" s="1" t="str">
        <f t="shared" si="145"/>
        <v>威尔新数值1.06.xlsm!suitPower</v>
      </c>
    </row>
    <row r="2333" spans="1:9" x14ac:dyDescent="0.15">
      <c r="A2333" s="1">
        <v>2332</v>
      </c>
      <c r="B2333" s="1">
        <v>102011300</v>
      </c>
      <c r="C2333" s="1">
        <f t="shared" si="144"/>
        <v>14</v>
      </c>
      <c r="D2333" s="5">
        <f ca="1">IF(getQuality(B2333)&lt;4,getOtherMin(B2333,C2333,INDIRECT(J$2),INDIRECT(I2333),test),getMin(B2333,C2333,INDIRECT(J$2),INDIRECT(I2333),test))</f>
        <v>1</v>
      </c>
      <c r="E2333" s="5">
        <f ca="1">IF(getQuality(B2333)&lt;4,getOtherMax(B2333,C2333,INDIRECT(J$2),INDIRECT(I2333),test),getMax(B2333,C2333,INDIRECT(J$2),INDIRECT(I2333),test))</f>
        <v>21.008641265250315</v>
      </c>
      <c r="F2333" s="1" t="str">
        <f t="shared" si="146"/>
        <v>50</v>
      </c>
      <c r="G2333" s="1" t="str">
        <f t="shared" si="147"/>
        <v/>
      </c>
      <c r="I2333" s="1" t="str">
        <f t="shared" si="145"/>
        <v>威尔新数值1.06.xlsm!suitPower</v>
      </c>
    </row>
    <row r="2334" spans="1:9" x14ac:dyDescent="0.15">
      <c r="A2334" s="1">
        <v>2333</v>
      </c>
      <c r="B2334" s="1">
        <v>102011300</v>
      </c>
      <c r="C2334" s="1">
        <f t="shared" si="144"/>
        <v>15</v>
      </c>
      <c r="D2334" s="5">
        <f ca="1">IF(getQuality(B2334)&lt;4,getOtherMin(B2334,C2334,INDIRECT(J$2),INDIRECT(I2334),test),getMin(B2334,C2334,INDIRECT(J$2),INDIRECT(I2334),test))</f>
        <v>1</v>
      </c>
      <c r="E2334" s="5">
        <f ca="1">IF(getQuality(B2334)&lt;4,getOtherMax(B2334,C2334,INDIRECT(J$2),INDIRECT(I2334),test),getMax(B2334,C2334,INDIRECT(J$2),INDIRECT(I2334),test))</f>
        <v>21.008641265250315</v>
      </c>
      <c r="F2334" s="1" t="str">
        <f t="shared" si="146"/>
        <v>50</v>
      </c>
      <c r="G2334" s="1" t="str">
        <f t="shared" si="147"/>
        <v/>
      </c>
      <c r="I2334" s="1" t="str">
        <f t="shared" si="145"/>
        <v>威尔新数值1.06.xlsm!suitPower</v>
      </c>
    </row>
    <row r="2335" spans="1:9" x14ac:dyDescent="0.15">
      <c r="A2335" s="1">
        <v>2334</v>
      </c>
      <c r="B2335" s="1">
        <v>102011300</v>
      </c>
      <c r="C2335" s="1">
        <f t="shared" si="144"/>
        <v>101</v>
      </c>
      <c r="D2335" s="5">
        <f ca="1">IF(getQuality(B2335)&lt;4,getOtherMin(B2335,C2335,INDIRECT(J$2),INDIRECT(I2335),test),getMin(B2335,C2335,INDIRECT(J$2),INDIRECT(I2335),test))</f>
        <v>0.06</v>
      </c>
      <c r="E2335" s="5">
        <f ca="1">IF(getQuality(B2335)&lt;4,getOtherMax(B2335,C2335,INDIRECT(J$2),INDIRECT(I2335),test),getMax(B2335,C2335,INDIRECT(J$2),INDIRECT(I2335),test))</f>
        <v>0.09</v>
      </c>
      <c r="F2335" s="1" t="str">
        <f t="shared" si="146"/>
        <v>50</v>
      </c>
      <c r="G2335" s="1" t="str">
        <f t="shared" si="147"/>
        <v/>
      </c>
      <c r="I2335" s="1" t="str">
        <f t="shared" si="145"/>
        <v>威尔新数值1.06.xlsm!circlePer</v>
      </c>
    </row>
    <row r="2336" spans="1:9" x14ac:dyDescent="0.15">
      <c r="A2336" s="1">
        <v>2335</v>
      </c>
      <c r="B2336" s="1">
        <v>102011300</v>
      </c>
      <c r="C2336" s="1">
        <f t="shared" si="144"/>
        <v>102</v>
      </c>
      <c r="D2336" s="5">
        <f ca="1">IF(getQuality(B2336)&lt;4,getOtherMin(B2336,C2336,INDIRECT(J$2),INDIRECT(I2336),test),getMin(B2336,C2336,INDIRECT(J$2),INDIRECT(I2336),test))</f>
        <v>0.4</v>
      </c>
      <c r="E2336" s="5">
        <f ca="1">IF(getQuality(B2336)&lt;4,getOtherMax(B2336,C2336,INDIRECT(J$2),INDIRECT(I2336),test),getMax(B2336,C2336,INDIRECT(J$2),INDIRECT(I2336),test))</f>
        <v>0.8</v>
      </c>
      <c r="F2336" s="1" t="str">
        <f t="shared" si="146"/>
        <v>50</v>
      </c>
      <c r="G2336" s="1" t="str">
        <f t="shared" si="147"/>
        <v/>
      </c>
      <c r="I2336" s="1" t="str">
        <f t="shared" si="145"/>
        <v>威尔新数值1.06.xlsm!circleValue</v>
      </c>
    </row>
    <row r="2337" spans="1:9" x14ac:dyDescent="0.15">
      <c r="A2337" s="1">
        <v>2336</v>
      </c>
      <c r="B2337" s="1">
        <v>102011300</v>
      </c>
      <c r="C2337" s="1">
        <f t="shared" si="144"/>
        <v>103</v>
      </c>
      <c r="D2337" s="5">
        <f ca="1">IF(getQuality(B2337)&lt;4,getOtherMin(B2337,C2337,INDIRECT(J$2),INDIRECT(I2337),test),getMin(B2337,C2337,INDIRECT(J$2),INDIRECT(I2337),test))</f>
        <v>0.06</v>
      </c>
      <c r="E2337" s="5">
        <f ca="1">IF(getQuality(B2337)&lt;4,getOtherMax(B2337,C2337,INDIRECT(J$2),INDIRECT(I2337),test),getMax(B2337,C2337,INDIRECT(J$2),INDIRECT(I2337),test))</f>
        <v>0.09</v>
      </c>
      <c r="F2337" s="1" t="str">
        <f t="shared" si="146"/>
        <v>50</v>
      </c>
      <c r="G2337" s="1" t="str">
        <f t="shared" si="147"/>
        <v/>
      </c>
      <c r="I2337" s="1" t="str">
        <f t="shared" si="145"/>
        <v>威尔新数值1.06.xlsm!otherDamage</v>
      </c>
    </row>
    <row r="2338" spans="1:9" x14ac:dyDescent="0.15">
      <c r="A2338" s="1">
        <v>2337</v>
      </c>
      <c r="B2338" s="1">
        <v>102011300</v>
      </c>
      <c r="C2338" s="1">
        <f t="shared" si="144"/>
        <v>104</v>
      </c>
      <c r="D2338" s="5">
        <f ca="1">IF(getQuality(B2338)&lt;4,getOtherMin(B2338,C2338,INDIRECT(J$2),INDIRECT(I2338),test),getMin(B2338,C2338,INDIRECT(J$2),INDIRECT(I2338),test))</f>
        <v>0.06</v>
      </c>
      <c r="E2338" s="5">
        <f ca="1">IF(getQuality(B2338)&lt;4,getOtherMax(B2338,C2338,INDIRECT(J$2),INDIRECT(I2338),test),getMax(B2338,C2338,INDIRECT(J$2),INDIRECT(I2338),test))</f>
        <v>0.12</v>
      </c>
      <c r="F2338" s="1" t="str">
        <f t="shared" si="146"/>
        <v>50</v>
      </c>
      <c r="G2338" s="1" t="str">
        <f t="shared" si="147"/>
        <v/>
      </c>
      <c r="I2338" s="1" t="str">
        <f t="shared" si="145"/>
        <v>威尔新数值1.06.xlsm!monsterDamage</v>
      </c>
    </row>
    <row r="2339" spans="1:9" x14ac:dyDescent="0.15">
      <c r="A2339" s="1">
        <v>2338</v>
      </c>
      <c r="B2339" s="1">
        <v>102011300</v>
      </c>
      <c r="C2339" s="1">
        <f t="shared" si="144"/>
        <v>105</v>
      </c>
      <c r="D2339" s="5">
        <f ca="1">IF(getQuality(B2339)&lt;4,getOtherMin(B2339,C2339,INDIRECT(J$2),INDIRECT(I2339),test),getMin(B2339,C2339,INDIRECT(J$2),INDIRECT(I2339),test))</f>
        <v>0.06</v>
      </c>
      <c r="E2339" s="5">
        <f ca="1">IF(getQuality(B2339)&lt;4,getOtherMax(B2339,C2339,INDIRECT(J$2),INDIRECT(I2339),test),getMax(B2339,C2339,INDIRECT(J$2),INDIRECT(I2339),test))</f>
        <v>0.12</v>
      </c>
      <c r="F2339" s="1" t="str">
        <f t="shared" si="146"/>
        <v>50</v>
      </c>
      <c r="G2339" s="1" t="str">
        <f t="shared" si="147"/>
        <v/>
      </c>
      <c r="I2339" s="1" t="str">
        <f t="shared" si="145"/>
        <v>威尔新数值1.06.xlsm!monsterDamage</v>
      </c>
    </row>
    <row r="2340" spans="1:9" x14ac:dyDescent="0.15">
      <c r="A2340" s="1">
        <v>2339</v>
      </c>
      <c r="B2340" s="1">
        <v>102011300</v>
      </c>
      <c r="C2340" s="1">
        <f t="shared" ref="C2340:C2403" si="148">C2321</f>
        <v>106</v>
      </c>
      <c r="D2340" s="5">
        <f ca="1">IF(getQuality(B2340)&lt;4,getOtherMin(B2340,C2340,INDIRECT(J$2),INDIRECT(I2340),test),getMin(B2340,C2340,INDIRECT(J$2),INDIRECT(I2340),test))</f>
        <v>0.06</v>
      </c>
      <c r="E2340" s="5">
        <f ca="1">IF(getQuality(B2340)&lt;4,getOtherMax(B2340,C2340,INDIRECT(J$2),INDIRECT(I2340),test),getMax(B2340,C2340,INDIRECT(J$2),INDIRECT(I2340),test))</f>
        <v>0.12</v>
      </c>
      <c r="F2340" s="1" t="str">
        <f t="shared" si="146"/>
        <v>50</v>
      </c>
      <c r="G2340" s="1" t="str">
        <f t="shared" si="147"/>
        <v/>
      </c>
      <c r="I2340" s="1" t="str">
        <f t="shared" si="145"/>
        <v>威尔新数值1.06.xlsm!monsterDamage</v>
      </c>
    </row>
    <row r="2341" spans="1:9" x14ac:dyDescent="0.15">
      <c r="A2341" s="1">
        <v>2340</v>
      </c>
      <c r="B2341" s="1">
        <v>102011300</v>
      </c>
      <c r="C2341" s="1">
        <f t="shared" si="148"/>
        <v>107</v>
      </c>
      <c r="D2341" s="5">
        <f ca="1">IF(getQuality(B2341)&lt;4,getOtherMin(B2341,C2341,INDIRECT(J$2),INDIRECT(I2341),test),getMin(B2341,C2341,INDIRECT(J$2),INDIRECT(I2341),test))</f>
        <v>0.06</v>
      </c>
      <c r="E2341" s="5">
        <f ca="1">IF(getQuality(B2341)&lt;4,getOtherMax(B2341,C2341,INDIRECT(J$2),INDIRECT(I2341),test),getMax(B2341,C2341,INDIRECT(J$2),INDIRECT(I2341),test))</f>
        <v>0.12</v>
      </c>
      <c r="F2341" s="1" t="str">
        <f t="shared" si="146"/>
        <v>50</v>
      </c>
      <c r="G2341" s="1" t="str">
        <f t="shared" si="147"/>
        <v/>
      </c>
      <c r="I2341" s="1" t="str">
        <f t="shared" si="145"/>
        <v>威尔新数值1.06.xlsm!monsterDamage</v>
      </c>
    </row>
    <row r="2342" spans="1:9" x14ac:dyDescent="0.15">
      <c r="A2342" s="1">
        <v>2341</v>
      </c>
      <c r="B2342" s="1">
        <v>102011300</v>
      </c>
      <c r="C2342" s="1">
        <f t="shared" si="148"/>
        <v>108</v>
      </c>
      <c r="D2342" s="5">
        <f ca="1">IF(getQuality(B2342)&lt;4,getOtherMin(B2342,C2342,INDIRECT(J$2),INDIRECT(I2342),test),getMin(B2342,C2342,INDIRECT(J$2),INDIRECT(I2342),test))</f>
        <v>0.06</v>
      </c>
      <c r="E2342" s="5">
        <f ca="1">IF(getQuality(B2342)&lt;4,getOtherMax(B2342,C2342,INDIRECT(J$2),INDIRECT(I2342),test),getMax(B2342,C2342,INDIRECT(J$2),INDIRECT(I2342),test))</f>
        <v>0.12</v>
      </c>
      <c r="F2342" s="1" t="str">
        <f t="shared" si="146"/>
        <v>50</v>
      </c>
      <c r="G2342" s="1" t="str">
        <f t="shared" si="147"/>
        <v/>
      </c>
      <c r="I2342" s="1" t="str">
        <f t="shared" si="145"/>
        <v>威尔新数值1.06.xlsm!monsterDamage</v>
      </c>
    </row>
    <row r="2343" spans="1:9" x14ac:dyDescent="0.15">
      <c r="A2343" s="1">
        <v>2342</v>
      </c>
      <c r="B2343" s="1">
        <v>102021300</v>
      </c>
      <c r="C2343" s="1">
        <f t="shared" si="148"/>
        <v>3</v>
      </c>
      <c r="D2343" s="5">
        <f ca="1">IF(getQuality(B2343)&lt;4,getOtherMin(B2343,C2343,INDIRECT(J$2),INDIRECT(I2343),test),getMin(B2343,C2343,INDIRECT(J$2),INDIRECT(I2343),test))</f>
        <v>22.008641265250315</v>
      </c>
      <c r="E2343" s="5">
        <f ca="1">IF(getQuality(B2343)&lt;4,getOtherMax(B2343,C2343,INDIRECT(J$2),INDIRECT(I2343),test),getMax(B2343,C2343,INDIRECT(J$2),INDIRECT(I2343),test))</f>
        <v>46.219010783550694</v>
      </c>
      <c r="F2343" s="1" t="str">
        <f t="shared" si="146"/>
        <v>50</v>
      </c>
      <c r="G2343" s="1" t="str">
        <f t="shared" si="147"/>
        <v>1</v>
      </c>
      <c r="I2343" s="1" t="str">
        <f t="shared" si="145"/>
        <v>威尔新数值1.06.xlsm!suitPower</v>
      </c>
    </row>
    <row r="2344" spans="1:9" x14ac:dyDescent="0.15">
      <c r="A2344" s="1">
        <v>2343</v>
      </c>
      <c r="B2344" s="1">
        <v>102021300</v>
      </c>
      <c r="C2344" s="1">
        <f t="shared" si="148"/>
        <v>5</v>
      </c>
      <c r="D2344" s="5">
        <f ca="1">IF(getQuality(B2344)&lt;4,getOtherMin(B2344,C2344,INDIRECT(J$2),INDIRECT(I2344),test),getMin(B2344,C2344,INDIRECT(J$2),INDIRECT(I2344),test))</f>
        <v>22.008641265250315</v>
      </c>
      <c r="E2344" s="5">
        <f ca="1">IF(getQuality(B2344)&lt;4,getOtherMax(B2344,C2344,INDIRECT(J$2),INDIRECT(I2344),test),getMax(B2344,C2344,INDIRECT(J$2),INDIRECT(I2344),test))</f>
        <v>46.219010783550694</v>
      </c>
      <c r="F2344" s="1" t="str">
        <f t="shared" si="146"/>
        <v>50</v>
      </c>
      <c r="G2344" s="1" t="str">
        <f t="shared" si="147"/>
        <v/>
      </c>
      <c r="I2344" s="1" t="str">
        <f t="shared" si="145"/>
        <v>威尔新数值1.06.xlsm!suitPower</v>
      </c>
    </row>
    <row r="2345" spans="1:9" x14ac:dyDescent="0.15">
      <c r="A2345" s="1">
        <v>2344</v>
      </c>
      <c r="B2345" s="1">
        <v>102021300</v>
      </c>
      <c r="C2345" s="1">
        <f t="shared" si="148"/>
        <v>7</v>
      </c>
      <c r="D2345" s="5">
        <f ca="1">IF(getQuality(B2345)&lt;4,getOtherMin(B2345,C2345,INDIRECT(J$2),INDIRECT(I2345),test),getMin(B2345,C2345,INDIRECT(J$2),INDIRECT(I2345),test))</f>
        <v>7.481481481481465</v>
      </c>
      <c r="E2345" s="5">
        <f ca="1">IF(getQuality(B2345)&lt;4,getOtherMax(B2345,C2345,INDIRECT(J$2),INDIRECT(I2345),test),getMax(B2345,C2345,INDIRECT(J$2),INDIRECT(I2345),test))</f>
        <v>12.96296296296293</v>
      </c>
      <c r="F2345" s="1" t="str">
        <f t="shared" si="146"/>
        <v>50</v>
      </c>
      <c r="G2345" s="1" t="str">
        <f t="shared" si="147"/>
        <v/>
      </c>
      <c r="I2345" s="1" t="str">
        <f t="shared" si="145"/>
        <v>威尔新数值1.06.xlsm!suitPower</v>
      </c>
    </row>
    <row r="2346" spans="1:9" x14ac:dyDescent="0.15">
      <c r="A2346" s="1">
        <v>2345</v>
      </c>
      <c r="B2346" s="1">
        <v>102021300</v>
      </c>
      <c r="C2346" s="1">
        <f t="shared" si="148"/>
        <v>8</v>
      </c>
      <c r="D2346" s="5">
        <f ca="1">IF(getQuality(B2346)&lt;4,getOtherMin(B2346,C2346,INDIRECT(J$2),INDIRECT(I2346),test),getMin(B2346,C2346,INDIRECT(J$2),INDIRECT(I2346),test))</f>
        <v>15.583333333333334</v>
      </c>
      <c r="E2346" s="5">
        <f ca="1">IF(getQuality(B2346)&lt;4,getOtherMax(B2346,C2346,INDIRECT(J$2),INDIRECT(I2346),test),getMax(B2346,C2346,INDIRECT(J$2),INDIRECT(I2346),test))</f>
        <v>29.166666666666668</v>
      </c>
      <c r="F2346" s="1" t="str">
        <f t="shared" si="146"/>
        <v>50</v>
      </c>
      <c r="G2346" s="1" t="str">
        <f t="shared" si="147"/>
        <v/>
      </c>
      <c r="I2346" s="1" t="str">
        <f t="shared" si="145"/>
        <v>威尔新数值1.06.xlsm!suitPower</v>
      </c>
    </row>
    <row r="2347" spans="1:9" x14ac:dyDescent="0.15">
      <c r="A2347" s="1">
        <v>2346</v>
      </c>
      <c r="B2347" s="1">
        <v>102021300</v>
      </c>
      <c r="C2347" s="1">
        <f t="shared" si="148"/>
        <v>9</v>
      </c>
      <c r="D2347" s="5">
        <f ca="1">IF(getQuality(B2347)&lt;4,getOtherMin(B2347,C2347,INDIRECT(J$2),INDIRECT(I2347),test),getMin(B2347,C2347,INDIRECT(J$2),INDIRECT(I2347),test))</f>
        <v>22.008641265250315</v>
      </c>
      <c r="E2347" s="5">
        <f ca="1">IF(getQuality(B2347)&lt;4,getOtherMax(B2347,C2347,INDIRECT(J$2),INDIRECT(I2347),test),getMax(B2347,C2347,INDIRECT(J$2),INDIRECT(I2347),test))</f>
        <v>46.219010783550694</v>
      </c>
      <c r="F2347" s="1" t="str">
        <f t="shared" si="146"/>
        <v>50</v>
      </c>
      <c r="G2347" s="1" t="str">
        <f t="shared" si="147"/>
        <v/>
      </c>
      <c r="I2347" s="1" t="str">
        <f t="shared" si="145"/>
        <v>威尔新数值1.06.xlsm!suitPower</v>
      </c>
    </row>
    <row r="2348" spans="1:9" x14ac:dyDescent="0.15">
      <c r="A2348" s="1">
        <v>2347</v>
      </c>
      <c r="B2348" s="1">
        <v>102021300</v>
      </c>
      <c r="C2348" s="1">
        <f t="shared" si="148"/>
        <v>10</v>
      </c>
      <c r="D2348" s="5">
        <f ca="1">IF(getQuality(B2348)&lt;4,getOtherMin(B2348,C2348,INDIRECT(J$2),INDIRECT(I2348),test),getMin(B2348,C2348,INDIRECT(J$2),INDIRECT(I2348),test))</f>
        <v>22.008641265250315</v>
      </c>
      <c r="E2348" s="5">
        <f ca="1">IF(getQuality(B2348)&lt;4,getOtherMax(B2348,C2348,INDIRECT(J$2),INDIRECT(I2348),test),getMax(B2348,C2348,INDIRECT(J$2),INDIRECT(I2348),test))</f>
        <v>46.219010783550694</v>
      </c>
      <c r="F2348" s="1" t="str">
        <f t="shared" si="146"/>
        <v>50</v>
      </c>
      <c r="G2348" s="1" t="str">
        <f t="shared" si="147"/>
        <v/>
      </c>
      <c r="I2348" s="1" t="str">
        <f t="shared" si="145"/>
        <v>威尔新数值1.06.xlsm!suitPower</v>
      </c>
    </row>
    <row r="2349" spans="1:9" x14ac:dyDescent="0.15">
      <c r="A2349" s="1">
        <v>2348</v>
      </c>
      <c r="B2349" s="1">
        <v>102021300</v>
      </c>
      <c r="C2349" s="1">
        <f t="shared" si="148"/>
        <v>11</v>
      </c>
      <c r="D2349" s="5">
        <f ca="1">IF(getQuality(B2349)&lt;4,getOtherMin(B2349,C2349,INDIRECT(J$2),INDIRECT(I2349),test),getMin(B2349,C2349,INDIRECT(J$2),INDIRECT(I2349),test))</f>
        <v>22.008641265250315</v>
      </c>
      <c r="E2349" s="5">
        <f ca="1">IF(getQuality(B2349)&lt;4,getOtherMax(B2349,C2349,INDIRECT(J$2),INDIRECT(I2349),test),getMax(B2349,C2349,INDIRECT(J$2),INDIRECT(I2349),test))</f>
        <v>46.219010783550694</v>
      </c>
      <c r="F2349" s="1" t="str">
        <f t="shared" si="146"/>
        <v>50</v>
      </c>
      <c r="G2349" s="1" t="str">
        <f t="shared" si="147"/>
        <v/>
      </c>
      <c r="I2349" s="1" t="str">
        <f t="shared" si="145"/>
        <v>威尔新数值1.06.xlsm!suitPower</v>
      </c>
    </row>
    <row r="2350" spans="1:9" x14ac:dyDescent="0.15">
      <c r="A2350" s="1">
        <v>2349</v>
      </c>
      <c r="B2350" s="1">
        <v>102021300</v>
      </c>
      <c r="C2350" s="1">
        <f t="shared" si="148"/>
        <v>12</v>
      </c>
      <c r="D2350" s="5">
        <f ca="1">IF(getQuality(B2350)&lt;4,getOtherMin(B2350,C2350,INDIRECT(J$2),INDIRECT(I2350),test),getMin(B2350,C2350,INDIRECT(J$2),INDIRECT(I2350),test))</f>
        <v>22.008641265250315</v>
      </c>
      <c r="E2350" s="5">
        <f ca="1">IF(getQuality(B2350)&lt;4,getOtherMax(B2350,C2350,INDIRECT(J$2),INDIRECT(I2350),test),getMax(B2350,C2350,INDIRECT(J$2),INDIRECT(I2350),test))</f>
        <v>46.219010783550694</v>
      </c>
      <c r="F2350" s="1" t="str">
        <f t="shared" si="146"/>
        <v>50</v>
      </c>
      <c r="G2350" s="1" t="str">
        <f t="shared" si="147"/>
        <v/>
      </c>
      <c r="I2350" s="1" t="str">
        <f t="shared" si="145"/>
        <v>威尔新数值1.06.xlsm!suitPower</v>
      </c>
    </row>
    <row r="2351" spans="1:9" x14ac:dyDescent="0.15">
      <c r="A2351" s="1">
        <v>2350</v>
      </c>
      <c r="B2351" s="1">
        <v>102021300</v>
      </c>
      <c r="C2351" s="1">
        <f t="shared" si="148"/>
        <v>13</v>
      </c>
      <c r="D2351" s="5">
        <f ca="1">IF(getQuality(B2351)&lt;4,getOtherMin(B2351,C2351,INDIRECT(J$2),INDIRECT(I2351),test),getMin(B2351,C2351,INDIRECT(J$2),INDIRECT(I2351),test))</f>
        <v>22.008641265250315</v>
      </c>
      <c r="E2351" s="5">
        <f ca="1">IF(getQuality(B2351)&lt;4,getOtherMax(B2351,C2351,INDIRECT(J$2),INDIRECT(I2351),test),getMax(B2351,C2351,INDIRECT(J$2),INDIRECT(I2351),test))</f>
        <v>46.219010783550694</v>
      </c>
      <c r="F2351" s="1" t="str">
        <f t="shared" si="146"/>
        <v>50</v>
      </c>
      <c r="G2351" s="1" t="str">
        <f t="shared" si="147"/>
        <v/>
      </c>
      <c r="I2351" s="1" t="str">
        <f t="shared" si="145"/>
        <v>威尔新数值1.06.xlsm!suitPower</v>
      </c>
    </row>
    <row r="2352" spans="1:9" x14ac:dyDescent="0.15">
      <c r="A2352" s="1">
        <v>2351</v>
      </c>
      <c r="B2352" s="1">
        <v>102021300</v>
      </c>
      <c r="C2352" s="1">
        <f t="shared" si="148"/>
        <v>14</v>
      </c>
      <c r="D2352" s="5">
        <f ca="1">IF(getQuality(B2352)&lt;4,getOtherMin(B2352,C2352,INDIRECT(J$2),INDIRECT(I2352),test),getMin(B2352,C2352,INDIRECT(J$2),INDIRECT(I2352),test))</f>
        <v>22.008641265250315</v>
      </c>
      <c r="E2352" s="5">
        <f ca="1">IF(getQuality(B2352)&lt;4,getOtherMax(B2352,C2352,INDIRECT(J$2),INDIRECT(I2352),test),getMax(B2352,C2352,INDIRECT(J$2),INDIRECT(I2352),test))</f>
        <v>46.219010783550694</v>
      </c>
      <c r="F2352" s="1" t="str">
        <f t="shared" si="146"/>
        <v>50</v>
      </c>
      <c r="G2352" s="1" t="str">
        <f t="shared" si="147"/>
        <v/>
      </c>
      <c r="I2352" s="1" t="str">
        <f t="shared" si="145"/>
        <v>威尔新数值1.06.xlsm!suitPower</v>
      </c>
    </row>
    <row r="2353" spans="1:9" x14ac:dyDescent="0.15">
      <c r="A2353" s="1">
        <v>2352</v>
      </c>
      <c r="B2353" s="1">
        <v>102021300</v>
      </c>
      <c r="C2353" s="1">
        <f t="shared" si="148"/>
        <v>15</v>
      </c>
      <c r="D2353" s="5">
        <f ca="1">IF(getQuality(B2353)&lt;4,getOtherMin(B2353,C2353,INDIRECT(J$2),INDIRECT(I2353),test),getMin(B2353,C2353,INDIRECT(J$2),INDIRECT(I2353),test))</f>
        <v>22.008641265250315</v>
      </c>
      <c r="E2353" s="5">
        <f ca="1">IF(getQuality(B2353)&lt;4,getOtherMax(B2353,C2353,INDIRECT(J$2),INDIRECT(I2353),test),getMax(B2353,C2353,INDIRECT(J$2),INDIRECT(I2353),test))</f>
        <v>46.219010783550694</v>
      </c>
      <c r="F2353" s="1" t="str">
        <f t="shared" si="146"/>
        <v>50</v>
      </c>
      <c r="G2353" s="1" t="str">
        <f t="shared" si="147"/>
        <v/>
      </c>
      <c r="I2353" s="1" t="str">
        <f t="shared" si="145"/>
        <v>威尔新数值1.06.xlsm!suitPower</v>
      </c>
    </row>
    <row r="2354" spans="1:9" x14ac:dyDescent="0.15">
      <c r="A2354" s="1">
        <v>2353</v>
      </c>
      <c r="B2354" s="1">
        <v>102021300</v>
      </c>
      <c r="C2354" s="1">
        <f t="shared" si="148"/>
        <v>101</v>
      </c>
      <c r="D2354" s="5">
        <f ca="1">IF(getQuality(B2354)&lt;4,getOtherMin(B2354,C2354,INDIRECT(J$2),INDIRECT(I2354),test),getMin(B2354,C2354,INDIRECT(J$2),INDIRECT(I2354),test))</f>
        <v>7.0000000000000007E-2</v>
      </c>
      <c r="E2354" s="5">
        <f ca="1">IF(getQuality(B2354)&lt;4,getOtherMax(B2354,C2354,INDIRECT(J$2),INDIRECT(I2354),test),getMax(B2354,C2354,INDIRECT(J$2),INDIRECT(I2354),test))</f>
        <v>0.1</v>
      </c>
      <c r="F2354" s="1" t="str">
        <f t="shared" si="146"/>
        <v>50</v>
      </c>
      <c r="G2354" s="1" t="str">
        <f t="shared" si="147"/>
        <v/>
      </c>
      <c r="I2354" s="1" t="str">
        <f t="shared" si="145"/>
        <v>威尔新数值1.06.xlsm!circlePer</v>
      </c>
    </row>
    <row r="2355" spans="1:9" x14ac:dyDescent="0.15">
      <c r="A2355" s="1">
        <v>2354</v>
      </c>
      <c r="B2355" s="1">
        <v>102021300</v>
      </c>
      <c r="C2355" s="1">
        <f t="shared" si="148"/>
        <v>102</v>
      </c>
      <c r="D2355" s="5">
        <f ca="1">IF(getQuality(B2355)&lt;4,getOtherMin(B2355,C2355,INDIRECT(J$2),INDIRECT(I2355),test),getMin(B2355,C2355,INDIRECT(J$2),INDIRECT(I2355),test))</f>
        <v>0.5</v>
      </c>
      <c r="E2355" s="5">
        <f ca="1">IF(getQuality(B2355)&lt;4,getOtherMax(B2355,C2355,INDIRECT(J$2),INDIRECT(I2355),test),getMax(B2355,C2355,INDIRECT(J$2),INDIRECT(I2355),test))</f>
        <v>0.9</v>
      </c>
      <c r="F2355" s="1" t="str">
        <f t="shared" si="146"/>
        <v>50</v>
      </c>
      <c r="G2355" s="1" t="str">
        <f t="shared" si="147"/>
        <v/>
      </c>
      <c r="I2355" s="1" t="str">
        <f t="shared" si="145"/>
        <v>威尔新数值1.06.xlsm!circleValue</v>
      </c>
    </row>
    <row r="2356" spans="1:9" x14ac:dyDescent="0.15">
      <c r="A2356" s="1">
        <v>2355</v>
      </c>
      <c r="B2356" s="1">
        <v>102021300</v>
      </c>
      <c r="C2356" s="1">
        <f t="shared" si="148"/>
        <v>103</v>
      </c>
      <c r="D2356" s="5">
        <f ca="1">IF(getQuality(B2356)&lt;4,getOtherMin(B2356,C2356,INDIRECT(J$2),INDIRECT(I2356),test),getMin(B2356,C2356,INDIRECT(J$2),INDIRECT(I2356),test))</f>
        <v>7.0000000000000007E-2</v>
      </c>
      <c r="E2356" s="5">
        <f ca="1">IF(getQuality(B2356)&lt;4,getOtherMax(B2356,C2356,INDIRECT(J$2),INDIRECT(I2356),test),getMax(B2356,C2356,INDIRECT(J$2),INDIRECT(I2356),test))</f>
        <v>0.1</v>
      </c>
      <c r="F2356" s="1" t="str">
        <f t="shared" si="146"/>
        <v>50</v>
      </c>
      <c r="G2356" s="1" t="str">
        <f t="shared" si="147"/>
        <v/>
      </c>
      <c r="I2356" s="1" t="str">
        <f t="shared" si="145"/>
        <v>威尔新数值1.06.xlsm!otherDamage</v>
      </c>
    </row>
    <row r="2357" spans="1:9" x14ac:dyDescent="0.15">
      <c r="A2357" s="1">
        <v>2356</v>
      </c>
      <c r="B2357" s="1">
        <v>102021300</v>
      </c>
      <c r="C2357" s="1">
        <f t="shared" si="148"/>
        <v>104</v>
      </c>
      <c r="D2357" s="5">
        <f ca="1">IF(getQuality(B2357)&lt;4,getOtherMin(B2357,C2357,INDIRECT(J$2),INDIRECT(I2357),test),getMin(B2357,C2357,INDIRECT(J$2),INDIRECT(I2357),test))</f>
        <v>7.0000000000000007E-2</v>
      </c>
      <c r="E2357" s="5">
        <f ca="1">IF(getQuality(B2357)&lt;4,getOtherMax(B2357,C2357,INDIRECT(J$2),INDIRECT(I2357),test),getMax(B2357,C2357,INDIRECT(J$2),INDIRECT(I2357),test))</f>
        <v>0.14000000000000001</v>
      </c>
      <c r="F2357" s="1" t="str">
        <f t="shared" si="146"/>
        <v>50</v>
      </c>
      <c r="G2357" s="1" t="str">
        <f t="shared" si="147"/>
        <v/>
      </c>
      <c r="I2357" s="1" t="str">
        <f t="shared" si="145"/>
        <v>威尔新数值1.06.xlsm!monsterDamage</v>
      </c>
    </row>
    <row r="2358" spans="1:9" x14ac:dyDescent="0.15">
      <c r="A2358" s="1">
        <v>2357</v>
      </c>
      <c r="B2358" s="1">
        <v>102021300</v>
      </c>
      <c r="C2358" s="1">
        <f t="shared" si="148"/>
        <v>105</v>
      </c>
      <c r="D2358" s="5">
        <f ca="1">IF(getQuality(B2358)&lt;4,getOtherMin(B2358,C2358,INDIRECT(J$2),INDIRECT(I2358),test),getMin(B2358,C2358,INDIRECT(J$2),INDIRECT(I2358),test))</f>
        <v>7.0000000000000007E-2</v>
      </c>
      <c r="E2358" s="5">
        <f ca="1">IF(getQuality(B2358)&lt;4,getOtherMax(B2358,C2358,INDIRECT(J$2),INDIRECT(I2358),test),getMax(B2358,C2358,INDIRECT(J$2),INDIRECT(I2358),test))</f>
        <v>0.14000000000000001</v>
      </c>
      <c r="F2358" s="1" t="str">
        <f t="shared" si="146"/>
        <v>50</v>
      </c>
      <c r="G2358" s="1" t="str">
        <f t="shared" si="147"/>
        <v/>
      </c>
      <c r="I2358" s="1" t="str">
        <f t="shared" si="145"/>
        <v>威尔新数值1.06.xlsm!monsterDamage</v>
      </c>
    </row>
    <row r="2359" spans="1:9" x14ac:dyDescent="0.15">
      <c r="A2359" s="1">
        <v>2358</v>
      </c>
      <c r="B2359" s="1">
        <v>102021300</v>
      </c>
      <c r="C2359" s="1">
        <f t="shared" si="148"/>
        <v>106</v>
      </c>
      <c r="D2359" s="5">
        <f ca="1">IF(getQuality(B2359)&lt;4,getOtherMin(B2359,C2359,INDIRECT(J$2),INDIRECT(I2359),test),getMin(B2359,C2359,INDIRECT(J$2),INDIRECT(I2359),test))</f>
        <v>7.0000000000000007E-2</v>
      </c>
      <c r="E2359" s="5">
        <f ca="1">IF(getQuality(B2359)&lt;4,getOtherMax(B2359,C2359,INDIRECT(J$2),INDIRECT(I2359),test),getMax(B2359,C2359,INDIRECT(J$2),INDIRECT(I2359),test))</f>
        <v>0.14000000000000001</v>
      </c>
      <c r="F2359" s="1" t="str">
        <f t="shared" si="146"/>
        <v>50</v>
      </c>
      <c r="G2359" s="1" t="str">
        <f t="shared" si="147"/>
        <v/>
      </c>
      <c r="I2359" s="1" t="str">
        <f t="shared" si="145"/>
        <v>威尔新数值1.06.xlsm!monsterDamage</v>
      </c>
    </row>
    <row r="2360" spans="1:9" x14ac:dyDescent="0.15">
      <c r="A2360" s="1">
        <v>2359</v>
      </c>
      <c r="B2360" s="1">
        <v>102021300</v>
      </c>
      <c r="C2360" s="1">
        <f t="shared" si="148"/>
        <v>107</v>
      </c>
      <c r="D2360" s="5">
        <f ca="1">IF(getQuality(B2360)&lt;4,getOtherMin(B2360,C2360,INDIRECT(J$2),INDIRECT(I2360),test),getMin(B2360,C2360,INDIRECT(J$2),INDIRECT(I2360),test))</f>
        <v>7.0000000000000007E-2</v>
      </c>
      <c r="E2360" s="5">
        <f ca="1">IF(getQuality(B2360)&lt;4,getOtherMax(B2360,C2360,INDIRECT(J$2),INDIRECT(I2360),test),getMax(B2360,C2360,INDIRECT(J$2),INDIRECT(I2360),test))</f>
        <v>0.14000000000000001</v>
      </c>
      <c r="F2360" s="1" t="str">
        <f t="shared" si="146"/>
        <v>50</v>
      </c>
      <c r="G2360" s="1" t="str">
        <f t="shared" si="147"/>
        <v/>
      </c>
      <c r="I2360" s="1" t="str">
        <f t="shared" si="145"/>
        <v>威尔新数值1.06.xlsm!monsterDamage</v>
      </c>
    </row>
    <row r="2361" spans="1:9" x14ac:dyDescent="0.15">
      <c r="A2361" s="1">
        <v>2360</v>
      </c>
      <c r="B2361" s="1">
        <v>102021300</v>
      </c>
      <c r="C2361" s="1">
        <f t="shared" si="148"/>
        <v>108</v>
      </c>
      <c r="D2361" s="5">
        <f ca="1">IF(getQuality(B2361)&lt;4,getOtherMin(B2361,C2361,INDIRECT(J$2),INDIRECT(I2361),test),getMin(B2361,C2361,INDIRECT(J$2),INDIRECT(I2361),test))</f>
        <v>7.0000000000000007E-2</v>
      </c>
      <c r="E2361" s="5">
        <f ca="1">IF(getQuality(B2361)&lt;4,getOtherMax(B2361,C2361,INDIRECT(J$2),INDIRECT(I2361),test),getMax(B2361,C2361,INDIRECT(J$2),INDIRECT(I2361),test))</f>
        <v>0.14000000000000001</v>
      </c>
      <c r="F2361" s="1" t="str">
        <f t="shared" si="146"/>
        <v>50</v>
      </c>
      <c r="G2361" s="1" t="str">
        <f t="shared" si="147"/>
        <v/>
      </c>
      <c r="I2361" s="1" t="str">
        <f t="shared" si="145"/>
        <v>威尔新数值1.06.xlsm!monsterDamage</v>
      </c>
    </row>
    <row r="2362" spans="1:9" x14ac:dyDescent="0.15">
      <c r="A2362" s="1">
        <v>2361</v>
      </c>
      <c r="B2362" s="1">
        <v>102031300</v>
      </c>
      <c r="C2362" s="1">
        <f t="shared" si="148"/>
        <v>3</v>
      </c>
      <c r="D2362" s="5">
        <f ca="1">IF(getQuality(B2362)&lt;4,getOtherMin(B2362,C2362,INDIRECT(J$2),INDIRECT(I2362),test),getMin(B2362,C2362,INDIRECT(J$2),INDIRECT(I2362),test))</f>
        <v>47.219010783550694</v>
      </c>
      <c r="E2362" s="5">
        <f ca="1">IF(getQuality(B2362)&lt;4,getOtherMax(B2362,C2362,INDIRECT(J$2),INDIRECT(I2362),test),getMax(B2362,C2362,INDIRECT(J$2),INDIRECT(I2362),test))</f>
        <v>75.631108554901132</v>
      </c>
      <c r="F2362" s="1" t="str">
        <f t="shared" si="146"/>
        <v>50</v>
      </c>
      <c r="G2362" s="1" t="str">
        <f t="shared" si="147"/>
        <v>1</v>
      </c>
      <c r="I2362" s="1" t="str">
        <f t="shared" si="145"/>
        <v>威尔新数值1.06.xlsm!suitPower</v>
      </c>
    </row>
    <row r="2363" spans="1:9" x14ac:dyDescent="0.15">
      <c r="A2363" s="1">
        <v>2362</v>
      </c>
      <c r="B2363" s="1">
        <v>102031300</v>
      </c>
      <c r="C2363" s="1">
        <f t="shared" si="148"/>
        <v>5</v>
      </c>
      <c r="D2363" s="5">
        <f ca="1">IF(getQuality(B2363)&lt;4,getOtherMin(B2363,C2363,INDIRECT(J$2),INDIRECT(I2363),test),getMin(B2363,C2363,INDIRECT(J$2),INDIRECT(I2363),test))</f>
        <v>47.219010783550694</v>
      </c>
      <c r="E2363" s="5">
        <f ca="1">IF(getQuality(B2363)&lt;4,getOtherMax(B2363,C2363,INDIRECT(J$2),INDIRECT(I2363),test),getMax(B2363,C2363,INDIRECT(J$2),INDIRECT(I2363),test))</f>
        <v>75.631108554901132</v>
      </c>
      <c r="F2363" s="1" t="str">
        <f t="shared" si="146"/>
        <v>50</v>
      </c>
      <c r="G2363" s="1" t="str">
        <f t="shared" si="147"/>
        <v/>
      </c>
      <c r="I2363" s="1" t="str">
        <f t="shared" si="145"/>
        <v>威尔新数值1.06.xlsm!suitPower</v>
      </c>
    </row>
    <row r="2364" spans="1:9" x14ac:dyDescent="0.15">
      <c r="A2364" s="1">
        <v>2363</v>
      </c>
      <c r="B2364" s="1">
        <v>102031300</v>
      </c>
      <c r="C2364" s="1">
        <f t="shared" si="148"/>
        <v>7</v>
      </c>
      <c r="D2364" s="5">
        <f ca="1">IF(getQuality(B2364)&lt;4,getOtherMin(B2364,C2364,INDIRECT(J$2),INDIRECT(I2364),test),getMin(B2364,C2364,INDIRECT(J$2),INDIRECT(I2364),test))</f>
        <v>13.96296296296293</v>
      </c>
      <c r="E2364" s="5">
        <f ca="1">IF(getQuality(B2364)&lt;4,getOtherMax(B2364,C2364,INDIRECT(J$2),INDIRECT(I2364),test),getMax(B2364,C2364,INDIRECT(J$2),INDIRECT(I2364),test))</f>
        <v>19.444444444444393</v>
      </c>
      <c r="F2364" s="1" t="str">
        <f t="shared" si="146"/>
        <v>50</v>
      </c>
      <c r="G2364" s="1" t="str">
        <f t="shared" si="147"/>
        <v/>
      </c>
      <c r="I2364" s="1" t="str">
        <f t="shared" si="145"/>
        <v>威尔新数值1.06.xlsm!suitPower</v>
      </c>
    </row>
    <row r="2365" spans="1:9" x14ac:dyDescent="0.15">
      <c r="A2365" s="1">
        <v>2364</v>
      </c>
      <c r="B2365" s="1">
        <v>102031300</v>
      </c>
      <c r="C2365" s="1">
        <f t="shared" si="148"/>
        <v>8</v>
      </c>
      <c r="D2365" s="5">
        <f ca="1">IF(getQuality(B2365)&lt;4,getOtherMin(B2365,C2365,INDIRECT(J$2),INDIRECT(I2365),test),getMin(B2365,C2365,INDIRECT(J$2),INDIRECT(I2365),test))</f>
        <v>30.166666666666668</v>
      </c>
      <c r="E2365" s="5">
        <f ca="1">IF(getQuality(B2365)&lt;4,getOtherMax(B2365,C2365,INDIRECT(J$2),INDIRECT(I2365),test),getMax(B2365,C2365,INDIRECT(J$2),INDIRECT(I2365),test))</f>
        <v>43.75</v>
      </c>
      <c r="F2365" s="1" t="str">
        <f t="shared" si="146"/>
        <v>50</v>
      </c>
      <c r="G2365" s="1" t="str">
        <f t="shared" si="147"/>
        <v/>
      </c>
      <c r="I2365" s="1" t="str">
        <f t="shared" si="145"/>
        <v>威尔新数值1.06.xlsm!suitPower</v>
      </c>
    </row>
    <row r="2366" spans="1:9" x14ac:dyDescent="0.15">
      <c r="A2366" s="1">
        <v>2365</v>
      </c>
      <c r="B2366" s="1">
        <v>102031300</v>
      </c>
      <c r="C2366" s="1">
        <f t="shared" si="148"/>
        <v>9</v>
      </c>
      <c r="D2366" s="5">
        <f ca="1">IF(getQuality(B2366)&lt;4,getOtherMin(B2366,C2366,INDIRECT(J$2),INDIRECT(I2366),test),getMin(B2366,C2366,INDIRECT(J$2),INDIRECT(I2366),test))</f>
        <v>47.219010783550694</v>
      </c>
      <c r="E2366" s="5">
        <f ca="1">IF(getQuality(B2366)&lt;4,getOtherMax(B2366,C2366,INDIRECT(J$2),INDIRECT(I2366),test),getMax(B2366,C2366,INDIRECT(J$2),INDIRECT(I2366),test))</f>
        <v>75.631108554901132</v>
      </c>
      <c r="F2366" s="1" t="str">
        <f t="shared" si="146"/>
        <v>50</v>
      </c>
      <c r="G2366" s="1" t="str">
        <f t="shared" si="147"/>
        <v/>
      </c>
      <c r="I2366" s="1" t="str">
        <f t="shared" si="145"/>
        <v>威尔新数值1.06.xlsm!suitPower</v>
      </c>
    </row>
    <row r="2367" spans="1:9" x14ac:dyDescent="0.15">
      <c r="A2367" s="1">
        <v>2366</v>
      </c>
      <c r="B2367" s="1">
        <v>102031300</v>
      </c>
      <c r="C2367" s="1">
        <f t="shared" si="148"/>
        <v>10</v>
      </c>
      <c r="D2367" s="5">
        <f ca="1">IF(getQuality(B2367)&lt;4,getOtherMin(B2367,C2367,INDIRECT(J$2),INDIRECT(I2367),test),getMin(B2367,C2367,INDIRECT(J$2),INDIRECT(I2367),test))</f>
        <v>47.219010783550694</v>
      </c>
      <c r="E2367" s="5">
        <f ca="1">IF(getQuality(B2367)&lt;4,getOtherMax(B2367,C2367,INDIRECT(J$2),INDIRECT(I2367),test),getMax(B2367,C2367,INDIRECT(J$2),INDIRECT(I2367),test))</f>
        <v>75.631108554901132</v>
      </c>
      <c r="F2367" s="1" t="str">
        <f t="shared" si="146"/>
        <v>50</v>
      </c>
      <c r="G2367" s="1" t="str">
        <f t="shared" si="147"/>
        <v/>
      </c>
      <c r="I2367" s="1" t="str">
        <f t="shared" si="145"/>
        <v>威尔新数值1.06.xlsm!suitPower</v>
      </c>
    </row>
    <row r="2368" spans="1:9" x14ac:dyDescent="0.15">
      <c r="A2368" s="1">
        <v>2367</v>
      </c>
      <c r="B2368" s="1">
        <v>102031300</v>
      </c>
      <c r="C2368" s="1">
        <f t="shared" si="148"/>
        <v>11</v>
      </c>
      <c r="D2368" s="5">
        <f ca="1">IF(getQuality(B2368)&lt;4,getOtherMin(B2368,C2368,INDIRECT(J$2),INDIRECT(I2368),test),getMin(B2368,C2368,INDIRECT(J$2),INDIRECT(I2368),test))</f>
        <v>47.219010783550694</v>
      </c>
      <c r="E2368" s="5">
        <f ca="1">IF(getQuality(B2368)&lt;4,getOtherMax(B2368,C2368,INDIRECT(J$2),INDIRECT(I2368),test),getMax(B2368,C2368,INDIRECT(J$2),INDIRECT(I2368),test))</f>
        <v>75.631108554901132</v>
      </c>
      <c r="F2368" s="1" t="str">
        <f t="shared" si="146"/>
        <v>50</v>
      </c>
      <c r="G2368" s="1" t="str">
        <f t="shared" si="147"/>
        <v/>
      </c>
      <c r="I2368" s="1" t="str">
        <f t="shared" si="145"/>
        <v>威尔新数值1.06.xlsm!suitPower</v>
      </c>
    </row>
    <row r="2369" spans="1:9" x14ac:dyDescent="0.15">
      <c r="A2369" s="1">
        <v>2368</v>
      </c>
      <c r="B2369" s="1">
        <v>102031300</v>
      </c>
      <c r="C2369" s="1">
        <f t="shared" si="148"/>
        <v>12</v>
      </c>
      <c r="D2369" s="5">
        <f ca="1">IF(getQuality(B2369)&lt;4,getOtherMin(B2369,C2369,INDIRECT(J$2),INDIRECT(I2369),test),getMin(B2369,C2369,INDIRECT(J$2),INDIRECT(I2369),test))</f>
        <v>47.219010783550694</v>
      </c>
      <c r="E2369" s="5">
        <f ca="1">IF(getQuality(B2369)&lt;4,getOtherMax(B2369,C2369,INDIRECT(J$2),INDIRECT(I2369),test),getMax(B2369,C2369,INDIRECT(J$2),INDIRECT(I2369),test))</f>
        <v>75.631108554901132</v>
      </c>
      <c r="F2369" s="1" t="str">
        <f t="shared" si="146"/>
        <v>50</v>
      </c>
      <c r="G2369" s="1" t="str">
        <f t="shared" si="147"/>
        <v/>
      </c>
      <c r="I2369" s="1" t="str">
        <f t="shared" si="145"/>
        <v>威尔新数值1.06.xlsm!suitPower</v>
      </c>
    </row>
    <row r="2370" spans="1:9" x14ac:dyDescent="0.15">
      <c r="A2370" s="1">
        <v>2369</v>
      </c>
      <c r="B2370" s="1">
        <v>102031300</v>
      </c>
      <c r="C2370" s="1">
        <f t="shared" si="148"/>
        <v>13</v>
      </c>
      <c r="D2370" s="5">
        <f ca="1">IF(getQuality(B2370)&lt;4,getOtherMin(B2370,C2370,INDIRECT(J$2),INDIRECT(I2370),test),getMin(B2370,C2370,INDIRECT(J$2),INDIRECT(I2370),test))</f>
        <v>47.219010783550694</v>
      </c>
      <c r="E2370" s="5">
        <f ca="1">IF(getQuality(B2370)&lt;4,getOtherMax(B2370,C2370,INDIRECT(J$2),INDIRECT(I2370),test),getMax(B2370,C2370,INDIRECT(J$2),INDIRECT(I2370),test))</f>
        <v>75.631108554901132</v>
      </c>
      <c r="F2370" s="1" t="str">
        <f t="shared" si="146"/>
        <v>50</v>
      </c>
      <c r="G2370" s="1" t="str">
        <f t="shared" si="147"/>
        <v/>
      </c>
      <c r="I2370" s="1" t="str">
        <f t="shared" ref="I2370:I2433" si="149">IF(C2370&lt;100,VLOOKUP(C2370,test,3,FALSE),VLOOKUP(C2370,test1,3,FALSE))</f>
        <v>威尔新数值1.06.xlsm!suitPower</v>
      </c>
    </row>
    <row r="2371" spans="1:9" x14ac:dyDescent="0.15">
      <c r="A2371" s="1">
        <v>2370</v>
      </c>
      <c r="B2371" s="1">
        <v>102031300</v>
      </c>
      <c r="C2371" s="1">
        <f t="shared" si="148"/>
        <v>14</v>
      </c>
      <c r="D2371" s="5">
        <f ca="1">IF(getQuality(B2371)&lt;4,getOtherMin(B2371,C2371,INDIRECT(J$2),INDIRECT(I2371),test),getMin(B2371,C2371,INDIRECT(J$2),INDIRECT(I2371),test))</f>
        <v>47.219010783550694</v>
      </c>
      <c r="E2371" s="5">
        <f ca="1">IF(getQuality(B2371)&lt;4,getOtherMax(B2371,C2371,INDIRECT(J$2),INDIRECT(I2371),test),getMax(B2371,C2371,INDIRECT(J$2),INDIRECT(I2371),test))</f>
        <v>75.631108554901132</v>
      </c>
      <c r="F2371" s="1" t="str">
        <f t="shared" ref="F2371:F2434" si="150">getper(B2371,C2371)</f>
        <v>50</v>
      </c>
      <c r="G2371" s="1" t="str">
        <f t="shared" ref="G2371:G2434" si="151">getMust(B2371,C2371)</f>
        <v/>
      </c>
      <c r="I2371" s="1" t="str">
        <f t="shared" si="149"/>
        <v>威尔新数值1.06.xlsm!suitPower</v>
      </c>
    </row>
    <row r="2372" spans="1:9" x14ac:dyDescent="0.15">
      <c r="A2372" s="1">
        <v>2371</v>
      </c>
      <c r="B2372" s="1">
        <v>102031300</v>
      </c>
      <c r="C2372" s="1">
        <f t="shared" si="148"/>
        <v>15</v>
      </c>
      <c r="D2372" s="5">
        <f ca="1">IF(getQuality(B2372)&lt;4,getOtherMin(B2372,C2372,INDIRECT(J$2),INDIRECT(I2372),test),getMin(B2372,C2372,INDIRECT(J$2),INDIRECT(I2372),test))</f>
        <v>47.219010783550694</v>
      </c>
      <c r="E2372" s="5">
        <f ca="1">IF(getQuality(B2372)&lt;4,getOtherMax(B2372,C2372,INDIRECT(J$2),INDIRECT(I2372),test),getMax(B2372,C2372,INDIRECT(J$2),INDIRECT(I2372),test))</f>
        <v>75.631108554901132</v>
      </c>
      <c r="F2372" s="1" t="str">
        <f t="shared" si="150"/>
        <v>50</v>
      </c>
      <c r="G2372" s="1" t="str">
        <f t="shared" si="151"/>
        <v/>
      </c>
      <c r="I2372" s="1" t="str">
        <f t="shared" si="149"/>
        <v>威尔新数值1.06.xlsm!suitPower</v>
      </c>
    </row>
    <row r="2373" spans="1:9" x14ac:dyDescent="0.15">
      <c r="A2373" s="1">
        <v>2372</v>
      </c>
      <c r="B2373" s="1">
        <v>102031300</v>
      </c>
      <c r="C2373" s="1">
        <f t="shared" si="148"/>
        <v>101</v>
      </c>
      <c r="D2373" s="5">
        <f ca="1">IF(getQuality(B2373)&lt;4,getOtherMin(B2373,C2373,INDIRECT(J$2),INDIRECT(I2373),test),getMin(B2373,C2373,INDIRECT(J$2),INDIRECT(I2373),test))</f>
        <v>0.08</v>
      </c>
      <c r="E2373" s="5">
        <f ca="1">IF(getQuality(B2373)&lt;4,getOtherMax(B2373,C2373,INDIRECT(J$2),INDIRECT(I2373),test),getMax(B2373,C2373,INDIRECT(J$2),INDIRECT(I2373),test))</f>
        <v>0.11</v>
      </c>
      <c r="F2373" s="1" t="str">
        <f t="shared" si="150"/>
        <v>50</v>
      </c>
      <c r="G2373" s="1" t="str">
        <f t="shared" si="151"/>
        <v/>
      </c>
      <c r="I2373" s="1" t="str">
        <f t="shared" si="149"/>
        <v>威尔新数值1.06.xlsm!circlePer</v>
      </c>
    </row>
    <row r="2374" spans="1:9" x14ac:dyDescent="0.15">
      <c r="A2374" s="1">
        <v>2373</v>
      </c>
      <c r="B2374" s="1">
        <v>102031300</v>
      </c>
      <c r="C2374" s="1">
        <f t="shared" si="148"/>
        <v>102</v>
      </c>
      <c r="D2374" s="5">
        <f ca="1">IF(getQuality(B2374)&lt;4,getOtherMin(B2374,C2374,INDIRECT(J$2),INDIRECT(I2374),test),getMin(B2374,C2374,INDIRECT(J$2),INDIRECT(I2374),test))</f>
        <v>0.6</v>
      </c>
      <c r="E2374" s="5">
        <f ca="1">IF(getQuality(B2374)&lt;4,getOtherMax(B2374,C2374,INDIRECT(J$2),INDIRECT(I2374),test),getMax(B2374,C2374,INDIRECT(J$2),INDIRECT(I2374),test))</f>
        <v>1</v>
      </c>
      <c r="F2374" s="1" t="str">
        <f t="shared" si="150"/>
        <v>50</v>
      </c>
      <c r="G2374" s="1" t="str">
        <f t="shared" si="151"/>
        <v/>
      </c>
      <c r="I2374" s="1" t="str">
        <f t="shared" si="149"/>
        <v>威尔新数值1.06.xlsm!circleValue</v>
      </c>
    </row>
    <row r="2375" spans="1:9" x14ac:dyDescent="0.15">
      <c r="A2375" s="1">
        <v>2374</v>
      </c>
      <c r="B2375" s="1">
        <v>102031300</v>
      </c>
      <c r="C2375" s="1">
        <f t="shared" si="148"/>
        <v>103</v>
      </c>
      <c r="D2375" s="5">
        <f ca="1">IF(getQuality(B2375)&lt;4,getOtherMin(B2375,C2375,INDIRECT(J$2),INDIRECT(I2375),test),getMin(B2375,C2375,INDIRECT(J$2),INDIRECT(I2375),test))</f>
        <v>0.08</v>
      </c>
      <c r="E2375" s="5">
        <f ca="1">IF(getQuality(B2375)&lt;4,getOtherMax(B2375,C2375,INDIRECT(J$2),INDIRECT(I2375),test),getMax(B2375,C2375,INDIRECT(J$2),INDIRECT(I2375),test))</f>
        <v>0.11</v>
      </c>
      <c r="F2375" s="1" t="str">
        <f t="shared" si="150"/>
        <v>50</v>
      </c>
      <c r="G2375" s="1" t="str">
        <f t="shared" si="151"/>
        <v/>
      </c>
      <c r="I2375" s="1" t="str">
        <f t="shared" si="149"/>
        <v>威尔新数值1.06.xlsm!otherDamage</v>
      </c>
    </row>
    <row r="2376" spans="1:9" x14ac:dyDescent="0.15">
      <c r="A2376" s="1">
        <v>2375</v>
      </c>
      <c r="B2376" s="1">
        <v>102031300</v>
      </c>
      <c r="C2376" s="1">
        <f t="shared" si="148"/>
        <v>104</v>
      </c>
      <c r="D2376" s="5">
        <f ca="1">IF(getQuality(B2376)&lt;4,getOtherMin(B2376,C2376,INDIRECT(J$2),INDIRECT(I2376),test),getMin(B2376,C2376,INDIRECT(J$2),INDIRECT(I2376),test))</f>
        <v>0.08</v>
      </c>
      <c r="E2376" s="5">
        <f ca="1">IF(getQuality(B2376)&lt;4,getOtherMax(B2376,C2376,INDIRECT(J$2),INDIRECT(I2376),test),getMax(B2376,C2376,INDIRECT(J$2),INDIRECT(I2376),test))</f>
        <v>0.16</v>
      </c>
      <c r="F2376" s="1" t="str">
        <f t="shared" si="150"/>
        <v>50</v>
      </c>
      <c r="G2376" s="1" t="str">
        <f t="shared" si="151"/>
        <v/>
      </c>
      <c r="I2376" s="1" t="str">
        <f t="shared" si="149"/>
        <v>威尔新数值1.06.xlsm!monsterDamage</v>
      </c>
    </row>
    <row r="2377" spans="1:9" x14ac:dyDescent="0.15">
      <c r="A2377" s="1">
        <v>2376</v>
      </c>
      <c r="B2377" s="1">
        <v>102031300</v>
      </c>
      <c r="C2377" s="1">
        <f t="shared" si="148"/>
        <v>105</v>
      </c>
      <c r="D2377" s="5">
        <f ca="1">IF(getQuality(B2377)&lt;4,getOtherMin(B2377,C2377,INDIRECT(J$2),INDIRECT(I2377),test),getMin(B2377,C2377,INDIRECT(J$2),INDIRECT(I2377),test))</f>
        <v>0.08</v>
      </c>
      <c r="E2377" s="5">
        <f ca="1">IF(getQuality(B2377)&lt;4,getOtherMax(B2377,C2377,INDIRECT(J$2),INDIRECT(I2377),test),getMax(B2377,C2377,INDIRECT(J$2),INDIRECT(I2377),test))</f>
        <v>0.16</v>
      </c>
      <c r="F2377" s="1" t="str">
        <f t="shared" si="150"/>
        <v>50</v>
      </c>
      <c r="G2377" s="1" t="str">
        <f t="shared" si="151"/>
        <v/>
      </c>
      <c r="I2377" s="1" t="str">
        <f t="shared" si="149"/>
        <v>威尔新数值1.06.xlsm!monsterDamage</v>
      </c>
    </row>
    <row r="2378" spans="1:9" x14ac:dyDescent="0.15">
      <c r="A2378" s="1">
        <v>2377</v>
      </c>
      <c r="B2378" s="1">
        <v>102031300</v>
      </c>
      <c r="C2378" s="1">
        <f t="shared" si="148"/>
        <v>106</v>
      </c>
      <c r="D2378" s="5">
        <f ca="1">IF(getQuality(B2378)&lt;4,getOtherMin(B2378,C2378,INDIRECT(J$2),INDIRECT(I2378),test),getMin(B2378,C2378,INDIRECT(J$2),INDIRECT(I2378),test))</f>
        <v>0.08</v>
      </c>
      <c r="E2378" s="5">
        <f ca="1">IF(getQuality(B2378)&lt;4,getOtherMax(B2378,C2378,INDIRECT(J$2),INDIRECT(I2378),test),getMax(B2378,C2378,INDIRECT(J$2),INDIRECT(I2378),test))</f>
        <v>0.16</v>
      </c>
      <c r="F2378" s="1" t="str">
        <f t="shared" si="150"/>
        <v>50</v>
      </c>
      <c r="G2378" s="1" t="str">
        <f t="shared" si="151"/>
        <v/>
      </c>
      <c r="I2378" s="1" t="str">
        <f t="shared" si="149"/>
        <v>威尔新数值1.06.xlsm!monsterDamage</v>
      </c>
    </row>
    <row r="2379" spans="1:9" x14ac:dyDescent="0.15">
      <c r="A2379" s="1">
        <v>2378</v>
      </c>
      <c r="B2379" s="1">
        <v>102031300</v>
      </c>
      <c r="C2379" s="1">
        <f t="shared" si="148"/>
        <v>107</v>
      </c>
      <c r="D2379" s="5">
        <f ca="1">IF(getQuality(B2379)&lt;4,getOtherMin(B2379,C2379,INDIRECT(J$2),INDIRECT(I2379),test),getMin(B2379,C2379,INDIRECT(J$2),INDIRECT(I2379),test))</f>
        <v>0.08</v>
      </c>
      <c r="E2379" s="5">
        <f ca="1">IF(getQuality(B2379)&lt;4,getOtherMax(B2379,C2379,INDIRECT(J$2),INDIRECT(I2379),test),getMax(B2379,C2379,INDIRECT(J$2),INDIRECT(I2379),test))</f>
        <v>0.16</v>
      </c>
      <c r="F2379" s="1" t="str">
        <f t="shared" si="150"/>
        <v>50</v>
      </c>
      <c r="G2379" s="1" t="str">
        <f t="shared" si="151"/>
        <v/>
      </c>
      <c r="I2379" s="1" t="str">
        <f t="shared" si="149"/>
        <v>威尔新数值1.06.xlsm!monsterDamage</v>
      </c>
    </row>
    <row r="2380" spans="1:9" x14ac:dyDescent="0.15">
      <c r="A2380" s="1">
        <v>2379</v>
      </c>
      <c r="B2380" s="1">
        <v>102031300</v>
      </c>
      <c r="C2380" s="1">
        <f t="shared" si="148"/>
        <v>108</v>
      </c>
      <c r="D2380" s="5">
        <f ca="1">IF(getQuality(B2380)&lt;4,getOtherMin(B2380,C2380,INDIRECT(J$2),INDIRECT(I2380),test),getMin(B2380,C2380,INDIRECT(J$2),INDIRECT(I2380),test))</f>
        <v>0.08</v>
      </c>
      <c r="E2380" s="5">
        <f ca="1">IF(getQuality(B2380)&lt;4,getOtherMax(B2380,C2380,INDIRECT(J$2),INDIRECT(I2380),test),getMax(B2380,C2380,INDIRECT(J$2),INDIRECT(I2380),test))</f>
        <v>0.16</v>
      </c>
      <c r="F2380" s="1" t="str">
        <f t="shared" si="150"/>
        <v>50</v>
      </c>
      <c r="G2380" s="1" t="str">
        <f t="shared" si="151"/>
        <v/>
      </c>
      <c r="I2380" s="1" t="str">
        <f t="shared" si="149"/>
        <v>威尔新数值1.06.xlsm!monsterDamage</v>
      </c>
    </row>
    <row r="2381" spans="1:9" x14ac:dyDescent="0.15">
      <c r="A2381" s="1">
        <v>2380</v>
      </c>
      <c r="B2381" s="1">
        <v>102041300</v>
      </c>
      <c r="C2381" s="1">
        <f t="shared" si="148"/>
        <v>3</v>
      </c>
      <c r="D2381" s="5">
        <f ca="1">IF(getQuality(B2381)&lt;4,getOtherMin(B2381,C2381,INDIRECT(J$2),INDIRECT(I2381),test),getMin(B2381,C2381,INDIRECT(J$2),INDIRECT(I2381),test))</f>
        <v>76.631108554901132</v>
      </c>
      <c r="E2381" s="5">
        <f ca="1">IF(getQuality(B2381)&lt;4,getOtherMax(B2381,C2381,INDIRECT(J$2),INDIRECT(I2381),test),getMax(B2381,C2381,INDIRECT(J$2),INDIRECT(I2381),test))</f>
        <v>109.24493457930163</v>
      </c>
      <c r="F2381" s="1" t="str">
        <f t="shared" si="150"/>
        <v>50</v>
      </c>
      <c r="G2381" s="1" t="str">
        <f t="shared" si="151"/>
        <v>1</v>
      </c>
      <c r="I2381" s="1" t="str">
        <f t="shared" si="149"/>
        <v>威尔新数值1.06.xlsm!suitPower</v>
      </c>
    </row>
    <row r="2382" spans="1:9" x14ac:dyDescent="0.15">
      <c r="A2382" s="1">
        <v>2381</v>
      </c>
      <c r="B2382" s="1">
        <v>102041300</v>
      </c>
      <c r="C2382" s="1">
        <f t="shared" si="148"/>
        <v>5</v>
      </c>
      <c r="D2382" s="5">
        <f ca="1">IF(getQuality(B2382)&lt;4,getOtherMin(B2382,C2382,INDIRECT(J$2),INDIRECT(I2382),test),getMin(B2382,C2382,INDIRECT(J$2),INDIRECT(I2382),test))</f>
        <v>76.631108554901132</v>
      </c>
      <c r="E2382" s="5">
        <f ca="1">IF(getQuality(B2382)&lt;4,getOtherMax(B2382,C2382,INDIRECT(J$2),INDIRECT(I2382),test),getMax(B2382,C2382,INDIRECT(J$2),INDIRECT(I2382),test))</f>
        <v>109.24493457930163</v>
      </c>
      <c r="F2382" s="1" t="str">
        <f t="shared" si="150"/>
        <v>50</v>
      </c>
      <c r="G2382" s="1" t="str">
        <f t="shared" si="151"/>
        <v/>
      </c>
      <c r="I2382" s="1" t="str">
        <f t="shared" si="149"/>
        <v>威尔新数值1.06.xlsm!suitPower</v>
      </c>
    </row>
    <row r="2383" spans="1:9" x14ac:dyDescent="0.15">
      <c r="A2383" s="1">
        <v>2382</v>
      </c>
      <c r="B2383" s="1">
        <v>102041300</v>
      </c>
      <c r="C2383" s="1">
        <f t="shared" si="148"/>
        <v>7</v>
      </c>
      <c r="D2383" s="5">
        <f ca="1">IF(getQuality(B2383)&lt;4,getOtherMin(B2383,C2383,INDIRECT(J$2),INDIRECT(I2383),test),getMin(B2383,C2383,INDIRECT(J$2),INDIRECT(I2383),test))</f>
        <v>20.444444444444393</v>
      </c>
      <c r="E2383" s="5">
        <f ca="1">IF(getQuality(B2383)&lt;4,getOtherMax(B2383,C2383,INDIRECT(J$2),INDIRECT(I2383),test),getMax(B2383,C2383,INDIRECT(J$2),INDIRECT(I2383),test))</f>
        <v>25.92592592592586</v>
      </c>
      <c r="F2383" s="1" t="str">
        <f t="shared" si="150"/>
        <v>50</v>
      </c>
      <c r="G2383" s="1" t="str">
        <f t="shared" si="151"/>
        <v/>
      </c>
      <c r="I2383" s="1" t="str">
        <f t="shared" si="149"/>
        <v>威尔新数值1.06.xlsm!suitPower</v>
      </c>
    </row>
    <row r="2384" spans="1:9" x14ac:dyDescent="0.15">
      <c r="A2384" s="1">
        <v>2383</v>
      </c>
      <c r="B2384" s="1">
        <v>102041300</v>
      </c>
      <c r="C2384" s="1">
        <f t="shared" si="148"/>
        <v>8</v>
      </c>
      <c r="D2384" s="5">
        <f ca="1">IF(getQuality(B2384)&lt;4,getOtherMin(B2384,C2384,INDIRECT(J$2),INDIRECT(I2384),test),getMin(B2384,C2384,INDIRECT(J$2),INDIRECT(I2384),test))</f>
        <v>44.75</v>
      </c>
      <c r="E2384" s="5">
        <f ca="1">IF(getQuality(B2384)&lt;4,getOtherMax(B2384,C2384,INDIRECT(J$2),INDIRECT(I2384),test),getMax(B2384,C2384,INDIRECT(J$2),INDIRECT(I2384),test))</f>
        <v>58.333333333333336</v>
      </c>
      <c r="F2384" s="1" t="str">
        <f t="shared" si="150"/>
        <v>50</v>
      </c>
      <c r="G2384" s="1" t="str">
        <f t="shared" si="151"/>
        <v/>
      </c>
      <c r="I2384" s="1" t="str">
        <f t="shared" si="149"/>
        <v>威尔新数值1.06.xlsm!suitPower</v>
      </c>
    </row>
    <row r="2385" spans="1:9" x14ac:dyDescent="0.15">
      <c r="A2385" s="1">
        <v>2384</v>
      </c>
      <c r="B2385" s="1">
        <v>102041300</v>
      </c>
      <c r="C2385" s="1">
        <f t="shared" si="148"/>
        <v>9</v>
      </c>
      <c r="D2385" s="5">
        <f ca="1">IF(getQuality(B2385)&lt;4,getOtherMin(B2385,C2385,INDIRECT(J$2),INDIRECT(I2385),test),getMin(B2385,C2385,INDIRECT(J$2),INDIRECT(I2385),test))</f>
        <v>76.631108554901132</v>
      </c>
      <c r="E2385" s="5">
        <f ca="1">IF(getQuality(B2385)&lt;4,getOtherMax(B2385,C2385,INDIRECT(J$2),INDIRECT(I2385),test),getMax(B2385,C2385,INDIRECT(J$2),INDIRECT(I2385),test))</f>
        <v>109.24493457930163</v>
      </c>
      <c r="F2385" s="1" t="str">
        <f t="shared" si="150"/>
        <v>50</v>
      </c>
      <c r="G2385" s="1" t="str">
        <f t="shared" si="151"/>
        <v/>
      </c>
      <c r="I2385" s="1" t="str">
        <f t="shared" si="149"/>
        <v>威尔新数值1.06.xlsm!suitPower</v>
      </c>
    </row>
    <row r="2386" spans="1:9" x14ac:dyDescent="0.15">
      <c r="A2386" s="1">
        <v>2385</v>
      </c>
      <c r="B2386" s="1">
        <v>102041300</v>
      </c>
      <c r="C2386" s="1">
        <f t="shared" si="148"/>
        <v>10</v>
      </c>
      <c r="D2386" s="5">
        <f ca="1">IF(getQuality(B2386)&lt;4,getOtherMin(B2386,C2386,INDIRECT(J$2),INDIRECT(I2386),test),getMin(B2386,C2386,INDIRECT(J$2),INDIRECT(I2386),test))</f>
        <v>76.631108554901132</v>
      </c>
      <c r="E2386" s="5">
        <f ca="1">IF(getQuality(B2386)&lt;4,getOtherMax(B2386,C2386,INDIRECT(J$2),INDIRECT(I2386),test),getMax(B2386,C2386,INDIRECT(J$2),INDIRECT(I2386),test))</f>
        <v>109.24493457930163</v>
      </c>
      <c r="F2386" s="1" t="str">
        <f t="shared" si="150"/>
        <v>50</v>
      </c>
      <c r="G2386" s="1" t="str">
        <f t="shared" si="151"/>
        <v/>
      </c>
      <c r="I2386" s="1" t="str">
        <f t="shared" si="149"/>
        <v>威尔新数值1.06.xlsm!suitPower</v>
      </c>
    </row>
    <row r="2387" spans="1:9" x14ac:dyDescent="0.15">
      <c r="A2387" s="1">
        <v>2386</v>
      </c>
      <c r="B2387" s="1">
        <v>102041300</v>
      </c>
      <c r="C2387" s="1">
        <f t="shared" si="148"/>
        <v>11</v>
      </c>
      <c r="D2387" s="5">
        <f ca="1">IF(getQuality(B2387)&lt;4,getOtherMin(B2387,C2387,INDIRECT(J$2),INDIRECT(I2387),test),getMin(B2387,C2387,INDIRECT(J$2),INDIRECT(I2387),test))</f>
        <v>76.631108554901132</v>
      </c>
      <c r="E2387" s="5">
        <f ca="1">IF(getQuality(B2387)&lt;4,getOtherMax(B2387,C2387,INDIRECT(J$2),INDIRECT(I2387),test),getMax(B2387,C2387,INDIRECT(J$2),INDIRECT(I2387),test))</f>
        <v>109.24493457930163</v>
      </c>
      <c r="F2387" s="1" t="str">
        <f t="shared" si="150"/>
        <v>50</v>
      </c>
      <c r="G2387" s="1" t="str">
        <f t="shared" si="151"/>
        <v/>
      </c>
      <c r="I2387" s="1" t="str">
        <f t="shared" si="149"/>
        <v>威尔新数值1.06.xlsm!suitPower</v>
      </c>
    </row>
    <row r="2388" spans="1:9" x14ac:dyDescent="0.15">
      <c r="A2388" s="1">
        <v>2387</v>
      </c>
      <c r="B2388" s="1">
        <v>102041300</v>
      </c>
      <c r="C2388" s="1">
        <f t="shared" si="148"/>
        <v>12</v>
      </c>
      <c r="D2388" s="5">
        <f ca="1">IF(getQuality(B2388)&lt;4,getOtherMin(B2388,C2388,INDIRECT(J$2),INDIRECT(I2388),test),getMin(B2388,C2388,INDIRECT(J$2),INDIRECT(I2388),test))</f>
        <v>76.631108554901132</v>
      </c>
      <c r="E2388" s="5">
        <f ca="1">IF(getQuality(B2388)&lt;4,getOtherMax(B2388,C2388,INDIRECT(J$2),INDIRECT(I2388),test),getMax(B2388,C2388,INDIRECT(J$2),INDIRECT(I2388),test))</f>
        <v>109.24493457930163</v>
      </c>
      <c r="F2388" s="1" t="str">
        <f t="shared" si="150"/>
        <v>50</v>
      </c>
      <c r="G2388" s="1" t="str">
        <f t="shared" si="151"/>
        <v/>
      </c>
      <c r="I2388" s="1" t="str">
        <f t="shared" si="149"/>
        <v>威尔新数值1.06.xlsm!suitPower</v>
      </c>
    </row>
    <row r="2389" spans="1:9" x14ac:dyDescent="0.15">
      <c r="A2389" s="1">
        <v>2388</v>
      </c>
      <c r="B2389" s="1">
        <v>102041300</v>
      </c>
      <c r="C2389" s="1">
        <f t="shared" si="148"/>
        <v>13</v>
      </c>
      <c r="D2389" s="5">
        <f ca="1">IF(getQuality(B2389)&lt;4,getOtherMin(B2389,C2389,INDIRECT(J$2),INDIRECT(I2389),test),getMin(B2389,C2389,INDIRECT(J$2),INDIRECT(I2389),test))</f>
        <v>76.631108554901132</v>
      </c>
      <c r="E2389" s="5">
        <f ca="1">IF(getQuality(B2389)&lt;4,getOtherMax(B2389,C2389,INDIRECT(J$2),INDIRECT(I2389),test),getMax(B2389,C2389,INDIRECT(J$2),INDIRECT(I2389),test))</f>
        <v>109.24493457930163</v>
      </c>
      <c r="F2389" s="1" t="str">
        <f t="shared" si="150"/>
        <v>50</v>
      </c>
      <c r="G2389" s="1" t="str">
        <f t="shared" si="151"/>
        <v/>
      </c>
      <c r="I2389" s="1" t="str">
        <f t="shared" si="149"/>
        <v>威尔新数值1.06.xlsm!suitPower</v>
      </c>
    </row>
    <row r="2390" spans="1:9" x14ac:dyDescent="0.15">
      <c r="A2390" s="1">
        <v>2389</v>
      </c>
      <c r="B2390" s="1">
        <v>102041300</v>
      </c>
      <c r="C2390" s="1">
        <f t="shared" si="148"/>
        <v>14</v>
      </c>
      <c r="D2390" s="5">
        <f ca="1">IF(getQuality(B2390)&lt;4,getOtherMin(B2390,C2390,INDIRECT(J$2),INDIRECT(I2390),test),getMin(B2390,C2390,INDIRECT(J$2),INDIRECT(I2390),test))</f>
        <v>76.631108554901132</v>
      </c>
      <c r="E2390" s="5">
        <f ca="1">IF(getQuality(B2390)&lt;4,getOtherMax(B2390,C2390,INDIRECT(J$2),INDIRECT(I2390),test),getMax(B2390,C2390,INDIRECT(J$2),INDIRECT(I2390),test))</f>
        <v>109.24493457930163</v>
      </c>
      <c r="F2390" s="1" t="str">
        <f t="shared" si="150"/>
        <v>50</v>
      </c>
      <c r="G2390" s="1" t="str">
        <f t="shared" si="151"/>
        <v/>
      </c>
      <c r="I2390" s="1" t="str">
        <f t="shared" si="149"/>
        <v>威尔新数值1.06.xlsm!suitPower</v>
      </c>
    </row>
    <row r="2391" spans="1:9" x14ac:dyDescent="0.15">
      <c r="A2391" s="1">
        <v>2390</v>
      </c>
      <c r="B2391" s="1">
        <v>102041300</v>
      </c>
      <c r="C2391" s="1">
        <f t="shared" si="148"/>
        <v>15</v>
      </c>
      <c r="D2391" s="5">
        <f ca="1">IF(getQuality(B2391)&lt;4,getOtherMin(B2391,C2391,INDIRECT(J$2),INDIRECT(I2391),test),getMin(B2391,C2391,INDIRECT(J$2),INDIRECT(I2391),test))</f>
        <v>76.631108554901132</v>
      </c>
      <c r="E2391" s="5">
        <f ca="1">IF(getQuality(B2391)&lt;4,getOtherMax(B2391,C2391,INDIRECT(J$2),INDIRECT(I2391),test),getMax(B2391,C2391,INDIRECT(J$2),INDIRECT(I2391),test))</f>
        <v>109.24493457930163</v>
      </c>
      <c r="F2391" s="1" t="str">
        <f t="shared" si="150"/>
        <v>50</v>
      </c>
      <c r="G2391" s="1" t="str">
        <f t="shared" si="151"/>
        <v/>
      </c>
      <c r="I2391" s="1" t="str">
        <f t="shared" si="149"/>
        <v>威尔新数值1.06.xlsm!suitPower</v>
      </c>
    </row>
    <row r="2392" spans="1:9" x14ac:dyDescent="0.15">
      <c r="A2392" s="1">
        <v>2391</v>
      </c>
      <c r="B2392" s="1">
        <v>102041300</v>
      </c>
      <c r="C2392" s="1">
        <f t="shared" si="148"/>
        <v>101</v>
      </c>
      <c r="D2392" s="5">
        <f ca="1">IF(getQuality(B2392)&lt;4,getOtherMin(B2392,C2392,INDIRECT(J$2),INDIRECT(I2392),test),getMin(B2392,C2392,INDIRECT(J$2),INDIRECT(I2392),test))</f>
        <v>0.09</v>
      </c>
      <c r="E2392" s="5">
        <f ca="1">IF(getQuality(B2392)&lt;4,getOtherMax(B2392,C2392,INDIRECT(J$2),INDIRECT(I2392),test),getMax(B2392,C2392,INDIRECT(J$2),INDIRECT(I2392),test))</f>
        <v>0.12</v>
      </c>
      <c r="F2392" s="1" t="str">
        <f t="shared" si="150"/>
        <v>50</v>
      </c>
      <c r="G2392" s="1" t="str">
        <f t="shared" si="151"/>
        <v/>
      </c>
      <c r="I2392" s="1" t="str">
        <f t="shared" si="149"/>
        <v>威尔新数值1.06.xlsm!circlePer</v>
      </c>
    </row>
    <row r="2393" spans="1:9" x14ac:dyDescent="0.15">
      <c r="A2393" s="1">
        <v>2392</v>
      </c>
      <c r="B2393" s="1">
        <v>102041300</v>
      </c>
      <c r="C2393" s="1">
        <f t="shared" si="148"/>
        <v>102</v>
      </c>
      <c r="D2393" s="5">
        <f ca="1">IF(getQuality(B2393)&lt;4,getOtherMin(B2393,C2393,INDIRECT(J$2),INDIRECT(I2393),test),getMin(B2393,C2393,INDIRECT(J$2),INDIRECT(I2393),test))</f>
        <v>0.7</v>
      </c>
      <c r="E2393" s="5">
        <f ca="1">IF(getQuality(B2393)&lt;4,getOtherMax(B2393,C2393,INDIRECT(J$2),INDIRECT(I2393),test),getMax(B2393,C2393,INDIRECT(J$2),INDIRECT(I2393),test))</f>
        <v>1.1000000000000001</v>
      </c>
      <c r="F2393" s="1" t="str">
        <f t="shared" si="150"/>
        <v>50</v>
      </c>
      <c r="G2393" s="1" t="str">
        <f t="shared" si="151"/>
        <v/>
      </c>
      <c r="I2393" s="1" t="str">
        <f t="shared" si="149"/>
        <v>威尔新数值1.06.xlsm!circleValue</v>
      </c>
    </row>
    <row r="2394" spans="1:9" x14ac:dyDescent="0.15">
      <c r="A2394" s="1">
        <v>2393</v>
      </c>
      <c r="B2394" s="1">
        <v>102041300</v>
      </c>
      <c r="C2394" s="1">
        <f t="shared" si="148"/>
        <v>103</v>
      </c>
      <c r="D2394" s="5">
        <f ca="1">IF(getQuality(B2394)&lt;4,getOtherMin(B2394,C2394,INDIRECT(J$2),INDIRECT(I2394),test),getMin(B2394,C2394,INDIRECT(J$2),INDIRECT(I2394),test))</f>
        <v>0.09</v>
      </c>
      <c r="E2394" s="5">
        <f ca="1">IF(getQuality(B2394)&lt;4,getOtherMax(B2394,C2394,INDIRECT(J$2),INDIRECT(I2394),test),getMax(B2394,C2394,INDIRECT(J$2),INDIRECT(I2394),test))</f>
        <v>0.12</v>
      </c>
      <c r="F2394" s="1" t="str">
        <f t="shared" si="150"/>
        <v>50</v>
      </c>
      <c r="G2394" s="1" t="str">
        <f t="shared" si="151"/>
        <v/>
      </c>
      <c r="I2394" s="1" t="str">
        <f t="shared" si="149"/>
        <v>威尔新数值1.06.xlsm!otherDamage</v>
      </c>
    </row>
    <row r="2395" spans="1:9" x14ac:dyDescent="0.15">
      <c r="A2395" s="1">
        <v>2394</v>
      </c>
      <c r="B2395" s="1">
        <v>102041300</v>
      </c>
      <c r="C2395" s="1">
        <f t="shared" si="148"/>
        <v>104</v>
      </c>
      <c r="D2395" s="5">
        <f ca="1">IF(getQuality(B2395)&lt;4,getOtherMin(B2395,C2395,INDIRECT(J$2),INDIRECT(I2395),test),getMin(B2395,C2395,INDIRECT(J$2),INDIRECT(I2395),test))</f>
        <v>0.09</v>
      </c>
      <c r="E2395" s="5">
        <f ca="1">IF(getQuality(B2395)&lt;4,getOtherMax(B2395,C2395,INDIRECT(J$2),INDIRECT(I2395),test),getMax(B2395,C2395,INDIRECT(J$2),INDIRECT(I2395),test))</f>
        <v>0.18</v>
      </c>
      <c r="F2395" s="1" t="str">
        <f t="shared" si="150"/>
        <v>50</v>
      </c>
      <c r="G2395" s="1" t="str">
        <f t="shared" si="151"/>
        <v/>
      </c>
      <c r="I2395" s="1" t="str">
        <f t="shared" si="149"/>
        <v>威尔新数值1.06.xlsm!monsterDamage</v>
      </c>
    </row>
    <row r="2396" spans="1:9" x14ac:dyDescent="0.15">
      <c r="A2396" s="1">
        <v>2395</v>
      </c>
      <c r="B2396" s="1">
        <v>102041300</v>
      </c>
      <c r="C2396" s="1">
        <f t="shared" si="148"/>
        <v>105</v>
      </c>
      <c r="D2396" s="5">
        <f ca="1">IF(getQuality(B2396)&lt;4,getOtherMin(B2396,C2396,INDIRECT(J$2),INDIRECT(I2396),test),getMin(B2396,C2396,INDIRECT(J$2),INDIRECT(I2396),test))</f>
        <v>0.09</v>
      </c>
      <c r="E2396" s="5">
        <f ca="1">IF(getQuality(B2396)&lt;4,getOtherMax(B2396,C2396,INDIRECT(J$2),INDIRECT(I2396),test),getMax(B2396,C2396,INDIRECT(J$2),INDIRECT(I2396),test))</f>
        <v>0.18</v>
      </c>
      <c r="F2396" s="1" t="str">
        <f t="shared" si="150"/>
        <v>50</v>
      </c>
      <c r="G2396" s="1" t="str">
        <f t="shared" si="151"/>
        <v/>
      </c>
      <c r="I2396" s="1" t="str">
        <f t="shared" si="149"/>
        <v>威尔新数值1.06.xlsm!monsterDamage</v>
      </c>
    </row>
    <row r="2397" spans="1:9" x14ac:dyDescent="0.15">
      <c r="A2397" s="1">
        <v>2396</v>
      </c>
      <c r="B2397" s="1">
        <v>102041300</v>
      </c>
      <c r="C2397" s="1">
        <f t="shared" si="148"/>
        <v>106</v>
      </c>
      <c r="D2397" s="5">
        <f ca="1">IF(getQuality(B2397)&lt;4,getOtherMin(B2397,C2397,INDIRECT(J$2),INDIRECT(I2397),test),getMin(B2397,C2397,INDIRECT(J$2),INDIRECT(I2397),test))</f>
        <v>0.09</v>
      </c>
      <c r="E2397" s="5">
        <f ca="1">IF(getQuality(B2397)&lt;4,getOtherMax(B2397,C2397,INDIRECT(J$2),INDIRECT(I2397),test),getMax(B2397,C2397,INDIRECT(J$2),INDIRECT(I2397),test))</f>
        <v>0.18</v>
      </c>
      <c r="F2397" s="1" t="str">
        <f t="shared" si="150"/>
        <v>50</v>
      </c>
      <c r="G2397" s="1" t="str">
        <f t="shared" si="151"/>
        <v/>
      </c>
      <c r="I2397" s="1" t="str">
        <f t="shared" si="149"/>
        <v>威尔新数值1.06.xlsm!monsterDamage</v>
      </c>
    </row>
    <row r="2398" spans="1:9" x14ac:dyDescent="0.15">
      <c r="A2398" s="1">
        <v>2397</v>
      </c>
      <c r="B2398" s="1">
        <v>102041300</v>
      </c>
      <c r="C2398" s="1">
        <f t="shared" si="148"/>
        <v>107</v>
      </c>
      <c r="D2398" s="5">
        <f ca="1">IF(getQuality(B2398)&lt;4,getOtherMin(B2398,C2398,INDIRECT(J$2),INDIRECT(I2398),test),getMin(B2398,C2398,INDIRECT(J$2),INDIRECT(I2398),test))</f>
        <v>0.09</v>
      </c>
      <c r="E2398" s="5">
        <f ca="1">IF(getQuality(B2398)&lt;4,getOtherMax(B2398,C2398,INDIRECT(J$2),INDIRECT(I2398),test),getMax(B2398,C2398,INDIRECT(J$2),INDIRECT(I2398),test))</f>
        <v>0.18</v>
      </c>
      <c r="F2398" s="1" t="str">
        <f t="shared" si="150"/>
        <v>50</v>
      </c>
      <c r="G2398" s="1" t="str">
        <f t="shared" si="151"/>
        <v/>
      </c>
      <c r="I2398" s="1" t="str">
        <f t="shared" si="149"/>
        <v>威尔新数值1.06.xlsm!monsterDamage</v>
      </c>
    </row>
    <row r="2399" spans="1:9" x14ac:dyDescent="0.15">
      <c r="A2399" s="1">
        <v>2398</v>
      </c>
      <c r="B2399" s="1">
        <v>102041300</v>
      </c>
      <c r="C2399" s="1">
        <f t="shared" si="148"/>
        <v>108</v>
      </c>
      <c r="D2399" s="5">
        <f ca="1">IF(getQuality(B2399)&lt;4,getOtherMin(B2399,C2399,INDIRECT(J$2),INDIRECT(I2399),test),getMin(B2399,C2399,INDIRECT(J$2),INDIRECT(I2399),test))</f>
        <v>0.09</v>
      </c>
      <c r="E2399" s="5">
        <f ca="1">IF(getQuality(B2399)&lt;4,getOtherMax(B2399,C2399,INDIRECT(J$2),INDIRECT(I2399),test),getMax(B2399,C2399,INDIRECT(J$2),INDIRECT(I2399),test))</f>
        <v>0.18</v>
      </c>
      <c r="F2399" s="1" t="str">
        <f t="shared" si="150"/>
        <v>50</v>
      </c>
      <c r="G2399" s="1" t="str">
        <f t="shared" si="151"/>
        <v/>
      </c>
      <c r="I2399" s="1" t="str">
        <f t="shared" si="149"/>
        <v>威尔新数值1.06.xlsm!monsterDamage</v>
      </c>
    </row>
    <row r="2400" spans="1:9" x14ac:dyDescent="0.15">
      <c r="A2400" s="1">
        <v>2399</v>
      </c>
      <c r="B2400" s="1">
        <v>102051300</v>
      </c>
      <c r="C2400" s="1">
        <f t="shared" si="148"/>
        <v>3</v>
      </c>
      <c r="D2400" s="5">
        <f ca="1">IF(getQuality(B2400)&lt;4,getOtherMin(B2400,C2400,INDIRECT(J$2),INDIRECT(I2400),test),getMin(B2400,C2400,INDIRECT(J$2),INDIRECT(I2400),test))</f>
        <v>110.24493457930163</v>
      </c>
      <c r="E2400" s="5">
        <f ca="1">IF(getQuality(B2400)&lt;4,getOtherMax(B2400,C2400,INDIRECT(J$2),INDIRECT(I2400),test),getMax(B2400,C2400,INDIRECT(J$2),INDIRECT(I2400),test))</f>
        <v>148.01542709608177</v>
      </c>
      <c r="F2400" s="1" t="str">
        <f t="shared" si="150"/>
        <v>50</v>
      </c>
      <c r="G2400" s="1" t="str">
        <f t="shared" si="151"/>
        <v>1</v>
      </c>
      <c r="I2400" s="1" t="str">
        <f t="shared" si="149"/>
        <v>威尔新数值1.06.xlsm!suitPower</v>
      </c>
    </row>
    <row r="2401" spans="1:9" x14ac:dyDescent="0.15">
      <c r="A2401" s="1">
        <v>2400</v>
      </c>
      <c r="B2401" s="1">
        <v>102051300</v>
      </c>
      <c r="C2401" s="1">
        <f t="shared" si="148"/>
        <v>5</v>
      </c>
      <c r="D2401" s="5">
        <f ca="1">IF(getQuality(B2401)&lt;4,getOtherMin(B2401,C2401,INDIRECT(J$2),INDIRECT(I2401),test),getMin(B2401,C2401,INDIRECT(J$2),INDIRECT(I2401),test))</f>
        <v>110.24493457930163</v>
      </c>
      <c r="E2401" s="5">
        <f ca="1">IF(getQuality(B2401)&lt;4,getOtherMax(B2401,C2401,INDIRECT(J$2),INDIRECT(I2401),test),getMax(B2401,C2401,INDIRECT(J$2),INDIRECT(I2401),test))</f>
        <v>148.01542709608177</v>
      </c>
      <c r="F2401" s="1" t="str">
        <f t="shared" si="150"/>
        <v>50</v>
      </c>
      <c r="G2401" s="1" t="str">
        <f t="shared" si="151"/>
        <v/>
      </c>
      <c r="I2401" s="1" t="str">
        <f t="shared" si="149"/>
        <v>威尔新数值1.06.xlsm!suitPower</v>
      </c>
    </row>
    <row r="2402" spans="1:9" x14ac:dyDescent="0.15">
      <c r="A2402" s="1">
        <v>2401</v>
      </c>
      <c r="B2402" s="1">
        <v>102051300</v>
      </c>
      <c r="C2402" s="1">
        <f t="shared" si="148"/>
        <v>7</v>
      </c>
      <c r="D2402" s="5">
        <f ca="1">IF(getQuality(B2402)&lt;4,getOtherMin(B2402,C2402,INDIRECT(J$2),INDIRECT(I2402),test),getMin(B2402,C2402,INDIRECT(J$2),INDIRECT(I2402),test))</f>
        <v>26.92592592592586</v>
      </c>
      <c r="E2402" s="5">
        <f ca="1">IF(getQuality(B2402)&lt;4,getOtherMax(B2402,C2402,INDIRECT(J$2),INDIRECT(I2402),test),getMax(B2402,C2402,INDIRECT(J$2),INDIRECT(I2402),test))</f>
        <v>32.407407407407327</v>
      </c>
      <c r="F2402" s="1" t="str">
        <f t="shared" si="150"/>
        <v>50</v>
      </c>
      <c r="G2402" s="1" t="str">
        <f t="shared" si="151"/>
        <v/>
      </c>
      <c r="I2402" s="1" t="str">
        <f t="shared" si="149"/>
        <v>威尔新数值1.06.xlsm!suitPower</v>
      </c>
    </row>
    <row r="2403" spans="1:9" x14ac:dyDescent="0.15">
      <c r="A2403" s="1">
        <v>2402</v>
      </c>
      <c r="B2403" s="1">
        <v>102051300</v>
      </c>
      <c r="C2403" s="1">
        <f t="shared" si="148"/>
        <v>8</v>
      </c>
      <c r="D2403" s="5">
        <f ca="1">IF(getQuality(B2403)&lt;4,getOtherMin(B2403,C2403,INDIRECT(J$2),INDIRECT(I2403),test),getMin(B2403,C2403,INDIRECT(J$2),INDIRECT(I2403),test))</f>
        <v>59.333333333333336</v>
      </c>
      <c r="E2403" s="5">
        <f ca="1">IF(getQuality(B2403)&lt;4,getOtherMax(B2403,C2403,INDIRECT(J$2),INDIRECT(I2403),test),getMax(B2403,C2403,INDIRECT(J$2),INDIRECT(I2403),test))</f>
        <v>72.916666666666671</v>
      </c>
      <c r="F2403" s="1" t="str">
        <f t="shared" si="150"/>
        <v>50</v>
      </c>
      <c r="G2403" s="1" t="str">
        <f t="shared" si="151"/>
        <v/>
      </c>
      <c r="I2403" s="1" t="str">
        <f t="shared" si="149"/>
        <v>威尔新数值1.06.xlsm!suitPower</v>
      </c>
    </row>
    <row r="2404" spans="1:9" x14ac:dyDescent="0.15">
      <c r="A2404" s="1">
        <v>2403</v>
      </c>
      <c r="B2404" s="1">
        <v>102051300</v>
      </c>
      <c r="C2404" s="1">
        <f t="shared" ref="C2404:C2467" si="152">C2385</f>
        <v>9</v>
      </c>
      <c r="D2404" s="5">
        <f ca="1">IF(getQuality(B2404)&lt;4,getOtherMin(B2404,C2404,INDIRECT(J$2),INDIRECT(I2404),test),getMin(B2404,C2404,INDIRECT(J$2),INDIRECT(I2404),test))</f>
        <v>110.24493457930163</v>
      </c>
      <c r="E2404" s="5">
        <f ca="1">IF(getQuality(B2404)&lt;4,getOtherMax(B2404,C2404,INDIRECT(J$2),INDIRECT(I2404),test),getMax(B2404,C2404,INDIRECT(J$2),INDIRECT(I2404),test))</f>
        <v>148.01542709608177</v>
      </c>
      <c r="F2404" s="1" t="str">
        <f t="shared" si="150"/>
        <v>50</v>
      </c>
      <c r="G2404" s="1" t="str">
        <f t="shared" si="151"/>
        <v/>
      </c>
      <c r="I2404" s="1" t="str">
        <f t="shared" si="149"/>
        <v>威尔新数值1.06.xlsm!suitPower</v>
      </c>
    </row>
    <row r="2405" spans="1:9" x14ac:dyDescent="0.15">
      <c r="A2405" s="1">
        <v>2404</v>
      </c>
      <c r="B2405" s="1">
        <v>102051300</v>
      </c>
      <c r="C2405" s="1">
        <f t="shared" si="152"/>
        <v>10</v>
      </c>
      <c r="D2405" s="5">
        <f ca="1">IF(getQuality(B2405)&lt;4,getOtherMin(B2405,C2405,INDIRECT(J$2),INDIRECT(I2405),test),getMin(B2405,C2405,INDIRECT(J$2),INDIRECT(I2405),test))</f>
        <v>110.24493457930163</v>
      </c>
      <c r="E2405" s="5">
        <f ca="1">IF(getQuality(B2405)&lt;4,getOtherMax(B2405,C2405,INDIRECT(J$2),INDIRECT(I2405),test),getMax(B2405,C2405,INDIRECT(J$2),INDIRECT(I2405),test))</f>
        <v>148.01542709608177</v>
      </c>
      <c r="F2405" s="1" t="str">
        <f t="shared" si="150"/>
        <v>50</v>
      </c>
      <c r="G2405" s="1" t="str">
        <f t="shared" si="151"/>
        <v/>
      </c>
      <c r="I2405" s="1" t="str">
        <f t="shared" si="149"/>
        <v>威尔新数值1.06.xlsm!suitPower</v>
      </c>
    </row>
    <row r="2406" spans="1:9" x14ac:dyDescent="0.15">
      <c r="A2406" s="1">
        <v>2405</v>
      </c>
      <c r="B2406" s="1">
        <v>102051300</v>
      </c>
      <c r="C2406" s="1">
        <f t="shared" si="152"/>
        <v>11</v>
      </c>
      <c r="D2406" s="5">
        <f ca="1">IF(getQuality(B2406)&lt;4,getOtherMin(B2406,C2406,INDIRECT(J$2),INDIRECT(I2406),test),getMin(B2406,C2406,INDIRECT(J$2),INDIRECT(I2406),test))</f>
        <v>110.24493457930163</v>
      </c>
      <c r="E2406" s="5">
        <f ca="1">IF(getQuality(B2406)&lt;4,getOtherMax(B2406,C2406,INDIRECT(J$2),INDIRECT(I2406),test),getMax(B2406,C2406,INDIRECT(J$2),INDIRECT(I2406),test))</f>
        <v>148.01542709608177</v>
      </c>
      <c r="F2406" s="1" t="str">
        <f t="shared" si="150"/>
        <v>50</v>
      </c>
      <c r="G2406" s="1" t="str">
        <f t="shared" si="151"/>
        <v/>
      </c>
      <c r="I2406" s="1" t="str">
        <f t="shared" si="149"/>
        <v>威尔新数值1.06.xlsm!suitPower</v>
      </c>
    </row>
    <row r="2407" spans="1:9" x14ac:dyDescent="0.15">
      <c r="A2407" s="1">
        <v>2406</v>
      </c>
      <c r="B2407" s="1">
        <v>102051300</v>
      </c>
      <c r="C2407" s="1">
        <f t="shared" si="152"/>
        <v>12</v>
      </c>
      <c r="D2407" s="5">
        <f ca="1">IF(getQuality(B2407)&lt;4,getOtherMin(B2407,C2407,INDIRECT(J$2),INDIRECT(I2407),test),getMin(B2407,C2407,INDIRECT(J$2),INDIRECT(I2407),test))</f>
        <v>110.24493457930163</v>
      </c>
      <c r="E2407" s="5">
        <f ca="1">IF(getQuality(B2407)&lt;4,getOtherMax(B2407,C2407,INDIRECT(J$2),INDIRECT(I2407),test),getMax(B2407,C2407,INDIRECT(J$2),INDIRECT(I2407),test))</f>
        <v>148.01542709608177</v>
      </c>
      <c r="F2407" s="1" t="str">
        <f t="shared" si="150"/>
        <v>50</v>
      </c>
      <c r="G2407" s="1" t="str">
        <f t="shared" si="151"/>
        <v/>
      </c>
      <c r="I2407" s="1" t="str">
        <f t="shared" si="149"/>
        <v>威尔新数值1.06.xlsm!suitPower</v>
      </c>
    </row>
    <row r="2408" spans="1:9" x14ac:dyDescent="0.15">
      <c r="A2408" s="1">
        <v>2407</v>
      </c>
      <c r="B2408" s="1">
        <v>102051300</v>
      </c>
      <c r="C2408" s="1">
        <f t="shared" si="152"/>
        <v>13</v>
      </c>
      <c r="D2408" s="5">
        <f ca="1">IF(getQuality(B2408)&lt;4,getOtherMin(B2408,C2408,INDIRECT(J$2),INDIRECT(I2408),test),getMin(B2408,C2408,INDIRECT(J$2),INDIRECT(I2408),test))</f>
        <v>110.24493457930163</v>
      </c>
      <c r="E2408" s="5">
        <f ca="1">IF(getQuality(B2408)&lt;4,getOtherMax(B2408,C2408,INDIRECT(J$2),INDIRECT(I2408),test),getMax(B2408,C2408,INDIRECT(J$2),INDIRECT(I2408),test))</f>
        <v>148.01542709608177</v>
      </c>
      <c r="F2408" s="1" t="str">
        <f t="shared" si="150"/>
        <v>50</v>
      </c>
      <c r="G2408" s="1" t="str">
        <f t="shared" si="151"/>
        <v/>
      </c>
      <c r="I2408" s="1" t="str">
        <f t="shared" si="149"/>
        <v>威尔新数值1.06.xlsm!suitPower</v>
      </c>
    </row>
    <row r="2409" spans="1:9" x14ac:dyDescent="0.15">
      <c r="A2409" s="1">
        <v>2408</v>
      </c>
      <c r="B2409" s="1">
        <v>102051300</v>
      </c>
      <c r="C2409" s="1">
        <f t="shared" si="152"/>
        <v>14</v>
      </c>
      <c r="D2409" s="5">
        <f ca="1">IF(getQuality(B2409)&lt;4,getOtherMin(B2409,C2409,INDIRECT(J$2),INDIRECT(I2409),test),getMin(B2409,C2409,INDIRECT(J$2),INDIRECT(I2409),test))</f>
        <v>110.24493457930163</v>
      </c>
      <c r="E2409" s="5">
        <f ca="1">IF(getQuality(B2409)&lt;4,getOtherMax(B2409,C2409,INDIRECT(J$2),INDIRECT(I2409),test),getMax(B2409,C2409,INDIRECT(J$2),INDIRECT(I2409),test))</f>
        <v>148.01542709608177</v>
      </c>
      <c r="F2409" s="1" t="str">
        <f t="shared" si="150"/>
        <v>50</v>
      </c>
      <c r="G2409" s="1" t="str">
        <f t="shared" si="151"/>
        <v/>
      </c>
      <c r="I2409" s="1" t="str">
        <f t="shared" si="149"/>
        <v>威尔新数值1.06.xlsm!suitPower</v>
      </c>
    </row>
    <row r="2410" spans="1:9" x14ac:dyDescent="0.15">
      <c r="A2410" s="1">
        <v>2409</v>
      </c>
      <c r="B2410" s="1">
        <v>102051300</v>
      </c>
      <c r="C2410" s="1">
        <f t="shared" si="152"/>
        <v>15</v>
      </c>
      <c r="D2410" s="5">
        <f ca="1">IF(getQuality(B2410)&lt;4,getOtherMin(B2410,C2410,INDIRECT(J$2),INDIRECT(I2410),test),getMin(B2410,C2410,INDIRECT(J$2),INDIRECT(I2410),test))</f>
        <v>110.24493457930163</v>
      </c>
      <c r="E2410" s="5">
        <f ca="1">IF(getQuality(B2410)&lt;4,getOtherMax(B2410,C2410,INDIRECT(J$2),INDIRECT(I2410),test),getMax(B2410,C2410,INDIRECT(J$2),INDIRECT(I2410),test))</f>
        <v>148.01542709608177</v>
      </c>
      <c r="F2410" s="1" t="str">
        <f t="shared" si="150"/>
        <v>50</v>
      </c>
      <c r="G2410" s="1" t="str">
        <f t="shared" si="151"/>
        <v/>
      </c>
      <c r="I2410" s="1" t="str">
        <f t="shared" si="149"/>
        <v>威尔新数值1.06.xlsm!suitPower</v>
      </c>
    </row>
    <row r="2411" spans="1:9" x14ac:dyDescent="0.15">
      <c r="A2411" s="1">
        <v>2410</v>
      </c>
      <c r="B2411" s="1">
        <v>102051300</v>
      </c>
      <c r="C2411" s="1">
        <f t="shared" si="152"/>
        <v>101</v>
      </c>
      <c r="D2411" s="5">
        <f ca="1">IF(getQuality(B2411)&lt;4,getOtherMin(B2411,C2411,INDIRECT(J$2),INDIRECT(I2411),test),getMin(B2411,C2411,INDIRECT(J$2),INDIRECT(I2411),test))</f>
        <v>0.1</v>
      </c>
      <c r="E2411" s="5">
        <f ca="1">IF(getQuality(B2411)&lt;4,getOtherMax(B2411,C2411,INDIRECT(J$2),INDIRECT(I2411),test),getMax(B2411,C2411,INDIRECT(J$2),INDIRECT(I2411),test))</f>
        <v>0.13</v>
      </c>
      <c r="F2411" s="1" t="str">
        <f t="shared" si="150"/>
        <v>50</v>
      </c>
      <c r="G2411" s="1" t="str">
        <f t="shared" si="151"/>
        <v/>
      </c>
      <c r="I2411" s="1" t="str">
        <f t="shared" si="149"/>
        <v>威尔新数值1.06.xlsm!circlePer</v>
      </c>
    </row>
    <row r="2412" spans="1:9" x14ac:dyDescent="0.15">
      <c r="A2412" s="1">
        <v>2411</v>
      </c>
      <c r="B2412" s="1">
        <v>102051300</v>
      </c>
      <c r="C2412" s="1">
        <f t="shared" si="152"/>
        <v>102</v>
      </c>
      <c r="D2412" s="5">
        <f ca="1">IF(getQuality(B2412)&lt;4,getOtherMin(B2412,C2412,INDIRECT(J$2),INDIRECT(I2412),test),getMin(B2412,C2412,INDIRECT(J$2),INDIRECT(I2412),test))</f>
        <v>0.8</v>
      </c>
      <c r="E2412" s="5">
        <f ca="1">IF(getQuality(B2412)&lt;4,getOtherMax(B2412,C2412,INDIRECT(J$2),INDIRECT(I2412),test),getMax(B2412,C2412,INDIRECT(J$2),INDIRECT(I2412),test))</f>
        <v>1.2</v>
      </c>
      <c r="F2412" s="1" t="str">
        <f t="shared" si="150"/>
        <v>50</v>
      </c>
      <c r="G2412" s="1" t="str">
        <f t="shared" si="151"/>
        <v/>
      </c>
      <c r="I2412" s="1" t="str">
        <f t="shared" si="149"/>
        <v>威尔新数值1.06.xlsm!circleValue</v>
      </c>
    </row>
    <row r="2413" spans="1:9" x14ac:dyDescent="0.15">
      <c r="A2413" s="1">
        <v>2412</v>
      </c>
      <c r="B2413" s="1">
        <v>102051300</v>
      </c>
      <c r="C2413" s="1">
        <f t="shared" si="152"/>
        <v>103</v>
      </c>
      <c r="D2413" s="5">
        <f ca="1">IF(getQuality(B2413)&lt;4,getOtherMin(B2413,C2413,INDIRECT(J$2),INDIRECT(I2413),test),getMin(B2413,C2413,INDIRECT(J$2),INDIRECT(I2413),test))</f>
        <v>0.1</v>
      </c>
      <c r="E2413" s="5">
        <f ca="1">IF(getQuality(B2413)&lt;4,getOtherMax(B2413,C2413,INDIRECT(J$2),INDIRECT(I2413),test),getMax(B2413,C2413,INDIRECT(J$2),INDIRECT(I2413),test))</f>
        <v>0.13</v>
      </c>
      <c r="F2413" s="1" t="str">
        <f t="shared" si="150"/>
        <v>50</v>
      </c>
      <c r="G2413" s="1" t="str">
        <f t="shared" si="151"/>
        <v/>
      </c>
      <c r="I2413" s="1" t="str">
        <f t="shared" si="149"/>
        <v>威尔新数值1.06.xlsm!otherDamage</v>
      </c>
    </row>
    <row r="2414" spans="1:9" x14ac:dyDescent="0.15">
      <c r="A2414" s="1">
        <v>2413</v>
      </c>
      <c r="B2414" s="1">
        <v>102051300</v>
      </c>
      <c r="C2414" s="1">
        <f t="shared" si="152"/>
        <v>104</v>
      </c>
      <c r="D2414" s="5">
        <f ca="1">IF(getQuality(B2414)&lt;4,getOtherMin(B2414,C2414,INDIRECT(J$2),INDIRECT(I2414),test),getMin(B2414,C2414,INDIRECT(J$2),INDIRECT(I2414),test))</f>
        <v>0.1</v>
      </c>
      <c r="E2414" s="5">
        <f ca="1">IF(getQuality(B2414)&lt;4,getOtherMax(B2414,C2414,INDIRECT(J$2),INDIRECT(I2414),test),getMax(B2414,C2414,INDIRECT(J$2),INDIRECT(I2414),test))</f>
        <v>0.2</v>
      </c>
      <c r="F2414" s="1" t="str">
        <f t="shared" si="150"/>
        <v>50</v>
      </c>
      <c r="G2414" s="1" t="str">
        <f t="shared" si="151"/>
        <v/>
      </c>
      <c r="I2414" s="1" t="str">
        <f t="shared" si="149"/>
        <v>威尔新数值1.06.xlsm!monsterDamage</v>
      </c>
    </row>
    <row r="2415" spans="1:9" x14ac:dyDescent="0.15">
      <c r="A2415" s="1">
        <v>2414</v>
      </c>
      <c r="B2415" s="1">
        <v>102051300</v>
      </c>
      <c r="C2415" s="1">
        <f t="shared" si="152"/>
        <v>105</v>
      </c>
      <c r="D2415" s="5">
        <f ca="1">IF(getQuality(B2415)&lt;4,getOtherMin(B2415,C2415,INDIRECT(J$2),INDIRECT(I2415),test),getMin(B2415,C2415,INDIRECT(J$2),INDIRECT(I2415),test))</f>
        <v>0.1</v>
      </c>
      <c r="E2415" s="5">
        <f ca="1">IF(getQuality(B2415)&lt;4,getOtherMax(B2415,C2415,INDIRECT(J$2),INDIRECT(I2415),test),getMax(B2415,C2415,INDIRECT(J$2),INDIRECT(I2415),test))</f>
        <v>0.2</v>
      </c>
      <c r="F2415" s="1" t="str">
        <f t="shared" si="150"/>
        <v>50</v>
      </c>
      <c r="G2415" s="1" t="str">
        <f t="shared" si="151"/>
        <v/>
      </c>
      <c r="I2415" s="1" t="str">
        <f t="shared" si="149"/>
        <v>威尔新数值1.06.xlsm!monsterDamage</v>
      </c>
    </row>
    <row r="2416" spans="1:9" x14ac:dyDescent="0.15">
      <c r="A2416" s="1">
        <v>2415</v>
      </c>
      <c r="B2416" s="1">
        <v>102051300</v>
      </c>
      <c r="C2416" s="1">
        <f t="shared" si="152"/>
        <v>106</v>
      </c>
      <c r="D2416" s="5">
        <f ca="1">IF(getQuality(B2416)&lt;4,getOtherMin(B2416,C2416,INDIRECT(J$2),INDIRECT(I2416),test),getMin(B2416,C2416,INDIRECT(J$2),INDIRECT(I2416),test))</f>
        <v>0.1</v>
      </c>
      <c r="E2416" s="5">
        <f ca="1">IF(getQuality(B2416)&lt;4,getOtherMax(B2416,C2416,INDIRECT(J$2),INDIRECT(I2416),test),getMax(B2416,C2416,INDIRECT(J$2),INDIRECT(I2416),test))</f>
        <v>0.2</v>
      </c>
      <c r="F2416" s="1" t="str">
        <f t="shared" si="150"/>
        <v>50</v>
      </c>
      <c r="G2416" s="1" t="str">
        <f t="shared" si="151"/>
        <v/>
      </c>
      <c r="I2416" s="1" t="str">
        <f t="shared" si="149"/>
        <v>威尔新数值1.06.xlsm!monsterDamage</v>
      </c>
    </row>
    <row r="2417" spans="1:9" x14ac:dyDescent="0.15">
      <c r="A2417" s="1">
        <v>2416</v>
      </c>
      <c r="B2417" s="1">
        <v>102051300</v>
      </c>
      <c r="C2417" s="1">
        <f t="shared" si="152"/>
        <v>107</v>
      </c>
      <c r="D2417" s="5">
        <f ca="1">IF(getQuality(B2417)&lt;4,getOtherMin(B2417,C2417,INDIRECT(J$2),INDIRECT(I2417),test),getMin(B2417,C2417,INDIRECT(J$2),INDIRECT(I2417),test))</f>
        <v>0.1</v>
      </c>
      <c r="E2417" s="5">
        <f ca="1">IF(getQuality(B2417)&lt;4,getOtherMax(B2417,C2417,INDIRECT(J$2),INDIRECT(I2417),test),getMax(B2417,C2417,INDIRECT(J$2),INDIRECT(I2417),test))</f>
        <v>0.2</v>
      </c>
      <c r="F2417" s="1" t="str">
        <f t="shared" si="150"/>
        <v>50</v>
      </c>
      <c r="G2417" s="1" t="str">
        <f t="shared" si="151"/>
        <v/>
      </c>
      <c r="I2417" s="1" t="str">
        <f t="shared" si="149"/>
        <v>威尔新数值1.06.xlsm!monsterDamage</v>
      </c>
    </row>
    <row r="2418" spans="1:9" x14ac:dyDescent="0.15">
      <c r="A2418" s="1">
        <v>2417</v>
      </c>
      <c r="B2418" s="1">
        <v>102051300</v>
      </c>
      <c r="C2418" s="1">
        <f t="shared" si="152"/>
        <v>108</v>
      </c>
      <c r="D2418" s="5">
        <f ca="1">IF(getQuality(B2418)&lt;4,getOtherMin(B2418,C2418,INDIRECT(J$2),INDIRECT(I2418),test),getMin(B2418,C2418,INDIRECT(J$2),INDIRECT(I2418),test))</f>
        <v>0.1</v>
      </c>
      <c r="E2418" s="5">
        <f ca="1">IF(getQuality(B2418)&lt;4,getOtherMax(B2418,C2418,INDIRECT(J$2),INDIRECT(I2418),test),getMax(B2418,C2418,INDIRECT(J$2),INDIRECT(I2418),test))</f>
        <v>0.2</v>
      </c>
      <c r="F2418" s="1" t="str">
        <f t="shared" si="150"/>
        <v>50</v>
      </c>
      <c r="G2418" s="1" t="str">
        <f t="shared" si="151"/>
        <v/>
      </c>
      <c r="I2418" s="1" t="str">
        <f t="shared" si="149"/>
        <v>威尔新数值1.06.xlsm!monsterDamage</v>
      </c>
    </row>
    <row r="2419" spans="1:9" x14ac:dyDescent="0.15">
      <c r="A2419" s="1">
        <v>2418</v>
      </c>
      <c r="B2419" s="1">
        <v>102061300</v>
      </c>
      <c r="C2419" s="1">
        <f t="shared" si="152"/>
        <v>3</v>
      </c>
      <c r="D2419" s="5">
        <f ca="1">IF(getQuality(B2419)&lt;4,getOtherMin(B2419,C2419,INDIRECT(J$2),INDIRECT(I2419),test),getMin(B2419,C2419,INDIRECT(J$2),INDIRECT(I2419),test))</f>
        <v>149.01542709608177</v>
      </c>
      <c r="E2419" s="5">
        <f ca="1">IF(getQuality(B2419)&lt;4,getOtherMax(B2419,C2419,INDIRECT(J$2),INDIRECT(I2419),test),getMax(B2419,C2419,INDIRECT(J$2),INDIRECT(I2419),test))</f>
        <v>190.22369727444828</v>
      </c>
      <c r="F2419" s="1" t="str">
        <f t="shared" si="150"/>
        <v>50</v>
      </c>
      <c r="G2419" s="1" t="str">
        <f t="shared" si="151"/>
        <v>1</v>
      </c>
      <c r="I2419" s="1" t="str">
        <f t="shared" si="149"/>
        <v>威尔新数值1.06.xlsm!suitPower</v>
      </c>
    </row>
    <row r="2420" spans="1:9" x14ac:dyDescent="0.15">
      <c r="A2420" s="1">
        <v>2419</v>
      </c>
      <c r="B2420" s="1">
        <v>102061300</v>
      </c>
      <c r="C2420" s="1">
        <f t="shared" si="152"/>
        <v>5</v>
      </c>
      <c r="D2420" s="5">
        <f ca="1">IF(getQuality(B2420)&lt;4,getOtherMin(B2420,C2420,INDIRECT(J$2),INDIRECT(I2420),test),getMin(B2420,C2420,INDIRECT(J$2),INDIRECT(I2420),test))</f>
        <v>149.01542709608177</v>
      </c>
      <c r="E2420" s="5">
        <f ca="1">IF(getQuality(B2420)&lt;4,getOtherMax(B2420,C2420,INDIRECT(J$2),INDIRECT(I2420),test),getMax(B2420,C2420,INDIRECT(J$2),INDIRECT(I2420),test))</f>
        <v>190.22369727444828</v>
      </c>
      <c r="F2420" s="1" t="str">
        <f t="shared" si="150"/>
        <v>50</v>
      </c>
      <c r="G2420" s="1" t="str">
        <f t="shared" si="151"/>
        <v/>
      </c>
      <c r="I2420" s="1" t="str">
        <f t="shared" si="149"/>
        <v>威尔新数值1.06.xlsm!suitPower</v>
      </c>
    </row>
    <row r="2421" spans="1:9" x14ac:dyDescent="0.15">
      <c r="A2421" s="1">
        <v>2420</v>
      </c>
      <c r="B2421" s="1">
        <v>102061300</v>
      </c>
      <c r="C2421" s="1">
        <f t="shared" si="152"/>
        <v>7</v>
      </c>
      <c r="D2421" s="5">
        <f ca="1">IF(getQuality(B2421)&lt;4,getOtherMin(B2421,C2421,INDIRECT(J$2),INDIRECT(I2421),test),getMin(B2421,C2421,INDIRECT(J$2),INDIRECT(I2421),test))</f>
        <v>33.407407407407327</v>
      </c>
      <c r="E2421" s="5">
        <f ca="1">IF(getQuality(B2421)&lt;4,getOtherMax(B2421,C2421,INDIRECT(J$2),INDIRECT(I2421),test),getMax(B2421,C2421,INDIRECT(J$2),INDIRECT(I2421),test))</f>
        <v>38.888888888888786</v>
      </c>
      <c r="F2421" s="1" t="str">
        <f t="shared" si="150"/>
        <v>50</v>
      </c>
      <c r="G2421" s="1" t="str">
        <f t="shared" si="151"/>
        <v/>
      </c>
      <c r="I2421" s="1" t="str">
        <f t="shared" si="149"/>
        <v>威尔新数值1.06.xlsm!suitPower</v>
      </c>
    </row>
    <row r="2422" spans="1:9" x14ac:dyDescent="0.15">
      <c r="A2422" s="1">
        <v>2421</v>
      </c>
      <c r="B2422" s="1">
        <v>102061300</v>
      </c>
      <c r="C2422" s="1">
        <f t="shared" si="152"/>
        <v>8</v>
      </c>
      <c r="D2422" s="5">
        <f ca="1">IF(getQuality(B2422)&lt;4,getOtherMin(B2422,C2422,INDIRECT(J$2),INDIRECT(I2422),test),getMin(B2422,C2422,INDIRECT(J$2),INDIRECT(I2422),test))</f>
        <v>73.916666666666671</v>
      </c>
      <c r="E2422" s="5">
        <f ca="1">IF(getQuality(B2422)&lt;4,getOtherMax(B2422,C2422,INDIRECT(J$2),INDIRECT(I2422),test),getMax(B2422,C2422,INDIRECT(J$2),INDIRECT(I2422),test))</f>
        <v>87.5</v>
      </c>
      <c r="F2422" s="1" t="str">
        <f t="shared" si="150"/>
        <v>50</v>
      </c>
      <c r="G2422" s="1" t="str">
        <f t="shared" si="151"/>
        <v/>
      </c>
      <c r="I2422" s="1" t="str">
        <f t="shared" si="149"/>
        <v>威尔新数值1.06.xlsm!suitPower</v>
      </c>
    </row>
    <row r="2423" spans="1:9" x14ac:dyDescent="0.15">
      <c r="A2423" s="1">
        <v>2422</v>
      </c>
      <c r="B2423" s="1">
        <v>102061300</v>
      </c>
      <c r="C2423" s="1">
        <f t="shared" si="152"/>
        <v>9</v>
      </c>
      <c r="D2423" s="5">
        <f ca="1">IF(getQuality(B2423)&lt;4,getOtherMin(B2423,C2423,INDIRECT(J$2),INDIRECT(I2423),test),getMin(B2423,C2423,INDIRECT(J$2),INDIRECT(I2423),test))</f>
        <v>149.01542709608177</v>
      </c>
      <c r="E2423" s="5">
        <f ca="1">IF(getQuality(B2423)&lt;4,getOtherMax(B2423,C2423,INDIRECT(J$2),INDIRECT(I2423),test),getMax(B2423,C2423,INDIRECT(J$2),INDIRECT(I2423),test))</f>
        <v>190.22369727444828</v>
      </c>
      <c r="F2423" s="1" t="str">
        <f t="shared" si="150"/>
        <v>50</v>
      </c>
      <c r="G2423" s="1" t="str">
        <f t="shared" si="151"/>
        <v/>
      </c>
      <c r="I2423" s="1" t="str">
        <f t="shared" si="149"/>
        <v>威尔新数值1.06.xlsm!suitPower</v>
      </c>
    </row>
    <row r="2424" spans="1:9" x14ac:dyDescent="0.15">
      <c r="A2424" s="1">
        <v>2423</v>
      </c>
      <c r="B2424" s="1">
        <v>102061300</v>
      </c>
      <c r="C2424" s="1">
        <f t="shared" si="152"/>
        <v>10</v>
      </c>
      <c r="D2424" s="5">
        <f ca="1">IF(getQuality(B2424)&lt;4,getOtherMin(B2424,C2424,INDIRECT(J$2),INDIRECT(I2424),test),getMin(B2424,C2424,INDIRECT(J$2),INDIRECT(I2424),test))</f>
        <v>149.01542709608177</v>
      </c>
      <c r="E2424" s="5">
        <f ca="1">IF(getQuality(B2424)&lt;4,getOtherMax(B2424,C2424,INDIRECT(J$2),INDIRECT(I2424),test),getMax(B2424,C2424,INDIRECT(J$2),INDIRECT(I2424),test))</f>
        <v>190.22369727444828</v>
      </c>
      <c r="F2424" s="1" t="str">
        <f t="shared" si="150"/>
        <v>50</v>
      </c>
      <c r="G2424" s="1" t="str">
        <f t="shared" si="151"/>
        <v/>
      </c>
      <c r="I2424" s="1" t="str">
        <f t="shared" si="149"/>
        <v>威尔新数值1.06.xlsm!suitPower</v>
      </c>
    </row>
    <row r="2425" spans="1:9" x14ac:dyDescent="0.15">
      <c r="A2425" s="1">
        <v>2424</v>
      </c>
      <c r="B2425" s="1">
        <v>102061300</v>
      </c>
      <c r="C2425" s="1">
        <f t="shared" si="152"/>
        <v>11</v>
      </c>
      <c r="D2425" s="5">
        <f ca="1">IF(getQuality(B2425)&lt;4,getOtherMin(B2425,C2425,INDIRECT(J$2),INDIRECT(I2425),test),getMin(B2425,C2425,INDIRECT(J$2),INDIRECT(I2425),test))</f>
        <v>149.01542709608177</v>
      </c>
      <c r="E2425" s="5">
        <f ca="1">IF(getQuality(B2425)&lt;4,getOtherMax(B2425,C2425,INDIRECT(J$2),INDIRECT(I2425),test),getMax(B2425,C2425,INDIRECT(J$2),INDIRECT(I2425),test))</f>
        <v>190.22369727444828</v>
      </c>
      <c r="F2425" s="1" t="str">
        <f t="shared" si="150"/>
        <v>50</v>
      </c>
      <c r="G2425" s="1" t="str">
        <f t="shared" si="151"/>
        <v/>
      </c>
      <c r="I2425" s="1" t="str">
        <f t="shared" si="149"/>
        <v>威尔新数值1.06.xlsm!suitPower</v>
      </c>
    </row>
    <row r="2426" spans="1:9" x14ac:dyDescent="0.15">
      <c r="A2426" s="1">
        <v>2425</v>
      </c>
      <c r="B2426" s="1">
        <v>102061300</v>
      </c>
      <c r="C2426" s="1">
        <f t="shared" si="152"/>
        <v>12</v>
      </c>
      <c r="D2426" s="5">
        <f ca="1">IF(getQuality(B2426)&lt;4,getOtherMin(B2426,C2426,INDIRECT(J$2),INDIRECT(I2426),test),getMin(B2426,C2426,INDIRECT(J$2),INDIRECT(I2426),test))</f>
        <v>149.01542709608177</v>
      </c>
      <c r="E2426" s="5">
        <f ca="1">IF(getQuality(B2426)&lt;4,getOtherMax(B2426,C2426,INDIRECT(J$2),INDIRECT(I2426),test),getMax(B2426,C2426,INDIRECT(J$2),INDIRECT(I2426),test))</f>
        <v>190.22369727444828</v>
      </c>
      <c r="F2426" s="1" t="str">
        <f t="shared" si="150"/>
        <v>50</v>
      </c>
      <c r="G2426" s="1" t="str">
        <f t="shared" si="151"/>
        <v/>
      </c>
      <c r="I2426" s="1" t="str">
        <f t="shared" si="149"/>
        <v>威尔新数值1.06.xlsm!suitPower</v>
      </c>
    </row>
    <row r="2427" spans="1:9" x14ac:dyDescent="0.15">
      <c r="A2427" s="1">
        <v>2426</v>
      </c>
      <c r="B2427" s="1">
        <v>102061300</v>
      </c>
      <c r="C2427" s="1">
        <f t="shared" si="152"/>
        <v>13</v>
      </c>
      <c r="D2427" s="5">
        <f ca="1">IF(getQuality(B2427)&lt;4,getOtherMin(B2427,C2427,INDIRECT(J$2),INDIRECT(I2427),test),getMin(B2427,C2427,INDIRECT(J$2),INDIRECT(I2427),test))</f>
        <v>149.01542709608177</v>
      </c>
      <c r="E2427" s="5">
        <f ca="1">IF(getQuality(B2427)&lt;4,getOtherMax(B2427,C2427,INDIRECT(J$2),INDIRECT(I2427),test),getMax(B2427,C2427,INDIRECT(J$2),INDIRECT(I2427),test))</f>
        <v>190.22369727444828</v>
      </c>
      <c r="F2427" s="1" t="str">
        <f t="shared" si="150"/>
        <v>50</v>
      </c>
      <c r="G2427" s="1" t="str">
        <f t="shared" si="151"/>
        <v/>
      </c>
      <c r="I2427" s="1" t="str">
        <f t="shared" si="149"/>
        <v>威尔新数值1.06.xlsm!suitPower</v>
      </c>
    </row>
    <row r="2428" spans="1:9" x14ac:dyDescent="0.15">
      <c r="A2428" s="1">
        <v>2427</v>
      </c>
      <c r="B2428" s="1">
        <v>102061300</v>
      </c>
      <c r="C2428" s="1">
        <f t="shared" si="152"/>
        <v>14</v>
      </c>
      <c r="D2428" s="5">
        <f ca="1">IF(getQuality(B2428)&lt;4,getOtherMin(B2428,C2428,INDIRECT(J$2),INDIRECT(I2428),test),getMin(B2428,C2428,INDIRECT(J$2),INDIRECT(I2428),test))</f>
        <v>149.01542709608177</v>
      </c>
      <c r="E2428" s="5">
        <f ca="1">IF(getQuality(B2428)&lt;4,getOtherMax(B2428,C2428,INDIRECT(J$2),INDIRECT(I2428),test),getMax(B2428,C2428,INDIRECT(J$2),INDIRECT(I2428),test))</f>
        <v>190.22369727444828</v>
      </c>
      <c r="F2428" s="1" t="str">
        <f t="shared" si="150"/>
        <v>50</v>
      </c>
      <c r="G2428" s="1" t="str">
        <f t="shared" si="151"/>
        <v/>
      </c>
      <c r="I2428" s="1" t="str">
        <f t="shared" si="149"/>
        <v>威尔新数值1.06.xlsm!suitPower</v>
      </c>
    </row>
    <row r="2429" spans="1:9" x14ac:dyDescent="0.15">
      <c r="A2429" s="1">
        <v>2428</v>
      </c>
      <c r="B2429" s="1">
        <v>102061300</v>
      </c>
      <c r="C2429" s="1">
        <f t="shared" si="152"/>
        <v>15</v>
      </c>
      <c r="D2429" s="5">
        <f ca="1">IF(getQuality(B2429)&lt;4,getOtherMin(B2429,C2429,INDIRECT(J$2),INDIRECT(I2429),test),getMin(B2429,C2429,INDIRECT(J$2),INDIRECT(I2429),test))</f>
        <v>149.01542709608177</v>
      </c>
      <c r="E2429" s="5">
        <f ca="1">IF(getQuality(B2429)&lt;4,getOtherMax(B2429,C2429,INDIRECT(J$2),INDIRECT(I2429),test),getMax(B2429,C2429,INDIRECT(J$2),INDIRECT(I2429),test))</f>
        <v>190.22369727444828</v>
      </c>
      <c r="F2429" s="1" t="str">
        <f t="shared" si="150"/>
        <v>50</v>
      </c>
      <c r="G2429" s="1" t="str">
        <f t="shared" si="151"/>
        <v/>
      </c>
      <c r="I2429" s="1" t="str">
        <f t="shared" si="149"/>
        <v>威尔新数值1.06.xlsm!suitPower</v>
      </c>
    </row>
    <row r="2430" spans="1:9" x14ac:dyDescent="0.15">
      <c r="A2430" s="1">
        <v>2429</v>
      </c>
      <c r="B2430" s="1">
        <v>102061300</v>
      </c>
      <c r="C2430" s="1">
        <f t="shared" si="152"/>
        <v>101</v>
      </c>
      <c r="D2430" s="5">
        <f ca="1">IF(getQuality(B2430)&lt;4,getOtherMin(B2430,C2430,INDIRECT(J$2),INDIRECT(I2430),test),getMin(B2430,C2430,INDIRECT(J$2),INDIRECT(I2430),test))</f>
        <v>0.11</v>
      </c>
      <c r="E2430" s="5">
        <f ca="1">IF(getQuality(B2430)&lt;4,getOtherMax(B2430,C2430,INDIRECT(J$2),INDIRECT(I2430),test),getMax(B2430,C2430,INDIRECT(J$2),INDIRECT(I2430),test))</f>
        <v>0.14000000000000001</v>
      </c>
      <c r="F2430" s="1" t="str">
        <f t="shared" si="150"/>
        <v>50</v>
      </c>
      <c r="G2430" s="1" t="str">
        <f t="shared" si="151"/>
        <v/>
      </c>
      <c r="I2430" s="1" t="str">
        <f t="shared" si="149"/>
        <v>威尔新数值1.06.xlsm!circlePer</v>
      </c>
    </row>
    <row r="2431" spans="1:9" x14ac:dyDescent="0.15">
      <c r="A2431" s="1">
        <v>2430</v>
      </c>
      <c r="B2431" s="1">
        <v>102061300</v>
      </c>
      <c r="C2431" s="1">
        <f t="shared" si="152"/>
        <v>102</v>
      </c>
      <c r="D2431" s="5">
        <f ca="1">IF(getQuality(B2431)&lt;4,getOtherMin(B2431,C2431,INDIRECT(J$2),INDIRECT(I2431),test),getMin(B2431,C2431,INDIRECT(J$2),INDIRECT(I2431),test))</f>
        <v>0.9</v>
      </c>
      <c r="E2431" s="5">
        <f ca="1">IF(getQuality(B2431)&lt;4,getOtherMax(B2431,C2431,INDIRECT(J$2),INDIRECT(I2431),test),getMax(B2431,C2431,INDIRECT(J$2),INDIRECT(I2431),test))</f>
        <v>1.3</v>
      </c>
      <c r="F2431" s="1" t="str">
        <f t="shared" si="150"/>
        <v>50</v>
      </c>
      <c r="G2431" s="1" t="str">
        <f t="shared" si="151"/>
        <v/>
      </c>
      <c r="I2431" s="1" t="str">
        <f t="shared" si="149"/>
        <v>威尔新数值1.06.xlsm!circleValue</v>
      </c>
    </row>
    <row r="2432" spans="1:9" x14ac:dyDescent="0.15">
      <c r="A2432" s="1">
        <v>2431</v>
      </c>
      <c r="B2432" s="1">
        <v>102061300</v>
      </c>
      <c r="C2432" s="1">
        <f t="shared" si="152"/>
        <v>103</v>
      </c>
      <c r="D2432" s="5">
        <f ca="1">IF(getQuality(B2432)&lt;4,getOtherMin(B2432,C2432,INDIRECT(J$2),INDIRECT(I2432),test),getMin(B2432,C2432,INDIRECT(J$2),INDIRECT(I2432),test))</f>
        <v>0.11</v>
      </c>
      <c r="E2432" s="5">
        <f ca="1">IF(getQuality(B2432)&lt;4,getOtherMax(B2432,C2432,INDIRECT(J$2),INDIRECT(I2432),test),getMax(B2432,C2432,INDIRECT(J$2),INDIRECT(I2432),test))</f>
        <v>0.14000000000000001</v>
      </c>
      <c r="F2432" s="1" t="str">
        <f t="shared" si="150"/>
        <v>50</v>
      </c>
      <c r="G2432" s="1" t="str">
        <f t="shared" si="151"/>
        <v/>
      </c>
      <c r="I2432" s="1" t="str">
        <f t="shared" si="149"/>
        <v>威尔新数值1.06.xlsm!otherDamage</v>
      </c>
    </row>
    <row r="2433" spans="1:9" x14ac:dyDescent="0.15">
      <c r="A2433" s="1">
        <v>2432</v>
      </c>
      <c r="B2433" s="1">
        <v>102061300</v>
      </c>
      <c r="C2433" s="1">
        <f t="shared" si="152"/>
        <v>104</v>
      </c>
      <c r="D2433" s="5">
        <f ca="1">IF(getQuality(B2433)&lt;4,getOtherMin(B2433,C2433,INDIRECT(J$2),INDIRECT(I2433),test),getMin(B2433,C2433,INDIRECT(J$2),INDIRECT(I2433),test))</f>
        <v>0.11</v>
      </c>
      <c r="E2433" s="5">
        <f ca="1">IF(getQuality(B2433)&lt;4,getOtherMax(B2433,C2433,INDIRECT(J$2),INDIRECT(I2433),test),getMax(B2433,C2433,INDIRECT(J$2),INDIRECT(I2433),test))</f>
        <v>0.22</v>
      </c>
      <c r="F2433" s="1" t="str">
        <f t="shared" si="150"/>
        <v>50</v>
      </c>
      <c r="G2433" s="1" t="str">
        <f t="shared" si="151"/>
        <v/>
      </c>
      <c r="I2433" s="1" t="str">
        <f t="shared" si="149"/>
        <v>威尔新数值1.06.xlsm!monsterDamage</v>
      </c>
    </row>
    <row r="2434" spans="1:9" x14ac:dyDescent="0.15">
      <c r="A2434" s="1">
        <v>2433</v>
      </c>
      <c r="B2434" s="1">
        <v>102061300</v>
      </c>
      <c r="C2434" s="1">
        <f t="shared" si="152"/>
        <v>105</v>
      </c>
      <c r="D2434" s="5">
        <f ca="1">IF(getQuality(B2434)&lt;4,getOtherMin(B2434,C2434,INDIRECT(J$2),INDIRECT(I2434),test),getMin(B2434,C2434,INDIRECT(J$2),INDIRECT(I2434),test))</f>
        <v>0.11</v>
      </c>
      <c r="E2434" s="5">
        <f ca="1">IF(getQuality(B2434)&lt;4,getOtherMax(B2434,C2434,INDIRECT(J$2),INDIRECT(I2434),test),getMax(B2434,C2434,INDIRECT(J$2),INDIRECT(I2434),test))</f>
        <v>0.22</v>
      </c>
      <c r="F2434" s="1" t="str">
        <f t="shared" si="150"/>
        <v>50</v>
      </c>
      <c r="G2434" s="1" t="str">
        <f t="shared" si="151"/>
        <v/>
      </c>
      <c r="I2434" s="1" t="str">
        <f t="shared" ref="I2434:I2497" si="153">IF(C2434&lt;100,VLOOKUP(C2434,test,3,FALSE),VLOOKUP(C2434,test1,3,FALSE))</f>
        <v>威尔新数值1.06.xlsm!monsterDamage</v>
      </c>
    </row>
    <row r="2435" spans="1:9" x14ac:dyDescent="0.15">
      <c r="A2435" s="1">
        <v>2434</v>
      </c>
      <c r="B2435" s="1">
        <v>102061300</v>
      </c>
      <c r="C2435" s="1">
        <f t="shared" si="152"/>
        <v>106</v>
      </c>
      <c r="D2435" s="5">
        <f ca="1">IF(getQuality(B2435)&lt;4,getOtherMin(B2435,C2435,INDIRECT(J$2),INDIRECT(I2435),test),getMin(B2435,C2435,INDIRECT(J$2),INDIRECT(I2435),test))</f>
        <v>0.11</v>
      </c>
      <c r="E2435" s="5">
        <f ca="1">IF(getQuality(B2435)&lt;4,getOtherMax(B2435,C2435,INDIRECT(J$2),INDIRECT(I2435),test),getMax(B2435,C2435,INDIRECT(J$2),INDIRECT(I2435),test))</f>
        <v>0.22</v>
      </c>
      <c r="F2435" s="1" t="str">
        <f t="shared" ref="F2435:F2498" si="154">getper(B2435,C2435)</f>
        <v>50</v>
      </c>
      <c r="G2435" s="1" t="str">
        <f t="shared" ref="G2435:G2498" si="155">getMust(B2435,C2435)</f>
        <v/>
      </c>
      <c r="I2435" s="1" t="str">
        <f t="shared" si="153"/>
        <v>威尔新数值1.06.xlsm!monsterDamage</v>
      </c>
    </row>
    <row r="2436" spans="1:9" x14ac:dyDescent="0.15">
      <c r="A2436" s="1">
        <v>2435</v>
      </c>
      <c r="B2436" s="1">
        <v>102061300</v>
      </c>
      <c r="C2436" s="1">
        <f t="shared" si="152"/>
        <v>107</v>
      </c>
      <c r="D2436" s="5">
        <f ca="1">IF(getQuality(B2436)&lt;4,getOtherMin(B2436,C2436,INDIRECT(J$2),INDIRECT(I2436),test),getMin(B2436,C2436,INDIRECT(J$2),INDIRECT(I2436),test))</f>
        <v>0.11</v>
      </c>
      <c r="E2436" s="5">
        <f ca="1">IF(getQuality(B2436)&lt;4,getOtherMax(B2436,C2436,INDIRECT(J$2),INDIRECT(I2436),test),getMax(B2436,C2436,INDIRECT(J$2),INDIRECT(I2436),test))</f>
        <v>0.22</v>
      </c>
      <c r="F2436" s="1" t="str">
        <f t="shared" si="154"/>
        <v>50</v>
      </c>
      <c r="G2436" s="1" t="str">
        <f t="shared" si="155"/>
        <v/>
      </c>
      <c r="I2436" s="1" t="str">
        <f t="shared" si="153"/>
        <v>威尔新数值1.06.xlsm!monsterDamage</v>
      </c>
    </row>
    <row r="2437" spans="1:9" x14ac:dyDescent="0.15">
      <c r="A2437" s="1">
        <v>2436</v>
      </c>
      <c r="B2437" s="1">
        <v>102061300</v>
      </c>
      <c r="C2437" s="1">
        <f t="shared" si="152"/>
        <v>108</v>
      </c>
      <c r="D2437" s="5">
        <f ca="1">IF(getQuality(B2437)&lt;4,getOtherMin(B2437,C2437,INDIRECT(J$2),INDIRECT(I2437),test),getMin(B2437,C2437,INDIRECT(J$2),INDIRECT(I2437),test))</f>
        <v>0.11</v>
      </c>
      <c r="E2437" s="5">
        <f ca="1">IF(getQuality(B2437)&lt;4,getOtherMax(B2437,C2437,INDIRECT(J$2),INDIRECT(I2437),test),getMax(B2437,C2437,INDIRECT(J$2),INDIRECT(I2437),test))</f>
        <v>0.22</v>
      </c>
      <c r="F2437" s="1" t="str">
        <f t="shared" si="154"/>
        <v>50</v>
      </c>
      <c r="G2437" s="1" t="str">
        <f t="shared" si="155"/>
        <v/>
      </c>
      <c r="I2437" s="1" t="str">
        <f t="shared" si="153"/>
        <v>威尔新数值1.06.xlsm!monsterDamage</v>
      </c>
    </row>
    <row r="2438" spans="1:9" x14ac:dyDescent="0.15">
      <c r="A2438" s="1">
        <v>2437</v>
      </c>
      <c r="B2438" s="1">
        <v>102071300</v>
      </c>
      <c r="C2438" s="1">
        <f t="shared" si="152"/>
        <v>3</v>
      </c>
      <c r="D2438" s="5">
        <f ca="1">IF(getQuality(B2438)&lt;4,getOtherMin(B2438,C2438,INDIRECT(J$2),INDIRECT(I2438),test),getMin(B2438,C2438,INDIRECT(J$2),INDIRECT(I2438),test))</f>
        <v>191.22369727444828</v>
      </c>
      <c r="E2438" s="5">
        <f ca="1">IF(getQuality(B2438)&lt;4,getOtherMax(B2438,C2438,INDIRECT(J$2),INDIRECT(I2438),test),getMax(B2438,C2438,INDIRECT(J$2),INDIRECT(I2438),test))</f>
        <v>236.63369570586491</v>
      </c>
      <c r="F2438" s="1" t="str">
        <f t="shared" si="154"/>
        <v>50</v>
      </c>
      <c r="G2438" s="1" t="str">
        <f t="shared" si="155"/>
        <v>1</v>
      </c>
      <c r="I2438" s="1" t="str">
        <f t="shared" si="153"/>
        <v>威尔新数值1.06.xlsm!suitPower</v>
      </c>
    </row>
    <row r="2439" spans="1:9" x14ac:dyDescent="0.15">
      <c r="A2439" s="1">
        <v>2438</v>
      </c>
      <c r="B2439" s="1">
        <v>102071300</v>
      </c>
      <c r="C2439" s="1">
        <f t="shared" si="152"/>
        <v>5</v>
      </c>
      <c r="D2439" s="5">
        <f ca="1">IF(getQuality(B2439)&lt;4,getOtherMin(B2439,C2439,INDIRECT(J$2),INDIRECT(I2439),test),getMin(B2439,C2439,INDIRECT(J$2),INDIRECT(I2439),test))</f>
        <v>191.22369727444828</v>
      </c>
      <c r="E2439" s="5">
        <f ca="1">IF(getQuality(B2439)&lt;4,getOtherMax(B2439,C2439,INDIRECT(J$2),INDIRECT(I2439),test),getMax(B2439,C2439,INDIRECT(J$2),INDIRECT(I2439),test))</f>
        <v>236.63369570586491</v>
      </c>
      <c r="F2439" s="1" t="str">
        <f t="shared" si="154"/>
        <v>50</v>
      </c>
      <c r="G2439" s="1" t="str">
        <f t="shared" si="155"/>
        <v/>
      </c>
      <c r="I2439" s="1" t="str">
        <f t="shared" si="153"/>
        <v>威尔新数值1.06.xlsm!suitPower</v>
      </c>
    </row>
    <row r="2440" spans="1:9" x14ac:dyDescent="0.15">
      <c r="A2440" s="1">
        <v>2439</v>
      </c>
      <c r="B2440" s="1">
        <v>102071300</v>
      </c>
      <c r="C2440" s="1">
        <f t="shared" si="152"/>
        <v>7</v>
      </c>
      <c r="D2440" s="5">
        <f ca="1">IF(getQuality(B2440)&lt;4,getOtherMin(B2440,C2440,INDIRECT(J$2),INDIRECT(I2440),test),getMin(B2440,C2440,INDIRECT(J$2),INDIRECT(I2440),test))</f>
        <v>39.888888888888786</v>
      </c>
      <c r="E2440" s="5">
        <f ca="1">IF(getQuality(B2440)&lt;4,getOtherMax(B2440,C2440,INDIRECT(J$2),INDIRECT(I2440),test),getMax(B2440,C2440,INDIRECT(J$2),INDIRECT(I2440),test))</f>
        <v>45.370370370370253</v>
      </c>
      <c r="F2440" s="1" t="str">
        <f t="shared" si="154"/>
        <v>50</v>
      </c>
      <c r="G2440" s="1" t="str">
        <f t="shared" si="155"/>
        <v/>
      </c>
      <c r="I2440" s="1" t="str">
        <f t="shared" si="153"/>
        <v>威尔新数值1.06.xlsm!suitPower</v>
      </c>
    </row>
    <row r="2441" spans="1:9" x14ac:dyDescent="0.15">
      <c r="A2441" s="1">
        <v>2440</v>
      </c>
      <c r="B2441" s="1">
        <v>102071300</v>
      </c>
      <c r="C2441" s="1">
        <f t="shared" si="152"/>
        <v>8</v>
      </c>
      <c r="D2441" s="5">
        <f ca="1">IF(getQuality(B2441)&lt;4,getOtherMin(B2441,C2441,INDIRECT(J$2),INDIRECT(I2441),test),getMin(B2441,C2441,INDIRECT(J$2),INDIRECT(I2441),test))</f>
        <v>88.5</v>
      </c>
      <c r="E2441" s="5">
        <f ca="1">IF(getQuality(B2441)&lt;4,getOtherMax(B2441,C2441,INDIRECT(J$2),INDIRECT(I2441),test),getMax(B2441,C2441,INDIRECT(J$2),INDIRECT(I2441),test))</f>
        <v>102.08333333333333</v>
      </c>
      <c r="F2441" s="1" t="str">
        <f t="shared" si="154"/>
        <v>50</v>
      </c>
      <c r="G2441" s="1" t="str">
        <f t="shared" si="155"/>
        <v/>
      </c>
      <c r="I2441" s="1" t="str">
        <f t="shared" si="153"/>
        <v>威尔新数值1.06.xlsm!suitPower</v>
      </c>
    </row>
    <row r="2442" spans="1:9" x14ac:dyDescent="0.15">
      <c r="A2442" s="1">
        <v>2441</v>
      </c>
      <c r="B2442" s="1">
        <v>102071300</v>
      </c>
      <c r="C2442" s="1">
        <f t="shared" si="152"/>
        <v>9</v>
      </c>
      <c r="D2442" s="5">
        <f ca="1">IF(getQuality(B2442)&lt;4,getOtherMin(B2442,C2442,INDIRECT(J$2),INDIRECT(I2442),test),getMin(B2442,C2442,INDIRECT(J$2),INDIRECT(I2442),test))</f>
        <v>191.22369727444828</v>
      </c>
      <c r="E2442" s="5">
        <f ca="1">IF(getQuality(B2442)&lt;4,getOtherMax(B2442,C2442,INDIRECT(J$2),INDIRECT(I2442),test),getMax(B2442,C2442,INDIRECT(J$2),INDIRECT(I2442),test))</f>
        <v>236.63369570586491</v>
      </c>
      <c r="F2442" s="1" t="str">
        <f t="shared" si="154"/>
        <v>50</v>
      </c>
      <c r="G2442" s="1" t="str">
        <f t="shared" si="155"/>
        <v/>
      </c>
      <c r="I2442" s="1" t="str">
        <f t="shared" si="153"/>
        <v>威尔新数值1.06.xlsm!suitPower</v>
      </c>
    </row>
    <row r="2443" spans="1:9" x14ac:dyDescent="0.15">
      <c r="A2443" s="1">
        <v>2442</v>
      </c>
      <c r="B2443" s="1">
        <v>102071300</v>
      </c>
      <c r="C2443" s="1">
        <f t="shared" si="152"/>
        <v>10</v>
      </c>
      <c r="D2443" s="5">
        <f ca="1">IF(getQuality(B2443)&lt;4,getOtherMin(B2443,C2443,INDIRECT(J$2),INDIRECT(I2443),test),getMin(B2443,C2443,INDIRECT(J$2),INDIRECT(I2443),test))</f>
        <v>191.22369727444828</v>
      </c>
      <c r="E2443" s="5">
        <f ca="1">IF(getQuality(B2443)&lt;4,getOtherMax(B2443,C2443,INDIRECT(J$2),INDIRECT(I2443),test),getMax(B2443,C2443,INDIRECT(J$2),INDIRECT(I2443),test))</f>
        <v>236.63369570586491</v>
      </c>
      <c r="F2443" s="1" t="str">
        <f t="shared" si="154"/>
        <v>50</v>
      </c>
      <c r="G2443" s="1" t="str">
        <f t="shared" si="155"/>
        <v/>
      </c>
      <c r="I2443" s="1" t="str">
        <f t="shared" si="153"/>
        <v>威尔新数值1.06.xlsm!suitPower</v>
      </c>
    </row>
    <row r="2444" spans="1:9" x14ac:dyDescent="0.15">
      <c r="A2444" s="1">
        <v>2443</v>
      </c>
      <c r="B2444" s="1">
        <v>102071300</v>
      </c>
      <c r="C2444" s="1">
        <f t="shared" si="152"/>
        <v>11</v>
      </c>
      <c r="D2444" s="5">
        <f ca="1">IF(getQuality(B2444)&lt;4,getOtherMin(B2444,C2444,INDIRECT(J$2),INDIRECT(I2444),test),getMin(B2444,C2444,INDIRECT(J$2),INDIRECT(I2444),test))</f>
        <v>191.22369727444828</v>
      </c>
      <c r="E2444" s="5">
        <f ca="1">IF(getQuality(B2444)&lt;4,getOtherMax(B2444,C2444,INDIRECT(J$2),INDIRECT(I2444),test),getMax(B2444,C2444,INDIRECT(J$2),INDIRECT(I2444),test))</f>
        <v>236.63369570586491</v>
      </c>
      <c r="F2444" s="1" t="str">
        <f t="shared" si="154"/>
        <v>50</v>
      </c>
      <c r="G2444" s="1" t="str">
        <f t="shared" si="155"/>
        <v/>
      </c>
      <c r="I2444" s="1" t="str">
        <f t="shared" si="153"/>
        <v>威尔新数值1.06.xlsm!suitPower</v>
      </c>
    </row>
    <row r="2445" spans="1:9" x14ac:dyDescent="0.15">
      <c r="A2445" s="1">
        <v>2444</v>
      </c>
      <c r="B2445" s="1">
        <v>102071300</v>
      </c>
      <c r="C2445" s="1">
        <f t="shared" si="152"/>
        <v>12</v>
      </c>
      <c r="D2445" s="5">
        <f ca="1">IF(getQuality(B2445)&lt;4,getOtherMin(B2445,C2445,INDIRECT(J$2),INDIRECT(I2445),test),getMin(B2445,C2445,INDIRECT(J$2),INDIRECT(I2445),test))</f>
        <v>191.22369727444828</v>
      </c>
      <c r="E2445" s="5">
        <f ca="1">IF(getQuality(B2445)&lt;4,getOtherMax(B2445,C2445,INDIRECT(J$2),INDIRECT(I2445),test),getMax(B2445,C2445,INDIRECT(J$2),INDIRECT(I2445),test))</f>
        <v>236.63369570586491</v>
      </c>
      <c r="F2445" s="1" t="str">
        <f t="shared" si="154"/>
        <v>50</v>
      </c>
      <c r="G2445" s="1" t="str">
        <f t="shared" si="155"/>
        <v/>
      </c>
      <c r="I2445" s="1" t="str">
        <f t="shared" si="153"/>
        <v>威尔新数值1.06.xlsm!suitPower</v>
      </c>
    </row>
    <row r="2446" spans="1:9" x14ac:dyDescent="0.15">
      <c r="A2446" s="1">
        <v>2445</v>
      </c>
      <c r="B2446" s="1">
        <v>102071300</v>
      </c>
      <c r="C2446" s="1">
        <f t="shared" si="152"/>
        <v>13</v>
      </c>
      <c r="D2446" s="5">
        <f ca="1">IF(getQuality(B2446)&lt;4,getOtherMin(B2446,C2446,INDIRECT(J$2),INDIRECT(I2446),test),getMin(B2446,C2446,INDIRECT(J$2),INDIRECT(I2446),test))</f>
        <v>191.22369727444828</v>
      </c>
      <c r="E2446" s="5">
        <f ca="1">IF(getQuality(B2446)&lt;4,getOtherMax(B2446,C2446,INDIRECT(J$2),INDIRECT(I2446),test),getMax(B2446,C2446,INDIRECT(J$2),INDIRECT(I2446),test))</f>
        <v>236.63369570586491</v>
      </c>
      <c r="F2446" s="1" t="str">
        <f t="shared" si="154"/>
        <v>50</v>
      </c>
      <c r="G2446" s="1" t="str">
        <f t="shared" si="155"/>
        <v/>
      </c>
      <c r="I2446" s="1" t="str">
        <f t="shared" si="153"/>
        <v>威尔新数值1.06.xlsm!suitPower</v>
      </c>
    </row>
    <row r="2447" spans="1:9" x14ac:dyDescent="0.15">
      <c r="A2447" s="1">
        <v>2446</v>
      </c>
      <c r="B2447" s="1">
        <v>102071300</v>
      </c>
      <c r="C2447" s="1">
        <f t="shared" si="152"/>
        <v>14</v>
      </c>
      <c r="D2447" s="5">
        <f ca="1">IF(getQuality(B2447)&lt;4,getOtherMin(B2447,C2447,INDIRECT(J$2),INDIRECT(I2447),test),getMin(B2447,C2447,INDIRECT(J$2),INDIRECT(I2447),test))</f>
        <v>191.22369727444828</v>
      </c>
      <c r="E2447" s="5">
        <f ca="1">IF(getQuality(B2447)&lt;4,getOtherMax(B2447,C2447,INDIRECT(J$2),INDIRECT(I2447),test),getMax(B2447,C2447,INDIRECT(J$2),INDIRECT(I2447),test))</f>
        <v>236.63369570586491</v>
      </c>
      <c r="F2447" s="1" t="str">
        <f t="shared" si="154"/>
        <v>50</v>
      </c>
      <c r="G2447" s="1" t="str">
        <f t="shared" si="155"/>
        <v/>
      </c>
      <c r="I2447" s="1" t="str">
        <f t="shared" si="153"/>
        <v>威尔新数值1.06.xlsm!suitPower</v>
      </c>
    </row>
    <row r="2448" spans="1:9" x14ac:dyDescent="0.15">
      <c r="A2448" s="1">
        <v>2447</v>
      </c>
      <c r="B2448" s="1">
        <v>102071300</v>
      </c>
      <c r="C2448" s="1">
        <f t="shared" si="152"/>
        <v>15</v>
      </c>
      <c r="D2448" s="5">
        <f ca="1">IF(getQuality(B2448)&lt;4,getOtherMin(B2448,C2448,INDIRECT(J$2),INDIRECT(I2448),test),getMin(B2448,C2448,INDIRECT(J$2),INDIRECT(I2448),test))</f>
        <v>191.22369727444828</v>
      </c>
      <c r="E2448" s="5">
        <f ca="1">IF(getQuality(B2448)&lt;4,getOtherMax(B2448,C2448,INDIRECT(J$2),INDIRECT(I2448),test),getMax(B2448,C2448,INDIRECT(J$2),INDIRECT(I2448),test))</f>
        <v>236.63369570586491</v>
      </c>
      <c r="F2448" s="1" t="str">
        <f t="shared" si="154"/>
        <v>50</v>
      </c>
      <c r="G2448" s="1" t="str">
        <f t="shared" si="155"/>
        <v/>
      </c>
      <c r="I2448" s="1" t="str">
        <f t="shared" si="153"/>
        <v>威尔新数值1.06.xlsm!suitPower</v>
      </c>
    </row>
    <row r="2449" spans="1:9" x14ac:dyDescent="0.15">
      <c r="A2449" s="1">
        <v>2448</v>
      </c>
      <c r="B2449" s="1">
        <v>102071300</v>
      </c>
      <c r="C2449" s="1">
        <f t="shared" si="152"/>
        <v>101</v>
      </c>
      <c r="D2449" s="5">
        <f ca="1">IF(getQuality(B2449)&lt;4,getOtherMin(B2449,C2449,INDIRECT(J$2),INDIRECT(I2449),test),getMin(B2449,C2449,INDIRECT(J$2),INDIRECT(I2449),test))</f>
        <v>0.12</v>
      </c>
      <c r="E2449" s="5">
        <f ca="1">IF(getQuality(B2449)&lt;4,getOtherMax(B2449,C2449,INDIRECT(J$2),INDIRECT(I2449),test),getMax(B2449,C2449,INDIRECT(J$2),INDIRECT(I2449),test))</f>
        <v>0.15</v>
      </c>
      <c r="F2449" s="1" t="str">
        <f t="shared" si="154"/>
        <v>50</v>
      </c>
      <c r="G2449" s="1" t="str">
        <f t="shared" si="155"/>
        <v/>
      </c>
      <c r="I2449" s="1" t="str">
        <f t="shared" si="153"/>
        <v>威尔新数值1.06.xlsm!circlePer</v>
      </c>
    </row>
    <row r="2450" spans="1:9" x14ac:dyDescent="0.15">
      <c r="A2450" s="1">
        <v>2449</v>
      </c>
      <c r="B2450" s="1">
        <v>102071300</v>
      </c>
      <c r="C2450" s="1">
        <f t="shared" si="152"/>
        <v>102</v>
      </c>
      <c r="D2450" s="5">
        <f ca="1">IF(getQuality(B2450)&lt;4,getOtherMin(B2450,C2450,INDIRECT(J$2),INDIRECT(I2450),test),getMin(B2450,C2450,INDIRECT(J$2),INDIRECT(I2450),test))</f>
        <v>1</v>
      </c>
      <c r="E2450" s="5">
        <f ca="1">IF(getQuality(B2450)&lt;4,getOtherMax(B2450,C2450,INDIRECT(J$2),INDIRECT(I2450),test),getMax(B2450,C2450,INDIRECT(J$2),INDIRECT(I2450),test))</f>
        <v>1.4</v>
      </c>
      <c r="F2450" s="1" t="str">
        <f t="shared" si="154"/>
        <v>50</v>
      </c>
      <c r="G2450" s="1" t="str">
        <f t="shared" si="155"/>
        <v/>
      </c>
      <c r="I2450" s="1" t="str">
        <f t="shared" si="153"/>
        <v>威尔新数值1.06.xlsm!circleValue</v>
      </c>
    </row>
    <row r="2451" spans="1:9" x14ac:dyDescent="0.15">
      <c r="A2451" s="1">
        <v>2450</v>
      </c>
      <c r="B2451" s="1">
        <v>102071300</v>
      </c>
      <c r="C2451" s="1">
        <f t="shared" si="152"/>
        <v>103</v>
      </c>
      <c r="D2451" s="5">
        <f ca="1">IF(getQuality(B2451)&lt;4,getOtherMin(B2451,C2451,INDIRECT(J$2),INDIRECT(I2451),test),getMin(B2451,C2451,INDIRECT(J$2),INDIRECT(I2451),test))</f>
        <v>0.12</v>
      </c>
      <c r="E2451" s="5">
        <f ca="1">IF(getQuality(B2451)&lt;4,getOtherMax(B2451,C2451,INDIRECT(J$2),INDIRECT(I2451),test),getMax(B2451,C2451,INDIRECT(J$2),INDIRECT(I2451),test))</f>
        <v>0.15</v>
      </c>
      <c r="F2451" s="1" t="str">
        <f t="shared" si="154"/>
        <v>50</v>
      </c>
      <c r="G2451" s="1" t="str">
        <f t="shared" si="155"/>
        <v/>
      </c>
      <c r="I2451" s="1" t="str">
        <f t="shared" si="153"/>
        <v>威尔新数值1.06.xlsm!otherDamage</v>
      </c>
    </row>
    <row r="2452" spans="1:9" x14ac:dyDescent="0.15">
      <c r="A2452" s="1">
        <v>2451</v>
      </c>
      <c r="B2452" s="1">
        <v>102071300</v>
      </c>
      <c r="C2452" s="1">
        <f t="shared" si="152"/>
        <v>104</v>
      </c>
      <c r="D2452" s="5">
        <f ca="1">IF(getQuality(B2452)&lt;4,getOtherMin(B2452,C2452,INDIRECT(J$2),INDIRECT(I2452),test),getMin(B2452,C2452,INDIRECT(J$2),INDIRECT(I2452),test))</f>
        <v>0.12</v>
      </c>
      <c r="E2452" s="5">
        <f ca="1">IF(getQuality(B2452)&lt;4,getOtherMax(B2452,C2452,INDIRECT(J$2),INDIRECT(I2452),test),getMax(B2452,C2452,INDIRECT(J$2),INDIRECT(I2452),test))</f>
        <v>0.24</v>
      </c>
      <c r="F2452" s="1" t="str">
        <f t="shared" si="154"/>
        <v>50</v>
      </c>
      <c r="G2452" s="1" t="str">
        <f t="shared" si="155"/>
        <v/>
      </c>
      <c r="I2452" s="1" t="str">
        <f t="shared" si="153"/>
        <v>威尔新数值1.06.xlsm!monsterDamage</v>
      </c>
    </row>
    <row r="2453" spans="1:9" x14ac:dyDescent="0.15">
      <c r="A2453" s="1">
        <v>2452</v>
      </c>
      <c r="B2453" s="1">
        <v>102071300</v>
      </c>
      <c r="C2453" s="1">
        <f t="shared" si="152"/>
        <v>105</v>
      </c>
      <c r="D2453" s="5">
        <f ca="1">IF(getQuality(B2453)&lt;4,getOtherMin(B2453,C2453,INDIRECT(J$2),INDIRECT(I2453),test),getMin(B2453,C2453,INDIRECT(J$2),INDIRECT(I2453),test))</f>
        <v>0.12</v>
      </c>
      <c r="E2453" s="5">
        <f ca="1">IF(getQuality(B2453)&lt;4,getOtherMax(B2453,C2453,INDIRECT(J$2),INDIRECT(I2453),test),getMax(B2453,C2453,INDIRECT(J$2),INDIRECT(I2453),test))</f>
        <v>0.24</v>
      </c>
      <c r="F2453" s="1" t="str">
        <f t="shared" si="154"/>
        <v>50</v>
      </c>
      <c r="G2453" s="1" t="str">
        <f t="shared" si="155"/>
        <v/>
      </c>
      <c r="I2453" s="1" t="str">
        <f t="shared" si="153"/>
        <v>威尔新数值1.06.xlsm!monsterDamage</v>
      </c>
    </row>
    <row r="2454" spans="1:9" x14ac:dyDescent="0.15">
      <c r="A2454" s="1">
        <v>2453</v>
      </c>
      <c r="B2454" s="1">
        <v>102071300</v>
      </c>
      <c r="C2454" s="1">
        <f t="shared" si="152"/>
        <v>106</v>
      </c>
      <c r="D2454" s="5">
        <f ca="1">IF(getQuality(B2454)&lt;4,getOtherMin(B2454,C2454,INDIRECT(J$2),INDIRECT(I2454),test),getMin(B2454,C2454,INDIRECT(J$2),INDIRECT(I2454),test))</f>
        <v>0.12</v>
      </c>
      <c r="E2454" s="5">
        <f ca="1">IF(getQuality(B2454)&lt;4,getOtherMax(B2454,C2454,INDIRECT(J$2),INDIRECT(I2454),test),getMax(B2454,C2454,INDIRECT(J$2),INDIRECT(I2454),test))</f>
        <v>0.24</v>
      </c>
      <c r="F2454" s="1" t="str">
        <f t="shared" si="154"/>
        <v>50</v>
      </c>
      <c r="G2454" s="1" t="str">
        <f t="shared" si="155"/>
        <v/>
      </c>
      <c r="I2454" s="1" t="str">
        <f t="shared" si="153"/>
        <v>威尔新数值1.06.xlsm!monsterDamage</v>
      </c>
    </row>
    <row r="2455" spans="1:9" x14ac:dyDescent="0.15">
      <c r="A2455" s="1">
        <v>2454</v>
      </c>
      <c r="B2455" s="1">
        <v>102071300</v>
      </c>
      <c r="C2455" s="1">
        <f t="shared" si="152"/>
        <v>107</v>
      </c>
      <c r="D2455" s="5">
        <f ca="1">IF(getQuality(B2455)&lt;4,getOtherMin(B2455,C2455,INDIRECT(J$2),INDIRECT(I2455),test),getMin(B2455,C2455,INDIRECT(J$2),INDIRECT(I2455),test))</f>
        <v>0.12</v>
      </c>
      <c r="E2455" s="5">
        <f ca="1">IF(getQuality(B2455)&lt;4,getOtherMax(B2455,C2455,INDIRECT(J$2),INDIRECT(I2455),test),getMax(B2455,C2455,INDIRECT(J$2),INDIRECT(I2455),test))</f>
        <v>0.24</v>
      </c>
      <c r="F2455" s="1" t="str">
        <f t="shared" si="154"/>
        <v>50</v>
      </c>
      <c r="G2455" s="1" t="str">
        <f t="shared" si="155"/>
        <v/>
      </c>
      <c r="I2455" s="1" t="str">
        <f t="shared" si="153"/>
        <v>威尔新数值1.06.xlsm!monsterDamage</v>
      </c>
    </row>
    <row r="2456" spans="1:9" x14ac:dyDescent="0.15">
      <c r="A2456" s="1">
        <v>2455</v>
      </c>
      <c r="B2456" s="1">
        <v>102071300</v>
      </c>
      <c r="C2456" s="1">
        <f t="shared" si="152"/>
        <v>108</v>
      </c>
      <c r="D2456" s="5">
        <f ca="1">IF(getQuality(B2456)&lt;4,getOtherMin(B2456,C2456,INDIRECT(J$2),INDIRECT(I2456),test),getMin(B2456,C2456,INDIRECT(J$2),INDIRECT(I2456),test))</f>
        <v>0.12</v>
      </c>
      <c r="E2456" s="5">
        <f ca="1">IF(getQuality(B2456)&lt;4,getOtherMax(B2456,C2456,INDIRECT(J$2),INDIRECT(I2456),test),getMax(B2456,C2456,INDIRECT(J$2),INDIRECT(I2456),test))</f>
        <v>0.24</v>
      </c>
      <c r="F2456" s="1" t="str">
        <f t="shared" si="154"/>
        <v>50</v>
      </c>
      <c r="G2456" s="1" t="str">
        <f t="shared" si="155"/>
        <v/>
      </c>
      <c r="I2456" s="1" t="str">
        <f t="shared" si="153"/>
        <v>威尔新数值1.06.xlsm!monsterDamage</v>
      </c>
    </row>
    <row r="2457" spans="1:9" x14ac:dyDescent="0.15">
      <c r="A2457" s="1">
        <v>2456</v>
      </c>
      <c r="B2457" s="1">
        <v>102081300</v>
      </c>
      <c r="C2457" s="1">
        <f t="shared" si="152"/>
        <v>3</v>
      </c>
      <c r="D2457" s="5">
        <f ca="1">IF(getQuality(B2457)&lt;4,getOtherMin(B2457,C2457,INDIRECT(J$2),INDIRECT(I2457),test),getMin(B2457,C2457,INDIRECT(J$2),INDIRECT(I2457),test))</f>
        <v>237.63369570586491</v>
      </c>
      <c r="E2457" s="5">
        <f ca="1">IF(getQuality(B2457)&lt;4,getOtherMax(B2457,C2457,INDIRECT(J$2),INDIRECT(I2457),test),getMax(B2457,C2457,INDIRECT(J$2),INDIRECT(I2457),test))</f>
        <v>287.24542239033156</v>
      </c>
      <c r="F2457" s="1" t="str">
        <f t="shared" si="154"/>
        <v>50</v>
      </c>
      <c r="G2457" s="1" t="str">
        <f t="shared" si="155"/>
        <v>1</v>
      </c>
      <c r="I2457" s="1" t="str">
        <f t="shared" si="153"/>
        <v>威尔新数值1.06.xlsm!suitPower</v>
      </c>
    </row>
    <row r="2458" spans="1:9" x14ac:dyDescent="0.15">
      <c r="A2458" s="1">
        <v>2457</v>
      </c>
      <c r="B2458" s="1">
        <v>102081300</v>
      </c>
      <c r="C2458" s="1">
        <f t="shared" si="152"/>
        <v>5</v>
      </c>
      <c r="D2458" s="5">
        <f ca="1">IF(getQuality(B2458)&lt;4,getOtherMin(B2458,C2458,INDIRECT(J$2),INDIRECT(I2458),test),getMin(B2458,C2458,INDIRECT(J$2),INDIRECT(I2458),test))</f>
        <v>237.63369570586491</v>
      </c>
      <c r="E2458" s="5">
        <f ca="1">IF(getQuality(B2458)&lt;4,getOtherMax(B2458,C2458,INDIRECT(J$2),INDIRECT(I2458),test),getMax(B2458,C2458,INDIRECT(J$2),INDIRECT(I2458),test))</f>
        <v>287.24542239033156</v>
      </c>
      <c r="F2458" s="1" t="str">
        <f t="shared" si="154"/>
        <v>50</v>
      </c>
      <c r="G2458" s="1" t="str">
        <f t="shared" si="155"/>
        <v/>
      </c>
      <c r="I2458" s="1" t="str">
        <f t="shared" si="153"/>
        <v>威尔新数值1.06.xlsm!suitPower</v>
      </c>
    </row>
    <row r="2459" spans="1:9" x14ac:dyDescent="0.15">
      <c r="A2459" s="1">
        <v>2458</v>
      </c>
      <c r="B2459" s="1">
        <v>102081300</v>
      </c>
      <c r="C2459" s="1">
        <f t="shared" si="152"/>
        <v>7</v>
      </c>
      <c r="D2459" s="5">
        <f ca="1">IF(getQuality(B2459)&lt;4,getOtherMin(B2459,C2459,INDIRECT(J$2),INDIRECT(I2459),test),getMin(B2459,C2459,INDIRECT(J$2),INDIRECT(I2459),test))</f>
        <v>46.370370370370253</v>
      </c>
      <c r="E2459" s="5">
        <f ca="1">IF(getQuality(B2459)&lt;4,getOtherMax(B2459,C2459,INDIRECT(J$2),INDIRECT(I2459),test),getMax(B2459,C2459,INDIRECT(J$2),INDIRECT(I2459),test))</f>
        <v>51.85185185185172</v>
      </c>
      <c r="F2459" s="1" t="str">
        <f t="shared" si="154"/>
        <v>50</v>
      </c>
      <c r="G2459" s="1" t="str">
        <f t="shared" si="155"/>
        <v/>
      </c>
      <c r="I2459" s="1" t="str">
        <f t="shared" si="153"/>
        <v>威尔新数值1.06.xlsm!suitPower</v>
      </c>
    </row>
    <row r="2460" spans="1:9" x14ac:dyDescent="0.15">
      <c r="A2460" s="1">
        <v>2459</v>
      </c>
      <c r="B2460" s="1">
        <v>102081300</v>
      </c>
      <c r="C2460" s="1">
        <f t="shared" si="152"/>
        <v>8</v>
      </c>
      <c r="D2460" s="5">
        <f ca="1">IF(getQuality(B2460)&lt;4,getOtherMin(B2460,C2460,INDIRECT(J$2),INDIRECT(I2460),test),getMin(B2460,C2460,INDIRECT(J$2),INDIRECT(I2460),test))</f>
        <v>103.08333333333333</v>
      </c>
      <c r="E2460" s="5">
        <f ca="1">IF(getQuality(B2460)&lt;4,getOtherMax(B2460,C2460,INDIRECT(J$2),INDIRECT(I2460),test),getMax(B2460,C2460,INDIRECT(J$2),INDIRECT(I2460),test))</f>
        <v>116.66666666666667</v>
      </c>
      <c r="F2460" s="1" t="str">
        <f t="shared" si="154"/>
        <v>50</v>
      </c>
      <c r="G2460" s="1" t="str">
        <f t="shared" si="155"/>
        <v/>
      </c>
      <c r="I2460" s="1" t="str">
        <f t="shared" si="153"/>
        <v>威尔新数值1.06.xlsm!suitPower</v>
      </c>
    </row>
    <row r="2461" spans="1:9" x14ac:dyDescent="0.15">
      <c r="A2461" s="1">
        <v>2460</v>
      </c>
      <c r="B2461" s="1">
        <v>102081300</v>
      </c>
      <c r="C2461" s="1">
        <f t="shared" si="152"/>
        <v>9</v>
      </c>
      <c r="D2461" s="5">
        <f ca="1">IF(getQuality(B2461)&lt;4,getOtherMin(B2461,C2461,INDIRECT(J$2),INDIRECT(I2461),test),getMin(B2461,C2461,INDIRECT(J$2),INDIRECT(I2461),test))</f>
        <v>237.63369570586491</v>
      </c>
      <c r="E2461" s="5">
        <f ca="1">IF(getQuality(B2461)&lt;4,getOtherMax(B2461,C2461,INDIRECT(J$2),INDIRECT(I2461),test),getMax(B2461,C2461,INDIRECT(J$2),INDIRECT(I2461),test))</f>
        <v>287.24542239033156</v>
      </c>
      <c r="F2461" s="1" t="str">
        <f t="shared" si="154"/>
        <v>50</v>
      </c>
      <c r="G2461" s="1" t="str">
        <f t="shared" si="155"/>
        <v/>
      </c>
      <c r="I2461" s="1" t="str">
        <f t="shared" si="153"/>
        <v>威尔新数值1.06.xlsm!suitPower</v>
      </c>
    </row>
    <row r="2462" spans="1:9" x14ac:dyDescent="0.15">
      <c r="A2462" s="1">
        <v>2461</v>
      </c>
      <c r="B2462" s="1">
        <v>102081300</v>
      </c>
      <c r="C2462" s="1">
        <f t="shared" si="152"/>
        <v>10</v>
      </c>
      <c r="D2462" s="5">
        <f ca="1">IF(getQuality(B2462)&lt;4,getOtherMin(B2462,C2462,INDIRECT(J$2),INDIRECT(I2462),test),getMin(B2462,C2462,INDIRECT(J$2),INDIRECT(I2462),test))</f>
        <v>237.63369570586491</v>
      </c>
      <c r="E2462" s="5">
        <f ca="1">IF(getQuality(B2462)&lt;4,getOtherMax(B2462,C2462,INDIRECT(J$2),INDIRECT(I2462),test),getMax(B2462,C2462,INDIRECT(J$2),INDIRECT(I2462),test))</f>
        <v>287.24542239033156</v>
      </c>
      <c r="F2462" s="1" t="str">
        <f t="shared" si="154"/>
        <v>50</v>
      </c>
      <c r="G2462" s="1" t="str">
        <f t="shared" si="155"/>
        <v/>
      </c>
      <c r="I2462" s="1" t="str">
        <f t="shared" si="153"/>
        <v>威尔新数值1.06.xlsm!suitPower</v>
      </c>
    </row>
    <row r="2463" spans="1:9" x14ac:dyDescent="0.15">
      <c r="A2463" s="1">
        <v>2462</v>
      </c>
      <c r="B2463" s="1">
        <v>102081300</v>
      </c>
      <c r="C2463" s="1">
        <f t="shared" si="152"/>
        <v>11</v>
      </c>
      <c r="D2463" s="5">
        <f ca="1">IF(getQuality(B2463)&lt;4,getOtherMin(B2463,C2463,INDIRECT(J$2),INDIRECT(I2463),test),getMin(B2463,C2463,INDIRECT(J$2),INDIRECT(I2463),test))</f>
        <v>237.63369570586491</v>
      </c>
      <c r="E2463" s="5">
        <f ca="1">IF(getQuality(B2463)&lt;4,getOtherMax(B2463,C2463,INDIRECT(J$2),INDIRECT(I2463),test),getMax(B2463,C2463,INDIRECT(J$2),INDIRECT(I2463),test))</f>
        <v>287.24542239033156</v>
      </c>
      <c r="F2463" s="1" t="str">
        <f t="shared" si="154"/>
        <v>50</v>
      </c>
      <c r="G2463" s="1" t="str">
        <f t="shared" si="155"/>
        <v/>
      </c>
      <c r="I2463" s="1" t="str">
        <f t="shared" si="153"/>
        <v>威尔新数值1.06.xlsm!suitPower</v>
      </c>
    </row>
    <row r="2464" spans="1:9" x14ac:dyDescent="0.15">
      <c r="A2464" s="1">
        <v>2463</v>
      </c>
      <c r="B2464" s="1">
        <v>102081300</v>
      </c>
      <c r="C2464" s="1">
        <f t="shared" si="152"/>
        <v>12</v>
      </c>
      <c r="D2464" s="5">
        <f ca="1">IF(getQuality(B2464)&lt;4,getOtherMin(B2464,C2464,INDIRECT(J$2),INDIRECT(I2464),test),getMin(B2464,C2464,INDIRECT(J$2),INDIRECT(I2464),test))</f>
        <v>237.63369570586491</v>
      </c>
      <c r="E2464" s="5">
        <f ca="1">IF(getQuality(B2464)&lt;4,getOtherMax(B2464,C2464,INDIRECT(J$2),INDIRECT(I2464),test),getMax(B2464,C2464,INDIRECT(J$2),INDIRECT(I2464),test))</f>
        <v>287.24542239033156</v>
      </c>
      <c r="F2464" s="1" t="str">
        <f t="shared" si="154"/>
        <v>50</v>
      </c>
      <c r="G2464" s="1" t="str">
        <f t="shared" si="155"/>
        <v/>
      </c>
      <c r="I2464" s="1" t="str">
        <f t="shared" si="153"/>
        <v>威尔新数值1.06.xlsm!suitPower</v>
      </c>
    </row>
    <row r="2465" spans="1:9" x14ac:dyDescent="0.15">
      <c r="A2465" s="1">
        <v>2464</v>
      </c>
      <c r="B2465" s="1">
        <v>102081300</v>
      </c>
      <c r="C2465" s="1">
        <f t="shared" si="152"/>
        <v>13</v>
      </c>
      <c r="D2465" s="5">
        <f ca="1">IF(getQuality(B2465)&lt;4,getOtherMin(B2465,C2465,INDIRECT(J$2),INDIRECT(I2465),test),getMin(B2465,C2465,INDIRECT(J$2),INDIRECT(I2465),test))</f>
        <v>237.63369570586491</v>
      </c>
      <c r="E2465" s="5">
        <f ca="1">IF(getQuality(B2465)&lt;4,getOtherMax(B2465,C2465,INDIRECT(J$2),INDIRECT(I2465),test),getMax(B2465,C2465,INDIRECT(J$2),INDIRECT(I2465),test))</f>
        <v>287.24542239033156</v>
      </c>
      <c r="F2465" s="1" t="str">
        <f t="shared" si="154"/>
        <v>50</v>
      </c>
      <c r="G2465" s="1" t="str">
        <f t="shared" si="155"/>
        <v/>
      </c>
      <c r="I2465" s="1" t="str">
        <f t="shared" si="153"/>
        <v>威尔新数值1.06.xlsm!suitPower</v>
      </c>
    </row>
    <row r="2466" spans="1:9" x14ac:dyDescent="0.15">
      <c r="A2466" s="1">
        <v>2465</v>
      </c>
      <c r="B2466" s="1">
        <v>102081300</v>
      </c>
      <c r="C2466" s="1">
        <f t="shared" si="152"/>
        <v>14</v>
      </c>
      <c r="D2466" s="5">
        <f ca="1">IF(getQuality(B2466)&lt;4,getOtherMin(B2466,C2466,INDIRECT(J$2),INDIRECT(I2466),test),getMin(B2466,C2466,INDIRECT(J$2),INDIRECT(I2466),test))</f>
        <v>237.63369570586491</v>
      </c>
      <c r="E2466" s="5">
        <f ca="1">IF(getQuality(B2466)&lt;4,getOtherMax(B2466,C2466,INDIRECT(J$2),INDIRECT(I2466),test),getMax(B2466,C2466,INDIRECT(J$2),INDIRECT(I2466),test))</f>
        <v>287.24542239033156</v>
      </c>
      <c r="F2466" s="1" t="str">
        <f t="shared" si="154"/>
        <v>50</v>
      </c>
      <c r="G2466" s="1" t="str">
        <f t="shared" si="155"/>
        <v/>
      </c>
      <c r="I2466" s="1" t="str">
        <f t="shared" si="153"/>
        <v>威尔新数值1.06.xlsm!suitPower</v>
      </c>
    </row>
    <row r="2467" spans="1:9" x14ac:dyDescent="0.15">
      <c r="A2467" s="1">
        <v>2466</v>
      </c>
      <c r="B2467" s="1">
        <v>102081300</v>
      </c>
      <c r="C2467" s="1">
        <f t="shared" si="152"/>
        <v>15</v>
      </c>
      <c r="D2467" s="5">
        <f ca="1">IF(getQuality(B2467)&lt;4,getOtherMin(B2467,C2467,INDIRECT(J$2),INDIRECT(I2467),test),getMin(B2467,C2467,INDIRECT(J$2),INDIRECT(I2467),test))</f>
        <v>237.63369570586491</v>
      </c>
      <c r="E2467" s="5">
        <f ca="1">IF(getQuality(B2467)&lt;4,getOtherMax(B2467,C2467,INDIRECT(J$2),INDIRECT(I2467),test),getMax(B2467,C2467,INDIRECT(J$2),INDIRECT(I2467),test))</f>
        <v>287.24542239033156</v>
      </c>
      <c r="F2467" s="1" t="str">
        <f t="shared" si="154"/>
        <v>50</v>
      </c>
      <c r="G2467" s="1" t="str">
        <f t="shared" si="155"/>
        <v/>
      </c>
      <c r="I2467" s="1" t="str">
        <f t="shared" si="153"/>
        <v>威尔新数值1.06.xlsm!suitPower</v>
      </c>
    </row>
    <row r="2468" spans="1:9" x14ac:dyDescent="0.15">
      <c r="A2468" s="1">
        <v>2467</v>
      </c>
      <c r="B2468" s="1">
        <v>102081300</v>
      </c>
      <c r="C2468" s="1">
        <f t="shared" ref="C2468:C2494" si="156">C2449</f>
        <v>101</v>
      </c>
      <c r="D2468" s="5">
        <f ca="1">IF(getQuality(B2468)&lt;4,getOtherMin(B2468,C2468,INDIRECT(J$2),INDIRECT(I2468),test),getMin(B2468,C2468,INDIRECT(J$2),INDIRECT(I2468),test))</f>
        <v>0.13</v>
      </c>
      <c r="E2468" s="5">
        <f ca="1">IF(getQuality(B2468)&lt;4,getOtherMax(B2468,C2468,INDIRECT(J$2),INDIRECT(I2468),test),getMax(B2468,C2468,INDIRECT(J$2),INDIRECT(I2468),test))</f>
        <v>0.16</v>
      </c>
      <c r="F2468" s="1" t="str">
        <f t="shared" si="154"/>
        <v>50</v>
      </c>
      <c r="G2468" s="1" t="str">
        <f t="shared" si="155"/>
        <v/>
      </c>
      <c r="I2468" s="1" t="str">
        <f t="shared" si="153"/>
        <v>威尔新数值1.06.xlsm!circlePer</v>
      </c>
    </row>
    <row r="2469" spans="1:9" x14ac:dyDescent="0.15">
      <c r="A2469" s="1">
        <v>2468</v>
      </c>
      <c r="B2469" s="1">
        <v>102081300</v>
      </c>
      <c r="C2469" s="1">
        <f t="shared" si="156"/>
        <v>102</v>
      </c>
      <c r="D2469" s="5">
        <f ca="1">IF(getQuality(B2469)&lt;4,getOtherMin(B2469,C2469,INDIRECT(J$2),INDIRECT(I2469),test),getMin(B2469,C2469,INDIRECT(J$2),INDIRECT(I2469),test))</f>
        <v>1.1000000000000001</v>
      </c>
      <c r="E2469" s="5">
        <f ca="1">IF(getQuality(B2469)&lt;4,getOtherMax(B2469,C2469,INDIRECT(J$2),INDIRECT(I2469),test),getMax(B2469,C2469,INDIRECT(J$2),INDIRECT(I2469),test))</f>
        <v>1.5</v>
      </c>
      <c r="F2469" s="1" t="str">
        <f t="shared" si="154"/>
        <v>50</v>
      </c>
      <c r="G2469" s="1" t="str">
        <f t="shared" si="155"/>
        <v/>
      </c>
      <c r="I2469" s="1" t="str">
        <f t="shared" si="153"/>
        <v>威尔新数值1.06.xlsm!circleValue</v>
      </c>
    </row>
    <row r="2470" spans="1:9" x14ac:dyDescent="0.15">
      <c r="A2470" s="1">
        <v>2469</v>
      </c>
      <c r="B2470" s="1">
        <v>102081300</v>
      </c>
      <c r="C2470" s="1">
        <f t="shared" si="156"/>
        <v>103</v>
      </c>
      <c r="D2470" s="5">
        <f ca="1">IF(getQuality(B2470)&lt;4,getOtherMin(B2470,C2470,INDIRECT(J$2),INDIRECT(I2470),test),getMin(B2470,C2470,INDIRECT(J$2),INDIRECT(I2470),test))</f>
        <v>0.13</v>
      </c>
      <c r="E2470" s="5">
        <f ca="1">IF(getQuality(B2470)&lt;4,getOtherMax(B2470,C2470,INDIRECT(J$2),INDIRECT(I2470),test),getMax(B2470,C2470,INDIRECT(J$2),INDIRECT(I2470),test))</f>
        <v>0.16</v>
      </c>
      <c r="F2470" s="1" t="str">
        <f t="shared" si="154"/>
        <v>50</v>
      </c>
      <c r="G2470" s="1" t="str">
        <f t="shared" si="155"/>
        <v/>
      </c>
      <c r="I2470" s="1" t="str">
        <f t="shared" si="153"/>
        <v>威尔新数值1.06.xlsm!otherDamage</v>
      </c>
    </row>
    <row r="2471" spans="1:9" x14ac:dyDescent="0.15">
      <c r="A2471" s="1">
        <v>2470</v>
      </c>
      <c r="B2471" s="1">
        <v>102081300</v>
      </c>
      <c r="C2471" s="1">
        <f t="shared" si="156"/>
        <v>104</v>
      </c>
      <c r="D2471" s="5">
        <f ca="1">IF(getQuality(B2471)&lt;4,getOtherMin(B2471,C2471,INDIRECT(J$2),INDIRECT(I2471),test),getMin(B2471,C2471,INDIRECT(J$2),INDIRECT(I2471),test))</f>
        <v>0.13</v>
      </c>
      <c r="E2471" s="5">
        <f ca="1">IF(getQuality(B2471)&lt;4,getOtherMax(B2471,C2471,INDIRECT(J$2),INDIRECT(I2471),test),getMax(B2471,C2471,INDIRECT(J$2),INDIRECT(I2471),test))</f>
        <v>0.26</v>
      </c>
      <c r="F2471" s="1" t="str">
        <f t="shared" si="154"/>
        <v>50</v>
      </c>
      <c r="G2471" s="1" t="str">
        <f t="shared" si="155"/>
        <v/>
      </c>
      <c r="I2471" s="1" t="str">
        <f t="shared" si="153"/>
        <v>威尔新数值1.06.xlsm!monsterDamage</v>
      </c>
    </row>
    <row r="2472" spans="1:9" x14ac:dyDescent="0.15">
      <c r="A2472" s="1">
        <v>2471</v>
      </c>
      <c r="B2472" s="1">
        <v>102081300</v>
      </c>
      <c r="C2472" s="1">
        <f t="shared" si="156"/>
        <v>105</v>
      </c>
      <c r="D2472" s="5">
        <f ca="1">IF(getQuality(B2472)&lt;4,getOtherMin(B2472,C2472,INDIRECT(J$2),INDIRECT(I2472),test),getMin(B2472,C2472,INDIRECT(J$2),INDIRECT(I2472),test))</f>
        <v>0.13</v>
      </c>
      <c r="E2472" s="5">
        <f ca="1">IF(getQuality(B2472)&lt;4,getOtherMax(B2472,C2472,INDIRECT(J$2),INDIRECT(I2472),test),getMax(B2472,C2472,INDIRECT(J$2),INDIRECT(I2472),test))</f>
        <v>0.26</v>
      </c>
      <c r="F2472" s="1" t="str">
        <f t="shared" si="154"/>
        <v>50</v>
      </c>
      <c r="G2472" s="1" t="str">
        <f t="shared" si="155"/>
        <v/>
      </c>
      <c r="I2472" s="1" t="str">
        <f t="shared" si="153"/>
        <v>威尔新数值1.06.xlsm!monsterDamage</v>
      </c>
    </row>
    <row r="2473" spans="1:9" x14ac:dyDescent="0.15">
      <c r="A2473" s="1">
        <v>2472</v>
      </c>
      <c r="B2473" s="1">
        <v>102081300</v>
      </c>
      <c r="C2473" s="1">
        <f t="shared" si="156"/>
        <v>106</v>
      </c>
      <c r="D2473" s="5">
        <f ca="1">IF(getQuality(B2473)&lt;4,getOtherMin(B2473,C2473,INDIRECT(J$2),INDIRECT(I2473),test),getMin(B2473,C2473,INDIRECT(J$2),INDIRECT(I2473),test))</f>
        <v>0.13</v>
      </c>
      <c r="E2473" s="5">
        <f ca="1">IF(getQuality(B2473)&lt;4,getOtherMax(B2473,C2473,INDIRECT(J$2),INDIRECT(I2473),test),getMax(B2473,C2473,INDIRECT(J$2),INDIRECT(I2473),test))</f>
        <v>0.26</v>
      </c>
      <c r="F2473" s="1" t="str">
        <f t="shared" si="154"/>
        <v>50</v>
      </c>
      <c r="G2473" s="1" t="str">
        <f t="shared" si="155"/>
        <v/>
      </c>
      <c r="I2473" s="1" t="str">
        <f t="shared" si="153"/>
        <v>威尔新数值1.06.xlsm!monsterDamage</v>
      </c>
    </row>
    <row r="2474" spans="1:9" x14ac:dyDescent="0.15">
      <c r="A2474" s="1">
        <v>2473</v>
      </c>
      <c r="B2474" s="1">
        <v>102081300</v>
      </c>
      <c r="C2474" s="1">
        <f t="shared" si="156"/>
        <v>107</v>
      </c>
      <c r="D2474" s="5">
        <f ca="1">IF(getQuality(B2474)&lt;4,getOtherMin(B2474,C2474,INDIRECT(J$2),INDIRECT(I2474),test),getMin(B2474,C2474,INDIRECT(J$2),INDIRECT(I2474),test))</f>
        <v>0.13</v>
      </c>
      <c r="E2474" s="5">
        <f ca="1">IF(getQuality(B2474)&lt;4,getOtherMax(B2474,C2474,INDIRECT(J$2),INDIRECT(I2474),test),getMax(B2474,C2474,INDIRECT(J$2),INDIRECT(I2474),test))</f>
        <v>0.26</v>
      </c>
      <c r="F2474" s="1" t="str">
        <f t="shared" si="154"/>
        <v>50</v>
      </c>
      <c r="G2474" s="1" t="str">
        <f t="shared" si="155"/>
        <v/>
      </c>
      <c r="I2474" s="1" t="str">
        <f t="shared" si="153"/>
        <v>威尔新数值1.06.xlsm!monsterDamage</v>
      </c>
    </row>
    <row r="2475" spans="1:9" x14ac:dyDescent="0.15">
      <c r="A2475" s="1">
        <v>2474</v>
      </c>
      <c r="B2475" s="1">
        <v>102081300</v>
      </c>
      <c r="C2475" s="1">
        <f t="shared" si="156"/>
        <v>108</v>
      </c>
      <c r="D2475" s="5">
        <f ca="1">IF(getQuality(B2475)&lt;4,getOtherMin(B2475,C2475,INDIRECT(J$2),INDIRECT(I2475),test),getMin(B2475,C2475,INDIRECT(J$2),INDIRECT(I2475),test))</f>
        <v>0.13</v>
      </c>
      <c r="E2475" s="5">
        <f ca="1">IF(getQuality(B2475)&lt;4,getOtherMax(B2475,C2475,INDIRECT(J$2),INDIRECT(I2475),test),getMax(B2475,C2475,INDIRECT(J$2),INDIRECT(I2475),test))</f>
        <v>0.26</v>
      </c>
      <c r="F2475" s="1" t="str">
        <f t="shared" si="154"/>
        <v>50</v>
      </c>
      <c r="G2475" s="1" t="str">
        <f t="shared" si="155"/>
        <v/>
      </c>
      <c r="I2475" s="1" t="str">
        <f t="shared" si="153"/>
        <v>威尔新数值1.06.xlsm!monsterDamage</v>
      </c>
    </row>
    <row r="2476" spans="1:9" x14ac:dyDescent="0.15">
      <c r="A2476" s="1">
        <v>2475</v>
      </c>
      <c r="B2476" s="1">
        <v>102091300</v>
      </c>
      <c r="C2476" s="1">
        <f t="shared" si="156"/>
        <v>3</v>
      </c>
      <c r="D2476" s="5">
        <f ca="1">IF(getQuality(B2476)&lt;4,getOtherMin(B2476,C2476,INDIRECT(J$2),INDIRECT(I2476),test),getMin(B2476,C2476,INDIRECT(J$2),INDIRECT(I2476),test))</f>
        <v>288.24542239033156</v>
      </c>
      <c r="E2476" s="5">
        <f ca="1">IF(getQuality(B2476)&lt;4,getOtherMax(B2476,C2476,INDIRECT(J$2),INDIRECT(I2476),test),getMax(B2476,C2476,INDIRECT(J$2),INDIRECT(I2476),test))</f>
        <v>342.05887732784834</v>
      </c>
      <c r="F2476" s="1" t="str">
        <f t="shared" si="154"/>
        <v>50</v>
      </c>
      <c r="G2476" s="1" t="str">
        <f t="shared" si="155"/>
        <v>1</v>
      </c>
      <c r="I2476" s="1" t="str">
        <f t="shared" si="153"/>
        <v>威尔新数值1.06.xlsm!suitPower</v>
      </c>
    </row>
    <row r="2477" spans="1:9" x14ac:dyDescent="0.15">
      <c r="A2477" s="1">
        <v>2476</v>
      </c>
      <c r="B2477" s="1">
        <v>102091300</v>
      </c>
      <c r="C2477" s="1">
        <f t="shared" si="156"/>
        <v>5</v>
      </c>
      <c r="D2477" s="5">
        <f ca="1">IF(getQuality(B2477)&lt;4,getOtherMin(B2477,C2477,INDIRECT(J$2),INDIRECT(I2477),test),getMin(B2477,C2477,INDIRECT(J$2),INDIRECT(I2477),test))</f>
        <v>288.24542239033156</v>
      </c>
      <c r="E2477" s="5">
        <f ca="1">IF(getQuality(B2477)&lt;4,getOtherMax(B2477,C2477,INDIRECT(J$2),INDIRECT(I2477),test),getMax(B2477,C2477,INDIRECT(J$2),INDIRECT(I2477),test))</f>
        <v>342.05887732784834</v>
      </c>
      <c r="F2477" s="1" t="str">
        <f t="shared" si="154"/>
        <v>50</v>
      </c>
      <c r="G2477" s="1" t="str">
        <f t="shared" si="155"/>
        <v/>
      </c>
      <c r="I2477" s="1" t="str">
        <f t="shared" si="153"/>
        <v>威尔新数值1.06.xlsm!suitPower</v>
      </c>
    </row>
    <row r="2478" spans="1:9" x14ac:dyDescent="0.15">
      <c r="A2478" s="1">
        <v>2477</v>
      </c>
      <c r="B2478" s="1">
        <v>102091300</v>
      </c>
      <c r="C2478" s="1">
        <f t="shared" si="156"/>
        <v>7</v>
      </c>
      <c r="D2478" s="5">
        <f ca="1">IF(getQuality(B2478)&lt;4,getOtherMin(B2478,C2478,INDIRECT(J$2),INDIRECT(I2478),test),getMin(B2478,C2478,INDIRECT(J$2),INDIRECT(I2478),test))</f>
        <v>52.85185185185172</v>
      </c>
      <c r="E2478" s="5">
        <f ca="1">IF(getQuality(B2478)&lt;4,getOtherMax(B2478,C2478,INDIRECT(J$2),INDIRECT(I2478),test),getMax(B2478,C2478,INDIRECT(J$2),INDIRECT(I2478),test))</f>
        <v>58.333333333333186</v>
      </c>
      <c r="F2478" s="1" t="str">
        <f t="shared" si="154"/>
        <v>50</v>
      </c>
      <c r="G2478" s="1" t="str">
        <f t="shared" si="155"/>
        <v/>
      </c>
      <c r="I2478" s="1" t="str">
        <f t="shared" si="153"/>
        <v>威尔新数值1.06.xlsm!suitPower</v>
      </c>
    </row>
    <row r="2479" spans="1:9" x14ac:dyDescent="0.15">
      <c r="A2479" s="1">
        <v>2478</v>
      </c>
      <c r="B2479" s="1">
        <v>102091300</v>
      </c>
      <c r="C2479" s="1">
        <f t="shared" si="156"/>
        <v>8</v>
      </c>
      <c r="D2479" s="5">
        <f ca="1">IF(getQuality(B2479)&lt;4,getOtherMin(B2479,C2479,INDIRECT(J$2),INDIRECT(I2479),test),getMin(B2479,C2479,INDIRECT(J$2),INDIRECT(I2479),test))</f>
        <v>117.66666666666667</v>
      </c>
      <c r="E2479" s="5">
        <f ca="1">IF(getQuality(B2479)&lt;4,getOtherMax(B2479,C2479,INDIRECT(J$2),INDIRECT(I2479),test),getMax(B2479,C2479,INDIRECT(J$2),INDIRECT(I2479),test))</f>
        <v>131.25</v>
      </c>
      <c r="F2479" s="1" t="str">
        <f t="shared" si="154"/>
        <v>50</v>
      </c>
      <c r="G2479" s="1" t="str">
        <f t="shared" si="155"/>
        <v/>
      </c>
      <c r="I2479" s="1" t="str">
        <f t="shared" si="153"/>
        <v>威尔新数值1.06.xlsm!suitPower</v>
      </c>
    </row>
    <row r="2480" spans="1:9" x14ac:dyDescent="0.15">
      <c r="A2480" s="1">
        <v>2479</v>
      </c>
      <c r="B2480" s="1">
        <v>102091300</v>
      </c>
      <c r="C2480" s="1">
        <f t="shared" si="156"/>
        <v>9</v>
      </c>
      <c r="D2480" s="5">
        <f ca="1">IF(getQuality(B2480)&lt;4,getOtherMin(B2480,C2480,INDIRECT(J$2),INDIRECT(I2480),test),getMin(B2480,C2480,INDIRECT(J$2),INDIRECT(I2480),test))</f>
        <v>288.24542239033156</v>
      </c>
      <c r="E2480" s="5">
        <f ca="1">IF(getQuality(B2480)&lt;4,getOtherMax(B2480,C2480,INDIRECT(J$2),INDIRECT(I2480),test),getMax(B2480,C2480,INDIRECT(J$2),INDIRECT(I2480),test))</f>
        <v>342.05887732784834</v>
      </c>
      <c r="F2480" s="1" t="str">
        <f t="shared" si="154"/>
        <v>50</v>
      </c>
      <c r="G2480" s="1" t="str">
        <f t="shared" si="155"/>
        <v/>
      </c>
      <c r="I2480" s="1" t="str">
        <f t="shared" si="153"/>
        <v>威尔新数值1.06.xlsm!suitPower</v>
      </c>
    </row>
    <row r="2481" spans="1:9" x14ac:dyDescent="0.15">
      <c r="A2481" s="1">
        <v>2480</v>
      </c>
      <c r="B2481" s="1">
        <v>102091300</v>
      </c>
      <c r="C2481" s="1">
        <f t="shared" si="156"/>
        <v>10</v>
      </c>
      <c r="D2481" s="5">
        <f ca="1">IF(getQuality(B2481)&lt;4,getOtherMin(B2481,C2481,INDIRECT(J$2),INDIRECT(I2481),test),getMin(B2481,C2481,INDIRECT(J$2),INDIRECT(I2481),test))</f>
        <v>288.24542239033156</v>
      </c>
      <c r="E2481" s="5">
        <f ca="1">IF(getQuality(B2481)&lt;4,getOtherMax(B2481,C2481,INDIRECT(J$2),INDIRECT(I2481),test),getMax(B2481,C2481,INDIRECT(J$2),INDIRECT(I2481),test))</f>
        <v>342.05887732784834</v>
      </c>
      <c r="F2481" s="1" t="str">
        <f t="shared" si="154"/>
        <v>50</v>
      </c>
      <c r="G2481" s="1" t="str">
        <f t="shared" si="155"/>
        <v/>
      </c>
      <c r="I2481" s="1" t="str">
        <f t="shared" si="153"/>
        <v>威尔新数值1.06.xlsm!suitPower</v>
      </c>
    </row>
    <row r="2482" spans="1:9" x14ac:dyDescent="0.15">
      <c r="A2482" s="1">
        <v>2481</v>
      </c>
      <c r="B2482" s="1">
        <v>102091300</v>
      </c>
      <c r="C2482" s="1">
        <f t="shared" si="156"/>
        <v>11</v>
      </c>
      <c r="D2482" s="5">
        <f ca="1">IF(getQuality(B2482)&lt;4,getOtherMin(B2482,C2482,INDIRECT(J$2),INDIRECT(I2482),test),getMin(B2482,C2482,INDIRECT(J$2),INDIRECT(I2482),test))</f>
        <v>288.24542239033156</v>
      </c>
      <c r="E2482" s="5">
        <f ca="1">IF(getQuality(B2482)&lt;4,getOtherMax(B2482,C2482,INDIRECT(J$2),INDIRECT(I2482),test),getMax(B2482,C2482,INDIRECT(J$2),INDIRECT(I2482),test))</f>
        <v>342.05887732784834</v>
      </c>
      <c r="F2482" s="1" t="str">
        <f t="shared" si="154"/>
        <v>50</v>
      </c>
      <c r="G2482" s="1" t="str">
        <f t="shared" si="155"/>
        <v/>
      </c>
      <c r="I2482" s="1" t="str">
        <f t="shared" si="153"/>
        <v>威尔新数值1.06.xlsm!suitPower</v>
      </c>
    </row>
    <row r="2483" spans="1:9" x14ac:dyDescent="0.15">
      <c r="A2483" s="1">
        <v>2482</v>
      </c>
      <c r="B2483" s="1">
        <v>102091300</v>
      </c>
      <c r="C2483" s="1">
        <f t="shared" si="156"/>
        <v>12</v>
      </c>
      <c r="D2483" s="5">
        <f ca="1">IF(getQuality(B2483)&lt;4,getOtherMin(B2483,C2483,INDIRECT(J$2),INDIRECT(I2483),test),getMin(B2483,C2483,INDIRECT(J$2),INDIRECT(I2483),test))</f>
        <v>288.24542239033156</v>
      </c>
      <c r="E2483" s="5">
        <f ca="1">IF(getQuality(B2483)&lt;4,getOtherMax(B2483,C2483,INDIRECT(J$2),INDIRECT(I2483),test),getMax(B2483,C2483,INDIRECT(J$2),INDIRECT(I2483),test))</f>
        <v>342.05887732784834</v>
      </c>
      <c r="F2483" s="1" t="str">
        <f t="shared" si="154"/>
        <v>50</v>
      </c>
      <c r="G2483" s="1" t="str">
        <f t="shared" si="155"/>
        <v/>
      </c>
      <c r="I2483" s="1" t="str">
        <f t="shared" si="153"/>
        <v>威尔新数值1.06.xlsm!suitPower</v>
      </c>
    </row>
    <row r="2484" spans="1:9" x14ac:dyDescent="0.15">
      <c r="A2484" s="1">
        <v>2483</v>
      </c>
      <c r="B2484" s="1">
        <v>102091300</v>
      </c>
      <c r="C2484" s="1">
        <f t="shared" si="156"/>
        <v>13</v>
      </c>
      <c r="D2484" s="5">
        <f ca="1">IF(getQuality(B2484)&lt;4,getOtherMin(B2484,C2484,INDIRECT(J$2),INDIRECT(I2484),test),getMin(B2484,C2484,INDIRECT(J$2),INDIRECT(I2484),test))</f>
        <v>288.24542239033156</v>
      </c>
      <c r="E2484" s="5">
        <f ca="1">IF(getQuality(B2484)&lt;4,getOtherMax(B2484,C2484,INDIRECT(J$2),INDIRECT(I2484),test),getMax(B2484,C2484,INDIRECT(J$2),INDIRECT(I2484),test))</f>
        <v>342.05887732784834</v>
      </c>
      <c r="F2484" s="1" t="str">
        <f t="shared" si="154"/>
        <v>50</v>
      </c>
      <c r="G2484" s="1" t="str">
        <f t="shared" si="155"/>
        <v/>
      </c>
      <c r="I2484" s="1" t="str">
        <f t="shared" si="153"/>
        <v>威尔新数值1.06.xlsm!suitPower</v>
      </c>
    </row>
    <row r="2485" spans="1:9" x14ac:dyDescent="0.15">
      <c r="A2485" s="1">
        <v>2484</v>
      </c>
      <c r="B2485" s="1">
        <v>102091300</v>
      </c>
      <c r="C2485" s="1">
        <f t="shared" si="156"/>
        <v>14</v>
      </c>
      <c r="D2485" s="5">
        <f ca="1">IF(getQuality(B2485)&lt;4,getOtherMin(B2485,C2485,INDIRECT(J$2),INDIRECT(I2485),test),getMin(B2485,C2485,INDIRECT(J$2),INDIRECT(I2485),test))</f>
        <v>288.24542239033156</v>
      </c>
      <c r="E2485" s="5">
        <f ca="1">IF(getQuality(B2485)&lt;4,getOtherMax(B2485,C2485,INDIRECT(J$2),INDIRECT(I2485),test),getMax(B2485,C2485,INDIRECT(J$2),INDIRECT(I2485),test))</f>
        <v>342.05887732784834</v>
      </c>
      <c r="F2485" s="1" t="str">
        <f t="shared" si="154"/>
        <v>50</v>
      </c>
      <c r="G2485" s="1" t="str">
        <f t="shared" si="155"/>
        <v/>
      </c>
      <c r="I2485" s="1" t="str">
        <f t="shared" si="153"/>
        <v>威尔新数值1.06.xlsm!suitPower</v>
      </c>
    </row>
    <row r="2486" spans="1:9" x14ac:dyDescent="0.15">
      <c r="A2486" s="1">
        <v>2485</v>
      </c>
      <c r="B2486" s="1">
        <v>102091300</v>
      </c>
      <c r="C2486" s="1">
        <f t="shared" si="156"/>
        <v>15</v>
      </c>
      <c r="D2486" s="5">
        <f ca="1">IF(getQuality(B2486)&lt;4,getOtherMin(B2486,C2486,INDIRECT(J$2),INDIRECT(I2486),test),getMin(B2486,C2486,INDIRECT(J$2),INDIRECT(I2486),test))</f>
        <v>288.24542239033156</v>
      </c>
      <c r="E2486" s="5">
        <f ca="1">IF(getQuality(B2486)&lt;4,getOtherMax(B2486,C2486,INDIRECT(J$2),INDIRECT(I2486),test),getMax(B2486,C2486,INDIRECT(J$2),INDIRECT(I2486),test))</f>
        <v>342.05887732784834</v>
      </c>
      <c r="F2486" s="1" t="str">
        <f t="shared" si="154"/>
        <v>50</v>
      </c>
      <c r="G2486" s="1" t="str">
        <f t="shared" si="155"/>
        <v/>
      </c>
      <c r="I2486" s="1" t="str">
        <f t="shared" si="153"/>
        <v>威尔新数值1.06.xlsm!suitPower</v>
      </c>
    </row>
    <row r="2487" spans="1:9" x14ac:dyDescent="0.15">
      <c r="A2487" s="1">
        <v>2486</v>
      </c>
      <c r="B2487" s="1">
        <v>102091300</v>
      </c>
      <c r="C2487" s="1">
        <f t="shared" si="156"/>
        <v>101</v>
      </c>
      <c r="D2487" s="5">
        <f ca="1">IF(getQuality(B2487)&lt;4,getOtherMin(B2487,C2487,INDIRECT(J$2),INDIRECT(I2487),test),getMin(B2487,C2487,INDIRECT(J$2),INDIRECT(I2487),test))</f>
        <v>0.14000000000000001</v>
      </c>
      <c r="E2487" s="5">
        <f ca="1">IF(getQuality(B2487)&lt;4,getOtherMax(B2487,C2487,INDIRECT(J$2),INDIRECT(I2487),test),getMax(B2487,C2487,INDIRECT(J$2),INDIRECT(I2487),test))</f>
        <v>0.17</v>
      </c>
      <c r="F2487" s="1" t="str">
        <f t="shared" si="154"/>
        <v>50</v>
      </c>
      <c r="G2487" s="1" t="str">
        <f t="shared" si="155"/>
        <v/>
      </c>
      <c r="I2487" s="1" t="str">
        <f t="shared" si="153"/>
        <v>威尔新数值1.06.xlsm!circlePer</v>
      </c>
    </row>
    <row r="2488" spans="1:9" x14ac:dyDescent="0.15">
      <c r="A2488" s="1">
        <v>2487</v>
      </c>
      <c r="B2488" s="1">
        <v>102091300</v>
      </c>
      <c r="C2488" s="1">
        <f t="shared" si="156"/>
        <v>102</v>
      </c>
      <c r="D2488" s="5">
        <f ca="1">IF(getQuality(B2488)&lt;4,getOtherMin(B2488,C2488,INDIRECT(J$2),INDIRECT(I2488),test),getMin(B2488,C2488,INDIRECT(J$2),INDIRECT(I2488),test))</f>
        <v>1.2</v>
      </c>
      <c r="E2488" s="5">
        <f ca="1">IF(getQuality(B2488)&lt;4,getOtherMax(B2488,C2488,INDIRECT(J$2),INDIRECT(I2488),test),getMax(B2488,C2488,INDIRECT(J$2),INDIRECT(I2488),test))</f>
        <v>1.6</v>
      </c>
      <c r="F2488" s="1" t="str">
        <f t="shared" si="154"/>
        <v>50</v>
      </c>
      <c r="G2488" s="1" t="str">
        <f t="shared" si="155"/>
        <v/>
      </c>
      <c r="I2488" s="1" t="str">
        <f t="shared" si="153"/>
        <v>威尔新数值1.06.xlsm!circleValue</v>
      </c>
    </row>
    <row r="2489" spans="1:9" x14ac:dyDescent="0.15">
      <c r="A2489" s="1">
        <v>2488</v>
      </c>
      <c r="B2489" s="1">
        <v>102091300</v>
      </c>
      <c r="C2489" s="1">
        <f t="shared" si="156"/>
        <v>103</v>
      </c>
      <c r="D2489" s="5">
        <f ca="1">IF(getQuality(B2489)&lt;4,getOtherMin(B2489,C2489,INDIRECT(J$2),INDIRECT(I2489),test),getMin(B2489,C2489,INDIRECT(J$2),INDIRECT(I2489),test))</f>
        <v>0.14000000000000001</v>
      </c>
      <c r="E2489" s="5">
        <f ca="1">IF(getQuality(B2489)&lt;4,getOtherMax(B2489,C2489,INDIRECT(J$2),INDIRECT(I2489),test),getMax(B2489,C2489,INDIRECT(J$2),INDIRECT(I2489),test))</f>
        <v>0.17</v>
      </c>
      <c r="F2489" s="1" t="str">
        <f t="shared" si="154"/>
        <v>50</v>
      </c>
      <c r="G2489" s="1" t="str">
        <f t="shared" si="155"/>
        <v/>
      </c>
      <c r="I2489" s="1" t="str">
        <f t="shared" si="153"/>
        <v>威尔新数值1.06.xlsm!otherDamage</v>
      </c>
    </row>
    <row r="2490" spans="1:9" x14ac:dyDescent="0.15">
      <c r="A2490" s="1">
        <v>2489</v>
      </c>
      <c r="B2490" s="1">
        <v>102091300</v>
      </c>
      <c r="C2490" s="1">
        <f t="shared" si="156"/>
        <v>104</v>
      </c>
      <c r="D2490" s="5">
        <f ca="1">IF(getQuality(B2490)&lt;4,getOtherMin(B2490,C2490,INDIRECT(J$2),INDIRECT(I2490),test),getMin(B2490,C2490,INDIRECT(J$2),INDIRECT(I2490),test))</f>
        <v>0.14000000000000001</v>
      </c>
      <c r="E2490" s="5">
        <f ca="1">IF(getQuality(B2490)&lt;4,getOtherMax(B2490,C2490,INDIRECT(J$2),INDIRECT(I2490),test),getMax(B2490,C2490,INDIRECT(J$2),INDIRECT(I2490),test))</f>
        <v>0.28000000000000003</v>
      </c>
      <c r="F2490" s="1" t="str">
        <f t="shared" si="154"/>
        <v>50</v>
      </c>
      <c r="G2490" s="1" t="str">
        <f t="shared" si="155"/>
        <v/>
      </c>
      <c r="I2490" s="1" t="str">
        <f t="shared" si="153"/>
        <v>威尔新数值1.06.xlsm!monsterDamage</v>
      </c>
    </row>
    <row r="2491" spans="1:9" x14ac:dyDescent="0.15">
      <c r="A2491" s="1">
        <v>2490</v>
      </c>
      <c r="B2491" s="1">
        <v>102091300</v>
      </c>
      <c r="C2491" s="1">
        <f t="shared" si="156"/>
        <v>105</v>
      </c>
      <c r="D2491" s="5">
        <f ca="1">IF(getQuality(B2491)&lt;4,getOtherMin(B2491,C2491,INDIRECT(J$2),INDIRECT(I2491),test),getMin(B2491,C2491,INDIRECT(J$2),INDIRECT(I2491),test))</f>
        <v>0.14000000000000001</v>
      </c>
      <c r="E2491" s="5">
        <f ca="1">IF(getQuality(B2491)&lt;4,getOtherMax(B2491,C2491,INDIRECT(J$2),INDIRECT(I2491),test),getMax(B2491,C2491,INDIRECT(J$2),INDIRECT(I2491),test))</f>
        <v>0.28000000000000003</v>
      </c>
      <c r="F2491" s="1" t="str">
        <f t="shared" si="154"/>
        <v>50</v>
      </c>
      <c r="G2491" s="1" t="str">
        <f t="shared" si="155"/>
        <v/>
      </c>
      <c r="I2491" s="1" t="str">
        <f t="shared" si="153"/>
        <v>威尔新数值1.06.xlsm!monsterDamage</v>
      </c>
    </row>
    <row r="2492" spans="1:9" x14ac:dyDescent="0.15">
      <c r="A2492" s="1">
        <v>2491</v>
      </c>
      <c r="B2492" s="1">
        <v>102091300</v>
      </c>
      <c r="C2492" s="1">
        <f t="shared" si="156"/>
        <v>106</v>
      </c>
      <c r="D2492" s="5">
        <f ca="1">IF(getQuality(B2492)&lt;4,getOtherMin(B2492,C2492,INDIRECT(J$2),INDIRECT(I2492),test),getMin(B2492,C2492,INDIRECT(J$2),INDIRECT(I2492),test))</f>
        <v>0.14000000000000001</v>
      </c>
      <c r="E2492" s="5">
        <f ca="1">IF(getQuality(B2492)&lt;4,getOtherMax(B2492,C2492,INDIRECT(J$2),INDIRECT(I2492),test),getMax(B2492,C2492,INDIRECT(J$2),INDIRECT(I2492),test))</f>
        <v>0.28000000000000003</v>
      </c>
      <c r="F2492" s="1" t="str">
        <f t="shared" si="154"/>
        <v>50</v>
      </c>
      <c r="G2492" s="1" t="str">
        <f t="shared" si="155"/>
        <v/>
      </c>
      <c r="I2492" s="1" t="str">
        <f t="shared" si="153"/>
        <v>威尔新数值1.06.xlsm!monsterDamage</v>
      </c>
    </row>
    <row r="2493" spans="1:9" x14ac:dyDescent="0.15">
      <c r="A2493" s="1">
        <v>2492</v>
      </c>
      <c r="B2493" s="1">
        <v>102091300</v>
      </c>
      <c r="C2493" s="1">
        <f t="shared" si="156"/>
        <v>107</v>
      </c>
      <c r="D2493" s="5">
        <f ca="1">IF(getQuality(B2493)&lt;4,getOtherMin(B2493,C2493,INDIRECT(J$2),INDIRECT(I2493),test),getMin(B2493,C2493,INDIRECT(J$2),INDIRECT(I2493),test))</f>
        <v>0.14000000000000001</v>
      </c>
      <c r="E2493" s="5">
        <f ca="1">IF(getQuality(B2493)&lt;4,getOtherMax(B2493,C2493,INDIRECT(J$2),INDIRECT(I2493),test),getMax(B2493,C2493,INDIRECT(J$2),INDIRECT(I2493),test))</f>
        <v>0.28000000000000003</v>
      </c>
      <c r="F2493" s="1" t="str">
        <f t="shared" si="154"/>
        <v>50</v>
      </c>
      <c r="G2493" s="1" t="str">
        <f t="shared" si="155"/>
        <v/>
      </c>
      <c r="I2493" s="1" t="str">
        <f t="shared" si="153"/>
        <v>威尔新数值1.06.xlsm!monsterDamage</v>
      </c>
    </row>
    <row r="2494" spans="1:9" x14ac:dyDescent="0.15">
      <c r="A2494" s="1">
        <v>2493</v>
      </c>
      <c r="B2494" s="1">
        <v>102091300</v>
      </c>
      <c r="C2494" s="1">
        <f t="shared" si="156"/>
        <v>108</v>
      </c>
      <c r="D2494" s="5">
        <f ca="1">IF(getQuality(B2494)&lt;4,getOtherMin(B2494,C2494,INDIRECT(J$2),INDIRECT(I2494),test),getMin(B2494,C2494,INDIRECT(J$2),INDIRECT(I2494),test))</f>
        <v>0.14000000000000001</v>
      </c>
      <c r="E2494" s="5">
        <f ca="1">IF(getQuality(B2494)&lt;4,getOtherMax(B2494,C2494,INDIRECT(J$2),INDIRECT(I2494),test),getMax(B2494,C2494,INDIRECT(J$2),INDIRECT(I2494),test))</f>
        <v>0.28000000000000003</v>
      </c>
      <c r="F2494" s="1" t="str">
        <f t="shared" si="154"/>
        <v>50</v>
      </c>
      <c r="G2494" s="1" t="str">
        <f t="shared" si="155"/>
        <v/>
      </c>
      <c r="I2494" s="1" t="str">
        <f t="shared" si="153"/>
        <v>威尔新数值1.06.xlsm!monsterDamage</v>
      </c>
    </row>
    <row r="2495" spans="1:9" x14ac:dyDescent="0.15">
      <c r="A2495" s="1">
        <v>2494</v>
      </c>
      <c r="B2495" s="1">
        <v>202011400</v>
      </c>
      <c r="C2495" s="3">
        <v>1</v>
      </c>
      <c r="D2495" s="5">
        <f ca="1">IF(getQuality(B2495)&lt;4,getOtherMin(B2495,C2495,INDIRECT(J$2),INDIRECT(I2495),test),getMin(B2495,C2495,INDIRECT(J$2),INDIRECT(I2495),test))</f>
        <v>1</v>
      </c>
      <c r="E2495" s="5">
        <f ca="1">IF(getQuality(B2495)&lt;4,getOtherMax(B2495,C2495,INDIRECT(J$2),INDIRECT(I2495),test),getMax(B2495,C2495,INDIRECT(J$2),INDIRECT(I2495),test))</f>
        <v>55.611111111111114</v>
      </c>
      <c r="F2495" s="1" t="str">
        <f t="shared" si="154"/>
        <v>50</v>
      </c>
      <c r="G2495" s="1" t="str">
        <f t="shared" si="155"/>
        <v/>
      </c>
      <c r="I2495" s="1" t="str">
        <f t="shared" si="153"/>
        <v>威尔新数值1.06.xlsm!suitPower</v>
      </c>
    </row>
    <row r="2496" spans="1:9" x14ac:dyDescent="0.15">
      <c r="A2496" s="1">
        <v>2495</v>
      </c>
      <c r="B2496" s="1">
        <v>202011400</v>
      </c>
      <c r="C2496" s="3">
        <v>2</v>
      </c>
      <c r="D2496" s="5">
        <f ca="1">IF(getQuality(B2496)&lt;4,getOtherMin(B2496,C2496,INDIRECT(J$2),INDIRECT(I2496),test),getMin(B2496,C2496,INDIRECT(J$2),INDIRECT(I2496),test))</f>
        <v>1</v>
      </c>
      <c r="E2496" s="5">
        <f ca="1">IF(getQuality(B2496)&lt;4,getOtherMax(B2496,C2496,INDIRECT(J$2),INDIRECT(I2496),test),getMax(B2496,C2496,INDIRECT(J$2),INDIRECT(I2496),test))</f>
        <v>5.3472222222222223</v>
      </c>
      <c r="F2496" s="1" t="str">
        <f t="shared" si="154"/>
        <v>50</v>
      </c>
      <c r="G2496" s="1" t="str">
        <f t="shared" si="155"/>
        <v/>
      </c>
      <c r="I2496" s="1" t="str">
        <f t="shared" si="153"/>
        <v>威尔新数值1.06.xlsm!suitPower</v>
      </c>
    </row>
    <row r="2497" spans="1:9" x14ac:dyDescent="0.15">
      <c r="A2497" s="1">
        <v>2496</v>
      </c>
      <c r="B2497" s="1">
        <v>202011400</v>
      </c>
      <c r="C2497" s="3">
        <v>4</v>
      </c>
      <c r="D2497" s="5">
        <f ca="1">IF(getQuality(B2497)&lt;4,getOtherMin(B2497,C2497,INDIRECT(J$2),INDIRECT(I2497),test),getMin(B2497,C2497,INDIRECT(J$2),INDIRECT(I2497),test))</f>
        <v>1</v>
      </c>
      <c r="E2497" s="5">
        <f ca="1">IF(getQuality(B2497)&lt;4,getOtherMax(B2497,C2497,INDIRECT(J$2),INDIRECT(I2497),test),getMax(B2497,C2497,INDIRECT(J$2),INDIRECT(I2497),test))</f>
        <v>36.458333333333336</v>
      </c>
      <c r="F2497" s="1" t="str">
        <f t="shared" si="154"/>
        <v>50</v>
      </c>
      <c r="G2497" s="1" t="str">
        <f t="shared" si="155"/>
        <v>1</v>
      </c>
      <c r="I2497" s="1" t="str">
        <f t="shared" si="153"/>
        <v>威尔新数值1.06.xlsm!suitPower</v>
      </c>
    </row>
    <row r="2498" spans="1:9" x14ac:dyDescent="0.15">
      <c r="A2498" s="1">
        <v>2497</v>
      </c>
      <c r="B2498" s="1">
        <v>202011400</v>
      </c>
      <c r="C2498" s="3">
        <v>6</v>
      </c>
      <c r="D2498" s="5">
        <f ca="1">IF(getQuality(B2498)&lt;4,getOtherMin(B2498,C2498,INDIRECT(J$2),INDIRECT(I2498),test),getMin(B2498,C2498,INDIRECT(J$2),INDIRECT(I2498),test))</f>
        <v>1</v>
      </c>
      <c r="E2498" s="5">
        <f ca="1">IF(getQuality(B2498)&lt;4,getOtherMax(B2498,C2498,INDIRECT(J$2),INDIRECT(I2498),test),getMax(B2498,C2498,INDIRECT(J$2),INDIRECT(I2498),test))</f>
        <v>36.458333333333336</v>
      </c>
      <c r="F2498" s="1" t="str">
        <f t="shared" si="154"/>
        <v>50</v>
      </c>
      <c r="G2498" s="1" t="str">
        <f t="shared" si="155"/>
        <v/>
      </c>
      <c r="I2498" s="1" t="str">
        <f t="shared" ref="I2498:I2561" si="157">IF(C2498&lt;100,VLOOKUP(C2498,test,3,FALSE),VLOOKUP(C2498,test1,3,FALSE))</f>
        <v>威尔新数值1.06.xlsm!suitPower</v>
      </c>
    </row>
    <row r="2499" spans="1:9" x14ac:dyDescent="0.15">
      <c r="A2499" s="1">
        <v>2498</v>
      </c>
      <c r="B2499" s="1">
        <v>202011400</v>
      </c>
      <c r="C2499" s="3">
        <v>7</v>
      </c>
      <c r="D2499" s="5">
        <f ca="1">IF(getQuality(B2499)&lt;4,getOtherMin(B2499,C2499,INDIRECT(J$2),INDIRECT(I2499),test),getMin(B2499,C2499,INDIRECT(J$2),INDIRECT(I2499),test))</f>
        <v>1</v>
      </c>
      <c r="E2499" s="5">
        <f ca="1">IF(getQuality(B2499)&lt;4,getOtherMax(B2499,C2499,INDIRECT(J$2),INDIRECT(I2499),test),getMax(B2499,C2499,INDIRECT(J$2),INDIRECT(I2499),test))</f>
        <v>3.2407407407407325</v>
      </c>
      <c r="F2499" s="1" t="str">
        <f t="shared" ref="F2499:F2562" si="158">getper(B2499,C2499)</f>
        <v>50</v>
      </c>
      <c r="G2499" s="1" t="str">
        <f t="shared" ref="G2499:G2562" si="159">getMust(B2499,C2499)</f>
        <v/>
      </c>
      <c r="I2499" s="1" t="str">
        <f t="shared" si="157"/>
        <v>威尔新数值1.06.xlsm!suitPower</v>
      </c>
    </row>
    <row r="2500" spans="1:9" x14ac:dyDescent="0.15">
      <c r="A2500" s="1">
        <v>2499</v>
      </c>
      <c r="B2500" s="1">
        <v>202011400</v>
      </c>
      <c r="C2500" s="3">
        <v>8</v>
      </c>
      <c r="D2500" s="5">
        <f ca="1">IF(getQuality(B2500)&lt;4,getOtherMin(B2500,C2500,INDIRECT(J$2),INDIRECT(I2500),test),getMin(B2500,C2500,INDIRECT(J$2),INDIRECT(I2500),test))</f>
        <v>1</v>
      </c>
      <c r="E2500" s="5">
        <f ca="1">IF(getQuality(B2500)&lt;4,getOtherMax(B2500,C2500,INDIRECT(J$2),INDIRECT(I2500),test),getMax(B2500,C2500,INDIRECT(J$2),INDIRECT(I2500),test))</f>
        <v>7.291666666666667</v>
      </c>
      <c r="F2500" s="1" t="str">
        <f t="shared" si="158"/>
        <v>50</v>
      </c>
      <c r="G2500" s="1" t="str">
        <f t="shared" si="159"/>
        <v/>
      </c>
      <c r="I2500" s="1" t="str">
        <f t="shared" si="157"/>
        <v>威尔新数值1.06.xlsm!suitPower</v>
      </c>
    </row>
    <row r="2501" spans="1:9" x14ac:dyDescent="0.15">
      <c r="A2501" s="1">
        <v>2500</v>
      </c>
      <c r="B2501" s="1">
        <v>202011400</v>
      </c>
      <c r="C2501" s="3">
        <v>16</v>
      </c>
      <c r="D2501" s="5">
        <f ca="1">IF(getQuality(B2501)&lt;4,getOtherMin(B2501,C2501,INDIRECT(J$2),INDIRECT(I2501),test),getMin(B2501,C2501,INDIRECT(J$2),INDIRECT(I2501),test))</f>
        <v>1</v>
      </c>
      <c r="E2501" s="5">
        <f ca="1">IF(getQuality(B2501)&lt;4,getOtherMax(B2501,C2501,INDIRECT(J$2),INDIRECT(I2501),test),getMax(B2501,C2501,INDIRECT(J$2),INDIRECT(I2501),test))</f>
        <v>9.7222222222222214</v>
      </c>
      <c r="F2501" s="1" t="str">
        <f t="shared" si="158"/>
        <v>50</v>
      </c>
      <c r="G2501" s="1" t="str">
        <f t="shared" si="159"/>
        <v/>
      </c>
      <c r="I2501" s="1" t="str">
        <f t="shared" si="157"/>
        <v>威尔新数值1.06.xlsm!suitPower</v>
      </c>
    </row>
    <row r="2502" spans="1:9" x14ac:dyDescent="0.15">
      <c r="A2502" s="1">
        <v>2501</v>
      </c>
      <c r="B2502" s="1">
        <v>202011400</v>
      </c>
      <c r="C2502" s="3">
        <v>17</v>
      </c>
      <c r="D2502" s="5">
        <f ca="1">IF(getQuality(B2502)&lt;4,getOtherMin(B2502,C2502,INDIRECT(J$2),INDIRECT(I2502),test),getMin(B2502,C2502,INDIRECT(J$2),INDIRECT(I2502),test))</f>
        <v>1</v>
      </c>
      <c r="E2502" s="5">
        <f ca="1">IF(getQuality(B2502)&lt;4,getOtherMax(B2502,C2502,INDIRECT(J$2),INDIRECT(I2502),test),getMax(B2502,C2502,INDIRECT(J$2),INDIRECT(I2502),test))</f>
        <v>9.7222222222222214</v>
      </c>
      <c r="F2502" s="1" t="str">
        <f t="shared" si="158"/>
        <v>50</v>
      </c>
      <c r="G2502" s="1" t="str">
        <f t="shared" si="159"/>
        <v/>
      </c>
      <c r="I2502" s="1" t="str">
        <f t="shared" si="157"/>
        <v>威尔新数值1.06.xlsm!suitPower</v>
      </c>
    </row>
    <row r="2503" spans="1:9" x14ac:dyDescent="0.15">
      <c r="A2503" s="1">
        <v>2502</v>
      </c>
      <c r="B2503" s="1">
        <v>202011400</v>
      </c>
      <c r="C2503" s="3">
        <v>18</v>
      </c>
      <c r="D2503" s="5">
        <f ca="1">IF(getQuality(B2503)&lt;4,getOtherMin(B2503,C2503,INDIRECT(J$2),INDIRECT(I2503),test),getMin(B2503,C2503,INDIRECT(J$2),INDIRECT(I2503),test))</f>
        <v>1</v>
      </c>
      <c r="E2503" s="5">
        <f ca="1">IF(getQuality(B2503)&lt;4,getOtherMax(B2503,C2503,INDIRECT(J$2),INDIRECT(I2503),test),getMax(B2503,C2503,INDIRECT(J$2),INDIRECT(I2503),test))</f>
        <v>9.7222222222222214</v>
      </c>
      <c r="F2503" s="1" t="str">
        <f t="shared" si="158"/>
        <v>50</v>
      </c>
      <c r="G2503" s="1" t="str">
        <f t="shared" si="159"/>
        <v/>
      </c>
      <c r="I2503" s="1" t="str">
        <f t="shared" si="157"/>
        <v>威尔新数值1.06.xlsm!suitPower</v>
      </c>
    </row>
    <row r="2504" spans="1:9" x14ac:dyDescent="0.15">
      <c r="A2504" s="1">
        <v>2503</v>
      </c>
      <c r="B2504" s="1">
        <v>202011400</v>
      </c>
      <c r="C2504" s="3">
        <v>19</v>
      </c>
      <c r="D2504" s="5">
        <f ca="1">IF(getQuality(B2504)&lt;4,getOtherMin(B2504,C2504,INDIRECT(J$2),INDIRECT(I2504),test),getMin(B2504,C2504,INDIRECT(J$2),INDIRECT(I2504),test))</f>
        <v>1</v>
      </c>
      <c r="E2504" s="5">
        <f ca="1">IF(getQuality(B2504)&lt;4,getOtherMax(B2504,C2504,INDIRECT(J$2),INDIRECT(I2504),test),getMax(B2504,C2504,INDIRECT(J$2),INDIRECT(I2504),test))</f>
        <v>9.7222222222222214</v>
      </c>
      <c r="F2504" s="1" t="str">
        <f t="shared" si="158"/>
        <v>50</v>
      </c>
      <c r="G2504" s="1" t="str">
        <f t="shared" si="159"/>
        <v/>
      </c>
      <c r="I2504" s="1" t="str">
        <f t="shared" si="157"/>
        <v>威尔新数值1.06.xlsm!suitPower</v>
      </c>
    </row>
    <row r="2505" spans="1:9" x14ac:dyDescent="0.15">
      <c r="A2505" s="1">
        <v>2504</v>
      </c>
      <c r="B2505" s="1">
        <v>202011400</v>
      </c>
      <c r="C2505" s="3">
        <v>20</v>
      </c>
      <c r="D2505" s="5">
        <f ca="1">IF(getQuality(B2505)&lt;4,getOtherMin(B2505,C2505,INDIRECT(J$2),INDIRECT(I2505),test),getMin(B2505,C2505,INDIRECT(J$2),INDIRECT(I2505),test))</f>
        <v>1</v>
      </c>
      <c r="E2505" s="5">
        <f ca="1">IF(getQuality(B2505)&lt;4,getOtherMax(B2505,C2505,INDIRECT(J$2),INDIRECT(I2505),test),getMax(B2505,C2505,INDIRECT(J$2),INDIRECT(I2505),test))</f>
        <v>9.7222222222222214</v>
      </c>
      <c r="F2505" s="1" t="str">
        <f t="shared" si="158"/>
        <v>50</v>
      </c>
      <c r="G2505" s="1" t="str">
        <f t="shared" si="159"/>
        <v/>
      </c>
      <c r="I2505" s="1" t="str">
        <f t="shared" si="157"/>
        <v>威尔新数值1.06.xlsm!suitPower</v>
      </c>
    </row>
    <row r="2506" spans="1:9" x14ac:dyDescent="0.15">
      <c r="A2506" s="1">
        <v>2505</v>
      </c>
      <c r="B2506" s="1">
        <v>202011400</v>
      </c>
      <c r="C2506" s="3">
        <v>21</v>
      </c>
      <c r="D2506" s="5">
        <f ca="1">IF(getQuality(B2506)&lt;4,getOtherMin(B2506,C2506,INDIRECT(J$2),INDIRECT(I2506),test),getMin(B2506,C2506,INDIRECT(J$2),INDIRECT(I2506),test))</f>
        <v>1</v>
      </c>
      <c r="E2506" s="5">
        <f ca="1">IF(getQuality(B2506)&lt;4,getOtherMax(B2506,C2506,INDIRECT(J$2),INDIRECT(I2506),test),getMax(B2506,C2506,INDIRECT(J$2),INDIRECT(I2506),test))</f>
        <v>9.7222222222222214</v>
      </c>
      <c r="F2506" s="1" t="str">
        <f t="shared" si="158"/>
        <v>50</v>
      </c>
      <c r="G2506" s="1" t="str">
        <f t="shared" si="159"/>
        <v/>
      </c>
      <c r="I2506" s="1" t="str">
        <f t="shared" si="157"/>
        <v>威尔新数值1.06.xlsm!suitPower</v>
      </c>
    </row>
    <row r="2507" spans="1:9" x14ac:dyDescent="0.15">
      <c r="A2507" s="1">
        <v>2506</v>
      </c>
      <c r="B2507" s="1">
        <v>202011400</v>
      </c>
      <c r="C2507" s="3">
        <v>22</v>
      </c>
      <c r="D2507" s="5">
        <f ca="1">IF(getQuality(B2507)&lt;4,getOtherMin(B2507,C2507,INDIRECT(J$2),INDIRECT(I2507),test),getMin(B2507,C2507,INDIRECT(J$2),INDIRECT(I2507),test))</f>
        <v>1</v>
      </c>
      <c r="E2507" s="5">
        <f ca="1">IF(getQuality(B2507)&lt;4,getOtherMax(B2507,C2507,INDIRECT(J$2),INDIRECT(I2507),test),getMax(B2507,C2507,INDIRECT(J$2),INDIRECT(I2507),test))</f>
        <v>9.7222222222222214</v>
      </c>
      <c r="F2507" s="1" t="str">
        <f t="shared" si="158"/>
        <v>50</v>
      </c>
      <c r="G2507" s="1" t="str">
        <f t="shared" si="159"/>
        <v/>
      </c>
      <c r="I2507" s="1" t="str">
        <f t="shared" si="157"/>
        <v>威尔新数值1.06.xlsm!suitPower</v>
      </c>
    </row>
    <row r="2508" spans="1:9" x14ac:dyDescent="0.15">
      <c r="A2508" s="1">
        <v>2507</v>
      </c>
      <c r="B2508" s="1">
        <v>202011400</v>
      </c>
      <c r="C2508" s="3">
        <v>23</v>
      </c>
      <c r="D2508" s="5">
        <f ca="1">IF(getQuality(B2508)&lt;4,getOtherMin(B2508,C2508,INDIRECT(J$2),INDIRECT(I2508),test),getMin(B2508,C2508,INDIRECT(J$2),INDIRECT(I2508),test))</f>
        <v>1</v>
      </c>
      <c r="E2508" s="5">
        <f ca="1">IF(getQuality(B2508)&lt;4,getOtherMax(B2508,C2508,INDIRECT(J$2),INDIRECT(I2508),test),getMax(B2508,C2508,INDIRECT(J$2),INDIRECT(I2508),test))</f>
        <v>9.7222222222222214</v>
      </c>
      <c r="F2508" s="1" t="str">
        <f t="shared" si="158"/>
        <v>50</v>
      </c>
      <c r="G2508" s="1" t="str">
        <f t="shared" si="159"/>
        <v/>
      </c>
      <c r="I2508" s="1" t="str">
        <f t="shared" si="157"/>
        <v>威尔新数值1.06.xlsm!suitPower</v>
      </c>
    </row>
    <row r="2509" spans="1:9" x14ac:dyDescent="0.15">
      <c r="A2509" s="1">
        <v>2508</v>
      </c>
      <c r="B2509" s="1">
        <v>202021400</v>
      </c>
      <c r="C2509" s="1">
        <f>C2495</f>
        <v>1</v>
      </c>
      <c r="D2509" s="5">
        <f ca="1">IF(getQuality(B2509)&lt;4,getOtherMin(B2509,C2509,INDIRECT(J$2),INDIRECT(I2509),test),getMin(B2509,C2509,INDIRECT(J$2),INDIRECT(I2509),test))</f>
        <v>56.611111111111114</v>
      </c>
      <c r="E2509" s="5">
        <f ca="1">IF(getQuality(B2509)&lt;4,getOtherMax(B2509,C2509,INDIRECT(J$2),INDIRECT(I2509),test),getMax(B2509,C2509,INDIRECT(J$2),INDIRECT(I2509),test))</f>
        <v>122.34444444444445</v>
      </c>
      <c r="F2509" s="1" t="str">
        <f t="shared" si="158"/>
        <v>50</v>
      </c>
      <c r="G2509" s="1" t="str">
        <f t="shared" si="159"/>
        <v/>
      </c>
      <c r="I2509" s="1" t="str">
        <f t="shared" si="157"/>
        <v>威尔新数值1.06.xlsm!suitPower</v>
      </c>
    </row>
    <row r="2510" spans="1:9" x14ac:dyDescent="0.15">
      <c r="A2510" s="1">
        <v>2509</v>
      </c>
      <c r="B2510" s="1">
        <v>202021400</v>
      </c>
      <c r="C2510" s="1">
        <f t="shared" ref="C2510:C2573" si="160">C2496</f>
        <v>2</v>
      </c>
      <c r="D2510" s="5">
        <f ca="1">IF(getQuality(B2510)&lt;4,getOtherMin(B2510,C2510,INDIRECT(J$2),INDIRECT(I2510),test),getMin(B2510,C2510,INDIRECT(J$2),INDIRECT(I2510),test))</f>
        <v>6.3472222222222223</v>
      </c>
      <c r="E2510" s="5">
        <f ca="1">IF(getQuality(B2510)&lt;4,getOtherMax(B2510,C2510,INDIRECT(J$2),INDIRECT(I2510),test),getMax(B2510,C2510,INDIRECT(J$2),INDIRECT(I2510),test))</f>
        <v>11.763888888888889</v>
      </c>
      <c r="F2510" s="1" t="str">
        <f t="shared" si="158"/>
        <v>50</v>
      </c>
      <c r="G2510" s="1" t="str">
        <f t="shared" si="159"/>
        <v/>
      </c>
      <c r="I2510" s="1" t="str">
        <f t="shared" si="157"/>
        <v>威尔新数值1.06.xlsm!suitPower</v>
      </c>
    </row>
    <row r="2511" spans="1:9" x14ac:dyDescent="0.15">
      <c r="A2511" s="1">
        <v>2510</v>
      </c>
      <c r="B2511" s="1">
        <v>202021400</v>
      </c>
      <c r="C2511" s="1">
        <f t="shared" si="160"/>
        <v>4</v>
      </c>
      <c r="D2511" s="5">
        <f ca="1">IF(getQuality(B2511)&lt;4,getOtherMin(B2511,C2511,INDIRECT(J$2),INDIRECT(I2511),test),getMin(B2511,C2511,INDIRECT(J$2),INDIRECT(I2511),test))</f>
        <v>37.458333333333336</v>
      </c>
      <c r="E2511" s="5">
        <f ca="1">IF(getQuality(B2511)&lt;4,getOtherMax(B2511,C2511,INDIRECT(J$2),INDIRECT(I2511),test),getMax(B2511,C2511,INDIRECT(J$2),INDIRECT(I2511),test))</f>
        <v>72.916666666666671</v>
      </c>
      <c r="F2511" s="1" t="str">
        <f t="shared" si="158"/>
        <v>50</v>
      </c>
      <c r="G2511" s="1" t="str">
        <f t="shared" si="159"/>
        <v>1</v>
      </c>
      <c r="I2511" s="1" t="str">
        <f t="shared" si="157"/>
        <v>威尔新数值1.06.xlsm!suitPower</v>
      </c>
    </row>
    <row r="2512" spans="1:9" x14ac:dyDescent="0.15">
      <c r="A2512" s="1">
        <v>2511</v>
      </c>
      <c r="B2512" s="1">
        <v>202021400</v>
      </c>
      <c r="C2512" s="1">
        <f t="shared" si="160"/>
        <v>6</v>
      </c>
      <c r="D2512" s="5">
        <f ca="1">IF(getQuality(B2512)&lt;4,getOtherMin(B2512,C2512,INDIRECT(J$2),INDIRECT(I2512),test),getMin(B2512,C2512,INDIRECT(J$2),INDIRECT(I2512),test))</f>
        <v>37.458333333333336</v>
      </c>
      <c r="E2512" s="5">
        <f ca="1">IF(getQuality(B2512)&lt;4,getOtherMax(B2512,C2512,INDIRECT(J$2),INDIRECT(I2512),test),getMax(B2512,C2512,INDIRECT(J$2),INDIRECT(I2512),test))</f>
        <v>72.916666666666671</v>
      </c>
      <c r="F2512" s="1" t="str">
        <f t="shared" si="158"/>
        <v>50</v>
      </c>
      <c r="G2512" s="1" t="str">
        <f t="shared" si="159"/>
        <v/>
      </c>
      <c r="I2512" s="1" t="str">
        <f t="shared" si="157"/>
        <v>威尔新数值1.06.xlsm!suitPower</v>
      </c>
    </row>
    <row r="2513" spans="1:9" x14ac:dyDescent="0.15">
      <c r="A2513" s="1">
        <v>2512</v>
      </c>
      <c r="B2513" s="1">
        <v>202021400</v>
      </c>
      <c r="C2513" s="1">
        <f t="shared" si="160"/>
        <v>7</v>
      </c>
      <c r="D2513" s="5">
        <f ca="1">IF(getQuality(B2513)&lt;4,getOtherMin(B2513,C2513,INDIRECT(J$2),INDIRECT(I2513),test),getMin(B2513,C2513,INDIRECT(J$2),INDIRECT(I2513),test))</f>
        <v>4.2407407407407325</v>
      </c>
      <c r="E2513" s="5">
        <f ca="1">IF(getQuality(B2513)&lt;4,getOtherMax(B2513,C2513,INDIRECT(J$2),INDIRECT(I2513),test),getMax(B2513,C2513,INDIRECT(J$2),INDIRECT(I2513),test))</f>
        <v>6.481481481481465</v>
      </c>
      <c r="F2513" s="1" t="str">
        <f t="shared" si="158"/>
        <v>50</v>
      </c>
      <c r="G2513" s="1" t="str">
        <f t="shared" si="159"/>
        <v/>
      </c>
      <c r="I2513" s="1" t="str">
        <f t="shared" si="157"/>
        <v>威尔新数值1.06.xlsm!suitPower</v>
      </c>
    </row>
    <row r="2514" spans="1:9" x14ac:dyDescent="0.15">
      <c r="A2514" s="1">
        <v>2513</v>
      </c>
      <c r="B2514" s="1">
        <v>202021400</v>
      </c>
      <c r="C2514" s="1">
        <f t="shared" si="160"/>
        <v>8</v>
      </c>
      <c r="D2514" s="5">
        <f ca="1">IF(getQuality(B2514)&lt;4,getOtherMin(B2514,C2514,INDIRECT(J$2),INDIRECT(I2514),test),getMin(B2514,C2514,INDIRECT(J$2),INDIRECT(I2514),test))</f>
        <v>8.2916666666666661</v>
      </c>
      <c r="E2514" s="5">
        <f ca="1">IF(getQuality(B2514)&lt;4,getOtherMax(B2514,C2514,INDIRECT(J$2),INDIRECT(I2514),test),getMax(B2514,C2514,INDIRECT(J$2),INDIRECT(I2514),test))</f>
        <v>14.583333333333334</v>
      </c>
      <c r="F2514" s="1" t="str">
        <f t="shared" si="158"/>
        <v>50</v>
      </c>
      <c r="G2514" s="1" t="str">
        <f t="shared" si="159"/>
        <v/>
      </c>
      <c r="I2514" s="1" t="str">
        <f t="shared" si="157"/>
        <v>威尔新数值1.06.xlsm!suitPower</v>
      </c>
    </row>
    <row r="2515" spans="1:9" x14ac:dyDescent="0.15">
      <c r="A2515" s="1">
        <v>2514</v>
      </c>
      <c r="B2515" s="1">
        <v>202021400</v>
      </c>
      <c r="C2515" s="1">
        <f t="shared" si="160"/>
        <v>16</v>
      </c>
      <c r="D2515" s="5">
        <f ca="1">IF(getQuality(B2515)&lt;4,getOtherMin(B2515,C2515,INDIRECT(J$2),INDIRECT(I2515),test),getMin(B2515,C2515,INDIRECT(J$2),INDIRECT(I2515),test))</f>
        <v>10.722222222222221</v>
      </c>
      <c r="E2515" s="5">
        <f ca="1">IF(getQuality(B2515)&lt;4,getOtherMax(B2515,C2515,INDIRECT(J$2),INDIRECT(I2515),test),getMax(B2515,C2515,INDIRECT(J$2),INDIRECT(I2515),test))</f>
        <v>19.444444444444443</v>
      </c>
      <c r="F2515" s="1" t="str">
        <f t="shared" si="158"/>
        <v>50</v>
      </c>
      <c r="G2515" s="1" t="str">
        <f t="shared" si="159"/>
        <v/>
      </c>
      <c r="I2515" s="1" t="str">
        <f t="shared" si="157"/>
        <v>威尔新数值1.06.xlsm!suitPower</v>
      </c>
    </row>
    <row r="2516" spans="1:9" x14ac:dyDescent="0.15">
      <c r="A2516" s="1">
        <v>2515</v>
      </c>
      <c r="B2516" s="1">
        <v>202021400</v>
      </c>
      <c r="C2516" s="1">
        <f t="shared" si="160"/>
        <v>17</v>
      </c>
      <c r="D2516" s="5">
        <f ca="1">IF(getQuality(B2516)&lt;4,getOtherMin(B2516,C2516,INDIRECT(J$2),INDIRECT(I2516),test),getMin(B2516,C2516,INDIRECT(J$2),INDIRECT(I2516),test))</f>
        <v>10.722222222222221</v>
      </c>
      <c r="E2516" s="5">
        <f ca="1">IF(getQuality(B2516)&lt;4,getOtherMax(B2516,C2516,INDIRECT(J$2),INDIRECT(I2516),test),getMax(B2516,C2516,INDIRECT(J$2),INDIRECT(I2516),test))</f>
        <v>19.444444444444443</v>
      </c>
      <c r="F2516" s="1" t="str">
        <f t="shared" si="158"/>
        <v>50</v>
      </c>
      <c r="G2516" s="1" t="str">
        <f t="shared" si="159"/>
        <v/>
      </c>
      <c r="I2516" s="1" t="str">
        <f t="shared" si="157"/>
        <v>威尔新数值1.06.xlsm!suitPower</v>
      </c>
    </row>
    <row r="2517" spans="1:9" x14ac:dyDescent="0.15">
      <c r="A2517" s="1">
        <v>2516</v>
      </c>
      <c r="B2517" s="1">
        <v>202021400</v>
      </c>
      <c r="C2517" s="1">
        <f t="shared" si="160"/>
        <v>18</v>
      </c>
      <c r="D2517" s="5">
        <f ca="1">IF(getQuality(B2517)&lt;4,getOtherMin(B2517,C2517,INDIRECT(J$2),INDIRECT(I2517),test),getMin(B2517,C2517,INDIRECT(J$2),INDIRECT(I2517),test))</f>
        <v>10.722222222222221</v>
      </c>
      <c r="E2517" s="5">
        <f ca="1">IF(getQuality(B2517)&lt;4,getOtherMax(B2517,C2517,INDIRECT(J$2),INDIRECT(I2517),test),getMax(B2517,C2517,INDIRECT(J$2),INDIRECT(I2517),test))</f>
        <v>19.444444444444443</v>
      </c>
      <c r="F2517" s="1" t="str">
        <f t="shared" si="158"/>
        <v>50</v>
      </c>
      <c r="G2517" s="1" t="str">
        <f t="shared" si="159"/>
        <v/>
      </c>
      <c r="I2517" s="1" t="str">
        <f t="shared" si="157"/>
        <v>威尔新数值1.06.xlsm!suitPower</v>
      </c>
    </row>
    <row r="2518" spans="1:9" x14ac:dyDescent="0.15">
      <c r="A2518" s="1">
        <v>2517</v>
      </c>
      <c r="B2518" s="1">
        <v>202021400</v>
      </c>
      <c r="C2518" s="1">
        <f t="shared" si="160"/>
        <v>19</v>
      </c>
      <c r="D2518" s="5">
        <f ca="1">IF(getQuality(B2518)&lt;4,getOtherMin(B2518,C2518,INDIRECT(J$2),INDIRECT(I2518),test),getMin(B2518,C2518,INDIRECT(J$2),INDIRECT(I2518),test))</f>
        <v>10.722222222222221</v>
      </c>
      <c r="E2518" s="5">
        <f ca="1">IF(getQuality(B2518)&lt;4,getOtherMax(B2518,C2518,INDIRECT(J$2),INDIRECT(I2518),test),getMax(B2518,C2518,INDIRECT(J$2),INDIRECT(I2518),test))</f>
        <v>19.444444444444443</v>
      </c>
      <c r="F2518" s="1" t="str">
        <f t="shared" si="158"/>
        <v>50</v>
      </c>
      <c r="G2518" s="1" t="str">
        <f t="shared" si="159"/>
        <v/>
      </c>
      <c r="I2518" s="1" t="str">
        <f t="shared" si="157"/>
        <v>威尔新数值1.06.xlsm!suitPower</v>
      </c>
    </row>
    <row r="2519" spans="1:9" x14ac:dyDescent="0.15">
      <c r="A2519" s="1">
        <v>2518</v>
      </c>
      <c r="B2519" s="1">
        <v>202021400</v>
      </c>
      <c r="C2519" s="1">
        <f t="shared" si="160"/>
        <v>20</v>
      </c>
      <c r="D2519" s="5">
        <f ca="1">IF(getQuality(B2519)&lt;4,getOtherMin(B2519,C2519,INDIRECT(J$2),INDIRECT(I2519),test),getMin(B2519,C2519,INDIRECT(J$2),INDIRECT(I2519),test))</f>
        <v>10.722222222222221</v>
      </c>
      <c r="E2519" s="5">
        <f ca="1">IF(getQuality(B2519)&lt;4,getOtherMax(B2519,C2519,INDIRECT(J$2),INDIRECT(I2519),test),getMax(B2519,C2519,INDIRECT(J$2),INDIRECT(I2519),test))</f>
        <v>19.444444444444443</v>
      </c>
      <c r="F2519" s="1" t="str">
        <f t="shared" si="158"/>
        <v>50</v>
      </c>
      <c r="G2519" s="1" t="str">
        <f t="shared" si="159"/>
        <v/>
      </c>
      <c r="I2519" s="1" t="str">
        <f t="shared" si="157"/>
        <v>威尔新数值1.06.xlsm!suitPower</v>
      </c>
    </row>
    <row r="2520" spans="1:9" x14ac:dyDescent="0.15">
      <c r="A2520" s="1">
        <v>2519</v>
      </c>
      <c r="B2520" s="1">
        <v>202021400</v>
      </c>
      <c r="C2520" s="1">
        <f t="shared" si="160"/>
        <v>21</v>
      </c>
      <c r="D2520" s="5">
        <f ca="1">IF(getQuality(B2520)&lt;4,getOtherMin(B2520,C2520,INDIRECT(J$2),INDIRECT(I2520),test),getMin(B2520,C2520,INDIRECT(J$2),INDIRECT(I2520),test))</f>
        <v>10.722222222222221</v>
      </c>
      <c r="E2520" s="5">
        <f ca="1">IF(getQuality(B2520)&lt;4,getOtherMax(B2520,C2520,INDIRECT(J$2),INDIRECT(I2520),test),getMax(B2520,C2520,INDIRECT(J$2),INDIRECT(I2520),test))</f>
        <v>19.444444444444443</v>
      </c>
      <c r="F2520" s="1" t="str">
        <f t="shared" si="158"/>
        <v>50</v>
      </c>
      <c r="G2520" s="1" t="str">
        <f t="shared" si="159"/>
        <v/>
      </c>
      <c r="I2520" s="1" t="str">
        <f t="shared" si="157"/>
        <v>威尔新数值1.06.xlsm!suitPower</v>
      </c>
    </row>
    <row r="2521" spans="1:9" x14ac:dyDescent="0.15">
      <c r="A2521" s="1">
        <v>2520</v>
      </c>
      <c r="B2521" s="1">
        <v>202021400</v>
      </c>
      <c r="C2521" s="1">
        <f t="shared" si="160"/>
        <v>22</v>
      </c>
      <c r="D2521" s="5">
        <f ca="1">IF(getQuality(B2521)&lt;4,getOtherMin(B2521,C2521,INDIRECT(J$2),INDIRECT(I2521),test),getMin(B2521,C2521,INDIRECT(J$2),INDIRECT(I2521),test))</f>
        <v>10.722222222222221</v>
      </c>
      <c r="E2521" s="5">
        <f ca="1">IF(getQuality(B2521)&lt;4,getOtherMax(B2521,C2521,INDIRECT(J$2),INDIRECT(I2521),test),getMax(B2521,C2521,INDIRECT(J$2),INDIRECT(I2521),test))</f>
        <v>19.444444444444443</v>
      </c>
      <c r="F2521" s="1" t="str">
        <f t="shared" si="158"/>
        <v>50</v>
      </c>
      <c r="G2521" s="1" t="str">
        <f t="shared" si="159"/>
        <v/>
      </c>
      <c r="I2521" s="1" t="str">
        <f t="shared" si="157"/>
        <v>威尔新数值1.06.xlsm!suitPower</v>
      </c>
    </row>
    <row r="2522" spans="1:9" x14ac:dyDescent="0.15">
      <c r="A2522" s="1">
        <v>2521</v>
      </c>
      <c r="B2522" s="1">
        <v>202021400</v>
      </c>
      <c r="C2522" s="1">
        <f t="shared" si="160"/>
        <v>23</v>
      </c>
      <c r="D2522" s="5">
        <f ca="1">IF(getQuality(B2522)&lt;4,getOtherMin(B2522,C2522,INDIRECT(J$2),INDIRECT(I2522),test),getMin(B2522,C2522,INDIRECT(J$2),INDIRECT(I2522),test))</f>
        <v>10.722222222222221</v>
      </c>
      <c r="E2522" s="5">
        <f ca="1">IF(getQuality(B2522)&lt;4,getOtherMax(B2522,C2522,INDIRECT(J$2),INDIRECT(I2522),test),getMax(B2522,C2522,INDIRECT(J$2),INDIRECT(I2522),test))</f>
        <v>19.444444444444443</v>
      </c>
      <c r="F2522" s="1" t="str">
        <f t="shared" si="158"/>
        <v>50</v>
      </c>
      <c r="G2522" s="1" t="str">
        <f t="shared" si="159"/>
        <v/>
      </c>
      <c r="I2522" s="1" t="str">
        <f t="shared" si="157"/>
        <v>威尔新数值1.06.xlsm!suitPower</v>
      </c>
    </row>
    <row r="2523" spans="1:9" x14ac:dyDescent="0.15">
      <c r="A2523" s="1">
        <v>2522</v>
      </c>
      <c r="B2523" s="1">
        <v>202031400</v>
      </c>
      <c r="C2523" s="1">
        <f t="shared" si="160"/>
        <v>1</v>
      </c>
      <c r="D2523" s="5">
        <f ca="1">IF(getQuality(B2523)&lt;4,getOtherMin(B2523,C2523,INDIRECT(J$2),INDIRECT(I2523),test),getMin(B2523,C2523,INDIRECT(J$2),INDIRECT(I2523),test))</f>
        <v>123.34444444444445</v>
      </c>
      <c r="E2523" s="5">
        <f ca="1">IF(getQuality(B2523)&lt;4,getOtherMax(B2523,C2523,INDIRECT(J$2),INDIRECT(I2523),test),getMax(B2523,C2523,INDIRECT(J$2),INDIRECT(I2523),test))</f>
        <v>200.20000000000002</v>
      </c>
      <c r="F2523" s="1" t="str">
        <f t="shared" si="158"/>
        <v>50</v>
      </c>
      <c r="G2523" s="1" t="str">
        <f t="shared" si="159"/>
        <v/>
      </c>
      <c r="I2523" s="1" t="str">
        <f t="shared" si="157"/>
        <v>威尔新数值1.06.xlsm!suitPower</v>
      </c>
    </row>
    <row r="2524" spans="1:9" x14ac:dyDescent="0.15">
      <c r="A2524" s="1">
        <v>2523</v>
      </c>
      <c r="B2524" s="1">
        <v>202031400</v>
      </c>
      <c r="C2524" s="1">
        <f t="shared" si="160"/>
        <v>2</v>
      </c>
      <c r="D2524" s="5">
        <f ca="1">IF(getQuality(B2524)&lt;4,getOtherMin(B2524,C2524,INDIRECT(J$2),INDIRECT(I2524),test),getMin(B2524,C2524,INDIRECT(J$2),INDIRECT(I2524),test))</f>
        <v>12.763888888888889</v>
      </c>
      <c r="E2524" s="5">
        <f ca="1">IF(getQuality(B2524)&lt;4,getOtherMax(B2524,C2524,INDIRECT(J$2),INDIRECT(I2524),test),getMax(B2524,C2524,INDIRECT(J$2),INDIRECT(I2524),test))</f>
        <v>19.25</v>
      </c>
      <c r="F2524" s="1" t="str">
        <f t="shared" si="158"/>
        <v>50</v>
      </c>
      <c r="G2524" s="1" t="str">
        <f t="shared" si="159"/>
        <v/>
      </c>
      <c r="I2524" s="1" t="str">
        <f t="shared" si="157"/>
        <v>威尔新数值1.06.xlsm!suitPower</v>
      </c>
    </row>
    <row r="2525" spans="1:9" x14ac:dyDescent="0.15">
      <c r="A2525" s="1">
        <v>2524</v>
      </c>
      <c r="B2525" s="1">
        <v>202031400</v>
      </c>
      <c r="C2525" s="1">
        <f t="shared" si="160"/>
        <v>4</v>
      </c>
      <c r="D2525" s="5">
        <f ca="1">IF(getQuality(B2525)&lt;4,getOtherMin(B2525,C2525,INDIRECT(J$2),INDIRECT(I2525),test),getMin(B2525,C2525,INDIRECT(J$2),INDIRECT(I2525),test))</f>
        <v>73.916666666666671</v>
      </c>
      <c r="E2525" s="5">
        <f ca="1">IF(getQuality(B2525)&lt;4,getOtherMax(B2525,C2525,INDIRECT(J$2),INDIRECT(I2525),test),getMax(B2525,C2525,INDIRECT(J$2),INDIRECT(I2525),test))</f>
        <v>109.375</v>
      </c>
      <c r="F2525" s="1" t="str">
        <f t="shared" si="158"/>
        <v>50</v>
      </c>
      <c r="G2525" s="1" t="str">
        <f t="shared" si="159"/>
        <v>1</v>
      </c>
      <c r="I2525" s="1" t="str">
        <f t="shared" si="157"/>
        <v>威尔新数值1.06.xlsm!suitPower</v>
      </c>
    </row>
    <row r="2526" spans="1:9" x14ac:dyDescent="0.15">
      <c r="A2526" s="1">
        <v>2525</v>
      </c>
      <c r="B2526" s="1">
        <v>202031400</v>
      </c>
      <c r="C2526" s="1">
        <f t="shared" si="160"/>
        <v>6</v>
      </c>
      <c r="D2526" s="5">
        <f ca="1">IF(getQuality(B2526)&lt;4,getOtherMin(B2526,C2526,INDIRECT(J$2),INDIRECT(I2526),test),getMin(B2526,C2526,INDIRECT(J$2),INDIRECT(I2526),test))</f>
        <v>73.916666666666671</v>
      </c>
      <c r="E2526" s="5">
        <f ca="1">IF(getQuality(B2526)&lt;4,getOtherMax(B2526,C2526,INDIRECT(J$2),INDIRECT(I2526),test),getMax(B2526,C2526,INDIRECT(J$2),INDIRECT(I2526),test))</f>
        <v>109.375</v>
      </c>
      <c r="F2526" s="1" t="str">
        <f t="shared" si="158"/>
        <v>50</v>
      </c>
      <c r="G2526" s="1" t="str">
        <f t="shared" si="159"/>
        <v/>
      </c>
      <c r="I2526" s="1" t="str">
        <f t="shared" si="157"/>
        <v>威尔新数值1.06.xlsm!suitPower</v>
      </c>
    </row>
    <row r="2527" spans="1:9" x14ac:dyDescent="0.15">
      <c r="A2527" s="1">
        <v>2526</v>
      </c>
      <c r="B2527" s="1">
        <v>202031400</v>
      </c>
      <c r="C2527" s="1">
        <f t="shared" si="160"/>
        <v>7</v>
      </c>
      <c r="D2527" s="5">
        <f ca="1">IF(getQuality(B2527)&lt;4,getOtherMin(B2527,C2527,INDIRECT(J$2),INDIRECT(I2527),test),getMin(B2527,C2527,INDIRECT(J$2),INDIRECT(I2527),test))</f>
        <v>7.481481481481465</v>
      </c>
      <c r="E2527" s="5">
        <f ca="1">IF(getQuality(B2527)&lt;4,getOtherMax(B2527,C2527,INDIRECT(J$2),INDIRECT(I2527),test),getMax(B2527,C2527,INDIRECT(J$2),INDIRECT(I2527),test))</f>
        <v>9.7222222222221966</v>
      </c>
      <c r="F2527" s="1" t="str">
        <f t="shared" si="158"/>
        <v>50</v>
      </c>
      <c r="G2527" s="1" t="str">
        <f t="shared" si="159"/>
        <v/>
      </c>
      <c r="I2527" s="1" t="str">
        <f t="shared" si="157"/>
        <v>威尔新数值1.06.xlsm!suitPower</v>
      </c>
    </row>
    <row r="2528" spans="1:9" x14ac:dyDescent="0.15">
      <c r="A2528" s="1">
        <v>2527</v>
      </c>
      <c r="B2528" s="1">
        <v>202031400</v>
      </c>
      <c r="C2528" s="1">
        <f t="shared" si="160"/>
        <v>8</v>
      </c>
      <c r="D2528" s="5">
        <f ca="1">IF(getQuality(B2528)&lt;4,getOtherMin(B2528,C2528,INDIRECT(J$2),INDIRECT(I2528),test),getMin(B2528,C2528,INDIRECT(J$2),INDIRECT(I2528),test))</f>
        <v>15.583333333333334</v>
      </c>
      <c r="E2528" s="5">
        <f ca="1">IF(getQuality(B2528)&lt;4,getOtherMax(B2528,C2528,INDIRECT(J$2),INDIRECT(I2528),test),getMax(B2528,C2528,INDIRECT(J$2),INDIRECT(I2528),test))</f>
        <v>21.875</v>
      </c>
      <c r="F2528" s="1" t="str">
        <f t="shared" si="158"/>
        <v>50</v>
      </c>
      <c r="G2528" s="1" t="str">
        <f t="shared" si="159"/>
        <v/>
      </c>
      <c r="I2528" s="1" t="str">
        <f t="shared" si="157"/>
        <v>威尔新数值1.06.xlsm!suitPower</v>
      </c>
    </row>
    <row r="2529" spans="1:9" x14ac:dyDescent="0.15">
      <c r="A2529" s="1">
        <v>2528</v>
      </c>
      <c r="B2529" s="1">
        <v>202031400</v>
      </c>
      <c r="C2529" s="1">
        <f t="shared" si="160"/>
        <v>16</v>
      </c>
      <c r="D2529" s="5">
        <f ca="1">IF(getQuality(B2529)&lt;4,getOtherMin(B2529,C2529,INDIRECT(J$2),INDIRECT(I2529),test),getMin(B2529,C2529,INDIRECT(J$2),INDIRECT(I2529),test))</f>
        <v>20.444444444444443</v>
      </c>
      <c r="E2529" s="5">
        <f ca="1">IF(getQuality(B2529)&lt;4,getOtherMax(B2529,C2529,INDIRECT(J$2),INDIRECT(I2529),test),getMax(B2529,C2529,INDIRECT(J$2),INDIRECT(I2529),test))</f>
        <v>29.166666666666668</v>
      </c>
      <c r="F2529" s="1" t="str">
        <f t="shared" si="158"/>
        <v>50</v>
      </c>
      <c r="G2529" s="1" t="str">
        <f t="shared" si="159"/>
        <v/>
      </c>
      <c r="I2529" s="1" t="str">
        <f t="shared" si="157"/>
        <v>威尔新数值1.06.xlsm!suitPower</v>
      </c>
    </row>
    <row r="2530" spans="1:9" x14ac:dyDescent="0.15">
      <c r="A2530" s="1">
        <v>2529</v>
      </c>
      <c r="B2530" s="1">
        <v>202031400</v>
      </c>
      <c r="C2530" s="1">
        <f t="shared" si="160"/>
        <v>17</v>
      </c>
      <c r="D2530" s="5">
        <f ca="1">IF(getQuality(B2530)&lt;4,getOtherMin(B2530,C2530,INDIRECT(J$2),INDIRECT(I2530),test),getMin(B2530,C2530,INDIRECT(J$2),INDIRECT(I2530),test))</f>
        <v>20.444444444444443</v>
      </c>
      <c r="E2530" s="5">
        <f ca="1">IF(getQuality(B2530)&lt;4,getOtherMax(B2530,C2530,INDIRECT(J$2),INDIRECT(I2530),test),getMax(B2530,C2530,INDIRECT(J$2),INDIRECT(I2530),test))</f>
        <v>29.166666666666668</v>
      </c>
      <c r="F2530" s="1" t="str">
        <f t="shared" si="158"/>
        <v>50</v>
      </c>
      <c r="G2530" s="1" t="str">
        <f t="shared" si="159"/>
        <v/>
      </c>
      <c r="I2530" s="1" t="str">
        <f t="shared" si="157"/>
        <v>威尔新数值1.06.xlsm!suitPower</v>
      </c>
    </row>
    <row r="2531" spans="1:9" x14ac:dyDescent="0.15">
      <c r="A2531" s="1">
        <v>2530</v>
      </c>
      <c r="B2531" s="1">
        <v>202031400</v>
      </c>
      <c r="C2531" s="1">
        <f t="shared" si="160"/>
        <v>18</v>
      </c>
      <c r="D2531" s="5">
        <f ca="1">IF(getQuality(B2531)&lt;4,getOtherMin(B2531,C2531,INDIRECT(J$2),INDIRECT(I2531),test),getMin(B2531,C2531,INDIRECT(J$2),INDIRECT(I2531),test))</f>
        <v>20.444444444444443</v>
      </c>
      <c r="E2531" s="5">
        <f ca="1">IF(getQuality(B2531)&lt;4,getOtherMax(B2531,C2531,INDIRECT(J$2),INDIRECT(I2531),test),getMax(B2531,C2531,INDIRECT(J$2),INDIRECT(I2531),test))</f>
        <v>29.166666666666668</v>
      </c>
      <c r="F2531" s="1" t="str">
        <f t="shared" si="158"/>
        <v>50</v>
      </c>
      <c r="G2531" s="1" t="str">
        <f t="shared" si="159"/>
        <v/>
      </c>
      <c r="I2531" s="1" t="str">
        <f t="shared" si="157"/>
        <v>威尔新数值1.06.xlsm!suitPower</v>
      </c>
    </row>
    <row r="2532" spans="1:9" x14ac:dyDescent="0.15">
      <c r="A2532" s="1">
        <v>2531</v>
      </c>
      <c r="B2532" s="1">
        <v>202031400</v>
      </c>
      <c r="C2532" s="1">
        <f t="shared" si="160"/>
        <v>19</v>
      </c>
      <c r="D2532" s="5">
        <f ca="1">IF(getQuality(B2532)&lt;4,getOtherMin(B2532,C2532,INDIRECT(J$2),INDIRECT(I2532),test),getMin(B2532,C2532,INDIRECT(J$2),INDIRECT(I2532),test))</f>
        <v>20.444444444444443</v>
      </c>
      <c r="E2532" s="5">
        <f ca="1">IF(getQuality(B2532)&lt;4,getOtherMax(B2532,C2532,INDIRECT(J$2),INDIRECT(I2532),test),getMax(B2532,C2532,INDIRECT(J$2),INDIRECT(I2532),test))</f>
        <v>29.166666666666668</v>
      </c>
      <c r="F2532" s="1" t="str">
        <f t="shared" si="158"/>
        <v>50</v>
      </c>
      <c r="G2532" s="1" t="str">
        <f t="shared" si="159"/>
        <v/>
      </c>
      <c r="I2532" s="1" t="str">
        <f t="shared" si="157"/>
        <v>威尔新数值1.06.xlsm!suitPower</v>
      </c>
    </row>
    <row r="2533" spans="1:9" x14ac:dyDescent="0.15">
      <c r="A2533" s="1">
        <v>2532</v>
      </c>
      <c r="B2533" s="1">
        <v>202031400</v>
      </c>
      <c r="C2533" s="1">
        <f t="shared" si="160"/>
        <v>20</v>
      </c>
      <c r="D2533" s="5">
        <f ca="1">IF(getQuality(B2533)&lt;4,getOtherMin(B2533,C2533,INDIRECT(J$2),INDIRECT(I2533),test),getMin(B2533,C2533,INDIRECT(J$2),INDIRECT(I2533),test))</f>
        <v>20.444444444444443</v>
      </c>
      <c r="E2533" s="5">
        <f ca="1">IF(getQuality(B2533)&lt;4,getOtherMax(B2533,C2533,INDIRECT(J$2),INDIRECT(I2533),test),getMax(B2533,C2533,INDIRECT(J$2),INDIRECT(I2533),test))</f>
        <v>29.166666666666668</v>
      </c>
      <c r="F2533" s="1" t="str">
        <f t="shared" si="158"/>
        <v>50</v>
      </c>
      <c r="G2533" s="1" t="str">
        <f t="shared" si="159"/>
        <v/>
      </c>
      <c r="I2533" s="1" t="str">
        <f t="shared" si="157"/>
        <v>威尔新数值1.06.xlsm!suitPower</v>
      </c>
    </row>
    <row r="2534" spans="1:9" x14ac:dyDescent="0.15">
      <c r="A2534" s="1">
        <v>2533</v>
      </c>
      <c r="B2534" s="1">
        <v>202031400</v>
      </c>
      <c r="C2534" s="1">
        <f t="shared" si="160"/>
        <v>21</v>
      </c>
      <c r="D2534" s="5">
        <f ca="1">IF(getQuality(B2534)&lt;4,getOtherMin(B2534,C2534,INDIRECT(J$2),INDIRECT(I2534),test),getMin(B2534,C2534,INDIRECT(J$2),INDIRECT(I2534),test))</f>
        <v>20.444444444444443</v>
      </c>
      <c r="E2534" s="5">
        <f ca="1">IF(getQuality(B2534)&lt;4,getOtherMax(B2534,C2534,INDIRECT(J$2),INDIRECT(I2534),test),getMax(B2534,C2534,INDIRECT(J$2),INDIRECT(I2534),test))</f>
        <v>29.166666666666668</v>
      </c>
      <c r="F2534" s="1" t="str">
        <f t="shared" si="158"/>
        <v>50</v>
      </c>
      <c r="G2534" s="1" t="str">
        <f t="shared" si="159"/>
        <v/>
      </c>
      <c r="I2534" s="1" t="str">
        <f t="shared" si="157"/>
        <v>威尔新数值1.06.xlsm!suitPower</v>
      </c>
    </row>
    <row r="2535" spans="1:9" x14ac:dyDescent="0.15">
      <c r="A2535" s="1">
        <v>2534</v>
      </c>
      <c r="B2535" s="1">
        <v>202031400</v>
      </c>
      <c r="C2535" s="1">
        <f t="shared" si="160"/>
        <v>22</v>
      </c>
      <c r="D2535" s="5">
        <f ca="1">IF(getQuality(B2535)&lt;4,getOtherMin(B2535,C2535,INDIRECT(J$2),INDIRECT(I2535),test),getMin(B2535,C2535,INDIRECT(J$2),INDIRECT(I2535),test))</f>
        <v>20.444444444444443</v>
      </c>
      <c r="E2535" s="5">
        <f ca="1">IF(getQuality(B2535)&lt;4,getOtherMax(B2535,C2535,INDIRECT(J$2),INDIRECT(I2535),test),getMax(B2535,C2535,INDIRECT(J$2),INDIRECT(I2535),test))</f>
        <v>29.166666666666668</v>
      </c>
      <c r="F2535" s="1" t="str">
        <f t="shared" si="158"/>
        <v>50</v>
      </c>
      <c r="G2535" s="1" t="str">
        <f t="shared" si="159"/>
        <v/>
      </c>
      <c r="I2535" s="1" t="str">
        <f t="shared" si="157"/>
        <v>威尔新数值1.06.xlsm!suitPower</v>
      </c>
    </row>
    <row r="2536" spans="1:9" x14ac:dyDescent="0.15">
      <c r="A2536" s="1">
        <v>2535</v>
      </c>
      <c r="B2536" s="1">
        <v>202031400</v>
      </c>
      <c r="C2536" s="1">
        <f t="shared" si="160"/>
        <v>23</v>
      </c>
      <c r="D2536" s="5">
        <f ca="1">IF(getQuality(B2536)&lt;4,getOtherMin(B2536,C2536,INDIRECT(J$2),INDIRECT(I2536),test),getMin(B2536,C2536,INDIRECT(J$2),INDIRECT(I2536),test))</f>
        <v>20.444444444444443</v>
      </c>
      <c r="E2536" s="5">
        <f ca="1">IF(getQuality(B2536)&lt;4,getOtherMax(B2536,C2536,INDIRECT(J$2),INDIRECT(I2536),test),getMax(B2536,C2536,INDIRECT(J$2),INDIRECT(I2536),test))</f>
        <v>29.166666666666668</v>
      </c>
      <c r="F2536" s="1" t="str">
        <f t="shared" si="158"/>
        <v>50</v>
      </c>
      <c r="G2536" s="1" t="str">
        <f t="shared" si="159"/>
        <v/>
      </c>
      <c r="I2536" s="1" t="str">
        <f t="shared" si="157"/>
        <v>威尔新数值1.06.xlsm!suitPower</v>
      </c>
    </row>
    <row r="2537" spans="1:9" x14ac:dyDescent="0.15">
      <c r="A2537" s="1">
        <v>2536</v>
      </c>
      <c r="B2537" s="1">
        <v>202041400</v>
      </c>
      <c r="C2537" s="1">
        <f t="shared" si="160"/>
        <v>1</v>
      </c>
      <c r="D2537" s="5">
        <f ca="1">IF(getQuality(B2537)&lt;4,getOtherMin(B2537,C2537,INDIRECT(J$2),INDIRECT(I2537),test),getMin(B2537,C2537,INDIRECT(J$2),INDIRECT(I2537),test))</f>
        <v>201.20000000000002</v>
      </c>
      <c r="E2537" s="5">
        <f ca="1">IF(getQuality(B2537)&lt;4,getOtherMax(B2537,C2537,INDIRECT(J$2),INDIRECT(I2537),test),getMax(B2537,C2537,INDIRECT(J$2),INDIRECT(I2537),test))</f>
        <v>289.17777777777775</v>
      </c>
      <c r="F2537" s="1" t="str">
        <f t="shared" si="158"/>
        <v>50</v>
      </c>
      <c r="G2537" s="1" t="str">
        <f t="shared" si="159"/>
        <v/>
      </c>
      <c r="I2537" s="1" t="str">
        <f t="shared" si="157"/>
        <v>威尔新数值1.06.xlsm!suitPower</v>
      </c>
    </row>
    <row r="2538" spans="1:9" x14ac:dyDescent="0.15">
      <c r="A2538" s="1">
        <v>2537</v>
      </c>
      <c r="B2538" s="1">
        <v>202041400</v>
      </c>
      <c r="C2538" s="1">
        <f t="shared" si="160"/>
        <v>2</v>
      </c>
      <c r="D2538" s="5">
        <f ca="1">IF(getQuality(B2538)&lt;4,getOtherMin(B2538,C2538,INDIRECT(J$2),INDIRECT(I2538),test),getMin(B2538,C2538,INDIRECT(J$2),INDIRECT(I2538),test))</f>
        <v>20.25</v>
      </c>
      <c r="E2538" s="5">
        <f ca="1">IF(getQuality(B2538)&lt;4,getOtherMax(B2538,C2538,INDIRECT(J$2),INDIRECT(I2538),test),getMax(B2538,C2538,INDIRECT(J$2),INDIRECT(I2538),test))</f>
        <v>27.805555555555554</v>
      </c>
      <c r="F2538" s="1" t="str">
        <f t="shared" si="158"/>
        <v>50</v>
      </c>
      <c r="G2538" s="1" t="str">
        <f t="shared" si="159"/>
        <v/>
      </c>
      <c r="I2538" s="1" t="str">
        <f t="shared" si="157"/>
        <v>威尔新数值1.06.xlsm!suitPower</v>
      </c>
    </row>
    <row r="2539" spans="1:9" x14ac:dyDescent="0.15">
      <c r="A2539" s="1">
        <v>2538</v>
      </c>
      <c r="B2539" s="1">
        <v>202041400</v>
      </c>
      <c r="C2539" s="1">
        <f t="shared" si="160"/>
        <v>4</v>
      </c>
      <c r="D2539" s="5">
        <f ca="1">IF(getQuality(B2539)&lt;4,getOtherMin(B2539,C2539,INDIRECT(J$2),INDIRECT(I2539),test),getMin(B2539,C2539,INDIRECT(J$2),INDIRECT(I2539),test))</f>
        <v>110.375</v>
      </c>
      <c r="E2539" s="5">
        <f ca="1">IF(getQuality(B2539)&lt;4,getOtherMax(B2539,C2539,INDIRECT(J$2),INDIRECT(I2539),test),getMax(B2539,C2539,INDIRECT(J$2),INDIRECT(I2539),test))</f>
        <v>145.83333333333334</v>
      </c>
      <c r="F2539" s="1" t="str">
        <f t="shared" si="158"/>
        <v>50</v>
      </c>
      <c r="G2539" s="1" t="str">
        <f t="shared" si="159"/>
        <v>1</v>
      </c>
      <c r="I2539" s="1" t="str">
        <f t="shared" si="157"/>
        <v>威尔新数值1.06.xlsm!suitPower</v>
      </c>
    </row>
    <row r="2540" spans="1:9" x14ac:dyDescent="0.15">
      <c r="A2540" s="1">
        <v>2539</v>
      </c>
      <c r="B2540" s="1">
        <v>202041400</v>
      </c>
      <c r="C2540" s="1">
        <f t="shared" si="160"/>
        <v>6</v>
      </c>
      <c r="D2540" s="5">
        <f ca="1">IF(getQuality(B2540)&lt;4,getOtherMin(B2540,C2540,INDIRECT(J$2),INDIRECT(I2540),test),getMin(B2540,C2540,INDIRECT(J$2),INDIRECT(I2540),test))</f>
        <v>110.375</v>
      </c>
      <c r="E2540" s="5">
        <f ca="1">IF(getQuality(B2540)&lt;4,getOtherMax(B2540,C2540,INDIRECT(J$2),INDIRECT(I2540),test),getMax(B2540,C2540,INDIRECT(J$2),INDIRECT(I2540),test))</f>
        <v>145.83333333333334</v>
      </c>
      <c r="F2540" s="1" t="str">
        <f t="shared" si="158"/>
        <v>50</v>
      </c>
      <c r="G2540" s="1" t="str">
        <f t="shared" si="159"/>
        <v/>
      </c>
      <c r="I2540" s="1" t="str">
        <f t="shared" si="157"/>
        <v>威尔新数值1.06.xlsm!suitPower</v>
      </c>
    </row>
    <row r="2541" spans="1:9" x14ac:dyDescent="0.15">
      <c r="A2541" s="1">
        <v>2540</v>
      </c>
      <c r="B2541" s="1">
        <v>202041400</v>
      </c>
      <c r="C2541" s="1">
        <f t="shared" si="160"/>
        <v>7</v>
      </c>
      <c r="D2541" s="5">
        <f ca="1">IF(getQuality(B2541)&lt;4,getOtherMin(B2541,C2541,INDIRECT(J$2),INDIRECT(I2541),test),getMin(B2541,C2541,INDIRECT(J$2),INDIRECT(I2541),test))</f>
        <v>10.722222222222197</v>
      </c>
      <c r="E2541" s="5">
        <f ca="1">IF(getQuality(B2541)&lt;4,getOtherMax(B2541,C2541,INDIRECT(J$2),INDIRECT(I2541),test),getMax(B2541,C2541,INDIRECT(J$2),INDIRECT(I2541),test))</f>
        <v>12.96296296296293</v>
      </c>
      <c r="F2541" s="1" t="str">
        <f t="shared" si="158"/>
        <v>50</v>
      </c>
      <c r="G2541" s="1" t="str">
        <f t="shared" si="159"/>
        <v/>
      </c>
      <c r="I2541" s="1" t="str">
        <f t="shared" si="157"/>
        <v>威尔新数值1.06.xlsm!suitPower</v>
      </c>
    </row>
    <row r="2542" spans="1:9" x14ac:dyDescent="0.15">
      <c r="A2542" s="1">
        <v>2541</v>
      </c>
      <c r="B2542" s="1">
        <v>202041400</v>
      </c>
      <c r="C2542" s="1">
        <f t="shared" si="160"/>
        <v>8</v>
      </c>
      <c r="D2542" s="5">
        <f ca="1">IF(getQuality(B2542)&lt;4,getOtherMin(B2542,C2542,INDIRECT(J$2),INDIRECT(I2542),test),getMin(B2542,C2542,INDIRECT(J$2),INDIRECT(I2542),test))</f>
        <v>22.875</v>
      </c>
      <c r="E2542" s="5">
        <f ca="1">IF(getQuality(B2542)&lt;4,getOtherMax(B2542,C2542,INDIRECT(J$2),INDIRECT(I2542),test),getMax(B2542,C2542,INDIRECT(J$2),INDIRECT(I2542),test))</f>
        <v>29.166666666666668</v>
      </c>
      <c r="F2542" s="1" t="str">
        <f t="shared" si="158"/>
        <v>50</v>
      </c>
      <c r="G2542" s="1" t="str">
        <f t="shared" si="159"/>
        <v/>
      </c>
      <c r="I2542" s="1" t="str">
        <f t="shared" si="157"/>
        <v>威尔新数值1.06.xlsm!suitPower</v>
      </c>
    </row>
    <row r="2543" spans="1:9" x14ac:dyDescent="0.15">
      <c r="A2543" s="1">
        <v>2542</v>
      </c>
      <c r="B2543" s="1">
        <v>202041400</v>
      </c>
      <c r="C2543" s="1">
        <f t="shared" si="160"/>
        <v>16</v>
      </c>
      <c r="D2543" s="5">
        <f ca="1">IF(getQuality(B2543)&lt;4,getOtherMin(B2543,C2543,INDIRECT(J$2),INDIRECT(I2543),test),getMin(B2543,C2543,INDIRECT(J$2),INDIRECT(I2543),test))</f>
        <v>30.166666666666668</v>
      </c>
      <c r="E2543" s="5">
        <f ca="1">IF(getQuality(B2543)&lt;4,getOtherMax(B2543,C2543,INDIRECT(J$2),INDIRECT(I2543),test),getMax(B2543,C2543,INDIRECT(J$2),INDIRECT(I2543),test))</f>
        <v>38.888888888888886</v>
      </c>
      <c r="F2543" s="1" t="str">
        <f t="shared" si="158"/>
        <v>50</v>
      </c>
      <c r="G2543" s="1" t="str">
        <f t="shared" si="159"/>
        <v/>
      </c>
      <c r="I2543" s="1" t="str">
        <f t="shared" si="157"/>
        <v>威尔新数值1.06.xlsm!suitPower</v>
      </c>
    </row>
    <row r="2544" spans="1:9" x14ac:dyDescent="0.15">
      <c r="A2544" s="1">
        <v>2543</v>
      </c>
      <c r="B2544" s="1">
        <v>202041400</v>
      </c>
      <c r="C2544" s="1">
        <f t="shared" si="160"/>
        <v>17</v>
      </c>
      <c r="D2544" s="5">
        <f ca="1">IF(getQuality(B2544)&lt;4,getOtherMin(B2544,C2544,INDIRECT(J$2),INDIRECT(I2544),test),getMin(B2544,C2544,INDIRECT(J$2),INDIRECT(I2544),test))</f>
        <v>30.166666666666668</v>
      </c>
      <c r="E2544" s="5">
        <f ca="1">IF(getQuality(B2544)&lt;4,getOtherMax(B2544,C2544,INDIRECT(J$2),INDIRECT(I2544),test),getMax(B2544,C2544,INDIRECT(J$2),INDIRECT(I2544),test))</f>
        <v>38.888888888888886</v>
      </c>
      <c r="F2544" s="1" t="str">
        <f t="shared" si="158"/>
        <v>50</v>
      </c>
      <c r="G2544" s="1" t="str">
        <f t="shared" si="159"/>
        <v/>
      </c>
      <c r="I2544" s="1" t="str">
        <f t="shared" si="157"/>
        <v>威尔新数值1.06.xlsm!suitPower</v>
      </c>
    </row>
    <row r="2545" spans="1:9" x14ac:dyDescent="0.15">
      <c r="A2545" s="1">
        <v>2544</v>
      </c>
      <c r="B2545" s="1">
        <v>202041400</v>
      </c>
      <c r="C2545" s="1">
        <f t="shared" si="160"/>
        <v>18</v>
      </c>
      <c r="D2545" s="5">
        <f ca="1">IF(getQuality(B2545)&lt;4,getOtherMin(B2545,C2545,INDIRECT(J$2),INDIRECT(I2545),test),getMin(B2545,C2545,INDIRECT(J$2),INDIRECT(I2545),test))</f>
        <v>30.166666666666668</v>
      </c>
      <c r="E2545" s="5">
        <f ca="1">IF(getQuality(B2545)&lt;4,getOtherMax(B2545,C2545,INDIRECT(J$2),INDIRECT(I2545),test),getMax(B2545,C2545,INDIRECT(J$2),INDIRECT(I2545),test))</f>
        <v>38.888888888888886</v>
      </c>
      <c r="F2545" s="1" t="str">
        <f t="shared" si="158"/>
        <v>50</v>
      </c>
      <c r="G2545" s="1" t="str">
        <f t="shared" si="159"/>
        <v/>
      </c>
      <c r="I2545" s="1" t="str">
        <f t="shared" si="157"/>
        <v>威尔新数值1.06.xlsm!suitPower</v>
      </c>
    </row>
    <row r="2546" spans="1:9" x14ac:dyDescent="0.15">
      <c r="A2546" s="1">
        <v>2545</v>
      </c>
      <c r="B2546" s="1">
        <v>202041400</v>
      </c>
      <c r="C2546" s="1">
        <f t="shared" si="160"/>
        <v>19</v>
      </c>
      <c r="D2546" s="5">
        <f ca="1">IF(getQuality(B2546)&lt;4,getOtherMin(B2546,C2546,INDIRECT(J$2),INDIRECT(I2546),test),getMin(B2546,C2546,INDIRECT(J$2),INDIRECT(I2546),test))</f>
        <v>30.166666666666668</v>
      </c>
      <c r="E2546" s="5">
        <f ca="1">IF(getQuality(B2546)&lt;4,getOtherMax(B2546,C2546,INDIRECT(J$2),INDIRECT(I2546),test),getMax(B2546,C2546,INDIRECT(J$2),INDIRECT(I2546),test))</f>
        <v>38.888888888888886</v>
      </c>
      <c r="F2546" s="1" t="str">
        <f t="shared" si="158"/>
        <v>50</v>
      </c>
      <c r="G2546" s="1" t="str">
        <f t="shared" si="159"/>
        <v/>
      </c>
      <c r="I2546" s="1" t="str">
        <f t="shared" si="157"/>
        <v>威尔新数值1.06.xlsm!suitPower</v>
      </c>
    </row>
    <row r="2547" spans="1:9" x14ac:dyDescent="0.15">
      <c r="A2547" s="1">
        <v>2546</v>
      </c>
      <c r="B2547" s="1">
        <v>202041400</v>
      </c>
      <c r="C2547" s="1">
        <f t="shared" si="160"/>
        <v>20</v>
      </c>
      <c r="D2547" s="5">
        <f ca="1">IF(getQuality(B2547)&lt;4,getOtherMin(B2547,C2547,INDIRECT(J$2),INDIRECT(I2547),test),getMin(B2547,C2547,INDIRECT(J$2),INDIRECT(I2547),test))</f>
        <v>30.166666666666668</v>
      </c>
      <c r="E2547" s="5">
        <f ca="1">IF(getQuality(B2547)&lt;4,getOtherMax(B2547,C2547,INDIRECT(J$2),INDIRECT(I2547),test),getMax(B2547,C2547,INDIRECT(J$2),INDIRECT(I2547),test))</f>
        <v>38.888888888888886</v>
      </c>
      <c r="F2547" s="1" t="str">
        <f t="shared" si="158"/>
        <v>50</v>
      </c>
      <c r="G2547" s="1" t="str">
        <f t="shared" si="159"/>
        <v/>
      </c>
      <c r="I2547" s="1" t="str">
        <f t="shared" si="157"/>
        <v>威尔新数值1.06.xlsm!suitPower</v>
      </c>
    </row>
    <row r="2548" spans="1:9" x14ac:dyDescent="0.15">
      <c r="A2548" s="1">
        <v>2547</v>
      </c>
      <c r="B2548" s="1">
        <v>202041400</v>
      </c>
      <c r="C2548" s="1">
        <f t="shared" si="160"/>
        <v>21</v>
      </c>
      <c r="D2548" s="5">
        <f ca="1">IF(getQuality(B2548)&lt;4,getOtherMin(B2548,C2548,INDIRECT(J$2),INDIRECT(I2548),test),getMin(B2548,C2548,INDIRECT(J$2),INDIRECT(I2548),test))</f>
        <v>30.166666666666668</v>
      </c>
      <c r="E2548" s="5">
        <f ca="1">IF(getQuality(B2548)&lt;4,getOtherMax(B2548,C2548,INDIRECT(J$2),INDIRECT(I2548),test),getMax(B2548,C2548,INDIRECT(J$2),INDIRECT(I2548),test))</f>
        <v>38.888888888888886</v>
      </c>
      <c r="F2548" s="1" t="str">
        <f t="shared" si="158"/>
        <v>50</v>
      </c>
      <c r="G2548" s="1" t="str">
        <f t="shared" si="159"/>
        <v/>
      </c>
      <c r="I2548" s="1" t="str">
        <f t="shared" si="157"/>
        <v>威尔新数值1.06.xlsm!suitPower</v>
      </c>
    </row>
    <row r="2549" spans="1:9" x14ac:dyDescent="0.15">
      <c r="A2549" s="1">
        <v>2548</v>
      </c>
      <c r="B2549" s="1">
        <v>202041400</v>
      </c>
      <c r="C2549" s="1">
        <f t="shared" si="160"/>
        <v>22</v>
      </c>
      <c r="D2549" s="5">
        <f ca="1">IF(getQuality(B2549)&lt;4,getOtherMin(B2549,C2549,INDIRECT(J$2),INDIRECT(I2549),test),getMin(B2549,C2549,INDIRECT(J$2),INDIRECT(I2549),test))</f>
        <v>30.166666666666668</v>
      </c>
      <c r="E2549" s="5">
        <f ca="1">IF(getQuality(B2549)&lt;4,getOtherMax(B2549,C2549,INDIRECT(J$2),INDIRECT(I2549),test),getMax(B2549,C2549,INDIRECT(J$2),INDIRECT(I2549),test))</f>
        <v>38.888888888888886</v>
      </c>
      <c r="F2549" s="1" t="str">
        <f t="shared" si="158"/>
        <v>50</v>
      </c>
      <c r="G2549" s="1" t="str">
        <f t="shared" si="159"/>
        <v/>
      </c>
      <c r="I2549" s="1" t="str">
        <f t="shared" si="157"/>
        <v>威尔新数值1.06.xlsm!suitPower</v>
      </c>
    </row>
    <row r="2550" spans="1:9" x14ac:dyDescent="0.15">
      <c r="A2550" s="1">
        <v>2549</v>
      </c>
      <c r="B2550" s="1">
        <v>202041400</v>
      </c>
      <c r="C2550" s="1">
        <f t="shared" si="160"/>
        <v>23</v>
      </c>
      <c r="D2550" s="5">
        <f ca="1">IF(getQuality(B2550)&lt;4,getOtherMin(B2550,C2550,INDIRECT(J$2),INDIRECT(I2550),test),getMin(B2550,C2550,INDIRECT(J$2),INDIRECT(I2550),test))</f>
        <v>30.166666666666668</v>
      </c>
      <c r="E2550" s="5">
        <f ca="1">IF(getQuality(B2550)&lt;4,getOtherMax(B2550,C2550,INDIRECT(J$2),INDIRECT(I2550),test),getMax(B2550,C2550,INDIRECT(J$2),INDIRECT(I2550),test))</f>
        <v>38.888888888888886</v>
      </c>
      <c r="F2550" s="1" t="str">
        <f t="shared" si="158"/>
        <v>50</v>
      </c>
      <c r="G2550" s="1" t="str">
        <f t="shared" si="159"/>
        <v/>
      </c>
      <c r="I2550" s="1" t="str">
        <f t="shared" si="157"/>
        <v>威尔新数值1.06.xlsm!suitPower</v>
      </c>
    </row>
    <row r="2551" spans="1:9" x14ac:dyDescent="0.15">
      <c r="A2551" s="1">
        <v>2550</v>
      </c>
      <c r="B2551" s="1">
        <v>202051400</v>
      </c>
      <c r="C2551" s="1">
        <f t="shared" si="160"/>
        <v>1</v>
      </c>
      <c r="D2551" s="5">
        <f ca="1">IF(getQuality(B2551)&lt;4,getOtherMin(B2551,C2551,INDIRECT(J$2),INDIRECT(I2551),test),getMin(B2551,C2551,INDIRECT(J$2),INDIRECT(I2551),test))</f>
        <v>290.17777777777775</v>
      </c>
      <c r="E2551" s="5">
        <f ca="1">IF(getQuality(B2551)&lt;4,getOtherMax(B2551,C2551,INDIRECT(J$2),INDIRECT(I2551),test),getMax(B2551,C2551,INDIRECT(J$2),INDIRECT(I2551),test))</f>
        <v>391.8055555555556</v>
      </c>
      <c r="F2551" s="1" t="str">
        <f t="shared" si="158"/>
        <v>50</v>
      </c>
      <c r="G2551" s="1" t="str">
        <f t="shared" si="159"/>
        <v/>
      </c>
      <c r="I2551" s="1" t="str">
        <f t="shared" si="157"/>
        <v>威尔新数值1.06.xlsm!suitPower</v>
      </c>
    </row>
    <row r="2552" spans="1:9" x14ac:dyDescent="0.15">
      <c r="A2552" s="1">
        <v>2551</v>
      </c>
      <c r="B2552" s="1">
        <v>202051400</v>
      </c>
      <c r="C2552" s="1">
        <f t="shared" si="160"/>
        <v>2</v>
      </c>
      <c r="D2552" s="5">
        <f ca="1">IF(getQuality(B2552)&lt;4,getOtherMin(B2552,C2552,INDIRECT(J$2),INDIRECT(I2552),test),getMin(B2552,C2552,INDIRECT(J$2),INDIRECT(I2552),test))</f>
        <v>28.805555555555554</v>
      </c>
      <c r="E2552" s="5">
        <f ca="1">IF(getQuality(B2552)&lt;4,getOtherMax(B2552,C2552,INDIRECT(J$2),INDIRECT(I2552),test),getMax(B2552,C2552,INDIRECT(J$2),INDIRECT(I2552),test))</f>
        <v>37.673611111111114</v>
      </c>
      <c r="F2552" s="1" t="str">
        <f t="shared" si="158"/>
        <v>50</v>
      </c>
      <c r="G2552" s="1" t="str">
        <f t="shared" si="159"/>
        <v/>
      </c>
      <c r="I2552" s="1" t="str">
        <f t="shared" si="157"/>
        <v>威尔新数值1.06.xlsm!suitPower</v>
      </c>
    </row>
    <row r="2553" spans="1:9" x14ac:dyDescent="0.15">
      <c r="A2553" s="1">
        <v>2552</v>
      </c>
      <c r="B2553" s="1">
        <v>202051400</v>
      </c>
      <c r="C2553" s="1">
        <f t="shared" si="160"/>
        <v>4</v>
      </c>
      <c r="D2553" s="5">
        <f ca="1">IF(getQuality(B2553)&lt;4,getOtherMin(B2553,C2553,INDIRECT(J$2),INDIRECT(I2553),test),getMin(B2553,C2553,INDIRECT(J$2),INDIRECT(I2553),test))</f>
        <v>146.83333333333334</v>
      </c>
      <c r="E2553" s="5">
        <f ca="1">IF(getQuality(B2553)&lt;4,getOtherMax(B2553,C2553,INDIRECT(J$2),INDIRECT(I2553),test),getMax(B2553,C2553,INDIRECT(J$2),INDIRECT(I2553),test))</f>
        <v>182.29166666666666</v>
      </c>
      <c r="F2553" s="1" t="str">
        <f t="shared" si="158"/>
        <v>50</v>
      </c>
      <c r="G2553" s="1" t="str">
        <f t="shared" si="159"/>
        <v>1</v>
      </c>
      <c r="I2553" s="1" t="str">
        <f t="shared" si="157"/>
        <v>威尔新数值1.06.xlsm!suitPower</v>
      </c>
    </row>
    <row r="2554" spans="1:9" x14ac:dyDescent="0.15">
      <c r="A2554" s="1">
        <v>2553</v>
      </c>
      <c r="B2554" s="1">
        <v>202051400</v>
      </c>
      <c r="C2554" s="1">
        <f t="shared" si="160"/>
        <v>6</v>
      </c>
      <c r="D2554" s="5">
        <f ca="1">IF(getQuality(B2554)&lt;4,getOtherMin(B2554,C2554,INDIRECT(J$2),INDIRECT(I2554),test),getMin(B2554,C2554,INDIRECT(J$2),INDIRECT(I2554),test))</f>
        <v>146.83333333333334</v>
      </c>
      <c r="E2554" s="5">
        <f ca="1">IF(getQuality(B2554)&lt;4,getOtherMax(B2554,C2554,INDIRECT(J$2),INDIRECT(I2554),test),getMax(B2554,C2554,INDIRECT(J$2),INDIRECT(I2554),test))</f>
        <v>182.29166666666666</v>
      </c>
      <c r="F2554" s="1" t="str">
        <f t="shared" si="158"/>
        <v>50</v>
      </c>
      <c r="G2554" s="1" t="str">
        <f t="shared" si="159"/>
        <v/>
      </c>
      <c r="I2554" s="1" t="str">
        <f t="shared" si="157"/>
        <v>威尔新数值1.06.xlsm!suitPower</v>
      </c>
    </row>
    <row r="2555" spans="1:9" x14ac:dyDescent="0.15">
      <c r="A2555" s="1">
        <v>2554</v>
      </c>
      <c r="B2555" s="1">
        <v>202051400</v>
      </c>
      <c r="C2555" s="1">
        <f t="shared" si="160"/>
        <v>7</v>
      </c>
      <c r="D2555" s="5">
        <f ca="1">IF(getQuality(B2555)&lt;4,getOtherMin(B2555,C2555,INDIRECT(J$2),INDIRECT(I2555),test),getMin(B2555,C2555,INDIRECT(J$2),INDIRECT(I2555),test))</f>
        <v>13.96296296296293</v>
      </c>
      <c r="E2555" s="5">
        <f ca="1">IF(getQuality(B2555)&lt;4,getOtherMax(B2555,C2555,INDIRECT(J$2),INDIRECT(I2555),test),getMax(B2555,C2555,INDIRECT(J$2),INDIRECT(I2555),test))</f>
        <v>16.203703703703663</v>
      </c>
      <c r="F2555" s="1" t="str">
        <f t="shared" si="158"/>
        <v>50</v>
      </c>
      <c r="G2555" s="1" t="str">
        <f t="shared" si="159"/>
        <v/>
      </c>
      <c r="I2555" s="1" t="str">
        <f t="shared" si="157"/>
        <v>威尔新数值1.06.xlsm!suitPower</v>
      </c>
    </row>
    <row r="2556" spans="1:9" x14ac:dyDescent="0.15">
      <c r="A2556" s="1">
        <v>2555</v>
      </c>
      <c r="B2556" s="1">
        <v>202051400</v>
      </c>
      <c r="C2556" s="1">
        <f t="shared" si="160"/>
        <v>8</v>
      </c>
      <c r="D2556" s="5">
        <f ca="1">IF(getQuality(B2556)&lt;4,getOtherMin(B2556,C2556,INDIRECT(J$2),INDIRECT(I2556),test),getMin(B2556,C2556,INDIRECT(J$2),INDIRECT(I2556),test))</f>
        <v>30.166666666666668</v>
      </c>
      <c r="E2556" s="5">
        <f ca="1">IF(getQuality(B2556)&lt;4,getOtherMax(B2556,C2556,INDIRECT(J$2),INDIRECT(I2556),test),getMax(B2556,C2556,INDIRECT(J$2),INDIRECT(I2556),test))</f>
        <v>36.458333333333336</v>
      </c>
      <c r="F2556" s="1" t="str">
        <f t="shared" si="158"/>
        <v>50</v>
      </c>
      <c r="G2556" s="1" t="str">
        <f t="shared" si="159"/>
        <v/>
      </c>
      <c r="I2556" s="1" t="str">
        <f t="shared" si="157"/>
        <v>威尔新数值1.06.xlsm!suitPower</v>
      </c>
    </row>
    <row r="2557" spans="1:9" x14ac:dyDescent="0.15">
      <c r="A2557" s="1">
        <v>2556</v>
      </c>
      <c r="B2557" s="1">
        <v>202051400</v>
      </c>
      <c r="C2557" s="1">
        <f t="shared" si="160"/>
        <v>16</v>
      </c>
      <c r="D2557" s="5">
        <f ca="1">IF(getQuality(B2557)&lt;4,getOtherMin(B2557,C2557,INDIRECT(J$2),INDIRECT(I2557),test),getMin(B2557,C2557,INDIRECT(J$2),INDIRECT(I2557),test))</f>
        <v>39.888888888888886</v>
      </c>
      <c r="E2557" s="5">
        <f ca="1">IF(getQuality(B2557)&lt;4,getOtherMax(B2557,C2557,INDIRECT(J$2),INDIRECT(I2557),test),getMax(B2557,C2557,INDIRECT(J$2),INDIRECT(I2557),test))</f>
        <v>48.611111111111114</v>
      </c>
      <c r="F2557" s="1" t="str">
        <f t="shared" si="158"/>
        <v>50</v>
      </c>
      <c r="G2557" s="1" t="str">
        <f t="shared" si="159"/>
        <v/>
      </c>
      <c r="I2557" s="1" t="str">
        <f t="shared" si="157"/>
        <v>威尔新数值1.06.xlsm!suitPower</v>
      </c>
    </row>
    <row r="2558" spans="1:9" x14ac:dyDescent="0.15">
      <c r="A2558" s="1">
        <v>2557</v>
      </c>
      <c r="B2558" s="1">
        <v>202051400</v>
      </c>
      <c r="C2558" s="1">
        <f t="shared" si="160"/>
        <v>17</v>
      </c>
      <c r="D2558" s="5">
        <f ca="1">IF(getQuality(B2558)&lt;4,getOtherMin(B2558,C2558,INDIRECT(J$2),INDIRECT(I2558),test),getMin(B2558,C2558,INDIRECT(J$2),INDIRECT(I2558),test))</f>
        <v>39.888888888888886</v>
      </c>
      <c r="E2558" s="5">
        <f ca="1">IF(getQuality(B2558)&lt;4,getOtherMax(B2558,C2558,INDIRECT(J$2),INDIRECT(I2558),test),getMax(B2558,C2558,INDIRECT(J$2),INDIRECT(I2558),test))</f>
        <v>48.611111111111114</v>
      </c>
      <c r="F2558" s="1" t="str">
        <f t="shared" si="158"/>
        <v>50</v>
      </c>
      <c r="G2558" s="1" t="str">
        <f t="shared" si="159"/>
        <v/>
      </c>
      <c r="I2558" s="1" t="str">
        <f t="shared" si="157"/>
        <v>威尔新数值1.06.xlsm!suitPower</v>
      </c>
    </row>
    <row r="2559" spans="1:9" x14ac:dyDescent="0.15">
      <c r="A2559" s="1">
        <v>2558</v>
      </c>
      <c r="B2559" s="1">
        <v>202051400</v>
      </c>
      <c r="C2559" s="1">
        <f t="shared" si="160"/>
        <v>18</v>
      </c>
      <c r="D2559" s="5">
        <f ca="1">IF(getQuality(B2559)&lt;4,getOtherMin(B2559,C2559,INDIRECT(J$2),INDIRECT(I2559),test),getMin(B2559,C2559,INDIRECT(J$2),INDIRECT(I2559),test))</f>
        <v>39.888888888888886</v>
      </c>
      <c r="E2559" s="5">
        <f ca="1">IF(getQuality(B2559)&lt;4,getOtherMax(B2559,C2559,INDIRECT(J$2),INDIRECT(I2559),test),getMax(B2559,C2559,INDIRECT(J$2),INDIRECT(I2559),test))</f>
        <v>48.611111111111114</v>
      </c>
      <c r="F2559" s="1" t="str">
        <f t="shared" si="158"/>
        <v>50</v>
      </c>
      <c r="G2559" s="1" t="str">
        <f t="shared" si="159"/>
        <v/>
      </c>
      <c r="I2559" s="1" t="str">
        <f t="shared" si="157"/>
        <v>威尔新数值1.06.xlsm!suitPower</v>
      </c>
    </row>
    <row r="2560" spans="1:9" x14ac:dyDescent="0.15">
      <c r="A2560" s="1">
        <v>2559</v>
      </c>
      <c r="B2560" s="1">
        <v>202051400</v>
      </c>
      <c r="C2560" s="1">
        <f t="shared" si="160"/>
        <v>19</v>
      </c>
      <c r="D2560" s="5">
        <f ca="1">IF(getQuality(B2560)&lt;4,getOtherMin(B2560,C2560,INDIRECT(J$2),INDIRECT(I2560),test),getMin(B2560,C2560,INDIRECT(J$2),INDIRECT(I2560),test))</f>
        <v>39.888888888888886</v>
      </c>
      <c r="E2560" s="5">
        <f ca="1">IF(getQuality(B2560)&lt;4,getOtherMax(B2560,C2560,INDIRECT(J$2),INDIRECT(I2560),test),getMax(B2560,C2560,INDIRECT(J$2),INDIRECT(I2560),test))</f>
        <v>48.611111111111114</v>
      </c>
      <c r="F2560" s="1" t="str">
        <f t="shared" si="158"/>
        <v>50</v>
      </c>
      <c r="G2560" s="1" t="str">
        <f t="shared" si="159"/>
        <v/>
      </c>
      <c r="I2560" s="1" t="str">
        <f t="shared" si="157"/>
        <v>威尔新数值1.06.xlsm!suitPower</v>
      </c>
    </row>
    <row r="2561" spans="1:9" x14ac:dyDescent="0.15">
      <c r="A2561" s="1">
        <v>2560</v>
      </c>
      <c r="B2561" s="1">
        <v>202051400</v>
      </c>
      <c r="C2561" s="1">
        <f t="shared" si="160"/>
        <v>20</v>
      </c>
      <c r="D2561" s="5">
        <f ca="1">IF(getQuality(B2561)&lt;4,getOtherMin(B2561,C2561,INDIRECT(J$2),INDIRECT(I2561),test),getMin(B2561,C2561,INDIRECT(J$2),INDIRECT(I2561),test))</f>
        <v>39.888888888888886</v>
      </c>
      <c r="E2561" s="5">
        <f ca="1">IF(getQuality(B2561)&lt;4,getOtherMax(B2561,C2561,INDIRECT(J$2),INDIRECT(I2561),test),getMax(B2561,C2561,INDIRECT(J$2),INDIRECT(I2561),test))</f>
        <v>48.611111111111114</v>
      </c>
      <c r="F2561" s="1" t="str">
        <f t="shared" si="158"/>
        <v>50</v>
      </c>
      <c r="G2561" s="1" t="str">
        <f t="shared" si="159"/>
        <v/>
      </c>
      <c r="I2561" s="1" t="str">
        <f t="shared" si="157"/>
        <v>威尔新数值1.06.xlsm!suitPower</v>
      </c>
    </row>
    <row r="2562" spans="1:9" x14ac:dyDescent="0.15">
      <c r="A2562" s="1">
        <v>2561</v>
      </c>
      <c r="B2562" s="1">
        <v>202051400</v>
      </c>
      <c r="C2562" s="1">
        <f t="shared" si="160"/>
        <v>21</v>
      </c>
      <c r="D2562" s="5">
        <f ca="1">IF(getQuality(B2562)&lt;4,getOtherMin(B2562,C2562,INDIRECT(J$2),INDIRECT(I2562),test),getMin(B2562,C2562,INDIRECT(J$2),INDIRECT(I2562),test))</f>
        <v>39.888888888888886</v>
      </c>
      <c r="E2562" s="5">
        <f ca="1">IF(getQuality(B2562)&lt;4,getOtherMax(B2562,C2562,INDIRECT(J$2),INDIRECT(I2562),test),getMax(B2562,C2562,INDIRECT(J$2),INDIRECT(I2562),test))</f>
        <v>48.611111111111114</v>
      </c>
      <c r="F2562" s="1" t="str">
        <f t="shared" si="158"/>
        <v>50</v>
      </c>
      <c r="G2562" s="1" t="str">
        <f t="shared" si="159"/>
        <v/>
      </c>
      <c r="I2562" s="1" t="str">
        <f t="shared" ref="I2562:I2625" si="161">IF(C2562&lt;100,VLOOKUP(C2562,test,3,FALSE),VLOOKUP(C2562,test1,3,FALSE))</f>
        <v>威尔新数值1.06.xlsm!suitPower</v>
      </c>
    </row>
    <row r="2563" spans="1:9" x14ac:dyDescent="0.15">
      <c r="A2563" s="1">
        <v>2562</v>
      </c>
      <c r="B2563" s="1">
        <v>202051400</v>
      </c>
      <c r="C2563" s="1">
        <f t="shared" si="160"/>
        <v>22</v>
      </c>
      <c r="D2563" s="5">
        <f ca="1">IF(getQuality(B2563)&lt;4,getOtherMin(B2563,C2563,INDIRECT(J$2),INDIRECT(I2563),test),getMin(B2563,C2563,INDIRECT(J$2),INDIRECT(I2563),test))</f>
        <v>39.888888888888886</v>
      </c>
      <c r="E2563" s="5">
        <f ca="1">IF(getQuality(B2563)&lt;4,getOtherMax(B2563,C2563,INDIRECT(J$2),INDIRECT(I2563),test),getMax(B2563,C2563,INDIRECT(J$2),INDIRECT(I2563),test))</f>
        <v>48.611111111111114</v>
      </c>
      <c r="F2563" s="1" t="str">
        <f t="shared" ref="F2563:F2626" si="162">getper(B2563,C2563)</f>
        <v>50</v>
      </c>
      <c r="G2563" s="1" t="str">
        <f t="shared" ref="G2563:G2626" si="163">getMust(B2563,C2563)</f>
        <v/>
      </c>
      <c r="I2563" s="1" t="str">
        <f t="shared" si="161"/>
        <v>威尔新数值1.06.xlsm!suitPower</v>
      </c>
    </row>
    <row r="2564" spans="1:9" x14ac:dyDescent="0.15">
      <c r="A2564" s="1">
        <v>2563</v>
      </c>
      <c r="B2564" s="1">
        <v>202051400</v>
      </c>
      <c r="C2564" s="1">
        <f t="shared" si="160"/>
        <v>23</v>
      </c>
      <c r="D2564" s="5">
        <f ca="1">IF(getQuality(B2564)&lt;4,getOtherMin(B2564,C2564,INDIRECT(J$2),INDIRECT(I2564),test),getMin(B2564,C2564,INDIRECT(J$2),INDIRECT(I2564),test))</f>
        <v>39.888888888888886</v>
      </c>
      <c r="E2564" s="5">
        <f ca="1">IF(getQuality(B2564)&lt;4,getOtherMax(B2564,C2564,INDIRECT(J$2),INDIRECT(I2564),test),getMax(B2564,C2564,INDIRECT(J$2),INDIRECT(I2564),test))</f>
        <v>48.611111111111114</v>
      </c>
      <c r="F2564" s="1" t="str">
        <f t="shared" si="162"/>
        <v>50</v>
      </c>
      <c r="G2564" s="1" t="str">
        <f t="shared" si="163"/>
        <v/>
      </c>
      <c r="I2564" s="1" t="str">
        <f t="shared" si="161"/>
        <v>威尔新数值1.06.xlsm!suitPower</v>
      </c>
    </row>
    <row r="2565" spans="1:9" x14ac:dyDescent="0.15">
      <c r="A2565" s="1">
        <v>2564</v>
      </c>
      <c r="B2565" s="1">
        <v>202061400</v>
      </c>
      <c r="C2565" s="1">
        <f t="shared" si="160"/>
        <v>1</v>
      </c>
      <c r="D2565" s="5">
        <f ca="1">IF(getQuality(B2565)&lt;4,getOtherMin(B2565,C2565,INDIRECT(J$2),INDIRECT(I2565),test),getMin(B2565,C2565,INDIRECT(J$2),INDIRECT(I2565),test))</f>
        <v>392.8055555555556</v>
      </c>
      <c r="E2565" s="5">
        <f ca="1">IF(getQuality(B2565)&lt;4,getOtherMax(B2565,C2565,INDIRECT(J$2),INDIRECT(I2565),test),getMax(B2565,C2565,INDIRECT(J$2),INDIRECT(I2565),test))</f>
        <v>503.5333333333333</v>
      </c>
      <c r="F2565" s="1" t="str">
        <f t="shared" si="162"/>
        <v>50</v>
      </c>
      <c r="G2565" s="1" t="str">
        <f t="shared" si="163"/>
        <v/>
      </c>
      <c r="I2565" s="1" t="str">
        <f t="shared" si="161"/>
        <v>威尔新数值1.06.xlsm!suitPower</v>
      </c>
    </row>
    <row r="2566" spans="1:9" x14ac:dyDescent="0.15">
      <c r="A2566" s="1">
        <v>2565</v>
      </c>
      <c r="B2566" s="1">
        <v>202061400</v>
      </c>
      <c r="C2566" s="1">
        <f t="shared" si="160"/>
        <v>2</v>
      </c>
      <c r="D2566" s="5">
        <f ca="1">IF(getQuality(B2566)&lt;4,getOtherMin(B2566,C2566,INDIRECT(J$2),INDIRECT(I2566),test),getMin(B2566,C2566,INDIRECT(J$2),INDIRECT(I2566),test))</f>
        <v>38.673611111111114</v>
      </c>
      <c r="E2566" s="5">
        <f ca="1">IF(getQuality(B2566)&lt;4,getOtherMax(B2566,C2566,INDIRECT(J$2),INDIRECT(I2566),test),getMax(B2566,C2566,INDIRECT(J$2),INDIRECT(I2566),test))</f>
        <v>48.416666666666664</v>
      </c>
      <c r="F2566" s="1" t="str">
        <f t="shared" si="162"/>
        <v>50</v>
      </c>
      <c r="G2566" s="1" t="str">
        <f t="shared" si="163"/>
        <v/>
      </c>
      <c r="I2566" s="1" t="str">
        <f t="shared" si="161"/>
        <v>威尔新数值1.06.xlsm!suitPower</v>
      </c>
    </row>
    <row r="2567" spans="1:9" x14ac:dyDescent="0.15">
      <c r="A2567" s="1">
        <v>2566</v>
      </c>
      <c r="B2567" s="1">
        <v>202061400</v>
      </c>
      <c r="C2567" s="1">
        <f t="shared" si="160"/>
        <v>4</v>
      </c>
      <c r="D2567" s="5">
        <f ca="1">IF(getQuality(B2567)&lt;4,getOtherMin(B2567,C2567,INDIRECT(J$2),INDIRECT(I2567),test),getMin(B2567,C2567,INDIRECT(J$2),INDIRECT(I2567),test))</f>
        <v>183.29166666666666</v>
      </c>
      <c r="E2567" s="5">
        <f ca="1">IF(getQuality(B2567)&lt;4,getOtherMax(B2567,C2567,INDIRECT(J$2),INDIRECT(I2567),test),getMax(B2567,C2567,INDIRECT(J$2),INDIRECT(I2567),test))</f>
        <v>218.75</v>
      </c>
      <c r="F2567" s="1" t="str">
        <f t="shared" si="162"/>
        <v>50</v>
      </c>
      <c r="G2567" s="1" t="str">
        <f t="shared" si="163"/>
        <v>1</v>
      </c>
      <c r="I2567" s="1" t="str">
        <f t="shared" si="161"/>
        <v>威尔新数值1.06.xlsm!suitPower</v>
      </c>
    </row>
    <row r="2568" spans="1:9" x14ac:dyDescent="0.15">
      <c r="A2568" s="1">
        <v>2567</v>
      </c>
      <c r="B2568" s="1">
        <v>202061400</v>
      </c>
      <c r="C2568" s="1">
        <f t="shared" si="160"/>
        <v>6</v>
      </c>
      <c r="D2568" s="5">
        <f ca="1">IF(getQuality(B2568)&lt;4,getOtherMin(B2568,C2568,INDIRECT(J$2),INDIRECT(I2568),test),getMin(B2568,C2568,INDIRECT(J$2),INDIRECT(I2568),test))</f>
        <v>183.29166666666666</v>
      </c>
      <c r="E2568" s="5">
        <f ca="1">IF(getQuality(B2568)&lt;4,getOtherMax(B2568,C2568,INDIRECT(J$2),INDIRECT(I2568),test),getMax(B2568,C2568,INDIRECT(J$2),INDIRECT(I2568),test))</f>
        <v>218.75</v>
      </c>
      <c r="F2568" s="1" t="str">
        <f t="shared" si="162"/>
        <v>50</v>
      </c>
      <c r="G2568" s="1" t="str">
        <f t="shared" si="163"/>
        <v/>
      </c>
      <c r="I2568" s="1" t="str">
        <f t="shared" si="161"/>
        <v>威尔新数值1.06.xlsm!suitPower</v>
      </c>
    </row>
    <row r="2569" spans="1:9" x14ac:dyDescent="0.15">
      <c r="A2569" s="1">
        <v>2568</v>
      </c>
      <c r="B2569" s="1">
        <v>202061400</v>
      </c>
      <c r="C2569" s="1">
        <f t="shared" si="160"/>
        <v>7</v>
      </c>
      <c r="D2569" s="5">
        <f ca="1">IF(getQuality(B2569)&lt;4,getOtherMin(B2569,C2569,INDIRECT(J$2),INDIRECT(I2569),test),getMin(B2569,C2569,INDIRECT(J$2),INDIRECT(I2569),test))</f>
        <v>17.203703703703663</v>
      </c>
      <c r="E2569" s="5">
        <f ca="1">IF(getQuality(B2569)&lt;4,getOtherMax(B2569,C2569,INDIRECT(J$2),INDIRECT(I2569),test),getMax(B2569,C2569,INDIRECT(J$2),INDIRECT(I2569),test))</f>
        <v>19.444444444444393</v>
      </c>
      <c r="F2569" s="1" t="str">
        <f t="shared" si="162"/>
        <v>50</v>
      </c>
      <c r="G2569" s="1" t="str">
        <f t="shared" si="163"/>
        <v/>
      </c>
      <c r="I2569" s="1" t="str">
        <f t="shared" si="161"/>
        <v>威尔新数值1.06.xlsm!suitPower</v>
      </c>
    </row>
    <row r="2570" spans="1:9" x14ac:dyDescent="0.15">
      <c r="A2570" s="1">
        <v>2569</v>
      </c>
      <c r="B2570" s="1">
        <v>202061400</v>
      </c>
      <c r="C2570" s="1">
        <f t="shared" si="160"/>
        <v>8</v>
      </c>
      <c r="D2570" s="5">
        <f ca="1">IF(getQuality(B2570)&lt;4,getOtherMin(B2570,C2570,INDIRECT(J$2),INDIRECT(I2570),test),getMin(B2570,C2570,INDIRECT(J$2),INDIRECT(I2570),test))</f>
        <v>37.458333333333336</v>
      </c>
      <c r="E2570" s="5">
        <f ca="1">IF(getQuality(B2570)&lt;4,getOtherMax(B2570,C2570,INDIRECT(J$2),INDIRECT(I2570),test),getMax(B2570,C2570,INDIRECT(J$2),INDIRECT(I2570),test))</f>
        <v>43.75</v>
      </c>
      <c r="F2570" s="1" t="str">
        <f t="shared" si="162"/>
        <v>50</v>
      </c>
      <c r="G2570" s="1" t="str">
        <f t="shared" si="163"/>
        <v/>
      </c>
      <c r="I2570" s="1" t="str">
        <f t="shared" si="161"/>
        <v>威尔新数值1.06.xlsm!suitPower</v>
      </c>
    </row>
    <row r="2571" spans="1:9" x14ac:dyDescent="0.15">
      <c r="A2571" s="1">
        <v>2570</v>
      </c>
      <c r="B2571" s="1">
        <v>202061400</v>
      </c>
      <c r="C2571" s="1">
        <f t="shared" si="160"/>
        <v>16</v>
      </c>
      <c r="D2571" s="5">
        <f ca="1">IF(getQuality(B2571)&lt;4,getOtherMin(B2571,C2571,INDIRECT(J$2),INDIRECT(I2571),test),getMin(B2571,C2571,INDIRECT(J$2),INDIRECT(I2571),test))</f>
        <v>49.611111111111114</v>
      </c>
      <c r="E2571" s="5">
        <f ca="1">IF(getQuality(B2571)&lt;4,getOtherMax(B2571,C2571,INDIRECT(J$2),INDIRECT(I2571),test),getMax(B2571,C2571,INDIRECT(J$2),INDIRECT(I2571),test))</f>
        <v>58.333333333333336</v>
      </c>
      <c r="F2571" s="1" t="str">
        <f t="shared" si="162"/>
        <v>50</v>
      </c>
      <c r="G2571" s="1" t="str">
        <f t="shared" si="163"/>
        <v/>
      </c>
      <c r="I2571" s="1" t="str">
        <f t="shared" si="161"/>
        <v>威尔新数值1.06.xlsm!suitPower</v>
      </c>
    </row>
    <row r="2572" spans="1:9" x14ac:dyDescent="0.15">
      <c r="A2572" s="1">
        <v>2571</v>
      </c>
      <c r="B2572" s="1">
        <v>202061400</v>
      </c>
      <c r="C2572" s="1">
        <f t="shared" si="160"/>
        <v>17</v>
      </c>
      <c r="D2572" s="5">
        <f ca="1">IF(getQuality(B2572)&lt;4,getOtherMin(B2572,C2572,INDIRECT(J$2),INDIRECT(I2572),test),getMin(B2572,C2572,INDIRECT(J$2),INDIRECT(I2572),test))</f>
        <v>49.611111111111114</v>
      </c>
      <c r="E2572" s="5">
        <f ca="1">IF(getQuality(B2572)&lt;4,getOtherMax(B2572,C2572,INDIRECT(J$2),INDIRECT(I2572),test),getMax(B2572,C2572,INDIRECT(J$2),INDIRECT(I2572),test))</f>
        <v>58.333333333333336</v>
      </c>
      <c r="F2572" s="1" t="str">
        <f t="shared" si="162"/>
        <v>50</v>
      </c>
      <c r="G2572" s="1" t="str">
        <f t="shared" si="163"/>
        <v/>
      </c>
      <c r="I2572" s="1" t="str">
        <f t="shared" si="161"/>
        <v>威尔新数值1.06.xlsm!suitPower</v>
      </c>
    </row>
    <row r="2573" spans="1:9" x14ac:dyDescent="0.15">
      <c r="A2573" s="1">
        <v>2572</v>
      </c>
      <c r="B2573" s="1">
        <v>202061400</v>
      </c>
      <c r="C2573" s="1">
        <f t="shared" si="160"/>
        <v>18</v>
      </c>
      <c r="D2573" s="5">
        <f ca="1">IF(getQuality(B2573)&lt;4,getOtherMin(B2573,C2573,INDIRECT(J$2),INDIRECT(I2573),test),getMin(B2573,C2573,INDIRECT(J$2),INDIRECT(I2573),test))</f>
        <v>49.611111111111114</v>
      </c>
      <c r="E2573" s="5">
        <f ca="1">IF(getQuality(B2573)&lt;4,getOtherMax(B2573,C2573,INDIRECT(J$2),INDIRECT(I2573),test),getMax(B2573,C2573,INDIRECT(J$2),INDIRECT(I2573),test))</f>
        <v>58.333333333333336</v>
      </c>
      <c r="F2573" s="1" t="str">
        <f t="shared" si="162"/>
        <v>50</v>
      </c>
      <c r="G2573" s="1" t="str">
        <f t="shared" si="163"/>
        <v/>
      </c>
      <c r="I2573" s="1" t="str">
        <f t="shared" si="161"/>
        <v>威尔新数值1.06.xlsm!suitPower</v>
      </c>
    </row>
    <row r="2574" spans="1:9" x14ac:dyDescent="0.15">
      <c r="A2574" s="1">
        <v>2573</v>
      </c>
      <c r="B2574" s="1">
        <v>202061400</v>
      </c>
      <c r="C2574" s="1">
        <f t="shared" ref="C2574:C2637" si="164">C2560</f>
        <v>19</v>
      </c>
      <c r="D2574" s="5">
        <f ca="1">IF(getQuality(B2574)&lt;4,getOtherMin(B2574,C2574,INDIRECT(J$2),INDIRECT(I2574),test),getMin(B2574,C2574,INDIRECT(J$2),INDIRECT(I2574),test))</f>
        <v>49.611111111111114</v>
      </c>
      <c r="E2574" s="5">
        <f ca="1">IF(getQuality(B2574)&lt;4,getOtherMax(B2574,C2574,INDIRECT(J$2),INDIRECT(I2574),test),getMax(B2574,C2574,INDIRECT(J$2),INDIRECT(I2574),test))</f>
        <v>58.333333333333336</v>
      </c>
      <c r="F2574" s="1" t="str">
        <f t="shared" si="162"/>
        <v>50</v>
      </c>
      <c r="G2574" s="1" t="str">
        <f t="shared" si="163"/>
        <v/>
      </c>
      <c r="I2574" s="1" t="str">
        <f t="shared" si="161"/>
        <v>威尔新数值1.06.xlsm!suitPower</v>
      </c>
    </row>
    <row r="2575" spans="1:9" x14ac:dyDescent="0.15">
      <c r="A2575" s="1">
        <v>2574</v>
      </c>
      <c r="B2575" s="1">
        <v>202061400</v>
      </c>
      <c r="C2575" s="1">
        <f t="shared" si="164"/>
        <v>20</v>
      </c>
      <c r="D2575" s="5">
        <f ca="1">IF(getQuality(B2575)&lt;4,getOtherMin(B2575,C2575,INDIRECT(J$2),INDIRECT(I2575),test),getMin(B2575,C2575,INDIRECT(J$2),INDIRECT(I2575),test))</f>
        <v>49.611111111111114</v>
      </c>
      <c r="E2575" s="5">
        <f ca="1">IF(getQuality(B2575)&lt;4,getOtherMax(B2575,C2575,INDIRECT(J$2),INDIRECT(I2575),test),getMax(B2575,C2575,INDIRECT(J$2),INDIRECT(I2575),test))</f>
        <v>58.333333333333336</v>
      </c>
      <c r="F2575" s="1" t="str">
        <f t="shared" si="162"/>
        <v>50</v>
      </c>
      <c r="G2575" s="1" t="str">
        <f t="shared" si="163"/>
        <v/>
      </c>
      <c r="I2575" s="1" t="str">
        <f t="shared" si="161"/>
        <v>威尔新数值1.06.xlsm!suitPower</v>
      </c>
    </row>
    <row r="2576" spans="1:9" x14ac:dyDescent="0.15">
      <c r="A2576" s="1">
        <v>2575</v>
      </c>
      <c r="B2576" s="1">
        <v>202061400</v>
      </c>
      <c r="C2576" s="1">
        <f t="shared" si="164"/>
        <v>21</v>
      </c>
      <c r="D2576" s="5">
        <f ca="1">IF(getQuality(B2576)&lt;4,getOtherMin(B2576,C2576,INDIRECT(J$2),INDIRECT(I2576),test),getMin(B2576,C2576,INDIRECT(J$2),INDIRECT(I2576),test))</f>
        <v>49.611111111111114</v>
      </c>
      <c r="E2576" s="5">
        <f ca="1">IF(getQuality(B2576)&lt;4,getOtherMax(B2576,C2576,INDIRECT(J$2),INDIRECT(I2576),test),getMax(B2576,C2576,INDIRECT(J$2),INDIRECT(I2576),test))</f>
        <v>58.333333333333336</v>
      </c>
      <c r="F2576" s="1" t="str">
        <f t="shared" si="162"/>
        <v>50</v>
      </c>
      <c r="G2576" s="1" t="str">
        <f t="shared" si="163"/>
        <v/>
      </c>
      <c r="I2576" s="1" t="str">
        <f t="shared" si="161"/>
        <v>威尔新数值1.06.xlsm!suitPower</v>
      </c>
    </row>
    <row r="2577" spans="1:9" x14ac:dyDescent="0.15">
      <c r="A2577" s="1">
        <v>2576</v>
      </c>
      <c r="B2577" s="1">
        <v>202061400</v>
      </c>
      <c r="C2577" s="1">
        <f t="shared" si="164"/>
        <v>22</v>
      </c>
      <c r="D2577" s="5">
        <f ca="1">IF(getQuality(B2577)&lt;4,getOtherMin(B2577,C2577,INDIRECT(J$2),INDIRECT(I2577),test),getMin(B2577,C2577,INDIRECT(J$2),INDIRECT(I2577),test))</f>
        <v>49.611111111111114</v>
      </c>
      <c r="E2577" s="5">
        <f ca="1">IF(getQuality(B2577)&lt;4,getOtherMax(B2577,C2577,INDIRECT(J$2),INDIRECT(I2577),test),getMax(B2577,C2577,INDIRECT(J$2),INDIRECT(I2577),test))</f>
        <v>58.333333333333336</v>
      </c>
      <c r="F2577" s="1" t="str">
        <f t="shared" si="162"/>
        <v>50</v>
      </c>
      <c r="G2577" s="1" t="str">
        <f t="shared" si="163"/>
        <v/>
      </c>
      <c r="I2577" s="1" t="str">
        <f t="shared" si="161"/>
        <v>威尔新数值1.06.xlsm!suitPower</v>
      </c>
    </row>
    <row r="2578" spans="1:9" x14ac:dyDescent="0.15">
      <c r="A2578" s="1">
        <v>2577</v>
      </c>
      <c r="B2578" s="1">
        <v>202061400</v>
      </c>
      <c r="C2578" s="1">
        <f t="shared" si="164"/>
        <v>23</v>
      </c>
      <c r="D2578" s="5">
        <f ca="1">IF(getQuality(B2578)&lt;4,getOtherMin(B2578,C2578,INDIRECT(J$2),INDIRECT(I2578),test),getMin(B2578,C2578,INDIRECT(J$2),INDIRECT(I2578),test))</f>
        <v>49.611111111111114</v>
      </c>
      <c r="E2578" s="5">
        <f ca="1">IF(getQuality(B2578)&lt;4,getOtherMax(B2578,C2578,INDIRECT(J$2),INDIRECT(I2578),test),getMax(B2578,C2578,INDIRECT(J$2),INDIRECT(I2578),test))</f>
        <v>58.333333333333336</v>
      </c>
      <c r="F2578" s="1" t="str">
        <f t="shared" si="162"/>
        <v>50</v>
      </c>
      <c r="G2578" s="1" t="str">
        <f t="shared" si="163"/>
        <v/>
      </c>
      <c r="I2578" s="1" t="str">
        <f t="shared" si="161"/>
        <v>威尔新数值1.06.xlsm!suitPower</v>
      </c>
    </row>
    <row r="2579" spans="1:9" x14ac:dyDescent="0.15">
      <c r="A2579" s="1">
        <v>2578</v>
      </c>
      <c r="B2579" s="1">
        <v>202071400</v>
      </c>
      <c r="C2579" s="1">
        <f t="shared" si="164"/>
        <v>1</v>
      </c>
      <c r="D2579" s="5">
        <f ca="1">IF(getQuality(B2579)&lt;4,getOtherMin(B2579,C2579,INDIRECT(J$2),INDIRECT(I2579),test),getMin(B2579,C2579,INDIRECT(J$2),INDIRECT(I2579),test))</f>
        <v>504.5333333333333</v>
      </c>
      <c r="E2579" s="5">
        <f ca="1">IF(getQuality(B2579)&lt;4,getOtherMax(B2579,C2579,INDIRECT(J$2),INDIRECT(I2579),test),getMax(B2579,C2579,INDIRECT(J$2),INDIRECT(I2579),test))</f>
        <v>626.38333333333333</v>
      </c>
      <c r="F2579" s="1" t="str">
        <f t="shared" si="162"/>
        <v>50</v>
      </c>
      <c r="G2579" s="1" t="str">
        <f t="shared" si="163"/>
        <v/>
      </c>
      <c r="I2579" s="1" t="str">
        <f t="shared" si="161"/>
        <v>威尔新数值1.06.xlsm!suitPower</v>
      </c>
    </row>
    <row r="2580" spans="1:9" x14ac:dyDescent="0.15">
      <c r="A2580" s="1">
        <v>2579</v>
      </c>
      <c r="B2580" s="1">
        <v>202071400</v>
      </c>
      <c r="C2580" s="1">
        <f t="shared" si="164"/>
        <v>2</v>
      </c>
      <c r="D2580" s="5">
        <f ca="1">IF(getQuality(B2580)&lt;4,getOtherMin(B2580,C2580,INDIRECT(J$2),INDIRECT(I2580),test),getMin(B2580,C2580,INDIRECT(J$2),INDIRECT(I2580),test))</f>
        <v>49.416666666666664</v>
      </c>
      <c r="E2580" s="5">
        <f ca="1">IF(getQuality(B2580)&lt;4,getOtherMax(B2580,C2580,INDIRECT(J$2),INDIRECT(I2580),test),getMax(B2580,C2580,INDIRECT(J$2),INDIRECT(I2580),test))</f>
        <v>60.229166666666664</v>
      </c>
      <c r="F2580" s="1" t="str">
        <f t="shared" si="162"/>
        <v>50</v>
      </c>
      <c r="G2580" s="1" t="str">
        <f t="shared" si="163"/>
        <v/>
      </c>
      <c r="I2580" s="1" t="str">
        <f t="shared" si="161"/>
        <v>威尔新数值1.06.xlsm!suitPower</v>
      </c>
    </row>
    <row r="2581" spans="1:9" x14ac:dyDescent="0.15">
      <c r="A2581" s="1">
        <v>2580</v>
      </c>
      <c r="B2581" s="1">
        <v>202071400</v>
      </c>
      <c r="C2581" s="1">
        <f t="shared" si="164"/>
        <v>4</v>
      </c>
      <c r="D2581" s="5">
        <f ca="1">IF(getQuality(B2581)&lt;4,getOtherMin(B2581,C2581,INDIRECT(J$2),INDIRECT(I2581),test),getMin(B2581,C2581,INDIRECT(J$2),INDIRECT(I2581),test))</f>
        <v>219.75</v>
      </c>
      <c r="E2581" s="5">
        <f ca="1">IF(getQuality(B2581)&lt;4,getOtherMax(B2581,C2581,INDIRECT(J$2),INDIRECT(I2581),test),getMax(B2581,C2581,INDIRECT(J$2),INDIRECT(I2581),test))</f>
        <v>255.20833333333334</v>
      </c>
      <c r="F2581" s="1" t="str">
        <f t="shared" si="162"/>
        <v>50</v>
      </c>
      <c r="G2581" s="1" t="str">
        <f t="shared" si="163"/>
        <v>1</v>
      </c>
      <c r="I2581" s="1" t="str">
        <f t="shared" si="161"/>
        <v>威尔新数值1.06.xlsm!suitPower</v>
      </c>
    </row>
    <row r="2582" spans="1:9" x14ac:dyDescent="0.15">
      <c r="A2582" s="1">
        <v>2581</v>
      </c>
      <c r="B2582" s="1">
        <v>202071400</v>
      </c>
      <c r="C2582" s="1">
        <f t="shared" si="164"/>
        <v>6</v>
      </c>
      <c r="D2582" s="5">
        <f ca="1">IF(getQuality(B2582)&lt;4,getOtherMin(B2582,C2582,INDIRECT(J$2),INDIRECT(I2582),test),getMin(B2582,C2582,INDIRECT(J$2),INDIRECT(I2582),test))</f>
        <v>219.75</v>
      </c>
      <c r="E2582" s="5">
        <f ca="1">IF(getQuality(B2582)&lt;4,getOtherMax(B2582,C2582,INDIRECT(J$2),INDIRECT(I2582),test),getMax(B2582,C2582,INDIRECT(J$2),INDIRECT(I2582),test))</f>
        <v>255.20833333333334</v>
      </c>
      <c r="F2582" s="1" t="str">
        <f t="shared" si="162"/>
        <v>50</v>
      </c>
      <c r="G2582" s="1" t="str">
        <f t="shared" si="163"/>
        <v/>
      </c>
      <c r="I2582" s="1" t="str">
        <f t="shared" si="161"/>
        <v>威尔新数值1.06.xlsm!suitPower</v>
      </c>
    </row>
    <row r="2583" spans="1:9" x14ac:dyDescent="0.15">
      <c r="A2583" s="1">
        <v>2582</v>
      </c>
      <c r="B2583" s="1">
        <v>202071400</v>
      </c>
      <c r="C2583" s="1">
        <f t="shared" si="164"/>
        <v>7</v>
      </c>
      <c r="D2583" s="5">
        <f ca="1">IF(getQuality(B2583)&lt;4,getOtherMin(B2583,C2583,INDIRECT(J$2),INDIRECT(I2583),test),getMin(B2583,C2583,INDIRECT(J$2),INDIRECT(I2583),test))</f>
        <v>20.444444444444393</v>
      </c>
      <c r="E2583" s="5">
        <f ca="1">IF(getQuality(B2583)&lt;4,getOtherMax(B2583,C2583,INDIRECT(J$2),INDIRECT(I2583),test),getMax(B2583,C2583,INDIRECT(J$2),INDIRECT(I2583),test))</f>
        <v>22.685185185185126</v>
      </c>
      <c r="F2583" s="1" t="str">
        <f t="shared" si="162"/>
        <v>50</v>
      </c>
      <c r="G2583" s="1" t="str">
        <f t="shared" si="163"/>
        <v/>
      </c>
      <c r="I2583" s="1" t="str">
        <f t="shared" si="161"/>
        <v>威尔新数值1.06.xlsm!suitPower</v>
      </c>
    </row>
    <row r="2584" spans="1:9" x14ac:dyDescent="0.15">
      <c r="A2584" s="1">
        <v>2583</v>
      </c>
      <c r="B2584" s="1">
        <v>202071400</v>
      </c>
      <c r="C2584" s="1">
        <f t="shared" si="164"/>
        <v>8</v>
      </c>
      <c r="D2584" s="5">
        <f ca="1">IF(getQuality(B2584)&lt;4,getOtherMin(B2584,C2584,INDIRECT(J$2),INDIRECT(I2584),test),getMin(B2584,C2584,INDIRECT(J$2),INDIRECT(I2584),test))</f>
        <v>44.75</v>
      </c>
      <c r="E2584" s="5">
        <f ca="1">IF(getQuality(B2584)&lt;4,getOtherMax(B2584,C2584,INDIRECT(J$2),INDIRECT(I2584),test),getMax(B2584,C2584,INDIRECT(J$2),INDIRECT(I2584),test))</f>
        <v>51.041666666666664</v>
      </c>
      <c r="F2584" s="1" t="str">
        <f t="shared" si="162"/>
        <v>50</v>
      </c>
      <c r="G2584" s="1" t="str">
        <f t="shared" si="163"/>
        <v/>
      </c>
      <c r="I2584" s="1" t="str">
        <f t="shared" si="161"/>
        <v>威尔新数值1.06.xlsm!suitPower</v>
      </c>
    </row>
    <row r="2585" spans="1:9" x14ac:dyDescent="0.15">
      <c r="A2585" s="1">
        <v>2584</v>
      </c>
      <c r="B2585" s="1">
        <v>202071400</v>
      </c>
      <c r="C2585" s="1">
        <f t="shared" si="164"/>
        <v>16</v>
      </c>
      <c r="D2585" s="5">
        <f ca="1">IF(getQuality(B2585)&lt;4,getOtherMin(B2585,C2585,INDIRECT(J$2),INDIRECT(I2585),test),getMin(B2585,C2585,INDIRECT(J$2),INDIRECT(I2585),test))</f>
        <v>59.333333333333336</v>
      </c>
      <c r="E2585" s="5">
        <f ca="1">IF(getQuality(B2585)&lt;4,getOtherMax(B2585,C2585,INDIRECT(J$2),INDIRECT(I2585),test),getMax(B2585,C2585,INDIRECT(J$2),INDIRECT(I2585),test))</f>
        <v>68.055555555555557</v>
      </c>
      <c r="F2585" s="1" t="str">
        <f t="shared" si="162"/>
        <v>50</v>
      </c>
      <c r="G2585" s="1" t="str">
        <f t="shared" si="163"/>
        <v/>
      </c>
      <c r="I2585" s="1" t="str">
        <f t="shared" si="161"/>
        <v>威尔新数值1.06.xlsm!suitPower</v>
      </c>
    </row>
    <row r="2586" spans="1:9" x14ac:dyDescent="0.15">
      <c r="A2586" s="1">
        <v>2585</v>
      </c>
      <c r="B2586" s="1">
        <v>202071400</v>
      </c>
      <c r="C2586" s="1">
        <f t="shared" si="164"/>
        <v>17</v>
      </c>
      <c r="D2586" s="5">
        <f ca="1">IF(getQuality(B2586)&lt;4,getOtherMin(B2586,C2586,INDIRECT(J$2),INDIRECT(I2586),test),getMin(B2586,C2586,INDIRECT(J$2),INDIRECT(I2586),test))</f>
        <v>59.333333333333336</v>
      </c>
      <c r="E2586" s="5">
        <f ca="1">IF(getQuality(B2586)&lt;4,getOtherMax(B2586,C2586,INDIRECT(J$2),INDIRECT(I2586),test),getMax(B2586,C2586,INDIRECT(J$2),INDIRECT(I2586),test))</f>
        <v>68.055555555555557</v>
      </c>
      <c r="F2586" s="1" t="str">
        <f t="shared" si="162"/>
        <v>50</v>
      </c>
      <c r="G2586" s="1" t="str">
        <f t="shared" si="163"/>
        <v/>
      </c>
      <c r="I2586" s="1" t="str">
        <f t="shared" si="161"/>
        <v>威尔新数值1.06.xlsm!suitPower</v>
      </c>
    </row>
    <row r="2587" spans="1:9" x14ac:dyDescent="0.15">
      <c r="A2587" s="1">
        <v>2586</v>
      </c>
      <c r="B2587" s="1">
        <v>202071400</v>
      </c>
      <c r="C2587" s="1">
        <f t="shared" si="164"/>
        <v>18</v>
      </c>
      <c r="D2587" s="5">
        <f ca="1">IF(getQuality(B2587)&lt;4,getOtherMin(B2587,C2587,INDIRECT(J$2),INDIRECT(I2587),test),getMin(B2587,C2587,INDIRECT(J$2),INDIRECT(I2587),test))</f>
        <v>59.333333333333336</v>
      </c>
      <c r="E2587" s="5">
        <f ca="1">IF(getQuality(B2587)&lt;4,getOtherMax(B2587,C2587,INDIRECT(J$2),INDIRECT(I2587),test),getMax(B2587,C2587,INDIRECT(J$2),INDIRECT(I2587),test))</f>
        <v>68.055555555555557</v>
      </c>
      <c r="F2587" s="1" t="str">
        <f t="shared" si="162"/>
        <v>50</v>
      </c>
      <c r="G2587" s="1" t="str">
        <f t="shared" si="163"/>
        <v/>
      </c>
      <c r="I2587" s="1" t="str">
        <f t="shared" si="161"/>
        <v>威尔新数值1.06.xlsm!suitPower</v>
      </c>
    </row>
    <row r="2588" spans="1:9" x14ac:dyDescent="0.15">
      <c r="A2588" s="1">
        <v>2587</v>
      </c>
      <c r="B2588" s="1">
        <v>202071400</v>
      </c>
      <c r="C2588" s="1">
        <f t="shared" si="164"/>
        <v>19</v>
      </c>
      <c r="D2588" s="5">
        <f ca="1">IF(getQuality(B2588)&lt;4,getOtherMin(B2588,C2588,INDIRECT(J$2),INDIRECT(I2588),test),getMin(B2588,C2588,INDIRECT(J$2),INDIRECT(I2588),test))</f>
        <v>59.333333333333336</v>
      </c>
      <c r="E2588" s="5">
        <f ca="1">IF(getQuality(B2588)&lt;4,getOtherMax(B2588,C2588,INDIRECT(J$2),INDIRECT(I2588),test),getMax(B2588,C2588,INDIRECT(J$2),INDIRECT(I2588),test))</f>
        <v>68.055555555555557</v>
      </c>
      <c r="F2588" s="1" t="str">
        <f t="shared" si="162"/>
        <v>50</v>
      </c>
      <c r="G2588" s="1" t="str">
        <f t="shared" si="163"/>
        <v/>
      </c>
      <c r="I2588" s="1" t="str">
        <f t="shared" si="161"/>
        <v>威尔新数值1.06.xlsm!suitPower</v>
      </c>
    </row>
    <row r="2589" spans="1:9" x14ac:dyDescent="0.15">
      <c r="A2589" s="1">
        <v>2588</v>
      </c>
      <c r="B2589" s="1">
        <v>202071400</v>
      </c>
      <c r="C2589" s="1">
        <f t="shared" si="164"/>
        <v>20</v>
      </c>
      <c r="D2589" s="5">
        <f ca="1">IF(getQuality(B2589)&lt;4,getOtherMin(B2589,C2589,INDIRECT(J$2),INDIRECT(I2589),test),getMin(B2589,C2589,INDIRECT(J$2),INDIRECT(I2589),test))</f>
        <v>59.333333333333336</v>
      </c>
      <c r="E2589" s="5">
        <f ca="1">IF(getQuality(B2589)&lt;4,getOtherMax(B2589,C2589,INDIRECT(J$2),INDIRECT(I2589),test),getMax(B2589,C2589,INDIRECT(J$2),INDIRECT(I2589),test))</f>
        <v>68.055555555555557</v>
      </c>
      <c r="F2589" s="1" t="str">
        <f t="shared" si="162"/>
        <v>50</v>
      </c>
      <c r="G2589" s="1" t="str">
        <f t="shared" si="163"/>
        <v/>
      </c>
      <c r="I2589" s="1" t="str">
        <f t="shared" si="161"/>
        <v>威尔新数值1.06.xlsm!suitPower</v>
      </c>
    </row>
    <row r="2590" spans="1:9" x14ac:dyDescent="0.15">
      <c r="A2590" s="1">
        <v>2589</v>
      </c>
      <c r="B2590" s="1">
        <v>202071400</v>
      </c>
      <c r="C2590" s="1">
        <f t="shared" si="164"/>
        <v>21</v>
      </c>
      <c r="D2590" s="5">
        <f ca="1">IF(getQuality(B2590)&lt;4,getOtherMin(B2590,C2590,INDIRECT(J$2),INDIRECT(I2590),test),getMin(B2590,C2590,INDIRECT(J$2),INDIRECT(I2590),test))</f>
        <v>59.333333333333336</v>
      </c>
      <c r="E2590" s="5">
        <f ca="1">IF(getQuality(B2590)&lt;4,getOtherMax(B2590,C2590,INDIRECT(J$2),INDIRECT(I2590),test),getMax(B2590,C2590,INDIRECT(J$2),INDIRECT(I2590),test))</f>
        <v>68.055555555555557</v>
      </c>
      <c r="F2590" s="1" t="str">
        <f t="shared" si="162"/>
        <v>50</v>
      </c>
      <c r="G2590" s="1" t="str">
        <f t="shared" si="163"/>
        <v/>
      </c>
      <c r="I2590" s="1" t="str">
        <f t="shared" si="161"/>
        <v>威尔新数值1.06.xlsm!suitPower</v>
      </c>
    </row>
    <row r="2591" spans="1:9" x14ac:dyDescent="0.15">
      <c r="A2591" s="1">
        <v>2590</v>
      </c>
      <c r="B2591" s="1">
        <v>202071400</v>
      </c>
      <c r="C2591" s="1">
        <f t="shared" si="164"/>
        <v>22</v>
      </c>
      <c r="D2591" s="5">
        <f ca="1">IF(getQuality(B2591)&lt;4,getOtherMin(B2591,C2591,INDIRECT(J$2),INDIRECT(I2591),test),getMin(B2591,C2591,INDIRECT(J$2),INDIRECT(I2591),test))</f>
        <v>59.333333333333336</v>
      </c>
      <c r="E2591" s="5">
        <f ca="1">IF(getQuality(B2591)&lt;4,getOtherMax(B2591,C2591,INDIRECT(J$2),INDIRECT(I2591),test),getMax(B2591,C2591,INDIRECT(J$2),INDIRECT(I2591),test))</f>
        <v>68.055555555555557</v>
      </c>
      <c r="F2591" s="1" t="str">
        <f t="shared" si="162"/>
        <v>50</v>
      </c>
      <c r="G2591" s="1" t="str">
        <f t="shared" si="163"/>
        <v/>
      </c>
      <c r="I2591" s="1" t="str">
        <f t="shared" si="161"/>
        <v>威尔新数值1.06.xlsm!suitPower</v>
      </c>
    </row>
    <row r="2592" spans="1:9" x14ac:dyDescent="0.15">
      <c r="A2592" s="1">
        <v>2591</v>
      </c>
      <c r="B2592" s="1">
        <v>202071400</v>
      </c>
      <c r="C2592" s="1">
        <f t="shared" si="164"/>
        <v>23</v>
      </c>
      <c r="D2592" s="5">
        <f ca="1">IF(getQuality(B2592)&lt;4,getOtherMin(B2592,C2592,INDIRECT(J$2),INDIRECT(I2592),test),getMin(B2592,C2592,INDIRECT(J$2),INDIRECT(I2592),test))</f>
        <v>59.333333333333336</v>
      </c>
      <c r="E2592" s="5">
        <f ca="1">IF(getQuality(B2592)&lt;4,getOtherMax(B2592,C2592,INDIRECT(J$2),INDIRECT(I2592),test),getMax(B2592,C2592,INDIRECT(J$2),INDIRECT(I2592),test))</f>
        <v>68.055555555555557</v>
      </c>
      <c r="F2592" s="1" t="str">
        <f t="shared" si="162"/>
        <v>50</v>
      </c>
      <c r="G2592" s="1" t="str">
        <f t="shared" si="163"/>
        <v/>
      </c>
      <c r="I2592" s="1" t="str">
        <f t="shared" si="161"/>
        <v>威尔新数值1.06.xlsm!suitPower</v>
      </c>
    </row>
    <row r="2593" spans="1:9" x14ac:dyDescent="0.15">
      <c r="A2593" s="1">
        <v>2592</v>
      </c>
      <c r="B2593" s="1">
        <v>202081400</v>
      </c>
      <c r="C2593" s="1">
        <f t="shared" si="164"/>
        <v>1</v>
      </c>
      <c r="D2593" s="5">
        <f ca="1">IF(getQuality(B2593)&lt;4,getOtherMin(B2593,C2593,INDIRECT(J$2),INDIRECT(I2593),test),getMin(B2593,C2593,INDIRECT(J$2),INDIRECT(I2593),test))</f>
        <v>627.38333333333333</v>
      </c>
      <c r="E2593" s="5">
        <f ca="1">IF(getQuality(B2593)&lt;4,getOtherMax(B2593,C2593,INDIRECT(J$2),INDIRECT(I2593),test),getMax(B2593,C2593,INDIRECT(J$2),INDIRECT(I2593),test))</f>
        <v>760.3555555555555</v>
      </c>
      <c r="F2593" s="1" t="str">
        <f t="shared" si="162"/>
        <v>50</v>
      </c>
      <c r="G2593" s="1" t="str">
        <f t="shared" si="163"/>
        <v/>
      </c>
      <c r="I2593" s="1" t="str">
        <f t="shared" si="161"/>
        <v>威尔新数值1.06.xlsm!suitPower</v>
      </c>
    </row>
    <row r="2594" spans="1:9" x14ac:dyDescent="0.15">
      <c r="A2594" s="1">
        <v>2593</v>
      </c>
      <c r="B2594" s="1">
        <v>202081400</v>
      </c>
      <c r="C2594" s="1">
        <f t="shared" si="164"/>
        <v>2</v>
      </c>
      <c r="D2594" s="5">
        <f ca="1">IF(getQuality(B2594)&lt;4,getOtherMin(B2594,C2594,INDIRECT(J$2),INDIRECT(I2594),test),getMin(B2594,C2594,INDIRECT(J$2),INDIRECT(I2594),test))</f>
        <v>61.229166666666664</v>
      </c>
      <c r="E2594" s="5">
        <f ca="1">IF(getQuality(B2594)&lt;4,getOtherMax(B2594,C2594,INDIRECT(J$2),INDIRECT(I2594),test),getMax(B2594,C2594,INDIRECT(J$2),INDIRECT(I2594),test))</f>
        <v>73.1111111111111</v>
      </c>
      <c r="F2594" s="1" t="str">
        <f t="shared" si="162"/>
        <v>50</v>
      </c>
      <c r="G2594" s="1" t="str">
        <f t="shared" si="163"/>
        <v/>
      </c>
      <c r="I2594" s="1" t="str">
        <f t="shared" si="161"/>
        <v>威尔新数值1.06.xlsm!suitPower</v>
      </c>
    </row>
    <row r="2595" spans="1:9" x14ac:dyDescent="0.15">
      <c r="A2595" s="1">
        <v>2594</v>
      </c>
      <c r="B2595" s="1">
        <v>202081400</v>
      </c>
      <c r="C2595" s="1">
        <f t="shared" si="164"/>
        <v>4</v>
      </c>
      <c r="D2595" s="5">
        <f ca="1">IF(getQuality(B2595)&lt;4,getOtherMin(B2595,C2595,INDIRECT(J$2),INDIRECT(I2595),test),getMin(B2595,C2595,INDIRECT(J$2),INDIRECT(I2595),test))</f>
        <v>256.20833333333331</v>
      </c>
      <c r="E2595" s="5">
        <f ca="1">IF(getQuality(B2595)&lt;4,getOtherMax(B2595,C2595,INDIRECT(J$2),INDIRECT(I2595),test),getMax(B2595,C2595,INDIRECT(J$2),INDIRECT(I2595),test))</f>
        <v>291.66666666666669</v>
      </c>
      <c r="F2595" s="1" t="str">
        <f t="shared" si="162"/>
        <v>50</v>
      </c>
      <c r="G2595" s="1" t="str">
        <f t="shared" si="163"/>
        <v>1</v>
      </c>
      <c r="I2595" s="1" t="str">
        <f t="shared" si="161"/>
        <v>威尔新数值1.06.xlsm!suitPower</v>
      </c>
    </row>
    <row r="2596" spans="1:9" x14ac:dyDescent="0.15">
      <c r="A2596" s="1">
        <v>2595</v>
      </c>
      <c r="B2596" s="1">
        <v>202081400</v>
      </c>
      <c r="C2596" s="1">
        <f t="shared" si="164"/>
        <v>6</v>
      </c>
      <c r="D2596" s="5">
        <f ca="1">IF(getQuality(B2596)&lt;4,getOtherMin(B2596,C2596,INDIRECT(J$2),INDIRECT(I2596),test),getMin(B2596,C2596,INDIRECT(J$2),INDIRECT(I2596),test))</f>
        <v>256.20833333333331</v>
      </c>
      <c r="E2596" s="5">
        <f ca="1">IF(getQuality(B2596)&lt;4,getOtherMax(B2596,C2596,INDIRECT(J$2),INDIRECT(I2596),test),getMax(B2596,C2596,INDIRECT(J$2),INDIRECT(I2596),test))</f>
        <v>291.66666666666669</v>
      </c>
      <c r="F2596" s="1" t="str">
        <f t="shared" si="162"/>
        <v>50</v>
      </c>
      <c r="G2596" s="1" t="str">
        <f t="shared" si="163"/>
        <v/>
      </c>
      <c r="I2596" s="1" t="str">
        <f t="shared" si="161"/>
        <v>威尔新数值1.06.xlsm!suitPower</v>
      </c>
    </row>
    <row r="2597" spans="1:9" x14ac:dyDescent="0.15">
      <c r="A2597" s="1">
        <v>2596</v>
      </c>
      <c r="B2597" s="1">
        <v>202081400</v>
      </c>
      <c r="C2597" s="1">
        <f t="shared" si="164"/>
        <v>7</v>
      </c>
      <c r="D2597" s="5">
        <f ca="1">IF(getQuality(B2597)&lt;4,getOtherMin(B2597,C2597,INDIRECT(J$2),INDIRECT(I2597),test),getMin(B2597,C2597,INDIRECT(J$2),INDIRECT(I2597),test))</f>
        <v>23.685185185185126</v>
      </c>
      <c r="E2597" s="5">
        <f ca="1">IF(getQuality(B2597)&lt;4,getOtherMax(B2597,C2597,INDIRECT(J$2),INDIRECT(I2597),test),getMax(B2597,C2597,INDIRECT(J$2),INDIRECT(I2597),test))</f>
        <v>25.92592592592586</v>
      </c>
      <c r="F2597" s="1" t="str">
        <f t="shared" si="162"/>
        <v>50</v>
      </c>
      <c r="G2597" s="1" t="str">
        <f t="shared" si="163"/>
        <v/>
      </c>
      <c r="I2597" s="1" t="str">
        <f t="shared" si="161"/>
        <v>威尔新数值1.06.xlsm!suitPower</v>
      </c>
    </row>
    <row r="2598" spans="1:9" x14ac:dyDescent="0.15">
      <c r="A2598" s="1">
        <v>2597</v>
      </c>
      <c r="B2598" s="1">
        <v>202081400</v>
      </c>
      <c r="C2598" s="1">
        <f t="shared" si="164"/>
        <v>8</v>
      </c>
      <c r="D2598" s="5">
        <f ca="1">IF(getQuality(B2598)&lt;4,getOtherMin(B2598,C2598,INDIRECT(J$2),INDIRECT(I2598),test),getMin(B2598,C2598,INDIRECT(J$2),INDIRECT(I2598),test))</f>
        <v>52.041666666666664</v>
      </c>
      <c r="E2598" s="5">
        <f ca="1">IF(getQuality(B2598)&lt;4,getOtherMax(B2598,C2598,INDIRECT(J$2),INDIRECT(I2598),test),getMax(B2598,C2598,INDIRECT(J$2),INDIRECT(I2598),test))</f>
        <v>58.333333333333336</v>
      </c>
      <c r="F2598" s="1" t="str">
        <f t="shared" si="162"/>
        <v>50</v>
      </c>
      <c r="G2598" s="1" t="str">
        <f t="shared" si="163"/>
        <v/>
      </c>
      <c r="I2598" s="1" t="str">
        <f t="shared" si="161"/>
        <v>威尔新数值1.06.xlsm!suitPower</v>
      </c>
    </row>
    <row r="2599" spans="1:9" x14ac:dyDescent="0.15">
      <c r="A2599" s="1">
        <v>2598</v>
      </c>
      <c r="B2599" s="1">
        <v>202081400</v>
      </c>
      <c r="C2599" s="1">
        <f t="shared" si="164"/>
        <v>16</v>
      </c>
      <c r="D2599" s="5">
        <f ca="1">IF(getQuality(B2599)&lt;4,getOtherMin(B2599,C2599,INDIRECT(J$2),INDIRECT(I2599),test),getMin(B2599,C2599,INDIRECT(J$2),INDIRECT(I2599),test))</f>
        <v>69.055555555555557</v>
      </c>
      <c r="E2599" s="5">
        <f ca="1">IF(getQuality(B2599)&lt;4,getOtherMax(B2599,C2599,INDIRECT(J$2),INDIRECT(I2599),test),getMax(B2599,C2599,INDIRECT(J$2),INDIRECT(I2599),test))</f>
        <v>77.777777777777771</v>
      </c>
      <c r="F2599" s="1" t="str">
        <f t="shared" si="162"/>
        <v>50</v>
      </c>
      <c r="G2599" s="1" t="str">
        <f t="shared" si="163"/>
        <v/>
      </c>
      <c r="I2599" s="1" t="str">
        <f t="shared" si="161"/>
        <v>威尔新数值1.06.xlsm!suitPower</v>
      </c>
    </row>
    <row r="2600" spans="1:9" x14ac:dyDescent="0.15">
      <c r="A2600" s="1">
        <v>2599</v>
      </c>
      <c r="B2600" s="1">
        <v>202081400</v>
      </c>
      <c r="C2600" s="1">
        <f t="shared" si="164"/>
        <v>17</v>
      </c>
      <c r="D2600" s="5">
        <f ca="1">IF(getQuality(B2600)&lt;4,getOtherMin(B2600,C2600,INDIRECT(J$2),INDIRECT(I2600),test),getMin(B2600,C2600,INDIRECT(J$2),INDIRECT(I2600),test))</f>
        <v>69.055555555555557</v>
      </c>
      <c r="E2600" s="5">
        <f ca="1">IF(getQuality(B2600)&lt;4,getOtherMax(B2600,C2600,INDIRECT(J$2),INDIRECT(I2600),test),getMax(B2600,C2600,INDIRECT(J$2),INDIRECT(I2600),test))</f>
        <v>77.777777777777771</v>
      </c>
      <c r="F2600" s="1" t="str">
        <f t="shared" si="162"/>
        <v>50</v>
      </c>
      <c r="G2600" s="1" t="str">
        <f t="shared" si="163"/>
        <v/>
      </c>
      <c r="I2600" s="1" t="str">
        <f t="shared" si="161"/>
        <v>威尔新数值1.06.xlsm!suitPower</v>
      </c>
    </row>
    <row r="2601" spans="1:9" x14ac:dyDescent="0.15">
      <c r="A2601" s="1">
        <v>2600</v>
      </c>
      <c r="B2601" s="1">
        <v>202081400</v>
      </c>
      <c r="C2601" s="1">
        <f t="shared" si="164"/>
        <v>18</v>
      </c>
      <c r="D2601" s="5">
        <f ca="1">IF(getQuality(B2601)&lt;4,getOtherMin(B2601,C2601,INDIRECT(J$2),INDIRECT(I2601),test),getMin(B2601,C2601,INDIRECT(J$2),INDIRECT(I2601),test))</f>
        <v>69.055555555555557</v>
      </c>
      <c r="E2601" s="5">
        <f ca="1">IF(getQuality(B2601)&lt;4,getOtherMax(B2601,C2601,INDIRECT(J$2),INDIRECT(I2601),test),getMax(B2601,C2601,INDIRECT(J$2),INDIRECT(I2601),test))</f>
        <v>77.777777777777771</v>
      </c>
      <c r="F2601" s="1" t="str">
        <f t="shared" si="162"/>
        <v>50</v>
      </c>
      <c r="G2601" s="1" t="str">
        <f t="shared" si="163"/>
        <v/>
      </c>
      <c r="I2601" s="1" t="str">
        <f t="shared" si="161"/>
        <v>威尔新数值1.06.xlsm!suitPower</v>
      </c>
    </row>
    <row r="2602" spans="1:9" x14ac:dyDescent="0.15">
      <c r="A2602" s="1">
        <v>2601</v>
      </c>
      <c r="B2602" s="1">
        <v>202081400</v>
      </c>
      <c r="C2602" s="1">
        <f t="shared" si="164"/>
        <v>19</v>
      </c>
      <c r="D2602" s="5">
        <f ca="1">IF(getQuality(B2602)&lt;4,getOtherMin(B2602,C2602,INDIRECT(J$2),INDIRECT(I2602),test),getMin(B2602,C2602,INDIRECT(J$2),INDIRECT(I2602),test))</f>
        <v>69.055555555555557</v>
      </c>
      <c r="E2602" s="5">
        <f ca="1">IF(getQuality(B2602)&lt;4,getOtherMax(B2602,C2602,INDIRECT(J$2),INDIRECT(I2602),test),getMax(B2602,C2602,INDIRECT(J$2),INDIRECT(I2602),test))</f>
        <v>77.777777777777771</v>
      </c>
      <c r="F2602" s="1" t="str">
        <f t="shared" si="162"/>
        <v>50</v>
      </c>
      <c r="G2602" s="1" t="str">
        <f t="shared" si="163"/>
        <v/>
      </c>
      <c r="I2602" s="1" t="str">
        <f t="shared" si="161"/>
        <v>威尔新数值1.06.xlsm!suitPower</v>
      </c>
    </row>
    <row r="2603" spans="1:9" x14ac:dyDescent="0.15">
      <c r="A2603" s="1">
        <v>2602</v>
      </c>
      <c r="B2603" s="1">
        <v>202081400</v>
      </c>
      <c r="C2603" s="1">
        <f t="shared" si="164"/>
        <v>20</v>
      </c>
      <c r="D2603" s="5">
        <f ca="1">IF(getQuality(B2603)&lt;4,getOtherMin(B2603,C2603,INDIRECT(J$2),INDIRECT(I2603),test),getMin(B2603,C2603,INDIRECT(J$2),INDIRECT(I2603),test))</f>
        <v>69.055555555555557</v>
      </c>
      <c r="E2603" s="5">
        <f ca="1">IF(getQuality(B2603)&lt;4,getOtherMax(B2603,C2603,INDIRECT(J$2),INDIRECT(I2603),test),getMax(B2603,C2603,INDIRECT(J$2),INDIRECT(I2603),test))</f>
        <v>77.777777777777771</v>
      </c>
      <c r="F2603" s="1" t="str">
        <f t="shared" si="162"/>
        <v>50</v>
      </c>
      <c r="G2603" s="1" t="str">
        <f t="shared" si="163"/>
        <v/>
      </c>
      <c r="I2603" s="1" t="str">
        <f t="shared" si="161"/>
        <v>威尔新数值1.06.xlsm!suitPower</v>
      </c>
    </row>
    <row r="2604" spans="1:9" x14ac:dyDescent="0.15">
      <c r="A2604" s="1">
        <v>2603</v>
      </c>
      <c r="B2604" s="1">
        <v>202081400</v>
      </c>
      <c r="C2604" s="1">
        <f t="shared" si="164"/>
        <v>21</v>
      </c>
      <c r="D2604" s="5">
        <f ca="1">IF(getQuality(B2604)&lt;4,getOtherMin(B2604,C2604,INDIRECT(J$2),INDIRECT(I2604),test),getMin(B2604,C2604,INDIRECT(J$2),INDIRECT(I2604),test))</f>
        <v>69.055555555555557</v>
      </c>
      <c r="E2604" s="5">
        <f ca="1">IF(getQuality(B2604)&lt;4,getOtherMax(B2604,C2604,INDIRECT(J$2),INDIRECT(I2604),test),getMax(B2604,C2604,INDIRECT(J$2),INDIRECT(I2604),test))</f>
        <v>77.777777777777771</v>
      </c>
      <c r="F2604" s="1" t="str">
        <f t="shared" si="162"/>
        <v>50</v>
      </c>
      <c r="G2604" s="1" t="str">
        <f t="shared" si="163"/>
        <v/>
      </c>
      <c r="I2604" s="1" t="str">
        <f t="shared" si="161"/>
        <v>威尔新数值1.06.xlsm!suitPower</v>
      </c>
    </row>
    <row r="2605" spans="1:9" x14ac:dyDescent="0.15">
      <c r="A2605" s="1">
        <v>2604</v>
      </c>
      <c r="B2605" s="1">
        <v>202081400</v>
      </c>
      <c r="C2605" s="1">
        <f t="shared" si="164"/>
        <v>22</v>
      </c>
      <c r="D2605" s="5">
        <f ca="1">IF(getQuality(B2605)&lt;4,getOtherMin(B2605,C2605,INDIRECT(J$2),INDIRECT(I2605),test),getMin(B2605,C2605,INDIRECT(J$2),INDIRECT(I2605),test))</f>
        <v>69.055555555555557</v>
      </c>
      <c r="E2605" s="5">
        <f ca="1">IF(getQuality(B2605)&lt;4,getOtherMax(B2605,C2605,INDIRECT(J$2),INDIRECT(I2605),test),getMax(B2605,C2605,INDIRECT(J$2),INDIRECT(I2605),test))</f>
        <v>77.777777777777771</v>
      </c>
      <c r="F2605" s="1" t="str">
        <f t="shared" si="162"/>
        <v>50</v>
      </c>
      <c r="G2605" s="1" t="str">
        <f t="shared" si="163"/>
        <v/>
      </c>
      <c r="I2605" s="1" t="str">
        <f t="shared" si="161"/>
        <v>威尔新数值1.06.xlsm!suitPower</v>
      </c>
    </row>
    <row r="2606" spans="1:9" x14ac:dyDescent="0.15">
      <c r="A2606" s="1">
        <v>2605</v>
      </c>
      <c r="B2606" s="1">
        <v>202081400</v>
      </c>
      <c r="C2606" s="1">
        <f t="shared" si="164"/>
        <v>23</v>
      </c>
      <c r="D2606" s="5">
        <f ca="1">IF(getQuality(B2606)&lt;4,getOtherMin(B2606,C2606,INDIRECT(J$2),INDIRECT(I2606),test),getMin(B2606,C2606,INDIRECT(J$2),INDIRECT(I2606),test))</f>
        <v>69.055555555555557</v>
      </c>
      <c r="E2606" s="5">
        <f ca="1">IF(getQuality(B2606)&lt;4,getOtherMax(B2606,C2606,INDIRECT(J$2),INDIRECT(I2606),test),getMax(B2606,C2606,INDIRECT(J$2),INDIRECT(I2606),test))</f>
        <v>77.777777777777771</v>
      </c>
      <c r="F2606" s="1" t="str">
        <f t="shared" si="162"/>
        <v>50</v>
      </c>
      <c r="G2606" s="1" t="str">
        <f t="shared" si="163"/>
        <v/>
      </c>
      <c r="I2606" s="1" t="str">
        <f t="shared" si="161"/>
        <v>威尔新数值1.06.xlsm!suitPower</v>
      </c>
    </row>
    <row r="2607" spans="1:9" x14ac:dyDescent="0.15">
      <c r="A2607" s="1">
        <v>2606</v>
      </c>
      <c r="B2607" s="1">
        <v>202091400</v>
      </c>
      <c r="C2607" s="1">
        <f t="shared" si="164"/>
        <v>1</v>
      </c>
      <c r="D2607" s="5">
        <f ca="1">IF(getQuality(B2607)&lt;4,getOtherMin(B2607,C2607,INDIRECT(J$2),INDIRECT(I2607),test),getMin(B2607,C2607,INDIRECT(J$2),INDIRECT(I2607),test))</f>
        <v>761.3555555555555</v>
      </c>
      <c r="E2607" s="5">
        <f ca="1">IF(getQuality(B2607)&lt;4,getOtherMax(B2607,C2607,INDIRECT(J$2),INDIRECT(I2607),test),getMax(B2607,C2607,INDIRECT(J$2),INDIRECT(I2607),test))</f>
        <v>905.45</v>
      </c>
      <c r="F2607" s="1" t="str">
        <f t="shared" si="162"/>
        <v>50</v>
      </c>
      <c r="G2607" s="1" t="str">
        <f t="shared" si="163"/>
        <v/>
      </c>
      <c r="I2607" s="1" t="str">
        <f t="shared" si="161"/>
        <v>威尔新数值1.06.xlsm!suitPower</v>
      </c>
    </row>
    <row r="2608" spans="1:9" x14ac:dyDescent="0.15">
      <c r="A2608" s="1">
        <v>2607</v>
      </c>
      <c r="B2608" s="1">
        <v>202091400</v>
      </c>
      <c r="C2608" s="1">
        <f t="shared" si="164"/>
        <v>2</v>
      </c>
      <c r="D2608" s="5">
        <f ca="1">IF(getQuality(B2608)&lt;4,getOtherMin(B2608,C2608,INDIRECT(J$2),INDIRECT(I2608),test),getMin(B2608,C2608,INDIRECT(J$2),INDIRECT(I2608),test))</f>
        <v>74.1111111111111</v>
      </c>
      <c r="E2608" s="5">
        <f ca="1">IF(getQuality(B2608)&lt;4,getOtherMax(B2608,C2608,INDIRECT(J$2),INDIRECT(I2608),test),getMax(B2608,C2608,INDIRECT(J$2),INDIRECT(I2608),test))</f>
        <v>87.0625</v>
      </c>
      <c r="F2608" s="1" t="str">
        <f t="shared" si="162"/>
        <v>50</v>
      </c>
      <c r="G2608" s="1" t="str">
        <f t="shared" si="163"/>
        <v/>
      </c>
      <c r="I2608" s="1" t="str">
        <f t="shared" si="161"/>
        <v>威尔新数值1.06.xlsm!suitPower</v>
      </c>
    </row>
    <row r="2609" spans="1:9" x14ac:dyDescent="0.15">
      <c r="A2609" s="1">
        <v>2608</v>
      </c>
      <c r="B2609" s="1">
        <v>202091400</v>
      </c>
      <c r="C2609" s="1">
        <f t="shared" si="164"/>
        <v>4</v>
      </c>
      <c r="D2609" s="5">
        <f ca="1">IF(getQuality(B2609)&lt;4,getOtherMin(B2609,C2609,INDIRECT(J$2),INDIRECT(I2609),test),getMin(B2609,C2609,INDIRECT(J$2),INDIRECT(I2609),test))</f>
        <v>292.66666666666669</v>
      </c>
      <c r="E2609" s="5">
        <f ca="1">IF(getQuality(B2609)&lt;4,getOtherMax(B2609,C2609,INDIRECT(J$2),INDIRECT(I2609),test),getMax(B2609,C2609,INDIRECT(J$2),INDIRECT(I2609),test))</f>
        <v>328.125</v>
      </c>
      <c r="F2609" s="1" t="str">
        <f t="shared" si="162"/>
        <v>50</v>
      </c>
      <c r="G2609" s="1" t="str">
        <f t="shared" si="163"/>
        <v>1</v>
      </c>
      <c r="I2609" s="1" t="str">
        <f t="shared" si="161"/>
        <v>威尔新数值1.06.xlsm!suitPower</v>
      </c>
    </row>
    <row r="2610" spans="1:9" x14ac:dyDescent="0.15">
      <c r="A2610" s="1">
        <v>2609</v>
      </c>
      <c r="B2610" s="1">
        <v>202091400</v>
      </c>
      <c r="C2610" s="1">
        <f t="shared" si="164"/>
        <v>6</v>
      </c>
      <c r="D2610" s="5">
        <f ca="1">IF(getQuality(B2610)&lt;4,getOtherMin(B2610,C2610,INDIRECT(J$2),INDIRECT(I2610),test),getMin(B2610,C2610,INDIRECT(J$2),INDIRECT(I2610),test))</f>
        <v>292.66666666666669</v>
      </c>
      <c r="E2610" s="5">
        <f ca="1">IF(getQuality(B2610)&lt;4,getOtherMax(B2610,C2610,INDIRECT(J$2),INDIRECT(I2610),test),getMax(B2610,C2610,INDIRECT(J$2),INDIRECT(I2610),test))</f>
        <v>328.125</v>
      </c>
      <c r="F2610" s="1" t="str">
        <f t="shared" si="162"/>
        <v>50</v>
      </c>
      <c r="G2610" s="1" t="str">
        <f t="shared" si="163"/>
        <v/>
      </c>
      <c r="I2610" s="1" t="str">
        <f t="shared" si="161"/>
        <v>威尔新数值1.06.xlsm!suitPower</v>
      </c>
    </row>
    <row r="2611" spans="1:9" x14ac:dyDescent="0.15">
      <c r="A2611" s="1">
        <v>2610</v>
      </c>
      <c r="B2611" s="1">
        <v>202091400</v>
      </c>
      <c r="C2611" s="1">
        <f t="shared" si="164"/>
        <v>7</v>
      </c>
      <c r="D2611" s="5">
        <f ca="1">IF(getQuality(B2611)&lt;4,getOtherMin(B2611,C2611,INDIRECT(J$2),INDIRECT(I2611),test),getMin(B2611,C2611,INDIRECT(J$2),INDIRECT(I2611),test))</f>
        <v>26.92592592592586</v>
      </c>
      <c r="E2611" s="5">
        <f ca="1">IF(getQuality(B2611)&lt;4,getOtherMax(B2611,C2611,INDIRECT(J$2),INDIRECT(I2611),test),getMax(B2611,C2611,INDIRECT(J$2),INDIRECT(I2611),test))</f>
        <v>29.166666666666593</v>
      </c>
      <c r="F2611" s="1" t="str">
        <f t="shared" si="162"/>
        <v>50</v>
      </c>
      <c r="G2611" s="1" t="str">
        <f t="shared" si="163"/>
        <v/>
      </c>
      <c r="I2611" s="1" t="str">
        <f t="shared" si="161"/>
        <v>威尔新数值1.06.xlsm!suitPower</v>
      </c>
    </row>
    <row r="2612" spans="1:9" x14ac:dyDescent="0.15">
      <c r="A2612" s="1">
        <v>2611</v>
      </c>
      <c r="B2612" s="1">
        <v>202091400</v>
      </c>
      <c r="C2612" s="1">
        <f t="shared" si="164"/>
        <v>8</v>
      </c>
      <c r="D2612" s="5">
        <f ca="1">IF(getQuality(B2612)&lt;4,getOtherMin(B2612,C2612,INDIRECT(J$2),INDIRECT(I2612),test),getMin(B2612,C2612,INDIRECT(J$2),INDIRECT(I2612),test))</f>
        <v>59.333333333333336</v>
      </c>
      <c r="E2612" s="5">
        <f ca="1">IF(getQuality(B2612)&lt;4,getOtherMax(B2612,C2612,INDIRECT(J$2),INDIRECT(I2612),test),getMax(B2612,C2612,INDIRECT(J$2),INDIRECT(I2612),test))</f>
        <v>65.625</v>
      </c>
      <c r="F2612" s="1" t="str">
        <f t="shared" si="162"/>
        <v>50</v>
      </c>
      <c r="G2612" s="1" t="str">
        <f t="shared" si="163"/>
        <v/>
      </c>
      <c r="I2612" s="1" t="str">
        <f t="shared" si="161"/>
        <v>威尔新数值1.06.xlsm!suitPower</v>
      </c>
    </row>
    <row r="2613" spans="1:9" x14ac:dyDescent="0.15">
      <c r="A2613" s="1">
        <v>2612</v>
      </c>
      <c r="B2613" s="1">
        <v>202091400</v>
      </c>
      <c r="C2613" s="1">
        <f t="shared" si="164"/>
        <v>16</v>
      </c>
      <c r="D2613" s="5">
        <f ca="1">IF(getQuality(B2613)&lt;4,getOtherMin(B2613,C2613,INDIRECT(J$2),INDIRECT(I2613),test),getMin(B2613,C2613,INDIRECT(J$2),INDIRECT(I2613),test))</f>
        <v>78.777777777777771</v>
      </c>
      <c r="E2613" s="5">
        <f ca="1">IF(getQuality(B2613)&lt;4,getOtherMax(B2613,C2613,INDIRECT(J$2),INDIRECT(I2613),test),getMax(B2613,C2613,INDIRECT(J$2),INDIRECT(I2613),test))</f>
        <v>87.5</v>
      </c>
      <c r="F2613" s="1" t="str">
        <f t="shared" si="162"/>
        <v>50</v>
      </c>
      <c r="G2613" s="1" t="str">
        <f t="shared" si="163"/>
        <v/>
      </c>
      <c r="I2613" s="1" t="str">
        <f t="shared" si="161"/>
        <v>威尔新数值1.06.xlsm!suitPower</v>
      </c>
    </row>
    <row r="2614" spans="1:9" x14ac:dyDescent="0.15">
      <c r="A2614" s="1">
        <v>2613</v>
      </c>
      <c r="B2614" s="1">
        <v>202091400</v>
      </c>
      <c r="C2614" s="1">
        <f t="shared" si="164"/>
        <v>17</v>
      </c>
      <c r="D2614" s="5">
        <f ca="1">IF(getQuality(B2614)&lt;4,getOtherMin(B2614,C2614,INDIRECT(J$2),INDIRECT(I2614),test),getMin(B2614,C2614,INDIRECT(J$2),INDIRECT(I2614),test))</f>
        <v>78.777777777777771</v>
      </c>
      <c r="E2614" s="5">
        <f ca="1">IF(getQuality(B2614)&lt;4,getOtherMax(B2614,C2614,INDIRECT(J$2),INDIRECT(I2614),test),getMax(B2614,C2614,INDIRECT(J$2),INDIRECT(I2614),test))</f>
        <v>87.5</v>
      </c>
      <c r="F2614" s="1" t="str">
        <f t="shared" si="162"/>
        <v>50</v>
      </c>
      <c r="G2614" s="1" t="str">
        <f t="shared" si="163"/>
        <v/>
      </c>
      <c r="I2614" s="1" t="str">
        <f t="shared" si="161"/>
        <v>威尔新数值1.06.xlsm!suitPower</v>
      </c>
    </row>
    <row r="2615" spans="1:9" x14ac:dyDescent="0.15">
      <c r="A2615" s="1">
        <v>2614</v>
      </c>
      <c r="B2615" s="1">
        <v>202091400</v>
      </c>
      <c r="C2615" s="1">
        <f t="shared" si="164"/>
        <v>18</v>
      </c>
      <c r="D2615" s="5">
        <f ca="1">IF(getQuality(B2615)&lt;4,getOtherMin(B2615,C2615,INDIRECT(J$2),INDIRECT(I2615),test),getMin(B2615,C2615,INDIRECT(J$2),INDIRECT(I2615),test))</f>
        <v>78.777777777777771</v>
      </c>
      <c r="E2615" s="5">
        <f ca="1">IF(getQuality(B2615)&lt;4,getOtherMax(B2615,C2615,INDIRECT(J$2),INDIRECT(I2615),test),getMax(B2615,C2615,INDIRECT(J$2),INDIRECT(I2615),test))</f>
        <v>87.5</v>
      </c>
      <c r="F2615" s="1" t="str">
        <f t="shared" si="162"/>
        <v>50</v>
      </c>
      <c r="G2615" s="1" t="str">
        <f t="shared" si="163"/>
        <v/>
      </c>
      <c r="I2615" s="1" t="str">
        <f t="shared" si="161"/>
        <v>威尔新数值1.06.xlsm!suitPower</v>
      </c>
    </row>
    <row r="2616" spans="1:9" x14ac:dyDescent="0.15">
      <c r="A2616" s="1">
        <v>2615</v>
      </c>
      <c r="B2616" s="1">
        <v>202091400</v>
      </c>
      <c r="C2616" s="1">
        <f t="shared" si="164"/>
        <v>19</v>
      </c>
      <c r="D2616" s="5">
        <f ca="1">IF(getQuality(B2616)&lt;4,getOtherMin(B2616,C2616,INDIRECT(J$2),INDIRECT(I2616),test),getMin(B2616,C2616,INDIRECT(J$2),INDIRECT(I2616),test))</f>
        <v>78.777777777777771</v>
      </c>
      <c r="E2616" s="5">
        <f ca="1">IF(getQuality(B2616)&lt;4,getOtherMax(B2616,C2616,INDIRECT(J$2),INDIRECT(I2616),test),getMax(B2616,C2616,INDIRECT(J$2),INDIRECT(I2616),test))</f>
        <v>87.5</v>
      </c>
      <c r="F2616" s="1" t="str">
        <f t="shared" si="162"/>
        <v>50</v>
      </c>
      <c r="G2616" s="1" t="str">
        <f t="shared" si="163"/>
        <v/>
      </c>
      <c r="I2616" s="1" t="str">
        <f t="shared" si="161"/>
        <v>威尔新数值1.06.xlsm!suitPower</v>
      </c>
    </row>
    <row r="2617" spans="1:9" x14ac:dyDescent="0.15">
      <c r="A2617" s="1">
        <v>2616</v>
      </c>
      <c r="B2617" s="1">
        <v>202091400</v>
      </c>
      <c r="C2617" s="1">
        <f t="shared" si="164"/>
        <v>20</v>
      </c>
      <c r="D2617" s="5">
        <f ca="1">IF(getQuality(B2617)&lt;4,getOtherMin(B2617,C2617,INDIRECT(J$2),INDIRECT(I2617),test),getMin(B2617,C2617,INDIRECT(J$2),INDIRECT(I2617),test))</f>
        <v>78.777777777777771</v>
      </c>
      <c r="E2617" s="5">
        <f ca="1">IF(getQuality(B2617)&lt;4,getOtherMax(B2617,C2617,INDIRECT(J$2),INDIRECT(I2617),test),getMax(B2617,C2617,INDIRECT(J$2),INDIRECT(I2617),test))</f>
        <v>87.5</v>
      </c>
      <c r="F2617" s="1" t="str">
        <f t="shared" si="162"/>
        <v>50</v>
      </c>
      <c r="G2617" s="1" t="str">
        <f t="shared" si="163"/>
        <v/>
      </c>
      <c r="I2617" s="1" t="str">
        <f t="shared" si="161"/>
        <v>威尔新数值1.06.xlsm!suitPower</v>
      </c>
    </row>
    <row r="2618" spans="1:9" x14ac:dyDescent="0.15">
      <c r="A2618" s="1">
        <v>2617</v>
      </c>
      <c r="B2618" s="1">
        <v>202091400</v>
      </c>
      <c r="C2618" s="1">
        <f t="shared" si="164"/>
        <v>21</v>
      </c>
      <c r="D2618" s="5">
        <f ca="1">IF(getQuality(B2618)&lt;4,getOtherMin(B2618,C2618,INDIRECT(J$2),INDIRECT(I2618),test),getMin(B2618,C2618,INDIRECT(J$2),INDIRECT(I2618),test))</f>
        <v>78.777777777777771</v>
      </c>
      <c r="E2618" s="5">
        <f ca="1">IF(getQuality(B2618)&lt;4,getOtherMax(B2618,C2618,INDIRECT(J$2),INDIRECT(I2618),test),getMax(B2618,C2618,INDIRECT(J$2),INDIRECT(I2618),test))</f>
        <v>87.5</v>
      </c>
      <c r="F2618" s="1" t="str">
        <f t="shared" si="162"/>
        <v>50</v>
      </c>
      <c r="G2618" s="1" t="str">
        <f t="shared" si="163"/>
        <v/>
      </c>
      <c r="I2618" s="1" t="str">
        <f t="shared" si="161"/>
        <v>威尔新数值1.06.xlsm!suitPower</v>
      </c>
    </row>
    <row r="2619" spans="1:9" x14ac:dyDescent="0.15">
      <c r="A2619" s="1">
        <v>2618</v>
      </c>
      <c r="B2619" s="1">
        <v>202091400</v>
      </c>
      <c r="C2619" s="1">
        <f t="shared" si="164"/>
        <v>22</v>
      </c>
      <c r="D2619" s="5">
        <f ca="1">IF(getQuality(B2619)&lt;4,getOtherMin(B2619,C2619,INDIRECT(J$2),INDIRECT(I2619),test),getMin(B2619,C2619,INDIRECT(J$2),INDIRECT(I2619),test))</f>
        <v>78.777777777777771</v>
      </c>
      <c r="E2619" s="5">
        <f ca="1">IF(getQuality(B2619)&lt;4,getOtherMax(B2619,C2619,INDIRECT(J$2),INDIRECT(I2619),test),getMax(B2619,C2619,INDIRECT(J$2),INDIRECT(I2619),test))</f>
        <v>87.5</v>
      </c>
      <c r="F2619" s="1" t="str">
        <f t="shared" si="162"/>
        <v>50</v>
      </c>
      <c r="G2619" s="1" t="str">
        <f t="shared" si="163"/>
        <v/>
      </c>
      <c r="I2619" s="1" t="str">
        <f t="shared" si="161"/>
        <v>威尔新数值1.06.xlsm!suitPower</v>
      </c>
    </row>
    <row r="2620" spans="1:9" x14ac:dyDescent="0.15">
      <c r="A2620" s="1">
        <v>2619</v>
      </c>
      <c r="B2620" s="1">
        <v>202091400</v>
      </c>
      <c r="C2620" s="1">
        <f t="shared" si="164"/>
        <v>23</v>
      </c>
      <c r="D2620" s="5">
        <f ca="1">IF(getQuality(B2620)&lt;4,getOtherMin(B2620,C2620,INDIRECT(J$2),INDIRECT(I2620),test),getMin(B2620,C2620,INDIRECT(J$2),INDIRECT(I2620),test))</f>
        <v>78.777777777777771</v>
      </c>
      <c r="E2620" s="5">
        <f ca="1">IF(getQuality(B2620)&lt;4,getOtherMax(B2620,C2620,INDIRECT(J$2),INDIRECT(I2620),test),getMax(B2620,C2620,INDIRECT(J$2),INDIRECT(I2620),test))</f>
        <v>87.5</v>
      </c>
      <c r="F2620" s="1" t="str">
        <f t="shared" si="162"/>
        <v>50</v>
      </c>
      <c r="G2620" s="1" t="str">
        <f t="shared" si="163"/>
        <v/>
      </c>
      <c r="I2620" s="1" t="str">
        <f t="shared" si="161"/>
        <v>威尔新数值1.06.xlsm!suitPower</v>
      </c>
    </row>
    <row r="2621" spans="1:9" x14ac:dyDescent="0.15">
      <c r="A2621" s="1">
        <v>2620</v>
      </c>
      <c r="B2621" s="1">
        <v>302011500</v>
      </c>
      <c r="C2621" s="1">
        <f t="shared" si="164"/>
        <v>1</v>
      </c>
      <c r="D2621" s="5">
        <f ca="1">IF(getQuality(B2621)&lt;4,getOtherMin(B2621,C2621,INDIRECT(J$2),INDIRECT(I2621),test),getMin(B2621,C2621,INDIRECT(J$2),INDIRECT(I2621),test))</f>
        <v>1</v>
      </c>
      <c r="E2621" s="5">
        <f ca="1">IF(getQuality(B2621)&lt;4,getOtherMax(B2621,C2621,INDIRECT(J$2),INDIRECT(I2621),test),getMax(B2621,C2621,INDIRECT(J$2),INDIRECT(I2621),test))</f>
        <v>55.611111111111114</v>
      </c>
      <c r="F2621" s="1" t="str">
        <f t="shared" si="162"/>
        <v>50</v>
      </c>
      <c r="G2621" s="1" t="str">
        <f t="shared" si="163"/>
        <v/>
      </c>
      <c r="I2621" s="1" t="str">
        <f t="shared" si="161"/>
        <v>威尔新数值1.06.xlsm!suitPower</v>
      </c>
    </row>
    <row r="2622" spans="1:9" x14ac:dyDescent="0.15">
      <c r="A2622" s="1">
        <v>2621</v>
      </c>
      <c r="B2622" s="1">
        <v>302011500</v>
      </c>
      <c r="C2622" s="1">
        <f t="shared" si="164"/>
        <v>2</v>
      </c>
      <c r="D2622" s="5">
        <f ca="1">IF(getQuality(B2622)&lt;4,getOtherMin(B2622,C2622,INDIRECT(J$2),INDIRECT(I2622),test),getMin(B2622,C2622,INDIRECT(J$2),INDIRECT(I2622),test))</f>
        <v>1</v>
      </c>
      <c r="E2622" s="5">
        <f ca="1">IF(getQuality(B2622)&lt;4,getOtherMax(B2622,C2622,INDIRECT(J$2),INDIRECT(I2622),test),getMax(B2622,C2622,INDIRECT(J$2),INDIRECT(I2622),test))</f>
        <v>5.3472222222222223</v>
      </c>
      <c r="F2622" s="1" t="str">
        <f t="shared" si="162"/>
        <v>50</v>
      </c>
      <c r="G2622" s="1" t="str">
        <f t="shared" si="163"/>
        <v/>
      </c>
      <c r="I2622" s="1" t="str">
        <f t="shared" si="161"/>
        <v>威尔新数值1.06.xlsm!suitPower</v>
      </c>
    </row>
    <row r="2623" spans="1:9" x14ac:dyDescent="0.15">
      <c r="A2623" s="1">
        <v>2622</v>
      </c>
      <c r="B2623" s="1">
        <v>302011500</v>
      </c>
      <c r="C2623" s="1">
        <f t="shared" si="164"/>
        <v>4</v>
      </c>
      <c r="D2623" s="5">
        <f ca="1">IF(getQuality(B2623)&lt;4,getOtherMin(B2623,C2623,INDIRECT(J$2),INDIRECT(I2623),test),getMin(B2623,C2623,INDIRECT(J$2),INDIRECT(I2623),test))</f>
        <v>1</v>
      </c>
      <c r="E2623" s="5">
        <f ca="1">IF(getQuality(B2623)&lt;4,getOtherMax(B2623,C2623,INDIRECT(J$2),INDIRECT(I2623),test),getMax(B2623,C2623,INDIRECT(J$2),INDIRECT(I2623),test))</f>
        <v>36.458333333333336</v>
      </c>
      <c r="F2623" s="1" t="str">
        <f t="shared" si="162"/>
        <v>50</v>
      </c>
      <c r="G2623" s="1" t="str">
        <f t="shared" si="163"/>
        <v>1</v>
      </c>
      <c r="I2623" s="1" t="str">
        <f t="shared" si="161"/>
        <v>威尔新数值1.06.xlsm!suitPower</v>
      </c>
    </row>
    <row r="2624" spans="1:9" x14ac:dyDescent="0.15">
      <c r="A2624" s="1">
        <v>2623</v>
      </c>
      <c r="B2624" s="1">
        <v>302011500</v>
      </c>
      <c r="C2624" s="1">
        <f t="shared" si="164"/>
        <v>6</v>
      </c>
      <c r="D2624" s="5">
        <f ca="1">IF(getQuality(B2624)&lt;4,getOtherMin(B2624,C2624,INDIRECT(J$2),INDIRECT(I2624),test),getMin(B2624,C2624,INDIRECT(J$2),INDIRECT(I2624),test))</f>
        <v>1</v>
      </c>
      <c r="E2624" s="5">
        <f ca="1">IF(getQuality(B2624)&lt;4,getOtherMax(B2624,C2624,INDIRECT(J$2),INDIRECT(I2624),test),getMax(B2624,C2624,INDIRECT(J$2),INDIRECT(I2624),test))</f>
        <v>36.458333333333336</v>
      </c>
      <c r="F2624" s="1" t="str">
        <f t="shared" si="162"/>
        <v>50</v>
      </c>
      <c r="G2624" s="1" t="str">
        <f t="shared" si="163"/>
        <v/>
      </c>
      <c r="I2624" s="1" t="str">
        <f t="shared" si="161"/>
        <v>威尔新数值1.06.xlsm!suitPower</v>
      </c>
    </row>
    <row r="2625" spans="1:9" x14ac:dyDescent="0.15">
      <c r="A2625" s="1">
        <v>2624</v>
      </c>
      <c r="B2625" s="1">
        <v>302011500</v>
      </c>
      <c r="C2625" s="1">
        <f t="shared" si="164"/>
        <v>7</v>
      </c>
      <c r="D2625" s="5">
        <f ca="1">IF(getQuality(B2625)&lt;4,getOtherMin(B2625,C2625,INDIRECT(J$2),INDIRECT(I2625),test),getMin(B2625,C2625,INDIRECT(J$2),INDIRECT(I2625),test))</f>
        <v>1</v>
      </c>
      <c r="E2625" s="5">
        <f ca="1">IF(getQuality(B2625)&lt;4,getOtherMax(B2625,C2625,INDIRECT(J$2),INDIRECT(I2625),test),getMax(B2625,C2625,INDIRECT(J$2),INDIRECT(I2625),test))</f>
        <v>3.2407407407407325</v>
      </c>
      <c r="F2625" s="1" t="str">
        <f t="shared" si="162"/>
        <v>50</v>
      </c>
      <c r="G2625" s="1" t="str">
        <f t="shared" si="163"/>
        <v/>
      </c>
      <c r="I2625" s="1" t="str">
        <f t="shared" si="161"/>
        <v>威尔新数值1.06.xlsm!suitPower</v>
      </c>
    </row>
    <row r="2626" spans="1:9" x14ac:dyDescent="0.15">
      <c r="A2626" s="1">
        <v>2625</v>
      </c>
      <c r="B2626" s="1">
        <v>302011500</v>
      </c>
      <c r="C2626" s="1">
        <f t="shared" si="164"/>
        <v>8</v>
      </c>
      <c r="D2626" s="5">
        <f ca="1">IF(getQuality(B2626)&lt;4,getOtherMin(B2626,C2626,INDIRECT(J$2),INDIRECT(I2626),test),getMin(B2626,C2626,INDIRECT(J$2),INDIRECT(I2626),test))</f>
        <v>1</v>
      </c>
      <c r="E2626" s="5">
        <f ca="1">IF(getQuality(B2626)&lt;4,getOtherMax(B2626,C2626,INDIRECT(J$2),INDIRECT(I2626),test),getMax(B2626,C2626,INDIRECT(J$2),INDIRECT(I2626),test))</f>
        <v>7.291666666666667</v>
      </c>
      <c r="F2626" s="1" t="str">
        <f t="shared" si="162"/>
        <v>50</v>
      </c>
      <c r="G2626" s="1" t="str">
        <f t="shared" si="163"/>
        <v/>
      </c>
      <c r="I2626" s="1" t="str">
        <f t="shared" ref="I2626:I2689" si="165">IF(C2626&lt;100,VLOOKUP(C2626,test,3,FALSE),VLOOKUP(C2626,test1,3,FALSE))</f>
        <v>威尔新数值1.06.xlsm!suitPower</v>
      </c>
    </row>
    <row r="2627" spans="1:9" x14ac:dyDescent="0.15">
      <c r="A2627" s="1">
        <v>2626</v>
      </c>
      <c r="B2627" s="1">
        <v>302011500</v>
      </c>
      <c r="C2627" s="1">
        <f t="shared" si="164"/>
        <v>16</v>
      </c>
      <c r="D2627" s="5">
        <f ca="1">IF(getQuality(B2627)&lt;4,getOtherMin(B2627,C2627,INDIRECT(J$2),INDIRECT(I2627),test),getMin(B2627,C2627,INDIRECT(J$2),INDIRECT(I2627),test))</f>
        <v>1</v>
      </c>
      <c r="E2627" s="5">
        <f ca="1">IF(getQuality(B2627)&lt;4,getOtherMax(B2627,C2627,INDIRECT(J$2),INDIRECT(I2627),test),getMax(B2627,C2627,INDIRECT(J$2),INDIRECT(I2627),test))</f>
        <v>9.7222222222222214</v>
      </c>
      <c r="F2627" s="1" t="str">
        <f t="shared" ref="F2627:F2690" si="166">getper(B2627,C2627)</f>
        <v>50</v>
      </c>
      <c r="G2627" s="1" t="str">
        <f t="shared" ref="G2627:G2690" si="167">getMust(B2627,C2627)</f>
        <v/>
      </c>
      <c r="I2627" s="1" t="str">
        <f t="shared" si="165"/>
        <v>威尔新数值1.06.xlsm!suitPower</v>
      </c>
    </row>
    <row r="2628" spans="1:9" x14ac:dyDescent="0.15">
      <c r="A2628" s="1">
        <v>2627</v>
      </c>
      <c r="B2628" s="1">
        <v>302011500</v>
      </c>
      <c r="C2628" s="1">
        <f t="shared" si="164"/>
        <v>17</v>
      </c>
      <c r="D2628" s="5">
        <f ca="1">IF(getQuality(B2628)&lt;4,getOtherMin(B2628,C2628,INDIRECT(J$2),INDIRECT(I2628),test),getMin(B2628,C2628,INDIRECT(J$2),INDIRECT(I2628),test))</f>
        <v>1</v>
      </c>
      <c r="E2628" s="5">
        <f ca="1">IF(getQuality(B2628)&lt;4,getOtherMax(B2628,C2628,INDIRECT(J$2),INDIRECT(I2628),test),getMax(B2628,C2628,INDIRECT(J$2),INDIRECT(I2628),test))</f>
        <v>9.7222222222222214</v>
      </c>
      <c r="F2628" s="1" t="str">
        <f t="shared" si="166"/>
        <v>50</v>
      </c>
      <c r="G2628" s="1" t="str">
        <f t="shared" si="167"/>
        <v/>
      </c>
      <c r="I2628" s="1" t="str">
        <f t="shared" si="165"/>
        <v>威尔新数值1.06.xlsm!suitPower</v>
      </c>
    </row>
    <row r="2629" spans="1:9" x14ac:dyDescent="0.15">
      <c r="A2629" s="1">
        <v>2628</v>
      </c>
      <c r="B2629" s="1">
        <v>302011500</v>
      </c>
      <c r="C2629" s="1">
        <f t="shared" si="164"/>
        <v>18</v>
      </c>
      <c r="D2629" s="5">
        <f ca="1">IF(getQuality(B2629)&lt;4,getOtherMin(B2629,C2629,INDIRECT(J$2),INDIRECT(I2629),test),getMin(B2629,C2629,INDIRECT(J$2),INDIRECT(I2629),test))</f>
        <v>1</v>
      </c>
      <c r="E2629" s="5">
        <f ca="1">IF(getQuality(B2629)&lt;4,getOtherMax(B2629,C2629,INDIRECT(J$2),INDIRECT(I2629),test),getMax(B2629,C2629,INDIRECT(J$2),INDIRECT(I2629),test))</f>
        <v>9.7222222222222214</v>
      </c>
      <c r="F2629" s="1" t="str">
        <f t="shared" si="166"/>
        <v>50</v>
      </c>
      <c r="G2629" s="1" t="str">
        <f t="shared" si="167"/>
        <v/>
      </c>
      <c r="I2629" s="1" t="str">
        <f t="shared" si="165"/>
        <v>威尔新数值1.06.xlsm!suitPower</v>
      </c>
    </row>
    <row r="2630" spans="1:9" x14ac:dyDescent="0.15">
      <c r="A2630" s="1">
        <v>2629</v>
      </c>
      <c r="B2630" s="1">
        <v>302011500</v>
      </c>
      <c r="C2630" s="1">
        <f t="shared" si="164"/>
        <v>19</v>
      </c>
      <c r="D2630" s="5">
        <f ca="1">IF(getQuality(B2630)&lt;4,getOtherMin(B2630,C2630,INDIRECT(J$2),INDIRECT(I2630),test),getMin(B2630,C2630,INDIRECT(J$2),INDIRECT(I2630),test))</f>
        <v>1</v>
      </c>
      <c r="E2630" s="5">
        <f ca="1">IF(getQuality(B2630)&lt;4,getOtherMax(B2630,C2630,INDIRECT(J$2),INDIRECT(I2630),test),getMax(B2630,C2630,INDIRECT(J$2),INDIRECT(I2630),test))</f>
        <v>9.7222222222222214</v>
      </c>
      <c r="F2630" s="1" t="str">
        <f t="shared" si="166"/>
        <v>50</v>
      </c>
      <c r="G2630" s="1" t="str">
        <f t="shared" si="167"/>
        <v/>
      </c>
      <c r="I2630" s="1" t="str">
        <f t="shared" si="165"/>
        <v>威尔新数值1.06.xlsm!suitPower</v>
      </c>
    </row>
    <row r="2631" spans="1:9" x14ac:dyDescent="0.15">
      <c r="A2631" s="1">
        <v>2630</v>
      </c>
      <c r="B2631" s="1">
        <v>302011500</v>
      </c>
      <c r="C2631" s="1">
        <f t="shared" si="164"/>
        <v>20</v>
      </c>
      <c r="D2631" s="5">
        <f ca="1">IF(getQuality(B2631)&lt;4,getOtherMin(B2631,C2631,INDIRECT(J$2),INDIRECT(I2631),test),getMin(B2631,C2631,INDIRECT(J$2),INDIRECT(I2631),test))</f>
        <v>1</v>
      </c>
      <c r="E2631" s="5">
        <f ca="1">IF(getQuality(B2631)&lt;4,getOtherMax(B2631,C2631,INDIRECT(J$2),INDIRECT(I2631),test),getMax(B2631,C2631,INDIRECT(J$2),INDIRECT(I2631),test))</f>
        <v>9.7222222222222214</v>
      </c>
      <c r="F2631" s="1" t="str">
        <f t="shared" si="166"/>
        <v>50</v>
      </c>
      <c r="G2631" s="1" t="str">
        <f t="shared" si="167"/>
        <v/>
      </c>
      <c r="I2631" s="1" t="str">
        <f t="shared" si="165"/>
        <v>威尔新数值1.06.xlsm!suitPower</v>
      </c>
    </row>
    <row r="2632" spans="1:9" x14ac:dyDescent="0.15">
      <c r="A2632" s="1">
        <v>2631</v>
      </c>
      <c r="B2632" s="1">
        <v>302011500</v>
      </c>
      <c r="C2632" s="1">
        <f t="shared" si="164"/>
        <v>21</v>
      </c>
      <c r="D2632" s="5">
        <f ca="1">IF(getQuality(B2632)&lt;4,getOtherMin(B2632,C2632,INDIRECT(J$2),INDIRECT(I2632),test),getMin(B2632,C2632,INDIRECT(J$2),INDIRECT(I2632),test))</f>
        <v>1</v>
      </c>
      <c r="E2632" s="5">
        <f ca="1">IF(getQuality(B2632)&lt;4,getOtherMax(B2632,C2632,INDIRECT(J$2),INDIRECT(I2632),test),getMax(B2632,C2632,INDIRECT(J$2),INDIRECT(I2632),test))</f>
        <v>9.7222222222222214</v>
      </c>
      <c r="F2632" s="1" t="str">
        <f t="shared" si="166"/>
        <v>50</v>
      </c>
      <c r="G2632" s="1" t="str">
        <f t="shared" si="167"/>
        <v/>
      </c>
      <c r="I2632" s="1" t="str">
        <f t="shared" si="165"/>
        <v>威尔新数值1.06.xlsm!suitPower</v>
      </c>
    </row>
    <row r="2633" spans="1:9" x14ac:dyDescent="0.15">
      <c r="A2633" s="1">
        <v>2632</v>
      </c>
      <c r="B2633" s="1">
        <v>302011500</v>
      </c>
      <c r="C2633" s="1">
        <f t="shared" si="164"/>
        <v>22</v>
      </c>
      <c r="D2633" s="5">
        <f ca="1">IF(getQuality(B2633)&lt;4,getOtherMin(B2633,C2633,INDIRECT(J$2),INDIRECT(I2633),test),getMin(B2633,C2633,INDIRECT(J$2),INDIRECT(I2633),test))</f>
        <v>1</v>
      </c>
      <c r="E2633" s="5">
        <f ca="1">IF(getQuality(B2633)&lt;4,getOtherMax(B2633,C2633,INDIRECT(J$2),INDIRECT(I2633),test),getMax(B2633,C2633,INDIRECT(J$2),INDIRECT(I2633),test))</f>
        <v>9.7222222222222214</v>
      </c>
      <c r="F2633" s="1" t="str">
        <f t="shared" si="166"/>
        <v>50</v>
      </c>
      <c r="G2633" s="1" t="str">
        <f t="shared" si="167"/>
        <v/>
      </c>
      <c r="I2633" s="1" t="str">
        <f t="shared" si="165"/>
        <v>威尔新数值1.06.xlsm!suitPower</v>
      </c>
    </row>
    <row r="2634" spans="1:9" x14ac:dyDescent="0.15">
      <c r="A2634" s="1">
        <v>2633</v>
      </c>
      <c r="B2634" s="1">
        <v>302011500</v>
      </c>
      <c r="C2634" s="1">
        <f t="shared" si="164"/>
        <v>23</v>
      </c>
      <c r="D2634" s="5">
        <f ca="1">IF(getQuality(B2634)&lt;4,getOtherMin(B2634,C2634,INDIRECT(J$2),INDIRECT(I2634),test),getMin(B2634,C2634,INDIRECT(J$2),INDIRECT(I2634),test))</f>
        <v>1</v>
      </c>
      <c r="E2634" s="5">
        <f ca="1">IF(getQuality(B2634)&lt;4,getOtherMax(B2634,C2634,INDIRECT(J$2),INDIRECT(I2634),test),getMax(B2634,C2634,INDIRECT(J$2),INDIRECT(I2634),test))</f>
        <v>9.7222222222222214</v>
      </c>
      <c r="F2634" s="1" t="str">
        <f t="shared" si="166"/>
        <v>50</v>
      </c>
      <c r="G2634" s="1" t="str">
        <f t="shared" si="167"/>
        <v/>
      </c>
      <c r="I2634" s="1" t="str">
        <f t="shared" si="165"/>
        <v>威尔新数值1.06.xlsm!suitPower</v>
      </c>
    </row>
    <row r="2635" spans="1:9" x14ac:dyDescent="0.15">
      <c r="A2635" s="1">
        <v>2634</v>
      </c>
      <c r="B2635" s="1">
        <v>302021500</v>
      </c>
      <c r="C2635" s="1">
        <f t="shared" si="164"/>
        <v>1</v>
      </c>
      <c r="D2635" s="5">
        <f ca="1">IF(getQuality(B2635)&lt;4,getOtherMin(B2635,C2635,INDIRECT(J$2),INDIRECT(I2635),test),getMin(B2635,C2635,INDIRECT(J$2),INDIRECT(I2635),test))</f>
        <v>56.611111111111114</v>
      </c>
      <c r="E2635" s="5">
        <f ca="1">IF(getQuality(B2635)&lt;4,getOtherMax(B2635,C2635,INDIRECT(J$2),INDIRECT(I2635),test),getMax(B2635,C2635,INDIRECT(J$2),INDIRECT(I2635),test))</f>
        <v>122.34444444444445</v>
      </c>
      <c r="F2635" s="1" t="str">
        <f t="shared" si="166"/>
        <v>50</v>
      </c>
      <c r="G2635" s="1" t="str">
        <f t="shared" si="167"/>
        <v/>
      </c>
      <c r="I2635" s="1" t="str">
        <f t="shared" si="165"/>
        <v>威尔新数值1.06.xlsm!suitPower</v>
      </c>
    </row>
    <row r="2636" spans="1:9" x14ac:dyDescent="0.15">
      <c r="A2636" s="1">
        <v>2635</v>
      </c>
      <c r="B2636" s="1">
        <v>302021500</v>
      </c>
      <c r="C2636" s="1">
        <f t="shared" si="164"/>
        <v>2</v>
      </c>
      <c r="D2636" s="5">
        <f ca="1">IF(getQuality(B2636)&lt;4,getOtherMin(B2636,C2636,INDIRECT(J$2),INDIRECT(I2636),test),getMin(B2636,C2636,INDIRECT(J$2),INDIRECT(I2636),test))</f>
        <v>6.3472222222222223</v>
      </c>
      <c r="E2636" s="5">
        <f ca="1">IF(getQuality(B2636)&lt;4,getOtherMax(B2636,C2636,INDIRECT(J$2),INDIRECT(I2636),test),getMax(B2636,C2636,INDIRECT(J$2),INDIRECT(I2636),test))</f>
        <v>11.763888888888889</v>
      </c>
      <c r="F2636" s="1" t="str">
        <f t="shared" si="166"/>
        <v>50</v>
      </c>
      <c r="G2636" s="1" t="str">
        <f t="shared" si="167"/>
        <v/>
      </c>
      <c r="I2636" s="1" t="str">
        <f t="shared" si="165"/>
        <v>威尔新数值1.06.xlsm!suitPower</v>
      </c>
    </row>
    <row r="2637" spans="1:9" x14ac:dyDescent="0.15">
      <c r="A2637" s="1">
        <v>2636</v>
      </c>
      <c r="B2637" s="1">
        <v>302021500</v>
      </c>
      <c r="C2637" s="1">
        <f t="shared" si="164"/>
        <v>4</v>
      </c>
      <c r="D2637" s="5">
        <f ca="1">IF(getQuality(B2637)&lt;4,getOtherMin(B2637,C2637,INDIRECT(J$2),INDIRECT(I2637),test),getMin(B2637,C2637,INDIRECT(J$2),INDIRECT(I2637),test))</f>
        <v>37.458333333333336</v>
      </c>
      <c r="E2637" s="5">
        <f ca="1">IF(getQuality(B2637)&lt;4,getOtherMax(B2637,C2637,INDIRECT(J$2),INDIRECT(I2637),test),getMax(B2637,C2637,INDIRECT(J$2),INDIRECT(I2637),test))</f>
        <v>72.916666666666671</v>
      </c>
      <c r="F2637" s="1" t="str">
        <f t="shared" si="166"/>
        <v>50</v>
      </c>
      <c r="G2637" s="1" t="str">
        <f t="shared" si="167"/>
        <v>1</v>
      </c>
      <c r="I2637" s="1" t="str">
        <f t="shared" si="165"/>
        <v>威尔新数值1.06.xlsm!suitPower</v>
      </c>
    </row>
    <row r="2638" spans="1:9" x14ac:dyDescent="0.15">
      <c r="A2638" s="1">
        <v>2637</v>
      </c>
      <c r="B2638" s="1">
        <v>302021500</v>
      </c>
      <c r="C2638" s="1">
        <f t="shared" ref="C2638:C2701" si="168">C2624</f>
        <v>6</v>
      </c>
      <c r="D2638" s="5">
        <f ca="1">IF(getQuality(B2638)&lt;4,getOtherMin(B2638,C2638,INDIRECT(J$2),INDIRECT(I2638),test),getMin(B2638,C2638,INDIRECT(J$2),INDIRECT(I2638),test))</f>
        <v>37.458333333333336</v>
      </c>
      <c r="E2638" s="5">
        <f ca="1">IF(getQuality(B2638)&lt;4,getOtherMax(B2638,C2638,INDIRECT(J$2),INDIRECT(I2638),test),getMax(B2638,C2638,INDIRECT(J$2),INDIRECT(I2638),test))</f>
        <v>72.916666666666671</v>
      </c>
      <c r="F2638" s="1" t="str">
        <f t="shared" si="166"/>
        <v>50</v>
      </c>
      <c r="G2638" s="1" t="str">
        <f t="shared" si="167"/>
        <v/>
      </c>
      <c r="I2638" s="1" t="str">
        <f t="shared" si="165"/>
        <v>威尔新数值1.06.xlsm!suitPower</v>
      </c>
    </row>
    <row r="2639" spans="1:9" x14ac:dyDescent="0.15">
      <c r="A2639" s="1">
        <v>2638</v>
      </c>
      <c r="B2639" s="1">
        <v>302021500</v>
      </c>
      <c r="C2639" s="1">
        <f t="shared" si="168"/>
        <v>7</v>
      </c>
      <c r="D2639" s="5">
        <f ca="1">IF(getQuality(B2639)&lt;4,getOtherMin(B2639,C2639,INDIRECT(J$2),INDIRECT(I2639),test),getMin(B2639,C2639,INDIRECT(J$2),INDIRECT(I2639),test))</f>
        <v>4.2407407407407325</v>
      </c>
      <c r="E2639" s="5">
        <f ca="1">IF(getQuality(B2639)&lt;4,getOtherMax(B2639,C2639,INDIRECT(J$2),INDIRECT(I2639),test),getMax(B2639,C2639,INDIRECT(J$2),INDIRECT(I2639),test))</f>
        <v>6.481481481481465</v>
      </c>
      <c r="F2639" s="1" t="str">
        <f t="shared" si="166"/>
        <v>50</v>
      </c>
      <c r="G2639" s="1" t="str">
        <f t="shared" si="167"/>
        <v/>
      </c>
      <c r="I2639" s="1" t="str">
        <f t="shared" si="165"/>
        <v>威尔新数值1.06.xlsm!suitPower</v>
      </c>
    </row>
    <row r="2640" spans="1:9" x14ac:dyDescent="0.15">
      <c r="A2640" s="1">
        <v>2639</v>
      </c>
      <c r="B2640" s="1">
        <v>302021500</v>
      </c>
      <c r="C2640" s="1">
        <f t="shared" si="168"/>
        <v>8</v>
      </c>
      <c r="D2640" s="5">
        <f ca="1">IF(getQuality(B2640)&lt;4,getOtherMin(B2640,C2640,INDIRECT(J$2),INDIRECT(I2640),test),getMin(B2640,C2640,INDIRECT(J$2),INDIRECT(I2640),test))</f>
        <v>8.2916666666666661</v>
      </c>
      <c r="E2640" s="5">
        <f ca="1">IF(getQuality(B2640)&lt;4,getOtherMax(B2640,C2640,INDIRECT(J$2),INDIRECT(I2640),test),getMax(B2640,C2640,INDIRECT(J$2),INDIRECT(I2640),test))</f>
        <v>14.583333333333334</v>
      </c>
      <c r="F2640" s="1" t="str">
        <f t="shared" si="166"/>
        <v>50</v>
      </c>
      <c r="G2640" s="1" t="str">
        <f t="shared" si="167"/>
        <v/>
      </c>
      <c r="I2640" s="1" t="str">
        <f t="shared" si="165"/>
        <v>威尔新数值1.06.xlsm!suitPower</v>
      </c>
    </row>
    <row r="2641" spans="1:9" x14ac:dyDescent="0.15">
      <c r="A2641" s="1">
        <v>2640</v>
      </c>
      <c r="B2641" s="1">
        <v>302021500</v>
      </c>
      <c r="C2641" s="1">
        <f t="shared" si="168"/>
        <v>16</v>
      </c>
      <c r="D2641" s="5">
        <f ca="1">IF(getQuality(B2641)&lt;4,getOtherMin(B2641,C2641,INDIRECT(J$2),INDIRECT(I2641),test),getMin(B2641,C2641,INDIRECT(J$2),INDIRECT(I2641),test))</f>
        <v>10.722222222222221</v>
      </c>
      <c r="E2641" s="5">
        <f ca="1">IF(getQuality(B2641)&lt;4,getOtherMax(B2641,C2641,INDIRECT(J$2),INDIRECT(I2641),test),getMax(B2641,C2641,INDIRECT(J$2),INDIRECT(I2641),test))</f>
        <v>19.444444444444443</v>
      </c>
      <c r="F2641" s="1" t="str">
        <f t="shared" si="166"/>
        <v>50</v>
      </c>
      <c r="G2641" s="1" t="str">
        <f t="shared" si="167"/>
        <v/>
      </c>
      <c r="I2641" s="1" t="str">
        <f t="shared" si="165"/>
        <v>威尔新数值1.06.xlsm!suitPower</v>
      </c>
    </row>
    <row r="2642" spans="1:9" x14ac:dyDescent="0.15">
      <c r="A2642" s="1">
        <v>2641</v>
      </c>
      <c r="B2642" s="1">
        <v>302021500</v>
      </c>
      <c r="C2642" s="1">
        <f t="shared" si="168"/>
        <v>17</v>
      </c>
      <c r="D2642" s="5">
        <f ca="1">IF(getQuality(B2642)&lt;4,getOtherMin(B2642,C2642,INDIRECT(J$2),INDIRECT(I2642),test),getMin(B2642,C2642,INDIRECT(J$2),INDIRECT(I2642),test))</f>
        <v>10.722222222222221</v>
      </c>
      <c r="E2642" s="5">
        <f ca="1">IF(getQuality(B2642)&lt;4,getOtherMax(B2642,C2642,INDIRECT(J$2),INDIRECT(I2642),test),getMax(B2642,C2642,INDIRECT(J$2),INDIRECT(I2642),test))</f>
        <v>19.444444444444443</v>
      </c>
      <c r="F2642" s="1" t="str">
        <f t="shared" si="166"/>
        <v>50</v>
      </c>
      <c r="G2642" s="1" t="str">
        <f t="shared" si="167"/>
        <v/>
      </c>
      <c r="I2642" s="1" t="str">
        <f t="shared" si="165"/>
        <v>威尔新数值1.06.xlsm!suitPower</v>
      </c>
    </row>
    <row r="2643" spans="1:9" x14ac:dyDescent="0.15">
      <c r="A2643" s="1">
        <v>2642</v>
      </c>
      <c r="B2643" s="1">
        <v>302021500</v>
      </c>
      <c r="C2643" s="1">
        <f t="shared" si="168"/>
        <v>18</v>
      </c>
      <c r="D2643" s="5">
        <f ca="1">IF(getQuality(B2643)&lt;4,getOtherMin(B2643,C2643,INDIRECT(J$2),INDIRECT(I2643),test),getMin(B2643,C2643,INDIRECT(J$2),INDIRECT(I2643),test))</f>
        <v>10.722222222222221</v>
      </c>
      <c r="E2643" s="5">
        <f ca="1">IF(getQuality(B2643)&lt;4,getOtherMax(B2643,C2643,INDIRECT(J$2),INDIRECT(I2643),test),getMax(B2643,C2643,INDIRECT(J$2),INDIRECT(I2643),test))</f>
        <v>19.444444444444443</v>
      </c>
      <c r="F2643" s="1" t="str">
        <f t="shared" si="166"/>
        <v>50</v>
      </c>
      <c r="G2643" s="1" t="str">
        <f t="shared" si="167"/>
        <v/>
      </c>
      <c r="I2643" s="1" t="str">
        <f t="shared" si="165"/>
        <v>威尔新数值1.06.xlsm!suitPower</v>
      </c>
    </row>
    <row r="2644" spans="1:9" x14ac:dyDescent="0.15">
      <c r="A2644" s="1">
        <v>2643</v>
      </c>
      <c r="B2644" s="1">
        <v>302021500</v>
      </c>
      <c r="C2644" s="1">
        <f t="shared" si="168"/>
        <v>19</v>
      </c>
      <c r="D2644" s="5">
        <f ca="1">IF(getQuality(B2644)&lt;4,getOtherMin(B2644,C2644,INDIRECT(J$2),INDIRECT(I2644),test),getMin(B2644,C2644,INDIRECT(J$2),INDIRECT(I2644),test))</f>
        <v>10.722222222222221</v>
      </c>
      <c r="E2644" s="5">
        <f ca="1">IF(getQuality(B2644)&lt;4,getOtherMax(B2644,C2644,INDIRECT(J$2),INDIRECT(I2644),test),getMax(B2644,C2644,INDIRECT(J$2),INDIRECT(I2644),test))</f>
        <v>19.444444444444443</v>
      </c>
      <c r="F2644" s="1" t="str">
        <f t="shared" si="166"/>
        <v>50</v>
      </c>
      <c r="G2644" s="1" t="str">
        <f t="shared" si="167"/>
        <v/>
      </c>
      <c r="I2644" s="1" t="str">
        <f t="shared" si="165"/>
        <v>威尔新数值1.06.xlsm!suitPower</v>
      </c>
    </row>
    <row r="2645" spans="1:9" x14ac:dyDescent="0.15">
      <c r="A2645" s="1">
        <v>2644</v>
      </c>
      <c r="B2645" s="1">
        <v>302021500</v>
      </c>
      <c r="C2645" s="1">
        <f t="shared" si="168"/>
        <v>20</v>
      </c>
      <c r="D2645" s="5">
        <f ca="1">IF(getQuality(B2645)&lt;4,getOtherMin(B2645,C2645,INDIRECT(J$2),INDIRECT(I2645),test),getMin(B2645,C2645,INDIRECT(J$2),INDIRECT(I2645),test))</f>
        <v>10.722222222222221</v>
      </c>
      <c r="E2645" s="5">
        <f ca="1">IF(getQuality(B2645)&lt;4,getOtherMax(B2645,C2645,INDIRECT(J$2),INDIRECT(I2645),test),getMax(B2645,C2645,INDIRECT(J$2),INDIRECT(I2645),test))</f>
        <v>19.444444444444443</v>
      </c>
      <c r="F2645" s="1" t="str">
        <f t="shared" si="166"/>
        <v>50</v>
      </c>
      <c r="G2645" s="1" t="str">
        <f t="shared" si="167"/>
        <v/>
      </c>
      <c r="I2645" s="1" t="str">
        <f t="shared" si="165"/>
        <v>威尔新数值1.06.xlsm!suitPower</v>
      </c>
    </row>
    <row r="2646" spans="1:9" x14ac:dyDescent="0.15">
      <c r="A2646" s="1">
        <v>2645</v>
      </c>
      <c r="B2646" s="1">
        <v>302021500</v>
      </c>
      <c r="C2646" s="1">
        <f t="shared" si="168"/>
        <v>21</v>
      </c>
      <c r="D2646" s="5">
        <f ca="1">IF(getQuality(B2646)&lt;4,getOtherMin(B2646,C2646,INDIRECT(J$2),INDIRECT(I2646),test),getMin(B2646,C2646,INDIRECT(J$2),INDIRECT(I2646),test))</f>
        <v>10.722222222222221</v>
      </c>
      <c r="E2646" s="5">
        <f ca="1">IF(getQuality(B2646)&lt;4,getOtherMax(B2646,C2646,INDIRECT(J$2),INDIRECT(I2646),test),getMax(B2646,C2646,INDIRECT(J$2),INDIRECT(I2646),test))</f>
        <v>19.444444444444443</v>
      </c>
      <c r="F2646" s="1" t="str">
        <f t="shared" si="166"/>
        <v>50</v>
      </c>
      <c r="G2646" s="1" t="str">
        <f t="shared" si="167"/>
        <v/>
      </c>
      <c r="I2646" s="1" t="str">
        <f t="shared" si="165"/>
        <v>威尔新数值1.06.xlsm!suitPower</v>
      </c>
    </row>
    <row r="2647" spans="1:9" x14ac:dyDescent="0.15">
      <c r="A2647" s="1">
        <v>2646</v>
      </c>
      <c r="B2647" s="1">
        <v>302021500</v>
      </c>
      <c r="C2647" s="1">
        <f t="shared" si="168"/>
        <v>22</v>
      </c>
      <c r="D2647" s="5">
        <f ca="1">IF(getQuality(B2647)&lt;4,getOtherMin(B2647,C2647,INDIRECT(J$2),INDIRECT(I2647),test),getMin(B2647,C2647,INDIRECT(J$2),INDIRECT(I2647),test))</f>
        <v>10.722222222222221</v>
      </c>
      <c r="E2647" s="5">
        <f ca="1">IF(getQuality(B2647)&lt;4,getOtherMax(B2647,C2647,INDIRECT(J$2),INDIRECT(I2647),test),getMax(B2647,C2647,INDIRECT(J$2),INDIRECT(I2647),test))</f>
        <v>19.444444444444443</v>
      </c>
      <c r="F2647" s="1" t="str">
        <f t="shared" si="166"/>
        <v>50</v>
      </c>
      <c r="G2647" s="1" t="str">
        <f t="shared" si="167"/>
        <v/>
      </c>
      <c r="I2647" s="1" t="str">
        <f t="shared" si="165"/>
        <v>威尔新数值1.06.xlsm!suitPower</v>
      </c>
    </row>
    <row r="2648" spans="1:9" x14ac:dyDescent="0.15">
      <c r="A2648" s="1">
        <v>2647</v>
      </c>
      <c r="B2648" s="1">
        <v>302021500</v>
      </c>
      <c r="C2648" s="1">
        <f t="shared" si="168"/>
        <v>23</v>
      </c>
      <c r="D2648" s="5">
        <f ca="1">IF(getQuality(B2648)&lt;4,getOtherMin(B2648,C2648,INDIRECT(J$2),INDIRECT(I2648),test),getMin(B2648,C2648,INDIRECT(J$2),INDIRECT(I2648),test))</f>
        <v>10.722222222222221</v>
      </c>
      <c r="E2648" s="5">
        <f ca="1">IF(getQuality(B2648)&lt;4,getOtherMax(B2648,C2648,INDIRECT(J$2),INDIRECT(I2648),test),getMax(B2648,C2648,INDIRECT(J$2),INDIRECT(I2648),test))</f>
        <v>19.444444444444443</v>
      </c>
      <c r="F2648" s="1" t="str">
        <f t="shared" si="166"/>
        <v>50</v>
      </c>
      <c r="G2648" s="1" t="str">
        <f t="shared" si="167"/>
        <v/>
      </c>
      <c r="I2648" s="1" t="str">
        <f t="shared" si="165"/>
        <v>威尔新数值1.06.xlsm!suitPower</v>
      </c>
    </row>
    <row r="2649" spans="1:9" x14ac:dyDescent="0.15">
      <c r="A2649" s="1">
        <v>2648</v>
      </c>
      <c r="B2649" s="1">
        <v>302031500</v>
      </c>
      <c r="C2649" s="1">
        <f t="shared" si="168"/>
        <v>1</v>
      </c>
      <c r="D2649" s="5">
        <f ca="1">IF(getQuality(B2649)&lt;4,getOtherMin(B2649,C2649,INDIRECT(J$2),INDIRECT(I2649),test),getMin(B2649,C2649,INDIRECT(J$2),INDIRECT(I2649),test))</f>
        <v>123.34444444444445</v>
      </c>
      <c r="E2649" s="5">
        <f ca="1">IF(getQuality(B2649)&lt;4,getOtherMax(B2649,C2649,INDIRECT(J$2),INDIRECT(I2649),test),getMax(B2649,C2649,INDIRECT(J$2),INDIRECT(I2649),test))</f>
        <v>200.20000000000002</v>
      </c>
      <c r="F2649" s="1" t="str">
        <f t="shared" si="166"/>
        <v>50</v>
      </c>
      <c r="G2649" s="1" t="str">
        <f t="shared" si="167"/>
        <v/>
      </c>
      <c r="I2649" s="1" t="str">
        <f t="shared" si="165"/>
        <v>威尔新数值1.06.xlsm!suitPower</v>
      </c>
    </row>
    <row r="2650" spans="1:9" x14ac:dyDescent="0.15">
      <c r="A2650" s="1">
        <v>2649</v>
      </c>
      <c r="B2650" s="1">
        <v>302031500</v>
      </c>
      <c r="C2650" s="1">
        <f t="shared" si="168"/>
        <v>2</v>
      </c>
      <c r="D2650" s="5">
        <f ca="1">IF(getQuality(B2650)&lt;4,getOtherMin(B2650,C2650,INDIRECT(J$2),INDIRECT(I2650),test),getMin(B2650,C2650,INDIRECT(J$2),INDIRECT(I2650),test))</f>
        <v>12.763888888888889</v>
      </c>
      <c r="E2650" s="5">
        <f ca="1">IF(getQuality(B2650)&lt;4,getOtherMax(B2650,C2650,INDIRECT(J$2),INDIRECT(I2650),test),getMax(B2650,C2650,INDIRECT(J$2),INDIRECT(I2650),test))</f>
        <v>19.25</v>
      </c>
      <c r="F2650" s="1" t="str">
        <f t="shared" si="166"/>
        <v>50</v>
      </c>
      <c r="G2650" s="1" t="str">
        <f t="shared" si="167"/>
        <v/>
      </c>
      <c r="I2650" s="1" t="str">
        <f t="shared" si="165"/>
        <v>威尔新数值1.06.xlsm!suitPower</v>
      </c>
    </row>
    <row r="2651" spans="1:9" x14ac:dyDescent="0.15">
      <c r="A2651" s="1">
        <v>2650</v>
      </c>
      <c r="B2651" s="1">
        <v>302031500</v>
      </c>
      <c r="C2651" s="1">
        <f t="shared" si="168"/>
        <v>4</v>
      </c>
      <c r="D2651" s="5">
        <f ca="1">IF(getQuality(B2651)&lt;4,getOtherMin(B2651,C2651,INDIRECT(J$2),INDIRECT(I2651),test),getMin(B2651,C2651,INDIRECT(J$2),INDIRECT(I2651),test))</f>
        <v>73.916666666666671</v>
      </c>
      <c r="E2651" s="5">
        <f ca="1">IF(getQuality(B2651)&lt;4,getOtherMax(B2651,C2651,INDIRECT(J$2),INDIRECT(I2651),test),getMax(B2651,C2651,INDIRECT(J$2),INDIRECT(I2651),test))</f>
        <v>109.375</v>
      </c>
      <c r="F2651" s="1" t="str">
        <f t="shared" si="166"/>
        <v>50</v>
      </c>
      <c r="G2651" s="1" t="str">
        <f t="shared" si="167"/>
        <v>1</v>
      </c>
      <c r="I2651" s="1" t="str">
        <f t="shared" si="165"/>
        <v>威尔新数值1.06.xlsm!suitPower</v>
      </c>
    </row>
    <row r="2652" spans="1:9" x14ac:dyDescent="0.15">
      <c r="A2652" s="1">
        <v>2651</v>
      </c>
      <c r="B2652" s="1">
        <v>302031500</v>
      </c>
      <c r="C2652" s="1">
        <f t="shared" si="168"/>
        <v>6</v>
      </c>
      <c r="D2652" s="5">
        <f ca="1">IF(getQuality(B2652)&lt;4,getOtherMin(B2652,C2652,INDIRECT(J$2),INDIRECT(I2652),test),getMin(B2652,C2652,INDIRECT(J$2),INDIRECT(I2652),test))</f>
        <v>73.916666666666671</v>
      </c>
      <c r="E2652" s="5">
        <f ca="1">IF(getQuality(B2652)&lt;4,getOtherMax(B2652,C2652,INDIRECT(J$2),INDIRECT(I2652),test),getMax(B2652,C2652,INDIRECT(J$2),INDIRECT(I2652),test))</f>
        <v>109.375</v>
      </c>
      <c r="F2652" s="1" t="str">
        <f t="shared" si="166"/>
        <v>50</v>
      </c>
      <c r="G2652" s="1" t="str">
        <f t="shared" si="167"/>
        <v/>
      </c>
      <c r="I2652" s="1" t="str">
        <f t="shared" si="165"/>
        <v>威尔新数值1.06.xlsm!suitPower</v>
      </c>
    </row>
    <row r="2653" spans="1:9" x14ac:dyDescent="0.15">
      <c r="A2653" s="1">
        <v>2652</v>
      </c>
      <c r="B2653" s="1">
        <v>302031500</v>
      </c>
      <c r="C2653" s="1">
        <f t="shared" si="168"/>
        <v>7</v>
      </c>
      <c r="D2653" s="5">
        <f ca="1">IF(getQuality(B2653)&lt;4,getOtherMin(B2653,C2653,INDIRECT(J$2),INDIRECT(I2653),test),getMin(B2653,C2653,INDIRECT(J$2),INDIRECT(I2653),test))</f>
        <v>7.481481481481465</v>
      </c>
      <c r="E2653" s="5">
        <f ca="1">IF(getQuality(B2653)&lt;4,getOtherMax(B2653,C2653,INDIRECT(J$2),INDIRECT(I2653),test),getMax(B2653,C2653,INDIRECT(J$2),INDIRECT(I2653),test))</f>
        <v>9.7222222222221966</v>
      </c>
      <c r="F2653" s="1" t="str">
        <f t="shared" si="166"/>
        <v>50</v>
      </c>
      <c r="G2653" s="1" t="str">
        <f t="shared" si="167"/>
        <v/>
      </c>
      <c r="I2653" s="1" t="str">
        <f t="shared" si="165"/>
        <v>威尔新数值1.06.xlsm!suitPower</v>
      </c>
    </row>
    <row r="2654" spans="1:9" x14ac:dyDescent="0.15">
      <c r="A2654" s="1">
        <v>2653</v>
      </c>
      <c r="B2654" s="1">
        <v>302031500</v>
      </c>
      <c r="C2654" s="1">
        <f t="shared" si="168"/>
        <v>8</v>
      </c>
      <c r="D2654" s="5">
        <f ca="1">IF(getQuality(B2654)&lt;4,getOtherMin(B2654,C2654,INDIRECT(J$2),INDIRECT(I2654),test),getMin(B2654,C2654,INDIRECT(J$2),INDIRECT(I2654),test))</f>
        <v>15.583333333333334</v>
      </c>
      <c r="E2654" s="5">
        <f ca="1">IF(getQuality(B2654)&lt;4,getOtherMax(B2654,C2654,INDIRECT(J$2),INDIRECT(I2654),test),getMax(B2654,C2654,INDIRECT(J$2),INDIRECT(I2654),test))</f>
        <v>21.875</v>
      </c>
      <c r="F2654" s="1" t="str">
        <f t="shared" si="166"/>
        <v>50</v>
      </c>
      <c r="G2654" s="1" t="str">
        <f t="shared" si="167"/>
        <v/>
      </c>
      <c r="I2654" s="1" t="str">
        <f t="shared" si="165"/>
        <v>威尔新数值1.06.xlsm!suitPower</v>
      </c>
    </row>
    <row r="2655" spans="1:9" x14ac:dyDescent="0.15">
      <c r="A2655" s="1">
        <v>2654</v>
      </c>
      <c r="B2655" s="1">
        <v>302031500</v>
      </c>
      <c r="C2655" s="1">
        <f t="shared" si="168"/>
        <v>16</v>
      </c>
      <c r="D2655" s="5">
        <f ca="1">IF(getQuality(B2655)&lt;4,getOtherMin(B2655,C2655,INDIRECT(J$2),INDIRECT(I2655),test),getMin(B2655,C2655,INDIRECT(J$2),INDIRECT(I2655),test))</f>
        <v>20.444444444444443</v>
      </c>
      <c r="E2655" s="5">
        <f ca="1">IF(getQuality(B2655)&lt;4,getOtherMax(B2655,C2655,INDIRECT(J$2),INDIRECT(I2655),test),getMax(B2655,C2655,INDIRECT(J$2),INDIRECT(I2655),test))</f>
        <v>29.166666666666668</v>
      </c>
      <c r="F2655" s="1" t="str">
        <f t="shared" si="166"/>
        <v>50</v>
      </c>
      <c r="G2655" s="1" t="str">
        <f t="shared" si="167"/>
        <v/>
      </c>
      <c r="I2655" s="1" t="str">
        <f t="shared" si="165"/>
        <v>威尔新数值1.06.xlsm!suitPower</v>
      </c>
    </row>
    <row r="2656" spans="1:9" x14ac:dyDescent="0.15">
      <c r="A2656" s="1">
        <v>2655</v>
      </c>
      <c r="B2656" s="1">
        <v>302031500</v>
      </c>
      <c r="C2656" s="1">
        <f t="shared" si="168"/>
        <v>17</v>
      </c>
      <c r="D2656" s="5">
        <f ca="1">IF(getQuality(B2656)&lt;4,getOtherMin(B2656,C2656,INDIRECT(J$2),INDIRECT(I2656),test),getMin(B2656,C2656,INDIRECT(J$2),INDIRECT(I2656),test))</f>
        <v>20.444444444444443</v>
      </c>
      <c r="E2656" s="5">
        <f ca="1">IF(getQuality(B2656)&lt;4,getOtherMax(B2656,C2656,INDIRECT(J$2),INDIRECT(I2656),test),getMax(B2656,C2656,INDIRECT(J$2),INDIRECT(I2656),test))</f>
        <v>29.166666666666668</v>
      </c>
      <c r="F2656" s="1" t="str">
        <f t="shared" si="166"/>
        <v>50</v>
      </c>
      <c r="G2656" s="1" t="str">
        <f t="shared" si="167"/>
        <v/>
      </c>
      <c r="I2656" s="1" t="str">
        <f t="shared" si="165"/>
        <v>威尔新数值1.06.xlsm!suitPower</v>
      </c>
    </row>
    <row r="2657" spans="1:9" x14ac:dyDescent="0.15">
      <c r="A2657" s="1">
        <v>2656</v>
      </c>
      <c r="B2657" s="1">
        <v>302031500</v>
      </c>
      <c r="C2657" s="1">
        <f t="shared" si="168"/>
        <v>18</v>
      </c>
      <c r="D2657" s="5">
        <f ca="1">IF(getQuality(B2657)&lt;4,getOtherMin(B2657,C2657,INDIRECT(J$2),INDIRECT(I2657),test),getMin(B2657,C2657,INDIRECT(J$2),INDIRECT(I2657),test))</f>
        <v>20.444444444444443</v>
      </c>
      <c r="E2657" s="5">
        <f ca="1">IF(getQuality(B2657)&lt;4,getOtherMax(B2657,C2657,INDIRECT(J$2),INDIRECT(I2657),test),getMax(B2657,C2657,INDIRECT(J$2),INDIRECT(I2657),test))</f>
        <v>29.166666666666668</v>
      </c>
      <c r="F2657" s="1" t="str">
        <f t="shared" si="166"/>
        <v>50</v>
      </c>
      <c r="G2657" s="1" t="str">
        <f t="shared" si="167"/>
        <v/>
      </c>
      <c r="I2657" s="1" t="str">
        <f t="shared" si="165"/>
        <v>威尔新数值1.06.xlsm!suitPower</v>
      </c>
    </row>
    <row r="2658" spans="1:9" x14ac:dyDescent="0.15">
      <c r="A2658" s="1">
        <v>2657</v>
      </c>
      <c r="B2658" s="1">
        <v>302031500</v>
      </c>
      <c r="C2658" s="1">
        <f t="shared" si="168"/>
        <v>19</v>
      </c>
      <c r="D2658" s="5">
        <f ca="1">IF(getQuality(B2658)&lt;4,getOtherMin(B2658,C2658,INDIRECT(J$2),INDIRECT(I2658),test),getMin(B2658,C2658,INDIRECT(J$2),INDIRECT(I2658),test))</f>
        <v>20.444444444444443</v>
      </c>
      <c r="E2658" s="5">
        <f ca="1">IF(getQuality(B2658)&lt;4,getOtherMax(B2658,C2658,INDIRECT(J$2),INDIRECT(I2658),test),getMax(B2658,C2658,INDIRECT(J$2),INDIRECT(I2658),test))</f>
        <v>29.166666666666668</v>
      </c>
      <c r="F2658" s="1" t="str">
        <f t="shared" si="166"/>
        <v>50</v>
      </c>
      <c r="G2658" s="1" t="str">
        <f t="shared" si="167"/>
        <v/>
      </c>
      <c r="I2658" s="1" t="str">
        <f t="shared" si="165"/>
        <v>威尔新数值1.06.xlsm!suitPower</v>
      </c>
    </row>
    <row r="2659" spans="1:9" x14ac:dyDescent="0.15">
      <c r="A2659" s="1">
        <v>2658</v>
      </c>
      <c r="B2659" s="1">
        <v>302031500</v>
      </c>
      <c r="C2659" s="1">
        <f t="shared" si="168"/>
        <v>20</v>
      </c>
      <c r="D2659" s="5">
        <f ca="1">IF(getQuality(B2659)&lt;4,getOtherMin(B2659,C2659,INDIRECT(J$2),INDIRECT(I2659),test),getMin(B2659,C2659,INDIRECT(J$2),INDIRECT(I2659),test))</f>
        <v>20.444444444444443</v>
      </c>
      <c r="E2659" s="5">
        <f ca="1">IF(getQuality(B2659)&lt;4,getOtherMax(B2659,C2659,INDIRECT(J$2),INDIRECT(I2659),test),getMax(B2659,C2659,INDIRECT(J$2),INDIRECT(I2659),test))</f>
        <v>29.166666666666668</v>
      </c>
      <c r="F2659" s="1" t="str">
        <f t="shared" si="166"/>
        <v>50</v>
      </c>
      <c r="G2659" s="1" t="str">
        <f t="shared" si="167"/>
        <v/>
      </c>
      <c r="I2659" s="1" t="str">
        <f t="shared" si="165"/>
        <v>威尔新数值1.06.xlsm!suitPower</v>
      </c>
    </row>
    <row r="2660" spans="1:9" x14ac:dyDescent="0.15">
      <c r="A2660" s="1">
        <v>2659</v>
      </c>
      <c r="B2660" s="1">
        <v>302031500</v>
      </c>
      <c r="C2660" s="1">
        <f t="shared" si="168"/>
        <v>21</v>
      </c>
      <c r="D2660" s="5">
        <f ca="1">IF(getQuality(B2660)&lt;4,getOtherMin(B2660,C2660,INDIRECT(J$2),INDIRECT(I2660),test),getMin(B2660,C2660,INDIRECT(J$2),INDIRECT(I2660),test))</f>
        <v>20.444444444444443</v>
      </c>
      <c r="E2660" s="5">
        <f ca="1">IF(getQuality(B2660)&lt;4,getOtherMax(B2660,C2660,INDIRECT(J$2),INDIRECT(I2660),test),getMax(B2660,C2660,INDIRECT(J$2),INDIRECT(I2660),test))</f>
        <v>29.166666666666668</v>
      </c>
      <c r="F2660" s="1" t="str">
        <f t="shared" si="166"/>
        <v>50</v>
      </c>
      <c r="G2660" s="1" t="str">
        <f t="shared" si="167"/>
        <v/>
      </c>
      <c r="I2660" s="1" t="str">
        <f t="shared" si="165"/>
        <v>威尔新数值1.06.xlsm!suitPower</v>
      </c>
    </row>
    <row r="2661" spans="1:9" x14ac:dyDescent="0.15">
      <c r="A2661" s="1">
        <v>2660</v>
      </c>
      <c r="B2661" s="1">
        <v>302031500</v>
      </c>
      <c r="C2661" s="1">
        <f t="shared" si="168"/>
        <v>22</v>
      </c>
      <c r="D2661" s="5">
        <f ca="1">IF(getQuality(B2661)&lt;4,getOtherMin(B2661,C2661,INDIRECT(J$2),INDIRECT(I2661),test),getMin(B2661,C2661,INDIRECT(J$2),INDIRECT(I2661),test))</f>
        <v>20.444444444444443</v>
      </c>
      <c r="E2661" s="5">
        <f ca="1">IF(getQuality(B2661)&lt;4,getOtherMax(B2661,C2661,INDIRECT(J$2),INDIRECT(I2661),test),getMax(B2661,C2661,INDIRECT(J$2),INDIRECT(I2661),test))</f>
        <v>29.166666666666668</v>
      </c>
      <c r="F2661" s="1" t="str">
        <f t="shared" si="166"/>
        <v>50</v>
      </c>
      <c r="G2661" s="1" t="str">
        <f t="shared" si="167"/>
        <v/>
      </c>
      <c r="I2661" s="1" t="str">
        <f t="shared" si="165"/>
        <v>威尔新数值1.06.xlsm!suitPower</v>
      </c>
    </row>
    <row r="2662" spans="1:9" x14ac:dyDescent="0.15">
      <c r="A2662" s="1">
        <v>2661</v>
      </c>
      <c r="B2662" s="1">
        <v>302031500</v>
      </c>
      <c r="C2662" s="1">
        <f t="shared" si="168"/>
        <v>23</v>
      </c>
      <c r="D2662" s="5">
        <f ca="1">IF(getQuality(B2662)&lt;4,getOtherMin(B2662,C2662,INDIRECT(J$2),INDIRECT(I2662),test),getMin(B2662,C2662,INDIRECT(J$2),INDIRECT(I2662),test))</f>
        <v>20.444444444444443</v>
      </c>
      <c r="E2662" s="5">
        <f ca="1">IF(getQuality(B2662)&lt;4,getOtherMax(B2662,C2662,INDIRECT(J$2),INDIRECT(I2662),test),getMax(B2662,C2662,INDIRECT(J$2),INDIRECT(I2662),test))</f>
        <v>29.166666666666668</v>
      </c>
      <c r="F2662" s="1" t="str">
        <f t="shared" si="166"/>
        <v>50</v>
      </c>
      <c r="G2662" s="1" t="str">
        <f t="shared" si="167"/>
        <v/>
      </c>
      <c r="I2662" s="1" t="str">
        <f t="shared" si="165"/>
        <v>威尔新数值1.06.xlsm!suitPower</v>
      </c>
    </row>
    <row r="2663" spans="1:9" x14ac:dyDescent="0.15">
      <c r="A2663" s="1">
        <v>2662</v>
      </c>
      <c r="B2663" s="1">
        <v>302041500</v>
      </c>
      <c r="C2663" s="1">
        <f t="shared" si="168"/>
        <v>1</v>
      </c>
      <c r="D2663" s="5">
        <f ca="1">IF(getQuality(B2663)&lt;4,getOtherMin(B2663,C2663,INDIRECT(J$2),INDIRECT(I2663),test),getMin(B2663,C2663,INDIRECT(J$2),INDIRECT(I2663),test))</f>
        <v>201.20000000000002</v>
      </c>
      <c r="E2663" s="5">
        <f ca="1">IF(getQuality(B2663)&lt;4,getOtherMax(B2663,C2663,INDIRECT(J$2),INDIRECT(I2663),test),getMax(B2663,C2663,INDIRECT(J$2),INDIRECT(I2663),test))</f>
        <v>289.17777777777775</v>
      </c>
      <c r="F2663" s="1" t="str">
        <f t="shared" si="166"/>
        <v>50</v>
      </c>
      <c r="G2663" s="1" t="str">
        <f t="shared" si="167"/>
        <v/>
      </c>
      <c r="I2663" s="1" t="str">
        <f t="shared" si="165"/>
        <v>威尔新数值1.06.xlsm!suitPower</v>
      </c>
    </row>
    <row r="2664" spans="1:9" x14ac:dyDescent="0.15">
      <c r="A2664" s="1">
        <v>2663</v>
      </c>
      <c r="B2664" s="1">
        <v>302041500</v>
      </c>
      <c r="C2664" s="1">
        <f t="shared" si="168"/>
        <v>2</v>
      </c>
      <c r="D2664" s="5">
        <f ca="1">IF(getQuality(B2664)&lt;4,getOtherMin(B2664,C2664,INDIRECT(J$2),INDIRECT(I2664),test),getMin(B2664,C2664,INDIRECT(J$2),INDIRECT(I2664),test))</f>
        <v>20.25</v>
      </c>
      <c r="E2664" s="5">
        <f ca="1">IF(getQuality(B2664)&lt;4,getOtherMax(B2664,C2664,INDIRECT(J$2),INDIRECT(I2664),test),getMax(B2664,C2664,INDIRECT(J$2),INDIRECT(I2664),test))</f>
        <v>27.805555555555554</v>
      </c>
      <c r="F2664" s="1" t="str">
        <f t="shared" si="166"/>
        <v>50</v>
      </c>
      <c r="G2664" s="1" t="str">
        <f t="shared" si="167"/>
        <v/>
      </c>
      <c r="I2664" s="1" t="str">
        <f t="shared" si="165"/>
        <v>威尔新数值1.06.xlsm!suitPower</v>
      </c>
    </row>
    <row r="2665" spans="1:9" x14ac:dyDescent="0.15">
      <c r="A2665" s="1">
        <v>2664</v>
      </c>
      <c r="B2665" s="1">
        <v>302041500</v>
      </c>
      <c r="C2665" s="1">
        <f t="shared" si="168"/>
        <v>4</v>
      </c>
      <c r="D2665" s="5">
        <f ca="1">IF(getQuality(B2665)&lt;4,getOtherMin(B2665,C2665,INDIRECT(J$2),INDIRECT(I2665),test),getMin(B2665,C2665,INDIRECT(J$2),INDIRECT(I2665),test))</f>
        <v>110.375</v>
      </c>
      <c r="E2665" s="5">
        <f ca="1">IF(getQuality(B2665)&lt;4,getOtherMax(B2665,C2665,INDIRECT(J$2),INDIRECT(I2665),test),getMax(B2665,C2665,INDIRECT(J$2),INDIRECT(I2665),test))</f>
        <v>145.83333333333334</v>
      </c>
      <c r="F2665" s="1" t="str">
        <f t="shared" si="166"/>
        <v>50</v>
      </c>
      <c r="G2665" s="1" t="str">
        <f t="shared" si="167"/>
        <v>1</v>
      </c>
      <c r="I2665" s="1" t="str">
        <f t="shared" si="165"/>
        <v>威尔新数值1.06.xlsm!suitPower</v>
      </c>
    </row>
    <row r="2666" spans="1:9" x14ac:dyDescent="0.15">
      <c r="A2666" s="1">
        <v>2665</v>
      </c>
      <c r="B2666" s="1">
        <v>302041500</v>
      </c>
      <c r="C2666" s="1">
        <f t="shared" si="168"/>
        <v>6</v>
      </c>
      <c r="D2666" s="5">
        <f ca="1">IF(getQuality(B2666)&lt;4,getOtherMin(B2666,C2666,INDIRECT(J$2),INDIRECT(I2666),test),getMin(B2666,C2666,INDIRECT(J$2),INDIRECT(I2666),test))</f>
        <v>110.375</v>
      </c>
      <c r="E2666" s="5">
        <f ca="1">IF(getQuality(B2666)&lt;4,getOtherMax(B2666,C2666,INDIRECT(J$2),INDIRECT(I2666),test),getMax(B2666,C2666,INDIRECT(J$2),INDIRECT(I2666),test))</f>
        <v>145.83333333333334</v>
      </c>
      <c r="F2666" s="1" t="str">
        <f t="shared" si="166"/>
        <v>50</v>
      </c>
      <c r="G2666" s="1" t="str">
        <f t="shared" si="167"/>
        <v/>
      </c>
      <c r="I2666" s="1" t="str">
        <f t="shared" si="165"/>
        <v>威尔新数值1.06.xlsm!suitPower</v>
      </c>
    </row>
    <row r="2667" spans="1:9" x14ac:dyDescent="0.15">
      <c r="A2667" s="1">
        <v>2666</v>
      </c>
      <c r="B2667" s="1">
        <v>302041500</v>
      </c>
      <c r="C2667" s="1">
        <f t="shared" si="168"/>
        <v>7</v>
      </c>
      <c r="D2667" s="5">
        <f ca="1">IF(getQuality(B2667)&lt;4,getOtherMin(B2667,C2667,INDIRECT(J$2),INDIRECT(I2667),test),getMin(B2667,C2667,INDIRECT(J$2),INDIRECT(I2667),test))</f>
        <v>10.722222222222197</v>
      </c>
      <c r="E2667" s="5">
        <f ca="1">IF(getQuality(B2667)&lt;4,getOtherMax(B2667,C2667,INDIRECT(J$2),INDIRECT(I2667),test),getMax(B2667,C2667,INDIRECT(J$2),INDIRECT(I2667),test))</f>
        <v>12.96296296296293</v>
      </c>
      <c r="F2667" s="1" t="str">
        <f t="shared" si="166"/>
        <v>50</v>
      </c>
      <c r="G2667" s="1" t="str">
        <f t="shared" si="167"/>
        <v/>
      </c>
      <c r="I2667" s="1" t="str">
        <f t="shared" si="165"/>
        <v>威尔新数值1.06.xlsm!suitPower</v>
      </c>
    </row>
    <row r="2668" spans="1:9" x14ac:dyDescent="0.15">
      <c r="A2668" s="1">
        <v>2667</v>
      </c>
      <c r="B2668" s="1">
        <v>302041500</v>
      </c>
      <c r="C2668" s="1">
        <f t="shared" si="168"/>
        <v>8</v>
      </c>
      <c r="D2668" s="5">
        <f ca="1">IF(getQuality(B2668)&lt;4,getOtherMin(B2668,C2668,INDIRECT(J$2),INDIRECT(I2668),test),getMin(B2668,C2668,INDIRECT(J$2),INDIRECT(I2668),test))</f>
        <v>22.875</v>
      </c>
      <c r="E2668" s="5">
        <f ca="1">IF(getQuality(B2668)&lt;4,getOtherMax(B2668,C2668,INDIRECT(J$2),INDIRECT(I2668),test),getMax(B2668,C2668,INDIRECT(J$2),INDIRECT(I2668),test))</f>
        <v>29.166666666666668</v>
      </c>
      <c r="F2668" s="1" t="str">
        <f t="shared" si="166"/>
        <v>50</v>
      </c>
      <c r="G2668" s="1" t="str">
        <f t="shared" si="167"/>
        <v/>
      </c>
      <c r="I2668" s="1" t="str">
        <f t="shared" si="165"/>
        <v>威尔新数值1.06.xlsm!suitPower</v>
      </c>
    </row>
    <row r="2669" spans="1:9" x14ac:dyDescent="0.15">
      <c r="A2669" s="1">
        <v>2668</v>
      </c>
      <c r="B2669" s="1">
        <v>302041500</v>
      </c>
      <c r="C2669" s="1">
        <f t="shared" si="168"/>
        <v>16</v>
      </c>
      <c r="D2669" s="5">
        <f ca="1">IF(getQuality(B2669)&lt;4,getOtherMin(B2669,C2669,INDIRECT(J$2),INDIRECT(I2669),test),getMin(B2669,C2669,INDIRECT(J$2),INDIRECT(I2669),test))</f>
        <v>30.166666666666668</v>
      </c>
      <c r="E2669" s="5">
        <f ca="1">IF(getQuality(B2669)&lt;4,getOtherMax(B2669,C2669,INDIRECT(J$2),INDIRECT(I2669),test),getMax(B2669,C2669,INDIRECT(J$2),INDIRECT(I2669),test))</f>
        <v>38.888888888888886</v>
      </c>
      <c r="F2669" s="1" t="str">
        <f t="shared" si="166"/>
        <v>50</v>
      </c>
      <c r="G2669" s="1" t="str">
        <f t="shared" si="167"/>
        <v/>
      </c>
      <c r="I2669" s="1" t="str">
        <f t="shared" si="165"/>
        <v>威尔新数值1.06.xlsm!suitPower</v>
      </c>
    </row>
    <row r="2670" spans="1:9" x14ac:dyDescent="0.15">
      <c r="A2670" s="1">
        <v>2669</v>
      </c>
      <c r="B2670" s="1">
        <v>302041500</v>
      </c>
      <c r="C2670" s="1">
        <f t="shared" si="168"/>
        <v>17</v>
      </c>
      <c r="D2670" s="5">
        <f ca="1">IF(getQuality(B2670)&lt;4,getOtherMin(B2670,C2670,INDIRECT(J$2),INDIRECT(I2670),test),getMin(B2670,C2670,INDIRECT(J$2),INDIRECT(I2670),test))</f>
        <v>30.166666666666668</v>
      </c>
      <c r="E2670" s="5">
        <f ca="1">IF(getQuality(B2670)&lt;4,getOtherMax(B2670,C2670,INDIRECT(J$2),INDIRECT(I2670),test),getMax(B2670,C2670,INDIRECT(J$2),INDIRECT(I2670),test))</f>
        <v>38.888888888888886</v>
      </c>
      <c r="F2670" s="1" t="str">
        <f t="shared" si="166"/>
        <v>50</v>
      </c>
      <c r="G2670" s="1" t="str">
        <f t="shared" si="167"/>
        <v/>
      </c>
      <c r="I2670" s="1" t="str">
        <f t="shared" si="165"/>
        <v>威尔新数值1.06.xlsm!suitPower</v>
      </c>
    </row>
    <row r="2671" spans="1:9" x14ac:dyDescent="0.15">
      <c r="A2671" s="1">
        <v>2670</v>
      </c>
      <c r="B2671" s="1">
        <v>302041500</v>
      </c>
      <c r="C2671" s="1">
        <f t="shared" si="168"/>
        <v>18</v>
      </c>
      <c r="D2671" s="5">
        <f ca="1">IF(getQuality(B2671)&lt;4,getOtherMin(B2671,C2671,INDIRECT(J$2),INDIRECT(I2671),test),getMin(B2671,C2671,INDIRECT(J$2),INDIRECT(I2671),test))</f>
        <v>30.166666666666668</v>
      </c>
      <c r="E2671" s="5">
        <f ca="1">IF(getQuality(B2671)&lt;4,getOtherMax(B2671,C2671,INDIRECT(J$2),INDIRECT(I2671),test),getMax(B2671,C2671,INDIRECT(J$2),INDIRECT(I2671),test))</f>
        <v>38.888888888888886</v>
      </c>
      <c r="F2671" s="1" t="str">
        <f t="shared" si="166"/>
        <v>50</v>
      </c>
      <c r="G2671" s="1" t="str">
        <f t="shared" si="167"/>
        <v/>
      </c>
      <c r="I2671" s="1" t="str">
        <f t="shared" si="165"/>
        <v>威尔新数值1.06.xlsm!suitPower</v>
      </c>
    </row>
    <row r="2672" spans="1:9" x14ac:dyDescent="0.15">
      <c r="A2672" s="1">
        <v>2671</v>
      </c>
      <c r="B2672" s="1">
        <v>302041500</v>
      </c>
      <c r="C2672" s="1">
        <f t="shared" si="168"/>
        <v>19</v>
      </c>
      <c r="D2672" s="5">
        <f ca="1">IF(getQuality(B2672)&lt;4,getOtherMin(B2672,C2672,INDIRECT(J$2),INDIRECT(I2672),test),getMin(B2672,C2672,INDIRECT(J$2),INDIRECT(I2672),test))</f>
        <v>30.166666666666668</v>
      </c>
      <c r="E2672" s="5">
        <f ca="1">IF(getQuality(B2672)&lt;4,getOtherMax(B2672,C2672,INDIRECT(J$2),INDIRECT(I2672),test),getMax(B2672,C2672,INDIRECT(J$2),INDIRECT(I2672),test))</f>
        <v>38.888888888888886</v>
      </c>
      <c r="F2672" s="1" t="str">
        <f t="shared" si="166"/>
        <v>50</v>
      </c>
      <c r="G2672" s="1" t="str">
        <f t="shared" si="167"/>
        <v/>
      </c>
      <c r="I2672" s="1" t="str">
        <f t="shared" si="165"/>
        <v>威尔新数值1.06.xlsm!suitPower</v>
      </c>
    </row>
    <row r="2673" spans="1:9" x14ac:dyDescent="0.15">
      <c r="A2673" s="1">
        <v>2672</v>
      </c>
      <c r="B2673" s="1">
        <v>302041500</v>
      </c>
      <c r="C2673" s="1">
        <f t="shared" si="168"/>
        <v>20</v>
      </c>
      <c r="D2673" s="5">
        <f ca="1">IF(getQuality(B2673)&lt;4,getOtherMin(B2673,C2673,INDIRECT(J$2),INDIRECT(I2673),test),getMin(B2673,C2673,INDIRECT(J$2),INDIRECT(I2673),test))</f>
        <v>30.166666666666668</v>
      </c>
      <c r="E2673" s="5">
        <f ca="1">IF(getQuality(B2673)&lt;4,getOtherMax(B2673,C2673,INDIRECT(J$2),INDIRECT(I2673),test),getMax(B2673,C2673,INDIRECT(J$2),INDIRECT(I2673),test))</f>
        <v>38.888888888888886</v>
      </c>
      <c r="F2673" s="1" t="str">
        <f t="shared" si="166"/>
        <v>50</v>
      </c>
      <c r="G2673" s="1" t="str">
        <f t="shared" si="167"/>
        <v/>
      </c>
      <c r="I2673" s="1" t="str">
        <f t="shared" si="165"/>
        <v>威尔新数值1.06.xlsm!suitPower</v>
      </c>
    </row>
    <row r="2674" spans="1:9" x14ac:dyDescent="0.15">
      <c r="A2674" s="1">
        <v>2673</v>
      </c>
      <c r="B2674" s="1">
        <v>302041500</v>
      </c>
      <c r="C2674" s="1">
        <f t="shared" si="168"/>
        <v>21</v>
      </c>
      <c r="D2674" s="5">
        <f ca="1">IF(getQuality(B2674)&lt;4,getOtherMin(B2674,C2674,INDIRECT(J$2),INDIRECT(I2674),test),getMin(B2674,C2674,INDIRECT(J$2),INDIRECT(I2674),test))</f>
        <v>30.166666666666668</v>
      </c>
      <c r="E2674" s="5">
        <f ca="1">IF(getQuality(B2674)&lt;4,getOtherMax(B2674,C2674,INDIRECT(J$2),INDIRECT(I2674),test),getMax(B2674,C2674,INDIRECT(J$2),INDIRECT(I2674),test))</f>
        <v>38.888888888888886</v>
      </c>
      <c r="F2674" s="1" t="str">
        <f t="shared" si="166"/>
        <v>50</v>
      </c>
      <c r="G2674" s="1" t="str">
        <f t="shared" si="167"/>
        <v/>
      </c>
      <c r="I2674" s="1" t="str">
        <f t="shared" si="165"/>
        <v>威尔新数值1.06.xlsm!suitPower</v>
      </c>
    </row>
    <row r="2675" spans="1:9" x14ac:dyDescent="0.15">
      <c r="A2675" s="1">
        <v>2674</v>
      </c>
      <c r="B2675" s="1">
        <v>302041500</v>
      </c>
      <c r="C2675" s="1">
        <f t="shared" si="168"/>
        <v>22</v>
      </c>
      <c r="D2675" s="5">
        <f ca="1">IF(getQuality(B2675)&lt;4,getOtherMin(B2675,C2675,INDIRECT(J$2),INDIRECT(I2675),test),getMin(B2675,C2675,INDIRECT(J$2),INDIRECT(I2675),test))</f>
        <v>30.166666666666668</v>
      </c>
      <c r="E2675" s="5">
        <f ca="1">IF(getQuality(B2675)&lt;4,getOtherMax(B2675,C2675,INDIRECT(J$2),INDIRECT(I2675),test),getMax(B2675,C2675,INDIRECT(J$2),INDIRECT(I2675),test))</f>
        <v>38.888888888888886</v>
      </c>
      <c r="F2675" s="1" t="str">
        <f t="shared" si="166"/>
        <v>50</v>
      </c>
      <c r="G2675" s="1" t="str">
        <f t="shared" si="167"/>
        <v/>
      </c>
      <c r="I2675" s="1" t="str">
        <f t="shared" si="165"/>
        <v>威尔新数值1.06.xlsm!suitPower</v>
      </c>
    </row>
    <row r="2676" spans="1:9" x14ac:dyDescent="0.15">
      <c r="A2676" s="1">
        <v>2675</v>
      </c>
      <c r="B2676" s="1">
        <v>302041500</v>
      </c>
      <c r="C2676" s="1">
        <f t="shared" si="168"/>
        <v>23</v>
      </c>
      <c r="D2676" s="5">
        <f ca="1">IF(getQuality(B2676)&lt;4,getOtherMin(B2676,C2676,INDIRECT(J$2),INDIRECT(I2676),test),getMin(B2676,C2676,INDIRECT(J$2),INDIRECT(I2676),test))</f>
        <v>30.166666666666668</v>
      </c>
      <c r="E2676" s="5">
        <f ca="1">IF(getQuality(B2676)&lt;4,getOtherMax(B2676,C2676,INDIRECT(J$2),INDIRECT(I2676),test),getMax(B2676,C2676,INDIRECT(J$2),INDIRECT(I2676),test))</f>
        <v>38.888888888888886</v>
      </c>
      <c r="F2676" s="1" t="str">
        <f t="shared" si="166"/>
        <v>50</v>
      </c>
      <c r="G2676" s="1" t="str">
        <f t="shared" si="167"/>
        <v/>
      </c>
      <c r="I2676" s="1" t="str">
        <f t="shared" si="165"/>
        <v>威尔新数值1.06.xlsm!suitPower</v>
      </c>
    </row>
    <row r="2677" spans="1:9" x14ac:dyDescent="0.15">
      <c r="A2677" s="1">
        <v>2676</v>
      </c>
      <c r="B2677" s="1">
        <v>302051500</v>
      </c>
      <c r="C2677" s="1">
        <f t="shared" si="168"/>
        <v>1</v>
      </c>
      <c r="D2677" s="5">
        <f ca="1">IF(getQuality(B2677)&lt;4,getOtherMin(B2677,C2677,INDIRECT(J$2),INDIRECT(I2677),test),getMin(B2677,C2677,INDIRECT(J$2),INDIRECT(I2677),test))</f>
        <v>290.17777777777775</v>
      </c>
      <c r="E2677" s="5">
        <f ca="1">IF(getQuality(B2677)&lt;4,getOtherMax(B2677,C2677,INDIRECT(J$2),INDIRECT(I2677),test),getMax(B2677,C2677,INDIRECT(J$2),INDIRECT(I2677),test))</f>
        <v>391.8055555555556</v>
      </c>
      <c r="F2677" s="1" t="str">
        <f t="shared" si="166"/>
        <v>50</v>
      </c>
      <c r="G2677" s="1" t="str">
        <f t="shared" si="167"/>
        <v/>
      </c>
      <c r="I2677" s="1" t="str">
        <f t="shared" si="165"/>
        <v>威尔新数值1.06.xlsm!suitPower</v>
      </c>
    </row>
    <row r="2678" spans="1:9" x14ac:dyDescent="0.15">
      <c r="A2678" s="1">
        <v>2677</v>
      </c>
      <c r="B2678" s="1">
        <v>302051500</v>
      </c>
      <c r="C2678" s="1">
        <f t="shared" si="168"/>
        <v>2</v>
      </c>
      <c r="D2678" s="5">
        <f ca="1">IF(getQuality(B2678)&lt;4,getOtherMin(B2678,C2678,INDIRECT(J$2),INDIRECT(I2678),test),getMin(B2678,C2678,INDIRECT(J$2),INDIRECT(I2678),test))</f>
        <v>28.805555555555554</v>
      </c>
      <c r="E2678" s="5">
        <f ca="1">IF(getQuality(B2678)&lt;4,getOtherMax(B2678,C2678,INDIRECT(J$2),INDIRECT(I2678),test),getMax(B2678,C2678,INDIRECT(J$2),INDIRECT(I2678),test))</f>
        <v>37.673611111111114</v>
      </c>
      <c r="F2678" s="1" t="str">
        <f t="shared" si="166"/>
        <v>50</v>
      </c>
      <c r="G2678" s="1" t="str">
        <f t="shared" si="167"/>
        <v/>
      </c>
      <c r="I2678" s="1" t="str">
        <f t="shared" si="165"/>
        <v>威尔新数值1.06.xlsm!suitPower</v>
      </c>
    </row>
    <row r="2679" spans="1:9" x14ac:dyDescent="0.15">
      <c r="A2679" s="1">
        <v>2678</v>
      </c>
      <c r="B2679" s="1">
        <v>302051500</v>
      </c>
      <c r="C2679" s="1">
        <f t="shared" si="168"/>
        <v>4</v>
      </c>
      <c r="D2679" s="5">
        <f ca="1">IF(getQuality(B2679)&lt;4,getOtherMin(B2679,C2679,INDIRECT(J$2),INDIRECT(I2679),test),getMin(B2679,C2679,INDIRECT(J$2),INDIRECT(I2679),test))</f>
        <v>146.83333333333334</v>
      </c>
      <c r="E2679" s="5">
        <f ca="1">IF(getQuality(B2679)&lt;4,getOtherMax(B2679,C2679,INDIRECT(J$2),INDIRECT(I2679),test),getMax(B2679,C2679,INDIRECT(J$2),INDIRECT(I2679),test))</f>
        <v>182.29166666666666</v>
      </c>
      <c r="F2679" s="1" t="str">
        <f t="shared" si="166"/>
        <v>50</v>
      </c>
      <c r="G2679" s="1" t="str">
        <f t="shared" si="167"/>
        <v>1</v>
      </c>
      <c r="I2679" s="1" t="str">
        <f t="shared" si="165"/>
        <v>威尔新数值1.06.xlsm!suitPower</v>
      </c>
    </row>
    <row r="2680" spans="1:9" x14ac:dyDescent="0.15">
      <c r="A2680" s="1">
        <v>2679</v>
      </c>
      <c r="B2680" s="1">
        <v>302051500</v>
      </c>
      <c r="C2680" s="1">
        <f t="shared" si="168"/>
        <v>6</v>
      </c>
      <c r="D2680" s="5">
        <f ca="1">IF(getQuality(B2680)&lt;4,getOtherMin(B2680,C2680,INDIRECT(J$2),INDIRECT(I2680),test),getMin(B2680,C2680,INDIRECT(J$2),INDIRECT(I2680),test))</f>
        <v>146.83333333333334</v>
      </c>
      <c r="E2680" s="5">
        <f ca="1">IF(getQuality(B2680)&lt;4,getOtherMax(B2680,C2680,INDIRECT(J$2),INDIRECT(I2680),test),getMax(B2680,C2680,INDIRECT(J$2),INDIRECT(I2680),test))</f>
        <v>182.29166666666666</v>
      </c>
      <c r="F2680" s="1" t="str">
        <f t="shared" si="166"/>
        <v>50</v>
      </c>
      <c r="G2680" s="1" t="str">
        <f t="shared" si="167"/>
        <v/>
      </c>
      <c r="I2680" s="1" t="str">
        <f t="shared" si="165"/>
        <v>威尔新数值1.06.xlsm!suitPower</v>
      </c>
    </row>
    <row r="2681" spans="1:9" x14ac:dyDescent="0.15">
      <c r="A2681" s="1">
        <v>2680</v>
      </c>
      <c r="B2681" s="1">
        <v>302051500</v>
      </c>
      <c r="C2681" s="1">
        <f t="shared" si="168"/>
        <v>7</v>
      </c>
      <c r="D2681" s="5">
        <f ca="1">IF(getQuality(B2681)&lt;4,getOtherMin(B2681,C2681,INDIRECT(J$2),INDIRECT(I2681),test),getMin(B2681,C2681,INDIRECT(J$2),INDIRECT(I2681),test))</f>
        <v>13.96296296296293</v>
      </c>
      <c r="E2681" s="5">
        <f ca="1">IF(getQuality(B2681)&lt;4,getOtherMax(B2681,C2681,INDIRECT(J$2),INDIRECT(I2681),test),getMax(B2681,C2681,INDIRECT(J$2),INDIRECT(I2681),test))</f>
        <v>16.203703703703663</v>
      </c>
      <c r="F2681" s="1" t="str">
        <f t="shared" si="166"/>
        <v>50</v>
      </c>
      <c r="G2681" s="1" t="str">
        <f t="shared" si="167"/>
        <v/>
      </c>
      <c r="I2681" s="1" t="str">
        <f t="shared" si="165"/>
        <v>威尔新数值1.06.xlsm!suitPower</v>
      </c>
    </row>
    <row r="2682" spans="1:9" x14ac:dyDescent="0.15">
      <c r="A2682" s="1">
        <v>2681</v>
      </c>
      <c r="B2682" s="1">
        <v>302051500</v>
      </c>
      <c r="C2682" s="1">
        <f t="shared" si="168"/>
        <v>8</v>
      </c>
      <c r="D2682" s="5">
        <f ca="1">IF(getQuality(B2682)&lt;4,getOtherMin(B2682,C2682,INDIRECT(J$2),INDIRECT(I2682),test),getMin(B2682,C2682,INDIRECT(J$2),INDIRECT(I2682),test))</f>
        <v>30.166666666666668</v>
      </c>
      <c r="E2682" s="5">
        <f ca="1">IF(getQuality(B2682)&lt;4,getOtherMax(B2682,C2682,INDIRECT(J$2),INDIRECT(I2682),test),getMax(B2682,C2682,INDIRECT(J$2),INDIRECT(I2682),test))</f>
        <v>36.458333333333336</v>
      </c>
      <c r="F2682" s="1" t="str">
        <f t="shared" si="166"/>
        <v>50</v>
      </c>
      <c r="G2682" s="1" t="str">
        <f t="shared" si="167"/>
        <v/>
      </c>
      <c r="I2682" s="1" t="str">
        <f t="shared" si="165"/>
        <v>威尔新数值1.06.xlsm!suitPower</v>
      </c>
    </row>
    <row r="2683" spans="1:9" x14ac:dyDescent="0.15">
      <c r="A2683" s="1">
        <v>2682</v>
      </c>
      <c r="B2683" s="1">
        <v>302051500</v>
      </c>
      <c r="C2683" s="1">
        <f t="shared" si="168"/>
        <v>16</v>
      </c>
      <c r="D2683" s="5">
        <f ca="1">IF(getQuality(B2683)&lt;4,getOtherMin(B2683,C2683,INDIRECT(J$2),INDIRECT(I2683),test),getMin(B2683,C2683,INDIRECT(J$2),INDIRECT(I2683),test))</f>
        <v>39.888888888888886</v>
      </c>
      <c r="E2683" s="5">
        <f ca="1">IF(getQuality(B2683)&lt;4,getOtherMax(B2683,C2683,INDIRECT(J$2),INDIRECT(I2683),test),getMax(B2683,C2683,INDIRECT(J$2),INDIRECT(I2683),test))</f>
        <v>48.611111111111114</v>
      </c>
      <c r="F2683" s="1" t="str">
        <f t="shared" si="166"/>
        <v>50</v>
      </c>
      <c r="G2683" s="1" t="str">
        <f t="shared" si="167"/>
        <v/>
      </c>
      <c r="I2683" s="1" t="str">
        <f t="shared" si="165"/>
        <v>威尔新数值1.06.xlsm!suitPower</v>
      </c>
    </row>
    <row r="2684" spans="1:9" x14ac:dyDescent="0.15">
      <c r="A2684" s="1">
        <v>2683</v>
      </c>
      <c r="B2684" s="1">
        <v>302051500</v>
      </c>
      <c r="C2684" s="1">
        <f t="shared" si="168"/>
        <v>17</v>
      </c>
      <c r="D2684" s="5">
        <f ca="1">IF(getQuality(B2684)&lt;4,getOtherMin(B2684,C2684,INDIRECT(J$2),INDIRECT(I2684),test),getMin(B2684,C2684,INDIRECT(J$2),INDIRECT(I2684),test))</f>
        <v>39.888888888888886</v>
      </c>
      <c r="E2684" s="5">
        <f ca="1">IF(getQuality(B2684)&lt;4,getOtherMax(B2684,C2684,INDIRECT(J$2),INDIRECT(I2684),test),getMax(B2684,C2684,INDIRECT(J$2),INDIRECT(I2684),test))</f>
        <v>48.611111111111114</v>
      </c>
      <c r="F2684" s="1" t="str">
        <f t="shared" si="166"/>
        <v>50</v>
      </c>
      <c r="G2684" s="1" t="str">
        <f t="shared" si="167"/>
        <v/>
      </c>
      <c r="I2684" s="1" t="str">
        <f t="shared" si="165"/>
        <v>威尔新数值1.06.xlsm!suitPower</v>
      </c>
    </row>
    <row r="2685" spans="1:9" x14ac:dyDescent="0.15">
      <c r="A2685" s="1">
        <v>2684</v>
      </c>
      <c r="B2685" s="1">
        <v>302051500</v>
      </c>
      <c r="C2685" s="1">
        <f t="shared" si="168"/>
        <v>18</v>
      </c>
      <c r="D2685" s="5">
        <f ca="1">IF(getQuality(B2685)&lt;4,getOtherMin(B2685,C2685,INDIRECT(J$2),INDIRECT(I2685),test),getMin(B2685,C2685,INDIRECT(J$2),INDIRECT(I2685),test))</f>
        <v>39.888888888888886</v>
      </c>
      <c r="E2685" s="5">
        <f ca="1">IF(getQuality(B2685)&lt;4,getOtherMax(B2685,C2685,INDIRECT(J$2),INDIRECT(I2685),test),getMax(B2685,C2685,INDIRECT(J$2),INDIRECT(I2685),test))</f>
        <v>48.611111111111114</v>
      </c>
      <c r="F2685" s="1" t="str">
        <f t="shared" si="166"/>
        <v>50</v>
      </c>
      <c r="G2685" s="1" t="str">
        <f t="shared" si="167"/>
        <v/>
      </c>
      <c r="I2685" s="1" t="str">
        <f t="shared" si="165"/>
        <v>威尔新数值1.06.xlsm!suitPower</v>
      </c>
    </row>
    <row r="2686" spans="1:9" x14ac:dyDescent="0.15">
      <c r="A2686" s="1">
        <v>2685</v>
      </c>
      <c r="B2686" s="1">
        <v>302051500</v>
      </c>
      <c r="C2686" s="1">
        <f t="shared" si="168"/>
        <v>19</v>
      </c>
      <c r="D2686" s="5">
        <f ca="1">IF(getQuality(B2686)&lt;4,getOtherMin(B2686,C2686,INDIRECT(J$2),INDIRECT(I2686),test),getMin(B2686,C2686,INDIRECT(J$2),INDIRECT(I2686),test))</f>
        <v>39.888888888888886</v>
      </c>
      <c r="E2686" s="5">
        <f ca="1">IF(getQuality(B2686)&lt;4,getOtherMax(B2686,C2686,INDIRECT(J$2),INDIRECT(I2686),test),getMax(B2686,C2686,INDIRECT(J$2),INDIRECT(I2686),test))</f>
        <v>48.611111111111114</v>
      </c>
      <c r="F2686" s="1" t="str">
        <f t="shared" si="166"/>
        <v>50</v>
      </c>
      <c r="G2686" s="1" t="str">
        <f t="shared" si="167"/>
        <v/>
      </c>
      <c r="I2686" s="1" t="str">
        <f t="shared" si="165"/>
        <v>威尔新数值1.06.xlsm!suitPower</v>
      </c>
    </row>
    <row r="2687" spans="1:9" x14ac:dyDescent="0.15">
      <c r="A2687" s="1">
        <v>2686</v>
      </c>
      <c r="B2687" s="1">
        <v>302051500</v>
      </c>
      <c r="C2687" s="1">
        <f t="shared" si="168"/>
        <v>20</v>
      </c>
      <c r="D2687" s="5">
        <f ca="1">IF(getQuality(B2687)&lt;4,getOtherMin(B2687,C2687,INDIRECT(J$2),INDIRECT(I2687),test),getMin(B2687,C2687,INDIRECT(J$2),INDIRECT(I2687),test))</f>
        <v>39.888888888888886</v>
      </c>
      <c r="E2687" s="5">
        <f ca="1">IF(getQuality(B2687)&lt;4,getOtherMax(B2687,C2687,INDIRECT(J$2),INDIRECT(I2687),test),getMax(B2687,C2687,INDIRECT(J$2),INDIRECT(I2687),test))</f>
        <v>48.611111111111114</v>
      </c>
      <c r="F2687" s="1" t="str">
        <f t="shared" si="166"/>
        <v>50</v>
      </c>
      <c r="G2687" s="1" t="str">
        <f t="shared" si="167"/>
        <v/>
      </c>
      <c r="I2687" s="1" t="str">
        <f t="shared" si="165"/>
        <v>威尔新数值1.06.xlsm!suitPower</v>
      </c>
    </row>
    <row r="2688" spans="1:9" x14ac:dyDescent="0.15">
      <c r="A2688" s="1">
        <v>2687</v>
      </c>
      <c r="B2688" s="1">
        <v>302051500</v>
      </c>
      <c r="C2688" s="1">
        <f t="shared" si="168"/>
        <v>21</v>
      </c>
      <c r="D2688" s="5">
        <f ca="1">IF(getQuality(B2688)&lt;4,getOtherMin(B2688,C2688,INDIRECT(J$2),INDIRECT(I2688),test),getMin(B2688,C2688,INDIRECT(J$2),INDIRECT(I2688),test))</f>
        <v>39.888888888888886</v>
      </c>
      <c r="E2688" s="5">
        <f ca="1">IF(getQuality(B2688)&lt;4,getOtherMax(B2688,C2688,INDIRECT(J$2),INDIRECT(I2688),test),getMax(B2688,C2688,INDIRECT(J$2),INDIRECT(I2688),test))</f>
        <v>48.611111111111114</v>
      </c>
      <c r="F2688" s="1" t="str">
        <f t="shared" si="166"/>
        <v>50</v>
      </c>
      <c r="G2688" s="1" t="str">
        <f t="shared" si="167"/>
        <v/>
      </c>
      <c r="I2688" s="1" t="str">
        <f t="shared" si="165"/>
        <v>威尔新数值1.06.xlsm!suitPower</v>
      </c>
    </row>
    <row r="2689" spans="1:9" x14ac:dyDescent="0.15">
      <c r="A2689" s="1">
        <v>2688</v>
      </c>
      <c r="B2689" s="1">
        <v>302051500</v>
      </c>
      <c r="C2689" s="1">
        <f t="shared" si="168"/>
        <v>22</v>
      </c>
      <c r="D2689" s="5">
        <f ca="1">IF(getQuality(B2689)&lt;4,getOtherMin(B2689,C2689,INDIRECT(J$2),INDIRECT(I2689),test),getMin(B2689,C2689,INDIRECT(J$2),INDIRECT(I2689),test))</f>
        <v>39.888888888888886</v>
      </c>
      <c r="E2689" s="5">
        <f ca="1">IF(getQuality(B2689)&lt;4,getOtherMax(B2689,C2689,INDIRECT(J$2),INDIRECT(I2689),test),getMax(B2689,C2689,INDIRECT(J$2),INDIRECT(I2689),test))</f>
        <v>48.611111111111114</v>
      </c>
      <c r="F2689" s="1" t="str">
        <f t="shared" si="166"/>
        <v>50</v>
      </c>
      <c r="G2689" s="1" t="str">
        <f t="shared" si="167"/>
        <v/>
      </c>
      <c r="I2689" s="1" t="str">
        <f t="shared" si="165"/>
        <v>威尔新数值1.06.xlsm!suitPower</v>
      </c>
    </row>
    <row r="2690" spans="1:9" x14ac:dyDescent="0.15">
      <c r="A2690" s="1">
        <v>2689</v>
      </c>
      <c r="B2690" s="1">
        <v>302051500</v>
      </c>
      <c r="C2690" s="1">
        <f t="shared" si="168"/>
        <v>23</v>
      </c>
      <c r="D2690" s="5">
        <f ca="1">IF(getQuality(B2690)&lt;4,getOtherMin(B2690,C2690,INDIRECT(J$2),INDIRECT(I2690),test),getMin(B2690,C2690,INDIRECT(J$2),INDIRECT(I2690),test))</f>
        <v>39.888888888888886</v>
      </c>
      <c r="E2690" s="5">
        <f ca="1">IF(getQuality(B2690)&lt;4,getOtherMax(B2690,C2690,INDIRECT(J$2),INDIRECT(I2690),test),getMax(B2690,C2690,INDIRECT(J$2),INDIRECT(I2690),test))</f>
        <v>48.611111111111114</v>
      </c>
      <c r="F2690" s="1" t="str">
        <f t="shared" si="166"/>
        <v>50</v>
      </c>
      <c r="G2690" s="1" t="str">
        <f t="shared" si="167"/>
        <v/>
      </c>
      <c r="I2690" s="1" t="str">
        <f t="shared" ref="I2690:I2753" si="169">IF(C2690&lt;100,VLOOKUP(C2690,test,3,FALSE),VLOOKUP(C2690,test1,3,FALSE))</f>
        <v>威尔新数值1.06.xlsm!suitPower</v>
      </c>
    </row>
    <row r="2691" spans="1:9" x14ac:dyDescent="0.15">
      <c r="A2691" s="1">
        <v>2690</v>
      </c>
      <c r="B2691" s="1">
        <v>302061500</v>
      </c>
      <c r="C2691" s="1">
        <f t="shared" si="168"/>
        <v>1</v>
      </c>
      <c r="D2691" s="5">
        <f ca="1">IF(getQuality(B2691)&lt;4,getOtherMin(B2691,C2691,INDIRECT(J$2),INDIRECT(I2691),test),getMin(B2691,C2691,INDIRECT(J$2),INDIRECT(I2691),test))</f>
        <v>392.8055555555556</v>
      </c>
      <c r="E2691" s="5">
        <f ca="1">IF(getQuality(B2691)&lt;4,getOtherMax(B2691,C2691,INDIRECT(J$2),INDIRECT(I2691),test),getMax(B2691,C2691,INDIRECT(J$2),INDIRECT(I2691),test))</f>
        <v>503.5333333333333</v>
      </c>
      <c r="F2691" s="1" t="str">
        <f t="shared" ref="F2691:F2754" si="170">getper(B2691,C2691)</f>
        <v>50</v>
      </c>
      <c r="G2691" s="1" t="str">
        <f t="shared" ref="G2691:G2754" si="171">getMust(B2691,C2691)</f>
        <v/>
      </c>
      <c r="I2691" s="1" t="str">
        <f t="shared" si="169"/>
        <v>威尔新数值1.06.xlsm!suitPower</v>
      </c>
    </row>
    <row r="2692" spans="1:9" x14ac:dyDescent="0.15">
      <c r="A2692" s="1">
        <v>2691</v>
      </c>
      <c r="B2692" s="1">
        <v>302061500</v>
      </c>
      <c r="C2692" s="1">
        <f t="shared" si="168"/>
        <v>2</v>
      </c>
      <c r="D2692" s="5">
        <f ca="1">IF(getQuality(B2692)&lt;4,getOtherMin(B2692,C2692,INDIRECT(J$2),INDIRECT(I2692),test),getMin(B2692,C2692,INDIRECT(J$2),INDIRECT(I2692),test))</f>
        <v>38.673611111111114</v>
      </c>
      <c r="E2692" s="5">
        <f ca="1">IF(getQuality(B2692)&lt;4,getOtherMax(B2692,C2692,INDIRECT(J$2),INDIRECT(I2692),test),getMax(B2692,C2692,INDIRECT(J$2),INDIRECT(I2692),test))</f>
        <v>48.416666666666664</v>
      </c>
      <c r="F2692" s="1" t="str">
        <f t="shared" si="170"/>
        <v>50</v>
      </c>
      <c r="G2692" s="1" t="str">
        <f t="shared" si="171"/>
        <v/>
      </c>
      <c r="I2692" s="1" t="str">
        <f t="shared" si="169"/>
        <v>威尔新数值1.06.xlsm!suitPower</v>
      </c>
    </row>
    <row r="2693" spans="1:9" x14ac:dyDescent="0.15">
      <c r="A2693" s="1">
        <v>2692</v>
      </c>
      <c r="B2693" s="1">
        <v>302061500</v>
      </c>
      <c r="C2693" s="1">
        <f t="shared" si="168"/>
        <v>4</v>
      </c>
      <c r="D2693" s="5">
        <f ca="1">IF(getQuality(B2693)&lt;4,getOtherMin(B2693,C2693,INDIRECT(J$2),INDIRECT(I2693),test),getMin(B2693,C2693,INDIRECT(J$2),INDIRECT(I2693),test))</f>
        <v>183.29166666666666</v>
      </c>
      <c r="E2693" s="5">
        <f ca="1">IF(getQuality(B2693)&lt;4,getOtherMax(B2693,C2693,INDIRECT(J$2),INDIRECT(I2693),test),getMax(B2693,C2693,INDIRECT(J$2),INDIRECT(I2693),test))</f>
        <v>218.75</v>
      </c>
      <c r="F2693" s="1" t="str">
        <f t="shared" si="170"/>
        <v>50</v>
      </c>
      <c r="G2693" s="1" t="str">
        <f t="shared" si="171"/>
        <v>1</v>
      </c>
      <c r="I2693" s="1" t="str">
        <f t="shared" si="169"/>
        <v>威尔新数值1.06.xlsm!suitPower</v>
      </c>
    </row>
    <row r="2694" spans="1:9" x14ac:dyDescent="0.15">
      <c r="A2694" s="1">
        <v>2693</v>
      </c>
      <c r="B2694" s="1">
        <v>302061500</v>
      </c>
      <c r="C2694" s="1">
        <f t="shared" si="168"/>
        <v>6</v>
      </c>
      <c r="D2694" s="5">
        <f ca="1">IF(getQuality(B2694)&lt;4,getOtherMin(B2694,C2694,INDIRECT(J$2),INDIRECT(I2694),test),getMin(B2694,C2694,INDIRECT(J$2),INDIRECT(I2694),test))</f>
        <v>183.29166666666666</v>
      </c>
      <c r="E2694" s="5">
        <f ca="1">IF(getQuality(B2694)&lt;4,getOtherMax(B2694,C2694,INDIRECT(J$2),INDIRECT(I2694),test),getMax(B2694,C2694,INDIRECT(J$2),INDIRECT(I2694),test))</f>
        <v>218.75</v>
      </c>
      <c r="F2694" s="1" t="str">
        <f t="shared" si="170"/>
        <v>50</v>
      </c>
      <c r="G2694" s="1" t="str">
        <f t="shared" si="171"/>
        <v/>
      </c>
      <c r="I2694" s="1" t="str">
        <f t="shared" si="169"/>
        <v>威尔新数值1.06.xlsm!suitPower</v>
      </c>
    </row>
    <row r="2695" spans="1:9" x14ac:dyDescent="0.15">
      <c r="A2695" s="1">
        <v>2694</v>
      </c>
      <c r="B2695" s="1">
        <v>302061500</v>
      </c>
      <c r="C2695" s="1">
        <f t="shared" si="168"/>
        <v>7</v>
      </c>
      <c r="D2695" s="5">
        <f ca="1">IF(getQuality(B2695)&lt;4,getOtherMin(B2695,C2695,INDIRECT(J$2),INDIRECT(I2695),test),getMin(B2695,C2695,INDIRECT(J$2),INDIRECT(I2695),test))</f>
        <v>17.203703703703663</v>
      </c>
      <c r="E2695" s="5">
        <f ca="1">IF(getQuality(B2695)&lt;4,getOtherMax(B2695,C2695,INDIRECT(J$2),INDIRECT(I2695),test),getMax(B2695,C2695,INDIRECT(J$2),INDIRECT(I2695),test))</f>
        <v>19.444444444444393</v>
      </c>
      <c r="F2695" s="1" t="str">
        <f t="shared" si="170"/>
        <v>50</v>
      </c>
      <c r="G2695" s="1" t="str">
        <f t="shared" si="171"/>
        <v/>
      </c>
      <c r="I2695" s="1" t="str">
        <f t="shared" si="169"/>
        <v>威尔新数值1.06.xlsm!suitPower</v>
      </c>
    </row>
    <row r="2696" spans="1:9" x14ac:dyDescent="0.15">
      <c r="A2696" s="1">
        <v>2695</v>
      </c>
      <c r="B2696" s="1">
        <v>302061500</v>
      </c>
      <c r="C2696" s="1">
        <f t="shared" si="168"/>
        <v>8</v>
      </c>
      <c r="D2696" s="5">
        <f ca="1">IF(getQuality(B2696)&lt;4,getOtherMin(B2696,C2696,INDIRECT(J$2),INDIRECT(I2696),test),getMin(B2696,C2696,INDIRECT(J$2),INDIRECT(I2696),test))</f>
        <v>37.458333333333336</v>
      </c>
      <c r="E2696" s="5">
        <f ca="1">IF(getQuality(B2696)&lt;4,getOtherMax(B2696,C2696,INDIRECT(J$2),INDIRECT(I2696),test),getMax(B2696,C2696,INDIRECT(J$2),INDIRECT(I2696),test))</f>
        <v>43.75</v>
      </c>
      <c r="F2696" s="1" t="str">
        <f t="shared" si="170"/>
        <v>50</v>
      </c>
      <c r="G2696" s="1" t="str">
        <f t="shared" si="171"/>
        <v/>
      </c>
      <c r="I2696" s="1" t="str">
        <f t="shared" si="169"/>
        <v>威尔新数值1.06.xlsm!suitPower</v>
      </c>
    </row>
    <row r="2697" spans="1:9" x14ac:dyDescent="0.15">
      <c r="A2697" s="1">
        <v>2696</v>
      </c>
      <c r="B2697" s="1">
        <v>302061500</v>
      </c>
      <c r="C2697" s="1">
        <f t="shared" si="168"/>
        <v>16</v>
      </c>
      <c r="D2697" s="5">
        <f ca="1">IF(getQuality(B2697)&lt;4,getOtherMin(B2697,C2697,INDIRECT(J$2),INDIRECT(I2697),test),getMin(B2697,C2697,INDIRECT(J$2),INDIRECT(I2697),test))</f>
        <v>49.611111111111114</v>
      </c>
      <c r="E2697" s="5">
        <f ca="1">IF(getQuality(B2697)&lt;4,getOtherMax(B2697,C2697,INDIRECT(J$2),INDIRECT(I2697),test),getMax(B2697,C2697,INDIRECT(J$2),INDIRECT(I2697),test))</f>
        <v>58.333333333333336</v>
      </c>
      <c r="F2697" s="1" t="str">
        <f t="shared" si="170"/>
        <v>50</v>
      </c>
      <c r="G2697" s="1" t="str">
        <f t="shared" si="171"/>
        <v/>
      </c>
      <c r="I2697" s="1" t="str">
        <f t="shared" si="169"/>
        <v>威尔新数值1.06.xlsm!suitPower</v>
      </c>
    </row>
    <row r="2698" spans="1:9" x14ac:dyDescent="0.15">
      <c r="A2698" s="1">
        <v>2697</v>
      </c>
      <c r="B2698" s="1">
        <v>302061500</v>
      </c>
      <c r="C2698" s="1">
        <f t="shared" si="168"/>
        <v>17</v>
      </c>
      <c r="D2698" s="5">
        <f ca="1">IF(getQuality(B2698)&lt;4,getOtherMin(B2698,C2698,INDIRECT(J$2),INDIRECT(I2698),test),getMin(B2698,C2698,INDIRECT(J$2),INDIRECT(I2698),test))</f>
        <v>49.611111111111114</v>
      </c>
      <c r="E2698" s="5">
        <f ca="1">IF(getQuality(B2698)&lt;4,getOtherMax(B2698,C2698,INDIRECT(J$2),INDIRECT(I2698),test),getMax(B2698,C2698,INDIRECT(J$2),INDIRECT(I2698),test))</f>
        <v>58.333333333333336</v>
      </c>
      <c r="F2698" s="1" t="str">
        <f t="shared" si="170"/>
        <v>50</v>
      </c>
      <c r="G2698" s="1" t="str">
        <f t="shared" si="171"/>
        <v/>
      </c>
      <c r="I2698" s="1" t="str">
        <f t="shared" si="169"/>
        <v>威尔新数值1.06.xlsm!suitPower</v>
      </c>
    </row>
    <row r="2699" spans="1:9" x14ac:dyDescent="0.15">
      <c r="A2699" s="1">
        <v>2698</v>
      </c>
      <c r="B2699" s="1">
        <v>302061500</v>
      </c>
      <c r="C2699" s="1">
        <f t="shared" si="168"/>
        <v>18</v>
      </c>
      <c r="D2699" s="5">
        <f ca="1">IF(getQuality(B2699)&lt;4,getOtherMin(B2699,C2699,INDIRECT(J$2),INDIRECT(I2699),test),getMin(B2699,C2699,INDIRECT(J$2),INDIRECT(I2699),test))</f>
        <v>49.611111111111114</v>
      </c>
      <c r="E2699" s="5">
        <f ca="1">IF(getQuality(B2699)&lt;4,getOtherMax(B2699,C2699,INDIRECT(J$2),INDIRECT(I2699),test),getMax(B2699,C2699,INDIRECT(J$2),INDIRECT(I2699),test))</f>
        <v>58.333333333333336</v>
      </c>
      <c r="F2699" s="1" t="str">
        <f t="shared" si="170"/>
        <v>50</v>
      </c>
      <c r="G2699" s="1" t="str">
        <f t="shared" si="171"/>
        <v/>
      </c>
      <c r="I2699" s="1" t="str">
        <f t="shared" si="169"/>
        <v>威尔新数值1.06.xlsm!suitPower</v>
      </c>
    </row>
    <row r="2700" spans="1:9" x14ac:dyDescent="0.15">
      <c r="A2700" s="1">
        <v>2699</v>
      </c>
      <c r="B2700" s="1">
        <v>302061500</v>
      </c>
      <c r="C2700" s="1">
        <f t="shared" si="168"/>
        <v>19</v>
      </c>
      <c r="D2700" s="5">
        <f ca="1">IF(getQuality(B2700)&lt;4,getOtherMin(B2700,C2700,INDIRECT(J$2),INDIRECT(I2700),test),getMin(B2700,C2700,INDIRECT(J$2),INDIRECT(I2700),test))</f>
        <v>49.611111111111114</v>
      </c>
      <c r="E2700" s="5">
        <f ca="1">IF(getQuality(B2700)&lt;4,getOtherMax(B2700,C2700,INDIRECT(J$2),INDIRECT(I2700),test),getMax(B2700,C2700,INDIRECT(J$2),INDIRECT(I2700),test))</f>
        <v>58.333333333333336</v>
      </c>
      <c r="F2700" s="1" t="str">
        <f t="shared" si="170"/>
        <v>50</v>
      </c>
      <c r="G2700" s="1" t="str">
        <f t="shared" si="171"/>
        <v/>
      </c>
      <c r="I2700" s="1" t="str">
        <f t="shared" si="169"/>
        <v>威尔新数值1.06.xlsm!suitPower</v>
      </c>
    </row>
    <row r="2701" spans="1:9" x14ac:dyDescent="0.15">
      <c r="A2701" s="1">
        <v>2700</v>
      </c>
      <c r="B2701" s="1">
        <v>302061500</v>
      </c>
      <c r="C2701" s="1">
        <f t="shared" si="168"/>
        <v>20</v>
      </c>
      <c r="D2701" s="5">
        <f ca="1">IF(getQuality(B2701)&lt;4,getOtherMin(B2701,C2701,INDIRECT(J$2),INDIRECT(I2701),test),getMin(B2701,C2701,INDIRECT(J$2),INDIRECT(I2701),test))</f>
        <v>49.611111111111114</v>
      </c>
      <c r="E2701" s="5">
        <f ca="1">IF(getQuality(B2701)&lt;4,getOtherMax(B2701,C2701,INDIRECT(J$2),INDIRECT(I2701),test),getMax(B2701,C2701,INDIRECT(J$2),INDIRECT(I2701),test))</f>
        <v>58.333333333333336</v>
      </c>
      <c r="F2701" s="1" t="str">
        <f t="shared" si="170"/>
        <v>50</v>
      </c>
      <c r="G2701" s="1" t="str">
        <f t="shared" si="171"/>
        <v/>
      </c>
      <c r="I2701" s="1" t="str">
        <f t="shared" si="169"/>
        <v>威尔新数值1.06.xlsm!suitPower</v>
      </c>
    </row>
    <row r="2702" spans="1:9" x14ac:dyDescent="0.15">
      <c r="A2702" s="1">
        <v>2701</v>
      </c>
      <c r="B2702" s="1">
        <v>302061500</v>
      </c>
      <c r="C2702" s="1">
        <f t="shared" ref="C2702:C2746" si="172">C2688</f>
        <v>21</v>
      </c>
      <c r="D2702" s="5">
        <f ca="1">IF(getQuality(B2702)&lt;4,getOtherMin(B2702,C2702,INDIRECT(J$2),INDIRECT(I2702),test),getMin(B2702,C2702,INDIRECT(J$2),INDIRECT(I2702),test))</f>
        <v>49.611111111111114</v>
      </c>
      <c r="E2702" s="5">
        <f ca="1">IF(getQuality(B2702)&lt;4,getOtherMax(B2702,C2702,INDIRECT(J$2),INDIRECT(I2702),test),getMax(B2702,C2702,INDIRECT(J$2),INDIRECT(I2702),test))</f>
        <v>58.333333333333336</v>
      </c>
      <c r="F2702" s="1" t="str">
        <f t="shared" si="170"/>
        <v>50</v>
      </c>
      <c r="G2702" s="1" t="str">
        <f t="shared" si="171"/>
        <v/>
      </c>
      <c r="I2702" s="1" t="str">
        <f t="shared" si="169"/>
        <v>威尔新数值1.06.xlsm!suitPower</v>
      </c>
    </row>
    <row r="2703" spans="1:9" x14ac:dyDescent="0.15">
      <c r="A2703" s="1">
        <v>2702</v>
      </c>
      <c r="B2703" s="1">
        <v>302061500</v>
      </c>
      <c r="C2703" s="1">
        <f t="shared" si="172"/>
        <v>22</v>
      </c>
      <c r="D2703" s="5">
        <f ca="1">IF(getQuality(B2703)&lt;4,getOtherMin(B2703,C2703,INDIRECT(J$2),INDIRECT(I2703),test),getMin(B2703,C2703,INDIRECT(J$2),INDIRECT(I2703),test))</f>
        <v>49.611111111111114</v>
      </c>
      <c r="E2703" s="5">
        <f ca="1">IF(getQuality(B2703)&lt;4,getOtherMax(B2703,C2703,INDIRECT(J$2),INDIRECT(I2703),test),getMax(B2703,C2703,INDIRECT(J$2),INDIRECT(I2703),test))</f>
        <v>58.333333333333336</v>
      </c>
      <c r="F2703" s="1" t="str">
        <f t="shared" si="170"/>
        <v>50</v>
      </c>
      <c r="G2703" s="1" t="str">
        <f t="shared" si="171"/>
        <v/>
      </c>
      <c r="I2703" s="1" t="str">
        <f t="shared" si="169"/>
        <v>威尔新数值1.06.xlsm!suitPower</v>
      </c>
    </row>
    <row r="2704" spans="1:9" x14ac:dyDescent="0.15">
      <c r="A2704" s="1">
        <v>2703</v>
      </c>
      <c r="B2704" s="1">
        <v>302061500</v>
      </c>
      <c r="C2704" s="1">
        <f t="shared" si="172"/>
        <v>23</v>
      </c>
      <c r="D2704" s="5">
        <f ca="1">IF(getQuality(B2704)&lt;4,getOtherMin(B2704,C2704,INDIRECT(J$2),INDIRECT(I2704),test),getMin(B2704,C2704,INDIRECT(J$2),INDIRECT(I2704),test))</f>
        <v>49.611111111111114</v>
      </c>
      <c r="E2704" s="5">
        <f ca="1">IF(getQuality(B2704)&lt;4,getOtherMax(B2704,C2704,INDIRECT(J$2),INDIRECT(I2704),test),getMax(B2704,C2704,INDIRECT(J$2),INDIRECT(I2704),test))</f>
        <v>58.333333333333336</v>
      </c>
      <c r="F2704" s="1" t="str">
        <f t="shared" si="170"/>
        <v>50</v>
      </c>
      <c r="G2704" s="1" t="str">
        <f t="shared" si="171"/>
        <v/>
      </c>
      <c r="I2704" s="1" t="str">
        <f t="shared" si="169"/>
        <v>威尔新数值1.06.xlsm!suitPower</v>
      </c>
    </row>
    <row r="2705" spans="1:9" x14ac:dyDescent="0.15">
      <c r="A2705" s="1">
        <v>2704</v>
      </c>
      <c r="B2705" s="1">
        <v>302071500</v>
      </c>
      <c r="C2705" s="1">
        <f t="shared" si="172"/>
        <v>1</v>
      </c>
      <c r="D2705" s="5">
        <f ca="1">IF(getQuality(B2705)&lt;4,getOtherMin(B2705,C2705,INDIRECT(J$2),INDIRECT(I2705),test),getMin(B2705,C2705,INDIRECT(J$2),INDIRECT(I2705),test))</f>
        <v>504.5333333333333</v>
      </c>
      <c r="E2705" s="5">
        <f ca="1">IF(getQuality(B2705)&lt;4,getOtherMax(B2705,C2705,INDIRECT(J$2),INDIRECT(I2705),test),getMax(B2705,C2705,INDIRECT(J$2),INDIRECT(I2705),test))</f>
        <v>626.38333333333333</v>
      </c>
      <c r="F2705" s="1" t="str">
        <f t="shared" si="170"/>
        <v>50</v>
      </c>
      <c r="G2705" s="1" t="str">
        <f t="shared" si="171"/>
        <v/>
      </c>
      <c r="I2705" s="1" t="str">
        <f t="shared" si="169"/>
        <v>威尔新数值1.06.xlsm!suitPower</v>
      </c>
    </row>
    <row r="2706" spans="1:9" x14ac:dyDescent="0.15">
      <c r="A2706" s="1">
        <v>2705</v>
      </c>
      <c r="B2706" s="1">
        <v>302071500</v>
      </c>
      <c r="C2706" s="1">
        <f t="shared" si="172"/>
        <v>2</v>
      </c>
      <c r="D2706" s="5">
        <f ca="1">IF(getQuality(B2706)&lt;4,getOtherMin(B2706,C2706,INDIRECT(J$2),INDIRECT(I2706),test),getMin(B2706,C2706,INDIRECT(J$2),INDIRECT(I2706),test))</f>
        <v>49.416666666666664</v>
      </c>
      <c r="E2706" s="5">
        <f ca="1">IF(getQuality(B2706)&lt;4,getOtherMax(B2706,C2706,INDIRECT(J$2),INDIRECT(I2706),test),getMax(B2706,C2706,INDIRECT(J$2),INDIRECT(I2706),test))</f>
        <v>60.229166666666664</v>
      </c>
      <c r="F2706" s="1" t="str">
        <f t="shared" si="170"/>
        <v>50</v>
      </c>
      <c r="G2706" s="1" t="str">
        <f t="shared" si="171"/>
        <v/>
      </c>
      <c r="I2706" s="1" t="str">
        <f t="shared" si="169"/>
        <v>威尔新数值1.06.xlsm!suitPower</v>
      </c>
    </row>
    <row r="2707" spans="1:9" x14ac:dyDescent="0.15">
      <c r="A2707" s="1">
        <v>2706</v>
      </c>
      <c r="B2707" s="1">
        <v>302071500</v>
      </c>
      <c r="C2707" s="1">
        <f t="shared" si="172"/>
        <v>4</v>
      </c>
      <c r="D2707" s="5">
        <f ca="1">IF(getQuality(B2707)&lt;4,getOtherMin(B2707,C2707,INDIRECT(J$2),INDIRECT(I2707),test),getMin(B2707,C2707,INDIRECT(J$2),INDIRECT(I2707),test))</f>
        <v>219.75</v>
      </c>
      <c r="E2707" s="5">
        <f ca="1">IF(getQuality(B2707)&lt;4,getOtherMax(B2707,C2707,INDIRECT(J$2),INDIRECT(I2707),test),getMax(B2707,C2707,INDIRECT(J$2),INDIRECT(I2707),test))</f>
        <v>255.20833333333334</v>
      </c>
      <c r="F2707" s="1" t="str">
        <f t="shared" si="170"/>
        <v>50</v>
      </c>
      <c r="G2707" s="1" t="str">
        <f t="shared" si="171"/>
        <v>1</v>
      </c>
      <c r="I2707" s="1" t="str">
        <f t="shared" si="169"/>
        <v>威尔新数值1.06.xlsm!suitPower</v>
      </c>
    </row>
    <row r="2708" spans="1:9" x14ac:dyDescent="0.15">
      <c r="A2708" s="1">
        <v>2707</v>
      </c>
      <c r="B2708" s="1">
        <v>302071500</v>
      </c>
      <c r="C2708" s="1">
        <f t="shared" si="172"/>
        <v>6</v>
      </c>
      <c r="D2708" s="5">
        <f ca="1">IF(getQuality(B2708)&lt;4,getOtherMin(B2708,C2708,INDIRECT(J$2),INDIRECT(I2708),test),getMin(B2708,C2708,INDIRECT(J$2),INDIRECT(I2708),test))</f>
        <v>219.75</v>
      </c>
      <c r="E2708" s="5">
        <f ca="1">IF(getQuality(B2708)&lt;4,getOtherMax(B2708,C2708,INDIRECT(J$2),INDIRECT(I2708),test),getMax(B2708,C2708,INDIRECT(J$2),INDIRECT(I2708),test))</f>
        <v>255.20833333333334</v>
      </c>
      <c r="F2708" s="1" t="str">
        <f t="shared" si="170"/>
        <v>50</v>
      </c>
      <c r="G2708" s="1" t="str">
        <f t="shared" si="171"/>
        <v/>
      </c>
      <c r="I2708" s="1" t="str">
        <f t="shared" si="169"/>
        <v>威尔新数值1.06.xlsm!suitPower</v>
      </c>
    </row>
    <row r="2709" spans="1:9" x14ac:dyDescent="0.15">
      <c r="A2709" s="1">
        <v>2708</v>
      </c>
      <c r="B2709" s="1">
        <v>302071500</v>
      </c>
      <c r="C2709" s="1">
        <f t="shared" si="172"/>
        <v>7</v>
      </c>
      <c r="D2709" s="5">
        <f ca="1">IF(getQuality(B2709)&lt;4,getOtherMin(B2709,C2709,INDIRECT(J$2),INDIRECT(I2709),test),getMin(B2709,C2709,INDIRECT(J$2),INDIRECT(I2709),test))</f>
        <v>20.444444444444393</v>
      </c>
      <c r="E2709" s="5">
        <f ca="1">IF(getQuality(B2709)&lt;4,getOtherMax(B2709,C2709,INDIRECT(J$2),INDIRECT(I2709),test),getMax(B2709,C2709,INDIRECT(J$2),INDIRECT(I2709),test))</f>
        <v>22.685185185185126</v>
      </c>
      <c r="F2709" s="1" t="str">
        <f t="shared" si="170"/>
        <v>50</v>
      </c>
      <c r="G2709" s="1" t="str">
        <f t="shared" si="171"/>
        <v/>
      </c>
      <c r="I2709" s="1" t="str">
        <f t="shared" si="169"/>
        <v>威尔新数值1.06.xlsm!suitPower</v>
      </c>
    </row>
    <row r="2710" spans="1:9" x14ac:dyDescent="0.15">
      <c r="A2710" s="1">
        <v>2709</v>
      </c>
      <c r="B2710" s="1">
        <v>302071500</v>
      </c>
      <c r="C2710" s="1">
        <f t="shared" si="172"/>
        <v>8</v>
      </c>
      <c r="D2710" s="5">
        <f ca="1">IF(getQuality(B2710)&lt;4,getOtherMin(B2710,C2710,INDIRECT(J$2),INDIRECT(I2710),test),getMin(B2710,C2710,INDIRECT(J$2),INDIRECT(I2710),test))</f>
        <v>44.75</v>
      </c>
      <c r="E2710" s="5">
        <f ca="1">IF(getQuality(B2710)&lt;4,getOtherMax(B2710,C2710,INDIRECT(J$2),INDIRECT(I2710),test),getMax(B2710,C2710,INDIRECT(J$2),INDIRECT(I2710),test))</f>
        <v>51.041666666666664</v>
      </c>
      <c r="F2710" s="1" t="str">
        <f t="shared" si="170"/>
        <v>50</v>
      </c>
      <c r="G2710" s="1" t="str">
        <f t="shared" si="171"/>
        <v/>
      </c>
      <c r="I2710" s="1" t="str">
        <f t="shared" si="169"/>
        <v>威尔新数值1.06.xlsm!suitPower</v>
      </c>
    </row>
    <row r="2711" spans="1:9" x14ac:dyDescent="0.15">
      <c r="A2711" s="1">
        <v>2710</v>
      </c>
      <c r="B2711" s="1">
        <v>302071500</v>
      </c>
      <c r="C2711" s="1">
        <f t="shared" si="172"/>
        <v>16</v>
      </c>
      <c r="D2711" s="5">
        <f ca="1">IF(getQuality(B2711)&lt;4,getOtherMin(B2711,C2711,INDIRECT(J$2),INDIRECT(I2711),test),getMin(B2711,C2711,INDIRECT(J$2),INDIRECT(I2711),test))</f>
        <v>59.333333333333336</v>
      </c>
      <c r="E2711" s="5">
        <f ca="1">IF(getQuality(B2711)&lt;4,getOtherMax(B2711,C2711,INDIRECT(J$2),INDIRECT(I2711),test),getMax(B2711,C2711,INDIRECT(J$2),INDIRECT(I2711),test))</f>
        <v>68.055555555555557</v>
      </c>
      <c r="F2711" s="1" t="str">
        <f t="shared" si="170"/>
        <v>50</v>
      </c>
      <c r="G2711" s="1" t="str">
        <f t="shared" si="171"/>
        <v/>
      </c>
      <c r="I2711" s="1" t="str">
        <f t="shared" si="169"/>
        <v>威尔新数值1.06.xlsm!suitPower</v>
      </c>
    </row>
    <row r="2712" spans="1:9" x14ac:dyDescent="0.15">
      <c r="A2712" s="1">
        <v>2711</v>
      </c>
      <c r="B2712" s="1">
        <v>302071500</v>
      </c>
      <c r="C2712" s="1">
        <f t="shared" si="172"/>
        <v>17</v>
      </c>
      <c r="D2712" s="5">
        <f ca="1">IF(getQuality(B2712)&lt;4,getOtherMin(B2712,C2712,INDIRECT(J$2),INDIRECT(I2712),test),getMin(B2712,C2712,INDIRECT(J$2),INDIRECT(I2712),test))</f>
        <v>59.333333333333336</v>
      </c>
      <c r="E2712" s="5">
        <f ca="1">IF(getQuality(B2712)&lt;4,getOtherMax(B2712,C2712,INDIRECT(J$2),INDIRECT(I2712),test),getMax(B2712,C2712,INDIRECT(J$2),INDIRECT(I2712),test))</f>
        <v>68.055555555555557</v>
      </c>
      <c r="F2712" s="1" t="str">
        <f t="shared" si="170"/>
        <v>50</v>
      </c>
      <c r="G2712" s="1" t="str">
        <f t="shared" si="171"/>
        <v/>
      </c>
      <c r="I2712" s="1" t="str">
        <f t="shared" si="169"/>
        <v>威尔新数值1.06.xlsm!suitPower</v>
      </c>
    </row>
    <row r="2713" spans="1:9" x14ac:dyDescent="0.15">
      <c r="A2713" s="1">
        <v>2712</v>
      </c>
      <c r="B2713" s="1">
        <v>302071500</v>
      </c>
      <c r="C2713" s="1">
        <f t="shared" si="172"/>
        <v>18</v>
      </c>
      <c r="D2713" s="5">
        <f ca="1">IF(getQuality(B2713)&lt;4,getOtherMin(B2713,C2713,INDIRECT(J$2),INDIRECT(I2713),test),getMin(B2713,C2713,INDIRECT(J$2),INDIRECT(I2713),test))</f>
        <v>59.333333333333336</v>
      </c>
      <c r="E2713" s="5">
        <f ca="1">IF(getQuality(B2713)&lt;4,getOtherMax(B2713,C2713,INDIRECT(J$2),INDIRECT(I2713),test),getMax(B2713,C2713,INDIRECT(J$2),INDIRECT(I2713),test))</f>
        <v>68.055555555555557</v>
      </c>
      <c r="F2713" s="1" t="str">
        <f t="shared" si="170"/>
        <v>50</v>
      </c>
      <c r="G2713" s="1" t="str">
        <f t="shared" si="171"/>
        <v/>
      </c>
      <c r="I2713" s="1" t="str">
        <f t="shared" si="169"/>
        <v>威尔新数值1.06.xlsm!suitPower</v>
      </c>
    </row>
    <row r="2714" spans="1:9" x14ac:dyDescent="0.15">
      <c r="A2714" s="1">
        <v>2713</v>
      </c>
      <c r="B2714" s="1">
        <v>302071500</v>
      </c>
      <c r="C2714" s="1">
        <f t="shared" si="172"/>
        <v>19</v>
      </c>
      <c r="D2714" s="5">
        <f ca="1">IF(getQuality(B2714)&lt;4,getOtherMin(B2714,C2714,INDIRECT(J$2),INDIRECT(I2714),test),getMin(B2714,C2714,INDIRECT(J$2),INDIRECT(I2714),test))</f>
        <v>59.333333333333336</v>
      </c>
      <c r="E2714" s="5">
        <f ca="1">IF(getQuality(B2714)&lt;4,getOtherMax(B2714,C2714,INDIRECT(J$2),INDIRECT(I2714),test),getMax(B2714,C2714,INDIRECT(J$2),INDIRECT(I2714),test))</f>
        <v>68.055555555555557</v>
      </c>
      <c r="F2714" s="1" t="str">
        <f t="shared" si="170"/>
        <v>50</v>
      </c>
      <c r="G2714" s="1" t="str">
        <f t="shared" si="171"/>
        <v/>
      </c>
      <c r="I2714" s="1" t="str">
        <f t="shared" si="169"/>
        <v>威尔新数值1.06.xlsm!suitPower</v>
      </c>
    </row>
    <row r="2715" spans="1:9" x14ac:dyDescent="0.15">
      <c r="A2715" s="1">
        <v>2714</v>
      </c>
      <c r="B2715" s="1">
        <v>302071500</v>
      </c>
      <c r="C2715" s="1">
        <f t="shared" si="172"/>
        <v>20</v>
      </c>
      <c r="D2715" s="5">
        <f ca="1">IF(getQuality(B2715)&lt;4,getOtherMin(B2715,C2715,INDIRECT(J$2),INDIRECT(I2715),test),getMin(B2715,C2715,INDIRECT(J$2),INDIRECT(I2715),test))</f>
        <v>59.333333333333336</v>
      </c>
      <c r="E2715" s="5">
        <f ca="1">IF(getQuality(B2715)&lt;4,getOtherMax(B2715,C2715,INDIRECT(J$2),INDIRECT(I2715),test),getMax(B2715,C2715,INDIRECT(J$2),INDIRECT(I2715),test))</f>
        <v>68.055555555555557</v>
      </c>
      <c r="F2715" s="1" t="str">
        <f t="shared" si="170"/>
        <v>50</v>
      </c>
      <c r="G2715" s="1" t="str">
        <f t="shared" si="171"/>
        <v/>
      </c>
      <c r="I2715" s="1" t="str">
        <f t="shared" si="169"/>
        <v>威尔新数值1.06.xlsm!suitPower</v>
      </c>
    </row>
    <row r="2716" spans="1:9" x14ac:dyDescent="0.15">
      <c r="A2716" s="1">
        <v>2715</v>
      </c>
      <c r="B2716" s="1">
        <v>302071500</v>
      </c>
      <c r="C2716" s="1">
        <f t="shared" si="172"/>
        <v>21</v>
      </c>
      <c r="D2716" s="5">
        <f ca="1">IF(getQuality(B2716)&lt;4,getOtherMin(B2716,C2716,INDIRECT(J$2),INDIRECT(I2716),test),getMin(B2716,C2716,INDIRECT(J$2),INDIRECT(I2716),test))</f>
        <v>59.333333333333336</v>
      </c>
      <c r="E2716" s="5">
        <f ca="1">IF(getQuality(B2716)&lt;4,getOtherMax(B2716,C2716,INDIRECT(J$2),INDIRECT(I2716),test),getMax(B2716,C2716,INDIRECT(J$2),INDIRECT(I2716),test))</f>
        <v>68.055555555555557</v>
      </c>
      <c r="F2716" s="1" t="str">
        <f t="shared" si="170"/>
        <v>50</v>
      </c>
      <c r="G2716" s="1" t="str">
        <f t="shared" si="171"/>
        <v/>
      </c>
      <c r="I2716" s="1" t="str">
        <f t="shared" si="169"/>
        <v>威尔新数值1.06.xlsm!suitPower</v>
      </c>
    </row>
    <row r="2717" spans="1:9" x14ac:dyDescent="0.15">
      <c r="A2717" s="1">
        <v>2716</v>
      </c>
      <c r="B2717" s="1">
        <v>302071500</v>
      </c>
      <c r="C2717" s="1">
        <f t="shared" si="172"/>
        <v>22</v>
      </c>
      <c r="D2717" s="5">
        <f ca="1">IF(getQuality(B2717)&lt;4,getOtherMin(B2717,C2717,INDIRECT(J$2),INDIRECT(I2717),test),getMin(B2717,C2717,INDIRECT(J$2),INDIRECT(I2717),test))</f>
        <v>59.333333333333336</v>
      </c>
      <c r="E2717" s="5">
        <f ca="1">IF(getQuality(B2717)&lt;4,getOtherMax(B2717,C2717,INDIRECT(J$2),INDIRECT(I2717),test),getMax(B2717,C2717,INDIRECT(J$2),INDIRECT(I2717),test))</f>
        <v>68.055555555555557</v>
      </c>
      <c r="F2717" s="1" t="str">
        <f t="shared" si="170"/>
        <v>50</v>
      </c>
      <c r="G2717" s="1" t="str">
        <f t="shared" si="171"/>
        <v/>
      </c>
      <c r="I2717" s="1" t="str">
        <f t="shared" si="169"/>
        <v>威尔新数值1.06.xlsm!suitPower</v>
      </c>
    </row>
    <row r="2718" spans="1:9" x14ac:dyDescent="0.15">
      <c r="A2718" s="1">
        <v>2717</v>
      </c>
      <c r="B2718" s="1">
        <v>302071500</v>
      </c>
      <c r="C2718" s="1">
        <f t="shared" si="172"/>
        <v>23</v>
      </c>
      <c r="D2718" s="5">
        <f ca="1">IF(getQuality(B2718)&lt;4,getOtherMin(B2718,C2718,INDIRECT(J$2),INDIRECT(I2718),test),getMin(B2718,C2718,INDIRECT(J$2),INDIRECT(I2718),test))</f>
        <v>59.333333333333336</v>
      </c>
      <c r="E2718" s="5">
        <f ca="1">IF(getQuality(B2718)&lt;4,getOtherMax(B2718,C2718,INDIRECT(J$2),INDIRECT(I2718),test),getMax(B2718,C2718,INDIRECT(J$2),INDIRECT(I2718),test))</f>
        <v>68.055555555555557</v>
      </c>
      <c r="F2718" s="1" t="str">
        <f t="shared" si="170"/>
        <v>50</v>
      </c>
      <c r="G2718" s="1" t="str">
        <f t="shared" si="171"/>
        <v/>
      </c>
      <c r="I2718" s="1" t="str">
        <f t="shared" si="169"/>
        <v>威尔新数值1.06.xlsm!suitPower</v>
      </c>
    </row>
    <row r="2719" spans="1:9" x14ac:dyDescent="0.15">
      <c r="A2719" s="1">
        <v>2718</v>
      </c>
      <c r="B2719" s="1">
        <v>302081500</v>
      </c>
      <c r="C2719" s="1">
        <f t="shared" si="172"/>
        <v>1</v>
      </c>
      <c r="D2719" s="5">
        <f ca="1">IF(getQuality(B2719)&lt;4,getOtherMin(B2719,C2719,INDIRECT(J$2),INDIRECT(I2719),test),getMin(B2719,C2719,INDIRECT(J$2),INDIRECT(I2719),test))</f>
        <v>627.38333333333333</v>
      </c>
      <c r="E2719" s="5">
        <f ca="1">IF(getQuality(B2719)&lt;4,getOtherMax(B2719,C2719,INDIRECT(J$2),INDIRECT(I2719),test),getMax(B2719,C2719,INDIRECT(J$2),INDIRECT(I2719),test))</f>
        <v>760.3555555555555</v>
      </c>
      <c r="F2719" s="1" t="str">
        <f t="shared" si="170"/>
        <v>50</v>
      </c>
      <c r="G2719" s="1" t="str">
        <f t="shared" si="171"/>
        <v/>
      </c>
      <c r="I2719" s="1" t="str">
        <f t="shared" si="169"/>
        <v>威尔新数值1.06.xlsm!suitPower</v>
      </c>
    </row>
    <row r="2720" spans="1:9" x14ac:dyDescent="0.15">
      <c r="A2720" s="1">
        <v>2719</v>
      </c>
      <c r="B2720" s="1">
        <v>302081500</v>
      </c>
      <c r="C2720" s="1">
        <f t="shared" si="172"/>
        <v>2</v>
      </c>
      <c r="D2720" s="5">
        <f ca="1">IF(getQuality(B2720)&lt;4,getOtherMin(B2720,C2720,INDIRECT(J$2),INDIRECT(I2720),test),getMin(B2720,C2720,INDIRECT(J$2),INDIRECT(I2720),test))</f>
        <v>61.229166666666664</v>
      </c>
      <c r="E2720" s="5">
        <f ca="1">IF(getQuality(B2720)&lt;4,getOtherMax(B2720,C2720,INDIRECT(J$2),INDIRECT(I2720),test),getMax(B2720,C2720,INDIRECT(J$2),INDIRECT(I2720),test))</f>
        <v>73.1111111111111</v>
      </c>
      <c r="F2720" s="1" t="str">
        <f t="shared" si="170"/>
        <v>50</v>
      </c>
      <c r="G2720" s="1" t="str">
        <f t="shared" si="171"/>
        <v/>
      </c>
      <c r="I2720" s="1" t="str">
        <f t="shared" si="169"/>
        <v>威尔新数值1.06.xlsm!suitPower</v>
      </c>
    </row>
    <row r="2721" spans="1:9" x14ac:dyDescent="0.15">
      <c r="A2721" s="1">
        <v>2720</v>
      </c>
      <c r="B2721" s="1">
        <v>302081500</v>
      </c>
      <c r="C2721" s="1">
        <f t="shared" si="172"/>
        <v>4</v>
      </c>
      <c r="D2721" s="5">
        <f ca="1">IF(getQuality(B2721)&lt;4,getOtherMin(B2721,C2721,INDIRECT(J$2),INDIRECT(I2721),test),getMin(B2721,C2721,INDIRECT(J$2),INDIRECT(I2721),test))</f>
        <v>256.20833333333331</v>
      </c>
      <c r="E2721" s="5">
        <f ca="1">IF(getQuality(B2721)&lt;4,getOtherMax(B2721,C2721,INDIRECT(J$2),INDIRECT(I2721),test),getMax(B2721,C2721,INDIRECT(J$2),INDIRECT(I2721),test))</f>
        <v>291.66666666666669</v>
      </c>
      <c r="F2721" s="1" t="str">
        <f t="shared" si="170"/>
        <v>50</v>
      </c>
      <c r="G2721" s="1" t="str">
        <f t="shared" si="171"/>
        <v>1</v>
      </c>
      <c r="I2721" s="1" t="str">
        <f t="shared" si="169"/>
        <v>威尔新数值1.06.xlsm!suitPower</v>
      </c>
    </row>
    <row r="2722" spans="1:9" x14ac:dyDescent="0.15">
      <c r="A2722" s="1">
        <v>2721</v>
      </c>
      <c r="B2722" s="1">
        <v>302081500</v>
      </c>
      <c r="C2722" s="1">
        <f t="shared" si="172"/>
        <v>6</v>
      </c>
      <c r="D2722" s="5">
        <f ca="1">IF(getQuality(B2722)&lt;4,getOtherMin(B2722,C2722,INDIRECT(J$2),INDIRECT(I2722),test),getMin(B2722,C2722,INDIRECT(J$2),INDIRECT(I2722),test))</f>
        <v>256.20833333333331</v>
      </c>
      <c r="E2722" s="5">
        <f ca="1">IF(getQuality(B2722)&lt;4,getOtherMax(B2722,C2722,INDIRECT(J$2),INDIRECT(I2722),test),getMax(B2722,C2722,INDIRECT(J$2),INDIRECT(I2722),test))</f>
        <v>291.66666666666669</v>
      </c>
      <c r="F2722" s="1" t="str">
        <f t="shared" si="170"/>
        <v>50</v>
      </c>
      <c r="G2722" s="1" t="str">
        <f t="shared" si="171"/>
        <v/>
      </c>
      <c r="I2722" s="1" t="str">
        <f t="shared" si="169"/>
        <v>威尔新数值1.06.xlsm!suitPower</v>
      </c>
    </row>
    <row r="2723" spans="1:9" x14ac:dyDescent="0.15">
      <c r="A2723" s="1">
        <v>2722</v>
      </c>
      <c r="B2723" s="1">
        <v>302081500</v>
      </c>
      <c r="C2723" s="1">
        <f t="shared" si="172"/>
        <v>7</v>
      </c>
      <c r="D2723" s="5">
        <f ca="1">IF(getQuality(B2723)&lt;4,getOtherMin(B2723,C2723,INDIRECT(J$2),INDIRECT(I2723),test),getMin(B2723,C2723,INDIRECT(J$2),INDIRECT(I2723),test))</f>
        <v>23.685185185185126</v>
      </c>
      <c r="E2723" s="5">
        <f ca="1">IF(getQuality(B2723)&lt;4,getOtherMax(B2723,C2723,INDIRECT(J$2),INDIRECT(I2723),test),getMax(B2723,C2723,INDIRECT(J$2),INDIRECT(I2723),test))</f>
        <v>25.92592592592586</v>
      </c>
      <c r="F2723" s="1" t="str">
        <f t="shared" si="170"/>
        <v>50</v>
      </c>
      <c r="G2723" s="1" t="str">
        <f t="shared" si="171"/>
        <v/>
      </c>
      <c r="I2723" s="1" t="str">
        <f t="shared" si="169"/>
        <v>威尔新数值1.06.xlsm!suitPower</v>
      </c>
    </row>
    <row r="2724" spans="1:9" x14ac:dyDescent="0.15">
      <c r="A2724" s="1">
        <v>2723</v>
      </c>
      <c r="B2724" s="1">
        <v>302081500</v>
      </c>
      <c r="C2724" s="1">
        <f t="shared" si="172"/>
        <v>8</v>
      </c>
      <c r="D2724" s="5">
        <f ca="1">IF(getQuality(B2724)&lt;4,getOtherMin(B2724,C2724,INDIRECT(J$2),INDIRECT(I2724),test),getMin(B2724,C2724,INDIRECT(J$2),INDIRECT(I2724),test))</f>
        <v>52.041666666666664</v>
      </c>
      <c r="E2724" s="5">
        <f ca="1">IF(getQuality(B2724)&lt;4,getOtherMax(B2724,C2724,INDIRECT(J$2),INDIRECT(I2724),test),getMax(B2724,C2724,INDIRECT(J$2),INDIRECT(I2724),test))</f>
        <v>58.333333333333336</v>
      </c>
      <c r="F2724" s="1" t="str">
        <f t="shared" si="170"/>
        <v>50</v>
      </c>
      <c r="G2724" s="1" t="str">
        <f t="shared" si="171"/>
        <v/>
      </c>
      <c r="I2724" s="1" t="str">
        <f t="shared" si="169"/>
        <v>威尔新数值1.06.xlsm!suitPower</v>
      </c>
    </row>
    <row r="2725" spans="1:9" x14ac:dyDescent="0.15">
      <c r="A2725" s="1">
        <v>2724</v>
      </c>
      <c r="B2725" s="1">
        <v>302081500</v>
      </c>
      <c r="C2725" s="1">
        <f t="shared" si="172"/>
        <v>16</v>
      </c>
      <c r="D2725" s="5">
        <f ca="1">IF(getQuality(B2725)&lt;4,getOtherMin(B2725,C2725,INDIRECT(J$2),INDIRECT(I2725),test),getMin(B2725,C2725,INDIRECT(J$2),INDIRECT(I2725),test))</f>
        <v>69.055555555555557</v>
      </c>
      <c r="E2725" s="5">
        <f ca="1">IF(getQuality(B2725)&lt;4,getOtherMax(B2725,C2725,INDIRECT(J$2),INDIRECT(I2725),test),getMax(B2725,C2725,INDIRECT(J$2),INDIRECT(I2725),test))</f>
        <v>77.777777777777771</v>
      </c>
      <c r="F2725" s="1" t="str">
        <f t="shared" si="170"/>
        <v>50</v>
      </c>
      <c r="G2725" s="1" t="str">
        <f t="shared" si="171"/>
        <v/>
      </c>
      <c r="I2725" s="1" t="str">
        <f t="shared" si="169"/>
        <v>威尔新数值1.06.xlsm!suitPower</v>
      </c>
    </row>
    <row r="2726" spans="1:9" x14ac:dyDescent="0.15">
      <c r="A2726" s="1">
        <v>2725</v>
      </c>
      <c r="B2726" s="1">
        <v>302081500</v>
      </c>
      <c r="C2726" s="1">
        <f t="shared" si="172"/>
        <v>17</v>
      </c>
      <c r="D2726" s="5">
        <f ca="1">IF(getQuality(B2726)&lt;4,getOtherMin(B2726,C2726,INDIRECT(J$2),INDIRECT(I2726),test),getMin(B2726,C2726,INDIRECT(J$2),INDIRECT(I2726),test))</f>
        <v>69.055555555555557</v>
      </c>
      <c r="E2726" s="5">
        <f ca="1">IF(getQuality(B2726)&lt;4,getOtherMax(B2726,C2726,INDIRECT(J$2),INDIRECT(I2726),test),getMax(B2726,C2726,INDIRECT(J$2),INDIRECT(I2726),test))</f>
        <v>77.777777777777771</v>
      </c>
      <c r="F2726" s="1" t="str">
        <f t="shared" si="170"/>
        <v>50</v>
      </c>
      <c r="G2726" s="1" t="str">
        <f t="shared" si="171"/>
        <v/>
      </c>
      <c r="I2726" s="1" t="str">
        <f t="shared" si="169"/>
        <v>威尔新数值1.06.xlsm!suitPower</v>
      </c>
    </row>
    <row r="2727" spans="1:9" x14ac:dyDescent="0.15">
      <c r="A2727" s="1">
        <v>2726</v>
      </c>
      <c r="B2727" s="1">
        <v>302081500</v>
      </c>
      <c r="C2727" s="1">
        <f t="shared" si="172"/>
        <v>18</v>
      </c>
      <c r="D2727" s="5">
        <f ca="1">IF(getQuality(B2727)&lt;4,getOtherMin(B2727,C2727,INDIRECT(J$2),INDIRECT(I2727),test),getMin(B2727,C2727,INDIRECT(J$2),INDIRECT(I2727),test))</f>
        <v>69.055555555555557</v>
      </c>
      <c r="E2727" s="5">
        <f ca="1">IF(getQuality(B2727)&lt;4,getOtherMax(B2727,C2727,INDIRECT(J$2),INDIRECT(I2727),test),getMax(B2727,C2727,INDIRECT(J$2),INDIRECT(I2727),test))</f>
        <v>77.777777777777771</v>
      </c>
      <c r="F2727" s="1" t="str">
        <f t="shared" si="170"/>
        <v>50</v>
      </c>
      <c r="G2727" s="1" t="str">
        <f t="shared" si="171"/>
        <v/>
      </c>
      <c r="I2727" s="1" t="str">
        <f t="shared" si="169"/>
        <v>威尔新数值1.06.xlsm!suitPower</v>
      </c>
    </row>
    <row r="2728" spans="1:9" x14ac:dyDescent="0.15">
      <c r="A2728" s="1">
        <v>2727</v>
      </c>
      <c r="B2728" s="1">
        <v>302081500</v>
      </c>
      <c r="C2728" s="1">
        <f t="shared" si="172"/>
        <v>19</v>
      </c>
      <c r="D2728" s="5">
        <f ca="1">IF(getQuality(B2728)&lt;4,getOtherMin(B2728,C2728,INDIRECT(J$2),INDIRECT(I2728),test),getMin(B2728,C2728,INDIRECT(J$2),INDIRECT(I2728),test))</f>
        <v>69.055555555555557</v>
      </c>
      <c r="E2728" s="5">
        <f ca="1">IF(getQuality(B2728)&lt;4,getOtherMax(B2728,C2728,INDIRECT(J$2),INDIRECT(I2728),test),getMax(B2728,C2728,INDIRECT(J$2),INDIRECT(I2728),test))</f>
        <v>77.777777777777771</v>
      </c>
      <c r="F2728" s="1" t="str">
        <f t="shared" si="170"/>
        <v>50</v>
      </c>
      <c r="G2728" s="1" t="str">
        <f t="shared" si="171"/>
        <v/>
      </c>
      <c r="I2728" s="1" t="str">
        <f t="shared" si="169"/>
        <v>威尔新数值1.06.xlsm!suitPower</v>
      </c>
    </row>
    <row r="2729" spans="1:9" x14ac:dyDescent="0.15">
      <c r="A2729" s="1">
        <v>2728</v>
      </c>
      <c r="B2729" s="1">
        <v>302081500</v>
      </c>
      <c r="C2729" s="1">
        <f t="shared" si="172"/>
        <v>20</v>
      </c>
      <c r="D2729" s="5">
        <f ca="1">IF(getQuality(B2729)&lt;4,getOtherMin(B2729,C2729,INDIRECT(J$2),INDIRECT(I2729),test),getMin(B2729,C2729,INDIRECT(J$2),INDIRECT(I2729),test))</f>
        <v>69.055555555555557</v>
      </c>
      <c r="E2729" s="5">
        <f ca="1">IF(getQuality(B2729)&lt;4,getOtherMax(B2729,C2729,INDIRECT(J$2),INDIRECT(I2729),test),getMax(B2729,C2729,INDIRECT(J$2),INDIRECT(I2729),test))</f>
        <v>77.777777777777771</v>
      </c>
      <c r="F2729" s="1" t="str">
        <f t="shared" si="170"/>
        <v>50</v>
      </c>
      <c r="G2729" s="1" t="str">
        <f t="shared" si="171"/>
        <v/>
      </c>
      <c r="I2729" s="1" t="str">
        <f t="shared" si="169"/>
        <v>威尔新数值1.06.xlsm!suitPower</v>
      </c>
    </row>
    <row r="2730" spans="1:9" x14ac:dyDescent="0.15">
      <c r="A2730" s="1">
        <v>2729</v>
      </c>
      <c r="B2730" s="1">
        <v>302081500</v>
      </c>
      <c r="C2730" s="1">
        <f t="shared" si="172"/>
        <v>21</v>
      </c>
      <c r="D2730" s="5">
        <f ca="1">IF(getQuality(B2730)&lt;4,getOtherMin(B2730,C2730,INDIRECT(J$2),INDIRECT(I2730),test),getMin(B2730,C2730,INDIRECT(J$2),INDIRECT(I2730),test))</f>
        <v>69.055555555555557</v>
      </c>
      <c r="E2730" s="5">
        <f ca="1">IF(getQuality(B2730)&lt;4,getOtherMax(B2730,C2730,INDIRECT(J$2),INDIRECT(I2730),test),getMax(B2730,C2730,INDIRECT(J$2),INDIRECT(I2730),test))</f>
        <v>77.777777777777771</v>
      </c>
      <c r="F2730" s="1" t="str">
        <f t="shared" si="170"/>
        <v>50</v>
      </c>
      <c r="G2730" s="1" t="str">
        <f t="shared" si="171"/>
        <v/>
      </c>
      <c r="I2730" s="1" t="str">
        <f t="shared" si="169"/>
        <v>威尔新数值1.06.xlsm!suitPower</v>
      </c>
    </row>
    <row r="2731" spans="1:9" x14ac:dyDescent="0.15">
      <c r="A2731" s="1">
        <v>2730</v>
      </c>
      <c r="B2731" s="1">
        <v>302081500</v>
      </c>
      <c r="C2731" s="1">
        <f t="shared" si="172"/>
        <v>22</v>
      </c>
      <c r="D2731" s="5">
        <f ca="1">IF(getQuality(B2731)&lt;4,getOtherMin(B2731,C2731,INDIRECT(J$2),INDIRECT(I2731),test),getMin(B2731,C2731,INDIRECT(J$2),INDIRECT(I2731),test))</f>
        <v>69.055555555555557</v>
      </c>
      <c r="E2731" s="5">
        <f ca="1">IF(getQuality(B2731)&lt;4,getOtherMax(B2731,C2731,INDIRECT(J$2),INDIRECT(I2731),test),getMax(B2731,C2731,INDIRECT(J$2),INDIRECT(I2731),test))</f>
        <v>77.777777777777771</v>
      </c>
      <c r="F2731" s="1" t="str">
        <f t="shared" si="170"/>
        <v>50</v>
      </c>
      <c r="G2731" s="1" t="str">
        <f t="shared" si="171"/>
        <v/>
      </c>
      <c r="I2731" s="1" t="str">
        <f t="shared" si="169"/>
        <v>威尔新数值1.06.xlsm!suitPower</v>
      </c>
    </row>
    <row r="2732" spans="1:9" x14ac:dyDescent="0.15">
      <c r="A2732" s="1">
        <v>2731</v>
      </c>
      <c r="B2732" s="1">
        <v>302081500</v>
      </c>
      <c r="C2732" s="1">
        <f t="shared" si="172"/>
        <v>23</v>
      </c>
      <c r="D2732" s="5">
        <f ca="1">IF(getQuality(B2732)&lt;4,getOtherMin(B2732,C2732,INDIRECT(J$2),INDIRECT(I2732),test),getMin(B2732,C2732,INDIRECT(J$2),INDIRECT(I2732),test))</f>
        <v>69.055555555555557</v>
      </c>
      <c r="E2732" s="5">
        <f ca="1">IF(getQuality(B2732)&lt;4,getOtherMax(B2732,C2732,INDIRECT(J$2),INDIRECT(I2732),test),getMax(B2732,C2732,INDIRECT(J$2),INDIRECT(I2732),test))</f>
        <v>77.777777777777771</v>
      </c>
      <c r="F2732" s="1" t="str">
        <f t="shared" si="170"/>
        <v>50</v>
      </c>
      <c r="G2732" s="1" t="str">
        <f t="shared" si="171"/>
        <v/>
      </c>
      <c r="I2732" s="1" t="str">
        <f t="shared" si="169"/>
        <v>威尔新数值1.06.xlsm!suitPower</v>
      </c>
    </row>
    <row r="2733" spans="1:9" x14ac:dyDescent="0.15">
      <c r="A2733" s="1">
        <v>2732</v>
      </c>
      <c r="B2733" s="1">
        <v>302091500</v>
      </c>
      <c r="C2733" s="1">
        <f t="shared" si="172"/>
        <v>1</v>
      </c>
      <c r="D2733" s="5">
        <f ca="1">IF(getQuality(B2733)&lt;4,getOtherMin(B2733,C2733,INDIRECT(J$2),INDIRECT(I2733),test),getMin(B2733,C2733,INDIRECT(J$2),INDIRECT(I2733),test))</f>
        <v>761.3555555555555</v>
      </c>
      <c r="E2733" s="5">
        <f ca="1">IF(getQuality(B2733)&lt;4,getOtherMax(B2733,C2733,INDIRECT(J$2),INDIRECT(I2733),test),getMax(B2733,C2733,INDIRECT(J$2),INDIRECT(I2733),test))</f>
        <v>905.45</v>
      </c>
      <c r="F2733" s="1" t="str">
        <f t="shared" si="170"/>
        <v>50</v>
      </c>
      <c r="G2733" s="1" t="str">
        <f t="shared" si="171"/>
        <v/>
      </c>
      <c r="I2733" s="1" t="str">
        <f t="shared" si="169"/>
        <v>威尔新数值1.06.xlsm!suitPower</v>
      </c>
    </row>
    <row r="2734" spans="1:9" x14ac:dyDescent="0.15">
      <c r="A2734" s="1">
        <v>2733</v>
      </c>
      <c r="B2734" s="1">
        <v>302091500</v>
      </c>
      <c r="C2734" s="1">
        <f t="shared" si="172"/>
        <v>2</v>
      </c>
      <c r="D2734" s="5">
        <f ca="1">IF(getQuality(B2734)&lt;4,getOtherMin(B2734,C2734,INDIRECT(J$2),INDIRECT(I2734),test),getMin(B2734,C2734,INDIRECT(J$2),INDIRECT(I2734),test))</f>
        <v>74.1111111111111</v>
      </c>
      <c r="E2734" s="5">
        <f ca="1">IF(getQuality(B2734)&lt;4,getOtherMax(B2734,C2734,INDIRECT(J$2),INDIRECT(I2734),test),getMax(B2734,C2734,INDIRECT(J$2),INDIRECT(I2734),test))</f>
        <v>87.0625</v>
      </c>
      <c r="F2734" s="1" t="str">
        <f t="shared" si="170"/>
        <v>50</v>
      </c>
      <c r="G2734" s="1" t="str">
        <f t="shared" si="171"/>
        <v/>
      </c>
      <c r="I2734" s="1" t="str">
        <f t="shared" si="169"/>
        <v>威尔新数值1.06.xlsm!suitPower</v>
      </c>
    </row>
    <row r="2735" spans="1:9" x14ac:dyDescent="0.15">
      <c r="A2735" s="1">
        <v>2734</v>
      </c>
      <c r="B2735" s="1">
        <v>302091500</v>
      </c>
      <c r="C2735" s="1">
        <f t="shared" si="172"/>
        <v>4</v>
      </c>
      <c r="D2735" s="5">
        <f ca="1">IF(getQuality(B2735)&lt;4,getOtherMin(B2735,C2735,INDIRECT(J$2),INDIRECT(I2735),test),getMin(B2735,C2735,INDIRECT(J$2),INDIRECT(I2735),test))</f>
        <v>292.66666666666669</v>
      </c>
      <c r="E2735" s="5">
        <f ca="1">IF(getQuality(B2735)&lt;4,getOtherMax(B2735,C2735,INDIRECT(J$2),INDIRECT(I2735),test),getMax(B2735,C2735,INDIRECT(J$2),INDIRECT(I2735),test))</f>
        <v>328.125</v>
      </c>
      <c r="F2735" s="1" t="str">
        <f t="shared" si="170"/>
        <v>50</v>
      </c>
      <c r="G2735" s="1" t="str">
        <f t="shared" si="171"/>
        <v>1</v>
      </c>
      <c r="I2735" s="1" t="str">
        <f t="shared" si="169"/>
        <v>威尔新数值1.06.xlsm!suitPower</v>
      </c>
    </row>
    <row r="2736" spans="1:9" x14ac:dyDescent="0.15">
      <c r="A2736" s="1">
        <v>2735</v>
      </c>
      <c r="B2736" s="1">
        <v>302091500</v>
      </c>
      <c r="C2736" s="1">
        <f t="shared" si="172"/>
        <v>6</v>
      </c>
      <c r="D2736" s="5">
        <f ca="1">IF(getQuality(B2736)&lt;4,getOtherMin(B2736,C2736,INDIRECT(J$2),INDIRECT(I2736),test),getMin(B2736,C2736,INDIRECT(J$2),INDIRECT(I2736),test))</f>
        <v>292.66666666666669</v>
      </c>
      <c r="E2736" s="5">
        <f ca="1">IF(getQuality(B2736)&lt;4,getOtherMax(B2736,C2736,INDIRECT(J$2),INDIRECT(I2736),test),getMax(B2736,C2736,INDIRECT(J$2),INDIRECT(I2736),test))</f>
        <v>328.125</v>
      </c>
      <c r="F2736" s="1" t="str">
        <f t="shared" si="170"/>
        <v>50</v>
      </c>
      <c r="G2736" s="1" t="str">
        <f t="shared" si="171"/>
        <v/>
      </c>
      <c r="I2736" s="1" t="str">
        <f t="shared" si="169"/>
        <v>威尔新数值1.06.xlsm!suitPower</v>
      </c>
    </row>
    <row r="2737" spans="1:9" x14ac:dyDescent="0.15">
      <c r="A2737" s="1">
        <v>2736</v>
      </c>
      <c r="B2737" s="1">
        <v>302091500</v>
      </c>
      <c r="C2737" s="1">
        <f t="shared" si="172"/>
        <v>7</v>
      </c>
      <c r="D2737" s="5">
        <f ca="1">IF(getQuality(B2737)&lt;4,getOtherMin(B2737,C2737,INDIRECT(J$2),INDIRECT(I2737),test),getMin(B2737,C2737,INDIRECT(J$2),INDIRECT(I2737),test))</f>
        <v>26.92592592592586</v>
      </c>
      <c r="E2737" s="5">
        <f ca="1">IF(getQuality(B2737)&lt;4,getOtherMax(B2737,C2737,INDIRECT(J$2),INDIRECT(I2737),test),getMax(B2737,C2737,INDIRECT(J$2),INDIRECT(I2737),test))</f>
        <v>29.166666666666593</v>
      </c>
      <c r="F2737" s="1" t="str">
        <f t="shared" si="170"/>
        <v>50</v>
      </c>
      <c r="G2737" s="1" t="str">
        <f t="shared" si="171"/>
        <v/>
      </c>
      <c r="I2737" s="1" t="str">
        <f t="shared" si="169"/>
        <v>威尔新数值1.06.xlsm!suitPower</v>
      </c>
    </row>
    <row r="2738" spans="1:9" x14ac:dyDescent="0.15">
      <c r="A2738" s="1">
        <v>2737</v>
      </c>
      <c r="B2738" s="1">
        <v>302091500</v>
      </c>
      <c r="C2738" s="1">
        <f t="shared" si="172"/>
        <v>8</v>
      </c>
      <c r="D2738" s="5">
        <f ca="1">IF(getQuality(B2738)&lt;4,getOtherMin(B2738,C2738,INDIRECT(J$2),INDIRECT(I2738),test),getMin(B2738,C2738,INDIRECT(J$2),INDIRECT(I2738),test))</f>
        <v>59.333333333333336</v>
      </c>
      <c r="E2738" s="5">
        <f ca="1">IF(getQuality(B2738)&lt;4,getOtherMax(B2738,C2738,INDIRECT(J$2),INDIRECT(I2738),test),getMax(B2738,C2738,INDIRECT(J$2),INDIRECT(I2738),test))</f>
        <v>65.625</v>
      </c>
      <c r="F2738" s="1" t="str">
        <f t="shared" si="170"/>
        <v>50</v>
      </c>
      <c r="G2738" s="1" t="str">
        <f t="shared" si="171"/>
        <v/>
      </c>
      <c r="I2738" s="1" t="str">
        <f t="shared" si="169"/>
        <v>威尔新数值1.06.xlsm!suitPower</v>
      </c>
    </row>
    <row r="2739" spans="1:9" x14ac:dyDescent="0.15">
      <c r="A2739" s="1">
        <v>2738</v>
      </c>
      <c r="B2739" s="1">
        <v>302091500</v>
      </c>
      <c r="C2739" s="1">
        <f t="shared" si="172"/>
        <v>16</v>
      </c>
      <c r="D2739" s="5">
        <f ca="1">IF(getQuality(B2739)&lt;4,getOtherMin(B2739,C2739,INDIRECT(J$2),INDIRECT(I2739),test),getMin(B2739,C2739,INDIRECT(J$2),INDIRECT(I2739),test))</f>
        <v>78.777777777777771</v>
      </c>
      <c r="E2739" s="5">
        <f ca="1">IF(getQuality(B2739)&lt;4,getOtherMax(B2739,C2739,INDIRECT(J$2),INDIRECT(I2739),test),getMax(B2739,C2739,INDIRECT(J$2),INDIRECT(I2739),test))</f>
        <v>87.5</v>
      </c>
      <c r="F2739" s="1" t="str">
        <f t="shared" si="170"/>
        <v>50</v>
      </c>
      <c r="G2739" s="1" t="str">
        <f t="shared" si="171"/>
        <v/>
      </c>
      <c r="I2739" s="1" t="str">
        <f t="shared" si="169"/>
        <v>威尔新数值1.06.xlsm!suitPower</v>
      </c>
    </row>
    <row r="2740" spans="1:9" x14ac:dyDescent="0.15">
      <c r="A2740" s="1">
        <v>2739</v>
      </c>
      <c r="B2740" s="1">
        <v>302091500</v>
      </c>
      <c r="C2740" s="1">
        <f t="shared" si="172"/>
        <v>17</v>
      </c>
      <c r="D2740" s="5">
        <f ca="1">IF(getQuality(B2740)&lt;4,getOtherMin(B2740,C2740,INDIRECT(J$2),INDIRECT(I2740),test),getMin(B2740,C2740,INDIRECT(J$2),INDIRECT(I2740),test))</f>
        <v>78.777777777777771</v>
      </c>
      <c r="E2740" s="5">
        <f ca="1">IF(getQuality(B2740)&lt;4,getOtherMax(B2740,C2740,INDIRECT(J$2),INDIRECT(I2740),test),getMax(B2740,C2740,INDIRECT(J$2),INDIRECT(I2740),test))</f>
        <v>87.5</v>
      </c>
      <c r="F2740" s="1" t="str">
        <f t="shared" si="170"/>
        <v>50</v>
      </c>
      <c r="G2740" s="1" t="str">
        <f t="shared" si="171"/>
        <v/>
      </c>
      <c r="I2740" s="1" t="str">
        <f t="shared" si="169"/>
        <v>威尔新数值1.06.xlsm!suitPower</v>
      </c>
    </row>
    <row r="2741" spans="1:9" x14ac:dyDescent="0.15">
      <c r="A2741" s="1">
        <v>2740</v>
      </c>
      <c r="B2741" s="1">
        <v>302091500</v>
      </c>
      <c r="C2741" s="1">
        <f t="shared" si="172"/>
        <v>18</v>
      </c>
      <c r="D2741" s="5">
        <f ca="1">IF(getQuality(B2741)&lt;4,getOtherMin(B2741,C2741,INDIRECT(J$2),INDIRECT(I2741),test),getMin(B2741,C2741,INDIRECT(J$2),INDIRECT(I2741),test))</f>
        <v>78.777777777777771</v>
      </c>
      <c r="E2741" s="5">
        <f ca="1">IF(getQuality(B2741)&lt;4,getOtherMax(B2741,C2741,INDIRECT(J$2),INDIRECT(I2741),test),getMax(B2741,C2741,INDIRECT(J$2),INDIRECT(I2741),test))</f>
        <v>87.5</v>
      </c>
      <c r="F2741" s="1" t="str">
        <f t="shared" si="170"/>
        <v>50</v>
      </c>
      <c r="G2741" s="1" t="str">
        <f t="shared" si="171"/>
        <v/>
      </c>
      <c r="I2741" s="1" t="str">
        <f t="shared" si="169"/>
        <v>威尔新数值1.06.xlsm!suitPower</v>
      </c>
    </row>
    <row r="2742" spans="1:9" x14ac:dyDescent="0.15">
      <c r="A2742" s="1">
        <v>2741</v>
      </c>
      <c r="B2742" s="1">
        <v>302091500</v>
      </c>
      <c r="C2742" s="1">
        <f t="shared" si="172"/>
        <v>19</v>
      </c>
      <c r="D2742" s="5">
        <f ca="1">IF(getQuality(B2742)&lt;4,getOtherMin(B2742,C2742,INDIRECT(J$2),INDIRECT(I2742),test),getMin(B2742,C2742,INDIRECT(J$2),INDIRECT(I2742),test))</f>
        <v>78.777777777777771</v>
      </c>
      <c r="E2742" s="5">
        <f ca="1">IF(getQuality(B2742)&lt;4,getOtherMax(B2742,C2742,INDIRECT(J$2),INDIRECT(I2742),test),getMax(B2742,C2742,INDIRECT(J$2),INDIRECT(I2742),test))</f>
        <v>87.5</v>
      </c>
      <c r="F2742" s="1" t="str">
        <f t="shared" si="170"/>
        <v>50</v>
      </c>
      <c r="G2742" s="1" t="str">
        <f t="shared" si="171"/>
        <v/>
      </c>
      <c r="I2742" s="1" t="str">
        <f t="shared" si="169"/>
        <v>威尔新数值1.06.xlsm!suitPower</v>
      </c>
    </row>
    <row r="2743" spans="1:9" x14ac:dyDescent="0.15">
      <c r="A2743" s="1">
        <v>2742</v>
      </c>
      <c r="B2743" s="1">
        <v>302091500</v>
      </c>
      <c r="C2743" s="1">
        <f t="shared" si="172"/>
        <v>20</v>
      </c>
      <c r="D2743" s="5">
        <f ca="1">IF(getQuality(B2743)&lt;4,getOtherMin(B2743,C2743,INDIRECT(J$2),INDIRECT(I2743),test),getMin(B2743,C2743,INDIRECT(J$2),INDIRECT(I2743),test))</f>
        <v>78.777777777777771</v>
      </c>
      <c r="E2743" s="5">
        <f ca="1">IF(getQuality(B2743)&lt;4,getOtherMax(B2743,C2743,INDIRECT(J$2),INDIRECT(I2743),test),getMax(B2743,C2743,INDIRECT(J$2),INDIRECT(I2743),test))</f>
        <v>87.5</v>
      </c>
      <c r="F2743" s="1" t="str">
        <f t="shared" si="170"/>
        <v>50</v>
      </c>
      <c r="G2743" s="1" t="str">
        <f t="shared" si="171"/>
        <v/>
      </c>
      <c r="I2743" s="1" t="str">
        <f t="shared" si="169"/>
        <v>威尔新数值1.06.xlsm!suitPower</v>
      </c>
    </row>
    <row r="2744" spans="1:9" x14ac:dyDescent="0.15">
      <c r="A2744" s="1">
        <v>2743</v>
      </c>
      <c r="B2744" s="1">
        <v>302091500</v>
      </c>
      <c r="C2744" s="1">
        <f t="shared" si="172"/>
        <v>21</v>
      </c>
      <c r="D2744" s="5">
        <f ca="1">IF(getQuality(B2744)&lt;4,getOtherMin(B2744,C2744,INDIRECT(J$2),INDIRECT(I2744),test),getMin(B2744,C2744,INDIRECT(J$2),INDIRECT(I2744),test))</f>
        <v>78.777777777777771</v>
      </c>
      <c r="E2744" s="5">
        <f ca="1">IF(getQuality(B2744)&lt;4,getOtherMax(B2744,C2744,INDIRECT(J$2),INDIRECT(I2744),test),getMax(B2744,C2744,INDIRECT(J$2),INDIRECT(I2744),test))</f>
        <v>87.5</v>
      </c>
      <c r="F2744" s="1" t="str">
        <f t="shared" si="170"/>
        <v>50</v>
      </c>
      <c r="G2744" s="1" t="str">
        <f t="shared" si="171"/>
        <v/>
      </c>
      <c r="I2744" s="1" t="str">
        <f t="shared" si="169"/>
        <v>威尔新数值1.06.xlsm!suitPower</v>
      </c>
    </row>
    <row r="2745" spans="1:9" x14ac:dyDescent="0.15">
      <c r="A2745" s="1">
        <v>2744</v>
      </c>
      <c r="B2745" s="1">
        <v>302091500</v>
      </c>
      <c r="C2745" s="1">
        <f t="shared" si="172"/>
        <v>22</v>
      </c>
      <c r="D2745" s="5">
        <f ca="1">IF(getQuality(B2745)&lt;4,getOtherMin(B2745,C2745,INDIRECT(J$2),INDIRECT(I2745),test),getMin(B2745,C2745,INDIRECT(J$2),INDIRECT(I2745),test))</f>
        <v>78.777777777777771</v>
      </c>
      <c r="E2745" s="5">
        <f ca="1">IF(getQuality(B2745)&lt;4,getOtherMax(B2745,C2745,INDIRECT(J$2),INDIRECT(I2745),test),getMax(B2745,C2745,INDIRECT(J$2),INDIRECT(I2745),test))</f>
        <v>87.5</v>
      </c>
      <c r="F2745" s="1" t="str">
        <f t="shared" si="170"/>
        <v>50</v>
      </c>
      <c r="G2745" s="1" t="str">
        <f t="shared" si="171"/>
        <v/>
      </c>
      <c r="I2745" s="1" t="str">
        <f t="shared" si="169"/>
        <v>威尔新数值1.06.xlsm!suitPower</v>
      </c>
    </row>
    <row r="2746" spans="1:9" x14ac:dyDescent="0.15">
      <c r="A2746" s="1">
        <v>2745</v>
      </c>
      <c r="B2746" s="1">
        <v>302091500</v>
      </c>
      <c r="C2746" s="1">
        <f t="shared" si="172"/>
        <v>23</v>
      </c>
      <c r="D2746" s="5">
        <f ca="1">IF(getQuality(B2746)&lt;4,getOtherMin(B2746,C2746,INDIRECT(J$2),INDIRECT(I2746),test),getMin(B2746,C2746,INDIRECT(J$2),INDIRECT(I2746),test))</f>
        <v>78.777777777777771</v>
      </c>
      <c r="E2746" s="5">
        <f ca="1">IF(getQuality(B2746)&lt;4,getOtherMax(B2746,C2746,INDIRECT(J$2),INDIRECT(I2746),test),getMax(B2746,C2746,INDIRECT(J$2),INDIRECT(I2746),test))</f>
        <v>87.5</v>
      </c>
      <c r="F2746" s="1" t="str">
        <f t="shared" si="170"/>
        <v>50</v>
      </c>
      <c r="G2746" s="1" t="str">
        <f t="shared" si="171"/>
        <v/>
      </c>
      <c r="I2746" s="1" t="str">
        <f t="shared" si="169"/>
        <v>威尔新数值1.06.xlsm!suitPower</v>
      </c>
    </row>
    <row r="2747" spans="1:9" x14ac:dyDescent="0.15">
      <c r="A2747" s="1">
        <v>2746</v>
      </c>
      <c r="B2747" s="1">
        <v>103010100</v>
      </c>
      <c r="C2747" s="1">
        <f>C272</f>
        <v>3</v>
      </c>
      <c r="D2747" s="5">
        <f ca="1">IF(getQuality(B2747)&lt;4,getOtherMin(B2747,C2747,INDIRECT(J$2),INDIRECT(I2747),test),getMin(B2747,C2747,INDIRECT(J$2),INDIRECT(I2747),test))</f>
        <v>1</v>
      </c>
      <c r="E2747" s="5">
        <f ca="1">IF(getQuality(B2747)&lt;4,getOtherMax(B2747,C2747,INDIRECT(J$2),INDIRECT(I2747),test),getMax(B2747,C2747,INDIRECT(J$2),INDIRECT(I2747),test))</f>
        <v>24.009875731714647</v>
      </c>
      <c r="F2747" s="1" t="str">
        <f t="shared" si="170"/>
        <v>50</v>
      </c>
      <c r="G2747" s="1" t="str">
        <f t="shared" si="171"/>
        <v>1</v>
      </c>
      <c r="I2747" s="1" t="str">
        <f t="shared" si="169"/>
        <v>威尔新数值1.06.xlsm!suitPower</v>
      </c>
    </row>
    <row r="2748" spans="1:9" x14ac:dyDescent="0.15">
      <c r="A2748" s="1">
        <v>2747</v>
      </c>
      <c r="B2748" s="1">
        <v>103010100</v>
      </c>
      <c r="C2748" s="1">
        <f t="shared" ref="C2748:C2811" si="173">C273</f>
        <v>5</v>
      </c>
      <c r="D2748" s="5">
        <f ca="1">IF(getQuality(B2748)&lt;4,getOtherMin(B2748,C2748,INDIRECT(J$2),INDIRECT(I2748),test),getMin(B2748,C2748,INDIRECT(J$2),INDIRECT(I2748),test))</f>
        <v>1</v>
      </c>
      <c r="E2748" s="5">
        <f ca="1">IF(getQuality(B2748)&lt;4,getOtherMax(B2748,C2748,INDIRECT(J$2),INDIRECT(I2748),test),getMax(B2748,C2748,INDIRECT(J$2),INDIRECT(I2748),test))</f>
        <v>24.009875731714647</v>
      </c>
      <c r="F2748" s="1" t="str">
        <f t="shared" si="170"/>
        <v>50</v>
      </c>
      <c r="G2748" s="1" t="str">
        <f t="shared" si="171"/>
        <v/>
      </c>
      <c r="I2748" s="1" t="str">
        <f t="shared" si="169"/>
        <v>威尔新数值1.06.xlsm!suitPower</v>
      </c>
    </row>
    <row r="2749" spans="1:9" x14ac:dyDescent="0.15">
      <c r="A2749" s="1">
        <v>2748</v>
      </c>
      <c r="B2749" s="1">
        <v>103010100</v>
      </c>
      <c r="C2749" s="1">
        <f t="shared" si="173"/>
        <v>7</v>
      </c>
      <c r="D2749" s="5">
        <f ca="1">IF(getQuality(B2749)&lt;4,getOtherMin(B2749,C2749,INDIRECT(J$2),INDIRECT(I2749),test),getMin(B2749,C2749,INDIRECT(J$2),INDIRECT(I2749),test))</f>
        <v>1</v>
      </c>
      <c r="E2749" s="5">
        <f ca="1">IF(getQuality(B2749)&lt;4,getOtherMax(B2749,C2749,INDIRECT(J$2),INDIRECT(I2749),test),getMax(B2749,C2749,INDIRECT(J$2),INDIRECT(I2749),test))</f>
        <v>7.4074074074073888</v>
      </c>
      <c r="F2749" s="1" t="str">
        <f t="shared" si="170"/>
        <v>50</v>
      </c>
      <c r="G2749" s="1" t="str">
        <f t="shared" si="171"/>
        <v/>
      </c>
      <c r="I2749" s="1" t="str">
        <f t="shared" si="169"/>
        <v>威尔新数值1.06.xlsm!suitPower</v>
      </c>
    </row>
    <row r="2750" spans="1:9" x14ac:dyDescent="0.15">
      <c r="A2750" s="1">
        <v>2749</v>
      </c>
      <c r="B2750" s="1">
        <v>103010100</v>
      </c>
      <c r="C2750" s="1">
        <f t="shared" si="173"/>
        <v>8</v>
      </c>
      <c r="D2750" s="5">
        <f ca="1">IF(getQuality(B2750)&lt;4,getOtherMin(B2750,C2750,INDIRECT(J$2),INDIRECT(I2750),test),getMin(B2750,C2750,INDIRECT(J$2),INDIRECT(I2750),test))</f>
        <v>1</v>
      </c>
      <c r="E2750" s="5">
        <f ca="1">IF(getQuality(B2750)&lt;4,getOtherMax(B2750,C2750,INDIRECT(J$2),INDIRECT(I2750),test),getMax(B2750,C2750,INDIRECT(J$2),INDIRECT(I2750),test))</f>
        <v>16.666666666666668</v>
      </c>
      <c r="F2750" s="1" t="str">
        <f t="shared" si="170"/>
        <v>50</v>
      </c>
      <c r="G2750" s="1" t="str">
        <f t="shared" si="171"/>
        <v/>
      </c>
      <c r="I2750" s="1" t="str">
        <f t="shared" si="169"/>
        <v>威尔新数值1.06.xlsm!suitPower</v>
      </c>
    </row>
    <row r="2751" spans="1:9" x14ac:dyDescent="0.15">
      <c r="A2751" s="1">
        <v>2750</v>
      </c>
      <c r="B2751" s="1">
        <v>103010100</v>
      </c>
      <c r="C2751" s="1">
        <f t="shared" si="173"/>
        <v>9</v>
      </c>
      <c r="D2751" s="5">
        <f ca="1">IF(getQuality(B2751)&lt;4,getOtherMin(B2751,C2751,INDIRECT(J$2),INDIRECT(I2751),test),getMin(B2751,C2751,INDIRECT(J$2),INDIRECT(I2751),test))</f>
        <v>1</v>
      </c>
      <c r="E2751" s="5">
        <f ca="1">IF(getQuality(B2751)&lt;4,getOtherMax(B2751,C2751,INDIRECT(J$2),INDIRECT(I2751),test),getMax(B2751,C2751,INDIRECT(J$2),INDIRECT(I2751),test))</f>
        <v>24.009875731714647</v>
      </c>
      <c r="F2751" s="1" t="str">
        <f t="shared" si="170"/>
        <v>50</v>
      </c>
      <c r="G2751" s="1" t="str">
        <f t="shared" si="171"/>
        <v/>
      </c>
      <c r="I2751" s="1" t="str">
        <f t="shared" si="169"/>
        <v>威尔新数值1.06.xlsm!suitPower</v>
      </c>
    </row>
    <row r="2752" spans="1:9" x14ac:dyDescent="0.15">
      <c r="A2752" s="1">
        <v>2751</v>
      </c>
      <c r="B2752" s="1">
        <v>103010100</v>
      </c>
      <c r="C2752" s="1">
        <f t="shared" si="173"/>
        <v>10</v>
      </c>
      <c r="D2752" s="5">
        <f ca="1">IF(getQuality(B2752)&lt;4,getOtherMin(B2752,C2752,INDIRECT(J$2),INDIRECT(I2752),test),getMin(B2752,C2752,INDIRECT(J$2),INDIRECT(I2752),test))</f>
        <v>1</v>
      </c>
      <c r="E2752" s="5">
        <f ca="1">IF(getQuality(B2752)&lt;4,getOtherMax(B2752,C2752,INDIRECT(J$2),INDIRECT(I2752),test),getMax(B2752,C2752,INDIRECT(J$2),INDIRECT(I2752),test))</f>
        <v>24.009875731714647</v>
      </c>
      <c r="F2752" s="1" t="str">
        <f t="shared" si="170"/>
        <v>50</v>
      </c>
      <c r="G2752" s="1" t="str">
        <f t="shared" si="171"/>
        <v/>
      </c>
      <c r="I2752" s="1" t="str">
        <f t="shared" si="169"/>
        <v>威尔新数值1.06.xlsm!suitPower</v>
      </c>
    </row>
    <row r="2753" spans="1:9" x14ac:dyDescent="0.15">
      <c r="A2753" s="1">
        <v>2752</v>
      </c>
      <c r="B2753" s="1">
        <v>103010100</v>
      </c>
      <c r="C2753" s="1">
        <f t="shared" si="173"/>
        <v>11</v>
      </c>
      <c r="D2753" s="5">
        <f ca="1">IF(getQuality(B2753)&lt;4,getOtherMin(B2753,C2753,INDIRECT(J$2),INDIRECT(I2753),test),getMin(B2753,C2753,INDIRECT(J$2),INDIRECT(I2753),test))</f>
        <v>1</v>
      </c>
      <c r="E2753" s="5">
        <f ca="1">IF(getQuality(B2753)&lt;4,getOtherMax(B2753,C2753,INDIRECT(J$2),INDIRECT(I2753),test),getMax(B2753,C2753,INDIRECT(J$2),INDIRECT(I2753),test))</f>
        <v>24.009875731714647</v>
      </c>
      <c r="F2753" s="1" t="str">
        <f t="shared" si="170"/>
        <v>50</v>
      </c>
      <c r="G2753" s="1" t="str">
        <f t="shared" si="171"/>
        <v/>
      </c>
      <c r="I2753" s="1" t="str">
        <f t="shared" si="169"/>
        <v>威尔新数值1.06.xlsm!suitPower</v>
      </c>
    </row>
    <row r="2754" spans="1:9" x14ac:dyDescent="0.15">
      <c r="A2754" s="1">
        <v>2753</v>
      </c>
      <c r="B2754" s="1">
        <v>103010100</v>
      </c>
      <c r="C2754" s="1">
        <f t="shared" si="173"/>
        <v>12</v>
      </c>
      <c r="D2754" s="5">
        <f ca="1">IF(getQuality(B2754)&lt;4,getOtherMin(B2754,C2754,INDIRECT(J$2),INDIRECT(I2754),test),getMin(B2754,C2754,INDIRECT(J$2),INDIRECT(I2754),test))</f>
        <v>1</v>
      </c>
      <c r="E2754" s="5">
        <f ca="1">IF(getQuality(B2754)&lt;4,getOtherMax(B2754,C2754,INDIRECT(J$2),INDIRECT(I2754),test),getMax(B2754,C2754,INDIRECT(J$2),INDIRECT(I2754),test))</f>
        <v>24.009875731714647</v>
      </c>
      <c r="F2754" s="1" t="str">
        <f t="shared" si="170"/>
        <v>50</v>
      </c>
      <c r="G2754" s="1" t="str">
        <f t="shared" si="171"/>
        <v/>
      </c>
      <c r="I2754" s="1" t="str">
        <f t="shared" ref="I2754:I2817" si="174">IF(C2754&lt;100,VLOOKUP(C2754,test,3,FALSE),VLOOKUP(C2754,test1,3,FALSE))</f>
        <v>威尔新数值1.06.xlsm!suitPower</v>
      </c>
    </row>
    <row r="2755" spans="1:9" x14ac:dyDescent="0.15">
      <c r="A2755" s="1">
        <v>2754</v>
      </c>
      <c r="B2755" s="1">
        <v>103010100</v>
      </c>
      <c r="C2755" s="1">
        <f t="shared" si="173"/>
        <v>13</v>
      </c>
      <c r="D2755" s="5">
        <f ca="1">IF(getQuality(B2755)&lt;4,getOtherMin(B2755,C2755,INDIRECT(J$2),INDIRECT(I2755),test),getMin(B2755,C2755,INDIRECT(J$2),INDIRECT(I2755),test))</f>
        <v>1</v>
      </c>
      <c r="E2755" s="5">
        <f ca="1">IF(getQuality(B2755)&lt;4,getOtherMax(B2755,C2755,INDIRECT(J$2),INDIRECT(I2755),test),getMax(B2755,C2755,INDIRECT(J$2),INDIRECT(I2755),test))</f>
        <v>24.009875731714647</v>
      </c>
      <c r="F2755" s="1" t="str">
        <f t="shared" ref="F2755:F2818" si="175">getper(B2755,C2755)</f>
        <v>50</v>
      </c>
      <c r="G2755" s="1" t="str">
        <f t="shared" ref="G2755:G2818" si="176">getMust(B2755,C2755)</f>
        <v/>
      </c>
      <c r="I2755" s="1" t="str">
        <f t="shared" si="174"/>
        <v>威尔新数值1.06.xlsm!suitPower</v>
      </c>
    </row>
    <row r="2756" spans="1:9" x14ac:dyDescent="0.15">
      <c r="A2756" s="1">
        <v>2755</v>
      </c>
      <c r="B2756" s="1">
        <v>103010100</v>
      </c>
      <c r="C2756" s="1">
        <f t="shared" si="173"/>
        <v>14</v>
      </c>
      <c r="D2756" s="5">
        <f ca="1">IF(getQuality(B2756)&lt;4,getOtherMin(B2756,C2756,INDIRECT(J$2),INDIRECT(I2756),test),getMin(B2756,C2756,INDIRECT(J$2),INDIRECT(I2756),test))</f>
        <v>1</v>
      </c>
      <c r="E2756" s="5">
        <f ca="1">IF(getQuality(B2756)&lt;4,getOtherMax(B2756,C2756,INDIRECT(J$2),INDIRECT(I2756),test),getMax(B2756,C2756,INDIRECT(J$2),INDIRECT(I2756),test))</f>
        <v>24.009875731714647</v>
      </c>
      <c r="F2756" s="1" t="str">
        <f t="shared" si="175"/>
        <v>50</v>
      </c>
      <c r="G2756" s="1" t="str">
        <f t="shared" si="176"/>
        <v/>
      </c>
      <c r="I2756" s="1" t="str">
        <f t="shared" si="174"/>
        <v>威尔新数值1.06.xlsm!suitPower</v>
      </c>
    </row>
    <row r="2757" spans="1:9" x14ac:dyDescent="0.15">
      <c r="A2757" s="1">
        <v>2756</v>
      </c>
      <c r="B2757" s="1">
        <v>103010100</v>
      </c>
      <c r="C2757" s="1">
        <f t="shared" si="173"/>
        <v>15</v>
      </c>
      <c r="D2757" s="5">
        <f ca="1">IF(getQuality(B2757)&lt;4,getOtherMin(B2757,C2757,INDIRECT(J$2),INDIRECT(I2757),test),getMin(B2757,C2757,INDIRECT(J$2),INDIRECT(I2757),test))</f>
        <v>1</v>
      </c>
      <c r="E2757" s="5">
        <f ca="1">IF(getQuality(B2757)&lt;4,getOtherMax(B2757,C2757,INDIRECT(J$2),INDIRECT(I2757),test),getMax(B2757,C2757,INDIRECT(J$2),INDIRECT(I2757),test))</f>
        <v>24.009875731714647</v>
      </c>
      <c r="F2757" s="1" t="str">
        <f t="shared" si="175"/>
        <v>50</v>
      </c>
      <c r="G2757" s="1" t="str">
        <f t="shared" si="176"/>
        <v/>
      </c>
      <c r="I2757" s="1" t="str">
        <f t="shared" si="174"/>
        <v>威尔新数值1.06.xlsm!suitPower</v>
      </c>
    </row>
    <row r="2758" spans="1:9" x14ac:dyDescent="0.15">
      <c r="A2758" s="1">
        <v>2757</v>
      </c>
      <c r="B2758" s="1">
        <v>103010100</v>
      </c>
      <c r="C2758" s="1">
        <f t="shared" si="173"/>
        <v>101</v>
      </c>
      <c r="D2758" s="5">
        <f ca="1">IF(getQuality(B2758)&lt;4,getOtherMin(B2758,C2758,INDIRECT(J$2),INDIRECT(I2758),test),getMin(B2758,C2758,INDIRECT(J$2),INDIRECT(I2758),test))</f>
        <v>7.0000000000000007E-2</v>
      </c>
      <c r="E2758" s="5">
        <f ca="1">IF(getQuality(B2758)&lt;4,getOtherMax(B2758,C2758,INDIRECT(J$2),INDIRECT(I2758),test),getMax(B2758,C2758,INDIRECT(J$2),INDIRECT(I2758),test))</f>
        <v>0.1</v>
      </c>
      <c r="F2758" s="1" t="str">
        <f t="shared" si="175"/>
        <v>50</v>
      </c>
      <c r="G2758" s="1" t="str">
        <f t="shared" si="176"/>
        <v/>
      </c>
      <c r="I2758" s="1" t="str">
        <f t="shared" si="174"/>
        <v>威尔新数值1.06.xlsm!circlePer</v>
      </c>
    </row>
    <row r="2759" spans="1:9" x14ac:dyDescent="0.15">
      <c r="A2759" s="1">
        <v>2758</v>
      </c>
      <c r="B2759" s="1">
        <v>103010100</v>
      </c>
      <c r="C2759" s="1">
        <f t="shared" si="173"/>
        <v>102</v>
      </c>
      <c r="D2759" s="5">
        <f ca="1">IF(getQuality(B2759)&lt;4,getOtherMin(B2759,C2759,INDIRECT(J$2),INDIRECT(I2759),test),getMin(B2759,C2759,INDIRECT(J$2),INDIRECT(I2759),test))</f>
        <v>0.6</v>
      </c>
      <c r="E2759" s="5">
        <f ca="1">IF(getQuality(B2759)&lt;4,getOtherMax(B2759,C2759,INDIRECT(J$2),INDIRECT(I2759),test),getMax(B2759,C2759,INDIRECT(J$2),INDIRECT(I2759),test))</f>
        <v>0.9</v>
      </c>
      <c r="F2759" s="1" t="str">
        <f t="shared" si="175"/>
        <v>50</v>
      </c>
      <c r="G2759" s="1" t="str">
        <f t="shared" si="176"/>
        <v/>
      </c>
      <c r="I2759" s="1" t="str">
        <f t="shared" si="174"/>
        <v>威尔新数值1.06.xlsm!circleValue</v>
      </c>
    </row>
    <row r="2760" spans="1:9" x14ac:dyDescent="0.15">
      <c r="A2760" s="1">
        <v>2759</v>
      </c>
      <c r="B2760" s="1">
        <v>103010100</v>
      </c>
      <c r="C2760" s="1">
        <f t="shared" si="173"/>
        <v>103</v>
      </c>
      <c r="D2760" s="5">
        <f ca="1">IF(getQuality(B2760)&lt;4,getOtherMin(B2760,C2760,INDIRECT(J$2),INDIRECT(I2760),test),getMin(B2760,C2760,INDIRECT(J$2),INDIRECT(I2760),test))</f>
        <v>7.0000000000000007E-2</v>
      </c>
      <c r="E2760" s="5">
        <f ca="1">IF(getQuality(B2760)&lt;4,getOtherMax(B2760,C2760,INDIRECT(J$2),INDIRECT(I2760),test),getMax(B2760,C2760,INDIRECT(J$2),INDIRECT(I2760),test))</f>
        <v>0.1</v>
      </c>
      <c r="F2760" s="1" t="str">
        <f t="shared" si="175"/>
        <v>50</v>
      </c>
      <c r="G2760" s="1" t="str">
        <f t="shared" si="176"/>
        <v/>
      </c>
      <c r="I2760" s="1" t="str">
        <f t="shared" si="174"/>
        <v>威尔新数值1.06.xlsm!otherDamage</v>
      </c>
    </row>
    <row r="2761" spans="1:9" x14ac:dyDescent="0.15">
      <c r="A2761" s="1">
        <v>2760</v>
      </c>
      <c r="B2761" s="1">
        <v>103010100</v>
      </c>
      <c r="C2761" s="1">
        <f t="shared" si="173"/>
        <v>104</v>
      </c>
      <c r="D2761" s="5">
        <f ca="1">IF(getQuality(B2761)&lt;4,getOtherMin(B2761,C2761,INDIRECT(J$2),INDIRECT(I2761),test),getMin(B2761,C2761,INDIRECT(J$2),INDIRECT(I2761),test))</f>
        <v>7.0000000000000007E-2</v>
      </c>
      <c r="E2761" s="5">
        <f ca="1">IF(getQuality(B2761)&lt;4,getOtherMax(B2761,C2761,INDIRECT(J$2),INDIRECT(I2761),test),getMax(B2761,C2761,INDIRECT(J$2),INDIRECT(I2761),test))</f>
        <v>0.14000000000000001</v>
      </c>
      <c r="F2761" s="1" t="str">
        <f t="shared" si="175"/>
        <v>50</v>
      </c>
      <c r="G2761" s="1" t="str">
        <f t="shared" si="176"/>
        <v/>
      </c>
      <c r="I2761" s="1" t="str">
        <f t="shared" si="174"/>
        <v>威尔新数值1.06.xlsm!monsterDamage</v>
      </c>
    </row>
    <row r="2762" spans="1:9" x14ac:dyDescent="0.15">
      <c r="A2762" s="1">
        <v>2761</v>
      </c>
      <c r="B2762" s="1">
        <v>103010100</v>
      </c>
      <c r="C2762" s="1">
        <f t="shared" si="173"/>
        <v>105</v>
      </c>
      <c r="D2762" s="5">
        <f ca="1">IF(getQuality(B2762)&lt;4,getOtherMin(B2762,C2762,INDIRECT(J$2),INDIRECT(I2762),test),getMin(B2762,C2762,INDIRECT(J$2),INDIRECT(I2762),test))</f>
        <v>7.0000000000000007E-2</v>
      </c>
      <c r="E2762" s="5">
        <f ca="1">IF(getQuality(B2762)&lt;4,getOtherMax(B2762,C2762,INDIRECT(J$2),INDIRECT(I2762),test),getMax(B2762,C2762,INDIRECT(J$2),INDIRECT(I2762),test))</f>
        <v>0.14000000000000001</v>
      </c>
      <c r="F2762" s="1" t="str">
        <f t="shared" si="175"/>
        <v>50</v>
      </c>
      <c r="G2762" s="1" t="str">
        <f t="shared" si="176"/>
        <v/>
      </c>
      <c r="I2762" s="1" t="str">
        <f t="shared" si="174"/>
        <v>威尔新数值1.06.xlsm!monsterDamage</v>
      </c>
    </row>
    <row r="2763" spans="1:9" x14ac:dyDescent="0.15">
      <c r="A2763" s="1">
        <v>2762</v>
      </c>
      <c r="B2763" s="1">
        <v>103010100</v>
      </c>
      <c r="C2763" s="1">
        <f t="shared" si="173"/>
        <v>106</v>
      </c>
      <c r="D2763" s="5">
        <f ca="1">IF(getQuality(B2763)&lt;4,getOtherMin(B2763,C2763,INDIRECT(J$2),INDIRECT(I2763),test),getMin(B2763,C2763,INDIRECT(J$2),INDIRECT(I2763),test))</f>
        <v>7.0000000000000007E-2</v>
      </c>
      <c r="E2763" s="5">
        <f ca="1">IF(getQuality(B2763)&lt;4,getOtherMax(B2763,C2763,INDIRECT(J$2),INDIRECT(I2763),test),getMax(B2763,C2763,INDIRECT(J$2),INDIRECT(I2763),test))</f>
        <v>0.14000000000000001</v>
      </c>
      <c r="F2763" s="1" t="str">
        <f t="shared" si="175"/>
        <v>50</v>
      </c>
      <c r="G2763" s="1" t="str">
        <f t="shared" si="176"/>
        <v/>
      </c>
      <c r="I2763" s="1" t="str">
        <f t="shared" si="174"/>
        <v>威尔新数值1.06.xlsm!monsterDamage</v>
      </c>
    </row>
    <row r="2764" spans="1:9" x14ac:dyDescent="0.15">
      <c r="A2764" s="1">
        <v>2763</v>
      </c>
      <c r="B2764" s="1">
        <v>103010100</v>
      </c>
      <c r="C2764" s="1">
        <f t="shared" si="173"/>
        <v>107</v>
      </c>
      <c r="D2764" s="5">
        <f ca="1">IF(getQuality(B2764)&lt;4,getOtherMin(B2764,C2764,INDIRECT(J$2),INDIRECT(I2764),test),getMin(B2764,C2764,INDIRECT(J$2),INDIRECT(I2764),test))</f>
        <v>7.0000000000000007E-2</v>
      </c>
      <c r="E2764" s="5">
        <f ca="1">IF(getQuality(B2764)&lt;4,getOtherMax(B2764,C2764,INDIRECT(J$2),INDIRECT(I2764),test),getMax(B2764,C2764,INDIRECT(J$2),INDIRECT(I2764),test))</f>
        <v>0.14000000000000001</v>
      </c>
      <c r="F2764" s="1" t="str">
        <f t="shared" si="175"/>
        <v>50</v>
      </c>
      <c r="G2764" s="1" t="str">
        <f t="shared" si="176"/>
        <v/>
      </c>
      <c r="I2764" s="1" t="str">
        <f t="shared" si="174"/>
        <v>威尔新数值1.06.xlsm!monsterDamage</v>
      </c>
    </row>
    <row r="2765" spans="1:9" x14ac:dyDescent="0.15">
      <c r="A2765" s="1">
        <v>2764</v>
      </c>
      <c r="B2765" s="1">
        <v>103010100</v>
      </c>
      <c r="C2765" s="1">
        <f t="shared" si="173"/>
        <v>108</v>
      </c>
      <c r="D2765" s="5">
        <f ca="1">IF(getQuality(B2765)&lt;4,getOtherMin(B2765,C2765,INDIRECT(J$2),INDIRECT(I2765),test),getMin(B2765,C2765,INDIRECT(J$2),INDIRECT(I2765),test))</f>
        <v>7.0000000000000007E-2</v>
      </c>
      <c r="E2765" s="5">
        <f ca="1">IF(getQuality(B2765)&lt;4,getOtherMax(B2765,C2765,INDIRECT(J$2),INDIRECT(I2765),test),getMax(B2765,C2765,INDIRECT(J$2),INDIRECT(I2765),test))</f>
        <v>0.14000000000000001</v>
      </c>
      <c r="F2765" s="1" t="str">
        <f t="shared" si="175"/>
        <v>50</v>
      </c>
      <c r="G2765" s="1" t="str">
        <f t="shared" si="176"/>
        <v/>
      </c>
      <c r="I2765" s="1" t="str">
        <f t="shared" si="174"/>
        <v>威尔新数值1.06.xlsm!monsterDamage</v>
      </c>
    </row>
    <row r="2766" spans="1:9" x14ac:dyDescent="0.15">
      <c r="A2766" s="1">
        <v>2765</v>
      </c>
      <c r="B2766" s="1">
        <v>103020100</v>
      </c>
      <c r="C2766" s="1">
        <f t="shared" si="173"/>
        <v>3</v>
      </c>
      <c r="D2766" s="5">
        <f ca="1">IF(getQuality(B2766)&lt;4,getOtherMin(B2766,C2766,INDIRECT(J$2),INDIRECT(I2766),test),getMin(B2766,C2766,INDIRECT(J$2),INDIRECT(I2766),test))</f>
        <v>25.009875731714647</v>
      </c>
      <c r="E2766" s="5">
        <f ca="1">IF(getQuality(B2766)&lt;4,getOtherMax(B2766,C2766,INDIRECT(J$2),INDIRECT(I2766),test),getMax(B2766,C2766,INDIRECT(J$2),INDIRECT(I2766),test))</f>
        <v>52.82172660977222</v>
      </c>
      <c r="F2766" s="1" t="str">
        <f t="shared" si="175"/>
        <v>50</v>
      </c>
      <c r="G2766" s="1" t="str">
        <f t="shared" si="176"/>
        <v>1</v>
      </c>
      <c r="I2766" s="1" t="str">
        <f t="shared" si="174"/>
        <v>威尔新数值1.06.xlsm!suitPower</v>
      </c>
    </row>
    <row r="2767" spans="1:9" x14ac:dyDescent="0.15">
      <c r="A2767" s="1">
        <v>2766</v>
      </c>
      <c r="B2767" s="1">
        <v>103020100</v>
      </c>
      <c r="C2767" s="1">
        <f t="shared" si="173"/>
        <v>5</v>
      </c>
      <c r="D2767" s="5">
        <f ca="1">IF(getQuality(B2767)&lt;4,getOtherMin(B2767,C2767,INDIRECT(J$2),INDIRECT(I2767),test),getMin(B2767,C2767,INDIRECT(J$2),INDIRECT(I2767),test))</f>
        <v>25.009875731714647</v>
      </c>
      <c r="E2767" s="5">
        <f ca="1">IF(getQuality(B2767)&lt;4,getOtherMax(B2767,C2767,INDIRECT(J$2),INDIRECT(I2767),test),getMax(B2767,C2767,INDIRECT(J$2),INDIRECT(I2767),test))</f>
        <v>52.82172660977222</v>
      </c>
      <c r="F2767" s="1" t="str">
        <f t="shared" si="175"/>
        <v>50</v>
      </c>
      <c r="G2767" s="1" t="str">
        <f t="shared" si="176"/>
        <v/>
      </c>
      <c r="I2767" s="1" t="str">
        <f t="shared" si="174"/>
        <v>威尔新数值1.06.xlsm!suitPower</v>
      </c>
    </row>
    <row r="2768" spans="1:9" x14ac:dyDescent="0.15">
      <c r="A2768" s="1">
        <v>2767</v>
      </c>
      <c r="B2768" s="1">
        <v>103020100</v>
      </c>
      <c r="C2768" s="1">
        <f t="shared" si="173"/>
        <v>7</v>
      </c>
      <c r="D2768" s="5">
        <f ca="1">IF(getQuality(B2768)&lt;4,getOtherMin(B2768,C2768,INDIRECT(J$2),INDIRECT(I2768),test),getMin(B2768,C2768,INDIRECT(J$2),INDIRECT(I2768),test))</f>
        <v>8.4074074074073888</v>
      </c>
      <c r="E2768" s="5">
        <f ca="1">IF(getQuality(B2768)&lt;4,getOtherMax(B2768,C2768,INDIRECT(J$2),INDIRECT(I2768),test),getMax(B2768,C2768,INDIRECT(J$2),INDIRECT(I2768),test))</f>
        <v>14.814814814814778</v>
      </c>
      <c r="F2768" s="1" t="str">
        <f t="shared" si="175"/>
        <v>50</v>
      </c>
      <c r="G2768" s="1" t="str">
        <f t="shared" si="176"/>
        <v/>
      </c>
      <c r="I2768" s="1" t="str">
        <f t="shared" si="174"/>
        <v>威尔新数值1.06.xlsm!suitPower</v>
      </c>
    </row>
    <row r="2769" spans="1:9" x14ac:dyDescent="0.15">
      <c r="A2769" s="1">
        <v>2768</v>
      </c>
      <c r="B2769" s="1">
        <v>103020100</v>
      </c>
      <c r="C2769" s="1">
        <f t="shared" si="173"/>
        <v>8</v>
      </c>
      <c r="D2769" s="5">
        <f ca="1">IF(getQuality(B2769)&lt;4,getOtherMin(B2769,C2769,INDIRECT(J$2),INDIRECT(I2769),test),getMin(B2769,C2769,INDIRECT(J$2),INDIRECT(I2769),test))</f>
        <v>17.666666666666668</v>
      </c>
      <c r="E2769" s="5">
        <f ca="1">IF(getQuality(B2769)&lt;4,getOtherMax(B2769,C2769,INDIRECT(J$2),INDIRECT(I2769),test),getMax(B2769,C2769,INDIRECT(J$2),INDIRECT(I2769),test))</f>
        <v>33.333333333333336</v>
      </c>
      <c r="F2769" s="1" t="str">
        <f t="shared" si="175"/>
        <v>50</v>
      </c>
      <c r="G2769" s="1" t="str">
        <f t="shared" si="176"/>
        <v/>
      </c>
      <c r="I2769" s="1" t="str">
        <f t="shared" si="174"/>
        <v>威尔新数值1.06.xlsm!suitPower</v>
      </c>
    </row>
    <row r="2770" spans="1:9" x14ac:dyDescent="0.15">
      <c r="A2770" s="1">
        <v>2769</v>
      </c>
      <c r="B2770" s="1">
        <v>103020100</v>
      </c>
      <c r="C2770" s="1">
        <f t="shared" si="173"/>
        <v>9</v>
      </c>
      <c r="D2770" s="5">
        <f ca="1">IF(getQuality(B2770)&lt;4,getOtherMin(B2770,C2770,INDIRECT(J$2),INDIRECT(I2770),test),getMin(B2770,C2770,INDIRECT(J$2),INDIRECT(I2770),test))</f>
        <v>25.009875731714647</v>
      </c>
      <c r="E2770" s="5">
        <f ca="1">IF(getQuality(B2770)&lt;4,getOtherMax(B2770,C2770,INDIRECT(J$2),INDIRECT(I2770),test),getMax(B2770,C2770,INDIRECT(J$2),INDIRECT(I2770),test))</f>
        <v>52.82172660977222</v>
      </c>
      <c r="F2770" s="1" t="str">
        <f t="shared" si="175"/>
        <v>50</v>
      </c>
      <c r="G2770" s="1" t="str">
        <f t="shared" si="176"/>
        <v/>
      </c>
      <c r="I2770" s="1" t="str">
        <f t="shared" si="174"/>
        <v>威尔新数值1.06.xlsm!suitPower</v>
      </c>
    </row>
    <row r="2771" spans="1:9" x14ac:dyDescent="0.15">
      <c r="A2771" s="1">
        <v>2770</v>
      </c>
      <c r="B2771" s="1">
        <v>103020100</v>
      </c>
      <c r="C2771" s="1">
        <f t="shared" si="173"/>
        <v>10</v>
      </c>
      <c r="D2771" s="5">
        <f ca="1">IF(getQuality(B2771)&lt;4,getOtherMin(B2771,C2771,INDIRECT(J$2),INDIRECT(I2771),test),getMin(B2771,C2771,INDIRECT(J$2),INDIRECT(I2771),test))</f>
        <v>25.009875731714647</v>
      </c>
      <c r="E2771" s="5">
        <f ca="1">IF(getQuality(B2771)&lt;4,getOtherMax(B2771,C2771,INDIRECT(J$2),INDIRECT(I2771),test),getMax(B2771,C2771,INDIRECT(J$2),INDIRECT(I2771),test))</f>
        <v>52.82172660977222</v>
      </c>
      <c r="F2771" s="1" t="str">
        <f t="shared" si="175"/>
        <v>50</v>
      </c>
      <c r="G2771" s="1" t="str">
        <f t="shared" si="176"/>
        <v/>
      </c>
      <c r="I2771" s="1" t="str">
        <f t="shared" si="174"/>
        <v>威尔新数值1.06.xlsm!suitPower</v>
      </c>
    </row>
    <row r="2772" spans="1:9" x14ac:dyDescent="0.15">
      <c r="A2772" s="1">
        <v>2771</v>
      </c>
      <c r="B2772" s="1">
        <v>103020100</v>
      </c>
      <c r="C2772" s="1">
        <f t="shared" si="173"/>
        <v>11</v>
      </c>
      <c r="D2772" s="5">
        <f ca="1">IF(getQuality(B2772)&lt;4,getOtherMin(B2772,C2772,INDIRECT(J$2),INDIRECT(I2772),test),getMin(B2772,C2772,INDIRECT(J$2),INDIRECT(I2772),test))</f>
        <v>25.009875731714647</v>
      </c>
      <c r="E2772" s="5">
        <f ca="1">IF(getQuality(B2772)&lt;4,getOtherMax(B2772,C2772,INDIRECT(J$2),INDIRECT(I2772),test),getMax(B2772,C2772,INDIRECT(J$2),INDIRECT(I2772),test))</f>
        <v>52.82172660977222</v>
      </c>
      <c r="F2772" s="1" t="str">
        <f t="shared" si="175"/>
        <v>50</v>
      </c>
      <c r="G2772" s="1" t="str">
        <f t="shared" si="176"/>
        <v/>
      </c>
      <c r="I2772" s="1" t="str">
        <f t="shared" si="174"/>
        <v>威尔新数值1.06.xlsm!suitPower</v>
      </c>
    </row>
    <row r="2773" spans="1:9" x14ac:dyDescent="0.15">
      <c r="A2773" s="1">
        <v>2772</v>
      </c>
      <c r="B2773" s="1">
        <v>103020100</v>
      </c>
      <c r="C2773" s="1">
        <f t="shared" si="173"/>
        <v>12</v>
      </c>
      <c r="D2773" s="5">
        <f ca="1">IF(getQuality(B2773)&lt;4,getOtherMin(B2773,C2773,INDIRECT(J$2),INDIRECT(I2773),test),getMin(B2773,C2773,INDIRECT(J$2),INDIRECT(I2773),test))</f>
        <v>25.009875731714647</v>
      </c>
      <c r="E2773" s="5">
        <f ca="1">IF(getQuality(B2773)&lt;4,getOtherMax(B2773,C2773,INDIRECT(J$2),INDIRECT(I2773),test),getMax(B2773,C2773,INDIRECT(J$2),INDIRECT(I2773),test))</f>
        <v>52.82172660977222</v>
      </c>
      <c r="F2773" s="1" t="str">
        <f t="shared" si="175"/>
        <v>50</v>
      </c>
      <c r="G2773" s="1" t="str">
        <f t="shared" si="176"/>
        <v/>
      </c>
      <c r="I2773" s="1" t="str">
        <f t="shared" si="174"/>
        <v>威尔新数值1.06.xlsm!suitPower</v>
      </c>
    </row>
    <row r="2774" spans="1:9" x14ac:dyDescent="0.15">
      <c r="A2774" s="1">
        <v>2773</v>
      </c>
      <c r="B2774" s="1">
        <v>103020100</v>
      </c>
      <c r="C2774" s="1">
        <f t="shared" si="173"/>
        <v>13</v>
      </c>
      <c r="D2774" s="5">
        <f ca="1">IF(getQuality(B2774)&lt;4,getOtherMin(B2774,C2774,INDIRECT(J$2),INDIRECT(I2774),test),getMin(B2774,C2774,INDIRECT(J$2),INDIRECT(I2774),test))</f>
        <v>25.009875731714647</v>
      </c>
      <c r="E2774" s="5">
        <f ca="1">IF(getQuality(B2774)&lt;4,getOtherMax(B2774,C2774,INDIRECT(J$2),INDIRECT(I2774),test),getMax(B2774,C2774,INDIRECT(J$2),INDIRECT(I2774),test))</f>
        <v>52.82172660977222</v>
      </c>
      <c r="F2774" s="1" t="str">
        <f t="shared" si="175"/>
        <v>50</v>
      </c>
      <c r="G2774" s="1" t="str">
        <f t="shared" si="176"/>
        <v/>
      </c>
      <c r="I2774" s="1" t="str">
        <f t="shared" si="174"/>
        <v>威尔新数值1.06.xlsm!suitPower</v>
      </c>
    </row>
    <row r="2775" spans="1:9" x14ac:dyDescent="0.15">
      <c r="A2775" s="1">
        <v>2774</v>
      </c>
      <c r="B2775" s="1">
        <v>103020100</v>
      </c>
      <c r="C2775" s="1">
        <f t="shared" si="173"/>
        <v>14</v>
      </c>
      <c r="D2775" s="5">
        <f ca="1">IF(getQuality(B2775)&lt;4,getOtherMin(B2775,C2775,INDIRECT(J$2),INDIRECT(I2775),test),getMin(B2775,C2775,INDIRECT(J$2),INDIRECT(I2775),test))</f>
        <v>25.009875731714647</v>
      </c>
      <c r="E2775" s="5">
        <f ca="1">IF(getQuality(B2775)&lt;4,getOtherMax(B2775,C2775,INDIRECT(J$2),INDIRECT(I2775),test),getMax(B2775,C2775,INDIRECT(J$2),INDIRECT(I2775),test))</f>
        <v>52.82172660977222</v>
      </c>
      <c r="F2775" s="1" t="str">
        <f t="shared" si="175"/>
        <v>50</v>
      </c>
      <c r="G2775" s="1" t="str">
        <f t="shared" si="176"/>
        <v/>
      </c>
      <c r="I2775" s="1" t="str">
        <f t="shared" si="174"/>
        <v>威尔新数值1.06.xlsm!suitPower</v>
      </c>
    </row>
    <row r="2776" spans="1:9" x14ac:dyDescent="0.15">
      <c r="A2776" s="1">
        <v>2775</v>
      </c>
      <c r="B2776" s="1">
        <v>103020100</v>
      </c>
      <c r="C2776" s="1">
        <f t="shared" si="173"/>
        <v>15</v>
      </c>
      <c r="D2776" s="5">
        <f ca="1">IF(getQuality(B2776)&lt;4,getOtherMin(B2776,C2776,INDIRECT(J$2),INDIRECT(I2776),test),getMin(B2776,C2776,INDIRECT(J$2),INDIRECT(I2776),test))</f>
        <v>25.009875731714647</v>
      </c>
      <c r="E2776" s="5">
        <f ca="1">IF(getQuality(B2776)&lt;4,getOtherMax(B2776,C2776,INDIRECT(J$2),INDIRECT(I2776),test),getMax(B2776,C2776,INDIRECT(J$2),INDIRECT(I2776),test))</f>
        <v>52.82172660977222</v>
      </c>
      <c r="F2776" s="1" t="str">
        <f t="shared" si="175"/>
        <v>50</v>
      </c>
      <c r="G2776" s="1" t="str">
        <f t="shared" si="176"/>
        <v/>
      </c>
      <c r="I2776" s="1" t="str">
        <f t="shared" si="174"/>
        <v>威尔新数值1.06.xlsm!suitPower</v>
      </c>
    </row>
    <row r="2777" spans="1:9" x14ac:dyDescent="0.15">
      <c r="A2777" s="1">
        <v>2776</v>
      </c>
      <c r="B2777" s="1">
        <v>103020100</v>
      </c>
      <c r="C2777" s="1">
        <f t="shared" si="173"/>
        <v>101</v>
      </c>
      <c r="D2777" s="5">
        <f ca="1">IF(getQuality(B2777)&lt;4,getOtherMin(B2777,C2777,INDIRECT(J$2),INDIRECT(I2777),test),getMin(B2777,C2777,INDIRECT(J$2),INDIRECT(I2777),test))</f>
        <v>0.08</v>
      </c>
      <c r="E2777" s="5">
        <f ca="1">IF(getQuality(B2777)&lt;4,getOtherMax(B2777,C2777,INDIRECT(J$2),INDIRECT(I2777),test),getMax(B2777,C2777,INDIRECT(J$2),INDIRECT(I2777),test))</f>
        <v>0.11</v>
      </c>
      <c r="F2777" s="1" t="str">
        <f t="shared" si="175"/>
        <v>50</v>
      </c>
      <c r="G2777" s="1" t="str">
        <f t="shared" si="176"/>
        <v/>
      </c>
      <c r="I2777" s="1" t="str">
        <f t="shared" si="174"/>
        <v>威尔新数值1.06.xlsm!circlePer</v>
      </c>
    </row>
    <row r="2778" spans="1:9" x14ac:dyDescent="0.15">
      <c r="A2778" s="1">
        <v>2777</v>
      </c>
      <c r="B2778" s="1">
        <v>103020100</v>
      </c>
      <c r="C2778" s="1">
        <f t="shared" si="173"/>
        <v>102</v>
      </c>
      <c r="D2778" s="5">
        <f ca="1">IF(getQuality(B2778)&lt;4,getOtherMin(B2778,C2778,INDIRECT(J$2),INDIRECT(I2778),test),getMin(B2778,C2778,INDIRECT(J$2),INDIRECT(I2778),test))</f>
        <v>0.7</v>
      </c>
      <c r="E2778" s="5">
        <f ca="1">IF(getQuality(B2778)&lt;4,getOtherMax(B2778,C2778,INDIRECT(J$2),INDIRECT(I2778),test),getMax(B2778,C2778,INDIRECT(J$2),INDIRECT(I2778),test))</f>
        <v>1</v>
      </c>
      <c r="F2778" s="1" t="str">
        <f t="shared" si="175"/>
        <v>50</v>
      </c>
      <c r="G2778" s="1" t="str">
        <f t="shared" si="176"/>
        <v/>
      </c>
      <c r="I2778" s="1" t="str">
        <f t="shared" si="174"/>
        <v>威尔新数值1.06.xlsm!circleValue</v>
      </c>
    </row>
    <row r="2779" spans="1:9" x14ac:dyDescent="0.15">
      <c r="A2779" s="1">
        <v>2778</v>
      </c>
      <c r="B2779" s="1">
        <v>103020100</v>
      </c>
      <c r="C2779" s="1">
        <f t="shared" si="173"/>
        <v>103</v>
      </c>
      <c r="D2779" s="5">
        <f ca="1">IF(getQuality(B2779)&lt;4,getOtherMin(B2779,C2779,INDIRECT(J$2),INDIRECT(I2779),test),getMin(B2779,C2779,INDIRECT(J$2),INDIRECT(I2779),test))</f>
        <v>0.08</v>
      </c>
      <c r="E2779" s="5">
        <f ca="1">IF(getQuality(B2779)&lt;4,getOtherMax(B2779,C2779,INDIRECT(J$2),INDIRECT(I2779),test),getMax(B2779,C2779,INDIRECT(J$2),INDIRECT(I2779),test))</f>
        <v>0.11</v>
      </c>
      <c r="F2779" s="1" t="str">
        <f t="shared" si="175"/>
        <v>50</v>
      </c>
      <c r="G2779" s="1" t="str">
        <f t="shared" si="176"/>
        <v/>
      </c>
      <c r="I2779" s="1" t="str">
        <f t="shared" si="174"/>
        <v>威尔新数值1.06.xlsm!otherDamage</v>
      </c>
    </row>
    <row r="2780" spans="1:9" x14ac:dyDescent="0.15">
      <c r="A2780" s="1">
        <v>2779</v>
      </c>
      <c r="B2780" s="1">
        <v>103020100</v>
      </c>
      <c r="C2780" s="1">
        <f t="shared" si="173"/>
        <v>104</v>
      </c>
      <c r="D2780" s="5">
        <f ca="1">IF(getQuality(B2780)&lt;4,getOtherMin(B2780,C2780,INDIRECT(J$2),INDIRECT(I2780),test),getMin(B2780,C2780,INDIRECT(J$2),INDIRECT(I2780),test))</f>
        <v>0.08</v>
      </c>
      <c r="E2780" s="5">
        <f ca="1">IF(getQuality(B2780)&lt;4,getOtherMax(B2780,C2780,INDIRECT(J$2),INDIRECT(I2780),test),getMax(B2780,C2780,INDIRECT(J$2),INDIRECT(I2780),test))</f>
        <v>0.16</v>
      </c>
      <c r="F2780" s="1" t="str">
        <f t="shared" si="175"/>
        <v>50</v>
      </c>
      <c r="G2780" s="1" t="str">
        <f t="shared" si="176"/>
        <v/>
      </c>
      <c r="I2780" s="1" t="str">
        <f t="shared" si="174"/>
        <v>威尔新数值1.06.xlsm!monsterDamage</v>
      </c>
    </row>
    <row r="2781" spans="1:9" x14ac:dyDescent="0.15">
      <c r="A2781" s="1">
        <v>2780</v>
      </c>
      <c r="B2781" s="1">
        <v>103020100</v>
      </c>
      <c r="C2781" s="1">
        <f t="shared" si="173"/>
        <v>105</v>
      </c>
      <c r="D2781" s="5">
        <f ca="1">IF(getQuality(B2781)&lt;4,getOtherMin(B2781,C2781,INDIRECT(J$2),INDIRECT(I2781),test),getMin(B2781,C2781,INDIRECT(J$2),INDIRECT(I2781),test))</f>
        <v>0.08</v>
      </c>
      <c r="E2781" s="5">
        <f ca="1">IF(getQuality(B2781)&lt;4,getOtherMax(B2781,C2781,INDIRECT(J$2),INDIRECT(I2781),test),getMax(B2781,C2781,INDIRECT(J$2),INDIRECT(I2781),test))</f>
        <v>0.16</v>
      </c>
      <c r="F2781" s="1" t="str">
        <f t="shared" si="175"/>
        <v>50</v>
      </c>
      <c r="G2781" s="1" t="str">
        <f t="shared" si="176"/>
        <v/>
      </c>
      <c r="I2781" s="1" t="str">
        <f t="shared" si="174"/>
        <v>威尔新数值1.06.xlsm!monsterDamage</v>
      </c>
    </row>
    <row r="2782" spans="1:9" x14ac:dyDescent="0.15">
      <c r="A2782" s="1">
        <v>2781</v>
      </c>
      <c r="B2782" s="1">
        <v>103020100</v>
      </c>
      <c r="C2782" s="1">
        <f t="shared" si="173"/>
        <v>106</v>
      </c>
      <c r="D2782" s="5">
        <f ca="1">IF(getQuality(B2782)&lt;4,getOtherMin(B2782,C2782,INDIRECT(J$2),INDIRECT(I2782),test),getMin(B2782,C2782,INDIRECT(J$2),INDIRECT(I2782),test))</f>
        <v>0.08</v>
      </c>
      <c r="E2782" s="5">
        <f ca="1">IF(getQuality(B2782)&lt;4,getOtherMax(B2782,C2782,INDIRECT(J$2),INDIRECT(I2782),test),getMax(B2782,C2782,INDIRECT(J$2),INDIRECT(I2782),test))</f>
        <v>0.16</v>
      </c>
      <c r="F2782" s="1" t="str">
        <f t="shared" si="175"/>
        <v>50</v>
      </c>
      <c r="G2782" s="1" t="str">
        <f t="shared" si="176"/>
        <v/>
      </c>
      <c r="I2782" s="1" t="str">
        <f t="shared" si="174"/>
        <v>威尔新数值1.06.xlsm!monsterDamage</v>
      </c>
    </row>
    <row r="2783" spans="1:9" x14ac:dyDescent="0.15">
      <c r="A2783" s="1">
        <v>2782</v>
      </c>
      <c r="B2783" s="1">
        <v>103020100</v>
      </c>
      <c r="C2783" s="1">
        <f t="shared" si="173"/>
        <v>107</v>
      </c>
      <c r="D2783" s="5">
        <f ca="1">IF(getQuality(B2783)&lt;4,getOtherMin(B2783,C2783,INDIRECT(J$2),INDIRECT(I2783),test),getMin(B2783,C2783,INDIRECT(J$2),INDIRECT(I2783),test))</f>
        <v>0.08</v>
      </c>
      <c r="E2783" s="5">
        <f ca="1">IF(getQuality(B2783)&lt;4,getOtherMax(B2783,C2783,INDIRECT(J$2),INDIRECT(I2783),test),getMax(B2783,C2783,INDIRECT(J$2),INDIRECT(I2783),test))</f>
        <v>0.16</v>
      </c>
      <c r="F2783" s="1" t="str">
        <f t="shared" si="175"/>
        <v>50</v>
      </c>
      <c r="G2783" s="1" t="str">
        <f t="shared" si="176"/>
        <v/>
      </c>
      <c r="I2783" s="1" t="str">
        <f t="shared" si="174"/>
        <v>威尔新数值1.06.xlsm!monsterDamage</v>
      </c>
    </row>
    <row r="2784" spans="1:9" x14ac:dyDescent="0.15">
      <c r="A2784" s="1">
        <v>2783</v>
      </c>
      <c r="B2784" s="1">
        <v>103020100</v>
      </c>
      <c r="C2784" s="1">
        <f t="shared" si="173"/>
        <v>108</v>
      </c>
      <c r="D2784" s="5">
        <f ca="1">IF(getQuality(B2784)&lt;4,getOtherMin(B2784,C2784,INDIRECT(J$2),INDIRECT(I2784),test),getMin(B2784,C2784,INDIRECT(J$2),INDIRECT(I2784),test))</f>
        <v>0.08</v>
      </c>
      <c r="E2784" s="5">
        <f ca="1">IF(getQuality(B2784)&lt;4,getOtherMax(B2784,C2784,INDIRECT(J$2),INDIRECT(I2784),test),getMax(B2784,C2784,INDIRECT(J$2),INDIRECT(I2784),test))</f>
        <v>0.16</v>
      </c>
      <c r="F2784" s="1" t="str">
        <f t="shared" si="175"/>
        <v>50</v>
      </c>
      <c r="G2784" s="1" t="str">
        <f t="shared" si="176"/>
        <v/>
      </c>
      <c r="I2784" s="1" t="str">
        <f t="shared" si="174"/>
        <v>威尔新数值1.06.xlsm!monsterDamage</v>
      </c>
    </row>
    <row r="2785" spans="1:9" x14ac:dyDescent="0.15">
      <c r="A2785" s="1">
        <v>2784</v>
      </c>
      <c r="B2785" s="1">
        <v>103030100</v>
      </c>
      <c r="C2785" s="1">
        <f t="shared" si="173"/>
        <v>3</v>
      </c>
      <c r="D2785" s="5">
        <f ca="1">IF(getQuality(B2785)&lt;4,getOtherMin(B2785,C2785,INDIRECT(J$2),INDIRECT(I2785),test),getMin(B2785,C2785,INDIRECT(J$2),INDIRECT(I2785),test))</f>
        <v>53.82172660977222</v>
      </c>
      <c r="E2785" s="5">
        <f ca="1">IF(getQuality(B2785)&lt;4,getOtherMax(B2785,C2785,INDIRECT(J$2),INDIRECT(I2785),test),getMax(B2785,C2785,INDIRECT(J$2),INDIRECT(I2785),test))</f>
        <v>86.435552634172723</v>
      </c>
      <c r="F2785" s="1" t="str">
        <f t="shared" si="175"/>
        <v>50</v>
      </c>
      <c r="G2785" s="1" t="str">
        <f t="shared" si="176"/>
        <v>1</v>
      </c>
      <c r="I2785" s="1" t="str">
        <f t="shared" si="174"/>
        <v>威尔新数值1.06.xlsm!suitPower</v>
      </c>
    </row>
    <row r="2786" spans="1:9" x14ac:dyDescent="0.15">
      <c r="A2786" s="1">
        <v>2785</v>
      </c>
      <c r="B2786" s="1">
        <v>103030100</v>
      </c>
      <c r="C2786" s="1">
        <f t="shared" si="173"/>
        <v>5</v>
      </c>
      <c r="D2786" s="5">
        <f ca="1">IF(getQuality(B2786)&lt;4,getOtherMin(B2786,C2786,INDIRECT(J$2),INDIRECT(I2786),test),getMin(B2786,C2786,INDIRECT(J$2),INDIRECT(I2786),test))</f>
        <v>53.82172660977222</v>
      </c>
      <c r="E2786" s="5">
        <f ca="1">IF(getQuality(B2786)&lt;4,getOtherMax(B2786,C2786,INDIRECT(J$2),INDIRECT(I2786),test),getMax(B2786,C2786,INDIRECT(J$2),INDIRECT(I2786),test))</f>
        <v>86.435552634172723</v>
      </c>
      <c r="F2786" s="1" t="str">
        <f t="shared" si="175"/>
        <v>50</v>
      </c>
      <c r="G2786" s="1" t="str">
        <f t="shared" si="176"/>
        <v/>
      </c>
      <c r="I2786" s="1" t="str">
        <f t="shared" si="174"/>
        <v>威尔新数值1.06.xlsm!suitPower</v>
      </c>
    </row>
    <row r="2787" spans="1:9" x14ac:dyDescent="0.15">
      <c r="A2787" s="1">
        <v>2786</v>
      </c>
      <c r="B2787" s="1">
        <v>103030100</v>
      </c>
      <c r="C2787" s="1">
        <f t="shared" si="173"/>
        <v>7</v>
      </c>
      <c r="D2787" s="5">
        <f ca="1">IF(getQuality(B2787)&lt;4,getOtherMin(B2787,C2787,INDIRECT(J$2),INDIRECT(I2787),test),getMin(B2787,C2787,INDIRECT(J$2),INDIRECT(I2787),test))</f>
        <v>15.814814814814778</v>
      </c>
      <c r="E2787" s="5">
        <f ca="1">IF(getQuality(B2787)&lt;4,getOtherMax(B2787,C2787,INDIRECT(J$2),INDIRECT(I2787),test),getMax(B2787,C2787,INDIRECT(J$2),INDIRECT(I2787),test))</f>
        <v>22.222222222222165</v>
      </c>
      <c r="F2787" s="1" t="str">
        <f t="shared" si="175"/>
        <v>50</v>
      </c>
      <c r="G2787" s="1" t="str">
        <f t="shared" si="176"/>
        <v/>
      </c>
      <c r="I2787" s="1" t="str">
        <f t="shared" si="174"/>
        <v>威尔新数值1.06.xlsm!suitPower</v>
      </c>
    </row>
    <row r="2788" spans="1:9" x14ac:dyDescent="0.15">
      <c r="A2788" s="1">
        <v>2787</v>
      </c>
      <c r="B2788" s="1">
        <v>103030100</v>
      </c>
      <c r="C2788" s="1">
        <f t="shared" si="173"/>
        <v>8</v>
      </c>
      <c r="D2788" s="5">
        <f ca="1">IF(getQuality(B2788)&lt;4,getOtherMin(B2788,C2788,INDIRECT(J$2),INDIRECT(I2788),test),getMin(B2788,C2788,INDIRECT(J$2),INDIRECT(I2788),test))</f>
        <v>34.333333333333336</v>
      </c>
      <c r="E2788" s="5">
        <f ca="1">IF(getQuality(B2788)&lt;4,getOtherMax(B2788,C2788,INDIRECT(J$2),INDIRECT(I2788),test),getMax(B2788,C2788,INDIRECT(J$2),INDIRECT(I2788),test))</f>
        <v>50</v>
      </c>
      <c r="F2788" s="1" t="str">
        <f t="shared" si="175"/>
        <v>50</v>
      </c>
      <c r="G2788" s="1" t="str">
        <f t="shared" si="176"/>
        <v/>
      </c>
      <c r="I2788" s="1" t="str">
        <f t="shared" si="174"/>
        <v>威尔新数值1.06.xlsm!suitPower</v>
      </c>
    </row>
    <row r="2789" spans="1:9" x14ac:dyDescent="0.15">
      <c r="A2789" s="1">
        <v>2788</v>
      </c>
      <c r="B2789" s="1">
        <v>103030100</v>
      </c>
      <c r="C2789" s="1">
        <f t="shared" si="173"/>
        <v>9</v>
      </c>
      <c r="D2789" s="5">
        <f ca="1">IF(getQuality(B2789)&lt;4,getOtherMin(B2789,C2789,INDIRECT(J$2),INDIRECT(I2789),test),getMin(B2789,C2789,INDIRECT(J$2),INDIRECT(I2789),test))</f>
        <v>53.82172660977222</v>
      </c>
      <c r="E2789" s="5">
        <f ca="1">IF(getQuality(B2789)&lt;4,getOtherMax(B2789,C2789,INDIRECT(J$2),INDIRECT(I2789),test),getMax(B2789,C2789,INDIRECT(J$2),INDIRECT(I2789),test))</f>
        <v>86.435552634172723</v>
      </c>
      <c r="F2789" s="1" t="str">
        <f t="shared" si="175"/>
        <v>50</v>
      </c>
      <c r="G2789" s="1" t="str">
        <f t="shared" si="176"/>
        <v/>
      </c>
      <c r="I2789" s="1" t="str">
        <f t="shared" si="174"/>
        <v>威尔新数值1.06.xlsm!suitPower</v>
      </c>
    </row>
    <row r="2790" spans="1:9" x14ac:dyDescent="0.15">
      <c r="A2790" s="1">
        <v>2789</v>
      </c>
      <c r="B2790" s="1">
        <v>103030100</v>
      </c>
      <c r="C2790" s="1">
        <f t="shared" si="173"/>
        <v>10</v>
      </c>
      <c r="D2790" s="5">
        <f ca="1">IF(getQuality(B2790)&lt;4,getOtherMin(B2790,C2790,INDIRECT(J$2),INDIRECT(I2790),test),getMin(B2790,C2790,INDIRECT(J$2),INDIRECT(I2790),test))</f>
        <v>53.82172660977222</v>
      </c>
      <c r="E2790" s="5">
        <f ca="1">IF(getQuality(B2790)&lt;4,getOtherMax(B2790,C2790,INDIRECT(J$2),INDIRECT(I2790),test),getMax(B2790,C2790,INDIRECT(J$2),INDIRECT(I2790),test))</f>
        <v>86.435552634172723</v>
      </c>
      <c r="F2790" s="1" t="str">
        <f t="shared" si="175"/>
        <v>50</v>
      </c>
      <c r="G2790" s="1" t="str">
        <f t="shared" si="176"/>
        <v/>
      </c>
      <c r="I2790" s="1" t="str">
        <f t="shared" si="174"/>
        <v>威尔新数值1.06.xlsm!suitPower</v>
      </c>
    </row>
    <row r="2791" spans="1:9" x14ac:dyDescent="0.15">
      <c r="A2791" s="1">
        <v>2790</v>
      </c>
      <c r="B2791" s="1">
        <v>103030100</v>
      </c>
      <c r="C2791" s="1">
        <f t="shared" si="173"/>
        <v>11</v>
      </c>
      <c r="D2791" s="5">
        <f ca="1">IF(getQuality(B2791)&lt;4,getOtherMin(B2791,C2791,INDIRECT(J$2),INDIRECT(I2791),test),getMin(B2791,C2791,INDIRECT(J$2),INDIRECT(I2791),test))</f>
        <v>53.82172660977222</v>
      </c>
      <c r="E2791" s="5">
        <f ca="1">IF(getQuality(B2791)&lt;4,getOtherMax(B2791,C2791,INDIRECT(J$2),INDIRECT(I2791),test),getMax(B2791,C2791,INDIRECT(J$2),INDIRECT(I2791),test))</f>
        <v>86.435552634172723</v>
      </c>
      <c r="F2791" s="1" t="str">
        <f t="shared" si="175"/>
        <v>50</v>
      </c>
      <c r="G2791" s="1" t="str">
        <f t="shared" si="176"/>
        <v/>
      </c>
      <c r="I2791" s="1" t="str">
        <f t="shared" si="174"/>
        <v>威尔新数值1.06.xlsm!suitPower</v>
      </c>
    </row>
    <row r="2792" spans="1:9" x14ac:dyDescent="0.15">
      <c r="A2792" s="1">
        <v>2791</v>
      </c>
      <c r="B2792" s="1">
        <v>103030100</v>
      </c>
      <c r="C2792" s="1">
        <f t="shared" si="173"/>
        <v>12</v>
      </c>
      <c r="D2792" s="5">
        <f ca="1">IF(getQuality(B2792)&lt;4,getOtherMin(B2792,C2792,INDIRECT(J$2),INDIRECT(I2792),test),getMin(B2792,C2792,INDIRECT(J$2),INDIRECT(I2792),test))</f>
        <v>53.82172660977222</v>
      </c>
      <c r="E2792" s="5">
        <f ca="1">IF(getQuality(B2792)&lt;4,getOtherMax(B2792,C2792,INDIRECT(J$2),INDIRECT(I2792),test),getMax(B2792,C2792,INDIRECT(J$2),INDIRECT(I2792),test))</f>
        <v>86.435552634172723</v>
      </c>
      <c r="F2792" s="1" t="str">
        <f t="shared" si="175"/>
        <v>50</v>
      </c>
      <c r="G2792" s="1" t="str">
        <f t="shared" si="176"/>
        <v/>
      </c>
      <c r="I2792" s="1" t="str">
        <f t="shared" si="174"/>
        <v>威尔新数值1.06.xlsm!suitPower</v>
      </c>
    </row>
    <row r="2793" spans="1:9" x14ac:dyDescent="0.15">
      <c r="A2793" s="1">
        <v>2792</v>
      </c>
      <c r="B2793" s="1">
        <v>103030100</v>
      </c>
      <c r="C2793" s="1">
        <f t="shared" si="173"/>
        <v>13</v>
      </c>
      <c r="D2793" s="5">
        <f ca="1">IF(getQuality(B2793)&lt;4,getOtherMin(B2793,C2793,INDIRECT(J$2),INDIRECT(I2793),test),getMin(B2793,C2793,INDIRECT(J$2),INDIRECT(I2793),test))</f>
        <v>53.82172660977222</v>
      </c>
      <c r="E2793" s="5">
        <f ca="1">IF(getQuality(B2793)&lt;4,getOtherMax(B2793,C2793,INDIRECT(J$2),INDIRECT(I2793),test),getMax(B2793,C2793,INDIRECT(J$2),INDIRECT(I2793),test))</f>
        <v>86.435552634172723</v>
      </c>
      <c r="F2793" s="1" t="str">
        <f t="shared" si="175"/>
        <v>50</v>
      </c>
      <c r="G2793" s="1" t="str">
        <f t="shared" si="176"/>
        <v/>
      </c>
      <c r="I2793" s="1" t="str">
        <f t="shared" si="174"/>
        <v>威尔新数值1.06.xlsm!suitPower</v>
      </c>
    </row>
    <row r="2794" spans="1:9" x14ac:dyDescent="0.15">
      <c r="A2794" s="1">
        <v>2793</v>
      </c>
      <c r="B2794" s="1">
        <v>103030100</v>
      </c>
      <c r="C2794" s="1">
        <f t="shared" si="173"/>
        <v>14</v>
      </c>
      <c r="D2794" s="5">
        <f ca="1">IF(getQuality(B2794)&lt;4,getOtherMin(B2794,C2794,INDIRECT(J$2),INDIRECT(I2794),test),getMin(B2794,C2794,INDIRECT(J$2),INDIRECT(I2794),test))</f>
        <v>53.82172660977222</v>
      </c>
      <c r="E2794" s="5">
        <f ca="1">IF(getQuality(B2794)&lt;4,getOtherMax(B2794,C2794,INDIRECT(J$2),INDIRECT(I2794),test),getMax(B2794,C2794,INDIRECT(J$2),INDIRECT(I2794),test))</f>
        <v>86.435552634172723</v>
      </c>
      <c r="F2794" s="1" t="str">
        <f t="shared" si="175"/>
        <v>50</v>
      </c>
      <c r="G2794" s="1" t="str">
        <f t="shared" si="176"/>
        <v/>
      </c>
      <c r="I2794" s="1" t="str">
        <f t="shared" si="174"/>
        <v>威尔新数值1.06.xlsm!suitPower</v>
      </c>
    </row>
    <row r="2795" spans="1:9" x14ac:dyDescent="0.15">
      <c r="A2795" s="1">
        <v>2794</v>
      </c>
      <c r="B2795" s="1">
        <v>103030100</v>
      </c>
      <c r="C2795" s="1">
        <f t="shared" si="173"/>
        <v>15</v>
      </c>
      <c r="D2795" s="5">
        <f ca="1">IF(getQuality(B2795)&lt;4,getOtherMin(B2795,C2795,INDIRECT(J$2),INDIRECT(I2795),test),getMin(B2795,C2795,INDIRECT(J$2),INDIRECT(I2795),test))</f>
        <v>53.82172660977222</v>
      </c>
      <c r="E2795" s="5">
        <f ca="1">IF(getQuality(B2795)&lt;4,getOtherMax(B2795,C2795,INDIRECT(J$2),INDIRECT(I2795),test),getMax(B2795,C2795,INDIRECT(J$2),INDIRECT(I2795),test))</f>
        <v>86.435552634172723</v>
      </c>
      <c r="F2795" s="1" t="str">
        <f t="shared" si="175"/>
        <v>50</v>
      </c>
      <c r="G2795" s="1" t="str">
        <f t="shared" si="176"/>
        <v/>
      </c>
      <c r="I2795" s="1" t="str">
        <f t="shared" si="174"/>
        <v>威尔新数值1.06.xlsm!suitPower</v>
      </c>
    </row>
    <row r="2796" spans="1:9" x14ac:dyDescent="0.15">
      <c r="A2796" s="1">
        <v>2795</v>
      </c>
      <c r="B2796" s="1">
        <v>103030100</v>
      </c>
      <c r="C2796" s="1">
        <f t="shared" si="173"/>
        <v>101</v>
      </c>
      <c r="D2796" s="5">
        <f ca="1">IF(getQuality(B2796)&lt;4,getOtherMin(B2796,C2796,INDIRECT(J$2),INDIRECT(I2796),test),getMin(B2796,C2796,INDIRECT(J$2),INDIRECT(I2796),test))</f>
        <v>0.09</v>
      </c>
      <c r="E2796" s="5">
        <f ca="1">IF(getQuality(B2796)&lt;4,getOtherMax(B2796,C2796,INDIRECT(J$2),INDIRECT(I2796),test),getMax(B2796,C2796,INDIRECT(J$2),INDIRECT(I2796),test))</f>
        <v>0.12</v>
      </c>
      <c r="F2796" s="1" t="str">
        <f t="shared" si="175"/>
        <v>50</v>
      </c>
      <c r="G2796" s="1" t="str">
        <f t="shared" si="176"/>
        <v/>
      </c>
      <c r="I2796" s="1" t="str">
        <f t="shared" si="174"/>
        <v>威尔新数值1.06.xlsm!circlePer</v>
      </c>
    </row>
    <row r="2797" spans="1:9" x14ac:dyDescent="0.15">
      <c r="A2797" s="1">
        <v>2796</v>
      </c>
      <c r="B2797" s="1">
        <v>103030100</v>
      </c>
      <c r="C2797" s="1">
        <f t="shared" si="173"/>
        <v>102</v>
      </c>
      <c r="D2797" s="5">
        <f ca="1">IF(getQuality(B2797)&lt;4,getOtherMin(B2797,C2797,INDIRECT(J$2),INDIRECT(I2797),test),getMin(B2797,C2797,INDIRECT(J$2),INDIRECT(I2797),test))</f>
        <v>0.8</v>
      </c>
      <c r="E2797" s="5">
        <f ca="1">IF(getQuality(B2797)&lt;4,getOtherMax(B2797,C2797,INDIRECT(J$2),INDIRECT(I2797),test),getMax(B2797,C2797,INDIRECT(J$2),INDIRECT(I2797),test))</f>
        <v>1.1000000000000001</v>
      </c>
      <c r="F2797" s="1" t="str">
        <f t="shared" si="175"/>
        <v>50</v>
      </c>
      <c r="G2797" s="1" t="str">
        <f t="shared" si="176"/>
        <v/>
      </c>
      <c r="I2797" s="1" t="str">
        <f t="shared" si="174"/>
        <v>威尔新数值1.06.xlsm!circleValue</v>
      </c>
    </row>
    <row r="2798" spans="1:9" x14ac:dyDescent="0.15">
      <c r="A2798" s="1">
        <v>2797</v>
      </c>
      <c r="B2798" s="1">
        <v>103030100</v>
      </c>
      <c r="C2798" s="1">
        <f t="shared" si="173"/>
        <v>103</v>
      </c>
      <c r="D2798" s="5">
        <f ca="1">IF(getQuality(B2798)&lt;4,getOtherMin(B2798,C2798,INDIRECT(J$2),INDIRECT(I2798),test),getMin(B2798,C2798,INDIRECT(J$2),INDIRECT(I2798),test))</f>
        <v>0.09</v>
      </c>
      <c r="E2798" s="5">
        <f ca="1">IF(getQuality(B2798)&lt;4,getOtherMax(B2798,C2798,INDIRECT(J$2),INDIRECT(I2798),test),getMax(B2798,C2798,INDIRECT(J$2),INDIRECT(I2798),test))</f>
        <v>0.12</v>
      </c>
      <c r="F2798" s="1" t="str">
        <f t="shared" si="175"/>
        <v>50</v>
      </c>
      <c r="G2798" s="1" t="str">
        <f t="shared" si="176"/>
        <v/>
      </c>
      <c r="I2798" s="1" t="str">
        <f t="shared" si="174"/>
        <v>威尔新数值1.06.xlsm!otherDamage</v>
      </c>
    </row>
    <row r="2799" spans="1:9" x14ac:dyDescent="0.15">
      <c r="A2799" s="1">
        <v>2798</v>
      </c>
      <c r="B2799" s="1">
        <v>103030100</v>
      </c>
      <c r="C2799" s="1">
        <f t="shared" si="173"/>
        <v>104</v>
      </c>
      <c r="D2799" s="5">
        <f ca="1">IF(getQuality(B2799)&lt;4,getOtherMin(B2799,C2799,INDIRECT(J$2),INDIRECT(I2799),test),getMin(B2799,C2799,INDIRECT(J$2),INDIRECT(I2799),test))</f>
        <v>0.09</v>
      </c>
      <c r="E2799" s="5">
        <f ca="1">IF(getQuality(B2799)&lt;4,getOtherMax(B2799,C2799,INDIRECT(J$2),INDIRECT(I2799),test),getMax(B2799,C2799,INDIRECT(J$2),INDIRECT(I2799),test))</f>
        <v>0.18</v>
      </c>
      <c r="F2799" s="1" t="str">
        <f t="shared" si="175"/>
        <v>50</v>
      </c>
      <c r="G2799" s="1" t="str">
        <f t="shared" si="176"/>
        <v/>
      </c>
      <c r="I2799" s="1" t="str">
        <f t="shared" si="174"/>
        <v>威尔新数值1.06.xlsm!monsterDamage</v>
      </c>
    </row>
    <row r="2800" spans="1:9" x14ac:dyDescent="0.15">
      <c r="A2800" s="1">
        <v>2799</v>
      </c>
      <c r="B2800" s="1">
        <v>103030100</v>
      </c>
      <c r="C2800" s="1">
        <f t="shared" si="173"/>
        <v>105</v>
      </c>
      <c r="D2800" s="5">
        <f ca="1">IF(getQuality(B2800)&lt;4,getOtherMin(B2800,C2800,INDIRECT(J$2),INDIRECT(I2800),test),getMin(B2800,C2800,INDIRECT(J$2),INDIRECT(I2800),test))</f>
        <v>0.09</v>
      </c>
      <c r="E2800" s="5">
        <f ca="1">IF(getQuality(B2800)&lt;4,getOtherMax(B2800,C2800,INDIRECT(J$2),INDIRECT(I2800),test),getMax(B2800,C2800,INDIRECT(J$2),INDIRECT(I2800),test))</f>
        <v>0.18</v>
      </c>
      <c r="F2800" s="1" t="str">
        <f t="shared" si="175"/>
        <v>50</v>
      </c>
      <c r="G2800" s="1" t="str">
        <f t="shared" si="176"/>
        <v/>
      </c>
      <c r="I2800" s="1" t="str">
        <f t="shared" si="174"/>
        <v>威尔新数值1.06.xlsm!monsterDamage</v>
      </c>
    </row>
    <row r="2801" spans="1:9" x14ac:dyDescent="0.15">
      <c r="A2801" s="1">
        <v>2800</v>
      </c>
      <c r="B2801" s="1">
        <v>103030100</v>
      </c>
      <c r="C2801" s="1">
        <f t="shared" si="173"/>
        <v>106</v>
      </c>
      <c r="D2801" s="5">
        <f ca="1">IF(getQuality(B2801)&lt;4,getOtherMin(B2801,C2801,INDIRECT(J$2),INDIRECT(I2801),test),getMin(B2801,C2801,INDIRECT(J$2),INDIRECT(I2801),test))</f>
        <v>0.09</v>
      </c>
      <c r="E2801" s="5">
        <f ca="1">IF(getQuality(B2801)&lt;4,getOtherMax(B2801,C2801,INDIRECT(J$2),INDIRECT(I2801),test),getMax(B2801,C2801,INDIRECT(J$2),INDIRECT(I2801),test))</f>
        <v>0.18</v>
      </c>
      <c r="F2801" s="1" t="str">
        <f t="shared" si="175"/>
        <v>50</v>
      </c>
      <c r="G2801" s="1" t="str">
        <f t="shared" si="176"/>
        <v/>
      </c>
      <c r="I2801" s="1" t="str">
        <f t="shared" si="174"/>
        <v>威尔新数值1.06.xlsm!monsterDamage</v>
      </c>
    </row>
    <row r="2802" spans="1:9" x14ac:dyDescent="0.15">
      <c r="A2802" s="1">
        <v>2801</v>
      </c>
      <c r="B2802" s="1">
        <v>103030100</v>
      </c>
      <c r="C2802" s="1">
        <f t="shared" si="173"/>
        <v>107</v>
      </c>
      <c r="D2802" s="5">
        <f ca="1">IF(getQuality(B2802)&lt;4,getOtherMin(B2802,C2802,INDIRECT(J$2),INDIRECT(I2802),test),getMin(B2802,C2802,INDIRECT(J$2),INDIRECT(I2802),test))</f>
        <v>0.09</v>
      </c>
      <c r="E2802" s="5">
        <f ca="1">IF(getQuality(B2802)&lt;4,getOtherMax(B2802,C2802,INDIRECT(J$2),INDIRECT(I2802),test),getMax(B2802,C2802,INDIRECT(J$2),INDIRECT(I2802),test))</f>
        <v>0.18</v>
      </c>
      <c r="F2802" s="1" t="str">
        <f t="shared" si="175"/>
        <v>50</v>
      </c>
      <c r="G2802" s="1" t="str">
        <f t="shared" si="176"/>
        <v/>
      </c>
      <c r="I2802" s="1" t="str">
        <f t="shared" si="174"/>
        <v>威尔新数值1.06.xlsm!monsterDamage</v>
      </c>
    </row>
    <row r="2803" spans="1:9" x14ac:dyDescent="0.15">
      <c r="A2803" s="1">
        <v>2802</v>
      </c>
      <c r="B2803" s="1">
        <v>103030100</v>
      </c>
      <c r="C2803" s="1">
        <f t="shared" si="173"/>
        <v>108</v>
      </c>
      <c r="D2803" s="5">
        <f ca="1">IF(getQuality(B2803)&lt;4,getOtherMin(B2803,C2803,INDIRECT(J$2),INDIRECT(I2803),test),getMin(B2803,C2803,INDIRECT(J$2),INDIRECT(I2803),test))</f>
        <v>0.09</v>
      </c>
      <c r="E2803" s="5">
        <f ca="1">IF(getQuality(B2803)&lt;4,getOtherMax(B2803,C2803,INDIRECT(J$2),INDIRECT(I2803),test),getMax(B2803,C2803,INDIRECT(J$2),INDIRECT(I2803),test))</f>
        <v>0.18</v>
      </c>
      <c r="F2803" s="1" t="str">
        <f t="shared" si="175"/>
        <v>50</v>
      </c>
      <c r="G2803" s="1" t="str">
        <f t="shared" si="176"/>
        <v/>
      </c>
      <c r="I2803" s="1" t="str">
        <f t="shared" si="174"/>
        <v>威尔新数值1.06.xlsm!monsterDamage</v>
      </c>
    </row>
    <row r="2804" spans="1:9" x14ac:dyDescent="0.15">
      <c r="A2804" s="1">
        <v>2803</v>
      </c>
      <c r="B2804" s="1">
        <v>103040100</v>
      </c>
      <c r="C2804" s="1">
        <f t="shared" si="173"/>
        <v>3</v>
      </c>
      <c r="D2804" s="5">
        <f ca="1">IF(getQuality(B2804)&lt;4,getOtherMin(B2804,C2804,INDIRECT(J$2),INDIRECT(I2804),test),getMin(B2804,C2804,INDIRECT(J$2),INDIRECT(I2804),test))</f>
        <v>87.435552634172723</v>
      </c>
      <c r="E2804" s="5">
        <f ca="1">IF(getQuality(B2804)&lt;4,getOtherMax(B2804,C2804,INDIRECT(J$2),INDIRECT(I2804),test),getMax(B2804,C2804,INDIRECT(J$2),INDIRECT(I2804),test))</f>
        <v>124.85135380491616</v>
      </c>
      <c r="F2804" s="1" t="str">
        <f t="shared" si="175"/>
        <v>50</v>
      </c>
      <c r="G2804" s="1" t="str">
        <f t="shared" si="176"/>
        <v>1</v>
      </c>
      <c r="I2804" s="1" t="str">
        <f t="shared" si="174"/>
        <v>威尔新数值1.06.xlsm!suitPower</v>
      </c>
    </row>
    <row r="2805" spans="1:9" x14ac:dyDescent="0.15">
      <c r="A2805" s="1">
        <v>2804</v>
      </c>
      <c r="B2805" s="1">
        <v>103040100</v>
      </c>
      <c r="C2805" s="1">
        <f t="shared" si="173"/>
        <v>5</v>
      </c>
      <c r="D2805" s="5">
        <f ca="1">IF(getQuality(B2805)&lt;4,getOtherMin(B2805,C2805,INDIRECT(J$2),INDIRECT(I2805),test),getMin(B2805,C2805,INDIRECT(J$2),INDIRECT(I2805),test))</f>
        <v>87.435552634172723</v>
      </c>
      <c r="E2805" s="5">
        <f ca="1">IF(getQuality(B2805)&lt;4,getOtherMax(B2805,C2805,INDIRECT(J$2),INDIRECT(I2805),test),getMax(B2805,C2805,INDIRECT(J$2),INDIRECT(I2805),test))</f>
        <v>124.85135380491616</v>
      </c>
      <c r="F2805" s="1" t="str">
        <f t="shared" si="175"/>
        <v>50</v>
      </c>
      <c r="G2805" s="1" t="str">
        <f t="shared" si="176"/>
        <v/>
      </c>
      <c r="I2805" s="1" t="str">
        <f t="shared" si="174"/>
        <v>威尔新数值1.06.xlsm!suitPower</v>
      </c>
    </row>
    <row r="2806" spans="1:9" x14ac:dyDescent="0.15">
      <c r="A2806" s="1">
        <v>2805</v>
      </c>
      <c r="B2806" s="1">
        <v>103040100</v>
      </c>
      <c r="C2806" s="1">
        <f t="shared" si="173"/>
        <v>7</v>
      </c>
      <c r="D2806" s="5">
        <f ca="1">IF(getQuality(B2806)&lt;4,getOtherMin(B2806,C2806,INDIRECT(J$2),INDIRECT(I2806),test),getMin(B2806,C2806,INDIRECT(J$2),INDIRECT(I2806),test))</f>
        <v>23.222222222222165</v>
      </c>
      <c r="E2806" s="5">
        <f ca="1">IF(getQuality(B2806)&lt;4,getOtherMax(B2806,C2806,INDIRECT(J$2),INDIRECT(I2806),test),getMax(B2806,C2806,INDIRECT(J$2),INDIRECT(I2806),test))</f>
        <v>29.629629629629555</v>
      </c>
      <c r="F2806" s="1" t="str">
        <f t="shared" si="175"/>
        <v>50</v>
      </c>
      <c r="G2806" s="1" t="str">
        <f t="shared" si="176"/>
        <v/>
      </c>
      <c r="I2806" s="1" t="str">
        <f t="shared" si="174"/>
        <v>威尔新数值1.06.xlsm!suitPower</v>
      </c>
    </row>
    <row r="2807" spans="1:9" x14ac:dyDescent="0.15">
      <c r="A2807" s="1">
        <v>2806</v>
      </c>
      <c r="B2807" s="1">
        <v>103040100</v>
      </c>
      <c r="C2807" s="1">
        <f t="shared" si="173"/>
        <v>8</v>
      </c>
      <c r="D2807" s="5">
        <f ca="1">IF(getQuality(B2807)&lt;4,getOtherMin(B2807,C2807,INDIRECT(J$2),INDIRECT(I2807),test),getMin(B2807,C2807,INDIRECT(J$2),INDIRECT(I2807),test))</f>
        <v>51</v>
      </c>
      <c r="E2807" s="5">
        <f ca="1">IF(getQuality(B2807)&lt;4,getOtherMax(B2807,C2807,INDIRECT(J$2),INDIRECT(I2807),test),getMax(B2807,C2807,INDIRECT(J$2),INDIRECT(I2807),test))</f>
        <v>66.666666666666671</v>
      </c>
      <c r="F2807" s="1" t="str">
        <f t="shared" si="175"/>
        <v>50</v>
      </c>
      <c r="G2807" s="1" t="str">
        <f t="shared" si="176"/>
        <v/>
      </c>
      <c r="I2807" s="1" t="str">
        <f t="shared" si="174"/>
        <v>威尔新数值1.06.xlsm!suitPower</v>
      </c>
    </row>
    <row r="2808" spans="1:9" x14ac:dyDescent="0.15">
      <c r="A2808" s="1">
        <v>2807</v>
      </c>
      <c r="B2808" s="1">
        <v>103040100</v>
      </c>
      <c r="C2808" s="1">
        <f t="shared" si="173"/>
        <v>9</v>
      </c>
      <c r="D2808" s="5">
        <f ca="1">IF(getQuality(B2808)&lt;4,getOtherMin(B2808,C2808,INDIRECT(J$2),INDIRECT(I2808),test),getMin(B2808,C2808,INDIRECT(J$2),INDIRECT(I2808),test))</f>
        <v>87.435552634172723</v>
      </c>
      <c r="E2808" s="5">
        <f ca="1">IF(getQuality(B2808)&lt;4,getOtherMax(B2808,C2808,INDIRECT(J$2),INDIRECT(I2808),test),getMax(B2808,C2808,INDIRECT(J$2),INDIRECT(I2808),test))</f>
        <v>124.85135380491616</v>
      </c>
      <c r="F2808" s="1" t="str">
        <f t="shared" si="175"/>
        <v>50</v>
      </c>
      <c r="G2808" s="1" t="str">
        <f t="shared" si="176"/>
        <v/>
      </c>
      <c r="I2808" s="1" t="str">
        <f t="shared" si="174"/>
        <v>威尔新数值1.06.xlsm!suitPower</v>
      </c>
    </row>
    <row r="2809" spans="1:9" x14ac:dyDescent="0.15">
      <c r="A2809" s="1">
        <v>2808</v>
      </c>
      <c r="B2809" s="1">
        <v>103040100</v>
      </c>
      <c r="C2809" s="1">
        <f t="shared" si="173"/>
        <v>10</v>
      </c>
      <c r="D2809" s="5">
        <f ca="1">IF(getQuality(B2809)&lt;4,getOtherMin(B2809,C2809,INDIRECT(J$2),INDIRECT(I2809),test),getMin(B2809,C2809,INDIRECT(J$2),INDIRECT(I2809),test))</f>
        <v>87.435552634172723</v>
      </c>
      <c r="E2809" s="5">
        <f ca="1">IF(getQuality(B2809)&lt;4,getOtherMax(B2809,C2809,INDIRECT(J$2),INDIRECT(I2809),test),getMax(B2809,C2809,INDIRECT(J$2),INDIRECT(I2809),test))</f>
        <v>124.85135380491616</v>
      </c>
      <c r="F2809" s="1" t="str">
        <f t="shared" si="175"/>
        <v>50</v>
      </c>
      <c r="G2809" s="1" t="str">
        <f t="shared" si="176"/>
        <v/>
      </c>
      <c r="I2809" s="1" t="str">
        <f t="shared" si="174"/>
        <v>威尔新数值1.06.xlsm!suitPower</v>
      </c>
    </row>
    <row r="2810" spans="1:9" x14ac:dyDescent="0.15">
      <c r="A2810" s="1">
        <v>2809</v>
      </c>
      <c r="B2810" s="1">
        <v>103040100</v>
      </c>
      <c r="C2810" s="1">
        <f t="shared" si="173"/>
        <v>11</v>
      </c>
      <c r="D2810" s="5">
        <f ca="1">IF(getQuality(B2810)&lt;4,getOtherMin(B2810,C2810,INDIRECT(J$2),INDIRECT(I2810),test),getMin(B2810,C2810,INDIRECT(J$2),INDIRECT(I2810),test))</f>
        <v>87.435552634172723</v>
      </c>
      <c r="E2810" s="5">
        <f ca="1">IF(getQuality(B2810)&lt;4,getOtherMax(B2810,C2810,INDIRECT(J$2),INDIRECT(I2810),test),getMax(B2810,C2810,INDIRECT(J$2),INDIRECT(I2810),test))</f>
        <v>124.85135380491616</v>
      </c>
      <c r="F2810" s="1" t="str">
        <f t="shared" si="175"/>
        <v>50</v>
      </c>
      <c r="G2810" s="1" t="str">
        <f t="shared" si="176"/>
        <v/>
      </c>
      <c r="I2810" s="1" t="str">
        <f t="shared" si="174"/>
        <v>威尔新数值1.06.xlsm!suitPower</v>
      </c>
    </row>
    <row r="2811" spans="1:9" x14ac:dyDescent="0.15">
      <c r="A2811" s="1">
        <v>2810</v>
      </c>
      <c r="B2811" s="1">
        <v>103040100</v>
      </c>
      <c r="C2811" s="1">
        <f t="shared" si="173"/>
        <v>12</v>
      </c>
      <c r="D2811" s="5">
        <f ca="1">IF(getQuality(B2811)&lt;4,getOtherMin(B2811,C2811,INDIRECT(J$2),INDIRECT(I2811),test),getMin(B2811,C2811,INDIRECT(J$2),INDIRECT(I2811),test))</f>
        <v>87.435552634172723</v>
      </c>
      <c r="E2811" s="5">
        <f ca="1">IF(getQuality(B2811)&lt;4,getOtherMax(B2811,C2811,INDIRECT(J$2),INDIRECT(I2811),test),getMax(B2811,C2811,INDIRECT(J$2),INDIRECT(I2811),test))</f>
        <v>124.85135380491616</v>
      </c>
      <c r="F2811" s="1" t="str">
        <f t="shared" si="175"/>
        <v>50</v>
      </c>
      <c r="G2811" s="1" t="str">
        <f t="shared" si="176"/>
        <v/>
      </c>
      <c r="I2811" s="1" t="str">
        <f t="shared" si="174"/>
        <v>威尔新数值1.06.xlsm!suitPower</v>
      </c>
    </row>
    <row r="2812" spans="1:9" x14ac:dyDescent="0.15">
      <c r="A2812" s="1">
        <v>2811</v>
      </c>
      <c r="B2812" s="1">
        <v>103040100</v>
      </c>
      <c r="C2812" s="1">
        <f t="shared" ref="C2812:C2875" si="177">C337</f>
        <v>13</v>
      </c>
      <c r="D2812" s="5">
        <f ca="1">IF(getQuality(B2812)&lt;4,getOtherMin(B2812,C2812,INDIRECT(J$2),INDIRECT(I2812),test),getMin(B2812,C2812,INDIRECT(J$2),INDIRECT(I2812),test))</f>
        <v>87.435552634172723</v>
      </c>
      <c r="E2812" s="5">
        <f ca="1">IF(getQuality(B2812)&lt;4,getOtherMax(B2812,C2812,INDIRECT(J$2),INDIRECT(I2812),test),getMax(B2812,C2812,INDIRECT(J$2),INDIRECT(I2812),test))</f>
        <v>124.85135380491616</v>
      </c>
      <c r="F2812" s="1" t="str">
        <f t="shared" si="175"/>
        <v>50</v>
      </c>
      <c r="G2812" s="1" t="str">
        <f t="shared" si="176"/>
        <v/>
      </c>
      <c r="I2812" s="1" t="str">
        <f t="shared" si="174"/>
        <v>威尔新数值1.06.xlsm!suitPower</v>
      </c>
    </row>
    <row r="2813" spans="1:9" x14ac:dyDescent="0.15">
      <c r="A2813" s="1">
        <v>2812</v>
      </c>
      <c r="B2813" s="1">
        <v>103040100</v>
      </c>
      <c r="C2813" s="1">
        <f t="shared" si="177"/>
        <v>14</v>
      </c>
      <c r="D2813" s="5">
        <f ca="1">IF(getQuality(B2813)&lt;4,getOtherMin(B2813,C2813,INDIRECT(J$2),INDIRECT(I2813),test),getMin(B2813,C2813,INDIRECT(J$2),INDIRECT(I2813),test))</f>
        <v>87.435552634172723</v>
      </c>
      <c r="E2813" s="5">
        <f ca="1">IF(getQuality(B2813)&lt;4,getOtherMax(B2813,C2813,INDIRECT(J$2),INDIRECT(I2813),test),getMax(B2813,C2813,INDIRECT(J$2),INDIRECT(I2813),test))</f>
        <v>124.85135380491616</v>
      </c>
      <c r="F2813" s="1" t="str">
        <f t="shared" si="175"/>
        <v>50</v>
      </c>
      <c r="G2813" s="1" t="str">
        <f t="shared" si="176"/>
        <v/>
      </c>
      <c r="I2813" s="1" t="str">
        <f t="shared" si="174"/>
        <v>威尔新数值1.06.xlsm!suitPower</v>
      </c>
    </row>
    <row r="2814" spans="1:9" x14ac:dyDescent="0.15">
      <c r="A2814" s="1">
        <v>2813</v>
      </c>
      <c r="B2814" s="1">
        <v>103040100</v>
      </c>
      <c r="C2814" s="1">
        <f t="shared" si="177"/>
        <v>15</v>
      </c>
      <c r="D2814" s="5">
        <f ca="1">IF(getQuality(B2814)&lt;4,getOtherMin(B2814,C2814,INDIRECT(J$2),INDIRECT(I2814),test),getMin(B2814,C2814,INDIRECT(J$2),INDIRECT(I2814),test))</f>
        <v>87.435552634172723</v>
      </c>
      <c r="E2814" s="5">
        <f ca="1">IF(getQuality(B2814)&lt;4,getOtherMax(B2814,C2814,INDIRECT(J$2),INDIRECT(I2814),test),getMax(B2814,C2814,INDIRECT(J$2),INDIRECT(I2814),test))</f>
        <v>124.85135380491616</v>
      </c>
      <c r="F2814" s="1" t="str">
        <f t="shared" si="175"/>
        <v>50</v>
      </c>
      <c r="G2814" s="1" t="str">
        <f t="shared" si="176"/>
        <v/>
      </c>
      <c r="I2814" s="1" t="str">
        <f t="shared" si="174"/>
        <v>威尔新数值1.06.xlsm!suitPower</v>
      </c>
    </row>
    <row r="2815" spans="1:9" x14ac:dyDescent="0.15">
      <c r="A2815" s="1">
        <v>2814</v>
      </c>
      <c r="B2815" s="1">
        <v>103040100</v>
      </c>
      <c r="C2815" s="1">
        <f t="shared" si="177"/>
        <v>101</v>
      </c>
      <c r="D2815" s="5">
        <f ca="1">IF(getQuality(B2815)&lt;4,getOtherMin(B2815,C2815,INDIRECT(J$2),INDIRECT(I2815),test),getMin(B2815,C2815,INDIRECT(J$2),INDIRECT(I2815),test))</f>
        <v>0.1</v>
      </c>
      <c r="E2815" s="5">
        <f ca="1">IF(getQuality(B2815)&lt;4,getOtherMax(B2815,C2815,INDIRECT(J$2),INDIRECT(I2815),test),getMax(B2815,C2815,INDIRECT(J$2),INDIRECT(I2815),test))</f>
        <v>0.13</v>
      </c>
      <c r="F2815" s="1" t="str">
        <f t="shared" si="175"/>
        <v>50</v>
      </c>
      <c r="G2815" s="1" t="str">
        <f t="shared" si="176"/>
        <v/>
      </c>
      <c r="I2815" s="1" t="str">
        <f t="shared" si="174"/>
        <v>威尔新数值1.06.xlsm!circlePer</v>
      </c>
    </row>
    <row r="2816" spans="1:9" x14ac:dyDescent="0.15">
      <c r="A2816" s="1">
        <v>2815</v>
      </c>
      <c r="B2816" s="1">
        <v>103040100</v>
      </c>
      <c r="C2816" s="1">
        <f t="shared" si="177"/>
        <v>102</v>
      </c>
      <c r="D2816" s="5">
        <f ca="1">IF(getQuality(B2816)&lt;4,getOtherMin(B2816,C2816,INDIRECT(J$2),INDIRECT(I2816),test),getMin(B2816,C2816,INDIRECT(J$2),INDIRECT(I2816),test))</f>
        <v>0.9</v>
      </c>
      <c r="E2816" s="5">
        <f ca="1">IF(getQuality(B2816)&lt;4,getOtherMax(B2816,C2816,INDIRECT(J$2),INDIRECT(I2816),test),getMax(B2816,C2816,INDIRECT(J$2),INDIRECT(I2816),test))</f>
        <v>1.2</v>
      </c>
      <c r="F2816" s="1" t="str">
        <f t="shared" si="175"/>
        <v>50</v>
      </c>
      <c r="G2816" s="1" t="str">
        <f t="shared" si="176"/>
        <v/>
      </c>
      <c r="I2816" s="1" t="str">
        <f t="shared" si="174"/>
        <v>威尔新数值1.06.xlsm!circleValue</v>
      </c>
    </row>
    <row r="2817" spans="1:9" x14ac:dyDescent="0.15">
      <c r="A2817" s="1">
        <v>2816</v>
      </c>
      <c r="B2817" s="1">
        <v>103040100</v>
      </c>
      <c r="C2817" s="1">
        <f t="shared" si="177"/>
        <v>103</v>
      </c>
      <c r="D2817" s="5">
        <f ca="1">IF(getQuality(B2817)&lt;4,getOtherMin(B2817,C2817,INDIRECT(J$2),INDIRECT(I2817),test),getMin(B2817,C2817,INDIRECT(J$2),INDIRECT(I2817),test))</f>
        <v>0.1</v>
      </c>
      <c r="E2817" s="5">
        <f ca="1">IF(getQuality(B2817)&lt;4,getOtherMax(B2817,C2817,INDIRECT(J$2),INDIRECT(I2817),test),getMax(B2817,C2817,INDIRECT(J$2),INDIRECT(I2817),test))</f>
        <v>0.13</v>
      </c>
      <c r="F2817" s="1" t="str">
        <f t="shared" si="175"/>
        <v>50</v>
      </c>
      <c r="G2817" s="1" t="str">
        <f t="shared" si="176"/>
        <v/>
      </c>
      <c r="I2817" s="1" t="str">
        <f t="shared" si="174"/>
        <v>威尔新数值1.06.xlsm!otherDamage</v>
      </c>
    </row>
    <row r="2818" spans="1:9" x14ac:dyDescent="0.15">
      <c r="A2818" s="1">
        <v>2817</v>
      </c>
      <c r="B2818" s="1">
        <v>103040100</v>
      </c>
      <c r="C2818" s="1">
        <f t="shared" si="177"/>
        <v>104</v>
      </c>
      <c r="D2818" s="5">
        <f ca="1">IF(getQuality(B2818)&lt;4,getOtherMin(B2818,C2818,INDIRECT(J$2),INDIRECT(I2818),test),getMin(B2818,C2818,INDIRECT(J$2),INDIRECT(I2818),test))</f>
        <v>0.1</v>
      </c>
      <c r="E2818" s="5">
        <f ca="1">IF(getQuality(B2818)&lt;4,getOtherMax(B2818,C2818,INDIRECT(J$2),INDIRECT(I2818),test),getMax(B2818,C2818,INDIRECT(J$2),INDIRECT(I2818),test))</f>
        <v>0.2</v>
      </c>
      <c r="F2818" s="1" t="str">
        <f t="shared" si="175"/>
        <v>50</v>
      </c>
      <c r="G2818" s="1" t="str">
        <f t="shared" si="176"/>
        <v/>
      </c>
      <c r="I2818" s="1" t="str">
        <f t="shared" ref="I2818:I2881" si="178">IF(C2818&lt;100,VLOOKUP(C2818,test,3,FALSE),VLOOKUP(C2818,test1,3,FALSE))</f>
        <v>威尔新数值1.06.xlsm!monsterDamage</v>
      </c>
    </row>
    <row r="2819" spans="1:9" x14ac:dyDescent="0.15">
      <c r="A2819" s="1">
        <v>2818</v>
      </c>
      <c r="B2819" s="1">
        <v>103040100</v>
      </c>
      <c r="C2819" s="1">
        <f t="shared" si="177"/>
        <v>105</v>
      </c>
      <c r="D2819" s="5">
        <f ca="1">IF(getQuality(B2819)&lt;4,getOtherMin(B2819,C2819,INDIRECT(J$2),INDIRECT(I2819),test),getMin(B2819,C2819,INDIRECT(J$2),INDIRECT(I2819),test))</f>
        <v>0.1</v>
      </c>
      <c r="E2819" s="5">
        <f ca="1">IF(getQuality(B2819)&lt;4,getOtherMax(B2819,C2819,INDIRECT(J$2),INDIRECT(I2819),test),getMax(B2819,C2819,INDIRECT(J$2),INDIRECT(I2819),test))</f>
        <v>0.2</v>
      </c>
      <c r="F2819" s="1" t="str">
        <f t="shared" ref="F2819:F2882" si="179">getper(B2819,C2819)</f>
        <v>50</v>
      </c>
      <c r="G2819" s="1" t="str">
        <f t="shared" ref="G2819:G2882" si="180">getMust(B2819,C2819)</f>
        <v/>
      </c>
      <c r="I2819" s="1" t="str">
        <f t="shared" si="178"/>
        <v>威尔新数值1.06.xlsm!monsterDamage</v>
      </c>
    </row>
    <row r="2820" spans="1:9" x14ac:dyDescent="0.15">
      <c r="A2820" s="1">
        <v>2819</v>
      </c>
      <c r="B2820" s="1">
        <v>103040100</v>
      </c>
      <c r="C2820" s="1">
        <f t="shared" si="177"/>
        <v>106</v>
      </c>
      <c r="D2820" s="5">
        <f ca="1">IF(getQuality(B2820)&lt;4,getOtherMin(B2820,C2820,INDIRECT(J$2),INDIRECT(I2820),test),getMin(B2820,C2820,INDIRECT(J$2),INDIRECT(I2820),test))</f>
        <v>0.1</v>
      </c>
      <c r="E2820" s="5">
        <f ca="1">IF(getQuality(B2820)&lt;4,getOtherMax(B2820,C2820,INDIRECT(J$2),INDIRECT(I2820),test),getMax(B2820,C2820,INDIRECT(J$2),INDIRECT(I2820),test))</f>
        <v>0.2</v>
      </c>
      <c r="F2820" s="1" t="str">
        <f t="shared" si="179"/>
        <v>50</v>
      </c>
      <c r="G2820" s="1" t="str">
        <f t="shared" si="180"/>
        <v/>
      </c>
      <c r="I2820" s="1" t="str">
        <f t="shared" si="178"/>
        <v>威尔新数值1.06.xlsm!monsterDamage</v>
      </c>
    </row>
    <row r="2821" spans="1:9" x14ac:dyDescent="0.15">
      <c r="A2821" s="1">
        <v>2820</v>
      </c>
      <c r="B2821" s="1">
        <v>103040100</v>
      </c>
      <c r="C2821" s="1">
        <f t="shared" si="177"/>
        <v>107</v>
      </c>
      <c r="D2821" s="5">
        <f ca="1">IF(getQuality(B2821)&lt;4,getOtherMin(B2821,C2821,INDIRECT(J$2),INDIRECT(I2821),test),getMin(B2821,C2821,INDIRECT(J$2),INDIRECT(I2821),test))</f>
        <v>0.1</v>
      </c>
      <c r="E2821" s="5">
        <f ca="1">IF(getQuality(B2821)&lt;4,getOtherMax(B2821,C2821,INDIRECT(J$2),INDIRECT(I2821),test),getMax(B2821,C2821,INDIRECT(J$2),INDIRECT(I2821),test))</f>
        <v>0.2</v>
      </c>
      <c r="F2821" s="1" t="str">
        <f t="shared" si="179"/>
        <v>50</v>
      </c>
      <c r="G2821" s="1" t="str">
        <f t="shared" si="180"/>
        <v/>
      </c>
      <c r="I2821" s="1" t="str">
        <f t="shared" si="178"/>
        <v>威尔新数值1.06.xlsm!monsterDamage</v>
      </c>
    </row>
    <row r="2822" spans="1:9" x14ac:dyDescent="0.15">
      <c r="A2822" s="1">
        <v>2821</v>
      </c>
      <c r="B2822" s="1">
        <v>103040100</v>
      </c>
      <c r="C2822" s="1">
        <f t="shared" si="177"/>
        <v>108</v>
      </c>
      <c r="D2822" s="5">
        <f ca="1">IF(getQuality(B2822)&lt;4,getOtherMin(B2822,C2822,INDIRECT(J$2),INDIRECT(I2822),test),getMin(B2822,C2822,INDIRECT(J$2),INDIRECT(I2822),test))</f>
        <v>0.1</v>
      </c>
      <c r="E2822" s="5">
        <f ca="1">IF(getQuality(B2822)&lt;4,getOtherMax(B2822,C2822,INDIRECT(J$2),INDIRECT(I2822),test),getMax(B2822,C2822,INDIRECT(J$2),INDIRECT(I2822),test))</f>
        <v>0.2</v>
      </c>
      <c r="F2822" s="1" t="str">
        <f t="shared" si="179"/>
        <v>50</v>
      </c>
      <c r="G2822" s="1" t="str">
        <f t="shared" si="180"/>
        <v/>
      </c>
      <c r="I2822" s="1" t="str">
        <f t="shared" si="178"/>
        <v>威尔新数值1.06.xlsm!monsterDamage</v>
      </c>
    </row>
    <row r="2823" spans="1:9" x14ac:dyDescent="0.15">
      <c r="A2823" s="1">
        <v>2822</v>
      </c>
      <c r="B2823" s="1">
        <v>103050100</v>
      </c>
      <c r="C2823" s="1">
        <f t="shared" si="177"/>
        <v>3</v>
      </c>
      <c r="D2823" s="5">
        <f ca="1">IF(getQuality(B2823)&lt;4,getOtherMin(B2823,C2823,INDIRECT(J$2),INDIRECT(I2823),test),getMin(B2823,C2823,INDIRECT(J$2),INDIRECT(I2823),test))</f>
        <v>125.85135380491616</v>
      </c>
      <c r="E2823" s="5">
        <f ca="1">IF(getQuality(B2823)&lt;4,getOtherMax(B2823,C2823,INDIRECT(J$2),INDIRECT(I2823),test),getMax(B2823,C2823,INDIRECT(J$2),INDIRECT(I2823),test))</f>
        <v>169.16048810980774</v>
      </c>
      <c r="F2823" s="1" t="str">
        <f t="shared" si="179"/>
        <v>50</v>
      </c>
      <c r="G2823" s="1" t="str">
        <f t="shared" si="180"/>
        <v>1</v>
      </c>
      <c r="I2823" s="1" t="str">
        <f t="shared" si="178"/>
        <v>威尔新数值1.06.xlsm!suitPower</v>
      </c>
    </row>
    <row r="2824" spans="1:9" x14ac:dyDescent="0.15">
      <c r="A2824" s="1">
        <v>2823</v>
      </c>
      <c r="B2824" s="1">
        <v>103050100</v>
      </c>
      <c r="C2824" s="1">
        <f t="shared" si="177"/>
        <v>5</v>
      </c>
      <c r="D2824" s="5">
        <f ca="1">IF(getQuality(B2824)&lt;4,getOtherMin(B2824,C2824,INDIRECT(J$2),INDIRECT(I2824),test),getMin(B2824,C2824,INDIRECT(J$2),INDIRECT(I2824),test))</f>
        <v>125.85135380491616</v>
      </c>
      <c r="E2824" s="5">
        <f ca="1">IF(getQuality(B2824)&lt;4,getOtherMax(B2824,C2824,INDIRECT(J$2),INDIRECT(I2824),test),getMax(B2824,C2824,INDIRECT(J$2),INDIRECT(I2824),test))</f>
        <v>169.16048810980774</v>
      </c>
      <c r="F2824" s="1" t="str">
        <f t="shared" si="179"/>
        <v>50</v>
      </c>
      <c r="G2824" s="1" t="str">
        <f t="shared" si="180"/>
        <v/>
      </c>
      <c r="I2824" s="1" t="str">
        <f t="shared" si="178"/>
        <v>威尔新数值1.06.xlsm!suitPower</v>
      </c>
    </row>
    <row r="2825" spans="1:9" x14ac:dyDescent="0.15">
      <c r="A2825" s="1">
        <v>2824</v>
      </c>
      <c r="B2825" s="1">
        <v>103050100</v>
      </c>
      <c r="C2825" s="1">
        <f t="shared" si="177"/>
        <v>7</v>
      </c>
      <c r="D2825" s="5">
        <f ca="1">IF(getQuality(B2825)&lt;4,getOtherMin(B2825,C2825,INDIRECT(J$2),INDIRECT(I2825),test),getMin(B2825,C2825,INDIRECT(J$2),INDIRECT(I2825),test))</f>
        <v>30.629629629629555</v>
      </c>
      <c r="E2825" s="5">
        <f ca="1">IF(getQuality(B2825)&lt;4,getOtherMax(B2825,C2825,INDIRECT(J$2),INDIRECT(I2825),test),getMax(B2825,C2825,INDIRECT(J$2),INDIRECT(I2825),test))</f>
        <v>37.037037037036946</v>
      </c>
      <c r="F2825" s="1" t="str">
        <f t="shared" si="179"/>
        <v>50</v>
      </c>
      <c r="G2825" s="1" t="str">
        <f t="shared" si="180"/>
        <v/>
      </c>
      <c r="I2825" s="1" t="str">
        <f t="shared" si="178"/>
        <v>威尔新数值1.06.xlsm!suitPower</v>
      </c>
    </row>
    <row r="2826" spans="1:9" x14ac:dyDescent="0.15">
      <c r="A2826" s="1">
        <v>2825</v>
      </c>
      <c r="B2826" s="1">
        <v>103050100</v>
      </c>
      <c r="C2826" s="1">
        <f t="shared" si="177"/>
        <v>8</v>
      </c>
      <c r="D2826" s="5">
        <f ca="1">IF(getQuality(B2826)&lt;4,getOtherMin(B2826,C2826,INDIRECT(J$2),INDIRECT(I2826),test),getMin(B2826,C2826,INDIRECT(J$2),INDIRECT(I2826),test))</f>
        <v>67.666666666666671</v>
      </c>
      <c r="E2826" s="5">
        <f ca="1">IF(getQuality(B2826)&lt;4,getOtherMax(B2826,C2826,INDIRECT(J$2),INDIRECT(I2826),test),getMax(B2826,C2826,INDIRECT(J$2),INDIRECT(I2826),test))</f>
        <v>83.333333333333329</v>
      </c>
      <c r="F2826" s="1" t="str">
        <f t="shared" si="179"/>
        <v>50</v>
      </c>
      <c r="G2826" s="1" t="str">
        <f t="shared" si="180"/>
        <v/>
      </c>
      <c r="I2826" s="1" t="str">
        <f t="shared" si="178"/>
        <v>威尔新数值1.06.xlsm!suitPower</v>
      </c>
    </row>
    <row r="2827" spans="1:9" x14ac:dyDescent="0.15">
      <c r="A2827" s="1">
        <v>2826</v>
      </c>
      <c r="B2827" s="1">
        <v>103050100</v>
      </c>
      <c r="C2827" s="1">
        <f t="shared" si="177"/>
        <v>9</v>
      </c>
      <c r="D2827" s="5">
        <f ca="1">IF(getQuality(B2827)&lt;4,getOtherMin(B2827,C2827,INDIRECT(J$2),INDIRECT(I2827),test),getMin(B2827,C2827,INDIRECT(J$2),INDIRECT(I2827),test))</f>
        <v>125.85135380491616</v>
      </c>
      <c r="E2827" s="5">
        <f ca="1">IF(getQuality(B2827)&lt;4,getOtherMax(B2827,C2827,INDIRECT(J$2),INDIRECT(I2827),test),getMax(B2827,C2827,INDIRECT(J$2),INDIRECT(I2827),test))</f>
        <v>169.16048810980774</v>
      </c>
      <c r="F2827" s="1" t="str">
        <f t="shared" si="179"/>
        <v>50</v>
      </c>
      <c r="G2827" s="1" t="str">
        <f t="shared" si="180"/>
        <v/>
      </c>
      <c r="I2827" s="1" t="str">
        <f t="shared" si="178"/>
        <v>威尔新数值1.06.xlsm!suitPower</v>
      </c>
    </row>
    <row r="2828" spans="1:9" x14ac:dyDescent="0.15">
      <c r="A2828" s="1">
        <v>2827</v>
      </c>
      <c r="B2828" s="1">
        <v>103050100</v>
      </c>
      <c r="C2828" s="1">
        <f t="shared" si="177"/>
        <v>10</v>
      </c>
      <c r="D2828" s="5">
        <f ca="1">IF(getQuality(B2828)&lt;4,getOtherMin(B2828,C2828,INDIRECT(J$2),INDIRECT(I2828),test),getMin(B2828,C2828,INDIRECT(J$2),INDIRECT(I2828),test))</f>
        <v>125.85135380491616</v>
      </c>
      <c r="E2828" s="5">
        <f ca="1">IF(getQuality(B2828)&lt;4,getOtherMax(B2828,C2828,INDIRECT(J$2),INDIRECT(I2828),test),getMax(B2828,C2828,INDIRECT(J$2),INDIRECT(I2828),test))</f>
        <v>169.16048810980774</v>
      </c>
      <c r="F2828" s="1" t="str">
        <f t="shared" si="179"/>
        <v>50</v>
      </c>
      <c r="G2828" s="1" t="str">
        <f t="shared" si="180"/>
        <v/>
      </c>
      <c r="I2828" s="1" t="str">
        <f t="shared" si="178"/>
        <v>威尔新数值1.06.xlsm!suitPower</v>
      </c>
    </row>
    <row r="2829" spans="1:9" x14ac:dyDescent="0.15">
      <c r="A2829" s="1">
        <v>2828</v>
      </c>
      <c r="B2829" s="1">
        <v>103050100</v>
      </c>
      <c r="C2829" s="1">
        <f t="shared" si="177"/>
        <v>11</v>
      </c>
      <c r="D2829" s="5">
        <f ca="1">IF(getQuality(B2829)&lt;4,getOtherMin(B2829,C2829,INDIRECT(J$2),INDIRECT(I2829),test),getMin(B2829,C2829,INDIRECT(J$2),INDIRECT(I2829),test))</f>
        <v>125.85135380491616</v>
      </c>
      <c r="E2829" s="5">
        <f ca="1">IF(getQuality(B2829)&lt;4,getOtherMax(B2829,C2829,INDIRECT(J$2),INDIRECT(I2829),test),getMax(B2829,C2829,INDIRECT(J$2),INDIRECT(I2829),test))</f>
        <v>169.16048810980774</v>
      </c>
      <c r="F2829" s="1" t="str">
        <f t="shared" si="179"/>
        <v>50</v>
      </c>
      <c r="G2829" s="1" t="str">
        <f t="shared" si="180"/>
        <v/>
      </c>
      <c r="I2829" s="1" t="str">
        <f t="shared" si="178"/>
        <v>威尔新数值1.06.xlsm!suitPower</v>
      </c>
    </row>
    <row r="2830" spans="1:9" x14ac:dyDescent="0.15">
      <c r="A2830" s="1">
        <v>2829</v>
      </c>
      <c r="B2830" s="1">
        <v>103050100</v>
      </c>
      <c r="C2830" s="1">
        <f t="shared" si="177"/>
        <v>12</v>
      </c>
      <c r="D2830" s="5">
        <f ca="1">IF(getQuality(B2830)&lt;4,getOtherMin(B2830,C2830,INDIRECT(J$2),INDIRECT(I2830),test),getMin(B2830,C2830,INDIRECT(J$2),INDIRECT(I2830),test))</f>
        <v>125.85135380491616</v>
      </c>
      <c r="E2830" s="5">
        <f ca="1">IF(getQuality(B2830)&lt;4,getOtherMax(B2830,C2830,INDIRECT(J$2),INDIRECT(I2830),test),getMax(B2830,C2830,INDIRECT(J$2),INDIRECT(I2830),test))</f>
        <v>169.16048810980774</v>
      </c>
      <c r="F2830" s="1" t="str">
        <f t="shared" si="179"/>
        <v>50</v>
      </c>
      <c r="G2830" s="1" t="str">
        <f t="shared" si="180"/>
        <v/>
      </c>
      <c r="I2830" s="1" t="str">
        <f t="shared" si="178"/>
        <v>威尔新数值1.06.xlsm!suitPower</v>
      </c>
    </row>
    <row r="2831" spans="1:9" x14ac:dyDescent="0.15">
      <c r="A2831" s="1">
        <v>2830</v>
      </c>
      <c r="B2831" s="1">
        <v>103050100</v>
      </c>
      <c r="C2831" s="1">
        <f t="shared" si="177"/>
        <v>13</v>
      </c>
      <c r="D2831" s="5">
        <f ca="1">IF(getQuality(B2831)&lt;4,getOtherMin(B2831,C2831,INDIRECT(J$2),INDIRECT(I2831),test),getMin(B2831,C2831,INDIRECT(J$2),INDIRECT(I2831),test))</f>
        <v>125.85135380491616</v>
      </c>
      <c r="E2831" s="5">
        <f ca="1">IF(getQuality(B2831)&lt;4,getOtherMax(B2831,C2831,INDIRECT(J$2),INDIRECT(I2831),test),getMax(B2831,C2831,INDIRECT(J$2),INDIRECT(I2831),test))</f>
        <v>169.16048810980774</v>
      </c>
      <c r="F2831" s="1" t="str">
        <f t="shared" si="179"/>
        <v>50</v>
      </c>
      <c r="G2831" s="1" t="str">
        <f t="shared" si="180"/>
        <v/>
      </c>
      <c r="I2831" s="1" t="str">
        <f t="shared" si="178"/>
        <v>威尔新数值1.06.xlsm!suitPower</v>
      </c>
    </row>
    <row r="2832" spans="1:9" x14ac:dyDescent="0.15">
      <c r="A2832" s="1">
        <v>2831</v>
      </c>
      <c r="B2832" s="1">
        <v>103050100</v>
      </c>
      <c r="C2832" s="1">
        <f t="shared" si="177"/>
        <v>14</v>
      </c>
      <c r="D2832" s="5">
        <f ca="1">IF(getQuality(B2832)&lt;4,getOtherMin(B2832,C2832,INDIRECT(J$2),INDIRECT(I2832),test),getMin(B2832,C2832,INDIRECT(J$2),INDIRECT(I2832),test))</f>
        <v>125.85135380491616</v>
      </c>
      <c r="E2832" s="5">
        <f ca="1">IF(getQuality(B2832)&lt;4,getOtherMax(B2832,C2832,INDIRECT(J$2),INDIRECT(I2832),test),getMax(B2832,C2832,INDIRECT(J$2),INDIRECT(I2832),test))</f>
        <v>169.16048810980774</v>
      </c>
      <c r="F2832" s="1" t="str">
        <f t="shared" si="179"/>
        <v>50</v>
      </c>
      <c r="G2832" s="1" t="str">
        <f t="shared" si="180"/>
        <v/>
      </c>
      <c r="I2832" s="1" t="str">
        <f t="shared" si="178"/>
        <v>威尔新数值1.06.xlsm!suitPower</v>
      </c>
    </row>
    <row r="2833" spans="1:9" x14ac:dyDescent="0.15">
      <c r="A2833" s="1">
        <v>2832</v>
      </c>
      <c r="B2833" s="1">
        <v>103050100</v>
      </c>
      <c r="C2833" s="1">
        <f t="shared" si="177"/>
        <v>15</v>
      </c>
      <c r="D2833" s="5">
        <f ca="1">IF(getQuality(B2833)&lt;4,getOtherMin(B2833,C2833,INDIRECT(J$2),INDIRECT(I2833),test),getMin(B2833,C2833,INDIRECT(J$2),INDIRECT(I2833),test))</f>
        <v>125.85135380491616</v>
      </c>
      <c r="E2833" s="5">
        <f ca="1">IF(getQuality(B2833)&lt;4,getOtherMax(B2833,C2833,INDIRECT(J$2),INDIRECT(I2833),test),getMax(B2833,C2833,INDIRECT(J$2),INDIRECT(I2833),test))</f>
        <v>169.16048810980774</v>
      </c>
      <c r="F2833" s="1" t="str">
        <f t="shared" si="179"/>
        <v>50</v>
      </c>
      <c r="G2833" s="1" t="str">
        <f t="shared" si="180"/>
        <v/>
      </c>
      <c r="I2833" s="1" t="str">
        <f t="shared" si="178"/>
        <v>威尔新数值1.06.xlsm!suitPower</v>
      </c>
    </row>
    <row r="2834" spans="1:9" x14ac:dyDescent="0.15">
      <c r="A2834" s="1">
        <v>2833</v>
      </c>
      <c r="B2834" s="1">
        <v>103050100</v>
      </c>
      <c r="C2834" s="1">
        <f t="shared" si="177"/>
        <v>101</v>
      </c>
      <c r="D2834" s="5">
        <f ca="1">IF(getQuality(B2834)&lt;4,getOtherMin(B2834,C2834,INDIRECT(J$2),INDIRECT(I2834),test),getMin(B2834,C2834,INDIRECT(J$2),INDIRECT(I2834),test))</f>
        <v>0.11</v>
      </c>
      <c r="E2834" s="5">
        <f ca="1">IF(getQuality(B2834)&lt;4,getOtherMax(B2834,C2834,INDIRECT(J$2),INDIRECT(I2834),test),getMax(B2834,C2834,INDIRECT(J$2),INDIRECT(I2834),test))</f>
        <v>0.14000000000000001</v>
      </c>
      <c r="F2834" s="1" t="str">
        <f t="shared" si="179"/>
        <v>50</v>
      </c>
      <c r="G2834" s="1" t="str">
        <f t="shared" si="180"/>
        <v/>
      </c>
      <c r="I2834" s="1" t="str">
        <f t="shared" si="178"/>
        <v>威尔新数值1.06.xlsm!circlePer</v>
      </c>
    </row>
    <row r="2835" spans="1:9" x14ac:dyDescent="0.15">
      <c r="A2835" s="1">
        <v>2834</v>
      </c>
      <c r="B2835" s="1">
        <v>103050100</v>
      </c>
      <c r="C2835" s="1">
        <f t="shared" si="177"/>
        <v>102</v>
      </c>
      <c r="D2835" s="5">
        <f ca="1">IF(getQuality(B2835)&lt;4,getOtherMin(B2835,C2835,INDIRECT(J$2),INDIRECT(I2835),test),getMin(B2835,C2835,INDIRECT(J$2),INDIRECT(I2835),test))</f>
        <v>1</v>
      </c>
      <c r="E2835" s="5">
        <f ca="1">IF(getQuality(B2835)&lt;4,getOtherMax(B2835,C2835,INDIRECT(J$2),INDIRECT(I2835),test),getMax(B2835,C2835,INDIRECT(J$2),INDIRECT(I2835),test))</f>
        <v>1.3</v>
      </c>
      <c r="F2835" s="1" t="str">
        <f t="shared" si="179"/>
        <v>50</v>
      </c>
      <c r="G2835" s="1" t="str">
        <f t="shared" si="180"/>
        <v/>
      </c>
      <c r="I2835" s="1" t="str">
        <f t="shared" si="178"/>
        <v>威尔新数值1.06.xlsm!circleValue</v>
      </c>
    </row>
    <row r="2836" spans="1:9" x14ac:dyDescent="0.15">
      <c r="A2836" s="1">
        <v>2835</v>
      </c>
      <c r="B2836" s="1">
        <v>103050100</v>
      </c>
      <c r="C2836" s="1">
        <f t="shared" si="177"/>
        <v>103</v>
      </c>
      <c r="D2836" s="5">
        <f ca="1">IF(getQuality(B2836)&lt;4,getOtherMin(B2836,C2836,INDIRECT(J$2),INDIRECT(I2836),test),getMin(B2836,C2836,INDIRECT(J$2),INDIRECT(I2836),test))</f>
        <v>0.11</v>
      </c>
      <c r="E2836" s="5">
        <f ca="1">IF(getQuality(B2836)&lt;4,getOtherMax(B2836,C2836,INDIRECT(J$2),INDIRECT(I2836),test),getMax(B2836,C2836,INDIRECT(J$2),INDIRECT(I2836),test))</f>
        <v>0.14000000000000001</v>
      </c>
      <c r="F2836" s="1" t="str">
        <f t="shared" si="179"/>
        <v>50</v>
      </c>
      <c r="G2836" s="1" t="str">
        <f t="shared" si="180"/>
        <v/>
      </c>
      <c r="I2836" s="1" t="str">
        <f t="shared" si="178"/>
        <v>威尔新数值1.06.xlsm!otherDamage</v>
      </c>
    </row>
    <row r="2837" spans="1:9" x14ac:dyDescent="0.15">
      <c r="A2837" s="1">
        <v>2836</v>
      </c>
      <c r="B2837" s="1">
        <v>103050100</v>
      </c>
      <c r="C2837" s="1">
        <f t="shared" si="177"/>
        <v>104</v>
      </c>
      <c r="D2837" s="5">
        <f ca="1">IF(getQuality(B2837)&lt;4,getOtherMin(B2837,C2837,INDIRECT(J$2),INDIRECT(I2837),test),getMin(B2837,C2837,INDIRECT(J$2),INDIRECT(I2837),test))</f>
        <v>0.11</v>
      </c>
      <c r="E2837" s="5">
        <f ca="1">IF(getQuality(B2837)&lt;4,getOtherMax(B2837,C2837,INDIRECT(J$2),INDIRECT(I2837),test),getMax(B2837,C2837,INDIRECT(J$2),INDIRECT(I2837),test))</f>
        <v>0.22</v>
      </c>
      <c r="F2837" s="1" t="str">
        <f t="shared" si="179"/>
        <v>50</v>
      </c>
      <c r="G2837" s="1" t="str">
        <f t="shared" si="180"/>
        <v/>
      </c>
      <c r="I2837" s="1" t="str">
        <f t="shared" si="178"/>
        <v>威尔新数值1.06.xlsm!monsterDamage</v>
      </c>
    </row>
    <row r="2838" spans="1:9" x14ac:dyDescent="0.15">
      <c r="A2838" s="1">
        <v>2837</v>
      </c>
      <c r="B2838" s="1">
        <v>103050100</v>
      </c>
      <c r="C2838" s="1">
        <f t="shared" si="177"/>
        <v>105</v>
      </c>
      <c r="D2838" s="5">
        <f ca="1">IF(getQuality(B2838)&lt;4,getOtherMin(B2838,C2838,INDIRECT(J$2),INDIRECT(I2838),test),getMin(B2838,C2838,INDIRECT(J$2),INDIRECT(I2838),test))</f>
        <v>0.11</v>
      </c>
      <c r="E2838" s="5">
        <f ca="1">IF(getQuality(B2838)&lt;4,getOtherMax(B2838,C2838,INDIRECT(J$2),INDIRECT(I2838),test),getMax(B2838,C2838,INDIRECT(J$2),INDIRECT(I2838),test))</f>
        <v>0.22</v>
      </c>
      <c r="F2838" s="1" t="str">
        <f t="shared" si="179"/>
        <v>50</v>
      </c>
      <c r="G2838" s="1" t="str">
        <f t="shared" si="180"/>
        <v/>
      </c>
      <c r="I2838" s="1" t="str">
        <f t="shared" si="178"/>
        <v>威尔新数值1.06.xlsm!monsterDamage</v>
      </c>
    </row>
    <row r="2839" spans="1:9" x14ac:dyDescent="0.15">
      <c r="A2839" s="1">
        <v>2838</v>
      </c>
      <c r="B2839" s="1">
        <v>103050100</v>
      </c>
      <c r="C2839" s="1">
        <f t="shared" si="177"/>
        <v>106</v>
      </c>
      <c r="D2839" s="5">
        <f ca="1">IF(getQuality(B2839)&lt;4,getOtherMin(B2839,C2839,INDIRECT(J$2),INDIRECT(I2839),test),getMin(B2839,C2839,INDIRECT(J$2),INDIRECT(I2839),test))</f>
        <v>0.11</v>
      </c>
      <c r="E2839" s="5">
        <f ca="1">IF(getQuality(B2839)&lt;4,getOtherMax(B2839,C2839,INDIRECT(J$2),INDIRECT(I2839),test),getMax(B2839,C2839,INDIRECT(J$2),INDIRECT(I2839),test))</f>
        <v>0.22</v>
      </c>
      <c r="F2839" s="1" t="str">
        <f t="shared" si="179"/>
        <v>50</v>
      </c>
      <c r="G2839" s="1" t="str">
        <f t="shared" si="180"/>
        <v/>
      </c>
      <c r="I2839" s="1" t="str">
        <f t="shared" si="178"/>
        <v>威尔新数值1.06.xlsm!monsterDamage</v>
      </c>
    </row>
    <row r="2840" spans="1:9" x14ac:dyDescent="0.15">
      <c r="A2840" s="1">
        <v>2839</v>
      </c>
      <c r="B2840" s="1">
        <v>103050100</v>
      </c>
      <c r="C2840" s="1">
        <f t="shared" si="177"/>
        <v>107</v>
      </c>
      <c r="D2840" s="5">
        <f ca="1">IF(getQuality(B2840)&lt;4,getOtherMin(B2840,C2840,INDIRECT(J$2),INDIRECT(I2840),test),getMin(B2840,C2840,INDIRECT(J$2),INDIRECT(I2840),test))</f>
        <v>0.11</v>
      </c>
      <c r="E2840" s="5">
        <f ca="1">IF(getQuality(B2840)&lt;4,getOtherMax(B2840,C2840,INDIRECT(J$2),INDIRECT(I2840),test),getMax(B2840,C2840,INDIRECT(J$2),INDIRECT(I2840),test))</f>
        <v>0.22</v>
      </c>
      <c r="F2840" s="1" t="str">
        <f t="shared" si="179"/>
        <v>50</v>
      </c>
      <c r="G2840" s="1" t="str">
        <f t="shared" si="180"/>
        <v/>
      </c>
      <c r="I2840" s="1" t="str">
        <f t="shared" si="178"/>
        <v>威尔新数值1.06.xlsm!monsterDamage</v>
      </c>
    </row>
    <row r="2841" spans="1:9" x14ac:dyDescent="0.15">
      <c r="A2841" s="1">
        <v>2840</v>
      </c>
      <c r="B2841" s="1">
        <v>103050100</v>
      </c>
      <c r="C2841" s="1">
        <f t="shared" si="177"/>
        <v>108</v>
      </c>
      <c r="D2841" s="5">
        <f ca="1">IF(getQuality(B2841)&lt;4,getOtherMin(B2841,C2841,INDIRECT(J$2),INDIRECT(I2841),test),getMin(B2841,C2841,INDIRECT(J$2),INDIRECT(I2841),test))</f>
        <v>0.11</v>
      </c>
      <c r="E2841" s="5">
        <f ca="1">IF(getQuality(B2841)&lt;4,getOtherMax(B2841,C2841,INDIRECT(J$2),INDIRECT(I2841),test),getMax(B2841,C2841,INDIRECT(J$2),INDIRECT(I2841),test))</f>
        <v>0.22</v>
      </c>
      <c r="F2841" s="1" t="str">
        <f t="shared" si="179"/>
        <v>50</v>
      </c>
      <c r="G2841" s="1" t="str">
        <f t="shared" si="180"/>
        <v/>
      </c>
      <c r="I2841" s="1" t="str">
        <f t="shared" si="178"/>
        <v>威尔新数值1.06.xlsm!monsterDamage</v>
      </c>
    </row>
    <row r="2842" spans="1:9" x14ac:dyDescent="0.15">
      <c r="A2842" s="1">
        <v>2841</v>
      </c>
      <c r="B2842" s="1">
        <v>103060100</v>
      </c>
      <c r="C2842" s="1">
        <f t="shared" si="177"/>
        <v>3</v>
      </c>
      <c r="D2842" s="5">
        <f ca="1">IF(getQuality(B2842)&lt;4,getOtherMin(B2842,C2842,INDIRECT(J$2),INDIRECT(I2842),test),getMin(B2842,C2842,INDIRECT(J$2),INDIRECT(I2842),test))</f>
        <v>170.16048810980774</v>
      </c>
      <c r="E2842" s="5">
        <f ca="1">IF(getQuality(B2842)&lt;4,getOtherMax(B2842,C2842,INDIRECT(J$2),INDIRECT(I2842),test),getMax(B2842,C2842,INDIRECT(J$2),INDIRECT(I2842),test))</f>
        <v>217.39851117079806</v>
      </c>
      <c r="F2842" s="1" t="str">
        <f t="shared" si="179"/>
        <v>50</v>
      </c>
      <c r="G2842" s="1" t="str">
        <f t="shared" si="180"/>
        <v>1</v>
      </c>
      <c r="I2842" s="1" t="str">
        <f t="shared" si="178"/>
        <v>威尔新数值1.06.xlsm!suitPower</v>
      </c>
    </row>
    <row r="2843" spans="1:9" x14ac:dyDescent="0.15">
      <c r="A2843" s="1">
        <v>2842</v>
      </c>
      <c r="B2843" s="1">
        <v>103060100</v>
      </c>
      <c r="C2843" s="1">
        <f t="shared" si="177"/>
        <v>5</v>
      </c>
      <c r="D2843" s="5">
        <f ca="1">IF(getQuality(B2843)&lt;4,getOtherMin(B2843,C2843,INDIRECT(J$2),INDIRECT(I2843),test),getMin(B2843,C2843,INDIRECT(J$2),INDIRECT(I2843),test))</f>
        <v>170.16048810980774</v>
      </c>
      <c r="E2843" s="5">
        <f ca="1">IF(getQuality(B2843)&lt;4,getOtherMax(B2843,C2843,INDIRECT(J$2),INDIRECT(I2843),test),getMax(B2843,C2843,INDIRECT(J$2),INDIRECT(I2843),test))</f>
        <v>217.39851117079806</v>
      </c>
      <c r="F2843" s="1" t="str">
        <f t="shared" si="179"/>
        <v>50</v>
      </c>
      <c r="G2843" s="1" t="str">
        <f t="shared" si="180"/>
        <v/>
      </c>
      <c r="I2843" s="1" t="str">
        <f t="shared" si="178"/>
        <v>威尔新数值1.06.xlsm!suitPower</v>
      </c>
    </row>
    <row r="2844" spans="1:9" x14ac:dyDescent="0.15">
      <c r="A2844" s="1">
        <v>2843</v>
      </c>
      <c r="B2844" s="1">
        <v>103060100</v>
      </c>
      <c r="C2844" s="1">
        <f t="shared" si="177"/>
        <v>7</v>
      </c>
      <c r="D2844" s="5">
        <f ca="1">IF(getQuality(B2844)&lt;4,getOtherMin(B2844,C2844,INDIRECT(J$2),INDIRECT(I2844),test),getMin(B2844,C2844,INDIRECT(J$2),INDIRECT(I2844),test))</f>
        <v>38.037037037036946</v>
      </c>
      <c r="E2844" s="5">
        <f ca="1">IF(getQuality(B2844)&lt;4,getOtherMax(B2844,C2844,INDIRECT(J$2),INDIRECT(I2844),test),getMax(B2844,C2844,INDIRECT(J$2),INDIRECT(I2844),test))</f>
        <v>44.444444444444329</v>
      </c>
      <c r="F2844" s="1" t="str">
        <f t="shared" si="179"/>
        <v>50</v>
      </c>
      <c r="G2844" s="1" t="str">
        <f t="shared" si="180"/>
        <v/>
      </c>
      <c r="I2844" s="1" t="str">
        <f t="shared" si="178"/>
        <v>威尔新数值1.06.xlsm!suitPower</v>
      </c>
    </row>
    <row r="2845" spans="1:9" x14ac:dyDescent="0.15">
      <c r="A2845" s="1">
        <v>2844</v>
      </c>
      <c r="B2845" s="1">
        <v>103060100</v>
      </c>
      <c r="C2845" s="1">
        <f t="shared" si="177"/>
        <v>8</v>
      </c>
      <c r="D2845" s="5">
        <f ca="1">IF(getQuality(B2845)&lt;4,getOtherMin(B2845,C2845,INDIRECT(J$2),INDIRECT(I2845),test),getMin(B2845,C2845,INDIRECT(J$2),INDIRECT(I2845),test))</f>
        <v>84.333333333333329</v>
      </c>
      <c r="E2845" s="5">
        <f ca="1">IF(getQuality(B2845)&lt;4,getOtherMax(B2845,C2845,INDIRECT(J$2),INDIRECT(I2845),test),getMax(B2845,C2845,INDIRECT(J$2),INDIRECT(I2845),test))</f>
        <v>100</v>
      </c>
      <c r="F2845" s="1" t="str">
        <f t="shared" si="179"/>
        <v>50</v>
      </c>
      <c r="G2845" s="1" t="str">
        <f t="shared" si="180"/>
        <v/>
      </c>
      <c r="I2845" s="1" t="str">
        <f t="shared" si="178"/>
        <v>威尔新数值1.06.xlsm!suitPower</v>
      </c>
    </row>
    <row r="2846" spans="1:9" x14ac:dyDescent="0.15">
      <c r="A2846" s="1">
        <v>2845</v>
      </c>
      <c r="B2846" s="1">
        <v>103060100</v>
      </c>
      <c r="C2846" s="1">
        <f t="shared" si="177"/>
        <v>9</v>
      </c>
      <c r="D2846" s="5">
        <f ca="1">IF(getQuality(B2846)&lt;4,getOtherMin(B2846,C2846,INDIRECT(J$2),INDIRECT(I2846),test),getMin(B2846,C2846,INDIRECT(J$2),INDIRECT(I2846),test))</f>
        <v>170.16048810980774</v>
      </c>
      <c r="E2846" s="5">
        <f ca="1">IF(getQuality(B2846)&lt;4,getOtherMax(B2846,C2846,INDIRECT(J$2),INDIRECT(I2846),test),getMax(B2846,C2846,INDIRECT(J$2),INDIRECT(I2846),test))</f>
        <v>217.39851117079806</v>
      </c>
      <c r="F2846" s="1" t="str">
        <f t="shared" si="179"/>
        <v>50</v>
      </c>
      <c r="G2846" s="1" t="str">
        <f t="shared" si="180"/>
        <v/>
      </c>
      <c r="I2846" s="1" t="str">
        <f t="shared" si="178"/>
        <v>威尔新数值1.06.xlsm!suitPower</v>
      </c>
    </row>
    <row r="2847" spans="1:9" x14ac:dyDescent="0.15">
      <c r="A2847" s="1">
        <v>2846</v>
      </c>
      <c r="B2847" s="1">
        <v>103060100</v>
      </c>
      <c r="C2847" s="1">
        <f t="shared" si="177"/>
        <v>10</v>
      </c>
      <c r="D2847" s="5">
        <f ca="1">IF(getQuality(B2847)&lt;4,getOtherMin(B2847,C2847,INDIRECT(J$2),INDIRECT(I2847),test),getMin(B2847,C2847,INDIRECT(J$2),INDIRECT(I2847),test))</f>
        <v>170.16048810980774</v>
      </c>
      <c r="E2847" s="5">
        <f ca="1">IF(getQuality(B2847)&lt;4,getOtherMax(B2847,C2847,INDIRECT(J$2),INDIRECT(I2847),test),getMax(B2847,C2847,INDIRECT(J$2),INDIRECT(I2847),test))</f>
        <v>217.39851117079806</v>
      </c>
      <c r="F2847" s="1" t="str">
        <f t="shared" si="179"/>
        <v>50</v>
      </c>
      <c r="G2847" s="1" t="str">
        <f t="shared" si="180"/>
        <v/>
      </c>
      <c r="I2847" s="1" t="str">
        <f t="shared" si="178"/>
        <v>威尔新数值1.06.xlsm!suitPower</v>
      </c>
    </row>
    <row r="2848" spans="1:9" x14ac:dyDescent="0.15">
      <c r="A2848" s="1">
        <v>2847</v>
      </c>
      <c r="B2848" s="1">
        <v>103060100</v>
      </c>
      <c r="C2848" s="1">
        <f t="shared" si="177"/>
        <v>11</v>
      </c>
      <c r="D2848" s="5">
        <f ca="1">IF(getQuality(B2848)&lt;4,getOtherMin(B2848,C2848,INDIRECT(J$2),INDIRECT(I2848),test),getMin(B2848,C2848,INDIRECT(J$2),INDIRECT(I2848),test))</f>
        <v>170.16048810980774</v>
      </c>
      <c r="E2848" s="5">
        <f ca="1">IF(getQuality(B2848)&lt;4,getOtherMax(B2848,C2848,INDIRECT(J$2),INDIRECT(I2848),test),getMax(B2848,C2848,INDIRECT(J$2),INDIRECT(I2848),test))</f>
        <v>217.39851117079806</v>
      </c>
      <c r="F2848" s="1" t="str">
        <f t="shared" si="179"/>
        <v>50</v>
      </c>
      <c r="G2848" s="1" t="str">
        <f t="shared" si="180"/>
        <v/>
      </c>
      <c r="I2848" s="1" t="str">
        <f t="shared" si="178"/>
        <v>威尔新数值1.06.xlsm!suitPower</v>
      </c>
    </row>
    <row r="2849" spans="1:9" x14ac:dyDescent="0.15">
      <c r="A2849" s="1">
        <v>2848</v>
      </c>
      <c r="B2849" s="1">
        <v>103060100</v>
      </c>
      <c r="C2849" s="1">
        <f t="shared" si="177"/>
        <v>12</v>
      </c>
      <c r="D2849" s="5">
        <f ca="1">IF(getQuality(B2849)&lt;4,getOtherMin(B2849,C2849,INDIRECT(J$2),INDIRECT(I2849),test),getMin(B2849,C2849,INDIRECT(J$2),INDIRECT(I2849),test))</f>
        <v>170.16048810980774</v>
      </c>
      <c r="E2849" s="5">
        <f ca="1">IF(getQuality(B2849)&lt;4,getOtherMax(B2849,C2849,INDIRECT(J$2),INDIRECT(I2849),test),getMax(B2849,C2849,INDIRECT(J$2),INDIRECT(I2849),test))</f>
        <v>217.39851117079806</v>
      </c>
      <c r="F2849" s="1" t="str">
        <f t="shared" si="179"/>
        <v>50</v>
      </c>
      <c r="G2849" s="1" t="str">
        <f t="shared" si="180"/>
        <v/>
      </c>
      <c r="I2849" s="1" t="str">
        <f t="shared" si="178"/>
        <v>威尔新数值1.06.xlsm!suitPower</v>
      </c>
    </row>
    <row r="2850" spans="1:9" x14ac:dyDescent="0.15">
      <c r="A2850" s="1">
        <v>2849</v>
      </c>
      <c r="B2850" s="1">
        <v>103060100</v>
      </c>
      <c r="C2850" s="1">
        <f t="shared" si="177"/>
        <v>13</v>
      </c>
      <c r="D2850" s="5">
        <f ca="1">IF(getQuality(B2850)&lt;4,getOtherMin(B2850,C2850,INDIRECT(J$2),INDIRECT(I2850),test),getMin(B2850,C2850,INDIRECT(J$2),INDIRECT(I2850),test))</f>
        <v>170.16048810980774</v>
      </c>
      <c r="E2850" s="5">
        <f ca="1">IF(getQuality(B2850)&lt;4,getOtherMax(B2850,C2850,INDIRECT(J$2),INDIRECT(I2850),test),getMax(B2850,C2850,INDIRECT(J$2),INDIRECT(I2850),test))</f>
        <v>217.39851117079806</v>
      </c>
      <c r="F2850" s="1" t="str">
        <f t="shared" si="179"/>
        <v>50</v>
      </c>
      <c r="G2850" s="1" t="str">
        <f t="shared" si="180"/>
        <v/>
      </c>
      <c r="I2850" s="1" t="str">
        <f t="shared" si="178"/>
        <v>威尔新数值1.06.xlsm!suitPower</v>
      </c>
    </row>
    <row r="2851" spans="1:9" x14ac:dyDescent="0.15">
      <c r="A2851" s="1">
        <v>2850</v>
      </c>
      <c r="B2851" s="1">
        <v>103060100</v>
      </c>
      <c r="C2851" s="1">
        <f t="shared" si="177"/>
        <v>14</v>
      </c>
      <c r="D2851" s="5">
        <f ca="1">IF(getQuality(B2851)&lt;4,getOtherMin(B2851,C2851,INDIRECT(J$2),INDIRECT(I2851),test),getMin(B2851,C2851,INDIRECT(J$2),INDIRECT(I2851),test))</f>
        <v>170.16048810980774</v>
      </c>
      <c r="E2851" s="5">
        <f ca="1">IF(getQuality(B2851)&lt;4,getOtherMax(B2851,C2851,INDIRECT(J$2),INDIRECT(I2851),test),getMax(B2851,C2851,INDIRECT(J$2),INDIRECT(I2851),test))</f>
        <v>217.39851117079806</v>
      </c>
      <c r="F2851" s="1" t="str">
        <f t="shared" si="179"/>
        <v>50</v>
      </c>
      <c r="G2851" s="1" t="str">
        <f t="shared" si="180"/>
        <v/>
      </c>
      <c r="I2851" s="1" t="str">
        <f t="shared" si="178"/>
        <v>威尔新数值1.06.xlsm!suitPower</v>
      </c>
    </row>
    <row r="2852" spans="1:9" x14ac:dyDescent="0.15">
      <c r="A2852" s="1">
        <v>2851</v>
      </c>
      <c r="B2852" s="1">
        <v>103060100</v>
      </c>
      <c r="C2852" s="1">
        <f t="shared" si="177"/>
        <v>15</v>
      </c>
      <c r="D2852" s="5">
        <f ca="1">IF(getQuality(B2852)&lt;4,getOtherMin(B2852,C2852,INDIRECT(J$2),INDIRECT(I2852),test),getMin(B2852,C2852,INDIRECT(J$2),INDIRECT(I2852),test))</f>
        <v>170.16048810980774</v>
      </c>
      <c r="E2852" s="5">
        <f ca="1">IF(getQuality(B2852)&lt;4,getOtherMax(B2852,C2852,INDIRECT(J$2),INDIRECT(I2852),test),getMax(B2852,C2852,INDIRECT(J$2),INDIRECT(I2852),test))</f>
        <v>217.39851117079806</v>
      </c>
      <c r="F2852" s="1" t="str">
        <f t="shared" si="179"/>
        <v>50</v>
      </c>
      <c r="G2852" s="1" t="str">
        <f t="shared" si="180"/>
        <v/>
      </c>
      <c r="I2852" s="1" t="str">
        <f t="shared" si="178"/>
        <v>威尔新数值1.06.xlsm!suitPower</v>
      </c>
    </row>
    <row r="2853" spans="1:9" x14ac:dyDescent="0.15">
      <c r="A2853" s="1">
        <v>2852</v>
      </c>
      <c r="B2853" s="1">
        <v>103060100</v>
      </c>
      <c r="C2853" s="1">
        <f t="shared" si="177"/>
        <v>101</v>
      </c>
      <c r="D2853" s="5">
        <f ca="1">IF(getQuality(B2853)&lt;4,getOtherMin(B2853,C2853,INDIRECT(J$2),INDIRECT(I2853),test),getMin(B2853,C2853,INDIRECT(J$2),INDIRECT(I2853),test))</f>
        <v>0.12</v>
      </c>
      <c r="E2853" s="5">
        <f ca="1">IF(getQuality(B2853)&lt;4,getOtherMax(B2853,C2853,INDIRECT(J$2),INDIRECT(I2853),test),getMax(B2853,C2853,INDIRECT(J$2),INDIRECT(I2853),test))</f>
        <v>0.15</v>
      </c>
      <c r="F2853" s="1" t="str">
        <f t="shared" si="179"/>
        <v>50</v>
      </c>
      <c r="G2853" s="1" t="str">
        <f t="shared" si="180"/>
        <v/>
      </c>
      <c r="I2853" s="1" t="str">
        <f t="shared" si="178"/>
        <v>威尔新数值1.06.xlsm!circlePer</v>
      </c>
    </row>
    <row r="2854" spans="1:9" x14ac:dyDescent="0.15">
      <c r="A2854" s="1">
        <v>2853</v>
      </c>
      <c r="B2854" s="1">
        <v>103060100</v>
      </c>
      <c r="C2854" s="1">
        <f t="shared" si="177"/>
        <v>102</v>
      </c>
      <c r="D2854" s="5">
        <f ca="1">IF(getQuality(B2854)&lt;4,getOtherMin(B2854,C2854,INDIRECT(J$2),INDIRECT(I2854),test),getMin(B2854,C2854,INDIRECT(J$2),INDIRECT(I2854),test))</f>
        <v>1.1000000000000001</v>
      </c>
      <c r="E2854" s="5">
        <f ca="1">IF(getQuality(B2854)&lt;4,getOtherMax(B2854,C2854,INDIRECT(J$2),INDIRECT(I2854),test),getMax(B2854,C2854,INDIRECT(J$2),INDIRECT(I2854),test))</f>
        <v>1.4</v>
      </c>
      <c r="F2854" s="1" t="str">
        <f t="shared" si="179"/>
        <v>50</v>
      </c>
      <c r="G2854" s="1" t="str">
        <f t="shared" si="180"/>
        <v/>
      </c>
      <c r="I2854" s="1" t="str">
        <f t="shared" si="178"/>
        <v>威尔新数值1.06.xlsm!circleValue</v>
      </c>
    </row>
    <row r="2855" spans="1:9" x14ac:dyDescent="0.15">
      <c r="A2855" s="1">
        <v>2854</v>
      </c>
      <c r="B2855" s="1">
        <v>103060100</v>
      </c>
      <c r="C2855" s="1">
        <f t="shared" si="177"/>
        <v>103</v>
      </c>
      <c r="D2855" s="5">
        <f ca="1">IF(getQuality(B2855)&lt;4,getOtherMin(B2855,C2855,INDIRECT(J$2),INDIRECT(I2855),test),getMin(B2855,C2855,INDIRECT(J$2),INDIRECT(I2855),test))</f>
        <v>0.12</v>
      </c>
      <c r="E2855" s="5">
        <f ca="1">IF(getQuality(B2855)&lt;4,getOtherMax(B2855,C2855,INDIRECT(J$2),INDIRECT(I2855),test),getMax(B2855,C2855,INDIRECT(J$2),INDIRECT(I2855),test))</f>
        <v>0.15</v>
      </c>
      <c r="F2855" s="1" t="str">
        <f t="shared" si="179"/>
        <v>50</v>
      </c>
      <c r="G2855" s="1" t="str">
        <f t="shared" si="180"/>
        <v/>
      </c>
      <c r="I2855" s="1" t="str">
        <f t="shared" si="178"/>
        <v>威尔新数值1.06.xlsm!otherDamage</v>
      </c>
    </row>
    <row r="2856" spans="1:9" x14ac:dyDescent="0.15">
      <c r="A2856" s="1">
        <v>2855</v>
      </c>
      <c r="B2856" s="1">
        <v>103060100</v>
      </c>
      <c r="C2856" s="1">
        <f t="shared" si="177"/>
        <v>104</v>
      </c>
      <c r="D2856" s="5">
        <f ca="1">IF(getQuality(B2856)&lt;4,getOtherMin(B2856,C2856,INDIRECT(J$2),INDIRECT(I2856),test),getMin(B2856,C2856,INDIRECT(J$2),INDIRECT(I2856),test))</f>
        <v>0.12</v>
      </c>
      <c r="E2856" s="5">
        <f ca="1">IF(getQuality(B2856)&lt;4,getOtherMax(B2856,C2856,INDIRECT(J$2),INDIRECT(I2856),test),getMax(B2856,C2856,INDIRECT(J$2),INDIRECT(I2856),test))</f>
        <v>0.24</v>
      </c>
      <c r="F2856" s="1" t="str">
        <f t="shared" si="179"/>
        <v>50</v>
      </c>
      <c r="G2856" s="1" t="str">
        <f t="shared" si="180"/>
        <v/>
      </c>
      <c r="I2856" s="1" t="str">
        <f t="shared" si="178"/>
        <v>威尔新数值1.06.xlsm!monsterDamage</v>
      </c>
    </row>
    <row r="2857" spans="1:9" x14ac:dyDescent="0.15">
      <c r="A2857" s="1">
        <v>2856</v>
      </c>
      <c r="B2857" s="1">
        <v>103060100</v>
      </c>
      <c r="C2857" s="1">
        <f t="shared" si="177"/>
        <v>105</v>
      </c>
      <c r="D2857" s="5">
        <f ca="1">IF(getQuality(B2857)&lt;4,getOtherMin(B2857,C2857,INDIRECT(J$2),INDIRECT(I2857),test),getMin(B2857,C2857,INDIRECT(J$2),INDIRECT(I2857),test))</f>
        <v>0.12</v>
      </c>
      <c r="E2857" s="5">
        <f ca="1">IF(getQuality(B2857)&lt;4,getOtherMax(B2857,C2857,INDIRECT(J$2),INDIRECT(I2857),test),getMax(B2857,C2857,INDIRECT(J$2),INDIRECT(I2857),test))</f>
        <v>0.24</v>
      </c>
      <c r="F2857" s="1" t="str">
        <f t="shared" si="179"/>
        <v>50</v>
      </c>
      <c r="G2857" s="1" t="str">
        <f t="shared" si="180"/>
        <v/>
      </c>
      <c r="I2857" s="1" t="str">
        <f t="shared" si="178"/>
        <v>威尔新数值1.06.xlsm!monsterDamage</v>
      </c>
    </row>
    <row r="2858" spans="1:9" x14ac:dyDescent="0.15">
      <c r="A2858" s="1">
        <v>2857</v>
      </c>
      <c r="B2858" s="1">
        <v>103060100</v>
      </c>
      <c r="C2858" s="1">
        <f t="shared" si="177"/>
        <v>106</v>
      </c>
      <c r="D2858" s="5">
        <f ca="1">IF(getQuality(B2858)&lt;4,getOtherMin(B2858,C2858,INDIRECT(J$2),INDIRECT(I2858),test),getMin(B2858,C2858,INDIRECT(J$2),INDIRECT(I2858),test))</f>
        <v>0.12</v>
      </c>
      <c r="E2858" s="5">
        <f ca="1">IF(getQuality(B2858)&lt;4,getOtherMax(B2858,C2858,INDIRECT(J$2),INDIRECT(I2858),test),getMax(B2858,C2858,INDIRECT(J$2),INDIRECT(I2858),test))</f>
        <v>0.24</v>
      </c>
      <c r="F2858" s="1" t="str">
        <f t="shared" si="179"/>
        <v>50</v>
      </c>
      <c r="G2858" s="1" t="str">
        <f t="shared" si="180"/>
        <v/>
      </c>
      <c r="I2858" s="1" t="str">
        <f t="shared" si="178"/>
        <v>威尔新数值1.06.xlsm!monsterDamage</v>
      </c>
    </row>
    <row r="2859" spans="1:9" x14ac:dyDescent="0.15">
      <c r="A2859" s="1">
        <v>2858</v>
      </c>
      <c r="B2859" s="1">
        <v>103060100</v>
      </c>
      <c r="C2859" s="1">
        <f t="shared" si="177"/>
        <v>107</v>
      </c>
      <c r="D2859" s="5">
        <f ca="1">IF(getQuality(B2859)&lt;4,getOtherMin(B2859,C2859,INDIRECT(J$2),INDIRECT(I2859),test),getMin(B2859,C2859,INDIRECT(J$2),INDIRECT(I2859),test))</f>
        <v>0.12</v>
      </c>
      <c r="E2859" s="5">
        <f ca="1">IF(getQuality(B2859)&lt;4,getOtherMax(B2859,C2859,INDIRECT(J$2),INDIRECT(I2859),test),getMax(B2859,C2859,INDIRECT(J$2),INDIRECT(I2859),test))</f>
        <v>0.24</v>
      </c>
      <c r="F2859" s="1" t="str">
        <f t="shared" si="179"/>
        <v>50</v>
      </c>
      <c r="G2859" s="1" t="str">
        <f t="shared" si="180"/>
        <v/>
      </c>
      <c r="I2859" s="1" t="str">
        <f t="shared" si="178"/>
        <v>威尔新数值1.06.xlsm!monsterDamage</v>
      </c>
    </row>
    <row r="2860" spans="1:9" x14ac:dyDescent="0.15">
      <c r="A2860" s="1">
        <v>2859</v>
      </c>
      <c r="B2860" s="1">
        <v>103060100</v>
      </c>
      <c r="C2860" s="1">
        <f t="shared" si="177"/>
        <v>108</v>
      </c>
      <c r="D2860" s="5">
        <f ca="1">IF(getQuality(B2860)&lt;4,getOtherMin(B2860,C2860,INDIRECT(J$2),INDIRECT(I2860),test),getMin(B2860,C2860,INDIRECT(J$2),INDIRECT(I2860),test))</f>
        <v>0.12</v>
      </c>
      <c r="E2860" s="5">
        <f ca="1">IF(getQuality(B2860)&lt;4,getOtherMax(B2860,C2860,INDIRECT(J$2),INDIRECT(I2860),test),getMax(B2860,C2860,INDIRECT(J$2),INDIRECT(I2860),test))</f>
        <v>0.24</v>
      </c>
      <c r="F2860" s="1" t="str">
        <f t="shared" si="179"/>
        <v>50</v>
      </c>
      <c r="G2860" s="1" t="str">
        <f t="shared" si="180"/>
        <v/>
      </c>
      <c r="I2860" s="1" t="str">
        <f t="shared" si="178"/>
        <v>威尔新数值1.06.xlsm!monsterDamage</v>
      </c>
    </row>
    <row r="2861" spans="1:9" x14ac:dyDescent="0.15">
      <c r="A2861" s="1">
        <v>2860</v>
      </c>
      <c r="B2861" s="1">
        <v>103070100</v>
      </c>
      <c r="C2861" s="1">
        <f t="shared" si="177"/>
        <v>3</v>
      </c>
      <c r="D2861" s="5">
        <f ca="1">IF(getQuality(B2861)&lt;4,getOtherMin(B2861,C2861,INDIRECT(J$2),INDIRECT(I2861),test),getMin(B2861,C2861,INDIRECT(J$2),INDIRECT(I2861),test))</f>
        <v>218.39851117079806</v>
      </c>
      <c r="E2861" s="5">
        <f ca="1">IF(getQuality(B2861)&lt;4,getOtherMax(B2861,C2861,INDIRECT(J$2),INDIRECT(I2861),test),getMax(B2861,C2861,INDIRECT(J$2),INDIRECT(I2861),test))</f>
        <v>270.43850937813136</v>
      </c>
      <c r="F2861" s="1" t="str">
        <f t="shared" si="179"/>
        <v>50</v>
      </c>
      <c r="G2861" s="1" t="str">
        <f t="shared" si="180"/>
        <v>1</v>
      </c>
      <c r="I2861" s="1" t="str">
        <f t="shared" si="178"/>
        <v>威尔新数值1.06.xlsm!suitPower</v>
      </c>
    </row>
    <row r="2862" spans="1:9" x14ac:dyDescent="0.15">
      <c r="A2862" s="1">
        <v>2861</v>
      </c>
      <c r="B2862" s="1">
        <v>103070100</v>
      </c>
      <c r="C2862" s="1">
        <f t="shared" si="177"/>
        <v>5</v>
      </c>
      <c r="D2862" s="5">
        <f ca="1">IF(getQuality(B2862)&lt;4,getOtherMin(B2862,C2862,INDIRECT(J$2),INDIRECT(I2862),test),getMin(B2862,C2862,INDIRECT(J$2),INDIRECT(I2862),test))</f>
        <v>218.39851117079806</v>
      </c>
      <c r="E2862" s="5">
        <f ca="1">IF(getQuality(B2862)&lt;4,getOtherMax(B2862,C2862,INDIRECT(J$2),INDIRECT(I2862),test),getMax(B2862,C2862,INDIRECT(J$2),INDIRECT(I2862),test))</f>
        <v>270.43850937813136</v>
      </c>
      <c r="F2862" s="1" t="str">
        <f t="shared" si="179"/>
        <v>50</v>
      </c>
      <c r="G2862" s="1" t="str">
        <f t="shared" si="180"/>
        <v/>
      </c>
      <c r="I2862" s="1" t="str">
        <f t="shared" si="178"/>
        <v>威尔新数值1.06.xlsm!suitPower</v>
      </c>
    </row>
    <row r="2863" spans="1:9" x14ac:dyDescent="0.15">
      <c r="A2863" s="1">
        <v>2862</v>
      </c>
      <c r="B2863" s="1">
        <v>103070100</v>
      </c>
      <c r="C2863" s="1">
        <f t="shared" si="177"/>
        <v>7</v>
      </c>
      <c r="D2863" s="5">
        <f ca="1">IF(getQuality(B2863)&lt;4,getOtherMin(B2863,C2863,INDIRECT(J$2),INDIRECT(I2863),test),getMin(B2863,C2863,INDIRECT(J$2),INDIRECT(I2863),test))</f>
        <v>45.444444444444329</v>
      </c>
      <c r="E2863" s="5">
        <f ca="1">IF(getQuality(B2863)&lt;4,getOtherMax(B2863,C2863,INDIRECT(J$2),INDIRECT(I2863),test),getMax(B2863,C2863,INDIRECT(J$2),INDIRECT(I2863),test))</f>
        <v>51.85185185185172</v>
      </c>
      <c r="F2863" s="1" t="str">
        <f t="shared" si="179"/>
        <v>50</v>
      </c>
      <c r="G2863" s="1" t="str">
        <f t="shared" si="180"/>
        <v/>
      </c>
      <c r="I2863" s="1" t="str">
        <f t="shared" si="178"/>
        <v>威尔新数值1.06.xlsm!suitPower</v>
      </c>
    </row>
    <row r="2864" spans="1:9" x14ac:dyDescent="0.15">
      <c r="A2864" s="1">
        <v>2863</v>
      </c>
      <c r="B2864" s="1">
        <v>103070100</v>
      </c>
      <c r="C2864" s="1">
        <f t="shared" si="177"/>
        <v>8</v>
      </c>
      <c r="D2864" s="5">
        <f ca="1">IF(getQuality(B2864)&lt;4,getOtherMin(B2864,C2864,INDIRECT(J$2),INDIRECT(I2864),test),getMin(B2864,C2864,INDIRECT(J$2),INDIRECT(I2864),test))</f>
        <v>101</v>
      </c>
      <c r="E2864" s="5">
        <f ca="1">IF(getQuality(B2864)&lt;4,getOtherMax(B2864,C2864,INDIRECT(J$2),INDIRECT(I2864),test),getMax(B2864,C2864,INDIRECT(J$2),INDIRECT(I2864),test))</f>
        <v>116.66666666666667</v>
      </c>
      <c r="F2864" s="1" t="str">
        <f t="shared" si="179"/>
        <v>50</v>
      </c>
      <c r="G2864" s="1" t="str">
        <f t="shared" si="180"/>
        <v/>
      </c>
      <c r="I2864" s="1" t="str">
        <f t="shared" si="178"/>
        <v>威尔新数值1.06.xlsm!suitPower</v>
      </c>
    </row>
    <row r="2865" spans="1:9" x14ac:dyDescent="0.15">
      <c r="A2865" s="1">
        <v>2864</v>
      </c>
      <c r="B2865" s="1">
        <v>103070100</v>
      </c>
      <c r="C2865" s="1">
        <f t="shared" si="177"/>
        <v>9</v>
      </c>
      <c r="D2865" s="5">
        <f ca="1">IF(getQuality(B2865)&lt;4,getOtherMin(B2865,C2865,INDIRECT(J$2),INDIRECT(I2865),test),getMin(B2865,C2865,INDIRECT(J$2),INDIRECT(I2865),test))</f>
        <v>218.39851117079806</v>
      </c>
      <c r="E2865" s="5">
        <f ca="1">IF(getQuality(B2865)&lt;4,getOtherMax(B2865,C2865,INDIRECT(J$2),INDIRECT(I2865),test),getMax(B2865,C2865,INDIRECT(J$2),INDIRECT(I2865),test))</f>
        <v>270.43850937813136</v>
      </c>
      <c r="F2865" s="1" t="str">
        <f t="shared" si="179"/>
        <v>50</v>
      </c>
      <c r="G2865" s="1" t="str">
        <f t="shared" si="180"/>
        <v/>
      </c>
      <c r="I2865" s="1" t="str">
        <f t="shared" si="178"/>
        <v>威尔新数值1.06.xlsm!suitPower</v>
      </c>
    </row>
    <row r="2866" spans="1:9" x14ac:dyDescent="0.15">
      <c r="A2866" s="1">
        <v>2865</v>
      </c>
      <c r="B2866" s="1">
        <v>103070100</v>
      </c>
      <c r="C2866" s="1">
        <f t="shared" si="177"/>
        <v>10</v>
      </c>
      <c r="D2866" s="5">
        <f ca="1">IF(getQuality(B2866)&lt;4,getOtherMin(B2866,C2866,INDIRECT(J$2),INDIRECT(I2866),test),getMin(B2866,C2866,INDIRECT(J$2),INDIRECT(I2866),test))</f>
        <v>218.39851117079806</v>
      </c>
      <c r="E2866" s="5">
        <f ca="1">IF(getQuality(B2866)&lt;4,getOtherMax(B2866,C2866,INDIRECT(J$2),INDIRECT(I2866),test),getMax(B2866,C2866,INDIRECT(J$2),INDIRECT(I2866),test))</f>
        <v>270.43850937813136</v>
      </c>
      <c r="F2866" s="1" t="str">
        <f t="shared" si="179"/>
        <v>50</v>
      </c>
      <c r="G2866" s="1" t="str">
        <f t="shared" si="180"/>
        <v/>
      </c>
      <c r="I2866" s="1" t="str">
        <f t="shared" si="178"/>
        <v>威尔新数值1.06.xlsm!suitPower</v>
      </c>
    </row>
    <row r="2867" spans="1:9" x14ac:dyDescent="0.15">
      <c r="A2867" s="1">
        <v>2866</v>
      </c>
      <c r="B2867" s="1">
        <v>103070100</v>
      </c>
      <c r="C2867" s="1">
        <f t="shared" si="177"/>
        <v>11</v>
      </c>
      <c r="D2867" s="5">
        <f ca="1">IF(getQuality(B2867)&lt;4,getOtherMin(B2867,C2867,INDIRECT(J$2),INDIRECT(I2867),test),getMin(B2867,C2867,INDIRECT(J$2),INDIRECT(I2867),test))</f>
        <v>218.39851117079806</v>
      </c>
      <c r="E2867" s="5">
        <f ca="1">IF(getQuality(B2867)&lt;4,getOtherMax(B2867,C2867,INDIRECT(J$2),INDIRECT(I2867),test),getMax(B2867,C2867,INDIRECT(J$2),INDIRECT(I2867),test))</f>
        <v>270.43850937813136</v>
      </c>
      <c r="F2867" s="1" t="str">
        <f t="shared" si="179"/>
        <v>50</v>
      </c>
      <c r="G2867" s="1" t="str">
        <f t="shared" si="180"/>
        <v/>
      </c>
      <c r="I2867" s="1" t="str">
        <f t="shared" si="178"/>
        <v>威尔新数值1.06.xlsm!suitPower</v>
      </c>
    </row>
    <row r="2868" spans="1:9" x14ac:dyDescent="0.15">
      <c r="A2868" s="1">
        <v>2867</v>
      </c>
      <c r="B2868" s="1">
        <v>103070100</v>
      </c>
      <c r="C2868" s="1">
        <f t="shared" si="177"/>
        <v>12</v>
      </c>
      <c r="D2868" s="5">
        <f ca="1">IF(getQuality(B2868)&lt;4,getOtherMin(B2868,C2868,INDIRECT(J$2),INDIRECT(I2868),test),getMin(B2868,C2868,INDIRECT(J$2),INDIRECT(I2868),test))</f>
        <v>218.39851117079806</v>
      </c>
      <c r="E2868" s="5">
        <f ca="1">IF(getQuality(B2868)&lt;4,getOtherMax(B2868,C2868,INDIRECT(J$2),INDIRECT(I2868),test),getMax(B2868,C2868,INDIRECT(J$2),INDIRECT(I2868),test))</f>
        <v>270.43850937813136</v>
      </c>
      <c r="F2868" s="1" t="str">
        <f t="shared" si="179"/>
        <v>50</v>
      </c>
      <c r="G2868" s="1" t="str">
        <f t="shared" si="180"/>
        <v/>
      </c>
      <c r="I2868" s="1" t="str">
        <f t="shared" si="178"/>
        <v>威尔新数值1.06.xlsm!suitPower</v>
      </c>
    </row>
    <row r="2869" spans="1:9" x14ac:dyDescent="0.15">
      <c r="A2869" s="1">
        <v>2868</v>
      </c>
      <c r="B2869" s="1">
        <v>103070100</v>
      </c>
      <c r="C2869" s="1">
        <f t="shared" si="177"/>
        <v>13</v>
      </c>
      <c r="D2869" s="5">
        <f ca="1">IF(getQuality(B2869)&lt;4,getOtherMin(B2869,C2869,INDIRECT(J$2),INDIRECT(I2869),test),getMin(B2869,C2869,INDIRECT(J$2),INDIRECT(I2869),test))</f>
        <v>218.39851117079806</v>
      </c>
      <c r="E2869" s="5">
        <f ca="1">IF(getQuality(B2869)&lt;4,getOtherMax(B2869,C2869,INDIRECT(J$2),INDIRECT(I2869),test),getMax(B2869,C2869,INDIRECT(J$2),INDIRECT(I2869),test))</f>
        <v>270.43850937813136</v>
      </c>
      <c r="F2869" s="1" t="str">
        <f t="shared" si="179"/>
        <v>50</v>
      </c>
      <c r="G2869" s="1" t="str">
        <f t="shared" si="180"/>
        <v/>
      </c>
      <c r="I2869" s="1" t="str">
        <f t="shared" si="178"/>
        <v>威尔新数值1.06.xlsm!suitPower</v>
      </c>
    </row>
    <row r="2870" spans="1:9" x14ac:dyDescent="0.15">
      <c r="A2870" s="1">
        <v>2869</v>
      </c>
      <c r="B2870" s="1">
        <v>103070100</v>
      </c>
      <c r="C2870" s="1">
        <f t="shared" si="177"/>
        <v>14</v>
      </c>
      <c r="D2870" s="5">
        <f ca="1">IF(getQuality(B2870)&lt;4,getOtherMin(B2870,C2870,INDIRECT(J$2),INDIRECT(I2870),test),getMin(B2870,C2870,INDIRECT(J$2),INDIRECT(I2870),test))</f>
        <v>218.39851117079806</v>
      </c>
      <c r="E2870" s="5">
        <f ca="1">IF(getQuality(B2870)&lt;4,getOtherMax(B2870,C2870,INDIRECT(J$2),INDIRECT(I2870),test),getMax(B2870,C2870,INDIRECT(J$2),INDIRECT(I2870),test))</f>
        <v>270.43850937813136</v>
      </c>
      <c r="F2870" s="1" t="str">
        <f t="shared" si="179"/>
        <v>50</v>
      </c>
      <c r="G2870" s="1" t="str">
        <f t="shared" si="180"/>
        <v/>
      </c>
      <c r="I2870" s="1" t="str">
        <f t="shared" si="178"/>
        <v>威尔新数值1.06.xlsm!suitPower</v>
      </c>
    </row>
    <row r="2871" spans="1:9" x14ac:dyDescent="0.15">
      <c r="A2871" s="1">
        <v>2870</v>
      </c>
      <c r="B2871" s="1">
        <v>103070100</v>
      </c>
      <c r="C2871" s="1">
        <f t="shared" si="177"/>
        <v>15</v>
      </c>
      <c r="D2871" s="5">
        <f ca="1">IF(getQuality(B2871)&lt;4,getOtherMin(B2871,C2871,INDIRECT(J$2),INDIRECT(I2871),test),getMin(B2871,C2871,INDIRECT(J$2),INDIRECT(I2871),test))</f>
        <v>218.39851117079806</v>
      </c>
      <c r="E2871" s="5">
        <f ca="1">IF(getQuality(B2871)&lt;4,getOtherMax(B2871,C2871,INDIRECT(J$2),INDIRECT(I2871),test),getMax(B2871,C2871,INDIRECT(J$2),INDIRECT(I2871),test))</f>
        <v>270.43850937813136</v>
      </c>
      <c r="F2871" s="1" t="str">
        <f t="shared" si="179"/>
        <v>50</v>
      </c>
      <c r="G2871" s="1" t="str">
        <f t="shared" si="180"/>
        <v/>
      </c>
      <c r="I2871" s="1" t="str">
        <f t="shared" si="178"/>
        <v>威尔新数值1.06.xlsm!suitPower</v>
      </c>
    </row>
    <row r="2872" spans="1:9" x14ac:dyDescent="0.15">
      <c r="A2872" s="1">
        <v>2871</v>
      </c>
      <c r="B2872" s="1">
        <v>103070100</v>
      </c>
      <c r="C2872" s="1">
        <f t="shared" si="177"/>
        <v>101</v>
      </c>
      <c r="D2872" s="5">
        <f ca="1">IF(getQuality(B2872)&lt;4,getOtherMin(B2872,C2872,INDIRECT(J$2),INDIRECT(I2872),test),getMin(B2872,C2872,INDIRECT(J$2),INDIRECT(I2872),test))</f>
        <v>0.13</v>
      </c>
      <c r="E2872" s="5">
        <f ca="1">IF(getQuality(B2872)&lt;4,getOtherMax(B2872,C2872,INDIRECT(J$2),INDIRECT(I2872),test),getMax(B2872,C2872,INDIRECT(J$2),INDIRECT(I2872),test))</f>
        <v>0.16</v>
      </c>
      <c r="F2872" s="1" t="str">
        <f t="shared" si="179"/>
        <v>50</v>
      </c>
      <c r="G2872" s="1" t="str">
        <f t="shared" si="180"/>
        <v/>
      </c>
      <c r="I2872" s="1" t="str">
        <f t="shared" si="178"/>
        <v>威尔新数值1.06.xlsm!circlePer</v>
      </c>
    </row>
    <row r="2873" spans="1:9" x14ac:dyDescent="0.15">
      <c r="A2873" s="1">
        <v>2872</v>
      </c>
      <c r="B2873" s="1">
        <v>103070100</v>
      </c>
      <c r="C2873" s="1">
        <f t="shared" si="177"/>
        <v>102</v>
      </c>
      <c r="D2873" s="5">
        <f ca="1">IF(getQuality(B2873)&lt;4,getOtherMin(B2873,C2873,INDIRECT(J$2),INDIRECT(I2873),test),getMin(B2873,C2873,INDIRECT(J$2),INDIRECT(I2873),test))</f>
        <v>1.2</v>
      </c>
      <c r="E2873" s="5">
        <f ca="1">IF(getQuality(B2873)&lt;4,getOtherMax(B2873,C2873,INDIRECT(J$2),INDIRECT(I2873),test),getMax(B2873,C2873,INDIRECT(J$2),INDIRECT(I2873),test))</f>
        <v>1.5</v>
      </c>
      <c r="F2873" s="1" t="str">
        <f t="shared" si="179"/>
        <v>50</v>
      </c>
      <c r="G2873" s="1" t="str">
        <f t="shared" si="180"/>
        <v/>
      </c>
      <c r="I2873" s="1" t="str">
        <f t="shared" si="178"/>
        <v>威尔新数值1.06.xlsm!circleValue</v>
      </c>
    </row>
    <row r="2874" spans="1:9" x14ac:dyDescent="0.15">
      <c r="A2874" s="1">
        <v>2873</v>
      </c>
      <c r="B2874" s="1">
        <v>103070100</v>
      </c>
      <c r="C2874" s="1">
        <f t="shared" si="177"/>
        <v>103</v>
      </c>
      <c r="D2874" s="5">
        <f ca="1">IF(getQuality(B2874)&lt;4,getOtherMin(B2874,C2874,INDIRECT(J$2),INDIRECT(I2874),test),getMin(B2874,C2874,INDIRECT(J$2),INDIRECT(I2874),test))</f>
        <v>0.13</v>
      </c>
      <c r="E2874" s="5">
        <f ca="1">IF(getQuality(B2874)&lt;4,getOtherMax(B2874,C2874,INDIRECT(J$2),INDIRECT(I2874),test),getMax(B2874,C2874,INDIRECT(J$2),INDIRECT(I2874),test))</f>
        <v>0.16</v>
      </c>
      <c r="F2874" s="1" t="str">
        <f t="shared" si="179"/>
        <v>50</v>
      </c>
      <c r="G2874" s="1" t="str">
        <f t="shared" si="180"/>
        <v/>
      </c>
      <c r="I2874" s="1" t="str">
        <f t="shared" si="178"/>
        <v>威尔新数值1.06.xlsm!otherDamage</v>
      </c>
    </row>
    <row r="2875" spans="1:9" x14ac:dyDescent="0.15">
      <c r="A2875" s="1">
        <v>2874</v>
      </c>
      <c r="B2875" s="1">
        <v>103070100</v>
      </c>
      <c r="C2875" s="1">
        <f t="shared" si="177"/>
        <v>104</v>
      </c>
      <c r="D2875" s="5">
        <f ca="1">IF(getQuality(B2875)&lt;4,getOtherMin(B2875,C2875,INDIRECT(J$2),INDIRECT(I2875),test),getMin(B2875,C2875,INDIRECT(J$2),INDIRECT(I2875),test))</f>
        <v>0.13</v>
      </c>
      <c r="E2875" s="5">
        <f ca="1">IF(getQuality(B2875)&lt;4,getOtherMax(B2875,C2875,INDIRECT(J$2),INDIRECT(I2875),test),getMax(B2875,C2875,INDIRECT(J$2),INDIRECT(I2875),test))</f>
        <v>0.26</v>
      </c>
      <c r="F2875" s="1" t="str">
        <f t="shared" si="179"/>
        <v>50</v>
      </c>
      <c r="G2875" s="1" t="str">
        <f t="shared" si="180"/>
        <v/>
      </c>
      <c r="I2875" s="1" t="str">
        <f t="shared" si="178"/>
        <v>威尔新数值1.06.xlsm!monsterDamage</v>
      </c>
    </row>
    <row r="2876" spans="1:9" x14ac:dyDescent="0.15">
      <c r="A2876" s="1">
        <v>2875</v>
      </c>
      <c r="B2876" s="1">
        <v>103070100</v>
      </c>
      <c r="C2876" s="1">
        <f t="shared" ref="C2876:C2939" si="181">C401</f>
        <v>105</v>
      </c>
      <c r="D2876" s="5">
        <f ca="1">IF(getQuality(B2876)&lt;4,getOtherMin(B2876,C2876,INDIRECT(J$2),INDIRECT(I2876),test),getMin(B2876,C2876,INDIRECT(J$2),INDIRECT(I2876),test))</f>
        <v>0.13</v>
      </c>
      <c r="E2876" s="5">
        <f ca="1">IF(getQuality(B2876)&lt;4,getOtherMax(B2876,C2876,INDIRECT(J$2),INDIRECT(I2876),test),getMax(B2876,C2876,INDIRECT(J$2),INDIRECT(I2876),test))</f>
        <v>0.26</v>
      </c>
      <c r="F2876" s="1" t="str">
        <f t="shared" si="179"/>
        <v>50</v>
      </c>
      <c r="G2876" s="1" t="str">
        <f t="shared" si="180"/>
        <v/>
      </c>
      <c r="I2876" s="1" t="str">
        <f t="shared" si="178"/>
        <v>威尔新数值1.06.xlsm!monsterDamage</v>
      </c>
    </row>
    <row r="2877" spans="1:9" x14ac:dyDescent="0.15">
      <c r="A2877" s="1">
        <v>2876</v>
      </c>
      <c r="B2877" s="1">
        <v>103070100</v>
      </c>
      <c r="C2877" s="1">
        <f t="shared" si="181"/>
        <v>106</v>
      </c>
      <c r="D2877" s="5">
        <f ca="1">IF(getQuality(B2877)&lt;4,getOtherMin(B2877,C2877,INDIRECT(J$2),INDIRECT(I2877),test),getMin(B2877,C2877,INDIRECT(J$2),INDIRECT(I2877),test))</f>
        <v>0.13</v>
      </c>
      <c r="E2877" s="5">
        <f ca="1">IF(getQuality(B2877)&lt;4,getOtherMax(B2877,C2877,INDIRECT(J$2),INDIRECT(I2877),test),getMax(B2877,C2877,INDIRECT(J$2),INDIRECT(I2877),test))</f>
        <v>0.26</v>
      </c>
      <c r="F2877" s="1" t="str">
        <f t="shared" si="179"/>
        <v>50</v>
      </c>
      <c r="G2877" s="1" t="str">
        <f t="shared" si="180"/>
        <v/>
      </c>
      <c r="I2877" s="1" t="str">
        <f t="shared" si="178"/>
        <v>威尔新数值1.06.xlsm!monsterDamage</v>
      </c>
    </row>
    <row r="2878" spans="1:9" x14ac:dyDescent="0.15">
      <c r="A2878" s="1">
        <v>2877</v>
      </c>
      <c r="B2878" s="1">
        <v>103070100</v>
      </c>
      <c r="C2878" s="1">
        <f t="shared" si="181"/>
        <v>107</v>
      </c>
      <c r="D2878" s="5">
        <f ca="1">IF(getQuality(B2878)&lt;4,getOtherMin(B2878,C2878,INDIRECT(J$2),INDIRECT(I2878),test),getMin(B2878,C2878,INDIRECT(J$2),INDIRECT(I2878),test))</f>
        <v>0.13</v>
      </c>
      <c r="E2878" s="5">
        <f ca="1">IF(getQuality(B2878)&lt;4,getOtherMax(B2878,C2878,INDIRECT(J$2),INDIRECT(I2878),test),getMax(B2878,C2878,INDIRECT(J$2),INDIRECT(I2878),test))</f>
        <v>0.26</v>
      </c>
      <c r="F2878" s="1" t="str">
        <f t="shared" si="179"/>
        <v>50</v>
      </c>
      <c r="G2878" s="1" t="str">
        <f t="shared" si="180"/>
        <v/>
      </c>
      <c r="I2878" s="1" t="str">
        <f t="shared" si="178"/>
        <v>威尔新数值1.06.xlsm!monsterDamage</v>
      </c>
    </row>
    <row r="2879" spans="1:9" x14ac:dyDescent="0.15">
      <c r="A2879" s="1">
        <v>2878</v>
      </c>
      <c r="B2879" s="1">
        <v>103070100</v>
      </c>
      <c r="C2879" s="1">
        <f t="shared" si="181"/>
        <v>108</v>
      </c>
      <c r="D2879" s="5">
        <f ca="1">IF(getQuality(B2879)&lt;4,getOtherMin(B2879,C2879,INDIRECT(J$2),INDIRECT(I2879),test),getMin(B2879,C2879,INDIRECT(J$2),INDIRECT(I2879),test))</f>
        <v>0.13</v>
      </c>
      <c r="E2879" s="5">
        <f ca="1">IF(getQuality(B2879)&lt;4,getOtherMax(B2879,C2879,INDIRECT(J$2),INDIRECT(I2879),test),getMax(B2879,C2879,INDIRECT(J$2),INDIRECT(I2879),test))</f>
        <v>0.26</v>
      </c>
      <c r="F2879" s="1" t="str">
        <f t="shared" si="179"/>
        <v>50</v>
      </c>
      <c r="G2879" s="1" t="str">
        <f t="shared" si="180"/>
        <v/>
      </c>
      <c r="I2879" s="1" t="str">
        <f t="shared" si="178"/>
        <v>威尔新数值1.06.xlsm!monsterDamage</v>
      </c>
    </row>
    <row r="2880" spans="1:9" x14ac:dyDescent="0.15">
      <c r="A2880" s="1">
        <v>2879</v>
      </c>
      <c r="B2880" s="1">
        <v>103080100</v>
      </c>
      <c r="C2880" s="1">
        <f t="shared" si="181"/>
        <v>3</v>
      </c>
      <c r="D2880" s="5">
        <f ca="1">IF(getQuality(B2880)&lt;4,getOtherMin(B2880,C2880,INDIRECT(J$2),INDIRECT(I2880),test),getMin(B2880,C2880,INDIRECT(J$2),INDIRECT(I2880),test))</f>
        <v>271.43850937813136</v>
      </c>
      <c r="E2880" s="5">
        <f ca="1">IF(getQuality(B2880)&lt;4,getOtherMax(B2880,C2880,INDIRECT(J$2),INDIRECT(I2880),test),getMax(B2880,C2880,INDIRECT(J$2),INDIRECT(I2880),test))</f>
        <v>328.28048273180752</v>
      </c>
      <c r="F2880" s="1" t="str">
        <f t="shared" si="179"/>
        <v>50</v>
      </c>
      <c r="G2880" s="1" t="str">
        <f t="shared" si="180"/>
        <v>1</v>
      </c>
      <c r="I2880" s="1" t="str">
        <f t="shared" si="178"/>
        <v>威尔新数值1.06.xlsm!suitPower</v>
      </c>
    </row>
    <row r="2881" spans="1:9" x14ac:dyDescent="0.15">
      <c r="A2881" s="1">
        <v>2880</v>
      </c>
      <c r="B2881" s="1">
        <v>103080100</v>
      </c>
      <c r="C2881" s="1">
        <f t="shared" si="181"/>
        <v>5</v>
      </c>
      <c r="D2881" s="5">
        <f ca="1">IF(getQuality(B2881)&lt;4,getOtherMin(B2881,C2881,INDIRECT(J$2),INDIRECT(I2881),test),getMin(B2881,C2881,INDIRECT(J$2),INDIRECT(I2881),test))</f>
        <v>271.43850937813136</v>
      </c>
      <c r="E2881" s="5">
        <f ca="1">IF(getQuality(B2881)&lt;4,getOtherMax(B2881,C2881,INDIRECT(J$2),INDIRECT(I2881),test),getMax(B2881,C2881,INDIRECT(J$2),INDIRECT(I2881),test))</f>
        <v>328.28048273180752</v>
      </c>
      <c r="F2881" s="1" t="str">
        <f t="shared" si="179"/>
        <v>50</v>
      </c>
      <c r="G2881" s="1" t="str">
        <f t="shared" si="180"/>
        <v/>
      </c>
      <c r="I2881" s="1" t="str">
        <f t="shared" si="178"/>
        <v>威尔新数值1.06.xlsm!suitPower</v>
      </c>
    </row>
    <row r="2882" spans="1:9" x14ac:dyDescent="0.15">
      <c r="A2882" s="1">
        <v>2881</v>
      </c>
      <c r="B2882" s="1">
        <v>103080100</v>
      </c>
      <c r="C2882" s="1">
        <f t="shared" si="181"/>
        <v>7</v>
      </c>
      <c r="D2882" s="5">
        <f ca="1">IF(getQuality(B2882)&lt;4,getOtherMin(B2882,C2882,INDIRECT(J$2),INDIRECT(I2882),test),getMin(B2882,C2882,INDIRECT(J$2),INDIRECT(I2882),test))</f>
        <v>52.85185185185172</v>
      </c>
      <c r="E2882" s="5">
        <f ca="1">IF(getQuality(B2882)&lt;4,getOtherMax(B2882,C2882,INDIRECT(J$2),INDIRECT(I2882),test),getMax(B2882,C2882,INDIRECT(J$2),INDIRECT(I2882),test))</f>
        <v>59.25925925925911</v>
      </c>
      <c r="F2882" s="1" t="str">
        <f t="shared" si="179"/>
        <v>50</v>
      </c>
      <c r="G2882" s="1" t="str">
        <f t="shared" si="180"/>
        <v/>
      </c>
      <c r="I2882" s="1" t="str">
        <f t="shared" ref="I2882:I2945" si="182">IF(C2882&lt;100,VLOOKUP(C2882,test,3,FALSE),VLOOKUP(C2882,test1,3,FALSE))</f>
        <v>威尔新数值1.06.xlsm!suitPower</v>
      </c>
    </row>
    <row r="2883" spans="1:9" x14ac:dyDescent="0.15">
      <c r="A2883" s="1">
        <v>2882</v>
      </c>
      <c r="B2883" s="1">
        <v>103080100</v>
      </c>
      <c r="C2883" s="1">
        <f t="shared" si="181"/>
        <v>8</v>
      </c>
      <c r="D2883" s="5">
        <f ca="1">IF(getQuality(B2883)&lt;4,getOtherMin(B2883,C2883,INDIRECT(J$2),INDIRECT(I2883),test),getMin(B2883,C2883,INDIRECT(J$2),INDIRECT(I2883),test))</f>
        <v>117.66666666666667</v>
      </c>
      <c r="E2883" s="5">
        <f ca="1">IF(getQuality(B2883)&lt;4,getOtherMax(B2883,C2883,INDIRECT(J$2),INDIRECT(I2883),test),getMax(B2883,C2883,INDIRECT(J$2),INDIRECT(I2883),test))</f>
        <v>133.33333333333334</v>
      </c>
      <c r="F2883" s="1" t="str">
        <f t="shared" ref="F2883:F2946" si="183">getper(B2883,C2883)</f>
        <v>50</v>
      </c>
      <c r="G2883" s="1" t="str">
        <f t="shared" ref="G2883:G2946" si="184">getMust(B2883,C2883)</f>
        <v/>
      </c>
      <c r="I2883" s="1" t="str">
        <f t="shared" si="182"/>
        <v>威尔新数值1.06.xlsm!suitPower</v>
      </c>
    </row>
    <row r="2884" spans="1:9" x14ac:dyDescent="0.15">
      <c r="A2884" s="1">
        <v>2883</v>
      </c>
      <c r="B2884" s="1">
        <v>103080100</v>
      </c>
      <c r="C2884" s="1">
        <f t="shared" si="181"/>
        <v>9</v>
      </c>
      <c r="D2884" s="5">
        <f ca="1">IF(getQuality(B2884)&lt;4,getOtherMin(B2884,C2884,INDIRECT(J$2),INDIRECT(I2884),test),getMin(B2884,C2884,INDIRECT(J$2),INDIRECT(I2884),test))</f>
        <v>271.43850937813136</v>
      </c>
      <c r="E2884" s="5">
        <f ca="1">IF(getQuality(B2884)&lt;4,getOtherMax(B2884,C2884,INDIRECT(J$2),INDIRECT(I2884),test),getMax(B2884,C2884,INDIRECT(J$2),INDIRECT(I2884),test))</f>
        <v>328.28048273180752</v>
      </c>
      <c r="F2884" s="1" t="str">
        <f t="shared" si="183"/>
        <v>50</v>
      </c>
      <c r="G2884" s="1" t="str">
        <f t="shared" si="184"/>
        <v/>
      </c>
      <c r="I2884" s="1" t="str">
        <f t="shared" si="182"/>
        <v>威尔新数值1.06.xlsm!suitPower</v>
      </c>
    </row>
    <row r="2885" spans="1:9" x14ac:dyDescent="0.15">
      <c r="A2885" s="1">
        <v>2884</v>
      </c>
      <c r="B2885" s="1">
        <v>103080100</v>
      </c>
      <c r="C2885" s="1">
        <f t="shared" si="181"/>
        <v>10</v>
      </c>
      <c r="D2885" s="5">
        <f ca="1">IF(getQuality(B2885)&lt;4,getOtherMin(B2885,C2885,INDIRECT(J$2),INDIRECT(I2885),test),getMin(B2885,C2885,INDIRECT(J$2),INDIRECT(I2885),test))</f>
        <v>271.43850937813136</v>
      </c>
      <c r="E2885" s="5">
        <f ca="1">IF(getQuality(B2885)&lt;4,getOtherMax(B2885,C2885,INDIRECT(J$2),INDIRECT(I2885),test),getMax(B2885,C2885,INDIRECT(J$2),INDIRECT(I2885),test))</f>
        <v>328.28048273180752</v>
      </c>
      <c r="F2885" s="1" t="str">
        <f t="shared" si="183"/>
        <v>50</v>
      </c>
      <c r="G2885" s="1" t="str">
        <f t="shared" si="184"/>
        <v/>
      </c>
      <c r="I2885" s="1" t="str">
        <f t="shared" si="182"/>
        <v>威尔新数值1.06.xlsm!suitPower</v>
      </c>
    </row>
    <row r="2886" spans="1:9" x14ac:dyDescent="0.15">
      <c r="A2886" s="1">
        <v>2885</v>
      </c>
      <c r="B2886" s="1">
        <v>103080100</v>
      </c>
      <c r="C2886" s="1">
        <f t="shared" si="181"/>
        <v>11</v>
      </c>
      <c r="D2886" s="5">
        <f ca="1">IF(getQuality(B2886)&lt;4,getOtherMin(B2886,C2886,INDIRECT(J$2),INDIRECT(I2886),test),getMin(B2886,C2886,INDIRECT(J$2),INDIRECT(I2886),test))</f>
        <v>271.43850937813136</v>
      </c>
      <c r="E2886" s="5">
        <f ca="1">IF(getQuality(B2886)&lt;4,getOtherMax(B2886,C2886,INDIRECT(J$2),INDIRECT(I2886),test),getMax(B2886,C2886,INDIRECT(J$2),INDIRECT(I2886),test))</f>
        <v>328.28048273180752</v>
      </c>
      <c r="F2886" s="1" t="str">
        <f t="shared" si="183"/>
        <v>50</v>
      </c>
      <c r="G2886" s="1" t="str">
        <f t="shared" si="184"/>
        <v/>
      </c>
      <c r="I2886" s="1" t="str">
        <f t="shared" si="182"/>
        <v>威尔新数值1.06.xlsm!suitPower</v>
      </c>
    </row>
    <row r="2887" spans="1:9" x14ac:dyDescent="0.15">
      <c r="A2887" s="1">
        <v>2886</v>
      </c>
      <c r="B2887" s="1">
        <v>103080100</v>
      </c>
      <c r="C2887" s="1">
        <f t="shared" si="181"/>
        <v>12</v>
      </c>
      <c r="D2887" s="5">
        <f ca="1">IF(getQuality(B2887)&lt;4,getOtherMin(B2887,C2887,INDIRECT(J$2),INDIRECT(I2887),test),getMin(B2887,C2887,INDIRECT(J$2),INDIRECT(I2887),test))</f>
        <v>271.43850937813136</v>
      </c>
      <c r="E2887" s="5">
        <f ca="1">IF(getQuality(B2887)&lt;4,getOtherMax(B2887,C2887,INDIRECT(J$2),INDIRECT(I2887),test),getMax(B2887,C2887,INDIRECT(J$2),INDIRECT(I2887),test))</f>
        <v>328.28048273180752</v>
      </c>
      <c r="F2887" s="1" t="str">
        <f t="shared" si="183"/>
        <v>50</v>
      </c>
      <c r="G2887" s="1" t="str">
        <f t="shared" si="184"/>
        <v/>
      </c>
      <c r="I2887" s="1" t="str">
        <f t="shared" si="182"/>
        <v>威尔新数值1.06.xlsm!suitPower</v>
      </c>
    </row>
    <row r="2888" spans="1:9" x14ac:dyDescent="0.15">
      <c r="A2888" s="1">
        <v>2887</v>
      </c>
      <c r="B2888" s="1">
        <v>103080100</v>
      </c>
      <c r="C2888" s="1">
        <f t="shared" si="181"/>
        <v>13</v>
      </c>
      <c r="D2888" s="5">
        <f ca="1">IF(getQuality(B2888)&lt;4,getOtherMin(B2888,C2888,INDIRECT(J$2),INDIRECT(I2888),test),getMin(B2888,C2888,INDIRECT(J$2),INDIRECT(I2888),test))</f>
        <v>271.43850937813136</v>
      </c>
      <c r="E2888" s="5">
        <f ca="1">IF(getQuality(B2888)&lt;4,getOtherMax(B2888,C2888,INDIRECT(J$2),INDIRECT(I2888),test),getMax(B2888,C2888,INDIRECT(J$2),INDIRECT(I2888),test))</f>
        <v>328.28048273180752</v>
      </c>
      <c r="F2888" s="1" t="str">
        <f t="shared" si="183"/>
        <v>50</v>
      </c>
      <c r="G2888" s="1" t="str">
        <f t="shared" si="184"/>
        <v/>
      </c>
      <c r="I2888" s="1" t="str">
        <f t="shared" si="182"/>
        <v>威尔新数值1.06.xlsm!suitPower</v>
      </c>
    </row>
    <row r="2889" spans="1:9" x14ac:dyDescent="0.15">
      <c r="A2889" s="1">
        <v>2888</v>
      </c>
      <c r="B2889" s="1">
        <v>103080100</v>
      </c>
      <c r="C2889" s="1">
        <f t="shared" si="181"/>
        <v>14</v>
      </c>
      <c r="D2889" s="5">
        <f ca="1">IF(getQuality(B2889)&lt;4,getOtherMin(B2889,C2889,INDIRECT(J$2),INDIRECT(I2889),test),getMin(B2889,C2889,INDIRECT(J$2),INDIRECT(I2889),test))</f>
        <v>271.43850937813136</v>
      </c>
      <c r="E2889" s="5">
        <f ca="1">IF(getQuality(B2889)&lt;4,getOtherMax(B2889,C2889,INDIRECT(J$2),INDIRECT(I2889),test),getMax(B2889,C2889,INDIRECT(J$2),INDIRECT(I2889),test))</f>
        <v>328.28048273180752</v>
      </c>
      <c r="F2889" s="1" t="str">
        <f t="shared" si="183"/>
        <v>50</v>
      </c>
      <c r="G2889" s="1" t="str">
        <f t="shared" si="184"/>
        <v/>
      </c>
      <c r="I2889" s="1" t="str">
        <f t="shared" si="182"/>
        <v>威尔新数值1.06.xlsm!suitPower</v>
      </c>
    </row>
    <row r="2890" spans="1:9" x14ac:dyDescent="0.15">
      <c r="A2890" s="1">
        <v>2889</v>
      </c>
      <c r="B2890" s="1">
        <v>103080100</v>
      </c>
      <c r="C2890" s="1">
        <f t="shared" si="181"/>
        <v>15</v>
      </c>
      <c r="D2890" s="5">
        <f ca="1">IF(getQuality(B2890)&lt;4,getOtherMin(B2890,C2890,INDIRECT(J$2),INDIRECT(I2890),test),getMin(B2890,C2890,INDIRECT(J$2),INDIRECT(I2890),test))</f>
        <v>271.43850937813136</v>
      </c>
      <c r="E2890" s="5">
        <f ca="1">IF(getQuality(B2890)&lt;4,getOtherMax(B2890,C2890,INDIRECT(J$2),INDIRECT(I2890),test),getMax(B2890,C2890,INDIRECT(J$2),INDIRECT(I2890),test))</f>
        <v>328.28048273180752</v>
      </c>
      <c r="F2890" s="1" t="str">
        <f t="shared" si="183"/>
        <v>50</v>
      </c>
      <c r="G2890" s="1" t="str">
        <f t="shared" si="184"/>
        <v/>
      </c>
      <c r="I2890" s="1" t="str">
        <f t="shared" si="182"/>
        <v>威尔新数值1.06.xlsm!suitPower</v>
      </c>
    </row>
    <row r="2891" spans="1:9" x14ac:dyDescent="0.15">
      <c r="A2891" s="1">
        <v>2890</v>
      </c>
      <c r="B2891" s="1">
        <v>103080100</v>
      </c>
      <c r="C2891" s="1">
        <f t="shared" si="181"/>
        <v>101</v>
      </c>
      <c r="D2891" s="5">
        <f ca="1">IF(getQuality(B2891)&lt;4,getOtherMin(B2891,C2891,INDIRECT(J$2),INDIRECT(I2891),test),getMin(B2891,C2891,INDIRECT(J$2),INDIRECT(I2891),test))</f>
        <v>0.14000000000000001</v>
      </c>
      <c r="E2891" s="5">
        <f ca="1">IF(getQuality(B2891)&lt;4,getOtherMax(B2891,C2891,INDIRECT(J$2),INDIRECT(I2891),test),getMax(B2891,C2891,INDIRECT(J$2),INDIRECT(I2891),test))</f>
        <v>0.17</v>
      </c>
      <c r="F2891" s="1" t="str">
        <f t="shared" si="183"/>
        <v>50</v>
      </c>
      <c r="G2891" s="1" t="str">
        <f t="shared" si="184"/>
        <v/>
      </c>
      <c r="I2891" s="1" t="str">
        <f t="shared" si="182"/>
        <v>威尔新数值1.06.xlsm!circlePer</v>
      </c>
    </row>
    <row r="2892" spans="1:9" x14ac:dyDescent="0.15">
      <c r="A2892" s="1">
        <v>2891</v>
      </c>
      <c r="B2892" s="1">
        <v>103080100</v>
      </c>
      <c r="C2892" s="1">
        <f t="shared" si="181"/>
        <v>102</v>
      </c>
      <c r="D2892" s="5">
        <f ca="1">IF(getQuality(B2892)&lt;4,getOtherMin(B2892,C2892,INDIRECT(J$2),INDIRECT(I2892),test),getMin(B2892,C2892,INDIRECT(J$2),INDIRECT(I2892),test))</f>
        <v>1.3</v>
      </c>
      <c r="E2892" s="5">
        <f ca="1">IF(getQuality(B2892)&lt;4,getOtherMax(B2892,C2892,INDIRECT(J$2),INDIRECT(I2892),test),getMax(B2892,C2892,INDIRECT(J$2),INDIRECT(I2892),test))</f>
        <v>1.6</v>
      </c>
      <c r="F2892" s="1" t="str">
        <f t="shared" si="183"/>
        <v>50</v>
      </c>
      <c r="G2892" s="1" t="str">
        <f t="shared" si="184"/>
        <v/>
      </c>
      <c r="I2892" s="1" t="str">
        <f t="shared" si="182"/>
        <v>威尔新数值1.06.xlsm!circleValue</v>
      </c>
    </row>
    <row r="2893" spans="1:9" x14ac:dyDescent="0.15">
      <c r="A2893" s="1">
        <v>2892</v>
      </c>
      <c r="B2893" s="1">
        <v>103080100</v>
      </c>
      <c r="C2893" s="1">
        <f t="shared" si="181"/>
        <v>103</v>
      </c>
      <c r="D2893" s="5">
        <f ca="1">IF(getQuality(B2893)&lt;4,getOtherMin(B2893,C2893,INDIRECT(J$2),INDIRECT(I2893),test),getMin(B2893,C2893,INDIRECT(J$2),INDIRECT(I2893),test))</f>
        <v>0.14000000000000001</v>
      </c>
      <c r="E2893" s="5">
        <f ca="1">IF(getQuality(B2893)&lt;4,getOtherMax(B2893,C2893,INDIRECT(J$2),INDIRECT(I2893),test),getMax(B2893,C2893,INDIRECT(J$2),INDIRECT(I2893),test))</f>
        <v>0.17</v>
      </c>
      <c r="F2893" s="1" t="str">
        <f t="shared" si="183"/>
        <v>50</v>
      </c>
      <c r="G2893" s="1" t="str">
        <f t="shared" si="184"/>
        <v/>
      </c>
      <c r="I2893" s="1" t="str">
        <f t="shared" si="182"/>
        <v>威尔新数值1.06.xlsm!otherDamage</v>
      </c>
    </row>
    <row r="2894" spans="1:9" x14ac:dyDescent="0.15">
      <c r="A2894" s="1">
        <v>2893</v>
      </c>
      <c r="B2894" s="1">
        <v>103080100</v>
      </c>
      <c r="C2894" s="1">
        <f t="shared" si="181"/>
        <v>104</v>
      </c>
      <c r="D2894" s="5">
        <f ca="1">IF(getQuality(B2894)&lt;4,getOtherMin(B2894,C2894,INDIRECT(J$2),INDIRECT(I2894),test),getMin(B2894,C2894,INDIRECT(J$2),INDIRECT(I2894),test))</f>
        <v>0.14000000000000001</v>
      </c>
      <c r="E2894" s="5">
        <f ca="1">IF(getQuality(B2894)&lt;4,getOtherMax(B2894,C2894,INDIRECT(J$2),INDIRECT(I2894),test),getMax(B2894,C2894,INDIRECT(J$2),INDIRECT(I2894),test))</f>
        <v>0.28000000000000003</v>
      </c>
      <c r="F2894" s="1" t="str">
        <f t="shared" si="183"/>
        <v>50</v>
      </c>
      <c r="G2894" s="1" t="str">
        <f t="shared" si="184"/>
        <v/>
      </c>
      <c r="I2894" s="1" t="str">
        <f t="shared" si="182"/>
        <v>威尔新数值1.06.xlsm!monsterDamage</v>
      </c>
    </row>
    <row r="2895" spans="1:9" x14ac:dyDescent="0.15">
      <c r="A2895" s="1">
        <v>2894</v>
      </c>
      <c r="B2895" s="1">
        <v>103080100</v>
      </c>
      <c r="C2895" s="1">
        <f t="shared" si="181"/>
        <v>105</v>
      </c>
      <c r="D2895" s="5">
        <f ca="1">IF(getQuality(B2895)&lt;4,getOtherMin(B2895,C2895,INDIRECT(J$2),INDIRECT(I2895),test),getMin(B2895,C2895,INDIRECT(J$2),INDIRECT(I2895),test))</f>
        <v>0.14000000000000001</v>
      </c>
      <c r="E2895" s="5">
        <f ca="1">IF(getQuality(B2895)&lt;4,getOtherMax(B2895,C2895,INDIRECT(J$2),INDIRECT(I2895),test),getMax(B2895,C2895,INDIRECT(J$2),INDIRECT(I2895),test))</f>
        <v>0.28000000000000003</v>
      </c>
      <c r="F2895" s="1" t="str">
        <f t="shared" si="183"/>
        <v>50</v>
      </c>
      <c r="G2895" s="1" t="str">
        <f t="shared" si="184"/>
        <v/>
      </c>
      <c r="I2895" s="1" t="str">
        <f t="shared" si="182"/>
        <v>威尔新数值1.06.xlsm!monsterDamage</v>
      </c>
    </row>
    <row r="2896" spans="1:9" x14ac:dyDescent="0.15">
      <c r="A2896" s="1">
        <v>2895</v>
      </c>
      <c r="B2896" s="1">
        <v>103080100</v>
      </c>
      <c r="C2896" s="1">
        <f t="shared" si="181"/>
        <v>106</v>
      </c>
      <c r="D2896" s="5">
        <f ca="1">IF(getQuality(B2896)&lt;4,getOtherMin(B2896,C2896,INDIRECT(J$2),INDIRECT(I2896),test),getMin(B2896,C2896,INDIRECT(J$2),INDIRECT(I2896),test))</f>
        <v>0.14000000000000001</v>
      </c>
      <c r="E2896" s="5">
        <f ca="1">IF(getQuality(B2896)&lt;4,getOtherMax(B2896,C2896,INDIRECT(J$2),INDIRECT(I2896),test),getMax(B2896,C2896,INDIRECT(J$2),INDIRECT(I2896),test))</f>
        <v>0.28000000000000003</v>
      </c>
      <c r="F2896" s="1" t="str">
        <f t="shared" si="183"/>
        <v>50</v>
      </c>
      <c r="G2896" s="1" t="str">
        <f t="shared" si="184"/>
        <v/>
      </c>
      <c r="I2896" s="1" t="str">
        <f t="shared" si="182"/>
        <v>威尔新数值1.06.xlsm!monsterDamage</v>
      </c>
    </row>
    <row r="2897" spans="1:9" x14ac:dyDescent="0.15">
      <c r="A2897" s="1">
        <v>2896</v>
      </c>
      <c r="B2897" s="1">
        <v>103080100</v>
      </c>
      <c r="C2897" s="1">
        <f t="shared" si="181"/>
        <v>107</v>
      </c>
      <c r="D2897" s="5">
        <f ca="1">IF(getQuality(B2897)&lt;4,getOtherMin(B2897,C2897,INDIRECT(J$2),INDIRECT(I2897),test),getMin(B2897,C2897,INDIRECT(J$2),INDIRECT(I2897),test))</f>
        <v>0.14000000000000001</v>
      </c>
      <c r="E2897" s="5">
        <f ca="1">IF(getQuality(B2897)&lt;4,getOtherMax(B2897,C2897,INDIRECT(J$2),INDIRECT(I2897),test),getMax(B2897,C2897,INDIRECT(J$2),INDIRECT(I2897),test))</f>
        <v>0.28000000000000003</v>
      </c>
      <c r="F2897" s="1" t="str">
        <f t="shared" si="183"/>
        <v>50</v>
      </c>
      <c r="G2897" s="1" t="str">
        <f t="shared" si="184"/>
        <v/>
      </c>
      <c r="I2897" s="1" t="str">
        <f t="shared" si="182"/>
        <v>威尔新数值1.06.xlsm!monsterDamage</v>
      </c>
    </row>
    <row r="2898" spans="1:9" x14ac:dyDescent="0.15">
      <c r="A2898" s="1">
        <v>2897</v>
      </c>
      <c r="B2898" s="1">
        <v>103080100</v>
      </c>
      <c r="C2898" s="1">
        <f t="shared" si="181"/>
        <v>108</v>
      </c>
      <c r="D2898" s="5">
        <f ca="1">IF(getQuality(B2898)&lt;4,getOtherMin(B2898,C2898,INDIRECT(J$2),INDIRECT(I2898),test),getMin(B2898,C2898,INDIRECT(J$2),INDIRECT(I2898),test))</f>
        <v>0.14000000000000001</v>
      </c>
      <c r="E2898" s="5">
        <f ca="1">IF(getQuality(B2898)&lt;4,getOtherMax(B2898,C2898,INDIRECT(J$2),INDIRECT(I2898),test),getMax(B2898,C2898,INDIRECT(J$2),INDIRECT(I2898),test))</f>
        <v>0.28000000000000003</v>
      </c>
      <c r="F2898" s="1" t="str">
        <f t="shared" si="183"/>
        <v>50</v>
      </c>
      <c r="G2898" s="1" t="str">
        <f t="shared" si="184"/>
        <v/>
      </c>
      <c r="I2898" s="1" t="str">
        <f t="shared" si="182"/>
        <v>威尔新数值1.06.xlsm!monsterDamage</v>
      </c>
    </row>
    <row r="2899" spans="1:9" x14ac:dyDescent="0.15">
      <c r="A2899" s="1">
        <v>2898</v>
      </c>
      <c r="B2899" s="1">
        <v>103090100</v>
      </c>
      <c r="C2899" s="1">
        <f t="shared" si="181"/>
        <v>3</v>
      </c>
      <c r="D2899" s="5">
        <f ca="1">IF(getQuality(B2899)&lt;4,getOtherMin(B2899,C2899,INDIRECT(J$2),INDIRECT(I2899),test),getMin(B2899,C2899,INDIRECT(J$2),INDIRECT(I2899),test))</f>
        <v>329.28048273180752</v>
      </c>
      <c r="E2899" s="5">
        <f ca="1">IF(getQuality(B2899)&lt;4,getOtherMax(B2899,C2899,INDIRECT(J$2),INDIRECT(I2899),test),getMax(B2899,C2899,INDIRECT(J$2),INDIRECT(I2899),test))</f>
        <v>390.92443123182665</v>
      </c>
      <c r="F2899" s="1" t="str">
        <f t="shared" si="183"/>
        <v>50</v>
      </c>
      <c r="G2899" s="1" t="str">
        <f t="shared" si="184"/>
        <v>1</v>
      </c>
      <c r="I2899" s="1" t="str">
        <f t="shared" si="182"/>
        <v>威尔新数值1.06.xlsm!suitPower</v>
      </c>
    </row>
    <row r="2900" spans="1:9" x14ac:dyDescent="0.15">
      <c r="A2900" s="1">
        <v>2899</v>
      </c>
      <c r="B2900" s="1">
        <v>103090100</v>
      </c>
      <c r="C2900" s="1">
        <f t="shared" si="181"/>
        <v>5</v>
      </c>
      <c r="D2900" s="5">
        <f ca="1">IF(getQuality(B2900)&lt;4,getOtherMin(B2900,C2900,INDIRECT(J$2),INDIRECT(I2900),test),getMin(B2900,C2900,INDIRECT(J$2),INDIRECT(I2900),test))</f>
        <v>329.28048273180752</v>
      </c>
      <c r="E2900" s="5">
        <f ca="1">IF(getQuality(B2900)&lt;4,getOtherMax(B2900,C2900,INDIRECT(J$2),INDIRECT(I2900),test),getMax(B2900,C2900,INDIRECT(J$2),INDIRECT(I2900),test))</f>
        <v>390.92443123182665</v>
      </c>
      <c r="F2900" s="1" t="str">
        <f t="shared" si="183"/>
        <v>50</v>
      </c>
      <c r="G2900" s="1" t="str">
        <f t="shared" si="184"/>
        <v/>
      </c>
      <c r="I2900" s="1" t="str">
        <f t="shared" si="182"/>
        <v>威尔新数值1.06.xlsm!suitPower</v>
      </c>
    </row>
    <row r="2901" spans="1:9" x14ac:dyDescent="0.15">
      <c r="A2901" s="1">
        <v>2900</v>
      </c>
      <c r="B2901" s="1">
        <v>103090100</v>
      </c>
      <c r="C2901" s="1">
        <f t="shared" si="181"/>
        <v>7</v>
      </c>
      <c r="D2901" s="5">
        <f ca="1">IF(getQuality(B2901)&lt;4,getOtherMin(B2901,C2901,INDIRECT(J$2),INDIRECT(I2901),test),getMin(B2901,C2901,INDIRECT(J$2),INDIRECT(I2901),test))</f>
        <v>60.25925925925911</v>
      </c>
      <c r="E2901" s="5">
        <f ca="1">IF(getQuality(B2901)&lt;4,getOtherMax(B2901,C2901,INDIRECT(J$2),INDIRECT(I2901),test),getMax(B2901,C2901,INDIRECT(J$2),INDIRECT(I2901),test))</f>
        <v>66.666666666666501</v>
      </c>
      <c r="F2901" s="1" t="str">
        <f t="shared" si="183"/>
        <v>50</v>
      </c>
      <c r="G2901" s="1" t="str">
        <f t="shared" si="184"/>
        <v/>
      </c>
      <c r="I2901" s="1" t="str">
        <f t="shared" si="182"/>
        <v>威尔新数值1.06.xlsm!suitPower</v>
      </c>
    </row>
    <row r="2902" spans="1:9" x14ac:dyDescent="0.15">
      <c r="A2902" s="1">
        <v>2901</v>
      </c>
      <c r="B2902" s="1">
        <v>103090100</v>
      </c>
      <c r="C2902" s="1">
        <f t="shared" si="181"/>
        <v>8</v>
      </c>
      <c r="D2902" s="5">
        <f ca="1">IF(getQuality(B2902)&lt;4,getOtherMin(B2902,C2902,INDIRECT(J$2),INDIRECT(I2902),test),getMin(B2902,C2902,INDIRECT(J$2),INDIRECT(I2902),test))</f>
        <v>134.33333333333334</v>
      </c>
      <c r="E2902" s="5">
        <f ca="1">IF(getQuality(B2902)&lt;4,getOtherMax(B2902,C2902,INDIRECT(J$2),INDIRECT(I2902),test),getMax(B2902,C2902,INDIRECT(J$2),INDIRECT(I2902),test))</f>
        <v>150</v>
      </c>
      <c r="F2902" s="1" t="str">
        <f t="shared" si="183"/>
        <v>50</v>
      </c>
      <c r="G2902" s="1" t="str">
        <f t="shared" si="184"/>
        <v/>
      </c>
      <c r="I2902" s="1" t="str">
        <f t="shared" si="182"/>
        <v>威尔新数值1.06.xlsm!suitPower</v>
      </c>
    </row>
    <row r="2903" spans="1:9" x14ac:dyDescent="0.15">
      <c r="A2903" s="1">
        <v>2902</v>
      </c>
      <c r="B2903" s="1">
        <v>103090100</v>
      </c>
      <c r="C2903" s="1">
        <f t="shared" si="181"/>
        <v>9</v>
      </c>
      <c r="D2903" s="5">
        <f ca="1">IF(getQuality(B2903)&lt;4,getOtherMin(B2903,C2903,INDIRECT(J$2),INDIRECT(I2903),test),getMin(B2903,C2903,INDIRECT(J$2),INDIRECT(I2903),test))</f>
        <v>329.28048273180752</v>
      </c>
      <c r="E2903" s="5">
        <f ca="1">IF(getQuality(B2903)&lt;4,getOtherMax(B2903,C2903,INDIRECT(J$2),INDIRECT(I2903),test),getMax(B2903,C2903,INDIRECT(J$2),INDIRECT(I2903),test))</f>
        <v>390.92443123182665</v>
      </c>
      <c r="F2903" s="1" t="str">
        <f t="shared" si="183"/>
        <v>50</v>
      </c>
      <c r="G2903" s="1" t="str">
        <f t="shared" si="184"/>
        <v/>
      </c>
      <c r="I2903" s="1" t="str">
        <f t="shared" si="182"/>
        <v>威尔新数值1.06.xlsm!suitPower</v>
      </c>
    </row>
    <row r="2904" spans="1:9" x14ac:dyDescent="0.15">
      <c r="A2904" s="1">
        <v>2903</v>
      </c>
      <c r="B2904" s="1">
        <v>103090100</v>
      </c>
      <c r="C2904" s="1">
        <f t="shared" si="181"/>
        <v>10</v>
      </c>
      <c r="D2904" s="5">
        <f ca="1">IF(getQuality(B2904)&lt;4,getOtherMin(B2904,C2904,INDIRECT(J$2),INDIRECT(I2904),test),getMin(B2904,C2904,INDIRECT(J$2),INDIRECT(I2904),test))</f>
        <v>329.28048273180752</v>
      </c>
      <c r="E2904" s="5">
        <f ca="1">IF(getQuality(B2904)&lt;4,getOtherMax(B2904,C2904,INDIRECT(J$2),INDIRECT(I2904),test),getMax(B2904,C2904,INDIRECT(J$2),INDIRECT(I2904),test))</f>
        <v>390.92443123182665</v>
      </c>
      <c r="F2904" s="1" t="str">
        <f t="shared" si="183"/>
        <v>50</v>
      </c>
      <c r="G2904" s="1" t="str">
        <f t="shared" si="184"/>
        <v/>
      </c>
      <c r="I2904" s="1" t="str">
        <f t="shared" si="182"/>
        <v>威尔新数值1.06.xlsm!suitPower</v>
      </c>
    </row>
    <row r="2905" spans="1:9" x14ac:dyDescent="0.15">
      <c r="A2905" s="1">
        <v>2904</v>
      </c>
      <c r="B2905" s="1">
        <v>103090100</v>
      </c>
      <c r="C2905" s="1">
        <f t="shared" si="181"/>
        <v>11</v>
      </c>
      <c r="D2905" s="5">
        <f ca="1">IF(getQuality(B2905)&lt;4,getOtherMin(B2905,C2905,INDIRECT(J$2),INDIRECT(I2905),test),getMin(B2905,C2905,INDIRECT(J$2),INDIRECT(I2905),test))</f>
        <v>329.28048273180752</v>
      </c>
      <c r="E2905" s="5">
        <f ca="1">IF(getQuality(B2905)&lt;4,getOtherMax(B2905,C2905,INDIRECT(J$2),INDIRECT(I2905),test),getMax(B2905,C2905,INDIRECT(J$2),INDIRECT(I2905),test))</f>
        <v>390.92443123182665</v>
      </c>
      <c r="F2905" s="1" t="str">
        <f t="shared" si="183"/>
        <v>50</v>
      </c>
      <c r="G2905" s="1" t="str">
        <f t="shared" si="184"/>
        <v/>
      </c>
      <c r="I2905" s="1" t="str">
        <f t="shared" si="182"/>
        <v>威尔新数值1.06.xlsm!suitPower</v>
      </c>
    </row>
    <row r="2906" spans="1:9" x14ac:dyDescent="0.15">
      <c r="A2906" s="1">
        <v>2905</v>
      </c>
      <c r="B2906" s="1">
        <v>103090100</v>
      </c>
      <c r="C2906" s="1">
        <f t="shared" si="181"/>
        <v>12</v>
      </c>
      <c r="D2906" s="5">
        <f ca="1">IF(getQuality(B2906)&lt;4,getOtherMin(B2906,C2906,INDIRECT(J$2),INDIRECT(I2906),test),getMin(B2906,C2906,INDIRECT(J$2),INDIRECT(I2906),test))</f>
        <v>329.28048273180752</v>
      </c>
      <c r="E2906" s="5">
        <f ca="1">IF(getQuality(B2906)&lt;4,getOtherMax(B2906,C2906,INDIRECT(J$2),INDIRECT(I2906),test),getMax(B2906,C2906,INDIRECT(J$2),INDIRECT(I2906),test))</f>
        <v>390.92443123182665</v>
      </c>
      <c r="F2906" s="1" t="str">
        <f t="shared" si="183"/>
        <v>50</v>
      </c>
      <c r="G2906" s="1" t="str">
        <f t="shared" si="184"/>
        <v/>
      </c>
      <c r="I2906" s="1" t="str">
        <f t="shared" si="182"/>
        <v>威尔新数值1.06.xlsm!suitPower</v>
      </c>
    </row>
    <row r="2907" spans="1:9" x14ac:dyDescent="0.15">
      <c r="A2907" s="1">
        <v>2906</v>
      </c>
      <c r="B2907" s="1">
        <v>103090100</v>
      </c>
      <c r="C2907" s="1">
        <f t="shared" si="181"/>
        <v>13</v>
      </c>
      <c r="D2907" s="5">
        <f ca="1">IF(getQuality(B2907)&lt;4,getOtherMin(B2907,C2907,INDIRECT(J$2),INDIRECT(I2907),test),getMin(B2907,C2907,INDIRECT(J$2),INDIRECT(I2907),test))</f>
        <v>329.28048273180752</v>
      </c>
      <c r="E2907" s="5">
        <f ca="1">IF(getQuality(B2907)&lt;4,getOtherMax(B2907,C2907,INDIRECT(J$2),INDIRECT(I2907),test),getMax(B2907,C2907,INDIRECT(J$2),INDIRECT(I2907),test))</f>
        <v>390.92443123182665</v>
      </c>
      <c r="F2907" s="1" t="str">
        <f t="shared" si="183"/>
        <v>50</v>
      </c>
      <c r="G2907" s="1" t="str">
        <f t="shared" si="184"/>
        <v/>
      </c>
      <c r="I2907" s="1" t="str">
        <f t="shared" si="182"/>
        <v>威尔新数值1.06.xlsm!suitPower</v>
      </c>
    </row>
    <row r="2908" spans="1:9" x14ac:dyDescent="0.15">
      <c r="A2908" s="1">
        <v>2907</v>
      </c>
      <c r="B2908" s="1">
        <v>103090100</v>
      </c>
      <c r="C2908" s="1">
        <f t="shared" si="181"/>
        <v>14</v>
      </c>
      <c r="D2908" s="5">
        <f ca="1">IF(getQuality(B2908)&lt;4,getOtherMin(B2908,C2908,INDIRECT(J$2),INDIRECT(I2908),test),getMin(B2908,C2908,INDIRECT(J$2),INDIRECT(I2908),test))</f>
        <v>329.28048273180752</v>
      </c>
      <c r="E2908" s="5">
        <f ca="1">IF(getQuality(B2908)&lt;4,getOtherMax(B2908,C2908,INDIRECT(J$2),INDIRECT(I2908),test),getMax(B2908,C2908,INDIRECT(J$2),INDIRECT(I2908),test))</f>
        <v>390.92443123182665</v>
      </c>
      <c r="F2908" s="1" t="str">
        <f t="shared" si="183"/>
        <v>50</v>
      </c>
      <c r="G2908" s="1" t="str">
        <f t="shared" si="184"/>
        <v/>
      </c>
      <c r="I2908" s="1" t="str">
        <f t="shared" si="182"/>
        <v>威尔新数值1.06.xlsm!suitPower</v>
      </c>
    </row>
    <row r="2909" spans="1:9" x14ac:dyDescent="0.15">
      <c r="A2909" s="1">
        <v>2908</v>
      </c>
      <c r="B2909" s="1">
        <v>103090100</v>
      </c>
      <c r="C2909" s="1">
        <f t="shared" si="181"/>
        <v>15</v>
      </c>
      <c r="D2909" s="5">
        <f ca="1">IF(getQuality(B2909)&lt;4,getOtherMin(B2909,C2909,INDIRECT(J$2),INDIRECT(I2909),test),getMin(B2909,C2909,INDIRECT(J$2),INDIRECT(I2909),test))</f>
        <v>329.28048273180752</v>
      </c>
      <c r="E2909" s="5">
        <f ca="1">IF(getQuality(B2909)&lt;4,getOtherMax(B2909,C2909,INDIRECT(J$2),INDIRECT(I2909),test),getMax(B2909,C2909,INDIRECT(J$2),INDIRECT(I2909),test))</f>
        <v>390.92443123182665</v>
      </c>
      <c r="F2909" s="1" t="str">
        <f t="shared" si="183"/>
        <v>50</v>
      </c>
      <c r="G2909" s="1" t="str">
        <f t="shared" si="184"/>
        <v/>
      </c>
      <c r="I2909" s="1" t="str">
        <f t="shared" si="182"/>
        <v>威尔新数值1.06.xlsm!suitPower</v>
      </c>
    </row>
    <row r="2910" spans="1:9" x14ac:dyDescent="0.15">
      <c r="A2910" s="1">
        <v>2909</v>
      </c>
      <c r="B2910" s="1">
        <v>103090100</v>
      </c>
      <c r="C2910" s="1">
        <f t="shared" si="181"/>
        <v>101</v>
      </c>
      <c r="D2910" s="5">
        <f ca="1">IF(getQuality(B2910)&lt;4,getOtherMin(B2910,C2910,INDIRECT(J$2),INDIRECT(I2910),test),getMin(B2910,C2910,INDIRECT(J$2),INDIRECT(I2910),test))</f>
        <v>0.15</v>
      </c>
      <c r="E2910" s="5">
        <f ca="1">IF(getQuality(B2910)&lt;4,getOtherMax(B2910,C2910,INDIRECT(J$2),INDIRECT(I2910),test),getMax(B2910,C2910,INDIRECT(J$2),INDIRECT(I2910),test))</f>
        <v>0.18</v>
      </c>
      <c r="F2910" s="1" t="str">
        <f t="shared" si="183"/>
        <v>50</v>
      </c>
      <c r="G2910" s="1" t="str">
        <f t="shared" si="184"/>
        <v/>
      </c>
      <c r="I2910" s="1" t="str">
        <f t="shared" si="182"/>
        <v>威尔新数值1.06.xlsm!circlePer</v>
      </c>
    </row>
    <row r="2911" spans="1:9" x14ac:dyDescent="0.15">
      <c r="A2911" s="1">
        <v>2910</v>
      </c>
      <c r="B2911" s="1">
        <v>103090100</v>
      </c>
      <c r="C2911" s="1">
        <f t="shared" si="181"/>
        <v>102</v>
      </c>
      <c r="D2911" s="5">
        <f ca="1">IF(getQuality(B2911)&lt;4,getOtherMin(B2911,C2911,INDIRECT(J$2),INDIRECT(I2911),test),getMin(B2911,C2911,INDIRECT(J$2),INDIRECT(I2911),test))</f>
        <v>1.4</v>
      </c>
      <c r="E2911" s="5">
        <f ca="1">IF(getQuality(B2911)&lt;4,getOtherMax(B2911,C2911,INDIRECT(J$2),INDIRECT(I2911),test),getMax(B2911,C2911,INDIRECT(J$2),INDIRECT(I2911),test))</f>
        <v>1.7</v>
      </c>
      <c r="F2911" s="1" t="str">
        <f t="shared" si="183"/>
        <v>50</v>
      </c>
      <c r="G2911" s="1" t="str">
        <f t="shared" si="184"/>
        <v/>
      </c>
      <c r="I2911" s="1" t="str">
        <f t="shared" si="182"/>
        <v>威尔新数值1.06.xlsm!circleValue</v>
      </c>
    </row>
    <row r="2912" spans="1:9" x14ac:dyDescent="0.15">
      <c r="A2912" s="1">
        <v>2911</v>
      </c>
      <c r="B2912" s="1">
        <v>103090100</v>
      </c>
      <c r="C2912" s="1">
        <f t="shared" si="181"/>
        <v>103</v>
      </c>
      <c r="D2912" s="5">
        <f ca="1">IF(getQuality(B2912)&lt;4,getOtherMin(B2912,C2912,INDIRECT(J$2),INDIRECT(I2912),test),getMin(B2912,C2912,INDIRECT(J$2),INDIRECT(I2912),test))</f>
        <v>0.15</v>
      </c>
      <c r="E2912" s="5">
        <f ca="1">IF(getQuality(B2912)&lt;4,getOtherMax(B2912,C2912,INDIRECT(J$2),INDIRECT(I2912),test),getMax(B2912,C2912,INDIRECT(J$2),INDIRECT(I2912),test))</f>
        <v>0.18</v>
      </c>
      <c r="F2912" s="1" t="str">
        <f t="shared" si="183"/>
        <v>50</v>
      </c>
      <c r="G2912" s="1" t="str">
        <f t="shared" si="184"/>
        <v/>
      </c>
      <c r="I2912" s="1" t="str">
        <f t="shared" si="182"/>
        <v>威尔新数值1.06.xlsm!otherDamage</v>
      </c>
    </row>
    <row r="2913" spans="1:9" x14ac:dyDescent="0.15">
      <c r="A2913" s="1">
        <v>2912</v>
      </c>
      <c r="B2913" s="1">
        <v>103090100</v>
      </c>
      <c r="C2913" s="1">
        <f t="shared" si="181"/>
        <v>104</v>
      </c>
      <c r="D2913" s="5">
        <f ca="1">IF(getQuality(B2913)&lt;4,getOtherMin(B2913,C2913,INDIRECT(J$2),INDIRECT(I2913),test),getMin(B2913,C2913,INDIRECT(J$2),INDIRECT(I2913),test))</f>
        <v>0.15</v>
      </c>
      <c r="E2913" s="5">
        <f ca="1">IF(getQuality(B2913)&lt;4,getOtherMax(B2913,C2913,INDIRECT(J$2),INDIRECT(I2913),test),getMax(B2913,C2913,INDIRECT(J$2),INDIRECT(I2913),test))</f>
        <v>0.3</v>
      </c>
      <c r="F2913" s="1" t="str">
        <f t="shared" si="183"/>
        <v>50</v>
      </c>
      <c r="G2913" s="1" t="str">
        <f t="shared" si="184"/>
        <v/>
      </c>
      <c r="I2913" s="1" t="str">
        <f t="shared" si="182"/>
        <v>威尔新数值1.06.xlsm!monsterDamage</v>
      </c>
    </row>
    <row r="2914" spans="1:9" x14ac:dyDescent="0.15">
      <c r="A2914" s="1">
        <v>2913</v>
      </c>
      <c r="B2914" s="1">
        <v>103090100</v>
      </c>
      <c r="C2914" s="1">
        <f t="shared" si="181"/>
        <v>105</v>
      </c>
      <c r="D2914" s="5">
        <f ca="1">IF(getQuality(B2914)&lt;4,getOtherMin(B2914,C2914,INDIRECT(J$2),INDIRECT(I2914),test),getMin(B2914,C2914,INDIRECT(J$2),INDIRECT(I2914),test))</f>
        <v>0.15</v>
      </c>
      <c r="E2914" s="5">
        <f ca="1">IF(getQuality(B2914)&lt;4,getOtherMax(B2914,C2914,INDIRECT(J$2),INDIRECT(I2914),test),getMax(B2914,C2914,INDIRECT(J$2),INDIRECT(I2914),test))</f>
        <v>0.3</v>
      </c>
      <c r="F2914" s="1" t="str">
        <f t="shared" si="183"/>
        <v>50</v>
      </c>
      <c r="G2914" s="1" t="str">
        <f t="shared" si="184"/>
        <v/>
      </c>
      <c r="I2914" s="1" t="str">
        <f t="shared" si="182"/>
        <v>威尔新数值1.06.xlsm!monsterDamage</v>
      </c>
    </row>
    <row r="2915" spans="1:9" x14ac:dyDescent="0.15">
      <c r="A2915" s="1">
        <v>2914</v>
      </c>
      <c r="B2915" s="1">
        <v>103090100</v>
      </c>
      <c r="C2915" s="1">
        <f t="shared" si="181"/>
        <v>106</v>
      </c>
      <c r="D2915" s="5">
        <f ca="1">IF(getQuality(B2915)&lt;4,getOtherMin(B2915,C2915,INDIRECT(J$2),INDIRECT(I2915),test),getMin(B2915,C2915,INDIRECT(J$2),INDIRECT(I2915),test))</f>
        <v>0.15</v>
      </c>
      <c r="E2915" s="5">
        <f ca="1">IF(getQuality(B2915)&lt;4,getOtherMax(B2915,C2915,INDIRECT(J$2),INDIRECT(I2915),test),getMax(B2915,C2915,INDIRECT(J$2),INDIRECT(I2915),test))</f>
        <v>0.3</v>
      </c>
      <c r="F2915" s="1" t="str">
        <f t="shared" si="183"/>
        <v>50</v>
      </c>
      <c r="G2915" s="1" t="str">
        <f t="shared" si="184"/>
        <v/>
      </c>
      <c r="I2915" s="1" t="str">
        <f t="shared" si="182"/>
        <v>威尔新数值1.06.xlsm!monsterDamage</v>
      </c>
    </row>
    <row r="2916" spans="1:9" x14ac:dyDescent="0.15">
      <c r="A2916" s="1">
        <v>2915</v>
      </c>
      <c r="B2916" s="1">
        <v>103090100</v>
      </c>
      <c r="C2916" s="1">
        <f t="shared" si="181"/>
        <v>107</v>
      </c>
      <c r="D2916" s="5">
        <f ca="1">IF(getQuality(B2916)&lt;4,getOtherMin(B2916,C2916,INDIRECT(J$2),INDIRECT(I2916),test),getMin(B2916,C2916,INDIRECT(J$2),INDIRECT(I2916),test))</f>
        <v>0.15</v>
      </c>
      <c r="E2916" s="5">
        <f ca="1">IF(getQuality(B2916)&lt;4,getOtherMax(B2916,C2916,INDIRECT(J$2),INDIRECT(I2916),test),getMax(B2916,C2916,INDIRECT(J$2),INDIRECT(I2916),test))</f>
        <v>0.3</v>
      </c>
      <c r="F2916" s="1" t="str">
        <f t="shared" si="183"/>
        <v>50</v>
      </c>
      <c r="G2916" s="1" t="str">
        <f t="shared" si="184"/>
        <v/>
      </c>
      <c r="I2916" s="1" t="str">
        <f t="shared" si="182"/>
        <v>威尔新数值1.06.xlsm!monsterDamage</v>
      </c>
    </row>
    <row r="2917" spans="1:9" x14ac:dyDescent="0.15">
      <c r="A2917" s="1">
        <v>2916</v>
      </c>
      <c r="B2917" s="1">
        <v>103090100</v>
      </c>
      <c r="C2917" s="1">
        <f t="shared" si="181"/>
        <v>108</v>
      </c>
      <c r="D2917" s="5">
        <f ca="1">IF(getQuality(B2917)&lt;4,getOtherMin(B2917,C2917,INDIRECT(J$2),INDIRECT(I2917),test),getMin(B2917,C2917,INDIRECT(J$2),INDIRECT(I2917),test))</f>
        <v>0.15</v>
      </c>
      <c r="E2917" s="5">
        <f ca="1">IF(getQuality(B2917)&lt;4,getOtherMax(B2917,C2917,INDIRECT(J$2),INDIRECT(I2917),test),getMax(B2917,C2917,INDIRECT(J$2),INDIRECT(I2917),test))</f>
        <v>0.3</v>
      </c>
      <c r="F2917" s="1" t="str">
        <f t="shared" si="183"/>
        <v>50</v>
      </c>
      <c r="G2917" s="1" t="str">
        <f t="shared" si="184"/>
        <v/>
      </c>
      <c r="I2917" s="1" t="str">
        <f t="shared" si="182"/>
        <v>威尔新数值1.06.xlsm!monsterDamage</v>
      </c>
    </row>
    <row r="2918" spans="1:9" x14ac:dyDescent="0.15">
      <c r="A2918" s="1">
        <v>2917</v>
      </c>
      <c r="B2918" s="1">
        <v>103010200</v>
      </c>
      <c r="C2918" s="1">
        <f t="shared" si="181"/>
        <v>3</v>
      </c>
      <c r="D2918" s="5">
        <f ca="1">IF(getQuality(B2918)&lt;4,getOtherMin(B2918,C2918,INDIRECT(J$2),INDIRECT(I2918),test),getMin(B2918,C2918,INDIRECT(J$2),INDIRECT(I2918),test))</f>
        <v>1</v>
      </c>
      <c r="E2918" s="5">
        <f ca="1">IF(getQuality(B2918)&lt;4,getOtherMax(B2918,C2918,INDIRECT(J$2),INDIRECT(I2918),test),getMax(B2918,C2918,INDIRECT(J$2),INDIRECT(I2918),test))</f>
        <v>24.009875731714647</v>
      </c>
      <c r="F2918" s="1" t="str">
        <f t="shared" si="183"/>
        <v>50</v>
      </c>
      <c r="G2918" s="1" t="str">
        <f t="shared" si="184"/>
        <v>1</v>
      </c>
      <c r="I2918" s="1" t="str">
        <f t="shared" si="182"/>
        <v>威尔新数值1.06.xlsm!suitPower</v>
      </c>
    </row>
    <row r="2919" spans="1:9" x14ac:dyDescent="0.15">
      <c r="A2919" s="1">
        <v>2918</v>
      </c>
      <c r="B2919" s="1">
        <v>103010200</v>
      </c>
      <c r="C2919" s="1">
        <f t="shared" si="181"/>
        <v>5</v>
      </c>
      <c r="D2919" s="5">
        <f ca="1">IF(getQuality(B2919)&lt;4,getOtherMin(B2919,C2919,INDIRECT(J$2),INDIRECT(I2919),test),getMin(B2919,C2919,INDIRECT(J$2),INDIRECT(I2919),test))</f>
        <v>1</v>
      </c>
      <c r="E2919" s="5">
        <f ca="1">IF(getQuality(B2919)&lt;4,getOtherMax(B2919,C2919,INDIRECT(J$2),INDIRECT(I2919),test),getMax(B2919,C2919,INDIRECT(J$2),INDIRECT(I2919),test))</f>
        <v>24.009875731714647</v>
      </c>
      <c r="F2919" s="1" t="str">
        <f t="shared" si="183"/>
        <v>50</v>
      </c>
      <c r="G2919" s="1" t="str">
        <f t="shared" si="184"/>
        <v/>
      </c>
      <c r="I2919" s="1" t="str">
        <f t="shared" si="182"/>
        <v>威尔新数值1.06.xlsm!suitPower</v>
      </c>
    </row>
    <row r="2920" spans="1:9" x14ac:dyDescent="0.15">
      <c r="A2920" s="1">
        <v>2919</v>
      </c>
      <c r="B2920" s="1">
        <v>103010200</v>
      </c>
      <c r="C2920" s="1">
        <f t="shared" si="181"/>
        <v>7</v>
      </c>
      <c r="D2920" s="5">
        <f ca="1">IF(getQuality(B2920)&lt;4,getOtherMin(B2920,C2920,INDIRECT(J$2),INDIRECT(I2920),test),getMin(B2920,C2920,INDIRECT(J$2),INDIRECT(I2920),test))</f>
        <v>1</v>
      </c>
      <c r="E2920" s="5">
        <f ca="1">IF(getQuality(B2920)&lt;4,getOtherMax(B2920,C2920,INDIRECT(J$2),INDIRECT(I2920),test),getMax(B2920,C2920,INDIRECT(J$2),INDIRECT(I2920),test))</f>
        <v>7.4074074074073888</v>
      </c>
      <c r="F2920" s="1" t="str">
        <f t="shared" si="183"/>
        <v>50</v>
      </c>
      <c r="G2920" s="1" t="str">
        <f t="shared" si="184"/>
        <v/>
      </c>
      <c r="I2920" s="1" t="str">
        <f t="shared" si="182"/>
        <v>威尔新数值1.06.xlsm!suitPower</v>
      </c>
    </row>
    <row r="2921" spans="1:9" x14ac:dyDescent="0.15">
      <c r="A2921" s="1">
        <v>2920</v>
      </c>
      <c r="B2921" s="1">
        <v>103010200</v>
      </c>
      <c r="C2921" s="1">
        <f t="shared" si="181"/>
        <v>8</v>
      </c>
      <c r="D2921" s="5">
        <f ca="1">IF(getQuality(B2921)&lt;4,getOtherMin(B2921,C2921,INDIRECT(J$2),INDIRECT(I2921),test),getMin(B2921,C2921,INDIRECT(J$2),INDIRECT(I2921),test))</f>
        <v>1</v>
      </c>
      <c r="E2921" s="5">
        <f ca="1">IF(getQuality(B2921)&lt;4,getOtherMax(B2921,C2921,INDIRECT(J$2),INDIRECT(I2921),test),getMax(B2921,C2921,INDIRECT(J$2),INDIRECT(I2921),test))</f>
        <v>16.666666666666668</v>
      </c>
      <c r="F2921" s="1" t="str">
        <f t="shared" si="183"/>
        <v>50</v>
      </c>
      <c r="G2921" s="1" t="str">
        <f t="shared" si="184"/>
        <v/>
      </c>
      <c r="I2921" s="1" t="str">
        <f t="shared" si="182"/>
        <v>威尔新数值1.06.xlsm!suitPower</v>
      </c>
    </row>
    <row r="2922" spans="1:9" x14ac:dyDescent="0.15">
      <c r="A2922" s="1">
        <v>2921</v>
      </c>
      <c r="B2922" s="1">
        <v>103010200</v>
      </c>
      <c r="C2922" s="1">
        <f t="shared" si="181"/>
        <v>9</v>
      </c>
      <c r="D2922" s="5">
        <f ca="1">IF(getQuality(B2922)&lt;4,getOtherMin(B2922,C2922,INDIRECT(J$2),INDIRECT(I2922),test),getMin(B2922,C2922,INDIRECT(J$2),INDIRECT(I2922),test))</f>
        <v>1</v>
      </c>
      <c r="E2922" s="5">
        <f ca="1">IF(getQuality(B2922)&lt;4,getOtherMax(B2922,C2922,INDIRECT(J$2),INDIRECT(I2922),test),getMax(B2922,C2922,INDIRECT(J$2),INDIRECT(I2922),test))</f>
        <v>24.009875731714647</v>
      </c>
      <c r="F2922" s="1" t="str">
        <f t="shared" si="183"/>
        <v>50</v>
      </c>
      <c r="G2922" s="1" t="str">
        <f t="shared" si="184"/>
        <v/>
      </c>
      <c r="I2922" s="1" t="str">
        <f t="shared" si="182"/>
        <v>威尔新数值1.06.xlsm!suitPower</v>
      </c>
    </row>
    <row r="2923" spans="1:9" x14ac:dyDescent="0.15">
      <c r="A2923" s="1">
        <v>2922</v>
      </c>
      <c r="B2923" s="1">
        <v>103010200</v>
      </c>
      <c r="C2923" s="1">
        <f t="shared" si="181"/>
        <v>10</v>
      </c>
      <c r="D2923" s="5">
        <f ca="1">IF(getQuality(B2923)&lt;4,getOtherMin(B2923,C2923,INDIRECT(J$2),INDIRECT(I2923),test),getMin(B2923,C2923,INDIRECT(J$2),INDIRECT(I2923),test))</f>
        <v>1</v>
      </c>
      <c r="E2923" s="5">
        <f ca="1">IF(getQuality(B2923)&lt;4,getOtherMax(B2923,C2923,INDIRECT(J$2),INDIRECT(I2923),test),getMax(B2923,C2923,INDIRECT(J$2),INDIRECT(I2923),test))</f>
        <v>24.009875731714647</v>
      </c>
      <c r="F2923" s="1" t="str">
        <f t="shared" si="183"/>
        <v>50</v>
      </c>
      <c r="G2923" s="1" t="str">
        <f t="shared" si="184"/>
        <v/>
      </c>
      <c r="I2923" s="1" t="str">
        <f t="shared" si="182"/>
        <v>威尔新数值1.06.xlsm!suitPower</v>
      </c>
    </row>
    <row r="2924" spans="1:9" x14ac:dyDescent="0.15">
      <c r="A2924" s="1">
        <v>2923</v>
      </c>
      <c r="B2924" s="1">
        <v>103010200</v>
      </c>
      <c r="C2924" s="1">
        <f t="shared" si="181"/>
        <v>11</v>
      </c>
      <c r="D2924" s="5">
        <f ca="1">IF(getQuality(B2924)&lt;4,getOtherMin(B2924,C2924,INDIRECT(J$2),INDIRECT(I2924),test),getMin(B2924,C2924,INDIRECT(J$2),INDIRECT(I2924),test))</f>
        <v>1</v>
      </c>
      <c r="E2924" s="5">
        <f ca="1">IF(getQuality(B2924)&lt;4,getOtherMax(B2924,C2924,INDIRECT(J$2),INDIRECT(I2924),test),getMax(B2924,C2924,INDIRECT(J$2),INDIRECT(I2924),test))</f>
        <v>24.009875731714647</v>
      </c>
      <c r="F2924" s="1" t="str">
        <f t="shared" si="183"/>
        <v>50</v>
      </c>
      <c r="G2924" s="1" t="str">
        <f t="shared" si="184"/>
        <v/>
      </c>
      <c r="I2924" s="1" t="str">
        <f t="shared" si="182"/>
        <v>威尔新数值1.06.xlsm!suitPower</v>
      </c>
    </row>
    <row r="2925" spans="1:9" x14ac:dyDescent="0.15">
      <c r="A2925" s="1">
        <v>2924</v>
      </c>
      <c r="B2925" s="1">
        <v>103010200</v>
      </c>
      <c r="C2925" s="1">
        <f t="shared" si="181"/>
        <v>12</v>
      </c>
      <c r="D2925" s="5">
        <f ca="1">IF(getQuality(B2925)&lt;4,getOtherMin(B2925,C2925,INDIRECT(J$2),INDIRECT(I2925),test),getMin(B2925,C2925,INDIRECT(J$2),INDIRECT(I2925),test))</f>
        <v>1</v>
      </c>
      <c r="E2925" s="5">
        <f ca="1">IF(getQuality(B2925)&lt;4,getOtherMax(B2925,C2925,INDIRECT(J$2),INDIRECT(I2925),test),getMax(B2925,C2925,INDIRECT(J$2),INDIRECT(I2925),test))</f>
        <v>24.009875731714647</v>
      </c>
      <c r="F2925" s="1" t="str">
        <f t="shared" si="183"/>
        <v>50</v>
      </c>
      <c r="G2925" s="1" t="str">
        <f t="shared" si="184"/>
        <v/>
      </c>
      <c r="I2925" s="1" t="str">
        <f t="shared" si="182"/>
        <v>威尔新数值1.06.xlsm!suitPower</v>
      </c>
    </row>
    <row r="2926" spans="1:9" x14ac:dyDescent="0.15">
      <c r="A2926" s="1">
        <v>2925</v>
      </c>
      <c r="B2926" s="1">
        <v>103010200</v>
      </c>
      <c r="C2926" s="1">
        <f t="shared" si="181"/>
        <v>13</v>
      </c>
      <c r="D2926" s="5">
        <f ca="1">IF(getQuality(B2926)&lt;4,getOtherMin(B2926,C2926,INDIRECT(J$2),INDIRECT(I2926),test),getMin(B2926,C2926,INDIRECT(J$2),INDIRECT(I2926),test))</f>
        <v>1</v>
      </c>
      <c r="E2926" s="5">
        <f ca="1">IF(getQuality(B2926)&lt;4,getOtherMax(B2926,C2926,INDIRECT(J$2),INDIRECT(I2926),test),getMax(B2926,C2926,INDIRECT(J$2),INDIRECT(I2926),test))</f>
        <v>24.009875731714647</v>
      </c>
      <c r="F2926" s="1" t="str">
        <f t="shared" si="183"/>
        <v>50</v>
      </c>
      <c r="G2926" s="1" t="str">
        <f t="shared" si="184"/>
        <v/>
      </c>
      <c r="I2926" s="1" t="str">
        <f t="shared" si="182"/>
        <v>威尔新数值1.06.xlsm!suitPower</v>
      </c>
    </row>
    <row r="2927" spans="1:9" x14ac:dyDescent="0.15">
      <c r="A2927" s="1">
        <v>2926</v>
      </c>
      <c r="B2927" s="1">
        <v>103010200</v>
      </c>
      <c r="C2927" s="1">
        <f t="shared" si="181"/>
        <v>14</v>
      </c>
      <c r="D2927" s="5">
        <f ca="1">IF(getQuality(B2927)&lt;4,getOtherMin(B2927,C2927,INDIRECT(J$2),INDIRECT(I2927),test),getMin(B2927,C2927,INDIRECT(J$2),INDIRECT(I2927),test))</f>
        <v>1</v>
      </c>
      <c r="E2927" s="5">
        <f ca="1">IF(getQuality(B2927)&lt;4,getOtherMax(B2927,C2927,INDIRECT(J$2),INDIRECT(I2927),test),getMax(B2927,C2927,INDIRECT(J$2),INDIRECT(I2927),test))</f>
        <v>24.009875731714647</v>
      </c>
      <c r="F2927" s="1" t="str">
        <f t="shared" si="183"/>
        <v>50</v>
      </c>
      <c r="G2927" s="1" t="str">
        <f t="shared" si="184"/>
        <v/>
      </c>
      <c r="I2927" s="1" t="str">
        <f t="shared" si="182"/>
        <v>威尔新数值1.06.xlsm!suitPower</v>
      </c>
    </row>
    <row r="2928" spans="1:9" x14ac:dyDescent="0.15">
      <c r="A2928" s="1">
        <v>2927</v>
      </c>
      <c r="B2928" s="1">
        <v>103010200</v>
      </c>
      <c r="C2928" s="1">
        <f t="shared" si="181"/>
        <v>15</v>
      </c>
      <c r="D2928" s="5">
        <f ca="1">IF(getQuality(B2928)&lt;4,getOtherMin(B2928,C2928,INDIRECT(J$2),INDIRECT(I2928),test),getMin(B2928,C2928,INDIRECT(J$2),INDIRECT(I2928),test))</f>
        <v>1</v>
      </c>
      <c r="E2928" s="5">
        <f ca="1">IF(getQuality(B2928)&lt;4,getOtherMax(B2928,C2928,INDIRECT(J$2),INDIRECT(I2928),test),getMax(B2928,C2928,INDIRECT(J$2),INDIRECT(I2928),test))</f>
        <v>24.009875731714647</v>
      </c>
      <c r="F2928" s="1" t="str">
        <f t="shared" si="183"/>
        <v>50</v>
      </c>
      <c r="G2928" s="1" t="str">
        <f t="shared" si="184"/>
        <v/>
      </c>
      <c r="I2928" s="1" t="str">
        <f t="shared" si="182"/>
        <v>威尔新数值1.06.xlsm!suitPower</v>
      </c>
    </row>
    <row r="2929" spans="1:9" x14ac:dyDescent="0.15">
      <c r="A2929" s="1">
        <v>2928</v>
      </c>
      <c r="B2929" s="1">
        <v>103010200</v>
      </c>
      <c r="C2929" s="1">
        <f t="shared" si="181"/>
        <v>101</v>
      </c>
      <c r="D2929" s="5">
        <f ca="1">IF(getQuality(B2929)&lt;4,getOtherMin(B2929,C2929,INDIRECT(J$2),INDIRECT(I2929),test),getMin(B2929,C2929,INDIRECT(J$2),INDIRECT(I2929),test))</f>
        <v>7.0000000000000007E-2</v>
      </c>
      <c r="E2929" s="5">
        <f ca="1">IF(getQuality(B2929)&lt;4,getOtherMax(B2929,C2929,INDIRECT(J$2),INDIRECT(I2929),test),getMax(B2929,C2929,INDIRECT(J$2),INDIRECT(I2929),test))</f>
        <v>0.1</v>
      </c>
      <c r="F2929" s="1" t="str">
        <f t="shared" si="183"/>
        <v>50</v>
      </c>
      <c r="G2929" s="1" t="str">
        <f t="shared" si="184"/>
        <v/>
      </c>
      <c r="I2929" s="1" t="str">
        <f t="shared" si="182"/>
        <v>威尔新数值1.06.xlsm!circlePer</v>
      </c>
    </row>
    <row r="2930" spans="1:9" x14ac:dyDescent="0.15">
      <c r="A2930" s="1">
        <v>2929</v>
      </c>
      <c r="B2930" s="1">
        <v>103010200</v>
      </c>
      <c r="C2930" s="1">
        <f t="shared" si="181"/>
        <v>102</v>
      </c>
      <c r="D2930" s="5">
        <f ca="1">IF(getQuality(B2930)&lt;4,getOtherMin(B2930,C2930,INDIRECT(J$2),INDIRECT(I2930),test),getMin(B2930,C2930,INDIRECT(J$2),INDIRECT(I2930),test))</f>
        <v>0.6</v>
      </c>
      <c r="E2930" s="5">
        <f ca="1">IF(getQuality(B2930)&lt;4,getOtherMax(B2930,C2930,INDIRECT(J$2),INDIRECT(I2930),test),getMax(B2930,C2930,INDIRECT(J$2),INDIRECT(I2930),test))</f>
        <v>0.9</v>
      </c>
      <c r="F2930" s="1" t="str">
        <f t="shared" si="183"/>
        <v>50</v>
      </c>
      <c r="G2930" s="1" t="str">
        <f t="shared" si="184"/>
        <v/>
      </c>
      <c r="I2930" s="1" t="str">
        <f t="shared" si="182"/>
        <v>威尔新数值1.06.xlsm!circleValue</v>
      </c>
    </row>
    <row r="2931" spans="1:9" x14ac:dyDescent="0.15">
      <c r="A2931" s="1">
        <v>2930</v>
      </c>
      <c r="B2931" s="1">
        <v>103010200</v>
      </c>
      <c r="C2931" s="1">
        <f t="shared" si="181"/>
        <v>103</v>
      </c>
      <c r="D2931" s="5">
        <f ca="1">IF(getQuality(B2931)&lt;4,getOtherMin(B2931,C2931,INDIRECT(J$2),INDIRECT(I2931),test),getMin(B2931,C2931,INDIRECT(J$2),INDIRECT(I2931),test))</f>
        <v>7.0000000000000007E-2</v>
      </c>
      <c r="E2931" s="5">
        <f ca="1">IF(getQuality(B2931)&lt;4,getOtherMax(B2931,C2931,INDIRECT(J$2),INDIRECT(I2931),test),getMax(B2931,C2931,INDIRECT(J$2),INDIRECT(I2931),test))</f>
        <v>0.1</v>
      </c>
      <c r="F2931" s="1" t="str">
        <f t="shared" si="183"/>
        <v>50</v>
      </c>
      <c r="G2931" s="1" t="str">
        <f t="shared" si="184"/>
        <v/>
      </c>
      <c r="I2931" s="1" t="str">
        <f t="shared" si="182"/>
        <v>威尔新数值1.06.xlsm!otherDamage</v>
      </c>
    </row>
    <row r="2932" spans="1:9" x14ac:dyDescent="0.15">
      <c r="A2932" s="1">
        <v>2931</v>
      </c>
      <c r="B2932" s="1">
        <v>103010200</v>
      </c>
      <c r="C2932" s="1">
        <f t="shared" si="181"/>
        <v>104</v>
      </c>
      <c r="D2932" s="5">
        <f ca="1">IF(getQuality(B2932)&lt;4,getOtherMin(B2932,C2932,INDIRECT(J$2),INDIRECT(I2932),test),getMin(B2932,C2932,INDIRECT(J$2),INDIRECT(I2932),test))</f>
        <v>7.0000000000000007E-2</v>
      </c>
      <c r="E2932" s="5">
        <f ca="1">IF(getQuality(B2932)&lt;4,getOtherMax(B2932,C2932,INDIRECT(J$2),INDIRECT(I2932),test),getMax(B2932,C2932,INDIRECT(J$2),INDIRECT(I2932),test))</f>
        <v>0.14000000000000001</v>
      </c>
      <c r="F2932" s="1" t="str">
        <f t="shared" si="183"/>
        <v>50</v>
      </c>
      <c r="G2932" s="1" t="str">
        <f t="shared" si="184"/>
        <v/>
      </c>
      <c r="I2932" s="1" t="str">
        <f t="shared" si="182"/>
        <v>威尔新数值1.06.xlsm!monsterDamage</v>
      </c>
    </row>
    <row r="2933" spans="1:9" x14ac:dyDescent="0.15">
      <c r="A2933" s="1">
        <v>2932</v>
      </c>
      <c r="B2933" s="1">
        <v>103010200</v>
      </c>
      <c r="C2933" s="1">
        <f t="shared" si="181"/>
        <v>105</v>
      </c>
      <c r="D2933" s="5">
        <f ca="1">IF(getQuality(B2933)&lt;4,getOtherMin(B2933,C2933,INDIRECT(J$2),INDIRECT(I2933),test),getMin(B2933,C2933,INDIRECT(J$2),INDIRECT(I2933),test))</f>
        <v>7.0000000000000007E-2</v>
      </c>
      <c r="E2933" s="5">
        <f ca="1">IF(getQuality(B2933)&lt;4,getOtherMax(B2933,C2933,INDIRECT(J$2),INDIRECT(I2933),test),getMax(B2933,C2933,INDIRECT(J$2),INDIRECT(I2933),test))</f>
        <v>0.14000000000000001</v>
      </c>
      <c r="F2933" s="1" t="str">
        <f t="shared" si="183"/>
        <v>50</v>
      </c>
      <c r="G2933" s="1" t="str">
        <f t="shared" si="184"/>
        <v/>
      </c>
      <c r="I2933" s="1" t="str">
        <f t="shared" si="182"/>
        <v>威尔新数值1.06.xlsm!monsterDamage</v>
      </c>
    </row>
    <row r="2934" spans="1:9" x14ac:dyDescent="0.15">
      <c r="A2934" s="1">
        <v>2933</v>
      </c>
      <c r="B2934" s="1">
        <v>103010200</v>
      </c>
      <c r="C2934" s="1">
        <f t="shared" si="181"/>
        <v>106</v>
      </c>
      <c r="D2934" s="5">
        <f ca="1">IF(getQuality(B2934)&lt;4,getOtherMin(B2934,C2934,INDIRECT(J$2),INDIRECT(I2934),test),getMin(B2934,C2934,INDIRECT(J$2),INDIRECT(I2934),test))</f>
        <v>7.0000000000000007E-2</v>
      </c>
      <c r="E2934" s="5">
        <f ca="1">IF(getQuality(B2934)&lt;4,getOtherMax(B2934,C2934,INDIRECT(J$2),INDIRECT(I2934),test),getMax(B2934,C2934,INDIRECT(J$2),INDIRECT(I2934),test))</f>
        <v>0.14000000000000001</v>
      </c>
      <c r="F2934" s="1" t="str">
        <f t="shared" si="183"/>
        <v>50</v>
      </c>
      <c r="G2934" s="1" t="str">
        <f t="shared" si="184"/>
        <v/>
      </c>
      <c r="I2934" s="1" t="str">
        <f t="shared" si="182"/>
        <v>威尔新数值1.06.xlsm!monsterDamage</v>
      </c>
    </row>
    <row r="2935" spans="1:9" x14ac:dyDescent="0.15">
      <c r="A2935" s="1">
        <v>2934</v>
      </c>
      <c r="B2935" s="1">
        <v>103010200</v>
      </c>
      <c r="C2935" s="1">
        <f t="shared" si="181"/>
        <v>107</v>
      </c>
      <c r="D2935" s="5">
        <f ca="1">IF(getQuality(B2935)&lt;4,getOtherMin(B2935,C2935,INDIRECT(J$2),INDIRECT(I2935),test),getMin(B2935,C2935,INDIRECT(J$2),INDIRECT(I2935),test))</f>
        <v>7.0000000000000007E-2</v>
      </c>
      <c r="E2935" s="5">
        <f ca="1">IF(getQuality(B2935)&lt;4,getOtherMax(B2935,C2935,INDIRECT(J$2),INDIRECT(I2935),test),getMax(B2935,C2935,INDIRECT(J$2),INDIRECT(I2935),test))</f>
        <v>0.14000000000000001</v>
      </c>
      <c r="F2935" s="1" t="str">
        <f t="shared" si="183"/>
        <v>50</v>
      </c>
      <c r="G2935" s="1" t="str">
        <f t="shared" si="184"/>
        <v/>
      </c>
      <c r="I2935" s="1" t="str">
        <f t="shared" si="182"/>
        <v>威尔新数值1.06.xlsm!monsterDamage</v>
      </c>
    </row>
    <row r="2936" spans="1:9" x14ac:dyDescent="0.15">
      <c r="A2936" s="1">
        <v>2935</v>
      </c>
      <c r="B2936" s="1">
        <v>103010200</v>
      </c>
      <c r="C2936" s="1">
        <f t="shared" si="181"/>
        <v>108</v>
      </c>
      <c r="D2936" s="5">
        <f ca="1">IF(getQuality(B2936)&lt;4,getOtherMin(B2936,C2936,INDIRECT(J$2),INDIRECT(I2936),test),getMin(B2936,C2936,INDIRECT(J$2),INDIRECT(I2936),test))</f>
        <v>7.0000000000000007E-2</v>
      </c>
      <c r="E2936" s="5">
        <f ca="1">IF(getQuality(B2936)&lt;4,getOtherMax(B2936,C2936,INDIRECT(J$2),INDIRECT(I2936),test),getMax(B2936,C2936,INDIRECT(J$2),INDIRECT(I2936),test))</f>
        <v>0.14000000000000001</v>
      </c>
      <c r="F2936" s="1" t="str">
        <f t="shared" si="183"/>
        <v>50</v>
      </c>
      <c r="G2936" s="1" t="str">
        <f t="shared" si="184"/>
        <v/>
      </c>
      <c r="I2936" s="1" t="str">
        <f t="shared" si="182"/>
        <v>威尔新数值1.06.xlsm!monsterDamage</v>
      </c>
    </row>
    <row r="2937" spans="1:9" x14ac:dyDescent="0.15">
      <c r="A2937" s="1">
        <v>2936</v>
      </c>
      <c r="B2937" s="1">
        <v>103020200</v>
      </c>
      <c r="C2937" s="1">
        <f t="shared" si="181"/>
        <v>3</v>
      </c>
      <c r="D2937" s="5">
        <f ca="1">IF(getQuality(B2937)&lt;4,getOtherMin(B2937,C2937,INDIRECT(J$2),INDIRECT(I2937),test),getMin(B2937,C2937,INDIRECT(J$2),INDIRECT(I2937),test))</f>
        <v>25.009875731714647</v>
      </c>
      <c r="E2937" s="5">
        <f ca="1">IF(getQuality(B2937)&lt;4,getOtherMax(B2937,C2937,INDIRECT(J$2),INDIRECT(I2937),test),getMax(B2937,C2937,INDIRECT(J$2),INDIRECT(I2937),test))</f>
        <v>52.82172660977222</v>
      </c>
      <c r="F2937" s="1" t="str">
        <f t="shared" si="183"/>
        <v>50</v>
      </c>
      <c r="G2937" s="1" t="str">
        <f t="shared" si="184"/>
        <v>1</v>
      </c>
      <c r="I2937" s="1" t="str">
        <f t="shared" si="182"/>
        <v>威尔新数值1.06.xlsm!suitPower</v>
      </c>
    </row>
    <row r="2938" spans="1:9" x14ac:dyDescent="0.15">
      <c r="A2938" s="1">
        <v>2937</v>
      </c>
      <c r="B2938" s="1">
        <v>103020200</v>
      </c>
      <c r="C2938" s="1">
        <f t="shared" si="181"/>
        <v>5</v>
      </c>
      <c r="D2938" s="5">
        <f ca="1">IF(getQuality(B2938)&lt;4,getOtherMin(B2938,C2938,INDIRECT(J$2),INDIRECT(I2938),test),getMin(B2938,C2938,INDIRECT(J$2),INDIRECT(I2938),test))</f>
        <v>25.009875731714647</v>
      </c>
      <c r="E2938" s="5">
        <f ca="1">IF(getQuality(B2938)&lt;4,getOtherMax(B2938,C2938,INDIRECT(J$2),INDIRECT(I2938),test),getMax(B2938,C2938,INDIRECT(J$2),INDIRECT(I2938),test))</f>
        <v>52.82172660977222</v>
      </c>
      <c r="F2938" s="1" t="str">
        <f t="shared" si="183"/>
        <v>50</v>
      </c>
      <c r="G2938" s="1" t="str">
        <f t="shared" si="184"/>
        <v/>
      </c>
      <c r="I2938" s="1" t="str">
        <f t="shared" si="182"/>
        <v>威尔新数值1.06.xlsm!suitPower</v>
      </c>
    </row>
    <row r="2939" spans="1:9" x14ac:dyDescent="0.15">
      <c r="A2939" s="1">
        <v>2938</v>
      </c>
      <c r="B2939" s="1">
        <v>103020200</v>
      </c>
      <c r="C2939" s="1">
        <f t="shared" si="181"/>
        <v>7</v>
      </c>
      <c r="D2939" s="5">
        <f ca="1">IF(getQuality(B2939)&lt;4,getOtherMin(B2939,C2939,INDIRECT(J$2),INDIRECT(I2939),test),getMin(B2939,C2939,INDIRECT(J$2),INDIRECT(I2939),test))</f>
        <v>8.4074074074073888</v>
      </c>
      <c r="E2939" s="5">
        <f ca="1">IF(getQuality(B2939)&lt;4,getOtherMax(B2939,C2939,INDIRECT(J$2),INDIRECT(I2939),test),getMax(B2939,C2939,INDIRECT(J$2),INDIRECT(I2939),test))</f>
        <v>14.814814814814778</v>
      </c>
      <c r="F2939" s="1" t="str">
        <f t="shared" si="183"/>
        <v>50</v>
      </c>
      <c r="G2939" s="1" t="str">
        <f t="shared" si="184"/>
        <v/>
      </c>
      <c r="I2939" s="1" t="str">
        <f t="shared" si="182"/>
        <v>威尔新数值1.06.xlsm!suitPower</v>
      </c>
    </row>
    <row r="2940" spans="1:9" x14ac:dyDescent="0.15">
      <c r="A2940" s="1">
        <v>2939</v>
      </c>
      <c r="B2940" s="1">
        <v>103020200</v>
      </c>
      <c r="C2940" s="1">
        <f t="shared" ref="C2940:C3003" si="185">C465</f>
        <v>8</v>
      </c>
      <c r="D2940" s="5">
        <f ca="1">IF(getQuality(B2940)&lt;4,getOtherMin(B2940,C2940,INDIRECT(J$2),INDIRECT(I2940),test),getMin(B2940,C2940,INDIRECT(J$2),INDIRECT(I2940),test))</f>
        <v>17.666666666666668</v>
      </c>
      <c r="E2940" s="5">
        <f ca="1">IF(getQuality(B2940)&lt;4,getOtherMax(B2940,C2940,INDIRECT(J$2),INDIRECT(I2940),test),getMax(B2940,C2940,INDIRECT(J$2),INDIRECT(I2940),test))</f>
        <v>33.333333333333336</v>
      </c>
      <c r="F2940" s="1" t="str">
        <f t="shared" si="183"/>
        <v>50</v>
      </c>
      <c r="G2940" s="1" t="str">
        <f t="shared" si="184"/>
        <v/>
      </c>
      <c r="I2940" s="1" t="str">
        <f t="shared" si="182"/>
        <v>威尔新数值1.06.xlsm!suitPower</v>
      </c>
    </row>
    <row r="2941" spans="1:9" x14ac:dyDescent="0.15">
      <c r="A2941" s="1">
        <v>2940</v>
      </c>
      <c r="B2941" s="1">
        <v>103020200</v>
      </c>
      <c r="C2941" s="1">
        <f t="shared" si="185"/>
        <v>9</v>
      </c>
      <c r="D2941" s="5">
        <f ca="1">IF(getQuality(B2941)&lt;4,getOtherMin(B2941,C2941,INDIRECT(J$2),INDIRECT(I2941),test),getMin(B2941,C2941,INDIRECT(J$2),INDIRECT(I2941),test))</f>
        <v>25.009875731714647</v>
      </c>
      <c r="E2941" s="5">
        <f ca="1">IF(getQuality(B2941)&lt;4,getOtherMax(B2941,C2941,INDIRECT(J$2),INDIRECT(I2941),test),getMax(B2941,C2941,INDIRECT(J$2),INDIRECT(I2941),test))</f>
        <v>52.82172660977222</v>
      </c>
      <c r="F2941" s="1" t="str">
        <f t="shared" si="183"/>
        <v>50</v>
      </c>
      <c r="G2941" s="1" t="str">
        <f t="shared" si="184"/>
        <v/>
      </c>
      <c r="I2941" s="1" t="str">
        <f t="shared" si="182"/>
        <v>威尔新数值1.06.xlsm!suitPower</v>
      </c>
    </row>
    <row r="2942" spans="1:9" x14ac:dyDescent="0.15">
      <c r="A2942" s="1">
        <v>2941</v>
      </c>
      <c r="B2942" s="1">
        <v>103020200</v>
      </c>
      <c r="C2942" s="1">
        <f t="shared" si="185"/>
        <v>10</v>
      </c>
      <c r="D2942" s="5">
        <f ca="1">IF(getQuality(B2942)&lt;4,getOtherMin(B2942,C2942,INDIRECT(J$2),INDIRECT(I2942),test),getMin(B2942,C2942,INDIRECT(J$2),INDIRECT(I2942),test))</f>
        <v>25.009875731714647</v>
      </c>
      <c r="E2942" s="5">
        <f ca="1">IF(getQuality(B2942)&lt;4,getOtherMax(B2942,C2942,INDIRECT(J$2),INDIRECT(I2942),test),getMax(B2942,C2942,INDIRECT(J$2),INDIRECT(I2942),test))</f>
        <v>52.82172660977222</v>
      </c>
      <c r="F2942" s="1" t="str">
        <f t="shared" si="183"/>
        <v>50</v>
      </c>
      <c r="G2942" s="1" t="str">
        <f t="shared" si="184"/>
        <v/>
      </c>
      <c r="I2942" s="1" t="str">
        <f t="shared" si="182"/>
        <v>威尔新数值1.06.xlsm!suitPower</v>
      </c>
    </row>
    <row r="2943" spans="1:9" x14ac:dyDescent="0.15">
      <c r="A2943" s="1">
        <v>2942</v>
      </c>
      <c r="B2943" s="1">
        <v>103020200</v>
      </c>
      <c r="C2943" s="1">
        <f t="shared" si="185"/>
        <v>11</v>
      </c>
      <c r="D2943" s="5">
        <f ca="1">IF(getQuality(B2943)&lt;4,getOtherMin(B2943,C2943,INDIRECT(J$2),INDIRECT(I2943),test),getMin(B2943,C2943,INDIRECT(J$2),INDIRECT(I2943),test))</f>
        <v>25.009875731714647</v>
      </c>
      <c r="E2943" s="5">
        <f ca="1">IF(getQuality(B2943)&lt;4,getOtherMax(B2943,C2943,INDIRECT(J$2),INDIRECT(I2943),test),getMax(B2943,C2943,INDIRECT(J$2),INDIRECT(I2943),test))</f>
        <v>52.82172660977222</v>
      </c>
      <c r="F2943" s="1" t="str">
        <f t="shared" si="183"/>
        <v>50</v>
      </c>
      <c r="G2943" s="1" t="str">
        <f t="shared" si="184"/>
        <v/>
      </c>
      <c r="I2943" s="1" t="str">
        <f t="shared" si="182"/>
        <v>威尔新数值1.06.xlsm!suitPower</v>
      </c>
    </row>
    <row r="2944" spans="1:9" x14ac:dyDescent="0.15">
      <c r="A2944" s="1">
        <v>2943</v>
      </c>
      <c r="B2944" s="1">
        <v>103020200</v>
      </c>
      <c r="C2944" s="1">
        <f t="shared" si="185"/>
        <v>12</v>
      </c>
      <c r="D2944" s="5">
        <f ca="1">IF(getQuality(B2944)&lt;4,getOtherMin(B2944,C2944,INDIRECT(J$2),INDIRECT(I2944),test),getMin(B2944,C2944,INDIRECT(J$2),INDIRECT(I2944),test))</f>
        <v>25.009875731714647</v>
      </c>
      <c r="E2944" s="5">
        <f ca="1">IF(getQuality(B2944)&lt;4,getOtherMax(B2944,C2944,INDIRECT(J$2),INDIRECT(I2944),test),getMax(B2944,C2944,INDIRECT(J$2),INDIRECT(I2944),test))</f>
        <v>52.82172660977222</v>
      </c>
      <c r="F2944" s="1" t="str">
        <f t="shared" si="183"/>
        <v>50</v>
      </c>
      <c r="G2944" s="1" t="str">
        <f t="shared" si="184"/>
        <v/>
      </c>
      <c r="I2944" s="1" t="str">
        <f t="shared" si="182"/>
        <v>威尔新数值1.06.xlsm!suitPower</v>
      </c>
    </row>
    <row r="2945" spans="1:9" x14ac:dyDescent="0.15">
      <c r="A2945" s="1">
        <v>2944</v>
      </c>
      <c r="B2945" s="1">
        <v>103020200</v>
      </c>
      <c r="C2945" s="1">
        <f t="shared" si="185"/>
        <v>13</v>
      </c>
      <c r="D2945" s="5">
        <f ca="1">IF(getQuality(B2945)&lt;4,getOtherMin(B2945,C2945,INDIRECT(J$2),INDIRECT(I2945),test),getMin(B2945,C2945,INDIRECT(J$2),INDIRECT(I2945),test))</f>
        <v>25.009875731714647</v>
      </c>
      <c r="E2945" s="5">
        <f ca="1">IF(getQuality(B2945)&lt;4,getOtherMax(B2945,C2945,INDIRECT(J$2),INDIRECT(I2945),test),getMax(B2945,C2945,INDIRECT(J$2),INDIRECT(I2945),test))</f>
        <v>52.82172660977222</v>
      </c>
      <c r="F2945" s="1" t="str">
        <f t="shared" si="183"/>
        <v>50</v>
      </c>
      <c r="G2945" s="1" t="str">
        <f t="shared" si="184"/>
        <v/>
      </c>
      <c r="I2945" s="1" t="str">
        <f t="shared" si="182"/>
        <v>威尔新数值1.06.xlsm!suitPower</v>
      </c>
    </row>
    <row r="2946" spans="1:9" x14ac:dyDescent="0.15">
      <c r="A2946" s="1">
        <v>2945</v>
      </c>
      <c r="B2946" s="1">
        <v>103020200</v>
      </c>
      <c r="C2946" s="1">
        <f t="shared" si="185"/>
        <v>14</v>
      </c>
      <c r="D2946" s="5">
        <f ca="1">IF(getQuality(B2946)&lt;4,getOtherMin(B2946,C2946,INDIRECT(J$2),INDIRECT(I2946),test),getMin(B2946,C2946,INDIRECT(J$2),INDIRECT(I2946),test))</f>
        <v>25.009875731714647</v>
      </c>
      <c r="E2946" s="5">
        <f ca="1">IF(getQuality(B2946)&lt;4,getOtherMax(B2946,C2946,INDIRECT(J$2),INDIRECT(I2946),test),getMax(B2946,C2946,INDIRECT(J$2),INDIRECT(I2946),test))</f>
        <v>52.82172660977222</v>
      </c>
      <c r="F2946" s="1" t="str">
        <f t="shared" si="183"/>
        <v>50</v>
      </c>
      <c r="G2946" s="1" t="str">
        <f t="shared" si="184"/>
        <v/>
      </c>
      <c r="I2946" s="1" t="str">
        <f t="shared" ref="I2946:I3009" si="186">IF(C2946&lt;100,VLOOKUP(C2946,test,3,FALSE),VLOOKUP(C2946,test1,3,FALSE))</f>
        <v>威尔新数值1.06.xlsm!suitPower</v>
      </c>
    </row>
    <row r="2947" spans="1:9" x14ac:dyDescent="0.15">
      <c r="A2947" s="1">
        <v>2946</v>
      </c>
      <c r="B2947" s="1">
        <v>103020200</v>
      </c>
      <c r="C2947" s="1">
        <f t="shared" si="185"/>
        <v>15</v>
      </c>
      <c r="D2947" s="5">
        <f ca="1">IF(getQuality(B2947)&lt;4,getOtherMin(B2947,C2947,INDIRECT(J$2),INDIRECT(I2947),test),getMin(B2947,C2947,INDIRECT(J$2),INDIRECT(I2947),test))</f>
        <v>25.009875731714647</v>
      </c>
      <c r="E2947" s="5">
        <f ca="1">IF(getQuality(B2947)&lt;4,getOtherMax(B2947,C2947,INDIRECT(J$2),INDIRECT(I2947),test),getMax(B2947,C2947,INDIRECT(J$2),INDIRECT(I2947),test))</f>
        <v>52.82172660977222</v>
      </c>
      <c r="F2947" s="1" t="str">
        <f t="shared" ref="F2947:F3010" si="187">getper(B2947,C2947)</f>
        <v>50</v>
      </c>
      <c r="G2947" s="1" t="str">
        <f t="shared" ref="G2947:G3010" si="188">getMust(B2947,C2947)</f>
        <v/>
      </c>
      <c r="I2947" s="1" t="str">
        <f t="shared" si="186"/>
        <v>威尔新数值1.06.xlsm!suitPower</v>
      </c>
    </row>
    <row r="2948" spans="1:9" x14ac:dyDescent="0.15">
      <c r="A2948" s="1">
        <v>2947</v>
      </c>
      <c r="B2948" s="1">
        <v>103020200</v>
      </c>
      <c r="C2948" s="1">
        <f t="shared" si="185"/>
        <v>101</v>
      </c>
      <c r="D2948" s="5">
        <f ca="1">IF(getQuality(B2948)&lt;4,getOtherMin(B2948,C2948,INDIRECT(J$2),INDIRECT(I2948),test),getMin(B2948,C2948,INDIRECT(J$2),INDIRECT(I2948),test))</f>
        <v>0.08</v>
      </c>
      <c r="E2948" s="5">
        <f ca="1">IF(getQuality(B2948)&lt;4,getOtherMax(B2948,C2948,INDIRECT(J$2),INDIRECT(I2948),test),getMax(B2948,C2948,INDIRECT(J$2),INDIRECT(I2948),test))</f>
        <v>0.11</v>
      </c>
      <c r="F2948" s="1" t="str">
        <f t="shared" si="187"/>
        <v>50</v>
      </c>
      <c r="G2948" s="1" t="str">
        <f t="shared" si="188"/>
        <v/>
      </c>
      <c r="I2948" s="1" t="str">
        <f t="shared" si="186"/>
        <v>威尔新数值1.06.xlsm!circlePer</v>
      </c>
    </row>
    <row r="2949" spans="1:9" x14ac:dyDescent="0.15">
      <c r="A2949" s="1">
        <v>2948</v>
      </c>
      <c r="B2949" s="1">
        <v>103020200</v>
      </c>
      <c r="C2949" s="1">
        <f t="shared" si="185"/>
        <v>102</v>
      </c>
      <c r="D2949" s="5">
        <f ca="1">IF(getQuality(B2949)&lt;4,getOtherMin(B2949,C2949,INDIRECT(J$2),INDIRECT(I2949),test),getMin(B2949,C2949,INDIRECT(J$2),INDIRECT(I2949),test))</f>
        <v>0.7</v>
      </c>
      <c r="E2949" s="5">
        <f ca="1">IF(getQuality(B2949)&lt;4,getOtherMax(B2949,C2949,INDIRECT(J$2),INDIRECT(I2949),test),getMax(B2949,C2949,INDIRECT(J$2),INDIRECT(I2949),test))</f>
        <v>1</v>
      </c>
      <c r="F2949" s="1" t="str">
        <f t="shared" si="187"/>
        <v>50</v>
      </c>
      <c r="G2949" s="1" t="str">
        <f t="shared" si="188"/>
        <v/>
      </c>
      <c r="I2949" s="1" t="str">
        <f t="shared" si="186"/>
        <v>威尔新数值1.06.xlsm!circleValue</v>
      </c>
    </row>
    <row r="2950" spans="1:9" x14ac:dyDescent="0.15">
      <c r="A2950" s="1">
        <v>2949</v>
      </c>
      <c r="B2950" s="1">
        <v>103020200</v>
      </c>
      <c r="C2950" s="1">
        <f t="shared" si="185"/>
        <v>103</v>
      </c>
      <c r="D2950" s="5">
        <f ca="1">IF(getQuality(B2950)&lt;4,getOtherMin(B2950,C2950,INDIRECT(J$2),INDIRECT(I2950),test),getMin(B2950,C2950,INDIRECT(J$2),INDIRECT(I2950),test))</f>
        <v>0.08</v>
      </c>
      <c r="E2950" s="5">
        <f ca="1">IF(getQuality(B2950)&lt;4,getOtherMax(B2950,C2950,INDIRECT(J$2),INDIRECT(I2950),test),getMax(B2950,C2950,INDIRECT(J$2),INDIRECT(I2950),test))</f>
        <v>0.11</v>
      </c>
      <c r="F2950" s="1" t="str">
        <f t="shared" si="187"/>
        <v>50</v>
      </c>
      <c r="G2950" s="1" t="str">
        <f t="shared" si="188"/>
        <v/>
      </c>
      <c r="I2950" s="1" t="str">
        <f t="shared" si="186"/>
        <v>威尔新数值1.06.xlsm!otherDamage</v>
      </c>
    </row>
    <row r="2951" spans="1:9" x14ac:dyDescent="0.15">
      <c r="A2951" s="1">
        <v>2950</v>
      </c>
      <c r="B2951" s="1">
        <v>103020200</v>
      </c>
      <c r="C2951" s="1">
        <f t="shared" si="185"/>
        <v>104</v>
      </c>
      <c r="D2951" s="5">
        <f ca="1">IF(getQuality(B2951)&lt;4,getOtherMin(B2951,C2951,INDIRECT(J$2),INDIRECT(I2951),test),getMin(B2951,C2951,INDIRECT(J$2),INDIRECT(I2951),test))</f>
        <v>0.08</v>
      </c>
      <c r="E2951" s="5">
        <f ca="1">IF(getQuality(B2951)&lt;4,getOtherMax(B2951,C2951,INDIRECT(J$2),INDIRECT(I2951),test),getMax(B2951,C2951,INDIRECT(J$2),INDIRECT(I2951),test))</f>
        <v>0.16</v>
      </c>
      <c r="F2951" s="1" t="str">
        <f t="shared" si="187"/>
        <v>50</v>
      </c>
      <c r="G2951" s="1" t="str">
        <f t="shared" si="188"/>
        <v/>
      </c>
      <c r="I2951" s="1" t="str">
        <f t="shared" si="186"/>
        <v>威尔新数值1.06.xlsm!monsterDamage</v>
      </c>
    </row>
    <row r="2952" spans="1:9" x14ac:dyDescent="0.15">
      <c r="A2952" s="1">
        <v>2951</v>
      </c>
      <c r="B2952" s="1">
        <v>103020200</v>
      </c>
      <c r="C2952" s="1">
        <f t="shared" si="185"/>
        <v>105</v>
      </c>
      <c r="D2952" s="5">
        <f ca="1">IF(getQuality(B2952)&lt;4,getOtherMin(B2952,C2952,INDIRECT(J$2),INDIRECT(I2952),test),getMin(B2952,C2952,INDIRECT(J$2),INDIRECT(I2952),test))</f>
        <v>0.08</v>
      </c>
      <c r="E2952" s="5">
        <f ca="1">IF(getQuality(B2952)&lt;4,getOtherMax(B2952,C2952,INDIRECT(J$2),INDIRECT(I2952),test),getMax(B2952,C2952,INDIRECT(J$2),INDIRECT(I2952),test))</f>
        <v>0.16</v>
      </c>
      <c r="F2952" s="1" t="str">
        <f t="shared" si="187"/>
        <v>50</v>
      </c>
      <c r="G2952" s="1" t="str">
        <f t="shared" si="188"/>
        <v/>
      </c>
      <c r="I2952" s="1" t="str">
        <f t="shared" si="186"/>
        <v>威尔新数值1.06.xlsm!monsterDamage</v>
      </c>
    </row>
    <row r="2953" spans="1:9" x14ac:dyDescent="0.15">
      <c r="A2953" s="1">
        <v>2952</v>
      </c>
      <c r="B2953" s="1">
        <v>103020200</v>
      </c>
      <c r="C2953" s="1">
        <f t="shared" si="185"/>
        <v>106</v>
      </c>
      <c r="D2953" s="5">
        <f ca="1">IF(getQuality(B2953)&lt;4,getOtherMin(B2953,C2953,INDIRECT(J$2),INDIRECT(I2953),test),getMin(B2953,C2953,INDIRECT(J$2),INDIRECT(I2953),test))</f>
        <v>0.08</v>
      </c>
      <c r="E2953" s="5">
        <f ca="1">IF(getQuality(B2953)&lt;4,getOtherMax(B2953,C2953,INDIRECT(J$2),INDIRECT(I2953),test),getMax(B2953,C2953,INDIRECT(J$2),INDIRECT(I2953),test))</f>
        <v>0.16</v>
      </c>
      <c r="F2953" s="1" t="str">
        <f t="shared" si="187"/>
        <v>50</v>
      </c>
      <c r="G2953" s="1" t="str">
        <f t="shared" si="188"/>
        <v/>
      </c>
      <c r="I2953" s="1" t="str">
        <f t="shared" si="186"/>
        <v>威尔新数值1.06.xlsm!monsterDamage</v>
      </c>
    </row>
    <row r="2954" spans="1:9" x14ac:dyDescent="0.15">
      <c r="A2954" s="1">
        <v>2953</v>
      </c>
      <c r="B2954" s="1">
        <v>103020200</v>
      </c>
      <c r="C2954" s="1">
        <f t="shared" si="185"/>
        <v>107</v>
      </c>
      <c r="D2954" s="5">
        <f ca="1">IF(getQuality(B2954)&lt;4,getOtherMin(B2954,C2954,INDIRECT(J$2),INDIRECT(I2954),test),getMin(B2954,C2954,INDIRECT(J$2),INDIRECT(I2954),test))</f>
        <v>0.08</v>
      </c>
      <c r="E2954" s="5">
        <f ca="1">IF(getQuality(B2954)&lt;4,getOtherMax(B2954,C2954,INDIRECT(J$2),INDIRECT(I2954),test),getMax(B2954,C2954,INDIRECT(J$2),INDIRECT(I2954),test))</f>
        <v>0.16</v>
      </c>
      <c r="F2954" s="1" t="str">
        <f t="shared" si="187"/>
        <v>50</v>
      </c>
      <c r="G2954" s="1" t="str">
        <f t="shared" si="188"/>
        <v/>
      </c>
      <c r="I2954" s="1" t="str">
        <f t="shared" si="186"/>
        <v>威尔新数值1.06.xlsm!monsterDamage</v>
      </c>
    </row>
    <row r="2955" spans="1:9" x14ac:dyDescent="0.15">
      <c r="A2955" s="1">
        <v>2954</v>
      </c>
      <c r="B2955" s="1">
        <v>103020200</v>
      </c>
      <c r="C2955" s="1">
        <f t="shared" si="185"/>
        <v>108</v>
      </c>
      <c r="D2955" s="5">
        <f ca="1">IF(getQuality(B2955)&lt;4,getOtherMin(B2955,C2955,INDIRECT(J$2),INDIRECT(I2955),test),getMin(B2955,C2955,INDIRECT(J$2),INDIRECT(I2955),test))</f>
        <v>0.08</v>
      </c>
      <c r="E2955" s="5">
        <f ca="1">IF(getQuality(B2955)&lt;4,getOtherMax(B2955,C2955,INDIRECT(J$2),INDIRECT(I2955),test),getMax(B2955,C2955,INDIRECT(J$2),INDIRECT(I2955),test))</f>
        <v>0.16</v>
      </c>
      <c r="F2955" s="1" t="str">
        <f t="shared" si="187"/>
        <v>50</v>
      </c>
      <c r="G2955" s="1" t="str">
        <f t="shared" si="188"/>
        <v/>
      </c>
      <c r="I2955" s="1" t="str">
        <f t="shared" si="186"/>
        <v>威尔新数值1.06.xlsm!monsterDamage</v>
      </c>
    </row>
    <row r="2956" spans="1:9" x14ac:dyDescent="0.15">
      <c r="A2956" s="1">
        <v>2955</v>
      </c>
      <c r="B2956" s="1">
        <v>103030200</v>
      </c>
      <c r="C2956" s="1">
        <f t="shared" si="185"/>
        <v>3</v>
      </c>
      <c r="D2956" s="5">
        <f ca="1">IF(getQuality(B2956)&lt;4,getOtherMin(B2956,C2956,INDIRECT(J$2),INDIRECT(I2956),test),getMin(B2956,C2956,INDIRECT(J$2),INDIRECT(I2956),test))</f>
        <v>53.82172660977222</v>
      </c>
      <c r="E2956" s="5">
        <f ca="1">IF(getQuality(B2956)&lt;4,getOtherMax(B2956,C2956,INDIRECT(J$2),INDIRECT(I2956),test),getMax(B2956,C2956,INDIRECT(J$2),INDIRECT(I2956),test))</f>
        <v>86.435552634172723</v>
      </c>
      <c r="F2956" s="1" t="str">
        <f t="shared" si="187"/>
        <v>50</v>
      </c>
      <c r="G2956" s="1" t="str">
        <f t="shared" si="188"/>
        <v>1</v>
      </c>
      <c r="I2956" s="1" t="str">
        <f t="shared" si="186"/>
        <v>威尔新数值1.06.xlsm!suitPower</v>
      </c>
    </row>
    <row r="2957" spans="1:9" x14ac:dyDescent="0.15">
      <c r="A2957" s="1">
        <v>2956</v>
      </c>
      <c r="B2957" s="1">
        <v>103030200</v>
      </c>
      <c r="C2957" s="1">
        <f t="shared" si="185"/>
        <v>5</v>
      </c>
      <c r="D2957" s="5">
        <f ca="1">IF(getQuality(B2957)&lt;4,getOtherMin(B2957,C2957,INDIRECT(J$2),INDIRECT(I2957),test),getMin(B2957,C2957,INDIRECT(J$2),INDIRECT(I2957),test))</f>
        <v>53.82172660977222</v>
      </c>
      <c r="E2957" s="5">
        <f ca="1">IF(getQuality(B2957)&lt;4,getOtherMax(B2957,C2957,INDIRECT(J$2),INDIRECT(I2957),test),getMax(B2957,C2957,INDIRECT(J$2),INDIRECT(I2957),test))</f>
        <v>86.435552634172723</v>
      </c>
      <c r="F2957" s="1" t="str">
        <f t="shared" si="187"/>
        <v>50</v>
      </c>
      <c r="G2957" s="1" t="str">
        <f t="shared" si="188"/>
        <v/>
      </c>
      <c r="I2957" s="1" t="str">
        <f t="shared" si="186"/>
        <v>威尔新数值1.06.xlsm!suitPower</v>
      </c>
    </row>
    <row r="2958" spans="1:9" x14ac:dyDescent="0.15">
      <c r="A2958" s="1">
        <v>2957</v>
      </c>
      <c r="B2958" s="1">
        <v>103030200</v>
      </c>
      <c r="C2958" s="1">
        <f t="shared" si="185"/>
        <v>7</v>
      </c>
      <c r="D2958" s="5">
        <f ca="1">IF(getQuality(B2958)&lt;4,getOtherMin(B2958,C2958,INDIRECT(J$2),INDIRECT(I2958),test),getMin(B2958,C2958,INDIRECT(J$2),INDIRECT(I2958),test))</f>
        <v>15.814814814814778</v>
      </c>
      <c r="E2958" s="5">
        <f ca="1">IF(getQuality(B2958)&lt;4,getOtherMax(B2958,C2958,INDIRECT(J$2),INDIRECT(I2958),test),getMax(B2958,C2958,INDIRECT(J$2),INDIRECT(I2958),test))</f>
        <v>22.222222222222165</v>
      </c>
      <c r="F2958" s="1" t="str">
        <f t="shared" si="187"/>
        <v>50</v>
      </c>
      <c r="G2958" s="1" t="str">
        <f t="shared" si="188"/>
        <v/>
      </c>
      <c r="I2958" s="1" t="str">
        <f t="shared" si="186"/>
        <v>威尔新数值1.06.xlsm!suitPower</v>
      </c>
    </row>
    <row r="2959" spans="1:9" x14ac:dyDescent="0.15">
      <c r="A2959" s="1">
        <v>2958</v>
      </c>
      <c r="B2959" s="1">
        <v>103030200</v>
      </c>
      <c r="C2959" s="1">
        <f t="shared" si="185"/>
        <v>8</v>
      </c>
      <c r="D2959" s="5">
        <f ca="1">IF(getQuality(B2959)&lt;4,getOtherMin(B2959,C2959,INDIRECT(J$2),INDIRECT(I2959),test),getMin(B2959,C2959,INDIRECT(J$2),INDIRECT(I2959),test))</f>
        <v>34.333333333333336</v>
      </c>
      <c r="E2959" s="5">
        <f ca="1">IF(getQuality(B2959)&lt;4,getOtherMax(B2959,C2959,INDIRECT(J$2),INDIRECT(I2959),test),getMax(B2959,C2959,INDIRECT(J$2),INDIRECT(I2959),test))</f>
        <v>50</v>
      </c>
      <c r="F2959" s="1" t="str">
        <f t="shared" si="187"/>
        <v>50</v>
      </c>
      <c r="G2959" s="1" t="str">
        <f t="shared" si="188"/>
        <v/>
      </c>
      <c r="I2959" s="1" t="str">
        <f t="shared" si="186"/>
        <v>威尔新数值1.06.xlsm!suitPower</v>
      </c>
    </row>
    <row r="2960" spans="1:9" x14ac:dyDescent="0.15">
      <c r="A2960" s="1">
        <v>2959</v>
      </c>
      <c r="B2960" s="1">
        <v>103030200</v>
      </c>
      <c r="C2960" s="1">
        <f t="shared" si="185"/>
        <v>9</v>
      </c>
      <c r="D2960" s="5">
        <f ca="1">IF(getQuality(B2960)&lt;4,getOtherMin(B2960,C2960,INDIRECT(J$2),INDIRECT(I2960),test),getMin(B2960,C2960,INDIRECT(J$2),INDIRECT(I2960),test))</f>
        <v>53.82172660977222</v>
      </c>
      <c r="E2960" s="5">
        <f ca="1">IF(getQuality(B2960)&lt;4,getOtherMax(B2960,C2960,INDIRECT(J$2),INDIRECT(I2960),test),getMax(B2960,C2960,INDIRECT(J$2),INDIRECT(I2960),test))</f>
        <v>86.435552634172723</v>
      </c>
      <c r="F2960" s="1" t="str">
        <f t="shared" si="187"/>
        <v>50</v>
      </c>
      <c r="G2960" s="1" t="str">
        <f t="shared" si="188"/>
        <v/>
      </c>
      <c r="I2960" s="1" t="str">
        <f t="shared" si="186"/>
        <v>威尔新数值1.06.xlsm!suitPower</v>
      </c>
    </row>
    <row r="2961" spans="1:9" x14ac:dyDescent="0.15">
      <c r="A2961" s="1">
        <v>2960</v>
      </c>
      <c r="B2961" s="1">
        <v>103030200</v>
      </c>
      <c r="C2961" s="1">
        <f t="shared" si="185"/>
        <v>10</v>
      </c>
      <c r="D2961" s="5">
        <f ca="1">IF(getQuality(B2961)&lt;4,getOtherMin(B2961,C2961,INDIRECT(J$2),INDIRECT(I2961),test),getMin(B2961,C2961,INDIRECT(J$2),INDIRECT(I2961),test))</f>
        <v>53.82172660977222</v>
      </c>
      <c r="E2961" s="5">
        <f ca="1">IF(getQuality(B2961)&lt;4,getOtherMax(B2961,C2961,INDIRECT(J$2),INDIRECT(I2961),test),getMax(B2961,C2961,INDIRECT(J$2),INDIRECT(I2961),test))</f>
        <v>86.435552634172723</v>
      </c>
      <c r="F2961" s="1" t="str">
        <f t="shared" si="187"/>
        <v>50</v>
      </c>
      <c r="G2961" s="1" t="str">
        <f t="shared" si="188"/>
        <v/>
      </c>
      <c r="I2961" s="1" t="str">
        <f t="shared" si="186"/>
        <v>威尔新数值1.06.xlsm!suitPower</v>
      </c>
    </row>
    <row r="2962" spans="1:9" x14ac:dyDescent="0.15">
      <c r="A2962" s="1">
        <v>2961</v>
      </c>
      <c r="B2962" s="1">
        <v>103030200</v>
      </c>
      <c r="C2962" s="1">
        <f t="shared" si="185"/>
        <v>11</v>
      </c>
      <c r="D2962" s="5">
        <f ca="1">IF(getQuality(B2962)&lt;4,getOtherMin(B2962,C2962,INDIRECT(J$2),INDIRECT(I2962),test),getMin(B2962,C2962,INDIRECT(J$2),INDIRECT(I2962),test))</f>
        <v>53.82172660977222</v>
      </c>
      <c r="E2962" s="5">
        <f ca="1">IF(getQuality(B2962)&lt;4,getOtherMax(B2962,C2962,INDIRECT(J$2),INDIRECT(I2962),test),getMax(B2962,C2962,INDIRECT(J$2),INDIRECT(I2962),test))</f>
        <v>86.435552634172723</v>
      </c>
      <c r="F2962" s="1" t="str">
        <f t="shared" si="187"/>
        <v>50</v>
      </c>
      <c r="G2962" s="1" t="str">
        <f t="shared" si="188"/>
        <v/>
      </c>
      <c r="I2962" s="1" t="str">
        <f t="shared" si="186"/>
        <v>威尔新数值1.06.xlsm!suitPower</v>
      </c>
    </row>
    <row r="2963" spans="1:9" x14ac:dyDescent="0.15">
      <c r="A2963" s="1">
        <v>2962</v>
      </c>
      <c r="B2963" s="1">
        <v>103030200</v>
      </c>
      <c r="C2963" s="1">
        <f t="shared" si="185"/>
        <v>12</v>
      </c>
      <c r="D2963" s="5">
        <f ca="1">IF(getQuality(B2963)&lt;4,getOtherMin(B2963,C2963,INDIRECT(J$2),INDIRECT(I2963),test),getMin(B2963,C2963,INDIRECT(J$2),INDIRECT(I2963),test))</f>
        <v>53.82172660977222</v>
      </c>
      <c r="E2963" s="5">
        <f ca="1">IF(getQuality(B2963)&lt;4,getOtherMax(B2963,C2963,INDIRECT(J$2),INDIRECT(I2963),test),getMax(B2963,C2963,INDIRECT(J$2),INDIRECT(I2963),test))</f>
        <v>86.435552634172723</v>
      </c>
      <c r="F2963" s="1" t="str">
        <f t="shared" si="187"/>
        <v>50</v>
      </c>
      <c r="G2963" s="1" t="str">
        <f t="shared" si="188"/>
        <v/>
      </c>
      <c r="I2963" s="1" t="str">
        <f t="shared" si="186"/>
        <v>威尔新数值1.06.xlsm!suitPower</v>
      </c>
    </row>
    <row r="2964" spans="1:9" x14ac:dyDescent="0.15">
      <c r="A2964" s="1">
        <v>2963</v>
      </c>
      <c r="B2964" s="1">
        <v>103030200</v>
      </c>
      <c r="C2964" s="1">
        <f t="shared" si="185"/>
        <v>13</v>
      </c>
      <c r="D2964" s="5">
        <f ca="1">IF(getQuality(B2964)&lt;4,getOtherMin(B2964,C2964,INDIRECT(J$2),INDIRECT(I2964),test),getMin(B2964,C2964,INDIRECT(J$2),INDIRECT(I2964),test))</f>
        <v>53.82172660977222</v>
      </c>
      <c r="E2964" s="5">
        <f ca="1">IF(getQuality(B2964)&lt;4,getOtherMax(B2964,C2964,INDIRECT(J$2),INDIRECT(I2964),test),getMax(B2964,C2964,INDIRECT(J$2),INDIRECT(I2964),test))</f>
        <v>86.435552634172723</v>
      </c>
      <c r="F2964" s="1" t="str">
        <f t="shared" si="187"/>
        <v>50</v>
      </c>
      <c r="G2964" s="1" t="str">
        <f t="shared" si="188"/>
        <v/>
      </c>
      <c r="I2964" s="1" t="str">
        <f t="shared" si="186"/>
        <v>威尔新数值1.06.xlsm!suitPower</v>
      </c>
    </row>
    <row r="2965" spans="1:9" x14ac:dyDescent="0.15">
      <c r="A2965" s="1">
        <v>2964</v>
      </c>
      <c r="B2965" s="1">
        <v>103030200</v>
      </c>
      <c r="C2965" s="1">
        <f t="shared" si="185"/>
        <v>14</v>
      </c>
      <c r="D2965" s="5">
        <f ca="1">IF(getQuality(B2965)&lt;4,getOtherMin(B2965,C2965,INDIRECT(J$2),INDIRECT(I2965),test),getMin(B2965,C2965,INDIRECT(J$2),INDIRECT(I2965),test))</f>
        <v>53.82172660977222</v>
      </c>
      <c r="E2965" s="5">
        <f ca="1">IF(getQuality(B2965)&lt;4,getOtherMax(B2965,C2965,INDIRECT(J$2),INDIRECT(I2965),test),getMax(B2965,C2965,INDIRECT(J$2),INDIRECT(I2965),test))</f>
        <v>86.435552634172723</v>
      </c>
      <c r="F2965" s="1" t="str">
        <f t="shared" si="187"/>
        <v>50</v>
      </c>
      <c r="G2965" s="1" t="str">
        <f t="shared" si="188"/>
        <v/>
      </c>
      <c r="I2965" s="1" t="str">
        <f t="shared" si="186"/>
        <v>威尔新数值1.06.xlsm!suitPower</v>
      </c>
    </row>
    <row r="2966" spans="1:9" x14ac:dyDescent="0.15">
      <c r="A2966" s="1">
        <v>2965</v>
      </c>
      <c r="B2966" s="1">
        <v>103030200</v>
      </c>
      <c r="C2966" s="1">
        <f t="shared" si="185"/>
        <v>15</v>
      </c>
      <c r="D2966" s="5">
        <f ca="1">IF(getQuality(B2966)&lt;4,getOtherMin(B2966,C2966,INDIRECT(J$2),INDIRECT(I2966),test),getMin(B2966,C2966,INDIRECT(J$2),INDIRECT(I2966),test))</f>
        <v>53.82172660977222</v>
      </c>
      <c r="E2966" s="5">
        <f ca="1">IF(getQuality(B2966)&lt;4,getOtherMax(B2966,C2966,INDIRECT(J$2),INDIRECT(I2966),test),getMax(B2966,C2966,INDIRECT(J$2),INDIRECT(I2966),test))</f>
        <v>86.435552634172723</v>
      </c>
      <c r="F2966" s="1" t="str">
        <f t="shared" si="187"/>
        <v>50</v>
      </c>
      <c r="G2966" s="1" t="str">
        <f t="shared" si="188"/>
        <v/>
      </c>
      <c r="I2966" s="1" t="str">
        <f t="shared" si="186"/>
        <v>威尔新数值1.06.xlsm!suitPower</v>
      </c>
    </row>
    <row r="2967" spans="1:9" x14ac:dyDescent="0.15">
      <c r="A2967" s="1">
        <v>2966</v>
      </c>
      <c r="B2967" s="1">
        <v>103030200</v>
      </c>
      <c r="C2967" s="1">
        <f t="shared" si="185"/>
        <v>101</v>
      </c>
      <c r="D2967" s="5">
        <f ca="1">IF(getQuality(B2967)&lt;4,getOtherMin(B2967,C2967,INDIRECT(J$2),INDIRECT(I2967),test),getMin(B2967,C2967,INDIRECT(J$2),INDIRECT(I2967),test))</f>
        <v>0.09</v>
      </c>
      <c r="E2967" s="5">
        <f ca="1">IF(getQuality(B2967)&lt;4,getOtherMax(B2967,C2967,INDIRECT(J$2),INDIRECT(I2967),test),getMax(B2967,C2967,INDIRECT(J$2),INDIRECT(I2967),test))</f>
        <v>0.12</v>
      </c>
      <c r="F2967" s="1" t="str">
        <f t="shared" si="187"/>
        <v>50</v>
      </c>
      <c r="G2967" s="1" t="str">
        <f t="shared" si="188"/>
        <v/>
      </c>
      <c r="I2967" s="1" t="str">
        <f t="shared" si="186"/>
        <v>威尔新数值1.06.xlsm!circlePer</v>
      </c>
    </row>
    <row r="2968" spans="1:9" x14ac:dyDescent="0.15">
      <c r="A2968" s="1">
        <v>2967</v>
      </c>
      <c r="B2968" s="1">
        <v>103030200</v>
      </c>
      <c r="C2968" s="1">
        <f t="shared" si="185"/>
        <v>102</v>
      </c>
      <c r="D2968" s="5">
        <f ca="1">IF(getQuality(B2968)&lt;4,getOtherMin(B2968,C2968,INDIRECT(J$2),INDIRECT(I2968),test),getMin(B2968,C2968,INDIRECT(J$2),INDIRECT(I2968),test))</f>
        <v>0.8</v>
      </c>
      <c r="E2968" s="5">
        <f ca="1">IF(getQuality(B2968)&lt;4,getOtherMax(B2968,C2968,INDIRECT(J$2),INDIRECT(I2968),test),getMax(B2968,C2968,INDIRECT(J$2),INDIRECT(I2968),test))</f>
        <v>1.1000000000000001</v>
      </c>
      <c r="F2968" s="1" t="str">
        <f t="shared" si="187"/>
        <v>50</v>
      </c>
      <c r="G2968" s="1" t="str">
        <f t="shared" si="188"/>
        <v/>
      </c>
      <c r="I2968" s="1" t="str">
        <f t="shared" si="186"/>
        <v>威尔新数值1.06.xlsm!circleValue</v>
      </c>
    </row>
    <row r="2969" spans="1:9" x14ac:dyDescent="0.15">
      <c r="A2969" s="1">
        <v>2968</v>
      </c>
      <c r="B2969" s="1">
        <v>103030200</v>
      </c>
      <c r="C2969" s="1">
        <f t="shared" si="185"/>
        <v>103</v>
      </c>
      <c r="D2969" s="5">
        <f ca="1">IF(getQuality(B2969)&lt;4,getOtherMin(B2969,C2969,INDIRECT(J$2),INDIRECT(I2969),test),getMin(B2969,C2969,INDIRECT(J$2),INDIRECT(I2969),test))</f>
        <v>0.09</v>
      </c>
      <c r="E2969" s="5">
        <f ca="1">IF(getQuality(B2969)&lt;4,getOtherMax(B2969,C2969,INDIRECT(J$2),INDIRECT(I2969),test),getMax(B2969,C2969,INDIRECT(J$2),INDIRECT(I2969),test))</f>
        <v>0.12</v>
      </c>
      <c r="F2969" s="1" t="str">
        <f t="shared" si="187"/>
        <v>50</v>
      </c>
      <c r="G2969" s="1" t="str">
        <f t="shared" si="188"/>
        <v/>
      </c>
      <c r="I2969" s="1" t="str">
        <f t="shared" si="186"/>
        <v>威尔新数值1.06.xlsm!otherDamage</v>
      </c>
    </row>
    <row r="2970" spans="1:9" x14ac:dyDescent="0.15">
      <c r="A2970" s="1">
        <v>2969</v>
      </c>
      <c r="B2970" s="1">
        <v>103030200</v>
      </c>
      <c r="C2970" s="1">
        <f t="shared" si="185"/>
        <v>104</v>
      </c>
      <c r="D2970" s="5">
        <f ca="1">IF(getQuality(B2970)&lt;4,getOtherMin(B2970,C2970,INDIRECT(J$2),INDIRECT(I2970),test),getMin(B2970,C2970,INDIRECT(J$2),INDIRECT(I2970),test))</f>
        <v>0.09</v>
      </c>
      <c r="E2970" s="5">
        <f ca="1">IF(getQuality(B2970)&lt;4,getOtherMax(B2970,C2970,INDIRECT(J$2),INDIRECT(I2970),test),getMax(B2970,C2970,INDIRECT(J$2),INDIRECT(I2970),test))</f>
        <v>0.18</v>
      </c>
      <c r="F2970" s="1" t="str">
        <f t="shared" si="187"/>
        <v>50</v>
      </c>
      <c r="G2970" s="1" t="str">
        <f t="shared" si="188"/>
        <v/>
      </c>
      <c r="I2970" s="1" t="str">
        <f t="shared" si="186"/>
        <v>威尔新数值1.06.xlsm!monsterDamage</v>
      </c>
    </row>
    <row r="2971" spans="1:9" x14ac:dyDescent="0.15">
      <c r="A2971" s="1">
        <v>2970</v>
      </c>
      <c r="B2971" s="1">
        <v>103030200</v>
      </c>
      <c r="C2971" s="1">
        <f t="shared" si="185"/>
        <v>105</v>
      </c>
      <c r="D2971" s="5">
        <f ca="1">IF(getQuality(B2971)&lt;4,getOtherMin(B2971,C2971,INDIRECT(J$2),INDIRECT(I2971),test),getMin(B2971,C2971,INDIRECT(J$2),INDIRECT(I2971),test))</f>
        <v>0.09</v>
      </c>
      <c r="E2971" s="5">
        <f ca="1">IF(getQuality(B2971)&lt;4,getOtherMax(B2971,C2971,INDIRECT(J$2),INDIRECT(I2971),test),getMax(B2971,C2971,INDIRECT(J$2),INDIRECT(I2971),test))</f>
        <v>0.18</v>
      </c>
      <c r="F2971" s="1" t="str">
        <f t="shared" si="187"/>
        <v>50</v>
      </c>
      <c r="G2971" s="1" t="str">
        <f t="shared" si="188"/>
        <v/>
      </c>
      <c r="I2971" s="1" t="str">
        <f t="shared" si="186"/>
        <v>威尔新数值1.06.xlsm!monsterDamage</v>
      </c>
    </row>
    <row r="2972" spans="1:9" x14ac:dyDescent="0.15">
      <c r="A2972" s="1">
        <v>2971</v>
      </c>
      <c r="B2972" s="1">
        <v>103030200</v>
      </c>
      <c r="C2972" s="1">
        <f t="shared" si="185"/>
        <v>106</v>
      </c>
      <c r="D2972" s="5">
        <f ca="1">IF(getQuality(B2972)&lt;4,getOtherMin(B2972,C2972,INDIRECT(J$2),INDIRECT(I2972),test),getMin(B2972,C2972,INDIRECT(J$2),INDIRECT(I2972),test))</f>
        <v>0.09</v>
      </c>
      <c r="E2972" s="5">
        <f ca="1">IF(getQuality(B2972)&lt;4,getOtherMax(B2972,C2972,INDIRECT(J$2),INDIRECT(I2972),test),getMax(B2972,C2972,INDIRECT(J$2),INDIRECT(I2972),test))</f>
        <v>0.18</v>
      </c>
      <c r="F2972" s="1" t="str">
        <f t="shared" si="187"/>
        <v>50</v>
      </c>
      <c r="G2972" s="1" t="str">
        <f t="shared" si="188"/>
        <v/>
      </c>
      <c r="I2972" s="1" t="str">
        <f t="shared" si="186"/>
        <v>威尔新数值1.06.xlsm!monsterDamage</v>
      </c>
    </row>
    <row r="2973" spans="1:9" x14ac:dyDescent="0.15">
      <c r="A2973" s="1">
        <v>2972</v>
      </c>
      <c r="B2973" s="1">
        <v>103030200</v>
      </c>
      <c r="C2973" s="1">
        <f t="shared" si="185"/>
        <v>107</v>
      </c>
      <c r="D2973" s="5">
        <f ca="1">IF(getQuality(B2973)&lt;4,getOtherMin(B2973,C2973,INDIRECT(J$2),INDIRECT(I2973),test),getMin(B2973,C2973,INDIRECT(J$2),INDIRECT(I2973),test))</f>
        <v>0.09</v>
      </c>
      <c r="E2973" s="5">
        <f ca="1">IF(getQuality(B2973)&lt;4,getOtherMax(B2973,C2973,INDIRECT(J$2),INDIRECT(I2973),test),getMax(B2973,C2973,INDIRECT(J$2),INDIRECT(I2973),test))</f>
        <v>0.18</v>
      </c>
      <c r="F2973" s="1" t="str">
        <f t="shared" si="187"/>
        <v>50</v>
      </c>
      <c r="G2973" s="1" t="str">
        <f t="shared" si="188"/>
        <v/>
      </c>
      <c r="I2973" s="1" t="str">
        <f t="shared" si="186"/>
        <v>威尔新数值1.06.xlsm!monsterDamage</v>
      </c>
    </row>
    <row r="2974" spans="1:9" x14ac:dyDescent="0.15">
      <c r="A2974" s="1">
        <v>2973</v>
      </c>
      <c r="B2974" s="1">
        <v>103030200</v>
      </c>
      <c r="C2974" s="1">
        <f t="shared" si="185"/>
        <v>108</v>
      </c>
      <c r="D2974" s="5">
        <f ca="1">IF(getQuality(B2974)&lt;4,getOtherMin(B2974,C2974,INDIRECT(J$2),INDIRECT(I2974),test),getMin(B2974,C2974,INDIRECT(J$2),INDIRECT(I2974),test))</f>
        <v>0.09</v>
      </c>
      <c r="E2974" s="5">
        <f ca="1">IF(getQuality(B2974)&lt;4,getOtherMax(B2974,C2974,INDIRECT(J$2),INDIRECT(I2974),test),getMax(B2974,C2974,INDIRECT(J$2),INDIRECT(I2974),test))</f>
        <v>0.18</v>
      </c>
      <c r="F2974" s="1" t="str">
        <f t="shared" si="187"/>
        <v>50</v>
      </c>
      <c r="G2974" s="1" t="str">
        <f t="shared" si="188"/>
        <v/>
      </c>
      <c r="I2974" s="1" t="str">
        <f t="shared" si="186"/>
        <v>威尔新数值1.06.xlsm!monsterDamage</v>
      </c>
    </row>
    <row r="2975" spans="1:9" x14ac:dyDescent="0.15">
      <c r="A2975" s="1">
        <v>2974</v>
      </c>
      <c r="B2975" s="1">
        <v>103040200</v>
      </c>
      <c r="C2975" s="1">
        <f t="shared" si="185"/>
        <v>3</v>
      </c>
      <c r="D2975" s="5">
        <f ca="1">IF(getQuality(B2975)&lt;4,getOtherMin(B2975,C2975,INDIRECT(J$2),INDIRECT(I2975),test),getMin(B2975,C2975,INDIRECT(J$2),INDIRECT(I2975),test))</f>
        <v>87.435552634172723</v>
      </c>
      <c r="E2975" s="5">
        <f ca="1">IF(getQuality(B2975)&lt;4,getOtherMax(B2975,C2975,INDIRECT(J$2),INDIRECT(I2975),test),getMax(B2975,C2975,INDIRECT(J$2),INDIRECT(I2975),test))</f>
        <v>124.85135380491616</v>
      </c>
      <c r="F2975" s="1" t="str">
        <f t="shared" si="187"/>
        <v>50</v>
      </c>
      <c r="G2975" s="1" t="str">
        <f t="shared" si="188"/>
        <v>1</v>
      </c>
      <c r="I2975" s="1" t="str">
        <f t="shared" si="186"/>
        <v>威尔新数值1.06.xlsm!suitPower</v>
      </c>
    </row>
    <row r="2976" spans="1:9" x14ac:dyDescent="0.15">
      <c r="A2976" s="1">
        <v>2975</v>
      </c>
      <c r="B2976" s="1">
        <v>103040200</v>
      </c>
      <c r="C2976" s="1">
        <f t="shared" si="185"/>
        <v>5</v>
      </c>
      <c r="D2976" s="5">
        <f ca="1">IF(getQuality(B2976)&lt;4,getOtherMin(B2976,C2976,INDIRECT(J$2),INDIRECT(I2976),test),getMin(B2976,C2976,INDIRECT(J$2),INDIRECT(I2976),test))</f>
        <v>87.435552634172723</v>
      </c>
      <c r="E2976" s="5">
        <f ca="1">IF(getQuality(B2976)&lt;4,getOtherMax(B2976,C2976,INDIRECT(J$2),INDIRECT(I2976),test),getMax(B2976,C2976,INDIRECT(J$2),INDIRECT(I2976),test))</f>
        <v>124.85135380491616</v>
      </c>
      <c r="F2976" s="1" t="str">
        <f t="shared" si="187"/>
        <v>50</v>
      </c>
      <c r="G2976" s="1" t="str">
        <f t="shared" si="188"/>
        <v/>
      </c>
      <c r="I2976" s="1" t="str">
        <f t="shared" si="186"/>
        <v>威尔新数值1.06.xlsm!suitPower</v>
      </c>
    </row>
    <row r="2977" spans="1:9" x14ac:dyDescent="0.15">
      <c r="A2977" s="1">
        <v>2976</v>
      </c>
      <c r="B2977" s="1">
        <v>103040200</v>
      </c>
      <c r="C2977" s="1">
        <f t="shared" si="185"/>
        <v>7</v>
      </c>
      <c r="D2977" s="5">
        <f ca="1">IF(getQuality(B2977)&lt;4,getOtherMin(B2977,C2977,INDIRECT(J$2),INDIRECT(I2977),test),getMin(B2977,C2977,INDIRECT(J$2),INDIRECT(I2977),test))</f>
        <v>23.222222222222165</v>
      </c>
      <c r="E2977" s="5">
        <f ca="1">IF(getQuality(B2977)&lt;4,getOtherMax(B2977,C2977,INDIRECT(J$2),INDIRECT(I2977),test),getMax(B2977,C2977,INDIRECT(J$2),INDIRECT(I2977),test))</f>
        <v>29.629629629629555</v>
      </c>
      <c r="F2977" s="1" t="str">
        <f t="shared" si="187"/>
        <v>50</v>
      </c>
      <c r="G2977" s="1" t="str">
        <f t="shared" si="188"/>
        <v/>
      </c>
      <c r="I2977" s="1" t="str">
        <f t="shared" si="186"/>
        <v>威尔新数值1.06.xlsm!suitPower</v>
      </c>
    </row>
    <row r="2978" spans="1:9" x14ac:dyDescent="0.15">
      <c r="A2978" s="1">
        <v>2977</v>
      </c>
      <c r="B2978" s="1">
        <v>103040200</v>
      </c>
      <c r="C2978" s="1">
        <f t="shared" si="185"/>
        <v>8</v>
      </c>
      <c r="D2978" s="5">
        <f ca="1">IF(getQuality(B2978)&lt;4,getOtherMin(B2978,C2978,INDIRECT(J$2),INDIRECT(I2978),test),getMin(B2978,C2978,INDIRECT(J$2),INDIRECT(I2978),test))</f>
        <v>51</v>
      </c>
      <c r="E2978" s="5">
        <f ca="1">IF(getQuality(B2978)&lt;4,getOtherMax(B2978,C2978,INDIRECT(J$2),INDIRECT(I2978),test),getMax(B2978,C2978,INDIRECT(J$2),INDIRECT(I2978),test))</f>
        <v>66.666666666666671</v>
      </c>
      <c r="F2978" s="1" t="str">
        <f t="shared" si="187"/>
        <v>50</v>
      </c>
      <c r="G2978" s="1" t="str">
        <f t="shared" si="188"/>
        <v/>
      </c>
      <c r="I2978" s="1" t="str">
        <f t="shared" si="186"/>
        <v>威尔新数值1.06.xlsm!suitPower</v>
      </c>
    </row>
    <row r="2979" spans="1:9" x14ac:dyDescent="0.15">
      <c r="A2979" s="1">
        <v>2978</v>
      </c>
      <c r="B2979" s="1">
        <v>103040200</v>
      </c>
      <c r="C2979" s="1">
        <f t="shared" si="185"/>
        <v>9</v>
      </c>
      <c r="D2979" s="5">
        <f ca="1">IF(getQuality(B2979)&lt;4,getOtherMin(B2979,C2979,INDIRECT(J$2),INDIRECT(I2979),test),getMin(B2979,C2979,INDIRECT(J$2),INDIRECT(I2979),test))</f>
        <v>87.435552634172723</v>
      </c>
      <c r="E2979" s="5">
        <f ca="1">IF(getQuality(B2979)&lt;4,getOtherMax(B2979,C2979,INDIRECT(J$2),INDIRECT(I2979),test),getMax(B2979,C2979,INDIRECT(J$2),INDIRECT(I2979),test))</f>
        <v>124.85135380491616</v>
      </c>
      <c r="F2979" s="1" t="str">
        <f t="shared" si="187"/>
        <v>50</v>
      </c>
      <c r="G2979" s="1" t="str">
        <f t="shared" si="188"/>
        <v/>
      </c>
      <c r="I2979" s="1" t="str">
        <f t="shared" si="186"/>
        <v>威尔新数值1.06.xlsm!suitPower</v>
      </c>
    </row>
    <row r="2980" spans="1:9" x14ac:dyDescent="0.15">
      <c r="A2980" s="1">
        <v>2979</v>
      </c>
      <c r="B2980" s="1">
        <v>103040200</v>
      </c>
      <c r="C2980" s="1">
        <f t="shared" si="185"/>
        <v>10</v>
      </c>
      <c r="D2980" s="5">
        <f ca="1">IF(getQuality(B2980)&lt;4,getOtherMin(B2980,C2980,INDIRECT(J$2),INDIRECT(I2980),test),getMin(B2980,C2980,INDIRECT(J$2),INDIRECT(I2980),test))</f>
        <v>87.435552634172723</v>
      </c>
      <c r="E2980" s="5">
        <f ca="1">IF(getQuality(B2980)&lt;4,getOtherMax(B2980,C2980,INDIRECT(J$2),INDIRECT(I2980),test),getMax(B2980,C2980,INDIRECT(J$2),INDIRECT(I2980),test))</f>
        <v>124.85135380491616</v>
      </c>
      <c r="F2980" s="1" t="str">
        <f t="shared" si="187"/>
        <v>50</v>
      </c>
      <c r="G2980" s="1" t="str">
        <f t="shared" si="188"/>
        <v/>
      </c>
      <c r="I2980" s="1" t="str">
        <f t="shared" si="186"/>
        <v>威尔新数值1.06.xlsm!suitPower</v>
      </c>
    </row>
    <row r="2981" spans="1:9" x14ac:dyDescent="0.15">
      <c r="A2981" s="1">
        <v>2980</v>
      </c>
      <c r="B2981" s="1">
        <v>103040200</v>
      </c>
      <c r="C2981" s="1">
        <f t="shared" si="185"/>
        <v>11</v>
      </c>
      <c r="D2981" s="5">
        <f ca="1">IF(getQuality(B2981)&lt;4,getOtherMin(B2981,C2981,INDIRECT(J$2),INDIRECT(I2981),test),getMin(B2981,C2981,INDIRECT(J$2),INDIRECT(I2981),test))</f>
        <v>87.435552634172723</v>
      </c>
      <c r="E2981" s="5">
        <f ca="1">IF(getQuality(B2981)&lt;4,getOtherMax(B2981,C2981,INDIRECT(J$2),INDIRECT(I2981),test),getMax(B2981,C2981,INDIRECT(J$2),INDIRECT(I2981),test))</f>
        <v>124.85135380491616</v>
      </c>
      <c r="F2981" s="1" t="str">
        <f t="shared" si="187"/>
        <v>50</v>
      </c>
      <c r="G2981" s="1" t="str">
        <f t="shared" si="188"/>
        <v/>
      </c>
      <c r="I2981" s="1" t="str">
        <f t="shared" si="186"/>
        <v>威尔新数值1.06.xlsm!suitPower</v>
      </c>
    </row>
    <row r="2982" spans="1:9" x14ac:dyDescent="0.15">
      <c r="A2982" s="1">
        <v>2981</v>
      </c>
      <c r="B2982" s="1">
        <v>103040200</v>
      </c>
      <c r="C2982" s="1">
        <f t="shared" si="185"/>
        <v>12</v>
      </c>
      <c r="D2982" s="5">
        <f ca="1">IF(getQuality(B2982)&lt;4,getOtherMin(B2982,C2982,INDIRECT(J$2),INDIRECT(I2982),test),getMin(B2982,C2982,INDIRECT(J$2),INDIRECT(I2982),test))</f>
        <v>87.435552634172723</v>
      </c>
      <c r="E2982" s="5">
        <f ca="1">IF(getQuality(B2982)&lt;4,getOtherMax(B2982,C2982,INDIRECT(J$2),INDIRECT(I2982),test),getMax(B2982,C2982,INDIRECT(J$2),INDIRECT(I2982),test))</f>
        <v>124.85135380491616</v>
      </c>
      <c r="F2982" s="1" t="str">
        <f t="shared" si="187"/>
        <v>50</v>
      </c>
      <c r="G2982" s="1" t="str">
        <f t="shared" si="188"/>
        <v/>
      </c>
      <c r="I2982" s="1" t="str">
        <f t="shared" si="186"/>
        <v>威尔新数值1.06.xlsm!suitPower</v>
      </c>
    </row>
    <row r="2983" spans="1:9" x14ac:dyDescent="0.15">
      <c r="A2983" s="1">
        <v>2982</v>
      </c>
      <c r="B2983" s="1">
        <v>103040200</v>
      </c>
      <c r="C2983" s="1">
        <f t="shared" si="185"/>
        <v>13</v>
      </c>
      <c r="D2983" s="5">
        <f ca="1">IF(getQuality(B2983)&lt;4,getOtherMin(B2983,C2983,INDIRECT(J$2),INDIRECT(I2983),test),getMin(B2983,C2983,INDIRECT(J$2),INDIRECT(I2983),test))</f>
        <v>87.435552634172723</v>
      </c>
      <c r="E2983" s="5">
        <f ca="1">IF(getQuality(B2983)&lt;4,getOtherMax(B2983,C2983,INDIRECT(J$2),INDIRECT(I2983),test),getMax(B2983,C2983,INDIRECT(J$2),INDIRECT(I2983),test))</f>
        <v>124.85135380491616</v>
      </c>
      <c r="F2983" s="1" t="str">
        <f t="shared" si="187"/>
        <v>50</v>
      </c>
      <c r="G2983" s="1" t="str">
        <f t="shared" si="188"/>
        <v/>
      </c>
      <c r="I2983" s="1" t="str">
        <f t="shared" si="186"/>
        <v>威尔新数值1.06.xlsm!suitPower</v>
      </c>
    </row>
    <row r="2984" spans="1:9" x14ac:dyDescent="0.15">
      <c r="A2984" s="1">
        <v>2983</v>
      </c>
      <c r="B2984" s="1">
        <v>103040200</v>
      </c>
      <c r="C2984" s="1">
        <f t="shared" si="185"/>
        <v>14</v>
      </c>
      <c r="D2984" s="5">
        <f ca="1">IF(getQuality(B2984)&lt;4,getOtherMin(B2984,C2984,INDIRECT(J$2),INDIRECT(I2984),test),getMin(B2984,C2984,INDIRECT(J$2),INDIRECT(I2984),test))</f>
        <v>87.435552634172723</v>
      </c>
      <c r="E2984" s="5">
        <f ca="1">IF(getQuality(B2984)&lt;4,getOtherMax(B2984,C2984,INDIRECT(J$2),INDIRECT(I2984),test),getMax(B2984,C2984,INDIRECT(J$2),INDIRECT(I2984),test))</f>
        <v>124.85135380491616</v>
      </c>
      <c r="F2984" s="1" t="str">
        <f t="shared" si="187"/>
        <v>50</v>
      </c>
      <c r="G2984" s="1" t="str">
        <f t="shared" si="188"/>
        <v/>
      </c>
      <c r="I2984" s="1" t="str">
        <f t="shared" si="186"/>
        <v>威尔新数值1.06.xlsm!suitPower</v>
      </c>
    </row>
    <row r="2985" spans="1:9" x14ac:dyDescent="0.15">
      <c r="A2985" s="1">
        <v>2984</v>
      </c>
      <c r="B2985" s="1">
        <v>103040200</v>
      </c>
      <c r="C2985" s="1">
        <f t="shared" si="185"/>
        <v>15</v>
      </c>
      <c r="D2985" s="5">
        <f ca="1">IF(getQuality(B2985)&lt;4,getOtherMin(B2985,C2985,INDIRECT(J$2),INDIRECT(I2985),test),getMin(B2985,C2985,INDIRECT(J$2),INDIRECT(I2985),test))</f>
        <v>87.435552634172723</v>
      </c>
      <c r="E2985" s="5">
        <f ca="1">IF(getQuality(B2985)&lt;4,getOtherMax(B2985,C2985,INDIRECT(J$2),INDIRECT(I2985),test),getMax(B2985,C2985,INDIRECT(J$2),INDIRECT(I2985),test))</f>
        <v>124.85135380491616</v>
      </c>
      <c r="F2985" s="1" t="str">
        <f t="shared" si="187"/>
        <v>50</v>
      </c>
      <c r="G2985" s="1" t="str">
        <f t="shared" si="188"/>
        <v/>
      </c>
      <c r="I2985" s="1" t="str">
        <f t="shared" si="186"/>
        <v>威尔新数值1.06.xlsm!suitPower</v>
      </c>
    </row>
    <row r="2986" spans="1:9" x14ac:dyDescent="0.15">
      <c r="A2986" s="1">
        <v>2985</v>
      </c>
      <c r="B2986" s="1">
        <v>103040200</v>
      </c>
      <c r="C2986" s="1">
        <f t="shared" si="185"/>
        <v>101</v>
      </c>
      <c r="D2986" s="5">
        <f ca="1">IF(getQuality(B2986)&lt;4,getOtherMin(B2986,C2986,INDIRECT(J$2),INDIRECT(I2986),test),getMin(B2986,C2986,INDIRECT(J$2),INDIRECT(I2986),test))</f>
        <v>0.1</v>
      </c>
      <c r="E2986" s="5">
        <f ca="1">IF(getQuality(B2986)&lt;4,getOtherMax(B2986,C2986,INDIRECT(J$2),INDIRECT(I2986),test),getMax(B2986,C2986,INDIRECT(J$2),INDIRECT(I2986),test))</f>
        <v>0.13</v>
      </c>
      <c r="F2986" s="1" t="str">
        <f t="shared" si="187"/>
        <v>50</v>
      </c>
      <c r="G2986" s="1" t="str">
        <f t="shared" si="188"/>
        <v/>
      </c>
      <c r="I2986" s="1" t="str">
        <f t="shared" si="186"/>
        <v>威尔新数值1.06.xlsm!circlePer</v>
      </c>
    </row>
    <row r="2987" spans="1:9" x14ac:dyDescent="0.15">
      <c r="A2987" s="1">
        <v>2986</v>
      </c>
      <c r="B2987" s="1">
        <v>103040200</v>
      </c>
      <c r="C2987" s="1">
        <f t="shared" si="185"/>
        <v>102</v>
      </c>
      <c r="D2987" s="5">
        <f ca="1">IF(getQuality(B2987)&lt;4,getOtherMin(B2987,C2987,INDIRECT(J$2),INDIRECT(I2987),test),getMin(B2987,C2987,INDIRECT(J$2),INDIRECT(I2987),test))</f>
        <v>0.9</v>
      </c>
      <c r="E2987" s="5">
        <f ca="1">IF(getQuality(B2987)&lt;4,getOtherMax(B2987,C2987,INDIRECT(J$2),INDIRECT(I2987),test),getMax(B2987,C2987,INDIRECT(J$2),INDIRECT(I2987),test))</f>
        <v>1.2</v>
      </c>
      <c r="F2987" s="1" t="str">
        <f t="shared" si="187"/>
        <v>50</v>
      </c>
      <c r="G2987" s="1" t="str">
        <f t="shared" si="188"/>
        <v/>
      </c>
      <c r="I2987" s="1" t="str">
        <f t="shared" si="186"/>
        <v>威尔新数值1.06.xlsm!circleValue</v>
      </c>
    </row>
    <row r="2988" spans="1:9" x14ac:dyDescent="0.15">
      <c r="A2988" s="1">
        <v>2987</v>
      </c>
      <c r="B2988" s="1">
        <v>103040200</v>
      </c>
      <c r="C2988" s="1">
        <f t="shared" si="185"/>
        <v>103</v>
      </c>
      <c r="D2988" s="5">
        <f ca="1">IF(getQuality(B2988)&lt;4,getOtherMin(B2988,C2988,INDIRECT(J$2),INDIRECT(I2988),test),getMin(B2988,C2988,INDIRECT(J$2),INDIRECT(I2988),test))</f>
        <v>0.1</v>
      </c>
      <c r="E2988" s="5">
        <f ca="1">IF(getQuality(B2988)&lt;4,getOtherMax(B2988,C2988,INDIRECT(J$2),INDIRECT(I2988),test),getMax(B2988,C2988,INDIRECT(J$2),INDIRECT(I2988),test))</f>
        <v>0.13</v>
      </c>
      <c r="F2988" s="1" t="str">
        <f t="shared" si="187"/>
        <v>50</v>
      </c>
      <c r="G2988" s="1" t="str">
        <f t="shared" si="188"/>
        <v/>
      </c>
      <c r="I2988" s="1" t="str">
        <f t="shared" si="186"/>
        <v>威尔新数值1.06.xlsm!otherDamage</v>
      </c>
    </row>
    <row r="2989" spans="1:9" x14ac:dyDescent="0.15">
      <c r="A2989" s="1">
        <v>2988</v>
      </c>
      <c r="B2989" s="1">
        <v>103040200</v>
      </c>
      <c r="C2989" s="1">
        <f t="shared" si="185"/>
        <v>104</v>
      </c>
      <c r="D2989" s="5">
        <f ca="1">IF(getQuality(B2989)&lt;4,getOtherMin(B2989,C2989,INDIRECT(J$2),INDIRECT(I2989),test),getMin(B2989,C2989,INDIRECT(J$2),INDIRECT(I2989),test))</f>
        <v>0.1</v>
      </c>
      <c r="E2989" s="5">
        <f ca="1">IF(getQuality(B2989)&lt;4,getOtherMax(B2989,C2989,INDIRECT(J$2),INDIRECT(I2989),test),getMax(B2989,C2989,INDIRECT(J$2),INDIRECT(I2989),test))</f>
        <v>0.2</v>
      </c>
      <c r="F2989" s="1" t="str">
        <f t="shared" si="187"/>
        <v>50</v>
      </c>
      <c r="G2989" s="1" t="str">
        <f t="shared" si="188"/>
        <v/>
      </c>
      <c r="I2989" s="1" t="str">
        <f t="shared" si="186"/>
        <v>威尔新数值1.06.xlsm!monsterDamage</v>
      </c>
    </row>
    <row r="2990" spans="1:9" x14ac:dyDescent="0.15">
      <c r="A2990" s="1">
        <v>2989</v>
      </c>
      <c r="B2990" s="1">
        <v>103040200</v>
      </c>
      <c r="C2990" s="1">
        <f t="shared" si="185"/>
        <v>105</v>
      </c>
      <c r="D2990" s="5">
        <f ca="1">IF(getQuality(B2990)&lt;4,getOtherMin(B2990,C2990,INDIRECT(J$2),INDIRECT(I2990),test),getMin(B2990,C2990,INDIRECT(J$2),INDIRECT(I2990),test))</f>
        <v>0.1</v>
      </c>
      <c r="E2990" s="5">
        <f ca="1">IF(getQuality(B2990)&lt;4,getOtherMax(B2990,C2990,INDIRECT(J$2),INDIRECT(I2990),test),getMax(B2990,C2990,INDIRECT(J$2),INDIRECT(I2990),test))</f>
        <v>0.2</v>
      </c>
      <c r="F2990" s="1" t="str">
        <f t="shared" si="187"/>
        <v>50</v>
      </c>
      <c r="G2990" s="1" t="str">
        <f t="shared" si="188"/>
        <v/>
      </c>
      <c r="I2990" s="1" t="str">
        <f t="shared" si="186"/>
        <v>威尔新数值1.06.xlsm!monsterDamage</v>
      </c>
    </row>
    <row r="2991" spans="1:9" x14ac:dyDescent="0.15">
      <c r="A2991" s="1">
        <v>2990</v>
      </c>
      <c r="B2991" s="1">
        <v>103040200</v>
      </c>
      <c r="C2991" s="1">
        <f t="shared" si="185"/>
        <v>106</v>
      </c>
      <c r="D2991" s="5">
        <f ca="1">IF(getQuality(B2991)&lt;4,getOtherMin(B2991,C2991,INDIRECT(J$2),INDIRECT(I2991),test),getMin(B2991,C2991,INDIRECT(J$2),INDIRECT(I2991),test))</f>
        <v>0.1</v>
      </c>
      <c r="E2991" s="5">
        <f ca="1">IF(getQuality(B2991)&lt;4,getOtherMax(B2991,C2991,INDIRECT(J$2),INDIRECT(I2991),test),getMax(B2991,C2991,INDIRECT(J$2),INDIRECT(I2991),test))</f>
        <v>0.2</v>
      </c>
      <c r="F2991" s="1" t="str">
        <f t="shared" si="187"/>
        <v>50</v>
      </c>
      <c r="G2991" s="1" t="str">
        <f t="shared" si="188"/>
        <v/>
      </c>
      <c r="I2991" s="1" t="str">
        <f t="shared" si="186"/>
        <v>威尔新数值1.06.xlsm!monsterDamage</v>
      </c>
    </row>
    <row r="2992" spans="1:9" x14ac:dyDescent="0.15">
      <c r="A2992" s="1">
        <v>2991</v>
      </c>
      <c r="B2992" s="1">
        <v>103040200</v>
      </c>
      <c r="C2992" s="1">
        <f t="shared" si="185"/>
        <v>107</v>
      </c>
      <c r="D2992" s="5">
        <f ca="1">IF(getQuality(B2992)&lt;4,getOtherMin(B2992,C2992,INDIRECT(J$2),INDIRECT(I2992),test),getMin(B2992,C2992,INDIRECT(J$2),INDIRECT(I2992),test))</f>
        <v>0.1</v>
      </c>
      <c r="E2992" s="5">
        <f ca="1">IF(getQuality(B2992)&lt;4,getOtherMax(B2992,C2992,INDIRECT(J$2),INDIRECT(I2992),test),getMax(B2992,C2992,INDIRECT(J$2),INDIRECT(I2992),test))</f>
        <v>0.2</v>
      </c>
      <c r="F2992" s="1" t="str">
        <f t="shared" si="187"/>
        <v>50</v>
      </c>
      <c r="G2992" s="1" t="str">
        <f t="shared" si="188"/>
        <v/>
      </c>
      <c r="I2992" s="1" t="str">
        <f t="shared" si="186"/>
        <v>威尔新数值1.06.xlsm!monsterDamage</v>
      </c>
    </row>
    <row r="2993" spans="1:9" x14ac:dyDescent="0.15">
      <c r="A2993" s="1">
        <v>2992</v>
      </c>
      <c r="B2993" s="1">
        <v>103040200</v>
      </c>
      <c r="C2993" s="1">
        <f t="shared" si="185"/>
        <v>108</v>
      </c>
      <c r="D2993" s="5">
        <f ca="1">IF(getQuality(B2993)&lt;4,getOtherMin(B2993,C2993,INDIRECT(J$2),INDIRECT(I2993),test),getMin(B2993,C2993,INDIRECT(J$2),INDIRECT(I2993),test))</f>
        <v>0.1</v>
      </c>
      <c r="E2993" s="5">
        <f ca="1">IF(getQuality(B2993)&lt;4,getOtherMax(B2993,C2993,INDIRECT(J$2),INDIRECT(I2993),test),getMax(B2993,C2993,INDIRECT(J$2),INDIRECT(I2993),test))</f>
        <v>0.2</v>
      </c>
      <c r="F2993" s="1" t="str">
        <f t="shared" si="187"/>
        <v>50</v>
      </c>
      <c r="G2993" s="1" t="str">
        <f t="shared" si="188"/>
        <v/>
      </c>
      <c r="I2993" s="1" t="str">
        <f t="shared" si="186"/>
        <v>威尔新数值1.06.xlsm!monsterDamage</v>
      </c>
    </row>
    <row r="2994" spans="1:9" x14ac:dyDescent="0.15">
      <c r="A2994" s="1">
        <v>2993</v>
      </c>
      <c r="B2994" s="1">
        <v>103050200</v>
      </c>
      <c r="C2994" s="1">
        <f t="shared" si="185"/>
        <v>3</v>
      </c>
      <c r="D2994" s="5">
        <f ca="1">IF(getQuality(B2994)&lt;4,getOtherMin(B2994,C2994,INDIRECT(J$2),INDIRECT(I2994),test),getMin(B2994,C2994,INDIRECT(J$2),INDIRECT(I2994),test))</f>
        <v>125.85135380491616</v>
      </c>
      <c r="E2994" s="5">
        <f ca="1">IF(getQuality(B2994)&lt;4,getOtherMax(B2994,C2994,INDIRECT(J$2),INDIRECT(I2994),test),getMax(B2994,C2994,INDIRECT(J$2),INDIRECT(I2994),test))</f>
        <v>169.16048810980774</v>
      </c>
      <c r="F2994" s="1" t="str">
        <f t="shared" si="187"/>
        <v>50</v>
      </c>
      <c r="G2994" s="1" t="str">
        <f t="shared" si="188"/>
        <v>1</v>
      </c>
      <c r="I2994" s="1" t="str">
        <f t="shared" si="186"/>
        <v>威尔新数值1.06.xlsm!suitPower</v>
      </c>
    </row>
    <row r="2995" spans="1:9" x14ac:dyDescent="0.15">
      <c r="A2995" s="1">
        <v>2994</v>
      </c>
      <c r="B2995" s="1">
        <v>103050200</v>
      </c>
      <c r="C2995" s="1">
        <f t="shared" si="185"/>
        <v>5</v>
      </c>
      <c r="D2995" s="5">
        <f ca="1">IF(getQuality(B2995)&lt;4,getOtherMin(B2995,C2995,INDIRECT(J$2),INDIRECT(I2995),test),getMin(B2995,C2995,INDIRECT(J$2),INDIRECT(I2995),test))</f>
        <v>125.85135380491616</v>
      </c>
      <c r="E2995" s="5">
        <f ca="1">IF(getQuality(B2995)&lt;4,getOtherMax(B2995,C2995,INDIRECT(J$2),INDIRECT(I2995),test),getMax(B2995,C2995,INDIRECT(J$2),INDIRECT(I2995),test))</f>
        <v>169.16048810980774</v>
      </c>
      <c r="F2995" s="1" t="str">
        <f t="shared" si="187"/>
        <v>50</v>
      </c>
      <c r="G2995" s="1" t="str">
        <f t="shared" si="188"/>
        <v/>
      </c>
      <c r="I2995" s="1" t="str">
        <f t="shared" si="186"/>
        <v>威尔新数值1.06.xlsm!suitPower</v>
      </c>
    </row>
    <row r="2996" spans="1:9" x14ac:dyDescent="0.15">
      <c r="A2996" s="1">
        <v>2995</v>
      </c>
      <c r="B2996" s="1">
        <v>103050200</v>
      </c>
      <c r="C2996" s="1">
        <f t="shared" si="185"/>
        <v>7</v>
      </c>
      <c r="D2996" s="5">
        <f ca="1">IF(getQuality(B2996)&lt;4,getOtherMin(B2996,C2996,INDIRECT(J$2),INDIRECT(I2996),test),getMin(B2996,C2996,INDIRECT(J$2),INDIRECT(I2996),test))</f>
        <v>30.629629629629555</v>
      </c>
      <c r="E2996" s="5">
        <f ca="1">IF(getQuality(B2996)&lt;4,getOtherMax(B2996,C2996,INDIRECT(J$2),INDIRECT(I2996),test),getMax(B2996,C2996,INDIRECT(J$2),INDIRECT(I2996),test))</f>
        <v>37.037037037036946</v>
      </c>
      <c r="F2996" s="1" t="str">
        <f t="shared" si="187"/>
        <v>50</v>
      </c>
      <c r="G2996" s="1" t="str">
        <f t="shared" si="188"/>
        <v/>
      </c>
      <c r="I2996" s="1" t="str">
        <f t="shared" si="186"/>
        <v>威尔新数值1.06.xlsm!suitPower</v>
      </c>
    </row>
    <row r="2997" spans="1:9" x14ac:dyDescent="0.15">
      <c r="A2997" s="1">
        <v>2996</v>
      </c>
      <c r="B2997" s="1">
        <v>103050200</v>
      </c>
      <c r="C2997" s="1">
        <f t="shared" si="185"/>
        <v>8</v>
      </c>
      <c r="D2997" s="5">
        <f ca="1">IF(getQuality(B2997)&lt;4,getOtherMin(B2997,C2997,INDIRECT(J$2),INDIRECT(I2997),test),getMin(B2997,C2997,INDIRECT(J$2),INDIRECT(I2997),test))</f>
        <v>67.666666666666671</v>
      </c>
      <c r="E2997" s="5">
        <f ca="1">IF(getQuality(B2997)&lt;4,getOtherMax(B2997,C2997,INDIRECT(J$2),INDIRECT(I2997),test),getMax(B2997,C2997,INDIRECT(J$2),INDIRECT(I2997),test))</f>
        <v>83.333333333333329</v>
      </c>
      <c r="F2997" s="1" t="str">
        <f t="shared" si="187"/>
        <v>50</v>
      </c>
      <c r="G2997" s="1" t="str">
        <f t="shared" si="188"/>
        <v/>
      </c>
      <c r="I2997" s="1" t="str">
        <f t="shared" si="186"/>
        <v>威尔新数值1.06.xlsm!suitPower</v>
      </c>
    </row>
    <row r="2998" spans="1:9" x14ac:dyDescent="0.15">
      <c r="A2998" s="1">
        <v>2997</v>
      </c>
      <c r="B2998" s="1">
        <v>103050200</v>
      </c>
      <c r="C2998" s="1">
        <f t="shared" si="185"/>
        <v>9</v>
      </c>
      <c r="D2998" s="5">
        <f ca="1">IF(getQuality(B2998)&lt;4,getOtherMin(B2998,C2998,INDIRECT(J$2),INDIRECT(I2998),test),getMin(B2998,C2998,INDIRECT(J$2),INDIRECT(I2998),test))</f>
        <v>125.85135380491616</v>
      </c>
      <c r="E2998" s="5">
        <f ca="1">IF(getQuality(B2998)&lt;4,getOtherMax(B2998,C2998,INDIRECT(J$2),INDIRECT(I2998),test),getMax(B2998,C2998,INDIRECT(J$2),INDIRECT(I2998),test))</f>
        <v>169.16048810980774</v>
      </c>
      <c r="F2998" s="1" t="str">
        <f t="shared" si="187"/>
        <v>50</v>
      </c>
      <c r="G2998" s="1" t="str">
        <f t="shared" si="188"/>
        <v/>
      </c>
      <c r="I2998" s="1" t="str">
        <f t="shared" si="186"/>
        <v>威尔新数值1.06.xlsm!suitPower</v>
      </c>
    </row>
    <row r="2999" spans="1:9" x14ac:dyDescent="0.15">
      <c r="A2999" s="1">
        <v>2998</v>
      </c>
      <c r="B2999" s="1">
        <v>103050200</v>
      </c>
      <c r="C2999" s="1">
        <f t="shared" si="185"/>
        <v>10</v>
      </c>
      <c r="D2999" s="5">
        <f ca="1">IF(getQuality(B2999)&lt;4,getOtherMin(B2999,C2999,INDIRECT(J$2),INDIRECT(I2999),test),getMin(B2999,C2999,INDIRECT(J$2),INDIRECT(I2999),test))</f>
        <v>125.85135380491616</v>
      </c>
      <c r="E2999" s="5">
        <f ca="1">IF(getQuality(B2999)&lt;4,getOtherMax(B2999,C2999,INDIRECT(J$2),INDIRECT(I2999),test),getMax(B2999,C2999,INDIRECT(J$2),INDIRECT(I2999),test))</f>
        <v>169.16048810980774</v>
      </c>
      <c r="F2999" s="1" t="str">
        <f t="shared" si="187"/>
        <v>50</v>
      </c>
      <c r="G2999" s="1" t="str">
        <f t="shared" si="188"/>
        <v/>
      </c>
      <c r="I2999" s="1" t="str">
        <f t="shared" si="186"/>
        <v>威尔新数值1.06.xlsm!suitPower</v>
      </c>
    </row>
    <row r="3000" spans="1:9" x14ac:dyDescent="0.15">
      <c r="A3000" s="1">
        <v>2999</v>
      </c>
      <c r="B3000" s="1">
        <v>103050200</v>
      </c>
      <c r="C3000" s="1">
        <f t="shared" si="185"/>
        <v>11</v>
      </c>
      <c r="D3000" s="5">
        <f ca="1">IF(getQuality(B3000)&lt;4,getOtherMin(B3000,C3000,INDIRECT(J$2),INDIRECT(I3000),test),getMin(B3000,C3000,INDIRECT(J$2),INDIRECT(I3000),test))</f>
        <v>125.85135380491616</v>
      </c>
      <c r="E3000" s="5">
        <f ca="1">IF(getQuality(B3000)&lt;4,getOtherMax(B3000,C3000,INDIRECT(J$2),INDIRECT(I3000),test),getMax(B3000,C3000,INDIRECT(J$2),INDIRECT(I3000),test))</f>
        <v>169.16048810980774</v>
      </c>
      <c r="F3000" s="1" t="str">
        <f t="shared" si="187"/>
        <v>50</v>
      </c>
      <c r="G3000" s="1" t="str">
        <f t="shared" si="188"/>
        <v/>
      </c>
      <c r="I3000" s="1" t="str">
        <f t="shared" si="186"/>
        <v>威尔新数值1.06.xlsm!suitPower</v>
      </c>
    </row>
    <row r="3001" spans="1:9" x14ac:dyDescent="0.15">
      <c r="A3001" s="1">
        <v>3000</v>
      </c>
      <c r="B3001" s="1">
        <v>103050200</v>
      </c>
      <c r="C3001" s="1">
        <f t="shared" si="185"/>
        <v>12</v>
      </c>
      <c r="D3001" s="5">
        <f ca="1">IF(getQuality(B3001)&lt;4,getOtherMin(B3001,C3001,INDIRECT(J$2),INDIRECT(I3001),test),getMin(B3001,C3001,INDIRECT(J$2),INDIRECT(I3001),test))</f>
        <v>125.85135380491616</v>
      </c>
      <c r="E3001" s="5">
        <f ca="1">IF(getQuality(B3001)&lt;4,getOtherMax(B3001,C3001,INDIRECT(J$2),INDIRECT(I3001),test),getMax(B3001,C3001,INDIRECT(J$2),INDIRECT(I3001),test))</f>
        <v>169.16048810980774</v>
      </c>
      <c r="F3001" s="1" t="str">
        <f t="shared" si="187"/>
        <v>50</v>
      </c>
      <c r="G3001" s="1" t="str">
        <f t="shared" si="188"/>
        <v/>
      </c>
      <c r="I3001" s="1" t="str">
        <f t="shared" si="186"/>
        <v>威尔新数值1.06.xlsm!suitPower</v>
      </c>
    </row>
    <row r="3002" spans="1:9" x14ac:dyDescent="0.15">
      <c r="A3002" s="1">
        <v>3001</v>
      </c>
      <c r="B3002" s="1">
        <v>103050200</v>
      </c>
      <c r="C3002" s="1">
        <f t="shared" si="185"/>
        <v>13</v>
      </c>
      <c r="D3002" s="5">
        <f ca="1">IF(getQuality(B3002)&lt;4,getOtherMin(B3002,C3002,INDIRECT(J$2),INDIRECT(I3002),test),getMin(B3002,C3002,INDIRECT(J$2),INDIRECT(I3002),test))</f>
        <v>125.85135380491616</v>
      </c>
      <c r="E3002" s="5">
        <f ca="1">IF(getQuality(B3002)&lt;4,getOtherMax(B3002,C3002,INDIRECT(J$2),INDIRECT(I3002),test),getMax(B3002,C3002,INDIRECT(J$2),INDIRECT(I3002),test))</f>
        <v>169.16048810980774</v>
      </c>
      <c r="F3002" s="1" t="str">
        <f t="shared" si="187"/>
        <v>50</v>
      </c>
      <c r="G3002" s="1" t="str">
        <f t="shared" si="188"/>
        <v/>
      </c>
      <c r="I3002" s="1" t="str">
        <f t="shared" si="186"/>
        <v>威尔新数值1.06.xlsm!suitPower</v>
      </c>
    </row>
    <row r="3003" spans="1:9" x14ac:dyDescent="0.15">
      <c r="A3003" s="1">
        <v>3002</v>
      </c>
      <c r="B3003" s="1">
        <v>103050200</v>
      </c>
      <c r="C3003" s="1">
        <f t="shared" si="185"/>
        <v>14</v>
      </c>
      <c r="D3003" s="5">
        <f ca="1">IF(getQuality(B3003)&lt;4,getOtherMin(B3003,C3003,INDIRECT(J$2),INDIRECT(I3003),test),getMin(B3003,C3003,INDIRECT(J$2),INDIRECT(I3003),test))</f>
        <v>125.85135380491616</v>
      </c>
      <c r="E3003" s="5">
        <f ca="1">IF(getQuality(B3003)&lt;4,getOtherMax(B3003,C3003,INDIRECT(J$2),INDIRECT(I3003),test),getMax(B3003,C3003,INDIRECT(J$2),INDIRECT(I3003),test))</f>
        <v>169.16048810980774</v>
      </c>
      <c r="F3003" s="1" t="str">
        <f t="shared" si="187"/>
        <v>50</v>
      </c>
      <c r="G3003" s="1" t="str">
        <f t="shared" si="188"/>
        <v/>
      </c>
      <c r="I3003" s="1" t="str">
        <f t="shared" si="186"/>
        <v>威尔新数值1.06.xlsm!suitPower</v>
      </c>
    </row>
    <row r="3004" spans="1:9" x14ac:dyDescent="0.15">
      <c r="A3004" s="1">
        <v>3003</v>
      </c>
      <c r="B3004" s="1">
        <v>103050200</v>
      </c>
      <c r="C3004" s="1">
        <f t="shared" ref="C3004:C3067" si="189">C529</f>
        <v>15</v>
      </c>
      <c r="D3004" s="5">
        <f ca="1">IF(getQuality(B3004)&lt;4,getOtherMin(B3004,C3004,INDIRECT(J$2),INDIRECT(I3004),test),getMin(B3004,C3004,INDIRECT(J$2),INDIRECT(I3004),test))</f>
        <v>125.85135380491616</v>
      </c>
      <c r="E3004" s="5">
        <f ca="1">IF(getQuality(B3004)&lt;4,getOtherMax(B3004,C3004,INDIRECT(J$2),INDIRECT(I3004),test),getMax(B3004,C3004,INDIRECT(J$2),INDIRECT(I3004),test))</f>
        <v>169.16048810980774</v>
      </c>
      <c r="F3004" s="1" t="str">
        <f t="shared" si="187"/>
        <v>50</v>
      </c>
      <c r="G3004" s="1" t="str">
        <f t="shared" si="188"/>
        <v/>
      </c>
      <c r="I3004" s="1" t="str">
        <f t="shared" si="186"/>
        <v>威尔新数值1.06.xlsm!suitPower</v>
      </c>
    </row>
    <row r="3005" spans="1:9" x14ac:dyDescent="0.15">
      <c r="A3005" s="1">
        <v>3004</v>
      </c>
      <c r="B3005" s="1">
        <v>103050200</v>
      </c>
      <c r="C3005" s="1">
        <f t="shared" si="189"/>
        <v>101</v>
      </c>
      <c r="D3005" s="5">
        <f ca="1">IF(getQuality(B3005)&lt;4,getOtherMin(B3005,C3005,INDIRECT(J$2),INDIRECT(I3005),test),getMin(B3005,C3005,INDIRECT(J$2),INDIRECT(I3005),test))</f>
        <v>0.11</v>
      </c>
      <c r="E3005" s="5">
        <f ca="1">IF(getQuality(B3005)&lt;4,getOtherMax(B3005,C3005,INDIRECT(J$2),INDIRECT(I3005),test),getMax(B3005,C3005,INDIRECT(J$2),INDIRECT(I3005),test))</f>
        <v>0.14000000000000001</v>
      </c>
      <c r="F3005" s="1" t="str">
        <f t="shared" si="187"/>
        <v>50</v>
      </c>
      <c r="G3005" s="1" t="str">
        <f t="shared" si="188"/>
        <v/>
      </c>
      <c r="I3005" s="1" t="str">
        <f t="shared" si="186"/>
        <v>威尔新数值1.06.xlsm!circlePer</v>
      </c>
    </row>
    <row r="3006" spans="1:9" x14ac:dyDescent="0.15">
      <c r="A3006" s="1">
        <v>3005</v>
      </c>
      <c r="B3006" s="1">
        <v>103050200</v>
      </c>
      <c r="C3006" s="1">
        <f t="shared" si="189"/>
        <v>102</v>
      </c>
      <c r="D3006" s="5">
        <f ca="1">IF(getQuality(B3006)&lt;4,getOtherMin(B3006,C3006,INDIRECT(J$2),INDIRECT(I3006),test),getMin(B3006,C3006,INDIRECT(J$2),INDIRECT(I3006),test))</f>
        <v>1</v>
      </c>
      <c r="E3006" s="5">
        <f ca="1">IF(getQuality(B3006)&lt;4,getOtherMax(B3006,C3006,INDIRECT(J$2),INDIRECT(I3006),test),getMax(B3006,C3006,INDIRECT(J$2),INDIRECT(I3006),test))</f>
        <v>1.3</v>
      </c>
      <c r="F3006" s="1" t="str">
        <f t="shared" si="187"/>
        <v>50</v>
      </c>
      <c r="G3006" s="1" t="str">
        <f t="shared" si="188"/>
        <v/>
      </c>
      <c r="I3006" s="1" t="str">
        <f t="shared" si="186"/>
        <v>威尔新数值1.06.xlsm!circleValue</v>
      </c>
    </row>
    <row r="3007" spans="1:9" x14ac:dyDescent="0.15">
      <c r="A3007" s="1">
        <v>3006</v>
      </c>
      <c r="B3007" s="1">
        <v>103050200</v>
      </c>
      <c r="C3007" s="1">
        <f t="shared" si="189"/>
        <v>103</v>
      </c>
      <c r="D3007" s="5">
        <f ca="1">IF(getQuality(B3007)&lt;4,getOtherMin(B3007,C3007,INDIRECT(J$2),INDIRECT(I3007),test),getMin(B3007,C3007,INDIRECT(J$2),INDIRECT(I3007),test))</f>
        <v>0.11</v>
      </c>
      <c r="E3007" s="5">
        <f ca="1">IF(getQuality(B3007)&lt;4,getOtherMax(B3007,C3007,INDIRECT(J$2),INDIRECT(I3007),test),getMax(B3007,C3007,INDIRECT(J$2),INDIRECT(I3007),test))</f>
        <v>0.14000000000000001</v>
      </c>
      <c r="F3007" s="1" t="str">
        <f t="shared" si="187"/>
        <v>50</v>
      </c>
      <c r="G3007" s="1" t="str">
        <f t="shared" si="188"/>
        <v/>
      </c>
      <c r="I3007" s="1" t="str">
        <f t="shared" si="186"/>
        <v>威尔新数值1.06.xlsm!otherDamage</v>
      </c>
    </row>
    <row r="3008" spans="1:9" x14ac:dyDescent="0.15">
      <c r="A3008" s="1">
        <v>3007</v>
      </c>
      <c r="B3008" s="1">
        <v>103050200</v>
      </c>
      <c r="C3008" s="1">
        <f t="shared" si="189"/>
        <v>104</v>
      </c>
      <c r="D3008" s="5">
        <f ca="1">IF(getQuality(B3008)&lt;4,getOtherMin(B3008,C3008,INDIRECT(J$2),INDIRECT(I3008),test),getMin(B3008,C3008,INDIRECT(J$2),INDIRECT(I3008),test))</f>
        <v>0.11</v>
      </c>
      <c r="E3008" s="5">
        <f ca="1">IF(getQuality(B3008)&lt;4,getOtherMax(B3008,C3008,INDIRECT(J$2),INDIRECT(I3008),test),getMax(B3008,C3008,INDIRECT(J$2),INDIRECT(I3008),test))</f>
        <v>0.22</v>
      </c>
      <c r="F3008" s="1" t="str">
        <f t="shared" si="187"/>
        <v>50</v>
      </c>
      <c r="G3008" s="1" t="str">
        <f t="shared" si="188"/>
        <v/>
      </c>
      <c r="I3008" s="1" t="str">
        <f t="shared" si="186"/>
        <v>威尔新数值1.06.xlsm!monsterDamage</v>
      </c>
    </row>
    <row r="3009" spans="1:9" x14ac:dyDescent="0.15">
      <c r="A3009" s="1">
        <v>3008</v>
      </c>
      <c r="B3009" s="1">
        <v>103050200</v>
      </c>
      <c r="C3009" s="1">
        <f t="shared" si="189"/>
        <v>105</v>
      </c>
      <c r="D3009" s="5">
        <f ca="1">IF(getQuality(B3009)&lt;4,getOtherMin(B3009,C3009,INDIRECT(J$2),INDIRECT(I3009),test),getMin(B3009,C3009,INDIRECT(J$2),INDIRECT(I3009),test))</f>
        <v>0.11</v>
      </c>
      <c r="E3009" s="5">
        <f ca="1">IF(getQuality(B3009)&lt;4,getOtherMax(B3009,C3009,INDIRECT(J$2),INDIRECT(I3009),test),getMax(B3009,C3009,INDIRECT(J$2),INDIRECT(I3009),test))</f>
        <v>0.22</v>
      </c>
      <c r="F3009" s="1" t="str">
        <f t="shared" si="187"/>
        <v>50</v>
      </c>
      <c r="G3009" s="1" t="str">
        <f t="shared" si="188"/>
        <v/>
      </c>
      <c r="I3009" s="1" t="str">
        <f t="shared" si="186"/>
        <v>威尔新数值1.06.xlsm!monsterDamage</v>
      </c>
    </row>
    <row r="3010" spans="1:9" x14ac:dyDescent="0.15">
      <c r="A3010" s="1">
        <v>3009</v>
      </c>
      <c r="B3010" s="1">
        <v>103050200</v>
      </c>
      <c r="C3010" s="1">
        <f t="shared" si="189"/>
        <v>106</v>
      </c>
      <c r="D3010" s="5">
        <f ca="1">IF(getQuality(B3010)&lt;4,getOtherMin(B3010,C3010,INDIRECT(J$2),INDIRECT(I3010),test),getMin(B3010,C3010,INDIRECT(J$2),INDIRECT(I3010),test))</f>
        <v>0.11</v>
      </c>
      <c r="E3010" s="5">
        <f ca="1">IF(getQuality(B3010)&lt;4,getOtherMax(B3010,C3010,INDIRECT(J$2),INDIRECT(I3010),test),getMax(B3010,C3010,INDIRECT(J$2),INDIRECT(I3010),test))</f>
        <v>0.22</v>
      </c>
      <c r="F3010" s="1" t="str">
        <f t="shared" si="187"/>
        <v>50</v>
      </c>
      <c r="G3010" s="1" t="str">
        <f t="shared" si="188"/>
        <v/>
      </c>
      <c r="I3010" s="1" t="str">
        <f t="shared" ref="I3010:I3073" si="190">IF(C3010&lt;100,VLOOKUP(C3010,test,3,FALSE),VLOOKUP(C3010,test1,3,FALSE))</f>
        <v>威尔新数值1.06.xlsm!monsterDamage</v>
      </c>
    </row>
    <row r="3011" spans="1:9" x14ac:dyDescent="0.15">
      <c r="A3011" s="1">
        <v>3010</v>
      </c>
      <c r="B3011" s="1">
        <v>103050200</v>
      </c>
      <c r="C3011" s="1">
        <f t="shared" si="189"/>
        <v>107</v>
      </c>
      <c r="D3011" s="5">
        <f ca="1">IF(getQuality(B3011)&lt;4,getOtherMin(B3011,C3011,INDIRECT(J$2),INDIRECT(I3011),test),getMin(B3011,C3011,INDIRECT(J$2),INDIRECT(I3011),test))</f>
        <v>0.11</v>
      </c>
      <c r="E3011" s="5">
        <f ca="1">IF(getQuality(B3011)&lt;4,getOtherMax(B3011,C3011,INDIRECT(J$2),INDIRECT(I3011),test),getMax(B3011,C3011,INDIRECT(J$2),INDIRECT(I3011),test))</f>
        <v>0.22</v>
      </c>
      <c r="F3011" s="1" t="str">
        <f t="shared" ref="F3011:F3074" si="191">getper(B3011,C3011)</f>
        <v>50</v>
      </c>
      <c r="G3011" s="1" t="str">
        <f t="shared" ref="G3011:G3074" si="192">getMust(B3011,C3011)</f>
        <v/>
      </c>
      <c r="I3011" s="1" t="str">
        <f t="shared" si="190"/>
        <v>威尔新数值1.06.xlsm!monsterDamage</v>
      </c>
    </row>
    <row r="3012" spans="1:9" x14ac:dyDescent="0.15">
      <c r="A3012" s="1">
        <v>3011</v>
      </c>
      <c r="B3012" s="1">
        <v>103050200</v>
      </c>
      <c r="C3012" s="1">
        <f t="shared" si="189"/>
        <v>108</v>
      </c>
      <c r="D3012" s="5">
        <f ca="1">IF(getQuality(B3012)&lt;4,getOtherMin(B3012,C3012,INDIRECT(J$2),INDIRECT(I3012),test),getMin(B3012,C3012,INDIRECT(J$2),INDIRECT(I3012),test))</f>
        <v>0.11</v>
      </c>
      <c r="E3012" s="5">
        <f ca="1">IF(getQuality(B3012)&lt;4,getOtherMax(B3012,C3012,INDIRECT(J$2),INDIRECT(I3012),test),getMax(B3012,C3012,INDIRECT(J$2),INDIRECT(I3012),test))</f>
        <v>0.22</v>
      </c>
      <c r="F3012" s="1" t="str">
        <f t="shared" si="191"/>
        <v>50</v>
      </c>
      <c r="G3012" s="1" t="str">
        <f t="shared" si="192"/>
        <v/>
      </c>
      <c r="I3012" s="1" t="str">
        <f t="shared" si="190"/>
        <v>威尔新数值1.06.xlsm!monsterDamage</v>
      </c>
    </row>
    <row r="3013" spans="1:9" x14ac:dyDescent="0.15">
      <c r="A3013" s="1">
        <v>3012</v>
      </c>
      <c r="B3013" s="1">
        <v>103060200</v>
      </c>
      <c r="C3013" s="1">
        <f t="shared" si="189"/>
        <v>3</v>
      </c>
      <c r="D3013" s="5">
        <f ca="1">IF(getQuality(B3013)&lt;4,getOtherMin(B3013,C3013,INDIRECT(J$2),INDIRECT(I3013),test),getMin(B3013,C3013,INDIRECT(J$2),INDIRECT(I3013),test))</f>
        <v>170.16048810980774</v>
      </c>
      <c r="E3013" s="5">
        <f ca="1">IF(getQuality(B3013)&lt;4,getOtherMax(B3013,C3013,INDIRECT(J$2),INDIRECT(I3013),test),getMax(B3013,C3013,INDIRECT(J$2),INDIRECT(I3013),test))</f>
        <v>217.39851117079806</v>
      </c>
      <c r="F3013" s="1" t="str">
        <f t="shared" si="191"/>
        <v>50</v>
      </c>
      <c r="G3013" s="1" t="str">
        <f t="shared" si="192"/>
        <v>1</v>
      </c>
      <c r="I3013" s="1" t="str">
        <f t="shared" si="190"/>
        <v>威尔新数值1.06.xlsm!suitPower</v>
      </c>
    </row>
    <row r="3014" spans="1:9" x14ac:dyDescent="0.15">
      <c r="A3014" s="1">
        <v>3013</v>
      </c>
      <c r="B3014" s="1">
        <v>103060200</v>
      </c>
      <c r="C3014" s="1">
        <f t="shared" si="189"/>
        <v>5</v>
      </c>
      <c r="D3014" s="5">
        <f ca="1">IF(getQuality(B3014)&lt;4,getOtherMin(B3014,C3014,INDIRECT(J$2),INDIRECT(I3014),test),getMin(B3014,C3014,INDIRECT(J$2),INDIRECT(I3014),test))</f>
        <v>170.16048810980774</v>
      </c>
      <c r="E3014" s="5">
        <f ca="1">IF(getQuality(B3014)&lt;4,getOtherMax(B3014,C3014,INDIRECT(J$2),INDIRECT(I3014),test),getMax(B3014,C3014,INDIRECT(J$2),INDIRECT(I3014),test))</f>
        <v>217.39851117079806</v>
      </c>
      <c r="F3014" s="1" t="str">
        <f t="shared" si="191"/>
        <v>50</v>
      </c>
      <c r="G3014" s="1" t="str">
        <f t="shared" si="192"/>
        <v/>
      </c>
      <c r="I3014" s="1" t="str">
        <f t="shared" si="190"/>
        <v>威尔新数值1.06.xlsm!suitPower</v>
      </c>
    </row>
    <row r="3015" spans="1:9" x14ac:dyDescent="0.15">
      <c r="A3015" s="1">
        <v>3014</v>
      </c>
      <c r="B3015" s="1">
        <v>103060200</v>
      </c>
      <c r="C3015" s="1">
        <f t="shared" si="189"/>
        <v>7</v>
      </c>
      <c r="D3015" s="5">
        <f ca="1">IF(getQuality(B3015)&lt;4,getOtherMin(B3015,C3015,INDIRECT(J$2),INDIRECT(I3015),test),getMin(B3015,C3015,INDIRECT(J$2),INDIRECT(I3015),test))</f>
        <v>38.037037037036946</v>
      </c>
      <c r="E3015" s="5">
        <f ca="1">IF(getQuality(B3015)&lt;4,getOtherMax(B3015,C3015,INDIRECT(J$2),INDIRECT(I3015),test),getMax(B3015,C3015,INDIRECT(J$2),INDIRECT(I3015),test))</f>
        <v>44.444444444444329</v>
      </c>
      <c r="F3015" s="1" t="str">
        <f t="shared" si="191"/>
        <v>50</v>
      </c>
      <c r="G3015" s="1" t="str">
        <f t="shared" si="192"/>
        <v/>
      </c>
      <c r="I3015" s="1" t="str">
        <f t="shared" si="190"/>
        <v>威尔新数值1.06.xlsm!suitPower</v>
      </c>
    </row>
    <row r="3016" spans="1:9" x14ac:dyDescent="0.15">
      <c r="A3016" s="1">
        <v>3015</v>
      </c>
      <c r="B3016" s="1">
        <v>103060200</v>
      </c>
      <c r="C3016" s="1">
        <f t="shared" si="189"/>
        <v>8</v>
      </c>
      <c r="D3016" s="5">
        <f ca="1">IF(getQuality(B3016)&lt;4,getOtherMin(B3016,C3016,INDIRECT(J$2),INDIRECT(I3016),test),getMin(B3016,C3016,INDIRECT(J$2),INDIRECT(I3016),test))</f>
        <v>84.333333333333329</v>
      </c>
      <c r="E3016" s="5">
        <f ca="1">IF(getQuality(B3016)&lt;4,getOtherMax(B3016,C3016,INDIRECT(J$2),INDIRECT(I3016),test),getMax(B3016,C3016,INDIRECT(J$2),INDIRECT(I3016),test))</f>
        <v>100</v>
      </c>
      <c r="F3016" s="1" t="str">
        <f t="shared" si="191"/>
        <v>50</v>
      </c>
      <c r="G3016" s="1" t="str">
        <f t="shared" si="192"/>
        <v/>
      </c>
      <c r="I3016" s="1" t="str">
        <f t="shared" si="190"/>
        <v>威尔新数值1.06.xlsm!suitPower</v>
      </c>
    </row>
    <row r="3017" spans="1:9" x14ac:dyDescent="0.15">
      <c r="A3017" s="1">
        <v>3016</v>
      </c>
      <c r="B3017" s="1">
        <v>103060200</v>
      </c>
      <c r="C3017" s="1">
        <f t="shared" si="189"/>
        <v>9</v>
      </c>
      <c r="D3017" s="5">
        <f ca="1">IF(getQuality(B3017)&lt;4,getOtherMin(B3017,C3017,INDIRECT(J$2),INDIRECT(I3017),test),getMin(B3017,C3017,INDIRECT(J$2),INDIRECT(I3017),test))</f>
        <v>170.16048810980774</v>
      </c>
      <c r="E3017" s="5">
        <f ca="1">IF(getQuality(B3017)&lt;4,getOtherMax(B3017,C3017,INDIRECT(J$2),INDIRECT(I3017),test),getMax(B3017,C3017,INDIRECT(J$2),INDIRECT(I3017),test))</f>
        <v>217.39851117079806</v>
      </c>
      <c r="F3017" s="1" t="str">
        <f t="shared" si="191"/>
        <v>50</v>
      </c>
      <c r="G3017" s="1" t="str">
        <f t="shared" si="192"/>
        <v/>
      </c>
      <c r="I3017" s="1" t="str">
        <f t="shared" si="190"/>
        <v>威尔新数值1.06.xlsm!suitPower</v>
      </c>
    </row>
    <row r="3018" spans="1:9" x14ac:dyDescent="0.15">
      <c r="A3018" s="1">
        <v>3017</v>
      </c>
      <c r="B3018" s="1">
        <v>103060200</v>
      </c>
      <c r="C3018" s="1">
        <f t="shared" si="189"/>
        <v>10</v>
      </c>
      <c r="D3018" s="5">
        <f ca="1">IF(getQuality(B3018)&lt;4,getOtherMin(B3018,C3018,INDIRECT(J$2),INDIRECT(I3018),test),getMin(B3018,C3018,INDIRECT(J$2),INDIRECT(I3018),test))</f>
        <v>170.16048810980774</v>
      </c>
      <c r="E3018" s="5">
        <f ca="1">IF(getQuality(B3018)&lt;4,getOtherMax(B3018,C3018,INDIRECT(J$2),INDIRECT(I3018),test),getMax(B3018,C3018,INDIRECT(J$2),INDIRECT(I3018),test))</f>
        <v>217.39851117079806</v>
      </c>
      <c r="F3018" s="1" t="str">
        <f t="shared" si="191"/>
        <v>50</v>
      </c>
      <c r="G3018" s="1" t="str">
        <f t="shared" si="192"/>
        <v/>
      </c>
      <c r="I3018" s="1" t="str">
        <f t="shared" si="190"/>
        <v>威尔新数值1.06.xlsm!suitPower</v>
      </c>
    </row>
    <row r="3019" spans="1:9" x14ac:dyDescent="0.15">
      <c r="A3019" s="1">
        <v>3018</v>
      </c>
      <c r="B3019" s="1">
        <v>103060200</v>
      </c>
      <c r="C3019" s="1">
        <f t="shared" si="189"/>
        <v>11</v>
      </c>
      <c r="D3019" s="5">
        <f ca="1">IF(getQuality(B3019)&lt;4,getOtherMin(B3019,C3019,INDIRECT(J$2),INDIRECT(I3019),test),getMin(B3019,C3019,INDIRECT(J$2),INDIRECT(I3019),test))</f>
        <v>170.16048810980774</v>
      </c>
      <c r="E3019" s="5">
        <f ca="1">IF(getQuality(B3019)&lt;4,getOtherMax(B3019,C3019,INDIRECT(J$2),INDIRECT(I3019),test),getMax(B3019,C3019,INDIRECT(J$2),INDIRECT(I3019),test))</f>
        <v>217.39851117079806</v>
      </c>
      <c r="F3019" s="1" t="str">
        <f t="shared" si="191"/>
        <v>50</v>
      </c>
      <c r="G3019" s="1" t="str">
        <f t="shared" si="192"/>
        <v/>
      </c>
      <c r="I3019" s="1" t="str">
        <f t="shared" si="190"/>
        <v>威尔新数值1.06.xlsm!suitPower</v>
      </c>
    </row>
    <row r="3020" spans="1:9" x14ac:dyDescent="0.15">
      <c r="A3020" s="1">
        <v>3019</v>
      </c>
      <c r="B3020" s="1">
        <v>103060200</v>
      </c>
      <c r="C3020" s="1">
        <f t="shared" si="189"/>
        <v>12</v>
      </c>
      <c r="D3020" s="5">
        <f ca="1">IF(getQuality(B3020)&lt;4,getOtherMin(B3020,C3020,INDIRECT(J$2),INDIRECT(I3020),test),getMin(B3020,C3020,INDIRECT(J$2),INDIRECT(I3020),test))</f>
        <v>170.16048810980774</v>
      </c>
      <c r="E3020" s="5">
        <f ca="1">IF(getQuality(B3020)&lt;4,getOtherMax(B3020,C3020,INDIRECT(J$2),INDIRECT(I3020),test),getMax(B3020,C3020,INDIRECT(J$2),INDIRECT(I3020),test))</f>
        <v>217.39851117079806</v>
      </c>
      <c r="F3020" s="1" t="str">
        <f t="shared" si="191"/>
        <v>50</v>
      </c>
      <c r="G3020" s="1" t="str">
        <f t="shared" si="192"/>
        <v/>
      </c>
      <c r="I3020" s="1" t="str">
        <f t="shared" si="190"/>
        <v>威尔新数值1.06.xlsm!suitPower</v>
      </c>
    </row>
    <row r="3021" spans="1:9" x14ac:dyDescent="0.15">
      <c r="A3021" s="1">
        <v>3020</v>
      </c>
      <c r="B3021" s="1">
        <v>103060200</v>
      </c>
      <c r="C3021" s="1">
        <f t="shared" si="189"/>
        <v>13</v>
      </c>
      <c r="D3021" s="5">
        <f ca="1">IF(getQuality(B3021)&lt;4,getOtherMin(B3021,C3021,INDIRECT(J$2),INDIRECT(I3021),test),getMin(B3021,C3021,INDIRECT(J$2),INDIRECT(I3021),test))</f>
        <v>170.16048810980774</v>
      </c>
      <c r="E3021" s="5">
        <f ca="1">IF(getQuality(B3021)&lt;4,getOtherMax(B3021,C3021,INDIRECT(J$2),INDIRECT(I3021),test),getMax(B3021,C3021,INDIRECT(J$2),INDIRECT(I3021),test))</f>
        <v>217.39851117079806</v>
      </c>
      <c r="F3021" s="1" t="str">
        <f t="shared" si="191"/>
        <v>50</v>
      </c>
      <c r="G3021" s="1" t="str">
        <f t="shared" si="192"/>
        <v/>
      </c>
      <c r="I3021" s="1" t="str">
        <f t="shared" si="190"/>
        <v>威尔新数值1.06.xlsm!suitPower</v>
      </c>
    </row>
    <row r="3022" spans="1:9" x14ac:dyDescent="0.15">
      <c r="A3022" s="1">
        <v>3021</v>
      </c>
      <c r="B3022" s="1">
        <v>103060200</v>
      </c>
      <c r="C3022" s="1">
        <f t="shared" si="189"/>
        <v>14</v>
      </c>
      <c r="D3022" s="5">
        <f ca="1">IF(getQuality(B3022)&lt;4,getOtherMin(B3022,C3022,INDIRECT(J$2),INDIRECT(I3022),test),getMin(B3022,C3022,INDIRECT(J$2),INDIRECT(I3022),test))</f>
        <v>170.16048810980774</v>
      </c>
      <c r="E3022" s="5">
        <f ca="1">IF(getQuality(B3022)&lt;4,getOtherMax(B3022,C3022,INDIRECT(J$2),INDIRECT(I3022),test),getMax(B3022,C3022,INDIRECT(J$2),INDIRECT(I3022),test))</f>
        <v>217.39851117079806</v>
      </c>
      <c r="F3022" s="1" t="str">
        <f t="shared" si="191"/>
        <v>50</v>
      </c>
      <c r="G3022" s="1" t="str">
        <f t="shared" si="192"/>
        <v/>
      </c>
      <c r="I3022" s="1" t="str">
        <f t="shared" si="190"/>
        <v>威尔新数值1.06.xlsm!suitPower</v>
      </c>
    </row>
    <row r="3023" spans="1:9" x14ac:dyDescent="0.15">
      <c r="A3023" s="1">
        <v>3022</v>
      </c>
      <c r="B3023" s="1">
        <v>103060200</v>
      </c>
      <c r="C3023" s="1">
        <f t="shared" si="189"/>
        <v>15</v>
      </c>
      <c r="D3023" s="5">
        <f ca="1">IF(getQuality(B3023)&lt;4,getOtherMin(B3023,C3023,INDIRECT(J$2),INDIRECT(I3023),test),getMin(B3023,C3023,INDIRECT(J$2),INDIRECT(I3023),test))</f>
        <v>170.16048810980774</v>
      </c>
      <c r="E3023" s="5">
        <f ca="1">IF(getQuality(B3023)&lt;4,getOtherMax(B3023,C3023,INDIRECT(J$2),INDIRECT(I3023),test),getMax(B3023,C3023,INDIRECT(J$2),INDIRECT(I3023),test))</f>
        <v>217.39851117079806</v>
      </c>
      <c r="F3023" s="1" t="str">
        <f t="shared" si="191"/>
        <v>50</v>
      </c>
      <c r="G3023" s="1" t="str">
        <f t="shared" si="192"/>
        <v/>
      </c>
      <c r="I3023" s="1" t="str">
        <f t="shared" si="190"/>
        <v>威尔新数值1.06.xlsm!suitPower</v>
      </c>
    </row>
    <row r="3024" spans="1:9" x14ac:dyDescent="0.15">
      <c r="A3024" s="1">
        <v>3023</v>
      </c>
      <c r="B3024" s="1">
        <v>103060200</v>
      </c>
      <c r="C3024" s="1">
        <f t="shared" si="189"/>
        <v>101</v>
      </c>
      <c r="D3024" s="5">
        <f ca="1">IF(getQuality(B3024)&lt;4,getOtherMin(B3024,C3024,INDIRECT(J$2),INDIRECT(I3024),test),getMin(B3024,C3024,INDIRECT(J$2),INDIRECT(I3024),test))</f>
        <v>0.12</v>
      </c>
      <c r="E3024" s="5">
        <f ca="1">IF(getQuality(B3024)&lt;4,getOtherMax(B3024,C3024,INDIRECT(J$2),INDIRECT(I3024),test),getMax(B3024,C3024,INDIRECT(J$2),INDIRECT(I3024),test))</f>
        <v>0.15</v>
      </c>
      <c r="F3024" s="1" t="str">
        <f t="shared" si="191"/>
        <v>50</v>
      </c>
      <c r="G3024" s="1" t="str">
        <f t="shared" si="192"/>
        <v/>
      </c>
      <c r="I3024" s="1" t="str">
        <f t="shared" si="190"/>
        <v>威尔新数值1.06.xlsm!circlePer</v>
      </c>
    </row>
    <row r="3025" spans="1:9" x14ac:dyDescent="0.15">
      <c r="A3025" s="1">
        <v>3024</v>
      </c>
      <c r="B3025" s="1">
        <v>103060200</v>
      </c>
      <c r="C3025" s="1">
        <f t="shared" si="189"/>
        <v>102</v>
      </c>
      <c r="D3025" s="5">
        <f ca="1">IF(getQuality(B3025)&lt;4,getOtherMin(B3025,C3025,INDIRECT(J$2),INDIRECT(I3025),test),getMin(B3025,C3025,INDIRECT(J$2),INDIRECT(I3025),test))</f>
        <v>1.1000000000000001</v>
      </c>
      <c r="E3025" s="5">
        <f ca="1">IF(getQuality(B3025)&lt;4,getOtherMax(B3025,C3025,INDIRECT(J$2),INDIRECT(I3025),test),getMax(B3025,C3025,INDIRECT(J$2),INDIRECT(I3025),test))</f>
        <v>1.4</v>
      </c>
      <c r="F3025" s="1" t="str">
        <f t="shared" si="191"/>
        <v>50</v>
      </c>
      <c r="G3025" s="1" t="str">
        <f t="shared" si="192"/>
        <v/>
      </c>
      <c r="I3025" s="1" t="str">
        <f t="shared" si="190"/>
        <v>威尔新数值1.06.xlsm!circleValue</v>
      </c>
    </row>
    <row r="3026" spans="1:9" x14ac:dyDescent="0.15">
      <c r="A3026" s="1">
        <v>3025</v>
      </c>
      <c r="B3026" s="1">
        <v>103060200</v>
      </c>
      <c r="C3026" s="1">
        <f t="shared" si="189"/>
        <v>103</v>
      </c>
      <c r="D3026" s="5">
        <f ca="1">IF(getQuality(B3026)&lt;4,getOtherMin(B3026,C3026,INDIRECT(J$2),INDIRECT(I3026),test),getMin(B3026,C3026,INDIRECT(J$2),INDIRECT(I3026),test))</f>
        <v>0.12</v>
      </c>
      <c r="E3026" s="5">
        <f ca="1">IF(getQuality(B3026)&lt;4,getOtherMax(B3026,C3026,INDIRECT(J$2),INDIRECT(I3026),test),getMax(B3026,C3026,INDIRECT(J$2),INDIRECT(I3026),test))</f>
        <v>0.15</v>
      </c>
      <c r="F3026" s="1" t="str">
        <f t="shared" si="191"/>
        <v>50</v>
      </c>
      <c r="G3026" s="1" t="str">
        <f t="shared" si="192"/>
        <v/>
      </c>
      <c r="I3026" s="1" t="str">
        <f t="shared" si="190"/>
        <v>威尔新数值1.06.xlsm!otherDamage</v>
      </c>
    </row>
    <row r="3027" spans="1:9" x14ac:dyDescent="0.15">
      <c r="A3027" s="1">
        <v>3026</v>
      </c>
      <c r="B3027" s="1">
        <v>103060200</v>
      </c>
      <c r="C3027" s="1">
        <f t="shared" si="189"/>
        <v>104</v>
      </c>
      <c r="D3027" s="5">
        <f ca="1">IF(getQuality(B3027)&lt;4,getOtherMin(B3027,C3027,INDIRECT(J$2),INDIRECT(I3027),test),getMin(B3027,C3027,INDIRECT(J$2),INDIRECT(I3027),test))</f>
        <v>0.12</v>
      </c>
      <c r="E3027" s="5">
        <f ca="1">IF(getQuality(B3027)&lt;4,getOtherMax(B3027,C3027,INDIRECT(J$2),INDIRECT(I3027),test),getMax(B3027,C3027,INDIRECT(J$2),INDIRECT(I3027),test))</f>
        <v>0.24</v>
      </c>
      <c r="F3027" s="1" t="str">
        <f t="shared" si="191"/>
        <v>50</v>
      </c>
      <c r="G3027" s="1" t="str">
        <f t="shared" si="192"/>
        <v/>
      </c>
      <c r="I3027" s="1" t="str">
        <f t="shared" si="190"/>
        <v>威尔新数值1.06.xlsm!monsterDamage</v>
      </c>
    </row>
    <row r="3028" spans="1:9" x14ac:dyDescent="0.15">
      <c r="A3028" s="1">
        <v>3027</v>
      </c>
      <c r="B3028" s="1">
        <v>103060200</v>
      </c>
      <c r="C3028" s="1">
        <f t="shared" si="189"/>
        <v>105</v>
      </c>
      <c r="D3028" s="5">
        <f ca="1">IF(getQuality(B3028)&lt;4,getOtherMin(B3028,C3028,INDIRECT(J$2),INDIRECT(I3028),test),getMin(B3028,C3028,INDIRECT(J$2),INDIRECT(I3028),test))</f>
        <v>0.12</v>
      </c>
      <c r="E3028" s="5">
        <f ca="1">IF(getQuality(B3028)&lt;4,getOtherMax(B3028,C3028,INDIRECT(J$2),INDIRECT(I3028),test),getMax(B3028,C3028,INDIRECT(J$2),INDIRECT(I3028),test))</f>
        <v>0.24</v>
      </c>
      <c r="F3028" s="1" t="str">
        <f t="shared" si="191"/>
        <v>50</v>
      </c>
      <c r="G3028" s="1" t="str">
        <f t="shared" si="192"/>
        <v/>
      </c>
      <c r="I3028" s="1" t="str">
        <f t="shared" si="190"/>
        <v>威尔新数值1.06.xlsm!monsterDamage</v>
      </c>
    </row>
    <row r="3029" spans="1:9" x14ac:dyDescent="0.15">
      <c r="A3029" s="1">
        <v>3028</v>
      </c>
      <c r="B3029" s="1">
        <v>103060200</v>
      </c>
      <c r="C3029" s="1">
        <f t="shared" si="189"/>
        <v>106</v>
      </c>
      <c r="D3029" s="5">
        <f ca="1">IF(getQuality(B3029)&lt;4,getOtherMin(B3029,C3029,INDIRECT(J$2),INDIRECT(I3029),test),getMin(B3029,C3029,INDIRECT(J$2),INDIRECT(I3029),test))</f>
        <v>0.12</v>
      </c>
      <c r="E3029" s="5">
        <f ca="1">IF(getQuality(B3029)&lt;4,getOtherMax(B3029,C3029,INDIRECT(J$2),INDIRECT(I3029),test),getMax(B3029,C3029,INDIRECT(J$2),INDIRECT(I3029),test))</f>
        <v>0.24</v>
      </c>
      <c r="F3029" s="1" t="str">
        <f t="shared" si="191"/>
        <v>50</v>
      </c>
      <c r="G3029" s="1" t="str">
        <f t="shared" si="192"/>
        <v/>
      </c>
      <c r="I3029" s="1" t="str">
        <f t="shared" si="190"/>
        <v>威尔新数值1.06.xlsm!monsterDamage</v>
      </c>
    </row>
    <row r="3030" spans="1:9" x14ac:dyDescent="0.15">
      <c r="A3030" s="1">
        <v>3029</v>
      </c>
      <c r="B3030" s="1">
        <v>103060200</v>
      </c>
      <c r="C3030" s="1">
        <f t="shared" si="189"/>
        <v>107</v>
      </c>
      <c r="D3030" s="5">
        <f ca="1">IF(getQuality(B3030)&lt;4,getOtherMin(B3030,C3030,INDIRECT(J$2),INDIRECT(I3030),test),getMin(B3030,C3030,INDIRECT(J$2),INDIRECT(I3030),test))</f>
        <v>0.12</v>
      </c>
      <c r="E3030" s="5">
        <f ca="1">IF(getQuality(B3030)&lt;4,getOtherMax(B3030,C3030,INDIRECT(J$2),INDIRECT(I3030),test),getMax(B3030,C3030,INDIRECT(J$2),INDIRECT(I3030),test))</f>
        <v>0.24</v>
      </c>
      <c r="F3030" s="1" t="str">
        <f t="shared" si="191"/>
        <v>50</v>
      </c>
      <c r="G3030" s="1" t="str">
        <f t="shared" si="192"/>
        <v/>
      </c>
      <c r="I3030" s="1" t="str">
        <f t="shared" si="190"/>
        <v>威尔新数值1.06.xlsm!monsterDamage</v>
      </c>
    </row>
    <row r="3031" spans="1:9" x14ac:dyDescent="0.15">
      <c r="A3031" s="1">
        <v>3030</v>
      </c>
      <c r="B3031" s="1">
        <v>103060200</v>
      </c>
      <c r="C3031" s="1">
        <f t="shared" si="189"/>
        <v>108</v>
      </c>
      <c r="D3031" s="5">
        <f ca="1">IF(getQuality(B3031)&lt;4,getOtherMin(B3031,C3031,INDIRECT(J$2),INDIRECT(I3031),test),getMin(B3031,C3031,INDIRECT(J$2),INDIRECT(I3031),test))</f>
        <v>0.12</v>
      </c>
      <c r="E3031" s="5">
        <f ca="1">IF(getQuality(B3031)&lt;4,getOtherMax(B3031,C3031,INDIRECT(J$2),INDIRECT(I3031),test),getMax(B3031,C3031,INDIRECT(J$2),INDIRECT(I3031),test))</f>
        <v>0.24</v>
      </c>
      <c r="F3031" s="1" t="str">
        <f t="shared" si="191"/>
        <v>50</v>
      </c>
      <c r="G3031" s="1" t="str">
        <f t="shared" si="192"/>
        <v/>
      </c>
      <c r="I3031" s="1" t="str">
        <f t="shared" si="190"/>
        <v>威尔新数值1.06.xlsm!monsterDamage</v>
      </c>
    </row>
    <row r="3032" spans="1:9" x14ac:dyDescent="0.15">
      <c r="A3032" s="1">
        <v>3031</v>
      </c>
      <c r="B3032" s="1">
        <v>103070200</v>
      </c>
      <c r="C3032" s="1">
        <f t="shared" si="189"/>
        <v>3</v>
      </c>
      <c r="D3032" s="5">
        <f ca="1">IF(getQuality(B3032)&lt;4,getOtherMin(B3032,C3032,INDIRECT(J$2),INDIRECT(I3032),test),getMin(B3032,C3032,INDIRECT(J$2),INDIRECT(I3032),test))</f>
        <v>218.39851117079806</v>
      </c>
      <c r="E3032" s="5">
        <f ca="1">IF(getQuality(B3032)&lt;4,getOtherMax(B3032,C3032,INDIRECT(J$2),INDIRECT(I3032),test),getMax(B3032,C3032,INDIRECT(J$2),INDIRECT(I3032),test))</f>
        <v>270.43850937813136</v>
      </c>
      <c r="F3032" s="1" t="str">
        <f t="shared" si="191"/>
        <v>50</v>
      </c>
      <c r="G3032" s="1" t="str">
        <f t="shared" si="192"/>
        <v>1</v>
      </c>
      <c r="I3032" s="1" t="str">
        <f t="shared" si="190"/>
        <v>威尔新数值1.06.xlsm!suitPower</v>
      </c>
    </row>
    <row r="3033" spans="1:9" x14ac:dyDescent="0.15">
      <c r="A3033" s="1">
        <v>3032</v>
      </c>
      <c r="B3033" s="1">
        <v>103070200</v>
      </c>
      <c r="C3033" s="1">
        <f t="shared" si="189"/>
        <v>5</v>
      </c>
      <c r="D3033" s="5">
        <f ca="1">IF(getQuality(B3033)&lt;4,getOtherMin(B3033,C3033,INDIRECT(J$2),INDIRECT(I3033),test),getMin(B3033,C3033,INDIRECT(J$2),INDIRECT(I3033),test))</f>
        <v>218.39851117079806</v>
      </c>
      <c r="E3033" s="5">
        <f ca="1">IF(getQuality(B3033)&lt;4,getOtherMax(B3033,C3033,INDIRECT(J$2),INDIRECT(I3033),test),getMax(B3033,C3033,INDIRECT(J$2),INDIRECT(I3033),test))</f>
        <v>270.43850937813136</v>
      </c>
      <c r="F3033" s="1" t="str">
        <f t="shared" si="191"/>
        <v>50</v>
      </c>
      <c r="G3033" s="1" t="str">
        <f t="shared" si="192"/>
        <v/>
      </c>
      <c r="I3033" s="1" t="str">
        <f t="shared" si="190"/>
        <v>威尔新数值1.06.xlsm!suitPower</v>
      </c>
    </row>
    <row r="3034" spans="1:9" x14ac:dyDescent="0.15">
      <c r="A3034" s="1">
        <v>3033</v>
      </c>
      <c r="B3034" s="1">
        <v>103070200</v>
      </c>
      <c r="C3034" s="1">
        <f t="shared" si="189"/>
        <v>7</v>
      </c>
      <c r="D3034" s="5">
        <f ca="1">IF(getQuality(B3034)&lt;4,getOtherMin(B3034,C3034,INDIRECT(J$2),INDIRECT(I3034),test),getMin(B3034,C3034,INDIRECT(J$2),INDIRECT(I3034),test))</f>
        <v>45.444444444444329</v>
      </c>
      <c r="E3034" s="5">
        <f ca="1">IF(getQuality(B3034)&lt;4,getOtherMax(B3034,C3034,INDIRECT(J$2),INDIRECT(I3034),test),getMax(B3034,C3034,INDIRECT(J$2),INDIRECT(I3034),test))</f>
        <v>51.85185185185172</v>
      </c>
      <c r="F3034" s="1" t="str">
        <f t="shared" si="191"/>
        <v>50</v>
      </c>
      <c r="G3034" s="1" t="str">
        <f t="shared" si="192"/>
        <v/>
      </c>
      <c r="I3034" s="1" t="str">
        <f t="shared" si="190"/>
        <v>威尔新数值1.06.xlsm!suitPower</v>
      </c>
    </row>
    <row r="3035" spans="1:9" x14ac:dyDescent="0.15">
      <c r="A3035" s="1">
        <v>3034</v>
      </c>
      <c r="B3035" s="1">
        <v>103070200</v>
      </c>
      <c r="C3035" s="1">
        <f t="shared" si="189"/>
        <v>8</v>
      </c>
      <c r="D3035" s="5">
        <f ca="1">IF(getQuality(B3035)&lt;4,getOtherMin(B3035,C3035,INDIRECT(J$2),INDIRECT(I3035),test),getMin(B3035,C3035,INDIRECT(J$2),INDIRECT(I3035),test))</f>
        <v>101</v>
      </c>
      <c r="E3035" s="5">
        <f ca="1">IF(getQuality(B3035)&lt;4,getOtherMax(B3035,C3035,INDIRECT(J$2),INDIRECT(I3035),test),getMax(B3035,C3035,INDIRECT(J$2),INDIRECT(I3035),test))</f>
        <v>116.66666666666667</v>
      </c>
      <c r="F3035" s="1" t="str">
        <f t="shared" si="191"/>
        <v>50</v>
      </c>
      <c r="G3035" s="1" t="str">
        <f t="shared" si="192"/>
        <v/>
      </c>
      <c r="I3035" s="1" t="str">
        <f t="shared" si="190"/>
        <v>威尔新数值1.06.xlsm!suitPower</v>
      </c>
    </row>
    <row r="3036" spans="1:9" x14ac:dyDescent="0.15">
      <c r="A3036" s="1">
        <v>3035</v>
      </c>
      <c r="B3036" s="1">
        <v>103070200</v>
      </c>
      <c r="C3036" s="1">
        <f t="shared" si="189"/>
        <v>9</v>
      </c>
      <c r="D3036" s="5">
        <f ca="1">IF(getQuality(B3036)&lt;4,getOtherMin(B3036,C3036,INDIRECT(J$2),INDIRECT(I3036),test),getMin(B3036,C3036,INDIRECT(J$2),INDIRECT(I3036),test))</f>
        <v>218.39851117079806</v>
      </c>
      <c r="E3036" s="5">
        <f ca="1">IF(getQuality(B3036)&lt;4,getOtherMax(B3036,C3036,INDIRECT(J$2),INDIRECT(I3036),test),getMax(B3036,C3036,INDIRECT(J$2),INDIRECT(I3036),test))</f>
        <v>270.43850937813136</v>
      </c>
      <c r="F3036" s="1" t="str">
        <f t="shared" si="191"/>
        <v>50</v>
      </c>
      <c r="G3036" s="1" t="str">
        <f t="shared" si="192"/>
        <v/>
      </c>
      <c r="I3036" s="1" t="str">
        <f t="shared" si="190"/>
        <v>威尔新数值1.06.xlsm!suitPower</v>
      </c>
    </row>
    <row r="3037" spans="1:9" x14ac:dyDescent="0.15">
      <c r="A3037" s="1">
        <v>3036</v>
      </c>
      <c r="B3037" s="1">
        <v>103070200</v>
      </c>
      <c r="C3037" s="1">
        <f t="shared" si="189"/>
        <v>10</v>
      </c>
      <c r="D3037" s="5">
        <f ca="1">IF(getQuality(B3037)&lt;4,getOtherMin(B3037,C3037,INDIRECT(J$2),INDIRECT(I3037),test),getMin(B3037,C3037,INDIRECT(J$2),INDIRECT(I3037),test))</f>
        <v>218.39851117079806</v>
      </c>
      <c r="E3037" s="5">
        <f ca="1">IF(getQuality(B3037)&lt;4,getOtherMax(B3037,C3037,INDIRECT(J$2),INDIRECT(I3037),test),getMax(B3037,C3037,INDIRECT(J$2),INDIRECT(I3037),test))</f>
        <v>270.43850937813136</v>
      </c>
      <c r="F3037" s="1" t="str">
        <f t="shared" si="191"/>
        <v>50</v>
      </c>
      <c r="G3037" s="1" t="str">
        <f t="shared" si="192"/>
        <v/>
      </c>
      <c r="I3037" s="1" t="str">
        <f t="shared" si="190"/>
        <v>威尔新数值1.06.xlsm!suitPower</v>
      </c>
    </row>
    <row r="3038" spans="1:9" x14ac:dyDescent="0.15">
      <c r="A3038" s="1">
        <v>3037</v>
      </c>
      <c r="B3038" s="1">
        <v>103070200</v>
      </c>
      <c r="C3038" s="1">
        <f t="shared" si="189"/>
        <v>11</v>
      </c>
      <c r="D3038" s="5">
        <f ca="1">IF(getQuality(B3038)&lt;4,getOtherMin(B3038,C3038,INDIRECT(J$2),INDIRECT(I3038),test),getMin(B3038,C3038,INDIRECT(J$2),INDIRECT(I3038),test))</f>
        <v>218.39851117079806</v>
      </c>
      <c r="E3038" s="5">
        <f ca="1">IF(getQuality(B3038)&lt;4,getOtherMax(B3038,C3038,INDIRECT(J$2),INDIRECT(I3038),test),getMax(B3038,C3038,INDIRECT(J$2),INDIRECT(I3038),test))</f>
        <v>270.43850937813136</v>
      </c>
      <c r="F3038" s="1" t="str">
        <f t="shared" si="191"/>
        <v>50</v>
      </c>
      <c r="G3038" s="1" t="str">
        <f t="shared" si="192"/>
        <v/>
      </c>
      <c r="I3038" s="1" t="str">
        <f t="shared" si="190"/>
        <v>威尔新数值1.06.xlsm!suitPower</v>
      </c>
    </row>
    <row r="3039" spans="1:9" x14ac:dyDescent="0.15">
      <c r="A3039" s="1">
        <v>3038</v>
      </c>
      <c r="B3039" s="1">
        <v>103070200</v>
      </c>
      <c r="C3039" s="1">
        <f t="shared" si="189"/>
        <v>12</v>
      </c>
      <c r="D3039" s="5">
        <f ca="1">IF(getQuality(B3039)&lt;4,getOtherMin(B3039,C3039,INDIRECT(J$2),INDIRECT(I3039),test),getMin(B3039,C3039,INDIRECT(J$2),INDIRECT(I3039),test))</f>
        <v>218.39851117079806</v>
      </c>
      <c r="E3039" s="5">
        <f ca="1">IF(getQuality(B3039)&lt;4,getOtherMax(B3039,C3039,INDIRECT(J$2),INDIRECT(I3039),test),getMax(B3039,C3039,INDIRECT(J$2),INDIRECT(I3039),test))</f>
        <v>270.43850937813136</v>
      </c>
      <c r="F3039" s="1" t="str">
        <f t="shared" si="191"/>
        <v>50</v>
      </c>
      <c r="G3039" s="1" t="str">
        <f t="shared" si="192"/>
        <v/>
      </c>
      <c r="I3039" s="1" t="str">
        <f t="shared" si="190"/>
        <v>威尔新数值1.06.xlsm!suitPower</v>
      </c>
    </row>
    <row r="3040" spans="1:9" x14ac:dyDescent="0.15">
      <c r="A3040" s="1">
        <v>3039</v>
      </c>
      <c r="B3040" s="1">
        <v>103070200</v>
      </c>
      <c r="C3040" s="1">
        <f t="shared" si="189"/>
        <v>13</v>
      </c>
      <c r="D3040" s="5">
        <f ca="1">IF(getQuality(B3040)&lt;4,getOtherMin(B3040,C3040,INDIRECT(J$2),INDIRECT(I3040),test),getMin(B3040,C3040,INDIRECT(J$2),INDIRECT(I3040),test))</f>
        <v>218.39851117079806</v>
      </c>
      <c r="E3040" s="5">
        <f ca="1">IF(getQuality(B3040)&lt;4,getOtherMax(B3040,C3040,INDIRECT(J$2),INDIRECT(I3040),test),getMax(B3040,C3040,INDIRECT(J$2),INDIRECT(I3040),test))</f>
        <v>270.43850937813136</v>
      </c>
      <c r="F3040" s="1" t="str">
        <f t="shared" si="191"/>
        <v>50</v>
      </c>
      <c r="G3040" s="1" t="str">
        <f t="shared" si="192"/>
        <v/>
      </c>
      <c r="I3040" s="1" t="str">
        <f t="shared" si="190"/>
        <v>威尔新数值1.06.xlsm!suitPower</v>
      </c>
    </row>
    <row r="3041" spans="1:9" x14ac:dyDescent="0.15">
      <c r="A3041" s="1">
        <v>3040</v>
      </c>
      <c r="B3041" s="1">
        <v>103070200</v>
      </c>
      <c r="C3041" s="1">
        <f t="shared" si="189"/>
        <v>14</v>
      </c>
      <c r="D3041" s="5">
        <f ca="1">IF(getQuality(B3041)&lt;4,getOtherMin(B3041,C3041,INDIRECT(J$2),INDIRECT(I3041),test),getMin(B3041,C3041,INDIRECT(J$2),INDIRECT(I3041),test))</f>
        <v>218.39851117079806</v>
      </c>
      <c r="E3041" s="5">
        <f ca="1">IF(getQuality(B3041)&lt;4,getOtherMax(B3041,C3041,INDIRECT(J$2),INDIRECT(I3041),test),getMax(B3041,C3041,INDIRECT(J$2),INDIRECT(I3041),test))</f>
        <v>270.43850937813136</v>
      </c>
      <c r="F3041" s="1" t="str">
        <f t="shared" si="191"/>
        <v>50</v>
      </c>
      <c r="G3041" s="1" t="str">
        <f t="shared" si="192"/>
        <v/>
      </c>
      <c r="I3041" s="1" t="str">
        <f t="shared" si="190"/>
        <v>威尔新数值1.06.xlsm!suitPower</v>
      </c>
    </row>
    <row r="3042" spans="1:9" x14ac:dyDescent="0.15">
      <c r="A3042" s="1">
        <v>3041</v>
      </c>
      <c r="B3042" s="1">
        <v>103070200</v>
      </c>
      <c r="C3042" s="1">
        <f t="shared" si="189"/>
        <v>15</v>
      </c>
      <c r="D3042" s="5">
        <f ca="1">IF(getQuality(B3042)&lt;4,getOtherMin(B3042,C3042,INDIRECT(J$2),INDIRECT(I3042),test),getMin(B3042,C3042,INDIRECT(J$2),INDIRECT(I3042),test))</f>
        <v>218.39851117079806</v>
      </c>
      <c r="E3042" s="5">
        <f ca="1">IF(getQuality(B3042)&lt;4,getOtherMax(B3042,C3042,INDIRECT(J$2),INDIRECT(I3042),test),getMax(B3042,C3042,INDIRECT(J$2),INDIRECT(I3042),test))</f>
        <v>270.43850937813136</v>
      </c>
      <c r="F3042" s="1" t="str">
        <f t="shared" si="191"/>
        <v>50</v>
      </c>
      <c r="G3042" s="1" t="str">
        <f t="shared" si="192"/>
        <v/>
      </c>
      <c r="I3042" s="1" t="str">
        <f t="shared" si="190"/>
        <v>威尔新数值1.06.xlsm!suitPower</v>
      </c>
    </row>
    <row r="3043" spans="1:9" x14ac:dyDescent="0.15">
      <c r="A3043" s="1">
        <v>3042</v>
      </c>
      <c r="B3043" s="1">
        <v>103070200</v>
      </c>
      <c r="C3043" s="1">
        <f t="shared" si="189"/>
        <v>101</v>
      </c>
      <c r="D3043" s="5">
        <f ca="1">IF(getQuality(B3043)&lt;4,getOtherMin(B3043,C3043,INDIRECT(J$2),INDIRECT(I3043),test),getMin(B3043,C3043,INDIRECT(J$2),INDIRECT(I3043),test))</f>
        <v>0.13</v>
      </c>
      <c r="E3043" s="5">
        <f ca="1">IF(getQuality(B3043)&lt;4,getOtherMax(B3043,C3043,INDIRECT(J$2),INDIRECT(I3043),test),getMax(B3043,C3043,INDIRECT(J$2),INDIRECT(I3043),test))</f>
        <v>0.16</v>
      </c>
      <c r="F3043" s="1" t="str">
        <f t="shared" si="191"/>
        <v>50</v>
      </c>
      <c r="G3043" s="1" t="str">
        <f t="shared" si="192"/>
        <v/>
      </c>
      <c r="I3043" s="1" t="str">
        <f t="shared" si="190"/>
        <v>威尔新数值1.06.xlsm!circlePer</v>
      </c>
    </row>
    <row r="3044" spans="1:9" x14ac:dyDescent="0.15">
      <c r="A3044" s="1">
        <v>3043</v>
      </c>
      <c r="B3044" s="1">
        <v>103070200</v>
      </c>
      <c r="C3044" s="1">
        <f t="shared" si="189"/>
        <v>102</v>
      </c>
      <c r="D3044" s="5">
        <f ca="1">IF(getQuality(B3044)&lt;4,getOtherMin(B3044,C3044,INDIRECT(J$2),INDIRECT(I3044),test),getMin(B3044,C3044,INDIRECT(J$2),INDIRECT(I3044),test))</f>
        <v>1.2</v>
      </c>
      <c r="E3044" s="5">
        <f ca="1">IF(getQuality(B3044)&lt;4,getOtherMax(B3044,C3044,INDIRECT(J$2),INDIRECT(I3044),test),getMax(B3044,C3044,INDIRECT(J$2),INDIRECT(I3044),test))</f>
        <v>1.5</v>
      </c>
      <c r="F3044" s="1" t="str">
        <f t="shared" si="191"/>
        <v>50</v>
      </c>
      <c r="G3044" s="1" t="str">
        <f t="shared" si="192"/>
        <v/>
      </c>
      <c r="I3044" s="1" t="str">
        <f t="shared" si="190"/>
        <v>威尔新数值1.06.xlsm!circleValue</v>
      </c>
    </row>
    <row r="3045" spans="1:9" x14ac:dyDescent="0.15">
      <c r="A3045" s="1">
        <v>3044</v>
      </c>
      <c r="B3045" s="1">
        <v>103070200</v>
      </c>
      <c r="C3045" s="1">
        <f t="shared" si="189"/>
        <v>103</v>
      </c>
      <c r="D3045" s="5">
        <f ca="1">IF(getQuality(B3045)&lt;4,getOtherMin(B3045,C3045,INDIRECT(J$2),INDIRECT(I3045),test),getMin(B3045,C3045,INDIRECT(J$2),INDIRECT(I3045),test))</f>
        <v>0.13</v>
      </c>
      <c r="E3045" s="5">
        <f ca="1">IF(getQuality(B3045)&lt;4,getOtherMax(B3045,C3045,INDIRECT(J$2),INDIRECT(I3045),test),getMax(B3045,C3045,INDIRECT(J$2),INDIRECT(I3045),test))</f>
        <v>0.16</v>
      </c>
      <c r="F3045" s="1" t="str">
        <f t="shared" si="191"/>
        <v>50</v>
      </c>
      <c r="G3045" s="1" t="str">
        <f t="shared" si="192"/>
        <v/>
      </c>
      <c r="I3045" s="1" t="str">
        <f t="shared" si="190"/>
        <v>威尔新数值1.06.xlsm!otherDamage</v>
      </c>
    </row>
    <row r="3046" spans="1:9" x14ac:dyDescent="0.15">
      <c r="A3046" s="1">
        <v>3045</v>
      </c>
      <c r="B3046" s="1">
        <v>103070200</v>
      </c>
      <c r="C3046" s="1">
        <f t="shared" si="189"/>
        <v>104</v>
      </c>
      <c r="D3046" s="5">
        <f ca="1">IF(getQuality(B3046)&lt;4,getOtherMin(B3046,C3046,INDIRECT(J$2),INDIRECT(I3046),test),getMin(B3046,C3046,INDIRECT(J$2),INDIRECT(I3046),test))</f>
        <v>0.13</v>
      </c>
      <c r="E3046" s="5">
        <f ca="1">IF(getQuality(B3046)&lt;4,getOtherMax(B3046,C3046,INDIRECT(J$2),INDIRECT(I3046),test),getMax(B3046,C3046,INDIRECT(J$2),INDIRECT(I3046),test))</f>
        <v>0.26</v>
      </c>
      <c r="F3046" s="1" t="str">
        <f t="shared" si="191"/>
        <v>50</v>
      </c>
      <c r="G3046" s="1" t="str">
        <f t="shared" si="192"/>
        <v/>
      </c>
      <c r="I3046" s="1" t="str">
        <f t="shared" si="190"/>
        <v>威尔新数值1.06.xlsm!monsterDamage</v>
      </c>
    </row>
    <row r="3047" spans="1:9" x14ac:dyDescent="0.15">
      <c r="A3047" s="1">
        <v>3046</v>
      </c>
      <c r="B3047" s="1">
        <v>103070200</v>
      </c>
      <c r="C3047" s="1">
        <f t="shared" si="189"/>
        <v>105</v>
      </c>
      <c r="D3047" s="5">
        <f ca="1">IF(getQuality(B3047)&lt;4,getOtherMin(B3047,C3047,INDIRECT(J$2),INDIRECT(I3047),test),getMin(B3047,C3047,INDIRECT(J$2),INDIRECT(I3047),test))</f>
        <v>0.13</v>
      </c>
      <c r="E3047" s="5">
        <f ca="1">IF(getQuality(B3047)&lt;4,getOtherMax(B3047,C3047,INDIRECT(J$2),INDIRECT(I3047),test),getMax(B3047,C3047,INDIRECT(J$2),INDIRECT(I3047),test))</f>
        <v>0.26</v>
      </c>
      <c r="F3047" s="1" t="str">
        <f t="shared" si="191"/>
        <v>50</v>
      </c>
      <c r="G3047" s="1" t="str">
        <f t="shared" si="192"/>
        <v/>
      </c>
      <c r="I3047" s="1" t="str">
        <f t="shared" si="190"/>
        <v>威尔新数值1.06.xlsm!monsterDamage</v>
      </c>
    </row>
    <row r="3048" spans="1:9" x14ac:dyDescent="0.15">
      <c r="A3048" s="1">
        <v>3047</v>
      </c>
      <c r="B3048" s="1">
        <v>103070200</v>
      </c>
      <c r="C3048" s="1">
        <f t="shared" si="189"/>
        <v>106</v>
      </c>
      <c r="D3048" s="5">
        <f ca="1">IF(getQuality(B3048)&lt;4,getOtherMin(B3048,C3048,INDIRECT(J$2),INDIRECT(I3048),test),getMin(B3048,C3048,INDIRECT(J$2),INDIRECT(I3048),test))</f>
        <v>0.13</v>
      </c>
      <c r="E3048" s="5">
        <f ca="1">IF(getQuality(B3048)&lt;4,getOtherMax(B3048,C3048,INDIRECT(J$2),INDIRECT(I3048),test),getMax(B3048,C3048,INDIRECT(J$2),INDIRECT(I3048),test))</f>
        <v>0.26</v>
      </c>
      <c r="F3048" s="1" t="str">
        <f t="shared" si="191"/>
        <v>50</v>
      </c>
      <c r="G3048" s="1" t="str">
        <f t="shared" si="192"/>
        <v/>
      </c>
      <c r="I3048" s="1" t="str">
        <f t="shared" si="190"/>
        <v>威尔新数值1.06.xlsm!monsterDamage</v>
      </c>
    </row>
    <row r="3049" spans="1:9" x14ac:dyDescent="0.15">
      <c r="A3049" s="1">
        <v>3048</v>
      </c>
      <c r="B3049" s="1">
        <v>103070200</v>
      </c>
      <c r="C3049" s="1">
        <f t="shared" si="189"/>
        <v>107</v>
      </c>
      <c r="D3049" s="5">
        <f ca="1">IF(getQuality(B3049)&lt;4,getOtherMin(B3049,C3049,INDIRECT(J$2),INDIRECT(I3049),test),getMin(B3049,C3049,INDIRECT(J$2),INDIRECT(I3049),test))</f>
        <v>0.13</v>
      </c>
      <c r="E3049" s="5">
        <f ca="1">IF(getQuality(B3049)&lt;4,getOtherMax(B3049,C3049,INDIRECT(J$2),INDIRECT(I3049),test),getMax(B3049,C3049,INDIRECT(J$2),INDIRECT(I3049),test))</f>
        <v>0.26</v>
      </c>
      <c r="F3049" s="1" t="str">
        <f t="shared" si="191"/>
        <v>50</v>
      </c>
      <c r="G3049" s="1" t="str">
        <f t="shared" si="192"/>
        <v/>
      </c>
      <c r="I3049" s="1" t="str">
        <f t="shared" si="190"/>
        <v>威尔新数值1.06.xlsm!monsterDamage</v>
      </c>
    </row>
    <row r="3050" spans="1:9" x14ac:dyDescent="0.15">
      <c r="A3050" s="1">
        <v>3049</v>
      </c>
      <c r="B3050" s="1">
        <v>103070200</v>
      </c>
      <c r="C3050" s="1">
        <f t="shared" si="189"/>
        <v>108</v>
      </c>
      <c r="D3050" s="5">
        <f ca="1">IF(getQuality(B3050)&lt;4,getOtherMin(B3050,C3050,INDIRECT(J$2),INDIRECT(I3050),test),getMin(B3050,C3050,INDIRECT(J$2),INDIRECT(I3050),test))</f>
        <v>0.13</v>
      </c>
      <c r="E3050" s="5">
        <f ca="1">IF(getQuality(B3050)&lt;4,getOtherMax(B3050,C3050,INDIRECT(J$2),INDIRECT(I3050),test),getMax(B3050,C3050,INDIRECT(J$2),INDIRECT(I3050),test))</f>
        <v>0.26</v>
      </c>
      <c r="F3050" s="1" t="str">
        <f t="shared" si="191"/>
        <v>50</v>
      </c>
      <c r="G3050" s="1" t="str">
        <f t="shared" si="192"/>
        <v/>
      </c>
      <c r="I3050" s="1" t="str">
        <f t="shared" si="190"/>
        <v>威尔新数值1.06.xlsm!monsterDamage</v>
      </c>
    </row>
    <row r="3051" spans="1:9" x14ac:dyDescent="0.15">
      <c r="A3051" s="1">
        <v>3050</v>
      </c>
      <c r="B3051" s="1">
        <v>103080200</v>
      </c>
      <c r="C3051" s="1">
        <f t="shared" si="189"/>
        <v>3</v>
      </c>
      <c r="D3051" s="5">
        <f ca="1">IF(getQuality(B3051)&lt;4,getOtherMin(B3051,C3051,INDIRECT(J$2),INDIRECT(I3051),test),getMin(B3051,C3051,INDIRECT(J$2),INDIRECT(I3051),test))</f>
        <v>271.43850937813136</v>
      </c>
      <c r="E3051" s="5">
        <f ca="1">IF(getQuality(B3051)&lt;4,getOtherMax(B3051,C3051,INDIRECT(J$2),INDIRECT(I3051),test),getMax(B3051,C3051,INDIRECT(J$2),INDIRECT(I3051),test))</f>
        <v>328.28048273180752</v>
      </c>
      <c r="F3051" s="1" t="str">
        <f t="shared" si="191"/>
        <v>50</v>
      </c>
      <c r="G3051" s="1" t="str">
        <f t="shared" si="192"/>
        <v>1</v>
      </c>
      <c r="I3051" s="1" t="str">
        <f t="shared" si="190"/>
        <v>威尔新数值1.06.xlsm!suitPower</v>
      </c>
    </row>
    <row r="3052" spans="1:9" x14ac:dyDescent="0.15">
      <c r="A3052" s="1">
        <v>3051</v>
      </c>
      <c r="B3052" s="1">
        <v>103080200</v>
      </c>
      <c r="C3052" s="1">
        <f t="shared" si="189"/>
        <v>5</v>
      </c>
      <c r="D3052" s="5">
        <f ca="1">IF(getQuality(B3052)&lt;4,getOtherMin(B3052,C3052,INDIRECT(J$2),INDIRECT(I3052),test),getMin(B3052,C3052,INDIRECT(J$2),INDIRECT(I3052),test))</f>
        <v>271.43850937813136</v>
      </c>
      <c r="E3052" s="5">
        <f ca="1">IF(getQuality(B3052)&lt;4,getOtherMax(B3052,C3052,INDIRECT(J$2),INDIRECT(I3052),test),getMax(B3052,C3052,INDIRECT(J$2),INDIRECT(I3052),test))</f>
        <v>328.28048273180752</v>
      </c>
      <c r="F3052" s="1" t="str">
        <f t="shared" si="191"/>
        <v>50</v>
      </c>
      <c r="G3052" s="1" t="str">
        <f t="shared" si="192"/>
        <v/>
      </c>
      <c r="I3052" s="1" t="str">
        <f t="shared" si="190"/>
        <v>威尔新数值1.06.xlsm!suitPower</v>
      </c>
    </row>
    <row r="3053" spans="1:9" x14ac:dyDescent="0.15">
      <c r="A3053" s="1">
        <v>3052</v>
      </c>
      <c r="B3053" s="1">
        <v>103080200</v>
      </c>
      <c r="C3053" s="1">
        <f t="shared" si="189"/>
        <v>7</v>
      </c>
      <c r="D3053" s="5">
        <f ca="1">IF(getQuality(B3053)&lt;4,getOtherMin(B3053,C3053,INDIRECT(J$2),INDIRECT(I3053),test),getMin(B3053,C3053,INDIRECT(J$2),INDIRECT(I3053),test))</f>
        <v>52.85185185185172</v>
      </c>
      <c r="E3053" s="5">
        <f ca="1">IF(getQuality(B3053)&lt;4,getOtherMax(B3053,C3053,INDIRECT(J$2),INDIRECT(I3053),test),getMax(B3053,C3053,INDIRECT(J$2),INDIRECT(I3053),test))</f>
        <v>59.25925925925911</v>
      </c>
      <c r="F3053" s="1" t="str">
        <f t="shared" si="191"/>
        <v>50</v>
      </c>
      <c r="G3053" s="1" t="str">
        <f t="shared" si="192"/>
        <v/>
      </c>
      <c r="I3053" s="1" t="str">
        <f t="shared" si="190"/>
        <v>威尔新数值1.06.xlsm!suitPower</v>
      </c>
    </row>
    <row r="3054" spans="1:9" x14ac:dyDescent="0.15">
      <c r="A3054" s="1">
        <v>3053</v>
      </c>
      <c r="B3054" s="1">
        <v>103080200</v>
      </c>
      <c r="C3054" s="1">
        <f t="shared" si="189"/>
        <v>8</v>
      </c>
      <c r="D3054" s="5">
        <f ca="1">IF(getQuality(B3054)&lt;4,getOtherMin(B3054,C3054,INDIRECT(J$2),INDIRECT(I3054),test),getMin(B3054,C3054,INDIRECT(J$2),INDIRECT(I3054),test))</f>
        <v>117.66666666666667</v>
      </c>
      <c r="E3054" s="5">
        <f ca="1">IF(getQuality(B3054)&lt;4,getOtherMax(B3054,C3054,INDIRECT(J$2),INDIRECT(I3054),test),getMax(B3054,C3054,INDIRECT(J$2),INDIRECT(I3054),test))</f>
        <v>133.33333333333334</v>
      </c>
      <c r="F3054" s="1" t="str">
        <f t="shared" si="191"/>
        <v>50</v>
      </c>
      <c r="G3054" s="1" t="str">
        <f t="shared" si="192"/>
        <v/>
      </c>
      <c r="I3054" s="1" t="str">
        <f t="shared" si="190"/>
        <v>威尔新数值1.06.xlsm!suitPower</v>
      </c>
    </row>
    <row r="3055" spans="1:9" x14ac:dyDescent="0.15">
      <c r="A3055" s="1">
        <v>3054</v>
      </c>
      <c r="B3055" s="1">
        <v>103080200</v>
      </c>
      <c r="C3055" s="1">
        <f t="shared" si="189"/>
        <v>9</v>
      </c>
      <c r="D3055" s="5">
        <f ca="1">IF(getQuality(B3055)&lt;4,getOtherMin(B3055,C3055,INDIRECT(J$2),INDIRECT(I3055),test),getMin(B3055,C3055,INDIRECT(J$2),INDIRECT(I3055),test))</f>
        <v>271.43850937813136</v>
      </c>
      <c r="E3055" s="5">
        <f ca="1">IF(getQuality(B3055)&lt;4,getOtherMax(B3055,C3055,INDIRECT(J$2),INDIRECT(I3055),test),getMax(B3055,C3055,INDIRECT(J$2),INDIRECT(I3055),test))</f>
        <v>328.28048273180752</v>
      </c>
      <c r="F3055" s="1" t="str">
        <f t="shared" si="191"/>
        <v>50</v>
      </c>
      <c r="G3055" s="1" t="str">
        <f t="shared" si="192"/>
        <v/>
      </c>
      <c r="I3055" s="1" t="str">
        <f t="shared" si="190"/>
        <v>威尔新数值1.06.xlsm!suitPower</v>
      </c>
    </row>
    <row r="3056" spans="1:9" x14ac:dyDescent="0.15">
      <c r="A3056" s="1">
        <v>3055</v>
      </c>
      <c r="B3056" s="1">
        <v>103080200</v>
      </c>
      <c r="C3056" s="1">
        <f t="shared" si="189"/>
        <v>10</v>
      </c>
      <c r="D3056" s="5">
        <f ca="1">IF(getQuality(B3056)&lt;4,getOtherMin(B3056,C3056,INDIRECT(J$2),INDIRECT(I3056),test),getMin(B3056,C3056,INDIRECT(J$2),INDIRECT(I3056),test))</f>
        <v>271.43850937813136</v>
      </c>
      <c r="E3056" s="5">
        <f ca="1">IF(getQuality(B3056)&lt;4,getOtherMax(B3056,C3056,INDIRECT(J$2),INDIRECT(I3056),test),getMax(B3056,C3056,INDIRECT(J$2),INDIRECT(I3056),test))</f>
        <v>328.28048273180752</v>
      </c>
      <c r="F3056" s="1" t="str">
        <f t="shared" si="191"/>
        <v>50</v>
      </c>
      <c r="G3056" s="1" t="str">
        <f t="shared" si="192"/>
        <v/>
      </c>
      <c r="I3056" s="1" t="str">
        <f t="shared" si="190"/>
        <v>威尔新数值1.06.xlsm!suitPower</v>
      </c>
    </row>
    <row r="3057" spans="1:9" x14ac:dyDescent="0.15">
      <c r="A3057" s="1">
        <v>3056</v>
      </c>
      <c r="B3057" s="1">
        <v>103080200</v>
      </c>
      <c r="C3057" s="1">
        <f t="shared" si="189"/>
        <v>11</v>
      </c>
      <c r="D3057" s="5">
        <f ca="1">IF(getQuality(B3057)&lt;4,getOtherMin(B3057,C3057,INDIRECT(J$2),INDIRECT(I3057),test),getMin(B3057,C3057,INDIRECT(J$2),INDIRECT(I3057),test))</f>
        <v>271.43850937813136</v>
      </c>
      <c r="E3057" s="5">
        <f ca="1">IF(getQuality(B3057)&lt;4,getOtherMax(B3057,C3057,INDIRECT(J$2),INDIRECT(I3057),test),getMax(B3057,C3057,INDIRECT(J$2),INDIRECT(I3057),test))</f>
        <v>328.28048273180752</v>
      </c>
      <c r="F3057" s="1" t="str">
        <f t="shared" si="191"/>
        <v>50</v>
      </c>
      <c r="G3057" s="1" t="str">
        <f t="shared" si="192"/>
        <v/>
      </c>
      <c r="I3057" s="1" t="str">
        <f t="shared" si="190"/>
        <v>威尔新数值1.06.xlsm!suitPower</v>
      </c>
    </row>
    <row r="3058" spans="1:9" x14ac:dyDescent="0.15">
      <c r="A3058" s="1">
        <v>3057</v>
      </c>
      <c r="B3058" s="1">
        <v>103080200</v>
      </c>
      <c r="C3058" s="1">
        <f t="shared" si="189"/>
        <v>12</v>
      </c>
      <c r="D3058" s="5">
        <f ca="1">IF(getQuality(B3058)&lt;4,getOtherMin(B3058,C3058,INDIRECT(J$2),INDIRECT(I3058),test),getMin(B3058,C3058,INDIRECT(J$2),INDIRECT(I3058),test))</f>
        <v>271.43850937813136</v>
      </c>
      <c r="E3058" s="5">
        <f ca="1">IF(getQuality(B3058)&lt;4,getOtherMax(B3058,C3058,INDIRECT(J$2),INDIRECT(I3058),test),getMax(B3058,C3058,INDIRECT(J$2),INDIRECT(I3058),test))</f>
        <v>328.28048273180752</v>
      </c>
      <c r="F3058" s="1" t="str">
        <f t="shared" si="191"/>
        <v>50</v>
      </c>
      <c r="G3058" s="1" t="str">
        <f t="shared" si="192"/>
        <v/>
      </c>
      <c r="I3058" s="1" t="str">
        <f t="shared" si="190"/>
        <v>威尔新数值1.06.xlsm!suitPower</v>
      </c>
    </row>
    <row r="3059" spans="1:9" x14ac:dyDescent="0.15">
      <c r="A3059" s="1">
        <v>3058</v>
      </c>
      <c r="B3059" s="1">
        <v>103080200</v>
      </c>
      <c r="C3059" s="1">
        <f t="shared" si="189"/>
        <v>13</v>
      </c>
      <c r="D3059" s="5">
        <f ca="1">IF(getQuality(B3059)&lt;4,getOtherMin(B3059,C3059,INDIRECT(J$2),INDIRECT(I3059),test),getMin(B3059,C3059,INDIRECT(J$2),INDIRECT(I3059),test))</f>
        <v>271.43850937813136</v>
      </c>
      <c r="E3059" s="5">
        <f ca="1">IF(getQuality(B3059)&lt;4,getOtherMax(B3059,C3059,INDIRECT(J$2),INDIRECT(I3059),test),getMax(B3059,C3059,INDIRECT(J$2),INDIRECT(I3059),test))</f>
        <v>328.28048273180752</v>
      </c>
      <c r="F3059" s="1" t="str">
        <f t="shared" si="191"/>
        <v>50</v>
      </c>
      <c r="G3059" s="1" t="str">
        <f t="shared" si="192"/>
        <v/>
      </c>
      <c r="I3059" s="1" t="str">
        <f t="shared" si="190"/>
        <v>威尔新数值1.06.xlsm!suitPower</v>
      </c>
    </row>
    <row r="3060" spans="1:9" x14ac:dyDescent="0.15">
      <c r="A3060" s="1">
        <v>3059</v>
      </c>
      <c r="B3060" s="1">
        <v>103080200</v>
      </c>
      <c r="C3060" s="1">
        <f t="shared" si="189"/>
        <v>14</v>
      </c>
      <c r="D3060" s="5">
        <f ca="1">IF(getQuality(B3060)&lt;4,getOtherMin(B3060,C3060,INDIRECT(J$2),INDIRECT(I3060),test),getMin(B3060,C3060,INDIRECT(J$2),INDIRECT(I3060),test))</f>
        <v>271.43850937813136</v>
      </c>
      <c r="E3060" s="5">
        <f ca="1">IF(getQuality(B3060)&lt;4,getOtherMax(B3060,C3060,INDIRECT(J$2),INDIRECT(I3060),test),getMax(B3060,C3060,INDIRECT(J$2),INDIRECT(I3060),test))</f>
        <v>328.28048273180752</v>
      </c>
      <c r="F3060" s="1" t="str">
        <f t="shared" si="191"/>
        <v>50</v>
      </c>
      <c r="G3060" s="1" t="str">
        <f t="shared" si="192"/>
        <v/>
      </c>
      <c r="I3060" s="1" t="str">
        <f t="shared" si="190"/>
        <v>威尔新数值1.06.xlsm!suitPower</v>
      </c>
    </row>
    <row r="3061" spans="1:9" x14ac:dyDescent="0.15">
      <c r="A3061" s="1">
        <v>3060</v>
      </c>
      <c r="B3061" s="1">
        <v>103080200</v>
      </c>
      <c r="C3061" s="1">
        <f t="shared" si="189"/>
        <v>15</v>
      </c>
      <c r="D3061" s="5">
        <f ca="1">IF(getQuality(B3061)&lt;4,getOtherMin(B3061,C3061,INDIRECT(J$2),INDIRECT(I3061),test),getMin(B3061,C3061,INDIRECT(J$2),INDIRECT(I3061),test))</f>
        <v>271.43850937813136</v>
      </c>
      <c r="E3061" s="5">
        <f ca="1">IF(getQuality(B3061)&lt;4,getOtherMax(B3061,C3061,INDIRECT(J$2),INDIRECT(I3061),test),getMax(B3061,C3061,INDIRECT(J$2),INDIRECT(I3061),test))</f>
        <v>328.28048273180752</v>
      </c>
      <c r="F3061" s="1" t="str">
        <f t="shared" si="191"/>
        <v>50</v>
      </c>
      <c r="G3061" s="1" t="str">
        <f t="shared" si="192"/>
        <v/>
      </c>
      <c r="I3061" s="1" t="str">
        <f t="shared" si="190"/>
        <v>威尔新数值1.06.xlsm!suitPower</v>
      </c>
    </row>
    <row r="3062" spans="1:9" x14ac:dyDescent="0.15">
      <c r="A3062" s="1">
        <v>3061</v>
      </c>
      <c r="B3062" s="1">
        <v>103080200</v>
      </c>
      <c r="C3062" s="1">
        <f t="shared" si="189"/>
        <v>101</v>
      </c>
      <c r="D3062" s="5">
        <f ca="1">IF(getQuality(B3062)&lt;4,getOtherMin(B3062,C3062,INDIRECT(J$2),INDIRECT(I3062),test),getMin(B3062,C3062,INDIRECT(J$2),INDIRECT(I3062),test))</f>
        <v>0.14000000000000001</v>
      </c>
      <c r="E3062" s="5">
        <f ca="1">IF(getQuality(B3062)&lt;4,getOtherMax(B3062,C3062,INDIRECT(J$2),INDIRECT(I3062),test),getMax(B3062,C3062,INDIRECT(J$2),INDIRECT(I3062),test))</f>
        <v>0.17</v>
      </c>
      <c r="F3062" s="1" t="str">
        <f t="shared" si="191"/>
        <v>50</v>
      </c>
      <c r="G3062" s="1" t="str">
        <f t="shared" si="192"/>
        <v/>
      </c>
      <c r="I3062" s="1" t="str">
        <f t="shared" si="190"/>
        <v>威尔新数值1.06.xlsm!circlePer</v>
      </c>
    </row>
    <row r="3063" spans="1:9" x14ac:dyDescent="0.15">
      <c r="A3063" s="1">
        <v>3062</v>
      </c>
      <c r="B3063" s="1">
        <v>103080200</v>
      </c>
      <c r="C3063" s="1">
        <f t="shared" si="189"/>
        <v>102</v>
      </c>
      <c r="D3063" s="5">
        <f ca="1">IF(getQuality(B3063)&lt;4,getOtherMin(B3063,C3063,INDIRECT(J$2),INDIRECT(I3063),test),getMin(B3063,C3063,INDIRECT(J$2),INDIRECT(I3063),test))</f>
        <v>1.3</v>
      </c>
      <c r="E3063" s="5">
        <f ca="1">IF(getQuality(B3063)&lt;4,getOtherMax(B3063,C3063,INDIRECT(J$2),INDIRECT(I3063),test),getMax(B3063,C3063,INDIRECT(J$2),INDIRECT(I3063),test))</f>
        <v>1.6</v>
      </c>
      <c r="F3063" s="1" t="str">
        <f t="shared" si="191"/>
        <v>50</v>
      </c>
      <c r="G3063" s="1" t="str">
        <f t="shared" si="192"/>
        <v/>
      </c>
      <c r="I3063" s="1" t="str">
        <f t="shared" si="190"/>
        <v>威尔新数值1.06.xlsm!circleValue</v>
      </c>
    </row>
    <row r="3064" spans="1:9" x14ac:dyDescent="0.15">
      <c r="A3064" s="1">
        <v>3063</v>
      </c>
      <c r="B3064" s="1">
        <v>103080200</v>
      </c>
      <c r="C3064" s="1">
        <f t="shared" si="189"/>
        <v>103</v>
      </c>
      <c r="D3064" s="5">
        <f ca="1">IF(getQuality(B3064)&lt;4,getOtherMin(B3064,C3064,INDIRECT(J$2),INDIRECT(I3064),test),getMin(B3064,C3064,INDIRECT(J$2),INDIRECT(I3064),test))</f>
        <v>0.14000000000000001</v>
      </c>
      <c r="E3064" s="5">
        <f ca="1">IF(getQuality(B3064)&lt;4,getOtherMax(B3064,C3064,INDIRECT(J$2),INDIRECT(I3064),test),getMax(B3064,C3064,INDIRECT(J$2),INDIRECT(I3064),test))</f>
        <v>0.17</v>
      </c>
      <c r="F3064" s="1" t="str">
        <f t="shared" si="191"/>
        <v>50</v>
      </c>
      <c r="G3064" s="1" t="str">
        <f t="shared" si="192"/>
        <v/>
      </c>
      <c r="I3064" s="1" t="str">
        <f t="shared" si="190"/>
        <v>威尔新数值1.06.xlsm!otherDamage</v>
      </c>
    </row>
    <row r="3065" spans="1:9" x14ac:dyDescent="0.15">
      <c r="A3065" s="1">
        <v>3064</v>
      </c>
      <c r="B3065" s="1">
        <v>103080200</v>
      </c>
      <c r="C3065" s="1">
        <f t="shared" si="189"/>
        <v>104</v>
      </c>
      <c r="D3065" s="5">
        <f ca="1">IF(getQuality(B3065)&lt;4,getOtherMin(B3065,C3065,INDIRECT(J$2),INDIRECT(I3065),test),getMin(B3065,C3065,INDIRECT(J$2),INDIRECT(I3065),test))</f>
        <v>0.14000000000000001</v>
      </c>
      <c r="E3065" s="5">
        <f ca="1">IF(getQuality(B3065)&lt;4,getOtherMax(B3065,C3065,INDIRECT(J$2),INDIRECT(I3065),test),getMax(B3065,C3065,INDIRECT(J$2),INDIRECT(I3065),test))</f>
        <v>0.28000000000000003</v>
      </c>
      <c r="F3065" s="1" t="str">
        <f t="shared" si="191"/>
        <v>50</v>
      </c>
      <c r="G3065" s="1" t="str">
        <f t="shared" si="192"/>
        <v/>
      </c>
      <c r="I3065" s="1" t="str">
        <f t="shared" si="190"/>
        <v>威尔新数值1.06.xlsm!monsterDamage</v>
      </c>
    </row>
    <row r="3066" spans="1:9" x14ac:dyDescent="0.15">
      <c r="A3066" s="1">
        <v>3065</v>
      </c>
      <c r="B3066" s="1">
        <v>103080200</v>
      </c>
      <c r="C3066" s="1">
        <f t="shared" si="189"/>
        <v>105</v>
      </c>
      <c r="D3066" s="5">
        <f ca="1">IF(getQuality(B3066)&lt;4,getOtherMin(B3066,C3066,INDIRECT(J$2),INDIRECT(I3066),test),getMin(B3066,C3066,INDIRECT(J$2),INDIRECT(I3066),test))</f>
        <v>0.14000000000000001</v>
      </c>
      <c r="E3066" s="5">
        <f ca="1">IF(getQuality(B3066)&lt;4,getOtherMax(B3066,C3066,INDIRECT(J$2),INDIRECT(I3066),test),getMax(B3066,C3066,INDIRECT(J$2),INDIRECT(I3066),test))</f>
        <v>0.28000000000000003</v>
      </c>
      <c r="F3066" s="1" t="str">
        <f t="shared" si="191"/>
        <v>50</v>
      </c>
      <c r="G3066" s="1" t="str">
        <f t="shared" si="192"/>
        <v/>
      </c>
      <c r="I3066" s="1" t="str">
        <f t="shared" si="190"/>
        <v>威尔新数值1.06.xlsm!monsterDamage</v>
      </c>
    </row>
    <row r="3067" spans="1:9" x14ac:dyDescent="0.15">
      <c r="A3067" s="1">
        <v>3066</v>
      </c>
      <c r="B3067" s="1">
        <v>103080200</v>
      </c>
      <c r="C3067" s="1">
        <f t="shared" si="189"/>
        <v>106</v>
      </c>
      <c r="D3067" s="5">
        <f ca="1">IF(getQuality(B3067)&lt;4,getOtherMin(B3067,C3067,INDIRECT(J$2),INDIRECT(I3067),test),getMin(B3067,C3067,INDIRECT(J$2),INDIRECT(I3067),test))</f>
        <v>0.14000000000000001</v>
      </c>
      <c r="E3067" s="5">
        <f ca="1">IF(getQuality(B3067)&lt;4,getOtherMax(B3067,C3067,INDIRECT(J$2),INDIRECT(I3067),test),getMax(B3067,C3067,INDIRECT(J$2),INDIRECT(I3067),test))</f>
        <v>0.28000000000000003</v>
      </c>
      <c r="F3067" s="1" t="str">
        <f t="shared" si="191"/>
        <v>50</v>
      </c>
      <c r="G3067" s="1" t="str">
        <f t="shared" si="192"/>
        <v/>
      </c>
      <c r="I3067" s="1" t="str">
        <f t="shared" si="190"/>
        <v>威尔新数值1.06.xlsm!monsterDamage</v>
      </c>
    </row>
    <row r="3068" spans="1:9" x14ac:dyDescent="0.15">
      <c r="A3068" s="1">
        <v>3067</v>
      </c>
      <c r="B3068" s="1">
        <v>103080200</v>
      </c>
      <c r="C3068" s="1">
        <f t="shared" ref="C3068:C3131" si="193">C593</f>
        <v>107</v>
      </c>
      <c r="D3068" s="5">
        <f ca="1">IF(getQuality(B3068)&lt;4,getOtherMin(B3068,C3068,INDIRECT(J$2),INDIRECT(I3068),test),getMin(B3068,C3068,INDIRECT(J$2),INDIRECT(I3068),test))</f>
        <v>0.14000000000000001</v>
      </c>
      <c r="E3068" s="5">
        <f ca="1">IF(getQuality(B3068)&lt;4,getOtherMax(B3068,C3068,INDIRECT(J$2),INDIRECT(I3068),test),getMax(B3068,C3068,INDIRECT(J$2),INDIRECT(I3068),test))</f>
        <v>0.28000000000000003</v>
      </c>
      <c r="F3068" s="1" t="str">
        <f t="shared" si="191"/>
        <v>50</v>
      </c>
      <c r="G3068" s="1" t="str">
        <f t="shared" si="192"/>
        <v/>
      </c>
      <c r="I3068" s="1" t="str">
        <f t="shared" si="190"/>
        <v>威尔新数值1.06.xlsm!monsterDamage</v>
      </c>
    </row>
    <row r="3069" spans="1:9" x14ac:dyDescent="0.15">
      <c r="A3069" s="1">
        <v>3068</v>
      </c>
      <c r="B3069" s="1">
        <v>103080200</v>
      </c>
      <c r="C3069" s="1">
        <f t="shared" si="193"/>
        <v>108</v>
      </c>
      <c r="D3069" s="5">
        <f ca="1">IF(getQuality(B3069)&lt;4,getOtherMin(B3069,C3069,INDIRECT(J$2),INDIRECT(I3069),test),getMin(B3069,C3069,INDIRECT(J$2),INDIRECT(I3069),test))</f>
        <v>0.14000000000000001</v>
      </c>
      <c r="E3069" s="5">
        <f ca="1">IF(getQuality(B3069)&lt;4,getOtherMax(B3069,C3069,INDIRECT(J$2),INDIRECT(I3069),test),getMax(B3069,C3069,INDIRECT(J$2),INDIRECT(I3069),test))</f>
        <v>0.28000000000000003</v>
      </c>
      <c r="F3069" s="1" t="str">
        <f t="shared" si="191"/>
        <v>50</v>
      </c>
      <c r="G3069" s="1" t="str">
        <f t="shared" si="192"/>
        <v/>
      </c>
      <c r="I3069" s="1" t="str">
        <f t="shared" si="190"/>
        <v>威尔新数值1.06.xlsm!monsterDamage</v>
      </c>
    </row>
    <row r="3070" spans="1:9" x14ac:dyDescent="0.15">
      <c r="A3070" s="1">
        <v>3069</v>
      </c>
      <c r="B3070" s="1">
        <v>103090200</v>
      </c>
      <c r="C3070" s="1">
        <f t="shared" si="193"/>
        <v>3</v>
      </c>
      <c r="D3070" s="5">
        <f ca="1">IF(getQuality(B3070)&lt;4,getOtherMin(B3070,C3070,INDIRECT(J$2),INDIRECT(I3070),test),getMin(B3070,C3070,INDIRECT(J$2),INDIRECT(I3070),test))</f>
        <v>329.28048273180752</v>
      </c>
      <c r="E3070" s="5">
        <f ca="1">IF(getQuality(B3070)&lt;4,getOtherMax(B3070,C3070,INDIRECT(J$2),INDIRECT(I3070),test),getMax(B3070,C3070,INDIRECT(J$2),INDIRECT(I3070),test))</f>
        <v>390.92443123182665</v>
      </c>
      <c r="F3070" s="1" t="str">
        <f t="shared" si="191"/>
        <v>50</v>
      </c>
      <c r="G3070" s="1" t="str">
        <f t="shared" si="192"/>
        <v>1</v>
      </c>
      <c r="I3070" s="1" t="str">
        <f t="shared" si="190"/>
        <v>威尔新数值1.06.xlsm!suitPower</v>
      </c>
    </row>
    <row r="3071" spans="1:9" x14ac:dyDescent="0.15">
      <c r="A3071" s="1">
        <v>3070</v>
      </c>
      <c r="B3071" s="1">
        <v>103090200</v>
      </c>
      <c r="C3071" s="1">
        <f t="shared" si="193"/>
        <v>5</v>
      </c>
      <c r="D3071" s="5">
        <f ca="1">IF(getQuality(B3071)&lt;4,getOtherMin(B3071,C3071,INDIRECT(J$2),INDIRECT(I3071),test),getMin(B3071,C3071,INDIRECT(J$2),INDIRECT(I3071),test))</f>
        <v>329.28048273180752</v>
      </c>
      <c r="E3071" s="5">
        <f ca="1">IF(getQuality(B3071)&lt;4,getOtherMax(B3071,C3071,INDIRECT(J$2),INDIRECT(I3071),test),getMax(B3071,C3071,INDIRECT(J$2),INDIRECT(I3071),test))</f>
        <v>390.92443123182665</v>
      </c>
      <c r="F3071" s="1" t="str">
        <f t="shared" si="191"/>
        <v>50</v>
      </c>
      <c r="G3071" s="1" t="str">
        <f t="shared" si="192"/>
        <v/>
      </c>
      <c r="I3071" s="1" t="str">
        <f t="shared" si="190"/>
        <v>威尔新数值1.06.xlsm!suitPower</v>
      </c>
    </row>
    <row r="3072" spans="1:9" x14ac:dyDescent="0.15">
      <c r="A3072" s="1">
        <v>3071</v>
      </c>
      <c r="B3072" s="1">
        <v>103090200</v>
      </c>
      <c r="C3072" s="1">
        <f t="shared" si="193"/>
        <v>7</v>
      </c>
      <c r="D3072" s="5">
        <f ca="1">IF(getQuality(B3072)&lt;4,getOtherMin(B3072,C3072,INDIRECT(J$2),INDIRECT(I3072),test),getMin(B3072,C3072,INDIRECT(J$2),INDIRECT(I3072),test))</f>
        <v>60.25925925925911</v>
      </c>
      <c r="E3072" s="5">
        <f ca="1">IF(getQuality(B3072)&lt;4,getOtherMax(B3072,C3072,INDIRECT(J$2),INDIRECT(I3072),test),getMax(B3072,C3072,INDIRECT(J$2),INDIRECT(I3072),test))</f>
        <v>66.666666666666501</v>
      </c>
      <c r="F3072" s="1" t="str">
        <f t="shared" si="191"/>
        <v>50</v>
      </c>
      <c r="G3072" s="1" t="str">
        <f t="shared" si="192"/>
        <v/>
      </c>
      <c r="I3072" s="1" t="str">
        <f t="shared" si="190"/>
        <v>威尔新数值1.06.xlsm!suitPower</v>
      </c>
    </row>
    <row r="3073" spans="1:9" x14ac:dyDescent="0.15">
      <c r="A3073" s="1">
        <v>3072</v>
      </c>
      <c r="B3073" s="1">
        <v>103090200</v>
      </c>
      <c r="C3073" s="1">
        <f t="shared" si="193"/>
        <v>8</v>
      </c>
      <c r="D3073" s="5">
        <f ca="1">IF(getQuality(B3073)&lt;4,getOtherMin(B3073,C3073,INDIRECT(J$2),INDIRECT(I3073),test),getMin(B3073,C3073,INDIRECT(J$2),INDIRECT(I3073),test))</f>
        <v>134.33333333333334</v>
      </c>
      <c r="E3073" s="5">
        <f ca="1">IF(getQuality(B3073)&lt;4,getOtherMax(B3073,C3073,INDIRECT(J$2),INDIRECT(I3073),test),getMax(B3073,C3073,INDIRECT(J$2),INDIRECT(I3073),test))</f>
        <v>150</v>
      </c>
      <c r="F3073" s="1" t="str">
        <f t="shared" si="191"/>
        <v>50</v>
      </c>
      <c r="G3073" s="1" t="str">
        <f t="shared" si="192"/>
        <v/>
      </c>
      <c r="I3073" s="1" t="str">
        <f t="shared" si="190"/>
        <v>威尔新数值1.06.xlsm!suitPower</v>
      </c>
    </row>
    <row r="3074" spans="1:9" x14ac:dyDescent="0.15">
      <c r="A3074" s="1">
        <v>3073</v>
      </c>
      <c r="B3074" s="1">
        <v>103090200</v>
      </c>
      <c r="C3074" s="1">
        <f t="shared" si="193"/>
        <v>9</v>
      </c>
      <c r="D3074" s="5">
        <f ca="1">IF(getQuality(B3074)&lt;4,getOtherMin(B3074,C3074,INDIRECT(J$2),INDIRECT(I3074),test),getMin(B3074,C3074,INDIRECT(J$2),INDIRECT(I3074),test))</f>
        <v>329.28048273180752</v>
      </c>
      <c r="E3074" s="5">
        <f ca="1">IF(getQuality(B3074)&lt;4,getOtherMax(B3074,C3074,INDIRECT(J$2),INDIRECT(I3074),test),getMax(B3074,C3074,INDIRECT(J$2),INDIRECT(I3074),test))</f>
        <v>390.92443123182665</v>
      </c>
      <c r="F3074" s="1" t="str">
        <f t="shared" si="191"/>
        <v>50</v>
      </c>
      <c r="G3074" s="1" t="str">
        <f t="shared" si="192"/>
        <v/>
      </c>
      <c r="I3074" s="1" t="str">
        <f t="shared" ref="I3074:I3137" si="194">IF(C3074&lt;100,VLOOKUP(C3074,test,3,FALSE),VLOOKUP(C3074,test1,3,FALSE))</f>
        <v>威尔新数值1.06.xlsm!suitPower</v>
      </c>
    </row>
    <row r="3075" spans="1:9" x14ac:dyDescent="0.15">
      <c r="A3075" s="1">
        <v>3074</v>
      </c>
      <c r="B3075" s="1">
        <v>103090200</v>
      </c>
      <c r="C3075" s="1">
        <f t="shared" si="193"/>
        <v>10</v>
      </c>
      <c r="D3075" s="5">
        <f ca="1">IF(getQuality(B3075)&lt;4,getOtherMin(B3075,C3075,INDIRECT(J$2),INDIRECT(I3075),test),getMin(B3075,C3075,INDIRECT(J$2),INDIRECT(I3075),test))</f>
        <v>329.28048273180752</v>
      </c>
      <c r="E3075" s="5">
        <f ca="1">IF(getQuality(B3075)&lt;4,getOtherMax(B3075,C3075,INDIRECT(J$2),INDIRECT(I3075),test),getMax(B3075,C3075,INDIRECT(J$2),INDIRECT(I3075),test))</f>
        <v>390.92443123182665</v>
      </c>
      <c r="F3075" s="1" t="str">
        <f t="shared" ref="F3075:F3138" si="195">getper(B3075,C3075)</f>
        <v>50</v>
      </c>
      <c r="G3075" s="1" t="str">
        <f t="shared" ref="G3075:G3138" si="196">getMust(B3075,C3075)</f>
        <v/>
      </c>
      <c r="I3075" s="1" t="str">
        <f t="shared" si="194"/>
        <v>威尔新数值1.06.xlsm!suitPower</v>
      </c>
    </row>
    <row r="3076" spans="1:9" x14ac:dyDescent="0.15">
      <c r="A3076" s="1">
        <v>3075</v>
      </c>
      <c r="B3076" s="1">
        <v>103090200</v>
      </c>
      <c r="C3076" s="1">
        <f t="shared" si="193"/>
        <v>11</v>
      </c>
      <c r="D3076" s="5">
        <f ca="1">IF(getQuality(B3076)&lt;4,getOtherMin(B3076,C3076,INDIRECT(J$2),INDIRECT(I3076),test),getMin(B3076,C3076,INDIRECT(J$2),INDIRECT(I3076),test))</f>
        <v>329.28048273180752</v>
      </c>
      <c r="E3076" s="5">
        <f ca="1">IF(getQuality(B3076)&lt;4,getOtherMax(B3076,C3076,INDIRECT(J$2),INDIRECT(I3076),test),getMax(B3076,C3076,INDIRECT(J$2),INDIRECT(I3076),test))</f>
        <v>390.92443123182665</v>
      </c>
      <c r="F3076" s="1" t="str">
        <f t="shared" si="195"/>
        <v>50</v>
      </c>
      <c r="G3076" s="1" t="str">
        <f t="shared" si="196"/>
        <v/>
      </c>
      <c r="I3076" s="1" t="str">
        <f t="shared" si="194"/>
        <v>威尔新数值1.06.xlsm!suitPower</v>
      </c>
    </row>
    <row r="3077" spans="1:9" x14ac:dyDescent="0.15">
      <c r="A3077" s="1">
        <v>3076</v>
      </c>
      <c r="B3077" s="1">
        <v>103090200</v>
      </c>
      <c r="C3077" s="1">
        <f t="shared" si="193"/>
        <v>12</v>
      </c>
      <c r="D3077" s="5">
        <f ca="1">IF(getQuality(B3077)&lt;4,getOtherMin(B3077,C3077,INDIRECT(J$2),INDIRECT(I3077),test),getMin(B3077,C3077,INDIRECT(J$2),INDIRECT(I3077),test))</f>
        <v>329.28048273180752</v>
      </c>
      <c r="E3077" s="5">
        <f ca="1">IF(getQuality(B3077)&lt;4,getOtherMax(B3077,C3077,INDIRECT(J$2),INDIRECT(I3077),test),getMax(B3077,C3077,INDIRECT(J$2),INDIRECT(I3077),test))</f>
        <v>390.92443123182665</v>
      </c>
      <c r="F3077" s="1" t="str">
        <f t="shared" si="195"/>
        <v>50</v>
      </c>
      <c r="G3077" s="1" t="str">
        <f t="shared" si="196"/>
        <v/>
      </c>
      <c r="I3077" s="1" t="str">
        <f t="shared" si="194"/>
        <v>威尔新数值1.06.xlsm!suitPower</v>
      </c>
    </row>
    <row r="3078" spans="1:9" x14ac:dyDescent="0.15">
      <c r="A3078" s="1">
        <v>3077</v>
      </c>
      <c r="B3078" s="1">
        <v>103090200</v>
      </c>
      <c r="C3078" s="1">
        <f t="shared" si="193"/>
        <v>13</v>
      </c>
      <c r="D3078" s="5">
        <f ca="1">IF(getQuality(B3078)&lt;4,getOtherMin(B3078,C3078,INDIRECT(J$2),INDIRECT(I3078),test),getMin(B3078,C3078,INDIRECT(J$2),INDIRECT(I3078),test))</f>
        <v>329.28048273180752</v>
      </c>
      <c r="E3078" s="5">
        <f ca="1">IF(getQuality(B3078)&lt;4,getOtherMax(B3078,C3078,INDIRECT(J$2),INDIRECT(I3078),test),getMax(B3078,C3078,INDIRECT(J$2),INDIRECT(I3078),test))</f>
        <v>390.92443123182665</v>
      </c>
      <c r="F3078" s="1" t="str">
        <f t="shared" si="195"/>
        <v>50</v>
      </c>
      <c r="G3078" s="1" t="str">
        <f t="shared" si="196"/>
        <v/>
      </c>
      <c r="I3078" s="1" t="str">
        <f t="shared" si="194"/>
        <v>威尔新数值1.06.xlsm!suitPower</v>
      </c>
    </row>
    <row r="3079" spans="1:9" x14ac:dyDescent="0.15">
      <c r="A3079" s="1">
        <v>3078</v>
      </c>
      <c r="B3079" s="1">
        <v>103090200</v>
      </c>
      <c r="C3079" s="1">
        <f t="shared" si="193"/>
        <v>14</v>
      </c>
      <c r="D3079" s="5">
        <f ca="1">IF(getQuality(B3079)&lt;4,getOtherMin(B3079,C3079,INDIRECT(J$2),INDIRECT(I3079),test),getMin(B3079,C3079,INDIRECT(J$2),INDIRECT(I3079),test))</f>
        <v>329.28048273180752</v>
      </c>
      <c r="E3079" s="5">
        <f ca="1">IF(getQuality(B3079)&lt;4,getOtherMax(B3079,C3079,INDIRECT(J$2),INDIRECT(I3079),test),getMax(B3079,C3079,INDIRECT(J$2),INDIRECT(I3079),test))</f>
        <v>390.92443123182665</v>
      </c>
      <c r="F3079" s="1" t="str">
        <f t="shared" si="195"/>
        <v>50</v>
      </c>
      <c r="G3079" s="1" t="str">
        <f t="shared" si="196"/>
        <v/>
      </c>
      <c r="I3079" s="1" t="str">
        <f t="shared" si="194"/>
        <v>威尔新数值1.06.xlsm!suitPower</v>
      </c>
    </row>
    <row r="3080" spans="1:9" x14ac:dyDescent="0.15">
      <c r="A3080" s="1">
        <v>3079</v>
      </c>
      <c r="B3080" s="1">
        <v>103090200</v>
      </c>
      <c r="C3080" s="1">
        <f t="shared" si="193"/>
        <v>15</v>
      </c>
      <c r="D3080" s="5">
        <f ca="1">IF(getQuality(B3080)&lt;4,getOtherMin(B3080,C3080,INDIRECT(J$2),INDIRECT(I3080),test),getMin(B3080,C3080,INDIRECT(J$2),INDIRECT(I3080),test))</f>
        <v>329.28048273180752</v>
      </c>
      <c r="E3080" s="5">
        <f ca="1">IF(getQuality(B3080)&lt;4,getOtherMax(B3080,C3080,INDIRECT(J$2),INDIRECT(I3080),test),getMax(B3080,C3080,INDIRECT(J$2),INDIRECT(I3080),test))</f>
        <v>390.92443123182665</v>
      </c>
      <c r="F3080" s="1" t="str">
        <f t="shared" si="195"/>
        <v>50</v>
      </c>
      <c r="G3080" s="1" t="str">
        <f t="shared" si="196"/>
        <v/>
      </c>
      <c r="I3080" s="1" t="str">
        <f t="shared" si="194"/>
        <v>威尔新数值1.06.xlsm!suitPower</v>
      </c>
    </row>
    <row r="3081" spans="1:9" x14ac:dyDescent="0.15">
      <c r="A3081" s="1">
        <v>3080</v>
      </c>
      <c r="B3081" s="1">
        <v>103090200</v>
      </c>
      <c r="C3081" s="1">
        <f t="shared" si="193"/>
        <v>101</v>
      </c>
      <c r="D3081" s="5">
        <f ca="1">IF(getQuality(B3081)&lt;4,getOtherMin(B3081,C3081,INDIRECT(J$2),INDIRECT(I3081),test),getMin(B3081,C3081,INDIRECT(J$2),INDIRECT(I3081),test))</f>
        <v>0.15</v>
      </c>
      <c r="E3081" s="5">
        <f ca="1">IF(getQuality(B3081)&lt;4,getOtherMax(B3081,C3081,INDIRECT(J$2),INDIRECT(I3081),test),getMax(B3081,C3081,INDIRECT(J$2),INDIRECT(I3081),test))</f>
        <v>0.18</v>
      </c>
      <c r="F3081" s="1" t="str">
        <f t="shared" si="195"/>
        <v>50</v>
      </c>
      <c r="G3081" s="1" t="str">
        <f t="shared" si="196"/>
        <v/>
      </c>
      <c r="I3081" s="1" t="str">
        <f t="shared" si="194"/>
        <v>威尔新数值1.06.xlsm!circlePer</v>
      </c>
    </row>
    <row r="3082" spans="1:9" x14ac:dyDescent="0.15">
      <c r="A3082" s="1">
        <v>3081</v>
      </c>
      <c r="B3082" s="1">
        <v>103090200</v>
      </c>
      <c r="C3082" s="1">
        <f t="shared" si="193"/>
        <v>102</v>
      </c>
      <c r="D3082" s="5">
        <f ca="1">IF(getQuality(B3082)&lt;4,getOtherMin(B3082,C3082,INDIRECT(J$2),INDIRECT(I3082),test),getMin(B3082,C3082,INDIRECT(J$2),INDIRECT(I3082),test))</f>
        <v>1.4</v>
      </c>
      <c r="E3082" s="5">
        <f ca="1">IF(getQuality(B3082)&lt;4,getOtherMax(B3082,C3082,INDIRECT(J$2),INDIRECT(I3082),test),getMax(B3082,C3082,INDIRECT(J$2),INDIRECT(I3082),test))</f>
        <v>1.7</v>
      </c>
      <c r="F3082" s="1" t="str">
        <f t="shared" si="195"/>
        <v>50</v>
      </c>
      <c r="G3082" s="1" t="str">
        <f t="shared" si="196"/>
        <v/>
      </c>
      <c r="I3082" s="1" t="str">
        <f t="shared" si="194"/>
        <v>威尔新数值1.06.xlsm!circleValue</v>
      </c>
    </row>
    <row r="3083" spans="1:9" x14ac:dyDescent="0.15">
      <c r="A3083" s="1">
        <v>3082</v>
      </c>
      <c r="B3083" s="1">
        <v>103090200</v>
      </c>
      <c r="C3083" s="1">
        <f t="shared" si="193"/>
        <v>103</v>
      </c>
      <c r="D3083" s="5">
        <f ca="1">IF(getQuality(B3083)&lt;4,getOtherMin(B3083,C3083,INDIRECT(J$2),INDIRECT(I3083),test),getMin(B3083,C3083,INDIRECT(J$2),INDIRECT(I3083),test))</f>
        <v>0.15</v>
      </c>
      <c r="E3083" s="5">
        <f ca="1">IF(getQuality(B3083)&lt;4,getOtherMax(B3083,C3083,INDIRECT(J$2),INDIRECT(I3083),test),getMax(B3083,C3083,INDIRECT(J$2),INDIRECT(I3083),test))</f>
        <v>0.18</v>
      </c>
      <c r="F3083" s="1" t="str">
        <f t="shared" si="195"/>
        <v>50</v>
      </c>
      <c r="G3083" s="1" t="str">
        <f t="shared" si="196"/>
        <v/>
      </c>
      <c r="I3083" s="1" t="str">
        <f t="shared" si="194"/>
        <v>威尔新数值1.06.xlsm!otherDamage</v>
      </c>
    </row>
    <row r="3084" spans="1:9" x14ac:dyDescent="0.15">
      <c r="A3084" s="1">
        <v>3083</v>
      </c>
      <c r="B3084" s="1">
        <v>103090200</v>
      </c>
      <c r="C3084" s="1">
        <f t="shared" si="193"/>
        <v>104</v>
      </c>
      <c r="D3084" s="5">
        <f ca="1">IF(getQuality(B3084)&lt;4,getOtherMin(B3084,C3084,INDIRECT(J$2),INDIRECT(I3084),test),getMin(B3084,C3084,INDIRECT(J$2),INDIRECT(I3084),test))</f>
        <v>0.15</v>
      </c>
      <c r="E3084" s="5">
        <f ca="1">IF(getQuality(B3084)&lt;4,getOtherMax(B3084,C3084,INDIRECT(J$2),INDIRECT(I3084),test),getMax(B3084,C3084,INDIRECT(J$2),INDIRECT(I3084),test))</f>
        <v>0.3</v>
      </c>
      <c r="F3084" s="1" t="str">
        <f t="shared" si="195"/>
        <v>50</v>
      </c>
      <c r="G3084" s="1" t="str">
        <f t="shared" si="196"/>
        <v/>
      </c>
      <c r="I3084" s="1" t="str">
        <f t="shared" si="194"/>
        <v>威尔新数值1.06.xlsm!monsterDamage</v>
      </c>
    </row>
    <row r="3085" spans="1:9" x14ac:dyDescent="0.15">
      <c r="A3085" s="1">
        <v>3084</v>
      </c>
      <c r="B3085" s="1">
        <v>103090200</v>
      </c>
      <c r="C3085" s="1">
        <f t="shared" si="193"/>
        <v>105</v>
      </c>
      <c r="D3085" s="5">
        <f ca="1">IF(getQuality(B3085)&lt;4,getOtherMin(B3085,C3085,INDIRECT(J$2),INDIRECT(I3085),test),getMin(B3085,C3085,INDIRECT(J$2),INDIRECT(I3085),test))</f>
        <v>0.15</v>
      </c>
      <c r="E3085" s="5">
        <f ca="1">IF(getQuality(B3085)&lt;4,getOtherMax(B3085,C3085,INDIRECT(J$2),INDIRECT(I3085),test),getMax(B3085,C3085,INDIRECT(J$2),INDIRECT(I3085),test))</f>
        <v>0.3</v>
      </c>
      <c r="F3085" s="1" t="str">
        <f t="shared" si="195"/>
        <v>50</v>
      </c>
      <c r="G3085" s="1" t="str">
        <f t="shared" si="196"/>
        <v/>
      </c>
      <c r="I3085" s="1" t="str">
        <f t="shared" si="194"/>
        <v>威尔新数值1.06.xlsm!monsterDamage</v>
      </c>
    </row>
    <row r="3086" spans="1:9" x14ac:dyDescent="0.15">
      <c r="A3086" s="1">
        <v>3085</v>
      </c>
      <c r="B3086" s="1">
        <v>103090200</v>
      </c>
      <c r="C3086" s="1">
        <f t="shared" si="193"/>
        <v>106</v>
      </c>
      <c r="D3086" s="5">
        <f ca="1">IF(getQuality(B3086)&lt;4,getOtherMin(B3086,C3086,INDIRECT(J$2),INDIRECT(I3086),test),getMin(B3086,C3086,INDIRECT(J$2),INDIRECT(I3086),test))</f>
        <v>0.15</v>
      </c>
      <c r="E3086" s="5">
        <f ca="1">IF(getQuality(B3086)&lt;4,getOtherMax(B3086,C3086,INDIRECT(J$2),INDIRECT(I3086),test),getMax(B3086,C3086,INDIRECT(J$2),INDIRECT(I3086),test))</f>
        <v>0.3</v>
      </c>
      <c r="F3086" s="1" t="str">
        <f t="shared" si="195"/>
        <v>50</v>
      </c>
      <c r="G3086" s="1" t="str">
        <f t="shared" si="196"/>
        <v/>
      </c>
      <c r="I3086" s="1" t="str">
        <f t="shared" si="194"/>
        <v>威尔新数值1.06.xlsm!monsterDamage</v>
      </c>
    </row>
    <row r="3087" spans="1:9" x14ac:dyDescent="0.15">
      <c r="A3087" s="1">
        <v>3086</v>
      </c>
      <c r="B3087" s="1">
        <v>103090200</v>
      </c>
      <c r="C3087" s="1">
        <f t="shared" si="193"/>
        <v>107</v>
      </c>
      <c r="D3087" s="5">
        <f ca="1">IF(getQuality(B3087)&lt;4,getOtherMin(B3087,C3087,INDIRECT(J$2),INDIRECT(I3087),test),getMin(B3087,C3087,INDIRECT(J$2),INDIRECT(I3087),test))</f>
        <v>0.15</v>
      </c>
      <c r="E3087" s="5">
        <f ca="1">IF(getQuality(B3087)&lt;4,getOtherMax(B3087,C3087,INDIRECT(J$2),INDIRECT(I3087),test),getMax(B3087,C3087,INDIRECT(J$2),INDIRECT(I3087),test))</f>
        <v>0.3</v>
      </c>
      <c r="F3087" s="1" t="str">
        <f t="shared" si="195"/>
        <v>50</v>
      </c>
      <c r="G3087" s="1" t="str">
        <f t="shared" si="196"/>
        <v/>
      </c>
      <c r="I3087" s="1" t="str">
        <f t="shared" si="194"/>
        <v>威尔新数值1.06.xlsm!monsterDamage</v>
      </c>
    </row>
    <row r="3088" spans="1:9" x14ac:dyDescent="0.15">
      <c r="A3088" s="1">
        <v>3087</v>
      </c>
      <c r="B3088" s="1">
        <v>103090200</v>
      </c>
      <c r="C3088" s="1">
        <f t="shared" si="193"/>
        <v>108</v>
      </c>
      <c r="D3088" s="5">
        <f ca="1">IF(getQuality(B3088)&lt;4,getOtherMin(B3088,C3088,INDIRECT(J$2),INDIRECT(I3088),test),getMin(B3088,C3088,INDIRECT(J$2),INDIRECT(I3088),test))</f>
        <v>0.15</v>
      </c>
      <c r="E3088" s="5">
        <f ca="1">IF(getQuality(B3088)&lt;4,getOtherMax(B3088,C3088,INDIRECT(J$2),INDIRECT(I3088),test),getMax(B3088,C3088,INDIRECT(J$2),INDIRECT(I3088),test))</f>
        <v>0.3</v>
      </c>
      <c r="F3088" s="1" t="str">
        <f t="shared" si="195"/>
        <v>50</v>
      </c>
      <c r="G3088" s="1" t="str">
        <f t="shared" si="196"/>
        <v/>
      </c>
      <c r="I3088" s="1" t="str">
        <f t="shared" si="194"/>
        <v>威尔新数值1.06.xlsm!monsterDamage</v>
      </c>
    </row>
    <row r="3089" spans="1:9" x14ac:dyDescent="0.15">
      <c r="A3089" s="1">
        <v>3088</v>
      </c>
      <c r="B3089" s="1">
        <v>103010300</v>
      </c>
      <c r="C3089" s="1">
        <f t="shared" si="193"/>
        <v>3</v>
      </c>
      <c r="D3089" s="5">
        <f ca="1">IF(getQuality(B3089)&lt;4,getOtherMin(B3089,C3089,INDIRECT(J$2),INDIRECT(I3089),test),getMin(B3089,C3089,INDIRECT(J$2),INDIRECT(I3089),test))</f>
        <v>1</v>
      </c>
      <c r="E3089" s="5">
        <f ca="1">IF(getQuality(B3089)&lt;4,getOtherMax(B3089,C3089,INDIRECT(J$2),INDIRECT(I3089),test),getMax(B3089,C3089,INDIRECT(J$2),INDIRECT(I3089),test))</f>
        <v>24.009875731714647</v>
      </c>
      <c r="F3089" s="1" t="str">
        <f t="shared" si="195"/>
        <v>50</v>
      </c>
      <c r="G3089" s="1" t="str">
        <f t="shared" si="196"/>
        <v>1</v>
      </c>
      <c r="I3089" s="1" t="str">
        <f t="shared" si="194"/>
        <v>威尔新数值1.06.xlsm!suitPower</v>
      </c>
    </row>
    <row r="3090" spans="1:9" x14ac:dyDescent="0.15">
      <c r="A3090" s="1">
        <v>3089</v>
      </c>
      <c r="B3090" s="1">
        <v>103010300</v>
      </c>
      <c r="C3090" s="1">
        <f t="shared" si="193"/>
        <v>5</v>
      </c>
      <c r="D3090" s="5">
        <f ca="1">IF(getQuality(B3090)&lt;4,getOtherMin(B3090,C3090,INDIRECT(J$2),INDIRECT(I3090),test),getMin(B3090,C3090,INDIRECT(J$2),INDIRECT(I3090),test))</f>
        <v>1</v>
      </c>
      <c r="E3090" s="5">
        <f ca="1">IF(getQuality(B3090)&lt;4,getOtherMax(B3090,C3090,INDIRECT(J$2),INDIRECT(I3090),test),getMax(B3090,C3090,INDIRECT(J$2),INDIRECT(I3090),test))</f>
        <v>24.009875731714647</v>
      </c>
      <c r="F3090" s="1" t="str">
        <f t="shared" si="195"/>
        <v>50</v>
      </c>
      <c r="G3090" s="1" t="str">
        <f t="shared" si="196"/>
        <v/>
      </c>
      <c r="I3090" s="1" t="str">
        <f t="shared" si="194"/>
        <v>威尔新数值1.06.xlsm!suitPower</v>
      </c>
    </row>
    <row r="3091" spans="1:9" x14ac:dyDescent="0.15">
      <c r="A3091" s="1">
        <v>3090</v>
      </c>
      <c r="B3091" s="1">
        <v>103010300</v>
      </c>
      <c r="C3091" s="1">
        <f t="shared" si="193"/>
        <v>7</v>
      </c>
      <c r="D3091" s="5">
        <f ca="1">IF(getQuality(B3091)&lt;4,getOtherMin(B3091,C3091,INDIRECT(J$2),INDIRECT(I3091),test),getMin(B3091,C3091,INDIRECT(J$2),INDIRECT(I3091),test))</f>
        <v>1</v>
      </c>
      <c r="E3091" s="5">
        <f ca="1">IF(getQuality(B3091)&lt;4,getOtherMax(B3091,C3091,INDIRECT(J$2),INDIRECT(I3091),test),getMax(B3091,C3091,INDIRECT(J$2),INDIRECT(I3091),test))</f>
        <v>7.4074074074073888</v>
      </c>
      <c r="F3091" s="1" t="str">
        <f t="shared" si="195"/>
        <v>50</v>
      </c>
      <c r="G3091" s="1" t="str">
        <f t="shared" si="196"/>
        <v/>
      </c>
      <c r="I3091" s="1" t="str">
        <f t="shared" si="194"/>
        <v>威尔新数值1.06.xlsm!suitPower</v>
      </c>
    </row>
    <row r="3092" spans="1:9" x14ac:dyDescent="0.15">
      <c r="A3092" s="1">
        <v>3091</v>
      </c>
      <c r="B3092" s="1">
        <v>103010300</v>
      </c>
      <c r="C3092" s="1">
        <f t="shared" si="193"/>
        <v>8</v>
      </c>
      <c r="D3092" s="5">
        <f ca="1">IF(getQuality(B3092)&lt;4,getOtherMin(B3092,C3092,INDIRECT(J$2),INDIRECT(I3092),test),getMin(B3092,C3092,INDIRECT(J$2),INDIRECT(I3092),test))</f>
        <v>1</v>
      </c>
      <c r="E3092" s="5">
        <f ca="1">IF(getQuality(B3092)&lt;4,getOtherMax(B3092,C3092,INDIRECT(J$2),INDIRECT(I3092),test),getMax(B3092,C3092,INDIRECT(J$2),INDIRECT(I3092),test))</f>
        <v>16.666666666666668</v>
      </c>
      <c r="F3092" s="1" t="str">
        <f t="shared" si="195"/>
        <v>50</v>
      </c>
      <c r="G3092" s="1" t="str">
        <f t="shared" si="196"/>
        <v/>
      </c>
      <c r="I3092" s="1" t="str">
        <f t="shared" si="194"/>
        <v>威尔新数值1.06.xlsm!suitPower</v>
      </c>
    </row>
    <row r="3093" spans="1:9" x14ac:dyDescent="0.15">
      <c r="A3093" s="1">
        <v>3092</v>
      </c>
      <c r="B3093" s="1">
        <v>103010300</v>
      </c>
      <c r="C3093" s="1">
        <f t="shared" si="193"/>
        <v>9</v>
      </c>
      <c r="D3093" s="5">
        <f ca="1">IF(getQuality(B3093)&lt;4,getOtherMin(B3093,C3093,INDIRECT(J$2),INDIRECT(I3093),test),getMin(B3093,C3093,INDIRECT(J$2),INDIRECT(I3093),test))</f>
        <v>1</v>
      </c>
      <c r="E3093" s="5">
        <f ca="1">IF(getQuality(B3093)&lt;4,getOtherMax(B3093,C3093,INDIRECT(J$2),INDIRECT(I3093),test),getMax(B3093,C3093,INDIRECT(J$2),INDIRECT(I3093),test))</f>
        <v>24.009875731714647</v>
      </c>
      <c r="F3093" s="1" t="str">
        <f t="shared" si="195"/>
        <v>50</v>
      </c>
      <c r="G3093" s="1" t="str">
        <f t="shared" si="196"/>
        <v/>
      </c>
      <c r="I3093" s="1" t="str">
        <f t="shared" si="194"/>
        <v>威尔新数值1.06.xlsm!suitPower</v>
      </c>
    </row>
    <row r="3094" spans="1:9" x14ac:dyDescent="0.15">
      <c r="A3094" s="1">
        <v>3093</v>
      </c>
      <c r="B3094" s="1">
        <v>103010300</v>
      </c>
      <c r="C3094" s="1">
        <f t="shared" si="193"/>
        <v>10</v>
      </c>
      <c r="D3094" s="5">
        <f ca="1">IF(getQuality(B3094)&lt;4,getOtherMin(B3094,C3094,INDIRECT(J$2),INDIRECT(I3094),test),getMin(B3094,C3094,INDIRECT(J$2),INDIRECT(I3094),test))</f>
        <v>1</v>
      </c>
      <c r="E3094" s="5">
        <f ca="1">IF(getQuality(B3094)&lt;4,getOtherMax(B3094,C3094,INDIRECT(J$2),INDIRECT(I3094),test),getMax(B3094,C3094,INDIRECT(J$2),INDIRECT(I3094),test))</f>
        <v>24.009875731714647</v>
      </c>
      <c r="F3094" s="1" t="str">
        <f t="shared" si="195"/>
        <v>50</v>
      </c>
      <c r="G3094" s="1" t="str">
        <f t="shared" si="196"/>
        <v/>
      </c>
      <c r="I3094" s="1" t="str">
        <f t="shared" si="194"/>
        <v>威尔新数值1.06.xlsm!suitPower</v>
      </c>
    </row>
    <row r="3095" spans="1:9" x14ac:dyDescent="0.15">
      <c r="A3095" s="1">
        <v>3094</v>
      </c>
      <c r="B3095" s="1">
        <v>103010300</v>
      </c>
      <c r="C3095" s="1">
        <f t="shared" si="193"/>
        <v>11</v>
      </c>
      <c r="D3095" s="5">
        <f ca="1">IF(getQuality(B3095)&lt;4,getOtherMin(B3095,C3095,INDIRECT(J$2),INDIRECT(I3095),test),getMin(B3095,C3095,INDIRECT(J$2),INDIRECT(I3095),test))</f>
        <v>1</v>
      </c>
      <c r="E3095" s="5">
        <f ca="1">IF(getQuality(B3095)&lt;4,getOtherMax(B3095,C3095,INDIRECT(J$2),INDIRECT(I3095),test),getMax(B3095,C3095,INDIRECT(J$2),INDIRECT(I3095),test))</f>
        <v>24.009875731714647</v>
      </c>
      <c r="F3095" s="1" t="str">
        <f t="shared" si="195"/>
        <v>50</v>
      </c>
      <c r="G3095" s="1" t="str">
        <f t="shared" si="196"/>
        <v/>
      </c>
      <c r="I3095" s="1" t="str">
        <f t="shared" si="194"/>
        <v>威尔新数值1.06.xlsm!suitPower</v>
      </c>
    </row>
    <row r="3096" spans="1:9" x14ac:dyDescent="0.15">
      <c r="A3096" s="1">
        <v>3095</v>
      </c>
      <c r="B3096" s="1">
        <v>103010300</v>
      </c>
      <c r="C3096" s="1">
        <f t="shared" si="193"/>
        <v>12</v>
      </c>
      <c r="D3096" s="5">
        <f ca="1">IF(getQuality(B3096)&lt;4,getOtherMin(B3096,C3096,INDIRECT(J$2),INDIRECT(I3096),test),getMin(B3096,C3096,INDIRECT(J$2),INDIRECT(I3096),test))</f>
        <v>1</v>
      </c>
      <c r="E3096" s="5">
        <f ca="1">IF(getQuality(B3096)&lt;4,getOtherMax(B3096,C3096,INDIRECT(J$2),INDIRECT(I3096),test),getMax(B3096,C3096,INDIRECT(J$2),INDIRECT(I3096),test))</f>
        <v>24.009875731714647</v>
      </c>
      <c r="F3096" s="1" t="str">
        <f t="shared" si="195"/>
        <v>50</v>
      </c>
      <c r="G3096" s="1" t="str">
        <f t="shared" si="196"/>
        <v/>
      </c>
      <c r="I3096" s="1" t="str">
        <f t="shared" si="194"/>
        <v>威尔新数值1.06.xlsm!suitPower</v>
      </c>
    </row>
    <row r="3097" spans="1:9" x14ac:dyDescent="0.15">
      <c r="A3097" s="1">
        <v>3096</v>
      </c>
      <c r="B3097" s="1">
        <v>103010300</v>
      </c>
      <c r="C3097" s="1">
        <f t="shared" si="193"/>
        <v>13</v>
      </c>
      <c r="D3097" s="5">
        <f ca="1">IF(getQuality(B3097)&lt;4,getOtherMin(B3097,C3097,INDIRECT(J$2),INDIRECT(I3097),test),getMin(B3097,C3097,INDIRECT(J$2),INDIRECT(I3097),test))</f>
        <v>1</v>
      </c>
      <c r="E3097" s="5">
        <f ca="1">IF(getQuality(B3097)&lt;4,getOtherMax(B3097,C3097,INDIRECT(J$2),INDIRECT(I3097),test),getMax(B3097,C3097,INDIRECT(J$2),INDIRECT(I3097),test))</f>
        <v>24.009875731714647</v>
      </c>
      <c r="F3097" s="1" t="str">
        <f t="shared" si="195"/>
        <v>50</v>
      </c>
      <c r="G3097" s="1" t="str">
        <f t="shared" si="196"/>
        <v/>
      </c>
      <c r="I3097" s="1" t="str">
        <f t="shared" si="194"/>
        <v>威尔新数值1.06.xlsm!suitPower</v>
      </c>
    </row>
    <row r="3098" spans="1:9" x14ac:dyDescent="0.15">
      <c r="A3098" s="1">
        <v>3097</v>
      </c>
      <c r="B3098" s="1">
        <v>103010300</v>
      </c>
      <c r="C3098" s="1">
        <f t="shared" si="193"/>
        <v>14</v>
      </c>
      <c r="D3098" s="5">
        <f ca="1">IF(getQuality(B3098)&lt;4,getOtherMin(B3098,C3098,INDIRECT(J$2),INDIRECT(I3098),test),getMin(B3098,C3098,INDIRECT(J$2),INDIRECT(I3098),test))</f>
        <v>1</v>
      </c>
      <c r="E3098" s="5">
        <f ca="1">IF(getQuality(B3098)&lt;4,getOtherMax(B3098,C3098,INDIRECT(J$2),INDIRECT(I3098),test),getMax(B3098,C3098,INDIRECT(J$2),INDIRECT(I3098),test))</f>
        <v>24.009875731714647</v>
      </c>
      <c r="F3098" s="1" t="str">
        <f t="shared" si="195"/>
        <v>50</v>
      </c>
      <c r="G3098" s="1" t="str">
        <f t="shared" si="196"/>
        <v/>
      </c>
      <c r="I3098" s="1" t="str">
        <f t="shared" si="194"/>
        <v>威尔新数值1.06.xlsm!suitPower</v>
      </c>
    </row>
    <row r="3099" spans="1:9" x14ac:dyDescent="0.15">
      <c r="A3099" s="1">
        <v>3098</v>
      </c>
      <c r="B3099" s="1">
        <v>103010300</v>
      </c>
      <c r="C3099" s="1">
        <f t="shared" si="193"/>
        <v>15</v>
      </c>
      <c r="D3099" s="5">
        <f ca="1">IF(getQuality(B3099)&lt;4,getOtherMin(B3099,C3099,INDIRECT(J$2),INDIRECT(I3099),test),getMin(B3099,C3099,INDIRECT(J$2),INDIRECT(I3099),test))</f>
        <v>1</v>
      </c>
      <c r="E3099" s="5">
        <f ca="1">IF(getQuality(B3099)&lt;4,getOtherMax(B3099,C3099,INDIRECT(J$2),INDIRECT(I3099),test),getMax(B3099,C3099,INDIRECT(J$2),INDIRECT(I3099),test))</f>
        <v>24.009875731714647</v>
      </c>
      <c r="F3099" s="1" t="str">
        <f t="shared" si="195"/>
        <v>50</v>
      </c>
      <c r="G3099" s="1" t="str">
        <f t="shared" si="196"/>
        <v/>
      </c>
      <c r="I3099" s="1" t="str">
        <f t="shared" si="194"/>
        <v>威尔新数值1.06.xlsm!suitPower</v>
      </c>
    </row>
    <row r="3100" spans="1:9" x14ac:dyDescent="0.15">
      <c r="A3100" s="1">
        <v>3099</v>
      </c>
      <c r="B3100" s="1">
        <v>103010300</v>
      </c>
      <c r="C3100" s="1">
        <f t="shared" si="193"/>
        <v>101</v>
      </c>
      <c r="D3100" s="5">
        <f ca="1">IF(getQuality(B3100)&lt;4,getOtherMin(B3100,C3100,INDIRECT(J$2),INDIRECT(I3100),test),getMin(B3100,C3100,INDIRECT(J$2),INDIRECT(I3100),test))</f>
        <v>7.0000000000000007E-2</v>
      </c>
      <c r="E3100" s="5">
        <f ca="1">IF(getQuality(B3100)&lt;4,getOtherMax(B3100,C3100,INDIRECT(J$2),INDIRECT(I3100),test),getMax(B3100,C3100,INDIRECT(J$2),INDIRECT(I3100),test))</f>
        <v>0.1</v>
      </c>
      <c r="F3100" s="1" t="str">
        <f t="shared" si="195"/>
        <v>50</v>
      </c>
      <c r="G3100" s="1" t="str">
        <f t="shared" si="196"/>
        <v/>
      </c>
      <c r="I3100" s="1" t="str">
        <f t="shared" si="194"/>
        <v>威尔新数值1.06.xlsm!circlePer</v>
      </c>
    </row>
    <row r="3101" spans="1:9" x14ac:dyDescent="0.15">
      <c r="A3101" s="1">
        <v>3100</v>
      </c>
      <c r="B3101" s="1">
        <v>103010300</v>
      </c>
      <c r="C3101" s="1">
        <f t="shared" si="193"/>
        <v>102</v>
      </c>
      <c r="D3101" s="5">
        <f ca="1">IF(getQuality(B3101)&lt;4,getOtherMin(B3101,C3101,INDIRECT(J$2),INDIRECT(I3101),test),getMin(B3101,C3101,INDIRECT(J$2),INDIRECT(I3101),test))</f>
        <v>0.6</v>
      </c>
      <c r="E3101" s="5">
        <f ca="1">IF(getQuality(B3101)&lt;4,getOtherMax(B3101,C3101,INDIRECT(J$2),INDIRECT(I3101),test),getMax(B3101,C3101,INDIRECT(J$2),INDIRECT(I3101),test))</f>
        <v>0.9</v>
      </c>
      <c r="F3101" s="1" t="str">
        <f t="shared" si="195"/>
        <v>50</v>
      </c>
      <c r="G3101" s="1" t="str">
        <f t="shared" si="196"/>
        <v/>
      </c>
      <c r="I3101" s="1" t="str">
        <f t="shared" si="194"/>
        <v>威尔新数值1.06.xlsm!circleValue</v>
      </c>
    </row>
    <row r="3102" spans="1:9" x14ac:dyDescent="0.15">
      <c r="A3102" s="1">
        <v>3101</v>
      </c>
      <c r="B3102" s="1">
        <v>103010300</v>
      </c>
      <c r="C3102" s="1">
        <f t="shared" si="193"/>
        <v>103</v>
      </c>
      <c r="D3102" s="5">
        <f ca="1">IF(getQuality(B3102)&lt;4,getOtherMin(B3102,C3102,INDIRECT(J$2),INDIRECT(I3102),test),getMin(B3102,C3102,INDIRECT(J$2),INDIRECT(I3102),test))</f>
        <v>7.0000000000000007E-2</v>
      </c>
      <c r="E3102" s="5">
        <f ca="1">IF(getQuality(B3102)&lt;4,getOtherMax(B3102,C3102,INDIRECT(J$2),INDIRECT(I3102),test),getMax(B3102,C3102,INDIRECT(J$2),INDIRECT(I3102),test))</f>
        <v>0.1</v>
      </c>
      <c r="F3102" s="1" t="str">
        <f t="shared" si="195"/>
        <v>50</v>
      </c>
      <c r="G3102" s="1" t="str">
        <f t="shared" si="196"/>
        <v/>
      </c>
      <c r="I3102" s="1" t="str">
        <f t="shared" si="194"/>
        <v>威尔新数值1.06.xlsm!otherDamage</v>
      </c>
    </row>
    <row r="3103" spans="1:9" x14ac:dyDescent="0.15">
      <c r="A3103" s="1">
        <v>3102</v>
      </c>
      <c r="B3103" s="1">
        <v>103010300</v>
      </c>
      <c r="C3103" s="1">
        <f t="shared" si="193"/>
        <v>104</v>
      </c>
      <c r="D3103" s="5">
        <f ca="1">IF(getQuality(B3103)&lt;4,getOtherMin(B3103,C3103,INDIRECT(J$2),INDIRECT(I3103),test),getMin(B3103,C3103,INDIRECT(J$2),INDIRECT(I3103),test))</f>
        <v>7.0000000000000007E-2</v>
      </c>
      <c r="E3103" s="5">
        <f ca="1">IF(getQuality(B3103)&lt;4,getOtherMax(B3103,C3103,INDIRECT(J$2),INDIRECT(I3103),test),getMax(B3103,C3103,INDIRECT(J$2),INDIRECT(I3103),test))</f>
        <v>0.14000000000000001</v>
      </c>
      <c r="F3103" s="1" t="str">
        <f t="shared" si="195"/>
        <v>50</v>
      </c>
      <c r="G3103" s="1" t="str">
        <f t="shared" si="196"/>
        <v/>
      </c>
      <c r="I3103" s="1" t="str">
        <f t="shared" si="194"/>
        <v>威尔新数值1.06.xlsm!monsterDamage</v>
      </c>
    </row>
    <row r="3104" spans="1:9" x14ac:dyDescent="0.15">
      <c r="A3104" s="1">
        <v>3103</v>
      </c>
      <c r="B3104" s="1">
        <v>103010300</v>
      </c>
      <c r="C3104" s="1">
        <f t="shared" si="193"/>
        <v>105</v>
      </c>
      <c r="D3104" s="5">
        <f ca="1">IF(getQuality(B3104)&lt;4,getOtherMin(B3104,C3104,INDIRECT(J$2),INDIRECT(I3104),test),getMin(B3104,C3104,INDIRECT(J$2),INDIRECT(I3104),test))</f>
        <v>7.0000000000000007E-2</v>
      </c>
      <c r="E3104" s="5">
        <f ca="1">IF(getQuality(B3104)&lt;4,getOtherMax(B3104,C3104,INDIRECT(J$2),INDIRECT(I3104),test),getMax(B3104,C3104,INDIRECT(J$2),INDIRECT(I3104),test))</f>
        <v>0.14000000000000001</v>
      </c>
      <c r="F3104" s="1" t="str">
        <f t="shared" si="195"/>
        <v>50</v>
      </c>
      <c r="G3104" s="1" t="str">
        <f t="shared" si="196"/>
        <v/>
      </c>
      <c r="I3104" s="1" t="str">
        <f t="shared" si="194"/>
        <v>威尔新数值1.06.xlsm!monsterDamage</v>
      </c>
    </row>
    <row r="3105" spans="1:9" x14ac:dyDescent="0.15">
      <c r="A3105" s="1">
        <v>3104</v>
      </c>
      <c r="B3105" s="1">
        <v>103010300</v>
      </c>
      <c r="C3105" s="1">
        <f t="shared" si="193"/>
        <v>106</v>
      </c>
      <c r="D3105" s="5">
        <f ca="1">IF(getQuality(B3105)&lt;4,getOtherMin(B3105,C3105,INDIRECT(J$2),INDIRECT(I3105),test),getMin(B3105,C3105,INDIRECT(J$2),INDIRECT(I3105),test))</f>
        <v>7.0000000000000007E-2</v>
      </c>
      <c r="E3105" s="5">
        <f ca="1">IF(getQuality(B3105)&lt;4,getOtherMax(B3105,C3105,INDIRECT(J$2),INDIRECT(I3105),test),getMax(B3105,C3105,INDIRECT(J$2),INDIRECT(I3105),test))</f>
        <v>0.14000000000000001</v>
      </c>
      <c r="F3105" s="1" t="str">
        <f t="shared" si="195"/>
        <v>50</v>
      </c>
      <c r="G3105" s="1" t="str">
        <f t="shared" si="196"/>
        <v/>
      </c>
      <c r="I3105" s="1" t="str">
        <f t="shared" si="194"/>
        <v>威尔新数值1.06.xlsm!monsterDamage</v>
      </c>
    </row>
    <row r="3106" spans="1:9" x14ac:dyDescent="0.15">
      <c r="A3106" s="1">
        <v>3105</v>
      </c>
      <c r="B3106" s="1">
        <v>103010300</v>
      </c>
      <c r="C3106" s="1">
        <f t="shared" si="193"/>
        <v>107</v>
      </c>
      <c r="D3106" s="5">
        <f ca="1">IF(getQuality(B3106)&lt;4,getOtherMin(B3106,C3106,INDIRECT(J$2),INDIRECT(I3106),test),getMin(B3106,C3106,INDIRECT(J$2),INDIRECT(I3106),test))</f>
        <v>7.0000000000000007E-2</v>
      </c>
      <c r="E3106" s="5">
        <f ca="1">IF(getQuality(B3106)&lt;4,getOtherMax(B3106,C3106,INDIRECT(J$2),INDIRECT(I3106),test),getMax(B3106,C3106,INDIRECT(J$2),INDIRECT(I3106),test))</f>
        <v>0.14000000000000001</v>
      </c>
      <c r="F3106" s="1" t="str">
        <f t="shared" si="195"/>
        <v>50</v>
      </c>
      <c r="G3106" s="1" t="str">
        <f t="shared" si="196"/>
        <v/>
      </c>
      <c r="I3106" s="1" t="str">
        <f t="shared" si="194"/>
        <v>威尔新数值1.06.xlsm!monsterDamage</v>
      </c>
    </row>
    <row r="3107" spans="1:9" x14ac:dyDescent="0.15">
      <c r="A3107" s="1">
        <v>3106</v>
      </c>
      <c r="B3107" s="1">
        <v>103010300</v>
      </c>
      <c r="C3107" s="1">
        <f t="shared" si="193"/>
        <v>108</v>
      </c>
      <c r="D3107" s="5">
        <f ca="1">IF(getQuality(B3107)&lt;4,getOtherMin(B3107,C3107,INDIRECT(J$2),INDIRECT(I3107),test),getMin(B3107,C3107,INDIRECT(J$2),INDIRECT(I3107),test))</f>
        <v>7.0000000000000007E-2</v>
      </c>
      <c r="E3107" s="5">
        <f ca="1">IF(getQuality(B3107)&lt;4,getOtherMax(B3107,C3107,INDIRECT(J$2),INDIRECT(I3107),test),getMax(B3107,C3107,INDIRECT(J$2),INDIRECT(I3107),test))</f>
        <v>0.14000000000000001</v>
      </c>
      <c r="F3107" s="1" t="str">
        <f t="shared" si="195"/>
        <v>50</v>
      </c>
      <c r="G3107" s="1" t="str">
        <f t="shared" si="196"/>
        <v/>
      </c>
      <c r="I3107" s="1" t="str">
        <f t="shared" si="194"/>
        <v>威尔新数值1.06.xlsm!monsterDamage</v>
      </c>
    </row>
    <row r="3108" spans="1:9" x14ac:dyDescent="0.15">
      <c r="A3108" s="1">
        <v>3107</v>
      </c>
      <c r="B3108" s="1">
        <v>103020300</v>
      </c>
      <c r="C3108" s="1">
        <f t="shared" si="193"/>
        <v>3</v>
      </c>
      <c r="D3108" s="5">
        <f ca="1">IF(getQuality(B3108)&lt;4,getOtherMin(B3108,C3108,INDIRECT(J$2),INDIRECT(I3108),test),getMin(B3108,C3108,INDIRECT(J$2),INDIRECT(I3108),test))</f>
        <v>25.009875731714647</v>
      </c>
      <c r="E3108" s="5">
        <f ca="1">IF(getQuality(B3108)&lt;4,getOtherMax(B3108,C3108,INDIRECT(J$2),INDIRECT(I3108),test),getMax(B3108,C3108,INDIRECT(J$2),INDIRECT(I3108),test))</f>
        <v>52.82172660977222</v>
      </c>
      <c r="F3108" s="1" t="str">
        <f t="shared" si="195"/>
        <v>50</v>
      </c>
      <c r="G3108" s="1" t="str">
        <f t="shared" si="196"/>
        <v>1</v>
      </c>
      <c r="I3108" s="1" t="str">
        <f t="shared" si="194"/>
        <v>威尔新数值1.06.xlsm!suitPower</v>
      </c>
    </row>
    <row r="3109" spans="1:9" x14ac:dyDescent="0.15">
      <c r="A3109" s="1">
        <v>3108</v>
      </c>
      <c r="B3109" s="1">
        <v>103020300</v>
      </c>
      <c r="C3109" s="1">
        <f t="shared" si="193"/>
        <v>5</v>
      </c>
      <c r="D3109" s="5">
        <f ca="1">IF(getQuality(B3109)&lt;4,getOtherMin(B3109,C3109,INDIRECT(J$2),INDIRECT(I3109),test),getMin(B3109,C3109,INDIRECT(J$2),INDIRECT(I3109),test))</f>
        <v>25.009875731714647</v>
      </c>
      <c r="E3109" s="5">
        <f ca="1">IF(getQuality(B3109)&lt;4,getOtherMax(B3109,C3109,INDIRECT(J$2),INDIRECT(I3109),test),getMax(B3109,C3109,INDIRECT(J$2),INDIRECT(I3109),test))</f>
        <v>52.82172660977222</v>
      </c>
      <c r="F3109" s="1" t="str">
        <f t="shared" si="195"/>
        <v>50</v>
      </c>
      <c r="G3109" s="1" t="str">
        <f t="shared" si="196"/>
        <v/>
      </c>
      <c r="I3109" s="1" t="str">
        <f t="shared" si="194"/>
        <v>威尔新数值1.06.xlsm!suitPower</v>
      </c>
    </row>
    <row r="3110" spans="1:9" x14ac:dyDescent="0.15">
      <c r="A3110" s="1">
        <v>3109</v>
      </c>
      <c r="B3110" s="1">
        <v>103020300</v>
      </c>
      <c r="C3110" s="1">
        <f t="shared" si="193"/>
        <v>7</v>
      </c>
      <c r="D3110" s="5">
        <f ca="1">IF(getQuality(B3110)&lt;4,getOtherMin(B3110,C3110,INDIRECT(J$2),INDIRECT(I3110),test),getMin(B3110,C3110,INDIRECT(J$2),INDIRECT(I3110),test))</f>
        <v>8.4074074074073888</v>
      </c>
      <c r="E3110" s="5">
        <f ca="1">IF(getQuality(B3110)&lt;4,getOtherMax(B3110,C3110,INDIRECT(J$2),INDIRECT(I3110),test),getMax(B3110,C3110,INDIRECT(J$2),INDIRECT(I3110),test))</f>
        <v>14.814814814814778</v>
      </c>
      <c r="F3110" s="1" t="str">
        <f t="shared" si="195"/>
        <v>50</v>
      </c>
      <c r="G3110" s="1" t="str">
        <f t="shared" si="196"/>
        <v/>
      </c>
      <c r="I3110" s="1" t="str">
        <f t="shared" si="194"/>
        <v>威尔新数值1.06.xlsm!suitPower</v>
      </c>
    </row>
    <row r="3111" spans="1:9" x14ac:dyDescent="0.15">
      <c r="A3111" s="1">
        <v>3110</v>
      </c>
      <c r="B3111" s="1">
        <v>103020300</v>
      </c>
      <c r="C3111" s="1">
        <f t="shared" si="193"/>
        <v>8</v>
      </c>
      <c r="D3111" s="5">
        <f ca="1">IF(getQuality(B3111)&lt;4,getOtherMin(B3111,C3111,INDIRECT(J$2),INDIRECT(I3111),test),getMin(B3111,C3111,INDIRECT(J$2),INDIRECT(I3111),test))</f>
        <v>17.666666666666668</v>
      </c>
      <c r="E3111" s="5">
        <f ca="1">IF(getQuality(B3111)&lt;4,getOtherMax(B3111,C3111,INDIRECT(J$2),INDIRECT(I3111),test),getMax(B3111,C3111,INDIRECT(J$2),INDIRECT(I3111),test))</f>
        <v>33.333333333333336</v>
      </c>
      <c r="F3111" s="1" t="str">
        <f t="shared" si="195"/>
        <v>50</v>
      </c>
      <c r="G3111" s="1" t="str">
        <f t="shared" si="196"/>
        <v/>
      </c>
      <c r="I3111" s="1" t="str">
        <f t="shared" si="194"/>
        <v>威尔新数值1.06.xlsm!suitPower</v>
      </c>
    </row>
    <row r="3112" spans="1:9" x14ac:dyDescent="0.15">
      <c r="A3112" s="1">
        <v>3111</v>
      </c>
      <c r="B3112" s="1">
        <v>103020300</v>
      </c>
      <c r="C3112" s="1">
        <f t="shared" si="193"/>
        <v>9</v>
      </c>
      <c r="D3112" s="5">
        <f ca="1">IF(getQuality(B3112)&lt;4,getOtherMin(B3112,C3112,INDIRECT(J$2),INDIRECT(I3112),test),getMin(B3112,C3112,INDIRECT(J$2),INDIRECT(I3112),test))</f>
        <v>25.009875731714647</v>
      </c>
      <c r="E3112" s="5">
        <f ca="1">IF(getQuality(B3112)&lt;4,getOtherMax(B3112,C3112,INDIRECT(J$2),INDIRECT(I3112),test),getMax(B3112,C3112,INDIRECT(J$2),INDIRECT(I3112),test))</f>
        <v>52.82172660977222</v>
      </c>
      <c r="F3112" s="1" t="str">
        <f t="shared" si="195"/>
        <v>50</v>
      </c>
      <c r="G3112" s="1" t="str">
        <f t="shared" si="196"/>
        <v/>
      </c>
      <c r="I3112" s="1" t="str">
        <f t="shared" si="194"/>
        <v>威尔新数值1.06.xlsm!suitPower</v>
      </c>
    </row>
    <row r="3113" spans="1:9" x14ac:dyDescent="0.15">
      <c r="A3113" s="1">
        <v>3112</v>
      </c>
      <c r="B3113" s="1">
        <v>103020300</v>
      </c>
      <c r="C3113" s="1">
        <f t="shared" si="193"/>
        <v>10</v>
      </c>
      <c r="D3113" s="5">
        <f ca="1">IF(getQuality(B3113)&lt;4,getOtherMin(B3113,C3113,INDIRECT(J$2),INDIRECT(I3113),test),getMin(B3113,C3113,INDIRECT(J$2),INDIRECT(I3113),test))</f>
        <v>25.009875731714647</v>
      </c>
      <c r="E3113" s="5">
        <f ca="1">IF(getQuality(B3113)&lt;4,getOtherMax(B3113,C3113,INDIRECT(J$2),INDIRECT(I3113),test),getMax(B3113,C3113,INDIRECT(J$2),INDIRECT(I3113),test))</f>
        <v>52.82172660977222</v>
      </c>
      <c r="F3113" s="1" t="str">
        <f t="shared" si="195"/>
        <v>50</v>
      </c>
      <c r="G3113" s="1" t="str">
        <f t="shared" si="196"/>
        <v/>
      </c>
      <c r="I3113" s="1" t="str">
        <f t="shared" si="194"/>
        <v>威尔新数值1.06.xlsm!suitPower</v>
      </c>
    </row>
    <row r="3114" spans="1:9" x14ac:dyDescent="0.15">
      <c r="A3114" s="1">
        <v>3113</v>
      </c>
      <c r="B3114" s="1">
        <v>103020300</v>
      </c>
      <c r="C3114" s="1">
        <f t="shared" si="193"/>
        <v>11</v>
      </c>
      <c r="D3114" s="5">
        <f ca="1">IF(getQuality(B3114)&lt;4,getOtherMin(B3114,C3114,INDIRECT(J$2),INDIRECT(I3114),test),getMin(B3114,C3114,INDIRECT(J$2),INDIRECT(I3114),test))</f>
        <v>25.009875731714647</v>
      </c>
      <c r="E3114" s="5">
        <f ca="1">IF(getQuality(B3114)&lt;4,getOtherMax(B3114,C3114,INDIRECT(J$2),INDIRECT(I3114),test),getMax(B3114,C3114,INDIRECT(J$2),INDIRECT(I3114),test))</f>
        <v>52.82172660977222</v>
      </c>
      <c r="F3114" s="1" t="str">
        <f t="shared" si="195"/>
        <v>50</v>
      </c>
      <c r="G3114" s="1" t="str">
        <f t="shared" si="196"/>
        <v/>
      </c>
      <c r="I3114" s="1" t="str">
        <f t="shared" si="194"/>
        <v>威尔新数值1.06.xlsm!suitPower</v>
      </c>
    </row>
    <row r="3115" spans="1:9" x14ac:dyDescent="0.15">
      <c r="A3115" s="1">
        <v>3114</v>
      </c>
      <c r="B3115" s="1">
        <v>103020300</v>
      </c>
      <c r="C3115" s="1">
        <f t="shared" si="193"/>
        <v>12</v>
      </c>
      <c r="D3115" s="5">
        <f ca="1">IF(getQuality(B3115)&lt;4,getOtherMin(B3115,C3115,INDIRECT(J$2),INDIRECT(I3115),test),getMin(B3115,C3115,INDIRECT(J$2),INDIRECT(I3115),test))</f>
        <v>25.009875731714647</v>
      </c>
      <c r="E3115" s="5">
        <f ca="1">IF(getQuality(B3115)&lt;4,getOtherMax(B3115,C3115,INDIRECT(J$2),INDIRECT(I3115),test),getMax(B3115,C3115,INDIRECT(J$2),INDIRECT(I3115),test))</f>
        <v>52.82172660977222</v>
      </c>
      <c r="F3115" s="1" t="str">
        <f t="shared" si="195"/>
        <v>50</v>
      </c>
      <c r="G3115" s="1" t="str">
        <f t="shared" si="196"/>
        <v/>
      </c>
      <c r="I3115" s="1" t="str">
        <f t="shared" si="194"/>
        <v>威尔新数值1.06.xlsm!suitPower</v>
      </c>
    </row>
    <row r="3116" spans="1:9" x14ac:dyDescent="0.15">
      <c r="A3116" s="1">
        <v>3115</v>
      </c>
      <c r="B3116" s="1">
        <v>103020300</v>
      </c>
      <c r="C3116" s="1">
        <f t="shared" si="193"/>
        <v>13</v>
      </c>
      <c r="D3116" s="5">
        <f ca="1">IF(getQuality(B3116)&lt;4,getOtherMin(B3116,C3116,INDIRECT(J$2),INDIRECT(I3116),test),getMin(B3116,C3116,INDIRECT(J$2),INDIRECT(I3116),test))</f>
        <v>25.009875731714647</v>
      </c>
      <c r="E3116" s="5">
        <f ca="1">IF(getQuality(B3116)&lt;4,getOtherMax(B3116,C3116,INDIRECT(J$2),INDIRECT(I3116),test),getMax(B3116,C3116,INDIRECT(J$2),INDIRECT(I3116),test))</f>
        <v>52.82172660977222</v>
      </c>
      <c r="F3116" s="1" t="str">
        <f t="shared" si="195"/>
        <v>50</v>
      </c>
      <c r="G3116" s="1" t="str">
        <f t="shared" si="196"/>
        <v/>
      </c>
      <c r="I3116" s="1" t="str">
        <f t="shared" si="194"/>
        <v>威尔新数值1.06.xlsm!suitPower</v>
      </c>
    </row>
    <row r="3117" spans="1:9" x14ac:dyDescent="0.15">
      <c r="A3117" s="1">
        <v>3116</v>
      </c>
      <c r="B3117" s="1">
        <v>103020300</v>
      </c>
      <c r="C3117" s="1">
        <f t="shared" si="193"/>
        <v>14</v>
      </c>
      <c r="D3117" s="5">
        <f ca="1">IF(getQuality(B3117)&lt;4,getOtherMin(B3117,C3117,INDIRECT(J$2),INDIRECT(I3117),test),getMin(B3117,C3117,INDIRECT(J$2),INDIRECT(I3117),test))</f>
        <v>25.009875731714647</v>
      </c>
      <c r="E3117" s="5">
        <f ca="1">IF(getQuality(B3117)&lt;4,getOtherMax(B3117,C3117,INDIRECT(J$2),INDIRECT(I3117),test),getMax(B3117,C3117,INDIRECT(J$2),INDIRECT(I3117),test))</f>
        <v>52.82172660977222</v>
      </c>
      <c r="F3117" s="1" t="str">
        <f t="shared" si="195"/>
        <v>50</v>
      </c>
      <c r="G3117" s="1" t="str">
        <f t="shared" si="196"/>
        <v/>
      </c>
      <c r="I3117" s="1" t="str">
        <f t="shared" si="194"/>
        <v>威尔新数值1.06.xlsm!suitPower</v>
      </c>
    </row>
    <row r="3118" spans="1:9" x14ac:dyDescent="0.15">
      <c r="A3118" s="1">
        <v>3117</v>
      </c>
      <c r="B3118" s="1">
        <v>103020300</v>
      </c>
      <c r="C3118" s="1">
        <f t="shared" si="193"/>
        <v>15</v>
      </c>
      <c r="D3118" s="5">
        <f ca="1">IF(getQuality(B3118)&lt;4,getOtherMin(B3118,C3118,INDIRECT(J$2),INDIRECT(I3118),test),getMin(B3118,C3118,INDIRECT(J$2),INDIRECT(I3118),test))</f>
        <v>25.009875731714647</v>
      </c>
      <c r="E3118" s="5">
        <f ca="1">IF(getQuality(B3118)&lt;4,getOtherMax(B3118,C3118,INDIRECT(J$2),INDIRECT(I3118),test),getMax(B3118,C3118,INDIRECT(J$2),INDIRECT(I3118),test))</f>
        <v>52.82172660977222</v>
      </c>
      <c r="F3118" s="1" t="str">
        <f t="shared" si="195"/>
        <v>50</v>
      </c>
      <c r="G3118" s="1" t="str">
        <f t="shared" si="196"/>
        <v/>
      </c>
      <c r="I3118" s="1" t="str">
        <f t="shared" si="194"/>
        <v>威尔新数值1.06.xlsm!suitPower</v>
      </c>
    </row>
    <row r="3119" spans="1:9" x14ac:dyDescent="0.15">
      <c r="A3119" s="1">
        <v>3118</v>
      </c>
      <c r="B3119" s="1">
        <v>103020300</v>
      </c>
      <c r="C3119" s="1">
        <f t="shared" si="193"/>
        <v>101</v>
      </c>
      <c r="D3119" s="5">
        <f ca="1">IF(getQuality(B3119)&lt;4,getOtherMin(B3119,C3119,INDIRECT(J$2),INDIRECT(I3119),test),getMin(B3119,C3119,INDIRECT(J$2),INDIRECT(I3119),test))</f>
        <v>0.08</v>
      </c>
      <c r="E3119" s="5">
        <f ca="1">IF(getQuality(B3119)&lt;4,getOtherMax(B3119,C3119,INDIRECT(J$2),INDIRECT(I3119),test),getMax(B3119,C3119,INDIRECT(J$2),INDIRECT(I3119),test))</f>
        <v>0.11</v>
      </c>
      <c r="F3119" s="1" t="str">
        <f t="shared" si="195"/>
        <v>50</v>
      </c>
      <c r="G3119" s="1" t="str">
        <f t="shared" si="196"/>
        <v/>
      </c>
      <c r="I3119" s="1" t="str">
        <f t="shared" si="194"/>
        <v>威尔新数值1.06.xlsm!circlePer</v>
      </c>
    </row>
    <row r="3120" spans="1:9" x14ac:dyDescent="0.15">
      <c r="A3120" s="1">
        <v>3119</v>
      </c>
      <c r="B3120" s="1">
        <v>103020300</v>
      </c>
      <c r="C3120" s="1">
        <f t="shared" si="193"/>
        <v>102</v>
      </c>
      <c r="D3120" s="5">
        <f ca="1">IF(getQuality(B3120)&lt;4,getOtherMin(B3120,C3120,INDIRECT(J$2),INDIRECT(I3120),test),getMin(B3120,C3120,INDIRECT(J$2),INDIRECT(I3120),test))</f>
        <v>0.7</v>
      </c>
      <c r="E3120" s="5">
        <f ca="1">IF(getQuality(B3120)&lt;4,getOtherMax(B3120,C3120,INDIRECT(J$2),INDIRECT(I3120),test),getMax(B3120,C3120,INDIRECT(J$2),INDIRECT(I3120),test))</f>
        <v>1</v>
      </c>
      <c r="F3120" s="1" t="str">
        <f t="shared" si="195"/>
        <v>50</v>
      </c>
      <c r="G3120" s="1" t="str">
        <f t="shared" si="196"/>
        <v/>
      </c>
      <c r="I3120" s="1" t="str">
        <f t="shared" si="194"/>
        <v>威尔新数值1.06.xlsm!circleValue</v>
      </c>
    </row>
    <row r="3121" spans="1:9" x14ac:dyDescent="0.15">
      <c r="A3121" s="1">
        <v>3120</v>
      </c>
      <c r="B3121" s="1">
        <v>103020300</v>
      </c>
      <c r="C3121" s="1">
        <f t="shared" si="193"/>
        <v>103</v>
      </c>
      <c r="D3121" s="5">
        <f ca="1">IF(getQuality(B3121)&lt;4,getOtherMin(B3121,C3121,INDIRECT(J$2),INDIRECT(I3121),test),getMin(B3121,C3121,INDIRECT(J$2),INDIRECT(I3121),test))</f>
        <v>0.08</v>
      </c>
      <c r="E3121" s="5">
        <f ca="1">IF(getQuality(B3121)&lt;4,getOtherMax(B3121,C3121,INDIRECT(J$2),INDIRECT(I3121),test),getMax(B3121,C3121,INDIRECT(J$2),INDIRECT(I3121),test))</f>
        <v>0.11</v>
      </c>
      <c r="F3121" s="1" t="str">
        <f t="shared" si="195"/>
        <v>50</v>
      </c>
      <c r="G3121" s="1" t="str">
        <f t="shared" si="196"/>
        <v/>
      </c>
      <c r="I3121" s="1" t="str">
        <f t="shared" si="194"/>
        <v>威尔新数值1.06.xlsm!otherDamage</v>
      </c>
    </row>
    <row r="3122" spans="1:9" x14ac:dyDescent="0.15">
      <c r="A3122" s="1">
        <v>3121</v>
      </c>
      <c r="B3122" s="1">
        <v>103020300</v>
      </c>
      <c r="C3122" s="1">
        <f t="shared" si="193"/>
        <v>104</v>
      </c>
      <c r="D3122" s="5">
        <f ca="1">IF(getQuality(B3122)&lt;4,getOtherMin(B3122,C3122,INDIRECT(J$2),INDIRECT(I3122),test),getMin(B3122,C3122,INDIRECT(J$2),INDIRECT(I3122),test))</f>
        <v>0.08</v>
      </c>
      <c r="E3122" s="5">
        <f ca="1">IF(getQuality(B3122)&lt;4,getOtherMax(B3122,C3122,INDIRECT(J$2),INDIRECT(I3122),test),getMax(B3122,C3122,INDIRECT(J$2),INDIRECT(I3122),test))</f>
        <v>0.16</v>
      </c>
      <c r="F3122" s="1" t="str">
        <f t="shared" si="195"/>
        <v>50</v>
      </c>
      <c r="G3122" s="1" t="str">
        <f t="shared" si="196"/>
        <v/>
      </c>
      <c r="I3122" s="1" t="str">
        <f t="shared" si="194"/>
        <v>威尔新数值1.06.xlsm!monsterDamage</v>
      </c>
    </row>
    <row r="3123" spans="1:9" x14ac:dyDescent="0.15">
      <c r="A3123" s="1">
        <v>3122</v>
      </c>
      <c r="B3123" s="1">
        <v>103020300</v>
      </c>
      <c r="C3123" s="1">
        <f t="shared" si="193"/>
        <v>105</v>
      </c>
      <c r="D3123" s="5">
        <f ca="1">IF(getQuality(B3123)&lt;4,getOtherMin(B3123,C3123,INDIRECT(J$2),INDIRECT(I3123),test),getMin(B3123,C3123,INDIRECT(J$2),INDIRECT(I3123),test))</f>
        <v>0.08</v>
      </c>
      <c r="E3123" s="5">
        <f ca="1">IF(getQuality(B3123)&lt;4,getOtherMax(B3123,C3123,INDIRECT(J$2),INDIRECT(I3123),test),getMax(B3123,C3123,INDIRECT(J$2),INDIRECT(I3123),test))</f>
        <v>0.16</v>
      </c>
      <c r="F3123" s="1" t="str">
        <f t="shared" si="195"/>
        <v>50</v>
      </c>
      <c r="G3123" s="1" t="str">
        <f t="shared" si="196"/>
        <v/>
      </c>
      <c r="I3123" s="1" t="str">
        <f t="shared" si="194"/>
        <v>威尔新数值1.06.xlsm!monsterDamage</v>
      </c>
    </row>
    <row r="3124" spans="1:9" x14ac:dyDescent="0.15">
      <c r="A3124" s="1">
        <v>3123</v>
      </c>
      <c r="B3124" s="1">
        <v>103020300</v>
      </c>
      <c r="C3124" s="1">
        <f t="shared" si="193"/>
        <v>106</v>
      </c>
      <c r="D3124" s="5">
        <f ca="1">IF(getQuality(B3124)&lt;4,getOtherMin(B3124,C3124,INDIRECT(J$2),INDIRECT(I3124),test),getMin(B3124,C3124,INDIRECT(J$2),INDIRECT(I3124),test))</f>
        <v>0.08</v>
      </c>
      <c r="E3124" s="5">
        <f ca="1">IF(getQuality(B3124)&lt;4,getOtherMax(B3124,C3124,INDIRECT(J$2),INDIRECT(I3124),test),getMax(B3124,C3124,INDIRECT(J$2),INDIRECT(I3124),test))</f>
        <v>0.16</v>
      </c>
      <c r="F3124" s="1" t="str">
        <f t="shared" si="195"/>
        <v>50</v>
      </c>
      <c r="G3124" s="1" t="str">
        <f t="shared" si="196"/>
        <v/>
      </c>
      <c r="I3124" s="1" t="str">
        <f t="shared" si="194"/>
        <v>威尔新数值1.06.xlsm!monsterDamage</v>
      </c>
    </row>
    <row r="3125" spans="1:9" x14ac:dyDescent="0.15">
      <c r="A3125" s="1">
        <v>3124</v>
      </c>
      <c r="B3125" s="1">
        <v>103020300</v>
      </c>
      <c r="C3125" s="1">
        <f t="shared" si="193"/>
        <v>107</v>
      </c>
      <c r="D3125" s="5">
        <f ca="1">IF(getQuality(B3125)&lt;4,getOtherMin(B3125,C3125,INDIRECT(J$2),INDIRECT(I3125),test),getMin(B3125,C3125,INDIRECT(J$2),INDIRECT(I3125),test))</f>
        <v>0.08</v>
      </c>
      <c r="E3125" s="5">
        <f ca="1">IF(getQuality(B3125)&lt;4,getOtherMax(B3125,C3125,INDIRECT(J$2),INDIRECT(I3125),test),getMax(B3125,C3125,INDIRECT(J$2),INDIRECT(I3125),test))</f>
        <v>0.16</v>
      </c>
      <c r="F3125" s="1" t="str">
        <f t="shared" si="195"/>
        <v>50</v>
      </c>
      <c r="G3125" s="1" t="str">
        <f t="shared" si="196"/>
        <v/>
      </c>
      <c r="I3125" s="1" t="str">
        <f t="shared" si="194"/>
        <v>威尔新数值1.06.xlsm!monsterDamage</v>
      </c>
    </row>
    <row r="3126" spans="1:9" x14ac:dyDescent="0.15">
      <c r="A3126" s="1">
        <v>3125</v>
      </c>
      <c r="B3126" s="1">
        <v>103020300</v>
      </c>
      <c r="C3126" s="1">
        <f t="shared" si="193"/>
        <v>108</v>
      </c>
      <c r="D3126" s="5">
        <f ca="1">IF(getQuality(B3126)&lt;4,getOtherMin(B3126,C3126,INDIRECT(J$2),INDIRECT(I3126),test),getMin(B3126,C3126,INDIRECT(J$2),INDIRECT(I3126),test))</f>
        <v>0.08</v>
      </c>
      <c r="E3126" s="5">
        <f ca="1">IF(getQuality(B3126)&lt;4,getOtherMax(B3126,C3126,INDIRECT(J$2),INDIRECT(I3126),test),getMax(B3126,C3126,INDIRECT(J$2),INDIRECT(I3126),test))</f>
        <v>0.16</v>
      </c>
      <c r="F3126" s="1" t="str">
        <f t="shared" si="195"/>
        <v>50</v>
      </c>
      <c r="G3126" s="1" t="str">
        <f t="shared" si="196"/>
        <v/>
      </c>
      <c r="I3126" s="1" t="str">
        <f t="shared" si="194"/>
        <v>威尔新数值1.06.xlsm!monsterDamage</v>
      </c>
    </row>
    <row r="3127" spans="1:9" x14ac:dyDescent="0.15">
      <c r="A3127" s="1">
        <v>3126</v>
      </c>
      <c r="B3127" s="1">
        <v>103030300</v>
      </c>
      <c r="C3127" s="1">
        <f t="shared" si="193"/>
        <v>3</v>
      </c>
      <c r="D3127" s="5">
        <f ca="1">IF(getQuality(B3127)&lt;4,getOtherMin(B3127,C3127,INDIRECT(J$2),INDIRECT(I3127),test),getMin(B3127,C3127,INDIRECT(J$2),INDIRECT(I3127),test))</f>
        <v>53.82172660977222</v>
      </c>
      <c r="E3127" s="5">
        <f ca="1">IF(getQuality(B3127)&lt;4,getOtherMax(B3127,C3127,INDIRECT(J$2),INDIRECT(I3127),test),getMax(B3127,C3127,INDIRECT(J$2),INDIRECT(I3127),test))</f>
        <v>86.435552634172723</v>
      </c>
      <c r="F3127" s="1" t="str">
        <f t="shared" si="195"/>
        <v>50</v>
      </c>
      <c r="G3127" s="1" t="str">
        <f t="shared" si="196"/>
        <v>1</v>
      </c>
      <c r="I3127" s="1" t="str">
        <f t="shared" si="194"/>
        <v>威尔新数值1.06.xlsm!suitPower</v>
      </c>
    </row>
    <row r="3128" spans="1:9" x14ac:dyDescent="0.15">
      <c r="A3128" s="1">
        <v>3127</v>
      </c>
      <c r="B3128" s="1">
        <v>103030300</v>
      </c>
      <c r="C3128" s="1">
        <f t="shared" si="193"/>
        <v>5</v>
      </c>
      <c r="D3128" s="5">
        <f ca="1">IF(getQuality(B3128)&lt;4,getOtherMin(B3128,C3128,INDIRECT(J$2),INDIRECT(I3128),test),getMin(B3128,C3128,INDIRECT(J$2),INDIRECT(I3128),test))</f>
        <v>53.82172660977222</v>
      </c>
      <c r="E3128" s="5">
        <f ca="1">IF(getQuality(B3128)&lt;4,getOtherMax(B3128,C3128,INDIRECT(J$2),INDIRECT(I3128),test),getMax(B3128,C3128,INDIRECT(J$2),INDIRECT(I3128),test))</f>
        <v>86.435552634172723</v>
      </c>
      <c r="F3128" s="1" t="str">
        <f t="shared" si="195"/>
        <v>50</v>
      </c>
      <c r="G3128" s="1" t="str">
        <f t="shared" si="196"/>
        <v/>
      </c>
      <c r="I3128" s="1" t="str">
        <f t="shared" si="194"/>
        <v>威尔新数值1.06.xlsm!suitPower</v>
      </c>
    </row>
    <row r="3129" spans="1:9" x14ac:dyDescent="0.15">
      <c r="A3129" s="1">
        <v>3128</v>
      </c>
      <c r="B3129" s="1">
        <v>103030300</v>
      </c>
      <c r="C3129" s="1">
        <f t="shared" si="193"/>
        <v>7</v>
      </c>
      <c r="D3129" s="5">
        <f ca="1">IF(getQuality(B3129)&lt;4,getOtherMin(B3129,C3129,INDIRECT(J$2),INDIRECT(I3129),test),getMin(B3129,C3129,INDIRECT(J$2),INDIRECT(I3129),test))</f>
        <v>15.814814814814778</v>
      </c>
      <c r="E3129" s="5">
        <f ca="1">IF(getQuality(B3129)&lt;4,getOtherMax(B3129,C3129,INDIRECT(J$2),INDIRECT(I3129),test),getMax(B3129,C3129,INDIRECT(J$2),INDIRECT(I3129),test))</f>
        <v>22.222222222222165</v>
      </c>
      <c r="F3129" s="1" t="str">
        <f t="shared" si="195"/>
        <v>50</v>
      </c>
      <c r="G3129" s="1" t="str">
        <f t="shared" si="196"/>
        <v/>
      </c>
      <c r="I3129" s="1" t="str">
        <f t="shared" si="194"/>
        <v>威尔新数值1.06.xlsm!suitPower</v>
      </c>
    </row>
    <row r="3130" spans="1:9" x14ac:dyDescent="0.15">
      <c r="A3130" s="1">
        <v>3129</v>
      </c>
      <c r="B3130" s="1">
        <v>103030300</v>
      </c>
      <c r="C3130" s="1">
        <f t="shared" si="193"/>
        <v>8</v>
      </c>
      <c r="D3130" s="5">
        <f ca="1">IF(getQuality(B3130)&lt;4,getOtherMin(B3130,C3130,INDIRECT(J$2),INDIRECT(I3130),test),getMin(B3130,C3130,INDIRECT(J$2),INDIRECT(I3130),test))</f>
        <v>34.333333333333336</v>
      </c>
      <c r="E3130" s="5">
        <f ca="1">IF(getQuality(B3130)&lt;4,getOtherMax(B3130,C3130,INDIRECT(J$2),INDIRECT(I3130),test),getMax(B3130,C3130,INDIRECT(J$2),INDIRECT(I3130),test))</f>
        <v>50</v>
      </c>
      <c r="F3130" s="1" t="str">
        <f t="shared" si="195"/>
        <v>50</v>
      </c>
      <c r="G3130" s="1" t="str">
        <f t="shared" si="196"/>
        <v/>
      </c>
      <c r="I3130" s="1" t="str">
        <f t="shared" si="194"/>
        <v>威尔新数值1.06.xlsm!suitPower</v>
      </c>
    </row>
    <row r="3131" spans="1:9" x14ac:dyDescent="0.15">
      <c r="A3131" s="1">
        <v>3130</v>
      </c>
      <c r="B3131" s="1">
        <v>103030300</v>
      </c>
      <c r="C3131" s="1">
        <f t="shared" si="193"/>
        <v>9</v>
      </c>
      <c r="D3131" s="5">
        <f ca="1">IF(getQuality(B3131)&lt;4,getOtherMin(B3131,C3131,INDIRECT(J$2),INDIRECT(I3131),test),getMin(B3131,C3131,INDIRECT(J$2),INDIRECT(I3131),test))</f>
        <v>53.82172660977222</v>
      </c>
      <c r="E3131" s="5">
        <f ca="1">IF(getQuality(B3131)&lt;4,getOtherMax(B3131,C3131,INDIRECT(J$2),INDIRECT(I3131),test),getMax(B3131,C3131,INDIRECT(J$2),INDIRECT(I3131),test))</f>
        <v>86.435552634172723</v>
      </c>
      <c r="F3131" s="1" t="str">
        <f t="shared" si="195"/>
        <v>50</v>
      </c>
      <c r="G3131" s="1" t="str">
        <f t="shared" si="196"/>
        <v/>
      </c>
      <c r="I3131" s="1" t="str">
        <f t="shared" si="194"/>
        <v>威尔新数值1.06.xlsm!suitPower</v>
      </c>
    </row>
    <row r="3132" spans="1:9" x14ac:dyDescent="0.15">
      <c r="A3132" s="1">
        <v>3131</v>
      </c>
      <c r="B3132" s="1">
        <v>103030300</v>
      </c>
      <c r="C3132" s="1">
        <f t="shared" ref="C3132:C3195" si="197">C657</f>
        <v>10</v>
      </c>
      <c r="D3132" s="5">
        <f ca="1">IF(getQuality(B3132)&lt;4,getOtherMin(B3132,C3132,INDIRECT(J$2),INDIRECT(I3132),test),getMin(B3132,C3132,INDIRECT(J$2),INDIRECT(I3132),test))</f>
        <v>53.82172660977222</v>
      </c>
      <c r="E3132" s="5">
        <f ca="1">IF(getQuality(B3132)&lt;4,getOtherMax(B3132,C3132,INDIRECT(J$2),INDIRECT(I3132),test),getMax(B3132,C3132,INDIRECT(J$2),INDIRECT(I3132),test))</f>
        <v>86.435552634172723</v>
      </c>
      <c r="F3132" s="1" t="str">
        <f t="shared" si="195"/>
        <v>50</v>
      </c>
      <c r="G3132" s="1" t="str">
        <f t="shared" si="196"/>
        <v/>
      </c>
      <c r="I3132" s="1" t="str">
        <f t="shared" si="194"/>
        <v>威尔新数值1.06.xlsm!suitPower</v>
      </c>
    </row>
    <row r="3133" spans="1:9" x14ac:dyDescent="0.15">
      <c r="A3133" s="1">
        <v>3132</v>
      </c>
      <c r="B3133" s="1">
        <v>103030300</v>
      </c>
      <c r="C3133" s="1">
        <f t="shared" si="197"/>
        <v>11</v>
      </c>
      <c r="D3133" s="5">
        <f ca="1">IF(getQuality(B3133)&lt;4,getOtherMin(B3133,C3133,INDIRECT(J$2),INDIRECT(I3133),test),getMin(B3133,C3133,INDIRECT(J$2),INDIRECT(I3133),test))</f>
        <v>53.82172660977222</v>
      </c>
      <c r="E3133" s="5">
        <f ca="1">IF(getQuality(B3133)&lt;4,getOtherMax(B3133,C3133,INDIRECT(J$2),INDIRECT(I3133),test),getMax(B3133,C3133,INDIRECT(J$2),INDIRECT(I3133),test))</f>
        <v>86.435552634172723</v>
      </c>
      <c r="F3133" s="1" t="str">
        <f t="shared" si="195"/>
        <v>50</v>
      </c>
      <c r="G3133" s="1" t="str">
        <f t="shared" si="196"/>
        <v/>
      </c>
      <c r="I3133" s="1" t="str">
        <f t="shared" si="194"/>
        <v>威尔新数值1.06.xlsm!suitPower</v>
      </c>
    </row>
    <row r="3134" spans="1:9" x14ac:dyDescent="0.15">
      <c r="A3134" s="1">
        <v>3133</v>
      </c>
      <c r="B3134" s="1">
        <v>103030300</v>
      </c>
      <c r="C3134" s="1">
        <f t="shared" si="197"/>
        <v>12</v>
      </c>
      <c r="D3134" s="5">
        <f ca="1">IF(getQuality(B3134)&lt;4,getOtherMin(B3134,C3134,INDIRECT(J$2),INDIRECT(I3134),test),getMin(B3134,C3134,INDIRECT(J$2),INDIRECT(I3134),test))</f>
        <v>53.82172660977222</v>
      </c>
      <c r="E3134" s="5">
        <f ca="1">IF(getQuality(B3134)&lt;4,getOtherMax(B3134,C3134,INDIRECT(J$2),INDIRECT(I3134),test),getMax(B3134,C3134,INDIRECT(J$2),INDIRECT(I3134),test))</f>
        <v>86.435552634172723</v>
      </c>
      <c r="F3134" s="1" t="str">
        <f t="shared" si="195"/>
        <v>50</v>
      </c>
      <c r="G3134" s="1" t="str">
        <f t="shared" si="196"/>
        <v/>
      </c>
      <c r="I3134" s="1" t="str">
        <f t="shared" si="194"/>
        <v>威尔新数值1.06.xlsm!suitPower</v>
      </c>
    </row>
    <row r="3135" spans="1:9" x14ac:dyDescent="0.15">
      <c r="A3135" s="1">
        <v>3134</v>
      </c>
      <c r="B3135" s="1">
        <v>103030300</v>
      </c>
      <c r="C3135" s="1">
        <f t="shared" si="197"/>
        <v>13</v>
      </c>
      <c r="D3135" s="5">
        <f ca="1">IF(getQuality(B3135)&lt;4,getOtherMin(B3135,C3135,INDIRECT(J$2),INDIRECT(I3135),test),getMin(B3135,C3135,INDIRECT(J$2),INDIRECT(I3135),test))</f>
        <v>53.82172660977222</v>
      </c>
      <c r="E3135" s="5">
        <f ca="1">IF(getQuality(B3135)&lt;4,getOtherMax(B3135,C3135,INDIRECT(J$2),INDIRECT(I3135),test),getMax(B3135,C3135,INDIRECT(J$2),INDIRECT(I3135),test))</f>
        <v>86.435552634172723</v>
      </c>
      <c r="F3135" s="1" t="str">
        <f t="shared" si="195"/>
        <v>50</v>
      </c>
      <c r="G3135" s="1" t="str">
        <f t="shared" si="196"/>
        <v/>
      </c>
      <c r="I3135" s="1" t="str">
        <f t="shared" si="194"/>
        <v>威尔新数值1.06.xlsm!suitPower</v>
      </c>
    </row>
    <row r="3136" spans="1:9" x14ac:dyDescent="0.15">
      <c r="A3136" s="1">
        <v>3135</v>
      </c>
      <c r="B3136" s="1">
        <v>103030300</v>
      </c>
      <c r="C3136" s="1">
        <f t="shared" si="197"/>
        <v>14</v>
      </c>
      <c r="D3136" s="5">
        <f ca="1">IF(getQuality(B3136)&lt;4,getOtherMin(B3136,C3136,INDIRECT(J$2),INDIRECT(I3136),test),getMin(B3136,C3136,INDIRECT(J$2),INDIRECT(I3136),test))</f>
        <v>53.82172660977222</v>
      </c>
      <c r="E3136" s="5">
        <f ca="1">IF(getQuality(B3136)&lt;4,getOtherMax(B3136,C3136,INDIRECT(J$2),INDIRECT(I3136),test),getMax(B3136,C3136,INDIRECT(J$2),INDIRECT(I3136),test))</f>
        <v>86.435552634172723</v>
      </c>
      <c r="F3136" s="1" t="str">
        <f t="shared" si="195"/>
        <v>50</v>
      </c>
      <c r="G3136" s="1" t="str">
        <f t="shared" si="196"/>
        <v/>
      </c>
      <c r="I3136" s="1" t="str">
        <f t="shared" si="194"/>
        <v>威尔新数值1.06.xlsm!suitPower</v>
      </c>
    </row>
    <row r="3137" spans="1:9" x14ac:dyDescent="0.15">
      <c r="A3137" s="1">
        <v>3136</v>
      </c>
      <c r="B3137" s="1">
        <v>103030300</v>
      </c>
      <c r="C3137" s="1">
        <f t="shared" si="197"/>
        <v>15</v>
      </c>
      <c r="D3137" s="5">
        <f ca="1">IF(getQuality(B3137)&lt;4,getOtherMin(B3137,C3137,INDIRECT(J$2),INDIRECT(I3137),test),getMin(B3137,C3137,INDIRECT(J$2),INDIRECT(I3137),test))</f>
        <v>53.82172660977222</v>
      </c>
      <c r="E3137" s="5">
        <f ca="1">IF(getQuality(B3137)&lt;4,getOtherMax(B3137,C3137,INDIRECT(J$2),INDIRECT(I3137),test),getMax(B3137,C3137,INDIRECT(J$2),INDIRECT(I3137),test))</f>
        <v>86.435552634172723</v>
      </c>
      <c r="F3137" s="1" t="str">
        <f t="shared" si="195"/>
        <v>50</v>
      </c>
      <c r="G3137" s="1" t="str">
        <f t="shared" si="196"/>
        <v/>
      </c>
      <c r="I3137" s="1" t="str">
        <f t="shared" si="194"/>
        <v>威尔新数值1.06.xlsm!suitPower</v>
      </c>
    </row>
    <row r="3138" spans="1:9" x14ac:dyDescent="0.15">
      <c r="A3138" s="1">
        <v>3137</v>
      </c>
      <c r="B3138" s="1">
        <v>103030300</v>
      </c>
      <c r="C3138" s="1">
        <f t="shared" si="197"/>
        <v>101</v>
      </c>
      <c r="D3138" s="5">
        <f ca="1">IF(getQuality(B3138)&lt;4,getOtherMin(B3138,C3138,INDIRECT(J$2),INDIRECT(I3138),test),getMin(B3138,C3138,INDIRECT(J$2),INDIRECT(I3138),test))</f>
        <v>0.09</v>
      </c>
      <c r="E3138" s="5">
        <f ca="1">IF(getQuality(B3138)&lt;4,getOtherMax(B3138,C3138,INDIRECT(J$2),INDIRECT(I3138),test),getMax(B3138,C3138,INDIRECT(J$2),INDIRECT(I3138),test))</f>
        <v>0.12</v>
      </c>
      <c r="F3138" s="1" t="str">
        <f t="shared" si="195"/>
        <v>50</v>
      </c>
      <c r="G3138" s="1" t="str">
        <f t="shared" si="196"/>
        <v/>
      </c>
      <c r="I3138" s="1" t="str">
        <f t="shared" ref="I3138:I3201" si="198">IF(C3138&lt;100,VLOOKUP(C3138,test,3,FALSE),VLOOKUP(C3138,test1,3,FALSE))</f>
        <v>威尔新数值1.06.xlsm!circlePer</v>
      </c>
    </row>
    <row r="3139" spans="1:9" x14ac:dyDescent="0.15">
      <c r="A3139" s="1">
        <v>3138</v>
      </c>
      <c r="B3139" s="1">
        <v>103030300</v>
      </c>
      <c r="C3139" s="1">
        <f t="shared" si="197"/>
        <v>102</v>
      </c>
      <c r="D3139" s="5">
        <f ca="1">IF(getQuality(B3139)&lt;4,getOtherMin(B3139,C3139,INDIRECT(J$2),INDIRECT(I3139),test),getMin(B3139,C3139,INDIRECT(J$2),INDIRECT(I3139),test))</f>
        <v>0.8</v>
      </c>
      <c r="E3139" s="5">
        <f ca="1">IF(getQuality(B3139)&lt;4,getOtherMax(B3139,C3139,INDIRECT(J$2),INDIRECT(I3139),test),getMax(B3139,C3139,INDIRECT(J$2),INDIRECT(I3139),test))</f>
        <v>1.1000000000000001</v>
      </c>
      <c r="F3139" s="1" t="str">
        <f t="shared" ref="F3139:F3202" si="199">getper(B3139,C3139)</f>
        <v>50</v>
      </c>
      <c r="G3139" s="1" t="str">
        <f t="shared" ref="G3139:G3202" si="200">getMust(B3139,C3139)</f>
        <v/>
      </c>
      <c r="I3139" s="1" t="str">
        <f t="shared" si="198"/>
        <v>威尔新数值1.06.xlsm!circleValue</v>
      </c>
    </row>
    <row r="3140" spans="1:9" x14ac:dyDescent="0.15">
      <c r="A3140" s="1">
        <v>3139</v>
      </c>
      <c r="B3140" s="1">
        <v>103030300</v>
      </c>
      <c r="C3140" s="1">
        <f t="shared" si="197"/>
        <v>103</v>
      </c>
      <c r="D3140" s="5">
        <f ca="1">IF(getQuality(B3140)&lt;4,getOtherMin(B3140,C3140,INDIRECT(J$2),INDIRECT(I3140),test),getMin(B3140,C3140,INDIRECT(J$2),INDIRECT(I3140),test))</f>
        <v>0.09</v>
      </c>
      <c r="E3140" s="5">
        <f ca="1">IF(getQuality(B3140)&lt;4,getOtherMax(B3140,C3140,INDIRECT(J$2),INDIRECT(I3140),test),getMax(B3140,C3140,INDIRECT(J$2),INDIRECT(I3140),test))</f>
        <v>0.12</v>
      </c>
      <c r="F3140" s="1" t="str">
        <f t="shared" si="199"/>
        <v>50</v>
      </c>
      <c r="G3140" s="1" t="str">
        <f t="shared" si="200"/>
        <v/>
      </c>
      <c r="I3140" s="1" t="str">
        <f t="shared" si="198"/>
        <v>威尔新数值1.06.xlsm!otherDamage</v>
      </c>
    </row>
    <row r="3141" spans="1:9" x14ac:dyDescent="0.15">
      <c r="A3141" s="1">
        <v>3140</v>
      </c>
      <c r="B3141" s="1">
        <v>103030300</v>
      </c>
      <c r="C3141" s="1">
        <f t="shared" si="197"/>
        <v>104</v>
      </c>
      <c r="D3141" s="5">
        <f ca="1">IF(getQuality(B3141)&lt;4,getOtherMin(B3141,C3141,INDIRECT(J$2),INDIRECT(I3141),test),getMin(B3141,C3141,INDIRECT(J$2),INDIRECT(I3141),test))</f>
        <v>0.09</v>
      </c>
      <c r="E3141" s="5">
        <f ca="1">IF(getQuality(B3141)&lt;4,getOtherMax(B3141,C3141,INDIRECT(J$2),INDIRECT(I3141),test),getMax(B3141,C3141,INDIRECT(J$2),INDIRECT(I3141),test))</f>
        <v>0.18</v>
      </c>
      <c r="F3141" s="1" t="str">
        <f t="shared" si="199"/>
        <v>50</v>
      </c>
      <c r="G3141" s="1" t="str">
        <f t="shared" si="200"/>
        <v/>
      </c>
      <c r="I3141" s="1" t="str">
        <f t="shared" si="198"/>
        <v>威尔新数值1.06.xlsm!monsterDamage</v>
      </c>
    </row>
    <row r="3142" spans="1:9" x14ac:dyDescent="0.15">
      <c r="A3142" s="1">
        <v>3141</v>
      </c>
      <c r="B3142" s="1">
        <v>103030300</v>
      </c>
      <c r="C3142" s="1">
        <f t="shared" si="197"/>
        <v>105</v>
      </c>
      <c r="D3142" s="5">
        <f ca="1">IF(getQuality(B3142)&lt;4,getOtherMin(B3142,C3142,INDIRECT(J$2),INDIRECT(I3142),test),getMin(B3142,C3142,INDIRECT(J$2),INDIRECT(I3142),test))</f>
        <v>0.09</v>
      </c>
      <c r="E3142" s="5">
        <f ca="1">IF(getQuality(B3142)&lt;4,getOtherMax(B3142,C3142,INDIRECT(J$2),INDIRECT(I3142),test),getMax(B3142,C3142,INDIRECT(J$2),INDIRECT(I3142),test))</f>
        <v>0.18</v>
      </c>
      <c r="F3142" s="1" t="str">
        <f t="shared" si="199"/>
        <v>50</v>
      </c>
      <c r="G3142" s="1" t="str">
        <f t="shared" si="200"/>
        <v/>
      </c>
      <c r="I3142" s="1" t="str">
        <f t="shared" si="198"/>
        <v>威尔新数值1.06.xlsm!monsterDamage</v>
      </c>
    </row>
    <row r="3143" spans="1:9" x14ac:dyDescent="0.15">
      <c r="A3143" s="1">
        <v>3142</v>
      </c>
      <c r="B3143" s="1">
        <v>103030300</v>
      </c>
      <c r="C3143" s="1">
        <f t="shared" si="197"/>
        <v>106</v>
      </c>
      <c r="D3143" s="5">
        <f ca="1">IF(getQuality(B3143)&lt;4,getOtherMin(B3143,C3143,INDIRECT(J$2),INDIRECT(I3143),test),getMin(B3143,C3143,INDIRECT(J$2),INDIRECT(I3143),test))</f>
        <v>0.09</v>
      </c>
      <c r="E3143" s="5">
        <f ca="1">IF(getQuality(B3143)&lt;4,getOtherMax(B3143,C3143,INDIRECT(J$2),INDIRECT(I3143),test),getMax(B3143,C3143,INDIRECT(J$2),INDIRECT(I3143),test))</f>
        <v>0.18</v>
      </c>
      <c r="F3143" s="1" t="str">
        <f t="shared" si="199"/>
        <v>50</v>
      </c>
      <c r="G3143" s="1" t="str">
        <f t="shared" si="200"/>
        <v/>
      </c>
      <c r="I3143" s="1" t="str">
        <f t="shared" si="198"/>
        <v>威尔新数值1.06.xlsm!monsterDamage</v>
      </c>
    </row>
    <row r="3144" spans="1:9" x14ac:dyDescent="0.15">
      <c r="A3144" s="1">
        <v>3143</v>
      </c>
      <c r="B3144" s="1">
        <v>103030300</v>
      </c>
      <c r="C3144" s="1">
        <f t="shared" si="197"/>
        <v>107</v>
      </c>
      <c r="D3144" s="5">
        <f ca="1">IF(getQuality(B3144)&lt;4,getOtherMin(B3144,C3144,INDIRECT(J$2),INDIRECT(I3144),test),getMin(B3144,C3144,INDIRECT(J$2),INDIRECT(I3144),test))</f>
        <v>0.09</v>
      </c>
      <c r="E3144" s="5">
        <f ca="1">IF(getQuality(B3144)&lt;4,getOtherMax(B3144,C3144,INDIRECT(J$2),INDIRECT(I3144),test),getMax(B3144,C3144,INDIRECT(J$2),INDIRECT(I3144),test))</f>
        <v>0.18</v>
      </c>
      <c r="F3144" s="1" t="str">
        <f t="shared" si="199"/>
        <v>50</v>
      </c>
      <c r="G3144" s="1" t="str">
        <f t="shared" si="200"/>
        <v/>
      </c>
      <c r="I3144" s="1" t="str">
        <f t="shared" si="198"/>
        <v>威尔新数值1.06.xlsm!monsterDamage</v>
      </c>
    </row>
    <row r="3145" spans="1:9" x14ac:dyDescent="0.15">
      <c r="A3145" s="1">
        <v>3144</v>
      </c>
      <c r="B3145" s="1">
        <v>103030300</v>
      </c>
      <c r="C3145" s="1">
        <f t="shared" si="197"/>
        <v>108</v>
      </c>
      <c r="D3145" s="5">
        <f ca="1">IF(getQuality(B3145)&lt;4,getOtherMin(B3145,C3145,INDIRECT(J$2),INDIRECT(I3145),test),getMin(B3145,C3145,INDIRECT(J$2),INDIRECT(I3145),test))</f>
        <v>0.09</v>
      </c>
      <c r="E3145" s="5">
        <f ca="1">IF(getQuality(B3145)&lt;4,getOtherMax(B3145,C3145,INDIRECT(J$2),INDIRECT(I3145),test),getMax(B3145,C3145,INDIRECT(J$2),INDIRECT(I3145),test))</f>
        <v>0.18</v>
      </c>
      <c r="F3145" s="1" t="str">
        <f t="shared" si="199"/>
        <v>50</v>
      </c>
      <c r="G3145" s="1" t="str">
        <f t="shared" si="200"/>
        <v/>
      </c>
      <c r="I3145" s="1" t="str">
        <f t="shared" si="198"/>
        <v>威尔新数值1.06.xlsm!monsterDamage</v>
      </c>
    </row>
    <row r="3146" spans="1:9" x14ac:dyDescent="0.15">
      <c r="A3146" s="1">
        <v>3145</v>
      </c>
      <c r="B3146" s="1">
        <v>103040300</v>
      </c>
      <c r="C3146" s="1">
        <f t="shared" si="197"/>
        <v>3</v>
      </c>
      <c r="D3146" s="5">
        <f ca="1">IF(getQuality(B3146)&lt;4,getOtherMin(B3146,C3146,INDIRECT(J$2),INDIRECT(I3146),test),getMin(B3146,C3146,INDIRECT(J$2),INDIRECT(I3146),test))</f>
        <v>87.435552634172723</v>
      </c>
      <c r="E3146" s="5">
        <f ca="1">IF(getQuality(B3146)&lt;4,getOtherMax(B3146,C3146,INDIRECT(J$2),INDIRECT(I3146),test),getMax(B3146,C3146,INDIRECT(J$2),INDIRECT(I3146),test))</f>
        <v>124.85135380491616</v>
      </c>
      <c r="F3146" s="1" t="str">
        <f t="shared" si="199"/>
        <v>50</v>
      </c>
      <c r="G3146" s="1" t="str">
        <f t="shared" si="200"/>
        <v>1</v>
      </c>
      <c r="I3146" s="1" t="str">
        <f t="shared" si="198"/>
        <v>威尔新数值1.06.xlsm!suitPower</v>
      </c>
    </row>
    <row r="3147" spans="1:9" x14ac:dyDescent="0.15">
      <c r="A3147" s="1">
        <v>3146</v>
      </c>
      <c r="B3147" s="1">
        <v>103040300</v>
      </c>
      <c r="C3147" s="1">
        <f t="shared" si="197"/>
        <v>5</v>
      </c>
      <c r="D3147" s="5">
        <f ca="1">IF(getQuality(B3147)&lt;4,getOtherMin(B3147,C3147,INDIRECT(J$2),INDIRECT(I3147),test),getMin(B3147,C3147,INDIRECT(J$2),INDIRECT(I3147),test))</f>
        <v>87.435552634172723</v>
      </c>
      <c r="E3147" s="5">
        <f ca="1">IF(getQuality(B3147)&lt;4,getOtherMax(B3147,C3147,INDIRECT(J$2),INDIRECT(I3147),test),getMax(B3147,C3147,INDIRECT(J$2),INDIRECT(I3147),test))</f>
        <v>124.85135380491616</v>
      </c>
      <c r="F3147" s="1" t="str">
        <f t="shared" si="199"/>
        <v>50</v>
      </c>
      <c r="G3147" s="1" t="str">
        <f t="shared" si="200"/>
        <v/>
      </c>
      <c r="I3147" s="1" t="str">
        <f t="shared" si="198"/>
        <v>威尔新数值1.06.xlsm!suitPower</v>
      </c>
    </row>
    <row r="3148" spans="1:9" x14ac:dyDescent="0.15">
      <c r="A3148" s="1">
        <v>3147</v>
      </c>
      <c r="B3148" s="1">
        <v>103040300</v>
      </c>
      <c r="C3148" s="1">
        <f t="shared" si="197"/>
        <v>7</v>
      </c>
      <c r="D3148" s="5">
        <f ca="1">IF(getQuality(B3148)&lt;4,getOtherMin(B3148,C3148,INDIRECT(J$2),INDIRECT(I3148),test),getMin(B3148,C3148,INDIRECT(J$2),INDIRECT(I3148),test))</f>
        <v>23.222222222222165</v>
      </c>
      <c r="E3148" s="5">
        <f ca="1">IF(getQuality(B3148)&lt;4,getOtherMax(B3148,C3148,INDIRECT(J$2),INDIRECT(I3148),test),getMax(B3148,C3148,INDIRECT(J$2),INDIRECT(I3148),test))</f>
        <v>29.629629629629555</v>
      </c>
      <c r="F3148" s="1" t="str">
        <f t="shared" si="199"/>
        <v>50</v>
      </c>
      <c r="G3148" s="1" t="str">
        <f t="shared" si="200"/>
        <v/>
      </c>
      <c r="I3148" s="1" t="str">
        <f t="shared" si="198"/>
        <v>威尔新数值1.06.xlsm!suitPower</v>
      </c>
    </row>
    <row r="3149" spans="1:9" x14ac:dyDescent="0.15">
      <c r="A3149" s="1">
        <v>3148</v>
      </c>
      <c r="B3149" s="1">
        <v>103040300</v>
      </c>
      <c r="C3149" s="1">
        <f t="shared" si="197"/>
        <v>8</v>
      </c>
      <c r="D3149" s="5">
        <f ca="1">IF(getQuality(B3149)&lt;4,getOtherMin(B3149,C3149,INDIRECT(J$2),INDIRECT(I3149),test),getMin(B3149,C3149,INDIRECT(J$2),INDIRECT(I3149),test))</f>
        <v>51</v>
      </c>
      <c r="E3149" s="5">
        <f ca="1">IF(getQuality(B3149)&lt;4,getOtherMax(B3149,C3149,INDIRECT(J$2),INDIRECT(I3149),test),getMax(B3149,C3149,INDIRECT(J$2),INDIRECT(I3149),test))</f>
        <v>66.666666666666671</v>
      </c>
      <c r="F3149" s="1" t="str">
        <f t="shared" si="199"/>
        <v>50</v>
      </c>
      <c r="G3149" s="1" t="str">
        <f t="shared" si="200"/>
        <v/>
      </c>
      <c r="I3149" s="1" t="str">
        <f t="shared" si="198"/>
        <v>威尔新数值1.06.xlsm!suitPower</v>
      </c>
    </row>
    <row r="3150" spans="1:9" x14ac:dyDescent="0.15">
      <c r="A3150" s="1">
        <v>3149</v>
      </c>
      <c r="B3150" s="1">
        <v>103040300</v>
      </c>
      <c r="C3150" s="1">
        <f t="shared" si="197"/>
        <v>9</v>
      </c>
      <c r="D3150" s="5">
        <f ca="1">IF(getQuality(B3150)&lt;4,getOtherMin(B3150,C3150,INDIRECT(J$2),INDIRECT(I3150),test),getMin(B3150,C3150,INDIRECT(J$2),INDIRECT(I3150),test))</f>
        <v>87.435552634172723</v>
      </c>
      <c r="E3150" s="5">
        <f ca="1">IF(getQuality(B3150)&lt;4,getOtherMax(B3150,C3150,INDIRECT(J$2),INDIRECT(I3150),test),getMax(B3150,C3150,INDIRECT(J$2),INDIRECT(I3150),test))</f>
        <v>124.85135380491616</v>
      </c>
      <c r="F3150" s="1" t="str">
        <f t="shared" si="199"/>
        <v>50</v>
      </c>
      <c r="G3150" s="1" t="str">
        <f t="shared" si="200"/>
        <v/>
      </c>
      <c r="I3150" s="1" t="str">
        <f t="shared" si="198"/>
        <v>威尔新数值1.06.xlsm!suitPower</v>
      </c>
    </row>
    <row r="3151" spans="1:9" x14ac:dyDescent="0.15">
      <c r="A3151" s="1">
        <v>3150</v>
      </c>
      <c r="B3151" s="1">
        <v>103040300</v>
      </c>
      <c r="C3151" s="1">
        <f t="shared" si="197"/>
        <v>10</v>
      </c>
      <c r="D3151" s="5">
        <f ca="1">IF(getQuality(B3151)&lt;4,getOtherMin(B3151,C3151,INDIRECT(J$2),INDIRECT(I3151),test),getMin(B3151,C3151,INDIRECT(J$2),INDIRECT(I3151),test))</f>
        <v>87.435552634172723</v>
      </c>
      <c r="E3151" s="5">
        <f ca="1">IF(getQuality(B3151)&lt;4,getOtherMax(B3151,C3151,INDIRECT(J$2),INDIRECT(I3151),test),getMax(B3151,C3151,INDIRECT(J$2),INDIRECT(I3151),test))</f>
        <v>124.85135380491616</v>
      </c>
      <c r="F3151" s="1" t="str">
        <f t="shared" si="199"/>
        <v>50</v>
      </c>
      <c r="G3151" s="1" t="str">
        <f t="shared" si="200"/>
        <v/>
      </c>
      <c r="I3151" s="1" t="str">
        <f t="shared" si="198"/>
        <v>威尔新数值1.06.xlsm!suitPower</v>
      </c>
    </row>
    <row r="3152" spans="1:9" x14ac:dyDescent="0.15">
      <c r="A3152" s="1">
        <v>3151</v>
      </c>
      <c r="B3152" s="1">
        <v>103040300</v>
      </c>
      <c r="C3152" s="1">
        <f t="shared" si="197"/>
        <v>11</v>
      </c>
      <c r="D3152" s="5">
        <f ca="1">IF(getQuality(B3152)&lt;4,getOtherMin(B3152,C3152,INDIRECT(J$2),INDIRECT(I3152),test),getMin(B3152,C3152,INDIRECT(J$2),INDIRECT(I3152),test))</f>
        <v>87.435552634172723</v>
      </c>
      <c r="E3152" s="5">
        <f ca="1">IF(getQuality(B3152)&lt;4,getOtherMax(B3152,C3152,INDIRECT(J$2),INDIRECT(I3152),test),getMax(B3152,C3152,INDIRECT(J$2),INDIRECT(I3152),test))</f>
        <v>124.85135380491616</v>
      </c>
      <c r="F3152" s="1" t="str">
        <f t="shared" si="199"/>
        <v>50</v>
      </c>
      <c r="G3152" s="1" t="str">
        <f t="shared" si="200"/>
        <v/>
      </c>
      <c r="I3152" s="1" t="str">
        <f t="shared" si="198"/>
        <v>威尔新数值1.06.xlsm!suitPower</v>
      </c>
    </row>
    <row r="3153" spans="1:9" x14ac:dyDescent="0.15">
      <c r="A3153" s="1">
        <v>3152</v>
      </c>
      <c r="B3153" s="1">
        <v>103040300</v>
      </c>
      <c r="C3153" s="1">
        <f t="shared" si="197"/>
        <v>12</v>
      </c>
      <c r="D3153" s="5">
        <f ca="1">IF(getQuality(B3153)&lt;4,getOtherMin(B3153,C3153,INDIRECT(J$2),INDIRECT(I3153),test),getMin(B3153,C3153,INDIRECT(J$2),INDIRECT(I3153),test))</f>
        <v>87.435552634172723</v>
      </c>
      <c r="E3153" s="5">
        <f ca="1">IF(getQuality(B3153)&lt;4,getOtherMax(B3153,C3153,INDIRECT(J$2),INDIRECT(I3153),test),getMax(B3153,C3153,INDIRECT(J$2),INDIRECT(I3153),test))</f>
        <v>124.85135380491616</v>
      </c>
      <c r="F3153" s="1" t="str">
        <f t="shared" si="199"/>
        <v>50</v>
      </c>
      <c r="G3153" s="1" t="str">
        <f t="shared" si="200"/>
        <v/>
      </c>
      <c r="I3153" s="1" t="str">
        <f t="shared" si="198"/>
        <v>威尔新数值1.06.xlsm!suitPower</v>
      </c>
    </row>
    <row r="3154" spans="1:9" x14ac:dyDescent="0.15">
      <c r="A3154" s="1">
        <v>3153</v>
      </c>
      <c r="B3154" s="1">
        <v>103040300</v>
      </c>
      <c r="C3154" s="1">
        <f t="shared" si="197"/>
        <v>13</v>
      </c>
      <c r="D3154" s="5">
        <f ca="1">IF(getQuality(B3154)&lt;4,getOtherMin(B3154,C3154,INDIRECT(J$2),INDIRECT(I3154),test),getMin(B3154,C3154,INDIRECT(J$2),INDIRECT(I3154),test))</f>
        <v>87.435552634172723</v>
      </c>
      <c r="E3154" s="5">
        <f ca="1">IF(getQuality(B3154)&lt;4,getOtherMax(B3154,C3154,INDIRECT(J$2),INDIRECT(I3154),test),getMax(B3154,C3154,INDIRECT(J$2),INDIRECT(I3154),test))</f>
        <v>124.85135380491616</v>
      </c>
      <c r="F3154" s="1" t="str">
        <f t="shared" si="199"/>
        <v>50</v>
      </c>
      <c r="G3154" s="1" t="str">
        <f t="shared" si="200"/>
        <v/>
      </c>
      <c r="I3154" s="1" t="str">
        <f t="shared" si="198"/>
        <v>威尔新数值1.06.xlsm!suitPower</v>
      </c>
    </row>
    <row r="3155" spans="1:9" x14ac:dyDescent="0.15">
      <c r="A3155" s="1">
        <v>3154</v>
      </c>
      <c r="B3155" s="1">
        <v>103040300</v>
      </c>
      <c r="C3155" s="1">
        <f t="shared" si="197"/>
        <v>14</v>
      </c>
      <c r="D3155" s="5">
        <f ca="1">IF(getQuality(B3155)&lt;4,getOtherMin(B3155,C3155,INDIRECT(J$2),INDIRECT(I3155),test),getMin(B3155,C3155,INDIRECT(J$2),INDIRECT(I3155),test))</f>
        <v>87.435552634172723</v>
      </c>
      <c r="E3155" s="5">
        <f ca="1">IF(getQuality(B3155)&lt;4,getOtherMax(B3155,C3155,INDIRECT(J$2),INDIRECT(I3155),test),getMax(B3155,C3155,INDIRECT(J$2),INDIRECT(I3155),test))</f>
        <v>124.85135380491616</v>
      </c>
      <c r="F3155" s="1" t="str">
        <f t="shared" si="199"/>
        <v>50</v>
      </c>
      <c r="G3155" s="1" t="str">
        <f t="shared" si="200"/>
        <v/>
      </c>
      <c r="I3155" s="1" t="str">
        <f t="shared" si="198"/>
        <v>威尔新数值1.06.xlsm!suitPower</v>
      </c>
    </row>
    <row r="3156" spans="1:9" x14ac:dyDescent="0.15">
      <c r="A3156" s="1">
        <v>3155</v>
      </c>
      <c r="B3156" s="1">
        <v>103040300</v>
      </c>
      <c r="C3156" s="1">
        <f t="shared" si="197"/>
        <v>15</v>
      </c>
      <c r="D3156" s="5">
        <f ca="1">IF(getQuality(B3156)&lt;4,getOtherMin(B3156,C3156,INDIRECT(J$2),INDIRECT(I3156),test),getMin(B3156,C3156,INDIRECT(J$2),INDIRECT(I3156),test))</f>
        <v>87.435552634172723</v>
      </c>
      <c r="E3156" s="5">
        <f ca="1">IF(getQuality(B3156)&lt;4,getOtherMax(B3156,C3156,INDIRECT(J$2),INDIRECT(I3156),test),getMax(B3156,C3156,INDIRECT(J$2),INDIRECT(I3156),test))</f>
        <v>124.85135380491616</v>
      </c>
      <c r="F3156" s="1" t="str">
        <f t="shared" si="199"/>
        <v>50</v>
      </c>
      <c r="G3156" s="1" t="str">
        <f t="shared" si="200"/>
        <v/>
      </c>
      <c r="I3156" s="1" t="str">
        <f t="shared" si="198"/>
        <v>威尔新数值1.06.xlsm!suitPower</v>
      </c>
    </row>
    <row r="3157" spans="1:9" x14ac:dyDescent="0.15">
      <c r="A3157" s="1">
        <v>3156</v>
      </c>
      <c r="B3157" s="1">
        <v>103040300</v>
      </c>
      <c r="C3157" s="1">
        <f t="shared" si="197"/>
        <v>101</v>
      </c>
      <c r="D3157" s="5">
        <f ca="1">IF(getQuality(B3157)&lt;4,getOtherMin(B3157,C3157,INDIRECT(J$2),INDIRECT(I3157),test),getMin(B3157,C3157,INDIRECT(J$2),INDIRECT(I3157),test))</f>
        <v>0.1</v>
      </c>
      <c r="E3157" s="5">
        <f ca="1">IF(getQuality(B3157)&lt;4,getOtherMax(B3157,C3157,INDIRECT(J$2),INDIRECT(I3157),test),getMax(B3157,C3157,INDIRECT(J$2),INDIRECT(I3157),test))</f>
        <v>0.13</v>
      </c>
      <c r="F3157" s="1" t="str">
        <f t="shared" si="199"/>
        <v>50</v>
      </c>
      <c r="G3157" s="1" t="str">
        <f t="shared" si="200"/>
        <v/>
      </c>
      <c r="I3157" s="1" t="str">
        <f t="shared" si="198"/>
        <v>威尔新数值1.06.xlsm!circlePer</v>
      </c>
    </row>
    <row r="3158" spans="1:9" x14ac:dyDescent="0.15">
      <c r="A3158" s="1">
        <v>3157</v>
      </c>
      <c r="B3158" s="1">
        <v>103040300</v>
      </c>
      <c r="C3158" s="1">
        <f t="shared" si="197"/>
        <v>102</v>
      </c>
      <c r="D3158" s="5">
        <f ca="1">IF(getQuality(B3158)&lt;4,getOtherMin(B3158,C3158,INDIRECT(J$2),INDIRECT(I3158),test),getMin(B3158,C3158,INDIRECT(J$2),INDIRECT(I3158),test))</f>
        <v>0.9</v>
      </c>
      <c r="E3158" s="5">
        <f ca="1">IF(getQuality(B3158)&lt;4,getOtherMax(B3158,C3158,INDIRECT(J$2),INDIRECT(I3158),test),getMax(B3158,C3158,INDIRECT(J$2),INDIRECT(I3158),test))</f>
        <v>1.2</v>
      </c>
      <c r="F3158" s="1" t="str">
        <f t="shared" si="199"/>
        <v>50</v>
      </c>
      <c r="G3158" s="1" t="str">
        <f t="shared" si="200"/>
        <v/>
      </c>
      <c r="I3158" s="1" t="str">
        <f t="shared" si="198"/>
        <v>威尔新数值1.06.xlsm!circleValue</v>
      </c>
    </row>
    <row r="3159" spans="1:9" x14ac:dyDescent="0.15">
      <c r="A3159" s="1">
        <v>3158</v>
      </c>
      <c r="B3159" s="1">
        <v>103040300</v>
      </c>
      <c r="C3159" s="1">
        <f t="shared" si="197"/>
        <v>103</v>
      </c>
      <c r="D3159" s="5">
        <f ca="1">IF(getQuality(B3159)&lt;4,getOtherMin(B3159,C3159,INDIRECT(J$2),INDIRECT(I3159),test),getMin(B3159,C3159,INDIRECT(J$2),INDIRECT(I3159),test))</f>
        <v>0.1</v>
      </c>
      <c r="E3159" s="5">
        <f ca="1">IF(getQuality(B3159)&lt;4,getOtherMax(B3159,C3159,INDIRECT(J$2),INDIRECT(I3159),test),getMax(B3159,C3159,INDIRECT(J$2),INDIRECT(I3159),test))</f>
        <v>0.13</v>
      </c>
      <c r="F3159" s="1" t="str">
        <f t="shared" si="199"/>
        <v>50</v>
      </c>
      <c r="G3159" s="1" t="str">
        <f t="shared" si="200"/>
        <v/>
      </c>
      <c r="I3159" s="1" t="str">
        <f t="shared" si="198"/>
        <v>威尔新数值1.06.xlsm!otherDamage</v>
      </c>
    </row>
    <row r="3160" spans="1:9" x14ac:dyDescent="0.15">
      <c r="A3160" s="1">
        <v>3159</v>
      </c>
      <c r="B3160" s="1">
        <v>103040300</v>
      </c>
      <c r="C3160" s="1">
        <f t="shared" si="197"/>
        <v>104</v>
      </c>
      <c r="D3160" s="5">
        <f ca="1">IF(getQuality(B3160)&lt;4,getOtherMin(B3160,C3160,INDIRECT(J$2),INDIRECT(I3160),test),getMin(B3160,C3160,INDIRECT(J$2),INDIRECT(I3160),test))</f>
        <v>0.1</v>
      </c>
      <c r="E3160" s="5">
        <f ca="1">IF(getQuality(B3160)&lt;4,getOtherMax(B3160,C3160,INDIRECT(J$2),INDIRECT(I3160),test),getMax(B3160,C3160,INDIRECT(J$2),INDIRECT(I3160),test))</f>
        <v>0.2</v>
      </c>
      <c r="F3160" s="1" t="str">
        <f t="shared" si="199"/>
        <v>50</v>
      </c>
      <c r="G3160" s="1" t="str">
        <f t="shared" si="200"/>
        <v/>
      </c>
      <c r="I3160" s="1" t="str">
        <f t="shared" si="198"/>
        <v>威尔新数值1.06.xlsm!monsterDamage</v>
      </c>
    </row>
    <row r="3161" spans="1:9" x14ac:dyDescent="0.15">
      <c r="A3161" s="1">
        <v>3160</v>
      </c>
      <c r="B3161" s="1">
        <v>103040300</v>
      </c>
      <c r="C3161" s="1">
        <f t="shared" si="197"/>
        <v>105</v>
      </c>
      <c r="D3161" s="5">
        <f ca="1">IF(getQuality(B3161)&lt;4,getOtherMin(B3161,C3161,INDIRECT(J$2),INDIRECT(I3161),test),getMin(B3161,C3161,INDIRECT(J$2),INDIRECT(I3161),test))</f>
        <v>0.1</v>
      </c>
      <c r="E3161" s="5">
        <f ca="1">IF(getQuality(B3161)&lt;4,getOtherMax(B3161,C3161,INDIRECT(J$2),INDIRECT(I3161),test),getMax(B3161,C3161,INDIRECT(J$2),INDIRECT(I3161),test))</f>
        <v>0.2</v>
      </c>
      <c r="F3161" s="1" t="str">
        <f t="shared" si="199"/>
        <v>50</v>
      </c>
      <c r="G3161" s="1" t="str">
        <f t="shared" si="200"/>
        <v/>
      </c>
      <c r="I3161" s="1" t="str">
        <f t="shared" si="198"/>
        <v>威尔新数值1.06.xlsm!monsterDamage</v>
      </c>
    </row>
    <row r="3162" spans="1:9" x14ac:dyDescent="0.15">
      <c r="A3162" s="1">
        <v>3161</v>
      </c>
      <c r="B3162" s="1">
        <v>103040300</v>
      </c>
      <c r="C3162" s="1">
        <f t="shared" si="197"/>
        <v>106</v>
      </c>
      <c r="D3162" s="5">
        <f ca="1">IF(getQuality(B3162)&lt;4,getOtherMin(B3162,C3162,INDIRECT(J$2),INDIRECT(I3162),test),getMin(B3162,C3162,INDIRECT(J$2),INDIRECT(I3162),test))</f>
        <v>0.1</v>
      </c>
      <c r="E3162" s="5">
        <f ca="1">IF(getQuality(B3162)&lt;4,getOtherMax(B3162,C3162,INDIRECT(J$2),INDIRECT(I3162),test),getMax(B3162,C3162,INDIRECT(J$2),INDIRECT(I3162),test))</f>
        <v>0.2</v>
      </c>
      <c r="F3162" s="1" t="str">
        <f t="shared" si="199"/>
        <v>50</v>
      </c>
      <c r="G3162" s="1" t="str">
        <f t="shared" si="200"/>
        <v/>
      </c>
      <c r="I3162" s="1" t="str">
        <f t="shared" si="198"/>
        <v>威尔新数值1.06.xlsm!monsterDamage</v>
      </c>
    </row>
    <row r="3163" spans="1:9" x14ac:dyDescent="0.15">
      <c r="A3163" s="1">
        <v>3162</v>
      </c>
      <c r="B3163" s="1">
        <v>103040300</v>
      </c>
      <c r="C3163" s="1">
        <f t="shared" si="197"/>
        <v>107</v>
      </c>
      <c r="D3163" s="5">
        <f ca="1">IF(getQuality(B3163)&lt;4,getOtherMin(B3163,C3163,INDIRECT(J$2),INDIRECT(I3163),test),getMin(B3163,C3163,INDIRECT(J$2),INDIRECT(I3163),test))</f>
        <v>0.1</v>
      </c>
      <c r="E3163" s="5">
        <f ca="1">IF(getQuality(B3163)&lt;4,getOtherMax(B3163,C3163,INDIRECT(J$2),INDIRECT(I3163),test),getMax(B3163,C3163,INDIRECT(J$2),INDIRECT(I3163),test))</f>
        <v>0.2</v>
      </c>
      <c r="F3163" s="1" t="str">
        <f t="shared" si="199"/>
        <v>50</v>
      </c>
      <c r="G3163" s="1" t="str">
        <f t="shared" si="200"/>
        <v/>
      </c>
      <c r="I3163" s="1" t="str">
        <f t="shared" si="198"/>
        <v>威尔新数值1.06.xlsm!monsterDamage</v>
      </c>
    </row>
    <row r="3164" spans="1:9" x14ac:dyDescent="0.15">
      <c r="A3164" s="1">
        <v>3163</v>
      </c>
      <c r="B3164" s="1">
        <v>103040300</v>
      </c>
      <c r="C3164" s="1">
        <f t="shared" si="197"/>
        <v>108</v>
      </c>
      <c r="D3164" s="5">
        <f ca="1">IF(getQuality(B3164)&lt;4,getOtherMin(B3164,C3164,INDIRECT(J$2),INDIRECT(I3164),test),getMin(B3164,C3164,INDIRECT(J$2),INDIRECT(I3164),test))</f>
        <v>0.1</v>
      </c>
      <c r="E3164" s="5">
        <f ca="1">IF(getQuality(B3164)&lt;4,getOtherMax(B3164,C3164,INDIRECT(J$2),INDIRECT(I3164),test),getMax(B3164,C3164,INDIRECT(J$2),INDIRECT(I3164),test))</f>
        <v>0.2</v>
      </c>
      <c r="F3164" s="1" t="str">
        <f t="shared" si="199"/>
        <v>50</v>
      </c>
      <c r="G3164" s="1" t="str">
        <f t="shared" si="200"/>
        <v/>
      </c>
      <c r="I3164" s="1" t="str">
        <f t="shared" si="198"/>
        <v>威尔新数值1.06.xlsm!monsterDamage</v>
      </c>
    </row>
    <row r="3165" spans="1:9" x14ac:dyDescent="0.15">
      <c r="A3165" s="1">
        <v>3164</v>
      </c>
      <c r="B3165" s="1">
        <v>103050300</v>
      </c>
      <c r="C3165" s="1">
        <f t="shared" si="197"/>
        <v>3</v>
      </c>
      <c r="D3165" s="5">
        <f ca="1">IF(getQuality(B3165)&lt;4,getOtherMin(B3165,C3165,INDIRECT(J$2),INDIRECT(I3165),test),getMin(B3165,C3165,INDIRECT(J$2),INDIRECT(I3165),test))</f>
        <v>125.85135380491616</v>
      </c>
      <c r="E3165" s="5">
        <f ca="1">IF(getQuality(B3165)&lt;4,getOtherMax(B3165,C3165,INDIRECT(J$2),INDIRECT(I3165),test),getMax(B3165,C3165,INDIRECT(J$2),INDIRECT(I3165),test))</f>
        <v>169.16048810980774</v>
      </c>
      <c r="F3165" s="1" t="str">
        <f t="shared" si="199"/>
        <v>50</v>
      </c>
      <c r="G3165" s="1" t="str">
        <f t="shared" si="200"/>
        <v>1</v>
      </c>
      <c r="I3165" s="1" t="str">
        <f t="shared" si="198"/>
        <v>威尔新数值1.06.xlsm!suitPower</v>
      </c>
    </row>
    <row r="3166" spans="1:9" x14ac:dyDescent="0.15">
      <c r="A3166" s="1">
        <v>3165</v>
      </c>
      <c r="B3166" s="1">
        <v>103050300</v>
      </c>
      <c r="C3166" s="1">
        <f t="shared" si="197"/>
        <v>5</v>
      </c>
      <c r="D3166" s="5">
        <f ca="1">IF(getQuality(B3166)&lt;4,getOtherMin(B3166,C3166,INDIRECT(J$2),INDIRECT(I3166),test),getMin(B3166,C3166,INDIRECT(J$2),INDIRECT(I3166),test))</f>
        <v>125.85135380491616</v>
      </c>
      <c r="E3166" s="5">
        <f ca="1">IF(getQuality(B3166)&lt;4,getOtherMax(B3166,C3166,INDIRECT(J$2),INDIRECT(I3166),test),getMax(B3166,C3166,INDIRECT(J$2),INDIRECT(I3166),test))</f>
        <v>169.16048810980774</v>
      </c>
      <c r="F3166" s="1" t="str">
        <f t="shared" si="199"/>
        <v>50</v>
      </c>
      <c r="G3166" s="1" t="str">
        <f t="shared" si="200"/>
        <v/>
      </c>
      <c r="I3166" s="1" t="str">
        <f t="shared" si="198"/>
        <v>威尔新数值1.06.xlsm!suitPower</v>
      </c>
    </row>
    <row r="3167" spans="1:9" x14ac:dyDescent="0.15">
      <c r="A3167" s="1">
        <v>3166</v>
      </c>
      <c r="B3167" s="1">
        <v>103050300</v>
      </c>
      <c r="C3167" s="1">
        <f t="shared" si="197"/>
        <v>7</v>
      </c>
      <c r="D3167" s="5">
        <f ca="1">IF(getQuality(B3167)&lt;4,getOtherMin(B3167,C3167,INDIRECT(J$2),INDIRECT(I3167),test),getMin(B3167,C3167,INDIRECT(J$2),INDIRECT(I3167),test))</f>
        <v>30.629629629629555</v>
      </c>
      <c r="E3167" s="5">
        <f ca="1">IF(getQuality(B3167)&lt;4,getOtherMax(B3167,C3167,INDIRECT(J$2),INDIRECT(I3167),test),getMax(B3167,C3167,INDIRECT(J$2),INDIRECT(I3167),test))</f>
        <v>37.037037037036946</v>
      </c>
      <c r="F3167" s="1" t="str">
        <f t="shared" si="199"/>
        <v>50</v>
      </c>
      <c r="G3167" s="1" t="str">
        <f t="shared" si="200"/>
        <v/>
      </c>
      <c r="I3167" s="1" t="str">
        <f t="shared" si="198"/>
        <v>威尔新数值1.06.xlsm!suitPower</v>
      </c>
    </row>
    <row r="3168" spans="1:9" x14ac:dyDescent="0.15">
      <c r="A3168" s="1">
        <v>3167</v>
      </c>
      <c r="B3168" s="1">
        <v>103050300</v>
      </c>
      <c r="C3168" s="1">
        <f t="shared" si="197"/>
        <v>8</v>
      </c>
      <c r="D3168" s="5">
        <f ca="1">IF(getQuality(B3168)&lt;4,getOtherMin(B3168,C3168,INDIRECT(J$2),INDIRECT(I3168),test),getMin(B3168,C3168,INDIRECT(J$2),INDIRECT(I3168),test))</f>
        <v>67.666666666666671</v>
      </c>
      <c r="E3168" s="5">
        <f ca="1">IF(getQuality(B3168)&lt;4,getOtherMax(B3168,C3168,INDIRECT(J$2),INDIRECT(I3168),test),getMax(B3168,C3168,INDIRECT(J$2),INDIRECT(I3168),test))</f>
        <v>83.333333333333329</v>
      </c>
      <c r="F3168" s="1" t="str">
        <f t="shared" si="199"/>
        <v>50</v>
      </c>
      <c r="G3168" s="1" t="str">
        <f t="shared" si="200"/>
        <v/>
      </c>
      <c r="I3168" s="1" t="str">
        <f t="shared" si="198"/>
        <v>威尔新数值1.06.xlsm!suitPower</v>
      </c>
    </row>
    <row r="3169" spans="1:9" x14ac:dyDescent="0.15">
      <c r="A3169" s="1">
        <v>3168</v>
      </c>
      <c r="B3169" s="1">
        <v>103050300</v>
      </c>
      <c r="C3169" s="1">
        <f t="shared" si="197"/>
        <v>9</v>
      </c>
      <c r="D3169" s="5">
        <f ca="1">IF(getQuality(B3169)&lt;4,getOtherMin(B3169,C3169,INDIRECT(J$2),INDIRECT(I3169),test),getMin(B3169,C3169,INDIRECT(J$2),INDIRECT(I3169),test))</f>
        <v>125.85135380491616</v>
      </c>
      <c r="E3169" s="5">
        <f ca="1">IF(getQuality(B3169)&lt;4,getOtherMax(B3169,C3169,INDIRECT(J$2),INDIRECT(I3169),test),getMax(B3169,C3169,INDIRECT(J$2),INDIRECT(I3169),test))</f>
        <v>169.16048810980774</v>
      </c>
      <c r="F3169" s="1" t="str">
        <f t="shared" si="199"/>
        <v>50</v>
      </c>
      <c r="G3169" s="1" t="str">
        <f t="shared" si="200"/>
        <v/>
      </c>
      <c r="I3169" s="1" t="str">
        <f t="shared" si="198"/>
        <v>威尔新数值1.06.xlsm!suitPower</v>
      </c>
    </row>
    <row r="3170" spans="1:9" x14ac:dyDescent="0.15">
      <c r="A3170" s="1">
        <v>3169</v>
      </c>
      <c r="B3170" s="1">
        <v>103050300</v>
      </c>
      <c r="C3170" s="1">
        <f t="shared" si="197"/>
        <v>10</v>
      </c>
      <c r="D3170" s="5">
        <f ca="1">IF(getQuality(B3170)&lt;4,getOtherMin(B3170,C3170,INDIRECT(J$2),INDIRECT(I3170),test),getMin(B3170,C3170,INDIRECT(J$2),INDIRECT(I3170),test))</f>
        <v>125.85135380491616</v>
      </c>
      <c r="E3170" s="5">
        <f ca="1">IF(getQuality(B3170)&lt;4,getOtherMax(B3170,C3170,INDIRECT(J$2),INDIRECT(I3170),test),getMax(B3170,C3170,INDIRECT(J$2),INDIRECT(I3170),test))</f>
        <v>169.16048810980774</v>
      </c>
      <c r="F3170" s="1" t="str">
        <f t="shared" si="199"/>
        <v>50</v>
      </c>
      <c r="G3170" s="1" t="str">
        <f t="shared" si="200"/>
        <v/>
      </c>
      <c r="I3170" s="1" t="str">
        <f t="shared" si="198"/>
        <v>威尔新数值1.06.xlsm!suitPower</v>
      </c>
    </row>
    <row r="3171" spans="1:9" x14ac:dyDescent="0.15">
      <c r="A3171" s="1">
        <v>3170</v>
      </c>
      <c r="B3171" s="1">
        <v>103050300</v>
      </c>
      <c r="C3171" s="1">
        <f t="shared" si="197"/>
        <v>11</v>
      </c>
      <c r="D3171" s="5">
        <f ca="1">IF(getQuality(B3171)&lt;4,getOtherMin(B3171,C3171,INDIRECT(J$2),INDIRECT(I3171),test),getMin(B3171,C3171,INDIRECT(J$2),INDIRECT(I3171),test))</f>
        <v>125.85135380491616</v>
      </c>
      <c r="E3171" s="5">
        <f ca="1">IF(getQuality(B3171)&lt;4,getOtherMax(B3171,C3171,INDIRECT(J$2),INDIRECT(I3171),test),getMax(B3171,C3171,INDIRECT(J$2),INDIRECT(I3171),test))</f>
        <v>169.16048810980774</v>
      </c>
      <c r="F3171" s="1" t="str">
        <f t="shared" si="199"/>
        <v>50</v>
      </c>
      <c r="G3171" s="1" t="str">
        <f t="shared" si="200"/>
        <v/>
      </c>
      <c r="I3171" s="1" t="str">
        <f t="shared" si="198"/>
        <v>威尔新数值1.06.xlsm!suitPower</v>
      </c>
    </row>
    <row r="3172" spans="1:9" x14ac:dyDescent="0.15">
      <c r="A3172" s="1">
        <v>3171</v>
      </c>
      <c r="B3172" s="1">
        <v>103050300</v>
      </c>
      <c r="C3172" s="1">
        <f t="shared" si="197"/>
        <v>12</v>
      </c>
      <c r="D3172" s="5">
        <f ca="1">IF(getQuality(B3172)&lt;4,getOtherMin(B3172,C3172,INDIRECT(J$2),INDIRECT(I3172),test),getMin(B3172,C3172,INDIRECT(J$2),INDIRECT(I3172),test))</f>
        <v>125.85135380491616</v>
      </c>
      <c r="E3172" s="5">
        <f ca="1">IF(getQuality(B3172)&lt;4,getOtherMax(B3172,C3172,INDIRECT(J$2),INDIRECT(I3172),test),getMax(B3172,C3172,INDIRECT(J$2),INDIRECT(I3172),test))</f>
        <v>169.16048810980774</v>
      </c>
      <c r="F3172" s="1" t="str">
        <f t="shared" si="199"/>
        <v>50</v>
      </c>
      <c r="G3172" s="1" t="str">
        <f t="shared" si="200"/>
        <v/>
      </c>
      <c r="I3172" s="1" t="str">
        <f t="shared" si="198"/>
        <v>威尔新数值1.06.xlsm!suitPower</v>
      </c>
    </row>
    <row r="3173" spans="1:9" x14ac:dyDescent="0.15">
      <c r="A3173" s="1">
        <v>3172</v>
      </c>
      <c r="B3173" s="1">
        <v>103050300</v>
      </c>
      <c r="C3173" s="1">
        <f t="shared" si="197"/>
        <v>13</v>
      </c>
      <c r="D3173" s="5">
        <f ca="1">IF(getQuality(B3173)&lt;4,getOtherMin(B3173,C3173,INDIRECT(J$2),INDIRECT(I3173),test),getMin(B3173,C3173,INDIRECT(J$2),INDIRECT(I3173),test))</f>
        <v>125.85135380491616</v>
      </c>
      <c r="E3173" s="5">
        <f ca="1">IF(getQuality(B3173)&lt;4,getOtherMax(B3173,C3173,INDIRECT(J$2),INDIRECT(I3173),test),getMax(B3173,C3173,INDIRECT(J$2),INDIRECT(I3173),test))</f>
        <v>169.16048810980774</v>
      </c>
      <c r="F3173" s="1" t="str">
        <f t="shared" si="199"/>
        <v>50</v>
      </c>
      <c r="G3173" s="1" t="str">
        <f t="shared" si="200"/>
        <v/>
      </c>
      <c r="I3173" s="1" t="str">
        <f t="shared" si="198"/>
        <v>威尔新数值1.06.xlsm!suitPower</v>
      </c>
    </row>
    <row r="3174" spans="1:9" x14ac:dyDescent="0.15">
      <c r="A3174" s="1">
        <v>3173</v>
      </c>
      <c r="B3174" s="1">
        <v>103050300</v>
      </c>
      <c r="C3174" s="1">
        <f t="shared" si="197"/>
        <v>14</v>
      </c>
      <c r="D3174" s="5">
        <f ca="1">IF(getQuality(B3174)&lt;4,getOtherMin(B3174,C3174,INDIRECT(J$2),INDIRECT(I3174),test),getMin(B3174,C3174,INDIRECT(J$2),INDIRECT(I3174),test))</f>
        <v>125.85135380491616</v>
      </c>
      <c r="E3174" s="5">
        <f ca="1">IF(getQuality(B3174)&lt;4,getOtherMax(B3174,C3174,INDIRECT(J$2),INDIRECT(I3174),test),getMax(B3174,C3174,INDIRECT(J$2),INDIRECT(I3174),test))</f>
        <v>169.16048810980774</v>
      </c>
      <c r="F3174" s="1" t="str">
        <f t="shared" si="199"/>
        <v>50</v>
      </c>
      <c r="G3174" s="1" t="str">
        <f t="shared" si="200"/>
        <v/>
      </c>
      <c r="I3174" s="1" t="str">
        <f t="shared" si="198"/>
        <v>威尔新数值1.06.xlsm!suitPower</v>
      </c>
    </row>
    <row r="3175" spans="1:9" x14ac:dyDescent="0.15">
      <c r="A3175" s="1">
        <v>3174</v>
      </c>
      <c r="B3175" s="1">
        <v>103050300</v>
      </c>
      <c r="C3175" s="1">
        <f t="shared" si="197"/>
        <v>15</v>
      </c>
      <c r="D3175" s="5">
        <f ca="1">IF(getQuality(B3175)&lt;4,getOtherMin(B3175,C3175,INDIRECT(J$2),INDIRECT(I3175),test),getMin(B3175,C3175,INDIRECT(J$2),INDIRECT(I3175),test))</f>
        <v>125.85135380491616</v>
      </c>
      <c r="E3175" s="5">
        <f ca="1">IF(getQuality(B3175)&lt;4,getOtherMax(B3175,C3175,INDIRECT(J$2),INDIRECT(I3175),test),getMax(B3175,C3175,INDIRECT(J$2),INDIRECT(I3175),test))</f>
        <v>169.16048810980774</v>
      </c>
      <c r="F3175" s="1" t="str">
        <f t="shared" si="199"/>
        <v>50</v>
      </c>
      <c r="G3175" s="1" t="str">
        <f t="shared" si="200"/>
        <v/>
      </c>
      <c r="I3175" s="1" t="str">
        <f t="shared" si="198"/>
        <v>威尔新数值1.06.xlsm!suitPower</v>
      </c>
    </row>
    <row r="3176" spans="1:9" x14ac:dyDescent="0.15">
      <c r="A3176" s="1">
        <v>3175</v>
      </c>
      <c r="B3176" s="1">
        <v>103050300</v>
      </c>
      <c r="C3176" s="1">
        <f t="shared" si="197"/>
        <v>101</v>
      </c>
      <c r="D3176" s="5">
        <f ca="1">IF(getQuality(B3176)&lt;4,getOtherMin(B3176,C3176,INDIRECT(J$2),INDIRECT(I3176),test),getMin(B3176,C3176,INDIRECT(J$2),INDIRECT(I3176),test))</f>
        <v>0.11</v>
      </c>
      <c r="E3176" s="5">
        <f ca="1">IF(getQuality(B3176)&lt;4,getOtherMax(B3176,C3176,INDIRECT(J$2),INDIRECT(I3176),test),getMax(B3176,C3176,INDIRECT(J$2),INDIRECT(I3176),test))</f>
        <v>0.14000000000000001</v>
      </c>
      <c r="F3176" s="1" t="str">
        <f t="shared" si="199"/>
        <v>50</v>
      </c>
      <c r="G3176" s="1" t="str">
        <f t="shared" si="200"/>
        <v/>
      </c>
      <c r="I3176" s="1" t="str">
        <f t="shared" si="198"/>
        <v>威尔新数值1.06.xlsm!circlePer</v>
      </c>
    </row>
    <row r="3177" spans="1:9" x14ac:dyDescent="0.15">
      <c r="A3177" s="1">
        <v>3176</v>
      </c>
      <c r="B3177" s="1">
        <v>103050300</v>
      </c>
      <c r="C3177" s="1">
        <f t="shared" si="197"/>
        <v>102</v>
      </c>
      <c r="D3177" s="5">
        <f ca="1">IF(getQuality(B3177)&lt;4,getOtherMin(B3177,C3177,INDIRECT(J$2),INDIRECT(I3177),test),getMin(B3177,C3177,INDIRECT(J$2),INDIRECT(I3177),test))</f>
        <v>1</v>
      </c>
      <c r="E3177" s="5">
        <f ca="1">IF(getQuality(B3177)&lt;4,getOtherMax(B3177,C3177,INDIRECT(J$2),INDIRECT(I3177),test),getMax(B3177,C3177,INDIRECT(J$2),INDIRECT(I3177),test))</f>
        <v>1.3</v>
      </c>
      <c r="F3177" s="1" t="str">
        <f t="shared" si="199"/>
        <v>50</v>
      </c>
      <c r="G3177" s="1" t="str">
        <f t="shared" si="200"/>
        <v/>
      </c>
      <c r="I3177" s="1" t="str">
        <f t="shared" si="198"/>
        <v>威尔新数值1.06.xlsm!circleValue</v>
      </c>
    </row>
    <row r="3178" spans="1:9" x14ac:dyDescent="0.15">
      <c r="A3178" s="1">
        <v>3177</v>
      </c>
      <c r="B3178" s="1">
        <v>103050300</v>
      </c>
      <c r="C3178" s="1">
        <f t="shared" si="197"/>
        <v>103</v>
      </c>
      <c r="D3178" s="5">
        <f ca="1">IF(getQuality(B3178)&lt;4,getOtherMin(B3178,C3178,INDIRECT(J$2),INDIRECT(I3178),test),getMin(B3178,C3178,INDIRECT(J$2),INDIRECT(I3178),test))</f>
        <v>0.11</v>
      </c>
      <c r="E3178" s="5">
        <f ca="1">IF(getQuality(B3178)&lt;4,getOtherMax(B3178,C3178,INDIRECT(J$2),INDIRECT(I3178),test),getMax(B3178,C3178,INDIRECT(J$2),INDIRECT(I3178),test))</f>
        <v>0.14000000000000001</v>
      </c>
      <c r="F3178" s="1" t="str">
        <f t="shared" si="199"/>
        <v>50</v>
      </c>
      <c r="G3178" s="1" t="str">
        <f t="shared" si="200"/>
        <v/>
      </c>
      <c r="I3178" s="1" t="str">
        <f t="shared" si="198"/>
        <v>威尔新数值1.06.xlsm!otherDamage</v>
      </c>
    </row>
    <row r="3179" spans="1:9" x14ac:dyDescent="0.15">
      <c r="A3179" s="1">
        <v>3178</v>
      </c>
      <c r="B3179" s="1">
        <v>103050300</v>
      </c>
      <c r="C3179" s="1">
        <f t="shared" si="197"/>
        <v>104</v>
      </c>
      <c r="D3179" s="5">
        <f ca="1">IF(getQuality(B3179)&lt;4,getOtherMin(B3179,C3179,INDIRECT(J$2),INDIRECT(I3179),test),getMin(B3179,C3179,INDIRECT(J$2),INDIRECT(I3179),test))</f>
        <v>0.11</v>
      </c>
      <c r="E3179" s="5">
        <f ca="1">IF(getQuality(B3179)&lt;4,getOtherMax(B3179,C3179,INDIRECT(J$2),INDIRECT(I3179),test),getMax(B3179,C3179,INDIRECT(J$2),INDIRECT(I3179),test))</f>
        <v>0.22</v>
      </c>
      <c r="F3179" s="1" t="str">
        <f t="shared" si="199"/>
        <v>50</v>
      </c>
      <c r="G3179" s="1" t="str">
        <f t="shared" si="200"/>
        <v/>
      </c>
      <c r="I3179" s="1" t="str">
        <f t="shared" si="198"/>
        <v>威尔新数值1.06.xlsm!monsterDamage</v>
      </c>
    </row>
    <row r="3180" spans="1:9" x14ac:dyDescent="0.15">
      <c r="A3180" s="1">
        <v>3179</v>
      </c>
      <c r="B3180" s="1">
        <v>103050300</v>
      </c>
      <c r="C3180" s="1">
        <f t="shared" si="197"/>
        <v>105</v>
      </c>
      <c r="D3180" s="5">
        <f ca="1">IF(getQuality(B3180)&lt;4,getOtherMin(B3180,C3180,INDIRECT(J$2),INDIRECT(I3180),test),getMin(B3180,C3180,INDIRECT(J$2),INDIRECT(I3180),test))</f>
        <v>0.11</v>
      </c>
      <c r="E3180" s="5">
        <f ca="1">IF(getQuality(B3180)&lt;4,getOtherMax(B3180,C3180,INDIRECT(J$2),INDIRECT(I3180),test),getMax(B3180,C3180,INDIRECT(J$2),INDIRECT(I3180),test))</f>
        <v>0.22</v>
      </c>
      <c r="F3180" s="1" t="str">
        <f t="shared" si="199"/>
        <v>50</v>
      </c>
      <c r="G3180" s="1" t="str">
        <f t="shared" si="200"/>
        <v/>
      </c>
      <c r="I3180" s="1" t="str">
        <f t="shared" si="198"/>
        <v>威尔新数值1.06.xlsm!monsterDamage</v>
      </c>
    </row>
    <row r="3181" spans="1:9" x14ac:dyDescent="0.15">
      <c r="A3181" s="1">
        <v>3180</v>
      </c>
      <c r="B3181" s="1">
        <v>103050300</v>
      </c>
      <c r="C3181" s="1">
        <f t="shared" si="197"/>
        <v>106</v>
      </c>
      <c r="D3181" s="5">
        <f ca="1">IF(getQuality(B3181)&lt;4,getOtherMin(B3181,C3181,INDIRECT(J$2),INDIRECT(I3181),test),getMin(B3181,C3181,INDIRECT(J$2),INDIRECT(I3181),test))</f>
        <v>0.11</v>
      </c>
      <c r="E3181" s="5">
        <f ca="1">IF(getQuality(B3181)&lt;4,getOtherMax(B3181,C3181,INDIRECT(J$2),INDIRECT(I3181),test),getMax(B3181,C3181,INDIRECT(J$2),INDIRECT(I3181),test))</f>
        <v>0.22</v>
      </c>
      <c r="F3181" s="1" t="str">
        <f t="shared" si="199"/>
        <v>50</v>
      </c>
      <c r="G3181" s="1" t="str">
        <f t="shared" si="200"/>
        <v/>
      </c>
      <c r="I3181" s="1" t="str">
        <f t="shared" si="198"/>
        <v>威尔新数值1.06.xlsm!monsterDamage</v>
      </c>
    </row>
    <row r="3182" spans="1:9" x14ac:dyDescent="0.15">
      <c r="A3182" s="1">
        <v>3181</v>
      </c>
      <c r="B3182" s="1">
        <v>103050300</v>
      </c>
      <c r="C3182" s="1">
        <f t="shared" si="197"/>
        <v>107</v>
      </c>
      <c r="D3182" s="5">
        <f ca="1">IF(getQuality(B3182)&lt;4,getOtherMin(B3182,C3182,INDIRECT(J$2),INDIRECT(I3182),test),getMin(B3182,C3182,INDIRECT(J$2),INDIRECT(I3182),test))</f>
        <v>0.11</v>
      </c>
      <c r="E3182" s="5">
        <f ca="1">IF(getQuality(B3182)&lt;4,getOtherMax(B3182,C3182,INDIRECT(J$2),INDIRECT(I3182),test),getMax(B3182,C3182,INDIRECT(J$2),INDIRECT(I3182),test))</f>
        <v>0.22</v>
      </c>
      <c r="F3182" s="1" t="str">
        <f t="shared" si="199"/>
        <v>50</v>
      </c>
      <c r="G3182" s="1" t="str">
        <f t="shared" si="200"/>
        <v/>
      </c>
      <c r="I3182" s="1" t="str">
        <f t="shared" si="198"/>
        <v>威尔新数值1.06.xlsm!monsterDamage</v>
      </c>
    </row>
    <row r="3183" spans="1:9" x14ac:dyDescent="0.15">
      <c r="A3183" s="1">
        <v>3182</v>
      </c>
      <c r="B3183" s="1">
        <v>103050300</v>
      </c>
      <c r="C3183" s="1">
        <f t="shared" si="197"/>
        <v>108</v>
      </c>
      <c r="D3183" s="5">
        <f ca="1">IF(getQuality(B3183)&lt;4,getOtherMin(B3183,C3183,INDIRECT(J$2),INDIRECT(I3183),test),getMin(B3183,C3183,INDIRECT(J$2),INDIRECT(I3183),test))</f>
        <v>0.11</v>
      </c>
      <c r="E3183" s="5">
        <f ca="1">IF(getQuality(B3183)&lt;4,getOtherMax(B3183,C3183,INDIRECT(J$2),INDIRECT(I3183),test),getMax(B3183,C3183,INDIRECT(J$2),INDIRECT(I3183),test))</f>
        <v>0.22</v>
      </c>
      <c r="F3183" s="1" t="str">
        <f t="shared" si="199"/>
        <v>50</v>
      </c>
      <c r="G3183" s="1" t="str">
        <f t="shared" si="200"/>
        <v/>
      </c>
      <c r="I3183" s="1" t="str">
        <f t="shared" si="198"/>
        <v>威尔新数值1.06.xlsm!monsterDamage</v>
      </c>
    </row>
    <row r="3184" spans="1:9" x14ac:dyDescent="0.15">
      <c r="A3184" s="1">
        <v>3183</v>
      </c>
      <c r="B3184" s="1">
        <v>103060300</v>
      </c>
      <c r="C3184" s="1">
        <f t="shared" si="197"/>
        <v>3</v>
      </c>
      <c r="D3184" s="5">
        <f ca="1">IF(getQuality(B3184)&lt;4,getOtherMin(B3184,C3184,INDIRECT(J$2),INDIRECT(I3184),test),getMin(B3184,C3184,INDIRECT(J$2),INDIRECT(I3184),test))</f>
        <v>170.16048810980774</v>
      </c>
      <c r="E3184" s="5">
        <f ca="1">IF(getQuality(B3184)&lt;4,getOtherMax(B3184,C3184,INDIRECT(J$2),INDIRECT(I3184),test),getMax(B3184,C3184,INDIRECT(J$2),INDIRECT(I3184),test))</f>
        <v>217.39851117079806</v>
      </c>
      <c r="F3184" s="1" t="str">
        <f t="shared" si="199"/>
        <v>50</v>
      </c>
      <c r="G3184" s="1" t="str">
        <f t="shared" si="200"/>
        <v>1</v>
      </c>
      <c r="I3184" s="1" t="str">
        <f t="shared" si="198"/>
        <v>威尔新数值1.06.xlsm!suitPower</v>
      </c>
    </row>
    <row r="3185" spans="1:9" x14ac:dyDescent="0.15">
      <c r="A3185" s="1">
        <v>3184</v>
      </c>
      <c r="B3185" s="1">
        <v>103060300</v>
      </c>
      <c r="C3185" s="1">
        <f t="shared" si="197"/>
        <v>5</v>
      </c>
      <c r="D3185" s="5">
        <f ca="1">IF(getQuality(B3185)&lt;4,getOtherMin(B3185,C3185,INDIRECT(J$2),INDIRECT(I3185),test),getMin(B3185,C3185,INDIRECT(J$2),INDIRECT(I3185),test))</f>
        <v>170.16048810980774</v>
      </c>
      <c r="E3185" s="5">
        <f ca="1">IF(getQuality(B3185)&lt;4,getOtherMax(B3185,C3185,INDIRECT(J$2),INDIRECT(I3185),test),getMax(B3185,C3185,INDIRECT(J$2),INDIRECT(I3185),test))</f>
        <v>217.39851117079806</v>
      </c>
      <c r="F3185" s="1" t="str">
        <f t="shared" si="199"/>
        <v>50</v>
      </c>
      <c r="G3185" s="1" t="str">
        <f t="shared" si="200"/>
        <v/>
      </c>
      <c r="I3185" s="1" t="str">
        <f t="shared" si="198"/>
        <v>威尔新数值1.06.xlsm!suitPower</v>
      </c>
    </row>
    <row r="3186" spans="1:9" x14ac:dyDescent="0.15">
      <c r="A3186" s="1">
        <v>3185</v>
      </c>
      <c r="B3186" s="1">
        <v>103060300</v>
      </c>
      <c r="C3186" s="1">
        <f t="shared" si="197"/>
        <v>7</v>
      </c>
      <c r="D3186" s="5">
        <f ca="1">IF(getQuality(B3186)&lt;4,getOtherMin(B3186,C3186,INDIRECT(J$2),INDIRECT(I3186),test),getMin(B3186,C3186,INDIRECT(J$2),INDIRECT(I3186),test))</f>
        <v>38.037037037036946</v>
      </c>
      <c r="E3186" s="5">
        <f ca="1">IF(getQuality(B3186)&lt;4,getOtherMax(B3186,C3186,INDIRECT(J$2),INDIRECT(I3186),test),getMax(B3186,C3186,INDIRECT(J$2),INDIRECT(I3186),test))</f>
        <v>44.444444444444329</v>
      </c>
      <c r="F3186" s="1" t="str">
        <f t="shared" si="199"/>
        <v>50</v>
      </c>
      <c r="G3186" s="1" t="str">
        <f t="shared" si="200"/>
        <v/>
      </c>
      <c r="I3186" s="1" t="str">
        <f t="shared" si="198"/>
        <v>威尔新数值1.06.xlsm!suitPower</v>
      </c>
    </row>
    <row r="3187" spans="1:9" x14ac:dyDescent="0.15">
      <c r="A3187" s="1">
        <v>3186</v>
      </c>
      <c r="B3187" s="1">
        <v>103060300</v>
      </c>
      <c r="C3187" s="1">
        <f t="shared" si="197"/>
        <v>8</v>
      </c>
      <c r="D3187" s="5">
        <f ca="1">IF(getQuality(B3187)&lt;4,getOtherMin(B3187,C3187,INDIRECT(J$2),INDIRECT(I3187),test),getMin(B3187,C3187,INDIRECT(J$2),INDIRECT(I3187),test))</f>
        <v>84.333333333333329</v>
      </c>
      <c r="E3187" s="5">
        <f ca="1">IF(getQuality(B3187)&lt;4,getOtherMax(B3187,C3187,INDIRECT(J$2),INDIRECT(I3187),test),getMax(B3187,C3187,INDIRECT(J$2),INDIRECT(I3187),test))</f>
        <v>100</v>
      </c>
      <c r="F3187" s="1" t="str">
        <f t="shared" si="199"/>
        <v>50</v>
      </c>
      <c r="G3187" s="1" t="str">
        <f t="shared" si="200"/>
        <v/>
      </c>
      <c r="I3187" s="1" t="str">
        <f t="shared" si="198"/>
        <v>威尔新数值1.06.xlsm!suitPower</v>
      </c>
    </row>
    <row r="3188" spans="1:9" x14ac:dyDescent="0.15">
      <c r="A3188" s="1">
        <v>3187</v>
      </c>
      <c r="B3188" s="1">
        <v>103060300</v>
      </c>
      <c r="C3188" s="1">
        <f t="shared" si="197"/>
        <v>9</v>
      </c>
      <c r="D3188" s="5">
        <f ca="1">IF(getQuality(B3188)&lt;4,getOtherMin(B3188,C3188,INDIRECT(J$2),INDIRECT(I3188),test),getMin(B3188,C3188,INDIRECT(J$2),INDIRECT(I3188),test))</f>
        <v>170.16048810980774</v>
      </c>
      <c r="E3188" s="5">
        <f ca="1">IF(getQuality(B3188)&lt;4,getOtherMax(B3188,C3188,INDIRECT(J$2),INDIRECT(I3188),test),getMax(B3188,C3188,INDIRECT(J$2),INDIRECT(I3188),test))</f>
        <v>217.39851117079806</v>
      </c>
      <c r="F3188" s="1" t="str">
        <f t="shared" si="199"/>
        <v>50</v>
      </c>
      <c r="G3188" s="1" t="str">
        <f t="shared" si="200"/>
        <v/>
      </c>
      <c r="I3188" s="1" t="str">
        <f t="shared" si="198"/>
        <v>威尔新数值1.06.xlsm!suitPower</v>
      </c>
    </row>
    <row r="3189" spans="1:9" x14ac:dyDescent="0.15">
      <c r="A3189" s="1">
        <v>3188</v>
      </c>
      <c r="B3189" s="1">
        <v>103060300</v>
      </c>
      <c r="C3189" s="1">
        <f t="shared" si="197"/>
        <v>10</v>
      </c>
      <c r="D3189" s="5">
        <f ca="1">IF(getQuality(B3189)&lt;4,getOtherMin(B3189,C3189,INDIRECT(J$2),INDIRECT(I3189),test),getMin(B3189,C3189,INDIRECT(J$2),INDIRECT(I3189),test))</f>
        <v>170.16048810980774</v>
      </c>
      <c r="E3189" s="5">
        <f ca="1">IF(getQuality(B3189)&lt;4,getOtherMax(B3189,C3189,INDIRECT(J$2),INDIRECT(I3189),test),getMax(B3189,C3189,INDIRECT(J$2),INDIRECT(I3189),test))</f>
        <v>217.39851117079806</v>
      </c>
      <c r="F3189" s="1" t="str">
        <f t="shared" si="199"/>
        <v>50</v>
      </c>
      <c r="G3189" s="1" t="str">
        <f t="shared" si="200"/>
        <v/>
      </c>
      <c r="I3189" s="1" t="str">
        <f t="shared" si="198"/>
        <v>威尔新数值1.06.xlsm!suitPower</v>
      </c>
    </row>
    <row r="3190" spans="1:9" x14ac:dyDescent="0.15">
      <c r="A3190" s="1">
        <v>3189</v>
      </c>
      <c r="B3190" s="1">
        <v>103060300</v>
      </c>
      <c r="C3190" s="1">
        <f t="shared" si="197"/>
        <v>11</v>
      </c>
      <c r="D3190" s="5">
        <f ca="1">IF(getQuality(B3190)&lt;4,getOtherMin(B3190,C3190,INDIRECT(J$2),INDIRECT(I3190),test),getMin(B3190,C3190,INDIRECT(J$2),INDIRECT(I3190),test))</f>
        <v>170.16048810980774</v>
      </c>
      <c r="E3190" s="5">
        <f ca="1">IF(getQuality(B3190)&lt;4,getOtherMax(B3190,C3190,INDIRECT(J$2),INDIRECT(I3190),test),getMax(B3190,C3190,INDIRECT(J$2),INDIRECT(I3190),test))</f>
        <v>217.39851117079806</v>
      </c>
      <c r="F3190" s="1" t="str">
        <f t="shared" si="199"/>
        <v>50</v>
      </c>
      <c r="G3190" s="1" t="str">
        <f t="shared" si="200"/>
        <v/>
      </c>
      <c r="I3190" s="1" t="str">
        <f t="shared" si="198"/>
        <v>威尔新数值1.06.xlsm!suitPower</v>
      </c>
    </row>
    <row r="3191" spans="1:9" x14ac:dyDescent="0.15">
      <c r="A3191" s="1">
        <v>3190</v>
      </c>
      <c r="B3191" s="1">
        <v>103060300</v>
      </c>
      <c r="C3191" s="1">
        <f t="shared" si="197"/>
        <v>12</v>
      </c>
      <c r="D3191" s="5">
        <f ca="1">IF(getQuality(B3191)&lt;4,getOtherMin(B3191,C3191,INDIRECT(J$2),INDIRECT(I3191),test),getMin(B3191,C3191,INDIRECT(J$2),INDIRECT(I3191),test))</f>
        <v>170.16048810980774</v>
      </c>
      <c r="E3191" s="5">
        <f ca="1">IF(getQuality(B3191)&lt;4,getOtherMax(B3191,C3191,INDIRECT(J$2),INDIRECT(I3191),test),getMax(B3191,C3191,INDIRECT(J$2),INDIRECT(I3191),test))</f>
        <v>217.39851117079806</v>
      </c>
      <c r="F3191" s="1" t="str">
        <f t="shared" si="199"/>
        <v>50</v>
      </c>
      <c r="G3191" s="1" t="str">
        <f t="shared" si="200"/>
        <v/>
      </c>
      <c r="I3191" s="1" t="str">
        <f t="shared" si="198"/>
        <v>威尔新数值1.06.xlsm!suitPower</v>
      </c>
    </row>
    <row r="3192" spans="1:9" x14ac:dyDescent="0.15">
      <c r="A3192" s="1">
        <v>3191</v>
      </c>
      <c r="B3192" s="1">
        <v>103060300</v>
      </c>
      <c r="C3192" s="1">
        <f t="shared" si="197"/>
        <v>13</v>
      </c>
      <c r="D3192" s="5">
        <f ca="1">IF(getQuality(B3192)&lt;4,getOtherMin(B3192,C3192,INDIRECT(J$2),INDIRECT(I3192),test),getMin(B3192,C3192,INDIRECT(J$2),INDIRECT(I3192),test))</f>
        <v>170.16048810980774</v>
      </c>
      <c r="E3192" s="5">
        <f ca="1">IF(getQuality(B3192)&lt;4,getOtherMax(B3192,C3192,INDIRECT(J$2),INDIRECT(I3192),test),getMax(B3192,C3192,INDIRECT(J$2),INDIRECT(I3192),test))</f>
        <v>217.39851117079806</v>
      </c>
      <c r="F3192" s="1" t="str">
        <f t="shared" si="199"/>
        <v>50</v>
      </c>
      <c r="G3192" s="1" t="str">
        <f t="shared" si="200"/>
        <v/>
      </c>
      <c r="I3192" s="1" t="str">
        <f t="shared" si="198"/>
        <v>威尔新数值1.06.xlsm!suitPower</v>
      </c>
    </row>
    <row r="3193" spans="1:9" x14ac:dyDescent="0.15">
      <c r="A3193" s="1">
        <v>3192</v>
      </c>
      <c r="B3193" s="1">
        <v>103060300</v>
      </c>
      <c r="C3193" s="1">
        <f t="shared" si="197"/>
        <v>14</v>
      </c>
      <c r="D3193" s="5">
        <f ca="1">IF(getQuality(B3193)&lt;4,getOtherMin(B3193,C3193,INDIRECT(J$2),INDIRECT(I3193),test),getMin(B3193,C3193,INDIRECT(J$2),INDIRECT(I3193),test))</f>
        <v>170.16048810980774</v>
      </c>
      <c r="E3193" s="5">
        <f ca="1">IF(getQuality(B3193)&lt;4,getOtherMax(B3193,C3193,INDIRECT(J$2),INDIRECT(I3193),test),getMax(B3193,C3193,INDIRECT(J$2),INDIRECT(I3193),test))</f>
        <v>217.39851117079806</v>
      </c>
      <c r="F3193" s="1" t="str">
        <f t="shared" si="199"/>
        <v>50</v>
      </c>
      <c r="G3193" s="1" t="str">
        <f t="shared" si="200"/>
        <v/>
      </c>
      <c r="I3193" s="1" t="str">
        <f t="shared" si="198"/>
        <v>威尔新数值1.06.xlsm!suitPower</v>
      </c>
    </row>
    <row r="3194" spans="1:9" x14ac:dyDescent="0.15">
      <c r="A3194" s="1">
        <v>3193</v>
      </c>
      <c r="B3194" s="1">
        <v>103060300</v>
      </c>
      <c r="C3194" s="1">
        <f t="shared" si="197"/>
        <v>15</v>
      </c>
      <c r="D3194" s="5">
        <f ca="1">IF(getQuality(B3194)&lt;4,getOtherMin(B3194,C3194,INDIRECT(J$2),INDIRECT(I3194),test),getMin(B3194,C3194,INDIRECT(J$2),INDIRECT(I3194),test))</f>
        <v>170.16048810980774</v>
      </c>
      <c r="E3194" s="5">
        <f ca="1">IF(getQuality(B3194)&lt;4,getOtherMax(B3194,C3194,INDIRECT(J$2),INDIRECT(I3194),test),getMax(B3194,C3194,INDIRECT(J$2),INDIRECT(I3194),test))</f>
        <v>217.39851117079806</v>
      </c>
      <c r="F3194" s="1" t="str">
        <f t="shared" si="199"/>
        <v>50</v>
      </c>
      <c r="G3194" s="1" t="str">
        <f t="shared" si="200"/>
        <v/>
      </c>
      <c r="I3194" s="1" t="str">
        <f t="shared" si="198"/>
        <v>威尔新数值1.06.xlsm!suitPower</v>
      </c>
    </row>
    <row r="3195" spans="1:9" x14ac:dyDescent="0.15">
      <c r="A3195" s="1">
        <v>3194</v>
      </c>
      <c r="B3195" s="1">
        <v>103060300</v>
      </c>
      <c r="C3195" s="1">
        <f t="shared" si="197"/>
        <v>101</v>
      </c>
      <c r="D3195" s="5">
        <f ca="1">IF(getQuality(B3195)&lt;4,getOtherMin(B3195,C3195,INDIRECT(J$2),INDIRECT(I3195),test),getMin(B3195,C3195,INDIRECT(J$2),INDIRECT(I3195),test))</f>
        <v>0.12</v>
      </c>
      <c r="E3195" s="5">
        <f ca="1">IF(getQuality(B3195)&lt;4,getOtherMax(B3195,C3195,INDIRECT(J$2),INDIRECT(I3195),test),getMax(B3195,C3195,INDIRECT(J$2),INDIRECT(I3195),test))</f>
        <v>0.15</v>
      </c>
      <c r="F3195" s="1" t="str">
        <f t="shared" si="199"/>
        <v>50</v>
      </c>
      <c r="G3195" s="1" t="str">
        <f t="shared" si="200"/>
        <v/>
      </c>
      <c r="I3195" s="1" t="str">
        <f t="shared" si="198"/>
        <v>威尔新数值1.06.xlsm!circlePer</v>
      </c>
    </row>
    <row r="3196" spans="1:9" x14ac:dyDescent="0.15">
      <c r="A3196" s="1">
        <v>3195</v>
      </c>
      <c r="B3196" s="1">
        <v>103060300</v>
      </c>
      <c r="C3196" s="1">
        <f t="shared" ref="C3196:C3259" si="201">C721</f>
        <v>102</v>
      </c>
      <c r="D3196" s="5">
        <f ca="1">IF(getQuality(B3196)&lt;4,getOtherMin(B3196,C3196,INDIRECT(J$2),INDIRECT(I3196),test),getMin(B3196,C3196,INDIRECT(J$2),INDIRECT(I3196),test))</f>
        <v>1.1000000000000001</v>
      </c>
      <c r="E3196" s="5">
        <f ca="1">IF(getQuality(B3196)&lt;4,getOtherMax(B3196,C3196,INDIRECT(J$2),INDIRECT(I3196),test),getMax(B3196,C3196,INDIRECT(J$2),INDIRECT(I3196),test))</f>
        <v>1.4</v>
      </c>
      <c r="F3196" s="1" t="str">
        <f t="shared" si="199"/>
        <v>50</v>
      </c>
      <c r="G3196" s="1" t="str">
        <f t="shared" si="200"/>
        <v/>
      </c>
      <c r="I3196" s="1" t="str">
        <f t="shared" si="198"/>
        <v>威尔新数值1.06.xlsm!circleValue</v>
      </c>
    </row>
    <row r="3197" spans="1:9" x14ac:dyDescent="0.15">
      <c r="A3197" s="1">
        <v>3196</v>
      </c>
      <c r="B3197" s="1">
        <v>103060300</v>
      </c>
      <c r="C3197" s="1">
        <f t="shared" si="201"/>
        <v>103</v>
      </c>
      <c r="D3197" s="5">
        <f ca="1">IF(getQuality(B3197)&lt;4,getOtherMin(B3197,C3197,INDIRECT(J$2),INDIRECT(I3197),test),getMin(B3197,C3197,INDIRECT(J$2),INDIRECT(I3197),test))</f>
        <v>0.12</v>
      </c>
      <c r="E3197" s="5">
        <f ca="1">IF(getQuality(B3197)&lt;4,getOtherMax(B3197,C3197,INDIRECT(J$2),INDIRECT(I3197),test),getMax(B3197,C3197,INDIRECT(J$2),INDIRECT(I3197),test))</f>
        <v>0.15</v>
      </c>
      <c r="F3197" s="1" t="str">
        <f t="shared" si="199"/>
        <v>50</v>
      </c>
      <c r="G3197" s="1" t="str">
        <f t="shared" si="200"/>
        <v/>
      </c>
      <c r="I3197" s="1" t="str">
        <f t="shared" si="198"/>
        <v>威尔新数值1.06.xlsm!otherDamage</v>
      </c>
    </row>
    <row r="3198" spans="1:9" x14ac:dyDescent="0.15">
      <c r="A3198" s="1">
        <v>3197</v>
      </c>
      <c r="B3198" s="1">
        <v>103060300</v>
      </c>
      <c r="C3198" s="1">
        <f t="shared" si="201"/>
        <v>104</v>
      </c>
      <c r="D3198" s="5">
        <f ca="1">IF(getQuality(B3198)&lt;4,getOtherMin(B3198,C3198,INDIRECT(J$2),INDIRECT(I3198),test),getMin(B3198,C3198,INDIRECT(J$2),INDIRECT(I3198),test))</f>
        <v>0.12</v>
      </c>
      <c r="E3198" s="5">
        <f ca="1">IF(getQuality(B3198)&lt;4,getOtherMax(B3198,C3198,INDIRECT(J$2),INDIRECT(I3198),test),getMax(B3198,C3198,INDIRECT(J$2),INDIRECT(I3198),test))</f>
        <v>0.24</v>
      </c>
      <c r="F3198" s="1" t="str">
        <f t="shared" si="199"/>
        <v>50</v>
      </c>
      <c r="G3198" s="1" t="str">
        <f t="shared" si="200"/>
        <v/>
      </c>
      <c r="I3198" s="1" t="str">
        <f t="shared" si="198"/>
        <v>威尔新数值1.06.xlsm!monsterDamage</v>
      </c>
    </row>
    <row r="3199" spans="1:9" x14ac:dyDescent="0.15">
      <c r="A3199" s="1">
        <v>3198</v>
      </c>
      <c r="B3199" s="1">
        <v>103060300</v>
      </c>
      <c r="C3199" s="1">
        <f t="shared" si="201"/>
        <v>105</v>
      </c>
      <c r="D3199" s="5">
        <f ca="1">IF(getQuality(B3199)&lt;4,getOtherMin(B3199,C3199,INDIRECT(J$2),INDIRECT(I3199),test),getMin(B3199,C3199,INDIRECT(J$2),INDIRECT(I3199),test))</f>
        <v>0.12</v>
      </c>
      <c r="E3199" s="5">
        <f ca="1">IF(getQuality(B3199)&lt;4,getOtherMax(B3199,C3199,INDIRECT(J$2),INDIRECT(I3199),test),getMax(B3199,C3199,INDIRECT(J$2),INDIRECT(I3199),test))</f>
        <v>0.24</v>
      </c>
      <c r="F3199" s="1" t="str">
        <f t="shared" si="199"/>
        <v>50</v>
      </c>
      <c r="G3199" s="1" t="str">
        <f t="shared" si="200"/>
        <v/>
      </c>
      <c r="I3199" s="1" t="str">
        <f t="shared" si="198"/>
        <v>威尔新数值1.06.xlsm!monsterDamage</v>
      </c>
    </row>
    <row r="3200" spans="1:9" x14ac:dyDescent="0.15">
      <c r="A3200" s="1">
        <v>3199</v>
      </c>
      <c r="B3200" s="1">
        <v>103060300</v>
      </c>
      <c r="C3200" s="1">
        <f t="shared" si="201"/>
        <v>106</v>
      </c>
      <c r="D3200" s="5">
        <f ca="1">IF(getQuality(B3200)&lt;4,getOtherMin(B3200,C3200,INDIRECT(J$2),INDIRECT(I3200),test),getMin(B3200,C3200,INDIRECT(J$2),INDIRECT(I3200),test))</f>
        <v>0.12</v>
      </c>
      <c r="E3200" s="5">
        <f ca="1">IF(getQuality(B3200)&lt;4,getOtherMax(B3200,C3200,INDIRECT(J$2),INDIRECT(I3200),test),getMax(B3200,C3200,INDIRECT(J$2),INDIRECT(I3200),test))</f>
        <v>0.24</v>
      </c>
      <c r="F3200" s="1" t="str">
        <f t="shared" si="199"/>
        <v>50</v>
      </c>
      <c r="G3200" s="1" t="str">
        <f t="shared" si="200"/>
        <v/>
      </c>
      <c r="I3200" s="1" t="str">
        <f t="shared" si="198"/>
        <v>威尔新数值1.06.xlsm!monsterDamage</v>
      </c>
    </row>
    <row r="3201" spans="1:9" x14ac:dyDescent="0.15">
      <c r="A3201" s="1">
        <v>3200</v>
      </c>
      <c r="B3201" s="1">
        <v>103060300</v>
      </c>
      <c r="C3201" s="1">
        <f t="shared" si="201"/>
        <v>107</v>
      </c>
      <c r="D3201" s="5">
        <f ca="1">IF(getQuality(B3201)&lt;4,getOtherMin(B3201,C3201,INDIRECT(J$2),INDIRECT(I3201),test),getMin(B3201,C3201,INDIRECT(J$2),INDIRECT(I3201),test))</f>
        <v>0.12</v>
      </c>
      <c r="E3201" s="5">
        <f ca="1">IF(getQuality(B3201)&lt;4,getOtherMax(B3201,C3201,INDIRECT(J$2),INDIRECT(I3201),test),getMax(B3201,C3201,INDIRECT(J$2),INDIRECT(I3201),test))</f>
        <v>0.24</v>
      </c>
      <c r="F3201" s="1" t="str">
        <f t="shared" si="199"/>
        <v>50</v>
      </c>
      <c r="G3201" s="1" t="str">
        <f t="shared" si="200"/>
        <v/>
      </c>
      <c r="I3201" s="1" t="str">
        <f t="shared" si="198"/>
        <v>威尔新数值1.06.xlsm!monsterDamage</v>
      </c>
    </row>
    <row r="3202" spans="1:9" x14ac:dyDescent="0.15">
      <c r="A3202" s="1">
        <v>3201</v>
      </c>
      <c r="B3202" s="1">
        <v>103060300</v>
      </c>
      <c r="C3202" s="1">
        <f t="shared" si="201"/>
        <v>108</v>
      </c>
      <c r="D3202" s="5">
        <f ca="1">IF(getQuality(B3202)&lt;4,getOtherMin(B3202,C3202,INDIRECT(J$2),INDIRECT(I3202),test),getMin(B3202,C3202,INDIRECT(J$2),INDIRECT(I3202),test))</f>
        <v>0.12</v>
      </c>
      <c r="E3202" s="5">
        <f ca="1">IF(getQuality(B3202)&lt;4,getOtherMax(B3202,C3202,INDIRECT(J$2),INDIRECT(I3202),test),getMax(B3202,C3202,INDIRECT(J$2),INDIRECT(I3202),test))</f>
        <v>0.24</v>
      </c>
      <c r="F3202" s="1" t="str">
        <f t="shared" si="199"/>
        <v>50</v>
      </c>
      <c r="G3202" s="1" t="str">
        <f t="shared" si="200"/>
        <v/>
      </c>
      <c r="I3202" s="1" t="str">
        <f t="shared" ref="I3202:I3265" si="202">IF(C3202&lt;100,VLOOKUP(C3202,test,3,FALSE),VLOOKUP(C3202,test1,3,FALSE))</f>
        <v>威尔新数值1.06.xlsm!monsterDamage</v>
      </c>
    </row>
    <row r="3203" spans="1:9" x14ac:dyDescent="0.15">
      <c r="A3203" s="1">
        <v>3202</v>
      </c>
      <c r="B3203" s="1">
        <v>103070300</v>
      </c>
      <c r="C3203" s="1">
        <f t="shared" si="201"/>
        <v>3</v>
      </c>
      <c r="D3203" s="5">
        <f ca="1">IF(getQuality(B3203)&lt;4,getOtherMin(B3203,C3203,INDIRECT(J$2),INDIRECT(I3203),test),getMin(B3203,C3203,INDIRECT(J$2),INDIRECT(I3203),test))</f>
        <v>218.39851117079806</v>
      </c>
      <c r="E3203" s="5">
        <f ca="1">IF(getQuality(B3203)&lt;4,getOtherMax(B3203,C3203,INDIRECT(J$2),INDIRECT(I3203),test),getMax(B3203,C3203,INDIRECT(J$2),INDIRECT(I3203),test))</f>
        <v>270.43850937813136</v>
      </c>
      <c r="F3203" s="1" t="str">
        <f t="shared" ref="F3203:F3266" si="203">getper(B3203,C3203)</f>
        <v>50</v>
      </c>
      <c r="G3203" s="1" t="str">
        <f t="shared" ref="G3203:G3266" si="204">getMust(B3203,C3203)</f>
        <v>1</v>
      </c>
      <c r="I3203" s="1" t="str">
        <f t="shared" si="202"/>
        <v>威尔新数值1.06.xlsm!suitPower</v>
      </c>
    </row>
    <row r="3204" spans="1:9" x14ac:dyDescent="0.15">
      <c r="A3204" s="1">
        <v>3203</v>
      </c>
      <c r="B3204" s="1">
        <v>103070300</v>
      </c>
      <c r="C3204" s="1">
        <f t="shared" si="201"/>
        <v>5</v>
      </c>
      <c r="D3204" s="5">
        <f ca="1">IF(getQuality(B3204)&lt;4,getOtherMin(B3204,C3204,INDIRECT(J$2),INDIRECT(I3204),test),getMin(B3204,C3204,INDIRECT(J$2),INDIRECT(I3204),test))</f>
        <v>218.39851117079806</v>
      </c>
      <c r="E3204" s="5">
        <f ca="1">IF(getQuality(B3204)&lt;4,getOtherMax(B3204,C3204,INDIRECT(J$2),INDIRECT(I3204),test),getMax(B3204,C3204,INDIRECT(J$2),INDIRECT(I3204),test))</f>
        <v>270.43850937813136</v>
      </c>
      <c r="F3204" s="1" t="str">
        <f t="shared" si="203"/>
        <v>50</v>
      </c>
      <c r="G3204" s="1" t="str">
        <f t="shared" si="204"/>
        <v/>
      </c>
      <c r="I3204" s="1" t="str">
        <f t="shared" si="202"/>
        <v>威尔新数值1.06.xlsm!suitPower</v>
      </c>
    </row>
    <row r="3205" spans="1:9" x14ac:dyDescent="0.15">
      <c r="A3205" s="1">
        <v>3204</v>
      </c>
      <c r="B3205" s="1">
        <v>103070300</v>
      </c>
      <c r="C3205" s="1">
        <f t="shared" si="201"/>
        <v>7</v>
      </c>
      <c r="D3205" s="5">
        <f ca="1">IF(getQuality(B3205)&lt;4,getOtherMin(B3205,C3205,INDIRECT(J$2),INDIRECT(I3205),test),getMin(B3205,C3205,INDIRECT(J$2),INDIRECT(I3205),test))</f>
        <v>45.444444444444329</v>
      </c>
      <c r="E3205" s="5">
        <f ca="1">IF(getQuality(B3205)&lt;4,getOtherMax(B3205,C3205,INDIRECT(J$2),INDIRECT(I3205),test),getMax(B3205,C3205,INDIRECT(J$2),INDIRECT(I3205),test))</f>
        <v>51.85185185185172</v>
      </c>
      <c r="F3205" s="1" t="str">
        <f t="shared" si="203"/>
        <v>50</v>
      </c>
      <c r="G3205" s="1" t="str">
        <f t="shared" si="204"/>
        <v/>
      </c>
      <c r="I3205" s="1" t="str">
        <f t="shared" si="202"/>
        <v>威尔新数值1.06.xlsm!suitPower</v>
      </c>
    </row>
    <row r="3206" spans="1:9" x14ac:dyDescent="0.15">
      <c r="A3206" s="1">
        <v>3205</v>
      </c>
      <c r="B3206" s="1">
        <v>103070300</v>
      </c>
      <c r="C3206" s="1">
        <f t="shared" si="201"/>
        <v>8</v>
      </c>
      <c r="D3206" s="5">
        <f ca="1">IF(getQuality(B3206)&lt;4,getOtherMin(B3206,C3206,INDIRECT(J$2),INDIRECT(I3206),test),getMin(B3206,C3206,INDIRECT(J$2),INDIRECT(I3206),test))</f>
        <v>101</v>
      </c>
      <c r="E3206" s="5">
        <f ca="1">IF(getQuality(B3206)&lt;4,getOtherMax(B3206,C3206,INDIRECT(J$2),INDIRECT(I3206),test),getMax(B3206,C3206,INDIRECT(J$2),INDIRECT(I3206),test))</f>
        <v>116.66666666666667</v>
      </c>
      <c r="F3206" s="1" t="str">
        <f t="shared" si="203"/>
        <v>50</v>
      </c>
      <c r="G3206" s="1" t="str">
        <f t="shared" si="204"/>
        <v/>
      </c>
      <c r="I3206" s="1" t="str">
        <f t="shared" si="202"/>
        <v>威尔新数值1.06.xlsm!suitPower</v>
      </c>
    </row>
    <row r="3207" spans="1:9" x14ac:dyDescent="0.15">
      <c r="A3207" s="1">
        <v>3206</v>
      </c>
      <c r="B3207" s="1">
        <v>103070300</v>
      </c>
      <c r="C3207" s="1">
        <f t="shared" si="201"/>
        <v>9</v>
      </c>
      <c r="D3207" s="5">
        <f ca="1">IF(getQuality(B3207)&lt;4,getOtherMin(B3207,C3207,INDIRECT(J$2),INDIRECT(I3207),test),getMin(B3207,C3207,INDIRECT(J$2),INDIRECT(I3207),test))</f>
        <v>218.39851117079806</v>
      </c>
      <c r="E3207" s="5">
        <f ca="1">IF(getQuality(B3207)&lt;4,getOtherMax(B3207,C3207,INDIRECT(J$2),INDIRECT(I3207),test),getMax(B3207,C3207,INDIRECT(J$2),INDIRECT(I3207),test))</f>
        <v>270.43850937813136</v>
      </c>
      <c r="F3207" s="1" t="str">
        <f t="shared" si="203"/>
        <v>50</v>
      </c>
      <c r="G3207" s="1" t="str">
        <f t="shared" si="204"/>
        <v/>
      </c>
      <c r="I3207" s="1" t="str">
        <f t="shared" si="202"/>
        <v>威尔新数值1.06.xlsm!suitPower</v>
      </c>
    </row>
    <row r="3208" spans="1:9" x14ac:dyDescent="0.15">
      <c r="A3208" s="1">
        <v>3207</v>
      </c>
      <c r="B3208" s="1">
        <v>103070300</v>
      </c>
      <c r="C3208" s="1">
        <f t="shared" si="201"/>
        <v>10</v>
      </c>
      <c r="D3208" s="5">
        <f ca="1">IF(getQuality(B3208)&lt;4,getOtherMin(B3208,C3208,INDIRECT(J$2),INDIRECT(I3208),test),getMin(B3208,C3208,INDIRECT(J$2),INDIRECT(I3208),test))</f>
        <v>218.39851117079806</v>
      </c>
      <c r="E3208" s="5">
        <f ca="1">IF(getQuality(B3208)&lt;4,getOtherMax(B3208,C3208,INDIRECT(J$2),INDIRECT(I3208),test),getMax(B3208,C3208,INDIRECT(J$2),INDIRECT(I3208),test))</f>
        <v>270.43850937813136</v>
      </c>
      <c r="F3208" s="1" t="str">
        <f t="shared" si="203"/>
        <v>50</v>
      </c>
      <c r="G3208" s="1" t="str">
        <f t="shared" si="204"/>
        <v/>
      </c>
      <c r="I3208" s="1" t="str">
        <f t="shared" si="202"/>
        <v>威尔新数值1.06.xlsm!suitPower</v>
      </c>
    </row>
    <row r="3209" spans="1:9" x14ac:dyDescent="0.15">
      <c r="A3209" s="1">
        <v>3208</v>
      </c>
      <c r="B3209" s="1">
        <v>103070300</v>
      </c>
      <c r="C3209" s="1">
        <f t="shared" si="201"/>
        <v>11</v>
      </c>
      <c r="D3209" s="5">
        <f ca="1">IF(getQuality(B3209)&lt;4,getOtherMin(B3209,C3209,INDIRECT(J$2),INDIRECT(I3209),test),getMin(B3209,C3209,INDIRECT(J$2),INDIRECT(I3209),test))</f>
        <v>218.39851117079806</v>
      </c>
      <c r="E3209" s="5">
        <f ca="1">IF(getQuality(B3209)&lt;4,getOtherMax(B3209,C3209,INDIRECT(J$2),INDIRECT(I3209),test),getMax(B3209,C3209,INDIRECT(J$2),INDIRECT(I3209),test))</f>
        <v>270.43850937813136</v>
      </c>
      <c r="F3209" s="1" t="str">
        <f t="shared" si="203"/>
        <v>50</v>
      </c>
      <c r="G3209" s="1" t="str">
        <f t="shared" si="204"/>
        <v/>
      </c>
      <c r="I3209" s="1" t="str">
        <f t="shared" si="202"/>
        <v>威尔新数值1.06.xlsm!suitPower</v>
      </c>
    </row>
    <row r="3210" spans="1:9" x14ac:dyDescent="0.15">
      <c r="A3210" s="1">
        <v>3209</v>
      </c>
      <c r="B3210" s="1">
        <v>103070300</v>
      </c>
      <c r="C3210" s="1">
        <f t="shared" si="201"/>
        <v>12</v>
      </c>
      <c r="D3210" s="5">
        <f ca="1">IF(getQuality(B3210)&lt;4,getOtherMin(B3210,C3210,INDIRECT(J$2),INDIRECT(I3210),test),getMin(B3210,C3210,INDIRECT(J$2),INDIRECT(I3210),test))</f>
        <v>218.39851117079806</v>
      </c>
      <c r="E3210" s="5">
        <f ca="1">IF(getQuality(B3210)&lt;4,getOtherMax(B3210,C3210,INDIRECT(J$2),INDIRECT(I3210),test),getMax(B3210,C3210,INDIRECT(J$2),INDIRECT(I3210),test))</f>
        <v>270.43850937813136</v>
      </c>
      <c r="F3210" s="1" t="str">
        <f t="shared" si="203"/>
        <v>50</v>
      </c>
      <c r="G3210" s="1" t="str">
        <f t="shared" si="204"/>
        <v/>
      </c>
      <c r="I3210" s="1" t="str">
        <f t="shared" si="202"/>
        <v>威尔新数值1.06.xlsm!suitPower</v>
      </c>
    </row>
    <row r="3211" spans="1:9" x14ac:dyDescent="0.15">
      <c r="A3211" s="1">
        <v>3210</v>
      </c>
      <c r="B3211" s="1">
        <v>103070300</v>
      </c>
      <c r="C3211" s="1">
        <f t="shared" si="201"/>
        <v>13</v>
      </c>
      <c r="D3211" s="5">
        <f ca="1">IF(getQuality(B3211)&lt;4,getOtherMin(B3211,C3211,INDIRECT(J$2),INDIRECT(I3211),test),getMin(B3211,C3211,INDIRECT(J$2),INDIRECT(I3211),test))</f>
        <v>218.39851117079806</v>
      </c>
      <c r="E3211" s="5">
        <f ca="1">IF(getQuality(B3211)&lt;4,getOtherMax(B3211,C3211,INDIRECT(J$2),INDIRECT(I3211),test),getMax(B3211,C3211,INDIRECT(J$2),INDIRECT(I3211),test))</f>
        <v>270.43850937813136</v>
      </c>
      <c r="F3211" s="1" t="str">
        <f t="shared" si="203"/>
        <v>50</v>
      </c>
      <c r="G3211" s="1" t="str">
        <f t="shared" si="204"/>
        <v/>
      </c>
      <c r="I3211" s="1" t="str">
        <f t="shared" si="202"/>
        <v>威尔新数值1.06.xlsm!suitPower</v>
      </c>
    </row>
    <row r="3212" spans="1:9" x14ac:dyDescent="0.15">
      <c r="A3212" s="1">
        <v>3211</v>
      </c>
      <c r="B3212" s="1">
        <v>103070300</v>
      </c>
      <c r="C3212" s="1">
        <f t="shared" si="201"/>
        <v>14</v>
      </c>
      <c r="D3212" s="5">
        <f ca="1">IF(getQuality(B3212)&lt;4,getOtherMin(B3212,C3212,INDIRECT(J$2),INDIRECT(I3212),test),getMin(B3212,C3212,INDIRECT(J$2),INDIRECT(I3212),test))</f>
        <v>218.39851117079806</v>
      </c>
      <c r="E3212" s="5">
        <f ca="1">IF(getQuality(B3212)&lt;4,getOtherMax(B3212,C3212,INDIRECT(J$2),INDIRECT(I3212),test),getMax(B3212,C3212,INDIRECT(J$2),INDIRECT(I3212),test))</f>
        <v>270.43850937813136</v>
      </c>
      <c r="F3212" s="1" t="str">
        <f t="shared" si="203"/>
        <v>50</v>
      </c>
      <c r="G3212" s="1" t="str">
        <f t="shared" si="204"/>
        <v/>
      </c>
      <c r="I3212" s="1" t="str">
        <f t="shared" si="202"/>
        <v>威尔新数值1.06.xlsm!suitPower</v>
      </c>
    </row>
    <row r="3213" spans="1:9" x14ac:dyDescent="0.15">
      <c r="A3213" s="1">
        <v>3212</v>
      </c>
      <c r="B3213" s="1">
        <v>103070300</v>
      </c>
      <c r="C3213" s="1">
        <f t="shared" si="201"/>
        <v>15</v>
      </c>
      <c r="D3213" s="5">
        <f ca="1">IF(getQuality(B3213)&lt;4,getOtherMin(B3213,C3213,INDIRECT(J$2),INDIRECT(I3213),test),getMin(B3213,C3213,INDIRECT(J$2),INDIRECT(I3213),test))</f>
        <v>218.39851117079806</v>
      </c>
      <c r="E3213" s="5">
        <f ca="1">IF(getQuality(B3213)&lt;4,getOtherMax(B3213,C3213,INDIRECT(J$2),INDIRECT(I3213),test),getMax(B3213,C3213,INDIRECT(J$2),INDIRECT(I3213),test))</f>
        <v>270.43850937813136</v>
      </c>
      <c r="F3213" s="1" t="str">
        <f t="shared" si="203"/>
        <v>50</v>
      </c>
      <c r="G3213" s="1" t="str">
        <f t="shared" si="204"/>
        <v/>
      </c>
      <c r="I3213" s="1" t="str">
        <f t="shared" si="202"/>
        <v>威尔新数值1.06.xlsm!suitPower</v>
      </c>
    </row>
    <row r="3214" spans="1:9" x14ac:dyDescent="0.15">
      <c r="A3214" s="1">
        <v>3213</v>
      </c>
      <c r="B3214" s="1">
        <v>103070300</v>
      </c>
      <c r="C3214" s="1">
        <f t="shared" si="201"/>
        <v>101</v>
      </c>
      <c r="D3214" s="5">
        <f ca="1">IF(getQuality(B3214)&lt;4,getOtherMin(B3214,C3214,INDIRECT(J$2),INDIRECT(I3214),test),getMin(B3214,C3214,INDIRECT(J$2),INDIRECT(I3214),test))</f>
        <v>0.13</v>
      </c>
      <c r="E3214" s="5">
        <f ca="1">IF(getQuality(B3214)&lt;4,getOtherMax(B3214,C3214,INDIRECT(J$2),INDIRECT(I3214),test),getMax(B3214,C3214,INDIRECT(J$2),INDIRECT(I3214),test))</f>
        <v>0.16</v>
      </c>
      <c r="F3214" s="1" t="str">
        <f t="shared" si="203"/>
        <v>50</v>
      </c>
      <c r="G3214" s="1" t="str">
        <f t="shared" si="204"/>
        <v/>
      </c>
      <c r="I3214" s="1" t="str">
        <f t="shared" si="202"/>
        <v>威尔新数值1.06.xlsm!circlePer</v>
      </c>
    </row>
    <row r="3215" spans="1:9" x14ac:dyDescent="0.15">
      <c r="A3215" s="1">
        <v>3214</v>
      </c>
      <c r="B3215" s="1">
        <v>103070300</v>
      </c>
      <c r="C3215" s="1">
        <f t="shared" si="201"/>
        <v>102</v>
      </c>
      <c r="D3215" s="5">
        <f ca="1">IF(getQuality(B3215)&lt;4,getOtherMin(B3215,C3215,INDIRECT(J$2),INDIRECT(I3215),test),getMin(B3215,C3215,INDIRECT(J$2),INDIRECT(I3215),test))</f>
        <v>1.2</v>
      </c>
      <c r="E3215" s="5">
        <f ca="1">IF(getQuality(B3215)&lt;4,getOtherMax(B3215,C3215,INDIRECT(J$2),INDIRECT(I3215),test),getMax(B3215,C3215,INDIRECT(J$2),INDIRECT(I3215),test))</f>
        <v>1.5</v>
      </c>
      <c r="F3215" s="1" t="str">
        <f t="shared" si="203"/>
        <v>50</v>
      </c>
      <c r="G3215" s="1" t="str">
        <f t="shared" si="204"/>
        <v/>
      </c>
      <c r="I3215" s="1" t="str">
        <f t="shared" si="202"/>
        <v>威尔新数值1.06.xlsm!circleValue</v>
      </c>
    </row>
    <row r="3216" spans="1:9" x14ac:dyDescent="0.15">
      <c r="A3216" s="1">
        <v>3215</v>
      </c>
      <c r="B3216" s="1">
        <v>103070300</v>
      </c>
      <c r="C3216" s="1">
        <f t="shared" si="201"/>
        <v>103</v>
      </c>
      <c r="D3216" s="5">
        <f ca="1">IF(getQuality(B3216)&lt;4,getOtherMin(B3216,C3216,INDIRECT(J$2),INDIRECT(I3216),test),getMin(B3216,C3216,INDIRECT(J$2),INDIRECT(I3216),test))</f>
        <v>0.13</v>
      </c>
      <c r="E3216" s="5">
        <f ca="1">IF(getQuality(B3216)&lt;4,getOtherMax(B3216,C3216,INDIRECT(J$2),INDIRECT(I3216),test),getMax(B3216,C3216,INDIRECT(J$2),INDIRECT(I3216),test))</f>
        <v>0.16</v>
      </c>
      <c r="F3216" s="1" t="str">
        <f t="shared" si="203"/>
        <v>50</v>
      </c>
      <c r="G3216" s="1" t="str">
        <f t="shared" si="204"/>
        <v/>
      </c>
      <c r="I3216" s="1" t="str">
        <f t="shared" si="202"/>
        <v>威尔新数值1.06.xlsm!otherDamage</v>
      </c>
    </row>
    <row r="3217" spans="1:9" x14ac:dyDescent="0.15">
      <c r="A3217" s="1">
        <v>3216</v>
      </c>
      <c r="B3217" s="1">
        <v>103070300</v>
      </c>
      <c r="C3217" s="1">
        <f t="shared" si="201"/>
        <v>104</v>
      </c>
      <c r="D3217" s="5">
        <f ca="1">IF(getQuality(B3217)&lt;4,getOtherMin(B3217,C3217,INDIRECT(J$2),INDIRECT(I3217),test),getMin(B3217,C3217,INDIRECT(J$2),INDIRECT(I3217),test))</f>
        <v>0.13</v>
      </c>
      <c r="E3217" s="5">
        <f ca="1">IF(getQuality(B3217)&lt;4,getOtherMax(B3217,C3217,INDIRECT(J$2),INDIRECT(I3217),test),getMax(B3217,C3217,INDIRECT(J$2),INDIRECT(I3217),test))</f>
        <v>0.26</v>
      </c>
      <c r="F3217" s="1" t="str">
        <f t="shared" si="203"/>
        <v>50</v>
      </c>
      <c r="G3217" s="1" t="str">
        <f t="shared" si="204"/>
        <v/>
      </c>
      <c r="I3217" s="1" t="str">
        <f t="shared" si="202"/>
        <v>威尔新数值1.06.xlsm!monsterDamage</v>
      </c>
    </row>
    <row r="3218" spans="1:9" x14ac:dyDescent="0.15">
      <c r="A3218" s="1">
        <v>3217</v>
      </c>
      <c r="B3218" s="1">
        <v>103070300</v>
      </c>
      <c r="C3218" s="1">
        <f t="shared" si="201"/>
        <v>105</v>
      </c>
      <c r="D3218" s="5">
        <f ca="1">IF(getQuality(B3218)&lt;4,getOtherMin(B3218,C3218,INDIRECT(J$2),INDIRECT(I3218),test),getMin(B3218,C3218,INDIRECT(J$2),INDIRECT(I3218),test))</f>
        <v>0.13</v>
      </c>
      <c r="E3218" s="5">
        <f ca="1">IF(getQuality(B3218)&lt;4,getOtherMax(B3218,C3218,INDIRECT(J$2),INDIRECT(I3218),test),getMax(B3218,C3218,INDIRECT(J$2),INDIRECT(I3218),test))</f>
        <v>0.26</v>
      </c>
      <c r="F3218" s="1" t="str">
        <f t="shared" si="203"/>
        <v>50</v>
      </c>
      <c r="G3218" s="1" t="str">
        <f t="shared" si="204"/>
        <v/>
      </c>
      <c r="I3218" s="1" t="str">
        <f t="shared" si="202"/>
        <v>威尔新数值1.06.xlsm!monsterDamage</v>
      </c>
    </row>
    <row r="3219" spans="1:9" x14ac:dyDescent="0.15">
      <c r="A3219" s="1">
        <v>3218</v>
      </c>
      <c r="B3219" s="1">
        <v>103070300</v>
      </c>
      <c r="C3219" s="1">
        <f t="shared" si="201"/>
        <v>106</v>
      </c>
      <c r="D3219" s="5">
        <f ca="1">IF(getQuality(B3219)&lt;4,getOtherMin(B3219,C3219,INDIRECT(J$2),INDIRECT(I3219),test),getMin(B3219,C3219,INDIRECT(J$2),INDIRECT(I3219),test))</f>
        <v>0.13</v>
      </c>
      <c r="E3219" s="5">
        <f ca="1">IF(getQuality(B3219)&lt;4,getOtherMax(B3219,C3219,INDIRECT(J$2),INDIRECT(I3219),test),getMax(B3219,C3219,INDIRECT(J$2),INDIRECT(I3219),test))</f>
        <v>0.26</v>
      </c>
      <c r="F3219" s="1" t="str">
        <f t="shared" si="203"/>
        <v>50</v>
      </c>
      <c r="G3219" s="1" t="str">
        <f t="shared" si="204"/>
        <v/>
      </c>
      <c r="I3219" s="1" t="str">
        <f t="shared" si="202"/>
        <v>威尔新数值1.06.xlsm!monsterDamage</v>
      </c>
    </row>
    <row r="3220" spans="1:9" x14ac:dyDescent="0.15">
      <c r="A3220" s="1">
        <v>3219</v>
      </c>
      <c r="B3220" s="1">
        <v>103070300</v>
      </c>
      <c r="C3220" s="1">
        <f t="shared" si="201"/>
        <v>107</v>
      </c>
      <c r="D3220" s="5">
        <f ca="1">IF(getQuality(B3220)&lt;4,getOtherMin(B3220,C3220,INDIRECT(J$2),INDIRECT(I3220),test),getMin(B3220,C3220,INDIRECT(J$2),INDIRECT(I3220),test))</f>
        <v>0.13</v>
      </c>
      <c r="E3220" s="5">
        <f ca="1">IF(getQuality(B3220)&lt;4,getOtherMax(B3220,C3220,INDIRECT(J$2),INDIRECT(I3220),test),getMax(B3220,C3220,INDIRECT(J$2),INDIRECT(I3220),test))</f>
        <v>0.26</v>
      </c>
      <c r="F3220" s="1" t="str">
        <f t="shared" si="203"/>
        <v>50</v>
      </c>
      <c r="G3220" s="1" t="str">
        <f t="shared" si="204"/>
        <v/>
      </c>
      <c r="I3220" s="1" t="str">
        <f t="shared" si="202"/>
        <v>威尔新数值1.06.xlsm!monsterDamage</v>
      </c>
    </row>
    <row r="3221" spans="1:9" x14ac:dyDescent="0.15">
      <c r="A3221" s="1">
        <v>3220</v>
      </c>
      <c r="B3221" s="1">
        <v>103070300</v>
      </c>
      <c r="C3221" s="1">
        <f t="shared" si="201"/>
        <v>108</v>
      </c>
      <c r="D3221" s="5">
        <f ca="1">IF(getQuality(B3221)&lt;4,getOtherMin(B3221,C3221,INDIRECT(J$2),INDIRECT(I3221),test),getMin(B3221,C3221,INDIRECT(J$2),INDIRECT(I3221),test))</f>
        <v>0.13</v>
      </c>
      <c r="E3221" s="5">
        <f ca="1">IF(getQuality(B3221)&lt;4,getOtherMax(B3221,C3221,INDIRECT(J$2),INDIRECT(I3221),test),getMax(B3221,C3221,INDIRECT(J$2),INDIRECT(I3221),test))</f>
        <v>0.26</v>
      </c>
      <c r="F3221" s="1" t="str">
        <f t="shared" si="203"/>
        <v>50</v>
      </c>
      <c r="G3221" s="1" t="str">
        <f t="shared" si="204"/>
        <v/>
      </c>
      <c r="I3221" s="1" t="str">
        <f t="shared" si="202"/>
        <v>威尔新数值1.06.xlsm!monsterDamage</v>
      </c>
    </row>
    <row r="3222" spans="1:9" x14ac:dyDescent="0.15">
      <c r="A3222" s="1">
        <v>3221</v>
      </c>
      <c r="B3222" s="1">
        <v>103080300</v>
      </c>
      <c r="C3222" s="1">
        <f t="shared" si="201"/>
        <v>3</v>
      </c>
      <c r="D3222" s="5">
        <f ca="1">IF(getQuality(B3222)&lt;4,getOtherMin(B3222,C3222,INDIRECT(J$2),INDIRECT(I3222),test),getMin(B3222,C3222,INDIRECT(J$2),INDIRECT(I3222),test))</f>
        <v>271.43850937813136</v>
      </c>
      <c r="E3222" s="5">
        <f ca="1">IF(getQuality(B3222)&lt;4,getOtherMax(B3222,C3222,INDIRECT(J$2),INDIRECT(I3222),test),getMax(B3222,C3222,INDIRECT(J$2),INDIRECT(I3222),test))</f>
        <v>328.28048273180752</v>
      </c>
      <c r="F3222" s="1" t="str">
        <f t="shared" si="203"/>
        <v>50</v>
      </c>
      <c r="G3222" s="1" t="str">
        <f t="shared" si="204"/>
        <v>1</v>
      </c>
      <c r="I3222" s="1" t="str">
        <f t="shared" si="202"/>
        <v>威尔新数值1.06.xlsm!suitPower</v>
      </c>
    </row>
    <row r="3223" spans="1:9" x14ac:dyDescent="0.15">
      <c r="A3223" s="1">
        <v>3222</v>
      </c>
      <c r="B3223" s="1">
        <v>103080300</v>
      </c>
      <c r="C3223" s="1">
        <f t="shared" si="201"/>
        <v>5</v>
      </c>
      <c r="D3223" s="5">
        <f ca="1">IF(getQuality(B3223)&lt;4,getOtherMin(B3223,C3223,INDIRECT(J$2),INDIRECT(I3223),test),getMin(B3223,C3223,INDIRECT(J$2),INDIRECT(I3223),test))</f>
        <v>271.43850937813136</v>
      </c>
      <c r="E3223" s="5">
        <f ca="1">IF(getQuality(B3223)&lt;4,getOtherMax(B3223,C3223,INDIRECT(J$2),INDIRECT(I3223),test),getMax(B3223,C3223,INDIRECT(J$2),INDIRECT(I3223),test))</f>
        <v>328.28048273180752</v>
      </c>
      <c r="F3223" s="1" t="str">
        <f t="shared" si="203"/>
        <v>50</v>
      </c>
      <c r="G3223" s="1" t="str">
        <f t="shared" si="204"/>
        <v/>
      </c>
      <c r="I3223" s="1" t="str">
        <f t="shared" si="202"/>
        <v>威尔新数值1.06.xlsm!suitPower</v>
      </c>
    </row>
    <row r="3224" spans="1:9" x14ac:dyDescent="0.15">
      <c r="A3224" s="1">
        <v>3223</v>
      </c>
      <c r="B3224" s="1">
        <v>103080300</v>
      </c>
      <c r="C3224" s="1">
        <f t="shared" si="201"/>
        <v>7</v>
      </c>
      <c r="D3224" s="5">
        <f ca="1">IF(getQuality(B3224)&lt;4,getOtherMin(B3224,C3224,INDIRECT(J$2),INDIRECT(I3224),test),getMin(B3224,C3224,INDIRECT(J$2),INDIRECT(I3224),test))</f>
        <v>52.85185185185172</v>
      </c>
      <c r="E3224" s="5">
        <f ca="1">IF(getQuality(B3224)&lt;4,getOtherMax(B3224,C3224,INDIRECT(J$2),INDIRECT(I3224),test),getMax(B3224,C3224,INDIRECT(J$2),INDIRECT(I3224),test))</f>
        <v>59.25925925925911</v>
      </c>
      <c r="F3224" s="1" t="str">
        <f t="shared" si="203"/>
        <v>50</v>
      </c>
      <c r="G3224" s="1" t="str">
        <f t="shared" si="204"/>
        <v/>
      </c>
      <c r="I3224" s="1" t="str">
        <f t="shared" si="202"/>
        <v>威尔新数值1.06.xlsm!suitPower</v>
      </c>
    </row>
    <row r="3225" spans="1:9" x14ac:dyDescent="0.15">
      <c r="A3225" s="1">
        <v>3224</v>
      </c>
      <c r="B3225" s="1">
        <v>103080300</v>
      </c>
      <c r="C3225" s="1">
        <f t="shared" si="201"/>
        <v>8</v>
      </c>
      <c r="D3225" s="5">
        <f ca="1">IF(getQuality(B3225)&lt;4,getOtherMin(B3225,C3225,INDIRECT(J$2),INDIRECT(I3225),test),getMin(B3225,C3225,INDIRECT(J$2),INDIRECT(I3225),test))</f>
        <v>117.66666666666667</v>
      </c>
      <c r="E3225" s="5">
        <f ca="1">IF(getQuality(B3225)&lt;4,getOtherMax(B3225,C3225,INDIRECT(J$2),INDIRECT(I3225),test),getMax(B3225,C3225,INDIRECT(J$2),INDIRECT(I3225),test))</f>
        <v>133.33333333333334</v>
      </c>
      <c r="F3225" s="1" t="str">
        <f t="shared" si="203"/>
        <v>50</v>
      </c>
      <c r="G3225" s="1" t="str">
        <f t="shared" si="204"/>
        <v/>
      </c>
      <c r="I3225" s="1" t="str">
        <f t="shared" si="202"/>
        <v>威尔新数值1.06.xlsm!suitPower</v>
      </c>
    </row>
    <row r="3226" spans="1:9" x14ac:dyDescent="0.15">
      <c r="A3226" s="1">
        <v>3225</v>
      </c>
      <c r="B3226" s="1">
        <v>103080300</v>
      </c>
      <c r="C3226" s="1">
        <f t="shared" si="201"/>
        <v>9</v>
      </c>
      <c r="D3226" s="5">
        <f ca="1">IF(getQuality(B3226)&lt;4,getOtherMin(B3226,C3226,INDIRECT(J$2),INDIRECT(I3226),test),getMin(B3226,C3226,INDIRECT(J$2),INDIRECT(I3226),test))</f>
        <v>271.43850937813136</v>
      </c>
      <c r="E3226" s="5">
        <f ca="1">IF(getQuality(B3226)&lt;4,getOtherMax(B3226,C3226,INDIRECT(J$2),INDIRECT(I3226),test),getMax(B3226,C3226,INDIRECT(J$2),INDIRECT(I3226),test))</f>
        <v>328.28048273180752</v>
      </c>
      <c r="F3226" s="1" t="str">
        <f t="shared" si="203"/>
        <v>50</v>
      </c>
      <c r="G3226" s="1" t="str">
        <f t="shared" si="204"/>
        <v/>
      </c>
      <c r="I3226" s="1" t="str">
        <f t="shared" si="202"/>
        <v>威尔新数值1.06.xlsm!suitPower</v>
      </c>
    </row>
    <row r="3227" spans="1:9" x14ac:dyDescent="0.15">
      <c r="A3227" s="1">
        <v>3226</v>
      </c>
      <c r="B3227" s="1">
        <v>103080300</v>
      </c>
      <c r="C3227" s="1">
        <f t="shared" si="201"/>
        <v>10</v>
      </c>
      <c r="D3227" s="5">
        <f ca="1">IF(getQuality(B3227)&lt;4,getOtherMin(B3227,C3227,INDIRECT(J$2),INDIRECT(I3227),test),getMin(B3227,C3227,INDIRECT(J$2),INDIRECT(I3227),test))</f>
        <v>271.43850937813136</v>
      </c>
      <c r="E3227" s="5">
        <f ca="1">IF(getQuality(B3227)&lt;4,getOtherMax(B3227,C3227,INDIRECT(J$2),INDIRECT(I3227),test),getMax(B3227,C3227,INDIRECT(J$2),INDIRECT(I3227),test))</f>
        <v>328.28048273180752</v>
      </c>
      <c r="F3227" s="1" t="str">
        <f t="shared" si="203"/>
        <v>50</v>
      </c>
      <c r="G3227" s="1" t="str">
        <f t="shared" si="204"/>
        <v/>
      </c>
      <c r="I3227" s="1" t="str">
        <f t="shared" si="202"/>
        <v>威尔新数值1.06.xlsm!suitPower</v>
      </c>
    </row>
    <row r="3228" spans="1:9" x14ac:dyDescent="0.15">
      <c r="A3228" s="1">
        <v>3227</v>
      </c>
      <c r="B3228" s="1">
        <v>103080300</v>
      </c>
      <c r="C3228" s="1">
        <f t="shared" si="201"/>
        <v>11</v>
      </c>
      <c r="D3228" s="5">
        <f ca="1">IF(getQuality(B3228)&lt;4,getOtherMin(B3228,C3228,INDIRECT(J$2),INDIRECT(I3228),test),getMin(B3228,C3228,INDIRECT(J$2),INDIRECT(I3228),test))</f>
        <v>271.43850937813136</v>
      </c>
      <c r="E3228" s="5">
        <f ca="1">IF(getQuality(B3228)&lt;4,getOtherMax(B3228,C3228,INDIRECT(J$2),INDIRECT(I3228),test),getMax(B3228,C3228,INDIRECT(J$2),INDIRECT(I3228),test))</f>
        <v>328.28048273180752</v>
      </c>
      <c r="F3228" s="1" t="str">
        <f t="shared" si="203"/>
        <v>50</v>
      </c>
      <c r="G3228" s="1" t="str">
        <f t="shared" si="204"/>
        <v/>
      </c>
      <c r="I3228" s="1" t="str">
        <f t="shared" si="202"/>
        <v>威尔新数值1.06.xlsm!suitPower</v>
      </c>
    </row>
    <row r="3229" spans="1:9" x14ac:dyDescent="0.15">
      <c r="A3229" s="1">
        <v>3228</v>
      </c>
      <c r="B3229" s="1">
        <v>103080300</v>
      </c>
      <c r="C3229" s="1">
        <f t="shared" si="201"/>
        <v>12</v>
      </c>
      <c r="D3229" s="5">
        <f ca="1">IF(getQuality(B3229)&lt;4,getOtherMin(B3229,C3229,INDIRECT(J$2),INDIRECT(I3229),test),getMin(B3229,C3229,INDIRECT(J$2),INDIRECT(I3229),test))</f>
        <v>271.43850937813136</v>
      </c>
      <c r="E3229" s="5">
        <f ca="1">IF(getQuality(B3229)&lt;4,getOtherMax(B3229,C3229,INDIRECT(J$2),INDIRECT(I3229),test),getMax(B3229,C3229,INDIRECT(J$2),INDIRECT(I3229),test))</f>
        <v>328.28048273180752</v>
      </c>
      <c r="F3229" s="1" t="str">
        <f t="shared" si="203"/>
        <v>50</v>
      </c>
      <c r="G3229" s="1" t="str">
        <f t="shared" si="204"/>
        <v/>
      </c>
      <c r="I3229" s="1" t="str">
        <f t="shared" si="202"/>
        <v>威尔新数值1.06.xlsm!suitPower</v>
      </c>
    </row>
    <row r="3230" spans="1:9" x14ac:dyDescent="0.15">
      <c r="A3230" s="1">
        <v>3229</v>
      </c>
      <c r="B3230" s="1">
        <v>103080300</v>
      </c>
      <c r="C3230" s="1">
        <f t="shared" si="201"/>
        <v>13</v>
      </c>
      <c r="D3230" s="5">
        <f ca="1">IF(getQuality(B3230)&lt;4,getOtherMin(B3230,C3230,INDIRECT(J$2),INDIRECT(I3230),test),getMin(B3230,C3230,INDIRECT(J$2),INDIRECT(I3230),test))</f>
        <v>271.43850937813136</v>
      </c>
      <c r="E3230" s="5">
        <f ca="1">IF(getQuality(B3230)&lt;4,getOtherMax(B3230,C3230,INDIRECT(J$2),INDIRECT(I3230),test),getMax(B3230,C3230,INDIRECT(J$2),INDIRECT(I3230),test))</f>
        <v>328.28048273180752</v>
      </c>
      <c r="F3230" s="1" t="str">
        <f t="shared" si="203"/>
        <v>50</v>
      </c>
      <c r="G3230" s="1" t="str">
        <f t="shared" si="204"/>
        <v/>
      </c>
      <c r="I3230" s="1" t="str">
        <f t="shared" si="202"/>
        <v>威尔新数值1.06.xlsm!suitPower</v>
      </c>
    </row>
    <row r="3231" spans="1:9" x14ac:dyDescent="0.15">
      <c r="A3231" s="1">
        <v>3230</v>
      </c>
      <c r="B3231" s="1">
        <v>103080300</v>
      </c>
      <c r="C3231" s="1">
        <f t="shared" si="201"/>
        <v>14</v>
      </c>
      <c r="D3231" s="5">
        <f ca="1">IF(getQuality(B3231)&lt;4,getOtherMin(B3231,C3231,INDIRECT(J$2),INDIRECT(I3231),test),getMin(B3231,C3231,INDIRECT(J$2),INDIRECT(I3231),test))</f>
        <v>271.43850937813136</v>
      </c>
      <c r="E3231" s="5">
        <f ca="1">IF(getQuality(B3231)&lt;4,getOtherMax(B3231,C3231,INDIRECT(J$2),INDIRECT(I3231),test),getMax(B3231,C3231,INDIRECT(J$2),INDIRECT(I3231),test))</f>
        <v>328.28048273180752</v>
      </c>
      <c r="F3231" s="1" t="str">
        <f t="shared" si="203"/>
        <v>50</v>
      </c>
      <c r="G3231" s="1" t="str">
        <f t="shared" si="204"/>
        <v/>
      </c>
      <c r="I3231" s="1" t="str">
        <f t="shared" si="202"/>
        <v>威尔新数值1.06.xlsm!suitPower</v>
      </c>
    </row>
    <row r="3232" spans="1:9" x14ac:dyDescent="0.15">
      <c r="A3232" s="1">
        <v>3231</v>
      </c>
      <c r="B3232" s="1">
        <v>103080300</v>
      </c>
      <c r="C3232" s="1">
        <f t="shared" si="201"/>
        <v>15</v>
      </c>
      <c r="D3232" s="5">
        <f ca="1">IF(getQuality(B3232)&lt;4,getOtherMin(B3232,C3232,INDIRECT(J$2),INDIRECT(I3232),test),getMin(B3232,C3232,INDIRECT(J$2),INDIRECT(I3232),test))</f>
        <v>271.43850937813136</v>
      </c>
      <c r="E3232" s="5">
        <f ca="1">IF(getQuality(B3232)&lt;4,getOtherMax(B3232,C3232,INDIRECT(J$2),INDIRECT(I3232),test),getMax(B3232,C3232,INDIRECT(J$2),INDIRECT(I3232),test))</f>
        <v>328.28048273180752</v>
      </c>
      <c r="F3232" s="1" t="str">
        <f t="shared" si="203"/>
        <v>50</v>
      </c>
      <c r="G3232" s="1" t="str">
        <f t="shared" si="204"/>
        <v/>
      </c>
      <c r="I3232" s="1" t="str">
        <f t="shared" si="202"/>
        <v>威尔新数值1.06.xlsm!suitPower</v>
      </c>
    </row>
    <row r="3233" spans="1:9" x14ac:dyDescent="0.15">
      <c r="A3233" s="1">
        <v>3232</v>
      </c>
      <c r="B3233" s="1">
        <v>103080300</v>
      </c>
      <c r="C3233" s="1">
        <f t="shared" si="201"/>
        <v>101</v>
      </c>
      <c r="D3233" s="5">
        <f ca="1">IF(getQuality(B3233)&lt;4,getOtherMin(B3233,C3233,INDIRECT(J$2),INDIRECT(I3233),test),getMin(B3233,C3233,INDIRECT(J$2),INDIRECT(I3233),test))</f>
        <v>0.14000000000000001</v>
      </c>
      <c r="E3233" s="5">
        <f ca="1">IF(getQuality(B3233)&lt;4,getOtherMax(B3233,C3233,INDIRECT(J$2),INDIRECT(I3233),test),getMax(B3233,C3233,INDIRECT(J$2),INDIRECT(I3233),test))</f>
        <v>0.17</v>
      </c>
      <c r="F3233" s="1" t="str">
        <f t="shared" si="203"/>
        <v>50</v>
      </c>
      <c r="G3233" s="1" t="str">
        <f t="shared" si="204"/>
        <v/>
      </c>
      <c r="I3233" s="1" t="str">
        <f t="shared" si="202"/>
        <v>威尔新数值1.06.xlsm!circlePer</v>
      </c>
    </row>
    <row r="3234" spans="1:9" x14ac:dyDescent="0.15">
      <c r="A3234" s="1">
        <v>3233</v>
      </c>
      <c r="B3234" s="1">
        <v>103080300</v>
      </c>
      <c r="C3234" s="1">
        <f t="shared" si="201"/>
        <v>102</v>
      </c>
      <c r="D3234" s="5">
        <f ca="1">IF(getQuality(B3234)&lt;4,getOtherMin(B3234,C3234,INDIRECT(J$2),INDIRECT(I3234),test),getMin(B3234,C3234,INDIRECT(J$2),INDIRECT(I3234),test))</f>
        <v>1.3</v>
      </c>
      <c r="E3234" s="5">
        <f ca="1">IF(getQuality(B3234)&lt;4,getOtherMax(B3234,C3234,INDIRECT(J$2),INDIRECT(I3234),test),getMax(B3234,C3234,INDIRECT(J$2),INDIRECT(I3234),test))</f>
        <v>1.6</v>
      </c>
      <c r="F3234" s="1" t="str">
        <f t="shared" si="203"/>
        <v>50</v>
      </c>
      <c r="G3234" s="1" t="str">
        <f t="shared" si="204"/>
        <v/>
      </c>
      <c r="I3234" s="1" t="str">
        <f t="shared" si="202"/>
        <v>威尔新数值1.06.xlsm!circleValue</v>
      </c>
    </row>
    <row r="3235" spans="1:9" x14ac:dyDescent="0.15">
      <c r="A3235" s="1">
        <v>3234</v>
      </c>
      <c r="B3235" s="1">
        <v>103080300</v>
      </c>
      <c r="C3235" s="1">
        <f t="shared" si="201"/>
        <v>103</v>
      </c>
      <c r="D3235" s="5">
        <f ca="1">IF(getQuality(B3235)&lt;4,getOtherMin(B3235,C3235,INDIRECT(J$2),INDIRECT(I3235),test),getMin(B3235,C3235,INDIRECT(J$2),INDIRECT(I3235),test))</f>
        <v>0.14000000000000001</v>
      </c>
      <c r="E3235" s="5">
        <f ca="1">IF(getQuality(B3235)&lt;4,getOtherMax(B3235,C3235,INDIRECT(J$2),INDIRECT(I3235),test),getMax(B3235,C3235,INDIRECT(J$2),INDIRECT(I3235),test))</f>
        <v>0.17</v>
      </c>
      <c r="F3235" s="1" t="str">
        <f t="shared" si="203"/>
        <v>50</v>
      </c>
      <c r="G3235" s="1" t="str">
        <f t="shared" si="204"/>
        <v/>
      </c>
      <c r="I3235" s="1" t="str">
        <f t="shared" si="202"/>
        <v>威尔新数值1.06.xlsm!otherDamage</v>
      </c>
    </row>
    <row r="3236" spans="1:9" x14ac:dyDescent="0.15">
      <c r="A3236" s="1">
        <v>3235</v>
      </c>
      <c r="B3236" s="1">
        <v>103080300</v>
      </c>
      <c r="C3236" s="1">
        <f t="shared" si="201"/>
        <v>104</v>
      </c>
      <c r="D3236" s="5">
        <f ca="1">IF(getQuality(B3236)&lt;4,getOtherMin(B3236,C3236,INDIRECT(J$2),INDIRECT(I3236),test),getMin(B3236,C3236,INDIRECT(J$2),INDIRECT(I3236),test))</f>
        <v>0.14000000000000001</v>
      </c>
      <c r="E3236" s="5">
        <f ca="1">IF(getQuality(B3236)&lt;4,getOtherMax(B3236,C3236,INDIRECT(J$2),INDIRECT(I3236),test),getMax(B3236,C3236,INDIRECT(J$2),INDIRECT(I3236),test))</f>
        <v>0.28000000000000003</v>
      </c>
      <c r="F3236" s="1" t="str">
        <f t="shared" si="203"/>
        <v>50</v>
      </c>
      <c r="G3236" s="1" t="str">
        <f t="shared" si="204"/>
        <v/>
      </c>
      <c r="I3236" s="1" t="str">
        <f t="shared" si="202"/>
        <v>威尔新数值1.06.xlsm!monsterDamage</v>
      </c>
    </row>
    <row r="3237" spans="1:9" x14ac:dyDescent="0.15">
      <c r="A3237" s="1">
        <v>3236</v>
      </c>
      <c r="B3237" s="1">
        <v>103080300</v>
      </c>
      <c r="C3237" s="1">
        <f t="shared" si="201"/>
        <v>105</v>
      </c>
      <c r="D3237" s="5">
        <f ca="1">IF(getQuality(B3237)&lt;4,getOtherMin(B3237,C3237,INDIRECT(J$2),INDIRECT(I3237),test),getMin(B3237,C3237,INDIRECT(J$2),INDIRECT(I3237),test))</f>
        <v>0.14000000000000001</v>
      </c>
      <c r="E3237" s="5">
        <f ca="1">IF(getQuality(B3237)&lt;4,getOtherMax(B3237,C3237,INDIRECT(J$2),INDIRECT(I3237),test),getMax(B3237,C3237,INDIRECT(J$2),INDIRECT(I3237),test))</f>
        <v>0.28000000000000003</v>
      </c>
      <c r="F3237" s="1" t="str">
        <f t="shared" si="203"/>
        <v>50</v>
      </c>
      <c r="G3237" s="1" t="str">
        <f t="shared" si="204"/>
        <v/>
      </c>
      <c r="I3237" s="1" t="str">
        <f t="shared" si="202"/>
        <v>威尔新数值1.06.xlsm!monsterDamage</v>
      </c>
    </row>
    <row r="3238" spans="1:9" x14ac:dyDescent="0.15">
      <c r="A3238" s="1">
        <v>3237</v>
      </c>
      <c r="B3238" s="1">
        <v>103080300</v>
      </c>
      <c r="C3238" s="1">
        <f t="shared" si="201"/>
        <v>106</v>
      </c>
      <c r="D3238" s="5">
        <f ca="1">IF(getQuality(B3238)&lt;4,getOtherMin(B3238,C3238,INDIRECT(J$2),INDIRECT(I3238),test),getMin(B3238,C3238,INDIRECT(J$2),INDIRECT(I3238),test))</f>
        <v>0.14000000000000001</v>
      </c>
      <c r="E3238" s="5">
        <f ca="1">IF(getQuality(B3238)&lt;4,getOtherMax(B3238,C3238,INDIRECT(J$2),INDIRECT(I3238),test),getMax(B3238,C3238,INDIRECT(J$2),INDIRECT(I3238),test))</f>
        <v>0.28000000000000003</v>
      </c>
      <c r="F3238" s="1" t="str">
        <f t="shared" si="203"/>
        <v>50</v>
      </c>
      <c r="G3238" s="1" t="str">
        <f t="shared" si="204"/>
        <v/>
      </c>
      <c r="I3238" s="1" t="str">
        <f t="shared" si="202"/>
        <v>威尔新数值1.06.xlsm!monsterDamage</v>
      </c>
    </row>
    <row r="3239" spans="1:9" x14ac:dyDescent="0.15">
      <c r="A3239" s="1">
        <v>3238</v>
      </c>
      <c r="B3239" s="1">
        <v>103080300</v>
      </c>
      <c r="C3239" s="1">
        <f t="shared" si="201"/>
        <v>107</v>
      </c>
      <c r="D3239" s="5">
        <f ca="1">IF(getQuality(B3239)&lt;4,getOtherMin(B3239,C3239,INDIRECT(J$2),INDIRECT(I3239),test),getMin(B3239,C3239,INDIRECT(J$2),INDIRECT(I3239),test))</f>
        <v>0.14000000000000001</v>
      </c>
      <c r="E3239" s="5">
        <f ca="1">IF(getQuality(B3239)&lt;4,getOtherMax(B3239,C3239,INDIRECT(J$2),INDIRECT(I3239),test),getMax(B3239,C3239,INDIRECT(J$2),INDIRECT(I3239),test))</f>
        <v>0.28000000000000003</v>
      </c>
      <c r="F3239" s="1" t="str">
        <f t="shared" si="203"/>
        <v>50</v>
      </c>
      <c r="G3239" s="1" t="str">
        <f t="shared" si="204"/>
        <v/>
      </c>
      <c r="I3239" s="1" t="str">
        <f t="shared" si="202"/>
        <v>威尔新数值1.06.xlsm!monsterDamage</v>
      </c>
    </row>
    <row r="3240" spans="1:9" x14ac:dyDescent="0.15">
      <c r="A3240" s="1">
        <v>3239</v>
      </c>
      <c r="B3240" s="1">
        <v>103080300</v>
      </c>
      <c r="C3240" s="1">
        <f t="shared" si="201"/>
        <v>108</v>
      </c>
      <c r="D3240" s="5">
        <f ca="1">IF(getQuality(B3240)&lt;4,getOtherMin(B3240,C3240,INDIRECT(J$2),INDIRECT(I3240),test),getMin(B3240,C3240,INDIRECT(J$2),INDIRECT(I3240),test))</f>
        <v>0.14000000000000001</v>
      </c>
      <c r="E3240" s="5">
        <f ca="1">IF(getQuality(B3240)&lt;4,getOtherMax(B3240,C3240,INDIRECT(J$2),INDIRECT(I3240),test),getMax(B3240,C3240,INDIRECT(J$2),INDIRECT(I3240),test))</f>
        <v>0.28000000000000003</v>
      </c>
      <c r="F3240" s="1" t="str">
        <f t="shared" si="203"/>
        <v>50</v>
      </c>
      <c r="G3240" s="1" t="str">
        <f t="shared" si="204"/>
        <v/>
      </c>
      <c r="I3240" s="1" t="str">
        <f t="shared" si="202"/>
        <v>威尔新数值1.06.xlsm!monsterDamage</v>
      </c>
    </row>
    <row r="3241" spans="1:9" x14ac:dyDescent="0.15">
      <c r="A3241" s="1">
        <v>3240</v>
      </c>
      <c r="B3241" s="1">
        <v>103090300</v>
      </c>
      <c r="C3241" s="1">
        <f t="shared" si="201"/>
        <v>3</v>
      </c>
      <c r="D3241" s="5">
        <f ca="1">IF(getQuality(B3241)&lt;4,getOtherMin(B3241,C3241,INDIRECT(J$2),INDIRECT(I3241),test),getMin(B3241,C3241,INDIRECT(J$2),INDIRECT(I3241),test))</f>
        <v>329.28048273180752</v>
      </c>
      <c r="E3241" s="5">
        <f ca="1">IF(getQuality(B3241)&lt;4,getOtherMax(B3241,C3241,INDIRECT(J$2),INDIRECT(I3241),test),getMax(B3241,C3241,INDIRECT(J$2),INDIRECT(I3241),test))</f>
        <v>390.92443123182665</v>
      </c>
      <c r="F3241" s="1" t="str">
        <f t="shared" si="203"/>
        <v>50</v>
      </c>
      <c r="G3241" s="1" t="str">
        <f t="shared" si="204"/>
        <v>1</v>
      </c>
      <c r="I3241" s="1" t="str">
        <f t="shared" si="202"/>
        <v>威尔新数值1.06.xlsm!suitPower</v>
      </c>
    </row>
    <row r="3242" spans="1:9" x14ac:dyDescent="0.15">
      <c r="A3242" s="1">
        <v>3241</v>
      </c>
      <c r="B3242" s="1">
        <v>103090300</v>
      </c>
      <c r="C3242" s="1">
        <f t="shared" si="201"/>
        <v>5</v>
      </c>
      <c r="D3242" s="5">
        <f ca="1">IF(getQuality(B3242)&lt;4,getOtherMin(B3242,C3242,INDIRECT(J$2),INDIRECT(I3242),test),getMin(B3242,C3242,INDIRECT(J$2),INDIRECT(I3242),test))</f>
        <v>329.28048273180752</v>
      </c>
      <c r="E3242" s="5">
        <f ca="1">IF(getQuality(B3242)&lt;4,getOtherMax(B3242,C3242,INDIRECT(J$2),INDIRECT(I3242),test),getMax(B3242,C3242,INDIRECT(J$2),INDIRECT(I3242),test))</f>
        <v>390.92443123182665</v>
      </c>
      <c r="F3242" s="1" t="str">
        <f t="shared" si="203"/>
        <v>50</v>
      </c>
      <c r="G3242" s="1" t="str">
        <f t="shared" si="204"/>
        <v/>
      </c>
      <c r="I3242" s="1" t="str">
        <f t="shared" si="202"/>
        <v>威尔新数值1.06.xlsm!suitPower</v>
      </c>
    </row>
    <row r="3243" spans="1:9" x14ac:dyDescent="0.15">
      <c r="A3243" s="1">
        <v>3242</v>
      </c>
      <c r="B3243" s="1">
        <v>103090300</v>
      </c>
      <c r="C3243" s="1">
        <f t="shared" si="201"/>
        <v>7</v>
      </c>
      <c r="D3243" s="5">
        <f ca="1">IF(getQuality(B3243)&lt;4,getOtherMin(B3243,C3243,INDIRECT(J$2),INDIRECT(I3243),test),getMin(B3243,C3243,INDIRECT(J$2),INDIRECT(I3243),test))</f>
        <v>60.25925925925911</v>
      </c>
      <c r="E3243" s="5">
        <f ca="1">IF(getQuality(B3243)&lt;4,getOtherMax(B3243,C3243,INDIRECT(J$2),INDIRECT(I3243),test),getMax(B3243,C3243,INDIRECT(J$2),INDIRECT(I3243),test))</f>
        <v>66.666666666666501</v>
      </c>
      <c r="F3243" s="1" t="str">
        <f t="shared" si="203"/>
        <v>50</v>
      </c>
      <c r="G3243" s="1" t="str">
        <f t="shared" si="204"/>
        <v/>
      </c>
      <c r="I3243" s="1" t="str">
        <f t="shared" si="202"/>
        <v>威尔新数值1.06.xlsm!suitPower</v>
      </c>
    </row>
    <row r="3244" spans="1:9" x14ac:dyDescent="0.15">
      <c r="A3244" s="1">
        <v>3243</v>
      </c>
      <c r="B3244" s="1">
        <v>103090300</v>
      </c>
      <c r="C3244" s="1">
        <f t="shared" si="201"/>
        <v>8</v>
      </c>
      <c r="D3244" s="5">
        <f ca="1">IF(getQuality(B3244)&lt;4,getOtherMin(B3244,C3244,INDIRECT(J$2),INDIRECT(I3244),test),getMin(B3244,C3244,INDIRECT(J$2),INDIRECT(I3244),test))</f>
        <v>134.33333333333334</v>
      </c>
      <c r="E3244" s="5">
        <f ca="1">IF(getQuality(B3244)&lt;4,getOtherMax(B3244,C3244,INDIRECT(J$2),INDIRECT(I3244),test),getMax(B3244,C3244,INDIRECT(J$2),INDIRECT(I3244),test))</f>
        <v>150</v>
      </c>
      <c r="F3244" s="1" t="str">
        <f t="shared" si="203"/>
        <v>50</v>
      </c>
      <c r="G3244" s="1" t="str">
        <f t="shared" si="204"/>
        <v/>
      </c>
      <c r="I3244" s="1" t="str">
        <f t="shared" si="202"/>
        <v>威尔新数值1.06.xlsm!suitPower</v>
      </c>
    </row>
    <row r="3245" spans="1:9" x14ac:dyDescent="0.15">
      <c r="A3245" s="1">
        <v>3244</v>
      </c>
      <c r="B3245" s="1">
        <v>103090300</v>
      </c>
      <c r="C3245" s="1">
        <f t="shared" si="201"/>
        <v>9</v>
      </c>
      <c r="D3245" s="5">
        <f ca="1">IF(getQuality(B3245)&lt;4,getOtherMin(B3245,C3245,INDIRECT(J$2),INDIRECT(I3245),test),getMin(B3245,C3245,INDIRECT(J$2),INDIRECT(I3245),test))</f>
        <v>329.28048273180752</v>
      </c>
      <c r="E3245" s="5">
        <f ca="1">IF(getQuality(B3245)&lt;4,getOtherMax(B3245,C3245,INDIRECT(J$2),INDIRECT(I3245),test),getMax(B3245,C3245,INDIRECT(J$2),INDIRECT(I3245),test))</f>
        <v>390.92443123182665</v>
      </c>
      <c r="F3245" s="1" t="str">
        <f t="shared" si="203"/>
        <v>50</v>
      </c>
      <c r="G3245" s="1" t="str">
        <f t="shared" si="204"/>
        <v/>
      </c>
      <c r="I3245" s="1" t="str">
        <f t="shared" si="202"/>
        <v>威尔新数值1.06.xlsm!suitPower</v>
      </c>
    </row>
    <row r="3246" spans="1:9" x14ac:dyDescent="0.15">
      <c r="A3246" s="1">
        <v>3245</v>
      </c>
      <c r="B3246" s="1">
        <v>103090300</v>
      </c>
      <c r="C3246" s="1">
        <f t="shared" si="201"/>
        <v>10</v>
      </c>
      <c r="D3246" s="5">
        <f ca="1">IF(getQuality(B3246)&lt;4,getOtherMin(B3246,C3246,INDIRECT(J$2),INDIRECT(I3246),test),getMin(B3246,C3246,INDIRECT(J$2),INDIRECT(I3246),test))</f>
        <v>329.28048273180752</v>
      </c>
      <c r="E3246" s="5">
        <f ca="1">IF(getQuality(B3246)&lt;4,getOtherMax(B3246,C3246,INDIRECT(J$2),INDIRECT(I3246),test),getMax(B3246,C3246,INDIRECT(J$2),INDIRECT(I3246),test))</f>
        <v>390.92443123182665</v>
      </c>
      <c r="F3246" s="1" t="str">
        <f t="shared" si="203"/>
        <v>50</v>
      </c>
      <c r="G3246" s="1" t="str">
        <f t="shared" si="204"/>
        <v/>
      </c>
      <c r="I3246" s="1" t="str">
        <f t="shared" si="202"/>
        <v>威尔新数值1.06.xlsm!suitPower</v>
      </c>
    </row>
    <row r="3247" spans="1:9" x14ac:dyDescent="0.15">
      <c r="A3247" s="1">
        <v>3246</v>
      </c>
      <c r="B3247" s="1">
        <v>103090300</v>
      </c>
      <c r="C3247" s="1">
        <f t="shared" si="201"/>
        <v>11</v>
      </c>
      <c r="D3247" s="5">
        <f ca="1">IF(getQuality(B3247)&lt;4,getOtherMin(B3247,C3247,INDIRECT(J$2),INDIRECT(I3247),test),getMin(B3247,C3247,INDIRECT(J$2),INDIRECT(I3247),test))</f>
        <v>329.28048273180752</v>
      </c>
      <c r="E3247" s="5">
        <f ca="1">IF(getQuality(B3247)&lt;4,getOtherMax(B3247,C3247,INDIRECT(J$2),INDIRECT(I3247),test),getMax(B3247,C3247,INDIRECT(J$2),INDIRECT(I3247),test))</f>
        <v>390.92443123182665</v>
      </c>
      <c r="F3247" s="1" t="str">
        <f t="shared" si="203"/>
        <v>50</v>
      </c>
      <c r="G3247" s="1" t="str">
        <f t="shared" si="204"/>
        <v/>
      </c>
      <c r="I3247" s="1" t="str">
        <f t="shared" si="202"/>
        <v>威尔新数值1.06.xlsm!suitPower</v>
      </c>
    </row>
    <row r="3248" spans="1:9" x14ac:dyDescent="0.15">
      <c r="A3248" s="1">
        <v>3247</v>
      </c>
      <c r="B3248" s="1">
        <v>103090300</v>
      </c>
      <c r="C3248" s="1">
        <f t="shared" si="201"/>
        <v>12</v>
      </c>
      <c r="D3248" s="5">
        <f ca="1">IF(getQuality(B3248)&lt;4,getOtherMin(B3248,C3248,INDIRECT(J$2),INDIRECT(I3248),test),getMin(B3248,C3248,INDIRECT(J$2),INDIRECT(I3248),test))</f>
        <v>329.28048273180752</v>
      </c>
      <c r="E3248" s="5">
        <f ca="1">IF(getQuality(B3248)&lt;4,getOtherMax(B3248,C3248,INDIRECT(J$2),INDIRECT(I3248),test),getMax(B3248,C3248,INDIRECT(J$2),INDIRECT(I3248),test))</f>
        <v>390.92443123182665</v>
      </c>
      <c r="F3248" s="1" t="str">
        <f t="shared" si="203"/>
        <v>50</v>
      </c>
      <c r="G3248" s="1" t="str">
        <f t="shared" si="204"/>
        <v/>
      </c>
      <c r="I3248" s="1" t="str">
        <f t="shared" si="202"/>
        <v>威尔新数值1.06.xlsm!suitPower</v>
      </c>
    </row>
    <row r="3249" spans="1:9" x14ac:dyDescent="0.15">
      <c r="A3249" s="1">
        <v>3248</v>
      </c>
      <c r="B3249" s="1">
        <v>103090300</v>
      </c>
      <c r="C3249" s="1">
        <f t="shared" si="201"/>
        <v>13</v>
      </c>
      <c r="D3249" s="5">
        <f ca="1">IF(getQuality(B3249)&lt;4,getOtherMin(B3249,C3249,INDIRECT(J$2),INDIRECT(I3249),test),getMin(B3249,C3249,INDIRECT(J$2),INDIRECT(I3249),test))</f>
        <v>329.28048273180752</v>
      </c>
      <c r="E3249" s="5">
        <f ca="1">IF(getQuality(B3249)&lt;4,getOtherMax(B3249,C3249,INDIRECT(J$2),INDIRECT(I3249),test),getMax(B3249,C3249,INDIRECT(J$2),INDIRECT(I3249),test))</f>
        <v>390.92443123182665</v>
      </c>
      <c r="F3249" s="1" t="str">
        <f t="shared" si="203"/>
        <v>50</v>
      </c>
      <c r="G3249" s="1" t="str">
        <f t="shared" si="204"/>
        <v/>
      </c>
      <c r="I3249" s="1" t="str">
        <f t="shared" si="202"/>
        <v>威尔新数值1.06.xlsm!suitPower</v>
      </c>
    </row>
    <row r="3250" spans="1:9" x14ac:dyDescent="0.15">
      <c r="A3250" s="1">
        <v>3249</v>
      </c>
      <c r="B3250" s="1">
        <v>103090300</v>
      </c>
      <c r="C3250" s="1">
        <f t="shared" si="201"/>
        <v>14</v>
      </c>
      <c r="D3250" s="5">
        <f ca="1">IF(getQuality(B3250)&lt;4,getOtherMin(B3250,C3250,INDIRECT(J$2),INDIRECT(I3250),test),getMin(B3250,C3250,INDIRECT(J$2),INDIRECT(I3250),test))</f>
        <v>329.28048273180752</v>
      </c>
      <c r="E3250" s="5">
        <f ca="1">IF(getQuality(B3250)&lt;4,getOtherMax(B3250,C3250,INDIRECT(J$2),INDIRECT(I3250),test),getMax(B3250,C3250,INDIRECT(J$2),INDIRECT(I3250),test))</f>
        <v>390.92443123182665</v>
      </c>
      <c r="F3250" s="1" t="str">
        <f t="shared" si="203"/>
        <v>50</v>
      </c>
      <c r="G3250" s="1" t="str">
        <f t="shared" si="204"/>
        <v/>
      </c>
      <c r="I3250" s="1" t="str">
        <f t="shared" si="202"/>
        <v>威尔新数值1.06.xlsm!suitPower</v>
      </c>
    </row>
    <row r="3251" spans="1:9" x14ac:dyDescent="0.15">
      <c r="A3251" s="1">
        <v>3250</v>
      </c>
      <c r="B3251" s="1">
        <v>103090300</v>
      </c>
      <c r="C3251" s="1">
        <f t="shared" si="201"/>
        <v>15</v>
      </c>
      <c r="D3251" s="5">
        <f ca="1">IF(getQuality(B3251)&lt;4,getOtherMin(B3251,C3251,INDIRECT(J$2),INDIRECT(I3251),test),getMin(B3251,C3251,INDIRECT(J$2),INDIRECT(I3251),test))</f>
        <v>329.28048273180752</v>
      </c>
      <c r="E3251" s="5">
        <f ca="1">IF(getQuality(B3251)&lt;4,getOtherMax(B3251,C3251,INDIRECT(J$2),INDIRECT(I3251),test),getMax(B3251,C3251,INDIRECT(J$2),INDIRECT(I3251),test))</f>
        <v>390.92443123182665</v>
      </c>
      <c r="F3251" s="1" t="str">
        <f t="shared" si="203"/>
        <v>50</v>
      </c>
      <c r="G3251" s="1" t="str">
        <f t="shared" si="204"/>
        <v/>
      </c>
      <c r="I3251" s="1" t="str">
        <f t="shared" si="202"/>
        <v>威尔新数值1.06.xlsm!suitPower</v>
      </c>
    </row>
    <row r="3252" spans="1:9" x14ac:dyDescent="0.15">
      <c r="A3252" s="1">
        <v>3251</v>
      </c>
      <c r="B3252" s="1">
        <v>103090300</v>
      </c>
      <c r="C3252" s="1">
        <f t="shared" si="201"/>
        <v>101</v>
      </c>
      <c r="D3252" s="5">
        <f ca="1">IF(getQuality(B3252)&lt;4,getOtherMin(B3252,C3252,INDIRECT(J$2),INDIRECT(I3252),test),getMin(B3252,C3252,INDIRECT(J$2),INDIRECT(I3252),test))</f>
        <v>0.15</v>
      </c>
      <c r="E3252" s="5">
        <f ca="1">IF(getQuality(B3252)&lt;4,getOtherMax(B3252,C3252,INDIRECT(J$2),INDIRECT(I3252),test),getMax(B3252,C3252,INDIRECT(J$2),INDIRECT(I3252),test))</f>
        <v>0.18</v>
      </c>
      <c r="F3252" s="1" t="str">
        <f t="shared" si="203"/>
        <v>50</v>
      </c>
      <c r="G3252" s="1" t="str">
        <f t="shared" si="204"/>
        <v/>
      </c>
      <c r="I3252" s="1" t="str">
        <f t="shared" si="202"/>
        <v>威尔新数值1.06.xlsm!circlePer</v>
      </c>
    </row>
    <row r="3253" spans="1:9" x14ac:dyDescent="0.15">
      <c r="A3253" s="1">
        <v>3252</v>
      </c>
      <c r="B3253" s="1">
        <v>103090300</v>
      </c>
      <c r="C3253" s="1">
        <f t="shared" si="201"/>
        <v>102</v>
      </c>
      <c r="D3253" s="5">
        <f ca="1">IF(getQuality(B3253)&lt;4,getOtherMin(B3253,C3253,INDIRECT(J$2),INDIRECT(I3253),test),getMin(B3253,C3253,INDIRECT(J$2),INDIRECT(I3253),test))</f>
        <v>1.4</v>
      </c>
      <c r="E3253" s="5">
        <f ca="1">IF(getQuality(B3253)&lt;4,getOtherMax(B3253,C3253,INDIRECT(J$2),INDIRECT(I3253),test),getMax(B3253,C3253,INDIRECT(J$2),INDIRECT(I3253),test))</f>
        <v>1.7</v>
      </c>
      <c r="F3253" s="1" t="str">
        <f t="shared" si="203"/>
        <v>50</v>
      </c>
      <c r="G3253" s="1" t="str">
        <f t="shared" si="204"/>
        <v/>
      </c>
      <c r="I3253" s="1" t="str">
        <f t="shared" si="202"/>
        <v>威尔新数值1.06.xlsm!circleValue</v>
      </c>
    </row>
    <row r="3254" spans="1:9" x14ac:dyDescent="0.15">
      <c r="A3254" s="1">
        <v>3253</v>
      </c>
      <c r="B3254" s="1">
        <v>103090300</v>
      </c>
      <c r="C3254" s="1">
        <f t="shared" si="201"/>
        <v>103</v>
      </c>
      <c r="D3254" s="5">
        <f ca="1">IF(getQuality(B3254)&lt;4,getOtherMin(B3254,C3254,INDIRECT(J$2),INDIRECT(I3254),test),getMin(B3254,C3254,INDIRECT(J$2),INDIRECT(I3254),test))</f>
        <v>0.15</v>
      </c>
      <c r="E3254" s="5">
        <f ca="1">IF(getQuality(B3254)&lt;4,getOtherMax(B3254,C3254,INDIRECT(J$2),INDIRECT(I3254),test),getMax(B3254,C3254,INDIRECT(J$2),INDIRECT(I3254),test))</f>
        <v>0.18</v>
      </c>
      <c r="F3254" s="1" t="str">
        <f t="shared" si="203"/>
        <v>50</v>
      </c>
      <c r="G3254" s="1" t="str">
        <f t="shared" si="204"/>
        <v/>
      </c>
      <c r="I3254" s="1" t="str">
        <f t="shared" si="202"/>
        <v>威尔新数值1.06.xlsm!otherDamage</v>
      </c>
    </row>
    <row r="3255" spans="1:9" x14ac:dyDescent="0.15">
      <c r="A3255" s="1">
        <v>3254</v>
      </c>
      <c r="B3255" s="1">
        <v>103090300</v>
      </c>
      <c r="C3255" s="1">
        <f t="shared" si="201"/>
        <v>104</v>
      </c>
      <c r="D3255" s="5">
        <f ca="1">IF(getQuality(B3255)&lt;4,getOtherMin(B3255,C3255,INDIRECT(J$2),INDIRECT(I3255),test),getMin(B3255,C3255,INDIRECT(J$2),INDIRECT(I3255),test))</f>
        <v>0.15</v>
      </c>
      <c r="E3255" s="5">
        <f ca="1">IF(getQuality(B3255)&lt;4,getOtherMax(B3255,C3255,INDIRECT(J$2),INDIRECT(I3255),test),getMax(B3255,C3255,INDIRECT(J$2),INDIRECT(I3255),test))</f>
        <v>0.3</v>
      </c>
      <c r="F3255" s="1" t="str">
        <f t="shared" si="203"/>
        <v>50</v>
      </c>
      <c r="G3255" s="1" t="str">
        <f t="shared" si="204"/>
        <v/>
      </c>
      <c r="I3255" s="1" t="str">
        <f t="shared" si="202"/>
        <v>威尔新数值1.06.xlsm!monsterDamage</v>
      </c>
    </row>
    <row r="3256" spans="1:9" x14ac:dyDescent="0.15">
      <c r="A3256" s="1">
        <v>3255</v>
      </c>
      <c r="B3256" s="1">
        <v>103090300</v>
      </c>
      <c r="C3256" s="1">
        <f t="shared" si="201"/>
        <v>105</v>
      </c>
      <c r="D3256" s="5">
        <f ca="1">IF(getQuality(B3256)&lt;4,getOtherMin(B3256,C3256,INDIRECT(J$2),INDIRECT(I3256),test),getMin(B3256,C3256,INDIRECT(J$2),INDIRECT(I3256),test))</f>
        <v>0.15</v>
      </c>
      <c r="E3256" s="5">
        <f ca="1">IF(getQuality(B3256)&lt;4,getOtherMax(B3256,C3256,INDIRECT(J$2),INDIRECT(I3256),test),getMax(B3256,C3256,INDIRECT(J$2),INDIRECT(I3256),test))</f>
        <v>0.3</v>
      </c>
      <c r="F3256" s="1" t="str">
        <f t="shared" si="203"/>
        <v>50</v>
      </c>
      <c r="G3256" s="1" t="str">
        <f t="shared" si="204"/>
        <v/>
      </c>
      <c r="I3256" s="1" t="str">
        <f t="shared" si="202"/>
        <v>威尔新数值1.06.xlsm!monsterDamage</v>
      </c>
    </row>
    <row r="3257" spans="1:9" x14ac:dyDescent="0.15">
      <c r="A3257" s="1">
        <v>3256</v>
      </c>
      <c r="B3257" s="1">
        <v>103090300</v>
      </c>
      <c r="C3257" s="1">
        <f t="shared" si="201"/>
        <v>106</v>
      </c>
      <c r="D3257" s="5">
        <f ca="1">IF(getQuality(B3257)&lt;4,getOtherMin(B3257,C3257,INDIRECT(J$2),INDIRECT(I3257),test),getMin(B3257,C3257,INDIRECT(J$2),INDIRECT(I3257),test))</f>
        <v>0.15</v>
      </c>
      <c r="E3257" s="5">
        <f ca="1">IF(getQuality(B3257)&lt;4,getOtherMax(B3257,C3257,INDIRECT(J$2),INDIRECT(I3257),test),getMax(B3257,C3257,INDIRECT(J$2),INDIRECT(I3257),test))</f>
        <v>0.3</v>
      </c>
      <c r="F3257" s="1" t="str">
        <f t="shared" si="203"/>
        <v>50</v>
      </c>
      <c r="G3257" s="1" t="str">
        <f t="shared" si="204"/>
        <v/>
      </c>
      <c r="I3257" s="1" t="str">
        <f t="shared" si="202"/>
        <v>威尔新数值1.06.xlsm!monsterDamage</v>
      </c>
    </row>
    <row r="3258" spans="1:9" x14ac:dyDescent="0.15">
      <c r="A3258" s="1">
        <v>3257</v>
      </c>
      <c r="B3258" s="1">
        <v>103090300</v>
      </c>
      <c r="C3258" s="1">
        <f t="shared" si="201"/>
        <v>107</v>
      </c>
      <c r="D3258" s="5">
        <f ca="1">IF(getQuality(B3258)&lt;4,getOtherMin(B3258,C3258,INDIRECT(J$2),INDIRECT(I3258),test),getMin(B3258,C3258,INDIRECT(J$2),INDIRECT(I3258),test))</f>
        <v>0.15</v>
      </c>
      <c r="E3258" s="5">
        <f ca="1">IF(getQuality(B3258)&lt;4,getOtherMax(B3258,C3258,INDIRECT(J$2),INDIRECT(I3258),test),getMax(B3258,C3258,INDIRECT(J$2),INDIRECT(I3258),test))</f>
        <v>0.3</v>
      </c>
      <c r="F3258" s="1" t="str">
        <f t="shared" si="203"/>
        <v>50</v>
      </c>
      <c r="G3258" s="1" t="str">
        <f t="shared" si="204"/>
        <v/>
      </c>
      <c r="I3258" s="1" t="str">
        <f t="shared" si="202"/>
        <v>威尔新数值1.06.xlsm!monsterDamage</v>
      </c>
    </row>
    <row r="3259" spans="1:9" x14ac:dyDescent="0.15">
      <c r="A3259" s="1">
        <v>3258</v>
      </c>
      <c r="B3259" s="1">
        <v>103090300</v>
      </c>
      <c r="C3259" s="1">
        <f t="shared" si="201"/>
        <v>108</v>
      </c>
      <c r="D3259" s="5">
        <f ca="1">IF(getQuality(B3259)&lt;4,getOtherMin(B3259,C3259,INDIRECT(J$2),INDIRECT(I3259),test),getMin(B3259,C3259,INDIRECT(J$2),INDIRECT(I3259),test))</f>
        <v>0.15</v>
      </c>
      <c r="E3259" s="5">
        <f ca="1">IF(getQuality(B3259)&lt;4,getOtherMax(B3259,C3259,INDIRECT(J$2),INDIRECT(I3259),test),getMax(B3259,C3259,INDIRECT(J$2),INDIRECT(I3259),test))</f>
        <v>0.3</v>
      </c>
      <c r="F3259" s="1" t="str">
        <f t="shared" si="203"/>
        <v>50</v>
      </c>
      <c r="G3259" s="1" t="str">
        <f t="shared" si="204"/>
        <v/>
      </c>
      <c r="I3259" s="1" t="str">
        <f t="shared" si="202"/>
        <v>威尔新数值1.06.xlsm!monsterDamage</v>
      </c>
    </row>
    <row r="3260" spans="1:9" x14ac:dyDescent="0.15">
      <c r="A3260" s="1">
        <v>3259</v>
      </c>
      <c r="B3260" s="1">
        <v>103010400</v>
      </c>
      <c r="C3260" s="1">
        <f t="shared" ref="C3260:C3323" si="205">C785</f>
        <v>3</v>
      </c>
      <c r="D3260" s="5">
        <f ca="1">IF(getQuality(B3260)&lt;4,getOtherMin(B3260,C3260,INDIRECT(J$2),INDIRECT(I3260),test),getMin(B3260,C3260,INDIRECT(J$2),INDIRECT(I3260),test))</f>
        <v>1</v>
      </c>
      <c r="E3260" s="5">
        <f ca="1">IF(getQuality(B3260)&lt;4,getOtherMax(B3260,C3260,INDIRECT(J$2),INDIRECT(I3260),test),getMax(B3260,C3260,INDIRECT(J$2),INDIRECT(I3260),test))</f>
        <v>24.009875731714647</v>
      </c>
      <c r="F3260" s="1" t="str">
        <f t="shared" si="203"/>
        <v>50</v>
      </c>
      <c r="G3260" s="1" t="str">
        <f t="shared" si="204"/>
        <v/>
      </c>
      <c r="I3260" s="1" t="str">
        <f t="shared" si="202"/>
        <v>威尔新数值1.06.xlsm!suitPower</v>
      </c>
    </row>
    <row r="3261" spans="1:9" x14ac:dyDescent="0.15">
      <c r="A3261" s="1">
        <v>3260</v>
      </c>
      <c r="B3261" s="1">
        <v>103010400</v>
      </c>
      <c r="C3261" s="1">
        <f t="shared" si="205"/>
        <v>5</v>
      </c>
      <c r="D3261" s="5">
        <f ca="1">IF(getQuality(B3261)&lt;4,getOtherMin(B3261,C3261,INDIRECT(J$2),INDIRECT(I3261),test),getMin(B3261,C3261,INDIRECT(J$2),INDIRECT(I3261),test))</f>
        <v>1</v>
      </c>
      <c r="E3261" s="5">
        <f ca="1">IF(getQuality(B3261)&lt;4,getOtherMax(B3261,C3261,INDIRECT(J$2),INDIRECT(I3261),test),getMax(B3261,C3261,INDIRECT(J$2),INDIRECT(I3261),test))</f>
        <v>24.009875731714647</v>
      </c>
      <c r="F3261" s="1" t="str">
        <f t="shared" si="203"/>
        <v>50</v>
      </c>
      <c r="G3261" s="1" t="str">
        <f t="shared" si="204"/>
        <v>1</v>
      </c>
      <c r="I3261" s="1" t="str">
        <f t="shared" si="202"/>
        <v>威尔新数值1.06.xlsm!suitPower</v>
      </c>
    </row>
    <row r="3262" spans="1:9" x14ac:dyDescent="0.15">
      <c r="A3262" s="1">
        <v>3261</v>
      </c>
      <c r="B3262" s="1">
        <v>103010400</v>
      </c>
      <c r="C3262" s="1">
        <f t="shared" si="205"/>
        <v>7</v>
      </c>
      <c r="D3262" s="5">
        <f ca="1">IF(getQuality(B3262)&lt;4,getOtherMin(B3262,C3262,INDIRECT(J$2),INDIRECT(I3262),test),getMin(B3262,C3262,INDIRECT(J$2),INDIRECT(I3262),test))</f>
        <v>1</v>
      </c>
      <c r="E3262" s="5">
        <f ca="1">IF(getQuality(B3262)&lt;4,getOtherMax(B3262,C3262,INDIRECT(J$2),INDIRECT(I3262),test),getMax(B3262,C3262,INDIRECT(J$2),INDIRECT(I3262),test))</f>
        <v>7.4074074074073888</v>
      </c>
      <c r="F3262" s="1" t="str">
        <f t="shared" si="203"/>
        <v>50</v>
      </c>
      <c r="G3262" s="1" t="str">
        <f t="shared" si="204"/>
        <v/>
      </c>
      <c r="I3262" s="1" t="str">
        <f t="shared" si="202"/>
        <v>威尔新数值1.06.xlsm!suitPower</v>
      </c>
    </row>
    <row r="3263" spans="1:9" x14ac:dyDescent="0.15">
      <c r="A3263" s="1">
        <v>3262</v>
      </c>
      <c r="B3263" s="1">
        <v>103010400</v>
      </c>
      <c r="C3263" s="1">
        <f t="shared" si="205"/>
        <v>8</v>
      </c>
      <c r="D3263" s="5">
        <f ca="1">IF(getQuality(B3263)&lt;4,getOtherMin(B3263,C3263,INDIRECT(J$2),INDIRECT(I3263),test),getMin(B3263,C3263,INDIRECT(J$2),INDIRECT(I3263),test))</f>
        <v>1</v>
      </c>
      <c r="E3263" s="5">
        <f ca="1">IF(getQuality(B3263)&lt;4,getOtherMax(B3263,C3263,INDIRECT(J$2),INDIRECT(I3263),test),getMax(B3263,C3263,INDIRECT(J$2),INDIRECT(I3263),test))</f>
        <v>16.666666666666668</v>
      </c>
      <c r="F3263" s="1" t="str">
        <f t="shared" si="203"/>
        <v>50</v>
      </c>
      <c r="G3263" s="1" t="str">
        <f t="shared" si="204"/>
        <v/>
      </c>
      <c r="I3263" s="1" t="str">
        <f t="shared" si="202"/>
        <v>威尔新数值1.06.xlsm!suitPower</v>
      </c>
    </row>
    <row r="3264" spans="1:9" x14ac:dyDescent="0.15">
      <c r="A3264" s="1">
        <v>3263</v>
      </c>
      <c r="B3264" s="1">
        <v>103010400</v>
      </c>
      <c r="C3264" s="1">
        <f t="shared" si="205"/>
        <v>9</v>
      </c>
      <c r="D3264" s="5">
        <f ca="1">IF(getQuality(B3264)&lt;4,getOtherMin(B3264,C3264,INDIRECT(J$2),INDIRECT(I3264),test),getMin(B3264,C3264,INDIRECT(J$2),INDIRECT(I3264),test))</f>
        <v>1</v>
      </c>
      <c r="E3264" s="5">
        <f ca="1">IF(getQuality(B3264)&lt;4,getOtherMax(B3264,C3264,INDIRECT(J$2),INDIRECT(I3264),test),getMax(B3264,C3264,INDIRECT(J$2),INDIRECT(I3264),test))</f>
        <v>24.009875731714647</v>
      </c>
      <c r="F3264" s="1" t="str">
        <f t="shared" si="203"/>
        <v>50</v>
      </c>
      <c r="G3264" s="1" t="str">
        <f t="shared" si="204"/>
        <v/>
      </c>
      <c r="I3264" s="1" t="str">
        <f t="shared" si="202"/>
        <v>威尔新数值1.06.xlsm!suitPower</v>
      </c>
    </row>
    <row r="3265" spans="1:9" x14ac:dyDescent="0.15">
      <c r="A3265" s="1">
        <v>3264</v>
      </c>
      <c r="B3265" s="1">
        <v>103010400</v>
      </c>
      <c r="C3265" s="1">
        <f t="shared" si="205"/>
        <v>10</v>
      </c>
      <c r="D3265" s="5">
        <f ca="1">IF(getQuality(B3265)&lt;4,getOtherMin(B3265,C3265,INDIRECT(J$2),INDIRECT(I3265),test),getMin(B3265,C3265,INDIRECT(J$2),INDIRECT(I3265),test))</f>
        <v>1</v>
      </c>
      <c r="E3265" s="5">
        <f ca="1">IF(getQuality(B3265)&lt;4,getOtherMax(B3265,C3265,INDIRECT(J$2),INDIRECT(I3265),test),getMax(B3265,C3265,INDIRECT(J$2),INDIRECT(I3265),test))</f>
        <v>24.009875731714647</v>
      </c>
      <c r="F3265" s="1" t="str">
        <f t="shared" si="203"/>
        <v>50</v>
      </c>
      <c r="G3265" s="1" t="str">
        <f t="shared" si="204"/>
        <v/>
      </c>
      <c r="I3265" s="1" t="str">
        <f t="shared" si="202"/>
        <v>威尔新数值1.06.xlsm!suitPower</v>
      </c>
    </row>
    <row r="3266" spans="1:9" x14ac:dyDescent="0.15">
      <c r="A3266" s="1">
        <v>3265</v>
      </c>
      <c r="B3266" s="1">
        <v>103010400</v>
      </c>
      <c r="C3266" s="1">
        <f t="shared" si="205"/>
        <v>11</v>
      </c>
      <c r="D3266" s="5">
        <f ca="1">IF(getQuality(B3266)&lt;4,getOtherMin(B3266,C3266,INDIRECT(J$2),INDIRECT(I3266),test),getMin(B3266,C3266,INDIRECT(J$2),INDIRECT(I3266),test))</f>
        <v>1</v>
      </c>
      <c r="E3266" s="5">
        <f ca="1">IF(getQuality(B3266)&lt;4,getOtherMax(B3266,C3266,INDIRECT(J$2),INDIRECT(I3266),test),getMax(B3266,C3266,INDIRECT(J$2),INDIRECT(I3266),test))</f>
        <v>24.009875731714647</v>
      </c>
      <c r="F3266" s="1" t="str">
        <f t="shared" si="203"/>
        <v>50</v>
      </c>
      <c r="G3266" s="1" t="str">
        <f t="shared" si="204"/>
        <v/>
      </c>
      <c r="I3266" s="1" t="str">
        <f t="shared" ref="I3266:I3329" si="206">IF(C3266&lt;100,VLOOKUP(C3266,test,3,FALSE),VLOOKUP(C3266,test1,3,FALSE))</f>
        <v>威尔新数值1.06.xlsm!suitPower</v>
      </c>
    </row>
    <row r="3267" spans="1:9" x14ac:dyDescent="0.15">
      <c r="A3267" s="1">
        <v>3266</v>
      </c>
      <c r="B3267" s="1">
        <v>103010400</v>
      </c>
      <c r="C3267" s="1">
        <f t="shared" si="205"/>
        <v>12</v>
      </c>
      <c r="D3267" s="5">
        <f ca="1">IF(getQuality(B3267)&lt;4,getOtherMin(B3267,C3267,INDIRECT(J$2),INDIRECT(I3267),test),getMin(B3267,C3267,INDIRECT(J$2),INDIRECT(I3267),test))</f>
        <v>1</v>
      </c>
      <c r="E3267" s="5">
        <f ca="1">IF(getQuality(B3267)&lt;4,getOtherMax(B3267,C3267,INDIRECT(J$2),INDIRECT(I3267),test),getMax(B3267,C3267,INDIRECT(J$2),INDIRECT(I3267),test))</f>
        <v>24.009875731714647</v>
      </c>
      <c r="F3267" s="1" t="str">
        <f t="shared" ref="F3267:F3330" si="207">getper(B3267,C3267)</f>
        <v>50</v>
      </c>
      <c r="G3267" s="1" t="str">
        <f t="shared" ref="G3267:G3330" si="208">getMust(B3267,C3267)</f>
        <v/>
      </c>
      <c r="I3267" s="1" t="str">
        <f t="shared" si="206"/>
        <v>威尔新数值1.06.xlsm!suitPower</v>
      </c>
    </row>
    <row r="3268" spans="1:9" x14ac:dyDescent="0.15">
      <c r="A3268" s="1">
        <v>3267</v>
      </c>
      <c r="B3268" s="1">
        <v>103010400</v>
      </c>
      <c r="C3268" s="1">
        <f t="shared" si="205"/>
        <v>13</v>
      </c>
      <c r="D3268" s="5">
        <f ca="1">IF(getQuality(B3268)&lt;4,getOtherMin(B3268,C3268,INDIRECT(J$2),INDIRECT(I3268),test),getMin(B3268,C3268,INDIRECT(J$2),INDIRECT(I3268),test))</f>
        <v>1</v>
      </c>
      <c r="E3268" s="5">
        <f ca="1">IF(getQuality(B3268)&lt;4,getOtherMax(B3268,C3268,INDIRECT(J$2),INDIRECT(I3268),test),getMax(B3268,C3268,INDIRECT(J$2),INDIRECT(I3268),test))</f>
        <v>24.009875731714647</v>
      </c>
      <c r="F3268" s="1" t="str">
        <f t="shared" si="207"/>
        <v>50</v>
      </c>
      <c r="G3268" s="1" t="str">
        <f t="shared" si="208"/>
        <v/>
      </c>
      <c r="I3268" s="1" t="str">
        <f t="shared" si="206"/>
        <v>威尔新数值1.06.xlsm!suitPower</v>
      </c>
    </row>
    <row r="3269" spans="1:9" x14ac:dyDescent="0.15">
      <c r="A3269" s="1">
        <v>3268</v>
      </c>
      <c r="B3269" s="1">
        <v>103010400</v>
      </c>
      <c r="C3269" s="1">
        <f t="shared" si="205"/>
        <v>14</v>
      </c>
      <c r="D3269" s="5">
        <f ca="1">IF(getQuality(B3269)&lt;4,getOtherMin(B3269,C3269,INDIRECT(J$2),INDIRECT(I3269),test),getMin(B3269,C3269,INDIRECT(J$2),INDIRECT(I3269),test))</f>
        <v>1</v>
      </c>
      <c r="E3269" s="5">
        <f ca="1">IF(getQuality(B3269)&lt;4,getOtherMax(B3269,C3269,INDIRECT(J$2),INDIRECT(I3269),test),getMax(B3269,C3269,INDIRECT(J$2),INDIRECT(I3269),test))</f>
        <v>24.009875731714647</v>
      </c>
      <c r="F3269" s="1" t="str">
        <f t="shared" si="207"/>
        <v>50</v>
      </c>
      <c r="G3269" s="1" t="str">
        <f t="shared" si="208"/>
        <v/>
      </c>
      <c r="I3269" s="1" t="str">
        <f t="shared" si="206"/>
        <v>威尔新数值1.06.xlsm!suitPower</v>
      </c>
    </row>
    <row r="3270" spans="1:9" x14ac:dyDescent="0.15">
      <c r="A3270" s="1">
        <v>3269</v>
      </c>
      <c r="B3270" s="1">
        <v>103010400</v>
      </c>
      <c r="C3270" s="1">
        <f t="shared" si="205"/>
        <v>15</v>
      </c>
      <c r="D3270" s="5">
        <f ca="1">IF(getQuality(B3270)&lt;4,getOtherMin(B3270,C3270,INDIRECT(J$2),INDIRECT(I3270),test),getMin(B3270,C3270,INDIRECT(J$2),INDIRECT(I3270),test))</f>
        <v>1</v>
      </c>
      <c r="E3270" s="5">
        <f ca="1">IF(getQuality(B3270)&lt;4,getOtherMax(B3270,C3270,INDIRECT(J$2),INDIRECT(I3270),test),getMax(B3270,C3270,INDIRECT(J$2),INDIRECT(I3270),test))</f>
        <v>24.009875731714647</v>
      </c>
      <c r="F3270" s="1" t="str">
        <f t="shared" si="207"/>
        <v>50</v>
      </c>
      <c r="G3270" s="1" t="str">
        <f t="shared" si="208"/>
        <v/>
      </c>
      <c r="I3270" s="1" t="str">
        <f t="shared" si="206"/>
        <v>威尔新数值1.06.xlsm!suitPower</v>
      </c>
    </row>
    <row r="3271" spans="1:9" x14ac:dyDescent="0.15">
      <c r="A3271" s="1">
        <v>3270</v>
      </c>
      <c r="B3271" s="1">
        <v>103010400</v>
      </c>
      <c r="C3271" s="1">
        <f t="shared" si="205"/>
        <v>101</v>
      </c>
      <c r="D3271" s="5">
        <f ca="1">IF(getQuality(B3271)&lt;4,getOtherMin(B3271,C3271,INDIRECT(J$2),INDIRECT(I3271),test),getMin(B3271,C3271,INDIRECT(J$2),INDIRECT(I3271),test))</f>
        <v>7.0000000000000007E-2</v>
      </c>
      <c r="E3271" s="5">
        <f ca="1">IF(getQuality(B3271)&lt;4,getOtherMax(B3271,C3271,INDIRECT(J$2),INDIRECT(I3271),test),getMax(B3271,C3271,INDIRECT(J$2),INDIRECT(I3271),test))</f>
        <v>0.1</v>
      </c>
      <c r="F3271" s="1" t="str">
        <f t="shared" si="207"/>
        <v>50</v>
      </c>
      <c r="G3271" s="1" t="str">
        <f t="shared" si="208"/>
        <v/>
      </c>
      <c r="I3271" s="1" t="str">
        <f t="shared" si="206"/>
        <v>威尔新数值1.06.xlsm!circlePer</v>
      </c>
    </row>
    <row r="3272" spans="1:9" x14ac:dyDescent="0.15">
      <c r="A3272" s="1">
        <v>3271</v>
      </c>
      <c r="B3272" s="1">
        <v>103010400</v>
      </c>
      <c r="C3272" s="1">
        <f t="shared" si="205"/>
        <v>102</v>
      </c>
      <c r="D3272" s="5">
        <f ca="1">IF(getQuality(B3272)&lt;4,getOtherMin(B3272,C3272,INDIRECT(J$2),INDIRECT(I3272),test),getMin(B3272,C3272,INDIRECT(J$2),INDIRECT(I3272),test))</f>
        <v>0.6</v>
      </c>
      <c r="E3272" s="5">
        <f ca="1">IF(getQuality(B3272)&lt;4,getOtherMax(B3272,C3272,INDIRECT(J$2),INDIRECT(I3272),test),getMax(B3272,C3272,INDIRECT(J$2),INDIRECT(I3272),test))</f>
        <v>0.9</v>
      </c>
      <c r="F3272" s="1" t="str">
        <f t="shared" si="207"/>
        <v>50</v>
      </c>
      <c r="G3272" s="1" t="str">
        <f t="shared" si="208"/>
        <v/>
      </c>
      <c r="I3272" s="1" t="str">
        <f t="shared" si="206"/>
        <v>威尔新数值1.06.xlsm!circleValue</v>
      </c>
    </row>
    <row r="3273" spans="1:9" x14ac:dyDescent="0.15">
      <c r="A3273" s="1">
        <v>3272</v>
      </c>
      <c r="B3273" s="1">
        <v>103010400</v>
      </c>
      <c r="C3273" s="1">
        <f t="shared" si="205"/>
        <v>103</v>
      </c>
      <c r="D3273" s="5">
        <f ca="1">IF(getQuality(B3273)&lt;4,getOtherMin(B3273,C3273,INDIRECT(J$2),INDIRECT(I3273),test),getMin(B3273,C3273,INDIRECT(J$2),INDIRECT(I3273),test))</f>
        <v>7.0000000000000007E-2</v>
      </c>
      <c r="E3273" s="5">
        <f ca="1">IF(getQuality(B3273)&lt;4,getOtherMax(B3273,C3273,INDIRECT(J$2),INDIRECT(I3273),test),getMax(B3273,C3273,INDIRECT(J$2),INDIRECT(I3273),test))</f>
        <v>0.1</v>
      </c>
      <c r="F3273" s="1" t="str">
        <f t="shared" si="207"/>
        <v>50</v>
      </c>
      <c r="G3273" s="1" t="str">
        <f t="shared" si="208"/>
        <v/>
      </c>
      <c r="I3273" s="1" t="str">
        <f t="shared" si="206"/>
        <v>威尔新数值1.06.xlsm!otherDamage</v>
      </c>
    </row>
    <row r="3274" spans="1:9" x14ac:dyDescent="0.15">
      <c r="A3274" s="1">
        <v>3273</v>
      </c>
      <c r="B3274" s="1">
        <v>103010400</v>
      </c>
      <c r="C3274" s="1">
        <f t="shared" si="205"/>
        <v>104</v>
      </c>
      <c r="D3274" s="5">
        <f ca="1">IF(getQuality(B3274)&lt;4,getOtherMin(B3274,C3274,INDIRECT(J$2),INDIRECT(I3274),test),getMin(B3274,C3274,INDIRECT(J$2),INDIRECT(I3274),test))</f>
        <v>7.0000000000000007E-2</v>
      </c>
      <c r="E3274" s="5">
        <f ca="1">IF(getQuality(B3274)&lt;4,getOtherMax(B3274,C3274,INDIRECT(J$2),INDIRECT(I3274),test),getMax(B3274,C3274,INDIRECT(J$2),INDIRECT(I3274),test))</f>
        <v>0.14000000000000001</v>
      </c>
      <c r="F3274" s="1" t="str">
        <f t="shared" si="207"/>
        <v>50</v>
      </c>
      <c r="G3274" s="1" t="str">
        <f t="shared" si="208"/>
        <v/>
      </c>
      <c r="I3274" s="1" t="str">
        <f t="shared" si="206"/>
        <v>威尔新数值1.06.xlsm!monsterDamage</v>
      </c>
    </row>
    <row r="3275" spans="1:9" x14ac:dyDescent="0.15">
      <c r="A3275" s="1">
        <v>3274</v>
      </c>
      <c r="B3275" s="1">
        <v>103010400</v>
      </c>
      <c r="C3275" s="1">
        <f t="shared" si="205"/>
        <v>105</v>
      </c>
      <c r="D3275" s="5">
        <f ca="1">IF(getQuality(B3275)&lt;4,getOtherMin(B3275,C3275,INDIRECT(J$2),INDIRECT(I3275),test),getMin(B3275,C3275,INDIRECT(J$2),INDIRECT(I3275),test))</f>
        <v>7.0000000000000007E-2</v>
      </c>
      <c r="E3275" s="5">
        <f ca="1">IF(getQuality(B3275)&lt;4,getOtherMax(B3275,C3275,INDIRECT(J$2),INDIRECT(I3275),test),getMax(B3275,C3275,INDIRECT(J$2),INDIRECT(I3275),test))</f>
        <v>0.14000000000000001</v>
      </c>
      <c r="F3275" s="1" t="str">
        <f t="shared" si="207"/>
        <v>50</v>
      </c>
      <c r="G3275" s="1" t="str">
        <f t="shared" si="208"/>
        <v/>
      </c>
      <c r="I3275" s="1" t="str">
        <f t="shared" si="206"/>
        <v>威尔新数值1.06.xlsm!monsterDamage</v>
      </c>
    </row>
    <row r="3276" spans="1:9" x14ac:dyDescent="0.15">
      <c r="A3276" s="1">
        <v>3275</v>
      </c>
      <c r="B3276" s="1">
        <v>103010400</v>
      </c>
      <c r="C3276" s="1">
        <f t="shared" si="205"/>
        <v>106</v>
      </c>
      <c r="D3276" s="5">
        <f ca="1">IF(getQuality(B3276)&lt;4,getOtherMin(B3276,C3276,INDIRECT(J$2),INDIRECT(I3276),test),getMin(B3276,C3276,INDIRECT(J$2),INDIRECT(I3276),test))</f>
        <v>7.0000000000000007E-2</v>
      </c>
      <c r="E3276" s="5">
        <f ca="1">IF(getQuality(B3276)&lt;4,getOtherMax(B3276,C3276,INDIRECT(J$2),INDIRECT(I3276),test),getMax(B3276,C3276,INDIRECT(J$2),INDIRECT(I3276),test))</f>
        <v>0.14000000000000001</v>
      </c>
      <c r="F3276" s="1" t="str">
        <f t="shared" si="207"/>
        <v>50</v>
      </c>
      <c r="G3276" s="1" t="str">
        <f t="shared" si="208"/>
        <v/>
      </c>
      <c r="I3276" s="1" t="str">
        <f t="shared" si="206"/>
        <v>威尔新数值1.06.xlsm!monsterDamage</v>
      </c>
    </row>
    <row r="3277" spans="1:9" x14ac:dyDescent="0.15">
      <c r="A3277" s="1">
        <v>3276</v>
      </c>
      <c r="B3277" s="1">
        <v>103010400</v>
      </c>
      <c r="C3277" s="1">
        <f t="shared" si="205"/>
        <v>107</v>
      </c>
      <c r="D3277" s="5">
        <f ca="1">IF(getQuality(B3277)&lt;4,getOtherMin(B3277,C3277,INDIRECT(J$2),INDIRECT(I3277),test),getMin(B3277,C3277,INDIRECT(J$2),INDIRECT(I3277),test))</f>
        <v>7.0000000000000007E-2</v>
      </c>
      <c r="E3277" s="5">
        <f ca="1">IF(getQuality(B3277)&lt;4,getOtherMax(B3277,C3277,INDIRECT(J$2),INDIRECT(I3277),test),getMax(B3277,C3277,INDIRECT(J$2),INDIRECT(I3277),test))</f>
        <v>0.14000000000000001</v>
      </c>
      <c r="F3277" s="1" t="str">
        <f t="shared" si="207"/>
        <v>50</v>
      </c>
      <c r="G3277" s="1" t="str">
        <f t="shared" si="208"/>
        <v/>
      </c>
      <c r="I3277" s="1" t="str">
        <f t="shared" si="206"/>
        <v>威尔新数值1.06.xlsm!monsterDamage</v>
      </c>
    </row>
    <row r="3278" spans="1:9" x14ac:dyDescent="0.15">
      <c r="A3278" s="1">
        <v>3277</v>
      </c>
      <c r="B3278" s="1">
        <v>103010400</v>
      </c>
      <c r="C3278" s="1">
        <f t="shared" si="205"/>
        <v>108</v>
      </c>
      <c r="D3278" s="5">
        <f ca="1">IF(getQuality(B3278)&lt;4,getOtherMin(B3278,C3278,INDIRECT(J$2),INDIRECT(I3278),test),getMin(B3278,C3278,INDIRECT(J$2),INDIRECT(I3278),test))</f>
        <v>7.0000000000000007E-2</v>
      </c>
      <c r="E3278" s="5">
        <f ca="1">IF(getQuality(B3278)&lt;4,getOtherMax(B3278,C3278,INDIRECT(J$2),INDIRECT(I3278),test),getMax(B3278,C3278,INDIRECT(J$2),INDIRECT(I3278),test))</f>
        <v>0.14000000000000001</v>
      </c>
      <c r="F3278" s="1" t="str">
        <f t="shared" si="207"/>
        <v>50</v>
      </c>
      <c r="G3278" s="1" t="str">
        <f t="shared" si="208"/>
        <v/>
      </c>
      <c r="I3278" s="1" t="str">
        <f t="shared" si="206"/>
        <v>威尔新数值1.06.xlsm!monsterDamage</v>
      </c>
    </row>
    <row r="3279" spans="1:9" x14ac:dyDescent="0.15">
      <c r="A3279" s="1">
        <v>3278</v>
      </c>
      <c r="B3279" s="1">
        <v>103020400</v>
      </c>
      <c r="C3279" s="1">
        <f t="shared" si="205"/>
        <v>3</v>
      </c>
      <c r="D3279" s="5">
        <f ca="1">IF(getQuality(B3279)&lt;4,getOtherMin(B3279,C3279,INDIRECT(J$2),INDIRECT(I3279),test),getMin(B3279,C3279,INDIRECT(J$2),INDIRECT(I3279),test))</f>
        <v>25.009875731714647</v>
      </c>
      <c r="E3279" s="5">
        <f ca="1">IF(getQuality(B3279)&lt;4,getOtherMax(B3279,C3279,INDIRECT(J$2),INDIRECT(I3279),test),getMax(B3279,C3279,INDIRECT(J$2),INDIRECT(I3279),test))</f>
        <v>52.82172660977222</v>
      </c>
      <c r="F3279" s="1" t="str">
        <f t="shared" si="207"/>
        <v>50</v>
      </c>
      <c r="G3279" s="1" t="str">
        <f t="shared" si="208"/>
        <v/>
      </c>
      <c r="I3279" s="1" t="str">
        <f t="shared" si="206"/>
        <v>威尔新数值1.06.xlsm!suitPower</v>
      </c>
    </row>
    <row r="3280" spans="1:9" x14ac:dyDescent="0.15">
      <c r="A3280" s="1">
        <v>3279</v>
      </c>
      <c r="B3280" s="1">
        <v>103020400</v>
      </c>
      <c r="C3280" s="1">
        <f t="shared" si="205"/>
        <v>5</v>
      </c>
      <c r="D3280" s="5">
        <f ca="1">IF(getQuality(B3280)&lt;4,getOtherMin(B3280,C3280,INDIRECT(J$2),INDIRECT(I3280),test),getMin(B3280,C3280,INDIRECT(J$2),INDIRECT(I3280),test))</f>
        <v>25.009875731714647</v>
      </c>
      <c r="E3280" s="5">
        <f ca="1">IF(getQuality(B3280)&lt;4,getOtherMax(B3280,C3280,INDIRECT(J$2),INDIRECT(I3280),test),getMax(B3280,C3280,INDIRECT(J$2),INDIRECT(I3280),test))</f>
        <v>52.82172660977222</v>
      </c>
      <c r="F3280" s="1" t="str">
        <f t="shared" si="207"/>
        <v>50</v>
      </c>
      <c r="G3280" s="1" t="str">
        <f t="shared" si="208"/>
        <v>1</v>
      </c>
      <c r="I3280" s="1" t="str">
        <f t="shared" si="206"/>
        <v>威尔新数值1.06.xlsm!suitPower</v>
      </c>
    </row>
    <row r="3281" spans="1:9" x14ac:dyDescent="0.15">
      <c r="A3281" s="1">
        <v>3280</v>
      </c>
      <c r="B3281" s="1">
        <v>103020400</v>
      </c>
      <c r="C3281" s="1">
        <f t="shared" si="205"/>
        <v>7</v>
      </c>
      <c r="D3281" s="5">
        <f ca="1">IF(getQuality(B3281)&lt;4,getOtherMin(B3281,C3281,INDIRECT(J$2),INDIRECT(I3281),test),getMin(B3281,C3281,INDIRECT(J$2),INDIRECT(I3281),test))</f>
        <v>8.4074074074073888</v>
      </c>
      <c r="E3281" s="5">
        <f ca="1">IF(getQuality(B3281)&lt;4,getOtherMax(B3281,C3281,INDIRECT(J$2),INDIRECT(I3281),test),getMax(B3281,C3281,INDIRECT(J$2),INDIRECT(I3281),test))</f>
        <v>14.814814814814778</v>
      </c>
      <c r="F3281" s="1" t="str">
        <f t="shared" si="207"/>
        <v>50</v>
      </c>
      <c r="G3281" s="1" t="str">
        <f t="shared" si="208"/>
        <v/>
      </c>
      <c r="I3281" s="1" t="str">
        <f t="shared" si="206"/>
        <v>威尔新数值1.06.xlsm!suitPower</v>
      </c>
    </row>
    <row r="3282" spans="1:9" x14ac:dyDescent="0.15">
      <c r="A3282" s="1">
        <v>3281</v>
      </c>
      <c r="B3282" s="1">
        <v>103020400</v>
      </c>
      <c r="C3282" s="1">
        <f t="shared" si="205"/>
        <v>8</v>
      </c>
      <c r="D3282" s="5">
        <f ca="1">IF(getQuality(B3282)&lt;4,getOtherMin(B3282,C3282,INDIRECT(J$2),INDIRECT(I3282),test),getMin(B3282,C3282,INDIRECT(J$2),INDIRECT(I3282),test))</f>
        <v>17.666666666666668</v>
      </c>
      <c r="E3282" s="5">
        <f ca="1">IF(getQuality(B3282)&lt;4,getOtherMax(B3282,C3282,INDIRECT(J$2),INDIRECT(I3282),test),getMax(B3282,C3282,INDIRECT(J$2),INDIRECT(I3282),test))</f>
        <v>33.333333333333336</v>
      </c>
      <c r="F3282" s="1" t="str">
        <f t="shared" si="207"/>
        <v>50</v>
      </c>
      <c r="G3282" s="1" t="str">
        <f t="shared" si="208"/>
        <v/>
      </c>
      <c r="I3282" s="1" t="str">
        <f t="shared" si="206"/>
        <v>威尔新数值1.06.xlsm!suitPower</v>
      </c>
    </row>
    <row r="3283" spans="1:9" x14ac:dyDescent="0.15">
      <c r="A3283" s="1">
        <v>3282</v>
      </c>
      <c r="B3283" s="1">
        <v>103020400</v>
      </c>
      <c r="C3283" s="1">
        <f t="shared" si="205"/>
        <v>9</v>
      </c>
      <c r="D3283" s="5">
        <f ca="1">IF(getQuality(B3283)&lt;4,getOtherMin(B3283,C3283,INDIRECT(J$2),INDIRECT(I3283),test),getMin(B3283,C3283,INDIRECT(J$2),INDIRECT(I3283),test))</f>
        <v>25.009875731714647</v>
      </c>
      <c r="E3283" s="5">
        <f ca="1">IF(getQuality(B3283)&lt;4,getOtherMax(B3283,C3283,INDIRECT(J$2),INDIRECT(I3283),test),getMax(B3283,C3283,INDIRECT(J$2),INDIRECT(I3283),test))</f>
        <v>52.82172660977222</v>
      </c>
      <c r="F3283" s="1" t="str">
        <f t="shared" si="207"/>
        <v>50</v>
      </c>
      <c r="G3283" s="1" t="str">
        <f t="shared" si="208"/>
        <v/>
      </c>
      <c r="I3283" s="1" t="str">
        <f t="shared" si="206"/>
        <v>威尔新数值1.06.xlsm!suitPower</v>
      </c>
    </row>
    <row r="3284" spans="1:9" x14ac:dyDescent="0.15">
      <c r="A3284" s="1">
        <v>3283</v>
      </c>
      <c r="B3284" s="1">
        <v>103020400</v>
      </c>
      <c r="C3284" s="1">
        <f t="shared" si="205"/>
        <v>10</v>
      </c>
      <c r="D3284" s="5">
        <f ca="1">IF(getQuality(B3284)&lt;4,getOtherMin(B3284,C3284,INDIRECT(J$2),INDIRECT(I3284),test),getMin(B3284,C3284,INDIRECT(J$2),INDIRECT(I3284),test))</f>
        <v>25.009875731714647</v>
      </c>
      <c r="E3284" s="5">
        <f ca="1">IF(getQuality(B3284)&lt;4,getOtherMax(B3284,C3284,INDIRECT(J$2),INDIRECT(I3284),test),getMax(B3284,C3284,INDIRECT(J$2),INDIRECT(I3284),test))</f>
        <v>52.82172660977222</v>
      </c>
      <c r="F3284" s="1" t="str">
        <f t="shared" si="207"/>
        <v>50</v>
      </c>
      <c r="G3284" s="1" t="str">
        <f t="shared" si="208"/>
        <v/>
      </c>
      <c r="I3284" s="1" t="str">
        <f t="shared" si="206"/>
        <v>威尔新数值1.06.xlsm!suitPower</v>
      </c>
    </row>
    <row r="3285" spans="1:9" x14ac:dyDescent="0.15">
      <c r="A3285" s="1">
        <v>3284</v>
      </c>
      <c r="B3285" s="1">
        <v>103020400</v>
      </c>
      <c r="C3285" s="1">
        <f t="shared" si="205"/>
        <v>11</v>
      </c>
      <c r="D3285" s="5">
        <f ca="1">IF(getQuality(B3285)&lt;4,getOtherMin(B3285,C3285,INDIRECT(J$2),INDIRECT(I3285),test),getMin(B3285,C3285,INDIRECT(J$2),INDIRECT(I3285),test))</f>
        <v>25.009875731714647</v>
      </c>
      <c r="E3285" s="5">
        <f ca="1">IF(getQuality(B3285)&lt;4,getOtherMax(B3285,C3285,INDIRECT(J$2),INDIRECT(I3285),test),getMax(B3285,C3285,INDIRECT(J$2),INDIRECT(I3285),test))</f>
        <v>52.82172660977222</v>
      </c>
      <c r="F3285" s="1" t="str">
        <f t="shared" si="207"/>
        <v>50</v>
      </c>
      <c r="G3285" s="1" t="str">
        <f t="shared" si="208"/>
        <v/>
      </c>
      <c r="I3285" s="1" t="str">
        <f t="shared" si="206"/>
        <v>威尔新数值1.06.xlsm!suitPower</v>
      </c>
    </row>
    <row r="3286" spans="1:9" x14ac:dyDescent="0.15">
      <c r="A3286" s="1">
        <v>3285</v>
      </c>
      <c r="B3286" s="1">
        <v>103020400</v>
      </c>
      <c r="C3286" s="1">
        <f t="shared" si="205"/>
        <v>12</v>
      </c>
      <c r="D3286" s="5">
        <f ca="1">IF(getQuality(B3286)&lt;4,getOtherMin(B3286,C3286,INDIRECT(J$2),INDIRECT(I3286),test),getMin(B3286,C3286,INDIRECT(J$2),INDIRECT(I3286),test))</f>
        <v>25.009875731714647</v>
      </c>
      <c r="E3286" s="5">
        <f ca="1">IF(getQuality(B3286)&lt;4,getOtherMax(B3286,C3286,INDIRECT(J$2),INDIRECT(I3286),test),getMax(B3286,C3286,INDIRECT(J$2),INDIRECT(I3286),test))</f>
        <v>52.82172660977222</v>
      </c>
      <c r="F3286" s="1" t="str">
        <f t="shared" si="207"/>
        <v>50</v>
      </c>
      <c r="G3286" s="1" t="str">
        <f t="shared" si="208"/>
        <v/>
      </c>
      <c r="I3286" s="1" t="str">
        <f t="shared" si="206"/>
        <v>威尔新数值1.06.xlsm!suitPower</v>
      </c>
    </row>
    <row r="3287" spans="1:9" x14ac:dyDescent="0.15">
      <c r="A3287" s="1">
        <v>3286</v>
      </c>
      <c r="B3287" s="1">
        <v>103020400</v>
      </c>
      <c r="C3287" s="1">
        <f t="shared" si="205"/>
        <v>13</v>
      </c>
      <c r="D3287" s="5">
        <f ca="1">IF(getQuality(B3287)&lt;4,getOtherMin(B3287,C3287,INDIRECT(J$2),INDIRECT(I3287),test),getMin(B3287,C3287,INDIRECT(J$2),INDIRECT(I3287),test))</f>
        <v>25.009875731714647</v>
      </c>
      <c r="E3287" s="5">
        <f ca="1">IF(getQuality(B3287)&lt;4,getOtherMax(B3287,C3287,INDIRECT(J$2),INDIRECT(I3287),test),getMax(B3287,C3287,INDIRECT(J$2),INDIRECT(I3287),test))</f>
        <v>52.82172660977222</v>
      </c>
      <c r="F3287" s="1" t="str">
        <f t="shared" si="207"/>
        <v>50</v>
      </c>
      <c r="G3287" s="1" t="str">
        <f t="shared" si="208"/>
        <v/>
      </c>
      <c r="I3287" s="1" t="str">
        <f t="shared" si="206"/>
        <v>威尔新数值1.06.xlsm!suitPower</v>
      </c>
    </row>
    <row r="3288" spans="1:9" x14ac:dyDescent="0.15">
      <c r="A3288" s="1">
        <v>3287</v>
      </c>
      <c r="B3288" s="1">
        <v>103020400</v>
      </c>
      <c r="C3288" s="1">
        <f t="shared" si="205"/>
        <v>14</v>
      </c>
      <c r="D3288" s="5">
        <f ca="1">IF(getQuality(B3288)&lt;4,getOtherMin(B3288,C3288,INDIRECT(J$2),INDIRECT(I3288),test),getMin(B3288,C3288,INDIRECT(J$2),INDIRECT(I3288),test))</f>
        <v>25.009875731714647</v>
      </c>
      <c r="E3288" s="5">
        <f ca="1">IF(getQuality(B3288)&lt;4,getOtherMax(B3288,C3288,INDIRECT(J$2),INDIRECT(I3288),test),getMax(B3288,C3288,INDIRECT(J$2),INDIRECT(I3288),test))</f>
        <v>52.82172660977222</v>
      </c>
      <c r="F3288" s="1" t="str">
        <f t="shared" si="207"/>
        <v>50</v>
      </c>
      <c r="G3288" s="1" t="str">
        <f t="shared" si="208"/>
        <v/>
      </c>
      <c r="I3288" s="1" t="str">
        <f t="shared" si="206"/>
        <v>威尔新数值1.06.xlsm!suitPower</v>
      </c>
    </row>
    <row r="3289" spans="1:9" x14ac:dyDescent="0.15">
      <c r="A3289" s="1">
        <v>3288</v>
      </c>
      <c r="B3289" s="1">
        <v>103020400</v>
      </c>
      <c r="C3289" s="1">
        <f t="shared" si="205"/>
        <v>15</v>
      </c>
      <c r="D3289" s="5">
        <f ca="1">IF(getQuality(B3289)&lt;4,getOtherMin(B3289,C3289,INDIRECT(J$2),INDIRECT(I3289),test),getMin(B3289,C3289,INDIRECT(J$2),INDIRECT(I3289),test))</f>
        <v>25.009875731714647</v>
      </c>
      <c r="E3289" s="5">
        <f ca="1">IF(getQuality(B3289)&lt;4,getOtherMax(B3289,C3289,INDIRECT(J$2),INDIRECT(I3289),test),getMax(B3289,C3289,INDIRECT(J$2),INDIRECT(I3289),test))</f>
        <v>52.82172660977222</v>
      </c>
      <c r="F3289" s="1" t="str">
        <f t="shared" si="207"/>
        <v>50</v>
      </c>
      <c r="G3289" s="1" t="str">
        <f t="shared" si="208"/>
        <v/>
      </c>
      <c r="I3289" s="1" t="str">
        <f t="shared" si="206"/>
        <v>威尔新数值1.06.xlsm!suitPower</v>
      </c>
    </row>
    <row r="3290" spans="1:9" x14ac:dyDescent="0.15">
      <c r="A3290" s="1">
        <v>3289</v>
      </c>
      <c r="B3290" s="1">
        <v>103020400</v>
      </c>
      <c r="C3290" s="1">
        <f t="shared" si="205"/>
        <v>101</v>
      </c>
      <c r="D3290" s="5">
        <f ca="1">IF(getQuality(B3290)&lt;4,getOtherMin(B3290,C3290,INDIRECT(J$2),INDIRECT(I3290),test),getMin(B3290,C3290,INDIRECT(J$2),INDIRECT(I3290),test))</f>
        <v>0.08</v>
      </c>
      <c r="E3290" s="5">
        <f ca="1">IF(getQuality(B3290)&lt;4,getOtherMax(B3290,C3290,INDIRECT(J$2),INDIRECT(I3290),test),getMax(B3290,C3290,INDIRECT(J$2),INDIRECT(I3290),test))</f>
        <v>0.11</v>
      </c>
      <c r="F3290" s="1" t="str">
        <f t="shared" si="207"/>
        <v>50</v>
      </c>
      <c r="G3290" s="1" t="str">
        <f t="shared" si="208"/>
        <v/>
      </c>
      <c r="I3290" s="1" t="str">
        <f t="shared" si="206"/>
        <v>威尔新数值1.06.xlsm!circlePer</v>
      </c>
    </row>
    <row r="3291" spans="1:9" x14ac:dyDescent="0.15">
      <c r="A3291" s="1">
        <v>3290</v>
      </c>
      <c r="B3291" s="1">
        <v>103020400</v>
      </c>
      <c r="C3291" s="1">
        <f t="shared" si="205"/>
        <v>102</v>
      </c>
      <c r="D3291" s="5">
        <f ca="1">IF(getQuality(B3291)&lt;4,getOtherMin(B3291,C3291,INDIRECT(J$2),INDIRECT(I3291),test),getMin(B3291,C3291,INDIRECT(J$2),INDIRECT(I3291),test))</f>
        <v>0.7</v>
      </c>
      <c r="E3291" s="5">
        <f ca="1">IF(getQuality(B3291)&lt;4,getOtherMax(B3291,C3291,INDIRECT(J$2),INDIRECT(I3291),test),getMax(B3291,C3291,INDIRECT(J$2),INDIRECT(I3291),test))</f>
        <v>1</v>
      </c>
      <c r="F3291" s="1" t="str">
        <f t="shared" si="207"/>
        <v>50</v>
      </c>
      <c r="G3291" s="1" t="str">
        <f t="shared" si="208"/>
        <v/>
      </c>
      <c r="I3291" s="1" t="str">
        <f t="shared" si="206"/>
        <v>威尔新数值1.06.xlsm!circleValue</v>
      </c>
    </row>
    <row r="3292" spans="1:9" x14ac:dyDescent="0.15">
      <c r="A3292" s="1">
        <v>3291</v>
      </c>
      <c r="B3292" s="1">
        <v>103020400</v>
      </c>
      <c r="C3292" s="1">
        <f t="shared" si="205"/>
        <v>103</v>
      </c>
      <c r="D3292" s="5">
        <f ca="1">IF(getQuality(B3292)&lt;4,getOtherMin(B3292,C3292,INDIRECT(J$2),INDIRECT(I3292),test),getMin(B3292,C3292,INDIRECT(J$2),INDIRECT(I3292),test))</f>
        <v>0.08</v>
      </c>
      <c r="E3292" s="5">
        <f ca="1">IF(getQuality(B3292)&lt;4,getOtherMax(B3292,C3292,INDIRECT(J$2),INDIRECT(I3292),test),getMax(B3292,C3292,INDIRECT(J$2),INDIRECT(I3292),test))</f>
        <v>0.11</v>
      </c>
      <c r="F3292" s="1" t="str">
        <f t="shared" si="207"/>
        <v>50</v>
      </c>
      <c r="G3292" s="1" t="str">
        <f t="shared" si="208"/>
        <v/>
      </c>
      <c r="I3292" s="1" t="str">
        <f t="shared" si="206"/>
        <v>威尔新数值1.06.xlsm!otherDamage</v>
      </c>
    </row>
    <row r="3293" spans="1:9" x14ac:dyDescent="0.15">
      <c r="A3293" s="1">
        <v>3292</v>
      </c>
      <c r="B3293" s="1">
        <v>103020400</v>
      </c>
      <c r="C3293" s="1">
        <f t="shared" si="205"/>
        <v>104</v>
      </c>
      <c r="D3293" s="5">
        <f ca="1">IF(getQuality(B3293)&lt;4,getOtherMin(B3293,C3293,INDIRECT(J$2),INDIRECT(I3293),test),getMin(B3293,C3293,INDIRECT(J$2),INDIRECT(I3293),test))</f>
        <v>0.08</v>
      </c>
      <c r="E3293" s="5">
        <f ca="1">IF(getQuality(B3293)&lt;4,getOtherMax(B3293,C3293,INDIRECT(J$2),INDIRECT(I3293),test),getMax(B3293,C3293,INDIRECT(J$2),INDIRECT(I3293),test))</f>
        <v>0.16</v>
      </c>
      <c r="F3293" s="1" t="str">
        <f t="shared" si="207"/>
        <v>50</v>
      </c>
      <c r="G3293" s="1" t="str">
        <f t="shared" si="208"/>
        <v/>
      </c>
      <c r="I3293" s="1" t="str">
        <f t="shared" si="206"/>
        <v>威尔新数值1.06.xlsm!monsterDamage</v>
      </c>
    </row>
    <row r="3294" spans="1:9" x14ac:dyDescent="0.15">
      <c r="A3294" s="1">
        <v>3293</v>
      </c>
      <c r="B3294" s="1">
        <v>103020400</v>
      </c>
      <c r="C3294" s="1">
        <f t="shared" si="205"/>
        <v>105</v>
      </c>
      <c r="D3294" s="5">
        <f ca="1">IF(getQuality(B3294)&lt;4,getOtherMin(B3294,C3294,INDIRECT(J$2),INDIRECT(I3294),test),getMin(B3294,C3294,INDIRECT(J$2),INDIRECT(I3294),test))</f>
        <v>0.08</v>
      </c>
      <c r="E3294" s="5">
        <f ca="1">IF(getQuality(B3294)&lt;4,getOtherMax(B3294,C3294,INDIRECT(J$2),INDIRECT(I3294),test),getMax(B3294,C3294,INDIRECT(J$2),INDIRECT(I3294),test))</f>
        <v>0.16</v>
      </c>
      <c r="F3294" s="1" t="str">
        <f t="shared" si="207"/>
        <v>50</v>
      </c>
      <c r="G3294" s="1" t="str">
        <f t="shared" si="208"/>
        <v/>
      </c>
      <c r="I3294" s="1" t="str">
        <f t="shared" si="206"/>
        <v>威尔新数值1.06.xlsm!monsterDamage</v>
      </c>
    </row>
    <row r="3295" spans="1:9" x14ac:dyDescent="0.15">
      <c r="A3295" s="1">
        <v>3294</v>
      </c>
      <c r="B3295" s="1">
        <v>103020400</v>
      </c>
      <c r="C3295" s="1">
        <f t="shared" si="205"/>
        <v>106</v>
      </c>
      <c r="D3295" s="5">
        <f ca="1">IF(getQuality(B3295)&lt;4,getOtherMin(B3295,C3295,INDIRECT(J$2),INDIRECT(I3295),test),getMin(B3295,C3295,INDIRECT(J$2),INDIRECT(I3295),test))</f>
        <v>0.08</v>
      </c>
      <c r="E3295" s="5">
        <f ca="1">IF(getQuality(B3295)&lt;4,getOtherMax(B3295,C3295,INDIRECT(J$2),INDIRECT(I3295),test),getMax(B3295,C3295,INDIRECT(J$2),INDIRECT(I3295),test))</f>
        <v>0.16</v>
      </c>
      <c r="F3295" s="1" t="str">
        <f t="shared" si="207"/>
        <v>50</v>
      </c>
      <c r="G3295" s="1" t="str">
        <f t="shared" si="208"/>
        <v/>
      </c>
      <c r="I3295" s="1" t="str">
        <f t="shared" si="206"/>
        <v>威尔新数值1.06.xlsm!monsterDamage</v>
      </c>
    </row>
    <row r="3296" spans="1:9" x14ac:dyDescent="0.15">
      <c r="A3296" s="1">
        <v>3295</v>
      </c>
      <c r="B3296" s="1">
        <v>103020400</v>
      </c>
      <c r="C3296" s="1">
        <f t="shared" si="205"/>
        <v>107</v>
      </c>
      <c r="D3296" s="5">
        <f ca="1">IF(getQuality(B3296)&lt;4,getOtherMin(B3296,C3296,INDIRECT(J$2),INDIRECT(I3296),test),getMin(B3296,C3296,INDIRECT(J$2),INDIRECT(I3296),test))</f>
        <v>0.08</v>
      </c>
      <c r="E3296" s="5">
        <f ca="1">IF(getQuality(B3296)&lt;4,getOtherMax(B3296,C3296,INDIRECT(J$2),INDIRECT(I3296),test),getMax(B3296,C3296,INDIRECT(J$2),INDIRECT(I3296),test))</f>
        <v>0.16</v>
      </c>
      <c r="F3296" s="1" t="str">
        <f t="shared" si="207"/>
        <v>50</v>
      </c>
      <c r="G3296" s="1" t="str">
        <f t="shared" si="208"/>
        <v/>
      </c>
      <c r="I3296" s="1" t="str">
        <f t="shared" si="206"/>
        <v>威尔新数值1.06.xlsm!monsterDamage</v>
      </c>
    </row>
    <row r="3297" spans="1:9" x14ac:dyDescent="0.15">
      <c r="A3297" s="1">
        <v>3296</v>
      </c>
      <c r="B3297" s="1">
        <v>103020400</v>
      </c>
      <c r="C3297" s="1">
        <f t="shared" si="205"/>
        <v>108</v>
      </c>
      <c r="D3297" s="5">
        <f ca="1">IF(getQuality(B3297)&lt;4,getOtherMin(B3297,C3297,INDIRECT(J$2),INDIRECT(I3297),test),getMin(B3297,C3297,INDIRECT(J$2),INDIRECT(I3297),test))</f>
        <v>0.08</v>
      </c>
      <c r="E3297" s="5">
        <f ca="1">IF(getQuality(B3297)&lt;4,getOtherMax(B3297,C3297,INDIRECT(J$2),INDIRECT(I3297),test),getMax(B3297,C3297,INDIRECT(J$2),INDIRECT(I3297),test))</f>
        <v>0.16</v>
      </c>
      <c r="F3297" s="1" t="str">
        <f t="shared" si="207"/>
        <v>50</v>
      </c>
      <c r="G3297" s="1" t="str">
        <f t="shared" si="208"/>
        <v/>
      </c>
      <c r="I3297" s="1" t="str">
        <f t="shared" si="206"/>
        <v>威尔新数值1.06.xlsm!monsterDamage</v>
      </c>
    </row>
    <row r="3298" spans="1:9" x14ac:dyDescent="0.15">
      <c r="A3298" s="1">
        <v>3297</v>
      </c>
      <c r="B3298" s="1">
        <v>103030400</v>
      </c>
      <c r="C3298" s="1">
        <f t="shared" si="205"/>
        <v>3</v>
      </c>
      <c r="D3298" s="5">
        <f ca="1">IF(getQuality(B3298)&lt;4,getOtherMin(B3298,C3298,INDIRECT(J$2),INDIRECT(I3298),test),getMin(B3298,C3298,INDIRECT(J$2),INDIRECT(I3298),test))</f>
        <v>53.82172660977222</v>
      </c>
      <c r="E3298" s="5">
        <f ca="1">IF(getQuality(B3298)&lt;4,getOtherMax(B3298,C3298,INDIRECT(J$2),INDIRECT(I3298),test),getMax(B3298,C3298,INDIRECT(J$2),INDIRECT(I3298),test))</f>
        <v>86.435552634172723</v>
      </c>
      <c r="F3298" s="1" t="str">
        <f t="shared" si="207"/>
        <v>50</v>
      </c>
      <c r="G3298" s="1" t="str">
        <f t="shared" si="208"/>
        <v/>
      </c>
      <c r="I3298" s="1" t="str">
        <f t="shared" si="206"/>
        <v>威尔新数值1.06.xlsm!suitPower</v>
      </c>
    </row>
    <row r="3299" spans="1:9" x14ac:dyDescent="0.15">
      <c r="A3299" s="1">
        <v>3298</v>
      </c>
      <c r="B3299" s="1">
        <v>103030400</v>
      </c>
      <c r="C3299" s="1">
        <f t="shared" si="205"/>
        <v>5</v>
      </c>
      <c r="D3299" s="5">
        <f ca="1">IF(getQuality(B3299)&lt;4,getOtherMin(B3299,C3299,INDIRECT(J$2),INDIRECT(I3299),test),getMin(B3299,C3299,INDIRECT(J$2),INDIRECT(I3299),test))</f>
        <v>53.82172660977222</v>
      </c>
      <c r="E3299" s="5">
        <f ca="1">IF(getQuality(B3299)&lt;4,getOtherMax(B3299,C3299,INDIRECT(J$2),INDIRECT(I3299),test),getMax(B3299,C3299,INDIRECT(J$2),INDIRECT(I3299),test))</f>
        <v>86.435552634172723</v>
      </c>
      <c r="F3299" s="1" t="str">
        <f t="shared" si="207"/>
        <v>50</v>
      </c>
      <c r="G3299" s="1" t="str">
        <f t="shared" si="208"/>
        <v>1</v>
      </c>
      <c r="I3299" s="1" t="str">
        <f t="shared" si="206"/>
        <v>威尔新数值1.06.xlsm!suitPower</v>
      </c>
    </row>
    <row r="3300" spans="1:9" x14ac:dyDescent="0.15">
      <c r="A3300" s="1">
        <v>3299</v>
      </c>
      <c r="B3300" s="1">
        <v>103030400</v>
      </c>
      <c r="C3300" s="1">
        <f t="shared" si="205"/>
        <v>7</v>
      </c>
      <c r="D3300" s="5">
        <f ca="1">IF(getQuality(B3300)&lt;4,getOtherMin(B3300,C3300,INDIRECT(J$2),INDIRECT(I3300),test),getMin(B3300,C3300,INDIRECT(J$2),INDIRECT(I3300),test))</f>
        <v>15.814814814814778</v>
      </c>
      <c r="E3300" s="5">
        <f ca="1">IF(getQuality(B3300)&lt;4,getOtherMax(B3300,C3300,INDIRECT(J$2),INDIRECT(I3300),test),getMax(B3300,C3300,INDIRECT(J$2),INDIRECT(I3300),test))</f>
        <v>22.222222222222165</v>
      </c>
      <c r="F3300" s="1" t="str">
        <f t="shared" si="207"/>
        <v>50</v>
      </c>
      <c r="G3300" s="1" t="str">
        <f t="shared" si="208"/>
        <v/>
      </c>
      <c r="I3300" s="1" t="str">
        <f t="shared" si="206"/>
        <v>威尔新数值1.06.xlsm!suitPower</v>
      </c>
    </row>
    <row r="3301" spans="1:9" x14ac:dyDescent="0.15">
      <c r="A3301" s="1">
        <v>3300</v>
      </c>
      <c r="B3301" s="1">
        <v>103030400</v>
      </c>
      <c r="C3301" s="1">
        <f t="shared" si="205"/>
        <v>8</v>
      </c>
      <c r="D3301" s="5">
        <f ca="1">IF(getQuality(B3301)&lt;4,getOtherMin(B3301,C3301,INDIRECT(J$2),INDIRECT(I3301),test),getMin(B3301,C3301,INDIRECT(J$2),INDIRECT(I3301),test))</f>
        <v>34.333333333333336</v>
      </c>
      <c r="E3301" s="5">
        <f ca="1">IF(getQuality(B3301)&lt;4,getOtherMax(B3301,C3301,INDIRECT(J$2),INDIRECT(I3301),test),getMax(B3301,C3301,INDIRECT(J$2),INDIRECT(I3301),test))</f>
        <v>50</v>
      </c>
      <c r="F3301" s="1" t="str">
        <f t="shared" si="207"/>
        <v>50</v>
      </c>
      <c r="G3301" s="1" t="str">
        <f t="shared" si="208"/>
        <v/>
      </c>
      <c r="I3301" s="1" t="str">
        <f t="shared" si="206"/>
        <v>威尔新数值1.06.xlsm!suitPower</v>
      </c>
    </row>
    <row r="3302" spans="1:9" x14ac:dyDescent="0.15">
      <c r="A3302" s="1">
        <v>3301</v>
      </c>
      <c r="B3302" s="1">
        <v>103030400</v>
      </c>
      <c r="C3302" s="1">
        <f t="shared" si="205"/>
        <v>9</v>
      </c>
      <c r="D3302" s="5">
        <f ca="1">IF(getQuality(B3302)&lt;4,getOtherMin(B3302,C3302,INDIRECT(J$2),INDIRECT(I3302),test),getMin(B3302,C3302,INDIRECT(J$2),INDIRECT(I3302),test))</f>
        <v>53.82172660977222</v>
      </c>
      <c r="E3302" s="5">
        <f ca="1">IF(getQuality(B3302)&lt;4,getOtherMax(B3302,C3302,INDIRECT(J$2),INDIRECT(I3302),test),getMax(B3302,C3302,INDIRECT(J$2),INDIRECT(I3302),test))</f>
        <v>86.435552634172723</v>
      </c>
      <c r="F3302" s="1" t="str">
        <f t="shared" si="207"/>
        <v>50</v>
      </c>
      <c r="G3302" s="1" t="str">
        <f t="shared" si="208"/>
        <v/>
      </c>
      <c r="I3302" s="1" t="str">
        <f t="shared" si="206"/>
        <v>威尔新数值1.06.xlsm!suitPower</v>
      </c>
    </row>
    <row r="3303" spans="1:9" x14ac:dyDescent="0.15">
      <c r="A3303" s="1">
        <v>3302</v>
      </c>
      <c r="B3303" s="1">
        <v>103030400</v>
      </c>
      <c r="C3303" s="1">
        <f t="shared" si="205"/>
        <v>10</v>
      </c>
      <c r="D3303" s="5">
        <f ca="1">IF(getQuality(B3303)&lt;4,getOtherMin(B3303,C3303,INDIRECT(J$2),INDIRECT(I3303),test),getMin(B3303,C3303,INDIRECT(J$2),INDIRECT(I3303),test))</f>
        <v>53.82172660977222</v>
      </c>
      <c r="E3303" s="5">
        <f ca="1">IF(getQuality(B3303)&lt;4,getOtherMax(B3303,C3303,INDIRECT(J$2),INDIRECT(I3303),test),getMax(B3303,C3303,INDIRECT(J$2),INDIRECT(I3303),test))</f>
        <v>86.435552634172723</v>
      </c>
      <c r="F3303" s="1" t="str">
        <f t="shared" si="207"/>
        <v>50</v>
      </c>
      <c r="G3303" s="1" t="str">
        <f t="shared" si="208"/>
        <v/>
      </c>
      <c r="I3303" s="1" t="str">
        <f t="shared" si="206"/>
        <v>威尔新数值1.06.xlsm!suitPower</v>
      </c>
    </row>
    <row r="3304" spans="1:9" x14ac:dyDescent="0.15">
      <c r="A3304" s="1">
        <v>3303</v>
      </c>
      <c r="B3304" s="1">
        <v>103030400</v>
      </c>
      <c r="C3304" s="1">
        <f t="shared" si="205"/>
        <v>11</v>
      </c>
      <c r="D3304" s="5">
        <f ca="1">IF(getQuality(B3304)&lt;4,getOtherMin(B3304,C3304,INDIRECT(J$2),INDIRECT(I3304),test),getMin(B3304,C3304,INDIRECT(J$2),INDIRECT(I3304),test))</f>
        <v>53.82172660977222</v>
      </c>
      <c r="E3304" s="5">
        <f ca="1">IF(getQuality(B3304)&lt;4,getOtherMax(B3304,C3304,INDIRECT(J$2),INDIRECT(I3304),test),getMax(B3304,C3304,INDIRECT(J$2),INDIRECT(I3304),test))</f>
        <v>86.435552634172723</v>
      </c>
      <c r="F3304" s="1" t="str">
        <f t="shared" si="207"/>
        <v>50</v>
      </c>
      <c r="G3304" s="1" t="str">
        <f t="shared" si="208"/>
        <v/>
      </c>
      <c r="I3304" s="1" t="str">
        <f t="shared" si="206"/>
        <v>威尔新数值1.06.xlsm!suitPower</v>
      </c>
    </row>
    <row r="3305" spans="1:9" x14ac:dyDescent="0.15">
      <c r="A3305" s="1">
        <v>3304</v>
      </c>
      <c r="B3305" s="1">
        <v>103030400</v>
      </c>
      <c r="C3305" s="1">
        <f t="shared" si="205"/>
        <v>12</v>
      </c>
      <c r="D3305" s="5">
        <f ca="1">IF(getQuality(B3305)&lt;4,getOtherMin(B3305,C3305,INDIRECT(J$2),INDIRECT(I3305),test),getMin(B3305,C3305,INDIRECT(J$2),INDIRECT(I3305),test))</f>
        <v>53.82172660977222</v>
      </c>
      <c r="E3305" s="5">
        <f ca="1">IF(getQuality(B3305)&lt;4,getOtherMax(B3305,C3305,INDIRECT(J$2),INDIRECT(I3305),test),getMax(B3305,C3305,INDIRECT(J$2),INDIRECT(I3305),test))</f>
        <v>86.435552634172723</v>
      </c>
      <c r="F3305" s="1" t="str">
        <f t="shared" si="207"/>
        <v>50</v>
      </c>
      <c r="G3305" s="1" t="str">
        <f t="shared" si="208"/>
        <v/>
      </c>
      <c r="I3305" s="1" t="str">
        <f t="shared" si="206"/>
        <v>威尔新数值1.06.xlsm!suitPower</v>
      </c>
    </row>
    <row r="3306" spans="1:9" x14ac:dyDescent="0.15">
      <c r="A3306" s="1">
        <v>3305</v>
      </c>
      <c r="B3306" s="1">
        <v>103030400</v>
      </c>
      <c r="C3306" s="1">
        <f t="shared" si="205"/>
        <v>13</v>
      </c>
      <c r="D3306" s="5">
        <f ca="1">IF(getQuality(B3306)&lt;4,getOtherMin(B3306,C3306,INDIRECT(J$2),INDIRECT(I3306),test),getMin(B3306,C3306,INDIRECT(J$2),INDIRECT(I3306),test))</f>
        <v>53.82172660977222</v>
      </c>
      <c r="E3306" s="5">
        <f ca="1">IF(getQuality(B3306)&lt;4,getOtherMax(B3306,C3306,INDIRECT(J$2),INDIRECT(I3306),test),getMax(B3306,C3306,INDIRECT(J$2),INDIRECT(I3306),test))</f>
        <v>86.435552634172723</v>
      </c>
      <c r="F3306" s="1" t="str">
        <f t="shared" si="207"/>
        <v>50</v>
      </c>
      <c r="G3306" s="1" t="str">
        <f t="shared" si="208"/>
        <v/>
      </c>
      <c r="I3306" s="1" t="str">
        <f t="shared" si="206"/>
        <v>威尔新数值1.06.xlsm!suitPower</v>
      </c>
    </row>
    <row r="3307" spans="1:9" x14ac:dyDescent="0.15">
      <c r="A3307" s="1">
        <v>3306</v>
      </c>
      <c r="B3307" s="1">
        <v>103030400</v>
      </c>
      <c r="C3307" s="1">
        <f t="shared" si="205"/>
        <v>14</v>
      </c>
      <c r="D3307" s="5">
        <f ca="1">IF(getQuality(B3307)&lt;4,getOtherMin(B3307,C3307,INDIRECT(J$2),INDIRECT(I3307),test),getMin(B3307,C3307,INDIRECT(J$2),INDIRECT(I3307),test))</f>
        <v>53.82172660977222</v>
      </c>
      <c r="E3307" s="5">
        <f ca="1">IF(getQuality(B3307)&lt;4,getOtherMax(B3307,C3307,INDIRECT(J$2),INDIRECT(I3307),test),getMax(B3307,C3307,INDIRECT(J$2),INDIRECT(I3307),test))</f>
        <v>86.435552634172723</v>
      </c>
      <c r="F3307" s="1" t="str">
        <f t="shared" si="207"/>
        <v>50</v>
      </c>
      <c r="G3307" s="1" t="str">
        <f t="shared" si="208"/>
        <v/>
      </c>
      <c r="I3307" s="1" t="str">
        <f t="shared" si="206"/>
        <v>威尔新数值1.06.xlsm!suitPower</v>
      </c>
    </row>
    <row r="3308" spans="1:9" x14ac:dyDescent="0.15">
      <c r="A3308" s="1">
        <v>3307</v>
      </c>
      <c r="B3308" s="1">
        <v>103030400</v>
      </c>
      <c r="C3308" s="1">
        <f t="shared" si="205"/>
        <v>15</v>
      </c>
      <c r="D3308" s="5">
        <f ca="1">IF(getQuality(B3308)&lt;4,getOtherMin(B3308,C3308,INDIRECT(J$2),INDIRECT(I3308),test),getMin(B3308,C3308,INDIRECT(J$2),INDIRECT(I3308),test))</f>
        <v>53.82172660977222</v>
      </c>
      <c r="E3308" s="5">
        <f ca="1">IF(getQuality(B3308)&lt;4,getOtherMax(B3308,C3308,INDIRECT(J$2),INDIRECT(I3308),test),getMax(B3308,C3308,INDIRECT(J$2),INDIRECT(I3308),test))</f>
        <v>86.435552634172723</v>
      </c>
      <c r="F3308" s="1" t="str">
        <f t="shared" si="207"/>
        <v>50</v>
      </c>
      <c r="G3308" s="1" t="str">
        <f t="shared" si="208"/>
        <v/>
      </c>
      <c r="I3308" s="1" t="str">
        <f t="shared" si="206"/>
        <v>威尔新数值1.06.xlsm!suitPower</v>
      </c>
    </row>
    <row r="3309" spans="1:9" x14ac:dyDescent="0.15">
      <c r="A3309" s="1">
        <v>3308</v>
      </c>
      <c r="B3309" s="1">
        <v>103030400</v>
      </c>
      <c r="C3309" s="1">
        <f t="shared" si="205"/>
        <v>101</v>
      </c>
      <c r="D3309" s="5">
        <f ca="1">IF(getQuality(B3309)&lt;4,getOtherMin(B3309,C3309,INDIRECT(J$2),INDIRECT(I3309),test),getMin(B3309,C3309,INDIRECT(J$2),INDIRECT(I3309),test))</f>
        <v>0.09</v>
      </c>
      <c r="E3309" s="5">
        <f ca="1">IF(getQuality(B3309)&lt;4,getOtherMax(B3309,C3309,INDIRECT(J$2),INDIRECT(I3309),test),getMax(B3309,C3309,INDIRECT(J$2),INDIRECT(I3309),test))</f>
        <v>0.12</v>
      </c>
      <c r="F3309" s="1" t="str">
        <f t="shared" si="207"/>
        <v>50</v>
      </c>
      <c r="G3309" s="1" t="str">
        <f t="shared" si="208"/>
        <v/>
      </c>
      <c r="I3309" s="1" t="str">
        <f t="shared" si="206"/>
        <v>威尔新数值1.06.xlsm!circlePer</v>
      </c>
    </row>
    <row r="3310" spans="1:9" x14ac:dyDescent="0.15">
      <c r="A3310" s="1">
        <v>3309</v>
      </c>
      <c r="B3310" s="1">
        <v>103030400</v>
      </c>
      <c r="C3310" s="1">
        <f t="shared" si="205"/>
        <v>102</v>
      </c>
      <c r="D3310" s="5">
        <f ca="1">IF(getQuality(B3310)&lt;4,getOtherMin(B3310,C3310,INDIRECT(J$2),INDIRECT(I3310),test),getMin(B3310,C3310,INDIRECT(J$2),INDIRECT(I3310),test))</f>
        <v>0.8</v>
      </c>
      <c r="E3310" s="5">
        <f ca="1">IF(getQuality(B3310)&lt;4,getOtherMax(B3310,C3310,INDIRECT(J$2),INDIRECT(I3310),test),getMax(B3310,C3310,INDIRECT(J$2),INDIRECT(I3310),test))</f>
        <v>1.1000000000000001</v>
      </c>
      <c r="F3310" s="1" t="str">
        <f t="shared" si="207"/>
        <v>50</v>
      </c>
      <c r="G3310" s="1" t="str">
        <f t="shared" si="208"/>
        <v/>
      </c>
      <c r="I3310" s="1" t="str">
        <f t="shared" si="206"/>
        <v>威尔新数值1.06.xlsm!circleValue</v>
      </c>
    </row>
    <row r="3311" spans="1:9" x14ac:dyDescent="0.15">
      <c r="A3311" s="1">
        <v>3310</v>
      </c>
      <c r="B3311" s="1">
        <v>103030400</v>
      </c>
      <c r="C3311" s="1">
        <f t="shared" si="205"/>
        <v>103</v>
      </c>
      <c r="D3311" s="5">
        <f ca="1">IF(getQuality(B3311)&lt;4,getOtherMin(B3311,C3311,INDIRECT(J$2),INDIRECT(I3311),test),getMin(B3311,C3311,INDIRECT(J$2),INDIRECT(I3311),test))</f>
        <v>0.09</v>
      </c>
      <c r="E3311" s="5">
        <f ca="1">IF(getQuality(B3311)&lt;4,getOtherMax(B3311,C3311,INDIRECT(J$2),INDIRECT(I3311),test),getMax(B3311,C3311,INDIRECT(J$2),INDIRECT(I3311),test))</f>
        <v>0.12</v>
      </c>
      <c r="F3311" s="1" t="str">
        <f t="shared" si="207"/>
        <v>50</v>
      </c>
      <c r="G3311" s="1" t="str">
        <f t="shared" si="208"/>
        <v/>
      </c>
      <c r="I3311" s="1" t="str">
        <f t="shared" si="206"/>
        <v>威尔新数值1.06.xlsm!otherDamage</v>
      </c>
    </row>
    <row r="3312" spans="1:9" x14ac:dyDescent="0.15">
      <c r="A3312" s="1">
        <v>3311</v>
      </c>
      <c r="B3312" s="1">
        <v>103030400</v>
      </c>
      <c r="C3312" s="1">
        <f t="shared" si="205"/>
        <v>104</v>
      </c>
      <c r="D3312" s="5">
        <f ca="1">IF(getQuality(B3312)&lt;4,getOtherMin(B3312,C3312,INDIRECT(J$2),INDIRECT(I3312),test),getMin(B3312,C3312,INDIRECT(J$2),INDIRECT(I3312),test))</f>
        <v>0.09</v>
      </c>
      <c r="E3312" s="5">
        <f ca="1">IF(getQuality(B3312)&lt;4,getOtherMax(B3312,C3312,INDIRECT(J$2),INDIRECT(I3312),test),getMax(B3312,C3312,INDIRECT(J$2),INDIRECT(I3312),test))</f>
        <v>0.18</v>
      </c>
      <c r="F3312" s="1" t="str">
        <f t="shared" si="207"/>
        <v>50</v>
      </c>
      <c r="G3312" s="1" t="str">
        <f t="shared" si="208"/>
        <v/>
      </c>
      <c r="I3312" s="1" t="str">
        <f t="shared" si="206"/>
        <v>威尔新数值1.06.xlsm!monsterDamage</v>
      </c>
    </row>
    <row r="3313" spans="1:9" x14ac:dyDescent="0.15">
      <c r="A3313" s="1">
        <v>3312</v>
      </c>
      <c r="B3313" s="1">
        <v>103030400</v>
      </c>
      <c r="C3313" s="1">
        <f t="shared" si="205"/>
        <v>105</v>
      </c>
      <c r="D3313" s="5">
        <f ca="1">IF(getQuality(B3313)&lt;4,getOtherMin(B3313,C3313,INDIRECT(J$2),INDIRECT(I3313),test),getMin(B3313,C3313,INDIRECT(J$2),INDIRECT(I3313),test))</f>
        <v>0.09</v>
      </c>
      <c r="E3313" s="5">
        <f ca="1">IF(getQuality(B3313)&lt;4,getOtherMax(B3313,C3313,INDIRECT(J$2),INDIRECT(I3313),test),getMax(B3313,C3313,INDIRECT(J$2),INDIRECT(I3313),test))</f>
        <v>0.18</v>
      </c>
      <c r="F3313" s="1" t="str">
        <f t="shared" si="207"/>
        <v>50</v>
      </c>
      <c r="G3313" s="1" t="str">
        <f t="shared" si="208"/>
        <v/>
      </c>
      <c r="I3313" s="1" t="str">
        <f t="shared" si="206"/>
        <v>威尔新数值1.06.xlsm!monsterDamage</v>
      </c>
    </row>
    <row r="3314" spans="1:9" x14ac:dyDescent="0.15">
      <c r="A3314" s="1">
        <v>3313</v>
      </c>
      <c r="B3314" s="1">
        <v>103030400</v>
      </c>
      <c r="C3314" s="1">
        <f t="shared" si="205"/>
        <v>106</v>
      </c>
      <c r="D3314" s="5">
        <f ca="1">IF(getQuality(B3314)&lt;4,getOtherMin(B3314,C3314,INDIRECT(J$2),INDIRECT(I3314),test),getMin(B3314,C3314,INDIRECT(J$2),INDIRECT(I3314),test))</f>
        <v>0.09</v>
      </c>
      <c r="E3314" s="5">
        <f ca="1">IF(getQuality(B3314)&lt;4,getOtherMax(B3314,C3314,INDIRECT(J$2),INDIRECT(I3314),test),getMax(B3314,C3314,INDIRECT(J$2),INDIRECT(I3314),test))</f>
        <v>0.18</v>
      </c>
      <c r="F3314" s="1" t="str">
        <f t="shared" si="207"/>
        <v>50</v>
      </c>
      <c r="G3314" s="1" t="str">
        <f t="shared" si="208"/>
        <v/>
      </c>
      <c r="I3314" s="1" t="str">
        <f t="shared" si="206"/>
        <v>威尔新数值1.06.xlsm!monsterDamage</v>
      </c>
    </row>
    <row r="3315" spans="1:9" x14ac:dyDescent="0.15">
      <c r="A3315" s="1">
        <v>3314</v>
      </c>
      <c r="B3315" s="1">
        <v>103030400</v>
      </c>
      <c r="C3315" s="1">
        <f t="shared" si="205"/>
        <v>107</v>
      </c>
      <c r="D3315" s="5">
        <f ca="1">IF(getQuality(B3315)&lt;4,getOtherMin(B3315,C3315,INDIRECT(J$2),INDIRECT(I3315),test),getMin(B3315,C3315,INDIRECT(J$2),INDIRECT(I3315),test))</f>
        <v>0.09</v>
      </c>
      <c r="E3315" s="5">
        <f ca="1">IF(getQuality(B3315)&lt;4,getOtherMax(B3315,C3315,INDIRECT(J$2),INDIRECT(I3315),test),getMax(B3315,C3315,INDIRECT(J$2),INDIRECT(I3315),test))</f>
        <v>0.18</v>
      </c>
      <c r="F3315" s="1" t="str">
        <f t="shared" si="207"/>
        <v>50</v>
      </c>
      <c r="G3315" s="1" t="str">
        <f t="shared" si="208"/>
        <v/>
      </c>
      <c r="I3315" s="1" t="str">
        <f t="shared" si="206"/>
        <v>威尔新数值1.06.xlsm!monsterDamage</v>
      </c>
    </row>
    <row r="3316" spans="1:9" x14ac:dyDescent="0.15">
      <c r="A3316" s="1">
        <v>3315</v>
      </c>
      <c r="B3316" s="1">
        <v>103030400</v>
      </c>
      <c r="C3316" s="1">
        <f t="shared" si="205"/>
        <v>108</v>
      </c>
      <c r="D3316" s="5">
        <f ca="1">IF(getQuality(B3316)&lt;4,getOtherMin(B3316,C3316,INDIRECT(J$2),INDIRECT(I3316),test),getMin(B3316,C3316,INDIRECT(J$2),INDIRECT(I3316),test))</f>
        <v>0.09</v>
      </c>
      <c r="E3316" s="5">
        <f ca="1">IF(getQuality(B3316)&lt;4,getOtherMax(B3316,C3316,INDIRECT(J$2),INDIRECT(I3316),test),getMax(B3316,C3316,INDIRECT(J$2),INDIRECT(I3316),test))</f>
        <v>0.18</v>
      </c>
      <c r="F3316" s="1" t="str">
        <f t="shared" si="207"/>
        <v>50</v>
      </c>
      <c r="G3316" s="1" t="str">
        <f t="shared" si="208"/>
        <v/>
      </c>
      <c r="I3316" s="1" t="str">
        <f t="shared" si="206"/>
        <v>威尔新数值1.06.xlsm!monsterDamage</v>
      </c>
    </row>
    <row r="3317" spans="1:9" x14ac:dyDescent="0.15">
      <c r="A3317" s="1">
        <v>3316</v>
      </c>
      <c r="B3317" s="1">
        <v>103040400</v>
      </c>
      <c r="C3317" s="1">
        <f t="shared" si="205"/>
        <v>3</v>
      </c>
      <c r="D3317" s="5">
        <f ca="1">IF(getQuality(B3317)&lt;4,getOtherMin(B3317,C3317,INDIRECT(J$2),INDIRECT(I3317),test),getMin(B3317,C3317,INDIRECT(J$2),INDIRECT(I3317),test))</f>
        <v>87.435552634172723</v>
      </c>
      <c r="E3317" s="5">
        <f ca="1">IF(getQuality(B3317)&lt;4,getOtherMax(B3317,C3317,INDIRECT(J$2),INDIRECT(I3317),test),getMax(B3317,C3317,INDIRECT(J$2),INDIRECT(I3317),test))</f>
        <v>124.85135380491616</v>
      </c>
      <c r="F3317" s="1" t="str">
        <f t="shared" si="207"/>
        <v>50</v>
      </c>
      <c r="G3317" s="1" t="str">
        <f t="shared" si="208"/>
        <v/>
      </c>
      <c r="I3317" s="1" t="str">
        <f t="shared" si="206"/>
        <v>威尔新数值1.06.xlsm!suitPower</v>
      </c>
    </row>
    <row r="3318" spans="1:9" x14ac:dyDescent="0.15">
      <c r="A3318" s="1">
        <v>3317</v>
      </c>
      <c r="B3318" s="1">
        <v>103040400</v>
      </c>
      <c r="C3318" s="1">
        <f t="shared" si="205"/>
        <v>5</v>
      </c>
      <c r="D3318" s="5">
        <f ca="1">IF(getQuality(B3318)&lt;4,getOtherMin(B3318,C3318,INDIRECT(J$2),INDIRECT(I3318),test),getMin(B3318,C3318,INDIRECT(J$2),INDIRECT(I3318),test))</f>
        <v>87.435552634172723</v>
      </c>
      <c r="E3318" s="5">
        <f ca="1">IF(getQuality(B3318)&lt;4,getOtherMax(B3318,C3318,INDIRECT(J$2),INDIRECT(I3318),test),getMax(B3318,C3318,INDIRECT(J$2),INDIRECT(I3318),test))</f>
        <v>124.85135380491616</v>
      </c>
      <c r="F3318" s="1" t="str">
        <f t="shared" si="207"/>
        <v>50</v>
      </c>
      <c r="G3318" s="1" t="str">
        <f t="shared" si="208"/>
        <v>1</v>
      </c>
      <c r="I3318" s="1" t="str">
        <f t="shared" si="206"/>
        <v>威尔新数值1.06.xlsm!suitPower</v>
      </c>
    </row>
    <row r="3319" spans="1:9" x14ac:dyDescent="0.15">
      <c r="A3319" s="1">
        <v>3318</v>
      </c>
      <c r="B3319" s="1">
        <v>103040400</v>
      </c>
      <c r="C3319" s="1">
        <f t="shared" si="205"/>
        <v>7</v>
      </c>
      <c r="D3319" s="5">
        <f ca="1">IF(getQuality(B3319)&lt;4,getOtherMin(B3319,C3319,INDIRECT(J$2),INDIRECT(I3319),test),getMin(B3319,C3319,INDIRECT(J$2),INDIRECT(I3319),test))</f>
        <v>23.222222222222165</v>
      </c>
      <c r="E3319" s="5">
        <f ca="1">IF(getQuality(B3319)&lt;4,getOtherMax(B3319,C3319,INDIRECT(J$2),INDIRECT(I3319),test),getMax(B3319,C3319,INDIRECT(J$2),INDIRECT(I3319),test))</f>
        <v>29.629629629629555</v>
      </c>
      <c r="F3319" s="1" t="str">
        <f t="shared" si="207"/>
        <v>50</v>
      </c>
      <c r="G3319" s="1" t="str">
        <f t="shared" si="208"/>
        <v/>
      </c>
      <c r="I3319" s="1" t="str">
        <f t="shared" si="206"/>
        <v>威尔新数值1.06.xlsm!suitPower</v>
      </c>
    </row>
    <row r="3320" spans="1:9" x14ac:dyDescent="0.15">
      <c r="A3320" s="1">
        <v>3319</v>
      </c>
      <c r="B3320" s="1">
        <v>103040400</v>
      </c>
      <c r="C3320" s="1">
        <f t="shared" si="205"/>
        <v>8</v>
      </c>
      <c r="D3320" s="5">
        <f ca="1">IF(getQuality(B3320)&lt;4,getOtherMin(B3320,C3320,INDIRECT(J$2),INDIRECT(I3320),test),getMin(B3320,C3320,INDIRECT(J$2),INDIRECT(I3320),test))</f>
        <v>51</v>
      </c>
      <c r="E3320" s="5">
        <f ca="1">IF(getQuality(B3320)&lt;4,getOtherMax(B3320,C3320,INDIRECT(J$2),INDIRECT(I3320),test),getMax(B3320,C3320,INDIRECT(J$2),INDIRECT(I3320),test))</f>
        <v>66.666666666666671</v>
      </c>
      <c r="F3320" s="1" t="str">
        <f t="shared" si="207"/>
        <v>50</v>
      </c>
      <c r="G3320" s="1" t="str">
        <f t="shared" si="208"/>
        <v/>
      </c>
      <c r="I3320" s="1" t="str">
        <f t="shared" si="206"/>
        <v>威尔新数值1.06.xlsm!suitPower</v>
      </c>
    </row>
    <row r="3321" spans="1:9" x14ac:dyDescent="0.15">
      <c r="A3321" s="1">
        <v>3320</v>
      </c>
      <c r="B3321" s="1">
        <v>103040400</v>
      </c>
      <c r="C3321" s="1">
        <f t="shared" si="205"/>
        <v>9</v>
      </c>
      <c r="D3321" s="5">
        <f ca="1">IF(getQuality(B3321)&lt;4,getOtherMin(B3321,C3321,INDIRECT(J$2),INDIRECT(I3321),test),getMin(B3321,C3321,INDIRECT(J$2),INDIRECT(I3321),test))</f>
        <v>87.435552634172723</v>
      </c>
      <c r="E3321" s="5">
        <f ca="1">IF(getQuality(B3321)&lt;4,getOtherMax(B3321,C3321,INDIRECT(J$2),INDIRECT(I3321),test),getMax(B3321,C3321,INDIRECT(J$2),INDIRECT(I3321),test))</f>
        <v>124.85135380491616</v>
      </c>
      <c r="F3321" s="1" t="str">
        <f t="shared" si="207"/>
        <v>50</v>
      </c>
      <c r="G3321" s="1" t="str">
        <f t="shared" si="208"/>
        <v/>
      </c>
      <c r="I3321" s="1" t="str">
        <f t="shared" si="206"/>
        <v>威尔新数值1.06.xlsm!suitPower</v>
      </c>
    </row>
    <row r="3322" spans="1:9" x14ac:dyDescent="0.15">
      <c r="A3322" s="1">
        <v>3321</v>
      </c>
      <c r="B3322" s="1">
        <v>103040400</v>
      </c>
      <c r="C3322" s="1">
        <f t="shared" si="205"/>
        <v>10</v>
      </c>
      <c r="D3322" s="5">
        <f ca="1">IF(getQuality(B3322)&lt;4,getOtherMin(B3322,C3322,INDIRECT(J$2),INDIRECT(I3322),test),getMin(B3322,C3322,INDIRECT(J$2),INDIRECT(I3322),test))</f>
        <v>87.435552634172723</v>
      </c>
      <c r="E3322" s="5">
        <f ca="1">IF(getQuality(B3322)&lt;4,getOtherMax(B3322,C3322,INDIRECT(J$2),INDIRECT(I3322),test),getMax(B3322,C3322,INDIRECT(J$2),INDIRECT(I3322),test))</f>
        <v>124.85135380491616</v>
      </c>
      <c r="F3322" s="1" t="str">
        <f t="shared" si="207"/>
        <v>50</v>
      </c>
      <c r="G3322" s="1" t="str">
        <f t="shared" si="208"/>
        <v/>
      </c>
      <c r="I3322" s="1" t="str">
        <f t="shared" si="206"/>
        <v>威尔新数值1.06.xlsm!suitPower</v>
      </c>
    </row>
    <row r="3323" spans="1:9" x14ac:dyDescent="0.15">
      <c r="A3323" s="1">
        <v>3322</v>
      </c>
      <c r="B3323" s="1">
        <v>103040400</v>
      </c>
      <c r="C3323" s="1">
        <f t="shared" si="205"/>
        <v>11</v>
      </c>
      <c r="D3323" s="5">
        <f ca="1">IF(getQuality(B3323)&lt;4,getOtherMin(B3323,C3323,INDIRECT(J$2),INDIRECT(I3323),test),getMin(B3323,C3323,INDIRECT(J$2),INDIRECT(I3323),test))</f>
        <v>87.435552634172723</v>
      </c>
      <c r="E3323" s="5">
        <f ca="1">IF(getQuality(B3323)&lt;4,getOtherMax(B3323,C3323,INDIRECT(J$2),INDIRECT(I3323),test),getMax(B3323,C3323,INDIRECT(J$2),INDIRECT(I3323),test))</f>
        <v>124.85135380491616</v>
      </c>
      <c r="F3323" s="1" t="str">
        <f t="shared" si="207"/>
        <v>50</v>
      </c>
      <c r="G3323" s="1" t="str">
        <f t="shared" si="208"/>
        <v/>
      </c>
      <c r="I3323" s="1" t="str">
        <f t="shared" si="206"/>
        <v>威尔新数值1.06.xlsm!suitPower</v>
      </c>
    </row>
    <row r="3324" spans="1:9" x14ac:dyDescent="0.15">
      <c r="A3324" s="1">
        <v>3323</v>
      </c>
      <c r="B3324" s="1">
        <v>103040400</v>
      </c>
      <c r="C3324" s="1">
        <f t="shared" ref="C3324:C3387" si="209">C849</f>
        <v>12</v>
      </c>
      <c r="D3324" s="5">
        <f ca="1">IF(getQuality(B3324)&lt;4,getOtherMin(B3324,C3324,INDIRECT(J$2),INDIRECT(I3324),test),getMin(B3324,C3324,INDIRECT(J$2),INDIRECT(I3324),test))</f>
        <v>87.435552634172723</v>
      </c>
      <c r="E3324" s="5">
        <f ca="1">IF(getQuality(B3324)&lt;4,getOtherMax(B3324,C3324,INDIRECT(J$2),INDIRECT(I3324),test),getMax(B3324,C3324,INDIRECT(J$2),INDIRECT(I3324),test))</f>
        <v>124.85135380491616</v>
      </c>
      <c r="F3324" s="1" t="str">
        <f t="shared" si="207"/>
        <v>50</v>
      </c>
      <c r="G3324" s="1" t="str">
        <f t="shared" si="208"/>
        <v/>
      </c>
      <c r="I3324" s="1" t="str">
        <f t="shared" si="206"/>
        <v>威尔新数值1.06.xlsm!suitPower</v>
      </c>
    </row>
    <row r="3325" spans="1:9" x14ac:dyDescent="0.15">
      <c r="A3325" s="1">
        <v>3324</v>
      </c>
      <c r="B3325" s="1">
        <v>103040400</v>
      </c>
      <c r="C3325" s="1">
        <f t="shared" si="209"/>
        <v>13</v>
      </c>
      <c r="D3325" s="5">
        <f ca="1">IF(getQuality(B3325)&lt;4,getOtherMin(B3325,C3325,INDIRECT(J$2),INDIRECT(I3325),test),getMin(B3325,C3325,INDIRECT(J$2),INDIRECT(I3325),test))</f>
        <v>87.435552634172723</v>
      </c>
      <c r="E3325" s="5">
        <f ca="1">IF(getQuality(B3325)&lt;4,getOtherMax(B3325,C3325,INDIRECT(J$2),INDIRECT(I3325),test),getMax(B3325,C3325,INDIRECT(J$2),INDIRECT(I3325),test))</f>
        <v>124.85135380491616</v>
      </c>
      <c r="F3325" s="1" t="str">
        <f t="shared" si="207"/>
        <v>50</v>
      </c>
      <c r="G3325" s="1" t="str">
        <f t="shared" si="208"/>
        <v/>
      </c>
      <c r="I3325" s="1" t="str">
        <f t="shared" si="206"/>
        <v>威尔新数值1.06.xlsm!suitPower</v>
      </c>
    </row>
    <row r="3326" spans="1:9" x14ac:dyDescent="0.15">
      <c r="A3326" s="1">
        <v>3325</v>
      </c>
      <c r="B3326" s="1">
        <v>103040400</v>
      </c>
      <c r="C3326" s="1">
        <f t="shared" si="209"/>
        <v>14</v>
      </c>
      <c r="D3326" s="5">
        <f ca="1">IF(getQuality(B3326)&lt;4,getOtherMin(B3326,C3326,INDIRECT(J$2),INDIRECT(I3326),test),getMin(B3326,C3326,INDIRECT(J$2),INDIRECT(I3326),test))</f>
        <v>87.435552634172723</v>
      </c>
      <c r="E3326" s="5">
        <f ca="1">IF(getQuality(B3326)&lt;4,getOtherMax(B3326,C3326,INDIRECT(J$2),INDIRECT(I3326),test),getMax(B3326,C3326,INDIRECT(J$2),INDIRECT(I3326),test))</f>
        <v>124.85135380491616</v>
      </c>
      <c r="F3326" s="1" t="str">
        <f t="shared" si="207"/>
        <v>50</v>
      </c>
      <c r="G3326" s="1" t="str">
        <f t="shared" si="208"/>
        <v/>
      </c>
      <c r="I3326" s="1" t="str">
        <f t="shared" si="206"/>
        <v>威尔新数值1.06.xlsm!suitPower</v>
      </c>
    </row>
    <row r="3327" spans="1:9" x14ac:dyDescent="0.15">
      <c r="A3327" s="1">
        <v>3326</v>
      </c>
      <c r="B3327" s="1">
        <v>103040400</v>
      </c>
      <c r="C3327" s="1">
        <f t="shared" si="209"/>
        <v>15</v>
      </c>
      <c r="D3327" s="5">
        <f ca="1">IF(getQuality(B3327)&lt;4,getOtherMin(B3327,C3327,INDIRECT(J$2),INDIRECT(I3327),test),getMin(B3327,C3327,INDIRECT(J$2),INDIRECT(I3327),test))</f>
        <v>87.435552634172723</v>
      </c>
      <c r="E3327" s="5">
        <f ca="1">IF(getQuality(B3327)&lt;4,getOtherMax(B3327,C3327,INDIRECT(J$2),INDIRECT(I3327),test),getMax(B3327,C3327,INDIRECT(J$2),INDIRECT(I3327),test))</f>
        <v>124.85135380491616</v>
      </c>
      <c r="F3327" s="1" t="str">
        <f t="shared" si="207"/>
        <v>50</v>
      </c>
      <c r="G3327" s="1" t="str">
        <f t="shared" si="208"/>
        <v/>
      </c>
      <c r="I3327" s="1" t="str">
        <f t="shared" si="206"/>
        <v>威尔新数值1.06.xlsm!suitPower</v>
      </c>
    </row>
    <row r="3328" spans="1:9" x14ac:dyDescent="0.15">
      <c r="A3328" s="1">
        <v>3327</v>
      </c>
      <c r="B3328" s="1">
        <v>103040400</v>
      </c>
      <c r="C3328" s="1">
        <f t="shared" si="209"/>
        <v>101</v>
      </c>
      <c r="D3328" s="5">
        <f ca="1">IF(getQuality(B3328)&lt;4,getOtherMin(B3328,C3328,INDIRECT(J$2),INDIRECT(I3328),test),getMin(B3328,C3328,INDIRECT(J$2),INDIRECT(I3328),test))</f>
        <v>0.1</v>
      </c>
      <c r="E3328" s="5">
        <f ca="1">IF(getQuality(B3328)&lt;4,getOtherMax(B3328,C3328,INDIRECT(J$2),INDIRECT(I3328),test),getMax(B3328,C3328,INDIRECT(J$2),INDIRECT(I3328),test))</f>
        <v>0.13</v>
      </c>
      <c r="F3328" s="1" t="str">
        <f t="shared" si="207"/>
        <v>50</v>
      </c>
      <c r="G3328" s="1" t="str">
        <f t="shared" si="208"/>
        <v/>
      </c>
      <c r="I3328" s="1" t="str">
        <f t="shared" si="206"/>
        <v>威尔新数值1.06.xlsm!circlePer</v>
      </c>
    </row>
    <row r="3329" spans="1:9" x14ac:dyDescent="0.15">
      <c r="A3329" s="1">
        <v>3328</v>
      </c>
      <c r="B3329" s="1">
        <v>103040400</v>
      </c>
      <c r="C3329" s="1">
        <f t="shared" si="209"/>
        <v>102</v>
      </c>
      <c r="D3329" s="5">
        <f ca="1">IF(getQuality(B3329)&lt;4,getOtherMin(B3329,C3329,INDIRECT(J$2),INDIRECT(I3329),test),getMin(B3329,C3329,INDIRECT(J$2),INDIRECT(I3329),test))</f>
        <v>0.9</v>
      </c>
      <c r="E3329" s="5">
        <f ca="1">IF(getQuality(B3329)&lt;4,getOtherMax(B3329,C3329,INDIRECT(J$2),INDIRECT(I3329),test),getMax(B3329,C3329,INDIRECT(J$2),INDIRECT(I3329),test))</f>
        <v>1.2</v>
      </c>
      <c r="F3329" s="1" t="str">
        <f t="shared" si="207"/>
        <v>50</v>
      </c>
      <c r="G3329" s="1" t="str">
        <f t="shared" si="208"/>
        <v/>
      </c>
      <c r="I3329" s="1" t="str">
        <f t="shared" si="206"/>
        <v>威尔新数值1.06.xlsm!circleValue</v>
      </c>
    </row>
    <row r="3330" spans="1:9" x14ac:dyDescent="0.15">
      <c r="A3330" s="1">
        <v>3329</v>
      </c>
      <c r="B3330" s="1">
        <v>103040400</v>
      </c>
      <c r="C3330" s="1">
        <f t="shared" si="209"/>
        <v>103</v>
      </c>
      <c r="D3330" s="5">
        <f ca="1">IF(getQuality(B3330)&lt;4,getOtherMin(B3330,C3330,INDIRECT(J$2),INDIRECT(I3330),test),getMin(B3330,C3330,INDIRECT(J$2),INDIRECT(I3330),test))</f>
        <v>0.1</v>
      </c>
      <c r="E3330" s="5">
        <f ca="1">IF(getQuality(B3330)&lt;4,getOtherMax(B3330,C3330,INDIRECT(J$2),INDIRECT(I3330),test),getMax(B3330,C3330,INDIRECT(J$2),INDIRECT(I3330),test))</f>
        <v>0.13</v>
      </c>
      <c r="F3330" s="1" t="str">
        <f t="shared" si="207"/>
        <v>50</v>
      </c>
      <c r="G3330" s="1" t="str">
        <f t="shared" si="208"/>
        <v/>
      </c>
      <c r="I3330" s="1" t="str">
        <f t="shared" ref="I3330:I3393" si="210">IF(C3330&lt;100,VLOOKUP(C3330,test,3,FALSE),VLOOKUP(C3330,test1,3,FALSE))</f>
        <v>威尔新数值1.06.xlsm!otherDamage</v>
      </c>
    </row>
    <row r="3331" spans="1:9" x14ac:dyDescent="0.15">
      <c r="A3331" s="1">
        <v>3330</v>
      </c>
      <c r="B3331" s="1">
        <v>103040400</v>
      </c>
      <c r="C3331" s="1">
        <f t="shared" si="209"/>
        <v>104</v>
      </c>
      <c r="D3331" s="5">
        <f ca="1">IF(getQuality(B3331)&lt;4,getOtherMin(B3331,C3331,INDIRECT(J$2),INDIRECT(I3331),test),getMin(B3331,C3331,INDIRECT(J$2),INDIRECT(I3331),test))</f>
        <v>0.1</v>
      </c>
      <c r="E3331" s="5">
        <f ca="1">IF(getQuality(B3331)&lt;4,getOtherMax(B3331,C3331,INDIRECT(J$2),INDIRECT(I3331),test),getMax(B3331,C3331,INDIRECT(J$2),INDIRECT(I3331),test))</f>
        <v>0.2</v>
      </c>
      <c r="F3331" s="1" t="str">
        <f t="shared" ref="F3331:F3394" si="211">getper(B3331,C3331)</f>
        <v>50</v>
      </c>
      <c r="G3331" s="1" t="str">
        <f t="shared" ref="G3331:G3394" si="212">getMust(B3331,C3331)</f>
        <v/>
      </c>
      <c r="I3331" s="1" t="str">
        <f t="shared" si="210"/>
        <v>威尔新数值1.06.xlsm!monsterDamage</v>
      </c>
    </row>
    <row r="3332" spans="1:9" x14ac:dyDescent="0.15">
      <c r="A3332" s="1">
        <v>3331</v>
      </c>
      <c r="B3332" s="1">
        <v>103040400</v>
      </c>
      <c r="C3332" s="1">
        <f t="shared" si="209"/>
        <v>105</v>
      </c>
      <c r="D3332" s="5">
        <f ca="1">IF(getQuality(B3332)&lt;4,getOtherMin(B3332,C3332,INDIRECT(J$2),INDIRECT(I3332),test),getMin(B3332,C3332,INDIRECT(J$2),INDIRECT(I3332),test))</f>
        <v>0.1</v>
      </c>
      <c r="E3332" s="5">
        <f ca="1">IF(getQuality(B3332)&lt;4,getOtherMax(B3332,C3332,INDIRECT(J$2),INDIRECT(I3332),test),getMax(B3332,C3332,INDIRECT(J$2),INDIRECT(I3332),test))</f>
        <v>0.2</v>
      </c>
      <c r="F3332" s="1" t="str">
        <f t="shared" si="211"/>
        <v>50</v>
      </c>
      <c r="G3332" s="1" t="str">
        <f t="shared" si="212"/>
        <v/>
      </c>
      <c r="I3332" s="1" t="str">
        <f t="shared" si="210"/>
        <v>威尔新数值1.06.xlsm!monsterDamage</v>
      </c>
    </row>
    <row r="3333" spans="1:9" x14ac:dyDescent="0.15">
      <c r="A3333" s="1">
        <v>3332</v>
      </c>
      <c r="B3333" s="1">
        <v>103040400</v>
      </c>
      <c r="C3333" s="1">
        <f t="shared" si="209"/>
        <v>106</v>
      </c>
      <c r="D3333" s="5">
        <f ca="1">IF(getQuality(B3333)&lt;4,getOtherMin(B3333,C3333,INDIRECT(J$2),INDIRECT(I3333),test),getMin(B3333,C3333,INDIRECT(J$2),INDIRECT(I3333),test))</f>
        <v>0.1</v>
      </c>
      <c r="E3333" s="5">
        <f ca="1">IF(getQuality(B3333)&lt;4,getOtherMax(B3333,C3333,INDIRECT(J$2),INDIRECT(I3333),test),getMax(B3333,C3333,INDIRECT(J$2),INDIRECT(I3333),test))</f>
        <v>0.2</v>
      </c>
      <c r="F3333" s="1" t="str">
        <f t="shared" si="211"/>
        <v>50</v>
      </c>
      <c r="G3333" s="1" t="str">
        <f t="shared" si="212"/>
        <v/>
      </c>
      <c r="I3333" s="1" t="str">
        <f t="shared" si="210"/>
        <v>威尔新数值1.06.xlsm!monsterDamage</v>
      </c>
    </row>
    <row r="3334" spans="1:9" x14ac:dyDescent="0.15">
      <c r="A3334" s="1">
        <v>3333</v>
      </c>
      <c r="B3334" s="1">
        <v>103040400</v>
      </c>
      <c r="C3334" s="1">
        <f t="shared" si="209"/>
        <v>107</v>
      </c>
      <c r="D3334" s="5">
        <f ca="1">IF(getQuality(B3334)&lt;4,getOtherMin(B3334,C3334,INDIRECT(J$2),INDIRECT(I3334),test),getMin(B3334,C3334,INDIRECT(J$2),INDIRECT(I3334),test))</f>
        <v>0.1</v>
      </c>
      <c r="E3334" s="5">
        <f ca="1">IF(getQuality(B3334)&lt;4,getOtherMax(B3334,C3334,INDIRECT(J$2),INDIRECT(I3334),test),getMax(B3334,C3334,INDIRECT(J$2),INDIRECT(I3334),test))</f>
        <v>0.2</v>
      </c>
      <c r="F3334" s="1" t="str">
        <f t="shared" si="211"/>
        <v>50</v>
      </c>
      <c r="G3334" s="1" t="str">
        <f t="shared" si="212"/>
        <v/>
      </c>
      <c r="I3334" s="1" t="str">
        <f t="shared" si="210"/>
        <v>威尔新数值1.06.xlsm!monsterDamage</v>
      </c>
    </row>
    <row r="3335" spans="1:9" x14ac:dyDescent="0.15">
      <c r="A3335" s="1">
        <v>3334</v>
      </c>
      <c r="B3335" s="1">
        <v>103040400</v>
      </c>
      <c r="C3335" s="1">
        <f t="shared" si="209"/>
        <v>108</v>
      </c>
      <c r="D3335" s="5">
        <f ca="1">IF(getQuality(B3335)&lt;4,getOtherMin(B3335,C3335,INDIRECT(J$2),INDIRECT(I3335),test),getMin(B3335,C3335,INDIRECT(J$2),INDIRECT(I3335),test))</f>
        <v>0.1</v>
      </c>
      <c r="E3335" s="5">
        <f ca="1">IF(getQuality(B3335)&lt;4,getOtherMax(B3335,C3335,INDIRECT(J$2),INDIRECT(I3335),test),getMax(B3335,C3335,INDIRECT(J$2),INDIRECT(I3335),test))</f>
        <v>0.2</v>
      </c>
      <c r="F3335" s="1" t="str">
        <f t="shared" si="211"/>
        <v>50</v>
      </c>
      <c r="G3335" s="1" t="str">
        <f t="shared" si="212"/>
        <v/>
      </c>
      <c r="I3335" s="1" t="str">
        <f t="shared" si="210"/>
        <v>威尔新数值1.06.xlsm!monsterDamage</v>
      </c>
    </row>
    <row r="3336" spans="1:9" x14ac:dyDescent="0.15">
      <c r="A3336" s="1">
        <v>3335</v>
      </c>
      <c r="B3336" s="1">
        <v>103050400</v>
      </c>
      <c r="C3336" s="1">
        <f t="shared" si="209"/>
        <v>3</v>
      </c>
      <c r="D3336" s="5">
        <f ca="1">IF(getQuality(B3336)&lt;4,getOtherMin(B3336,C3336,INDIRECT(J$2),INDIRECT(I3336),test),getMin(B3336,C3336,INDIRECT(J$2),INDIRECT(I3336),test))</f>
        <v>125.85135380491616</v>
      </c>
      <c r="E3336" s="5">
        <f ca="1">IF(getQuality(B3336)&lt;4,getOtherMax(B3336,C3336,INDIRECT(J$2),INDIRECT(I3336),test),getMax(B3336,C3336,INDIRECT(J$2),INDIRECT(I3336),test))</f>
        <v>169.16048810980774</v>
      </c>
      <c r="F3336" s="1" t="str">
        <f t="shared" si="211"/>
        <v>50</v>
      </c>
      <c r="G3336" s="1" t="str">
        <f t="shared" si="212"/>
        <v/>
      </c>
      <c r="I3336" s="1" t="str">
        <f t="shared" si="210"/>
        <v>威尔新数值1.06.xlsm!suitPower</v>
      </c>
    </row>
    <row r="3337" spans="1:9" x14ac:dyDescent="0.15">
      <c r="A3337" s="1">
        <v>3336</v>
      </c>
      <c r="B3337" s="1">
        <v>103050400</v>
      </c>
      <c r="C3337" s="1">
        <f t="shared" si="209"/>
        <v>5</v>
      </c>
      <c r="D3337" s="5">
        <f ca="1">IF(getQuality(B3337)&lt;4,getOtherMin(B3337,C3337,INDIRECT(J$2),INDIRECT(I3337),test),getMin(B3337,C3337,INDIRECT(J$2),INDIRECT(I3337),test))</f>
        <v>125.85135380491616</v>
      </c>
      <c r="E3337" s="5">
        <f ca="1">IF(getQuality(B3337)&lt;4,getOtherMax(B3337,C3337,INDIRECT(J$2),INDIRECT(I3337),test),getMax(B3337,C3337,INDIRECT(J$2),INDIRECT(I3337),test))</f>
        <v>169.16048810980774</v>
      </c>
      <c r="F3337" s="1" t="str">
        <f t="shared" si="211"/>
        <v>50</v>
      </c>
      <c r="G3337" s="1" t="str">
        <f t="shared" si="212"/>
        <v>1</v>
      </c>
      <c r="I3337" s="1" t="str">
        <f t="shared" si="210"/>
        <v>威尔新数值1.06.xlsm!suitPower</v>
      </c>
    </row>
    <row r="3338" spans="1:9" x14ac:dyDescent="0.15">
      <c r="A3338" s="1">
        <v>3337</v>
      </c>
      <c r="B3338" s="1">
        <v>103050400</v>
      </c>
      <c r="C3338" s="1">
        <f t="shared" si="209"/>
        <v>7</v>
      </c>
      <c r="D3338" s="5">
        <f ca="1">IF(getQuality(B3338)&lt;4,getOtherMin(B3338,C3338,INDIRECT(J$2),INDIRECT(I3338),test),getMin(B3338,C3338,INDIRECT(J$2),INDIRECT(I3338),test))</f>
        <v>30.629629629629555</v>
      </c>
      <c r="E3338" s="5">
        <f ca="1">IF(getQuality(B3338)&lt;4,getOtherMax(B3338,C3338,INDIRECT(J$2),INDIRECT(I3338),test),getMax(B3338,C3338,INDIRECT(J$2),INDIRECT(I3338),test))</f>
        <v>37.037037037036946</v>
      </c>
      <c r="F3338" s="1" t="str">
        <f t="shared" si="211"/>
        <v>50</v>
      </c>
      <c r="G3338" s="1" t="str">
        <f t="shared" si="212"/>
        <v/>
      </c>
      <c r="I3338" s="1" t="str">
        <f t="shared" si="210"/>
        <v>威尔新数值1.06.xlsm!suitPower</v>
      </c>
    </row>
    <row r="3339" spans="1:9" x14ac:dyDescent="0.15">
      <c r="A3339" s="1">
        <v>3338</v>
      </c>
      <c r="B3339" s="1">
        <v>103050400</v>
      </c>
      <c r="C3339" s="1">
        <f t="shared" si="209"/>
        <v>8</v>
      </c>
      <c r="D3339" s="5">
        <f ca="1">IF(getQuality(B3339)&lt;4,getOtherMin(B3339,C3339,INDIRECT(J$2),INDIRECT(I3339),test),getMin(B3339,C3339,INDIRECT(J$2),INDIRECT(I3339),test))</f>
        <v>67.666666666666671</v>
      </c>
      <c r="E3339" s="5">
        <f ca="1">IF(getQuality(B3339)&lt;4,getOtherMax(B3339,C3339,INDIRECT(J$2),INDIRECT(I3339),test),getMax(B3339,C3339,INDIRECT(J$2),INDIRECT(I3339),test))</f>
        <v>83.333333333333329</v>
      </c>
      <c r="F3339" s="1" t="str">
        <f t="shared" si="211"/>
        <v>50</v>
      </c>
      <c r="G3339" s="1" t="str">
        <f t="shared" si="212"/>
        <v/>
      </c>
      <c r="I3339" s="1" t="str">
        <f t="shared" si="210"/>
        <v>威尔新数值1.06.xlsm!suitPower</v>
      </c>
    </row>
    <row r="3340" spans="1:9" x14ac:dyDescent="0.15">
      <c r="A3340" s="1">
        <v>3339</v>
      </c>
      <c r="B3340" s="1">
        <v>103050400</v>
      </c>
      <c r="C3340" s="1">
        <f t="shared" si="209"/>
        <v>9</v>
      </c>
      <c r="D3340" s="5">
        <f ca="1">IF(getQuality(B3340)&lt;4,getOtherMin(B3340,C3340,INDIRECT(J$2),INDIRECT(I3340),test),getMin(B3340,C3340,INDIRECT(J$2),INDIRECT(I3340),test))</f>
        <v>125.85135380491616</v>
      </c>
      <c r="E3340" s="5">
        <f ca="1">IF(getQuality(B3340)&lt;4,getOtherMax(B3340,C3340,INDIRECT(J$2),INDIRECT(I3340),test),getMax(B3340,C3340,INDIRECT(J$2),INDIRECT(I3340),test))</f>
        <v>169.16048810980774</v>
      </c>
      <c r="F3340" s="1" t="str">
        <f t="shared" si="211"/>
        <v>50</v>
      </c>
      <c r="G3340" s="1" t="str">
        <f t="shared" si="212"/>
        <v/>
      </c>
      <c r="I3340" s="1" t="str">
        <f t="shared" si="210"/>
        <v>威尔新数值1.06.xlsm!suitPower</v>
      </c>
    </row>
    <row r="3341" spans="1:9" x14ac:dyDescent="0.15">
      <c r="A3341" s="1">
        <v>3340</v>
      </c>
      <c r="B3341" s="1">
        <v>103050400</v>
      </c>
      <c r="C3341" s="1">
        <f t="shared" si="209"/>
        <v>10</v>
      </c>
      <c r="D3341" s="5">
        <f ca="1">IF(getQuality(B3341)&lt;4,getOtherMin(B3341,C3341,INDIRECT(J$2),INDIRECT(I3341),test),getMin(B3341,C3341,INDIRECT(J$2),INDIRECT(I3341),test))</f>
        <v>125.85135380491616</v>
      </c>
      <c r="E3341" s="5">
        <f ca="1">IF(getQuality(B3341)&lt;4,getOtherMax(B3341,C3341,INDIRECT(J$2),INDIRECT(I3341),test),getMax(B3341,C3341,INDIRECT(J$2),INDIRECT(I3341),test))</f>
        <v>169.16048810980774</v>
      </c>
      <c r="F3341" s="1" t="str">
        <f t="shared" si="211"/>
        <v>50</v>
      </c>
      <c r="G3341" s="1" t="str">
        <f t="shared" si="212"/>
        <v/>
      </c>
      <c r="I3341" s="1" t="str">
        <f t="shared" si="210"/>
        <v>威尔新数值1.06.xlsm!suitPower</v>
      </c>
    </row>
    <row r="3342" spans="1:9" x14ac:dyDescent="0.15">
      <c r="A3342" s="1">
        <v>3341</v>
      </c>
      <c r="B3342" s="1">
        <v>103050400</v>
      </c>
      <c r="C3342" s="1">
        <f t="shared" si="209"/>
        <v>11</v>
      </c>
      <c r="D3342" s="5">
        <f ca="1">IF(getQuality(B3342)&lt;4,getOtherMin(B3342,C3342,INDIRECT(J$2),INDIRECT(I3342),test),getMin(B3342,C3342,INDIRECT(J$2),INDIRECT(I3342),test))</f>
        <v>125.85135380491616</v>
      </c>
      <c r="E3342" s="5">
        <f ca="1">IF(getQuality(B3342)&lt;4,getOtherMax(B3342,C3342,INDIRECT(J$2),INDIRECT(I3342),test),getMax(B3342,C3342,INDIRECT(J$2),INDIRECT(I3342),test))</f>
        <v>169.16048810980774</v>
      </c>
      <c r="F3342" s="1" t="str">
        <f t="shared" si="211"/>
        <v>50</v>
      </c>
      <c r="G3342" s="1" t="str">
        <f t="shared" si="212"/>
        <v/>
      </c>
      <c r="I3342" s="1" t="str">
        <f t="shared" si="210"/>
        <v>威尔新数值1.06.xlsm!suitPower</v>
      </c>
    </row>
    <row r="3343" spans="1:9" x14ac:dyDescent="0.15">
      <c r="A3343" s="1">
        <v>3342</v>
      </c>
      <c r="B3343" s="1">
        <v>103050400</v>
      </c>
      <c r="C3343" s="1">
        <f t="shared" si="209"/>
        <v>12</v>
      </c>
      <c r="D3343" s="5">
        <f ca="1">IF(getQuality(B3343)&lt;4,getOtherMin(B3343,C3343,INDIRECT(J$2),INDIRECT(I3343),test),getMin(B3343,C3343,INDIRECT(J$2),INDIRECT(I3343),test))</f>
        <v>125.85135380491616</v>
      </c>
      <c r="E3343" s="5">
        <f ca="1">IF(getQuality(B3343)&lt;4,getOtherMax(B3343,C3343,INDIRECT(J$2),INDIRECT(I3343),test),getMax(B3343,C3343,INDIRECT(J$2),INDIRECT(I3343),test))</f>
        <v>169.16048810980774</v>
      </c>
      <c r="F3343" s="1" t="str">
        <f t="shared" si="211"/>
        <v>50</v>
      </c>
      <c r="G3343" s="1" t="str">
        <f t="shared" si="212"/>
        <v/>
      </c>
      <c r="I3343" s="1" t="str">
        <f t="shared" si="210"/>
        <v>威尔新数值1.06.xlsm!suitPower</v>
      </c>
    </row>
    <row r="3344" spans="1:9" x14ac:dyDescent="0.15">
      <c r="A3344" s="1">
        <v>3343</v>
      </c>
      <c r="B3344" s="1">
        <v>103050400</v>
      </c>
      <c r="C3344" s="1">
        <f t="shared" si="209"/>
        <v>13</v>
      </c>
      <c r="D3344" s="5">
        <f ca="1">IF(getQuality(B3344)&lt;4,getOtherMin(B3344,C3344,INDIRECT(J$2),INDIRECT(I3344),test),getMin(B3344,C3344,INDIRECT(J$2),INDIRECT(I3344),test))</f>
        <v>125.85135380491616</v>
      </c>
      <c r="E3344" s="5">
        <f ca="1">IF(getQuality(B3344)&lt;4,getOtherMax(B3344,C3344,INDIRECT(J$2),INDIRECT(I3344),test),getMax(B3344,C3344,INDIRECT(J$2),INDIRECT(I3344),test))</f>
        <v>169.16048810980774</v>
      </c>
      <c r="F3344" s="1" t="str">
        <f t="shared" si="211"/>
        <v>50</v>
      </c>
      <c r="G3344" s="1" t="str">
        <f t="shared" si="212"/>
        <v/>
      </c>
      <c r="I3344" s="1" t="str">
        <f t="shared" si="210"/>
        <v>威尔新数值1.06.xlsm!suitPower</v>
      </c>
    </row>
    <row r="3345" spans="1:9" x14ac:dyDescent="0.15">
      <c r="A3345" s="1">
        <v>3344</v>
      </c>
      <c r="B3345" s="1">
        <v>103050400</v>
      </c>
      <c r="C3345" s="1">
        <f t="shared" si="209"/>
        <v>14</v>
      </c>
      <c r="D3345" s="5">
        <f ca="1">IF(getQuality(B3345)&lt;4,getOtherMin(B3345,C3345,INDIRECT(J$2),INDIRECT(I3345),test),getMin(B3345,C3345,INDIRECT(J$2),INDIRECT(I3345),test))</f>
        <v>125.85135380491616</v>
      </c>
      <c r="E3345" s="5">
        <f ca="1">IF(getQuality(B3345)&lt;4,getOtherMax(B3345,C3345,INDIRECT(J$2),INDIRECT(I3345),test),getMax(B3345,C3345,INDIRECT(J$2),INDIRECT(I3345),test))</f>
        <v>169.16048810980774</v>
      </c>
      <c r="F3345" s="1" t="str">
        <f t="shared" si="211"/>
        <v>50</v>
      </c>
      <c r="G3345" s="1" t="str">
        <f t="shared" si="212"/>
        <v/>
      </c>
      <c r="I3345" s="1" t="str">
        <f t="shared" si="210"/>
        <v>威尔新数值1.06.xlsm!suitPower</v>
      </c>
    </row>
    <row r="3346" spans="1:9" x14ac:dyDescent="0.15">
      <c r="A3346" s="1">
        <v>3345</v>
      </c>
      <c r="B3346" s="1">
        <v>103050400</v>
      </c>
      <c r="C3346" s="1">
        <f t="shared" si="209"/>
        <v>15</v>
      </c>
      <c r="D3346" s="5">
        <f ca="1">IF(getQuality(B3346)&lt;4,getOtherMin(B3346,C3346,INDIRECT(J$2),INDIRECT(I3346),test),getMin(B3346,C3346,INDIRECT(J$2),INDIRECT(I3346),test))</f>
        <v>125.85135380491616</v>
      </c>
      <c r="E3346" s="5">
        <f ca="1">IF(getQuality(B3346)&lt;4,getOtherMax(B3346,C3346,INDIRECT(J$2),INDIRECT(I3346),test),getMax(B3346,C3346,INDIRECT(J$2),INDIRECT(I3346),test))</f>
        <v>169.16048810980774</v>
      </c>
      <c r="F3346" s="1" t="str">
        <f t="shared" si="211"/>
        <v>50</v>
      </c>
      <c r="G3346" s="1" t="str">
        <f t="shared" si="212"/>
        <v/>
      </c>
      <c r="I3346" s="1" t="str">
        <f t="shared" si="210"/>
        <v>威尔新数值1.06.xlsm!suitPower</v>
      </c>
    </row>
    <row r="3347" spans="1:9" x14ac:dyDescent="0.15">
      <c r="A3347" s="1">
        <v>3346</v>
      </c>
      <c r="B3347" s="1">
        <v>103050400</v>
      </c>
      <c r="C3347" s="1">
        <f t="shared" si="209"/>
        <v>101</v>
      </c>
      <c r="D3347" s="5">
        <f ca="1">IF(getQuality(B3347)&lt;4,getOtherMin(B3347,C3347,INDIRECT(J$2),INDIRECT(I3347),test),getMin(B3347,C3347,INDIRECT(J$2),INDIRECT(I3347),test))</f>
        <v>0.11</v>
      </c>
      <c r="E3347" s="5">
        <f ca="1">IF(getQuality(B3347)&lt;4,getOtherMax(B3347,C3347,INDIRECT(J$2),INDIRECT(I3347),test),getMax(B3347,C3347,INDIRECT(J$2),INDIRECT(I3347),test))</f>
        <v>0.14000000000000001</v>
      </c>
      <c r="F3347" s="1" t="str">
        <f t="shared" si="211"/>
        <v>50</v>
      </c>
      <c r="G3347" s="1" t="str">
        <f t="shared" si="212"/>
        <v/>
      </c>
      <c r="I3347" s="1" t="str">
        <f t="shared" si="210"/>
        <v>威尔新数值1.06.xlsm!circlePer</v>
      </c>
    </row>
    <row r="3348" spans="1:9" x14ac:dyDescent="0.15">
      <c r="A3348" s="1">
        <v>3347</v>
      </c>
      <c r="B3348" s="1">
        <v>103050400</v>
      </c>
      <c r="C3348" s="1">
        <f t="shared" si="209"/>
        <v>102</v>
      </c>
      <c r="D3348" s="5">
        <f ca="1">IF(getQuality(B3348)&lt;4,getOtherMin(B3348,C3348,INDIRECT(J$2),INDIRECT(I3348),test),getMin(B3348,C3348,INDIRECT(J$2),INDIRECT(I3348),test))</f>
        <v>1</v>
      </c>
      <c r="E3348" s="5">
        <f ca="1">IF(getQuality(B3348)&lt;4,getOtherMax(B3348,C3348,INDIRECT(J$2),INDIRECT(I3348),test),getMax(B3348,C3348,INDIRECT(J$2),INDIRECT(I3348),test))</f>
        <v>1.3</v>
      </c>
      <c r="F3348" s="1" t="str">
        <f t="shared" si="211"/>
        <v>50</v>
      </c>
      <c r="G3348" s="1" t="str">
        <f t="shared" si="212"/>
        <v/>
      </c>
      <c r="I3348" s="1" t="str">
        <f t="shared" si="210"/>
        <v>威尔新数值1.06.xlsm!circleValue</v>
      </c>
    </row>
    <row r="3349" spans="1:9" x14ac:dyDescent="0.15">
      <c r="A3349" s="1">
        <v>3348</v>
      </c>
      <c r="B3349" s="1">
        <v>103050400</v>
      </c>
      <c r="C3349" s="1">
        <f t="shared" si="209"/>
        <v>103</v>
      </c>
      <c r="D3349" s="5">
        <f ca="1">IF(getQuality(B3349)&lt;4,getOtherMin(B3349,C3349,INDIRECT(J$2),INDIRECT(I3349),test),getMin(B3349,C3349,INDIRECT(J$2),INDIRECT(I3349),test))</f>
        <v>0.11</v>
      </c>
      <c r="E3349" s="5">
        <f ca="1">IF(getQuality(B3349)&lt;4,getOtherMax(B3349,C3349,INDIRECT(J$2),INDIRECT(I3349),test),getMax(B3349,C3349,INDIRECT(J$2),INDIRECT(I3349),test))</f>
        <v>0.14000000000000001</v>
      </c>
      <c r="F3349" s="1" t="str">
        <f t="shared" si="211"/>
        <v>50</v>
      </c>
      <c r="G3349" s="1" t="str">
        <f t="shared" si="212"/>
        <v/>
      </c>
      <c r="I3349" s="1" t="str">
        <f t="shared" si="210"/>
        <v>威尔新数值1.06.xlsm!otherDamage</v>
      </c>
    </row>
    <row r="3350" spans="1:9" x14ac:dyDescent="0.15">
      <c r="A3350" s="1">
        <v>3349</v>
      </c>
      <c r="B3350" s="1">
        <v>103050400</v>
      </c>
      <c r="C3350" s="1">
        <f t="shared" si="209"/>
        <v>104</v>
      </c>
      <c r="D3350" s="5">
        <f ca="1">IF(getQuality(B3350)&lt;4,getOtherMin(B3350,C3350,INDIRECT(J$2),INDIRECT(I3350),test),getMin(B3350,C3350,INDIRECT(J$2),INDIRECT(I3350),test))</f>
        <v>0.11</v>
      </c>
      <c r="E3350" s="5">
        <f ca="1">IF(getQuality(B3350)&lt;4,getOtherMax(B3350,C3350,INDIRECT(J$2),INDIRECT(I3350),test),getMax(B3350,C3350,INDIRECT(J$2),INDIRECT(I3350),test))</f>
        <v>0.22</v>
      </c>
      <c r="F3350" s="1" t="str">
        <f t="shared" si="211"/>
        <v>50</v>
      </c>
      <c r="G3350" s="1" t="str">
        <f t="shared" si="212"/>
        <v/>
      </c>
      <c r="I3350" s="1" t="str">
        <f t="shared" si="210"/>
        <v>威尔新数值1.06.xlsm!monsterDamage</v>
      </c>
    </row>
    <row r="3351" spans="1:9" x14ac:dyDescent="0.15">
      <c r="A3351" s="1">
        <v>3350</v>
      </c>
      <c r="B3351" s="1">
        <v>103050400</v>
      </c>
      <c r="C3351" s="1">
        <f t="shared" si="209"/>
        <v>105</v>
      </c>
      <c r="D3351" s="5">
        <f ca="1">IF(getQuality(B3351)&lt;4,getOtherMin(B3351,C3351,INDIRECT(J$2),INDIRECT(I3351),test),getMin(B3351,C3351,INDIRECT(J$2),INDIRECT(I3351),test))</f>
        <v>0.11</v>
      </c>
      <c r="E3351" s="5">
        <f ca="1">IF(getQuality(B3351)&lt;4,getOtherMax(B3351,C3351,INDIRECT(J$2),INDIRECT(I3351),test),getMax(B3351,C3351,INDIRECT(J$2),INDIRECT(I3351),test))</f>
        <v>0.22</v>
      </c>
      <c r="F3351" s="1" t="str">
        <f t="shared" si="211"/>
        <v>50</v>
      </c>
      <c r="G3351" s="1" t="str">
        <f t="shared" si="212"/>
        <v/>
      </c>
      <c r="I3351" s="1" t="str">
        <f t="shared" si="210"/>
        <v>威尔新数值1.06.xlsm!monsterDamage</v>
      </c>
    </row>
    <row r="3352" spans="1:9" x14ac:dyDescent="0.15">
      <c r="A3352" s="1">
        <v>3351</v>
      </c>
      <c r="B3352" s="1">
        <v>103050400</v>
      </c>
      <c r="C3352" s="1">
        <f t="shared" si="209"/>
        <v>106</v>
      </c>
      <c r="D3352" s="5">
        <f ca="1">IF(getQuality(B3352)&lt;4,getOtherMin(B3352,C3352,INDIRECT(J$2),INDIRECT(I3352),test),getMin(B3352,C3352,INDIRECT(J$2),INDIRECT(I3352),test))</f>
        <v>0.11</v>
      </c>
      <c r="E3352" s="5">
        <f ca="1">IF(getQuality(B3352)&lt;4,getOtherMax(B3352,C3352,INDIRECT(J$2),INDIRECT(I3352),test),getMax(B3352,C3352,INDIRECT(J$2),INDIRECT(I3352),test))</f>
        <v>0.22</v>
      </c>
      <c r="F3352" s="1" t="str">
        <f t="shared" si="211"/>
        <v>50</v>
      </c>
      <c r="G3352" s="1" t="str">
        <f t="shared" si="212"/>
        <v/>
      </c>
      <c r="I3352" s="1" t="str">
        <f t="shared" si="210"/>
        <v>威尔新数值1.06.xlsm!monsterDamage</v>
      </c>
    </row>
    <row r="3353" spans="1:9" x14ac:dyDescent="0.15">
      <c r="A3353" s="1">
        <v>3352</v>
      </c>
      <c r="B3353" s="1">
        <v>103050400</v>
      </c>
      <c r="C3353" s="1">
        <f t="shared" si="209"/>
        <v>107</v>
      </c>
      <c r="D3353" s="5">
        <f ca="1">IF(getQuality(B3353)&lt;4,getOtherMin(B3353,C3353,INDIRECT(J$2),INDIRECT(I3353),test),getMin(B3353,C3353,INDIRECT(J$2),INDIRECT(I3353),test))</f>
        <v>0.11</v>
      </c>
      <c r="E3353" s="5">
        <f ca="1">IF(getQuality(B3353)&lt;4,getOtherMax(B3353,C3353,INDIRECT(J$2),INDIRECT(I3353),test),getMax(B3353,C3353,INDIRECT(J$2),INDIRECT(I3353),test))</f>
        <v>0.22</v>
      </c>
      <c r="F3353" s="1" t="str">
        <f t="shared" si="211"/>
        <v>50</v>
      </c>
      <c r="G3353" s="1" t="str">
        <f t="shared" si="212"/>
        <v/>
      </c>
      <c r="I3353" s="1" t="str">
        <f t="shared" si="210"/>
        <v>威尔新数值1.06.xlsm!monsterDamage</v>
      </c>
    </row>
    <row r="3354" spans="1:9" x14ac:dyDescent="0.15">
      <c r="A3354" s="1">
        <v>3353</v>
      </c>
      <c r="B3354" s="1">
        <v>103050400</v>
      </c>
      <c r="C3354" s="1">
        <f t="shared" si="209"/>
        <v>108</v>
      </c>
      <c r="D3354" s="5">
        <f ca="1">IF(getQuality(B3354)&lt;4,getOtherMin(B3354,C3354,INDIRECT(J$2),INDIRECT(I3354),test),getMin(B3354,C3354,INDIRECT(J$2),INDIRECT(I3354),test))</f>
        <v>0.11</v>
      </c>
      <c r="E3354" s="5">
        <f ca="1">IF(getQuality(B3354)&lt;4,getOtherMax(B3354,C3354,INDIRECT(J$2),INDIRECT(I3354),test),getMax(B3354,C3354,INDIRECT(J$2),INDIRECT(I3354),test))</f>
        <v>0.22</v>
      </c>
      <c r="F3354" s="1" t="str">
        <f t="shared" si="211"/>
        <v>50</v>
      </c>
      <c r="G3354" s="1" t="str">
        <f t="shared" si="212"/>
        <v/>
      </c>
      <c r="I3354" s="1" t="str">
        <f t="shared" si="210"/>
        <v>威尔新数值1.06.xlsm!monsterDamage</v>
      </c>
    </row>
    <row r="3355" spans="1:9" x14ac:dyDescent="0.15">
      <c r="A3355" s="1">
        <v>3354</v>
      </c>
      <c r="B3355" s="1">
        <v>103060400</v>
      </c>
      <c r="C3355" s="1">
        <f t="shared" si="209"/>
        <v>3</v>
      </c>
      <c r="D3355" s="5">
        <f ca="1">IF(getQuality(B3355)&lt;4,getOtherMin(B3355,C3355,INDIRECT(J$2),INDIRECT(I3355),test),getMin(B3355,C3355,INDIRECT(J$2),INDIRECT(I3355),test))</f>
        <v>170.16048810980774</v>
      </c>
      <c r="E3355" s="5">
        <f ca="1">IF(getQuality(B3355)&lt;4,getOtherMax(B3355,C3355,INDIRECT(J$2),INDIRECT(I3355),test),getMax(B3355,C3355,INDIRECT(J$2),INDIRECT(I3355),test))</f>
        <v>217.39851117079806</v>
      </c>
      <c r="F3355" s="1" t="str">
        <f t="shared" si="211"/>
        <v>50</v>
      </c>
      <c r="G3355" s="1" t="str">
        <f t="shared" si="212"/>
        <v/>
      </c>
      <c r="I3355" s="1" t="str">
        <f t="shared" si="210"/>
        <v>威尔新数值1.06.xlsm!suitPower</v>
      </c>
    </row>
    <row r="3356" spans="1:9" x14ac:dyDescent="0.15">
      <c r="A3356" s="1">
        <v>3355</v>
      </c>
      <c r="B3356" s="1">
        <v>103060400</v>
      </c>
      <c r="C3356" s="1">
        <f t="shared" si="209"/>
        <v>5</v>
      </c>
      <c r="D3356" s="5">
        <f ca="1">IF(getQuality(B3356)&lt;4,getOtherMin(B3356,C3356,INDIRECT(J$2),INDIRECT(I3356),test),getMin(B3356,C3356,INDIRECT(J$2),INDIRECT(I3356),test))</f>
        <v>170.16048810980774</v>
      </c>
      <c r="E3356" s="5">
        <f ca="1">IF(getQuality(B3356)&lt;4,getOtherMax(B3356,C3356,INDIRECT(J$2),INDIRECT(I3356),test),getMax(B3356,C3356,INDIRECT(J$2),INDIRECT(I3356),test))</f>
        <v>217.39851117079806</v>
      </c>
      <c r="F3356" s="1" t="str">
        <f t="shared" si="211"/>
        <v>50</v>
      </c>
      <c r="G3356" s="1" t="str">
        <f t="shared" si="212"/>
        <v>1</v>
      </c>
      <c r="I3356" s="1" t="str">
        <f t="shared" si="210"/>
        <v>威尔新数值1.06.xlsm!suitPower</v>
      </c>
    </row>
    <row r="3357" spans="1:9" x14ac:dyDescent="0.15">
      <c r="A3357" s="1">
        <v>3356</v>
      </c>
      <c r="B3357" s="1">
        <v>103060400</v>
      </c>
      <c r="C3357" s="1">
        <f t="shared" si="209"/>
        <v>7</v>
      </c>
      <c r="D3357" s="5">
        <f ca="1">IF(getQuality(B3357)&lt;4,getOtherMin(B3357,C3357,INDIRECT(J$2),INDIRECT(I3357),test),getMin(B3357,C3357,INDIRECT(J$2),INDIRECT(I3357),test))</f>
        <v>38.037037037036946</v>
      </c>
      <c r="E3357" s="5">
        <f ca="1">IF(getQuality(B3357)&lt;4,getOtherMax(B3357,C3357,INDIRECT(J$2),INDIRECT(I3357),test),getMax(B3357,C3357,INDIRECT(J$2),INDIRECT(I3357),test))</f>
        <v>44.444444444444329</v>
      </c>
      <c r="F3357" s="1" t="str">
        <f t="shared" si="211"/>
        <v>50</v>
      </c>
      <c r="G3357" s="1" t="str">
        <f t="shared" si="212"/>
        <v/>
      </c>
      <c r="I3357" s="1" t="str">
        <f t="shared" si="210"/>
        <v>威尔新数值1.06.xlsm!suitPower</v>
      </c>
    </row>
    <row r="3358" spans="1:9" x14ac:dyDescent="0.15">
      <c r="A3358" s="1">
        <v>3357</v>
      </c>
      <c r="B3358" s="1">
        <v>103060400</v>
      </c>
      <c r="C3358" s="1">
        <f t="shared" si="209"/>
        <v>8</v>
      </c>
      <c r="D3358" s="5">
        <f ca="1">IF(getQuality(B3358)&lt;4,getOtherMin(B3358,C3358,INDIRECT(J$2),INDIRECT(I3358),test),getMin(B3358,C3358,INDIRECT(J$2),INDIRECT(I3358),test))</f>
        <v>84.333333333333329</v>
      </c>
      <c r="E3358" s="5">
        <f ca="1">IF(getQuality(B3358)&lt;4,getOtherMax(B3358,C3358,INDIRECT(J$2),INDIRECT(I3358),test),getMax(B3358,C3358,INDIRECT(J$2),INDIRECT(I3358),test))</f>
        <v>100</v>
      </c>
      <c r="F3358" s="1" t="str">
        <f t="shared" si="211"/>
        <v>50</v>
      </c>
      <c r="G3358" s="1" t="str">
        <f t="shared" si="212"/>
        <v/>
      </c>
      <c r="I3358" s="1" t="str">
        <f t="shared" si="210"/>
        <v>威尔新数值1.06.xlsm!suitPower</v>
      </c>
    </row>
    <row r="3359" spans="1:9" x14ac:dyDescent="0.15">
      <c r="A3359" s="1">
        <v>3358</v>
      </c>
      <c r="B3359" s="1">
        <v>103060400</v>
      </c>
      <c r="C3359" s="1">
        <f t="shared" si="209"/>
        <v>9</v>
      </c>
      <c r="D3359" s="5">
        <f ca="1">IF(getQuality(B3359)&lt;4,getOtherMin(B3359,C3359,INDIRECT(J$2),INDIRECT(I3359),test),getMin(B3359,C3359,INDIRECT(J$2),INDIRECT(I3359),test))</f>
        <v>170.16048810980774</v>
      </c>
      <c r="E3359" s="5">
        <f ca="1">IF(getQuality(B3359)&lt;4,getOtherMax(B3359,C3359,INDIRECT(J$2),INDIRECT(I3359),test),getMax(B3359,C3359,INDIRECT(J$2),INDIRECT(I3359),test))</f>
        <v>217.39851117079806</v>
      </c>
      <c r="F3359" s="1" t="str">
        <f t="shared" si="211"/>
        <v>50</v>
      </c>
      <c r="G3359" s="1" t="str">
        <f t="shared" si="212"/>
        <v/>
      </c>
      <c r="I3359" s="1" t="str">
        <f t="shared" si="210"/>
        <v>威尔新数值1.06.xlsm!suitPower</v>
      </c>
    </row>
    <row r="3360" spans="1:9" x14ac:dyDescent="0.15">
      <c r="A3360" s="1">
        <v>3359</v>
      </c>
      <c r="B3360" s="1">
        <v>103060400</v>
      </c>
      <c r="C3360" s="1">
        <f t="shared" si="209"/>
        <v>10</v>
      </c>
      <c r="D3360" s="5">
        <f ca="1">IF(getQuality(B3360)&lt;4,getOtherMin(B3360,C3360,INDIRECT(J$2),INDIRECT(I3360),test),getMin(B3360,C3360,INDIRECT(J$2),INDIRECT(I3360),test))</f>
        <v>170.16048810980774</v>
      </c>
      <c r="E3360" s="5">
        <f ca="1">IF(getQuality(B3360)&lt;4,getOtherMax(B3360,C3360,INDIRECT(J$2),INDIRECT(I3360),test),getMax(B3360,C3360,INDIRECT(J$2),INDIRECT(I3360),test))</f>
        <v>217.39851117079806</v>
      </c>
      <c r="F3360" s="1" t="str">
        <f t="shared" si="211"/>
        <v>50</v>
      </c>
      <c r="G3360" s="1" t="str">
        <f t="shared" si="212"/>
        <v/>
      </c>
      <c r="I3360" s="1" t="str">
        <f t="shared" si="210"/>
        <v>威尔新数值1.06.xlsm!suitPower</v>
      </c>
    </row>
    <row r="3361" spans="1:9" x14ac:dyDescent="0.15">
      <c r="A3361" s="1">
        <v>3360</v>
      </c>
      <c r="B3361" s="1">
        <v>103060400</v>
      </c>
      <c r="C3361" s="1">
        <f t="shared" si="209"/>
        <v>11</v>
      </c>
      <c r="D3361" s="5">
        <f ca="1">IF(getQuality(B3361)&lt;4,getOtherMin(B3361,C3361,INDIRECT(J$2),INDIRECT(I3361),test),getMin(B3361,C3361,INDIRECT(J$2),INDIRECT(I3361),test))</f>
        <v>170.16048810980774</v>
      </c>
      <c r="E3361" s="5">
        <f ca="1">IF(getQuality(B3361)&lt;4,getOtherMax(B3361,C3361,INDIRECT(J$2),INDIRECT(I3361),test),getMax(B3361,C3361,INDIRECT(J$2),INDIRECT(I3361),test))</f>
        <v>217.39851117079806</v>
      </c>
      <c r="F3361" s="1" t="str">
        <f t="shared" si="211"/>
        <v>50</v>
      </c>
      <c r="G3361" s="1" t="str">
        <f t="shared" si="212"/>
        <v/>
      </c>
      <c r="I3361" s="1" t="str">
        <f t="shared" si="210"/>
        <v>威尔新数值1.06.xlsm!suitPower</v>
      </c>
    </row>
    <row r="3362" spans="1:9" x14ac:dyDescent="0.15">
      <c r="A3362" s="1">
        <v>3361</v>
      </c>
      <c r="B3362" s="1">
        <v>103060400</v>
      </c>
      <c r="C3362" s="1">
        <f t="shared" si="209"/>
        <v>12</v>
      </c>
      <c r="D3362" s="5">
        <f ca="1">IF(getQuality(B3362)&lt;4,getOtherMin(B3362,C3362,INDIRECT(J$2),INDIRECT(I3362),test),getMin(B3362,C3362,INDIRECT(J$2),INDIRECT(I3362),test))</f>
        <v>170.16048810980774</v>
      </c>
      <c r="E3362" s="5">
        <f ca="1">IF(getQuality(B3362)&lt;4,getOtherMax(B3362,C3362,INDIRECT(J$2),INDIRECT(I3362),test),getMax(B3362,C3362,INDIRECT(J$2),INDIRECT(I3362),test))</f>
        <v>217.39851117079806</v>
      </c>
      <c r="F3362" s="1" t="str">
        <f t="shared" si="211"/>
        <v>50</v>
      </c>
      <c r="G3362" s="1" t="str">
        <f t="shared" si="212"/>
        <v/>
      </c>
      <c r="I3362" s="1" t="str">
        <f t="shared" si="210"/>
        <v>威尔新数值1.06.xlsm!suitPower</v>
      </c>
    </row>
    <row r="3363" spans="1:9" x14ac:dyDescent="0.15">
      <c r="A3363" s="1">
        <v>3362</v>
      </c>
      <c r="B3363" s="1">
        <v>103060400</v>
      </c>
      <c r="C3363" s="1">
        <f t="shared" si="209"/>
        <v>13</v>
      </c>
      <c r="D3363" s="5">
        <f ca="1">IF(getQuality(B3363)&lt;4,getOtherMin(B3363,C3363,INDIRECT(J$2),INDIRECT(I3363),test),getMin(B3363,C3363,INDIRECT(J$2),INDIRECT(I3363),test))</f>
        <v>170.16048810980774</v>
      </c>
      <c r="E3363" s="5">
        <f ca="1">IF(getQuality(B3363)&lt;4,getOtherMax(B3363,C3363,INDIRECT(J$2),INDIRECT(I3363),test),getMax(B3363,C3363,INDIRECT(J$2),INDIRECT(I3363),test))</f>
        <v>217.39851117079806</v>
      </c>
      <c r="F3363" s="1" t="str">
        <f t="shared" si="211"/>
        <v>50</v>
      </c>
      <c r="G3363" s="1" t="str">
        <f t="shared" si="212"/>
        <v/>
      </c>
      <c r="I3363" s="1" t="str">
        <f t="shared" si="210"/>
        <v>威尔新数值1.06.xlsm!suitPower</v>
      </c>
    </row>
    <row r="3364" spans="1:9" x14ac:dyDescent="0.15">
      <c r="A3364" s="1">
        <v>3363</v>
      </c>
      <c r="B3364" s="1">
        <v>103060400</v>
      </c>
      <c r="C3364" s="1">
        <f t="shared" si="209"/>
        <v>14</v>
      </c>
      <c r="D3364" s="5">
        <f ca="1">IF(getQuality(B3364)&lt;4,getOtherMin(B3364,C3364,INDIRECT(J$2),INDIRECT(I3364),test),getMin(B3364,C3364,INDIRECT(J$2),INDIRECT(I3364),test))</f>
        <v>170.16048810980774</v>
      </c>
      <c r="E3364" s="5">
        <f ca="1">IF(getQuality(B3364)&lt;4,getOtherMax(B3364,C3364,INDIRECT(J$2),INDIRECT(I3364),test),getMax(B3364,C3364,INDIRECT(J$2),INDIRECT(I3364),test))</f>
        <v>217.39851117079806</v>
      </c>
      <c r="F3364" s="1" t="str">
        <f t="shared" si="211"/>
        <v>50</v>
      </c>
      <c r="G3364" s="1" t="str">
        <f t="shared" si="212"/>
        <v/>
      </c>
      <c r="I3364" s="1" t="str">
        <f t="shared" si="210"/>
        <v>威尔新数值1.06.xlsm!suitPower</v>
      </c>
    </row>
    <row r="3365" spans="1:9" x14ac:dyDescent="0.15">
      <c r="A3365" s="1">
        <v>3364</v>
      </c>
      <c r="B3365" s="1">
        <v>103060400</v>
      </c>
      <c r="C3365" s="1">
        <f t="shared" si="209"/>
        <v>15</v>
      </c>
      <c r="D3365" s="5">
        <f ca="1">IF(getQuality(B3365)&lt;4,getOtherMin(B3365,C3365,INDIRECT(J$2),INDIRECT(I3365),test),getMin(B3365,C3365,INDIRECT(J$2),INDIRECT(I3365),test))</f>
        <v>170.16048810980774</v>
      </c>
      <c r="E3365" s="5">
        <f ca="1">IF(getQuality(B3365)&lt;4,getOtherMax(B3365,C3365,INDIRECT(J$2),INDIRECT(I3365),test),getMax(B3365,C3365,INDIRECT(J$2),INDIRECT(I3365),test))</f>
        <v>217.39851117079806</v>
      </c>
      <c r="F3365" s="1" t="str">
        <f t="shared" si="211"/>
        <v>50</v>
      </c>
      <c r="G3365" s="1" t="str">
        <f t="shared" si="212"/>
        <v/>
      </c>
      <c r="I3365" s="1" t="str">
        <f t="shared" si="210"/>
        <v>威尔新数值1.06.xlsm!suitPower</v>
      </c>
    </row>
    <row r="3366" spans="1:9" x14ac:dyDescent="0.15">
      <c r="A3366" s="1">
        <v>3365</v>
      </c>
      <c r="B3366" s="1">
        <v>103060400</v>
      </c>
      <c r="C3366" s="1">
        <f t="shared" si="209"/>
        <v>101</v>
      </c>
      <c r="D3366" s="5">
        <f ca="1">IF(getQuality(B3366)&lt;4,getOtherMin(B3366,C3366,INDIRECT(J$2),INDIRECT(I3366),test),getMin(B3366,C3366,INDIRECT(J$2),INDIRECT(I3366),test))</f>
        <v>0.12</v>
      </c>
      <c r="E3366" s="5">
        <f ca="1">IF(getQuality(B3366)&lt;4,getOtherMax(B3366,C3366,INDIRECT(J$2),INDIRECT(I3366),test),getMax(B3366,C3366,INDIRECT(J$2),INDIRECT(I3366),test))</f>
        <v>0.15</v>
      </c>
      <c r="F3366" s="1" t="str">
        <f t="shared" si="211"/>
        <v>50</v>
      </c>
      <c r="G3366" s="1" t="str">
        <f t="shared" si="212"/>
        <v/>
      </c>
      <c r="I3366" s="1" t="str">
        <f t="shared" si="210"/>
        <v>威尔新数值1.06.xlsm!circlePer</v>
      </c>
    </row>
    <row r="3367" spans="1:9" x14ac:dyDescent="0.15">
      <c r="A3367" s="1">
        <v>3366</v>
      </c>
      <c r="B3367" s="1">
        <v>103060400</v>
      </c>
      <c r="C3367" s="1">
        <f t="shared" si="209"/>
        <v>102</v>
      </c>
      <c r="D3367" s="5">
        <f ca="1">IF(getQuality(B3367)&lt;4,getOtherMin(B3367,C3367,INDIRECT(J$2),INDIRECT(I3367),test),getMin(B3367,C3367,INDIRECT(J$2),INDIRECT(I3367),test))</f>
        <v>1.1000000000000001</v>
      </c>
      <c r="E3367" s="5">
        <f ca="1">IF(getQuality(B3367)&lt;4,getOtherMax(B3367,C3367,INDIRECT(J$2),INDIRECT(I3367),test),getMax(B3367,C3367,INDIRECT(J$2),INDIRECT(I3367),test))</f>
        <v>1.4</v>
      </c>
      <c r="F3367" s="1" t="str">
        <f t="shared" si="211"/>
        <v>50</v>
      </c>
      <c r="G3367" s="1" t="str">
        <f t="shared" si="212"/>
        <v/>
      </c>
      <c r="I3367" s="1" t="str">
        <f t="shared" si="210"/>
        <v>威尔新数值1.06.xlsm!circleValue</v>
      </c>
    </row>
    <row r="3368" spans="1:9" x14ac:dyDescent="0.15">
      <c r="A3368" s="1">
        <v>3367</v>
      </c>
      <c r="B3368" s="1">
        <v>103060400</v>
      </c>
      <c r="C3368" s="1">
        <f t="shared" si="209"/>
        <v>103</v>
      </c>
      <c r="D3368" s="5">
        <f ca="1">IF(getQuality(B3368)&lt;4,getOtherMin(B3368,C3368,INDIRECT(J$2),INDIRECT(I3368),test),getMin(B3368,C3368,INDIRECT(J$2),INDIRECT(I3368),test))</f>
        <v>0.12</v>
      </c>
      <c r="E3368" s="5">
        <f ca="1">IF(getQuality(B3368)&lt;4,getOtherMax(B3368,C3368,INDIRECT(J$2),INDIRECT(I3368),test),getMax(B3368,C3368,INDIRECT(J$2),INDIRECT(I3368),test))</f>
        <v>0.15</v>
      </c>
      <c r="F3368" s="1" t="str">
        <f t="shared" si="211"/>
        <v>50</v>
      </c>
      <c r="G3368" s="1" t="str">
        <f t="shared" si="212"/>
        <v/>
      </c>
      <c r="I3368" s="1" t="str">
        <f t="shared" si="210"/>
        <v>威尔新数值1.06.xlsm!otherDamage</v>
      </c>
    </row>
    <row r="3369" spans="1:9" x14ac:dyDescent="0.15">
      <c r="A3369" s="1">
        <v>3368</v>
      </c>
      <c r="B3369" s="1">
        <v>103060400</v>
      </c>
      <c r="C3369" s="1">
        <f t="shared" si="209"/>
        <v>104</v>
      </c>
      <c r="D3369" s="5">
        <f ca="1">IF(getQuality(B3369)&lt;4,getOtherMin(B3369,C3369,INDIRECT(J$2),INDIRECT(I3369),test),getMin(B3369,C3369,INDIRECT(J$2),INDIRECT(I3369),test))</f>
        <v>0.12</v>
      </c>
      <c r="E3369" s="5">
        <f ca="1">IF(getQuality(B3369)&lt;4,getOtherMax(B3369,C3369,INDIRECT(J$2),INDIRECT(I3369),test),getMax(B3369,C3369,INDIRECT(J$2),INDIRECT(I3369),test))</f>
        <v>0.24</v>
      </c>
      <c r="F3369" s="1" t="str">
        <f t="shared" si="211"/>
        <v>50</v>
      </c>
      <c r="G3369" s="1" t="str">
        <f t="shared" si="212"/>
        <v/>
      </c>
      <c r="I3369" s="1" t="str">
        <f t="shared" si="210"/>
        <v>威尔新数值1.06.xlsm!monsterDamage</v>
      </c>
    </row>
    <row r="3370" spans="1:9" x14ac:dyDescent="0.15">
      <c r="A3370" s="1">
        <v>3369</v>
      </c>
      <c r="B3370" s="1">
        <v>103060400</v>
      </c>
      <c r="C3370" s="1">
        <f t="shared" si="209"/>
        <v>105</v>
      </c>
      <c r="D3370" s="5">
        <f ca="1">IF(getQuality(B3370)&lt;4,getOtherMin(B3370,C3370,INDIRECT(J$2),INDIRECT(I3370),test),getMin(B3370,C3370,INDIRECT(J$2),INDIRECT(I3370),test))</f>
        <v>0.12</v>
      </c>
      <c r="E3370" s="5">
        <f ca="1">IF(getQuality(B3370)&lt;4,getOtherMax(B3370,C3370,INDIRECT(J$2),INDIRECT(I3370),test),getMax(B3370,C3370,INDIRECT(J$2),INDIRECT(I3370),test))</f>
        <v>0.24</v>
      </c>
      <c r="F3370" s="1" t="str">
        <f t="shared" si="211"/>
        <v>50</v>
      </c>
      <c r="G3370" s="1" t="str">
        <f t="shared" si="212"/>
        <v/>
      </c>
      <c r="I3370" s="1" t="str">
        <f t="shared" si="210"/>
        <v>威尔新数值1.06.xlsm!monsterDamage</v>
      </c>
    </row>
    <row r="3371" spans="1:9" x14ac:dyDescent="0.15">
      <c r="A3371" s="1">
        <v>3370</v>
      </c>
      <c r="B3371" s="1">
        <v>103060400</v>
      </c>
      <c r="C3371" s="1">
        <f t="shared" si="209"/>
        <v>106</v>
      </c>
      <c r="D3371" s="5">
        <f ca="1">IF(getQuality(B3371)&lt;4,getOtherMin(B3371,C3371,INDIRECT(J$2),INDIRECT(I3371),test),getMin(B3371,C3371,INDIRECT(J$2),INDIRECT(I3371),test))</f>
        <v>0.12</v>
      </c>
      <c r="E3371" s="5">
        <f ca="1">IF(getQuality(B3371)&lt;4,getOtherMax(B3371,C3371,INDIRECT(J$2),INDIRECT(I3371),test),getMax(B3371,C3371,INDIRECT(J$2),INDIRECT(I3371),test))</f>
        <v>0.24</v>
      </c>
      <c r="F3371" s="1" t="str">
        <f t="shared" si="211"/>
        <v>50</v>
      </c>
      <c r="G3371" s="1" t="str">
        <f t="shared" si="212"/>
        <v/>
      </c>
      <c r="I3371" s="1" t="str">
        <f t="shared" si="210"/>
        <v>威尔新数值1.06.xlsm!monsterDamage</v>
      </c>
    </row>
    <row r="3372" spans="1:9" x14ac:dyDescent="0.15">
      <c r="A3372" s="1">
        <v>3371</v>
      </c>
      <c r="B3372" s="1">
        <v>103060400</v>
      </c>
      <c r="C3372" s="1">
        <f t="shared" si="209"/>
        <v>107</v>
      </c>
      <c r="D3372" s="5">
        <f ca="1">IF(getQuality(B3372)&lt;4,getOtherMin(B3372,C3372,INDIRECT(J$2),INDIRECT(I3372),test),getMin(B3372,C3372,INDIRECT(J$2),INDIRECT(I3372),test))</f>
        <v>0.12</v>
      </c>
      <c r="E3372" s="5">
        <f ca="1">IF(getQuality(B3372)&lt;4,getOtherMax(B3372,C3372,INDIRECT(J$2),INDIRECT(I3372),test),getMax(B3372,C3372,INDIRECT(J$2),INDIRECT(I3372),test))</f>
        <v>0.24</v>
      </c>
      <c r="F3372" s="1" t="str">
        <f t="shared" si="211"/>
        <v>50</v>
      </c>
      <c r="G3372" s="1" t="str">
        <f t="shared" si="212"/>
        <v/>
      </c>
      <c r="I3372" s="1" t="str">
        <f t="shared" si="210"/>
        <v>威尔新数值1.06.xlsm!monsterDamage</v>
      </c>
    </row>
    <row r="3373" spans="1:9" x14ac:dyDescent="0.15">
      <c r="A3373" s="1">
        <v>3372</v>
      </c>
      <c r="B3373" s="1">
        <v>103060400</v>
      </c>
      <c r="C3373" s="1">
        <f t="shared" si="209"/>
        <v>108</v>
      </c>
      <c r="D3373" s="5">
        <f ca="1">IF(getQuality(B3373)&lt;4,getOtherMin(B3373,C3373,INDIRECT(J$2),INDIRECT(I3373),test),getMin(B3373,C3373,INDIRECT(J$2),INDIRECT(I3373),test))</f>
        <v>0.12</v>
      </c>
      <c r="E3373" s="5">
        <f ca="1">IF(getQuality(B3373)&lt;4,getOtherMax(B3373,C3373,INDIRECT(J$2),INDIRECT(I3373),test),getMax(B3373,C3373,INDIRECT(J$2),INDIRECT(I3373),test))</f>
        <v>0.24</v>
      </c>
      <c r="F3373" s="1" t="str">
        <f t="shared" si="211"/>
        <v>50</v>
      </c>
      <c r="G3373" s="1" t="str">
        <f t="shared" si="212"/>
        <v/>
      </c>
      <c r="I3373" s="1" t="str">
        <f t="shared" si="210"/>
        <v>威尔新数值1.06.xlsm!monsterDamage</v>
      </c>
    </row>
    <row r="3374" spans="1:9" x14ac:dyDescent="0.15">
      <c r="A3374" s="1">
        <v>3373</v>
      </c>
      <c r="B3374" s="1">
        <v>103070400</v>
      </c>
      <c r="C3374" s="1">
        <f t="shared" si="209"/>
        <v>3</v>
      </c>
      <c r="D3374" s="5">
        <f ca="1">IF(getQuality(B3374)&lt;4,getOtherMin(B3374,C3374,INDIRECT(J$2),INDIRECT(I3374),test),getMin(B3374,C3374,INDIRECT(J$2),INDIRECT(I3374),test))</f>
        <v>218.39851117079806</v>
      </c>
      <c r="E3374" s="5">
        <f ca="1">IF(getQuality(B3374)&lt;4,getOtherMax(B3374,C3374,INDIRECT(J$2),INDIRECT(I3374),test),getMax(B3374,C3374,INDIRECT(J$2),INDIRECT(I3374),test))</f>
        <v>270.43850937813136</v>
      </c>
      <c r="F3374" s="1" t="str">
        <f t="shared" si="211"/>
        <v>50</v>
      </c>
      <c r="G3374" s="1" t="str">
        <f t="shared" si="212"/>
        <v/>
      </c>
      <c r="I3374" s="1" t="str">
        <f t="shared" si="210"/>
        <v>威尔新数值1.06.xlsm!suitPower</v>
      </c>
    </row>
    <row r="3375" spans="1:9" x14ac:dyDescent="0.15">
      <c r="A3375" s="1">
        <v>3374</v>
      </c>
      <c r="B3375" s="1">
        <v>103070400</v>
      </c>
      <c r="C3375" s="1">
        <f t="shared" si="209"/>
        <v>5</v>
      </c>
      <c r="D3375" s="5">
        <f ca="1">IF(getQuality(B3375)&lt;4,getOtherMin(B3375,C3375,INDIRECT(J$2),INDIRECT(I3375),test),getMin(B3375,C3375,INDIRECT(J$2),INDIRECT(I3375),test))</f>
        <v>218.39851117079806</v>
      </c>
      <c r="E3375" s="5">
        <f ca="1">IF(getQuality(B3375)&lt;4,getOtherMax(B3375,C3375,INDIRECT(J$2),INDIRECT(I3375),test),getMax(B3375,C3375,INDIRECT(J$2),INDIRECT(I3375),test))</f>
        <v>270.43850937813136</v>
      </c>
      <c r="F3375" s="1" t="str">
        <f t="shared" si="211"/>
        <v>50</v>
      </c>
      <c r="G3375" s="1" t="str">
        <f t="shared" si="212"/>
        <v>1</v>
      </c>
      <c r="I3375" s="1" t="str">
        <f t="shared" si="210"/>
        <v>威尔新数值1.06.xlsm!suitPower</v>
      </c>
    </row>
    <row r="3376" spans="1:9" x14ac:dyDescent="0.15">
      <c r="A3376" s="1">
        <v>3375</v>
      </c>
      <c r="B3376" s="1">
        <v>103070400</v>
      </c>
      <c r="C3376" s="1">
        <f t="shared" si="209"/>
        <v>7</v>
      </c>
      <c r="D3376" s="5">
        <f ca="1">IF(getQuality(B3376)&lt;4,getOtherMin(B3376,C3376,INDIRECT(J$2),INDIRECT(I3376),test),getMin(B3376,C3376,INDIRECT(J$2),INDIRECT(I3376),test))</f>
        <v>45.444444444444329</v>
      </c>
      <c r="E3376" s="5">
        <f ca="1">IF(getQuality(B3376)&lt;4,getOtherMax(B3376,C3376,INDIRECT(J$2),INDIRECT(I3376),test),getMax(B3376,C3376,INDIRECT(J$2),INDIRECT(I3376),test))</f>
        <v>51.85185185185172</v>
      </c>
      <c r="F3376" s="1" t="str">
        <f t="shared" si="211"/>
        <v>50</v>
      </c>
      <c r="G3376" s="1" t="str">
        <f t="shared" si="212"/>
        <v/>
      </c>
      <c r="I3376" s="1" t="str">
        <f t="shared" si="210"/>
        <v>威尔新数值1.06.xlsm!suitPower</v>
      </c>
    </row>
    <row r="3377" spans="1:9" x14ac:dyDescent="0.15">
      <c r="A3377" s="1">
        <v>3376</v>
      </c>
      <c r="B3377" s="1">
        <v>103070400</v>
      </c>
      <c r="C3377" s="1">
        <f t="shared" si="209"/>
        <v>8</v>
      </c>
      <c r="D3377" s="5">
        <f ca="1">IF(getQuality(B3377)&lt;4,getOtherMin(B3377,C3377,INDIRECT(J$2),INDIRECT(I3377),test),getMin(B3377,C3377,INDIRECT(J$2),INDIRECT(I3377),test))</f>
        <v>101</v>
      </c>
      <c r="E3377" s="5">
        <f ca="1">IF(getQuality(B3377)&lt;4,getOtherMax(B3377,C3377,INDIRECT(J$2),INDIRECT(I3377),test),getMax(B3377,C3377,INDIRECT(J$2),INDIRECT(I3377),test))</f>
        <v>116.66666666666667</v>
      </c>
      <c r="F3377" s="1" t="str">
        <f t="shared" si="211"/>
        <v>50</v>
      </c>
      <c r="G3377" s="1" t="str">
        <f t="shared" si="212"/>
        <v/>
      </c>
      <c r="I3377" s="1" t="str">
        <f t="shared" si="210"/>
        <v>威尔新数值1.06.xlsm!suitPower</v>
      </c>
    </row>
    <row r="3378" spans="1:9" x14ac:dyDescent="0.15">
      <c r="A3378" s="1">
        <v>3377</v>
      </c>
      <c r="B3378" s="1">
        <v>103070400</v>
      </c>
      <c r="C3378" s="1">
        <f t="shared" si="209"/>
        <v>9</v>
      </c>
      <c r="D3378" s="5">
        <f ca="1">IF(getQuality(B3378)&lt;4,getOtherMin(B3378,C3378,INDIRECT(J$2),INDIRECT(I3378),test),getMin(B3378,C3378,INDIRECT(J$2),INDIRECT(I3378),test))</f>
        <v>218.39851117079806</v>
      </c>
      <c r="E3378" s="5">
        <f ca="1">IF(getQuality(B3378)&lt;4,getOtherMax(B3378,C3378,INDIRECT(J$2),INDIRECT(I3378),test),getMax(B3378,C3378,INDIRECT(J$2),INDIRECT(I3378),test))</f>
        <v>270.43850937813136</v>
      </c>
      <c r="F3378" s="1" t="str">
        <f t="shared" si="211"/>
        <v>50</v>
      </c>
      <c r="G3378" s="1" t="str">
        <f t="shared" si="212"/>
        <v/>
      </c>
      <c r="I3378" s="1" t="str">
        <f t="shared" si="210"/>
        <v>威尔新数值1.06.xlsm!suitPower</v>
      </c>
    </row>
    <row r="3379" spans="1:9" x14ac:dyDescent="0.15">
      <c r="A3379" s="1">
        <v>3378</v>
      </c>
      <c r="B3379" s="1">
        <v>103070400</v>
      </c>
      <c r="C3379" s="1">
        <f t="shared" si="209"/>
        <v>10</v>
      </c>
      <c r="D3379" s="5">
        <f ca="1">IF(getQuality(B3379)&lt;4,getOtherMin(B3379,C3379,INDIRECT(J$2),INDIRECT(I3379),test),getMin(B3379,C3379,INDIRECT(J$2),INDIRECT(I3379),test))</f>
        <v>218.39851117079806</v>
      </c>
      <c r="E3379" s="5">
        <f ca="1">IF(getQuality(B3379)&lt;4,getOtherMax(B3379,C3379,INDIRECT(J$2),INDIRECT(I3379),test),getMax(B3379,C3379,INDIRECT(J$2),INDIRECT(I3379),test))</f>
        <v>270.43850937813136</v>
      </c>
      <c r="F3379" s="1" t="str">
        <f t="shared" si="211"/>
        <v>50</v>
      </c>
      <c r="G3379" s="1" t="str">
        <f t="shared" si="212"/>
        <v/>
      </c>
      <c r="I3379" s="1" t="str">
        <f t="shared" si="210"/>
        <v>威尔新数值1.06.xlsm!suitPower</v>
      </c>
    </row>
    <row r="3380" spans="1:9" x14ac:dyDescent="0.15">
      <c r="A3380" s="1">
        <v>3379</v>
      </c>
      <c r="B3380" s="1">
        <v>103070400</v>
      </c>
      <c r="C3380" s="1">
        <f t="shared" si="209"/>
        <v>11</v>
      </c>
      <c r="D3380" s="5">
        <f ca="1">IF(getQuality(B3380)&lt;4,getOtherMin(B3380,C3380,INDIRECT(J$2),INDIRECT(I3380),test),getMin(B3380,C3380,INDIRECT(J$2),INDIRECT(I3380),test))</f>
        <v>218.39851117079806</v>
      </c>
      <c r="E3380" s="5">
        <f ca="1">IF(getQuality(B3380)&lt;4,getOtherMax(B3380,C3380,INDIRECT(J$2),INDIRECT(I3380),test),getMax(B3380,C3380,INDIRECT(J$2),INDIRECT(I3380),test))</f>
        <v>270.43850937813136</v>
      </c>
      <c r="F3380" s="1" t="str">
        <f t="shared" si="211"/>
        <v>50</v>
      </c>
      <c r="G3380" s="1" t="str">
        <f t="shared" si="212"/>
        <v/>
      </c>
      <c r="I3380" s="1" t="str">
        <f t="shared" si="210"/>
        <v>威尔新数值1.06.xlsm!suitPower</v>
      </c>
    </row>
    <row r="3381" spans="1:9" x14ac:dyDescent="0.15">
      <c r="A3381" s="1">
        <v>3380</v>
      </c>
      <c r="B3381" s="1">
        <v>103070400</v>
      </c>
      <c r="C3381" s="1">
        <f t="shared" si="209"/>
        <v>12</v>
      </c>
      <c r="D3381" s="5">
        <f ca="1">IF(getQuality(B3381)&lt;4,getOtherMin(B3381,C3381,INDIRECT(J$2),INDIRECT(I3381),test),getMin(B3381,C3381,INDIRECT(J$2),INDIRECT(I3381),test))</f>
        <v>218.39851117079806</v>
      </c>
      <c r="E3381" s="5">
        <f ca="1">IF(getQuality(B3381)&lt;4,getOtherMax(B3381,C3381,INDIRECT(J$2),INDIRECT(I3381),test),getMax(B3381,C3381,INDIRECT(J$2),INDIRECT(I3381),test))</f>
        <v>270.43850937813136</v>
      </c>
      <c r="F3381" s="1" t="str">
        <f t="shared" si="211"/>
        <v>50</v>
      </c>
      <c r="G3381" s="1" t="str">
        <f t="shared" si="212"/>
        <v/>
      </c>
      <c r="I3381" s="1" t="str">
        <f t="shared" si="210"/>
        <v>威尔新数值1.06.xlsm!suitPower</v>
      </c>
    </row>
    <row r="3382" spans="1:9" x14ac:dyDescent="0.15">
      <c r="A3382" s="1">
        <v>3381</v>
      </c>
      <c r="B3382" s="1">
        <v>103070400</v>
      </c>
      <c r="C3382" s="1">
        <f t="shared" si="209"/>
        <v>13</v>
      </c>
      <c r="D3382" s="5">
        <f ca="1">IF(getQuality(B3382)&lt;4,getOtherMin(B3382,C3382,INDIRECT(J$2),INDIRECT(I3382),test),getMin(B3382,C3382,INDIRECT(J$2),INDIRECT(I3382),test))</f>
        <v>218.39851117079806</v>
      </c>
      <c r="E3382" s="5">
        <f ca="1">IF(getQuality(B3382)&lt;4,getOtherMax(B3382,C3382,INDIRECT(J$2),INDIRECT(I3382),test),getMax(B3382,C3382,INDIRECT(J$2),INDIRECT(I3382),test))</f>
        <v>270.43850937813136</v>
      </c>
      <c r="F3382" s="1" t="str">
        <f t="shared" si="211"/>
        <v>50</v>
      </c>
      <c r="G3382" s="1" t="str">
        <f t="shared" si="212"/>
        <v/>
      </c>
      <c r="I3382" s="1" t="str">
        <f t="shared" si="210"/>
        <v>威尔新数值1.06.xlsm!suitPower</v>
      </c>
    </row>
    <row r="3383" spans="1:9" x14ac:dyDescent="0.15">
      <c r="A3383" s="1">
        <v>3382</v>
      </c>
      <c r="B3383" s="1">
        <v>103070400</v>
      </c>
      <c r="C3383" s="1">
        <f t="shared" si="209"/>
        <v>14</v>
      </c>
      <c r="D3383" s="5">
        <f ca="1">IF(getQuality(B3383)&lt;4,getOtherMin(B3383,C3383,INDIRECT(J$2),INDIRECT(I3383),test),getMin(B3383,C3383,INDIRECT(J$2),INDIRECT(I3383),test))</f>
        <v>218.39851117079806</v>
      </c>
      <c r="E3383" s="5">
        <f ca="1">IF(getQuality(B3383)&lt;4,getOtherMax(B3383,C3383,INDIRECT(J$2),INDIRECT(I3383),test),getMax(B3383,C3383,INDIRECT(J$2),INDIRECT(I3383),test))</f>
        <v>270.43850937813136</v>
      </c>
      <c r="F3383" s="1" t="str">
        <f t="shared" si="211"/>
        <v>50</v>
      </c>
      <c r="G3383" s="1" t="str">
        <f t="shared" si="212"/>
        <v/>
      </c>
      <c r="I3383" s="1" t="str">
        <f t="shared" si="210"/>
        <v>威尔新数值1.06.xlsm!suitPower</v>
      </c>
    </row>
    <row r="3384" spans="1:9" x14ac:dyDescent="0.15">
      <c r="A3384" s="1">
        <v>3383</v>
      </c>
      <c r="B3384" s="1">
        <v>103070400</v>
      </c>
      <c r="C3384" s="1">
        <f t="shared" si="209"/>
        <v>15</v>
      </c>
      <c r="D3384" s="5">
        <f ca="1">IF(getQuality(B3384)&lt;4,getOtherMin(B3384,C3384,INDIRECT(J$2),INDIRECT(I3384),test),getMin(B3384,C3384,INDIRECT(J$2),INDIRECT(I3384),test))</f>
        <v>218.39851117079806</v>
      </c>
      <c r="E3384" s="5">
        <f ca="1">IF(getQuality(B3384)&lt;4,getOtherMax(B3384,C3384,INDIRECT(J$2),INDIRECT(I3384),test),getMax(B3384,C3384,INDIRECT(J$2),INDIRECT(I3384),test))</f>
        <v>270.43850937813136</v>
      </c>
      <c r="F3384" s="1" t="str">
        <f t="shared" si="211"/>
        <v>50</v>
      </c>
      <c r="G3384" s="1" t="str">
        <f t="shared" si="212"/>
        <v/>
      </c>
      <c r="I3384" s="1" t="str">
        <f t="shared" si="210"/>
        <v>威尔新数值1.06.xlsm!suitPower</v>
      </c>
    </row>
    <row r="3385" spans="1:9" x14ac:dyDescent="0.15">
      <c r="A3385" s="1">
        <v>3384</v>
      </c>
      <c r="B3385" s="1">
        <v>103070400</v>
      </c>
      <c r="C3385" s="1">
        <f t="shared" si="209"/>
        <v>101</v>
      </c>
      <c r="D3385" s="5">
        <f ca="1">IF(getQuality(B3385)&lt;4,getOtherMin(B3385,C3385,INDIRECT(J$2),INDIRECT(I3385),test),getMin(B3385,C3385,INDIRECT(J$2),INDIRECT(I3385),test))</f>
        <v>0.13</v>
      </c>
      <c r="E3385" s="5">
        <f ca="1">IF(getQuality(B3385)&lt;4,getOtherMax(B3385,C3385,INDIRECT(J$2),INDIRECT(I3385),test),getMax(B3385,C3385,INDIRECT(J$2),INDIRECT(I3385),test))</f>
        <v>0.16</v>
      </c>
      <c r="F3385" s="1" t="str">
        <f t="shared" si="211"/>
        <v>50</v>
      </c>
      <c r="G3385" s="1" t="str">
        <f t="shared" si="212"/>
        <v/>
      </c>
      <c r="I3385" s="1" t="str">
        <f t="shared" si="210"/>
        <v>威尔新数值1.06.xlsm!circlePer</v>
      </c>
    </row>
    <row r="3386" spans="1:9" x14ac:dyDescent="0.15">
      <c r="A3386" s="1">
        <v>3385</v>
      </c>
      <c r="B3386" s="1">
        <v>103070400</v>
      </c>
      <c r="C3386" s="1">
        <f t="shared" si="209"/>
        <v>102</v>
      </c>
      <c r="D3386" s="5">
        <f ca="1">IF(getQuality(B3386)&lt;4,getOtherMin(B3386,C3386,INDIRECT(J$2),INDIRECT(I3386),test),getMin(B3386,C3386,INDIRECT(J$2),INDIRECT(I3386),test))</f>
        <v>1.2</v>
      </c>
      <c r="E3386" s="5">
        <f ca="1">IF(getQuality(B3386)&lt;4,getOtherMax(B3386,C3386,INDIRECT(J$2),INDIRECT(I3386),test),getMax(B3386,C3386,INDIRECT(J$2),INDIRECT(I3386),test))</f>
        <v>1.5</v>
      </c>
      <c r="F3386" s="1" t="str">
        <f t="shared" si="211"/>
        <v>50</v>
      </c>
      <c r="G3386" s="1" t="str">
        <f t="shared" si="212"/>
        <v/>
      </c>
      <c r="I3386" s="1" t="str">
        <f t="shared" si="210"/>
        <v>威尔新数值1.06.xlsm!circleValue</v>
      </c>
    </row>
    <row r="3387" spans="1:9" x14ac:dyDescent="0.15">
      <c r="A3387" s="1">
        <v>3386</v>
      </c>
      <c r="B3387" s="1">
        <v>103070400</v>
      </c>
      <c r="C3387" s="1">
        <f t="shared" si="209"/>
        <v>103</v>
      </c>
      <c r="D3387" s="5">
        <f ca="1">IF(getQuality(B3387)&lt;4,getOtherMin(B3387,C3387,INDIRECT(J$2),INDIRECT(I3387),test),getMin(B3387,C3387,INDIRECT(J$2),INDIRECT(I3387),test))</f>
        <v>0.13</v>
      </c>
      <c r="E3387" s="5">
        <f ca="1">IF(getQuality(B3387)&lt;4,getOtherMax(B3387,C3387,INDIRECT(J$2),INDIRECT(I3387),test),getMax(B3387,C3387,INDIRECT(J$2),INDIRECT(I3387),test))</f>
        <v>0.16</v>
      </c>
      <c r="F3387" s="1" t="str">
        <f t="shared" si="211"/>
        <v>50</v>
      </c>
      <c r="G3387" s="1" t="str">
        <f t="shared" si="212"/>
        <v/>
      </c>
      <c r="I3387" s="1" t="str">
        <f t="shared" si="210"/>
        <v>威尔新数值1.06.xlsm!otherDamage</v>
      </c>
    </row>
    <row r="3388" spans="1:9" x14ac:dyDescent="0.15">
      <c r="A3388" s="1">
        <v>3387</v>
      </c>
      <c r="B3388" s="1">
        <v>103070400</v>
      </c>
      <c r="C3388" s="1">
        <f t="shared" ref="C3388:C3451" si="213">C913</f>
        <v>104</v>
      </c>
      <c r="D3388" s="5">
        <f ca="1">IF(getQuality(B3388)&lt;4,getOtherMin(B3388,C3388,INDIRECT(J$2),INDIRECT(I3388),test),getMin(B3388,C3388,INDIRECT(J$2),INDIRECT(I3388),test))</f>
        <v>0.13</v>
      </c>
      <c r="E3388" s="5">
        <f ca="1">IF(getQuality(B3388)&lt;4,getOtherMax(B3388,C3388,INDIRECT(J$2),INDIRECT(I3388),test),getMax(B3388,C3388,INDIRECT(J$2),INDIRECT(I3388),test))</f>
        <v>0.26</v>
      </c>
      <c r="F3388" s="1" t="str">
        <f t="shared" si="211"/>
        <v>50</v>
      </c>
      <c r="G3388" s="1" t="str">
        <f t="shared" si="212"/>
        <v/>
      </c>
      <c r="I3388" s="1" t="str">
        <f t="shared" si="210"/>
        <v>威尔新数值1.06.xlsm!monsterDamage</v>
      </c>
    </row>
    <row r="3389" spans="1:9" x14ac:dyDescent="0.15">
      <c r="A3389" s="1">
        <v>3388</v>
      </c>
      <c r="B3389" s="1">
        <v>103070400</v>
      </c>
      <c r="C3389" s="1">
        <f t="shared" si="213"/>
        <v>105</v>
      </c>
      <c r="D3389" s="5">
        <f ca="1">IF(getQuality(B3389)&lt;4,getOtherMin(B3389,C3389,INDIRECT(J$2),INDIRECT(I3389),test),getMin(B3389,C3389,INDIRECT(J$2),INDIRECT(I3389),test))</f>
        <v>0.13</v>
      </c>
      <c r="E3389" s="5">
        <f ca="1">IF(getQuality(B3389)&lt;4,getOtherMax(B3389,C3389,INDIRECT(J$2),INDIRECT(I3389),test),getMax(B3389,C3389,INDIRECT(J$2),INDIRECT(I3389),test))</f>
        <v>0.26</v>
      </c>
      <c r="F3389" s="1" t="str">
        <f t="shared" si="211"/>
        <v>50</v>
      </c>
      <c r="G3389" s="1" t="str">
        <f t="shared" si="212"/>
        <v/>
      </c>
      <c r="I3389" s="1" t="str">
        <f t="shared" si="210"/>
        <v>威尔新数值1.06.xlsm!monsterDamage</v>
      </c>
    </row>
    <row r="3390" spans="1:9" x14ac:dyDescent="0.15">
      <c r="A3390" s="1">
        <v>3389</v>
      </c>
      <c r="B3390" s="1">
        <v>103070400</v>
      </c>
      <c r="C3390" s="1">
        <f t="shared" si="213"/>
        <v>106</v>
      </c>
      <c r="D3390" s="5">
        <f ca="1">IF(getQuality(B3390)&lt;4,getOtherMin(B3390,C3390,INDIRECT(J$2),INDIRECT(I3390),test),getMin(B3390,C3390,INDIRECT(J$2),INDIRECT(I3390),test))</f>
        <v>0.13</v>
      </c>
      <c r="E3390" s="5">
        <f ca="1">IF(getQuality(B3390)&lt;4,getOtherMax(B3390,C3390,INDIRECT(J$2),INDIRECT(I3390),test),getMax(B3390,C3390,INDIRECT(J$2),INDIRECT(I3390),test))</f>
        <v>0.26</v>
      </c>
      <c r="F3390" s="1" t="str">
        <f t="shared" si="211"/>
        <v>50</v>
      </c>
      <c r="G3390" s="1" t="str">
        <f t="shared" si="212"/>
        <v/>
      </c>
      <c r="I3390" s="1" t="str">
        <f t="shared" si="210"/>
        <v>威尔新数值1.06.xlsm!monsterDamage</v>
      </c>
    </row>
    <row r="3391" spans="1:9" x14ac:dyDescent="0.15">
      <c r="A3391" s="1">
        <v>3390</v>
      </c>
      <c r="B3391" s="1">
        <v>103070400</v>
      </c>
      <c r="C3391" s="1">
        <f t="shared" si="213"/>
        <v>107</v>
      </c>
      <c r="D3391" s="5">
        <f ca="1">IF(getQuality(B3391)&lt;4,getOtherMin(B3391,C3391,INDIRECT(J$2),INDIRECT(I3391),test),getMin(B3391,C3391,INDIRECT(J$2),INDIRECT(I3391),test))</f>
        <v>0.13</v>
      </c>
      <c r="E3391" s="5">
        <f ca="1">IF(getQuality(B3391)&lt;4,getOtherMax(B3391,C3391,INDIRECT(J$2),INDIRECT(I3391),test),getMax(B3391,C3391,INDIRECT(J$2),INDIRECT(I3391),test))</f>
        <v>0.26</v>
      </c>
      <c r="F3391" s="1" t="str">
        <f t="shared" si="211"/>
        <v>50</v>
      </c>
      <c r="G3391" s="1" t="str">
        <f t="shared" si="212"/>
        <v/>
      </c>
      <c r="I3391" s="1" t="str">
        <f t="shared" si="210"/>
        <v>威尔新数值1.06.xlsm!monsterDamage</v>
      </c>
    </row>
    <row r="3392" spans="1:9" x14ac:dyDescent="0.15">
      <c r="A3392" s="1">
        <v>3391</v>
      </c>
      <c r="B3392" s="1">
        <v>103070400</v>
      </c>
      <c r="C3392" s="1">
        <f t="shared" si="213"/>
        <v>108</v>
      </c>
      <c r="D3392" s="5">
        <f ca="1">IF(getQuality(B3392)&lt;4,getOtherMin(B3392,C3392,INDIRECT(J$2),INDIRECT(I3392),test),getMin(B3392,C3392,INDIRECT(J$2),INDIRECT(I3392),test))</f>
        <v>0.13</v>
      </c>
      <c r="E3392" s="5">
        <f ca="1">IF(getQuality(B3392)&lt;4,getOtherMax(B3392,C3392,INDIRECT(J$2),INDIRECT(I3392),test),getMax(B3392,C3392,INDIRECT(J$2),INDIRECT(I3392),test))</f>
        <v>0.26</v>
      </c>
      <c r="F3392" s="1" t="str">
        <f t="shared" si="211"/>
        <v>50</v>
      </c>
      <c r="G3392" s="1" t="str">
        <f t="shared" si="212"/>
        <v/>
      </c>
      <c r="I3392" s="1" t="str">
        <f t="shared" si="210"/>
        <v>威尔新数值1.06.xlsm!monsterDamage</v>
      </c>
    </row>
    <row r="3393" spans="1:9" x14ac:dyDescent="0.15">
      <c r="A3393" s="1">
        <v>3392</v>
      </c>
      <c r="B3393" s="1">
        <v>103080400</v>
      </c>
      <c r="C3393" s="1">
        <f t="shared" si="213"/>
        <v>3</v>
      </c>
      <c r="D3393" s="5">
        <f ca="1">IF(getQuality(B3393)&lt;4,getOtherMin(B3393,C3393,INDIRECT(J$2),INDIRECT(I3393),test),getMin(B3393,C3393,INDIRECT(J$2),INDIRECT(I3393),test))</f>
        <v>271.43850937813136</v>
      </c>
      <c r="E3393" s="5">
        <f ca="1">IF(getQuality(B3393)&lt;4,getOtherMax(B3393,C3393,INDIRECT(J$2),INDIRECT(I3393),test),getMax(B3393,C3393,INDIRECT(J$2),INDIRECT(I3393),test))</f>
        <v>328.28048273180752</v>
      </c>
      <c r="F3393" s="1" t="str">
        <f t="shared" si="211"/>
        <v>50</v>
      </c>
      <c r="G3393" s="1" t="str">
        <f t="shared" si="212"/>
        <v/>
      </c>
      <c r="I3393" s="1" t="str">
        <f t="shared" si="210"/>
        <v>威尔新数值1.06.xlsm!suitPower</v>
      </c>
    </row>
    <row r="3394" spans="1:9" x14ac:dyDescent="0.15">
      <c r="A3394" s="1">
        <v>3393</v>
      </c>
      <c r="B3394" s="1">
        <v>103080400</v>
      </c>
      <c r="C3394" s="1">
        <f t="shared" si="213"/>
        <v>5</v>
      </c>
      <c r="D3394" s="5">
        <f ca="1">IF(getQuality(B3394)&lt;4,getOtherMin(B3394,C3394,INDIRECT(J$2),INDIRECT(I3394),test),getMin(B3394,C3394,INDIRECT(J$2),INDIRECT(I3394),test))</f>
        <v>271.43850937813136</v>
      </c>
      <c r="E3394" s="5">
        <f ca="1">IF(getQuality(B3394)&lt;4,getOtherMax(B3394,C3394,INDIRECT(J$2),INDIRECT(I3394),test),getMax(B3394,C3394,INDIRECT(J$2),INDIRECT(I3394),test))</f>
        <v>328.28048273180752</v>
      </c>
      <c r="F3394" s="1" t="str">
        <f t="shared" si="211"/>
        <v>50</v>
      </c>
      <c r="G3394" s="1" t="str">
        <f t="shared" si="212"/>
        <v>1</v>
      </c>
      <c r="I3394" s="1" t="str">
        <f t="shared" ref="I3394:I3457" si="214">IF(C3394&lt;100,VLOOKUP(C3394,test,3,FALSE),VLOOKUP(C3394,test1,3,FALSE))</f>
        <v>威尔新数值1.06.xlsm!suitPower</v>
      </c>
    </row>
    <row r="3395" spans="1:9" x14ac:dyDescent="0.15">
      <c r="A3395" s="1">
        <v>3394</v>
      </c>
      <c r="B3395" s="1">
        <v>103080400</v>
      </c>
      <c r="C3395" s="1">
        <f t="shared" si="213"/>
        <v>7</v>
      </c>
      <c r="D3395" s="5">
        <f ca="1">IF(getQuality(B3395)&lt;4,getOtherMin(B3395,C3395,INDIRECT(J$2),INDIRECT(I3395),test),getMin(B3395,C3395,INDIRECT(J$2),INDIRECT(I3395),test))</f>
        <v>52.85185185185172</v>
      </c>
      <c r="E3395" s="5">
        <f ca="1">IF(getQuality(B3395)&lt;4,getOtherMax(B3395,C3395,INDIRECT(J$2),INDIRECT(I3395),test),getMax(B3395,C3395,INDIRECT(J$2),INDIRECT(I3395),test))</f>
        <v>59.25925925925911</v>
      </c>
      <c r="F3395" s="1" t="str">
        <f t="shared" ref="F3395:F3458" si="215">getper(B3395,C3395)</f>
        <v>50</v>
      </c>
      <c r="G3395" s="1" t="str">
        <f t="shared" ref="G3395:G3458" si="216">getMust(B3395,C3395)</f>
        <v/>
      </c>
      <c r="I3395" s="1" t="str">
        <f t="shared" si="214"/>
        <v>威尔新数值1.06.xlsm!suitPower</v>
      </c>
    </row>
    <row r="3396" spans="1:9" x14ac:dyDescent="0.15">
      <c r="A3396" s="1">
        <v>3395</v>
      </c>
      <c r="B3396" s="1">
        <v>103080400</v>
      </c>
      <c r="C3396" s="1">
        <f t="shared" si="213"/>
        <v>8</v>
      </c>
      <c r="D3396" s="5">
        <f ca="1">IF(getQuality(B3396)&lt;4,getOtherMin(B3396,C3396,INDIRECT(J$2),INDIRECT(I3396),test),getMin(B3396,C3396,INDIRECT(J$2),INDIRECT(I3396),test))</f>
        <v>117.66666666666667</v>
      </c>
      <c r="E3396" s="5">
        <f ca="1">IF(getQuality(B3396)&lt;4,getOtherMax(B3396,C3396,INDIRECT(J$2),INDIRECT(I3396),test),getMax(B3396,C3396,INDIRECT(J$2),INDIRECT(I3396),test))</f>
        <v>133.33333333333334</v>
      </c>
      <c r="F3396" s="1" t="str">
        <f t="shared" si="215"/>
        <v>50</v>
      </c>
      <c r="G3396" s="1" t="str">
        <f t="shared" si="216"/>
        <v/>
      </c>
      <c r="I3396" s="1" t="str">
        <f t="shared" si="214"/>
        <v>威尔新数值1.06.xlsm!suitPower</v>
      </c>
    </row>
    <row r="3397" spans="1:9" x14ac:dyDescent="0.15">
      <c r="A3397" s="1">
        <v>3396</v>
      </c>
      <c r="B3397" s="1">
        <v>103080400</v>
      </c>
      <c r="C3397" s="1">
        <f t="shared" si="213"/>
        <v>9</v>
      </c>
      <c r="D3397" s="5">
        <f ca="1">IF(getQuality(B3397)&lt;4,getOtherMin(B3397,C3397,INDIRECT(J$2),INDIRECT(I3397),test),getMin(B3397,C3397,INDIRECT(J$2),INDIRECT(I3397),test))</f>
        <v>271.43850937813136</v>
      </c>
      <c r="E3397" s="5">
        <f ca="1">IF(getQuality(B3397)&lt;4,getOtherMax(B3397,C3397,INDIRECT(J$2),INDIRECT(I3397),test),getMax(B3397,C3397,INDIRECT(J$2),INDIRECT(I3397),test))</f>
        <v>328.28048273180752</v>
      </c>
      <c r="F3397" s="1" t="str">
        <f t="shared" si="215"/>
        <v>50</v>
      </c>
      <c r="G3397" s="1" t="str">
        <f t="shared" si="216"/>
        <v/>
      </c>
      <c r="I3397" s="1" t="str">
        <f t="shared" si="214"/>
        <v>威尔新数值1.06.xlsm!suitPower</v>
      </c>
    </row>
    <row r="3398" spans="1:9" x14ac:dyDescent="0.15">
      <c r="A3398" s="1">
        <v>3397</v>
      </c>
      <c r="B3398" s="1">
        <v>103080400</v>
      </c>
      <c r="C3398" s="1">
        <f t="shared" si="213"/>
        <v>10</v>
      </c>
      <c r="D3398" s="5">
        <f ca="1">IF(getQuality(B3398)&lt;4,getOtherMin(B3398,C3398,INDIRECT(J$2),INDIRECT(I3398),test),getMin(B3398,C3398,INDIRECT(J$2),INDIRECT(I3398),test))</f>
        <v>271.43850937813136</v>
      </c>
      <c r="E3398" s="5">
        <f ca="1">IF(getQuality(B3398)&lt;4,getOtherMax(B3398,C3398,INDIRECT(J$2),INDIRECT(I3398),test),getMax(B3398,C3398,INDIRECT(J$2),INDIRECT(I3398),test))</f>
        <v>328.28048273180752</v>
      </c>
      <c r="F3398" s="1" t="str">
        <f t="shared" si="215"/>
        <v>50</v>
      </c>
      <c r="G3398" s="1" t="str">
        <f t="shared" si="216"/>
        <v/>
      </c>
      <c r="I3398" s="1" t="str">
        <f t="shared" si="214"/>
        <v>威尔新数值1.06.xlsm!suitPower</v>
      </c>
    </row>
    <row r="3399" spans="1:9" x14ac:dyDescent="0.15">
      <c r="A3399" s="1">
        <v>3398</v>
      </c>
      <c r="B3399" s="1">
        <v>103080400</v>
      </c>
      <c r="C3399" s="1">
        <f t="shared" si="213"/>
        <v>11</v>
      </c>
      <c r="D3399" s="5">
        <f ca="1">IF(getQuality(B3399)&lt;4,getOtherMin(B3399,C3399,INDIRECT(J$2),INDIRECT(I3399),test),getMin(B3399,C3399,INDIRECT(J$2),INDIRECT(I3399),test))</f>
        <v>271.43850937813136</v>
      </c>
      <c r="E3399" s="5">
        <f ca="1">IF(getQuality(B3399)&lt;4,getOtherMax(B3399,C3399,INDIRECT(J$2),INDIRECT(I3399),test),getMax(B3399,C3399,INDIRECT(J$2),INDIRECT(I3399),test))</f>
        <v>328.28048273180752</v>
      </c>
      <c r="F3399" s="1" t="str">
        <f t="shared" si="215"/>
        <v>50</v>
      </c>
      <c r="G3399" s="1" t="str">
        <f t="shared" si="216"/>
        <v/>
      </c>
      <c r="I3399" s="1" t="str">
        <f t="shared" si="214"/>
        <v>威尔新数值1.06.xlsm!suitPower</v>
      </c>
    </row>
    <row r="3400" spans="1:9" x14ac:dyDescent="0.15">
      <c r="A3400" s="1">
        <v>3399</v>
      </c>
      <c r="B3400" s="1">
        <v>103080400</v>
      </c>
      <c r="C3400" s="1">
        <f t="shared" si="213"/>
        <v>12</v>
      </c>
      <c r="D3400" s="5">
        <f ca="1">IF(getQuality(B3400)&lt;4,getOtherMin(B3400,C3400,INDIRECT(J$2),INDIRECT(I3400),test),getMin(B3400,C3400,INDIRECT(J$2),INDIRECT(I3400),test))</f>
        <v>271.43850937813136</v>
      </c>
      <c r="E3400" s="5">
        <f ca="1">IF(getQuality(B3400)&lt;4,getOtherMax(B3400,C3400,INDIRECT(J$2),INDIRECT(I3400),test),getMax(B3400,C3400,INDIRECT(J$2),INDIRECT(I3400),test))</f>
        <v>328.28048273180752</v>
      </c>
      <c r="F3400" s="1" t="str">
        <f t="shared" si="215"/>
        <v>50</v>
      </c>
      <c r="G3400" s="1" t="str">
        <f t="shared" si="216"/>
        <v/>
      </c>
      <c r="I3400" s="1" t="str">
        <f t="shared" si="214"/>
        <v>威尔新数值1.06.xlsm!suitPower</v>
      </c>
    </row>
    <row r="3401" spans="1:9" x14ac:dyDescent="0.15">
      <c r="A3401" s="1">
        <v>3400</v>
      </c>
      <c r="B3401" s="1">
        <v>103080400</v>
      </c>
      <c r="C3401" s="1">
        <f t="shared" si="213"/>
        <v>13</v>
      </c>
      <c r="D3401" s="5">
        <f ca="1">IF(getQuality(B3401)&lt;4,getOtherMin(B3401,C3401,INDIRECT(J$2),INDIRECT(I3401),test),getMin(B3401,C3401,INDIRECT(J$2),INDIRECT(I3401),test))</f>
        <v>271.43850937813136</v>
      </c>
      <c r="E3401" s="5">
        <f ca="1">IF(getQuality(B3401)&lt;4,getOtherMax(B3401,C3401,INDIRECT(J$2),INDIRECT(I3401),test),getMax(B3401,C3401,INDIRECT(J$2),INDIRECT(I3401),test))</f>
        <v>328.28048273180752</v>
      </c>
      <c r="F3401" s="1" t="str">
        <f t="shared" si="215"/>
        <v>50</v>
      </c>
      <c r="G3401" s="1" t="str">
        <f t="shared" si="216"/>
        <v/>
      </c>
      <c r="I3401" s="1" t="str">
        <f t="shared" si="214"/>
        <v>威尔新数值1.06.xlsm!suitPower</v>
      </c>
    </row>
    <row r="3402" spans="1:9" x14ac:dyDescent="0.15">
      <c r="A3402" s="1">
        <v>3401</v>
      </c>
      <c r="B3402" s="1">
        <v>103080400</v>
      </c>
      <c r="C3402" s="1">
        <f t="shared" si="213"/>
        <v>14</v>
      </c>
      <c r="D3402" s="5">
        <f ca="1">IF(getQuality(B3402)&lt;4,getOtherMin(B3402,C3402,INDIRECT(J$2),INDIRECT(I3402),test),getMin(B3402,C3402,INDIRECT(J$2),INDIRECT(I3402),test))</f>
        <v>271.43850937813136</v>
      </c>
      <c r="E3402" s="5">
        <f ca="1">IF(getQuality(B3402)&lt;4,getOtherMax(B3402,C3402,INDIRECT(J$2),INDIRECT(I3402),test),getMax(B3402,C3402,INDIRECT(J$2),INDIRECT(I3402),test))</f>
        <v>328.28048273180752</v>
      </c>
      <c r="F3402" s="1" t="str">
        <f t="shared" si="215"/>
        <v>50</v>
      </c>
      <c r="G3402" s="1" t="str">
        <f t="shared" si="216"/>
        <v/>
      </c>
      <c r="I3402" s="1" t="str">
        <f t="shared" si="214"/>
        <v>威尔新数值1.06.xlsm!suitPower</v>
      </c>
    </row>
    <row r="3403" spans="1:9" x14ac:dyDescent="0.15">
      <c r="A3403" s="1">
        <v>3402</v>
      </c>
      <c r="B3403" s="1">
        <v>103080400</v>
      </c>
      <c r="C3403" s="1">
        <f t="shared" si="213"/>
        <v>15</v>
      </c>
      <c r="D3403" s="5">
        <f ca="1">IF(getQuality(B3403)&lt;4,getOtherMin(B3403,C3403,INDIRECT(J$2),INDIRECT(I3403),test),getMin(B3403,C3403,INDIRECT(J$2),INDIRECT(I3403),test))</f>
        <v>271.43850937813136</v>
      </c>
      <c r="E3403" s="5">
        <f ca="1">IF(getQuality(B3403)&lt;4,getOtherMax(B3403,C3403,INDIRECT(J$2),INDIRECT(I3403),test),getMax(B3403,C3403,INDIRECT(J$2),INDIRECT(I3403),test))</f>
        <v>328.28048273180752</v>
      </c>
      <c r="F3403" s="1" t="str">
        <f t="shared" si="215"/>
        <v>50</v>
      </c>
      <c r="G3403" s="1" t="str">
        <f t="shared" si="216"/>
        <v/>
      </c>
      <c r="I3403" s="1" t="str">
        <f t="shared" si="214"/>
        <v>威尔新数值1.06.xlsm!suitPower</v>
      </c>
    </row>
    <row r="3404" spans="1:9" x14ac:dyDescent="0.15">
      <c r="A3404" s="1">
        <v>3403</v>
      </c>
      <c r="B3404" s="1">
        <v>103080400</v>
      </c>
      <c r="C3404" s="1">
        <f t="shared" si="213"/>
        <v>101</v>
      </c>
      <c r="D3404" s="5">
        <f ca="1">IF(getQuality(B3404)&lt;4,getOtherMin(B3404,C3404,INDIRECT(J$2),INDIRECT(I3404),test),getMin(B3404,C3404,INDIRECT(J$2),INDIRECT(I3404),test))</f>
        <v>0.14000000000000001</v>
      </c>
      <c r="E3404" s="5">
        <f ca="1">IF(getQuality(B3404)&lt;4,getOtherMax(B3404,C3404,INDIRECT(J$2),INDIRECT(I3404),test),getMax(B3404,C3404,INDIRECT(J$2),INDIRECT(I3404),test))</f>
        <v>0.17</v>
      </c>
      <c r="F3404" s="1" t="str">
        <f t="shared" si="215"/>
        <v>50</v>
      </c>
      <c r="G3404" s="1" t="str">
        <f t="shared" si="216"/>
        <v/>
      </c>
      <c r="I3404" s="1" t="str">
        <f t="shared" si="214"/>
        <v>威尔新数值1.06.xlsm!circlePer</v>
      </c>
    </row>
    <row r="3405" spans="1:9" x14ac:dyDescent="0.15">
      <c r="A3405" s="1">
        <v>3404</v>
      </c>
      <c r="B3405" s="1">
        <v>103080400</v>
      </c>
      <c r="C3405" s="1">
        <f t="shared" si="213"/>
        <v>102</v>
      </c>
      <c r="D3405" s="5">
        <f ca="1">IF(getQuality(B3405)&lt;4,getOtherMin(B3405,C3405,INDIRECT(J$2),INDIRECT(I3405),test),getMin(B3405,C3405,INDIRECT(J$2),INDIRECT(I3405),test))</f>
        <v>1.3</v>
      </c>
      <c r="E3405" s="5">
        <f ca="1">IF(getQuality(B3405)&lt;4,getOtherMax(B3405,C3405,INDIRECT(J$2),INDIRECT(I3405),test),getMax(B3405,C3405,INDIRECT(J$2),INDIRECT(I3405),test))</f>
        <v>1.6</v>
      </c>
      <c r="F3405" s="1" t="str">
        <f t="shared" si="215"/>
        <v>50</v>
      </c>
      <c r="G3405" s="1" t="str">
        <f t="shared" si="216"/>
        <v/>
      </c>
      <c r="I3405" s="1" t="str">
        <f t="shared" si="214"/>
        <v>威尔新数值1.06.xlsm!circleValue</v>
      </c>
    </row>
    <row r="3406" spans="1:9" x14ac:dyDescent="0.15">
      <c r="A3406" s="1">
        <v>3405</v>
      </c>
      <c r="B3406" s="1">
        <v>103080400</v>
      </c>
      <c r="C3406" s="1">
        <f t="shared" si="213"/>
        <v>103</v>
      </c>
      <c r="D3406" s="5">
        <f ca="1">IF(getQuality(B3406)&lt;4,getOtherMin(B3406,C3406,INDIRECT(J$2),INDIRECT(I3406),test),getMin(B3406,C3406,INDIRECT(J$2),INDIRECT(I3406),test))</f>
        <v>0.14000000000000001</v>
      </c>
      <c r="E3406" s="5">
        <f ca="1">IF(getQuality(B3406)&lt;4,getOtherMax(B3406,C3406,INDIRECT(J$2),INDIRECT(I3406),test),getMax(B3406,C3406,INDIRECT(J$2),INDIRECT(I3406),test))</f>
        <v>0.17</v>
      </c>
      <c r="F3406" s="1" t="str">
        <f t="shared" si="215"/>
        <v>50</v>
      </c>
      <c r="G3406" s="1" t="str">
        <f t="shared" si="216"/>
        <v/>
      </c>
      <c r="I3406" s="1" t="str">
        <f t="shared" si="214"/>
        <v>威尔新数值1.06.xlsm!otherDamage</v>
      </c>
    </row>
    <row r="3407" spans="1:9" x14ac:dyDescent="0.15">
      <c r="A3407" s="1">
        <v>3406</v>
      </c>
      <c r="B3407" s="1">
        <v>103080400</v>
      </c>
      <c r="C3407" s="1">
        <f t="shared" si="213"/>
        <v>104</v>
      </c>
      <c r="D3407" s="5">
        <f ca="1">IF(getQuality(B3407)&lt;4,getOtherMin(B3407,C3407,INDIRECT(J$2),INDIRECT(I3407),test),getMin(B3407,C3407,INDIRECT(J$2),INDIRECT(I3407),test))</f>
        <v>0.14000000000000001</v>
      </c>
      <c r="E3407" s="5">
        <f ca="1">IF(getQuality(B3407)&lt;4,getOtherMax(B3407,C3407,INDIRECT(J$2),INDIRECT(I3407),test),getMax(B3407,C3407,INDIRECT(J$2),INDIRECT(I3407),test))</f>
        <v>0.28000000000000003</v>
      </c>
      <c r="F3407" s="1" t="str">
        <f t="shared" si="215"/>
        <v>50</v>
      </c>
      <c r="G3407" s="1" t="str">
        <f t="shared" si="216"/>
        <v/>
      </c>
      <c r="I3407" s="1" t="str">
        <f t="shared" si="214"/>
        <v>威尔新数值1.06.xlsm!monsterDamage</v>
      </c>
    </row>
    <row r="3408" spans="1:9" x14ac:dyDescent="0.15">
      <c r="A3408" s="1">
        <v>3407</v>
      </c>
      <c r="B3408" s="1">
        <v>103080400</v>
      </c>
      <c r="C3408" s="1">
        <f t="shared" si="213"/>
        <v>105</v>
      </c>
      <c r="D3408" s="5">
        <f ca="1">IF(getQuality(B3408)&lt;4,getOtherMin(B3408,C3408,INDIRECT(J$2),INDIRECT(I3408),test),getMin(B3408,C3408,INDIRECT(J$2),INDIRECT(I3408),test))</f>
        <v>0.14000000000000001</v>
      </c>
      <c r="E3408" s="5">
        <f ca="1">IF(getQuality(B3408)&lt;4,getOtherMax(B3408,C3408,INDIRECT(J$2),INDIRECT(I3408),test),getMax(B3408,C3408,INDIRECT(J$2),INDIRECT(I3408),test))</f>
        <v>0.28000000000000003</v>
      </c>
      <c r="F3408" s="1" t="str">
        <f t="shared" si="215"/>
        <v>50</v>
      </c>
      <c r="G3408" s="1" t="str">
        <f t="shared" si="216"/>
        <v/>
      </c>
      <c r="I3408" s="1" t="str">
        <f t="shared" si="214"/>
        <v>威尔新数值1.06.xlsm!monsterDamage</v>
      </c>
    </row>
    <row r="3409" spans="1:9" x14ac:dyDescent="0.15">
      <c r="A3409" s="1">
        <v>3408</v>
      </c>
      <c r="B3409" s="1">
        <v>103080400</v>
      </c>
      <c r="C3409" s="1">
        <f t="shared" si="213"/>
        <v>106</v>
      </c>
      <c r="D3409" s="5">
        <f ca="1">IF(getQuality(B3409)&lt;4,getOtherMin(B3409,C3409,INDIRECT(J$2),INDIRECT(I3409),test),getMin(B3409,C3409,INDIRECT(J$2),INDIRECT(I3409),test))</f>
        <v>0.14000000000000001</v>
      </c>
      <c r="E3409" s="5">
        <f ca="1">IF(getQuality(B3409)&lt;4,getOtherMax(B3409,C3409,INDIRECT(J$2),INDIRECT(I3409),test),getMax(B3409,C3409,INDIRECT(J$2),INDIRECT(I3409),test))</f>
        <v>0.28000000000000003</v>
      </c>
      <c r="F3409" s="1" t="str">
        <f t="shared" si="215"/>
        <v>50</v>
      </c>
      <c r="G3409" s="1" t="str">
        <f t="shared" si="216"/>
        <v/>
      </c>
      <c r="I3409" s="1" t="str">
        <f t="shared" si="214"/>
        <v>威尔新数值1.06.xlsm!monsterDamage</v>
      </c>
    </row>
    <row r="3410" spans="1:9" x14ac:dyDescent="0.15">
      <c r="A3410" s="1">
        <v>3409</v>
      </c>
      <c r="B3410" s="1">
        <v>103080400</v>
      </c>
      <c r="C3410" s="1">
        <f t="shared" si="213"/>
        <v>107</v>
      </c>
      <c r="D3410" s="5">
        <f ca="1">IF(getQuality(B3410)&lt;4,getOtherMin(B3410,C3410,INDIRECT(J$2),INDIRECT(I3410),test),getMin(B3410,C3410,INDIRECT(J$2),INDIRECT(I3410),test))</f>
        <v>0.14000000000000001</v>
      </c>
      <c r="E3410" s="5">
        <f ca="1">IF(getQuality(B3410)&lt;4,getOtherMax(B3410,C3410,INDIRECT(J$2),INDIRECT(I3410),test),getMax(B3410,C3410,INDIRECT(J$2),INDIRECT(I3410),test))</f>
        <v>0.28000000000000003</v>
      </c>
      <c r="F3410" s="1" t="str">
        <f t="shared" si="215"/>
        <v>50</v>
      </c>
      <c r="G3410" s="1" t="str">
        <f t="shared" si="216"/>
        <v/>
      </c>
      <c r="I3410" s="1" t="str">
        <f t="shared" si="214"/>
        <v>威尔新数值1.06.xlsm!monsterDamage</v>
      </c>
    </row>
    <row r="3411" spans="1:9" x14ac:dyDescent="0.15">
      <c r="A3411" s="1">
        <v>3410</v>
      </c>
      <c r="B3411" s="1">
        <v>103080400</v>
      </c>
      <c r="C3411" s="1">
        <f t="shared" si="213"/>
        <v>108</v>
      </c>
      <c r="D3411" s="5">
        <f ca="1">IF(getQuality(B3411)&lt;4,getOtherMin(B3411,C3411,INDIRECT(J$2),INDIRECT(I3411),test),getMin(B3411,C3411,INDIRECT(J$2),INDIRECT(I3411),test))</f>
        <v>0.14000000000000001</v>
      </c>
      <c r="E3411" s="5">
        <f ca="1">IF(getQuality(B3411)&lt;4,getOtherMax(B3411,C3411,INDIRECT(J$2),INDIRECT(I3411),test),getMax(B3411,C3411,INDIRECT(J$2),INDIRECT(I3411),test))</f>
        <v>0.28000000000000003</v>
      </c>
      <c r="F3411" s="1" t="str">
        <f t="shared" si="215"/>
        <v>50</v>
      </c>
      <c r="G3411" s="1" t="str">
        <f t="shared" si="216"/>
        <v/>
      </c>
      <c r="I3411" s="1" t="str">
        <f t="shared" si="214"/>
        <v>威尔新数值1.06.xlsm!monsterDamage</v>
      </c>
    </row>
    <row r="3412" spans="1:9" x14ac:dyDescent="0.15">
      <c r="A3412" s="1">
        <v>3411</v>
      </c>
      <c r="B3412" s="1">
        <v>103090400</v>
      </c>
      <c r="C3412" s="1">
        <f t="shared" si="213"/>
        <v>3</v>
      </c>
      <c r="D3412" s="5">
        <f ca="1">IF(getQuality(B3412)&lt;4,getOtherMin(B3412,C3412,INDIRECT(J$2),INDIRECT(I3412),test),getMin(B3412,C3412,INDIRECT(J$2),INDIRECT(I3412),test))</f>
        <v>329.28048273180752</v>
      </c>
      <c r="E3412" s="5">
        <f ca="1">IF(getQuality(B3412)&lt;4,getOtherMax(B3412,C3412,INDIRECT(J$2),INDIRECT(I3412),test),getMax(B3412,C3412,INDIRECT(J$2),INDIRECT(I3412),test))</f>
        <v>390.92443123182665</v>
      </c>
      <c r="F3412" s="1" t="str">
        <f t="shared" si="215"/>
        <v>50</v>
      </c>
      <c r="G3412" s="1" t="str">
        <f t="shared" si="216"/>
        <v/>
      </c>
      <c r="I3412" s="1" t="str">
        <f t="shared" si="214"/>
        <v>威尔新数值1.06.xlsm!suitPower</v>
      </c>
    </row>
    <row r="3413" spans="1:9" x14ac:dyDescent="0.15">
      <c r="A3413" s="1">
        <v>3412</v>
      </c>
      <c r="B3413" s="1">
        <v>103090400</v>
      </c>
      <c r="C3413" s="1">
        <f t="shared" si="213"/>
        <v>5</v>
      </c>
      <c r="D3413" s="5">
        <f ca="1">IF(getQuality(B3413)&lt;4,getOtherMin(B3413,C3413,INDIRECT(J$2),INDIRECT(I3413),test),getMin(B3413,C3413,INDIRECT(J$2),INDIRECT(I3413),test))</f>
        <v>329.28048273180752</v>
      </c>
      <c r="E3413" s="5">
        <f ca="1">IF(getQuality(B3413)&lt;4,getOtherMax(B3413,C3413,INDIRECT(J$2),INDIRECT(I3413),test),getMax(B3413,C3413,INDIRECT(J$2),INDIRECT(I3413),test))</f>
        <v>390.92443123182665</v>
      </c>
      <c r="F3413" s="1" t="str">
        <f t="shared" si="215"/>
        <v>50</v>
      </c>
      <c r="G3413" s="1" t="str">
        <f t="shared" si="216"/>
        <v>1</v>
      </c>
      <c r="I3413" s="1" t="str">
        <f t="shared" si="214"/>
        <v>威尔新数值1.06.xlsm!suitPower</v>
      </c>
    </row>
    <row r="3414" spans="1:9" x14ac:dyDescent="0.15">
      <c r="A3414" s="1">
        <v>3413</v>
      </c>
      <c r="B3414" s="1">
        <v>103090400</v>
      </c>
      <c r="C3414" s="1">
        <f t="shared" si="213"/>
        <v>7</v>
      </c>
      <c r="D3414" s="5">
        <f ca="1">IF(getQuality(B3414)&lt;4,getOtherMin(B3414,C3414,INDIRECT(J$2),INDIRECT(I3414),test),getMin(B3414,C3414,INDIRECT(J$2),INDIRECT(I3414),test))</f>
        <v>60.25925925925911</v>
      </c>
      <c r="E3414" s="5">
        <f ca="1">IF(getQuality(B3414)&lt;4,getOtherMax(B3414,C3414,INDIRECT(J$2),INDIRECT(I3414),test),getMax(B3414,C3414,INDIRECT(J$2),INDIRECT(I3414),test))</f>
        <v>66.666666666666501</v>
      </c>
      <c r="F3414" s="1" t="str">
        <f t="shared" si="215"/>
        <v>50</v>
      </c>
      <c r="G3414" s="1" t="str">
        <f t="shared" si="216"/>
        <v/>
      </c>
      <c r="I3414" s="1" t="str">
        <f t="shared" si="214"/>
        <v>威尔新数值1.06.xlsm!suitPower</v>
      </c>
    </row>
    <row r="3415" spans="1:9" x14ac:dyDescent="0.15">
      <c r="A3415" s="1">
        <v>3414</v>
      </c>
      <c r="B3415" s="1">
        <v>103090400</v>
      </c>
      <c r="C3415" s="1">
        <f t="shared" si="213"/>
        <v>8</v>
      </c>
      <c r="D3415" s="5">
        <f ca="1">IF(getQuality(B3415)&lt;4,getOtherMin(B3415,C3415,INDIRECT(J$2),INDIRECT(I3415),test),getMin(B3415,C3415,INDIRECT(J$2),INDIRECT(I3415),test))</f>
        <v>134.33333333333334</v>
      </c>
      <c r="E3415" s="5">
        <f ca="1">IF(getQuality(B3415)&lt;4,getOtherMax(B3415,C3415,INDIRECT(J$2),INDIRECT(I3415),test),getMax(B3415,C3415,INDIRECT(J$2),INDIRECT(I3415),test))</f>
        <v>150</v>
      </c>
      <c r="F3415" s="1" t="str">
        <f t="shared" si="215"/>
        <v>50</v>
      </c>
      <c r="G3415" s="1" t="str">
        <f t="shared" si="216"/>
        <v/>
      </c>
      <c r="I3415" s="1" t="str">
        <f t="shared" si="214"/>
        <v>威尔新数值1.06.xlsm!suitPower</v>
      </c>
    </row>
    <row r="3416" spans="1:9" x14ac:dyDescent="0.15">
      <c r="A3416" s="1">
        <v>3415</v>
      </c>
      <c r="B3416" s="1">
        <v>103090400</v>
      </c>
      <c r="C3416" s="1">
        <f t="shared" si="213"/>
        <v>9</v>
      </c>
      <c r="D3416" s="5">
        <f ca="1">IF(getQuality(B3416)&lt;4,getOtherMin(B3416,C3416,INDIRECT(J$2),INDIRECT(I3416),test),getMin(B3416,C3416,INDIRECT(J$2),INDIRECT(I3416),test))</f>
        <v>329.28048273180752</v>
      </c>
      <c r="E3416" s="5">
        <f ca="1">IF(getQuality(B3416)&lt;4,getOtherMax(B3416,C3416,INDIRECT(J$2),INDIRECT(I3416),test),getMax(B3416,C3416,INDIRECT(J$2),INDIRECT(I3416),test))</f>
        <v>390.92443123182665</v>
      </c>
      <c r="F3416" s="1" t="str">
        <f t="shared" si="215"/>
        <v>50</v>
      </c>
      <c r="G3416" s="1" t="str">
        <f t="shared" si="216"/>
        <v/>
      </c>
      <c r="I3416" s="1" t="str">
        <f t="shared" si="214"/>
        <v>威尔新数值1.06.xlsm!suitPower</v>
      </c>
    </row>
    <row r="3417" spans="1:9" x14ac:dyDescent="0.15">
      <c r="A3417" s="1">
        <v>3416</v>
      </c>
      <c r="B3417" s="1">
        <v>103090400</v>
      </c>
      <c r="C3417" s="1">
        <f t="shared" si="213"/>
        <v>10</v>
      </c>
      <c r="D3417" s="5">
        <f ca="1">IF(getQuality(B3417)&lt;4,getOtherMin(B3417,C3417,INDIRECT(J$2),INDIRECT(I3417),test),getMin(B3417,C3417,INDIRECT(J$2),INDIRECT(I3417),test))</f>
        <v>329.28048273180752</v>
      </c>
      <c r="E3417" s="5">
        <f ca="1">IF(getQuality(B3417)&lt;4,getOtherMax(B3417,C3417,INDIRECT(J$2),INDIRECT(I3417),test),getMax(B3417,C3417,INDIRECT(J$2),INDIRECT(I3417),test))</f>
        <v>390.92443123182665</v>
      </c>
      <c r="F3417" s="1" t="str">
        <f t="shared" si="215"/>
        <v>50</v>
      </c>
      <c r="G3417" s="1" t="str">
        <f t="shared" si="216"/>
        <v/>
      </c>
      <c r="I3417" s="1" t="str">
        <f t="shared" si="214"/>
        <v>威尔新数值1.06.xlsm!suitPower</v>
      </c>
    </row>
    <row r="3418" spans="1:9" x14ac:dyDescent="0.15">
      <c r="A3418" s="1">
        <v>3417</v>
      </c>
      <c r="B3418" s="1">
        <v>103090400</v>
      </c>
      <c r="C3418" s="1">
        <f t="shared" si="213"/>
        <v>11</v>
      </c>
      <c r="D3418" s="5">
        <f ca="1">IF(getQuality(B3418)&lt;4,getOtherMin(B3418,C3418,INDIRECT(J$2),INDIRECT(I3418),test),getMin(B3418,C3418,INDIRECT(J$2),INDIRECT(I3418),test))</f>
        <v>329.28048273180752</v>
      </c>
      <c r="E3418" s="5">
        <f ca="1">IF(getQuality(B3418)&lt;4,getOtherMax(B3418,C3418,INDIRECT(J$2),INDIRECT(I3418),test),getMax(B3418,C3418,INDIRECT(J$2),INDIRECT(I3418),test))</f>
        <v>390.92443123182665</v>
      </c>
      <c r="F3418" s="1" t="str">
        <f t="shared" si="215"/>
        <v>50</v>
      </c>
      <c r="G3418" s="1" t="str">
        <f t="shared" si="216"/>
        <v/>
      </c>
      <c r="I3418" s="1" t="str">
        <f t="shared" si="214"/>
        <v>威尔新数值1.06.xlsm!suitPower</v>
      </c>
    </row>
    <row r="3419" spans="1:9" x14ac:dyDescent="0.15">
      <c r="A3419" s="1">
        <v>3418</v>
      </c>
      <c r="B3419" s="1">
        <v>103090400</v>
      </c>
      <c r="C3419" s="1">
        <f t="shared" si="213"/>
        <v>12</v>
      </c>
      <c r="D3419" s="5">
        <f ca="1">IF(getQuality(B3419)&lt;4,getOtherMin(B3419,C3419,INDIRECT(J$2),INDIRECT(I3419),test),getMin(B3419,C3419,INDIRECT(J$2),INDIRECT(I3419),test))</f>
        <v>329.28048273180752</v>
      </c>
      <c r="E3419" s="5">
        <f ca="1">IF(getQuality(B3419)&lt;4,getOtherMax(B3419,C3419,INDIRECT(J$2),INDIRECT(I3419),test),getMax(B3419,C3419,INDIRECT(J$2),INDIRECT(I3419),test))</f>
        <v>390.92443123182665</v>
      </c>
      <c r="F3419" s="1" t="str">
        <f t="shared" si="215"/>
        <v>50</v>
      </c>
      <c r="G3419" s="1" t="str">
        <f t="shared" si="216"/>
        <v/>
      </c>
      <c r="I3419" s="1" t="str">
        <f t="shared" si="214"/>
        <v>威尔新数值1.06.xlsm!suitPower</v>
      </c>
    </row>
    <row r="3420" spans="1:9" x14ac:dyDescent="0.15">
      <c r="A3420" s="1">
        <v>3419</v>
      </c>
      <c r="B3420" s="1">
        <v>103090400</v>
      </c>
      <c r="C3420" s="1">
        <f t="shared" si="213"/>
        <v>13</v>
      </c>
      <c r="D3420" s="5">
        <f ca="1">IF(getQuality(B3420)&lt;4,getOtherMin(B3420,C3420,INDIRECT(J$2),INDIRECT(I3420),test),getMin(B3420,C3420,INDIRECT(J$2),INDIRECT(I3420),test))</f>
        <v>329.28048273180752</v>
      </c>
      <c r="E3420" s="5">
        <f ca="1">IF(getQuality(B3420)&lt;4,getOtherMax(B3420,C3420,INDIRECT(J$2),INDIRECT(I3420),test),getMax(B3420,C3420,INDIRECT(J$2),INDIRECT(I3420),test))</f>
        <v>390.92443123182665</v>
      </c>
      <c r="F3420" s="1" t="str">
        <f t="shared" si="215"/>
        <v>50</v>
      </c>
      <c r="G3420" s="1" t="str">
        <f t="shared" si="216"/>
        <v/>
      </c>
      <c r="I3420" s="1" t="str">
        <f t="shared" si="214"/>
        <v>威尔新数值1.06.xlsm!suitPower</v>
      </c>
    </row>
    <row r="3421" spans="1:9" x14ac:dyDescent="0.15">
      <c r="A3421" s="1">
        <v>3420</v>
      </c>
      <c r="B3421" s="1">
        <v>103090400</v>
      </c>
      <c r="C3421" s="1">
        <f t="shared" si="213"/>
        <v>14</v>
      </c>
      <c r="D3421" s="5">
        <f ca="1">IF(getQuality(B3421)&lt;4,getOtherMin(B3421,C3421,INDIRECT(J$2),INDIRECT(I3421),test),getMin(B3421,C3421,INDIRECT(J$2),INDIRECT(I3421),test))</f>
        <v>329.28048273180752</v>
      </c>
      <c r="E3421" s="5">
        <f ca="1">IF(getQuality(B3421)&lt;4,getOtherMax(B3421,C3421,INDIRECT(J$2),INDIRECT(I3421),test),getMax(B3421,C3421,INDIRECT(J$2),INDIRECT(I3421),test))</f>
        <v>390.92443123182665</v>
      </c>
      <c r="F3421" s="1" t="str">
        <f t="shared" si="215"/>
        <v>50</v>
      </c>
      <c r="G3421" s="1" t="str">
        <f t="shared" si="216"/>
        <v/>
      </c>
      <c r="I3421" s="1" t="str">
        <f t="shared" si="214"/>
        <v>威尔新数值1.06.xlsm!suitPower</v>
      </c>
    </row>
    <row r="3422" spans="1:9" x14ac:dyDescent="0.15">
      <c r="A3422" s="1">
        <v>3421</v>
      </c>
      <c r="B3422" s="1">
        <v>103090400</v>
      </c>
      <c r="C3422" s="1">
        <f t="shared" si="213"/>
        <v>15</v>
      </c>
      <c r="D3422" s="5">
        <f ca="1">IF(getQuality(B3422)&lt;4,getOtherMin(B3422,C3422,INDIRECT(J$2),INDIRECT(I3422),test),getMin(B3422,C3422,INDIRECT(J$2),INDIRECT(I3422),test))</f>
        <v>329.28048273180752</v>
      </c>
      <c r="E3422" s="5">
        <f ca="1">IF(getQuality(B3422)&lt;4,getOtherMax(B3422,C3422,INDIRECT(J$2),INDIRECT(I3422),test),getMax(B3422,C3422,INDIRECT(J$2),INDIRECT(I3422),test))</f>
        <v>390.92443123182665</v>
      </c>
      <c r="F3422" s="1" t="str">
        <f t="shared" si="215"/>
        <v>50</v>
      </c>
      <c r="G3422" s="1" t="str">
        <f t="shared" si="216"/>
        <v/>
      </c>
      <c r="I3422" s="1" t="str">
        <f t="shared" si="214"/>
        <v>威尔新数值1.06.xlsm!suitPower</v>
      </c>
    </row>
    <row r="3423" spans="1:9" x14ac:dyDescent="0.15">
      <c r="A3423" s="1">
        <v>3422</v>
      </c>
      <c r="B3423" s="1">
        <v>103090400</v>
      </c>
      <c r="C3423" s="1">
        <f t="shared" si="213"/>
        <v>101</v>
      </c>
      <c r="D3423" s="5">
        <f ca="1">IF(getQuality(B3423)&lt;4,getOtherMin(B3423,C3423,INDIRECT(J$2),INDIRECT(I3423),test),getMin(B3423,C3423,INDIRECT(J$2),INDIRECT(I3423),test))</f>
        <v>0.15</v>
      </c>
      <c r="E3423" s="5">
        <f ca="1">IF(getQuality(B3423)&lt;4,getOtherMax(B3423,C3423,INDIRECT(J$2),INDIRECT(I3423),test),getMax(B3423,C3423,INDIRECT(J$2),INDIRECT(I3423),test))</f>
        <v>0.18</v>
      </c>
      <c r="F3423" s="1" t="str">
        <f t="shared" si="215"/>
        <v>50</v>
      </c>
      <c r="G3423" s="1" t="str">
        <f t="shared" si="216"/>
        <v/>
      </c>
      <c r="I3423" s="1" t="str">
        <f t="shared" si="214"/>
        <v>威尔新数值1.06.xlsm!circlePer</v>
      </c>
    </row>
    <row r="3424" spans="1:9" x14ac:dyDescent="0.15">
      <c r="A3424" s="1">
        <v>3423</v>
      </c>
      <c r="B3424" s="1">
        <v>103090400</v>
      </c>
      <c r="C3424" s="1">
        <f t="shared" si="213"/>
        <v>102</v>
      </c>
      <c r="D3424" s="5">
        <f ca="1">IF(getQuality(B3424)&lt;4,getOtherMin(B3424,C3424,INDIRECT(J$2),INDIRECT(I3424),test),getMin(B3424,C3424,INDIRECT(J$2),INDIRECT(I3424),test))</f>
        <v>1.4</v>
      </c>
      <c r="E3424" s="5">
        <f ca="1">IF(getQuality(B3424)&lt;4,getOtherMax(B3424,C3424,INDIRECT(J$2),INDIRECT(I3424),test),getMax(B3424,C3424,INDIRECT(J$2),INDIRECT(I3424),test))</f>
        <v>1.7</v>
      </c>
      <c r="F3424" s="1" t="str">
        <f t="shared" si="215"/>
        <v>50</v>
      </c>
      <c r="G3424" s="1" t="str">
        <f t="shared" si="216"/>
        <v/>
      </c>
      <c r="I3424" s="1" t="str">
        <f t="shared" si="214"/>
        <v>威尔新数值1.06.xlsm!circleValue</v>
      </c>
    </row>
    <row r="3425" spans="1:9" x14ac:dyDescent="0.15">
      <c r="A3425" s="1">
        <v>3424</v>
      </c>
      <c r="B3425" s="1">
        <v>103090400</v>
      </c>
      <c r="C3425" s="1">
        <f t="shared" si="213"/>
        <v>103</v>
      </c>
      <c r="D3425" s="5">
        <f ca="1">IF(getQuality(B3425)&lt;4,getOtherMin(B3425,C3425,INDIRECT(J$2),INDIRECT(I3425),test),getMin(B3425,C3425,INDIRECT(J$2),INDIRECT(I3425),test))</f>
        <v>0.15</v>
      </c>
      <c r="E3425" s="5">
        <f ca="1">IF(getQuality(B3425)&lt;4,getOtherMax(B3425,C3425,INDIRECT(J$2),INDIRECT(I3425),test),getMax(B3425,C3425,INDIRECT(J$2),INDIRECT(I3425),test))</f>
        <v>0.18</v>
      </c>
      <c r="F3425" s="1" t="str">
        <f t="shared" si="215"/>
        <v>50</v>
      </c>
      <c r="G3425" s="1" t="str">
        <f t="shared" si="216"/>
        <v/>
      </c>
      <c r="I3425" s="1" t="str">
        <f t="shared" si="214"/>
        <v>威尔新数值1.06.xlsm!otherDamage</v>
      </c>
    </row>
    <row r="3426" spans="1:9" x14ac:dyDescent="0.15">
      <c r="A3426" s="1">
        <v>3425</v>
      </c>
      <c r="B3426" s="1">
        <v>103090400</v>
      </c>
      <c r="C3426" s="1">
        <f t="shared" si="213"/>
        <v>104</v>
      </c>
      <c r="D3426" s="5">
        <f ca="1">IF(getQuality(B3426)&lt;4,getOtherMin(B3426,C3426,INDIRECT(J$2),INDIRECT(I3426),test),getMin(B3426,C3426,INDIRECT(J$2),INDIRECT(I3426),test))</f>
        <v>0.15</v>
      </c>
      <c r="E3426" s="5">
        <f ca="1">IF(getQuality(B3426)&lt;4,getOtherMax(B3426,C3426,INDIRECT(J$2),INDIRECT(I3426),test),getMax(B3426,C3426,INDIRECT(J$2),INDIRECT(I3426),test))</f>
        <v>0.3</v>
      </c>
      <c r="F3426" s="1" t="str">
        <f t="shared" si="215"/>
        <v>50</v>
      </c>
      <c r="G3426" s="1" t="str">
        <f t="shared" si="216"/>
        <v/>
      </c>
      <c r="I3426" s="1" t="str">
        <f t="shared" si="214"/>
        <v>威尔新数值1.06.xlsm!monsterDamage</v>
      </c>
    </row>
    <row r="3427" spans="1:9" x14ac:dyDescent="0.15">
      <c r="A3427" s="1">
        <v>3426</v>
      </c>
      <c r="B3427" s="1">
        <v>103090400</v>
      </c>
      <c r="C3427" s="1">
        <f t="shared" si="213"/>
        <v>105</v>
      </c>
      <c r="D3427" s="5">
        <f ca="1">IF(getQuality(B3427)&lt;4,getOtherMin(B3427,C3427,INDIRECT(J$2),INDIRECT(I3427),test),getMin(B3427,C3427,INDIRECT(J$2),INDIRECT(I3427),test))</f>
        <v>0.15</v>
      </c>
      <c r="E3427" s="5">
        <f ca="1">IF(getQuality(B3427)&lt;4,getOtherMax(B3427,C3427,INDIRECT(J$2),INDIRECT(I3427),test),getMax(B3427,C3427,INDIRECT(J$2),INDIRECT(I3427),test))</f>
        <v>0.3</v>
      </c>
      <c r="F3427" s="1" t="str">
        <f t="shared" si="215"/>
        <v>50</v>
      </c>
      <c r="G3427" s="1" t="str">
        <f t="shared" si="216"/>
        <v/>
      </c>
      <c r="I3427" s="1" t="str">
        <f t="shared" si="214"/>
        <v>威尔新数值1.06.xlsm!monsterDamage</v>
      </c>
    </row>
    <row r="3428" spans="1:9" x14ac:dyDescent="0.15">
      <c r="A3428" s="1">
        <v>3427</v>
      </c>
      <c r="B3428" s="1">
        <v>103090400</v>
      </c>
      <c r="C3428" s="1">
        <f t="shared" si="213"/>
        <v>106</v>
      </c>
      <c r="D3428" s="5">
        <f ca="1">IF(getQuality(B3428)&lt;4,getOtherMin(B3428,C3428,INDIRECT(J$2),INDIRECT(I3428),test),getMin(B3428,C3428,INDIRECT(J$2),INDIRECT(I3428),test))</f>
        <v>0.15</v>
      </c>
      <c r="E3428" s="5">
        <f ca="1">IF(getQuality(B3428)&lt;4,getOtherMax(B3428,C3428,INDIRECT(J$2),INDIRECT(I3428),test),getMax(B3428,C3428,INDIRECT(J$2),INDIRECT(I3428),test))</f>
        <v>0.3</v>
      </c>
      <c r="F3428" s="1" t="str">
        <f t="shared" si="215"/>
        <v>50</v>
      </c>
      <c r="G3428" s="1" t="str">
        <f t="shared" si="216"/>
        <v/>
      </c>
      <c r="I3428" s="1" t="str">
        <f t="shared" si="214"/>
        <v>威尔新数值1.06.xlsm!monsterDamage</v>
      </c>
    </row>
    <row r="3429" spans="1:9" x14ac:dyDescent="0.15">
      <c r="A3429" s="1">
        <v>3428</v>
      </c>
      <c r="B3429" s="1">
        <v>103090400</v>
      </c>
      <c r="C3429" s="1">
        <f t="shared" si="213"/>
        <v>107</v>
      </c>
      <c r="D3429" s="5">
        <f ca="1">IF(getQuality(B3429)&lt;4,getOtherMin(B3429,C3429,INDIRECT(J$2),INDIRECT(I3429),test),getMin(B3429,C3429,INDIRECT(J$2),INDIRECT(I3429),test))</f>
        <v>0.15</v>
      </c>
      <c r="E3429" s="5">
        <f ca="1">IF(getQuality(B3429)&lt;4,getOtherMax(B3429,C3429,INDIRECT(J$2),INDIRECT(I3429),test),getMax(B3429,C3429,INDIRECT(J$2),INDIRECT(I3429),test))</f>
        <v>0.3</v>
      </c>
      <c r="F3429" s="1" t="str">
        <f t="shared" si="215"/>
        <v>50</v>
      </c>
      <c r="G3429" s="1" t="str">
        <f t="shared" si="216"/>
        <v/>
      </c>
      <c r="I3429" s="1" t="str">
        <f t="shared" si="214"/>
        <v>威尔新数值1.06.xlsm!monsterDamage</v>
      </c>
    </row>
    <row r="3430" spans="1:9" x14ac:dyDescent="0.15">
      <c r="A3430" s="1">
        <v>3429</v>
      </c>
      <c r="B3430" s="1">
        <v>103090400</v>
      </c>
      <c r="C3430" s="1">
        <f t="shared" si="213"/>
        <v>108</v>
      </c>
      <c r="D3430" s="5">
        <f ca="1">IF(getQuality(B3430)&lt;4,getOtherMin(B3430,C3430,INDIRECT(J$2),INDIRECT(I3430),test),getMin(B3430,C3430,INDIRECT(J$2),INDIRECT(I3430),test))</f>
        <v>0.15</v>
      </c>
      <c r="E3430" s="5">
        <f ca="1">IF(getQuality(B3430)&lt;4,getOtherMax(B3430,C3430,INDIRECT(J$2),INDIRECT(I3430),test),getMax(B3430,C3430,INDIRECT(J$2),INDIRECT(I3430),test))</f>
        <v>0.3</v>
      </c>
      <c r="F3430" s="1" t="str">
        <f t="shared" si="215"/>
        <v>50</v>
      </c>
      <c r="G3430" s="1" t="str">
        <f t="shared" si="216"/>
        <v/>
      </c>
      <c r="I3430" s="1" t="str">
        <f t="shared" si="214"/>
        <v>威尔新数值1.06.xlsm!monsterDamage</v>
      </c>
    </row>
    <row r="3431" spans="1:9" x14ac:dyDescent="0.15">
      <c r="A3431" s="1">
        <v>3430</v>
      </c>
      <c r="B3431" s="1">
        <v>103010500</v>
      </c>
      <c r="C3431" s="1">
        <f t="shared" si="213"/>
        <v>3</v>
      </c>
      <c r="D3431" s="5">
        <f ca="1">IF(getQuality(B3431)&lt;4,getOtherMin(B3431,C3431,INDIRECT(J$2),INDIRECT(I3431),test),getMin(B3431,C3431,INDIRECT(J$2),INDIRECT(I3431),test))</f>
        <v>1</v>
      </c>
      <c r="E3431" s="5">
        <f ca="1">IF(getQuality(B3431)&lt;4,getOtherMax(B3431,C3431,INDIRECT(J$2),INDIRECT(I3431),test),getMax(B3431,C3431,INDIRECT(J$2),INDIRECT(I3431),test))</f>
        <v>24.009875731714647</v>
      </c>
      <c r="F3431" s="1" t="str">
        <f t="shared" si="215"/>
        <v>50</v>
      </c>
      <c r="G3431" s="1" t="str">
        <f t="shared" si="216"/>
        <v>1</v>
      </c>
      <c r="I3431" s="1" t="str">
        <f t="shared" si="214"/>
        <v>威尔新数值1.06.xlsm!suitPower</v>
      </c>
    </row>
    <row r="3432" spans="1:9" x14ac:dyDescent="0.15">
      <c r="A3432" s="1">
        <v>3431</v>
      </c>
      <c r="B3432" s="1">
        <v>103010500</v>
      </c>
      <c r="C3432" s="1">
        <f t="shared" si="213"/>
        <v>5</v>
      </c>
      <c r="D3432" s="5">
        <f ca="1">IF(getQuality(B3432)&lt;4,getOtherMin(B3432,C3432,INDIRECT(J$2),INDIRECT(I3432),test),getMin(B3432,C3432,INDIRECT(J$2),INDIRECT(I3432),test))</f>
        <v>1</v>
      </c>
      <c r="E3432" s="5">
        <f ca="1">IF(getQuality(B3432)&lt;4,getOtherMax(B3432,C3432,INDIRECT(J$2),INDIRECT(I3432),test),getMax(B3432,C3432,INDIRECT(J$2),INDIRECT(I3432),test))</f>
        <v>24.009875731714647</v>
      </c>
      <c r="F3432" s="1" t="str">
        <f t="shared" si="215"/>
        <v>50</v>
      </c>
      <c r="G3432" s="1" t="str">
        <f t="shared" si="216"/>
        <v/>
      </c>
      <c r="I3432" s="1" t="str">
        <f t="shared" si="214"/>
        <v>威尔新数值1.06.xlsm!suitPower</v>
      </c>
    </row>
    <row r="3433" spans="1:9" x14ac:dyDescent="0.15">
      <c r="A3433" s="1">
        <v>3432</v>
      </c>
      <c r="B3433" s="1">
        <v>103010500</v>
      </c>
      <c r="C3433" s="1">
        <f t="shared" si="213"/>
        <v>7</v>
      </c>
      <c r="D3433" s="5">
        <f ca="1">IF(getQuality(B3433)&lt;4,getOtherMin(B3433,C3433,INDIRECT(J$2),INDIRECT(I3433),test),getMin(B3433,C3433,INDIRECT(J$2),INDIRECT(I3433),test))</f>
        <v>1</v>
      </c>
      <c r="E3433" s="5">
        <f ca="1">IF(getQuality(B3433)&lt;4,getOtherMax(B3433,C3433,INDIRECT(J$2),INDIRECT(I3433),test),getMax(B3433,C3433,INDIRECT(J$2),INDIRECT(I3433),test))</f>
        <v>7.4074074074073888</v>
      </c>
      <c r="F3433" s="1" t="str">
        <f t="shared" si="215"/>
        <v>50</v>
      </c>
      <c r="G3433" s="1" t="str">
        <f t="shared" si="216"/>
        <v/>
      </c>
      <c r="I3433" s="1" t="str">
        <f t="shared" si="214"/>
        <v>威尔新数值1.06.xlsm!suitPower</v>
      </c>
    </row>
    <row r="3434" spans="1:9" x14ac:dyDescent="0.15">
      <c r="A3434" s="1">
        <v>3433</v>
      </c>
      <c r="B3434" s="1">
        <v>103010500</v>
      </c>
      <c r="C3434" s="1">
        <f t="shared" si="213"/>
        <v>8</v>
      </c>
      <c r="D3434" s="5">
        <f ca="1">IF(getQuality(B3434)&lt;4,getOtherMin(B3434,C3434,INDIRECT(J$2),INDIRECT(I3434),test),getMin(B3434,C3434,INDIRECT(J$2),INDIRECT(I3434),test))</f>
        <v>1</v>
      </c>
      <c r="E3434" s="5">
        <f ca="1">IF(getQuality(B3434)&lt;4,getOtherMax(B3434,C3434,INDIRECT(J$2),INDIRECT(I3434),test),getMax(B3434,C3434,INDIRECT(J$2),INDIRECT(I3434),test))</f>
        <v>16.666666666666668</v>
      </c>
      <c r="F3434" s="1" t="str">
        <f t="shared" si="215"/>
        <v>50</v>
      </c>
      <c r="G3434" s="1" t="str">
        <f t="shared" si="216"/>
        <v/>
      </c>
      <c r="I3434" s="1" t="str">
        <f t="shared" si="214"/>
        <v>威尔新数值1.06.xlsm!suitPower</v>
      </c>
    </row>
    <row r="3435" spans="1:9" x14ac:dyDescent="0.15">
      <c r="A3435" s="1">
        <v>3434</v>
      </c>
      <c r="B3435" s="1">
        <v>103010500</v>
      </c>
      <c r="C3435" s="1">
        <f t="shared" si="213"/>
        <v>9</v>
      </c>
      <c r="D3435" s="5">
        <f ca="1">IF(getQuality(B3435)&lt;4,getOtherMin(B3435,C3435,INDIRECT(J$2),INDIRECT(I3435),test),getMin(B3435,C3435,INDIRECT(J$2),INDIRECT(I3435),test))</f>
        <v>1</v>
      </c>
      <c r="E3435" s="5">
        <f ca="1">IF(getQuality(B3435)&lt;4,getOtherMax(B3435,C3435,INDIRECT(J$2),INDIRECT(I3435),test),getMax(B3435,C3435,INDIRECT(J$2),INDIRECT(I3435),test))</f>
        <v>24.009875731714647</v>
      </c>
      <c r="F3435" s="1" t="str">
        <f t="shared" si="215"/>
        <v>50</v>
      </c>
      <c r="G3435" s="1" t="str">
        <f t="shared" si="216"/>
        <v/>
      </c>
      <c r="I3435" s="1" t="str">
        <f t="shared" si="214"/>
        <v>威尔新数值1.06.xlsm!suitPower</v>
      </c>
    </row>
    <row r="3436" spans="1:9" x14ac:dyDescent="0.15">
      <c r="A3436" s="1">
        <v>3435</v>
      </c>
      <c r="B3436" s="1">
        <v>103010500</v>
      </c>
      <c r="C3436" s="1">
        <f t="shared" si="213"/>
        <v>10</v>
      </c>
      <c r="D3436" s="5">
        <f ca="1">IF(getQuality(B3436)&lt;4,getOtherMin(B3436,C3436,INDIRECT(J$2),INDIRECT(I3436),test),getMin(B3436,C3436,INDIRECT(J$2),INDIRECT(I3436),test))</f>
        <v>1</v>
      </c>
      <c r="E3436" s="5">
        <f ca="1">IF(getQuality(B3436)&lt;4,getOtherMax(B3436,C3436,INDIRECT(J$2),INDIRECT(I3436),test),getMax(B3436,C3436,INDIRECT(J$2),INDIRECT(I3436),test))</f>
        <v>24.009875731714647</v>
      </c>
      <c r="F3436" s="1" t="str">
        <f t="shared" si="215"/>
        <v>50</v>
      </c>
      <c r="G3436" s="1" t="str">
        <f t="shared" si="216"/>
        <v/>
      </c>
      <c r="I3436" s="1" t="str">
        <f t="shared" si="214"/>
        <v>威尔新数值1.06.xlsm!suitPower</v>
      </c>
    </row>
    <row r="3437" spans="1:9" x14ac:dyDescent="0.15">
      <c r="A3437" s="1">
        <v>3436</v>
      </c>
      <c r="B3437" s="1">
        <v>103010500</v>
      </c>
      <c r="C3437" s="1">
        <f t="shared" si="213"/>
        <v>11</v>
      </c>
      <c r="D3437" s="5">
        <f ca="1">IF(getQuality(B3437)&lt;4,getOtherMin(B3437,C3437,INDIRECT(J$2),INDIRECT(I3437),test),getMin(B3437,C3437,INDIRECT(J$2),INDIRECT(I3437),test))</f>
        <v>1</v>
      </c>
      <c r="E3437" s="5">
        <f ca="1">IF(getQuality(B3437)&lt;4,getOtherMax(B3437,C3437,INDIRECT(J$2),INDIRECT(I3437),test),getMax(B3437,C3437,INDIRECT(J$2),INDIRECT(I3437),test))</f>
        <v>24.009875731714647</v>
      </c>
      <c r="F3437" s="1" t="str">
        <f t="shared" si="215"/>
        <v>50</v>
      </c>
      <c r="G3437" s="1" t="str">
        <f t="shared" si="216"/>
        <v/>
      </c>
      <c r="I3437" s="1" t="str">
        <f t="shared" si="214"/>
        <v>威尔新数值1.06.xlsm!suitPower</v>
      </c>
    </row>
    <row r="3438" spans="1:9" x14ac:dyDescent="0.15">
      <c r="A3438" s="1">
        <v>3437</v>
      </c>
      <c r="B3438" s="1">
        <v>103010500</v>
      </c>
      <c r="C3438" s="1">
        <f t="shared" si="213"/>
        <v>12</v>
      </c>
      <c r="D3438" s="5">
        <f ca="1">IF(getQuality(B3438)&lt;4,getOtherMin(B3438,C3438,INDIRECT(J$2),INDIRECT(I3438),test),getMin(B3438,C3438,INDIRECT(J$2),INDIRECT(I3438),test))</f>
        <v>1</v>
      </c>
      <c r="E3438" s="5">
        <f ca="1">IF(getQuality(B3438)&lt;4,getOtherMax(B3438,C3438,INDIRECT(J$2),INDIRECT(I3438),test),getMax(B3438,C3438,INDIRECT(J$2),INDIRECT(I3438),test))</f>
        <v>24.009875731714647</v>
      </c>
      <c r="F3438" s="1" t="str">
        <f t="shared" si="215"/>
        <v>50</v>
      </c>
      <c r="G3438" s="1" t="str">
        <f t="shared" si="216"/>
        <v/>
      </c>
      <c r="I3438" s="1" t="str">
        <f t="shared" si="214"/>
        <v>威尔新数值1.06.xlsm!suitPower</v>
      </c>
    </row>
    <row r="3439" spans="1:9" x14ac:dyDescent="0.15">
      <c r="A3439" s="1">
        <v>3438</v>
      </c>
      <c r="B3439" s="1">
        <v>103010500</v>
      </c>
      <c r="C3439" s="1">
        <f t="shared" si="213"/>
        <v>13</v>
      </c>
      <c r="D3439" s="5">
        <f ca="1">IF(getQuality(B3439)&lt;4,getOtherMin(B3439,C3439,INDIRECT(J$2),INDIRECT(I3439),test),getMin(B3439,C3439,INDIRECT(J$2),INDIRECT(I3439),test))</f>
        <v>1</v>
      </c>
      <c r="E3439" s="5">
        <f ca="1">IF(getQuality(B3439)&lt;4,getOtherMax(B3439,C3439,INDIRECT(J$2),INDIRECT(I3439),test),getMax(B3439,C3439,INDIRECT(J$2),INDIRECT(I3439),test))</f>
        <v>24.009875731714647</v>
      </c>
      <c r="F3439" s="1" t="str">
        <f t="shared" si="215"/>
        <v>50</v>
      </c>
      <c r="G3439" s="1" t="str">
        <f t="shared" si="216"/>
        <v/>
      </c>
      <c r="I3439" s="1" t="str">
        <f t="shared" si="214"/>
        <v>威尔新数值1.06.xlsm!suitPower</v>
      </c>
    </row>
    <row r="3440" spans="1:9" x14ac:dyDescent="0.15">
      <c r="A3440" s="1">
        <v>3439</v>
      </c>
      <c r="B3440" s="1">
        <v>103010500</v>
      </c>
      <c r="C3440" s="1">
        <f t="shared" si="213"/>
        <v>14</v>
      </c>
      <c r="D3440" s="5">
        <f ca="1">IF(getQuality(B3440)&lt;4,getOtherMin(B3440,C3440,INDIRECT(J$2),INDIRECT(I3440),test),getMin(B3440,C3440,INDIRECT(J$2),INDIRECT(I3440),test))</f>
        <v>1</v>
      </c>
      <c r="E3440" s="5">
        <f ca="1">IF(getQuality(B3440)&lt;4,getOtherMax(B3440,C3440,INDIRECT(J$2),INDIRECT(I3440),test),getMax(B3440,C3440,INDIRECT(J$2),INDIRECT(I3440),test))</f>
        <v>24.009875731714647</v>
      </c>
      <c r="F3440" s="1" t="str">
        <f t="shared" si="215"/>
        <v>50</v>
      </c>
      <c r="G3440" s="1" t="str">
        <f t="shared" si="216"/>
        <v/>
      </c>
      <c r="I3440" s="1" t="str">
        <f t="shared" si="214"/>
        <v>威尔新数值1.06.xlsm!suitPower</v>
      </c>
    </row>
    <row r="3441" spans="1:9" x14ac:dyDescent="0.15">
      <c r="A3441" s="1">
        <v>3440</v>
      </c>
      <c r="B3441" s="1">
        <v>103010500</v>
      </c>
      <c r="C3441" s="1">
        <f t="shared" si="213"/>
        <v>15</v>
      </c>
      <c r="D3441" s="5">
        <f ca="1">IF(getQuality(B3441)&lt;4,getOtherMin(B3441,C3441,INDIRECT(J$2),INDIRECT(I3441),test),getMin(B3441,C3441,INDIRECT(J$2),INDIRECT(I3441),test))</f>
        <v>1</v>
      </c>
      <c r="E3441" s="5">
        <f ca="1">IF(getQuality(B3441)&lt;4,getOtherMax(B3441,C3441,INDIRECT(J$2),INDIRECT(I3441),test),getMax(B3441,C3441,INDIRECT(J$2),INDIRECT(I3441),test))</f>
        <v>24.009875731714647</v>
      </c>
      <c r="F3441" s="1" t="str">
        <f t="shared" si="215"/>
        <v>50</v>
      </c>
      <c r="G3441" s="1" t="str">
        <f t="shared" si="216"/>
        <v/>
      </c>
      <c r="I3441" s="1" t="str">
        <f t="shared" si="214"/>
        <v>威尔新数值1.06.xlsm!suitPower</v>
      </c>
    </row>
    <row r="3442" spans="1:9" x14ac:dyDescent="0.15">
      <c r="A3442" s="1">
        <v>3441</v>
      </c>
      <c r="B3442" s="1">
        <v>103010500</v>
      </c>
      <c r="C3442" s="1">
        <f t="shared" si="213"/>
        <v>101</v>
      </c>
      <c r="D3442" s="5">
        <f ca="1">IF(getQuality(B3442)&lt;4,getOtherMin(B3442,C3442,INDIRECT(J$2),INDIRECT(I3442),test),getMin(B3442,C3442,INDIRECT(J$2),INDIRECT(I3442),test))</f>
        <v>7.0000000000000007E-2</v>
      </c>
      <c r="E3442" s="5">
        <f ca="1">IF(getQuality(B3442)&lt;4,getOtherMax(B3442,C3442,INDIRECT(J$2),INDIRECT(I3442),test),getMax(B3442,C3442,INDIRECT(J$2),INDIRECT(I3442),test))</f>
        <v>0.1</v>
      </c>
      <c r="F3442" s="1" t="str">
        <f t="shared" si="215"/>
        <v>50</v>
      </c>
      <c r="G3442" s="1" t="str">
        <f t="shared" si="216"/>
        <v/>
      </c>
      <c r="I3442" s="1" t="str">
        <f t="shared" si="214"/>
        <v>威尔新数值1.06.xlsm!circlePer</v>
      </c>
    </row>
    <row r="3443" spans="1:9" x14ac:dyDescent="0.15">
      <c r="A3443" s="1">
        <v>3442</v>
      </c>
      <c r="B3443" s="1">
        <v>103010500</v>
      </c>
      <c r="C3443" s="1">
        <f t="shared" si="213"/>
        <v>102</v>
      </c>
      <c r="D3443" s="5">
        <f ca="1">IF(getQuality(B3443)&lt;4,getOtherMin(B3443,C3443,INDIRECT(J$2),INDIRECT(I3443),test),getMin(B3443,C3443,INDIRECT(J$2),INDIRECT(I3443),test))</f>
        <v>0.6</v>
      </c>
      <c r="E3443" s="5">
        <f ca="1">IF(getQuality(B3443)&lt;4,getOtherMax(B3443,C3443,INDIRECT(J$2),INDIRECT(I3443),test),getMax(B3443,C3443,INDIRECT(J$2),INDIRECT(I3443),test))</f>
        <v>0.9</v>
      </c>
      <c r="F3443" s="1" t="str">
        <f t="shared" si="215"/>
        <v>50</v>
      </c>
      <c r="G3443" s="1" t="str">
        <f t="shared" si="216"/>
        <v/>
      </c>
      <c r="I3443" s="1" t="str">
        <f t="shared" si="214"/>
        <v>威尔新数值1.06.xlsm!circleValue</v>
      </c>
    </row>
    <row r="3444" spans="1:9" x14ac:dyDescent="0.15">
      <c r="A3444" s="1">
        <v>3443</v>
      </c>
      <c r="B3444" s="1">
        <v>103010500</v>
      </c>
      <c r="C3444" s="1">
        <f t="shared" si="213"/>
        <v>103</v>
      </c>
      <c r="D3444" s="5">
        <f ca="1">IF(getQuality(B3444)&lt;4,getOtherMin(B3444,C3444,INDIRECT(J$2),INDIRECT(I3444),test),getMin(B3444,C3444,INDIRECT(J$2),INDIRECT(I3444),test))</f>
        <v>7.0000000000000007E-2</v>
      </c>
      <c r="E3444" s="5">
        <f ca="1">IF(getQuality(B3444)&lt;4,getOtherMax(B3444,C3444,INDIRECT(J$2),INDIRECT(I3444),test),getMax(B3444,C3444,INDIRECT(J$2),INDIRECT(I3444),test))</f>
        <v>0.1</v>
      </c>
      <c r="F3444" s="1" t="str">
        <f t="shared" si="215"/>
        <v>50</v>
      </c>
      <c r="G3444" s="1" t="str">
        <f t="shared" si="216"/>
        <v/>
      </c>
      <c r="I3444" s="1" t="str">
        <f t="shared" si="214"/>
        <v>威尔新数值1.06.xlsm!otherDamage</v>
      </c>
    </row>
    <row r="3445" spans="1:9" x14ac:dyDescent="0.15">
      <c r="A3445" s="1">
        <v>3444</v>
      </c>
      <c r="B3445" s="1">
        <v>103010500</v>
      </c>
      <c r="C3445" s="1">
        <f t="shared" si="213"/>
        <v>104</v>
      </c>
      <c r="D3445" s="5">
        <f ca="1">IF(getQuality(B3445)&lt;4,getOtherMin(B3445,C3445,INDIRECT(J$2),INDIRECT(I3445),test),getMin(B3445,C3445,INDIRECT(J$2),INDIRECT(I3445),test))</f>
        <v>7.0000000000000007E-2</v>
      </c>
      <c r="E3445" s="5">
        <f ca="1">IF(getQuality(B3445)&lt;4,getOtherMax(B3445,C3445,INDIRECT(J$2),INDIRECT(I3445),test),getMax(B3445,C3445,INDIRECT(J$2),INDIRECT(I3445),test))</f>
        <v>0.14000000000000001</v>
      </c>
      <c r="F3445" s="1" t="str">
        <f t="shared" si="215"/>
        <v>50</v>
      </c>
      <c r="G3445" s="1" t="str">
        <f t="shared" si="216"/>
        <v/>
      </c>
      <c r="I3445" s="1" t="str">
        <f t="shared" si="214"/>
        <v>威尔新数值1.06.xlsm!monsterDamage</v>
      </c>
    </row>
    <row r="3446" spans="1:9" x14ac:dyDescent="0.15">
      <c r="A3446" s="1">
        <v>3445</v>
      </c>
      <c r="B3446" s="1">
        <v>103010500</v>
      </c>
      <c r="C3446" s="1">
        <f t="shared" si="213"/>
        <v>105</v>
      </c>
      <c r="D3446" s="5">
        <f ca="1">IF(getQuality(B3446)&lt;4,getOtherMin(B3446,C3446,INDIRECT(J$2),INDIRECT(I3446),test),getMin(B3446,C3446,INDIRECT(J$2),INDIRECT(I3446),test))</f>
        <v>7.0000000000000007E-2</v>
      </c>
      <c r="E3446" s="5">
        <f ca="1">IF(getQuality(B3446)&lt;4,getOtherMax(B3446,C3446,INDIRECT(J$2),INDIRECT(I3446),test),getMax(B3446,C3446,INDIRECT(J$2),INDIRECT(I3446),test))</f>
        <v>0.14000000000000001</v>
      </c>
      <c r="F3446" s="1" t="str">
        <f t="shared" si="215"/>
        <v>50</v>
      </c>
      <c r="G3446" s="1" t="str">
        <f t="shared" si="216"/>
        <v/>
      </c>
      <c r="I3446" s="1" t="str">
        <f t="shared" si="214"/>
        <v>威尔新数值1.06.xlsm!monsterDamage</v>
      </c>
    </row>
    <row r="3447" spans="1:9" x14ac:dyDescent="0.15">
      <c r="A3447" s="1">
        <v>3446</v>
      </c>
      <c r="B3447" s="1">
        <v>103010500</v>
      </c>
      <c r="C3447" s="1">
        <f t="shared" si="213"/>
        <v>106</v>
      </c>
      <c r="D3447" s="5">
        <f ca="1">IF(getQuality(B3447)&lt;4,getOtherMin(B3447,C3447,INDIRECT(J$2),INDIRECT(I3447),test),getMin(B3447,C3447,INDIRECT(J$2),INDIRECT(I3447),test))</f>
        <v>7.0000000000000007E-2</v>
      </c>
      <c r="E3447" s="5">
        <f ca="1">IF(getQuality(B3447)&lt;4,getOtherMax(B3447,C3447,INDIRECT(J$2),INDIRECT(I3447),test),getMax(B3447,C3447,INDIRECT(J$2),INDIRECT(I3447),test))</f>
        <v>0.14000000000000001</v>
      </c>
      <c r="F3447" s="1" t="str">
        <f t="shared" si="215"/>
        <v>50</v>
      </c>
      <c r="G3447" s="1" t="str">
        <f t="shared" si="216"/>
        <v/>
      </c>
      <c r="I3447" s="1" t="str">
        <f t="shared" si="214"/>
        <v>威尔新数值1.06.xlsm!monsterDamage</v>
      </c>
    </row>
    <row r="3448" spans="1:9" x14ac:dyDescent="0.15">
      <c r="A3448" s="1">
        <v>3447</v>
      </c>
      <c r="B3448" s="1">
        <v>103010500</v>
      </c>
      <c r="C3448" s="1">
        <f t="shared" si="213"/>
        <v>107</v>
      </c>
      <c r="D3448" s="5">
        <f ca="1">IF(getQuality(B3448)&lt;4,getOtherMin(B3448,C3448,INDIRECT(J$2),INDIRECT(I3448),test),getMin(B3448,C3448,INDIRECT(J$2),INDIRECT(I3448),test))</f>
        <v>7.0000000000000007E-2</v>
      </c>
      <c r="E3448" s="5">
        <f ca="1">IF(getQuality(B3448)&lt;4,getOtherMax(B3448,C3448,INDIRECT(J$2),INDIRECT(I3448),test),getMax(B3448,C3448,INDIRECT(J$2),INDIRECT(I3448),test))</f>
        <v>0.14000000000000001</v>
      </c>
      <c r="F3448" s="1" t="str">
        <f t="shared" si="215"/>
        <v>50</v>
      </c>
      <c r="G3448" s="1" t="str">
        <f t="shared" si="216"/>
        <v/>
      </c>
      <c r="I3448" s="1" t="str">
        <f t="shared" si="214"/>
        <v>威尔新数值1.06.xlsm!monsterDamage</v>
      </c>
    </row>
    <row r="3449" spans="1:9" x14ac:dyDescent="0.15">
      <c r="A3449" s="1">
        <v>3448</v>
      </c>
      <c r="B3449" s="1">
        <v>103010500</v>
      </c>
      <c r="C3449" s="1">
        <f t="shared" si="213"/>
        <v>108</v>
      </c>
      <c r="D3449" s="5">
        <f ca="1">IF(getQuality(B3449)&lt;4,getOtherMin(B3449,C3449,INDIRECT(J$2),INDIRECT(I3449),test),getMin(B3449,C3449,INDIRECT(J$2),INDIRECT(I3449),test))</f>
        <v>7.0000000000000007E-2</v>
      </c>
      <c r="E3449" s="5">
        <f ca="1">IF(getQuality(B3449)&lt;4,getOtherMax(B3449,C3449,INDIRECT(J$2),INDIRECT(I3449),test),getMax(B3449,C3449,INDIRECT(J$2),INDIRECT(I3449),test))</f>
        <v>0.14000000000000001</v>
      </c>
      <c r="F3449" s="1" t="str">
        <f t="shared" si="215"/>
        <v>50</v>
      </c>
      <c r="G3449" s="1" t="str">
        <f t="shared" si="216"/>
        <v/>
      </c>
      <c r="I3449" s="1" t="str">
        <f t="shared" si="214"/>
        <v>威尔新数值1.06.xlsm!monsterDamage</v>
      </c>
    </row>
    <row r="3450" spans="1:9" x14ac:dyDescent="0.15">
      <c r="A3450" s="1">
        <v>3449</v>
      </c>
      <c r="B3450" s="1">
        <v>103020500</v>
      </c>
      <c r="C3450" s="1">
        <f t="shared" si="213"/>
        <v>3</v>
      </c>
      <c r="D3450" s="5">
        <f ca="1">IF(getQuality(B3450)&lt;4,getOtherMin(B3450,C3450,INDIRECT(J$2),INDIRECT(I3450),test),getMin(B3450,C3450,INDIRECT(J$2),INDIRECT(I3450),test))</f>
        <v>25.009875731714647</v>
      </c>
      <c r="E3450" s="5">
        <f ca="1">IF(getQuality(B3450)&lt;4,getOtherMax(B3450,C3450,INDIRECT(J$2),INDIRECT(I3450),test),getMax(B3450,C3450,INDIRECT(J$2),INDIRECT(I3450),test))</f>
        <v>52.82172660977222</v>
      </c>
      <c r="F3450" s="1" t="str">
        <f t="shared" si="215"/>
        <v>50</v>
      </c>
      <c r="G3450" s="1" t="str">
        <f t="shared" si="216"/>
        <v>1</v>
      </c>
      <c r="I3450" s="1" t="str">
        <f t="shared" si="214"/>
        <v>威尔新数值1.06.xlsm!suitPower</v>
      </c>
    </row>
    <row r="3451" spans="1:9" x14ac:dyDescent="0.15">
      <c r="A3451" s="1">
        <v>3450</v>
      </c>
      <c r="B3451" s="1">
        <v>103020500</v>
      </c>
      <c r="C3451" s="1">
        <f t="shared" si="213"/>
        <v>5</v>
      </c>
      <c r="D3451" s="5">
        <f ca="1">IF(getQuality(B3451)&lt;4,getOtherMin(B3451,C3451,INDIRECT(J$2),INDIRECT(I3451),test),getMin(B3451,C3451,INDIRECT(J$2),INDIRECT(I3451),test))</f>
        <v>25.009875731714647</v>
      </c>
      <c r="E3451" s="5">
        <f ca="1">IF(getQuality(B3451)&lt;4,getOtherMax(B3451,C3451,INDIRECT(J$2),INDIRECT(I3451),test),getMax(B3451,C3451,INDIRECT(J$2),INDIRECT(I3451),test))</f>
        <v>52.82172660977222</v>
      </c>
      <c r="F3451" s="1" t="str">
        <f t="shared" si="215"/>
        <v>50</v>
      </c>
      <c r="G3451" s="1" t="str">
        <f t="shared" si="216"/>
        <v/>
      </c>
      <c r="I3451" s="1" t="str">
        <f t="shared" si="214"/>
        <v>威尔新数值1.06.xlsm!suitPower</v>
      </c>
    </row>
    <row r="3452" spans="1:9" x14ac:dyDescent="0.15">
      <c r="A3452" s="1">
        <v>3451</v>
      </c>
      <c r="B3452" s="1">
        <v>103020500</v>
      </c>
      <c r="C3452" s="1">
        <f t="shared" ref="C3452:C3515" si="217">C977</f>
        <v>7</v>
      </c>
      <c r="D3452" s="5">
        <f ca="1">IF(getQuality(B3452)&lt;4,getOtherMin(B3452,C3452,INDIRECT(J$2),INDIRECT(I3452),test),getMin(B3452,C3452,INDIRECT(J$2),INDIRECT(I3452),test))</f>
        <v>8.4074074074073888</v>
      </c>
      <c r="E3452" s="5">
        <f ca="1">IF(getQuality(B3452)&lt;4,getOtherMax(B3452,C3452,INDIRECT(J$2),INDIRECT(I3452),test),getMax(B3452,C3452,INDIRECT(J$2),INDIRECT(I3452),test))</f>
        <v>14.814814814814778</v>
      </c>
      <c r="F3452" s="1" t="str">
        <f t="shared" si="215"/>
        <v>50</v>
      </c>
      <c r="G3452" s="1" t="str">
        <f t="shared" si="216"/>
        <v/>
      </c>
      <c r="I3452" s="1" t="str">
        <f t="shared" si="214"/>
        <v>威尔新数值1.06.xlsm!suitPower</v>
      </c>
    </row>
    <row r="3453" spans="1:9" x14ac:dyDescent="0.15">
      <c r="A3453" s="1">
        <v>3452</v>
      </c>
      <c r="B3453" s="1">
        <v>103020500</v>
      </c>
      <c r="C3453" s="1">
        <f t="shared" si="217"/>
        <v>8</v>
      </c>
      <c r="D3453" s="5">
        <f ca="1">IF(getQuality(B3453)&lt;4,getOtherMin(B3453,C3453,INDIRECT(J$2),INDIRECT(I3453),test),getMin(B3453,C3453,INDIRECT(J$2),INDIRECT(I3453),test))</f>
        <v>17.666666666666668</v>
      </c>
      <c r="E3453" s="5">
        <f ca="1">IF(getQuality(B3453)&lt;4,getOtherMax(B3453,C3453,INDIRECT(J$2),INDIRECT(I3453),test),getMax(B3453,C3453,INDIRECT(J$2),INDIRECT(I3453),test))</f>
        <v>33.333333333333336</v>
      </c>
      <c r="F3453" s="1" t="str">
        <f t="shared" si="215"/>
        <v>50</v>
      </c>
      <c r="G3453" s="1" t="str">
        <f t="shared" si="216"/>
        <v/>
      </c>
      <c r="I3453" s="1" t="str">
        <f t="shared" si="214"/>
        <v>威尔新数值1.06.xlsm!suitPower</v>
      </c>
    </row>
    <row r="3454" spans="1:9" x14ac:dyDescent="0.15">
      <c r="A3454" s="1">
        <v>3453</v>
      </c>
      <c r="B3454" s="1">
        <v>103020500</v>
      </c>
      <c r="C3454" s="1">
        <f t="shared" si="217"/>
        <v>9</v>
      </c>
      <c r="D3454" s="5">
        <f ca="1">IF(getQuality(B3454)&lt;4,getOtherMin(B3454,C3454,INDIRECT(J$2),INDIRECT(I3454),test),getMin(B3454,C3454,INDIRECT(J$2),INDIRECT(I3454),test))</f>
        <v>25.009875731714647</v>
      </c>
      <c r="E3454" s="5">
        <f ca="1">IF(getQuality(B3454)&lt;4,getOtherMax(B3454,C3454,INDIRECT(J$2),INDIRECT(I3454),test),getMax(B3454,C3454,INDIRECT(J$2),INDIRECT(I3454),test))</f>
        <v>52.82172660977222</v>
      </c>
      <c r="F3454" s="1" t="str">
        <f t="shared" si="215"/>
        <v>50</v>
      </c>
      <c r="G3454" s="1" t="str">
        <f t="shared" si="216"/>
        <v/>
      </c>
      <c r="I3454" s="1" t="str">
        <f t="shared" si="214"/>
        <v>威尔新数值1.06.xlsm!suitPower</v>
      </c>
    </row>
    <row r="3455" spans="1:9" x14ac:dyDescent="0.15">
      <c r="A3455" s="1">
        <v>3454</v>
      </c>
      <c r="B3455" s="1">
        <v>103020500</v>
      </c>
      <c r="C3455" s="1">
        <f t="shared" si="217"/>
        <v>10</v>
      </c>
      <c r="D3455" s="5">
        <f ca="1">IF(getQuality(B3455)&lt;4,getOtherMin(B3455,C3455,INDIRECT(J$2),INDIRECT(I3455),test),getMin(B3455,C3455,INDIRECT(J$2),INDIRECT(I3455),test))</f>
        <v>25.009875731714647</v>
      </c>
      <c r="E3455" s="5">
        <f ca="1">IF(getQuality(B3455)&lt;4,getOtherMax(B3455,C3455,INDIRECT(J$2),INDIRECT(I3455),test),getMax(B3455,C3455,INDIRECT(J$2),INDIRECT(I3455),test))</f>
        <v>52.82172660977222</v>
      </c>
      <c r="F3455" s="1" t="str">
        <f t="shared" si="215"/>
        <v>50</v>
      </c>
      <c r="G3455" s="1" t="str">
        <f t="shared" si="216"/>
        <v/>
      </c>
      <c r="I3455" s="1" t="str">
        <f t="shared" si="214"/>
        <v>威尔新数值1.06.xlsm!suitPower</v>
      </c>
    </row>
    <row r="3456" spans="1:9" x14ac:dyDescent="0.15">
      <c r="A3456" s="1">
        <v>3455</v>
      </c>
      <c r="B3456" s="1">
        <v>103020500</v>
      </c>
      <c r="C3456" s="1">
        <f t="shared" si="217"/>
        <v>11</v>
      </c>
      <c r="D3456" s="5">
        <f ca="1">IF(getQuality(B3456)&lt;4,getOtherMin(B3456,C3456,INDIRECT(J$2),INDIRECT(I3456),test),getMin(B3456,C3456,INDIRECT(J$2),INDIRECT(I3456),test))</f>
        <v>25.009875731714647</v>
      </c>
      <c r="E3456" s="5">
        <f ca="1">IF(getQuality(B3456)&lt;4,getOtherMax(B3456,C3456,INDIRECT(J$2),INDIRECT(I3456),test),getMax(B3456,C3456,INDIRECT(J$2),INDIRECT(I3456),test))</f>
        <v>52.82172660977222</v>
      </c>
      <c r="F3456" s="1" t="str">
        <f t="shared" si="215"/>
        <v>50</v>
      </c>
      <c r="G3456" s="1" t="str">
        <f t="shared" si="216"/>
        <v/>
      </c>
      <c r="I3456" s="1" t="str">
        <f t="shared" si="214"/>
        <v>威尔新数值1.06.xlsm!suitPower</v>
      </c>
    </row>
    <row r="3457" spans="1:9" x14ac:dyDescent="0.15">
      <c r="A3457" s="1">
        <v>3456</v>
      </c>
      <c r="B3457" s="1">
        <v>103020500</v>
      </c>
      <c r="C3457" s="1">
        <f t="shared" si="217"/>
        <v>12</v>
      </c>
      <c r="D3457" s="5">
        <f ca="1">IF(getQuality(B3457)&lt;4,getOtherMin(B3457,C3457,INDIRECT(J$2),INDIRECT(I3457),test),getMin(B3457,C3457,INDIRECT(J$2),INDIRECT(I3457),test))</f>
        <v>25.009875731714647</v>
      </c>
      <c r="E3457" s="5">
        <f ca="1">IF(getQuality(B3457)&lt;4,getOtherMax(B3457,C3457,INDIRECT(J$2),INDIRECT(I3457),test),getMax(B3457,C3457,INDIRECT(J$2),INDIRECT(I3457),test))</f>
        <v>52.82172660977222</v>
      </c>
      <c r="F3457" s="1" t="str">
        <f t="shared" si="215"/>
        <v>50</v>
      </c>
      <c r="G3457" s="1" t="str">
        <f t="shared" si="216"/>
        <v/>
      </c>
      <c r="I3457" s="1" t="str">
        <f t="shared" si="214"/>
        <v>威尔新数值1.06.xlsm!suitPower</v>
      </c>
    </row>
    <row r="3458" spans="1:9" x14ac:dyDescent="0.15">
      <c r="A3458" s="1">
        <v>3457</v>
      </c>
      <c r="B3458" s="1">
        <v>103020500</v>
      </c>
      <c r="C3458" s="1">
        <f t="shared" si="217"/>
        <v>13</v>
      </c>
      <c r="D3458" s="5">
        <f ca="1">IF(getQuality(B3458)&lt;4,getOtherMin(B3458,C3458,INDIRECT(J$2),INDIRECT(I3458),test),getMin(B3458,C3458,INDIRECT(J$2),INDIRECT(I3458),test))</f>
        <v>25.009875731714647</v>
      </c>
      <c r="E3458" s="5">
        <f ca="1">IF(getQuality(B3458)&lt;4,getOtherMax(B3458,C3458,INDIRECT(J$2),INDIRECT(I3458),test),getMax(B3458,C3458,INDIRECT(J$2),INDIRECT(I3458),test))</f>
        <v>52.82172660977222</v>
      </c>
      <c r="F3458" s="1" t="str">
        <f t="shared" si="215"/>
        <v>50</v>
      </c>
      <c r="G3458" s="1" t="str">
        <f t="shared" si="216"/>
        <v/>
      </c>
      <c r="I3458" s="1" t="str">
        <f t="shared" ref="I3458:I3521" si="218">IF(C3458&lt;100,VLOOKUP(C3458,test,3,FALSE),VLOOKUP(C3458,test1,3,FALSE))</f>
        <v>威尔新数值1.06.xlsm!suitPower</v>
      </c>
    </row>
    <row r="3459" spans="1:9" x14ac:dyDescent="0.15">
      <c r="A3459" s="1">
        <v>3458</v>
      </c>
      <c r="B3459" s="1">
        <v>103020500</v>
      </c>
      <c r="C3459" s="1">
        <f t="shared" si="217"/>
        <v>14</v>
      </c>
      <c r="D3459" s="5">
        <f ca="1">IF(getQuality(B3459)&lt;4,getOtherMin(B3459,C3459,INDIRECT(J$2),INDIRECT(I3459),test),getMin(B3459,C3459,INDIRECT(J$2),INDIRECT(I3459),test))</f>
        <v>25.009875731714647</v>
      </c>
      <c r="E3459" s="5">
        <f ca="1">IF(getQuality(B3459)&lt;4,getOtherMax(B3459,C3459,INDIRECT(J$2),INDIRECT(I3459),test),getMax(B3459,C3459,INDIRECT(J$2),INDIRECT(I3459),test))</f>
        <v>52.82172660977222</v>
      </c>
      <c r="F3459" s="1" t="str">
        <f t="shared" ref="F3459:F3522" si="219">getper(B3459,C3459)</f>
        <v>50</v>
      </c>
      <c r="G3459" s="1" t="str">
        <f t="shared" ref="G3459:G3522" si="220">getMust(B3459,C3459)</f>
        <v/>
      </c>
      <c r="I3459" s="1" t="str">
        <f t="shared" si="218"/>
        <v>威尔新数值1.06.xlsm!suitPower</v>
      </c>
    </row>
    <row r="3460" spans="1:9" x14ac:dyDescent="0.15">
      <c r="A3460" s="1">
        <v>3459</v>
      </c>
      <c r="B3460" s="1">
        <v>103020500</v>
      </c>
      <c r="C3460" s="1">
        <f t="shared" si="217"/>
        <v>15</v>
      </c>
      <c r="D3460" s="5">
        <f ca="1">IF(getQuality(B3460)&lt;4,getOtherMin(B3460,C3460,INDIRECT(J$2),INDIRECT(I3460),test),getMin(B3460,C3460,INDIRECT(J$2),INDIRECT(I3460),test))</f>
        <v>25.009875731714647</v>
      </c>
      <c r="E3460" s="5">
        <f ca="1">IF(getQuality(B3460)&lt;4,getOtherMax(B3460,C3460,INDIRECT(J$2),INDIRECT(I3460),test),getMax(B3460,C3460,INDIRECT(J$2),INDIRECT(I3460),test))</f>
        <v>52.82172660977222</v>
      </c>
      <c r="F3460" s="1" t="str">
        <f t="shared" si="219"/>
        <v>50</v>
      </c>
      <c r="G3460" s="1" t="str">
        <f t="shared" si="220"/>
        <v/>
      </c>
      <c r="I3460" s="1" t="str">
        <f t="shared" si="218"/>
        <v>威尔新数值1.06.xlsm!suitPower</v>
      </c>
    </row>
    <row r="3461" spans="1:9" x14ac:dyDescent="0.15">
      <c r="A3461" s="1">
        <v>3460</v>
      </c>
      <c r="B3461" s="1">
        <v>103020500</v>
      </c>
      <c r="C3461" s="1">
        <f t="shared" si="217"/>
        <v>101</v>
      </c>
      <c r="D3461" s="5">
        <f ca="1">IF(getQuality(B3461)&lt;4,getOtherMin(B3461,C3461,INDIRECT(J$2),INDIRECT(I3461),test),getMin(B3461,C3461,INDIRECT(J$2),INDIRECT(I3461),test))</f>
        <v>0.08</v>
      </c>
      <c r="E3461" s="5">
        <f ca="1">IF(getQuality(B3461)&lt;4,getOtherMax(B3461,C3461,INDIRECT(J$2),INDIRECT(I3461),test),getMax(B3461,C3461,INDIRECT(J$2),INDIRECT(I3461),test))</f>
        <v>0.11</v>
      </c>
      <c r="F3461" s="1" t="str">
        <f t="shared" si="219"/>
        <v>50</v>
      </c>
      <c r="G3461" s="1" t="str">
        <f t="shared" si="220"/>
        <v/>
      </c>
      <c r="I3461" s="1" t="str">
        <f t="shared" si="218"/>
        <v>威尔新数值1.06.xlsm!circlePer</v>
      </c>
    </row>
    <row r="3462" spans="1:9" x14ac:dyDescent="0.15">
      <c r="A3462" s="1">
        <v>3461</v>
      </c>
      <c r="B3462" s="1">
        <v>103020500</v>
      </c>
      <c r="C3462" s="1">
        <f t="shared" si="217"/>
        <v>102</v>
      </c>
      <c r="D3462" s="5">
        <f ca="1">IF(getQuality(B3462)&lt;4,getOtherMin(B3462,C3462,INDIRECT(J$2),INDIRECT(I3462),test),getMin(B3462,C3462,INDIRECT(J$2),INDIRECT(I3462),test))</f>
        <v>0.7</v>
      </c>
      <c r="E3462" s="5">
        <f ca="1">IF(getQuality(B3462)&lt;4,getOtherMax(B3462,C3462,INDIRECT(J$2),INDIRECT(I3462),test),getMax(B3462,C3462,INDIRECT(J$2),INDIRECT(I3462),test))</f>
        <v>1</v>
      </c>
      <c r="F3462" s="1" t="str">
        <f t="shared" si="219"/>
        <v>50</v>
      </c>
      <c r="G3462" s="1" t="str">
        <f t="shared" si="220"/>
        <v/>
      </c>
      <c r="I3462" s="1" t="str">
        <f t="shared" si="218"/>
        <v>威尔新数值1.06.xlsm!circleValue</v>
      </c>
    </row>
    <row r="3463" spans="1:9" x14ac:dyDescent="0.15">
      <c r="A3463" s="1">
        <v>3462</v>
      </c>
      <c r="B3463" s="1">
        <v>103020500</v>
      </c>
      <c r="C3463" s="1">
        <f t="shared" si="217"/>
        <v>103</v>
      </c>
      <c r="D3463" s="5">
        <f ca="1">IF(getQuality(B3463)&lt;4,getOtherMin(B3463,C3463,INDIRECT(J$2),INDIRECT(I3463),test),getMin(B3463,C3463,INDIRECT(J$2),INDIRECT(I3463),test))</f>
        <v>0.08</v>
      </c>
      <c r="E3463" s="5">
        <f ca="1">IF(getQuality(B3463)&lt;4,getOtherMax(B3463,C3463,INDIRECT(J$2),INDIRECT(I3463),test),getMax(B3463,C3463,INDIRECT(J$2),INDIRECT(I3463),test))</f>
        <v>0.11</v>
      </c>
      <c r="F3463" s="1" t="str">
        <f t="shared" si="219"/>
        <v>50</v>
      </c>
      <c r="G3463" s="1" t="str">
        <f t="shared" si="220"/>
        <v/>
      </c>
      <c r="I3463" s="1" t="str">
        <f t="shared" si="218"/>
        <v>威尔新数值1.06.xlsm!otherDamage</v>
      </c>
    </row>
    <row r="3464" spans="1:9" x14ac:dyDescent="0.15">
      <c r="A3464" s="1">
        <v>3463</v>
      </c>
      <c r="B3464" s="1">
        <v>103020500</v>
      </c>
      <c r="C3464" s="1">
        <f t="shared" si="217"/>
        <v>104</v>
      </c>
      <c r="D3464" s="5">
        <f ca="1">IF(getQuality(B3464)&lt;4,getOtherMin(B3464,C3464,INDIRECT(J$2),INDIRECT(I3464),test),getMin(B3464,C3464,INDIRECT(J$2),INDIRECT(I3464),test))</f>
        <v>0.08</v>
      </c>
      <c r="E3464" s="5">
        <f ca="1">IF(getQuality(B3464)&lt;4,getOtherMax(B3464,C3464,INDIRECT(J$2),INDIRECT(I3464),test),getMax(B3464,C3464,INDIRECT(J$2),INDIRECT(I3464),test))</f>
        <v>0.16</v>
      </c>
      <c r="F3464" s="1" t="str">
        <f t="shared" si="219"/>
        <v>50</v>
      </c>
      <c r="G3464" s="1" t="str">
        <f t="shared" si="220"/>
        <v/>
      </c>
      <c r="I3464" s="1" t="str">
        <f t="shared" si="218"/>
        <v>威尔新数值1.06.xlsm!monsterDamage</v>
      </c>
    </row>
    <row r="3465" spans="1:9" x14ac:dyDescent="0.15">
      <c r="A3465" s="1">
        <v>3464</v>
      </c>
      <c r="B3465" s="1">
        <v>103020500</v>
      </c>
      <c r="C3465" s="1">
        <f t="shared" si="217"/>
        <v>105</v>
      </c>
      <c r="D3465" s="5">
        <f ca="1">IF(getQuality(B3465)&lt;4,getOtherMin(B3465,C3465,INDIRECT(J$2),INDIRECT(I3465),test),getMin(B3465,C3465,INDIRECT(J$2),INDIRECT(I3465),test))</f>
        <v>0.08</v>
      </c>
      <c r="E3465" s="5">
        <f ca="1">IF(getQuality(B3465)&lt;4,getOtherMax(B3465,C3465,INDIRECT(J$2),INDIRECT(I3465),test),getMax(B3465,C3465,INDIRECT(J$2),INDIRECT(I3465),test))</f>
        <v>0.16</v>
      </c>
      <c r="F3465" s="1" t="str">
        <f t="shared" si="219"/>
        <v>50</v>
      </c>
      <c r="G3465" s="1" t="str">
        <f t="shared" si="220"/>
        <v/>
      </c>
      <c r="I3465" s="1" t="str">
        <f t="shared" si="218"/>
        <v>威尔新数值1.06.xlsm!monsterDamage</v>
      </c>
    </row>
    <row r="3466" spans="1:9" x14ac:dyDescent="0.15">
      <c r="A3466" s="1">
        <v>3465</v>
      </c>
      <c r="B3466" s="1">
        <v>103020500</v>
      </c>
      <c r="C3466" s="1">
        <f t="shared" si="217"/>
        <v>106</v>
      </c>
      <c r="D3466" s="5">
        <f ca="1">IF(getQuality(B3466)&lt;4,getOtherMin(B3466,C3466,INDIRECT(J$2),INDIRECT(I3466),test),getMin(B3466,C3466,INDIRECT(J$2),INDIRECT(I3466),test))</f>
        <v>0.08</v>
      </c>
      <c r="E3466" s="5">
        <f ca="1">IF(getQuality(B3466)&lt;4,getOtherMax(B3466,C3466,INDIRECT(J$2),INDIRECT(I3466),test),getMax(B3466,C3466,INDIRECT(J$2),INDIRECT(I3466),test))</f>
        <v>0.16</v>
      </c>
      <c r="F3466" s="1" t="str">
        <f t="shared" si="219"/>
        <v>50</v>
      </c>
      <c r="G3466" s="1" t="str">
        <f t="shared" si="220"/>
        <v/>
      </c>
      <c r="I3466" s="1" t="str">
        <f t="shared" si="218"/>
        <v>威尔新数值1.06.xlsm!monsterDamage</v>
      </c>
    </row>
    <row r="3467" spans="1:9" x14ac:dyDescent="0.15">
      <c r="A3467" s="1">
        <v>3466</v>
      </c>
      <c r="B3467" s="1">
        <v>103020500</v>
      </c>
      <c r="C3467" s="1">
        <f t="shared" si="217"/>
        <v>107</v>
      </c>
      <c r="D3467" s="5">
        <f ca="1">IF(getQuality(B3467)&lt;4,getOtherMin(B3467,C3467,INDIRECT(J$2),INDIRECT(I3467),test),getMin(B3467,C3467,INDIRECT(J$2),INDIRECT(I3467),test))</f>
        <v>0.08</v>
      </c>
      <c r="E3467" s="5">
        <f ca="1">IF(getQuality(B3467)&lt;4,getOtherMax(B3467,C3467,INDIRECT(J$2),INDIRECT(I3467),test),getMax(B3467,C3467,INDIRECT(J$2),INDIRECT(I3467),test))</f>
        <v>0.16</v>
      </c>
      <c r="F3467" s="1" t="str">
        <f t="shared" si="219"/>
        <v>50</v>
      </c>
      <c r="G3467" s="1" t="str">
        <f t="shared" si="220"/>
        <v/>
      </c>
      <c r="I3467" s="1" t="str">
        <f t="shared" si="218"/>
        <v>威尔新数值1.06.xlsm!monsterDamage</v>
      </c>
    </row>
    <row r="3468" spans="1:9" x14ac:dyDescent="0.15">
      <c r="A3468" s="1">
        <v>3467</v>
      </c>
      <c r="B3468" s="1">
        <v>103020500</v>
      </c>
      <c r="C3468" s="1">
        <f t="shared" si="217"/>
        <v>108</v>
      </c>
      <c r="D3468" s="5">
        <f ca="1">IF(getQuality(B3468)&lt;4,getOtherMin(B3468,C3468,INDIRECT(J$2),INDIRECT(I3468),test),getMin(B3468,C3468,INDIRECT(J$2),INDIRECT(I3468),test))</f>
        <v>0.08</v>
      </c>
      <c r="E3468" s="5">
        <f ca="1">IF(getQuality(B3468)&lt;4,getOtherMax(B3468,C3468,INDIRECT(J$2),INDIRECT(I3468),test),getMax(B3468,C3468,INDIRECT(J$2),INDIRECT(I3468),test))</f>
        <v>0.16</v>
      </c>
      <c r="F3468" s="1" t="str">
        <f t="shared" si="219"/>
        <v>50</v>
      </c>
      <c r="G3468" s="1" t="str">
        <f t="shared" si="220"/>
        <v/>
      </c>
      <c r="I3468" s="1" t="str">
        <f t="shared" si="218"/>
        <v>威尔新数值1.06.xlsm!monsterDamage</v>
      </c>
    </row>
    <row r="3469" spans="1:9" x14ac:dyDescent="0.15">
      <c r="A3469" s="1">
        <v>3468</v>
      </c>
      <c r="B3469" s="1">
        <v>103030500</v>
      </c>
      <c r="C3469" s="1">
        <f t="shared" si="217"/>
        <v>3</v>
      </c>
      <c r="D3469" s="5">
        <f ca="1">IF(getQuality(B3469)&lt;4,getOtherMin(B3469,C3469,INDIRECT(J$2),INDIRECT(I3469),test),getMin(B3469,C3469,INDIRECT(J$2),INDIRECT(I3469),test))</f>
        <v>53.82172660977222</v>
      </c>
      <c r="E3469" s="5">
        <f ca="1">IF(getQuality(B3469)&lt;4,getOtherMax(B3469,C3469,INDIRECT(J$2),INDIRECT(I3469),test),getMax(B3469,C3469,INDIRECT(J$2),INDIRECT(I3469),test))</f>
        <v>86.435552634172723</v>
      </c>
      <c r="F3469" s="1" t="str">
        <f t="shared" si="219"/>
        <v>50</v>
      </c>
      <c r="G3469" s="1" t="str">
        <f t="shared" si="220"/>
        <v>1</v>
      </c>
      <c r="I3469" s="1" t="str">
        <f t="shared" si="218"/>
        <v>威尔新数值1.06.xlsm!suitPower</v>
      </c>
    </row>
    <row r="3470" spans="1:9" x14ac:dyDescent="0.15">
      <c r="A3470" s="1">
        <v>3469</v>
      </c>
      <c r="B3470" s="1">
        <v>103030500</v>
      </c>
      <c r="C3470" s="1">
        <f t="shared" si="217"/>
        <v>5</v>
      </c>
      <c r="D3470" s="5">
        <f ca="1">IF(getQuality(B3470)&lt;4,getOtherMin(B3470,C3470,INDIRECT(J$2),INDIRECT(I3470),test),getMin(B3470,C3470,INDIRECT(J$2),INDIRECT(I3470),test))</f>
        <v>53.82172660977222</v>
      </c>
      <c r="E3470" s="5">
        <f ca="1">IF(getQuality(B3470)&lt;4,getOtherMax(B3470,C3470,INDIRECT(J$2),INDIRECT(I3470),test),getMax(B3470,C3470,INDIRECT(J$2),INDIRECT(I3470),test))</f>
        <v>86.435552634172723</v>
      </c>
      <c r="F3470" s="1" t="str">
        <f t="shared" si="219"/>
        <v>50</v>
      </c>
      <c r="G3470" s="1" t="str">
        <f t="shared" si="220"/>
        <v/>
      </c>
      <c r="I3470" s="1" t="str">
        <f t="shared" si="218"/>
        <v>威尔新数值1.06.xlsm!suitPower</v>
      </c>
    </row>
    <row r="3471" spans="1:9" x14ac:dyDescent="0.15">
      <c r="A3471" s="1">
        <v>3470</v>
      </c>
      <c r="B3471" s="1">
        <v>103030500</v>
      </c>
      <c r="C3471" s="1">
        <f t="shared" si="217"/>
        <v>7</v>
      </c>
      <c r="D3471" s="5">
        <f ca="1">IF(getQuality(B3471)&lt;4,getOtherMin(B3471,C3471,INDIRECT(J$2),INDIRECT(I3471),test),getMin(B3471,C3471,INDIRECT(J$2),INDIRECT(I3471),test))</f>
        <v>15.814814814814778</v>
      </c>
      <c r="E3471" s="5">
        <f ca="1">IF(getQuality(B3471)&lt;4,getOtherMax(B3471,C3471,INDIRECT(J$2),INDIRECT(I3471),test),getMax(B3471,C3471,INDIRECT(J$2),INDIRECT(I3471),test))</f>
        <v>22.222222222222165</v>
      </c>
      <c r="F3471" s="1" t="str">
        <f t="shared" si="219"/>
        <v>50</v>
      </c>
      <c r="G3471" s="1" t="str">
        <f t="shared" si="220"/>
        <v/>
      </c>
      <c r="I3471" s="1" t="str">
        <f t="shared" si="218"/>
        <v>威尔新数值1.06.xlsm!suitPower</v>
      </c>
    </row>
    <row r="3472" spans="1:9" x14ac:dyDescent="0.15">
      <c r="A3472" s="1">
        <v>3471</v>
      </c>
      <c r="B3472" s="1">
        <v>103030500</v>
      </c>
      <c r="C3472" s="1">
        <f t="shared" si="217"/>
        <v>8</v>
      </c>
      <c r="D3472" s="5">
        <f ca="1">IF(getQuality(B3472)&lt;4,getOtherMin(B3472,C3472,INDIRECT(J$2),INDIRECT(I3472),test),getMin(B3472,C3472,INDIRECT(J$2),INDIRECT(I3472),test))</f>
        <v>34.333333333333336</v>
      </c>
      <c r="E3472" s="5">
        <f ca="1">IF(getQuality(B3472)&lt;4,getOtherMax(B3472,C3472,INDIRECT(J$2),INDIRECT(I3472),test),getMax(B3472,C3472,INDIRECT(J$2),INDIRECT(I3472),test))</f>
        <v>50</v>
      </c>
      <c r="F3472" s="1" t="str">
        <f t="shared" si="219"/>
        <v>50</v>
      </c>
      <c r="G3472" s="1" t="str">
        <f t="shared" si="220"/>
        <v/>
      </c>
      <c r="I3472" s="1" t="str">
        <f t="shared" si="218"/>
        <v>威尔新数值1.06.xlsm!suitPower</v>
      </c>
    </row>
    <row r="3473" spans="1:9" x14ac:dyDescent="0.15">
      <c r="A3473" s="1">
        <v>3472</v>
      </c>
      <c r="B3473" s="1">
        <v>103030500</v>
      </c>
      <c r="C3473" s="1">
        <f t="shared" si="217"/>
        <v>9</v>
      </c>
      <c r="D3473" s="5">
        <f ca="1">IF(getQuality(B3473)&lt;4,getOtherMin(B3473,C3473,INDIRECT(J$2),INDIRECT(I3473),test),getMin(B3473,C3473,INDIRECT(J$2),INDIRECT(I3473),test))</f>
        <v>53.82172660977222</v>
      </c>
      <c r="E3473" s="5">
        <f ca="1">IF(getQuality(B3473)&lt;4,getOtherMax(B3473,C3473,INDIRECT(J$2),INDIRECT(I3473),test),getMax(B3473,C3473,INDIRECT(J$2),INDIRECT(I3473),test))</f>
        <v>86.435552634172723</v>
      </c>
      <c r="F3473" s="1" t="str">
        <f t="shared" si="219"/>
        <v>50</v>
      </c>
      <c r="G3473" s="1" t="str">
        <f t="shared" si="220"/>
        <v/>
      </c>
      <c r="I3473" s="1" t="str">
        <f t="shared" si="218"/>
        <v>威尔新数值1.06.xlsm!suitPower</v>
      </c>
    </row>
    <row r="3474" spans="1:9" x14ac:dyDescent="0.15">
      <c r="A3474" s="1">
        <v>3473</v>
      </c>
      <c r="B3474" s="1">
        <v>103030500</v>
      </c>
      <c r="C3474" s="1">
        <f t="shared" si="217"/>
        <v>10</v>
      </c>
      <c r="D3474" s="5">
        <f ca="1">IF(getQuality(B3474)&lt;4,getOtherMin(B3474,C3474,INDIRECT(J$2),INDIRECT(I3474),test),getMin(B3474,C3474,INDIRECT(J$2),INDIRECT(I3474),test))</f>
        <v>53.82172660977222</v>
      </c>
      <c r="E3474" s="5">
        <f ca="1">IF(getQuality(B3474)&lt;4,getOtherMax(B3474,C3474,INDIRECT(J$2),INDIRECT(I3474),test),getMax(B3474,C3474,INDIRECT(J$2),INDIRECT(I3474),test))</f>
        <v>86.435552634172723</v>
      </c>
      <c r="F3474" s="1" t="str">
        <f t="shared" si="219"/>
        <v>50</v>
      </c>
      <c r="G3474" s="1" t="str">
        <f t="shared" si="220"/>
        <v/>
      </c>
      <c r="I3474" s="1" t="str">
        <f t="shared" si="218"/>
        <v>威尔新数值1.06.xlsm!suitPower</v>
      </c>
    </row>
    <row r="3475" spans="1:9" x14ac:dyDescent="0.15">
      <c r="A3475" s="1">
        <v>3474</v>
      </c>
      <c r="B3475" s="1">
        <v>103030500</v>
      </c>
      <c r="C3475" s="1">
        <f t="shared" si="217"/>
        <v>11</v>
      </c>
      <c r="D3475" s="5">
        <f ca="1">IF(getQuality(B3475)&lt;4,getOtherMin(B3475,C3475,INDIRECT(J$2),INDIRECT(I3475),test),getMin(B3475,C3475,INDIRECT(J$2),INDIRECT(I3475),test))</f>
        <v>53.82172660977222</v>
      </c>
      <c r="E3475" s="5">
        <f ca="1">IF(getQuality(B3475)&lt;4,getOtherMax(B3475,C3475,INDIRECT(J$2),INDIRECT(I3475),test),getMax(B3475,C3475,INDIRECT(J$2),INDIRECT(I3475),test))</f>
        <v>86.435552634172723</v>
      </c>
      <c r="F3475" s="1" t="str">
        <f t="shared" si="219"/>
        <v>50</v>
      </c>
      <c r="G3475" s="1" t="str">
        <f t="shared" si="220"/>
        <v/>
      </c>
      <c r="I3475" s="1" t="str">
        <f t="shared" si="218"/>
        <v>威尔新数值1.06.xlsm!suitPower</v>
      </c>
    </row>
    <row r="3476" spans="1:9" x14ac:dyDescent="0.15">
      <c r="A3476" s="1">
        <v>3475</v>
      </c>
      <c r="B3476" s="1">
        <v>103030500</v>
      </c>
      <c r="C3476" s="1">
        <f t="shared" si="217"/>
        <v>12</v>
      </c>
      <c r="D3476" s="5">
        <f ca="1">IF(getQuality(B3476)&lt;4,getOtherMin(B3476,C3476,INDIRECT(J$2),INDIRECT(I3476),test),getMin(B3476,C3476,INDIRECT(J$2),INDIRECT(I3476),test))</f>
        <v>53.82172660977222</v>
      </c>
      <c r="E3476" s="5">
        <f ca="1">IF(getQuality(B3476)&lt;4,getOtherMax(B3476,C3476,INDIRECT(J$2),INDIRECT(I3476),test),getMax(B3476,C3476,INDIRECT(J$2),INDIRECT(I3476),test))</f>
        <v>86.435552634172723</v>
      </c>
      <c r="F3476" s="1" t="str">
        <f t="shared" si="219"/>
        <v>50</v>
      </c>
      <c r="G3476" s="1" t="str">
        <f t="shared" si="220"/>
        <v/>
      </c>
      <c r="I3476" s="1" t="str">
        <f t="shared" si="218"/>
        <v>威尔新数值1.06.xlsm!suitPower</v>
      </c>
    </row>
    <row r="3477" spans="1:9" x14ac:dyDescent="0.15">
      <c r="A3477" s="1">
        <v>3476</v>
      </c>
      <c r="B3477" s="1">
        <v>103030500</v>
      </c>
      <c r="C3477" s="1">
        <f t="shared" si="217"/>
        <v>13</v>
      </c>
      <c r="D3477" s="5">
        <f ca="1">IF(getQuality(B3477)&lt;4,getOtherMin(B3477,C3477,INDIRECT(J$2),INDIRECT(I3477),test),getMin(B3477,C3477,INDIRECT(J$2),INDIRECT(I3477),test))</f>
        <v>53.82172660977222</v>
      </c>
      <c r="E3477" s="5">
        <f ca="1">IF(getQuality(B3477)&lt;4,getOtherMax(B3477,C3477,INDIRECT(J$2),INDIRECT(I3477),test),getMax(B3477,C3477,INDIRECT(J$2),INDIRECT(I3477),test))</f>
        <v>86.435552634172723</v>
      </c>
      <c r="F3477" s="1" t="str">
        <f t="shared" si="219"/>
        <v>50</v>
      </c>
      <c r="G3477" s="1" t="str">
        <f t="shared" si="220"/>
        <v/>
      </c>
      <c r="I3477" s="1" t="str">
        <f t="shared" si="218"/>
        <v>威尔新数值1.06.xlsm!suitPower</v>
      </c>
    </row>
    <row r="3478" spans="1:9" x14ac:dyDescent="0.15">
      <c r="A3478" s="1">
        <v>3477</v>
      </c>
      <c r="B3478" s="1">
        <v>103030500</v>
      </c>
      <c r="C3478" s="1">
        <f t="shared" si="217"/>
        <v>14</v>
      </c>
      <c r="D3478" s="5">
        <f ca="1">IF(getQuality(B3478)&lt;4,getOtherMin(B3478,C3478,INDIRECT(J$2),INDIRECT(I3478),test),getMin(B3478,C3478,INDIRECT(J$2),INDIRECT(I3478),test))</f>
        <v>53.82172660977222</v>
      </c>
      <c r="E3478" s="5">
        <f ca="1">IF(getQuality(B3478)&lt;4,getOtherMax(B3478,C3478,INDIRECT(J$2),INDIRECT(I3478),test),getMax(B3478,C3478,INDIRECT(J$2),INDIRECT(I3478),test))</f>
        <v>86.435552634172723</v>
      </c>
      <c r="F3478" s="1" t="str">
        <f t="shared" si="219"/>
        <v>50</v>
      </c>
      <c r="G3478" s="1" t="str">
        <f t="shared" si="220"/>
        <v/>
      </c>
      <c r="I3478" s="1" t="str">
        <f t="shared" si="218"/>
        <v>威尔新数值1.06.xlsm!suitPower</v>
      </c>
    </row>
    <row r="3479" spans="1:9" x14ac:dyDescent="0.15">
      <c r="A3479" s="1">
        <v>3478</v>
      </c>
      <c r="B3479" s="1">
        <v>103030500</v>
      </c>
      <c r="C3479" s="1">
        <f t="shared" si="217"/>
        <v>15</v>
      </c>
      <c r="D3479" s="5">
        <f ca="1">IF(getQuality(B3479)&lt;4,getOtherMin(B3479,C3479,INDIRECT(J$2),INDIRECT(I3479),test),getMin(B3479,C3479,INDIRECT(J$2),INDIRECT(I3479),test))</f>
        <v>53.82172660977222</v>
      </c>
      <c r="E3479" s="5">
        <f ca="1">IF(getQuality(B3479)&lt;4,getOtherMax(B3479,C3479,INDIRECT(J$2),INDIRECT(I3479),test),getMax(B3479,C3479,INDIRECT(J$2),INDIRECT(I3479),test))</f>
        <v>86.435552634172723</v>
      </c>
      <c r="F3479" s="1" t="str">
        <f t="shared" si="219"/>
        <v>50</v>
      </c>
      <c r="G3479" s="1" t="str">
        <f t="shared" si="220"/>
        <v/>
      </c>
      <c r="I3479" s="1" t="str">
        <f t="shared" si="218"/>
        <v>威尔新数值1.06.xlsm!suitPower</v>
      </c>
    </row>
    <row r="3480" spans="1:9" x14ac:dyDescent="0.15">
      <c r="A3480" s="1">
        <v>3479</v>
      </c>
      <c r="B3480" s="1">
        <v>103030500</v>
      </c>
      <c r="C3480" s="1">
        <f t="shared" si="217"/>
        <v>101</v>
      </c>
      <c r="D3480" s="5">
        <f ca="1">IF(getQuality(B3480)&lt;4,getOtherMin(B3480,C3480,INDIRECT(J$2),INDIRECT(I3480),test),getMin(B3480,C3480,INDIRECT(J$2),INDIRECT(I3480),test))</f>
        <v>0.09</v>
      </c>
      <c r="E3480" s="5">
        <f ca="1">IF(getQuality(B3480)&lt;4,getOtherMax(B3480,C3480,INDIRECT(J$2),INDIRECT(I3480),test),getMax(B3480,C3480,INDIRECT(J$2),INDIRECT(I3480),test))</f>
        <v>0.12</v>
      </c>
      <c r="F3480" s="1" t="str">
        <f t="shared" si="219"/>
        <v>50</v>
      </c>
      <c r="G3480" s="1" t="str">
        <f t="shared" si="220"/>
        <v/>
      </c>
      <c r="I3480" s="1" t="str">
        <f t="shared" si="218"/>
        <v>威尔新数值1.06.xlsm!circlePer</v>
      </c>
    </row>
    <row r="3481" spans="1:9" x14ac:dyDescent="0.15">
      <c r="A3481" s="1">
        <v>3480</v>
      </c>
      <c r="B3481" s="1">
        <v>103030500</v>
      </c>
      <c r="C3481" s="1">
        <f t="shared" si="217"/>
        <v>102</v>
      </c>
      <c r="D3481" s="5">
        <f ca="1">IF(getQuality(B3481)&lt;4,getOtherMin(B3481,C3481,INDIRECT(J$2),INDIRECT(I3481),test),getMin(B3481,C3481,INDIRECT(J$2),INDIRECT(I3481),test))</f>
        <v>0.8</v>
      </c>
      <c r="E3481" s="5">
        <f ca="1">IF(getQuality(B3481)&lt;4,getOtherMax(B3481,C3481,INDIRECT(J$2),INDIRECT(I3481),test),getMax(B3481,C3481,INDIRECT(J$2),INDIRECT(I3481),test))</f>
        <v>1.1000000000000001</v>
      </c>
      <c r="F3481" s="1" t="str">
        <f t="shared" si="219"/>
        <v>50</v>
      </c>
      <c r="G3481" s="1" t="str">
        <f t="shared" si="220"/>
        <v/>
      </c>
      <c r="I3481" s="1" t="str">
        <f t="shared" si="218"/>
        <v>威尔新数值1.06.xlsm!circleValue</v>
      </c>
    </row>
    <row r="3482" spans="1:9" x14ac:dyDescent="0.15">
      <c r="A3482" s="1">
        <v>3481</v>
      </c>
      <c r="B3482" s="1">
        <v>103030500</v>
      </c>
      <c r="C3482" s="1">
        <f t="shared" si="217"/>
        <v>103</v>
      </c>
      <c r="D3482" s="5">
        <f ca="1">IF(getQuality(B3482)&lt;4,getOtherMin(B3482,C3482,INDIRECT(J$2),INDIRECT(I3482),test),getMin(B3482,C3482,INDIRECT(J$2),INDIRECT(I3482),test))</f>
        <v>0.09</v>
      </c>
      <c r="E3482" s="5">
        <f ca="1">IF(getQuality(B3482)&lt;4,getOtherMax(B3482,C3482,INDIRECT(J$2),INDIRECT(I3482),test),getMax(B3482,C3482,INDIRECT(J$2),INDIRECT(I3482),test))</f>
        <v>0.12</v>
      </c>
      <c r="F3482" s="1" t="str">
        <f t="shared" si="219"/>
        <v>50</v>
      </c>
      <c r="G3482" s="1" t="str">
        <f t="shared" si="220"/>
        <v/>
      </c>
      <c r="I3482" s="1" t="str">
        <f t="shared" si="218"/>
        <v>威尔新数值1.06.xlsm!otherDamage</v>
      </c>
    </row>
    <row r="3483" spans="1:9" x14ac:dyDescent="0.15">
      <c r="A3483" s="1">
        <v>3482</v>
      </c>
      <c r="B3483" s="1">
        <v>103030500</v>
      </c>
      <c r="C3483" s="1">
        <f t="shared" si="217"/>
        <v>104</v>
      </c>
      <c r="D3483" s="5">
        <f ca="1">IF(getQuality(B3483)&lt;4,getOtherMin(B3483,C3483,INDIRECT(J$2),INDIRECT(I3483),test),getMin(B3483,C3483,INDIRECT(J$2),INDIRECT(I3483),test))</f>
        <v>0.09</v>
      </c>
      <c r="E3483" s="5">
        <f ca="1">IF(getQuality(B3483)&lt;4,getOtherMax(B3483,C3483,INDIRECT(J$2),INDIRECT(I3483),test),getMax(B3483,C3483,INDIRECT(J$2),INDIRECT(I3483),test))</f>
        <v>0.18</v>
      </c>
      <c r="F3483" s="1" t="str">
        <f t="shared" si="219"/>
        <v>50</v>
      </c>
      <c r="G3483" s="1" t="str">
        <f t="shared" si="220"/>
        <v/>
      </c>
      <c r="I3483" s="1" t="str">
        <f t="shared" si="218"/>
        <v>威尔新数值1.06.xlsm!monsterDamage</v>
      </c>
    </row>
    <row r="3484" spans="1:9" x14ac:dyDescent="0.15">
      <c r="A3484" s="1">
        <v>3483</v>
      </c>
      <c r="B3484" s="1">
        <v>103030500</v>
      </c>
      <c r="C3484" s="1">
        <f t="shared" si="217"/>
        <v>105</v>
      </c>
      <c r="D3484" s="5">
        <f ca="1">IF(getQuality(B3484)&lt;4,getOtherMin(B3484,C3484,INDIRECT(J$2),INDIRECT(I3484),test),getMin(B3484,C3484,INDIRECT(J$2),INDIRECT(I3484),test))</f>
        <v>0.09</v>
      </c>
      <c r="E3484" s="5">
        <f ca="1">IF(getQuality(B3484)&lt;4,getOtherMax(B3484,C3484,INDIRECT(J$2),INDIRECT(I3484),test),getMax(B3484,C3484,INDIRECT(J$2),INDIRECT(I3484),test))</f>
        <v>0.18</v>
      </c>
      <c r="F3484" s="1" t="str">
        <f t="shared" si="219"/>
        <v>50</v>
      </c>
      <c r="G3484" s="1" t="str">
        <f t="shared" si="220"/>
        <v/>
      </c>
      <c r="I3484" s="1" t="str">
        <f t="shared" si="218"/>
        <v>威尔新数值1.06.xlsm!monsterDamage</v>
      </c>
    </row>
    <row r="3485" spans="1:9" x14ac:dyDescent="0.15">
      <c r="A3485" s="1">
        <v>3484</v>
      </c>
      <c r="B3485" s="1">
        <v>103030500</v>
      </c>
      <c r="C3485" s="1">
        <f t="shared" si="217"/>
        <v>106</v>
      </c>
      <c r="D3485" s="5">
        <f ca="1">IF(getQuality(B3485)&lt;4,getOtherMin(B3485,C3485,INDIRECT(J$2),INDIRECT(I3485),test),getMin(B3485,C3485,INDIRECT(J$2),INDIRECT(I3485),test))</f>
        <v>0.09</v>
      </c>
      <c r="E3485" s="5">
        <f ca="1">IF(getQuality(B3485)&lt;4,getOtherMax(B3485,C3485,INDIRECT(J$2),INDIRECT(I3485),test),getMax(B3485,C3485,INDIRECT(J$2),INDIRECT(I3485),test))</f>
        <v>0.18</v>
      </c>
      <c r="F3485" s="1" t="str">
        <f t="shared" si="219"/>
        <v>50</v>
      </c>
      <c r="G3485" s="1" t="str">
        <f t="shared" si="220"/>
        <v/>
      </c>
      <c r="I3485" s="1" t="str">
        <f t="shared" si="218"/>
        <v>威尔新数值1.06.xlsm!monsterDamage</v>
      </c>
    </row>
    <row r="3486" spans="1:9" x14ac:dyDescent="0.15">
      <c r="A3486" s="1">
        <v>3485</v>
      </c>
      <c r="B3486" s="1">
        <v>103030500</v>
      </c>
      <c r="C3486" s="1">
        <f t="shared" si="217"/>
        <v>107</v>
      </c>
      <c r="D3486" s="5">
        <f ca="1">IF(getQuality(B3486)&lt;4,getOtherMin(B3486,C3486,INDIRECT(J$2),INDIRECT(I3486),test),getMin(B3486,C3486,INDIRECT(J$2),INDIRECT(I3486),test))</f>
        <v>0.09</v>
      </c>
      <c r="E3486" s="5">
        <f ca="1">IF(getQuality(B3486)&lt;4,getOtherMax(B3486,C3486,INDIRECT(J$2),INDIRECT(I3486),test),getMax(B3486,C3486,INDIRECT(J$2),INDIRECT(I3486),test))</f>
        <v>0.18</v>
      </c>
      <c r="F3486" s="1" t="str">
        <f t="shared" si="219"/>
        <v>50</v>
      </c>
      <c r="G3486" s="1" t="str">
        <f t="shared" si="220"/>
        <v/>
      </c>
      <c r="I3486" s="1" t="str">
        <f t="shared" si="218"/>
        <v>威尔新数值1.06.xlsm!monsterDamage</v>
      </c>
    </row>
    <row r="3487" spans="1:9" x14ac:dyDescent="0.15">
      <c r="A3487" s="1">
        <v>3486</v>
      </c>
      <c r="B3487" s="1">
        <v>103030500</v>
      </c>
      <c r="C3487" s="1">
        <f t="shared" si="217"/>
        <v>108</v>
      </c>
      <c r="D3487" s="5">
        <f ca="1">IF(getQuality(B3487)&lt;4,getOtherMin(B3487,C3487,INDIRECT(J$2),INDIRECT(I3487),test),getMin(B3487,C3487,INDIRECT(J$2),INDIRECT(I3487),test))</f>
        <v>0.09</v>
      </c>
      <c r="E3487" s="5">
        <f ca="1">IF(getQuality(B3487)&lt;4,getOtherMax(B3487,C3487,INDIRECT(J$2),INDIRECT(I3487),test),getMax(B3487,C3487,INDIRECT(J$2),INDIRECT(I3487),test))</f>
        <v>0.18</v>
      </c>
      <c r="F3487" s="1" t="str">
        <f t="shared" si="219"/>
        <v>50</v>
      </c>
      <c r="G3487" s="1" t="str">
        <f t="shared" si="220"/>
        <v/>
      </c>
      <c r="I3487" s="1" t="str">
        <f t="shared" si="218"/>
        <v>威尔新数值1.06.xlsm!monsterDamage</v>
      </c>
    </row>
    <row r="3488" spans="1:9" x14ac:dyDescent="0.15">
      <c r="A3488" s="1">
        <v>3487</v>
      </c>
      <c r="B3488" s="1">
        <v>103040500</v>
      </c>
      <c r="C3488" s="1">
        <f t="shared" si="217"/>
        <v>3</v>
      </c>
      <c r="D3488" s="5">
        <f ca="1">IF(getQuality(B3488)&lt;4,getOtherMin(B3488,C3488,INDIRECT(J$2),INDIRECT(I3488),test),getMin(B3488,C3488,INDIRECT(J$2),INDIRECT(I3488),test))</f>
        <v>87.435552634172723</v>
      </c>
      <c r="E3488" s="5">
        <f ca="1">IF(getQuality(B3488)&lt;4,getOtherMax(B3488,C3488,INDIRECT(J$2),INDIRECT(I3488),test),getMax(B3488,C3488,INDIRECT(J$2),INDIRECT(I3488),test))</f>
        <v>124.85135380491616</v>
      </c>
      <c r="F3488" s="1" t="str">
        <f t="shared" si="219"/>
        <v>50</v>
      </c>
      <c r="G3488" s="1" t="str">
        <f t="shared" si="220"/>
        <v>1</v>
      </c>
      <c r="I3488" s="1" t="str">
        <f t="shared" si="218"/>
        <v>威尔新数值1.06.xlsm!suitPower</v>
      </c>
    </row>
    <row r="3489" spans="1:9" x14ac:dyDescent="0.15">
      <c r="A3489" s="1">
        <v>3488</v>
      </c>
      <c r="B3489" s="1">
        <v>103040500</v>
      </c>
      <c r="C3489" s="1">
        <f t="shared" si="217"/>
        <v>5</v>
      </c>
      <c r="D3489" s="5">
        <f ca="1">IF(getQuality(B3489)&lt;4,getOtherMin(B3489,C3489,INDIRECT(J$2),INDIRECT(I3489),test),getMin(B3489,C3489,INDIRECT(J$2),INDIRECT(I3489),test))</f>
        <v>87.435552634172723</v>
      </c>
      <c r="E3489" s="5">
        <f ca="1">IF(getQuality(B3489)&lt;4,getOtherMax(B3489,C3489,INDIRECT(J$2),INDIRECT(I3489),test),getMax(B3489,C3489,INDIRECT(J$2),INDIRECT(I3489),test))</f>
        <v>124.85135380491616</v>
      </c>
      <c r="F3489" s="1" t="str">
        <f t="shared" si="219"/>
        <v>50</v>
      </c>
      <c r="G3489" s="1" t="str">
        <f t="shared" si="220"/>
        <v/>
      </c>
      <c r="I3489" s="1" t="str">
        <f t="shared" si="218"/>
        <v>威尔新数值1.06.xlsm!suitPower</v>
      </c>
    </row>
    <row r="3490" spans="1:9" x14ac:dyDescent="0.15">
      <c r="A3490" s="1">
        <v>3489</v>
      </c>
      <c r="B3490" s="1">
        <v>103040500</v>
      </c>
      <c r="C3490" s="1">
        <f t="shared" si="217"/>
        <v>7</v>
      </c>
      <c r="D3490" s="5">
        <f ca="1">IF(getQuality(B3490)&lt;4,getOtherMin(B3490,C3490,INDIRECT(J$2),INDIRECT(I3490),test),getMin(B3490,C3490,INDIRECT(J$2),INDIRECT(I3490),test))</f>
        <v>23.222222222222165</v>
      </c>
      <c r="E3490" s="5">
        <f ca="1">IF(getQuality(B3490)&lt;4,getOtherMax(B3490,C3490,INDIRECT(J$2),INDIRECT(I3490),test),getMax(B3490,C3490,INDIRECT(J$2),INDIRECT(I3490),test))</f>
        <v>29.629629629629555</v>
      </c>
      <c r="F3490" s="1" t="str">
        <f t="shared" si="219"/>
        <v>50</v>
      </c>
      <c r="G3490" s="1" t="str">
        <f t="shared" si="220"/>
        <v/>
      </c>
      <c r="I3490" s="1" t="str">
        <f t="shared" si="218"/>
        <v>威尔新数值1.06.xlsm!suitPower</v>
      </c>
    </row>
    <row r="3491" spans="1:9" x14ac:dyDescent="0.15">
      <c r="A3491" s="1">
        <v>3490</v>
      </c>
      <c r="B3491" s="1">
        <v>103040500</v>
      </c>
      <c r="C3491" s="1">
        <f t="shared" si="217"/>
        <v>8</v>
      </c>
      <c r="D3491" s="5">
        <f ca="1">IF(getQuality(B3491)&lt;4,getOtherMin(B3491,C3491,INDIRECT(J$2),INDIRECT(I3491),test),getMin(B3491,C3491,INDIRECT(J$2),INDIRECT(I3491),test))</f>
        <v>51</v>
      </c>
      <c r="E3491" s="5">
        <f ca="1">IF(getQuality(B3491)&lt;4,getOtherMax(B3491,C3491,INDIRECT(J$2),INDIRECT(I3491),test),getMax(B3491,C3491,INDIRECT(J$2),INDIRECT(I3491),test))</f>
        <v>66.666666666666671</v>
      </c>
      <c r="F3491" s="1" t="str">
        <f t="shared" si="219"/>
        <v>50</v>
      </c>
      <c r="G3491" s="1" t="str">
        <f t="shared" si="220"/>
        <v/>
      </c>
      <c r="I3491" s="1" t="str">
        <f t="shared" si="218"/>
        <v>威尔新数值1.06.xlsm!suitPower</v>
      </c>
    </row>
    <row r="3492" spans="1:9" x14ac:dyDescent="0.15">
      <c r="A3492" s="1">
        <v>3491</v>
      </c>
      <c r="B3492" s="1">
        <v>103040500</v>
      </c>
      <c r="C3492" s="1">
        <f t="shared" si="217"/>
        <v>9</v>
      </c>
      <c r="D3492" s="5">
        <f ca="1">IF(getQuality(B3492)&lt;4,getOtherMin(B3492,C3492,INDIRECT(J$2),INDIRECT(I3492),test),getMin(B3492,C3492,INDIRECT(J$2),INDIRECT(I3492),test))</f>
        <v>87.435552634172723</v>
      </c>
      <c r="E3492" s="5">
        <f ca="1">IF(getQuality(B3492)&lt;4,getOtherMax(B3492,C3492,INDIRECT(J$2),INDIRECT(I3492),test),getMax(B3492,C3492,INDIRECT(J$2),INDIRECT(I3492),test))</f>
        <v>124.85135380491616</v>
      </c>
      <c r="F3492" s="1" t="str">
        <f t="shared" si="219"/>
        <v>50</v>
      </c>
      <c r="G3492" s="1" t="str">
        <f t="shared" si="220"/>
        <v/>
      </c>
      <c r="I3492" s="1" t="str">
        <f t="shared" si="218"/>
        <v>威尔新数值1.06.xlsm!suitPower</v>
      </c>
    </row>
    <row r="3493" spans="1:9" x14ac:dyDescent="0.15">
      <c r="A3493" s="1">
        <v>3492</v>
      </c>
      <c r="B3493" s="1">
        <v>103040500</v>
      </c>
      <c r="C3493" s="1">
        <f t="shared" si="217"/>
        <v>10</v>
      </c>
      <c r="D3493" s="5">
        <f ca="1">IF(getQuality(B3493)&lt;4,getOtherMin(B3493,C3493,INDIRECT(J$2),INDIRECT(I3493),test),getMin(B3493,C3493,INDIRECT(J$2),INDIRECT(I3493),test))</f>
        <v>87.435552634172723</v>
      </c>
      <c r="E3493" s="5">
        <f ca="1">IF(getQuality(B3493)&lt;4,getOtherMax(B3493,C3493,INDIRECT(J$2),INDIRECT(I3493),test),getMax(B3493,C3493,INDIRECT(J$2),INDIRECT(I3493),test))</f>
        <v>124.85135380491616</v>
      </c>
      <c r="F3493" s="1" t="str">
        <f t="shared" si="219"/>
        <v>50</v>
      </c>
      <c r="G3493" s="1" t="str">
        <f t="shared" si="220"/>
        <v/>
      </c>
      <c r="I3493" s="1" t="str">
        <f t="shared" si="218"/>
        <v>威尔新数值1.06.xlsm!suitPower</v>
      </c>
    </row>
    <row r="3494" spans="1:9" x14ac:dyDescent="0.15">
      <c r="A3494" s="1">
        <v>3493</v>
      </c>
      <c r="B3494" s="1">
        <v>103040500</v>
      </c>
      <c r="C3494" s="1">
        <f t="shared" si="217"/>
        <v>11</v>
      </c>
      <c r="D3494" s="5">
        <f ca="1">IF(getQuality(B3494)&lt;4,getOtherMin(B3494,C3494,INDIRECT(J$2),INDIRECT(I3494),test),getMin(B3494,C3494,INDIRECT(J$2),INDIRECT(I3494),test))</f>
        <v>87.435552634172723</v>
      </c>
      <c r="E3494" s="5">
        <f ca="1">IF(getQuality(B3494)&lt;4,getOtherMax(B3494,C3494,INDIRECT(J$2),INDIRECT(I3494),test),getMax(B3494,C3494,INDIRECT(J$2),INDIRECT(I3494),test))</f>
        <v>124.85135380491616</v>
      </c>
      <c r="F3494" s="1" t="str">
        <f t="shared" si="219"/>
        <v>50</v>
      </c>
      <c r="G3494" s="1" t="str">
        <f t="shared" si="220"/>
        <v/>
      </c>
      <c r="I3494" s="1" t="str">
        <f t="shared" si="218"/>
        <v>威尔新数值1.06.xlsm!suitPower</v>
      </c>
    </row>
    <row r="3495" spans="1:9" x14ac:dyDescent="0.15">
      <c r="A3495" s="1">
        <v>3494</v>
      </c>
      <c r="B3495" s="1">
        <v>103040500</v>
      </c>
      <c r="C3495" s="1">
        <f t="shared" si="217"/>
        <v>12</v>
      </c>
      <c r="D3495" s="5">
        <f ca="1">IF(getQuality(B3495)&lt;4,getOtherMin(B3495,C3495,INDIRECT(J$2),INDIRECT(I3495),test),getMin(B3495,C3495,INDIRECT(J$2),INDIRECT(I3495),test))</f>
        <v>87.435552634172723</v>
      </c>
      <c r="E3495" s="5">
        <f ca="1">IF(getQuality(B3495)&lt;4,getOtherMax(B3495,C3495,INDIRECT(J$2),INDIRECT(I3495),test),getMax(B3495,C3495,INDIRECT(J$2),INDIRECT(I3495),test))</f>
        <v>124.85135380491616</v>
      </c>
      <c r="F3495" s="1" t="str">
        <f t="shared" si="219"/>
        <v>50</v>
      </c>
      <c r="G3495" s="1" t="str">
        <f t="shared" si="220"/>
        <v/>
      </c>
      <c r="I3495" s="1" t="str">
        <f t="shared" si="218"/>
        <v>威尔新数值1.06.xlsm!suitPower</v>
      </c>
    </row>
    <row r="3496" spans="1:9" x14ac:dyDescent="0.15">
      <c r="A3496" s="1">
        <v>3495</v>
      </c>
      <c r="B3496" s="1">
        <v>103040500</v>
      </c>
      <c r="C3496" s="1">
        <f t="shared" si="217"/>
        <v>13</v>
      </c>
      <c r="D3496" s="5">
        <f ca="1">IF(getQuality(B3496)&lt;4,getOtherMin(B3496,C3496,INDIRECT(J$2),INDIRECT(I3496),test),getMin(B3496,C3496,INDIRECT(J$2),INDIRECT(I3496),test))</f>
        <v>87.435552634172723</v>
      </c>
      <c r="E3496" s="5">
        <f ca="1">IF(getQuality(B3496)&lt;4,getOtherMax(B3496,C3496,INDIRECT(J$2),INDIRECT(I3496),test),getMax(B3496,C3496,INDIRECT(J$2),INDIRECT(I3496),test))</f>
        <v>124.85135380491616</v>
      </c>
      <c r="F3496" s="1" t="str">
        <f t="shared" si="219"/>
        <v>50</v>
      </c>
      <c r="G3496" s="1" t="str">
        <f t="shared" si="220"/>
        <v/>
      </c>
      <c r="I3496" s="1" t="str">
        <f t="shared" si="218"/>
        <v>威尔新数值1.06.xlsm!suitPower</v>
      </c>
    </row>
    <row r="3497" spans="1:9" x14ac:dyDescent="0.15">
      <c r="A3497" s="1">
        <v>3496</v>
      </c>
      <c r="B3497" s="1">
        <v>103040500</v>
      </c>
      <c r="C3497" s="1">
        <f t="shared" si="217"/>
        <v>14</v>
      </c>
      <c r="D3497" s="5">
        <f ca="1">IF(getQuality(B3497)&lt;4,getOtherMin(B3497,C3497,INDIRECT(J$2),INDIRECT(I3497),test),getMin(B3497,C3497,INDIRECT(J$2),INDIRECT(I3497),test))</f>
        <v>87.435552634172723</v>
      </c>
      <c r="E3497" s="5">
        <f ca="1">IF(getQuality(B3497)&lt;4,getOtherMax(B3497,C3497,INDIRECT(J$2),INDIRECT(I3497),test),getMax(B3497,C3497,INDIRECT(J$2),INDIRECT(I3497),test))</f>
        <v>124.85135380491616</v>
      </c>
      <c r="F3497" s="1" t="str">
        <f t="shared" si="219"/>
        <v>50</v>
      </c>
      <c r="G3497" s="1" t="str">
        <f t="shared" si="220"/>
        <v/>
      </c>
      <c r="I3497" s="1" t="str">
        <f t="shared" si="218"/>
        <v>威尔新数值1.06.xlsm!suitPower</v>
      </c>
    </row>
    <row r="3498" spans="1:9" x14ac:dyDescent="0.15">
      <c r="A3498" s="1">
        <v>3497</v>
      </c>
      <c r="B3498" s="1">
        <v>103040500</v>
      </c>
      <c r="C3498" s="1">
        <f t="shared" si="217"/>
        <v>15</v>
      </c>
      <c r="D3498" s="5">
        <f ca="1">IF(getQuality(B3498)&lt;4,getOtherMin(B3498,C3498,INDIRECT(J$2),INDIRECT(I3498),test),getMin(B3498,C3498,INDIRECT(J$2),INDIRECT(I3498),test))</f>
        <v>87.435552634172723</v>
      </c>
      <c r="E3498" s="5">
        <f ca="1">IF(getQuality(B3498)&lt;4,getOtherMax(B3498,C3498,INDIRECT(J$2),INDIRECT(I3498),test),getMax(B3498,C3498,INDIRECT(J$2),INDIRECT(I3498),test))</f>
        <v>124.85135380491616</v>
      </c>
      <c r="F3498" s="1" t="str">
        <f t="shared" si="219"/>
        <v>50</v>
      </c>
      <c r="G3498" s="1" t="str">
        <f t="shared" si="220"/>
        <v/>
      </c>
      <c r="I3498" s="1" t="str">
        <f t="shared" si="218"/>
        <v>威尔新数值1.06.xlsm!suitPower</v>
      </c>
    </row>
    <row r="3499" spans="1:9" x14ac:dyDescent="0.15">
      <c r="A3499" s="1">
        <v>3498</v>
      </c>
      <c r="B3499" s="1">
        <v>103040500</v>
      </c>
      <c r="C3499" s="1">
        <f t="shared" si="217"/>
        <v>101</v>
      </c>
      <c r="D3499" s="5">
        <f ca="1">IF(getQuality(B3499)&lt;4,getOtherMin(B3499,C3499,INDIRECT(J$2),INDIRECT(I3499),test),getMin(B3499,C3499,INDIRECT(J$2),INDIRECT(I3499),test))</f>
        <v>0.1</v>
      </c>
      <c r="E3499" s="5">
        <f ca="1">IF(getQuality(B3499)&lt;4,getOtherMax(B3499,C3499,INDIRECT(J$2),INDIRECT(I3499),test),getMax(B3499,C3499,INDIRECT(J$2),INDIRECT(I3499),test))</f>
        <v>0.13</v>
      </c>
      <c r="F3499" s="1" t="str">
        <f t="shared" si="219"/>
        <v>50</v>
      </c>
      <c r="G3499" s="1" t="str">
        <f t="shared" si="220"/>
        <v/>
      </c>
      <c r="I3499" s="1" t="str">
        <f t="shared" si="218"/>
        <v>威尔新数值1.06.xlsm!circlePer</v>
      </c>
    </row>
    <row r="3500" spans="1:9" x14ac:dyDescent="0.15">
      <c r="A3500" s="1">
        <v>3499</v>
      </c>
      <c r="B3500" s="1">
        <v>103040500</v>
      </c>
      <c r="C3500" s="1">
        <f t="shared" si="217"/>
        <v>102</v>
      </c>
      <c r="D3500" s="5">
        <f ca="1">IF(getQuality(B3500)&lt;4,getOtherMin(B3500,C3500,INDIRECT(J$2),INDIRECT(I3500),test),getMin(B3500,C3500,INDIRECT(J$2),INDIRECT(I3500),test))</f>
        <v>0.9</v>
      </c>
      <c r="E3500" s="5">
        <f ca="1">IF(getQuality(B3500)&lt;4,getOtherMax(B3500,C3500,INDIRECT(J$2),INDIRECT(I3500),test),getMax(B3500,C3500,INDIRECT(J$2),INDIRECT(I3500),test))</f>
        <v>1.2</v>
      </c>
      <c r="F3500" s="1" t="str">
        <f t="shared" si="219"/>
        <v>50</v>
      </c>
      <c r="G3500" s="1" t="str">
        <f t="shared" si="220"/>
        <v/>
      </c>
      <c r="I3500" s="1" t="str">
        <f t="shared" si="218"/>
        <v>威尔新数值1.06.xlsm!circleValue</v>
      </c>
    </row>
    <row r="3501" spans="1:9" x14ac:dyDescent="0.15">
      <c r="A3501" s="1">
        <v>3500</v>
      </c>
      <c r="B3501" s="1">
        <v>103040500</v>
      </c>
      <c r="C3501" s="1">
        <f t="shared" si="217"/>
        <v>103</v>
      </c>
      <c r="D3501" s="5">
        <f ca="1">IF(getQuality(B3501)&lt;4,getOtherMin(B3501,C3501,INDIRECT(J$2),INDIRECT(I3501),test),getMin(B3501,C3501,INDIRECT(J$2),INDIRECT(I3501),test))</f>
        <v>0.1</v>
      </c>
      <c r="E3501" s="5">
        <f ca="1">IF(getQuality(B3501)&lt;4,getOtherMax(B3501,C3501,INDIRECT(J$2),INDIRECT(I3501),test),getMax(B3501,C3501,INDIRECT(J$2),INDIRECT(I3501),test))</f>
        <v>0.13</v>
      </c>
      <c r="F3501" s="1" t="str">
        <f t="shared" si="219"/>
        <v>50</v>
      </c>
      <c r="G3501" s="1" t="str">
        <f t="shared" si="220"/>
        <v/>
      </c>
      <c r="I3501" s="1" t="str">
        <f t="shared" si="218"/>
        <v>威尔新数值1.06.xlsm!otherDamage</v>
      </c>
    </row>
    <row r="3502" spans="1:9" x14ac:dyDescent="0.15">
      <c r="A3502" s="1">
        <v>3501</v>
      </c>
      <c r="B3502" s="1">
        <v>103040500</v>
      </c>
      <c r="C3502" s="1">
        <f t="shared" si="217"/>
        <v>104</v>
      </c>
      <c r="D3502" s="5">
        <f ca="1">IF(getQuality(B3502)&lt;4,getOtherMin(B3502,C3502,INDIRECT(J$2),INDIRECT(I3502),test),getMin(B3502,C3502,INDIRECT(J$2),INDIRECT(I3502),test))</f>
        <v>0.1</v>
      </c>
      <c r="E3502" s="5">
        <f ca="1">IF(getQuality(B3502)&lt;4,getOtherMax(B3502,C3502,INDIRECT(J$2),INDIRECT(I3502),test),getMax(B3502,C3502,INDIRECT(J$2),INDIRECT(I3502),test))</f>
        <v>0.2</v>
      </c>
      <c r="F3502" s="1" t="str">
        <f t="shared" si="219"/>
        <v>50</v>
      </c>
      <c r="G3502" s="1" t="str">
        <f t="shared" si="220"/>
        <v/>
      </c>
      <c r="I3502" s="1" t="str">
        <f t="shared" si="218"/>
        <v>威尔新数值1.06.xlsm!monsterDamage</v>
      </c>
    </row>
    <row r="3503" spans="1:9" x14ac:dyDescent="0.15">
      <c r="A3503" s="1">
        <v>3502</v>
      </c>
      <c r="B3503" s="1">
        <v>103040500</v>
      </c>
      <c r="C3503" s="1">
        <f t="shared" si="217"/>
        <v>105</v>
      </c>
      <c r="D3503" s="5">
        <f ca="1">IF(getQuality(B3503)&lt;4,getOtherMin(B3503,C3503,INDIRECT(J$2),INDIRECT(I3503),test),getMin(B3503,C3503,INDIRECT(J$2),INDIRECT(I3503),test))</f>
        <v>0.1</v>
      </c>
      <c r="E3503" s="5">
        <f ca="1">IF(getQuality(B3503)&lt;4,getOtherMax(B3503,C3503,INDIRECT(J$2),INDIRECT(I3503),test),getMax(B3503,C3503,INDIRECT(J$2),INDIRECT(I3503),test))</f>
        <v>0.2</v>
      </c>
      <c r="F3503" s="1" t="str">
        <f t="shared" si="219"/>
        <v>50</v>
      </c>
      <c r="G3503" s="1" t="str">
        <f t="shared" si="220"/>
        <v/>
      </c>
      <c r="I3503" s="1" t="str">
        <f t="shared" si="218"/>
        <v>威尔新数值1.06.xlsm!monsterDamage</v>
      </c>
    </row>
    <row r="3504" spans="1:9" x14ac:dyDescent="0.15">
      <c r="A3504" s="1">
        <v>3503</v>
      </c>
      <c r="B3504" s="1">
        <v>103040500</v>
      </c>
      <c r="C3504" s="1">
        <f t="shared" si="217"/>
        <v>106</v>
      </c>
      <c r="D3504" s="5">
        <f ca="1">IF(getQuality(B3504)&lt;4,getOtherMin(B3504,C3504,INDIRECT(J$2),INDIRECT(I3504),test),getMin(B3504,C3504,INDIRECT(J$2),INDIRECT(I3504),test))</f>
        <v>0.1</v>
      </c>
      <c r="E3504" s="5">
        <f ca="1">IF(getQuality(B3504)&lt;4,getOtherMax(B3504,C3504,INDIRECT(J$2),INDIRECT(I3504),test),getMax(B3504,C3504,INDIRECT(J$2),INDIRECT(I3504),test))</f>
        <v>0.2</v>
      </c>
      <c r="F3504" s="1" t="str">
        <f t="shared" si="219"/>
        <v>50</v>
      </c>
      <c r="G3504" s="1" t="str">
        <f t="shared" si="220"/>
        <v/>
      </c>
      <c r="I3504" s="1" t="str">
        <f t="shared" si="218"/>
        <v>威尔新数值1.06.xlsm!monsterDamage</v>
      </c>
    </row>
    <row r="3505" spans="1:9" x14ac:dyDescent="0.15">
      <c r="A3505" s="1">
        <v>3504</v>
      </c>
      <c r="B3505" s="1">
        <v>103040500</v>
      </c>
      <c r="C3505" s="1">
        <f t="shared" si="217"/>
        <v>107</v>
      </c>
      <c r="D3505" s="5">
        <f ca="1">IF(getQuality(B3505)&lt;4,getOtherMin(B3505,C3505,INDIRECT(J$2),INDIRECT(I3505),test),getMin(B3505,C3505,INDIRECT(J$2),INDIRECT(I3505),test))</f>
        <v>0.1</v>
      </c>
      <c r="E3505" s="5">
        <f ca="1">IF(getQuality(B3505)&lt;4,getOtherMax(B3505,C3505,INDIRECT(J$2),INDIRECT(I3505),test),getMax(B3505,C3505,INDIRECT(J$2),INDIRECT(I3505),test))</f>
        <v>0.2</v>
      </c>
      <c r="F3505" s="1" t="str">
        <f t="shared" si="219"/>
        <v>50</v>
      </c>
      <c r="G3505" s="1" t="str">
        <f t="shared" si="220"/>
        <v/>
      </c>
      <c r="I3505" s="1" t="str">
        <f t="shared" si="218"/>
        <v>威尔新数值1.06.xlsm!monsterDamage</v>
      </c>
    </row>
    <row r="3506" spans="1:9" x14ac:dyDescent="0.15">
      <c r="A3506" s="1">
        <v>3505</v>
      </c>
      <c r="B3506" s="1">
        <v>103040500</v>
      </c>
      <c r="C3506" s="1">
        <f t="shared" si="217"/>
        <v>108</v>
      </c>
      <c r="D3506" s="5">
        <f ca="1">IF(getQuality(B3506)&lt;4,getOtherMin(B3506,C3506,INDIRECT(J$2),INDIRECT(I3506),test),getMin(B3506,C3506,INDIRECT(J$2),INDIRECT(I3506),test))</f>
        <v>0.1</v>
      </c>
      <c r="E3506" s="5">
        <f ca="1">IF(getQuality(B3506)&lt;4,getOtherMax(B3506,C3506,INDIRECT(J$2),INDIRECT(I3506),test),getMax(B3506,C3506,INDIRECT(J$2),INDIRECT(I3506),test))</f>
        <v>0.2</v>
      </c>
      <c r="F3506" s="1" t="str">
        <f t="shared" si="219"/>
        <v>50</v>
      </c>
      <c r="G3506" s="1" t="str">
        <f t="shared" si="220"/>
        <v/>
      </c>
      <c r="I3506" s="1" t="str">
        <f t="shared" si="218"/>
        <v>威尔新数值1.06.xlsm!monsterDamage</v>
      </c>
    </row>
    <row r="3507" spans="1:9" x14ac:dyDescent="0.15">
      <c r="A3507" s="1">
        <v>3506</v>
      </c>
      <c r="B3507" s="1">
        <v>103050500</v>
      </c>
      <c r="C3507" s="1">
        <f t="shared" si="217"/>
        <v>3</v>
      </c>
      <c r="D3507" s="5">
        <f ca="1">IF(getQuality(B3507)&lt;4,getOtherMin(B3507,C3507,INDIRECT(J$2),INDIRECT(I3507),test),getMin(B3507,C3507,INDIRECT(J$2),INDIRECT(I3507),test))</f>
        <v>125.85135380491616</v>
      </c>
      <c r="E3507" s="5">
        <f ca="1">IF(getQuality(B3507)&lt;4,getOtherMax(B3507,C3507,INDIRECT(J$2),INDIRECT(I3507),test),getMax(B3507,C3507,INDIRECT(J$2),INDIRECT(I3507),test))</f>
        <v>169.16048810980774</v>
      </c>
      <c r="F3507" s="1" t="str">
        <f t="shared" si="219"/>
        <v>50</v>
      </c>
      <c r="G3507" s="1" t="str">
        <f t="shared" si="220"/>
        <v>1</v>
      </c>
      <c r="I3507" s="1" t="str">
        <f t="shared" si="218"/>
        <v>威尔新数值1.06.xlsm!suitPower</v>
      </c>
    </row>
    <row r="3508" spans="1:9" x14ac:dyDescent="0.15">
      <c r="A3508" s="1">
        <v>3507</v>
      </c>
      <c r="B3508" s="1">
        <v>103050500</v>
      </c>
      <c r="C3508" s="1">
        <f t="shared" si="217"/>
        <v>5</v>
      </c>
      <c r="D3508" s="5">
        <f ca="1">IF(getQuality(B3508)&lt;4,getOtherMin(B3508,C3508,INDIRECT(J$2),INDIRECT(I3508),test),getMin(B3508,C3508,INDIRECT(J$2),INDIRECT(I3508),test))</f>
        <v>125.85135380491616</v>
      </c>
      <c r="E3508" s="5">
        <f ca="1">IF(getQuality(B3508)&lt;4,getOtherMax(B3508,C3508,INDIRECT(J$2),INDIRECT(I3508),test),getMax(B3508,C3508,INDIRECT(J$2),INDIRECT(I3508),test))</f>
        <v>169.16048810980774</v>
      </c>
      <c r="F3508" s="1" t="str">
        <f t="shared" si="219"/>
        <v>50</v>
      </c>
      <c r="G3508" s="1" t="str">
        <f t="shared" si="220"/>
        <v/>
      </c>
      <c r="I3508" s="1" t="str">
        <f t="shared" si="218"/>
        <v>威尔新数值1.06.xlsm!suitPower</v>
      </c>
    </row>
    <row r="3509" spans="1:9" x14ac:dyDescent="0.15">
      <c r="A3509" s="1">
        <v>3508</v>
      </c>
      <c r="B3509" s="1">
        <v>103050500</v>
      </c>
      <c r="C3509" s="1">
        <f t="shared" si="217"/>
        <v>7</v>
      </c>
      <c r="D3509" s="5">
        <f ca="1">IF(getQuality(B3509)&lt;4,getOtherMin(B3509,C3509,INDIRECT(J$2),INDIRECT(I3509),test),getMin(B3509,C3509,INDIRECT(J$2),INDIRECT(I3509),test))</f>
        <v>30.629629629629555</v>
      </c>
      <c r="E3509" s="5">
        <f ca="1">IF(getQuality(B3509)&lt;4,getOtherMax(B3509,C3509,INDIRECT(J$2),INDIRECT(I3509),test),getMax(B3509,C3509,INDIRECT(J$2),INDIRECT(I3509),test))</f>
        <v>37.037037037036946</v>
      </c>
      <c r="F3509" s="1" t="str">
        <f t="shared" si="219"/>
        <v>50</v>
      </c>
      <c r="G3509" s="1" t="str">
        <f t="shared" si="220"/>
        <v/>
      </c>
      <c r="I3509" s="1" t="str">
        <f t="shared" si="218"/>
        <v>威尔新数值1.06.xlsm!suitPower</v>
      </c>
    </row>
    <row r="3510" spans="1:9" x14ac:dyDescent="0.15">
      <c r="A3510" s="1">
        <v>3509</v>
      </c>
      <c r="B3510" s="1">
        <v>103050500</v>
      </c>
      <c r="C3510" s="1">
        <f t="shared" si="217"/>
        <v>8</v>
      </c>
      <c r="D3510" s="5">
        <f ca="1">IF(getQuality(B3510)&lt;4,getOtherMin(B3510,C3510,INDIRECT(J$2),INDIRECT(I3510),test),getMin(B3510,C3510,INDIRECT(J$2),INDIRECT(I3510),test))</f>
        <v>67.666666666666671</v>
      </c>
      <c r="E3510" s="5">
        <f ca="1">IF(getQuality(B3510)&lt;4,getOtherMax(B3510,C3510,INDIRECT(J$2),INDIRECT(I3510),test),getMax(B3510,C3510,INDIRECT(J$2),INDIRECT(I3510),test))</f>
        <v>83.333333333333329</v>
      </c>
      <c r="F3510" s="1" t="str">
        <f t="shared" si="219"/>
        <v>50</v>
      </c>
      <c r="G3510" s="1" t="str">
        <f t="shared" si="220"/>
        <v/>
      </c>
      <c r="I3510" s="1" t="str">
        <f t="shared" si="218"/>
        <v>威尔新数值1.06.xlsm!suitPower</v>
      </c>
    </row>
    <row r="3511" spans="1:9" x14ac:dyDescent="0.15">
      <c r="A3511" s="1">
        <v>3510</v>
      </c>
      <c r="B3511" s="1">
        <v>103050500</v>
      </c>
      <c r="C3511" s="1">
        <f t="shared" si="217"/>
        <v>9</v>
      </c>
      <c r="D3511" s="5">
        <f ca="1">IF(getQuality(B3511)&lt;4,getOtherMin(B3511,C3511,INDIRECT(J$2),INDIRECT(I3511),test),getMin(B3511,C3511,INDIRECT(J$2),INDIRECT(I3511),test))</f>
        <v>125.85135380491616</v>
      </c>
      <c r="E3511" s="5">
        <f ca="1">IF(getQuality(B3511)&lt;4,getOtherMax(B3511,C3511,INDIRECT(J$2),INDIRECT(I3511),test),getMax(B3511,C3511,INDIRECT(J$2),INDIRECT(I3511),test))</f>
        <v>169.16048810980774</v>
      </c>
      <c r="F3511" s="1" t="str">
        <f t="shared" si="219"/>
        <v>50</v>
      </c>
      <c r="G3511" s="1" t="str">
        <f t="shared" si="220"/>
        <v/>
      </c>
      <c r="I3511" s="1" t="str">
        <f t="shared" si="218"/>
        <v>威尔新数值1.06.xlsm!suitPower</v>
      </c>
    </row>
    <row r="3512" spans="1:9" x14ac:dyDescent="0.15">
      <c r="A3512" s="1">
        <v>3511</v>
      </c>
      <c r="B3512" s="1">
        <v>103050500</v>
      </c>
      <c r="C3512" s="1">
        <f t="shared" si="217"/>
        <v>10</v>
      </c>
      <c r="D3512" s="5">
        <f ca="1">IF(getQuality(B3512)&lt;4,getOtherMin(B3512,C3512,INDIRECT(J$2),INDIRECT(I3512),test),getMin(B3512,C3512,INDIRECT(J$2),INDIRECT(I3512),test))</f>
        <v>125.85135380491616</v>
      </c>
      <c r="E3512" s="5">
        <f ca="1">IF(getQuality(B3512)&lt;4,getOtherMax(B3512,C3512,INDIRECT(J$2),INDIRECT(I3512),test),getMax(B3512,C3512,INDIRECT(J$2),INDIRECT(I3512),test))</f>
        <v>169.16048810980774</v>
      </c>
      <c r="F3512" s="1" t="str">
        <f t="shared" si="219"/>
        <v>50</v>
      </c>
      <c r="G3512" s="1" t="str">
        <f t="shared" si="220"/>
        <v/>
      </c>
      <c r="I3512" s="1" t="str">
        <f t="shared" si="218"/>
        <v>威尔新数值1.06.xlsm!suitPower</v>
      </c>
    </row>
    <row r="3513" spans="1:9" x14ac:dyDescent="0.15">
      <c r="A3513" s="1">
        <v>3512</v>
      </c>
      <c r="B3513" s="1">
        <v>103050500</v>
      </c>
      <c r="C3513" s="1">
        <f t="shared" si="217"/>
        <v>11</v>
      </c>
      <c r="D3513" s="5">
        <f ca="1">IF(getQuality(B3513)&lt;4,getOtherMin(B3513,C3513,INDIRECT(J$2),INDIRECT(I3513),test),getMin(B3513,C3513,INDIRECT(J$2),INDIRECT(I3513),test))</f>
        <v>125.85135380491616</v>
      </c>
      <c r="E3513" s="5">
        <f ca="1">IF(getQuality(B3513)&lt;4,getOtherMax(B3513,C3513,INDIRECT(J$2),INDIRECT(I3513),test),getMax(B3513,C3513,INDIRECT(J$2),INDIRECT(I3513),test))</f>
        <v>169.16048810980774</v>
      </c>
      <c r="F3513" s="1" t="str">
        <f t="shared" si="219"/>
        <v>50</v>
      </c>
      <c r="G3513" s="1" t="str">
        <f t="shared" si="220"/>
        <v/>
      </c>
      <c r="I3513" s="1" t="str">
        <f t="shared" si="218"/>
        <v>威尔新数值1.06.xlsm!suitPower</v>
      </c>
    </row>
    <row r="3514" spans="1:9" x14ac:dyDescent="0.15">
      <c r="A3514" s="1">
        <v>3513</v>
      </c>
      <c r="B3514" s="1">
        <v>103050500</v>
      </c>
      <c r="C3514" s="1">
        <f t="shared" si="217"/>
        <v>12</v>
      </c>
      <c r="D3514" s="5">
        <f ca="1">IF(getQuality(B3514)&lt;4,getOtherMin(B3514,C3514,INDIRECT(J$2),INDIRECT(I3514),test),getMin(B3514,C3514,INDIRECT(J$2),INDIRECT(I3514),test))</f>
        <v>125.85135380491616</v>
      </c>
      <c r="E3514" s="5">
        <f ca="1">IF(getQuality(B3514)&lt;4,getOtherMax(B3514,C3514,INDIRECT(J$2),INDIRECT(I3514),test),getMax(B3514,C3514,INDIRECT(J$2),INDIRECT(I3514),test))</f>
        <v>169.16048810980774</v>
      </c>
      <c r="F3514" s="1" t="str">
        <f t="shared" si="219"/>
        <v>50</v>
      </c>
      <c r="G3514" s="1" t="str">
        <f t="shared" si="220"/>
        <v/>
      </c>
      <c r="I3514" s="1" t="str">
        <f t="shared" si="218"/>
        <v>威尔新数值1.06.xlsm!suitPower</v>
      </c>
    </row>
    <row r="3515" spans="1:9" x14ac:dyDescent="0.15">
      <c r="A3515" s="1">
        <v>3514</v>
      </c>
      <c r="B3515" s="1">
        <v>103050500</v>
      </c>
      <c r="C3515" s="1">
        <f t="shared" si="217"/>
        <v>13</v>
      </c>
      <c r="D3515" s="5">
        <f ca="1">IF(getQuality(B3515)&lt;4,getOtherMin(B3515,C3515,INDIRECT(J$2),INDIRECT(I3515),test),getMin(B3515,C3515,INDIRECT(J$2),INDIRECT(I3515),test))</f>
        <v>125.85135380491616</v>
      </c>
      <c r="E3515" s="5">
        <f ca="1">IF(getQuality(B3515)&lt;4,getOtherMax(B3515,C3515,INDIRECT(J$2),INDIRECT(I3515),test),getMax(B3515,C3515,INDIRECT(J$2),INDIRECT(I3515),test))</f>
        <v>169.16048810980774</v>
      </c>
      <c r="F3515" s="1" t="str">
        <f t="shared" si="219"/>
        <v>50</v>
      </c>
      <c r="G3515" s="1" t="str">
        <f t="shared" si="220"/>
        <v/>
      </c>
      <c r="I3515" s="1" t="str">
        <f t="shared" si="218"/>
        <v>威尔新数值1.06.xlsm!suitPower</v>
      </c>
    </row>
    <row r="3516" spans="1:9" x14ac:dyDescent="0.15">
      <c r="A3516" s="1">
        <v>3515</v>
      </c>
      <c r="B3516" s="1">
        <v>103050500</v>
      </c>
      <c r="C3516" s="1">
        <f t="shared" ref="C3516:C3579" si="221">C1041</f>
        <v>14</v>
      </c>
      <c r="D3516" s="5">
        <f ca="1">IF(getQuality(B3516)&lt;4,getOtherMin(B3516,C3516,INDIRECT(J$2),INDIRECT(I3516),test),getMin(B3516,C3516,INDIRECT(J$2),INDIRECT(I3516),test))</f>
        <v>125.85135380491616</v>
      </c>
      <c r="E3516" s="5">
        <f ca="1">IF(getQuality(B3516)&lt;4,getOtherMax(B3516,C3516,INDIRECT(J$2),INDIRECT(I3516),test),getMax(B3516,C3516,INDIRECT(J$2),INDIRECT(I3516),test))</f>
        <v>169.16048810980774</v>
      </c>
      <c r="F3516" s="1" t="str">
        <f t="shared" si="219"/>
        <v>50</v>
      </c>
      <c r="G3516" s="1" t="str">
        <f t="shared" si="220"/>
        <v/>
      </c>
      <c r="I3516" s="1" t="str">
        <f t="shared" si="218"/>
        <v>威尔新数值1.06.xlsm!suitPower</v>
      </c>
    </row>
    <row r="3517" spans="1:9" x14ac:dyDescent="0.15">
      <c r="A3517" s="1">
        <v>3516</v>
      </c>
      <c r="B3517" s="1">
        <v>103050500</v>
      </c>
      <c r="C3517" s="1">
        <f t="shared" si="221"/>
        <v>15</v>
      </c>
      <c r="D3517" s="5">
        <f ca="1">IF(getQuality(B3517)&lt;4,getOtherMin(B3517,C3517,INDIRECT(J$2),INDIRECT(I3517),test),getMin(B3517,C3517,INDIRECT(J$2),INDIRECT(I3517),test))</f>
        <v>125.85135380491616</v>
      </c>
      <c r="E3517" s="5">
        <f ca="1">IF(getQuality(B3517)&lt;4,getOtherMax(B3517,C3517,INDIRECT(J$2),INDIRECT(I3517),test),getMax(B3517,C3517,INDIRECT(J$2),INDIRECT(I3517),test))</f>
        <v>169.16048810980774</v>
      </c>
      <c r="F3517" s="1" t="str">
        <f t="shared" si="219"/>
        <v>50</v>
      </c>
      <c r="G3517" s="1" t="str">
        <f t="shared" si="220"/>
        <v/>
      </c>
      <c r="I3517" s="1" t="str">
        <f t="shared" si="218"/>
        <v>威尔新数值1.06.xlsm!suitPower</v>
      </c>
    </row>
    <row r="3518" spans="1:9" x14ac:dyDescent="0.15">
      <c r="A3518" s="1">
        <v>3517</v>
      </c>
      <c r="B3518" s="1">
        <v>103050500</v>
      </c>
      <c r="C3518" s="1">
        <f t="shared" si="221"/>
        <v>101</v>
      </c>
      <c r="D3518" s="5">
        <f ca="1">IF(getQuality(B3518)&lt;4,getOtherMin(B3518,C3518,INDIRECT(J$2),INDIRECT(I3518),test),getMin(B3518,C3518,INDIRECT(J$2),INDIRECT(I3518),test))</f>
        <v>0.11</v>
      </c>
      <c r="E3518" s="5">
        <f ca="1">IF(getQuality(B3518)&lt;4,getOtherMax(B3518,C3518,INDIRECT(J$2),INDIRECT(I3518),test),getMax(B3518,C3518,INDIRECT(J$2),INDIRECT(I3518),test))</f>
        <v>0.14000000000000001</v>
      </c>
      <c r="F3518" s="1" t="str">
        <f t="shared" si="219"/>
        <v>50</v>
      </c>
      <c r="G3518" s="1" t="str">
        <f t="shared" si="220"/>
        <v/>
      </c>
      <c r="I3518" s="1" t="str">
        <f t="shared" si="218"/>
        <v>威尔新数值1.06.xlsm!circlePer</v>
      </c>
    </row>
    <row r="3519" spans="1:9" x14ac:dyDescent="0.15">
      <c r="A3519" s="1">
        <v>3518</v>
      </c>
      <c r="B3519" s="1">
        <v>103050500</v>
      </c>
      <c r="C3519" s="1">
        <f t="shared" si="221"/>
        <v>102</v>
      </c>
      <c r="D3519" s="5">
        <f ca="1">IF(getQuality(B3519)&lt;4,getOtherMin(B3519,C3519,INDIRECT(J$2),INDIRECT(I3519),test),getMin(B3519,C3519,INDIRECT(J$2),INDIRECT(I3519),test))</f>
        <v>1</v>
      </c>
      <c r="E3519" s="5">
        <f ca="1">IF(getQuality(B3519)&lt;4,getOtherMax(B3519,C3519,INDIRECT(J$2),INDIRECT(I3519),test),getMax(B3519,C3519,INDIRECT(J$2),INDIRECT(I3519),test))</f>
        <v>1.3</v>
      </c>
      <c r="F3519" s="1" t="str">
        <f t="shared" si="219"/>
        <v>50</v>
      </c>
      <c r="G3519" s="1" t="str">
        <f t="shared" si="220"/>
        <v/>
      </c>
      <c r="I3519" s="1" t="str">
        <f t="shared" si="218"/>
        <v>威尔新数值1.06.xlsm!circleValue</v>
      </c>
    </row>
    <row r="3520" spans="1:9" x14ac:dyDescent="0.15">
      <c r="A3520" s="1">
        <v>3519</v>
      </c>
      <c r="B3520" s="1">
        <v>103050500</v>
      </c>
      <c r="C3520" s="1">
        <f t="shared" si="221"/>
        <v>103</v>
      </c>
      <c r="D3520" s="5">
        <f ca="1">IF(getQuality(B3520)&lt;4,getOtherMin(B3520,C3520,INDIRECT(J$2),INDIRECT(I3520),test),getMin(B3520,C3520,INDIRECT(J$2),INDIRECT(I3520),test))</f>
        <v>0.11</v>
      </c>
      <c r="E3520" s="5">
        <f ca="1">IF(getQuality(B3520)&lt;4,getOtherMax(B3520,C3520,INDIRECT(J$2),INDIRECT(I3520),test),getMax(B3520,C3520,INDIRECT(J$2),INDIRECT(I3520),test))</f>
        <v>0.14000000000000001</v>
      </c>
      <c r="F3520" s="1" t="str">
        <f t="shared" si="219"/>
        <v>50</v>
      </c>
      <c r="G3520" s="1" t="str">
        <f t="shared" si="220"/>
        <v/>
      </c>
      <c r="I3520" s="1" t="str">
        <f t="shared" si="218"/>
        <v>威尔新数值1.06.xlsm!otherDamage</v>
      </c>
    </row>
    <row r="3521" spans="1:9" x14ac:dyDescent="0.15">
      <c r="A3521" s="1">
        <v>3520</v>
      </c>
      <c r="B3521" s="1">
        <v>103050500</v>
      </c>
      <c r="C3521" s="1">
        <f t="shared" si="221"/>
        <v>104</v>
      </c>
      <c r="D3521" s="5">
        <f ca="1">IF(getQuality(B3521)&lt;4,getOtherMin(B3521,C3521,INDIRECT(J$2),INDIRECT(I3521),test),getMin(B3521,C3521,INDIRECT(J$2),INDIRECT(I3521),test))</f>
        <v>0.11</v>
      </c>
      <c r="E3521" s="5">
        <f ca="1">IF(getQuality(B3521)&lt;4,getOtherMax(B3521,C3521,INDIRECT(J$2),INDIRECT(I3521),test),getMax(B3521,C3521,INDIRECT(J$2),INDIRECT(I3521),test))</f>
        <v>0.22</v>
      </c>
      <c r="F3521" s="1" t="str">
        <f t="shared" si="219"/>
        <v>50</v>
      </c>
      <c r="G3521" s="1" t="str">
        <f t="shared" si="220"/>
        <v/>
      </c>
      <c r="I3521" s="1" t="str">
        <f t="shared" si="218"/>
        <v>威尔新数值1.06.xlsm!monsterDamage</v>
      </c>
    </row>
    <row r="3522" spans="1:9" x14ac:dyDescent="0.15">
      <c r="A3522" s="1">
        <v>3521</v>
      </c>
      <c r="B3522" s="1">
        <v>103050500</v>
      </c>
      <c r="C3522" s="1">
        <f t="shared" si="221"/>
        <v>105</v>
      </c>
      <c r="D3522" s="5">
        <f ca="1">IF(getQuality(B3522)&lt;4,getOtherMin(B3522,C3522,INDIRECT(J$2),INDIRECT(I3522),test),getMin(B3522,C3522,INDIRECT(J$2),INDIRECT(I3522),test))</f>
        <v>0.11</v>
      </c>
      <c r="E3522" s="5">
        <f ca="1">IF(getQuality(B3522)&lt;4,getOtherMax(B3522,C3522,INDIRECT(J$2),INDIRECT(I3522),test),getMax(B3522,C3522,INDIRECT(J$2),INDIRECT(I3522),test))</f>
        <v>0.22</v>
      </c>
      <c r="F3522" s="1" t="str">
        <f t="shared" si="219"/>
        <v>50</v>
      </c>
      <c r="G3522" s="1" t="str">
        <f t="shared" si="220"/>
        <v/>
      </c>
      <c r="I3522" s="1" t="str">
        <f t="shared" ref="I3522:I3585" si="222">IF(C3522&lt;100,VLOOKUP(C3522,test,3,FALSE),VLOOKUP(C3522,test1,3,FALSE))</f>
        <v>威尔新数值1.06.xlsm!monsterDamage</v>
      </c>
    </row>
    <row r="3523" spans="1:9" x14ac:dyDescent="0.15">
      <c r="A3523" s="1">
        <v>3522</v>
      </c>
      <c r="B3523" s="1">
        <v>103050500</v>
      </c>
      <c r="C3523" s="1">
        <f t="shared" si="221"/>
        <v>106</v>
      </c>
      <c r="D3523" s="5">
        <f ca="1">IF(getQuality(B3523)&lt;4,getOtherMin(B3523,C3523,INDIRECT(J$2),INDIRECT(I3523),test),getMin(B3523,C3523,INDIRECT(J$2),INDIRECT(I3523),test))</f>
        <v>0.11</v>
      </c>
      <c r="E3523" s="5">
        <f ca="1">IF(getQuality(B3523)&lt;4,getOtherMax(B3523,C3523,INDIRECT(J$2),INDIRECT(I3523),test),getMax(B3523,C3523,INDIRECT(J$2),INDIRECT(I3523),test))</f>
        <v>0.22</v>
      </c>
      <c r="F3523" s="1" t="str">
        <f t="shared" ref="F3523:F3586" si="223">getper(B3523,C3523)</f>
        <v>50</v>
      </c>
      <c r="G3523" s="1" t="str">
        <f t="shared" ref="G3523:G3586" si="224">getMust(B3523,C3523)</f>
        <v/>
      </c>
      <c r="I3523" s="1" t="str">
        <f t="shared" si="222"/>
        <v>威尔新数值1.06.xlsm!monsterDamage</v>
      </c>
    </row>
    <row r="3524" spans="1:9" x14ac:dyDescent="0.15">
      <c r="A3524" s="1">
        <v>3523</v>
      </c>
      <c r="B3524" s="1">
        <v>103050500</v>
      </c>
      <c r="C3524" s="1">
        <f t="shared" si="221"/>
        <v>107</v>
      </c>
      <c r="D3524" s="5">
        <f ca="1">IF(getQuality(B3524)&lt;4,getOtherMin(B3524,C3524,INDIRECT(J$2),INDIRECT(I3524),test),getMin(B3524,C3524,INDIRECT(J$2),INDIRECT(I3524),test))</f>
        <v>0.11</v>
      </c>
      <c r="E3524" s="5">
        <f ca="1">IF(getQuality(B3524)&lt;4,getOtherMax(B3524,C3524,INDIRECT(J$2),INDIRECT(I3524),test),getMax(B3524,C3524,INDIRECT(J$2),INDIRECT(I3524),test))</f>
        <v>0.22</v>
      </c>
      <c r="F3524" s="1" t="str">
        <f t="shared" si="223"/>
        <v>50</v>
      </c>
      <c r="G3524" s="1" t="str">
        <f t="shared" si="224"/>
        <v/>
      </c>
      <c r="I3524" s="1" t="str">
        <f t="shared" si="222"/>
        <v>威尔新数值1.06.xlsm!monsterDamage</v>
      </c>
    </row>
    <row r="3525" spans="1:9" x14ac:dyDescent="0.15">
      <c r="A3525" s="1">
        <v>3524</v>
      </c>
      <c r="B3525" s="1">
        <v>103050500</v>
      </c>
      <c r="C3525" s="1">
        <f t="shared" si="221"/>
        <v>108</v>
      </c>
      <c r="D3525" s="5">
        <f ca="1">IF(getQuality(B3525)&lt;4,getOtherMin(B3525,C3525,INDIRECT(J$2),INDIRECT(I3525),test),getMin(B3525,C3525,INDIRECT(J$2),INDIRECT(I3525),test))</f>
        <v>0.11</v>
      </c>
      <c r="E3525" s="5">
        <f ca="1">IF(getQuality(B3525)&lt;4,getOtherMax(B3525,C3525,INDIRECT(J$2),INDIRECT(I3525),test),getMax(B3525,C3525,INDIRECT(J$2),INDIRECT(I3525),test))</f>
        <v>0.22</v>
      </c>
      <c r="F3525" s="1" t="str">
        <f t="shared" si="223"/>
        <v>50</v>
      </c>
      <c r="G3525" s="1" t="str">
        <f t="shared" si="224"/>
        <v/>
      </c>
      <c r="I3525" s="1" t="str">
        <f t="shared" si="222"/>
        <v>威尔新数值1.06.xlsm!monsterDamage</v>
      </c>
    </row>
    <row r="3526" spans="1:9" x14ac:dyDescent="0.15">
      <c r="A3526" s="1">
        <v>3525</v>
      </c>
      <c r="B3526" s="1">
        <v>103060500</v>
      </c>
      <c r="C3526" s="1">
        <f t="shared" si="221"/>
        <v>3</v>
      </c>
      <c r="D3526" s="5">
        <f ca="1">IF(getQuality(B3526)&lt;4,getOtherMin(B3526,C3526,INDIRECT(J$2),INDIRECT(I3526),test),getMin(B3526,C3526,INDIRECT(J$2),INDIRECT(I3526),test))</f>
        <v>170.16048810980774</v>
      </c>
      <c r="E3526" s="5">
        <f ca="1">IF(getQuality(B3526)&lt;4,getOtherMax(B3526,C3526,INDIRECT(J$2),INDIRECT(I3526),test),getMax(B3526,C3526,INDIRECT(J$2),INDIRECT(I3526),test))</f>
        <v>217.39851117079806</v>
      </c>
      <c r="F3526" s="1" t="str">
        <f t="shared" si="223"/>
        <v>50</v>
      </c>
      <c r="G3526" s="1" t="str">
        <f t="shared" si="224"/>
        <v>1</v>
      </c>
      <c r="I3526" s="1" t="str">
        <f t="shared" si="222"/>
        <v>威尔新数值1.06.xlsm!suitPower</v>
      </c>
    </row>
    <row r="3527" spans="1:9" x14ac:dyDescent="0.15">
      <c r="A3527" s="1">
        <v>3526</v>
      </c>
      <c r="B3527" s="1">
        <v>103060500</v>
      </c>
      <c r="C3527" s="1">
        <f t="shared" si="221"/>
        <v>5</v>
      </c>
      <c r="D3527" s="5">
        <f ca="1">IF(getQuality(B3527)&lt;4,getOtherMin(B3527,C3527,INDIRECT(J$2),INDIRECT(I3527),test),getMin(B3527,C3527,INDIRECT(J$2),INDIRECT(I3527),test))</f>
        <v>170.16048810980774</v>
      </c>
      <c r="E3527" s="5">
        <f ca="1">IF(getQuality(B3527)&lt;4,getOtherMax(B3527,C3527,INDIRECT(J$2),INDIRECT(I3527),test),getMax(B3527,C3527,INDIRECT(J$2),INDIRECT(I3527),test))</f>
        <v>217.39851117079806</v>
      </c>
      <c r="F3527" s="1" t="str">
        <f t="shared" si="223"/>
        <v>50</v>
      </c>
      <c r="G3527" s="1" t="str">
        <f t="shared" si="224"/>
        <v/>
      </c>
      <c r="I3527" s="1" t="str">
        <f t="shared" si="222"/>
        <v>威尔新数值1.06.xlsm!suitPower</v>
      </c>
    </row>
    <row r="3528" spans="1:9" x14ac:dyDescent="0.15">
      <c r="A3528" s="1">
        <v>3527</v>
      </c>
      <c r="B3528" s="1">
        <v>103060500</v>
      </c>
      <c r="C3528" s="1">
        <f t="shared" si="221"/>
        <v>7</v>
      </c>
      <c r="D3528" s="5">
        <f ca="1">IF(getQuality(B3528)&lt;4,getOtherMin(B3528,C3528,INDIRECT(J$2),INDIRECT(I3528),test),getMin(B3528,C3528,INDIRECT(J$2),INDIRECT(I3528),test))</f>
        <v>38.037037037036946</v>
      </c>
      <c r="E3528" s="5">
        <f ca="1">IF(getQuality(B3528)&lt;4,getOtherMax(B3528,C3528,INDIRECT(J$2),INDIRECT(I3528),test),getMax(B3528,C3528,INDIRECT(J$2),INDIRECT(I3528),test))</f>
        <v>44.444444444444329</v>
      </c>
      <c r="F3528" s="1" t="str">
        <f t="shared" si="223"/>
        <v>50</v>
      </c>
      <c r="G3528" s="1" t="str">
        <f t="shared" si="224"/>
        <v/>
      </c>
      <c r="I3528" s="1" t="str">
        <f t="shared" si="222"/>
        <v>威尔新数值1.06.xlsm!suitPower</v>
      </c>
    </row>
    <row r="3529" spans="1:9" x14ac:dyDescent="0.15">
      <c r="A3529" s="1">
        <v>3528</v>
      </c>
      <c r="B3529" s="1">
        <v>103060500</v>
      </c>
      <c r="C3529" s="1">
        <f t="shared" si="221"/>
        <v>8</v>
      </c>
      <c r="D3529" s="5">
        <f ca="1">IF(getQuality(B3529)&lt;4,getOtherMin(B3529,C3529,INDIRECT(J$2),INDIRECT(I3529),test),getMin(B3529,C3529,INDIRECT(J$2),INDIRECT(I3529),test))</f>
        <v>84.333333333333329</v>
      </c>
      <c r="E3529" s="5">
        <f ca="1">IF(getQuality(B3529)&lt;4,getOtherMax(B3529,C3529,INDIRECT(J$2),INDIRECT(I3529),test),getMax(B3529,C3529,INDIRECT(J$2),INDIRECT(I3529),test))</f>
        <v>100</v>
      </c>
      <c r="F3529" s="1" t="str">
        <f t="shared" si="223"/>
        <v>50</v>
      </c>
      <c r="G3529" s="1" t="str">
        <f t="shared" si="224"/>
        <v/>
      </c>
      <c r="I3529" s="1" t="str">
        <f t="shared" si="222"/>
        <v>威尔新数值1.06.xlsm!suitPower</v>
      </c>
    </row>
    <row r="3530" spans="1:9" x14ac:dyDescent="0.15">
      <c r="A3530" s="1">
        <v>3529</v>
      </c>
      <c r="B3530" s="1">
        <v>103060500</v>
      </c>
      <c r="C3530" s="1">
        <f t="shared" si="221"/>
        <v>9</v>
      </c>
      <c r="D3530" s="5">
        <f ca="1">IF(getQuality(B3530)&lt;4,getOtherMin(B3530,C3530,INDIRECT(J$2),INDIRECT(I3530),test),getMin(B3530,C3530,INDIRECT(J$2),INDIRECT(I3530),test))</f>
        <v>170.16048810980774</v>
      </c>
      <c r="E3530" s="5">
        <f ca="1">IF(getQuality(B3530)&lt;4,getOtherMax(B3530,C3530,INDIRECT(J$2),INDIRECT(I3530),test),getMax(B3530,C3530,INDIRECT(J$2),INDIRECT(I3530),test))</f>
        <v>217.39851117079806</v>
      </c>
      <c r="F3530" s="1" t="str">
        <f t="shared" si="223"/>
        <v>50</v>
      </c>
      <c r="G3530" s="1" t="str">
        <f t="shared" si="224"/>
        <v/>
      </c>
      <c r="I3530" s="1" t="str">
        <f t="shared" si="222"/>
        <v>威尔新数值1.06.xlsm!suitPower</v>
      </c>
    </row>
    <row r="3531" spans="1:9" x14ac:dyDescent="0.15">
      <c r="A3531" s="1">
        <v>3530</v>
      </c>
      <c r="B3531" s="1">
        <v>103060500</v>
      </c>
      <c r="C3531" s="1">
        <f t="shared" si="221"/>
        <v>10</v>
      </c>
      <c r="D3531" s="5">
        <f ca="1">IF(getQuality(B3531)&lt;4,getOtherMin(B3531,C3531,INDIRECT(J$2),INDIRECT(I3531),test),getMin(B3531,C3531,INDIRECT(J$2),INDIRECT(I3531),test))</f>
        <v>170.16048810980774</v>
      </c>
      <c r="E3531" s="5">
        <f ca="1">IF(getQuality(B3531)&lt;4,getOtherMax(B3531,C3531,INDIRECT(J$2),INDIRECT(I3531),test),getMax(B3531,C3531,INDIRECT(J$2),INDIRECT(I3531),test))</f>
        <v>217.39851117079806</v>
      </c>
      <c r="F3531" s="1" t="str">
        <f t="shared" si="223"/>
        <v>50</v>
      </c>
      <c r="G3531" s="1" t="str">
        <f t="shared" si="224"/>
        <v/>
      </c>
      <c r="I3531" s="1" t="str">
        <f t="shared" si="222"/>
        <v>威尔新数值1.06.xlsm!suitPower</v>
      </c>
    </row>
    <row r="3532" spans="1:9" x14ac:dyDescent="0.15">
      <c r="A3532" s="1">
        <v>3531</v>
      </c>
      <c r="B3532" s="1">
        <v>103060500</v>
      </c>
      <c r="C3532" s="1">
        <f t="shared" si="221"/>
        <v>11</v>
      </c>
      <c r="D3532" s="5">
        <f ca="1">IF(getQuality(B3532)&lt;4,getOtherMin(B3532,C3532,INDIRECT(J$2),INDIRECT(I3532),test),getMin(B3532,C3532,INDIRECT(J$2),INDIRECT(I3532),test))</f>
        <v>170.16048810980774</v>
      </c>
      <c r="E3532" s="5">
        <f ca="1">IF(getQuality(B3532)&lt;4,getOtherMax(B3532,C3532,INDIRECT(J$2),INDIRECT(I3532),test),getMax(B3532,C3532,INDIRECT(J$2),INDIRECT(I3532),test))</f>
        <v>217.39851117079806</v>
      </c>
      <c r="F3532" s="1" t="str">
        <f t="shared" si="223"/>
        <v>50</v>
      </c>
      <c r="G3532" s="1" t="str">
        <f t="shared" si="224"/>
        <v/>
      </c>
      <c r="I3532" s="1" t="str">
        <f t="shared" si="222"/>
        <v>威尔新数值1.06.xlsm!suitPower</v>
      </c>
    </row>
    <row r="3533" spans="1:9" x14ac:dyDescent="0.15">
      <c r="A3533" s="1">
        <v>3532</v>
      </c>
      <c r="B3533" s="1">
        <v>103060500</v>
      </c>
      <c r="C3533" s="1">
        <f t="shared" si="221"/>
        <v>12</v>
      </c>
      <c r="D3533" s="5">
        <f ca="1">IF(getQuality(B3533)&lt;4,getOtherMin(B3533,C3533,INDIRECT(J$2),INDIRECT(I3533),test),getMin(B3533,C3533,INDIRECT(J$2),INDIRECT(I3533),test))</f>
        <v>170.16048810980774</v>
      </c>
      <c r="E3533" s="5">
        <f ca="1">IF(getQuality(B3533)&lt;4,getOtherMax(B3533,C3533,INDIRECT(J$2),INDIRECT(I3533),test),getMax(B3533,C3533,INDIRECT(J$2),INDIRECT(I3533),test))</f>
        <v>217.39851117079806</v>
      </c>
      <c r="F3533" s="1" t="str">
        <f t="shared" si="223"/>
        <v>50</v>
      </c>
      <c r="G3533" s="1" t="str">
        <f t="shared" si="224"/>
        <v/>
      </c>
      <c r="I3533" s="1" t="str">
        <f t="shared" si="222"/>
        <v>威尔新数值1.06.xlsm!suitPower</v>
      </c>
    </row>
    <row r="3534" spans="1:9" x14ac:dyDescent="0.15">
      <c r="A3534" s="1">
        <v>3533</v>
      </c>
      <c r="B3534" s="1">
        <v>103060500</v>
      </c>
      <c r="C3534" s="1">
        <f t="shared" si="221"/>
        <v>13</v>
      </c>
      <c r="D3534" s="5">
        <f ca="1">IF(getQuality(B3534)&lt;4,getOtherMin(B3534,C3534,INDIRECT(J$2),INDIRECT(I3534),test),getMin(B3534,C3534,INDIRECT(J$2),INDIRECT(I3534),test))</f>
        <v>170.16048810980774</v>
      </c>
      <c r="E3534" s="5">
        <f ca="1">IF(getQuality(B3534)&lt;4,getOtherMax(B3534,C3534,INDIRECT(J$2),INDIRECT(I3534),test),getMax(B3534,C3534,INDIRECT(J$2),INDIRECT(I3534),test))</f>
        <v>217.39851117079806</v>
      </c>
      <c r="F3534" s="1" t="str">
        <f t="shared" si="223"/>
        <v>50</v>
      </c>
      <c r="G3534" s="1" t="str">
        <f t="shared" si="224"/>
        <v/>
      </c>
      <c r="I3534" s="1" t="str">
        <f t="shared" si="222"/>
        <v>威尔新数值1.06.xlsm!suitPower</v>
      </c>
    </row>
    <row r="3535" spans="1:9" x14ac:dyDescent="0.15">
      <c r="A3535" s="1">
        <v>3534</v>
      </c>
      <c r="B3535" s="1">
        <v>103060500</v>
      </c>
      <c r="C3535" s="1">
        <f t="shared" si="221"/>
        <v>14</v>
      </c>
      <c r="D3535" s="5">
        <f ca="1">IF(getQuality(B3535)&lt;4,getOtherMin(B3535,C3535,INDIRECT(J$2),INDIRECT(I3535),test),getMin(B3535,C3535,INDIRECT(J$2),INDIRECT(I3535),test))</f>
        <v>170.16048810980774</v>
      </c>
      <c r="E3535" s="5">
        <f ca="1">IF(getQuality(B3535)&lt;4,getOtherMax(B3535,C3535,INDIRECT(J$2),INDIRECT(I3535),test),getMax(B3535,C3535,INDIRECT(J$2),INDIRECT(I3535),test))</f>
        <v>217.39851117079806</v>
      </c>
      <c r="F3535" s="1" t="str">
        <f t="shared" si="223"/>
        <v>50</v>
      </c>
      <c r="G3535" s="1" t="str">
        <f t="shared" si="224"/>
        <v/>
      </c>
      <c r="I3535" s="1" t="str">
        <f t="shared" si="222"/>
        <v>威尔新数值1.06.xlsm!suitPower</v>
      </c>
    </row>
    <row r="3536" spans="1:9" x14ac:dyDescent="0.15">
      <c r="A3536" s="1">
        <v>3535</v>
      </c>
      <c r="B3536" s="1">
        <v>103060500</v>
      </c>
      <c r="C3536" s="1">
        <f t="shared" si="221"/>
        <v>15</v>
      </c>
      <c r="D3536" s="5">
        <f ca="1">IF(getQuality(B3536)&lt;4,getOtherMin(B3536,C3536,INDIRECT(J$2),INDIRECT(I3536),test),getMin(B3536,C3536,INDIRECT(J$2),INDIRECT(I3536),test))</f>
        <v>170.16048810980774</v>
      </c>
      <c r="E3536" s="5">
        <f ca="1">IF(getQuality(B3536)&lt;4,getOtherMax(B3536,C3536,INDIRECT(J$2),INDIRECT(I3536),test),getMax(B3536,C3536,INDIRECT(J$2),INDIRECT(I3536),test))</f>
        <v>217.39851117079806</v>
      </c>
      <c r="F3536" s="1" t="str">
        <f t="shared" si="223"/>
        <v>50</v>
      </c>
      <c r="G3536" s="1" t="str">
        <f t="shared" si="224"/>
        <v/>
      </c>
      <c r="I3536" s="1" t="str">
        <f t="shared" si="222"/>
        <v>威尔新数值1.06.xlsm!suitPower</v>
      </c>
    </row>
    <row r="3537" spans="1:9" x14ac:dyDescent="0.15">
      <c r="A3537" s="1">
        <v>3536</v>
      </c>
      <c r="B3537" s="1">
        <v>103060500</v>
      </c>
      <c r="C3537" s="1">
        <f t="shared" si="221"/>
        <v>101</v>
      </c>
      <c r="D3537" s="5">
        <f ca="1">IF(getQuality(B3537)&lt;4,getOtherMin(B3537,C3537,INDIRECT(J$2),INDIRECT(I3537),test),getMin(B3537,C3537,INDIRECT(J$2),INDIRECT(I3537),test))</f>
        <v>0.12</v>
      </c>
      <c r="E3537" s="5">
        <f ca="1">IF(getQuality(B3537)&lt;4,getOtherMax(B3537,C3537,INDIRECT(J$2),INDIRECT(I3537),test),getMax(B3537,C3537,INDIRECT(J$2),INDIRECT(I3537),test))</f>
        <v>0.15</v>
      </c>
      <c r="F3537" s="1" t="str">
        <f t="shared" si="223"/>
        <v>50</v>
      </c>
      <c r="G3537" s="1" t="str">
        <f t="shared" si="224"/>
        <v/>
      </c>
      <c r="I3537" s="1" t="str">
        <f t="shared" si="222"/>
        <v>威尔新数值1.06.xlsm!circlePer</v>
      </c>
    </row>
    <row r="3538" spans="1:9" x14ac:dyDescent="0.15">
      <c r="A3538" s="1">
        <v>3537</v>
      </c>
      <c r="B3538" s="1">
        <v>103060500</v>
      </c>
      <c r="C3538" s="1">
        <f t="shared" si="221"/>
        <v>102</v>
      </c>
      <c r="D3538" s="5">
        <f ca="1">IF(getQuality(B3538)&lt;4,getOtherMin(B3538,C3538,INDIRECT(J$2),INDIRECT(I3538),test),getMin(B3538,C3538,INDIRECT(J$2),INDIRECT(I3538),test))</f>
        <v>1.1000000000000001</v>
      </c>
      <c r="E3538" s="5">
        <f ca="1">IF(getQuality(B3538)&lt;4,getOtherMax(B3538,C3538,INDIRECT(J$2),INDIRECT(I3538),test),getMax(B3538,C3538,INDIRECT(J$2),INDIRECT(I3538),test))</f>
        <v>1.4</v>
      </c>
      <c r="F3538" s="1" t="str">
        <f t="shared" si="223"/>
        <v>50</v>
      </c>
      <c r="G3538" s="1" t="str">
        <f t="shared" si="224"/>
        <v/>
      </c>
      <c r="I3538" s="1" t="str">
        <f t="shared" si="222"/>
        <v>威尔新数值1.06.xlsm!circleValue</v>
      </c>
    </row>
    <row r="3539" spans="1:9" x14ac:dyDescent="0.15">
      <c r="A3539" s="1">
        <v>3538</v>
      </c>
      <c r="B3539" s="1">
        <v>103060500</v>
      </c>
      <c r="C3539" s="1">
        <f t="shared" si="221"/>
        <v>103</v>
      </c>
      <c r="D3539" s="5">
        <f ca="1">IF(getQuality(B3539)&lt;4,getOtherMin(B3539,C3539,INDIRECT(J$2),INDIRECT(I3539),test),getMin(B3539,C3539,INDIRECT(J$2),INDIRECT(I3539),test))</f>
        <v>0.12</v>
      </c>
      <c r="E3539" s="5">
        <f ca="1">IF(getQuality(B3539)&lt;4,getOtherMax(B3539,C3539,INDIRECT(J$2),INDIRECT(I3539),test),getMax(B3539,C3539,INDIRECT(J$2),INDIRECT(I3539),test))</f>
        <v>0.15</v>
      </c>
      <c r="F3539" s="1" t="str">
        <f t="shared" si="223"/>
        <v>50</v>
      </c>
      <c r="G3539" s="1" t="str">
        <f t="shared" si="224"/>
        <v/>
      </c>
      <c r="I3539" s="1" t="str">
        <f t="shared" si="222"/>
        <v>威尔新数值1.06.xlsm!otherDamage</v>
      </c>
    </row>
    <row r="3540" spans="1:9" x14ac:dyDescent="0.15">
      <c r="A3540" s="1">
        <v>3539</v>
      </c>
      <c r="B3540" s="1">
        <v>103060500</v>
      </c>
      <c r="C3540" s="1">
        <f t="shared" si="221"/>
        <v>104</v>
      </c>
      <c r="D3540" s="5">
        <f ca="1">IF(getQuality(B3540)&lt;4,getOtherMin(B3540,C3540,INDIRECT(J$2),INDIRECT(I3540),test),getMin(B3540,C3540,INDIRECT(J$2),INDIRECT(I3540),test))</f>
        <v>0.12</v>
      </c>
      <c r="E3540" s="5">
        <f ca="1">IF(getQuality(B3540)&lt;4,getOtherMax(B3540,C3540,INDIRECT(J$2),INDIRECT(I3540),test),getMax(B3540,C3540,INDIRECT(J$2),INDIRECT(I3540),test))</f>
        <v>0.24</v>
      </c>
      <c r="F3540" s="1" t="str">
        <f t="shared" si="223"/>
        <v>50</v>
      </c>
      <c r="G3540" s="1" t="str">
        <f t="shared" si="224"/>
        <v/>
      </c>
      <c r="I3540" s="1" t="str">
        <f t="shared" si="222"/>
        <v>威尔新数值1.06.xlsm!monsterDamage</v>
      </c>
    </row>
    <row r="3541" spans="1:9" x14ac:dyDescent="0.15">
      <c r="A3541" s="1">
        <v>3540</v>
      </c>
      <c r="B3541" s="1">
        <v>103060500</v>
      </c>
      <c r="C3541" s="1">
        <f t="shared" si="221"/>
        <v>105</v>
      </c>
      <c r="D3541" s="5">
        <f ca="1">IF(getQuality(B3541)&lt;4,getOtherMin(B3541,C3541,INDIRECT(J$2),INDIRECT(I3541),test),getMin(B3541,C3541,INDIRECT(J$2),INDIRECT(I3541),test))</f>
        <v>0.12</v>
      </c>
      <c r="E3541" s="5">
        <f ca="1">IF(getQuality(B3541)&lt;4,getOtherMax(B3541,C3541,INDIRECT(J$2),INDIRECT(I3541),test),getMax(B3541,C3541,INDIRECT(J$2),INDIRECT(I3541),test))</f>
        <v>0.24</v>
      </c>
      <c r="F3541" s="1" t="str">
        <f t="shared" si="223"/>
        <v>50</v>
      </c>
      <c r="G3541" s="1" t="str">
        <f t="shared" si="224"/>
        <v/>
      </c>
      <c r="I3541" s="1" t="str">
        <f t="shared" si="222"/>
        <v>威尔新数值1.06.xlsm!monsterDamage</v>
      </c>
    </row>
    <row r="3542" spans="1:9" x14ac:dyDescent="0.15">
      <c r="A3542" s="1">
        <v>3541</v>
      </c>
      <c r="B3542" s="1">
        <v>103060500</v>
      </c>
      <c r="C3542" s="1">
        <f t="shared" si="221"/>
        <v>106</v>
      </c>
      <c r="D3542" s="5">
        <f ca="1">IF(getQuality(B3542)&lt;4,getOtherMin(B3542,C3542,INDIRECT(J$2),INDIRECT(I3542),test),getMin(B3542,C3542,INDIRECT(J$2),INDIRECT(I3542),test))</f>
        <v>0.12</v>
      </c>
      <c r="E3542" s="5">
        <f ca="1">IF(getQuality(B3542)&lt;4,getOtherMax(B3542,C3542,INDIRECT(J$2),INDIRECT(I3542),test),getMax(B3542,C3542,INDIRECT(J$2),INDIRECT(I3542),test))</f>
        <v>0.24</v>
      </c>
      <c r="F3542" s="1" t="str">
        <f t="shared" si="223"/>
        <v>50</v>
      </c>
      <c r="G3542" s="1" t="str">
        <f t="shared" si="224"/>
        <v/>
      </c>
      <c r="I3542" s="1" t="str">
        <f t="shared" si="222"/>
        <v>威尔新数值1.06.xlsm!monsterDamage</v>
      </c>
    </row>
    <row r="3543" spans="1:9" x14ac:dyDescent="0.15">
      <c r="A3543" s="1">
        <v>3542</v>
      </c>
      <c r="B3543" s="1">
        <v>103060500</v>
      </c>
      <c r="C3543" s="1">
        <f t="shared" si="221"/>
        <v>107</v>
      </c>
      <c r="D3543" s="5">
        <f ca="1">IF(getQuality(B3543)&lt;4,getOtherMin(B3543,C3543,INDIRECT(J$2),INDIRECT(I3543),test),getMin(B3543,C3543,INDIRECT(J$2),INDIRECT(I3543),test))</f>
        <v>0.12</v>
      </c>
      <c r="E3543" s="5">
        <f ca="1">IF(getQuality(B3543)&lt;4,getOtherMax(B3543,C3543,INDIRECT(J$2),INDIRECT(I3543),test),getMax(B3543,C3543,INDIRECT(J$2),INDIRECT(I3543),test))</f>
        <v>0.24</v>
      </c>
      <c r="F3543" s="1" t="str">
        <f t="shared" si="223"/>
        <v>50</v>
      </c>
      <c r="G3543" s="1" t="str">
        <f t="shared" si="224"/>
        <v/>
      </c>
      <c r="I3543" s="1" t="str">
        <f t="shared" si="222"/>
        <v>威尔新数值1.06.xlsm!monsterDamage</v>
      </c>
    </row>
    <row r="3544" spans="1:9" x14ac:dyDescent="0.15">
      <c r="A3544" s="1">
        <v>3543</v>
      </c>
      <c r="B3544" s="1">
        <v>103060500</v>
      </c>
      <c r="C3544" s="1">
        <f t="shared" si="221"/>
        <v>108</v>
      </c>
      <c r="D3544" s="5">
        <f ca="1">IF(getQuality(B3544)&lt;4,getOtherMin(B3544,C3544,INDIRECT(J$2),INDIRECT(I3544),test),getMin(B3544,C3544,INDIRECT(J$2),INDIRECT(I3544),test))</f>
        <v>0.12</v>
      </c>
      <c r="E3544" s="5">
        <f ca="1">IF(getQuality(B3544)&lt;4,getOtherMax(B3544,C3544,INDIRECT(J$2),INDIRECT(I3544),test),getMax(B3544,C3544,INDIRECT(J$2),INDIRECT(I3544),test))</f>
        <v>0.24</v>
      </c>
      <c r="F3544" s="1" t="str">
        <f t="shared" si="223"/>
        <v>50</v>
      </c>
      <c r="G3544" s="1" t="str">
        <f t="shared" si="224"/>
        <v/>
      </c>
      <c r="I3544" s="1" t="str">
        <f t="shared" si="222"/>
        <v>威尔新数值1.06.xlsm!monsterDamage</v>
      </c>
    </row>
    <row r="3545" spans="1:9" x14ac:dyDescent="0.15">
      <c r="A3545" s="1">
        <v>3544</v>
      </c>
      <c r="B3545" s="1">
        <v>103070500</v>
      </c>
      <c r="C3545" s="1">
        <f t="shared" si="221"/>
        <v>3</v>
      </c>
      <c r="D3545" s="5">
        <f ca="1">IF(getQuality(B3545)&lt;4,getOtherMin(B3545,C3545,INDIRECT(J$2),INDIRECT(I3545),test),getMin(B3545,C3545,INDIRECT(J$2),INDIRECT(I3545),test))</f>
        <v>218.39851117079806</v>
      </c>
      <c r="E3545" s="5">
        <f ca="1">IF(getQuality(B3545)&lt;4,getOtherMax(B3545,C3545,INDIRECT(J$2),INDIRECT(I3545),test),getMax(B3545,C3545,INDIRECT(J$2),INDIRECT(I3545),test))</f>
        <v>270.43850937813136</v>
      </c>
      <c r="F3545" s="1" t="str">
        <f t="shared" si="223"/>
        <v>50</v>
      </c>
      <c r="G3545" s="1" t="str">
        <f t="shared" si="224"/>
        <v>1</v>
      </c>
      <c r="I3545" s="1" t="str">
        <f t="shared" si="222"/>
        <v>威尔新数值1.06.xlsm!suitPower</v>
      </c>
    </row>
    <row r="3546" spans="1:9" x14ac:dyDescent="0.15">
      <c r="A3546" s="1">
        <v>3545</v>
      </c>
      <c r="B3546" s="1">
        <v>103070500</v>
      </c>
      <c r="C3546" s="1">
        <f t="shared" si="221"/>
        <v>5</v>
      </c>
      <c r="D3546" s="5">
        <f ca="1">IF(getQuality(B3546)&lt;4,getOtherMin(B3546,C3546,INDIRECT(J$2),INDIRECT(I3546),test),getMin(B3546,C3546,INDIRECT(J$2),INDIRECT(I3546),test))</f>
        <v>218.39851117079806</v>
      </c>
      <c r="E3546" s="5">
        <f ca="1">IF(getQuality(B3546)&lt;4,getOtherMax(B3546,C3546,INDIRECT(J$2),INDIRECT(I3546),test),getMax(B3546,C3546,INDIRECT(J$2),INDIRECT(I3546),test))</f>
        <v>270.43850937813136</v>
      </c>
      <c r="F3546" s="1" t="str">
        <f t="shared" si="223"/>
        <v>50</v>
      </c>
      <c r="G3546" s="1" t="str">
        <f t="shared" si="224"/>
        <v/>
      </c>
      <c r="I3546" s="1" t="str">
        <f t="shared" si="222"/>
        <v>威尔新数值1.06.xlsm!suitPower</v>
      </c>
    </row>
    <row r="3547" spans="1:9" x14ac:dyDescent="0.15">
      <c r="A3547" s="1">
        <v>3546</v>
      </c>
      <c r="B3547" s="1">
        <v>103070500</v>
      </c>
      <c r="C3547" s="1">
        <f t="shared" si="221"/>
        <v>7</v>
      </c>
      <c r="D3547" s="5">
        <f ca="1">IF(getQuality(B3547)&lt;4,getOtherMin(B3547,C3547,INDIRECT(J$2),INDIRECT(I3547),test),getMin(B3547,C3547,INDIRECT(J$2),INDIRECT(I3547),test))</f>
        <v>45.444444444444329</v>
      </c>
      <c r="E3547" s="5">
        <f ca="1">IF(getQuality(B3547)&lt;4,getOtherMax(B3547,C3547,INDIRECT(J$2),INDIRECT(I3547),test),getMax(B3547,C3547,INDIRECT(J$2),INDIRECT(I3547),test))</f>
        <v>51.85185185185172</v>
      </c>
      <c r="F3547" s="1" t="str">
        <f t="shared" si="223"/>
        <v>50</v>
      </c>
      <c r="G3547" s="1" t="str">
        <f t="shared" si="224"/>
        <v/>
      </c>
      <c r="I3547" s="1" t="str">
        <f t="shared" si="222"/>
        <v>威尔新数值1.06.xlsm!suitPower</v>
      </c>
    </row>
    <row r="3548" spans="1:9" x14ac:dyDescent="0.15">
      <c r="A3548" s="1">
        <v>3547</v>
      </c>
      <c r="B3548" s="1">
        <v>103070500</v>
      </c>
      <c r="C3548" s="1">
        <f t="shared" si="221"/>
        <v>8</v>
      </c>
      <c r="D3548" s="5">
        <f ca="1">IF(getQuality(B3548)&lt;4,getOtherMin(B3548,C3548,INDIRECT(J$2),INDIRECT(I3548),test),getMin(B3548,C3548,INDIRECT(J$2),INDIRECT(I3548),test))</f>
        <v>101</v>
      </c>
      <c r="E3548" s="5">
        <f ca="1">IF(getQuality(B3548)&lt;4,getOtherMax(B3548,C3548,INDIRECT(J$2),INDIRECT(I3548),test),getMax(B3548,C3548,INDIRECT(J$2),INDIRECT(I3548),test))</f>
        <v>116.66666666666667</v>
      </c>
      <c r="F3548" s="1" t="str">
        <f t="shared" si="223"/>
        <v>50</v>
      </c>
      <c r="G3548" s="1" t="str">
        <f t="shared" si="224"/>
        <v/>
      </c>
      <c r="I3548" s="1" t="str">
        <f t="shared" si="222"/>
        <v>威尔新数值1.06.xlsm!suitPower</v>
      </c>
    </row>
    <row r="3549" spans="1:9" x14ac:dyDescent="0.15">
      <c r="A3549" s="1">
        <v>3548</v>
      </c>
      <c r="B3549" s="1">
        <v>103070500</v>
      </c>
      <c r="C3549" s="1">
        <f t="shared" si="221"/>
        <v>9</v>
      </c>
      <c r="D3549" s="5">
        <f ca="1">IF(getQuality(B3549)&lt;4,getOtherMin(B3549,C3549,INDIRECT(J$2),INDIRECT(I3549),test),getMin(B3549,C3549,INDIRECT(J$2),INDIRECT(I3549),test))</f>
        <v>218.39851117079806</v>
      </c>
      <c r="E3549" s="5">
        <f ca="1">IF(getQuality(B3549)&lt;4,getOtherMax(B3549,C3549,INDIRECT(J$2),INDIRECT(I3549),test),getMax(B3549,C3549,INDIRECT(J$2),INDIRECT(I3549),test))</f>
        <v>270.43850937813136</v>
      </c>
      <c r="F3549" s="1" t="str">
        <f t="shared" si="223"/>
        <v>50</v>
      </c>
      <c r="G3549" s="1" t="str">
        <f t="shared" si="224"/>
        <v/>
      </c>
      <c r="I3549" s="1" t="str">
        <f t="shared" si="222"/>
        <v>威尔新数值1.06.xlsm!suitPower</v>
      </c>
    </row>
    <row r="3550" spans="1:9" x14ac:dyDescent="0.15">
      <c r="A3550" s="1">
        <v>3549</v>
      </c>
      <c r="B3550" s="1">
        <v>103070500</v>
      </c>
      <c r="C3550" s="1">
        <f t="shared" si="221"/>
        <v>10</v>
      </c>
      <c r="D3550" s="5">
        <f ca="1">IF(getQuality(B3550)&lt;4,getOtherMin(B3550,C3550,INDIRECT(J$2),INDIRECT(I3550),test),getMin(B3550,C3550,INDIRECT(J$2),INDIRECT(I3550),test))</f>
        <v>218.39851117079806</v>
      </c>
      <c r="E3550" s="5">
        <f ca="1">IF(getQuality(B3550)&lt;4,getOtherMax(B3550,C3550,INDIRECT(J$2),INDIRECT(I3550),test),getMax(B3550,C3550,INDIRECT(J$2),INDIRECT(I3550),test))</f>
        <v>270.43850937813136</v>
      </c>
      <c r="F3550" s="1" t="str">
        <f t="shared" si="223"/>
        <v>50</v>
      </c>
      <c r="G3550" s="1" t="str">
        <f t="shared" si="224"/>
        <v/>
      </c>
      <c r="I3550" s="1" t="str">
        <f t="shared" si="222"/>
        <v>威尔新数值1.06.xlsm!suitPower</v>
      </c>
    </row>
    <row r="3551" spans="1:9" x14ac:dyDescent="0.15">
      <c r="A3551" s="1">
        <v>3550</v>
      </c>
      <c r="B3551" s="1">
        <v>103070500</v>
      </c>
      <c r="C3551" s="1">
        <f t="shared" si="221"/>
        <v>11</v>
      </c>
      <c r="D3551" s="5">
        <f ca="1">IF(getQuality(B3551)&lt;4,getOtherMin(B3551,C3551,INDIRECT(J$2),INDIRECT(I3551),test),getMin(B3551,C3551,INDIRECT(J$2),INDIRECT(I3551),test))</f>
        <v>218.39851117079806</v>
      </c>
      <c r="E3551" s="5">
        <f ca="1">IF(getQuality(B3551)&lt;4,getOtherMax(B3551,C3551,INDIRECT(J$2),INDIRECT(I3551),test),getMax(B3551,C3551,INDIRECT(J$2),INDIRECT(I3551),test))</f>
        <v>270.43850937813136</v>
      </c>
      <c r="F3551" s="1" t="str">
        <f t="shared" si="223"/>
        <v>50</v>
      </c>
      <c r="G3551" s="1" t="str">
        <f t="shared" si="224"/>
        <v/>
      </c>
      <c r="I3551" s="1" t="str">
        <f t="shared" si="222"/>
        <v>威尔新数值1.06.xlsm!suitPower</v>
      </c>
    </row>
    <row r="3552" spans="1:9" x14ac:dyDescent="0.15">
      <c r="A3552" s="1">
        <v>3551</v>
      </c>
      <c r="B3552" s="1">
        <v>103070500</v>
      </c>
      <c r="C3552" s="1">
        <f t="shared" si="221"/>
        <v>12</v>
      </c>
      <c r="D3552" s="5">
        <f ca="1">IF(getQuality(B3552)&lt;4,getOtherMin(B3552,C3552,INDIRECT(J$2),INDIRECT(I3552),test),getMin(B3552,C3552,INDIRECT(J$2),INDIRECT(I3552),test))</f>
        <v>218.39851117079806</v>
      </c>
      <c r="E3552" s="5">
        <f ca="1">IF(getQuality(B3552)&lt;4,getOtherMax(B3552,C3552,INDIRECT(J$2),INDIRECT(I3552),test),getMax(B3552,C3552,INDIRECT(J$2),INDIRECT(I3552),test))</f>
        <v>270.43850937813136</v>
      </c>
      <c r="F3552" s="1" t="str">
        <f t="shared" si="223"/>
        <v>50</v>
      </c>
      <c r="G3552" s="1" t="str">
        <f t="shared" si="224"/>
        <v/>
      </c>
      <c r="I3552" s="1" t="str">
        <f t="shared" si="222"/>
        <v>威尔新数值1.06.xlsm!suitPower</v>
      </c>
    </row>
    <row r="3553" spans="1:9" x14ac:dyDescent="0.15">
      <c r="A3553" s="1">
        <v>3552</v>
      </c>
      <c r="B3553" s="1">
        <v>103070500</v>
      </c>
      <c r="C3553" s="1">
        <f t="shared" si="221"/>
        <v>13</v>
      </c>
      <c r="D3553" s="5">
        <f ca="1">IF(getQuality(B3553)&lt;4,getOtherMin(B3553,C3553,INDIRECT(J$2),INDIRECT(I3553),test),getMin(B3553,C3553,INDIRECT(J$2),INDIRECT(I3553),test))</f>
        <v>218.39851117079806</v>
      </c>
      <c r="E3553" s="5">
        <f ca="1">IF(getQuality(B3553)&lt;4,getOtherMax(B3553,C3553,INDIRECT(J$2),INDIRECT(I3553),test),getMax(B3553,C3553,INDIRECT(J$2),INDIRECT(I3553),test))</f>
        <v>270.43850937813136</v>
      </c>
      <c r="F3553" s="1" t="str">
        <f t="shared" si="223"/>
        <v>50</v>
      </c>
      <c r="G3553" s="1" t="str">
        <f t="shared" si="224"/>
        <v/>
      </c>
      <c r="I3553" s="1" t="str">
        <f t="shared" si="222"/>
        <v>威尔新数值1.06.xlsm!suitPower</v>
      </c>
    </row>
    <row r="3554" spans="1:9" x14ac:dyDescent="0.15">
      <c r="A3554" s="1">
        <v>3553</v>
      </c>
      <c r="B3554" s="1">
        <v>103070500</v>
      </c>
      <c r="C3554" s="1">
        <f t="shared" si="221"/>
        <v>14</v>
      </c>
      <c r="D3554" s="5">
        <f ca="1">IF(getQuality(B3554)&lt;4,getOtherMin(B3554,C3554,INDIRECT(J$2),INDIRECT(I3554),test),getMin(B3554,C3554,INDIRECT(J$2),INDIRECT(I3554),test))</f>
        <v>218.39851117079806</v>
      </c>
      <c r="E3554" s="5">
        <f ca="1">IF(getQuality(B3554)&lt;4,getOtherMax(B3554,C3554,INDIRECT(J$2),INDIRECT(I3554),test),getMax(B3554,C3554,INDIRECT(J$2),INDIRECT(I3554),test))</f>
        <v>270.43850937813136</v>
      </c>
      <c r="F3554" s="1" t="str">
        <f t="shared" si="223"/>
        <v>50</v>
      </c>
      <c r="G3554" s="1" t="str">
        <f t="shared" si="224"/>
        <v/>
      </c>
      <c r="I3554" s="1" t="str">
        <f t="shared" si="222"/>
        <v>威尔新数值1.06.xlsm!suitPower</v>
      </c>
    </row>
    <row r="3555" spans="1:9" x14ac:dyDescent="0.15">
      <c r="A3555" s="1">
        <v>3554</v>
      </c>
      <c r="B3555" s="1">
        <v>103070500</v>
      </c>
      <c r="C3555" s="1">
        <f t="shared" si="221"/>
        <v>15</v>
      </c>
      <c r="D3555" s="5">
        <f ca="1">IF(getQuality(B3555)&lt;4,getOtherMin(B3555,C3555,INDIRECT(J$2),INDIRECT(I3555),test),getMin(B3555,C3555,INDIRECT(J$2),INDIRECT(I3555),test))</f>
        <v>218.39851117079806</v>
      </c>
      <c r="E3555" s="5">
        <f ca="1">IF(getQuality(B3555)&lt;4,getOtherMax(B3555,C3555,INDIRECT(J$2),INDIRECT(I3555),test),getMax(B3555,C3555,INDIRECT(J$2),INDIRECT(I3555),test))</f>
        <v>270.43850937813136</v>
      </c>
      <c r="F3555" s="1" t="str">
        <f t="shared" si="223"/>
        <v>50</v>
      </c>
      <c r="G3555" s="1" t="str">
        <f t="shared" si="224"/>
        <v/>
      </c>
      <c r="I3555" s="1" t="str">
        <f t="shared" si="222"/>
        <v>威尔新数值1.06.xlsm!suitPower</v>
      </c>
    </row>
    <row r="3556" spans="1:9" x14ac:dyDescent="0.15">
      <c r="A3556" s="1">
        <v>3555</v>
      </c>
      <c r="B3556" s="1">
        <v>103070500</v>
      </c>
      <c r="C3556" s="1">
        <f t="shared" si="221"/>
        <v>101</v>
      </c>
      <c r="D3556" s="5">
        <f ca="1">IF(getQuality(B3556)&lt;4,getOtherMin(B3556,C3556,INDIRECT(J$2),INDIRECT(I3556),test),getMin(B3556,C3556,INDIRECT(J$2),INDIRECT(I3556),test))</f>
        <v>0.13</v>
      </c>
      <c r="E3556" s="5">
        <f ca="1">IF(getQuality(B3556)&lt;4,getOtherMax(B3556,C3556,INDIRECT(J$2),INDIRECT(I3556),test),getMax(B3556,C3556,INDIRECT(J$2),INDIRECT(I3556),test))</f>
        <v>0.16</v>
      </c>
      <c r="F3556" s="1" t="str">
        <f t="shared" si="223"/>
        <v>50</v>
      </c>
      <c r="G3556" s="1" t="str">
        <f t="shared" si="224"/>
        <v/>
      </c>
      <c r="I3556" s="1" t="str">
        <f t="shared" si="222"/>
        <v>威尔新数值1.06.xlsm!circlePer</v>
      </c>
    </row>
    <row r="3557" spans="1:9" x14ac:dyDescent="0.15">
      <c r="A3557" s="1">
        <v>3556</v>
      </c>
      <c r="B3557" s="1">
        <v>103070500</v>
      </c>
      <c r="C3557" s="1">
        <f t="shared" si="221"/>
        <v>102</v>
      </c>
      <c r="D3557" s="5">
        <f ca="1">IF(getQuality(B3557)&lt;4,getOtherMin(B3557,C3557,INDIRECT(J$2),INDIRECT(I3557),test),getMin(B3557,C3557,INDIRECT(J$2),INDIRECT(I3557),test))</f>
        <v>1.2</v>
      </c>
      <c r="E3557" s="5">
        <f ca="1">IF(getQuality(B3557)&lt;4,getOtherMax(B3557,C3557,INDIRECT(J$2),INDIRECT(I3557),test),getMax(B3557,C3557,INDIRECT(J$2),INDIRECT(I3557),test))</f>
        <v>1.5</v>
      </c>
      <c r="F3557" s="1" t="str">
        <f t="shared" si="223"/>
        <v>50</v>
      </c>
      <c r="G3557" s="1" t="str">
        <f t="shared" si="224"/>
        <v/>
      </c>
      <c r="I3557" s="1" t="str">
        <f t="shared" si="222"/>
        <v>威尔新数值1.06.xlsm!circleValue</v>
      </c>
    </row>
    <row r="3558" spans="1:9" x14ac:dyDescent="0.15">
      <c r="A3558" s="1">
        <v>3557</v>
      </c>
      <c r="B3558" s="1">
        <v>103070500</v>
      </c>
      <c r="C3558" s="1">
        <f t="shared" si="221"/>
        <v>103</v>
      </c>
      <c r="D3558" s="5">
        <f ca="1">IF(getQuality(B3558)&lt;4,getOtherMin(B3558,C3558,INDIRECT(J$2),INDIRECT(I3558),test),getMin(B3558,C3558,INDIRECT(J$2),INDIRECT(I3558),test))</f>
        <v>0.13</v>
      </c>
      <c r="E3558" s="5">
        <f ca="1">IF(getQuality(B3558)&lt;4,getOtherMax(B3558,C3558,INDIRECT(J$2),INDIRECT(I3558),test),getMax(B3558,C3558,INDIRECT(J$2),INDIRECT(I3558),test))</f>
        <v>0.16</v>
      </c>
      <c r="F3558" s="1" t="str">
        <f t="shared" si="223"/>
        <v>50</v>
      </c>
      <c r="G3558" s="1" t="str">
        <f t="shared" si="224"/>
        <v/>
      </c>
      <c r="I3558" s="1" t="str">
        <f t="shared" si="222"/>
        <v>威尔新数值1.06.xlsm!otherDamage</v>
      </c>
    </row>
    <row r="3559" spans="1:9" x14ac:dyDescent="0.15">
      <c r="A3559" s="1">
        <v>3558</v>
      </c>
      <c r="B3559" s="1">
        <v>103070500</v>
      </c>
      <c r="C3559" s="1">
        <f t="shared" si="221"/>
        <v>104</v>
      </c>
      <c r="D3559" s="5">
        <f ca="1">IF(getQuality(B3559)&lt;4,getOtherMin(B3559,C3559,INDIRECT(J$2),INDIRECT(I3559),test),getMin(B3559,C3559,INDIRECT(J$2),INDIRECT(I3559),test))</f>
        <v>0.13</v>
      </c>
      <c r="E3559" s="5">
        <f ca="1">IF(getQuality(B3559)&lt;4,getOtherMax(B3559,C3559,INDIRECT(J$2),INDIRECT(I3559),test),getMax(B3559,C3559,INDIRECT(J$2),INDIRECT(I3559),test))</f>
        <v>0.26</v>
      </c>
      <c r="F3559" s="1" t="str">
        <f t="shared" si="223"/>
        <v>50</v>
      </c>
      <c r="G3559" s="1" t="str">
        <f t="shared" si="224"/>
        <v/>
      </c>
      <c r="I3559" s="1" t="str">
        <f t="shared" si="222"/>
        <v>威尔新数值1.06.xlsm!monsterDamage</v>
      </c>
    </row>
    <row r="3560" spans="1:9" x14ac:dyDescent="0.15">
      <c r="A3560" s="1">
        <v>3559</v>
      </c>
      <c r="B3560" s="1">
        <v>103070500</v>
      </c>
      <c r="C3560" s="1">
        <f t="shared" si="221"/>
        <v>105</v>
      </c>
      <c r="D3560" s="5">
        <f ca="1">IF(getQuality(B3560)&lt;4,getOtherMin(B3560,C3560,INDIRECT(J$2),INDIRECT(I3560),test),getMin(B3560,C3560,INDIRECT(J$2),INDIRECT(I3560),test))</f>
        <v>0.13</v>
      </c>
      <c r="E3560" s="5">
        <f ca="1">IF(getQuality(B3560)&lt;4,getOtherMax(B3560,C3560,INDIRECT(J$2),INDIRECT(I3560),test),getMax(B3560,C3560,INDIRECT(J$2),INDIRECT(I3560),test))</f>
        <v>0.26</v>
      </c>
      <c r="F3560" s="1" t="str">
        <f t="shared" si="223"/>
        <v>50</v>
      </c>
      <c r="G3560" s="1" t="str">
        <f t="shared" si="224"/>
        <v/>
      </c>
      <c r="I3560" s="1" t="str">
        <f t="shared" si="222"/>
        <v>威尔新数值1.06.xlsm!monsterDamage</v>
      </c>
    </row>
    <row r="3561" spans="1:9" x14ac:dyDescent="0.15">
      <c r="A3561" s="1">
        <v>3560</v>
      </c>
      <c r="B3561" s="1">
        <v>103070500</v>
      </c>
      <c r="C3561" s="1">
        <f t="shared" si="221"/>
        <v>106</v>
      </c>
      <c r="D3561" s="5">
        <f ca="1">IF(getQuality(B3561)&lt;4,getOtherMin(B3561,C3561,INDIRECT(J$2),INDIRECT(I3561),test),getMin(B3561,C3561,INDIRECT(J$2),INDIRECT(I3561),test))</f>
        <v>0.13</v>
      </c>
      <c r="E3561" s="5">
        <f ca="1">IF(getQuality(B3561)&lt;4,getOtherMax(B3561,C3561,INDIRECT(J$2),INDIRECT(I3561),test),getMax(B3561,C3561,INDIRECT(J$2),INDIRECT(I3561),test))</f>
        <v>0.26</v>
      </c>
      <c r="F3561" s="1" t="str">
        <f t="shared" si="223"/>
        <v>50</v>
      </c>
      <c r="G3561" s="1" t="str">
        <f t="shared" si="224"/>
        <v/>
      </c>
      <c r="I3561" s="1" t="str">
        <f t="shared" si="222"/>
        <v>威尔新数值1.06.xlsm!monsterDamage</v>
      </c>
    </row>
    <row r="3562" spans="1:9" x14ac:dyDescent="0.15">
      <c r="A3562" s="1">
        <v>3561</v>
      </c>
      <c r="B3562" s="1">
        <v>103070500</v>
      </c>
      <c r="C3562" s="1">
        <f t="shared" si="221"/>
        <v>107</v>
      </c>
      <c r="D3562" s="5">
        <f ca="1">IF(getQuality(B3562)&lt;4,getOtherMin(B3562,C3562,INDIRECT(J$2),INDIRECT(I3562),test),getMin(B3562,C3562,INDIRECT(J$2),INDIRECT(I3562),test))</f>
        <v>0.13</v>
      </c>
      <c r="E3562" s="5">
        <f ca="1">IF(getQuality(B3562)&lt;4,getOtherMax(B3562,C3562,INDIRECT(J$2),INDIRECT(I3562),test),getMax(B3562,C3562,INDIRECT(J$2),INDIRECT(I3562),test))</f>
        <v>0.26</v>
      </c>
      <c r="F3562" s="1" t="str">
        <f t="shared" si="223"/>
        <v>50</v>
      </c>
      <c r="G3562" s="1" t="str">
        <f t="shared" si="224"/>
        <v/>
      </c>
      <c r="I3562" s="1" t="str">
        <f t="shared" si="222"/>
        <v>威尔新数值1.06.xlsm!monsterDamage</v>
      </c>
    </row>
    <row r="3563" spans="1:9" x14ac:dyDescent="0.15">
      <c r="A3563" s="1">
        <v>3562</v>
      </c>
      <c r="B3563" s="1">
        <v>103070500</v>
      </c>
      <c r="C3563" s="1">
        <f t="shared" si="221"/>
        <v>108</v>
      </c>
      <c r="D3563" s="5">
        <f ca="1">IF(getQuality(B3563)&lt;4,getOtherMin(B3563,C3563,INDIRECT(J$2),INDIRECT(I3563),test),getMin(B3563,C3563,INDIRECT(J$2),INDIRECT(I3563),test))</f>
        <v>0.13</v>
      </c>
      <c r="E3563" s="5">
        <f ca="1">IF(getQuality(B3563)&lt;4,getOtherMax(B3563,C3563,INDIRECT(J$2),INDIRECT(I3563),test),getMax(B3563,C3563,INDIRECT(J$2),INDIRECT(I3563),test))</f>
        <v>0.26</v>
      </c>
      <c r="F3563" s="1" t="str">
        <f t="shared" si="223"/>
        <v>50</v>
      </c>
      <c r="G3563" s="1" t="str">
        <f t="shared" si="224"/>
        <v/>
      </c>
      <c r="I3563" s="1" t="str">
        <f t="shared" si="222"/>
        <v>威尔新数值1.06.xlsm!monsterDamage</v>
      </c>
    </row>
    <row r="3564" spans="1:9" x14ac:dyDescent="0.15">
      <c r="A3564" s="1">
        <v>3563</v>
      </c>
      <c r="B3564" s="1">
        <v>103080500</v>
      </c>
      <c r="C3564" s="1">
        <f t="shared" si="221"/>
        <v>3</v>
      </c>
      <c r="D3564" s="5">
        <f ca="1">IF(getQuality(B3564)&lt;4,getOtherMin(B3564,C3564,INDIRECT(J$2),INDIRECT(I3564),test),getMin(B3564,C3564,INDIRECT(J$2),INDIRECT(I3564),test))</f>
        <v>271.43850937813136</v>
      </c>
      <c r="E3564" s="5">
        <f ca="1">IF(getQuality(B3564)&lt;4,getOtherMax(B3564,C3564,INDIRECT(J$2),INDIRECT(I3564),test),getMax(B3564,C3564,INDIRECT(J$2),INDIRECT(I3564),test))</f>
        <v>328.28048273180752</v>
      </c>
      <c r="F3564" s="1" t="str">
        <f t="shared" si="223"/>
        <v>50</v>
      </c>
      <c r="G3564" s="1" t="str">
        <f t="shared" si="224"/>
        <v>1</v>
      </c>
      <c r="I3564" s="1" t="str">
        <f t="shared" si="222"/>
        <v>威尔新数值1.06.xlsm!suitPower</v>
      </c>
    </row>
    <row r="3565" spans="1:9" x14ac:dyDescent="0.15">
      <c r="A3565" s="1">
        <v>3564</v>
      </c>
      <c r="B3565" s="1">
        <v>103080500</v>
      </c>
      <c r="C3565" s="1">
        <f t="shared" si="221"/>
        <v>5</v>
      </c>
      <c r="D3565" s="5">
        <f ca="1">IF(getQuality(B3565)&lt;4,getOtherMin(B3565,C3565,INDIRECT(J$2),INDIRECT(I3565),test),getMin(B3565,C3565,INDIRECT(J$2),INDIRECT(I3565),test))</f>
        <v>271.43850937813136</v>
      </c>
      <c r="E3565" s="5">
        <f ca="1">IF(getQuality(B3565)&lt;4,getOtherMax(B3565,C3565,INDIRECT(J$2),INDIRECT(I3565),test),getMax(B3565,C3565,INDIRECT(J$2),INDIRECT(I3565),test))</f>
        <v>328.28048273180752</v>
      </c>
      <c r="F3565" s="1" t="str">
        <f t="shared" si="223"/>
        <v>50</v>
      </c>
      <c r="G3565" s="1" t="str">
        <f t="shared" si="224"/>
        <v/>
      </c>
      <c r="I3565" s="1" t="str">
        <f t="shared" si="222"/>
        <v>威尔新数值1.06.xlsm!suitPower</v>
      </c>
    </row>
    <row r="3566" spans="1:9" x14ac:dyDescent="0.15">
      <c r="A3566" s="1">
        <v>3565</v>
      </c>
      <c r="B3566" s="1">
        <v>103080500</v>
      </c>
      <c r="C3566" s="1">
        <f t="shared" si="221"/>
        <v>7</v>
      </c>
      <c r="D3566" s="5">
        <f ca="1">IF(getQuality(B3566)&lt;4,getOtherMin(B3566,C3566,INDIRECT(J$2),INDIRECT(I3566),test),getMin(B3566,C3566,INDIRECT(J$2),INDIRECT(I3566),test))</f>
        <v>52.85185185185172</v>
      </c>
      <c r="E3566" s="5">
        <f ca="1">IF(getQuality(B3566)&lt;4,getOtherMax(B3566,C3566,INDIRECT(J$2),INDIRECT(I3566),test),getMax(B3566,C3566,INDIRECT(J$2),INDIRECT(I3566),test))</f>
        <v>59.25925925925911</v>
      </c>
      <c r="F3566" s="1" t="str">
        <f t="shared" si="223"/>
        <v>50</v>
      </c>
      <c r="G3566" s="1" t="str">
        <f t="shared" si="224"/>
        <v/>
      </c>
      <c r="I3566" s="1" t="str">
        <f t="shared" si="222"/>
        <v>威尔新数值1.06.xlsm!suitPower</v>
      </c>
    </row>
    <row r="3567" spans="1:9" x14ac:dyDescent="0.15">
      <c r="A3567" s="1">
        <v>3566</v>
      </c>
      <c r="B3567" s="1">
        <v>103080500</v>
      </c>
      <c r="C3567" s="1">
        <f t="shared" si="221"/>
        <v>8</v>
      </c>
      <c r="D3567" s="5">
        <f ca="1">IF(getQuality(B3567)&lt;4,getOtherMin(B3567,C3567,INDIRECT(J$2),INDIRECT(I3567),test),getMin(B3567,C3567,INDIRECT(J$2),INDIRECT(I3567),test))</f>
        <v>117.66666666666667</v>
      </c>
      <c r="E3567" s="5">
        <f ca="1">IF(getQuality(B3567)&lt;4,getOtherMax(B3567,C3567,INDIRECT(J$2),INDIRECT(I3567),test),getMax(B3567,C3567,INDIRECT(J$2),INDIRECT(I3567),test))</f>
        <v>133.33333333333334</v>
      </c>
      <c r="F3567" s="1" t="str">
        <f t="shared" si="223"/>
        <v>50</v>
      </c>
      <c r="G3567" s="1" t="str">
        <f t="shared" si="224"/>
        <v/>
      </c>
      <c r="I3567" s="1" t="str">
        <f t="shared" si="222"/>
        <v>威尔新数值1.06.xlsm!suitPower</v>
      </c>
    </row>
    <row r="3568" spans="1:9" x14ac:dyDescent="0.15">
      <c r="A3568" s="1">
        <v>3567</v>
      </c>
      <c r="B3568" s="1">
        <v>103080500</v>
      </c>
      <c r="C3568" s="1">
        <f t="shared" si="221"/>
        <v>9</v>
      </c>
      <c r="D3568" s="5">
        <f ca="1">IF(getQuality(B3568)&lt;4,getOtherMin(B3568,C3568,INDIRECT(J$2),INDIRECT(I3568),test),getMin(B3568,C3568,INDIRECT(J$2),INDIRECT(I3568),test))</f>
        <v>271.43850937813136</v>
      </c>
      <c r="E3568" s="5">
        <f ca="1">IF(getQuality(B3568)&lt;4,getOtherMax(B3568,C3568,INDIRECT(J$2),INDIRECT(I3568),test),getMax(B3568,C3568,INDIRECT(J$2),INDIRECT(I3568),test))</f>
        <v>328.28048273180752</v>
      </c>
      <c r="F3568" s="1" t="str">
        <f t="shared" si="223"/>
        <v>50</v>
      </c>
      <c r="G3568" s="1" t="str">
        <f t="shared" si="224"/>
        <v/>
      </c>
      <c r="I3568" s="1" t="str">
        <f t="shared" si="222"/>
        <v>威尔新数值1.06.xlsm!suitPower</v>
      </c>
    </row>
    <row r="3569" spans="1:9" x14ac:dyDescent="0.15">
      <c r="A3569" s="1">
        <v>3568</v>
      </c>
      <c r="B3569" s="1">
        <v>103080500</v>
      </c>
      <c r="C3569" s="1">
        <f t="shared" si="221"/>
        <v>10</v>
      </c>
      <c r="D3569" s="5">
        <f ca="1">IF(getQuality(B3569)&lt;4,getOtherMin(B3569,C3569,INDIRECT(J$2),INDIRECT(I3569),test),getMin(B3569,C3569,INDIRECT(J$2),INDIRECT(I3569),test))</f>
        <v>271.43850937813136</v>
      </c>
      <c r="E3569" s="5">
        <f ca="1">IF(getQuality(B3569)&lt;4,getOtherMax(B3569,C3569,INDIRECT(J$2),INDIRECT(I3569),test),getMax(B3569,C3569,INDIRECT(J$2),INDIRECT(I3569),test))</f>
        <v>328.28048273180752</v>
      </c>
      <c r="F3569" s="1" t="str">
        <f t="shared" si="223"/>
        <v>50</v>
      </c>
      <c r="G3569" s="1" t="str">
        <f t="shared" si="224"/>
        <v/>
      </c>
      <c r="I3569" s="1" t="str">
        <f t="shared" si="222"/>
        <v>威尔新数值1.06.xlsm!suitPower</v>
      </c>
    </row>
    <row r="3570" spans="1:9" x14ac:dyDescent="0.15">
      <c r="A3570" s="1">
        <v>3569</v>
      </c>
      <c r="B3570" s="1">
        <v>103080500</v>
      </c>
      <c r="C3570" s="1">
        <f t="shared" si="221"/>
        <v>11</v>
      </c>
      <c r="D3570" s="5">
        <f ca="1">IF(getQuality(B3570)&lt;4,getOtherMin(B3570,C3570,INDIRECT(J$2),INDIRECT(I3570),test),getMin(B3570,C3570,INDIRECT(J$2),INDIRECT(I3570),test))</f>
        <v>271.43850937813136</v>
      </c>
      <c r="E3570" s="5">
        <f ca="1">IF(getQuality(B3570)&lt;4,getOtherMax(B3570,C3570,INDIRECT(J$2),INDIRECT(I3570),test),getMax(B3570,C3570,INDIRECT(J$2),INDIRECT(I3570),test))</f>
        <v>328.28048273180752</v>
      </c>
      <c r="F3570" s="1" t="str">
        <f t="shared" si="223"/>
        <v>50</v>
      </c>
      <c r="G3570" s="1" t="str">
        <f t="shared" si="224"/>
        <v/>
      </c>
      <c r="I3570" s="1" t="str">
        <f t="shared" si="222"/>
        <v>威尔新数值1.06.xlsm!suitPower</v>
      </c>
    </row>
    <row r="3571" spans="1:9" x14ac:dyDescent="0.15">
      <c r="A3571" s="1">
        <v>3570</v>
      </c>
      <c r="B3571" s="1">
        <v>103080500</v>
      </c>
      <c r="C3571" s="1">
        <f t="shared" si="221"/>
        <v>12</v>
      </c>
      <c r="D3571" s="5">
        <f ca="1">IF(getQuality(B3571)&lt;4,getOtherMin(B3571,C3571,INDIRECT(J$2),INDIRECT(I3571),test),getMin(B3571,C3571,INDIRECT(J$2),INDIRECT(I3571),test))</f>
        <v>271.43850937813136</v>
      </c>
      <c r="E3571" s="5">
        <f ca="1">IF(getQuality(B3571)&lt;4,getOtherMax(B3571,C3571,INDIRECT(J$2),INDIRECT(I3571),test),getMax(B3571,C3571,INDIRECT(J$2),INDIRECT(I3571),test))</f>
        <v>328.28048273180752</v>
      </c>
      <c r="F3571" s="1" t="str">
        <f t="shared" si="223"/>
        <v>50</v>
      </c>
      <c r="G3571" s="1" t="str">
        <f t="shared" si="224"/>
        <v/>
      </c>
      <c r="I3571" s="1" t="str">
        <f t="shared" si="222"/>
        <v>威尔新数值1.06.xlsm!suitPower</v>
      </c>
    </row>
    <row r="3572" spans="1:9" x14ac:dyDescent="0.15">
      <c r="A3572" s="1">
        <v>3571</v>
      </c>
      <c r="B3572" s="1">
        <v>103080500</v>
      </c>
      <c r="C3572" s="1">
        <f t="shared" si="221"/>
        <v>13</v>
      </c>
      <c r="D3572" s="5">
        <f ca="1">IF(getQuality(B3572)&lt;4,getOtherMin(B3572,C3572,INDIRECT(J$2),INDIRECT(I3572),test),getMin(B3572,C3572,INDIRECT(J$2),INDIRECT(I3572),test))</f>
        <v>271.43850937813136</v>
      </c>
      <c r="E3572" s="5">
        <f ca="1">IF(getQuality(B3572)&lt;4,getOtherMax(B3572,C3572,INDIRECT(J$2),INDIRECT(I3572),test),getMax(B3572,C3572,INDIRECT(J$2),INDIRECT(I3572),test))</f>
        <v>328.28048273180752</v>
      </c>
      <c r="F3572" s="1" t="str">
        <f t="shared" si="223"/>
        <v>50</v>
      </c>
      <c r="G3572" s="1" t="str">
        <f t="shared" si="224"/>
        <v/>
      </c>
      <c r="I3572" s="1" t="str">
        <f t="shared" si="222"/>
        <v>威尔新数值1.06.xlsm!suitPower</v>
      </c>
    </row>
    <row r="3573" spans="1:9" x14ac:dyDescent="0.15">
      <c r="A3573" s="1">
        <v>3572</v>
      </c>
      <c r="B3573" s="1">
        <v>103080500</v>
      </c>
      <c r="C3573" s="1">
        <f t="shared" si="221"/>
        <v>14</v>
      </c>
      <c r="D3573" s="5">
        <f ca="1">IF(getQuality(B3573)&lt;4,getOtherMin(B3573,C3573,INDIRECT(J$2),INDIRECT(I3573),test),getMin(B3573,C3573,INDIRECT(J$2),INDIRECT(I3573),test))</f>
        <v>271.43850937813136</v>
      </c>
      <c r="E3573" s="5">
        <f ca="1">IF(getQuality(B3573)&lt;4,getOtherMax(B3573,C3573,INDIRECT(J$2),INDIRECT(I3573),test),getMax(B3573,C3573,INDIRECT(J$2),INDIRECT(I3573),test))</f>
        <v>328.28048273180752</v>
      </c>
      <c r="F3573" s="1" t="str">
        <f t="shared" si="223"/>
        <v>50</v>
      </c>
      <c r="G3573" s="1" t="str">
        <f t="shared" si="224"/>
        <v/>
      </c>
      <c r="I3573" s="1" t="str">
        <f t="shared" si="222"/>
        <v>威尔新数值1.06.xlsm!suitPower</v>
      </c>
    </row>
    <row r="3574" spans="1:9" x14ac:dyDescent="0.15">
      <c r="A3574" s="1">
        <v>3573</v>
      </c>
      <c r="B3574" s="1">
        <v>103080500</v>
      </c>
      <c r="C3574" s="1">
        <f t="shared" si="221"/>
        <v>15</v>
      </c>
      <c r="D3574" s="5">
        <f ca="1">IF(getQuality(B3574)&lt;4,getOtherMin(B3574,C3574,INDIRECT(J$2),INDIRECT(I3574),test),getMin(B3574,C3574,INDIRECT(J$2),INDIRECT(I3574),test))</f>
        <v>271.43850937813136</v>
      </c>
      <c r="E3574" s="5">
        <f ca="1">IF(getQuality(B3574)&lt;4,getOtherMax(B3574,C3574,INDIRECT(J$2),INDIRECT(I3574),test),getMax(B3574,C3574,INDIRECT(J$2),INDIRECT(I3574),test))</f>
        <v>328.28048273180752</v>
      </c>
      <c r="F3574" s="1" t="str">
        <f t="shared" si="223"/>
        <v>50</v>
      </c>
      <c r="G3574" s="1" t="str">
        <f t="shared" si="224"/>
        <v/>
      </c>
      <c r="I3574" s="1" t="str">
        <f t="shared" si="222"/>
        <v>威尔新数值1.06.xlsm!suitPower</v>
      </c>
    </row>
    <row r="3575" spans="1:9" x14ac:dyDescent="0.15">
      <c r="A3575" s="1">
        <v>3574</v>
      </c>
      <c r="B3575" s="1">
        <v>103080500</v>
      </c>
      <c r="C3575" s="1">
        <f t="shared" si="221"/>
        <v>101</v>
      </c>
      <c r="D3575" s="5">
        <f ca="1">IF(getQuality(B3575)&lt;4,getOtherMin(B3575,C3575,INDIRECT(J$2),INDIRECT(I3575),test),getMin(B3575,C3575,INDIRECT(J$2),INDIRECT(I3575),test))</f>
        <v>0.14000000000000001</v>
      </c>
      <c r="E3575" s="5">
        <f ca="1">IF(getQuality(B3575)&lt;4,getOtherMax(B3575,C3575,INDIRECT(J$2),INDIRECT(I3575),test),getMax(B3575,C3575,INDIRECT(J$2),INDIRECT(I3575),test))</f>
        <v>0.17</v>
      </c>
      <c r="F3575" s="1" t="str">
        <f t="shared" si="223"/>
        <v>50</v>
      </c>
      <c r="G3575" s="1" t="str">
        <f t="shared" si="224"/>
        <v/>
      </c>
      <c r="I3575" s="1" t="str">
        <f t="shared" si="222"/>
        <v>威尔新数值1.06.xlsm!circlePer</v>
      </c>
    </row>
    <row r="3576" spans="1:9" x14ac:dyDescent="0.15">
      <c r="A3576" s="1">
        <v>3575</v>
      </c>
      <c r="B3576" s="1">
        <v>103080500</v>
      </c>
      <c r="C3576" s="1">
        <f t="shared" si="221"/>
        <v>102</v>
      </c>
      <c r="D3576" s="5">
        <f ca="1">IF(getQuality(B3576)&lt;4,getOtherMin(B3576,C3576,INDIRECT(J$2),INDIRECT(I3576),test),getMin(B3576,C3576,INDIRECT(J$2),INDIRECT(I3576),test))</f>
        <v>1.3</v>
      </c>
      <c r="E3576" s="5">
        <f ca="1">IF(getQuality(B3576)&lt;4,getOtherMax(B3576,C3576,INDIRECT(J$2),INDIRECT(I3576),test),getMax(B3576,C3576,INDIRECT(J$2),INDIRECT(I3576),test))</f>
        <v>1.6</v>
      </c>
      <c r="F3576" s="1" t="str">
        <f t="shared" si="223"/>
        <v>50</v>
      </c>
      <c r="G3576" s="1" t="str">
        <f t="shared" si="224"/>
        <v/>
      </c>
      <c r="I3576" s="1" t="str">
        <f t="shared" si="222"/>
        <v>威尔新数值1.06.xlsm!circleValue</v>
      </c>
    </row>
    <row r="3577" spans="1:9" x14ac:dyDescent="0.15">
      <c r="A3577" s="1">
        <v>3576</v>
      </c>
      <c r="B3577" s="1">
        <v>103080500</v>
      </c>
      <c r="C3577" s="1">
        <f t="shared" si="221"/>
        <v>103</v>
      </c>
      <c r="D3577" s="5">
        <f ca="1">IF(getQuality(B3577)&lt;4,getOtherMin(B3577,C3577,INDIRECT(J$2),INDIRECT(I3577),test),getMin(B3577,C3577,INDIRECT(J$2),INDIRECT(I3577),test))</f>
        <v>0.14000000000000001</v>
      </c>
      <c r="E3577" s="5">
        <f ca="1">IF(getQuality(B3577)&lt;4,getOtherMax(B3577,C3577,INDIRECT(J$2),INDIRECT(I3577),test),getMax(B3577,C3577,INDIRECT(J$2),INDIRECT(I3577),test))</f>
        <v>0.17</v>
      </c>
      <c r="F3577" s="1" t="str">
        <f t="shared" si="223"/>
        <v>50</v>
      </c>
      <c r="G3577" s="1" t="str">
        <f t="shared" si="224"/>
        <v/>
      </c>
      <c r="I3577" s="1" t="str">
        <f t="shared" si="222"/>
        <v>威尔新数值1.06.xlsm!otherDamage</v>
      </c>
    </row>
    <row r="3578" spans="1:9" x14ac:dyDescent="0.15">
      <c r="A3578" s="1">
        <v>3577</v>
      </c>
      <c r="B3578" s="1">
        <v>103080500</v>
      </c>
      <c r="C3578" s="1">
        <f t="shared" si="221"/>
        <v>104</v>
      </c>
      <c r="D3578" s="5">
        <f ca="1">IF(getQuality(B3578)&lt;4,getOtherMin(B3578,C3578,INDIRECT(J$2),INDIRECT(I3578),test),getMin(B3578,C3578,INDIRECT(J$2),INDIRECT(I3578),test))</f>
        <v>0.14000000000000001</v>
      </c>
      <c r="E3578" s="5">
        <f ca="1">IF(getQuality(B3578)&lt;4,getOtherMax(B3578,C3578,INDIRECT(J$2),INDIRECT(I3578),test),getMax(B3578,C3578,INDIRECT(J$2),INDIRECT(I3578),test))</f>
        <v>0.28000000000000003</v>
      </c>
      <c r="F3578" s="1" t="str">
        <f t="shared" si="223"/>
        <v>50</v>
      </c>
      <c r="G3578" s="1" t="str">
        <f t="shared" si="224"/>
        <v/>
      </c>
      <c r="I3578" s="1" t="str">
        <f t="shared" si="222"/>
        <v>威尔新数值1.06.xlsm!monsterDamage</v>
      </c>
    </row>
    <row r="3579" spans="1:9" x14ac:dyDescent="0.15">
      <c r="A3579" s="1">
        <v>3578</v>
      </c>
      <c r="B3579" s="1">
        <v>103080500</v>
      </c>
      <c r="C3579" s="1">
        <f t="shared" si="221"/>
        <v>105</v>
      </c>
      <c r="D3579" s="5">
        <f ca="1">IF(getQuality(B3579)&lt;4,getOtherMin(B3579,C3579,INDIRECT(J$2),INDIRECT(I3579),test),getMin(B3579,C3579,INDIRECT(J$2),INDIRECT(I3579),test))</f>
        <v>0.14000000000000001</v>
      </c>
      <c r="E3579" s="5">
        <f ca="1">IF(getQuality(B3579)&lt;4,getOtherMax(B3579,C3579,INDIRECT(J$2),INDIRECT(I3579),test),getMax(B3579,C3579,INDIRECT(J$2),INDIRECT(I3579),test))</f>
        <v>0.28000000000000003</v>
      </c>
      <c r="F3579" s="1" t="str">
        <f t="shared" si="223"/>
        <v>50</v>
      </c>
      <c r="G3579" s="1" t="str">
        <f t="shared" si="224"/>
        <v/>
      </c>
      <c r="I3579" s="1" t="str">
        <f t="shared" si="222"/>
        <v>威尔新数值1.06.xlsm!monsterDamage</v>
      </c>
    </row>
    <row r="3580" spans="1:9" x14ac:dyDescent="0.15">
      <c r="A3580" s="1">
        <v>3579</v>
      </c>
      <c r="B3580" s="1">
        <v>103080500</v>
      </c>
      <c r="C3580" s="1">
        <f t="shared" ref="C3580:C3643" si="225">C1105</f>
        <v>106</v>
      </c>
      <c r="D3580" s="5">
        <f ca="1">IF(getQuality(B3580)&lt;4,getOtherMin(B3580,C3580,INDIRECT(J$2),INDIRECT(I3580),test),getMin(B3580,C3580,INDIRECT(J$2),INDIRECT(I3580),test))</f>
        <v>0.14000000000000001</v>
      </c>
      <c r="E3580" s="5">
        <f ca="1">IF(getQuality(B3580)&lt;4,getOtherMax(B3580,C3580,INDIRECT(J$2),INDIRECT(I3580),test),getMax(B3580,C3580,INDIRECT(J$2),INDIRECT(I3580),test))</f>
        <v>0.28000000000000003</v>
      </c>
      <c r="F3580" s="1" t="str">
        <f t="shared" si="223"/>
        <v>50</v>
      </c>
      <c r="G3580" s="1" t="str">
        <f t="shared" si="224"/>
        <v/>
      </c>
      <c r="I3580" s="1" t="str">
        <f t="shared" si="222"/>
        <v>威尔新数值1.06.xlsm!monsterDamage</v>
      </c>
    </row>
    <row r="3581" spans="1:9" x14ac:dyDescent="0.15">
      <c r="A3581" s="1">
        <v>3580</v>
      </c>
      <c r="B3581" s="1">
        <v>103080500</v>
      </c>
      <c r="C3581" s="1">
        <f t="shared" si="225"/>
        <v>107</v>
      </c>
      <c r="D3581" s="5">
        <f ca="1">IF(getQuality(B3581)&lt;4,getOtherMin(B3581,C3581,INDIRECT(J$2),INDIRECT(I3581),test),getMin(B3581,C3581,INDIRECT(J$2),INDIRECT(I3581),test))</f>
        <v>0.14000000000000001</v>
      </c>
      <c r="E3581" s="5">
        <f ca="1">IF(getQuality(B3581)&lt;4,getOtherMax(B3581,C3581,INDIRECT(J$2),INDIRECT(I3581),test),getMax(B3581,C3581,INDIRECT(J$2),INDIRECT(I3581),test))</f>
        <v>0.28000000000000003</v>
      </c>
      <c r="F3581" s="1" t="str">
        <f t="shared" si="223"/>
        <v>50</v>
      </c>
      <c r="G3581" s="1" t="str">
        <f t="shared" si="224"/>
        <v/>
      </c>
      <c r="I3581" s="1" t="str">
        <f t="shared" si="222"/>
        <v>威尔新数值1.06.xlsm!monsterDamage</v>
      </c>
    </row>
    <row r="3582" spans="1:9" x14ac:dyDescent="0.15">
      <c r="A3582" s="1">
        <v>3581</v>
      </c>
      <c r="B3582" s="1">
        <v>103080500</v>
      </c>
      <c r="C3582" s="1">
        <f t="shared" si="225"/>
        <v>108</v>
      </c>
      <c r="D3582" s="5">
        <f ca="1">IF(getQuality(B3582)&lt;4,getOtherMin(B3582,C3582,INDIRECT(J$2),INDIRECT(I3582),test),getMin(B3582,C3582,INDIRECT(J$2),INDIRECT(I3582),test))</f>
        <v>0.14000000000000001</v>
      </c>
      <c r="E3582" s="5">
        <f ca="1">IF(getQuality(B3582)&lt;4,getOtherMax(B3582,C3582,INDIRECT(J$2),INDIRECT(I3582),test),getMax(B3582,C3582,INDIRECT(J$2),INDIRECT(I3582),test))</f>
        <v>0.28000000000000003</v>
      </c>
      <c r="F3582" s="1" t="str">
        <f t="shared" si="223"/>
        <v>50</v>
      </c>
      <c r="G3582" s="1" t="str">
        <f t="shared" si="224"/>
        <v/>
      </c>
      <c r="I3582" s="1" t="str">
        <f t="shared" si="222"/>
        <v>威尔新数值1.06.xlsm!monsterDamage</v>
      </c>
    </row>
    <row r="3583" spans="1:9" x14ac:dyDescent="0.15">
      <c r="A3583" s="1">
        <v>3582</v>
      </c>
      <c r="B3583" s="1">
        <v>103090500</v>
      </c>
      <c r="C3583" s="1">
        <f t="shared" si="225"/>
        <v>3</v>
      </c>
      <c r="D3583" s="5">
        <f ca="1">IF(getQuality(B3583)&lt;4,getOtherMin(B3583,C3583,INDIRECT(J$2),INDIRECT(I3583),test),getMin(B3583,C3583,INDIRECT(J$2),INDIRECT(I3583),test))</f>
        <v>329.28048273180752</v>
      </c>
      <c r="E3583" s="5">
        <f ca="1">IF(getQuality(B3583)&lt;4,getOtherMax(B3583,C3583,INDIRECT(J$2),INDIRECT(I3583),test),getMax(B3583,C3583,INDIRECT(J$2),INDIRECT(I3583),test))</f>
        <v>390.92443123182665</v>
      </c>
      <c r="F3583" s="1" t="str">
        <f t="shared" si="223"/>
        <v>50</v>
      </c>
      <c r="G3583" s="1" t="str">
        <f t="shared" si="224"/>
        <v>1</v>
      </c>
      <c r="I3583" s="1" t="str">
        <f t="shared" si="222"/>
        <v>威尔新数值1.06.xlsm!suitPower</v>
      </c>
    </row>
    <row r="3584" spans="1:9" x14ac:dyDescent="0.15">
      <c r="A3584" s="1">
        <v>3583</v>
      </c>
      <c r="B3584" s="1">
        <v>103090500</v>
      </c>
      <c r="C3584" s="1">
        <f t="shared" si="225"/>
        <v>5</v>
      </c>
      <c r="D3584" s="5">
        <f ca="1">IF(getQuality(B3584)&lt;4,getOtherMin(B3584,C3584,INDIRECT(J$2),INDIRECT(I3584),test),getMin(B3584,C3584,INDIRECT(J$2),INDIRECT(I3584),test))</f>
        <v>329.28048273180752</v>
      </c>
      <c r="E3584" s="5">
        <f ca="1">IF(getQuality(B3584)&lt;4,getOtherMax(B3584,C3584,INDIRECT(J$2),INDIRECT(I3584),test),getMax(B3584,C3584,INDIRECT(J$2),INDIRECT(I3584),test))</f>
        <v>390.92443123182665</v>
      </c>
      <c r="F3584" s="1" t="str">
        <f t="shared" si="223"/>
        <v>50</v>
      </c>
      <c r="G3584" s="1" t="str">
        <f t="shared" si="224"/>
        <v/>
      </c>
      <c r="I3584" s="1" t="str">
        <f t="shared" si="222"/>
        <v>威尔新数值1.06.xlsm!suitPower</v>
      </c>
    </row>
    <row r="3585" spans="1:9" x14ac:dyDescent="0.15">
      <c r="A3585" s="1">
        <v>3584</v>
      </c>
      <c r="B3585" s="1">
        <v>103090500</v>
      </c>
      <c r="C3585" s="1">
        <f t="shared" si="225"/>
        <v>7</v>
      </c>
      <c r="D3585" s="5">
        <f ca="1">IF(getQuality(B3585)&lt;4,getOtherMin(B3585,C3585,INDIRECT(J$2),INDIRECT(I3585),test),getMin(B3585,C3585,INDIRECT(J$2),INDIRECT(I3585),test))</f>
        <v>60.25925925925911</v>
      </c>
      <c r="E3585" s="5">
        <f ca="1">IF(getQuality(B3585)&lt;4,getOtherMax(B3585,C3585,INDIRECT(J$2),INDIRECT(I3585),test),getMax(B3585,C3585,INDIRECT(J$2),INDIRECT(I3585),test))</f>
        <v>66.666666666666501</v>
      </c>
      <c r="F3585" s="1" t="str">
        <f t="shared" si="223"/>
        <v>50</v>
      </c>
      <c r="G3585" s="1" t="str">
        <f t="shared" si="224"/>
        <v/>
      </c>
      <c r="I3585" s="1" t="str">
        <f t="shared" si="222"/>
        <v>威尔新数值1.06.xlsm!suitPower</v>
      </c>
    </row>
    <row r="3586" spans="1:9" x14ac:dyDescent="0.15">
      <c r="A3586" s="1">
        <v>3585</v>
      </c>
      <c r="B3586" s="1">
        <v>103090500</v>
      </c>
      <c r="C3586" s="1">
        <f t="shared" si="225"/>
        <v>8</v>
      </c>
      <c r="D3586" s="5">
        <f ca="1">IF(getQuality(B3586)&lt;4,getOtherMin(B3586,C3586,INDIRECT(J$2),INDIRECT(I3586),test),getMin(B3586,C3586,INDIRECT(J$2),INDIRECT(I3586),test))</f>
        <v>134.33333333333334</v>
      </c>
      <c r="E3586" s="5">
        <f ca="1">IF(getQuality(B3586)&lt;4,getOtherMax(B3586,C3586,INDIRECT(J$2),INDIRECT(I3586),test),getMax(B3586,C3586,INDIRECT(J$2),INDIRECT(I3586),test))</f>
        <v>150</v>
      </c>
      <c r="F3586" s="1" t="str">
        <f t="shared" si="223"/>
        <v>50</v>
      </c>
      <c r="G3586" s="1" t="str">
        <f t="shared" si="224"/>
        <v/>
      </c>
      <c r="I3586" s="1" t="str">
        <f t="shared" ref="I3586:I3649" si="226">IF(C3586&lt;100,VLOOKUP(C3586,test,3,FALSE),VLOOKUP(C3586,test1,3,FALSE))</f>
        <v>威尔新数值1.06.xlsm!suitPower</v>
      </c>
    </row>
    <row r="3587" spans="1:9" x14ac:dyDescent="0.15">
      <c r="A3587" s="1">
        <v>3586</v>
      </c>
      <c r="B3587" s="1">
        <v>103090500</v>
      </c>
      <c r="C3587" s="1">
        <f t="shared" si="225"/>
        <v>9</v>
      </c>
      <c r="D3587" s="5">
        <f ca="1">IF(getQuality(B3587)&lt;4,getOtherMin(B3587,C3587,INDIRECT(J$2),INDIRECT(I3587),test),getMin(B3587,C3587,INDIRECT(J$2),INDIRECT(I3587),test))</f>
        <v>329.28048273180752</v>
      </c>
      <c r="E3587" s="5">
        <f ca="1">IF(getQuality(B3587)&lt;4,getOtherMax(B3587,C3587,INDIRECT(J$2),INDIRECT(I3587),test),getMax(B3587,C3587,INDIRECT(J$2),INDIRECT(I3587),test))</f>
        <v>390.92443123182665</v>
      </c>
      <c r="F3587" s="1" t="str">
        <f t="shared" ref="F3587:F3650" si="227">getper(B3587,C3587)</f>
        <v>50</v>
      </c>
      <c r="G3587" s="1" t="str">
        <f t="shared" ref="G3587:G3650" si="228">getMust(B3587,C3587)</f>
        <v/>
      </c>
      <c r="I3587" s="1" t="str">
        <f t="shared" si="226"/>
        <v>威尔新数值1.06.xlsm!suitPower</v>
      </c>
    </row>
    <row r="3588" spans="1:9" x14ac:dyDescent="0.15">
      <c r="A3588" s="1">
        <v>3587</v>
      </c>
      <c r="B3588" s="1">
        <v>103090500</v>
      </c>
      <c r="C3588" s="1">
        <f t="shared" si="225"/>
        <v>10</v>
      </c>
      <c r="D3588" s="5">
        <f ca="1">IF(getQuality(B3588)&lt;4,getOtherMin(B3588,C3588,INDIRECT(J$2),INDIRECT(I3588),test),getMin(B3588,C3588,INDIRECT(J$2),INDIRECT(I3588),test))</f>
        <v>329.28048273180752</v>
      </c>
      <c r="E3588" s="5">
        <f ca="1">IF(getQuality(B3588)&lt;4,getOtherMax(B3588,C3588,INDIRECT(J$2),INDIRECT(I3588),test),getMax(B3588,C3588,INDIRECT(J$2),INDIRECT(I3588),test))</f>
        <v>390.92443123182665</v>
      </c>
      <c r="F3588" s="1" t="str">
        <f t="shared" si="227"/>
        <v>50</v>
      </c>
      <c r="G3588" s="1" t="str">
        <f t="shared" si="228"/>
        <v/>
      </c>
      <c r="I3588" s="1" t="str">
        <f t="shared" si="226"/>
        <v>威尔新数值1.06.xlsm!suitPower</v>
      </c>
    </row>
    <row r="3589" spans="1:9" x14ac:dyDescent="0.15">
      <c r="A3589" s="1">
        <v>3588</v>
      </c>
      <c r="B3589" s="1">
        <v>103090500</v>
      </c>
      <c r="C3589" s="1">
        <f t="shared" si="225"/>
        <v>11</v>
      </c>
      <c r="D3589" s="5">
        <f ca="1">IF(getQuality(B3589)&lt;4,getOtherMin(B3589,C3589,INDIRECT(J$2),INDIRECT(I3589),test),getMin(B3589,C3589,INDIRECT(J$2),INDIRECT(I3589),test))</f>
        <v>329.28048273180752</v>
      </c>
      <c r="E3589" s="5">
        <f ca="1">IF(getQuality(B3589)&lt;4,getOtherMax(B3589,C3589,INDIRECT(J$2),INDIRECT(I3589),test),getMax(B3589,C3589,INDIRECT(J$2),INDIRECT(I3589),test))</f>
        <v>390.92443123182665</v>
      </c>
      <c r="F3589" s="1" t="str">
        <f t="shared" si="227"/>
        <v>50</v>
      </c>
      <c r="G3589" s="1" t="str">
        <f t="shared" si="228"/>
        <v/>
      </c>
      <c r="I3589" s="1" t="str">
        <f t="shared" si="226"/>
        <v>威尔新数值1.06.xlsm!suitPower</v>
      </c>
    </row>
    <row r="3590" spans="1:9" x14ac:dyDescent="0.15">
      <c r="A3590" s="1">
        <v>3589</v>
      </c>
      <c r="B3590" s="1">
        <v>103090500</v>
      </c>
      <c r="C3590" s="1">
        <f t="shared" si="225"/>
        <v>12</v>
      </c>
      <c r="D3590" s="5">
        <f ca="1">IF(getQuality(B3590)&lt;4,getOtherMin(B3590,C3590,INDIRECT(J$2),INDIRECT(I3590),test),getMin(B3590,C3590,INDIRECT(J$2),INDIRECT(I3590),test))</f>
        <v>329.28048273180752</v>
      </c>
      <c r="E3590" s="5">
        <f ca="1">IF(getQuality(B3590)&lt;4,getOtherMax(B3590,C3590,INDIRECT(J$2),INDIRECT(I3590),test),getMax(B3590,C3590,INDIRECT(J$2),INDIRECT(I3590),test))</f>
        <v>390.92443123182665</v>
      </c>
      <c r="F3590" s="1" t="str">
        <f t="shared" si="227"/>
        <v>50</v>
      </c>
      <c r="G3590" s="1" t="str">
        <f t="shared" si="228"/>
        <v/>
      </c>
      <c r="I3590" s="1" t="str">
        <f t="shared" si="226"/>
        <v>威尔新数值1.06.xlsm!suitPower</v>
      </c>
    </row>
    <row r="3591" spans="1:9" x14ac:dyDescent="0.15">
      <c r="A3591" s="1">
        <v>3590</v>
      </c>
      <c r="B3591" s="1">
        <v>103090500</v>
      </c>
      <c r="C3591" s="1">
        <f t="shared" si="225"/>
        <v>13</v>
      </c>
      <c r="D3591" s="5">
        <f ca="1">IF(getQuality(B3591)&lt;4,getOtherMin(B3591,C3591,INDIRECT(J$2),INDIRECT(I3591),test),getMin(B3591,C3591,INDIRECT(J$2),INDIRECT(I3591),test))</f>
        <v>329.28048273180752</v>
      </c>
      <c r="E3591" s="5">
        <f ca="1">IF(getQuality(B3591)&lt;4,getOtherMax(B3591,C3591,INDIRECT(J$2),INDIRECT(I3591),test),getMax(B3591,C3591,INDIRECT(J$2),INDIRECT(I3591),test))</f>
        <v>390.92443123182665</v>
      </c>
      <c r="F3591" s="1" t="str">
        <f t="shared" si="227"/>
        <v>50</v>
      </c>
      <c r="G3591" s="1" t="str">
        <f t="shared" si="228"/>
        <v/>
      </c>
      <c r="I3591" s="1" t="str">
        <f t="shared" si="226"/>
        <v>威尔新数值1.06.xlsm!suitPower</v>
      </c>
    </row>
    <row r="3592" spans="1:9" x14ac:dyDescent="0.15">
      <c r="A3592" s="1">
        <v>3591</v>
      </c>
      <c r="B3592" s="1">
        <v>103090500</v>
      </c>
      <c r="C3592" s="1">
        <f t="shared" si="225"/>
        <v>14</v>
      </c>
      <c r="D3592" s="5">
        <f ca="1">IF(getQuality(B3592)&lt;4,getOtherMin(B3592,C3592,INDIRECT(J$2),INDIRECT(I3592),test),getMin(B3592,C3592,INDIRECT(J$2),INDIRECT(I3592),test))</f>
        <v>329.28048273180752</v>
      </c>
      <c r="E3592" s="5">
        <f ca="1">IF(getQuality(B3592)&lt;4,getOtherMax(B3592,C3592,INDIRECT(J$2),INDIRECT(I3592),test),getMax(B3592,C3592,INDIRECT(J$2),INDIRECT(I3592),test))</f>
        <v>390.92443123182665</v>
      </c>
      <c r="F3592" s="1" t="str">
        <f t="shared" si="227"/>
        <v>50</v>
      </c>
      <c r="G3592" s="1" t="str">
        <f t="shared" si="228"/>
        <v/>
      </c>
      <c r="I3592" s="1" t="str">
        <f t="shared" si="226"/>
        <v>威尔新数值1.06.xlsm!suitPower</v>
      </c>
    </row>
    <row r="3593" spans="1:9" x14ac:dyDescent="0.15">
      <c r="A3593" s="1">
        <v>3592</v>
      </c>
      <c r="B3593" s="1">
        <v>103090500</v>
      </c>
      <c r="C3593" s="1">
        <f t="shared" si="225"/>
        <v>15</v>
      </c>
      <c r="D3593" s="5">
        <f ca="1">IF(getQuality(B3593)&lt;4,getOtherMin(B3593,C3593,INDIRECT(J$2),INDIRECT(I3593),test),getMin(B3593,C3593,INDIRECT(J$2),INDIRECT(I3593),test))</f>
        <v>329.28048273180752</v>
      </c>
      <c r="E3593" s="5">
        <f ca="1">IF(getQuality(B3593)&lt;4,getOtherMax(B3593,C3593,INDIRECT(J$2),INDIRECT(I3593),test),getMax(B3593,C3593,INDIRECT(J$2),INDIRECT(I3593),test))</f>
        <v>390.92443123182665</v>
      </c>
      <c r="F3593" s="1" t="str">
        <f t="shared" si="227"/>
        <v>50</v>
      </c>
      <c r="G3593" s="1" t="str">
        <f t="shared" si="228"/>
        <v/>
      </c>
      <c r="I3593" s="1" t="str">
        <f t="shared" si="226"/>
        <v>威尔新数值1.06.xlsm!suitPower</v>
      </c>
    </row>
    <row r="3594" spans="1:9" x14ac:dyDescent="0.15">
      <c r="A3594" s="1">
        <v>3593</v>
      </c>
      <c r="B3594" s="1">
        <v>103090500</v>
      </c>
      <c r="C3594" s="1">
        <f t="shared" si="225"/>
        <v>101</v>
      </c>
      <c r="D3594" s="5">
        <f ca="1">IF(getQuality(B3594)&lt;4,getOtherMin(B3594,C3594,INDIRECT(J$2),INDIRECT(I3594),test),getMin(B3594,C3594,INDIRECT(J$2),INDIRECT(I3594),test))</f>
        <v>0.15</v>
      </c>
      <c r="E3594" s="5">
        <f ca="1">IF(getQuality(B3594)&lt;4,getOtherMax(B3594,C3594,INDIRECT(J$2),INDIRECT(I3594),test),getMax(B3594,C3594,INDIRECT(J$2),INDIRECT(I3594),test))</f>
        <v>0.18</v>
      </c>
      <c r="F3594" s="1" t="str">
        <f t="shared" si="227"/>
        <v>50</v>
      </c>
      <c r="G3594" s="1" t="str">
        <f t="shared" si="228"/>
        <v/>
      </c>
      <c r="I3594" s="1" t="str">
        <f t="shared" si="226"/>
        <v>威尔新数值1.06.xlsm!circlePer</v>
      </c>
    </row>
    <row r="3595" spans="1:9" x14ac:dyDescent="0.15">
      <c r="A3595" s="1">
        <v>3594</v>
      </c>
      <c r="B3595" s="1">
        <v>103090500</v>
      </c>
      <c r="C3595" s="1">
        <f t="shared" si="225"/>
        <v>102</v>
      </c>
      <c r="D3595" s="5">
        <f ca="1">IF(getQuality(B3595)&lt;4,getOtherMin(B3595,C3595,INDIRECT(J$2),INDIRECT(I3595),test),getMin(B3595,C3595,INDIRECT(J$2),INDIRECT(I3595),test))</f>
        <v>1.4</v>
      </c>
      <c r="E3595" s="5">
        <f ca="1">IF(getQuality(B3595)&lt;4,getOtherMax(B3595,C3595,INDIRECT(J$2),INDIRECT(I3595),test),getMax(B3595,C3595,INDIRECT(J$2),INDIRECT(I3595),test))</f>
        <v>1.7</v>
      </c>
      <c r="F3595" s="1" t="str">
        <f t="shared" si="227"/>
        <v>50</v>
      </c>
      <c r="G3595" s="1" t="str">
        <f t="shared" si="228"/>
        <v/>
      </c>
      <c r="I3595" s="1" t="str">
        <f t="shared" si="226"/>
        <v>威尔新数值1.06.xlsm!circleValue</v>
      </c>
    </row>
    <row r="3596" spans="1:9" x14ac:dyDescent="0.15">
      <c r="A3596" s="1">
        <v>3595</v>
      </c>
      <c r="B3596" s="1">
        <v>103090500</v>
      </c>
      <c r="C3596" s="1">
        <f t="shared" si="225"/>
        <v>103</v>
      </c>
      <c r="D3596" s="5">
        <f ca="1">IF(getQuality(B3596)&lt;4,getOtherMin(B3596,C3596,INDIRECT(J$2),INDIRECT(I3596),test),getMin(B3596,C3596,INDIRECT(J$2),INDIRECT(I3596),test))</f>
        <v>0.15</v>
      </c>
      <c r="E3596" s="5">
        <f ca="1">IF(getQuality(B3596)&lt;4,getOtherMax(B3596,C3596,INDIRECT(J$2),INDIRECT(I3596),test),getMax(B3596,C3596,INDIRECT(J$2),INDIRECT(I3596),test))</f>
        <v>0.18</v>
      </c>
      <c r="F3596" s="1" t="str">
        <f t="shared" si="227"/>
        <v>50</v>
      </c>
      <c r="G3596" s="1" t="str">
        <f t="shared" si="228"/>
        <v/>
      </c>
      <c r="I3596" s="1" t="str">
        <f t="shared" si="226"/>
        <v>威尔新数值1.06.xlsm!otherDamage</v>
      </c>
    </row>
    <row r="3597" spans="1:9" x14ac:dyDescent="0.15">
      <c r="A3597" s="1">
        <v>3596</v>
      </c>
      <c r="B3597" s="1">
        <v>103090500</v>
      </c>
      <c r="C3597" s="1">
        <f t="shared" si="225"/>
        <v>104</v>
      </c>
      <c r="D3597" s="5">
        <f ca="1">IF(getQuality(B3597)&lt;4,getOtherMin(B3597,C3597,INDIRECT(J$2),INDIRECT(I3597),test),getMin(B3597,C3597,INDIRECT(J$2),INDIRECT(I3597),test))</f>
        <v>0.15</v>
      </c>
      <c r="E3597" s="5">
        <f ca="1">IF(getQuality(B3597)&lt;4,getOtherMax(B3597,C3597,INDIRECT(J$2),INDIRECT(I3597),test),getMax(B3597,C3597,INDIRECT(J$2),INDIRECT(I3597),test))</f>
        <v>0.3</v>
      </c>
      <c r="F3597" s="1" t="str">
        <f t="shared" si="227"/>
        <v>50</v>
      </c>
      <c r="G3597" s="1" t="str">
        <f t="shared" si="228"/>
        <v/>
      </c>
      <c r="I3597" s="1" t="str">
        <f t="shared" si="226"/>
        <v>威尔新数值1.06.xlsm!monsterDamage</v>
      </c>
    </row>
    <row r="3598" spans="1:9" x14ac:dyDescent="0.15">
      <c r="A3598" s="1">
        <v>3597</v>
      </c>
      <c r="B3598" s="1">
        <v>103090500</v>
      </c>
      <c r="C3598" s="1">
        <f t="shared" si="225"/>
        <v>105</v>
      </c>
      <c r="D3598" s="5">
        <f ca="1">IF(getQuality(B3598)&lt;4,getOtherMin(B3598,C3598,INDIRECT(J$2),INDIRECT(I3598),test),getMin(B3598,C3598,INDIRECT(J$2),INDIRECT(I3598),test))</f>
        <v>0.15</v>
      </c>
      <c r="E3598" s="5">
        <f ca="1">IF(getQuality(B3598)&lt;4,getOtherMax(B3598,C3598,INDIRECT(J$2),INDIRECT(I3598),test),getMax(B3598,C3598,INDIRECT(J$2),INDIRECT(I3598),test))</f>
        <v>0.3</v>
      </c>
      <c r="F3598" s="1" t="str">
        <f t="shared" si="227"/>
        <v>50</v>
      </c>
      <c r="G3598" s="1" t="str">
        <f t="shared" si="228"/>
        <v/>
      </c>
      <c r="I3598" s="1" t="str">
        <f t="shared" si="226"/>
        <v>威尔新数值1.06.xlsm!monsterDamage</v>
      </c>
    </row>
    <row r="3599" spans="1:9" x14ac:dyDescent="0.15">
      <c r="A3599" s="1">
        <v>3598</v>
      </c>
      <c r="B3599" s="1">
        <v>103090500</v>
      </c>
      <c r="C3599" s="1">
        <f t="shared" si="225"/>
        <v>106</v>
      </c>
      <c r="D3599" s="5">
        <f ca="1">IF(getQuality(B3599)&lt;4,getOtherMin(B3599,C3599,INDIRECT(J$2),INDIRECT(I3599),test),getMin(B3599,C3599,INDIRECT(J$2),INDIRECT(I3599),test))</f>
        <v>0.15</v>
      </c>
      <c r="E3599" s="5">
        <f ca="1">IF(getQuality(B3599)&lt;4,getOtherMax(B3599,C3599,INDIRECT(J$2),INDIRECT(I3599),test),getMax(B3599,C3599,INDIRECT(J$2),INDIRECT(I3599),test))</f>
        <v>0.3</v>
      </c>
      <c r="F3599" s="1" t="str">
        <f t="shared" si="227"/>
        <v>50</v>
      </c>
      <c r="G3599" s="1" t="str">
        <f t="shared" si="228"/>
        <v/>
      </c>
      <c r="I3599" s="1" t="str">
        <f t="shared" si="226"/>
        <v>威尔新数值1.06.xlsm!monsterDamage</v>
      </c>
    </row>
    <row r="3600" spans="1:9" x14ac:dyDescent="0.15">
      <c r="A3600" s="1">
        <v>3599</v>
      </c>
      <c r="B3600" s="1">
        <v>103090500</v>
      </c>
      <c r="C3600" s="1">
        <f t="shared" si="225"/>
        <v>107</v>
      </c>
      <c r="D3600" s="5">
        <f ca="1">IF(getQuality(B3600)&lt;4,getOtherMin(B3600,C3600,INDIRECT(J$2),INDIRECT(I3600),test),getMin(B3600,C3600,INDIRECT(J$2),INDIRECT(I3600),test))</f>
        <v>0.15</v>
      </c>
      <c r="E3600" s="5">
        <f ca="1">IF(getQuality(B3600)&lt;4,getOtherMax(B3600,C3600,INDIRECT(J$2),INDIRECT(I3600),test),getMax(B3600,C3600,INDIRECT(J$2),INDIRECT(I3600),test))</f>
        <v>0.3</v>
      </c>
      <c r="F3600" s="1" t="str">
        <f t="shared" si="227"/>
        <v>50</v>
      </c>
      <c r="G3600" s="1" t="str">
        <f t="shared" si="228"/>
        <v/>
      </c>
      <c r="I3600" s="1" t="str">
        <f t="shared" si="226"/>
        <v>威尔新数值1.06.xlsm!monsterDamage</v>
      </c>
    </row>
    <row r="3601" spans="1:9" x14ac:dyDescent="0.15">
      <c r="A3601" s="1">
        <v>3600</v>
      </c>
      <c r="B3601" s="1">
        <v>103090500</v>
      </c>
      <c r="C3601" s="1">
        <f t="shared" si="225"/>
        <v>108</v>
      </c>
      <c r="D3601" s="5">
        <f ca="1">IF(getQuality(B3601)&lt;4,getOtherMin(B3601,C3601,INDIRECT(J$2),INDIRECT(I3601),test),getMin(B3601,C3601,INDIRECT(J$2),INDIRECT(I3601),test))</f>
        <v>0.15</v>
      </c>
      <c r="E3601" s="5">
        <f ca="1">IF(getQuality(B3601)&lt;4,getOtherMax(B3601,C3601,INDIRECT(J$2),INDIRECT(I3601),test),getMax(B3601,C3601,INDIRECT(J$2),INDIRECT(I3601),test))</f>
        <v>0.3</v>
      </c>
      <c r="F3601" s="1" t="str">
        <f t="shared" si="227"/>
        <v>50</v>
      </c>
      <c r="G3601" s="1" t="str">
        <f t="shared" si="228"/>
        <v/>
      </c>
      <c r="I3601" s="1" t="str">
        <f t="shared" si="226"/>
        <v>威尔新数值1.06.xlsm!monsterDamage</v>
      </c>
    </row>
    <row r="3602" spans="1:9" x14ac:dyDescent="0.15">
      <c r="A3602" s="1">
        <v>3601</v>
      </c>
      <c r="B3602" s="1">
        <v>103010600</v>
      </c>
      <c r="C3602" s="1">
        <f t="shared" si="225"/>
        <v>3</v>
      </c>
      <c r="D3602" s="5">
        <f ca="1">IF(getQuality(B3602)&lt;4,getOtherMin(B3602,C3602,INDIRECT(J$2),INDIRECT(I3602),test),getMin(B3602,C3602,INDIRECT(J$2),INDIRECT(I3602),test))</f>
        <v>1</v>
      </c>
      <c r="E3602" s="5">
        <f ca="1">IF(getQuality(B3602)&lt;4,getOtherMax(B3602,C3602,INDIRECT(J$2),INDIRECT(I3602),test),getMax(B3602,C3602,INDIRECT(J$2),INDIRECT(I3602),test))</f>
        <v>24.009875731714647</v>
      </c>
      <c r="F3602" s="1" t="str">
        <f t="shared" si="227"/>
        <v>50</v>
      </c>
      <c r="G3602" s="1" t="str">
        <f t="shared" si="228"/>
        <v/>
      </c>
      <c r="I3602" s="1" t="str">
        <f t="shared" si="226"/>
        <v>威尔新数值1.06.xlsm!suitPower</v>
      </c>
    </row>
    <row r="3603" spans="1:9" x14ac:dyDescent="0.15">
      <c r="A3603" s="1">
        <v>3602</v>
      </c>
      <c r="B3603" s="1">
        <v>103010600</v>
      </c>
      <c r="C3603" s="1">
        <f t="shared" si="225"/>
        <v>5</v>
      </c>
      <c r="D3603" s="5">
        <f ca="1">IF(getQuality(B3603)&lt;4,getOtherMin(B3603,C3603,INDIRECT(J$2),INDIRECT(I3603),test),getMin(B3603,C3603,INDIRECT(J$2),INDIRECT(I3603),test))</f>
        <v>1</v>
      </c>
      <c r="E3603" s="5">
        <f ca="1">IF(getQuality(B3603)&lt;4,getOtherMax(B3603,C3603,INDIRECT(J$2),INDIRECT(I3603),test),getMax(B3603,C3603,INDIRECT(J$2),INDIRECT(I3603),test))</f>
        <v>24.009875731714647</v>
      </c>
      <c r="F3603" s="1" t="str">
        <f t="shared" si="227"/>
        <v>50</v>
      </c>
      <c r="G3603" s="1" t="str">
        <f t="shared" si="228"/>
        <v>1</v>
      </c>
      <c r="I3603" s="1" t="str">
        <f t="shared" si="226"/>
        <v>威尔新数值1.06.xlsm!suitPower</v>
      </c>
    </row>
    <row r="3604" spans="1:9" x14ac:dyDescent="0.15">
      <c r="A3604" s="1">
        <v>3603</v>
      </c>
      <c r="B3604" s="1">
        <v>103010600</v>
      </c>
      <c r="C3604" s="1">
        <f t="shared" si="225"/>
        <v>7</v>
      </c>
      <c r="D3604" s="5">
        <f ca="1">IF(getQuality(B3604)&lt;4,getOtherMin(B3604,C3604,INDIRECT(J$2),INDIRECT(I3604),test),getMin(B3604,C3604,INDIRECT(J$2),INDIRECT(I3604),test))</f>
        <v>1</v>
      </c>
      <c r="E3604" s="5">
        <f ca="1">IF(getQuality(B3604)&lt;4,getOtherMax(B3604,C3604,INDIRECT(J$2),INDIRECT(I3604),test),getMax(B3604,C3604,INDIRECT(J$2),INDIRECT(I3604),test))</f>
        <v>7.4074074074073888</v>
      </c>
      <c r="F3604" s="1" t="str">
        <f t="shared" si="227"/>
        <v>50</v>
      </c>
      <c r="G3604" s="1" t="str">
        <f t="shared" si="228"/>
        <v/>
      </c>
      <c r="I3604" s="1" t="str">
        <f t="shared" si="226"/>
        <v>威尔新数值1.06.xlsm!suitPower</v>
      </c>
    </row>
    <row r="3605" spans="1:9" x14ac:dyDescent="0.15">
      <c r="A3605" s="1">
        <v>3604</v>
      </c>
      <c r="B3605" s="1">
        <v>103010600</v>
      </c>
      <c r="C3605" s="1">
        <f t="shared" si="225"/>
        <v>8</v>
      </c>
      <c r="D3605" s="5">
        <f ca="1">IF(getQuality(B3605)&lt;4,getOtherMin(B3605,C3605,INDIRECT(J$2),INDIRECT(I3605),test),getMin(B3605,C3605,INDIRECT(J$2),INDIRECT(I3605),test))</f>
        <v>1</v>
      </c>
      <c r="E3605" s="5">
        <f ca="1">IF(getQuality(B3605)&lt;4,getOtherMax(B3605,C3605,INDIRECT(J$2),INDIRECT(I3605),test),getMax(B3605,C3605,INDIRECT(J$2),INDIRECT(I3605),test))</f>
        <v>16.666666666666668</v>
      </c>
      <c r="F3605" s="1" t="str">
        <f t="shared" si="227"/>
        <v>50</v>
      </c>
      <c r="G3605" s="1" t="str">
        <f t="shared" si="228"/>
        <v/>
      </c>
      <c r="I3605" s="1" t="str">
        <f t="shared" si="226"/>
        <v>威尔新数值1.06.xlsm!suitPower</v>
      </c>
    </row>
    <row r="3606" spans="1:9" x14ac:dyDescent="0.15">
      <c r="A3606" s="1">
        <v>3605</v>
      </c>
      <c r="B3606" s="1">
        <v>103010600</v>
      </c>
      <c r="C3606" s="1">
        <f t="shared" si="225"/>
        <v>9</v>
      </c>
      <c r="D3606" s="5">
        <f ca="1">IF(getQuality(B3606)&lt;4,getOtherMin(B3606,C3606,INDIRECT(J$2),INDIRECT(I3606),test),getMin(B3606,C3606,INDIRECT(J$2),INDIRECT(I3606),test))</f>
        <v>1</v>
      </c>
      <c r="E3606" s="5">
        <f ca="1">IF(getQuality(B3606)&lt;4,getOtherMax(B3606,C3606,INDIRECT(J$2),INDIRECT(I3606),test),getMax(B3606,C3606,INDIRECT(J$2),INDIRECT(I3606),test))</f>
        <v>24.009875731714647</v>
      </c>
      <c r="F3606" s="1" t="str">
        <f t="shared" si="227"/>
        <v>50</v>
      </c>
      <c r="G3606" s="1" t="str">
        <f t="shared" si="228"/>
        <v/>
      </c>
      <c r="I3606" s="1" t="str">
        <f t="shared" si="226"/>
        <v>威尔新数值1.06.xlsm!suitPower</v>
      </c>
    </row>
    <row r="3607" spans="1:9" x14ac:dyDescent="0.15">
      <c r="A3607" s="1">
        <v>3606</v>
      </c>
      <c r="B3607" s="1">
        <v>103010600</v>
      </c>
      <c r="C3607" s="1">
        <f t="shared" si="225"/>
        <v>10</v>
      </c>
      <c r="D3607" s="5">
        <f ca="1">IF(getQuality(B3607)&lt;4,getOtherMin(B3607,C3607,INDIRECT(J$2),INDIRECT(I3607),test),getMin(B3607,C3607,INDIRECT(J$2),INDIRECT(I3607),test))</f>
        <v>1</v>
      </c>
      <c r="E3607" s="5">
        <f ca="1">IF(getQuality(B3607)&lt;4,getOtherMax(B3607,C3607,INDIRECT(J$2),INDIRECT(I3607),test),getMax(B3607,C3607,INDIRECT(J$2),INDIRECT(I3607),test))</f>
        <v>24.009875731714647</v>
      </c>
      <c r="F3607" s="1" t="str">
        <f t="shared" si="227"/>
        <v>50</v>
      </c>
      <c r="G3607" s="1" t="str">
        <f t="shared" si="228"/>
        <v/>
      </c>
      <c r="I3607" s="1" t="str">
        <f t="shared" si="226"/>
        <v>威尔新数值1.06.xlsm!suitPower</v>
      </c>
    </row>
    <row r="3608" spans="1:9" x14ac:dyDescent="0.15">
      <c r="A3608" s="1">
        <v>3607</v>
      </c>
      <c r="B3608" s="1">
        <v>103010600</v>
      </c>
      <c r="C3608" s="1">
        <f t="shared" si="225"/>
        <v>11</v>
      </c>
      <c r="D3608" s="5">
        <f ca="1">IF(getQuality(B3608)&lt;4,getOtherMin(B3608,C3608,INDIRECT(J$2),INDIRECT(I3608),test),getMin(B3608,C3608,INDIRECT(J$2),INDIRECT(I3608),test))</f>
        <v>1</v>
      </c>
      <c r="E3608" s="5">
        <f ca="1">IF(getQuality(B3608)&lt;4,getOtherMax(B3608,C3608,INDIRECT(J$2),INDIRECT(I3608),test),getMax(B3608,C3608,INDIRECT(J$2),INDIRECT(I3608),test))</f>
        <v>24.009875731714647</v>
      </c>
      <c r="F3608" s="1" t="str">
        <f t="shared" si="227"/>
        <v>50</v>
      </c>
      <c r="G3608" s="1" t="str">
        <f t="shared" si="228"/>
        <v/>
      </c>
      <c r="I3608" s="1" t="str">
        <f t="shared" si="226"/>
        <v>威尔新数值1.06.xlsm!suitPower</v>
      </c>
    </row>
    <row r="3609" spans="1:9" x14ac:dyDescent="0.15">
      <c r="A3609" s="1">
        <v>3608</v>
      </c>
      <c r="B3609" s="1">
        <v>103010600</v>
      </c>
      <c r="C3609" s="1">
        <f t="shared" si="225"/>
        <v>12</v>
      </c>
      <c r="D3609" s="5">
        <f ca="1">IF(getQuality(B3609)&lt;4,getOtherMin(B3609,C3609,INDIRECT(J$2),INDIRECT(I3609),test),getMin(B3609,C3609,INDIRECT(J$2),INDIRECT(I3609),test))</f>
        <v>1</v>
      </c>
      <c r="E3609" s="5">
        <f ca="1">IF(getQuality(B3609)&lt;4,getOtherMax(B3609,C3609,INDIRECT(J$2),INDIRECT(I3609),test),getMax(B3609,C3609,INDIRECT(J$2),INDIRECT(I3609),test))</f>
        <v>24.009875731714647</v>
      </c>
      <c r="F3609" s="1" t="str">
        <f t="shared" si="227"/>
        <v>50</v>
      </c>
      <c r="G3609" s="1" t="str">
        <f t="shared" si="228"/>
        <v/>
      </c>
      <c r="I3609" s="1" t="str">
        <f t="shared" si="226"/>
        <v>威尔新数值1.06.xlsm!suitPower</v>
      </c>
    </row>
    <row r="3610" spans="1:9" x14ac:dyDescent="0.15">
      <c r="A3610" s="1">
        <v>3609</v>
      </c>
      <c r="B3610" s="1">
        <v>103010600</v>
      </c>
      <c r="C3610" s="1">
        <f t="shared" si="225"/>
        <v>13</v>
      </c>
      <c r="D3610" s="5">
        <f ca="1">IF(getQuality(B3610)&lt;4,getOtherMin(B3610,C3610,INDIRECT(J$2),INDIRECT(I3610),test),getMin(B3610,C3610,INDIRECT(J$2),INDIRECT(I3610),test))</f>
        <v>1</v>
      </c>
      <c r="E3610" s="5">
        <f ca="1">IF(getQuality(B3610)&lt;4,getOtherMax(B3610,C3610,INDIRECT(J$2),INDIRECT(I3610),test),getMax(B3610,C3610,INDIRECT(J$2),INDIRECT(I3610),test))</f>
        <v>24.009875731714647</v>
      </c>
      <c r="F3610" s="1" t="str">
        <f t="shared" si="227"/>
        <v>50</v>
      </c>
      <c r="G3610" s="1" t="str">
        <f t="shared" si="228"/>
        <v/>
      </c>
      <c r="I3610" s="1" t="str">
        <f t="shared" si="226"/>
        <v>威尔新数值1.06.xlsm!suitPower</v>
      </c>
    </row>
    <row r="3611" spans="1:9" x14ac:dyDescent="0.15">
      <c r="A3611" s="1">
        <v>3610</v>
      </c>
      <c r="B3611" s="1">
        <v>103010600</v>
      </c>
      <c r="C3611" s="1">
        <f t="shared" si="225"/>
        <v>14</v>
      </c>
      <c r="D3611" s="5">
        <f ca="1">IF(getQuality(B3611)&lt;4,getOtherMin(B3611,C3611,INDIRECT(J$2),INDIRECT(I3611),test),getMin(B3611,C3611,INDIRECT(J$2),INDIRECT(I3611),test))</f>
        <v>1</v>
      </c>
      <c r="E3611" s="5">
        <f ca="1">IF(getQuality(B3611)&lt;4,getOtherMax(B3611,C3611,INDIRECT(J$2),INDIRECT(I3611),test),getMax(B3611,C3611,INDIRECT(J$2),INDIRECT(I3611),test))</f>
        <v>24.009875731714647</v>
      </c>
      <c r="F3611" s="1" t="str">
        <f t="shared" si="227"/>
        <v>50</v>
      </c>
      <c r="G3611" s="1" t="str">
        <f t="shared" si="228"/>
        <v/>
      </c>
      <c r="I3611" s="1" t="str">
        <f t="shared" si="226"/>
        <v>威尔新数值1.06.xlsm!suitPower</v>
      </c>
    </row>
    <row r="3612" spans="1:9" x14ac:dyDescent="0.15">
      <c r="A3612" s="1">
        <v>3611</v>
      </c>
      <c r="B3612" s="1">
        <v>103010600</v>
      </c>
      <c r="C3612" s="1">
        <f t="shared" si="225"/>
        <v>15</v>
      </c>
      <c r="D3612" s="5">
        <f ca="1">IF(getQuality(B3612)&lt;4,getOtherMin(B3612,C3612,INDIRECT(J$2),INDIRECT(I3612),test),getMin(B3612,C3612,INDIRECT(J$2),INDIRECT(I3612),test))</f>
        <v>1</v>
      </c>
      <c r="E3612" s="5">
        <f ca="1">IF(getQuality(B3612)&lt;4,getOtherMax(B3612,C3612,INDIRECT(J$2),INDIRECT(I3612),test),getMax(B3612,C3612,INDIRECT(J$2),INDIRECT(I3612),test))</f>
        <v>24.009875731714647</v>
      </c>
      <c r="F3612" s="1" t="str">
        <f t="shared" si="227"/>
        <v>50</v>
      </c>
      <c r="G3612" s="1" t="str">
        <f t="shared" si="228"/>
        <v/>
      </c>
      <c r="I3612" s="1" t="str">
        <f t="shared" si="226"/>
        <v>威尔新数值1.06.xlsm!suitPower</v>
      </c>
    </row>
    <row r="3613" spans="1:9" x14ac:dyDescent="0.15">
      <c r="A3613" s="1">
        <v>3612</v>
      </c>
      <c r="B3613" s="1">
        <v>103010600</v>
      </c>
      <c r="C3613" s="1">
        <f t="shared" si="225"/>
        <v>101</v>
      </c>
      <c r="D3613" s="5">
        <f ca="1">IF(getQuality(B3613)&lt;4,getOtherMin(B3613,C3613,INDIRECT(J$2),INDIRECT(I3613),test),getMin(B3613,C3613,INDIRECT(J$2),INDIRECT(I3613),test))</f>
        <v>7.0000000000000007E-2</v>
      </c>
      <c r="E3613" s="5">
        <f ca="1">IF(getQuality(B3613)&lt;4,getOtherMax(B3613,C3613,INDIRECT(J$2),INDIRECT(I3613),test),getMax(B3613,C3613,INDIRECT(J$2),INDIRECT(I3613),test))</f>
        <v>0.1</v>
      </c>
      <c r="F3613" s="1" t="str">
        <f t="shared" si="227"/>
        <v>50</v>
      </c>
      <c r="G3613" s="1" t="str">
        <f t="shared" si="228"/>
        <v/>
      </c>
      <c r="I3613" s="1" t="str">
        <f t="shared" si="226"/>
        <v>威尔新数值1.06.xlsm!circlePer</v>
      </c>
    </row>
    <row r="3614" spans="1:9" x14ac:dyDescent="0.15">
      <c r="A3614" s="1">
        <v>3613</v>
      </c>
      <c r="B3614" s="1">
        <v>103010600</v>
      </c>
      <c r="C3614" s="1">
        <f t="shared" si="225"/>
        <v>102</v>
      </c>
      <c r="D3614" s="5">
        <f ca="1">IF(getQuality(B3614)&lt;4,getOtherMin(B3614,C3614,INDIRECT(J$2),INDIRECT(I3614),test),getMin(B3614,C3614,INDIRECT(J$2),INDIRECT(I3614),test))</f>
        <v>0.6</v>
      </c>
      <c r="E3614" s="5">
        <f ca="1">IF(getQuality(B3614)&lt;4,getOtherMax(B3614,C3614,INDIRECT(J$2),INDIRECT(I3614),test),getMax(B3614,C3614,INDIRECT(J$2),INDIRECT(I3614),test))</f>
        <v>0.9</v>
      </c>
      <c r="F3614" s="1" t="str">
        <f t="shared" si="227"/>
        <v>50</v>
      </c>
      <c r="G3614" s="1" t="str">
        <f t="shared" si="228"/>
        <v/>
      </c>
      <c r="I3614" s="1" t="str">
        <f t="shared" si="226"/>
        <v>威尔新数值1.06.xlsm!circleValue</v>
      </c>
    </row>
    <row r="3615" spans="1:9" x14ac:dyDescent="0.15">
      <c r="A3615" s="1">
        <v>3614</v>
      </c>
      <c r="B3615" s="1">
        <v>103010600</v>
      </c>
      <c r="C3615" s="1">
        <f t="shared" si="225"/>
        <v>103</v>
      </c>
      <c r="D3615" s="5">
        <f ca="1">IF(getQuality(B3615)&lt;4,getOtherMin(B3615,C3615,INDIRECT(J$2),INDIRECT(I3615),test),getMin(B3615,C3615,INDIRECT(J$2),INDIRECT(I3615),test))</f>
        <v>7.0000000000000007E-2</v>
      </c>
      <c r="E3615" s="5">
        <f ca="1">IF(getQuality(B3615)&lt;4,getOtherMax(B3615,C3615,INDIRECT(J$2),INDIRECT(I3615),test),getMax(B3615,C3615,INDIRECT(J$2),INDIRECT(I3615),test))</f>
        <v>0.1</v>
      </c>
      <c r="F3615" s="1" t="str">
        <f t="shared" si="227"/>
        <v>50</v>
      </c>
      <c r="G3615" s="1" t="str">
        <f t="shared" si="228"/>
        <v/>
      </c>
      <c r="I3615" s="1" t="str">
        <f t="shared" si="226"/>
        <v>威尔新数值1.06.xlsm!otherDamage</v>
      </c>
    </row>
    <row r="3616" spans="1:9" x14ac:dyDescent="0.15">
      <c r="A3616" s="1">
        <v>3615</v>
      </c>
      <c r="B3616" s="1">
        <v>103010600</v>
      </c>
      <c r="C3616" s="1">
        <f t="shared" si="225"/>
        <v>104</v>
      </c>
      <c r="D3616" s="5">
        <f ca="1">IF(getQuality(B3616)&lt;4,getOtherMin(B3616,C3616,INDIRECT(J$2),INDIRECT(I3616),test),getMin(B3616,C3616,INDIRECT(J$2),INDIRECT(I3616),test))</f>
        <v>7.0000000000000007E-2</v>
      </c>
      <c r="E3616" s="5">
        <f ca="1">IF(getQuality(B3616)&lt;4,getOtherMax(B3616,C3616,INDIRECT(J$2),INDIRECT(I3616),test),getMax(B3616,C3616,INDIRECT(J$2),INDIRECT(I3616),test))</f>
        <v>0.14000000000000001</v>
      </c>
      <c r="F3616" s="1" t="str">
        <f t="shared" si="227"/>
        <v>50</v>
      </c>
      <c r="G3616" s="1" t="str">
        <f t="shared" si="228"/>
        <v/>
      </c>
      <c r="I3616" s="1" t="str">
        <f t="shared" si="226"/>
        <v>威尔新数值1.06.xlsm!monsterDamage</v>
      </c>
    </row>
    <row r="3617" spans="1:9" x14ac:dyDescent="0.15">
      <c r="A3617" s="1">
        <v>3616</v>
      </c>
      <c r="B3617" s="1">
        <v>103010600</v>
      </c>
      <c r="C3617" s="1">
        <f t="shared" si="225"/>
        <v>105</v>
      </c>
      <c r="D3617" s="5">
        <f ca="1">IF(getQuality(B3617)&lt;4,getOtherMin(B3617,C3617,INDIRECT(J$2),INDIRECT(I3617),test),getMin(B3617,C3617,INDIRECT(J$2),INDIRECT(I3617),test))</f>
        <v>7.0000000000000007E-2</v>
      </c>
      <c r="E3617" s="5">
        <f ca="1">IF(getQuality(B3617)&lt;4,getOtherMax(B3617,C3617,INDIRECT(J$2),INDIRECT(I3617),test),getMax(B3617,C3617,INDIRECT(J$2),INDIRECT(I3617),test))</f>
        <v>0.14000000000000001</v>
      </c>
      <c r="F3617" s="1" t="str">
        <f t="shared" si="227"/>
        <v>50</v>
      </c>
      <c r="G3617" s="1" t="str">
        <f t="shared" si="228"/>
        <v/>
      </c>
      <c r="I3617" s="1" t="str">
        <f t="shared" si="226"/>
        <v>威尔新数值1.06.xlsm!monsterDamage</v>
      </c>
    </row>
    <row r="3618" spans="1:9" x14ac:dyDescent="0.15">
      <c r="A3618" s="1">
        <v>3617</v>
      </c>
      <c r="B3618" s="1">
        <v>103010600</v>
      </c>
      <c r="C3618" s="1">
        <f t="shared" si="225"/>
        <v>106</v>
      </c>
      <c r="D3618" s="5">
        <f ca="1">IF(getQuality(B3618)&lt;4,getOtherMin(B3618,C3618,INDIRECT(J$2),INDIRECT(I3618),test),getMin(B3618,C3618,INDIRECT(J$2),INDIRECT(I3618),test))</f>
        <v>7.0000000000000007E-2</v>
      </c>
      <c r="E3618" s="5">
        <f ca="1">IF(getQuality(B3618)&lt;4,getOtherMax(B3618,C3618,INDIRECT(J$2),INDIRECT(I3618),test),getMax(B3618,C3618,INDIRECT(J$2),INDIRECT(I3618),test))</f>
        <v>0.14000000000000001</v>
      </c>
      <c r="F3618" s="1" t="str">
        <f t="shared" si="227"/>
        <v>50</v>
      </c>
      <c r="G3618" s="1" t="str">
        <f t="shared" si="228"/>
        <v/>
      </c>
      <c r="I3618" s="1" t="str">
        <f t="shared" si="226"/>
        <v>威尔新数值1.06.xlsm!monsterDamage</v>
      </c>
    </row>
    <row r="3619" spans="1:9" x14ac:dyDescent="0.15">
      <c r="A3619" s="1">
        <v>3618</v>
      </c>
      <c r="B3619" s="1">
        <v>103010600</v>
      </c>
      <c r="C3619" s="1">
        <f t="shared" si="225"/>
        <v>107</v>
      </c>
      <c r="D3619" s="5">
        <f ca="1">IF(getQuality(B3619)&lt;4,getOtherMin(B3619,C3619,INDIRECT(J$2),INDIRECT(I3619),test),getMin(B3619,C3619,INDIRECT(J$2),INDIRECT(I3619),test))</f>
        <v>7.0000000000000007E-2</v>
      </c>
      <c r="E3619" s="5">
        <f ca="1">IF(getQuality(B3619)&lt;4,getOtherMax(B3619,C3619,INDIRECT(J$2),INDIRECT(I3619),test),getMax(B3619,C3619,INDIRECT(J$2),INDIRECT(I3619),test))</f>
        <v>0.14000000000000001</v>
      </c>
      <c r="F3619" s="1" t="str">
        <f t="shared" si="227"/>
        <v>50</v>
      </c>
      <c r="G3619" s="1" t="str">
        <f t="shared" si="228"/>
        <v/>
      </c>
      <c r="I3619" s="1" t="str">
        <f t="shared" si="226"/>
        <v>威尔新数值1.06.xlsm!monsterDamage</v>
      </c>
    </row>
    <row r="3620" spans="1:9" x14ac:dyDescent="0.15">
      <c r="A3620" s="1">
        <v>3619</v>
      </c>
      <c r="B3620" s="1">
        <v>103010600</v>
      </c>
      <c r="C3620" s="1">
        <f t="shared" si="225"/>
        <v>108</v>
      </c>
      <c r="D3620" s="5">
        <f ca="1">IF(getQuality(B3620)&lt;4,getOtherMin(B3620,C3620,INDIRECT(J$2),INDIRECT(I3620),test),getMin(B3620,C3620,INDIRECT(J$2),INDIRECT(I3620),test))</f>
        <v>7.0000000000000007E-2</v>
      </c>
      <c r="E3620" s="5">
        <f ca="1">IF(getQuality(B3620)&lt;4,getOtherMax(B3620,C3620,INDIRECT(J$2),INDIRECT(I3620),test),getMax(B3620,C3620,INDIRECT(J$2),INDIRECT(I3620),test))</f>
        <v>0.14000000000000001</v>
      </c>
      <c r="F3620" s="1" t="str">
        <f t="shared" si="227"/>
        <v>50</v>
      </c>
      <c r="G3620" s="1" t="str">
        <f t="shared" si="228"/>
        <v/>
      </c>
      <c r="I3620" s="1" t="str">
        <f t="shared" si="226"/>
        <v>威尔新数值1.06.xlsm!monsterDamage</v>
      </c>
    </row>
    <row r="3621" spans="1:9" x14ac:dyDescent="0.15">
      <c r="A3621" s="1">
        <v>3620</v>
      </c>
      <c r="B3621" s="1">
        <v>103020600</v>
      </c>
      <c r="C3621" s="1">
        <f t="shared" si="225"/>
        <v>3</v>
      </c>
      <c r="D3621" s="5">
        <f ca="1">IF(getQuality(B3621)&lt;4,getOtherMin(B3621,C3621,INDIRECT(J$2),INDIRECT(I3621),test),getMin(B3621,C3621,INDIRECT(J$2),INDIRECT(I3621),test))</f>
        <v>25.009875731714647</v>
      </c>
      <c r="E3621" s="5">
        <f ca="1">IF(getQuality(B3621)&lt;4,getOtherMax(B3621,C3621,INDIRECT(J$2),INDIRECT(I3621),test),getMax(B3621,C3621,INDIRECT(J$2),INDIRECT(I3621),test))</f>
        <v>52.82172660977222</v>
      </c>
      <c r="F3621" s="1" t="str">
        <f t="shared" si="227"/>
        <v>50</v>
      </c>
      <c r="G3621" s="1" t="str">
        <f t="shared" si="228"/>
        <v/>
      </c>
      <c r="I3621" s="1" t="str">
        <f t="shared" si="226"/>
        <v>威尔新数值1.06.xlsm!suitPower</v>
      </c>
    </row>
    <row r="3622" spans="1:9" x14ac:dyDescent="0.15">
      <c r="A3622" s="1">
        <v>3621</v>
      </c>
      <c r="B3622" s="1">
        <v>103020600</v>
      </c>
      <c r="C3622" s="1">
        <f t="shared" si="225"/>
        <v>5</v>
      </c>
      <c r="D3622" s="5">
        <f ca="1">IF(getQuality(B3622)&lt;4,getOtherMin(B3622,C3622,INDIRECT(J$2),INDIRECT(I3622),test),getMin(B3622,C3622,INDIRECT(J$2),INDIRECT(I3622),test))</f>
        <v>25.009875731714647</v>
      </c>
      <c r="E3622" s="5">
        <f ca="1">IF(getQuality(B3622)&lt;4,getOtherMax(B3622,C3622,INDIRECT(J$2),INDIRECT(I3622),test),getMax(B3622,C3622,INDIRECT(J$2),INDIRECT(I3622),test))</f>
        <v>52.82172660977222</v>
      </c>
      <c r="F3622" s="1" t="str">
        <f t="shared" si="227"/>
        <v>50</v>
      </c>
      <c r="G3622" s="1" t="str">
        <f t="shared" si="228"/>
        <v>1</v>
      </c>
      <c r="I3622" s="1" t="str">
        <f t="shared" si="226"/>
        <v>威尔新数值1.06.xlsm!suitPower</v>
      </c>
    </row>
    <row r="3623" spans="1:9" x14ac:dyDescent="0.15">
      <c r="A3623" s="1">
        <v>3622</v>
      </c>
      <c r="B3623" s="1">
        <v>103020600</v>
      </c>
      <c r="C3623" s="1">
        <f t="shared" si="225"/>
        <v>7</v>
      </c>
      <c r="D3623" s="5">
        <f ca="1">IF(getQuality(B3623)&lt;4,getOtherMin(B3623,C3623,INDIRECT(J$2),INDIRECT(I3623),test),getMin(B3623,C3623,INDIRECT(J$2),INDIRECT(I3623),test))</f>
        <v>8.4074074074073888</v>
      </c>
      <c r="E3623" s="5">
        <f ca="1">IF(getQuality(B3623)&lt;4,getOtherMax(B3623,C3623,INDIRECT(J$2),INDIRECT(I3623),test),getMax(B3623,C3623,INDIRECT(J$2),INDIRECT(I3623),test))</f>
        <v>14.814814814814778</v>
      </c>
      <c r="F3623" s="1" t="str">
        <f t="shared" si="227"/>
        <v>50</v>
      </c>
      <c r="G3623" s="1" t="str">
        <f t="shared" si="228"/>
        <v/>
      </c>
      <c r="I3623" s="1" t="str">
        <f t="shared" si="226"/>
        <v>威尔新数值1.06.xlsm!suitPower</v>
      </c>
    </row>
    <row r="3624" spans="1:9" x14ac:dyDescent="0.15">
      <c r="A3624" s="1">
        <v>3623</v>
      </c>
      <c r="B3624" s="1">
        <v>103020600</v>
      </c>
      <c r="C3624" s="1">
        <f t="shared" si="225"/>
        <v>8</v>
      </c>
      <c r="D3624" s="5">
        <f ca="1">IF(getQuality(B3624)&lt;4,getOtherMin(B3624,C3624,INDIRECT(J$2),INDIRECT(I3624),test),getMin(B3624,C3624,INDIRECT(J$2),INDIRECT(I3624),test))</f>
        <v>17.666666666666668</v>
      </c>
      <c r="E3624" s="5">
        <f ca="1">IF(getQuality(B3624)&lt;4,getOtherMax(B3624,C3624,INDIRECT(J$2),INDIRECT(I3624),test),getMax(B3624,C3624,INDIRECT(J$2),INDIRECT(I3624),test))</f>
        <v>33.333333333333336</v>
      </c>
      <c r="F3624" s="1" t="str">
        <f t="shared" si="227"/>
        <v>50</v>
      </c>
      <c r="G3624" s="1" t="str">
        <f t="shared" si="228"/>
        <v/>
      </c>
      <c r="I3624" s="1" t="str">
        <f t="shared" si="226"/>
        <v>威尔新数值1.06.xlsm!suitPower</v>
      </c>
    </row>
    <row r="3625" spans="1:9" x14ac:dyDescent="0.15">
      <c r="A3625" s="1">
        <v>3624</v>
      </c>
      <c r="B3625" s="1">
        <v>103020600</v>
      </c>
      <c r="C3625" s="1">
        <f t="shared" si="225"/>
        <v>9</v>
      </c>
      <c r="D3625" s="5">
        <f ca="1">IF(getQuality(B3625)&lt;4,getOtherMin(B3625,C3625,INDIRECT(J$2),INDIRECT(I3625),test),getMin(B3625,C3625,INDIRECT(J$2),INDIRECT(I3625),test))</f>
        <v>25.009875731714647</v>
      </c>
      <c r="E3625" s="5">
        <f ca="1">IF(getQuality(B3625)&lt;4,getOtherMax(B3625,C3625,INDIRECT(J$2),INDIRECT(I3625),test),getMax(B3625,C3625,INDIRECT(J$2),INDIRECT(I3625),test))</f>
        <v>52.82172660977222</v>
      </c>
      <c r="F3625" s="1" t="str">
        <f t="shared" si="227"/>
        <v>50</v>
      </c>
      <c r="G3625" s="1" t="str">
        <f t="shared" si="228"/>
        <v/>
      </c>
      <c r="I3625" s="1" t="str">
        <f t="shared" si="226"/>
        <v>威尔新数值1.06.xlsm!suitPower</v>
      </c>
    </row>
    <row r="3626" spans="1:9" x14ac:dyDescent="0.15">
      <c r="A3626" s="1">
        <v>3625</v>
      </c>
      <c r="B3626" s="1">
        <v>103020600</v>
      </c>
      <c r="C3626" s="1">
        <f t="shared" si="225"/>
        <v>10</v>
      </c>
      <c r="D3626" s="5">
        <f ca="1">IF(getQuality(B3626)&lt;4,getOtherMin(B3626,C3626,INDIRECT(J$2),INDIRECT(I3626),test),getMin(B3626,C3626,INDIRECT(J$2),INDIRECT(I3626),test))</f>
        <v>25.009875731714647</v>
      </c>
      <c r="E3626" s="5">
        <f ca="1">IF(getQuality(B3626)&lt;4,getOtherMax(B3626,C3626,INDIRECT(J$2),INDIRECT(I3626),test),getMax(B3626,C3626,INDIRECT(J$2),INDIRECT(I3626),test))</f>
        <v>52.82172660977222</v>
      </c>
      <c r="F3626" s="1" t="str">
        <f t="shared" si="227"/>
        <v>50</v>
      </c>
      <c r="G3626" s="1" t="str">
        <f t="shared" si="228"/>
        <v/>
      </c>
      <c r="I3626" s="1" t="str">
        <f t="shared" si="226"/>
        <v>威尔新数值1.06.xlsm!suitPower</v>
      </c>
    </row>
    <row r="3627" spans="1:9" x14ac:dyDescent="0.15">
      <c r="A3627" s="1">
        <v>3626</v>
      </c>
      <c r="B3627" s="1">
        <v>103020600</v>
      </c>
      <c r="C3627" s="1">
        <f t="shared" si="225"/>
        <v>11</v>
      </c>
      <c r="D3627" s="5">
        <f ca="1">IF(getQuality(B3627)&lt;4,getOtherMin(B3627,C3627,INDIRECT(J$2),INDIRECT(I3627),test),getMin(B3627,C3627,INDIRECT(J$2),INDIRECT(I3627),test))</f>
        <v>25.009875731714647</v>
      </c>
      <c r="E3627" s="5">
        <f ca="1">IF(getQuality(B3627)&lt;4,getOtherMax(B3627,C3627,INDIRECT(J$2),INDIRECT(I3627),test),getMax(B3627,C3627,INDIRECT(J$2),INDIRECT(I3627),test))</f>
        <v>52.82172660977222</v>
      </c>
      <c r="F3627" s="1" t="str">
        <f t="shared" si="227"/>
        <v>50</v>
      </c>
      <c r="G3627" s="1" t="str">
        <f t="shared" si="228"/>
        <v/>
      </c>
      <c r="I3627" s="1" t="str">
        <f t="shared" si="226"/>
        <v>威尔新数值1.06.xlsm!suitPower</v>
      </c>
    </row>
    <row r="3628" spans="1:9" x14ac:dyDescent="0.15">
      <c r="A3628" s="1">
        <v>3627</v>
      </c>
      <c r="B3628" s="1">
        <v>103020600</v>
      </c>
      <c r="C3628" s="1">
        <f t="shared" si="225"/>
        <v>12</v>
      </c>
      <c r="D3628" s="5">
        <f ca="1">IF(getQuality(B3628)&lt;4,getOtherMin(B3628,C3628,INDIRECT(J$2),INDIRECT(I3628),test),getMin(B3628,C3628,INDIRECT(J$2),INDIRECT(I3628),test))</f>
        <v>25.009875731714647</v>
      </c>
      <c r="E3628" s="5">
        <f ca="1">IF(getQuality(B3628)&lt;4,getOtherMax(B3628,C3628,INDIRECT(J$2),INDIRECT(I3628),test),getMax(B3628,C3628,INDIRECT(J$2),INDIRECT(I3628),test))</f>
        <v>52.82172660977222</v>
      </c>
      <c r="F3628" s="1" t="str">
        <f t="shared" si="227"/>
        <v>50</v>
      </c>
      <c r="G3628" s="1" t="str">
        <f t="shared" si="228"/>
        <v/>
      </c>
      <c r="I3628" s="1" t="str">
        <f t="shared" si="226"/>
        <v>威尔新数值1.06.xlsm!suitPower</v>
      </c>
    </row>
    <row r="3629" spans="1:9" x14ac:dyDescent="0.15">
      <c r="A3629" s="1">
        <v>3628</v>
      </c>
      <c r="B3629" s="1">
        <v>103020600</v>
      </c>
      <c r="C3629" s="1">
        <f t="shared" si="225"/>
        <v>13</v>
      </c>
      <c r="D3629" s="5">
        <f ca="1">IF(getQuality(B3629)&lt;4,getOtherMin(B3629,C3629,INDIRECT(J$2),INDIRECT(I3629),test),getMin(B3629,C3629,INDIRECT(J$2),INDIRECT(I3629),test))</f>
        <v>25.009875731714647</v>
      </c>
      <c r="E3629" s="5">
        <f ca="1">IF(getQuality(B3629)&lt;4,getOtherMax(B3629,C3629,INDIRECT(J$2),INDIRECT(I3629),test),getMax(B3629,C3629,INDIRECT(J$2),INDIRECT(I3629),test))</f>
        <v>52.82172660977222</v>
      </c>
      <c r="F3629" s="1" t="str">
        <f t="shared" si="227"/>
        <v>50</v>
      </c>
      <c r="G3629" s="1" t="str">
        <f t="shared" si="228"/>
        <v/>
      </c>
      <c r="I3629" s="1" t="str">
        <f t="shared" si="226"/>
        <v>威尔新数值1.06.xlsm!suitPower</v>
      </c>
    </row>
    <row r="3630" spans="1:9" x14ac:dyDescent="0.15">
      <c r="A3630" s="1">
        <v>3629</v>
      </c>
      <c r="B3630" s="1">
        <v>103020600</v>
      </c>
      <c r="C3630" s="1">
        <f t="shared" si="225"/>
        <v>14</v>
      </c>
      <c r="D3630" s="5">
        <f ca="1">IF(getQuality(B3630)&lt;4,getOtherMin(B3630,C3630,INDIRECT(J$2),INDIRECT(I3630),test),getMin(B3630,C3630,INDIRECT(J$2),INDIRECT(I3630),test))</f>
        <v>25.009875731714647</v>
      </c>
      <c r="E3630" s="5">
        <f ca="1">IF(getQuality(B3630)&lt;4,getOtherMax(B3630,C3630,INDIRECT(J$2),INDIRECT(I3630),test),getMax(B3630,C3630,INDIRECT(J$2),INDIRECT(I3630),test))</f>
        <v>52.82172660977222</v>
      </c>
      <c r="F3630" s="1" t="str">
        <f t="shared" si="227"/>
        <v>50</v>
      </c>
      <c r="G3630" s="1" t="str">
        <f t="shared" si="228"/>
        <v/>
      </c>
      <c r="I3630" s="1" t="str">
        <f t="shared" si="226"/>
        <v>威尔新数值1.06.xlsm!suitPower</v>
      </c>
    </row>
    <row r="3631" spans="1:9" x14ac:dyDescent="0.15">
      <c r="A3631" s="1">
        <v>3630</v>
      </c>
      <c r="B3631" s="1">
        <v>103020600</v>
      </c>
      <c r="C3631" s="1">
        <f t="shared" si="225"/>
        <v>15</v>
      </c>
      <c r="D3631" s="5">
        <f ca="1">IF(getQuality(B3631)&lt;4,getOtherMin(B3631,C3631,INDIRECT(J$2),INDIRECT(I3631),test),getMin(B3631,C3631,INDIRECT(J$2),INDIRECT(I3631),test))</f>
        <v>25.009875731714647</v>
      </c>
      <c r="E3631" s="5">
        <f ca="1">IF(getQuality(B3631)&lt;4,getOtherMax(B3631,C3631,INDIRECT(J$2),INDIRECT(I3631),test),getMax(B3631,C3631,INDIRECT(J$2),INDIRECT(I3631),test))</f>
        <v>52.82172660977222</v>
      </c>
      <c r="F3631" s="1" t="str">
        <f t="shared" si="227"/>
        <v>50</v>
      </c>
      <c r="G3631" s="1" t="str">
        <f t="shared" si="228"/>
        <v/>
      </c>
      <c r="I3631" s="1" t="str">
        <f t="shared" si="226"/>
        <v>威尔新数值1.06.xlsm!suitPower</v>
      </c>
    </row>
    <row r="3632" spans="1:9" x14ac:dyDescent="0.15">
      <c r="A3632" s="1">
        <v>3631</v>
      </c>
      <c r="B3632" s="1">
        <v>103020600</v>
      </c>
      <c r="C3632" s="1">
        <f t="shared" si="225"/>
        <v>101</v>
      </c>
      <c r="D3632" s="5">
        <f ca="1">IF(getQuality(B3632)&lt;4,getOtherMin(B3632,C3632,INDIRECT(J$2),INDIRECT(I3632),test),getMin(B3632,C3632,INDIRECT(J$2),INDIRECT(I3632),test))</f>
        <v>0.08</v>
      </c>
      <c r="E3632" s="5">
        <f ca="1">IF(getQuality(B3632)&lt;4,getOtherMax(B3632,C3632,INDIRECT(J$2),INDIRECT(I3632),test),getMax(B3632,C3632,INDIRECT(J$2),INDIRECT(I3632),test))</f>
        <v>0.11</v>
      </c>
      <c r="F3632" s="1" t="str">
        <f t="shared" si="227"/>
        <v>50</v>
      </c>
      <c r="G3632" s="1" t="str">
        <f t="shared" si="228"/>
        <v/>
      </c>
      <c r="I3632" s="1" t="str">
        <f t="shared" si="226"/>
        <v>威尔新数值1.06.xlsm!circlePer</v>
      </c>
    </row>
    <row r="3633" spans="1:9" x14ac:dyDescent="0.15">
      <c r="A3633" s="1">
        <v>3632</v>
      </c>
      <c r="B3633" s="1">
        <v>103020600</v>
      </c>
      <c r="C3633" s="1">
        <f t="shared" si="225"/>
        <v>102</v>
      </c>
      <c r="D3633" s="5">
        <f ca="1">IF(getQuality(B3633)&lt;4,getOtherMin(B3633,C3633,INDIRECT(J$2),INDIRECT(I3633),test),getMin(B3633,C3633,INDIRECT(J$2),INDIRECT(I3633),test))</f>
        <v>0.7</v>
      </c>
      <c r="E3633" s="5">
        <f ca="1">IF(getQuality(B3633)&lt;4,getOtherMax(B3633,C3633,INDIRECT(J$2),INDIRECT(I3633),test),getMax(B3633,C3633,INDIRECT(J$2),INDIRECT(I3633),test))</f>
        <v>1</v>
      </c>
      <c r="F3633" s="1" t="str">
        <f t="shared" si="227"/>
        <v>50</v>
      </c>
      <c r="G3633" s="1" t="str">
        <f t="shared" si="228"/>
        <v/>
      </c>
      <c r="I3633" s="1" t="str">
        <f t="shared" si="226"/>
        <v>威尔新数值1.06.xlsm!circleValue</v>
      </c>
    </row>
    <row r="3634" spans="1:9" x14ac:dyDescent="0.15">
      <c r="A3634" s="1">
        <v>3633</v>
      </c>
      <c r="B3634" s="1">
        <v>103020600</v>
      </c>
      <c r="C3634" s="1">
        <f t="shared" si="225"/>
        <v>103</v>
      </c>
      <c r="D3634" s="5">
        <f ca="1">IF(getQuality(B3634)&lt;4,getOtherMin(B3634,C3634,INDIRECT(J$2),INDIRECT(I3634),test),getMin(B3634,C3634,INDIRECT(J$2),INDIRECT(I3634),test))</f>
        <v>0.08</v>
      </c>
      <c r="E3634" s="5">
        <f ca="1">IF(getQuality(B3634)&lt;4,getOtherMax(B3634,C3634,INDIRECT(J$2),INDIRECT(I3634),test),getMax(B3634,C3634,INDIRECT(J$2),INDIRECT(I3634),test))</f>
        <v>0.11</v>
      </c>
      <c r="F3634" s="1" t="str">
        <f t="shared" si="227"/>
        <v>50</v>
      </c>
      <c r="G3634" s="1" t="str">
        <f t="shared" si="228"/>
        <v/>
      </c>
      <c r="I3634" s="1" t="str">
        <f t="shared" si="226"/>
        <v>威尔新数值1.06.xlsm!otherDamage</v>
      </c>
    </row>
    <row r="3635" spans="1:9" x14ac:dyDescent="0.15">
      <c r="A3635" s="1">
        <v>3634</v>
      </c>
      <c r="B3635" s="1">
        <v>103020600</v>
      </c>
      <c r="C3635" s="1">
        <f t="shared" si="225"/>
        <v>104</v>
      </c>
      <c r="D3635" s="5">
        <f ca="1">IF(getQuality(B3635)&lt;4,getOtherMin(B3635,C3635,INDIRECT(J$2),INDIRECT(I3635),test),getMin(B3635,C3635,INDIRECT(J$2),INDIRECT(I3635),test))</f>
        <v>0.08</v>
      </c>
      <c r="E3635" s="5">
        <f ca="1">IF(getQuality(B3635)&lt;4,getOtherMax(B3635,C3635,INDIRECT(J$2),INDIRECT(I3635),test),getMax(B3635,C3635,INDIRECT(J$2),INDIRECT(I3635),test))</f>
        <v>0.16</v>
      </c>
      <c r="F3635" s="1" t="str">
        <f t="shared" si="227"/>
        <v>50</v>
      </c>
      <c r="G3635" s="1" t="str">
        <f t="shared" si="228"/>
        <v/>
      </c>
      <c r="I3635" s="1" t="str">
        <f t="shared" si="226"/>
        <v>威尔新数值1.06.xlsm!monsterDamage</v>
      </c>
    </row>
    <row r="3636" spans="1:9" x14ac:dyDescent="0.15">
      <c r="A3636" s="1">
        <v>3635</v>
      </c>
      <c r="B3636" s="1">
        <v>103020600</v>
      </c>
      <c r="C3636" s="1">
        <f t="shared" si="225"/>
        <v>105</v>
      </c>
      <c r="D3636" s="5">
        <f ca="1">IF(getQuality(B3636)&lt;4,getOtherMin(B3636,C3636,INDIRECT(J$2),INDIRECT(I3636),test),getMin(B3636,C3636,INDIRECT(J$2),INDIRECT(I3636),test))</f>
        <v>0.08</v>
      </c>
      <c r="E3636" s="5">
        <f ca="1">IF(getQuality(B3636)&lt;4,getOtherMax(B3636,C3636,INDIRECT(J$2),INDIRECT(I3636),test),getMax(B3636,C3636,INDIRECT(J$2),INDIRECT(I3636),test))</f>
        <v>0.16</v>
      </c>
      <c r="F3636" s="1" t="str">
        <f t="shared" si="227"/>
        <v>50</v>
      </c>
      <c r="G3636" s="1" t="str">
        <f t="shared" si="228"/>
        <v/>
      </c>
      <c r="I3636" s="1" t="str">
        <f t="shared" si="226"/>
        <v>威尔新数值1.06.xlsm!monsterDamage</v>
      </c>
    </row>
    <row r="3637" spans="1:9" x14ac:dyDescent="0.15">
      <c r="A3637" s="1">
        <v>3636</v>
      </c>
      <c r="B3637" s="1">
        <v>103020600</v>
      </c>
      <c r="C3637" s="1">
        <f t="shared" si="225"/>
        <v>106</v>
      </c>
      <c r="D3637" s="5">
        <f ca="1">IF(getQuality(B3637)&lt;4,getOtherMin(B3637,C3637,INDIRECT(J$2),INDIRECT(I3637),test),getMin(B3637,C3637,INDIRECT(J$2),INDIRECT(I3637),test))</f>
        <v>0.08</v>
      </c>
      <c r="E3637" s="5">
        <f ca="1">IF(getQuality(B3637)&lt;4,getOtherMax(B3637,C3637,INDIRECT(J$2),INDIRECT(I3637),test),getMax(B3637,C3637,INDIRECT(J$2),INDIRECT(I3637),test))</f>
        <v>0.16</v>
      </c>
      <c r="F3637" s="1" t="str">
        <f t="shared" si="227"/>
        <v>50</v>
      </c>
      <c r="G3637" s="1" t="str">
        <f t="shared" si="228"/>
        <v/>
      </c>
      <c r="I3637" s="1" t="str">
        <f t="shared" si="226"/>
        <v>威尔新数值1.06.xlsm!monsterDamage</v>
      </c>
    </row>
    <row r="3638" spans="1:9" x14ac:dyDescent="0.15">
      <c r="A3638" s="1">
        <v>3637</v>
      </c>
      <c r="B3638" s="1">
        <v>103020600</v>
      </c>
      <c r="C3638" s="1">
        <f t="shared" si="225"/>
        <v>107</v>
      </c>
      <c r="D3638" s="5">
        <f ca="1">IF(getQuality(B3638)&lt;4,getOtherMin(B3638,C3638,INDIRECT(J$2),INDIRECT(I3638),test),getMin(B3638,C3638,INDIRECT(J$2),INDIRECT(I3638),test))</f>
        <v>0.08</v>
      </c>
      <c r="E3638" s="5">
        <f ca="1">IF(getQuality(B3638)&lt;4,getOtherMax(B3638,C3638,INDIRECT(J$2),INDIRECT(I3638),test),getMax(B3638,C3638,INDIRECT(J$2),INDIRECT(I3638),test))</f>
        <v>0.16</v>
      </c>
      <c r="F3638" s="1" t="str">
        <f t="shared" si="227"/>
        <v>50</v>
      </c>
      <c r="G3638" s="1" t="str">
        <f t="shared" si="228"/>
        <v/>
      </c>
      <c r="I3638" s="1" t="str">
        <f t="shared" si="226"/>
        <v>威尔新数值1.06.xlsm!monsterDamage</v>
      </c>
    </row>
    <row r="3639" spans="1:9" x14ac:dyDescent="0.15">
      <c r="A3639" s="1">
        <v>3638</v>
      </c>
      <c r="B3639" s="1">
        <v>103020600</v>
      </c>
      <c r="C3639" s="1">
        <f t="shared" si="225"/>
        <v>108</v>
      </c>
      <c r="D3639" s="5">
        <f ca="1">IF(getQuality(B3639)&lt;4,getOtherMin(B3639,C3639,INDIRECT(J$2),INDIRECT(I3639),test),getMin(B3639,C3639,INDIRECT(J$2),INDIRECT(I3639),test))</f>
        <v>0.08</v>
      </c>
      <c r="E3639" s="5">
        <f ca="1">IF(getQuality(B3639)&lt;4,getOtherMax(B3639,C3639,INDIRECT(J$2),INDIRECT(I3639),test),getMax(B3639,C3639,INDIRECT(J$2),INDIRECT(I3639),test))</f>
        <v>0.16</v>
      </c>
      <c r="F3639" s="1" t="str">
        <f t="shared" si="227"/>
        <v>50</v>
      </c>
      <c r="G3639" s="1" t="str">
        <f t="shared" si="228"/>
        <v/>
      </c>
      <c r="I3639" s="1" t="str">
        <f t="shared" si="226"/>
        <v>威尔新数值1.06.xlsm!monsterDamage</v>
      </c>
    </row>
    <row r="3640" spans="1:9" x14ac:dyDescent="0.15">
      <c r="A3640" s="1">
        <v>3639</v>
      </c>
      <c r="B3640" s="1">
        <v>103030600</v>
      </c>
      <c r="C3640" s="1">
        <f t="shared" si="225"/>
        <v>3</v>
      </c>
      <c r="D3640" s="5">
        <f ca="1">IF(getQuality(B3640)&lt;4,getOtherMin(B3640,C3640,INDIRECT(J$2),INDIRECT(I3640),test),getMin(B3640,C3640,INDIRECT(J$2),INDIRECT(I3640),test))</f>
        <v>53.82172660977222</v>
      </c>
      <c r="E3640" s="5">
        <f ca="1">IF(getQuality(B3640)&lt;4,getOtherMax(B3640,C3640,INDIRECT(J$2),INDIRECT(I3640),test),getMax(B3640,C3640,INDIRECT(J$2),INDIRECT(I3640),test))</f>
        <v>86.435552634172723</v>
      </c>
      <c r="F3640" s="1" t="str">
        <f t="shared" si="227"/>
        <v>50</v>
      </c>
      <c r="G3640" s="1" t="str">
        <f t="shared" si="228"/>
        <v/>
      </c>
      <c r="I3640" s="1" t="str">
        <f t="shared" si="226"/>
        <v>威尔新数值1.06.xlsm!suitPower</v>
      </c>
    </row>
    <row r="3641" spans="1:9" x14ac:dyDescent="0.15">
      <c r="A3641" s="1">
        <v>3640</v>
      </c>
      <c r="B3641" s="1">
        <v>103030600</v>
      </c>
      <c r="C3641" s="1">
        <f t="shared" si="225"/>
        <v>5</v>
      </c>
      <c r="D3641" s="5">
        <f ca="1">IF(getQuality(B3641)&lt;4,getOtherMin(B3641,C3641,INDIRECT(J$2),INDIRECT(I3641),test),getMin(B3641,C3641,INDIRECT(J$2),INDIRECT(I3641),test))</f>
        <v>53.82172660977222</v>
      </c>
      <c r="E3641" s="5">
        <f ca="1">IF(getQuality(B3641)&lt;4,getOtherMax(B3641,C3641,INDIRECT(J$2),INDIRECT(I3641),test),getMax(B3641,C3641,INDIRECT(J$2),INDIRECT(I3641),test))</f>
        <v>86.435552634172723</v>
      </c>
      <c r="F3641" s="1" t="str">
        <f t="shared" si="227"/>
        <v>50</v>
      </c>
      <c r="G3641" s="1" t="str">
        <f t="shared" si="228"/>
        <v>1</v>
      </c>
      <c r="I3641" s="1" t="str">
        <f t="shared" si="226"/>
        <v>威尔新数值1.06.xlsm!suitPower</v>
      </c>
    </row>
    <row r="3642" spans="1:9" x14ac:dyDescent="0.15">
      <c r="A3642" s="1">
        <v>3641</v>
      </c>
      <c r="B3642" s="1">
        <v>103030600</v>
      </c>
      <c r="C3642" s="1">
        <f t="shared" si="225"/>
        <v>7</v>
      </c>
      <c r="D3642" s="5">
        <f ca="1">IF(getQuality(B3642)&lt;4,getOtherMin(B3642,C3642,INDIRECT(J$2),INDIRECT(I3642),test),getMin(B3642,C3642,INDIRECT(J$2),INDIRECT(I3642),test))</f>
        <v>15.814814814814778</v>
      </c>
      <c r="E3642" s="5">
        <f ca="1">IF(getQuality(B3642)&lt;4,getOtherMax(B3642,C3642,INDIRECT(J$2),INDIRECT(I3642),test),getMax(B3642,C3642,INDIRECT(J$2),INDIRECT(I3642),test))</f>
        <v>22.222222222222165</v>
      </c>
      <c r="F3642" s="1" t="str">
        <f t="shared" si="227"/>
        <v>50</v>
      </c>
      <c r="G3642" s="1" t="str">
        <f t="shared" si="228"/>
        <v/>
      </c>
      <c r="I3642" s="1" t="str">
        <f t="shared" si="226"/>
        <v>威尔新数值1.06.xlsm!suitPower</v>
      </c>
    </row>
    <row r="3643" spans="1:9" x14ac:dyDescent="0.15">
      <c r="A3643" s="1">
        <v>3642</v>
      </c>
      <c r="B3643" s="1">
        <v>103030600</v>
      </c>
      <c r="C3643" s="1">
        <f t="shared" si="225"/>
        <v>8</v>
      </c>
      <c r="D3643" s="5">
        <f ca="1">IF(getQuality(B3643)&lt;4,getOtherMin(B3643,C3643,INDIRECT(J$2),INDIRECT(I3643),test),getMin(B3643,C3643,INDIRECT(J$2),INDIRECT(I3643),test))</f>
        <v>34.333333333333336</v>
      </c>
      <c r="E3643" s="5">
        <f ca="1">IF(getQuality(B3643)&lt;4,getOtherMax(B3643,C3643,INDIRECT(J$2),INDIRECT(I3643),test),getMax(B3643,C3643,INDIRECT(J$2),INDIRECT(I3643),test))</f>
        <v>50</v>
      </c>
      <c r="F3643" s="1" t="str">
        <f t="shared" si="227"/>
        <v>50</v>
      </c>
      <c r="G3643" s="1" t="str">
        <f t="shared" si="228"/>
        <v/>
      </c>
      <c r="I3643" s="1" t="str">
        <f t="shared" si="226"/>
        <v>威尔新数值1.06.xlsm!suitPower</v>
      </c>
    </row>
    <row r="3644" spans="1:9" x14ac:dyDescent="0.15">
      <c r="A3644" s="1">
        <v>3643</v>
      </c>
      <c r="B3644" s="1">
        <v>103030600</v>
      </c>
      <c r="C3644" s="1">
        <f t="shared" ref="C3644:C3707" si="229">C1169</f>
        <v>9</v>
      </c>
      <c r="D3644" s="5">
        <f ca="1">IF(getQuality(B3644)&lt;4,getOtherMin(B3644,C3644,INDIRECT(J$2),INDIRECT(I3644),test),getMin(B3644,C3644,INDIRECT(J$2),INDIRECT(I3644),test))</f>
        <v>53.82172660977222</v>
      </c>
      <c r="E3644" s="5">
        <f ca="1">IF(getQuality(B3644)&lt;4,getOtherMax(B3644,C3644,INDIRECT(J$2),INDIRECT(I3644),test),getMax(B3644,C3644,INDIRECT(J$2),INDIRECT(I3644),test))</f>
        <v>86.435552634172723</v>
      </c>
      <c r="F3644" s="1" t="str">
        <f t="shared" si="227"/>
        <v>50</v>
      </c>
      <c r="G3644" s="1" t="str">
        <f t="shared" si="228"/>
        <v/>
      </c>
      <c r="I3644" s="1" t="str">
        <f t="shared" si="226"/>
        <v>威尔新数值1.06.xlsm!suitPower</v>
      </c>
    </row>
    <row r="3645" spans="1:9" x14ac:dyDescent="0.15">
      <c r="A3645" s="1">
        <v>3644</v>
      </c>
      <c r="B3645" s="1">
        <v>103030600</v>
      </c>
      <c r="C3645" s="1">
        <f t="shared" si="229"/>
        <v>10</v>
      </c>
      <c r="D3645" s="5">
        <f ca="1">IF(getQuality(B3645)&lt;4,getOtherMin(B3645,C3645,INDIRECT(J$2),INDIRECT(I3645),test),getMin(B3645,C3645,INDIRECT(J$2),INDIRECT(I3645),test))</f>
        <v>53.82172660977222</v>
      </c>
      <c r="E3645" s="5">
        <f ca="1">IF(getQuality(B3645)&lt;4,getOtherMax(B3645,C3645,INDIRECT(J$2),INDIRECT(I3645),test),getMax(B3645,C3645,INDIRECT(J$2),INDIRECT(I3645),test))</f>
        <v>86.435552634172723</v>
      </c>
      <c r="F3645" s="1" t="str">
        <f t="shared" si="227"/>
        <v>50</v>
      </c>
      <c r="G3645" s="1" t="str">
        <f t="shared" si="228"/>
        <v/>
      </c>
      <c r="I3645" s="1" t="str">
        <f t="shared" si="226"/>
        <v>威尔新数值1.06.xlsm!suitPower</v>
      </c>
    </row>
    <row r="3646" spans="1:9" x14ac:dyDescent="0.15">
      <c r="A3646" s="1">
        <v>3645</v>
      </c>
      <c r="B3646" s="1">
        <v>103030600</v>
      </c>
      <c r="C3646" s="1">
        <f t="shared" si="229"/>
        <v>11</v>
      </c>
      <c r="D3646" s="5">
        <f ca="1">IF(getQuality(B3646)&lt;4,getOtherMin(B3646,C3646,INDIRECT(J$2),INDIRECT(I3646),test),getMin(B3646,C3646,INDIRECT(J$2),INDIRECT(I3646),test))</f>
        <v>53.82172660977222</v>
      </c>
      <c r="E3646" s="5">
        <f ca="1">IF(getQuality(B3646)&lt;4,getOtherMax(B3646,C3646,INDIRECT(J$2),INDIRECT(I3646),test),getMax(B3646,C3646,INDIRECT(J$2),INDIRECT(I3646),test))</f>
        <v>86.435552634172723</v>
      </c>
      <c r="F3646" s="1" t="str">
        <f t="shared" si="227"/>
        <v>50</v>
      </c>
      <c r="G3646" s="1" t="str">
        <f t="shared" si="228"/>
        <v/>
      </c>
      <c r="I3646" s="1" t="str">
        <f t="shared" si="226"/>
        <v>威尔新数值1.06.xlsm!suitPower</v>
      </c>
    </row>
    <row r="3647" spans="1:9" x14ac:dyDescent="0.15">
      <c r="A3647" s="1">
        <v>3646</v>
      </c>
      <c r="B3647" s="1">
        <v>103030600</v>
      </c>
      <c r="C3647" s="1">
        <f t="shared" si="229"/>
        <v>12</v>
      </c>
      <c r="D3647" s="5">
        <f ca="1">IF(getQuality(B3647)&lt;4,getOtherMin(B3647,C3647,INDIRECT(J$2),INDIRECT(I3647),test),getMin(B3647,C3647,INDIRECT(J$2),INDIRECT(I3647),test))</f>
        <v>53.82172660977222</v>
      </c>
      <c r="E3647" s="5">
        <f ca="1">IF(getQuality(B3647)&lt;4,getOtherMax(B3647,C3647,INDIRECT(J$2),INDIRECT(I3647),test),getMax(B3647,C3647,INDIRECT(J$2),INDIRECT(I3647),test))</f>
        <v>86.435552634172723</v>
      </c>
      <c r="F3647" s="1" t="str">
        <f t="shared" si="227"/>
        <v>50</v>
      </c>
      <c r="G3647" s="1" t="str">
        <f t="shared" si="228"/>
        <v/>
      </c>
      <c r="I3647" s="1" t="str">
        <f t="shared" si="226"/>
        <v>威尔新数值1.06.xlsm!suitPower</v>
      </c>
    </row>
    <row r="3648" spans="1:9" x14ac:dyDescent="0.15">
      <c r="A3648" s="1">
        <v>3647</v>
      </c>
      <c r="B3648" s="1">
        <v>103030600</v>
      </c>
      <c r="C3648" s="1">
        <f t="shared" si="229"/>
        <v>13</v>
      </c>
      <c r="D3648" s="5">
        <f ca="1">IF(getQuality(B3648)&lt;4,getOtherMin(B3648,C3648,INDIRECT(J$2),INDIRECT(I3648),test),getMin(B3648,C3648,INDIRECT(J$2),INDIRECT(I3648),test))</f>
        <v>53.82172660977222</v>
      </c>
      <c r="E3648" s="5">
        <f ca="1">IF(getQuality(B3648)&lt;4,getOtherMax(B3648,C3648,INDIRECT(J$2),INDIRECT(I3648),test),getMax(B3648,C3648,INDIRECT(J$2),INDIRECT(I3648),test))</f>
        <v>86.435552634172723</v>
      </c>
      <c r="F3648" s="1" t="str">
        <f t="shared" si="227"/>
        <v>50</v>
      </c>
      <c r="G3648" s="1" t="str">
        <f t="shared" si="228"/>
        <v/>
      </c>
      <c r="I3648" s="1" t="str">
        <f t="shared" si="226"/>
        <v>威尔新数值1.06.xlsm!suitPower</v>
      </c>
    </row>
    <row r="3649" spans="1:9" x14ac:dyDescent="0.15">
      <c r="A3649" s="1">
        <v>3648</v>
      </c>
      <c r="B3649" s="1">
        <v>103030600</v>
      </c>
      <c r="C3649" s="1">
        <f t="shared" si="229"/>
        <v>14</v>
      </c>
      <c r="D3649" s="5">
        <f ca="1">IF(getQuality(B3649)&lt;4,getOtherMin(B3649,C3649,INDIRECT(J$2),INDIRECT(I3649),test),getMin(B3649,C3649,INDIRECT(J$2),INDIRECT(I3649),test))</f>
        <v>53.82172660977222</v>
      </c>
      <c r="E3649" s="5">
        <f ca="1">IF(getQuality(B3649)&lt;4,getOtherMax(B3649,C3649,INDIRECT(J$2),INDIRECT(I3649),test),getMax(B3649,C3649,INDIRECT(J$2),INDIRECT(I3649),test))</f>
        <v>86.435552634172723</v>
      </c>
      <c r="F3649" s="1" t="str">
        <f t="shared" si="227"/>
        <v>50</v>
      </c>
      <c r="G3649" s="1" t="str">
        <f t="shared" si="228"/>
        <v/>
      </c>
      <c r="I3649" s="1" t="str">
        <f t="shared" si="226"/>
        <v>威尔新数值1.06.xlsm!suitPower</v>
      </c>
    </row>
    <row r="3650" spans="1:9" x14ac:dyDescent="0.15">
      <c r="A3650" s="1">
        <v>3649</v>
      </c>
      <c r="B3650" s="1">
        <v>103030600</v>
      </c>
      <c r="C3650" s="1">
        <f t="shared" si="229"/>
        <v>15</v>
      </c>
      <c r="D3650" s="5">
        <f ca="1">IF(getQuality(B3650)&lt;4,getOtherMin(B3650,C3650,INDIRECT(J$2),INDIRECT(I3650),test),getMin(B3650,C3650,INDIRECT(J$2),INDIRECT(I3650),test))</f>
        <v>53.82172660977222</v>
      </c>
      <c r="E3650" s="5">
        <f ca="1">IF(getQuality(B3650)&lt;4,getOtherMax(B3650,C3650,INDIRECT(J$2),INDIRECT(I3650),test),getMax(B3650,C3650,INDIRECT(J$2),INDIRECT(I3650),test))</f>
        <v>86.435552634172723</v>
      </c>
      <c r="F3650" s="1" t="str">
        <f t="shared" si="227"/>
        <v>50</v>
      </c>
      <c r="G3650" s="1" t="str">
        <f t="shared" si="228"/>
        <v/>
      </c>
      <c r="I3650" s="1" t="str">
        <f t="shared" ref="I3650:I3713" si="230">IF(C3650&lt;100,VLOOKUP(C3650,test,3,FALSE),VLOOKUP(C3650,test1,3,FALSE))</f>
        <v>威尔新数值1.06.xlsm!suitPower</v>
      </c>
    </row>
    <row r="3651" spans="1:9" x14ac:dyDescent="0.15">
      <c r="A3651" s="1">
        <v>3650</v>
      </c>
      <c r="B3651" s="1">
        <v>103030600</v>
      </c>
      <c r="C3651" s="1">
        <f t="shared" si="229"/>
        <v>101</v>
      </c>
      <c r="D3651" s="5">
        <f ca="1">IF(getQuality(B3651)&lt;4,getOtherMin(B3651,C3651,INDIRECT(J$2),INDIRECT(I3651),test),getMin(B3651,C3651,INDIRECT(J$2),INDIRECT(I3651),test))</f>
        <v>0.09</v>
      </c>
      <c r="E3651" s="5">
        <f ca="1">IF(getQuality(B3651)&lt;4,getOtherMax(B3651,C3651,INDIRECT(J$2),INDIRECT(I3651),test),getMax(B3651,C3651,INDIRECT(J$2),INDIRECT(I3651),test))</f>
        <v>0.12</v>
      </c>
      <c r="F3651" s="1" t="str">
        <f t="shared" ref="F3651:F3714" si="231">getper(B3651,C3651)</f>
        <v>50</v>
      </c>
      <c r="G3651" s="1" t="str">
        <f t="shared" ref="G3651:G3714" si="232">getMust(B3651,C3651)</f>
        <v/>
      </c>
      <c r="I3651" s="1" t="str">
        <f t="shared" si="230"/>
        <v>威尔新数值1.06.xlsm!circlePer</v>
      </c>
    </row>
    <row r="3652" spans="1:9" x14ac:dyDescent="0.15">
      <c r="A3652" s="1">
        <v>3651</v>
      </c>
      <c r="B3652" s="1">
        <v>103030600</v>
      </c>
      <c r="C3652" s="1">
        <f t="shared" si="229"/>
        <v>102</v>
      </c>
      <c r="D3652" s="5">
        <f ca="1">IF(getQuality(B3652)&lt;4,getOtherMin(B3652,C3652,INDIRECT(J$2),INDIRECT(I3652),test),getMin(B3652,C3652,INDIRECT(J$2),INDIRECT(I3652),test))</f>
        <v>0.8</v>
      </c>
      <c r="E3652" s="5">
        <f ca="1">IF(getQuality(B3652)&lt;4,getOtherMax(B3652,C3652,INDIRECT(J$2),INDIRECT(I3652),test),getMax(B3652,C3652,INDIRECT(J$2),INDIRECT(I3652),test))</f>
        <v>1.1000000000000001</v>
      </c>
      <c r="F3652" s="1" t="str">
        <f t="shared" si="231"/>
        <v>50</v>
      </c>
      <c r="G3652" s="1" t="str">
        <f t="shared" si="232"/>
        <v/>
      </c>
      <c r="I3652" s="1" t="str">
        <f t="shared" si="230"/>
        <v>威尔新数值1.06.xlsm!circleValue</v>
      </c>
    </row>
    <row r="3653" spans="1:9" x14ac:dyDescent="0.15">
      <c r="A3653" s="1">
        <v>3652</v>
      </c>
      <c r="B3653" s="1">
        <v>103030600</v>
      </c>
      <c r="C3653" s="1">
        <f t="shared" si="229"/>
        <v>103</v>
      </c>
      <c r="D3653" s="5">
        <f ca="1">IF(getQuality(B3653)&lt;4,getOtherMin(B3653,C3653,INDIRECT(J$2),INDIRECT(I3653),test),getMin(B3653,C3653,INDIRECT(J$2),INDIRECT(I3653),test))</f>
        <v>0.09</v>
      </c>
      <c r="E3653" s="5">
        <f ca="1">IF(getQuality(B3653)&lt;4,getOtherMax(B3653,C3653,INDIRECT(J$2),INDIRECT(I3653),test),getMax(B3653,C3653,INDIRECT(J$2),INDIRECT(I3653),test))</f>
        <v>0.12</v>
      </c>
      <c r="F3653" s="1" t="str">
        <f t="shared" si="231"/>
        <v>50</v>
      </c>
      <c r="G3653" s="1" t="str">
        <f t="shared" si="232"/>
        <v/>
      </c>
      <c r="I3653" s="1" t="str">
        <f t="shared" si="230"/>
        <v>威尔新数值1.06.xlsm!otherDamage</v>
      </c>
    </row>
    <row r="3654" spans="1:9" x14ac:dyDescent="0.15">
      <c r="A3654" s="1">
        <v>3653</v>
      </c>
      <c r="B3654" s="1">
        <v>103030600</v>
      </c>
      <c r="C3654" s="1">
        <f t="shared" si="229"/>
        <v>104</v>
      </c>
      <c r="D3654" s="5">
        <f ca="1">IF(getQuality(B3654)&lt;4,getOtherMin(B3654,C3654,INDIRECT(J$2),INDIRECT(I3654),test),getMin(B3654,C3654,INDIRECT(J$2),INDIRECT(I3654),test))</f>
        <v>0.09</v>
      </c>
      <c r="E3654" s="5">
        <f ca="1">IF(getQuality(B3654)&lt;4,getOtherMax(B3654,C3654,INDIRECT(J$2),INDIRECT(I3654),test),getMax(B3654,C3654,INDIRECT(J$2),INDIRECT(I3654),test))</f>
        <v>0.18</v>
      </c>
      <c r="F3654" s="1" t="str">
        <f t="shared" si="231"/>
        <v>50</v>
      </c>
      <c r="G3654" s="1" t="str">
        <f t="shared" si="232"/>
        <v/>
      </c>
      <c r="I3654" s="1" t="str">
        <f t="shared" si="230"/>
        <v>威尔新数值1.06.xlsm!monsterDamage</v>
      </c>
    </row>
    <row r="3655" spans="1:9" x14ac:dyDescent="0.15">
      <c r="A3655" s="1">
        <v>3654</v>
      </c>
      <c r="B3655" s="1">
        <v>103030600</v>
      </c>
      <c r="C3655" s="1">
        <f t="shared" si="229"/>
        <v>105</v>
      </c>
      <c r="D3655" s="5">
        <f ca="1">IF(getQuality(B3655)&lt;4,getOtherMin(B3655,C3655,INDIRECT(J$2),INDIRECT(I3655),test),getMin(B3655,C3655,INDIRECT(J$2),INDIRECT(I3655),test))</f>
        <v>0.09</v>
      </c>
      <c r="E3655" s="5">
        <f ca="1">IF(getQuality(B3655)&lt;4,getOtherMax(B3655,C3655,INDIRECT(J$2),INDIRECT(I3655),test),getMax(B3655,C3655,INDIRECT(J$2),INDIRECT(I3655),test))</f>
        <v>0.18</v>
      </c>
      <c r="F3655" s="1" t="str">
        <f t="shared" si="231"/>
        <v>50</v>
      </c>
      <c r="G3655" s="1" t="str">
        <f t="shared" si="232"/>
        <v/>
      </c>
      <c r="I3655" s="1" t="str">
        <f t="shared" si="230"/>
        <v>威尔新数值1.06.xlsm!monsterDamage</v>
      </c>
    </row>
    <row r="3656" spans="1:9" x14ac:dyDescent="0.15">
      <c r="A3656" s="1">
        <v>3655</v>
      </c>
      <c r="B3656" s="1">
        <v>103030600</v>
      </c>
      <c r="C3656" s="1">
        <f t="shared" si="229"/>
        <v>106</v>
      </c>
      <c r="D3656" s="5">
        <f ca="1">IF(getQuality(B3656)&lt;4,getOtherMin(B3656,C3656,INDIRECT(J$2),INDIRECT(I3656),test),getMin(B3656,C3656,INDIRECT(J$2),INDIRECT(I3656),test))</f>
        <v>0.09</v>
      </c>
      <c r="E3656" s="5">
        <f ca="1">IF(getQuality(B3656)&lt;4,getOtherMax(B3656,C3656,INDIRECT(J$2),INDIRECT(I3656),test),getMax(B3656,C3656,INDIRECT(J$2),INDIRECT(I3656),test))</f>
        <v>0.18</v>
      </c>
      <c r="F3656" s="1" t="str">
        <f t="shared" si="231"/>
        <v>50</v>
      </c>
      <c r="G3656" s="1" t="str">
        <f t="shared" si="232"/>
        <v/>
      </c>
      <c r="I3656" s="1" t="str">
        <f t="shared" si="230"/>
        <v>威尔新数值1.06.xlsm!monsterDamage</v>
      </c>
    </row>
    <row r="3657" spans="1:9" x14ac:dyDescent="0.15">
      <c r="A3657" s="1">
        <v>3656</v>
      </c>
      <c r="B3657" s="1">
        <v>103030600</v>
      </c>
      <c r="C3657" s="1">
        <f t="shared" si="229"/>
        <v>107</v>
      </c>
      <c r="D3657" s="5">
        <f ca="1">IF(getQuality(B3657)&lt;4,getOtherMin(B3657,C3657,INDIRECT(J$2),INDIRECT(I3657),test),getMin(B3657,C3657,INDIRECT(J$2),INDIRECT(I3657),test))</f>
        <v>0.09</v>
      </c>
      <c r="E3657" s="5">
        <f ca="1">IF(getQuality(B3657)&lt;4,getOtherMax(B3657,C3657,INDIRECT(J$2),INDIRECT(I3657),test),getMax(B3657,C3657,INDIRECT(J$2),INDIRECT(I3657),test))</f>
        <v>0.18</v>
      </c>
      <c r="F3657" s="1" t="str">
        <f t="shared" si="231"/>
        <v>50</v>
      </c>
      <c r="G3657" s="1" t="str">
        <f t="shared" si="232"/>
        <v/>
      </c>
      <c r="I3657" s="1" t="str">
        <f t="shared" si="230"/>
        <v>威尔新数值1.06.xlsm!monsterDamage</v>
      </c>
    </row>
    <row r="3658" spans="1:9" x14ac:dyDescent="0.15">
      <c r="A3658" s="1">
        <v>3657</v>
      </c>
      <c r="B3658" s="1">
        <v>103030600</v>
      </c>
      <c r="C3658" s="1">
        <f t="shared" si="229"/>
        <v>108</v>
      </c>
      <c r="D3658" s="5">
        <f ca="1">IF(getQuality(B3658)&lt;4,getOtherMin(B3658,C3658,INDIRECT(J$2),INDIRECT(I3658),test),getMin(B3658,C3658,INDIRECT(J$2),INDIRECT(I3658),test))</f>
        <v>0.09</v>
      </c>
      <c r="E3658" s="5">
        <f ca="1">IF(getQuality(B3658)&lt;4,getOtherMax(B3658,C3658,INDIRECT(J$2),INDIRECT(I3658),test),getMax(B3658,C3658,INDIRECT(J$2),INDIRECT(I3658),test))</f>
        <v>0.18</v>
      </c>
      <c r="F3658" s="1" t="str">
        <f t="shared" si="231"/>
        <v>50</v>
      </c>
      <c r="G3658" s="1" t="str">
        <f t="shared" si="232"/>
        <v/>
      </c>
      <c r="I3658" s="1" t="str">
        <f t="shared" si="230"/>
        <v>威尔新数值1.06.xlsm!monsterDamage</v>
      </c>
    </row>
    <row r="3659" spans="1:9" x14ac:dyDescent="0.15">
      <c r="A3659" s="1">
        <v>3658</v>
      </c>
      <c r="B3659" s="1">
        <v>103040600</v>
      </c>
      <c r="C3659" s="1">
        <f t="shared" si="229"/>
        <v>3</v>
      </c>
      <c r="D3659" s="5">
        <f ca="1">IF(getQuality(B3659)&lt;4,getOtherMin(B3659,C3659,INDIRECT(J$2),INDIRECT(I3659),test),getMin(B3659,C3659,INDIRECT(J$2),INDIRECT(I3659),test))</f>
        <v>87.435552634172723</v>
      </c>
      <c r="E3659" s="5">
        <f ca="1">IF(getQuality(B3659)&lt;4,getOtherMax(B3659,C3659,INDIRECT(J$2),INDIRECT(I3659),test),getMax(B3659,C3659,INDIRECT(J$2),INDIRECT(I3659),test))</f>
        <v>124.85135380491616</v>
      </c>
      <c r="F3659" s="1" t="str">
        <f t="shared" si="231"/>
        <v>50</v>
      </c>
      <c r="G3659" s="1" t="str">
        <f t="shared" si="232"/>
        <v/>
      </c>
      <c r="I3659" s="1" t="str">
        <f t="shared" si="230"/>
        <v>威尔新数值1.06.xlsm!suitPower</v>
      </c>
    </row>
    <row r="3660" spans="1:9" x14ac:dyDescent="0.15">
      <c r="A3660" s="1">
        <v>3659</v>
      </c>
      <c r="B3660" s="1">
        <v>103040600</v>
      </c>
      <c r="C3660" s="1">
        <f t="shared" si="229"/>
        <v>5</v>
      </c>
      <c r="D3660" s="5">
        <f ca="1">IF(getQuality(B3660)&lt;4,getOtherMin(B3660,C3660,INDIRECT(J$2),INDIRECT(I3660),test),getMin(B3660,C3660,INDIRECT(J$2),INDIRECT(I3660),test))</f>
        <v>87.435552634172723</v>
      </c>
      <c r="E3660" s="5">
        <f ca="1">IF(getQuality(B3660)&lt;4,getOtherMax(B3660,C3660,INDIRECT(J$2),INDIRECT(I3660),test),getMax(B3660,C3660,INDIRECT(J$2),INDIRECT(I3660),test))</f>
        <v>124.85135380491616</v>
      </c>
      <c r="F3660" s="1" t="str">
        <f t="shared" si="231"/>
        <v>50</v>
      </c>
      <c r="G3660" s="1" t="str">
        <f t="shared" si="232"/>
        <v>1</v>
      </c>
      <c r="I3660" s="1" t="str">
        <f t="shared" si="230"/>
        <v>威尔新数值1.06.xlsm!suitPower</v>
      </c>
    </row>
    <row r="3661" spans="1:9" x14ac:dyDescent="0.15">
      <c r="A3661" s="1">
        <v>3660</v>
      </c>
      <c r="B3661" s="1">
        <v>103040600</v>
      </c>
      <c r="C3661" s="1">
        <f t="shared" si="229"/>
        <v>7</v>
      </c>
      <c r="D3661" s="5">
        <f ca="1">IF(getQuality(B3661)&lt;4,getOtherMin(B3661,C3661,INDIRECT(J$2),INDIRECT(I3661),test),getMin(B3661,C3661,INDIRECT(J$2),INDIRECT(I3661),test))</f>
        <v>23.222222222222165</v>
      </c>
      <c r="E3661" s="5">
        <f ca="1">IF(getQuality(B3661)&lt;4,getOtherMax(B3661,C3661,INDIRECT(J$2),INDIRECT(I3661),test),getMax(B3661,C3661,INDIRECT(J$2),INDIRECT(I3661),test))</f>
        <v>29.629629629629555</v>
      </c>
      <c r="F3661" s="1" t="str">
        <f t="shared" si="231"/>
        <v>50</v>
      </c>
      <c r="G3661" s="1" t="str">
        <f t="shared" si="232"/>
        <v/>
      </c>
      <c r="I3661" s="1" t="str">
        <f t="shared" si="230"/>
        <v>威尔新数值1.06.xlsm!suitPower</v>
      </c>
    </row>
    <row r="3662" spans="1:9" x14ac:dyDescent="0.15">
      <c r="A3662" s="1">
        <v>3661</v>
      </c>
      <c r="B3662" s="1">
        <v>103040600</v>
      </c>
      <c r="C3662" s="1">
        <f t="shared" si="229"/>
        <v>8</v>
      </c>
      <c r="D3662" s="5">
        <f ca="1">IF(getQuality(B3662)&lt;4,getOtherMin(B3662,C3662,INDIRECT(J$2),INDIRECT(I3662),test),getMin(B3662,C3662,INDIRECT(J$2),INDIRECT(I3662),test))</f>
        <v>51</v>
      </c>
      <c r="E3662" s="5">
        <f ca="1">IF(getQuality(B3662)&lt;4,getOtherMax(B3662,C3662,INDIRECT(J$2),INDIRECT(I3662),test),getMax(B3662,C3662,INDIRECT(J$2),INDIRECT(I3662),test))</f>
        <v>66.666666666666671</v>
      </c>
      <c r="F3662" s="1" t="str">
        <f t="shared" si="231"/>
        <v>50</v>
      </c>
      <c r="G3662" s="1" t="str">
        <f t="shared" si="232"/>
        <v/>
      </c>
      <c r="I3662" s="1" t="str">
        <f t="shared" si="230"/>
        <v>威尔新数值1.06.xlsm!suitPower</v>
      </c>
    </row>
    <row r="3663" spans="1:9" x14ac:dyDescent="0.15">
      <c r="A3663" s="1">
        <v>3662</v>
      </c>
      <c r="B3663" s="1">
        <v>103040600</v>
      </c>
      <c r="C3663" s="1">
        <f t="shared" si="229"/>
        <v>9</v>
      </c>
      <c r="D3663" s="5">
        <f ca="1">IF(getQuality(B3663)&lt;4,getOtherMin(B3663,C3663,INDIRECT(J$2),INDIRECT(I3663),test),getMin(B3663,C3663,INDIRECT(J$2),INDIRECT(I3663),test))</f>
        <v>87.435552634172723</v>
      </c>
      <c r="E3663" s="5">
        <f ca="1">IF(getQuality(B3663)&lt;4,getOtherMax(B3663,C3663,INDIRECT(J$2),INDIRECT(I3663),test),getMax(B3663,C3663,INDIRECT(J$2),INDIRECT(I3663),test))</f>
        <v>124.85135380491616</v>
      </c>
      <c r="F3663" s="1" t="str">
        <f t="shared" si="231"/>
        <v>50</v>
      </c>
      <c r="G3663" s="1" t="str">
        <f t="shared" si="232"/>
        <v/>
      </c>
      <c r="I3663" s="1" t="str">
        <f t="shared" si="230"/>
        <v>威尔新数值1.06.xlsm!suitPower</v>
      </c>
    </row>
    <row r="3664" spans="1:9" x14ac:dyDescent="0.15">
      <c r="A3664" s="1">
        <v>3663</v>
      </c>
      <c r="B3664" s="1">
        <v>103040600</v>
      </c>
      <c r="C3664" s="1">
        <f t="shared" si="229"/>
        <v>10</v>
      </c>
      <c r="D3664" s="5">
        <f ca="1">IF(getQuality(B3664)&lt;4,getOtherMin(B3664,C3664,INDIRECT(J$2),INDIRECT(I3664),test),getMin(B3664,C3664,INDIRECT(J$2),INDIRECT(I3664),test))</f>
        <v>87.435552634172723</v>
      </c>
      <c r="E3664" s="5">
        <f ca="1">IF(getQuality(B3664)&lt;4,getOtherMax(B3664,C3664,INDIRECT(J$2),INDIRECT(I3664),test),getMax(B3664,C3664,INDIRECT(J$2),INDIRECT(I3664),test))</f>
        <v>124.85135380491616</v>
      </c>
      <c r="F3664" s="1" t="str">
        <f t="shared" si="231"/>
        <v>50</v>
      </c>
      <c r="G3664" s="1" t="str">
        <f t="shared" si="232"/>
        <v/>
      </c>
      <c r="I3664" s="1" t="str">
        <f t="shared" si="230"/>
        <v>威尔新数值1.06.xlsm!suitPower</v>
      </c>
    </row>
    <row r="3665" spans="1:9" x14ac:dyDescent="0.15">
      <c r="A3665" s="1">
        <v>3664</v>
      </c>
      <c r="B3665" s="1">
        <v>103040600</v>
      </c>
      <c r="C3665" s="1">
        <f t="shared" si="229"/>
        <v>11</v>
      </c>
      <c r="D3665" s="5">
        <f ca="1">IF(getQuality(B3665)&lt;4,getOtherMin(B3665,C3665,INDIRECT(J$2),INDIRECT(I3665),test),getMin(B3665,C3665,INDIRECT(J$2),INDIRECT(I3665),test))</f>
        <v>87.435552634172723</v>
      </c>
      <c r="E3665" s="5">
        <f ca="1">IF(getQuality(B3665)&lt;4,getOtherMax(B3665,C3665,INDIRECT(J$2),INDIRECT(I3665),test),getMax(B3665,C3665,INDIRECT(J$2),INDIRECT(I3665),test))</f>
        <v>124.85135380491616</v>
      </c>
      <c r="F3665" s="1" t="str">
        <f t="shared" si="231"/>
        <v>50</v>
      </c>
      <c r="G3665" s="1" t="str">
        <f t="shared" si="232"/>
        <v/>
      </c>
      <c r="I3665" s="1" t="str">
        <f t="shared" si="230"/>
        <v>威尔新数值1.06.xlsm!suitPower</v>
      </c>
    </row>
    <row r="3666" spans="1:9" x14ac:dyDescent="0.15">
      <c r="A3666" s="1">
        <v>3665</v>
      </c>
      <c r="B3666" s="1">
        <v>103040600</v>
      </c>
      <c r="C3666" s="1">
        <f t="shared" si="229"/>
        <v>12</v>
      </c>
      <c r="D3666" s="5">
        <f ca="1">IF(getQuality(B3666)&lt;4,getOtherMin(B3666,C3666,INDIRECT(J$2),INDIRECT(I3666),test),getMin(B3666,C3666,INDIRECT(J$2),INDIRECT(I3666),test))</f>
        <v>87.435552634172723</v>
      </c>
      <c r="E3666" s="5">
        <f ca="1">IF(getQuality(B3666)&lt;4,getOtherMax(B3666,C3666,INDIRECT(J$2),INDIRECT(I3666),test),getMax(B3666,C3666,INDIRECT(J$2),INDIRECT(I3666),test))</f>
        <v>124.85135380491616</v>
      </c>
      <c r="F3666" s="1" t="str">
        <f t="shared" si="231"/>
        <v>50</v>
      </c>
      <c r="G3666" s="1" t="str">
        <f t="shared" si="232"/>
        <v/>
      </c>
      <c r="I3666" s="1" t="str">
        <f t="shared" si="230"/>
        <v>威尔新数值1.06.xlsm!suitPower</v>
      </c>
    </row>
    <row r="3667" spans="1:9" x14ac:dyDescent="0.15">
      <c r="A3667" s="1">
        <v>3666</v>
      </c>
      <c r="B3667" s="1">
        <v>103040600</v>
      </c>
      <c r="C3667" s="1">
        <f t="shared" si="229"/>
        <v>13</v>
      </c>
      <c r="D3667" s="5">
        <f ca="1">IF(getQuality(B3667)&lt;4,getOtherMin(B3667,C3667,INDIRECT(J$2),INDIRECT(I3667),test),getMin(B3667,C3667,INDIRECT(J$2),INDIRECT(I3667),test))</f>
        <v>87.435552634172723</v>
      </c>
      <c r="E3667" s="5">
        <f ca="1">IF(getQuality(B3667)&lt;4,getOtherMax(B3667,C3667,INDIRECT(J$2),INDIRECT(I3667),test),getMax(B3667,C3667,INDIRECT(J$2),INDIRECT(I3667),test))</f>
        <v>124.85135380491616</v>
      </c>
      <c r="F3667" s="1" t="str">
        <f t="shared" si="231"/>
        <v>50</v>
      </c>
      <c r="G3667" s="1" t="str">
        <f t="shared" si="232"/>
        <v/>
      </c>
      <c r="I3667" s="1" t="str">
        <f t="shared" si="230"/>
        <v>威尔新数值1.06.xlsm!suitPower</v>
      </c>
    </row>
    <row r="3668" spans="1:9" x14ac:dyDescent="0.15">
      <c r="A3668" s="1">
        <v>3667</v>
      </c>
      <c r="B3668" s="1">
        <v>103040600</v>
      </c>
      <c r="C3668" s="1">
        <f t="shared" si="229"/>
        <v>14</v>
      </c>
      <c r="D3668" s="5">
        <f ca="1">IF(getQuality(B3668)&lt;4,getOtherMin(B3668,C3668,INDIRECT(J$2),INDIRECT(I3668),test),getMin(B3668,C3668,INDIRECT(J$2),INDIRECT(I3668),test))</f>
        <v>87.435552634172723</v>
      </c>
      <c r="E3668" s="5">
        <f ca="1">IF(getQuality(B3668)&lt;4,getOtherMax(B3668,C3668,INDIRECT(J$2),INDIRECT(I3668),test),getMax(B3668,C3668,INDIRECT(J$2),INDIRECT(I3668),test))</f>
        <v>124.85135380491616</v>
      </c>
      <c r="F3668" s="1" t="str">
        <f t="shared" si="231"/>
        <v>50</v>
      </c>
      <c r="G3668" s="1" t="str">
        <f t="shared" si="232"/>
        <v/>
      </c>
      <c r="I3668" s="1" t="str">
        <f t="shared" si="230"/>
        <v>威尔新数值1.06.xlsm!suitPower</v>
      </c>
    </row>
    <row r="3669" spans="1:9" x14ac:dyDescent="0.15">
      <c r="A3669" s="1">
        <v>3668</v>
      </c>
      <c r="B3669" s="1">
        <v>103040600</v>
      </c>
      <c r="C3669" s="1">
        <f t="shared" si="229"/>
        <v>15</v>
      </c>
      <c r="D3669" s="5">
        <f ca="1">IF(getQuality(B3669)&lt;4,getOtherMin(B3669,C3669,INDIRECT(J$2),INDIRECT(I3669),test),getMin(B3669,C3669,INDIRECT(J$2),INDIRECT(I3669),test))</f>
        <v>87.435552634172723</v>
      </c>
      <c r="E3669" s="5">
        <f ca="1">IF(getQuality(B3669)&lt;4,getOtherMax(B3669,C3669,INDIRECT(J$2),INDIRECT(I3669),test),getMax(B3669,C3669,INDIRECT(J$2),INDIRECT(I3669),test))</f>
        <v>124.85135380491616</v>
      </c>
      <c r="F3669" s="1" t="str">
        <f t="shared" si="231"/>
        <v>50</v>
      </c>
      <c r="G3669" s="1" t="str">
        <f t="shared" si="232"/>
        <v/>
      </c>
      <c r="I3669" s="1" t="str">
        <f t="shared" si="230"/>
        <v>威尔新数值1.06.xlsm!suitPower</v>
      </c>
    </row>
    <row r="3670" spans="1:9" x14ac:dyDescent="0.15">
      <c r="A3670" s="1">
        <v>3669</v>
      </c>
      <c r="B3670" s="1">
        <v>103040600</v>
      </c>
      <c r="C3670" s="1">
        <f t="shared" si="229"/>
        <v>101</v>
      </c>
      <c r="D3670" s="5">
        <f ca="1">IF(getQuality(B3670)&lt;4,getOtherMin(B3670,C3670,INDIRECT(J$2),INDIRECT(I3670),test),getMin(B3670,C3670,INDIRECT(J$2),INDIRECT(I3670),test))</f>
        <v>0.1</v>
      </c>
      <c r="E3670" s="5">
        <f ca="1">IF(getQuality(B3670)&lt;4,getOtherMax(B3670,C3670,INDIRECT(J$2),INDIRECT(I3670),test),getMax(B3670,C3670,INDIRECT(J$2),INDIRECT(I3670),test))</f>
        <v>0.13</v>
      </c>
      <c r="F3670" s="1" t="str">
        <f t="shared" si="231"/>
        <v>50</v>
      </c>
      <c r="G3670" s="1" t="str">
        <f t="shared" si="232"/>
        <v/>
      </c>
      <c r="I3670" s="1" t="str">
        <f t="shared" si="230"/>
        <v>威尔新数值1.06.xlsm!circlePer</v>
      </c>
    </row>
    <row r="3671" spans="1:9" x14ac:dyDescent="0.15">
      <c r="A3671" s="1">
        <v>3670</v>
      </c>
      <c r="B3671" s="1">
        <v>103040600</v>
      </c>
      <c r="C3671" s="1">
        <f t="shared" si="229"/>
        <v>102</v>
      </c>
      <c r="D3671" s="5">
        <f ca="1">IF(getQuality(B3671)&lt;4,getOtherMin(B3671,C3671,INDIRECT(J$2),INDIRECT(I3671),test),getMin(B3671,C3671,INDIRECT(J$2),INDIRECT(I3671),test))</f>
        <v>0.9</v>
      </c>
      <c r="E3671" s="5">
        <f ca="1">IF(getQuality(B3671)&lt;4,getOtherMax(B3671,C3671,INDIRECT(J$2),INDIRECT(I3671),test),getMax(B3671,C3671,INDIRECT(J$2),INDIRECT(I3671),test))</f>
        <v>1.2</v>
      </c>
      <c r="F3671" s="1" t="str">
        <f t="shared" si="231"/>
        <v>50</v>
      </c>
      <c r="G3671" s="1" t="str">
        <f t="shared" si="232"/>
        <v/>
      </c>
      <c r="I3671" s="1" t="str">
        <f t="shared" si="230"/>
        <v>威尔新数值1.06.xlsm!circleValue</v>
      </c>
    </row>
    <row r="3672" spans="1:9" x14ac:dyDescent="0.15">
      <c r="A3672" s="1">
        <v>3671</v>
      </c>
      <c r="B3672" s="1">
        <v>103040600</v>
      </c>
      <c r="C3672" s="1">
        <f t="shared" si="229"/>
        <v>103</v>
      </c>
      <c r="D3672" s="5">
        <f ca="1">IF(getQuality(B3672)&lt;4,getOtherMin(B3672,C3672,INDIRECT(J$2),INDIRECT(I3672),test),getMin(B3672,C3672,INDIRECT(J$2),INDIRECT(I3672),test))</f>
        <v>0.1</v>
      </c>
      <c r="E3672" s="5">
        <f ca="1">IF(getQuality(B3672)&lt;4,getOtherMax(B3672,C3672,INDIRECT(J$2),INDIRECT(I3672),test),getMax(B3672,C3672,INDIRECT(J$2),INDIRECT(I3672),test))</f>
        <v>0.13</v>
      </c>
      <c r="F3672" s="1" t="str">
        <f t="shared" si="231"/>
        <v>50</v>
      </c>
      <c r="G3672" s="1" t="str">
        <f t="shared" si="232"/>
        <v/>
      </c>
      <c r="I3672" s="1" t="str">
        <f t="shared" si="230"/>
        <v>威尔新数值1.06.xlsm!otherDamage</v>
      </c>
    </row>
    <row r="3673" spans="1:9" x14ac:dyDescent="0.15">
      <c r="A3673" s="1">
        <v>3672</v>
      </c>
      <c r="B3673" s="1">
        <v>103040600</v>
      </c>
      <c r="C3673" s="1">
        <f t="shared" si="229"/>
        <v>104</v>
      </c>
      <c r="D3673" s="5">
        <f ca="1">IF(getQuality(B3673)&lt;4,getOtherMin(B3673,C3673,INDIRECT(J$2),INDIRECT(I3673),test),getMin(B3673,C3673,INDIRECT(J$2),INDIRECT(I3673),test))</f>
        <v>0.1</v>
      </c>
      <c r="E3673" s="5">
        <f ca="1">IF(getQuality(B3673)&lt;4,getOtherMax(B3673,C3673,INDIRECT(J$2),INDIRECT(I3673),test),getMax(B3673,C3673,INDIRECT(J$2),INDIRECT(I3673),test))</f>
        <v>0.2</v>
      </c>
      <c r="F3673" s="1" t="str">
        <f t="shared" si="231"/>
        <v>50</v>
      </c>
      <c r="G3673" s="1" t="str">
        <f t="shared" si="232"/>
        <v/>
      </c>
      <c r="I3673" s="1" t="str">
        <f t="shared" si="230"/>
        <v>威尔新数值1.06.xlsm!monsterDamage</v>
      </c>
    </row>
    <row r="3674" spans="1:9" x14ac:dyDescent="0.15">
      <c r="A3674" s="1">
        <v>3673</v>
      </c>
      <c r="B3674" s="1">
        <v>103040600</v>
      </c>
      <c r="C3674" s="1">
        <f t="shared" si="229"/>
        <v>105</v>
      </c>
      <c r="D3674" s="5">
        <f ca="1">IF(getQuality(B3674)&lt;4,getOtherMin(B3674,C3674,INDIRECT(J$2),INDIRECT(I3674),test),getMin(B3674,C3674,INDIRECT(J$2),INDIRECT(I3674),test))</f>
        <v>0.1</v>
      </c>
      <c r="E3674" s="5">
        <f ca="1">IF(getQuality(B3674)&lt;4,getOtherMax(B3674,C3674,INDIRECT(J$2),INDIRECT(I3674),test),getMax(B3674,C3674,INDIRECT(J$2),INDIRECT(I3674),test))</f>
        <v>0.2</v>
      </c>
      <c r="F3674" s="1" t="str">
        <f t="shared" si="231"/>
        <v>50</v>
      </c>
      <c r="G3674" s="1" t="str">
        <f t="shared" si="232"/>
        <v/>
      </c>
      <c r="I3674" s="1" t="str">
        <f t="shared" si="230"/>
        <v>威尔新数值1.06.xlsm!monsterDamage</v>
      </c>
    </row>
    <row r="3675" spans="1:9" x14ac:dyDescent="0.15">
      <c r="A3675" s="1">
        <v>3674</v>
      </c>
      <c r="B3675" s="1">
        <v>103040600</v>
      </c>
      <c r="C3675" s="1">
        <f t="shared" si="229"/>
        <v>106</v>
      </c>
      <c r="D3675" s="5">
        <f ca="1">IF(getQuality(B3675)&lt;4,getOtherMin(B3675,C3675,INDIRECT(J$2),INDIRECT(I3675),test),getMin(B3675,C3675,INDIRECT(J$2),INDIRECT(I3675),test))</f>
        <v>0.1</v>
      </c>
      <c r="E3675" s="5">
        <f ca="1">IF(getQuality(B3675)&lt;4,getOtherMax(B3675,C3675,INDIRECT(J$2),INDIRECT(I3675),test),getMax(B3675,C3675,INDIRECT(J$2),INDIRECT(I3675),test))</f>
        <v>0.2</v>
      </c>
      <c r="F3675" s="1" t="str">
        <f t="shared" si="231"/>
        <v>50</v>
      </c>
      <c r="G3675" s="1" t="str">
        <f t="shared" si="232"/>
        <v/>
      </c>
      <c r="I3675" s="1" t="str">
        <f t="shared" si="230"/>
        <v>威尔新数值1.06.xlsm!monsterDamage</v>
      </c>
    </row>
    <row r="3676" spans="1:9" x14ac:dyDescent="0.15">
      <c r="A3676" s="1">
        <v>3675</v>
      </c>
      <c r="B3676" s="1">
        <v>103040600</v>
      </c>
      <c r="C3676" s="1">
        <f t="shared" si="229"/>
        <v>107</v>
      </c>
      <c r="D3676" s="5">
        <f ca="1">IF(getQuality(B3676)&lt;4,getOtherMin(B3676,C3676,INDIRECT(J$2),INDIRECT(I3676),test),getMin(B3676,C3676,INDIRECT(J$2),INDIRECT(I3676),test))</f>
        <v>0.1</v>
      </c>
      <c r="E3676" s="5">
        <f ca="1">IF(getQuality(B3676)&lt;4,getOtherMax(B3676,C3676,INDIRECT(J$2),INDIRECT(I3676),test),getMax(B3676,C3676,INDIRECT(J$2),INDIRECT(I3676),test))</f>
        <v>0.2</v>
      </c>
      <c r="F3676" s="1" t="str">
        <f t="shared" si="231"/>
        <v>50</v>
      </c>
      <c r="G3676" s="1" t="str">
        <f t="shared" si="232"/>
        <v/>
      </c>
      <c r="I3676" s="1" t="str">
        <f t="shared" si="230"/>
        <v>威尔新数值1.06.xlsm!monsterDamage</v>
      </c>
    </row>
    <row r="3677" spans="1:9" x14ac:dyDescent="0.15">
      <c r="A3677" s="1">
        <v>3676</v>
      </c>
      <c r="B3677" s="1">
        <v>103040600</v>
      </c>
      <c r="C3677" s="1">
        <f t="shared" si="229"/>
        <v>108</v>
      </c>
      <c r="D3677" s="5">
        <f ca="1">IF(getQuality(B3677)&lt;4,getOtherMin(B3677,C3677,INDIRECT(J$2),INDIRECT(I3677),test),getMin(B3677,C3677,INDIRECT(J$2),INDIRECT(I3677),test))</f>
        <v>0.1</v>
      </c>
      <c r="E3677" s="5">
        <f ca="1">IF(getQuality(B3677)&lt;4,getOtherMax(B3677,C3677,INDIRECT(J$2),INDIRECT(I3677),test),getMax(B3677,C3677,INDIRECT(J$2),INDIRECT(I3677),test))</f>
        <v>0.2</v>
      </c>
      <c r="F3677" s="1" t="str">
        <f t="shared" si="231"/>
        <v>50</v>
      </c>
      <c r="G3677" s="1" t="str">
        <f t="shared" si="232"/>
        <v/>
      </c>
      <c r="I3677" s="1" t="str">
        <f t="shared" si="230"/>
        <v>威尔新数值1.06.xlsm!monsterDamage</v>
      </c>
    </row>
    <row r="3678" spans="1:9" x14ac:dyDescent="0.15">
      <c r="A3678" s="1">
        <v>3677</v>
      </c>
      <c r="B3678" s="1">
        <v>103050600</v>
      </c>
      <c r="C3678" s="1">
        <f t="shared" si="229"/>
        <v>3</v>
      </c>
      <c r="D3678" s="5">
        <f ca="1">IF(getQuality(B3678)&lt;4,getOtherMin(B3678,C3678,INDIRECT(J$2),INDIRECT(I3678),test),getMin(B3678,C3678,INDIRECT(J$2),INDIRECT(I3678),test))</f>
        <v>125.85135380491616</v>
      </c>
      <c r="E3678" s="5">
        <f ca="1">IF(getQuality(B3678)&lt;4,getOtherMax(B3678,C3678,INDIRECT(J$2),INDIRECT(I3678),test),getMax(B3678,C3678,INDIRECT(J$2),INDIRECT(I3678),test))</f>
        <v>169.16048810980774</v>
      </c>
      <c r="F3678" s="1" t="str">
        <f t="shared" si="231"/>
        <v>50</v>
      </c>
      <c r="G3678" s="1" t="str">
        <f t="shared" si="232"/>
        <v/>
      </c>
      <c r="I3678" s="1" t="str">
        <f t="shared" si="230"/>
        <v>威尔新数值1.06.xlsm!suitPower</v>
      </c>
    </row>
    <row r="3679" spans="1:9" x14ac:dyDescent="0.15">
      <c r="A3679" s="1">
        <v>3678</v>
      </c>
      <c r="B3679" s="1">
        <v>103050600</v>
      </c>
      <c r="C3679" s="1">
        <f t="shared" si="229"/>
        <v>5</v>
      </c>
      <c r="D3679" s="5">
        <f ca="1">IF(getQuality(B3679)&lt;4,getOtherMin(B3679,C3679,INDIRECT(J$2),INDIRECT(I3679),test),getMin(B3679,C3679,INDIRECT(J$2),INDIRECT(I3679),test))</f>
        <v>125.85135380491616</v>
      </c>
      <c r="E3679" s="5">
        <f ca="1">IF(getQuality(B3679)&lt;4,getOtherMax(B3679,C3679,INDIRECT(J$2),INDIRECT(I3679),test),getMax(B3679,C3679,INDIRECT(J$2),INDIRECT(I3679),test))</f>
        <v>169.16048810980774</v>
      </c>
      <c r="F3679" s="1" t="str">
        <f t="shared" si="231"/>
        <v>50</v>
      </c>
      <c r="G3679" s="1" t="str">
        <f t="shared" si="232"/>
        <v>1</v>
      </c>
      <c r="I3679" s="1" t="str">
        <f t="shared" si="230"/>
        <v>威尔新数值1.06.xlsm!suitPower</v>
      </c>
    </row>
    <row r="3680" spans="1:9" x14ac:dyDescent="0.15">
      <c r="A3680" s="1">
        <v>3679</v>
      </c>
      <c r="B3680" s="1">
        <v>103050600</v>
      </c>
      <c r="C3680" s="1">
        <f t="shared" si="229"/>
        <v>7</v>
      </c>
      <c r="D3680" s="5">
        <f ca="1">IF(getQuality(B3680)&lt;4,getOtherMin(B3680,C3680,INDIRECT(J$2),INDIRECT(I3680),test),getMin(B3680,C3680,INDIRECT(J$2),INDIRECT(I3680),test))</f>
        <v>30.629629629629555</v>
      </c>
      <c r="E3680" s="5">
        <f ca="1">IF(getQuality(B3680)&lt;4,getOtherMax(B3680,C3680,INDIRECT(J$2),INDIRECT(I3680),test),getMax(B3680,C3680,INDIRECT(J$2),INDIRECT(I3680),test))</f>
        <v>37.037037037036946</v>
      </c>
      <c r="F3680" s="1" t="str">
        <f t="shared" si="231"/>
        <v>50</v>
      </c>
      <c r="G3680" s="1" t="str">
        <f t="shared" si="232"/>
        <v/>
      </c>
      <c r="I3680" s="1" t="str">
        <f t="shared" si="230"/>
        <v>威尔新数值1.06.xlsm!suitPower</v>
      </c>
    </row>
    <row r="3681" spans="1:9" x14ac:dyDescent="0.15">
      <c r="A3681" s="1">
        <v>3680</v>
      </c>
      <c r="B3681" s="1">
        <v>103050600</v>
      </c>
      <c r="C3681" s="1">
        <f t="shared" si="229"/>
        <v>8</v>
      </c>
      <c r="D3681" s="5">
        <f ca="1">IF(getQuality(B3681)&lt;4,getOtherMin(B3681,C3681,INDIRECT(J$2),INDIRECT(I3681),test),getMin(B3681,C3681,INDIRECT(J$2),INDIRECT(I3681),test))</f>
        <v>67.666666666666671</v>
      </c>
      <c r="E3681" s="5">
        <f ca="1">IF(getQuality(B3681)&lt;4,getOtherMax(B3681,C3681,INDIRECT(J$2),INDIRECT(I3681),test),getMax(B3681,C3681,INDIRECT(J$2),INDIRECT(I3681),test))</f>
        <v>83.333333333333329</v>
      </c>
      <c r="F3681" s="1" t="str">
        <f t="shared" si="231"/>
        <v>50</v>
      </c>
      <c r="G3681" s="1" t="str">
        <f t="shared" si="232"/>
        <v/>
      </c>
      <c r="I3681" s="1" t="str">
        <f t="shared" si="230"/>
        <v>威尔新数值1.06.xlsm!suitPower</v>
      </c>
    </row>
    <row r="3682" spans="1:9" x14ac:dyDescent="0.15">
      <c r="A3682" s="1">
        <v>3681</v>
      </c>
      <c r="B3682" s="1">
        <v>103050600</v>
      </c>
      <c r="C3682" s="1">
        <f t="shared" si="229"/>
        <v>9</v>
      </c>
      <c r="D3682" s="5">
        <f ca="1">IF(getQuality(B3682)&lt;4,getOtherMin(B3682,C3682,INDIRECT(J$2),INDIRECT(I3682),test),getMin(B3682,C3682,INDIRECT(J$2),INDIRECT(I3682),test))</f>
        <v>125.85135380491616</v>
      </c>
      <c r="E3682" s="5">
        <f ca="1">IF(getQuality(B3682)&lt;4,getOtherMax(B3682,C3682,INDIRECT(J$2),INDIRECT(I3682),test),getMax(B3682,C3682,INDIRECT(J$2),INDIRECT(I3682),test))</f>
        <v>169.16048810980774</v>
      </c>
      <c r="F3682" s="1" t="str">
        <f t="shared" si="231"/>
        <v>50</v>
      </c>
      <c r="G3682" s="1" t="str">
        <f t="shared" si="232"/>
        <v/>
      </c>
      <c r="I3682" s="1" t="str">
        <f t="shared" si="230"/>
        <v>威尔新数值1.06.xlsm!suitPower</v>
      </c>
    </row>
    <row r="3683" spans="1:9" x14ac:dyDescent="0.15">
      <c r="A3683" s="1">
        <v>3682</v>
      </c>
      <c r="B3683" s="1">
        <v>103050600</v>
      </c>
      <c r="C3683" s="1">
        <f t="shared" si="229"/>
        <v>10</v>
      </c>
      <c r="D3683" s="5">
        <f ca="1">IF(getQuality(B3683)&lt;4,getOtherMin(B3683,C3683,INDIRECT(J$2),INDIRECT(I3683),test),getMin(B3683,C3683,INDIRECT(J$2),INDIRECT(I3683),test))</f>
        <v>125.85135380491616</v>
      </c>
      <c r="E3683" s="5">
        <f ca="1">IF(getQuality(B3683)&lt;4,getOtherMax(B3683,C3683,INDIRECT(J$2),INDIRECT(I3683),test),getMax(B3683,C3683,INDIRECT(J$2),INDIRECT(I3683),test))</f>
        <v>169.16048810980774</v>
      </c>
      <c r="F3683" s="1" t="str">
        <f t="shared" si="231"/>
        <v>50</v>
      </c>
      <c r="G3683" s="1" t="str">
        <f t="shared" si="232"/>
        <v/>
      </c>
      <c r="I3683" s="1" t="str">
        <f t="shared" si="230"/>
        <v>威尔新数值1.06.xlsm!suitPower</v>
      </c>
    </row>
    <row r="3684" spans="1:9" x14ac:dyDescent="0.15">
      <c r="A3684" s="1">
        <v>3683</v>
      </c>
      <c r="B3684" s="1">
        <v>103050600</v>
      </c>
      <c r="C3684" s="1">
        <f t="shared" si="229"/>
        <v>11</v>
      </c>
      <c r="D3684" s="5">
        <f ca="1">IF(getQuality(B3684)&lt;4,getOtherMin(B3684,C3684,INDIRECT(J$2),INDIRECT(I3684),test),getMin(B3684,C3684,INDIRECT(J$2),INDIRECT(I3684),test))</f>
        <v>125.85135380491616</v>
      </c>
      <c r="E3684" s="5">
        <f ca="1">IF(getQuality(B3684)&lt;4,getOtherMax(B3684,C3684,INDIRECT(J$2),INDIRECT(I3684),test),getMax(B3684,C3684,INDIRECT(J$2),INDIRECT(I3684),test))</f>
        <v>169.16048810980774</v>
      </c>
      <c r="F3684" s="1" t="str">
        <f t="shared" si="231"/>
        <v>50</v>
      </c>
      <c r="G3684" s="1" t="str">
        <f t="shared" si="232"/>
        <v/>
      </c>
      <c r="I3684" s="1" t="str">
        <f t="shared" si="230"/>
        <v>威尔新数值1.06.xlsm!suitPower</v>
      </c>
    </row>
    <row r="3685" spans="1:9" x14ac:dyDescent="0.15">
      <c r="A3685" s="1">
        <v>3684</v>
      </c>
      <c r="B3685" s="1">
        <v>103050600</v>
      </c>
      <c r="C3685" s="1">
        <f t="shared" si="229"/>
        <v>12</v>
      </c>
      <c r="D3685" s="5">
        <f ca="1">IF(getQuality(B3685)&lt;4,getOtherMin(B3685,C3685,INDIRECT(J$2),INDIRECT(I3685),test),getMin(B3685,C3685,INDIRECT(J$2),INDIRECT(I3685),test))</f>
        <v>125.85135380491616</v>
      </c>
      <c r="E3685" s="5">
        <f ca="1">IF(getQuality(B3685)&lt;4,getOtherMax(B3685,C3685,INDIRECT(J$2),INDIRECT(I3685),test),getMax(B3685,C3685,INDIRECT(J$2),INDIRECT(I3685),test))</f>
        <v>169.16048810980774</v>
      </c>
      <c r="F3685" s="1" t="str">
        <f t="shared" si="231"/>
        <v>50</v>
      </c>
      <c r="G3685" s="1" t="str">
        <f t="shared" si="232"/>
        <v/>
      </c>
      <c r="I3685" s="1" t="str">
        <f t="shared" si="230"/>
        <v>威尔新数值1.06.xlsm!suitPower</v>
      </c>
    </row>
    <row r="3686" spans="1:9" x14ac:dyDescent="0.15">
      <c r="A3686" s="1">
        <v>3685</v>
      </c>
      <c r="B3686" s="1">
        <v>103050600</v>
      </c>
      <c r="C3686" s="1">
        <f t="shared" si="229"/>
        <v>13</v>
      </c>
      <c r="D3686" s="5">
        <f ca="1">IF(getQuality(B3686)&lt;4,getOtherMin(B3686,C3686,INDIRECT(J$2),INDIRECT(I3686),test),getMin(B3686,C3686,INDIRECT(J$2),INDIRECT(I3686),test))</f>
        <v>125.85135380491616</v>
      </c>
      <c r="E3686" s="5">
        <f ca="1">IF(getQuality(B3686)&lt;4,getOtherMax(B3686,C3686,INDIRECT(J$2),INDIRECT(I3686),test),getMax(B3686,C3686,INDIRECT(J$2),INDIRECT(I3686),test))</f>
        <v>169.16048810980774</v>
      </c>
      <c r="F3686" s="1" t="str">
        <f t="shared" si="231"/>
        <v>50</v>
      </c>
      <c r="G3686" s="1" t="str">
        <f t="shared" si="232"/>
        <v/>
      </c>
      <c r="I3686" s="1" t="str">
        <f t="shared" si="230"/>
        <v>威尔新数值1.06.xlsm!suitPower</v>
      </c>
    </row>
    <row r="3687" spans="1:9" x14ac:dyDescent="0.15">
      <c r="A3687" s="1">
        <v>3686</v>
      </c>
      <c r="B3687" s="1">
        <v>103050600</v>
      </c>
      <c r="C3687" s="1">
        <f t="shared" si="229"/>
        <v>14</v>
      </c>
      <c r="D3687" s="5">
        <f ca="1">IF(getQuality(B3687)&lt;4,getOtherMin(B3687,C3687,INDIRECT(J$2),INDIRECT(I3687),test),getMin(B3687,C3687,INDIRECT(J$2),INDIRECT(I3687),test))</f>
        <v>125.85135380491616</v>
      </c>
      <c r="E3687" s="5">
        <f ca="1">IF(getQuality(B3687)&lt;4,getOtherMax(B3687,C3687,INDIRECT(J$2),INDIRECT(I3687),test),getMax(B3687,C3687,INDIRECT(J$2),INDIRECT(I3687),test))</f>
        <v>169.16048810980774</v>
      </c>
      <c r="F3687" s="1" t="str">
        <f t="shared" si="231"/>
        <v>50</v>
      </c>
      <c r="G3687" s="1" t="str">
        <f t="shared" si="232"/>
        <v/>
      </c>
      <c r="I3687" s="1" t="str">
        <f t="shared" si="230"/>
        <v>威尔新数值1.06.xlsm!suitPower</v>
      </c>
    </row>
    <row r="3688" spans="1:9" x14ac:dyDescent="0.15">
      <c r="A3688" s="1">
        <v>3687</v>
      </c>
      <c r="B3688" s="1">
        <v>103050600</v>
      </c>
      <c r="C3688" s="1">
        <f t="shared" si="229"/>
        <v>15</v>
      </c>
      <c r="D3688" s="5">
        <f ca="1">IF(getQuality(B3688)&lt;4,getOtherMin(B3688,C3688,INDIRECT(J$2),INDIRECT(I3688),test),getMin(B3688,C3688,INDIRECT(J$2),INDIRECT(I3688),test))</f>
        <v>125.85135380491616</v>
      </c>
      <c r="E3688" s="5">
        <f ca="1">IF(getQuality(B3688)&lt;4,getOtherMax(B3688,C3688,INDIRECT(J$2),INDIRECT(I3688),test),getMax(B3688,C3688,INDIRECT(J$2),INDIRECT(I3688),test))</f>
        <v>169.16048810980774</v>
      </c>
      <c r="F3688" s="1" t="str">
        <f t="shared" si="231"/>
        <v>50</v>
      </c>
      <c r="G3688" s="1" t="str">
        <f t="shared" si="232"/>
        <v/>
      </c>
      <c r="I3688" s="1" t="str">
        <f t="shared" si="230"/>
        <v>威尔新数值1.06.xlsm!suitPower</v>
      </c>
    </row>
    <row r="3689" spans="1:9" x14ac:dyDescent="0.15">
      <c r="A3689" s="1">
        <v>3688</v>
      </c>
      <c r="B3689" s="1">
        <v>103050600</v>
      </c>
      <c r="C3689" s="1">
        <f t="shared" si="229"/>
        <v>101</v>
      </c>
      <c r="D3689" s="5">
        <f ca="1">IF(getQuality(B3689)&lt;4,getOtherMin(B3689,C3689,INDIRECT(J$2),INDIRECT(I3689),test),getMin(B3689,C3689,INDIRECT(J$2),INDIRECT(I3689),test))</f>
        <v>0.11</v>
      </c>
      <c r="E3689" s="5">
        <f ca="1">IF(getQuality(B3689)&lt;4,getOtherMax(B3689,C3689,INDIRECT(J$2),INDIRECT(I3689),test),getMax(B3689,C3689,INDIRECT(J$2),INDIRECT(I3689),test))</f>
        <v>0.14000000000000001</v>
      </c>
      <c r="F3689" s="1" t="str">
        <f t="shared" si="231"/>
        <v>50</v>
      </c>
      <c r="G3689" s="1" t="str">
        <f t="shared" si="232"/>
        <v/>
      </c>
      <c r="I3689" s="1" t="str">
        <f t="shared" si="230"/>
        <v>威尔新数值1.06.xlsm!circlePer</v>
      </c>
    </row>
    <row r="3690" spans="1:9" x14ac:dyDescent="0.15">
      <c r="A3690" s="1">
        <v>3689</v>
      </c>
      <c r="B3690" s="1">
        <v>103050600</v>
      </c>
      <c r="C3690" s="1">
        <f t="shared" si="229"/>
        <v>102</v>
      </c>
      <c r="D3690" s="5">
        <f ca="1">IF(getQuality(B3690)&lt;4,getOtherMin(B3690,C3690,INDIRECT(J$2),INDIRECT(I3690),test),getMin(B3690,C3690,INDIRECT(J$2),INDIRECT(I3690),test))</f>
        <v>1</v>
      </c>
      <c r="E3690" s="5">
        <f ca="1">IF(getQuality(B3690)&lt;4,getOtherMax(B3690,C3690,INDIRECT(J$2),INDIRECT(I3690),test),getMax(B3690,C3690,INDIRECT(J$2),INDIRECT(I3690),test))</f>
        <v>1.3</v>
      </c>
      <c r="F3690" s="1" t="str">
        <f t="shared" si="231"/>
        <v>50</v>
      </c>
      <c r="G3690" s="1" t="str">
        <f t="shared" si="232"/>
        <v/>
      </c>
      <c r="I3690" s="1" t="str">
        <f t="shared" si="230"/>
        <v>威尔新数值1.06.xlsm!circleValue</v>
      </c>
    </row>
    <row r="3691" spans="1:9" x14ac:dyDescent="0.15">
      <c r="A3691" s="1">
        <v>3690</v>
      </c>
      <c r="B3691" s="1">
        <v>103050600</v>
      </c>
      <c r="C3691" s="1">
        <f t="shared" si="229"/>
        <v>103</v>
      </c>
      <c r="D3691" s="5">
        <f ca="1">IF(getQuality(B3691)&lt;4,getOtherMin(B3691,C3691,INDIRECT(J$2),INDIRECT(I3691),test),getMin(B3691,C3691,INDIRECT(J$2),INDIRECT(I3691),test))</f>
        <v>0.11</v>
      </c>
      <c r="E3691" s="5">
        <f ca="1">IF(getQuality(B3691)&lt;4,getOtherMax(B3691,C3691,INDIRECT(J$2),INDIRECT(I3691),test),getMax(B3691,C3691,INDIRECT(J$2),INDIRECT(I3691),test))</f>
        <v>0.14000000000000001</v>
      </c>
      <c r="F3691" s="1" t="str">
        <f t="shared" si="231"/>
        <v>50</v>
      </c>
      <c r="G3691" s="1" t="str">
        <f t="shared" si="232"/>
        <v/>
      </c>
      <c r="I3691" s="1" t="str">
        <f t="shared" si="230"/>
        <v>威尔新数值1.06.xlsm!otherDamage</v>
      </c>
    </row>
    <row r="3692" spans="1:9" x14ac:dyDescent="0.15">
      <c r="A3692" s="1">
        <v>3691</v>
      </c>
      <c r="B3692" s="1">
        <v>103050600</v>
      </c>
      <c r="C3692" s="1">
        <f t="shared" si="229"/>
        <v>104</v>
      </c>
      <c r="D3692" s="5">
        <f ca="1">IF(getQuality(B3692)&lt;4,getOtherMin(B3692,C3692,INDIRECT(J$2),INDIRECT(I3692),test),getMin(B3692,C3692,INDIRECT(J$2),INDIRECT(I3692),test))</f>
        <v>0.11</v>
      </c>
      <c r="E3692" s="5">
        <f ca="1">IF(getQuality(B3692)&lt;4,getOtherMax(B3692,C3692,INDIRECT(J$2),INDIRECT(I3692),test),getMax(B3692,C3692,INDIRECT(J$2),INDIRECT(I3692),test))</f>
        <v>0.22</v>
      </c>
      <c r="F3692" s="1" t="str">
        <f t="shared" si="231"/>
        <v>50</v>
      </c>
      <c r="G3692" s="1" t="str">
        <f t="shared" si="232"/>
        <v/>
      </c>
      <c r="I3692" s="1" t="str">
        <f t="shared" si="230"/>
        <v>威尔新数值1.06.xlsm!monsterDamage</v>
      </c>
    </row>
    <row r="3693" spans="1:9" x14ac:dyDescent="0.15">
      <c r="A3693" s="1">
        <v>3692</v>
      </c>
      <c r="B3693" s="1">
        <v>103050600</v>
      </c>
      <c r="C3693" s="1">
        <f t="shared" si="229"/>
        <v>105</v>
      </c>
      <c r="D3693" s="5">
        <f ca="1">IF(getQuality(B3693)&lt;4,getOtherMin(B3693,C3693,INDIRECT(J$2),INDIRECT(I3693),test),getMin(B3693,C3693,INDIRECT(J$2),INDIRECT(I3693),test))</f>
        <v>0.11</v>
      </c>
      <c r="E3693" s="5">
        <f ca="1">IF(getQuality(B3693)&lt;4,getOtherMax(B3693,C3693,INDIRECT(J$2),INDIRECT(I3693),test),getMax(B3693,C3693,INDIRECT(J$2),INDIRECT(I3693),test))</f>
        <v>0.22</v>
      </c>
      <c r="F3693" s="1" t="str">
        <f t="shared" si="231"/>
        <v>50</v>
      </c>
      <c r="G3693" s="1" t="str">
        <f t="shared" si="232"/>
        <v/>
      </c>
      <c r="I3693" s="1" t="str">
        <f t="shared" si="230"/>
        <v>威尔新数值1.06.xlsm!monsterDamage</v>
      </c>
    </row>
    <row r="3694" spans="1:9" x14ac:dyDescent="0.15">
      <c r="A3694" s="1">
        <v>3693</v>
      </c>
      <c r="B3694" s="1">
        <v>103050600</v>
      </c>
      <c r="C3694" s="1">
        <f t="shared" si="229"/>
        <v>106</v>
      </c>
      <c r="D3694" s="5">
        <f ca="1">IF(getQuality(B3694)&lt;4,getOtherMin(B3694,C3694,INDIRECT(J$2),INDIRECT(I3694),test),getMin(B3694,C3694,INDIRECT(J$2),INDIRECT(I3694),test))</f>
        <v>0.11</v>
      </c>
      <c r="E3694" s="5">
        <f ca="1">IF(getQuality(B3694)&lt;4,getOtherMax(B3694,C3694,INDIRECT(J$2),INDIRECT(I3694),test),getMax(B3694,C3694,INDIRECT(J$2),INDIRECT(I3694),test))</f>
        <v>0.22</v>
      </c>
      <c r="F3694" s="1" t="str">
        <f t="shared" si="231"/>
        <v>50</v>
      </c>
      <c r="G3694" s="1" t="str">
        <f t="shared" si="232"/>
        <v/>
      </c>
      <c r="I3694" s="1" t="str">
        <f t="shared" si="230"/>
        <v>威尔新数值1.06.xlsm!monsterDamage</v>
      </c>
    </row>
    <row r="3695" spans="1:9" x14ac:dyDescent="0.15">
      <c r="A3695" s="1">
        <v>3694</v>
      </c>
      <c r="B3695" s="1">
        <v>103050600</v>
      </c>
      <c r="C3695" s="1">
        <f t="shared" si="229"/>
        <v>107</v>
      </c>
      <c r="D3695" s="5">
        <f ca="1">IF(getQuality(B3695)&lt;4,getOtherMin(B3695,C3695,INDIRECT(J$2),INDIRECT(I3695),test),getMin(B3695,C3695,INDIRECT(J$2),INDIRECT(I3695),test))</f>
        <v>0.11</v>
      </c>
      <c r="E3695" s="5">
        <f ca="1">IF(getQuality(B3695)&lt;4,getOtherMax(B3695,C3695,INDIRECT(J$2),INDIRECT(I3695),test),getMax(B3695,C3695,INDIRECT(J$2),INDIRECT(I3695),test))</f>
        <v>0.22</v>
      </c>
      <c r="F3695" s="1" t="str">
        <f t="shared" si="231"/>
        <v>50</v>
      </c>
      <c r="G3695" s="1" t="str">
        <f t="shared" si="232"/>
        <v/>
      </c>
      <c r="I3695" s="1" t="str">
        <f t="shared" si="230"/>
        <v>威尔新数值1.06.xlsm!monsterDamage</v>
      </c>
    </row>
    <row r="3696" spans="1:9" x14ac:dyDescent="0.15">
      <c r="A3696" s="1">
        <v>3695</v>
      </c>
      <c r="B3696" s="1">
        <v>103050600</v>
      </c>
      <c r="C3696" s="1">
        <f t="shared" si="229"/>
        <v>108</v>
      </c>
      <c r="D3696" s="5">
        <f ca="1">IF(getQuality(B3696)&lt;4,getOtherMin(B3696,C3696,INDIRECT(J$2),INDIRECT(I3696),test),getMin(B3696,C3696,INDIRECT(J$2),INDIRECT(I3696),test))</f>
        <v>0.11</v>
      </c>
      <c r="E3696" s="5">
        <f ca="1">IF(getQuality(B3696)&lt;4,getOtherMax(B3696,C3696,INDIRECT(J$2),INDIRECT(I3696),test),getMax(B3696,C3696,INDIRECT(J$2),INDIRECT(I3696),test))</f>
        <v>0.22</v>
      </c>
      <c r="F3696" s="1" t="str">
        <f t="shared" si="231"/>
        <v>50</v>
      </c>
      <c r="G3696" s="1" t="str">
        <f t="shared" si="232"/>
        <v/>
      </c>
      <c r="I3696" s="1" t="str">
        <f t="shared" si="230"/>
        <v>威尔新数值1.06.xlsm!monsterDamage</v>
      </c>
    </row>
    <row r="3697" spans="1:9" x14ac:dyDescent="0.15">
      <c r="A3697" s="1">
        <v>3696</v>
      </c>
      <c r="B3697" s="1">
        <v>103060600</v>
      </c>
      <c r="C3697" s="1">
        <f t="shared" si="229"/>
        <v>3</v>
      </c>
      <c r="D3697" s="5">
        <f ca="1">IF(getQuality(B3697)&lt;4,getOtherMin(B3697,C3697,INDIRECT(J$2),INDIRECT(I3697),test),getMin(B3697,C3697,INDIRECT(J$2),INDIRECT(I3697),test))</f>
        <v>170.16048810980774</v>
      </c>
      <c r="E3697" s="5">
        <f ca="1">IF(getQuality(B3697)&lt;4,getOtherMax(B3697,C3697,INDIRECT(J$2),INDIRECT(I3697),test),getMax(B3697,C3697,INDIRECT(J$2),INDIRECT(I3697),test))</f>
        <v>217.39851117079806</v>
      </c>
      <c r="F3697" s="1" t="str">
        <f t="shared" si="231"/>
        <v>50</v>
      </c>
      <c r="G3697" s="1" t="str">
        <f t="shared" si="232"/>
        <v/>
      </c>
      <c r="I3697" s="1" t="str">
        <f t="shared" si="230"/>
        <v>威尔新数值1.06.xlsm!suitPower</v>
      </c>
    </row>
    <row r="3698" spans="1:9" x14ac:dyDescent="0.15">
      <c r="A3698" s="1">
        <v>3697</v>
      </c>
      <c r="B3698" s="1">
        <v>103060600</v>
      </c>
      <c r="C3698" s="1">
        <f t="shared" si="229"/>
        <v>5</v>
      </c>
      <c r="D3698" s="5">
        <f ca="1">IF(getQuality(B3698)&lt;4,getOtherMin(B3698,C3698,INDIRECT(J$2),INDIRECT(I3698),test),getMin(B3698,C3698,INDIRECT(J$2),INDIRECT(I3698),test))</f>
        <v>170.16048810980774</v>
      </c>
      <c r="E3698" s="5">
        <f ca="1">IF(getQuality(B3698)&lt;4,getOtherMax(B3698,C3698,INDIRECT(J$2),INDIRECT(I3698),test),getMax(B3698,C3698,INDIRECT(J$2),INDIRECT(I3698),test))</f>
        <v>217.39851117079806</v>
      </c>
      <c r="F3698" s="1" t="str">
        <f t="shared" si="231"/>
        <v>50</v>
      </c>
      <c r="G3698" s="1" t="str">
        <f t="shared" si="232"/>
        <v>1</v>
      </c>
      <c r="I3698" s="1" t="str">
        <f t="shared" si="230"/>
        <v>威尔新数值1.06.xlsm!suitPower</v>
      </c>
    </row>
    <row r="3699" spans="1:9" x14ac:dyDescent="0.15">
      <c r="A3699" s="1">
        <v>3698</v>
      </c>
      <c r="B3699" s="1">
        <v>103060600</v>
      </c>
      <c r="C3699" s="1">
        <f t="shared" si="229"/>
        <v>7</v>
      </c>
      <c r="D3699" s="5">
        <f ca="1">IF(getQuality(B3699)&lt;4,getOtherMin(B3699,C3699,INDIRECT(J$2),INDIRECT(I3699),test),getMin(B3699,C3699,INDIRECT(J$2),INDIRECT(I3699),test))</f>
        <v>38.037037037036946</v>
      </c>
      <c r="E3699" s="5">
        <f ca="1">IF(getQuality(B3699)&lt;4,getOtherMax(B3699,C3699,INDIRECT(J$2),INDIRECT(I3699),test),getMax(B3699,C3699,INDIRECT(J$2),INDIRECT(I3699),test))</f>
        <v>44.444444444444329</v>
      </c>
      <c r="F3699" s="1" t="str">
        <f t="shared" si="231"/>
        <v>50</v>
      </c>
      <c r="G3699" s="1" t="str">
        <f t="shared" si="232"/>
        <v/>
      </c>
      <c r="I3699" s="1" t="str">
        <f t="shared" si="230"/>
        <v>威尔新数值1.06.xlsm!suitPower</v>
      </c>
    </row>
    <row r="3700" spans="1:9" x14ac:dyDescent="0.15">
      <c r="A3700" s="1">
        <v>3699</v>
      </c>
      <c r="B3700" s="1">
        <v>103060600</v>
      </c>
      <c r="C3700" s="1">
        <f t="shared" si="229"/>
        <v>8</v>
      </c>
      <c r="D3700" s="5">
        <f ca="1">IF(getQuality(B3700)&lt;4,getOtherMin(B3700,C3700,INDIRECT(J$2),INDIRECT(I3700),test),getMin(B3700,C3700,INDIRECT(J$2),INDIRECT(I3700),test))</f>
        <v>84.333333333333329</v>
      </c>
      <c r="E3700" s="5">
        <f ca="1">IF(getQuality(B3700)&lt;4,getOtherMax(B3700,C3700,INDIRECT(J$2),INDIRECT(I3700),test),getMax(B3700,C3700,INDIRECT(J$2),INDIRECT(I3700),test))</f>
        <v>100</v>
      </c>
      <c r="F3700" s="1" t="str">
        <f t="shared" si="231"/>
        <v>50</v>
      </c>
      <c r="G3700" s="1" t="str">
        <f t="shared" si="232"/>
        <v/>
      </c>
      <c r="I3700" s="1" t="str">
        <f t="shared" si="230"/>
        <v>威尔新数值1.06.xlsm!suitPower</v>
      </c>
    </row>
    <row r="3701" spans="1:9" x14ac:dyDescent="0.15">
      <c r="A3701" s="1">
        <v>3700</v>
      </c>
      <c r="B3701" s="1">
        <v>103060600</v>
      </c>
      <c r="C3701" s="1">
        <f t="shared" si="229"/>
        <v>9</v>
      </c>
      <c r="D3701" s="5">
        <f ca="1">IF(getQuality(B3701)&lt;4,getOtherMin(B3701,C3701,INDIRECT(J$2),INDIRECT(I3701),test),getMin(B3701,C3701,INDIRECT(J$2),INDIRECT(I3701),test))</f>
        <v>170.16048810980774</v>
      </c>
      <c r="E3701" s="5">
        <f ca="1">IF(getQuality(B3701)&lt;4,getOtherMax(B3701,C3701,INDIRECT(J$2),INDIRECT(I3701),test),getMax(B3701,C3701,INDIRECT(J$2),INDIRECT(I3701),test))</f>
        <v>217.39851117079806</v>
      </c>
      <c r="F3701" s="1" t="str">
        <f t="shared" si="231"/>
        <v>50</v>
      </c>
      <c r="G3701" s="1" t="str">
        <f t="shared" si="232"/>
        <v/>
      </c>
      <c r="I3701" s="1" t="str">
        <f t="shared" si="230"/>
        <v>威尔新数值1.06.xlsm!suitPower</v>
      </c>
    </row>
    <row r="3702" spans="1:9" x14ac:dyDescent="0.15">
      <c r="A3702" s="1">
        <v>3701</v>
      </c>
      <c r="B3702" s="1">
        <v>103060600</v>
      </c>
      <c r="C3702" s="1">
        <f t="shared" si="229"/>
        <v>10</v>
      </c>
      <c r="D3702" s="5">
        <f ca="1">IF(getQuality(B3702)&lt;4,getOtherMin(B3702,C3702,INDIRECT(J$2),INDIRECT(I3702),test),getMin(B3702,C3702,INDIRECT(J$2),INDIRECT(I3702),test))</f>
        <v>170.16048810980774</v>
      </c>
      <c r="E3702" s="5">
        <f ca="1">IF(getQuality(B3702)&lt;4,getOtherMax(B3702,C3702,INDIRECT(J$2),INDIRECT(I3702),test),getMax(B3702,C3702,INDIRECT(J$2),INDIRECT(I3702),test))</f>
        <v>217.39851117079806</v>
      </c>
      <c r="F3702" s="1" t="str">
        <f t="shared" si="231"/>
        <v>50</v>
      </c>
      <c r="G3702" s="1" t="str">
        <f t="shared" si="232"/>
        <v/>
      </c>
      <c r="I3702" s="1" t="str">
        <f t="shared" si="230"/>
        <v>威尔新数值1.06.xlsm!suitPower</v>
      </c>
    </row>
    <row r="3703" spans="1:9" x14ac:dyDescent="0.15">
      <c r="A3703" s="1">
        <v>3702</v>
      </c>
      <c r="B3703" s="1">
        <v>103060600</v>
      </c>
      <c r="C3703" s="1">
        <f t="shared" si="229"/>
        <v>11</v>
      </c>
      <c r="D3703" s="5">
        <f ca="1">IF(getQuality(B3703)&lt;4,getOtherMin(B3703,C3703,INDIRECT(J$2),INDIRECT(I3703),test),getMin(B3703,C3703,INDIRECT(J$2),INDIRECT(I3703),test))</f>
        <v>170.16048810980774</v>
      </c>
      <c r="E3703" s="5">
        <f ca="1">IF(getQuality(B3703)&lt;4,getOtherMax(B3703,C3703,INDIRECT(J$2),INDIRECT(I3703),test),getMax(B3703,C3703,INDIRECT(J$2),INDIRECT(I3703),test))</f>
        <v>217.39851117079806</v>
      </c>
      <c r="F3703" s="1" t="str">
        <f t="shared" si="231"/>
        <v>50</v>
      </c>
      <c r="G3703" s="1" t="str">
        <f t="shared" si="232"/>
        <v/>
      </c>
      <c r="I3703" s="1" t="str">
        <f t="shared" si="230"/>
        <v>威尔新数值1.06.xlsm!suitPower</v>
      </c>
    </row>
    <row r="3704" spans="1:9" x14ac:dyDescent="0.15">
      <c r="A3704" s="1">
        <v>3703</v>
      </c>
      <c r="B3704" s="1">
        <v>103060600</v>
      </c>
      <c r="C3704" s="1">
        <f t="shared" si="229"/>
        <v>12</v>
      </c>
      <c r="D3704" s="5">
        <f ca="1">IF(getQuality(B3704)&lt;4,getOtherMin(B3704,C3704,INDIRECT(J$2),INDIRECT(I3704),test),getMin(B3704,C3704,INDIRECT(J$2),INDIRECT(I3704),test))</f>
        <v>170.16048810980774</v>
      </c>
      <c r="E3704" s="5">
        <f ca="1">IF(getQuality(B3704)&lt;4,getOtherMax(B3704,C3704,INDIRECT(J$2),INDIRECT(I3704),test),getMax(B3704,C3704,INDIRECT(J$2),INDIRECT(I3704),test))</f>
        <v>217.39851117079806</v>
      </c>
      <c r="F3704" s="1" t="str">
        <f t="shared" si="231"/>
        <v>50</v>
      </c>
      <c r="G3704" s="1" t="str">
        <f t="shared" si="232"/>
        <v/>
      </c>
      <c r="I3704" s="1" t="str">
        <f t="shared" si="230"/>
        <v>威尔新数值1.06.xlsm!suitPower</v>
      </c>
    </row>
    <row r="3705" spans="1:9" x14ac:dyDescent="0.15">
      <c r="A3705" s="1">
        <v>3704</v>
      </c>
      <c r="B3705" s="1">
        <v>103060600</v>
      </c>
      <c r="C3705" s="1">
        <f t="shared" si="229"/>
        <v>13</v>
      </c>
      <c r="D3705" s="5">
        <f ca="1">IF(getQuality(B3705)&lt;4,getOtherMin(B3705,C3705,INDIRECT(J$2),INDIRECT(I3705),test),getMin(B3705,C3705,INDIRECT(J$2),INDIRECT(I3705),test))</f>
        <v>170.16048810980774</v>
      </c>
      <c r="E3705" s="5">
        <f ca="1">IF(getQuality(B3705)&lt;4,getOtherMax(B3705,C3705,INDIRECT(J$2),INDIRECT(I3705),test),getMax(B3705,C3705,INDIRECT(J$2),INDIRECT(I3705),test))</f>
        <v>217.39851117079806</v>
      </c>
      <c r="F3705" s="1" t="str">
        <f t="shared" si="231"/>
        <v>50</v>
      </c>
      <c r="G3705" s="1" t="str">
        <f t="shared" si="232"/>
        <v/>
      </c>
      <c r="I3705" s="1" t="str">
        <f t="shared" si="230"/>
        <v>威尔新数值1.06.xlsm!suitPower</v>
      </c>
    </row>
    <row r="3706" spans="1:9" x14ac:dyDescent="0.15">
      <c r="A3706" s="1">
        <v>3705</v>
      </c>
      <c r="B3706" s="1">
        <v>103060600</v>
      </c>
      <c r="C3706" s="1">
        <f t="shared" si="229"/>
        <v>14</v>
      </c>
      <c r="D3706" s="5">
        <f ca="1">IF(getQuality(B3706)&lt;4,getOtherMin(B3706,C3706,INDIRECT(J$2),INDIRECT(I3706),test),getMin(B3706,C3706,INDIRECT(J$2),INDIRECT(I3706),test))</f>
        <v>170.16048810980774</v>
      </c>
      <c r="E3706" s="5">
        <f ca="1">IF(getQuality(B3706)&lt;4,getOtherMax(B3706,C3706,INDIRECT(J$2),INDIRECT(I3706),test),getMax(B3706,C3706,INDIRECT(J$2),INDIRECT(I3706),test))</f>
        <v>217.39851117079806</v>
      </c>
      <c r="F3706" s="1" t="str">
        <f t="shared" si="231"/>
        <v>50</v>
      </c>
      <c r="G3706" s="1" t="str">
        <f t="shared" si="232"/>
        <v/>
      </c>
      <c r="I3706" s="1" t="str">
        <f t="shared" si="230"/>
        <v>威尔新数值1.06.xlsm!suitPower</v>
      </c>
    </row>
    <row r="3707" spans="1:9" x14ac:dyDescent="0.15">
      <c r="A3707" s="1">
        <v>3706</v>
      </c>
      <c r="B3707" s="1">
        <v>103060600</v>
      </c>
      <c r="C3707" s="1">
        <f t="shared" si="229"/>
        <v>15</v>
      </c>
      <c r="D3707" s="5">
        <f ca="1">IF(getQuality(B3707)&lt;4,getOtherMin(B3707,C3707,INDIRECT(J$2),INDIRECT(I3707),test),getMin(B3707,C3707,INDIRECT(J$2),INDIRECT(I3707),test))</f>
        <v>170.16048810980774</v>
      </c>
      <c r="E3707" s="5">
        <f ca="1">IF(getQuality(B3707)&lt;4,getOtherMax(B3707,C3707,INDIRECT(J$2),INDIRECT(I3707),test),getMax(B3707,C3707,INDIRECT(J$2),INDIRECT(I3707),test))</f>
        <v>217.39851117079806</v>
      </c>
      <c r="F3707" s="1" t="str">
        <f t="shared" si="231"/>
        <v>50</v>
      </c>
      <c r="G3707" s="1" t="str">
        <f t="shared" si="232"/>
        <v/>
      </c>
      <c r="I3707" s="1" t="str">
        <f t="shared" si="230"/>
        <v>威尔新数值1.06.xlsm!suitPower</v>
      </c>
    </row>
    <row r="3708" spans="1:9" x14ac:dyDescent="0.15">
      <c r="A3708" s="1">
        <v>3707</v>
      </c>
      <c r="B3708" s="1">
        <v>103060600</v>
      </c>
      <c r="C3708" s="1">
        <f t="shared" ref="C3708:C3771" si="233">C1233</f>
        <v>101</v>
      </c>
      <c r="D3708" s="5">
        <f ca="1">IF(getQuality(B3708)&lt;4,getOtherMin(B3708,C3708,INDIRECT(J$2),INDIRECT(I3708),test),getMin(B3708,C3708,INDIRECT(J$2),INDIRECT(I3708),test))</f>
        <v>0.12</v>
      </c>
      <c r="E3708" s="5">
        <f ca="1">IF(getQuality(B3708)&lt;4,getOtherMax(B3708,C3708,INDIRECT(J$2),INDIRECT(I3708),test),getMax(B3708,C3708,INDIRECT(J$2),INDIRECT(I3708),test))</f>
        <v>0.15</v>
      </c>
      <c r="F3708" s="1" t="str">
        <f t="shared" si="231"/>
        <v>50</v>
      </c>
      <c r="G3708" s="1" t="str">
        <f t="shared" si="232"/>
        <v/>
      </c>
      <c r="I3708" s="1" t="str">
        <f t="shared" si="230"/>
        <v>威尔新数值1.06.xlsm!circlePer</v>
      </c>
    </row>
    <row r="3709" spans="1:9" x14ac:dyDescent="0.15">
      <c r="A3709" s="1">
        <v>3708</v>
      </c>
      <c r="B3709" s="1">
        <v>103060600</v>
      </c>
      <c r="C3709" s="1">
        <f t="shared" si="233"/>
        <v>102</v>
      </c>
      <c r="D3709" s="5">
        <f ca="1">IF(getQuality(B3709)&lt;4,getOtherMin(B3709,C3709,INDIRECT(J$2),INDIRECT(I3709),test),getMin(B3709,C3709,INDIRECT(J$2),INDIRECT(I3709),test))</f>
        <v>1.1000000000000001</v>
      </c>
      <c r="E3709" s="5">
        <f ca="1">IF(getQuality(B3709)&lt;4,getOtherMax(B3709,C3709,INDIRECT(J$2),INDIRECT(I3709),test),getMax(B3709,C3709,INDIRECT(J$2),INDIRECT(I3709),test))</f>
        <v>1.4</v>
      </c>
      <c r="F3709" s="1" t="str">
        <f t="shared" si="231"/>
        <v>50</v>
      </c>
      <c r="G3709" s="1" t="str">
        <f t="shared" si="232"/>
        <v/>
      </c>
      <c r="I3709" s="1" t="str">
        <f t="shared" si="230"/>
        <v>威尔新数值1.06.xlsm!circleValue</v>
      </c>
    </row>
    <row r="3710" spans="1:9" x14ac:dyDescent="0.15">
      <c r="A3710" s="1">
        <v>3709</v>
      </c>
      <c r="B3710" s="1">
        <v>103060600</v>
      </c>
      <c r="C3710" s="1">
        <f t="shared" si="233"/>
        <v>103</v>
      </c>
      <c r="D3710" s="5">
        <f ca="1">IF(getQuality(B3710)&lt;4,getOtherMin(B3710,C3710,INDIRECT(J$2),INDIRECT(I3710),test),getMin(B3710,C3710,INDIRECT(J$2),INDIRECT(I3710),test))</f>
        <v>0.12</v>
      </c>
      <c r="E3710" s="5">
        <f ca="1">IF(getQuality(B3710)&lt;4,getOtherMax(B3710,C3710,INDIRECT(J$2),INDIRECT(I3710),test),getMax(B3710,C3710,INDIRECT(J$2),INDIRECT(I3710),test))</f>
        <v>0.15</v>
      </c>
      <c r="F3710" s="1" t="str">
        <f t="shared" si="231"/>
        <v>50</v>
      </c>
      <c r="G3710" s="1" t="str">
        <f t="shared" si="232"/>
        <v/>
      </c>
      <c r="I3710" s="1" t="str">
        <f t="shared" si="230"/>
        <v>威尔新数值1.06.xlsm!otherDamage</v>
      </c>
    </row>
    <row r="3711" spans="1:9" x14ac:dyDescent="0.15">
      <c r="A3711" s="1">
        <v>3710</v>
      </c>
      <c r="B3711" s="1">
        <v>103060600</v>
      </c>
      <c r="C3711" s="1">
        <f t="shared" si="233"/>
        <v>104</v>
      </c>
      <c r="D3711" s="5">
        <f ca="1">IF(getQuality(B3711)&lt;4,getOtherMin(B3711,C3711,INDIRECT(J$2),INDIRECT(I3711),test),getMin(B3711,C3711,INDIRECT(J$2),INDIRECT(I3711),test))</f>
        <v>0.12</v>
      </c>
      <c r="E3711" s="5">
        <f ca="1">IF(getQuality(B3711)&lt;4,getOtherMax(B3711,C3711,INDIRECT(J$2),INDIRECT(I3711),test),getMax(B3711,C3711,INDIRECT(J$2),INDIRECT(I3711),test))</f>
        <v>0.24</v>
      </c>
      <c r="F3711" s="1" t="str">
        <f t="shared" si="231"/>
        <v>50</v>
      </c>
      <c r="G3711" s="1" t="str">
        <f t="shared" si="232"/>
        <v/>
      </c>
      <c r="I3711" s="1" t="str">
        <f t="shared" si="230"/>
        <v>威尔新数值1.06.xlsm!monsterDamage</v>
      </c>
    </row>
    <row r="3712" spans="1:9" x14ac:dyDescent="0.15">
      <c r="A3712" s="1">
        <v>3711</v>
      </c>
      <c r="B3712" s="1">
        <v>103060600</v>
      </c>
      <c r="C3712" s="1">
        <f t="shared" si="233"/>
        <v>105</v>
      </c>
      <c r="D3712" s="5">
        <f ca="1">IF(getQuality(B3712)&lt;4,getOtherMin(B3712,C3712,INDIRECT(J$2),INDIRECT(I3712),test),getMin(B3712,C3712,INDIRECT(J$2),INDIRECT(I3712),test))</f>
        <v>0.12</v>
      </c>
      <c r="E3712" s="5">
        <f ca="1">IF(getQuality(B3712)&lt;4,getOtherMax(B3712,C3712,INDIRECT(J$2),INDIRECT(I3712),test),getMax(B3712,C3712,INDIRECT(J$2),INDIRECT(I3712),test))</f>
        <v>0.24</v>
      </c>
      <c r="F3712" s="1" t="str">
        <f t="shared" si="231"/>
        <v>50</v>
      </c>
      <c r="G3712" s="1" t="str">
        <f t="shared" si="232"/>
        <v/>
      </c>
      <c r="I3712" s="1" t="str">
        <f t="shared" si="230"/>
        <v>威尔新数值1.06.xlsm!monsterDamage</v>
      </c>
    </row>
    <row r="3713" spans="1:9" x14ac:dyDescent="0.15">
      <c r="A3713" s="1">
        <v>3712</v>
      </c>
      <c r="B3713" s="1">
        <v>103060600</v>
      </c>
      <c r="C3713" s="1">
        <f t="shared" si="233"/>
        <v>106</v>
      </c>
      <c r="D3713" s="5">
        <f ca="1">IF(getQuality(B3713)&lt;4,getOtherMin(B3713,C3713,INDIRECT(J$2),INDIRECT(I3713),test),getMin(B3713,C3713,INDIRECT(J$2),INDIRECT(I3713),test))</f>
        <v>0.12</v>
      </c>
      <c r="E3713" s="5">
        <f ca="1">IF(getQuality(B3713)&lt;4,getOtherMax(B3713,C3713,INDIRECT(J$2),INDIRECT(I3713),test),getMax(B3713,C3713,INDIRECT(J$2),INDIRECT(I3713),test))</f>
        <v>0.24</v>
      </c>
      <c r="F3713" s="1" t="str">
        <f t="shared" si="231"/>
        <v>50</v>
      </c>
      <c r="G3713" s="1" t="str">
        <f t="shared" si="232"/>
        <v/>
      </c>
      <c r="I3713" s="1" t="str">
        <f t="shared" si="230"/>
        <v>威尔新数值1.06.xlsm!monsterDamage</v>
      </c>
    </row>
    <row r="3714" spans="1:9" x14ac:dyDescent="0.15">
      <c r="A3714" s="1">
        <v>3713</v>
      </c>
      <c r="B3714" s="1">
        <v>103060600</v>
      </c>
      <c r="C3714" s="1">
        <f t="shared" si="233"/>
        <v>107</v>
      </c>
      <c r="D3714" s="5">
        <f ca="1">IF(getQuality(B3714)&lt;4,getOtherMin(B3714,C3714,INDIRECT(J$2),INDIRECT(I3714),test),getMin(B3714,C3714,INDIRECT(J$2),INDIRECT(I3714),test))</f>
        <v>0.12</v>
      </c>
      <c r="E3714" s="5">
        <f ca="1">IF(getQuality(B3714)&lt;4,getOtherMax(B3714,C3714,INDIRECT(J$2),INDIRECT(I3714),test),getMax(B3714,C3714,INDIRECT(J$2),INDIRECT(I3714),test))</f>
        <v>0.24</v>
      </c>
      <c r="F3714" s="1" t="str">
        <f t="shared" si="231"/>
        <v>50</v>
      </c>
      <c r="G3714" s="1" t="str">
        <f t="shared" si="232"/>
        <v/>
      </c>
      <c r="I3714" s="1" t="str">
        <f t="shared" ref="I3714:I3777" si="234">IF(C3714&lt;100,VLOOKUP(C3714,test,3,FALSE),VLOOKUP(C3714,test1,3,FALSE))</f>
        <v>威尔新数值1.06.xlsm!monsterDamage</v>
      </c>
    </row>
    <row r="3715" spans="1:9" x14ac:dyDescent="0.15">
      <c r="A3715" s="1">
        <v>3714</v>
      </c>
      <c r="B3715" s="1">
        <v>103060600</v>
      </c>
      <c r="C3715" s="1">
        <f t="shared" si="233"/>
        <v>108</v>
      </c>
      <c r="D3715" s="5">
        <f ca="1">IF(getQuality(B3715)&lt;4,getOtherMin(B3715,C3715,INDIRECT(J$2),INDIRECT(I3715),test),getMin(B3715,C3715,INDIRECT(J$2),INDIRECT(I3715),test))</f>
        <v>0.12</v>
      </c>
      <c r="E3715" s="5">
        <f ca="1">IF(getQuality(B3715)&lt;4,getOtherMax(B3715,C3715,INDIRECT(J$2),INDIRECT(I3715),test),getMax(B3715,C3715,INDIRECT(J$2),INDIRECT(I3715),test))</f>
        <v>0.24</v>
      </c>
      <c r="F3715" s="1" t="str">
        <f t="shared" ref="F3715:F3778" si="235">getper(B3715,C3715)</f>
        <v>50</v>
      </c>
      <c r="G3715" s="1" t="str">
        <f t="shared" ref="G3715:G3778" si="236">getMust(B3715,C3715)</f>
        <v/>
      </c>
      <c r="I3715" s="1" t="str">
        <f t="shared" si="234"/>
        <v>威尔新数值1.06.xlsm!monsterDamage</v>
      </c>
    </row>
    <row r="3716" spans="1:9" x14ac:dyDescent="0.15">
      <c r="A3716" s="1">
        <v>3715</v>
      </c>
      <c r="B3716" s="1">
        <v>103070600</v>
      </c>
      <c r="C3716" s="1">
        <f t="shared" si="233"/>
        <v>3</v>
      </c>
      <c r="D3716" s="5">
        <f ca="1">IF(getQuality(B3716)&lt;4,getOtherMin(B3716,C3716,INDIRECT(J$2),INDIRECT(I3716),test),getMin(B3716,C3716,INDIRECT(J$2),INDIRECT(I3716),test))</f>
        <v>218.39851117079806</v>
      </c>
      <c r="E3716" s="5">
        <f ca="1">IF(getQuality(B3716)&lt;4,getOtherMax(B3716,C3716,INDIRECT(J$2),INDIRECT(I3716),test),getMax(B3716,C3716,INDIRECT(J$2),INDIRECT(I3716),test))</f>
        <v>270.43850937813136</v>
      </c>
      <c r="F3716" s="1" t="str">
        <f t="shared" si="235"/>
        <v>50</v>
      </c>
      <c r="G3716" s="1" t="str">
        <f t="shared" si="236"/>
        <v/>
      </c>
      <c r="I3716" s="1" t="str">
        <f t="shared" si="234"/>
        <v>威尔新数值1.06.xlsm!suitPower</v>
      </c>
    </row>
    <row r="3717" spans="1:9" x14ac:dyDescent="0.15">
      <c r="A3717" s="1">
        <v>3716</v>
      </c>
      <c r="B3717" s="1">
        <v>103070600</v>
      </c>
      <c r="C3717" s="1">
        <f t="shared" si="233"/>
        <v>5</v>
      </c>
      <c r="D3717" s="5">
        <f ca="1">IF(getQuality(B3717)&lt;4,getOtherMin(B3717,C3717,INDIRECT(J$2),INDIRECT(I3717),test),getMin(B3717,C3717,INDIRECT(J$2),INDIRECT(I3717),test))</f>
        <v>218.39851117079806</v>
      </c>
      <c r="E3717" s="5">
        <f ca="1">IF(getQuality(B3717)&lt;4,getOtherMax(B3717,C3717,INDIRECT(J$2),INDIRECT(I3717),test),getMax(B3717,C3717,INDIRECT(J$2),INDIRECT(I3717),test))</f>
        <v>270.43850937813136</v>
      </c>
      <c r="F3717" s="1" t="str">
        <f t="shared" si="235"/>
        <v>50</v>
      </c>
      <c r="G3717" s="1" t="str">
        <f t="shared" si="236"/>
        <v>1</v>
      </c>
      <c r="I3717" s="1" t="str">
        <f t="shared" si="234"/>
        <v>威尔新数值1.06.xlsm!suitPower</v>
      </c>
    </row>
    <row r="3718" spans="1:9" x14ac:dyDescent="0.15">
      <c r="A3718" s="1">
        <v>3717</v>
      </c>
      <c r="B3718" s="1">
        <v>103070600</v>
      </c>
      <c r="C3718" s="1">
        <f t="shared" si="233"/>
        <v>7</v>
      </c>
      <c r="D3718" s="5">
        <f ca="1">IF(getQuality(B3718)&lt;4,getOtherMin(B3718,C3718,INDIRECT(J$2),INDIRECT(I3718),test),getMin(B3718,C3718,INDIRECT(J$2),INDIRECT(I3718),test))</f>
        <v>45.444444444444329</v>
      </c>
      <c r="E3718" s="5">
        <f ca="1">IF(getQuality(B3718)&lt;4,getOtherMax(B3718,C3718,INDIRECT(J$2),INDIRECT(I3718),test),getMax(B3718,C3718,INDIRECT(J$2),INDIRECT(I3718),test))</f>
        <v>51.85185185185172</v>
      </c>
      <c r="F3718" s="1" t="str">
        <f t="shared" si="235"/>
        <v>50</v>
      </c>
      <c r="G3718" s="1" t="str">
        <f t="shared" si="236"/>
        <v/>
      </c>
      <c r="I3718" s="1" t="str">
        <f t="shared" si="234"/>
        <v>威尔新数值1.06.xlsm!suitPower</v>
      </c>
    </row>
    <row r="3719" spans="1:9" x14ac:dyDescent="0.15">
      <c r="A3719" s="1">
        <v>3718</v>
      </c>
      <c r="B3719" s="1">
        <v>103070600</v>
      </c>
      <c r="C3719" s="1">
        <f t="shared" si="233"/>
        <v>8</v>
      </c>
      <c r="D3719" s="5">
        <f ca="1">IF(getQuality(B3719)&lt;4,getOtherMin(B3719,C3719,INDIRECT(J$2),INDIRECT(I3719),test),getMin(B3719,C3719,INDIRECT(J$2),INDIRECT(I3719),test))</f>
        <v>101</v>
      </c>
      <c r="E3719" s="5">
        <f ca="1">IF(getQuality(B3719)&lt;4,getOtherMax(B3719,C3719,INDIRECT(J$2),INDIRECT(I3719),test),getMax(B3719,C3719,INDIRECT(J$2),INDIRECT(I3719),test))</f>
        <v>116.66666666666667</v>
      </c>
      <c r="F3719" s="1" t="str">
        <f t="shared" si="235"/>
        <v>50</v>
      </c>
      <c r="G3719" s="1" t="str">
        <f t="shared" si="236"/>
        <v/>
      </c>
      <c r="I3719" s="1" t="str">
        <f t="shared" si="234"/>
        <v>威尔新数值1.06.xlsm!suitPower</v>
      </c>
    </row>
    <row r="3720" spans="1:9" x14ac:dyDescent="0.15">
      <c r="A3720" s="1">
        <v>3719</v>
      </c>
      <c r="B3720" s="1">
        <v>103070600</v>
      </c>
      <c r="C3720" s="1">
        <f t="shared" si="233"/>
        <v>9</v>
      </c>
      <c r="D3720" s="5">
        <f ca="1">IF(getQuality(B3720)&lt;4,getOtherMin(B3720,C3720,INDIRECT(J$2),INDIRECT(I3720),test),getMin(B3720,C3720,INDIRECT(J$2),INDIRECT(I3720),test))</f>
        <v>218.39851117079806</v>
      </c>
      <c r="E3720" s="5">
        <f ca="1">IF(getQuality(B3720)&lt;4,getOtherMax(B3720,C3720,INDIRECT(J$2),INDIRECT(I3720),test),getMax(B3720,C3720,INDIRECT(J$2),INDIRECT(I3720),test))</f>
        <v>270.43850937813136</v>
      </c>
      <c r="F3720" s="1" t="str">
        <f t="shared" si="235"/>
        <v>50</v>
      </c>
      <c r="G3720" s="1" t="str">
        <f t="shared" si="236"/>
        <v/>
      </c>
      <c r="I3720" s="1" t="str">
        <f t="shared" si="234"/>
        <v>威尔新数值1.06.xlsm!suitPower</v>
      </c>
    </row>
    <row r="3721" spans="1:9" x14ac:dyDescent="0.15">
      <c r="A3721" s="1">
        <v>3720</v>
      </c>
      <c r="B3721" s="1">
        <v>103070600</v>
      </c>
      <c r="C3721" s="1">
        <f t="shared" si="233"/>
        <v>10</v>
      </c>
      <c r="D3721" s="5">
        <f ca="1">IF(getQuality(B3721)&lt;4,getOtherMin(B3721,C3721,INDIRECT(J$2),INDIRECT(I3721),test),getMin(B3721,C3721,INDIRECT(J$2),INDIRECT(I3721),test))</f>
        <v>218.39851117079806</v>
      </c>
      <c r="E3721" s="5">
        <f ca="1">IF(getQuality(B3721)&lt;4,getOtherMax(B3721,C3721,INDIRECT(J$2),INDIRECT(I3721),test),getMax(B3721,C3721,INDIRECT(J$2),INDIRECT(I3721),test))</f>
        <v>270.43850937813136</v>
      </c>
      <c r="F3721" s="1" t="str">
        <f t="shared" si="235"/>
        <v>50</v>
      </c>
      <c r="G3721" s="1" t="str">
        <f t="shared" si="236"/>
        <v/>
      </c>
      <c r="I3721" s="1" t="str">
        <f t="shared" si="234"/>
        <v>威尔新数值1.06.xlsm!suitPower</v>
      </c>
    </row>
    <row r="3722" spans="1:9" x14ac:dyDescent="0.15">
      <c r="A3722" s="1">
        <v>3721</v>
      </c>
      <c r="B3722" s="1">
        <v>103070600</v>
      </c>
      <c r="C3722" s="1">
        <f t="shared" si="233"/>
        <v>11</v>
      </c>
      <c r="D3722" s="5">
        <f ca="1">IF(getQuality(B3722)&lt;4,getOtherMin(B3722,C3722,INDIRECT(J$2),INDIRECT(I3722),test),getMin(B3722,C3722,INDIRECT(J$2),INDIRECT(I3722),test))</f>
        <v>218.39851117079806</v>
      </c>
      <c r="E3722" s="5">
        <f ca="1">IF(getQuality(B3722)&lt;4,getOtherMax(B3722,C3722,INDIRECT(J$2),INDIRECT(I3722),test),getMax(B3722,C3722,INDIRECT(J$2),INDIRECT(I3722),test))</f>
        <v>270.43850937813136</v>
      </c>
      <c r="F3722" s="1" t="str">
        <f t="shared" si="235"/>
        <v>50</v>
      </c>
      <c r="G3722" s="1" t="str">
        <f t="shared" si="236"/>
        <v/>
      </c>
      <c r="I3722" s="1" t="str">
        <f t="shared" si="234"/>
        <v>威尔新数值1.06.xlsm!suitPower</v>
      </c>
    </row>
    <row r="3723" spans="1:9" x14ac:dyDescent="0.15">
      <c r="A3723" s="1">
        <v>3722</v>
      </c>
      <c r="B3723" s="1">
        <v>103070600</v>
      </c>
      <c r="C3723" s="1">
        <f t="shared" si="233"/>
        <v>12</v>
      </c>
      <c r="D3723" s="5">
        <f ca="1">IF(getQuality(B3723)&lt;4,getOtherMin(B3723,C3723,INDIRECT(J$2),INDIRECT(I3723),test),getMin(B3723,C3723,INDIRECT(J$2),INDIRECT(I3723),test))</f>
        <v>218.39851117079806</v>
      </c>
      <c r="E3723" s="5">
        <f ca="1">IF(getQuality(B3723)&lt;4,getOtherMax(B3723,C3723,INDIRECT(J$2),INDIRECT(I3723),test),getMax(B3723,C3723,INDIRECT(J$2),INDIRECT(I3723),test))</f>
        <v>270.43850937813136</v>
      </c>
      <c r="F3723" s="1" t="str">
        <f t="shared" si="235"/>
        <v>50</v>
      </c>
      <c r="G3723" s="1" t="str">
        <f t="shared" si="236"/>
        <v/>
      </c>
      <c r="I3723" s="1" t="str">
        <f t="shared" si="234"/>
        <v>威尔新数值1.06.xlsm!suitPower</v>
      </c>
    </row>
    <row r="3724" spans="1:9" x14ac:dyDescent="0.15">
      <c r="A3724" s="1">
        <v>3723</v>
      </c>
      <c r="B3724" s="1">
        <v>103070600</v>
      </c>
      <c r="C3724" s="1">
        <f t="shared" si="233"/>
        <v>13</v>
      </c>
      <c r="D3724" s="5">
        <f ca="1">IF(getQuality(B3724)&lt;4,getOtherMin(B3724,C3724,INDIRECT(J$2),INDIRECT(I3724),test),getMin(B3724,C3724,INDIRECT(J$2),INDIRECT(I3724),test))</f>
        <v>218.39851117079806</v>
      </c>
      <c r="E3724" s="5">
        <f ca="1">IF(getQuality(B3724)&lt;4,getOtherMax(B3724,C3724,INDIRECT(J$2),INDIRECT(I3724),test),getMax(B3724,C3724,INDIRECT(J$2),INDIRECT(I3724),test))</f>
        <v>270.43850937813136</v>
      </c>
      <c r="F3724" s="1" t="str">
        <f t="shared" si="235"/>
        <v>50</v>
      </c>
      <c r="G3724" s="1" t="str">
        <f t="shared" si="236"/>
        <v/>
      </c>
      <c r="I3724" s="1" t="str">
        <f t="shared" si="234"/>
        <v>威尔新数值1.06.xlsm!suitPower</v>
      </c>
    </row>
    <row r="3725" spans="1:9" x14ac:dyDescent="0.15">
      <c r="A3725" s="1">
        <v>3724</v>
      </c>
      <c r="B3725" s="1">
        <v>103070600</v>
      </c>
      <c r="C3725" s="1">
        <f t="shared" si="233"/>
        <v>14</v>
      </c>
      <c r="D3725" s="5">
        <f ca="1">IF(getQuality(B3725)&lt;4,getOtherMin(B3725,C3725,INDIRECT(J$2),INDIRECT(I3725),test),getMin(B3725,C3725,INDIRECT(J$2),INDIRECT(I3725),test))</f>
        <v>218.39851117079806</v>
      </c>
      <c r="E3725" s="5">
        <f ca="1">IF(getQuality(B3725)&lt;4,getOtherMax(B3725,C3725,INDIRECT(J$2),INDIRECT(I3725),test),getMax(B3725,C3725,INDIRECT(J$2),INDIRECT(I3725),test))</f>
        <v>270.43850937813136</v>
      </c>
      <c r="F3725" s="1" t="str">
        <f t="shared" si="235"/>
        <v>50</v>
      </c>
      <c r="G3725" s="1" t="str">
        <f t="shared" si="236"/>
        <v/>
      </c>
      <c r="I3725" s="1" t="str">
        <f t="shared" si="234"/>
        <v>威尔新数值1.06.xlsm!suitPower</v>
      </c>
    </row>
    <row r="3726" spans="1:9" x14ac:dyDescent="0.15">
      <c r="A3726" s="1">
        <v>3725</v>
      </c>
      <c r="B3726" s="1">
        <v>103070600</v>
      </c>
      <c r="C3726" s="1">
        <f t="shared" si="233"/>
        <v>15</v>
      </c>
      <c r="D3726" s="5">
        <f ca="1">IF(getQuality(B3726)&lt;4,getOtherMin(B3726,C3726,INDIRECT(J$2),INDIRECT(I3726),test),getMin(B3726,C3726,INDIRECT(J$2),INDIRECT(I3726),test))</f>
        <v>218.39851117079806</v>
      </c>
      <c r="E3726" s="5">
        <f ca="1">IF(getQuality(B3726)&lt;4,getOtherMax(B3726,C3726,INDIRECT(J$2),INDIRECT(I3726),test),getMax(B3726,C3726,INDIRECT(J$2),INDIRECT(I3726),test))</f>
        <v>270.43850937813136</v>
      </c>
      <c r="F3726" s="1" t="str">
        <f t="shared" si="235"/>
        <v>50</v>
      </c>
      <c r="G3726" s="1" t="str">
        <f t="shared" si="236"/>
        <v/>
      </c>
      <c r="I3726" s="1" t="str">
        <f t="shared" si="234"/>
        <v>威尔新数值1.06.xlsm!suitPower</v>
      </c>
    </row>
    <row r="3727" spans="1:9" x14ac:dyDescent="0.15">
      <c r="A3727" s="1">
        <v>3726</v>
      </c>
      <c r="B3727" s="1">
        <v>103070600</v>
      </c>
      <c r="C3727" s="1">
        <f t="shared" si="233"/>
        <v>101</v>
      </c>
      <c r="D3727" s="5">
        <f ca="1">IF(getQuality(B3727)&lt;4,getOtherMin(B3727,C3727,INDIRECT(J$2),INDIRECT(I3727),test),getMin(B3727,C3727,INDIRECT(J$2),INDIRECT(I3727),test))</f>
        <v>0.13</v>
      </c>
      <c r="E3727" s="5">
        <f ca="1">IF(getQuality(B3727)&lt;4,getOtherMax(B3727,C3727,INDIRECT(J$2),INDIRECT(I3727),test),getMax(B3727,C3727,INDIRECT(J$2),INDIRECT(I3727),test))</f>
        <v>0.16</v>
      </c>
      <c r="F3727" s="1" t="str">
        <f t="shared" si="235"/>
        <v>50</v>
      </c>
      <c r="G3727" s="1" t="str">
        <f t="shared" si="236"/>
        <v/>
      </c>
      <c r="I3727" s="1" t="str">
        <f t="shared" si="234"/>
        <v>威尔新数值1.06.xlsm!circlePer</v>
      </c>
    </row>
    <row r="3728" spans="1:9" x14ac:dyDescent="0.15">
      <c r="A3728" s="1">
        <v>3727</v>
      </c>
      <c r="B3728" s="1">
        <v>103070600</v>
      </c>
      <c r="C3728" s="1">
        <f t="shared" si="233"/>
        <v>102</v>
      </c>
      <c r="D3728" s="5">
        <f ca="1">IF(getQuality(B3728)&lt;4,getOtherMin(B3728,C3728,INDIRECT(J$2),INDIRECT(I3728),test),getMin(B3728,C3728,INDIRECT(J$2),INDIRECT(I3728),test))</f>
        <v>1.2</v>
      </c>
      <c r="E3728" s="5">
        <f ca="1">IF(getQuality(B3728)&lt;4,getOtherMax(B3728,C3728,INDIRECT(J$2),INDIRECT(I3728),test),getMax(B3728,C3728,INDIRECT(J$2),INDIRECT(I3728),test))</f>
        <v>1.5</v>
      </c>
      <c r="F3728" s="1" t="str">
        <f t="shared" si="235"/>
        <v>50</v>
      </c>
      <c r="G3728" s="1" t="str">
        <f t="shared" si="236"/>
        <v/>
      </c>
      <c r="I3728" s="1" t="str">
        <f t="shared" si="234"/>
        <v>威尔新数值1.06.xlsm!circleValue</v>
      </c>
    </row>
    <row r="3729" spans="1:9" x14ac:dyDescent="0.15">
      <c r="A3729" s="1">
        <v>3728</v>
      </c>
      <c r="B3729" s="1">
        <v>103070600</v>
      </c>
      <c r="C3729" s="1">
        <f t="shared" si="233"/>
        <v>103</v>
      </c>
      <c r="D3729" s="5">
        <f ca="1">IF(getQuality(B3729)&lt;4,getOtherMin(B3729,C3729,INDIRECT(J$2),INDIRECT(I3729),test),getMin(B3729,C3729,INDIRECT(J$2),INDIRECT(I3729),test))</f>
        <v>0.13</v>
      </c>
      <c r="E3729" s="5">
        <f ca="1">IF(getQuality(B3729)&lt;4,getOtherMax(B3729,C3729,INDIRECT(J$2),INDIRECT(I3729),test),getMax(B3729,C3729,INDIRECT(J$2),INDIRECT(I3729),test))</f>
        <v>0.16</v>
      </c>
      <c r="F3729" s="1" t="str">
        <f t="shared" si="235"/>
        <v>50</v>
      </c>
      <c r="G3729" s="1" t="str">
        <f t="shared" si="236"/>
        <v/>
      </c>
      <c r="I3729" s="1" t="str">
        <f t="shared" si="234"/>
        <v>威尔新数值1.06.xlsm!otherDamage</v>
      </c>
    </row>
    <row r="3730" spans="1:9" x14ac:dyDescent="0.15">
      <c r="A3730" s="1">
        <v>3729</v>
      </c>
      <c r="B3730" s="1">
        <v>103070600</v>
      </c>
      <c r="C3730" s="1">
        <f t="shared" si="233"/>
        <v>104</v>
      </c>
      <c r="D3730" s="5">
        <f ca="1">IF(getQuality(B3730)&lt;4,getOtherMin(B3730,C3730,INDIRECT(J$2),INDIRECT(I3730),test),getMin(B3730,C3730,INDIRECT(J$2),INDIRECT(I3730),test))</f>
        <v>0.13</v>
      </c>
      <c r="E3730" s="5">
        <f ca="1">IF(getQuality(B3730)&lt;4,getOtherMax(B3730,C3730,INDIRECT(J$2),INDIRECT(I3730),test),getMax(B3730,C3730,INDIRECT(J$2),INDIRECT(I3730),test))</f>
        <v>0.26</v>
      </c>
      <c r="F3730" s="1" t="str">
        <f t="shared" si="235"/>
        <v>50</v>
      </c>
      <c r="G3730" s="1" t="str">
        <f t="shared" si="236"/>
        <v/>
      </c>
      <c r="I3730" s="1" t="str">
        <f t="shared" si="234"/>
        <v>威尔新数值1.06.xlsm!monsterDamage</v>
      </c>
    </row>
    <row r="3731" spans="1:9" x14ac:dyDescent="0.15">
      <c r="A3731" s="1">
        <v>3730</v>
      </c>
      <c r="B3731" s="1">
        <v>103070600</v>
      </c>
      <c r="C3731" s="1">
        <f t="shared" si="233"/>
        <v>105</v>
      </c>
      <c r="D3731" s="5">
        <f ca="1">IF(getQuality(B3731)&lt;4,getOtherMin(B3731,C3731,INDIRECT(J$2),INDIRECT(I3731),test),getMin(B3731,C3731,INDIRECT(J$2),INDIRECT(I3731),test))</f>
        <v>0.13</v>
      </c>
      <c r="E3731" s="5">
        <f ca="1">IF(getQuality(B3731)&lt;4,getOtherMax(B3731,C3731,INDIRECT(J$2),INDIRECT(I3731),test),getMax(B3731,C3731,INDIRECT(J$2),INDIRECT(I3731),test))</f>
        <v>0.26</v>
      </c>
      <c r="F3731" s="1" t="str">
        <f t="shared" si="235"/>
        <v>50</v>
      </c>
      <c r="G3731" s="1" t="str">
        <f t="shared" si="236"/>
        <v/>
      </c>
      <c r="I3731" s="1" t="str">
        <f t="shared" si="234"/>
        <v>威尔新数值1.06.xlsm!monsterDamage</v>
      </c>
    </row>
    <row r="3732" spans="1:9" x14ac:dyDescent="0.15">
      <c r="A3732" s="1">
        <v>3731</v>
      </c>
      <c r="B3732" s="1">
        <v>103070600</v>
      </c>
      <c r="C3732" s="1">
        <f t="shared" si="233"/>
        <v>106</v>
      </c>
      <c r="D3732" s="5">
        <f ca="1">IF(getQuality(B3732)&lt;4,getOtherMin(B3732,C3732,INDIRECT(J$2),INDIRECT(I3732),test),getMin(B3732,C3732,INDIRECT(J$2),INDIRECT(I3732),test))</f>
        <v>0.13</v>
      </c>
      <c r="E3732" s="5">
        <f ca="1">IF(getQuality(B3732)&lt;4,getOtherMax(B3732,C3732,INDIRECT(J$2),INDIRECT(I3732),test),getMax(B3732,C3732,INDIRECT(J$2),INDIRECT(I3732),test))</f>
        <v>0.26</v>
      </c>
      <c r="F3732" s="1" t="str">
        <f t="shared" si="235"/>
        <v>50</v>
      </c>
      <c r="G3732" s="1" t="str">
        <f t="shared" si="236"/>
        <v/>
      </c>
      <c r="I3732" s="1" t="str">
        <f t="shared" si="234"/>
        <v>威尔新数值1.06.xlsm!monsterDamage</v>
      </c>
    </row>
    <row r="3733" spans="1:9" x14ac:dyDescent="0.15">
      <c r="A3733" s="1">
        <v>3732</v>
      </c>
      <c r="B3733" s="1">
        <v>103070600</v>
      </c>
      <c r="C3733" s="1">
        <f t="shared" si="233"/>
        <v>107</v>
      </c>
      <c r="D3733" s="5">
        <f ca="1">IF(getQuality(B3733)&lt;4,getOtherMin(B3733,C3733,INDIRECT(J$2),INDIRECT(I3733),test),getMin(B3733,C3733,INDIRECT(J$2),INDIRECT(I3733),test))</f>
        <v>0.13</v>
      </c>
      <c r="E3733" s="5">
        <f ca="1">IF(getQuality(B3733)&lt;4,getOtherMax(B3733,C3733,INDIRECT(J$2),INDIRECT(I3733),test),getMax(B3733,C3733,INDIRECT(J$2),INDIRECT(I3733),test))</f>
        <v>0.26</v>
      </c>
      <c r="F3733" s="1" t="str">
        <f t="shared" si="235"/>
        <v>50</v>
      </c>
      <c r="G3733" s="1" t="str">
        <f t="shared" si="236"/>
        <v/>
      </c>
      <c r="I3733" s="1" t="str">
        <f t="shared" si="234"/>
        <v>威尔新数值1.06.xlsm!monsterDamage</v>
      </c>
    </row>
    <row r="3734" spans="1:9" x14ac:dyDescent="0.15">
      <c r="A3734" s="1">
        <v>3733</v>
      </c>
      <c r="B3734" s="1">
        <v>103070600</v>
      </c>
      <c r="C3734" s="1">
        <f t="shared" si="233"/>
        <v>108</v>
      </c>
      <c r="D3734" s="5">
        <f ca="1">IF(getQuality(B3734)&lt;4,getOtherMin(B3734,C3734,INDIRECT(J$2),INDIRECT(I3734),test),getMin(B3734,C3734,INDIRECT(J$2),INDIRECT(I3734),test))</f>
        <v>0.13</v>
      </c>
      <c r="E3734" s="5">
        <f ca="1">IF(getQuality(B3734)&lt;4,getOtherMax(B3734,C3734,INDIRECT(J$2),INDIRECT(I3734),test),getMax(B3734,C3734,INDIRECT(J$2),INDIRECT(I3734),test))</f>
        <v>0.26</v>
      </c>
      <c r="F3734" s="1" t="str">
        <f t="shared" si="235"/>
        <v>50</v>
      </c>
      <c r="G3734" s="1" t="str">
        <f t="shared" si="236"/>
        <v/>
      </c>
      <c r="I3734" s="1" t="str">
        <f t="shared" si="234"/>
        <v>威尔新数值1.06.xlsm!monsterDamage</v>
      </c>
    </row>
    <row r="3735" spans="1:9" x14ac:dyDescent="0.15">
      <c r="A3735" s="1">
        <v>3734</v>
      </c>
      <c r="B3735" s="1">
        <v>103080600</v>
      </c>
      <c r="C3735" s="1">
        <f t="shared" si="233"/>
        <v>3</v>
      </c>
      <c r="D3735" s="5">
        <f ca="1">IF(getQuality(B3735)&lt;4,getOtherMin(B3735,C3735,INDIRECT(J$2),INDIRECT(I3735),test),getMin(B3735,C3735,INDIRECT(J$2),INDIRECT(I3735),test))</f>
        <v>271.43850937813136</v>
      </c>
      <c r="E3735" s="5">
        <f ca="1">IF(getQuality(B3735)&lt;4,getOtherMax(B3735,C3735,INDIRECT(J$2),INDIRECT(I3735),test),getMax(B3735,C3735,INDIRECT(J$2),INDIRECT(I3735),test))</f>
        <v>328.28048273180752</v>
      </c>
      <c r="F3735" s="1" t="str">
        <f t="shared" si="235"/>
        <v>50</v>
      </c>
      <c r="G3735" s="1" t="str">
        <f t="shared" si="236"/>
        <v/>
      </c>
      <c r="I3735" s="1" t="str">
        <f t="shared" si="234"/>
        <v>威尔新数值1.06.xlsm!suitPower</v>
      </c>
    </row>
    <row r="3736" spans="1:9" x14ac:dyDescent="0.15">
      <c r="A3736" s="1">
        <v>3735</v>
      </c>
      <c r="B3736" s="1">
        <v>103080600</v>
      </c>
      <c r="C3736" s="1">
        <f t="shared" si="233"/>
        <v>5</v>
      </c>
      <c r="D3736" s="5">
        <f ca="1">IF(getQuality(B3736)&lt;4,getOtherMin(B3736,C3736,INDIRECT(J$2),INDIRECT(I3736),test),getMin(B3736,C3736,INDIRECT(J$2),INDIRECT(I3736),test))</f>
        <v>271.43850937813136</v>
      </c>
      <c r="E3736" s="5">
        <f ca="1">IF(getQuality(B3736)&lt;4,getOtherMax(B3736,C3736,INDIRECT(J$2),INDIRECT(I3736),test),getMax(B3736,C3736,INDIRECT(J$2),INDIRECT(I3736),test))</f>
        <v>328.28048273180752</v>
      </c>
      <c r="F3736" s="1" t="str">
        <f t="shared" si="235"/>
        <v>50</v>
      </c>
      <c r="G3736" s="1" t="str">
        <f t="shared" si="236"/>
        <v>1</v>
      </c>
      <c r="I3736" s="1" t="str">
        <f t="shared" si="234"/>
        <v>威尔新数值1.06.xlsm!suitPower</v>
      </c>
    </row>
    <row r="3737" spans="1:9" x14ac:dyDescent="0.15">
      <c r="A3737" s="1">
        <v>3736</v>
      </c>
      <c r="B3737" s="1">
        <v>103080600</v>
      </c>
      <c r="C3737" s="1">
        <f t="shared" si="233"/>
        <v>7</v>
      </c>
      <c r="D3737" s="5">
        <f ca="1">IF(getQuality(B3737)&lt;4,getOtherMin(B3737,C3737,INDIRECT(J$2),INDIRECT(I3737),test),getMin(B3737,C3737,INDIRECT(J$2),INDIRECT(I3737),test))</f>
        <v>52.85185185185172</v>
      </c>
      <c r="E3737" s="5">
        <f ca="1">IF(getQuality(B3737)&lt;4,getOtherMax(B3737,C3737,INDIRECT(J$2),INDIRECT(I3737),test),getMax(B3737,C3737,INDIRECT(J$2),INDIRECT(I3737),test))</f>
        <v>59.25925925925911</v>
      </c>
      <c r="F3737" s="1" t="str">
        <f t="shared" si="235"/>
        <v>50</v>
      </c>
      <c r="G3737" s="1" t="str">
        <f t="shared" si="236"/>
        <v/>
      </c>
      <c r="I3737" s="1" t="str">
        <f t="shared" si="234"/>
        <v>威尔新数值1.06.xlsm!suitPower</v>
      </c>
    </row>
    <row r="3738" spans="1:9" x14ac:dyDescent="0.15">
      <c r="A3738" s="1">
        <v>3737</v>
      </c>
      <c r="B3738" s="1">
        <v>103080600</v>
      </c>
      <c r="C3738" s="1">
        <f t="shared" si="233"/>
        <v>8</v>
      </c>
      <c r="D3738" s="5">
        <f ca="1">IF(getQuality(B3738)&lt;4,getOtherMin(B3738,C3738,INDIRECT(J$2),INDIRECT(I3738),test),getMin(B3738,C3738,INDIRECT(J$2),INDIRECT(I3738),test))</f>
        <v>117.66666666666667</v>
      </c>
      <c r="E3738" s="5">
        <f ca="1">IF(getQuality(B3738)&lt;4,getOtherMax(B3738,C3738,INDIRECT(J$2),INDIRECT(I3738),test),getMax(B3738,C3738,INDIRECT(J$2),INDIRECT(I3738),test))</f>
        <v>133.33333333333334</v>
      </c>
      <c r="F3738" s="1" t="str">
        <f t="shared" si="235"/>
        <v>50</v>
      </c>
      <c r="G3738" s="1" t="str">
        <f t="shared" si="236"/>
        <v/>
      </c>
      <c r="I3738" s="1" t="str">
        <f t="shared" si="234"/>
        <v>威尔新数值1.06.xlsm!suitPower</v>
      </c>
    </row>
    <row r="3739" spans="1:9" x14ac:dyDescent="0.15">
      <c r="A3739" s="1">
        <v>3738</v>
      </c>
      <c r="B3739" s="1">
        <v>103080600</v>
      </c>
      <c r="C3739" s="1">
        <f t="shared" si="233"/>
        <v>9</v>
      </c>
      <c r="D3739" s="5">
        <f ca="1">IF(getQuality(B3739)&lt;4,getOtherMin(B3739,C3739,INDIRECT(J$2),INDIRECT(I3739),test),getMin(B3739,C3739,INDIRECT(J$2),INDIRECT(I3739),test))</f>
        <v>271.43850937813136</v>
      </c>
      <c r="E3739" s="5">
        <f ca="1">IF(getQuality(B3739)&lt;4,getOtherMax(B3739,C3739,INDIRECT(J$2),INDIRECT(I3739),test),getMax(B3739,C3739,INDIRECT(J$2),INDIRECT(I3739),test))</f>
        <v>328.28048273180752</v>
      </c>
      <c r="F3739" s="1" t="str">
        <f t="shared" si="235"/>
        <v>50</v>
      </c>
      <c r="G3739" s="1" t="str">
        <f t="shared" si="236"/>
        <v/>
      </c>
      <c r="I3739" s="1" t="str">
        <f t="shared" si="234"/>
        <v>威尔新数值1.06.xlsm!suitPower</v>
      </c>
    </row>
    <row r="3740" spans="1:9" x14ac:dyDescent="0.15">
      <c r="A3740" s="1">
        <v>3739</v>
      </c>
      <c r="B3740" s="1">
        <v>103080600</v>
      </c>
      <c r="C3740" s="1">
        <f t="shared" si="233"/>
        <v>10</v>
      </c>
      <c r="D3740" s="5">
        <f ca="1">IF(getQuality(B3740)&lt;4,getOtherMin(B3740,C3740,INDIRECT(J$2),INDIRECT(I3740),test),getMin(B3740,C3740,INDIRECT(J$2),INDIRECT(I3740),test))</f>
        <v>271.43850937813136</v>
      </c>
      <c r="E3740" s="5">
        <f ca="1">IF(getQuality(B3740)&lt;4,getOtherMax(B3740,C3740,INDIRECT(J$2),INDIRECT(I3740),test),getMax(B3740,C3740,INDIRECT(J$2),INDIRECT(I3740),test))</f>
        <v>328.28048273180752</v>
      </c>
      <c r="F3740" s="1" t="str">
        <f t="shared" si="235"/>
        <v>50</v>
      </c>
      <c r="G3740" s="1" t="str">
        <f t="shared" si="236"/>
        <v/>
      </c>
      <c r="I3740" s="1" t="str">
        <f t="shared" si="234"/>
        <v>威尔新数值1.06.xlsm!suitPower</v>
      </c>
    </row>
    <row r="3741" spans="1:9" x14ac:dyDescent="0.15">
      <c r="A3741" s="1">
        <v>3740</v>
      </c>
      <c r="B3741" s="1">
        <v>103080600</v>
      </c>
      <c r="C3741" s="1">
        <f t="shared" si="233"/>
        <v>11</v>
      </c>
      <c r="D3741" s="5">
        <f ca="1">IF(getQuality(B3741)&lt;4,getOtherMin(B3741,C3741,INDIRECT(J$2),INDIRECT(I3741),test),getMin(B3741,C3741,INDIRECT(J$2),INDIRECT(I3741),test))</f>
        <v>271.43850937813136</v>
      </c>
      <c r="E3741" s="5">
        <f ca="1">IF(getQuality(B3741)&lt;4,getOtherMax(B3741,C3741,INDIRECT(J$2),INDIRECT(I3741),test),getMax(B3741,C3741,INDIRECT(J$2),INDIRECT(I3741),test))</f>
        <v>328.28048273180752</v>
      </c>
      <c r="F3741" s="1" t="str">
        <f t="shared" si="235"/>
        <v>50</v>
      </c>
      <c r="G3741" s="1" t="str">
        <f t="shared" si="236"/>
        <v/>
      </c>
      <c r="I3741" s="1" t="str">
        <f t="shared" si="234"/>
        <v>威尔新数值1.06.xlsm!suitPower</v>
      </c>
    </row>
    <row r="3742" spans="1:9" x14ac:dyDescent="0.15">
      <c r="A3742" s="1">
        <v>3741</v>
      </c>
      <c r="B3742" s="1">
        <v>103080600</v>
      </c>
      <c r="C3742" s="1">
        <f t="shared" si="233"/>
        <v>12</v>
      </c>
      <c r="D3742" s="5">
        <f ca="1">IF(getQuality(B3742)&lt;4,getOtherMin(B3742,C3742,INDIRECT(J$2),INDIRECT(I3742),test),getMin(B3742,C3742,INDIRECT(J$2),INDIRECT(I3742),test))</f>
        <v>271.43850937813136</v>
      </c>
      <c r="E3742" s="5">
        <f ca="1">IF(getQuality(B3742)&lt;4,getOtherMax(B3742,C3742,INDIRECT(J$2),INDIRECT(I3742),test),getMax(B3742,C3742,INDIRECT(J$2),INDIRECT(I3742),test))</f>
        <v>328.28048273180752</v>
      </c>
      <c r="F3742" s="1" t="str">
        <f t="shared" si="235"/>
        <v>50</v>
      </c>
      <c r="G3742" s="1" t="str">
        <f t="shared" si="236"/>
        <v/>
      </c>
      <c r="I3742" s="1" t="str">
        <f t="shared" si="234"/>
        <v>威尔新数值1.06.xlsm!suitPower</v>
      </c>
    </row>
    <row r="3743" spans="1:9" x14ac:dyDescent="0.15">
      <c r="A3743" s="1">
        <v>3742</v>
      </c>
      <c r="B3743" s="1">
        <v>103080600</v>
      </c>
      <c r="C3743" s="1">
        <f t="shared" si="233"/>
        <v>13</v>
      </c>
      <c r="D3743" s="5">
        <f ca="1">IF(getQuality(B3743)&lt;4,getOtherMin(B3743,C3743,INDIRECT(J$2),INDIRECT(I3743),test),getMin(B3743,C3743,INDIRECT(J$2),INDIRECT(I3743),test))</f>
        <v>271.43850937813136</v>
      </c>
      <c r="E3743" s="5">
        <f ca="1">IF(getQuality(B3743)&lt;4,getOtherMax(B3743,C3743,INDIRECT(J$2),INDIRECT(I3743),test),getMax(B3743,C3743,INDIRECT(J$2),INDIRECT(I3743),test))</f>
        <v>328.28048273180752</v>
      </c>
      <c r="F3743" s="1" t="str">
        <f t="shared" si="235"/>
        <v>50</v>
      </c>
      <c r="G3743" s="1" t="str">
        <f t="shared" si="236"/>
        <v/>
      </c>
      <c r="I3743" s="1" t="str">
        <f t="shared" si="234"/>
        <v>威尔新数值1.06.xlsm!suitPower</v>
      </c>
    </row>
    <row r="3744" spans="1:9" x14ac:dyDescent="0.15">
      <c r="A3744" s="1">
        <v>3743</v>
      </c>
      <c r="B3744" s="1">
        <v>103080600</v>
      </c>
      <c r="C3744" s="1">
        <f t="shared" si="233"/>
        <v>14</v>
      </c>
      <c r="D3744" s="5">
        <f ca="1">IF(getQuality(B3744)&lt;4,getOtherMin(B3744,C3744,INDIRECT(J$2),INDIRECT(I3744),test),getMin(B3744,C3744,INDIRECT(J$2),INDIRECT(I3744),test))</f>
        <v>271.43850937813136</v>
      </c>
      <c r="E3744" s="5">
        <f ca="1">IF(getQuality(B3744)&lt;4,getOtherMax(B3744,C3744,INDIRECT(J$2),INDIRECT(I3744),test),getMax(B3744,C3744,INDIRECT(J$2),INDIRECT(I3744),test))</f>
        <v>328.28048273180752</v>
      </c>
      <c r="F3744" s="1" t="str">
        <f t="shared" si="235"/>
        <v>50</v>
      </c>
      <c r="G3744" s="1" t="str">
        <f t="shared" si="236"/>
        <v/>
      </c>
      <c r="I3744" s="1" t="str">
        <f t="shared" si="234"/>
        <v>威尔新数值1.06.xlsm!suitPower</v>
      </c>
    </row>
    <row r="3745" spans="1:9" x14ac:dyDescent="0.15">
      <c r="A3745" s="1">
        <v>3744</v>
      </c>
      <c r="B3745" s="1">
        <v>103080600</v>
      </c>
      <c r="C3745" s="1">
        <f t="shared" si="233"/>
        <v>15</v>
      </c>
      <c r="D3745" s="5">
        <f ca="1">IF(getQuality(B3745)&lt;4,getOtherMin(B3745,C3745,INDIRECT(J$2),INDIRECT(I3745),test),getMin(B3745,C3745,INDIRECT(J$2),INDIRECT(I3745),test))</f>
        <v>271.43850937813136</v>
      </c>
      <c r="E3745" s="5">
        <f ca="1">IF(getQuality(B3745)&lt;4,getOtherMax(B3745,C3745,INDIRECT(J$2),INDIRECT(I3745),test),getMax(B3745,C3745,INDIRECT(J$2),INDIRECT(I3745),test))</f>
        <v>328.28048273180752</v>
      </c>
      <c r="F3745" s="1" t="str">
        <f t="shared" si="235"/>
        <v>50</v>
      </c>
      <c r="G3745" s="1" t="str">
        <f t="shared" si="236"/>
        <v/>
      </c>
      <c r="I3745" s="1" t="str">
        <f t="shared" si="234"/>
        <v>威尔新数值1.06.xlsm!suitPower</v>
      </c>
    </row>
    <row r="3746" spans="1:9" x14ac:dyDescent="0.15">
      <c r="A3746" s="1">
        <v>3745</v>
      </c>
      <c r="B3746" s="1">
        <v>103080600</v>
      </c>
      <c r="C3746" s="1">
        <f t="shared" si="233"/>
        <v>101</v>
      </c>
      <c r="D3746" s="5">
        <f ca="1">IF(getQuality(B3746)&lt;4,getOtherMin(B3746,C3746,INDIRECT(J$2),INDIRECT(I3746),test),getMin(B3746,C3746,INDIRECT(J$2),INDIRECT(I3746),test))</f>
        <v>0.14000000000000001</v>
      </c>
      <c r="E3746" s="5">
        <f ca="1">IF(getQuality(B3746)&lt;4,getOtherMax(B3746,C3746,INDIRECT(J$2),INDIRECT(I3746),test),getMax(B3746,C3746,INDIRECT(J$2),INDIRECT(I3746),test))</f>
        <v>0.17</v>
      </c>
      <c r="F3746" s="1" t="str">
        <f t="shared" si="235"/>
        <v>50</v>
      </c>
      <c r="G3746" s="1" t="str">
        <f t="shared" si="236"/>
        <v/>
      </c>
      <c r="I3746" s="1" t="str">
        <f t="shared" si="234"/>
        <v>威尔新数值1.06.xlsm!circlePer</v>
      </c>
    </row>
    <row r="3747" spans="1:9" x14ac:dyDescent="0.15">
      <c r="A3747" s="1">
        <v>3746</v>
      </c>
      <c r="B3747" s="1">
        <v>103080600</v>
      </c>
      <c r="C3747" s="1">
        <f t="shared" si="233"/>
        <v>102</v>
      </c>
      <c r="D3747" s="5">
        <f ca="1">IF(getQuality(B3747)&lt;4,getOtherMin(B3747,C3747,INDIRECT(J$2),INDIRECT(I3747),test),getMin(B3747,C3747,INDIRECT(J$2),INDIRECT(I3747),test))</f>
        <v>1.3</v>
      </c>
      <c r="E3747" s="5">
        <f ca="1">IF(getQuality(B3747)&lt;4,getOtherMax(B3747,C3747,INDIRECT(J$2),INDIRECT(I3747),test),getMax(B3747,C3747,INDIRECT(J$2),INDIRECT(I3747),test))</f>
        <v>1.6</v>
      </c>
      <c r="F3747" s="1" t="str">
        <f t="shared" si="235"/>
        <v>50</v>
      </c>
      <c r="G3747" s="1" t="str">
        <f t="shared" si="236"/>
        <v/>
      </c>
      <c r="I3747" s="1" t="str">
        <f t="shared" si="234"/>
        <v>威尔新数值1.06.xlsm!circleValue</v>
      </c>
    </row>
    <row r="3748" spans="1:9" x14ac:dyDescent="0.15">
      <c r="A3748" s="1">
        <v>3747</v>
      </c>
      <c r="B3748" s="1">
        <v>103080600</v>
      </c>
      <c r="C3748" s="1">
        <f t="shared" si="233"/>
        <v>103</v>
      </c>
      <c r="D3748" s="5">
        <f ca="1">IF(getQuality(B3748)&lt;4,getOtherMin(B3748,C3748,INDIRECT(J$2),INDIRECT(I3748),test),getMin(B3748,C3748,INDIRECT(J$2),INDIRECT(I3748),test))</f>
        <v>0.14000000000000001</v>
      </c>
      <c r="E3748" s="5">
        <f ca="1">IF(getQuality(B3748)&lt;4,getOtherMax(B3748,C3748,INDIRECT(J$2),INDIRECT(I3748),test),getMax(B3748,C3748,INDIRECT(J$2),INDIRECT(I3748),test))</f>
        <v>0.17</v>
      </c>
      <c r="F3748" s="1" t="str">
        <f t="shared" si="235"/>
        <v>50</v>
      </c>
      <c r="G3748" s="1" t="str">
        <f t="shared" si="236"/>
        <v/>
      </c>
      <c r="I3748" s="1" t="str">
        <f t="shared" si="234"/>
        <v>威尔新数值1.06.xlsm!otherDamage</v>
      </c>
    </row>
    <row r="3749" spans="1:9" x14ac:dyDescent="0.15">
      <c r="A3749" s="1">
        <v>3748</v>
      </c>
      <c r="B3749" s="1">
        <v>103080600</v>
      </c>
      <c r="C3749" s="1">
        <f t="shared" si="233"/>
        <v>104</v>
      </c>
      <c r="D3749" s="5">
        <f ca="1">IF(getQuality(B3749)&lt;4,getOtherMin(B3749,C3749,INDIRECT(J$2),INDIRECT(I3749),test),getMin(B3749,C3749,INDIRECT(J$2),INDIRECT(I3749),test))</f>
        <v>0.14000000000000001</v>
      </c>
      <c r="E3749" s="5">
        <f ca="1">IF(getQuality(B3749)&lt;4,getOtherMax(B3749,C3749,INDIRECT(J$2),INDIRECT(I3749),test),getMax(B3749,C3749,INDIRECT(J$2),INDIRECT(I3749),test))</f>
        <v>0.28000000000000003</v>
      </c>
      <c r="F3749" s="1" t="str">
        <f t="shared" si="235"/>
        <v>50</v>
      </c>
      <c r="G3749" s="1" t="str">
        <f t="shared" si="236"/>
        <v/>
      </c>
      <c r="I3749" s="1" t="str">
        <f t="shared" si="234"/>
        <v>威尔新数值1.06.xlsm!monsterDamage</v>
      </c>
    </row>
    <row r="3750" spans="1:9" x14ac:dyDescent="0.15">
      <c r="A3750" s="1">
        <v>3749</v>
      </c>
      <c r="B3750" s="1">
        <v>103080600</v>
      </c>
      <c r="C3750" s="1">
        <f t="shared" si="233"/>
        <v>105</v>
      </c>
      <c r="D3750" s="5">
        <f ca="1">IF(getQuality(B3750)&lt;4,getOtherMin(B3750,C3750,INDIRECT(J$2),INDIRECT(I3750),test),getMin(B3750,C3750,INDIRECT(J$2),INDIRECT(I3750),test))</f>
        <v>0.14000000000000001</v>
      </c>
      <c r="E3750" s="5">
        <f ca="1">IF(getQuality(B3750)&lt;4,getOtherMax(B3750,C3750,INDIRECT(J$2),INDIRECT(I3750),test),getMax(B3750,C3750,INDIRECT(J$2),INDIRECT(I3750),test))</f>
        <v>0.28000000000000003</v>
      </c>
      <c r="F3750" s="1" t="str">
        <f t="shared" si="235"/>
        <v>50</v>
      </c>
      <c r="G3750" s="1" t="str">
        <f t="shared" si="236"/>
        <v/>
      </c>
      <c r="I3750" s="1" t="str">
        <f t="shared" si="234"/>
        <v>威尔新数值1.06.xlsm!monsterDamage</v>
      </c>
    </row>
    <row r="3751" spans="1:9" x14ac:dyDescent="0.15">
      <c r="A3751" s="1">
        <v>3750</v>
      </c>
      <c r="B3751" s="1">
        <v>103080600</v>
      </c>
      <c r="C3751" s="1">
        <f t="shared" si="233"/>
        <v>106</v>
      </c>
      <c r="D3751" s="5">
        <f ca="1">IF(getQuality(B3751)&lt;4,getOtherMin(B3751,C3751,INDIRECT(J$2),INDIRECT(I3751),test),getMin(B3751,C3751,INDIRECT(J$2),INDIRECT(I3751),test))</f>
        <v>0.14000000000000001</v>
      </c>
      <c r="E3751" s="5">
        <f ca="1">IF(getQuality(B3751)&lt;4,getOtherMax(B3751,C3751,INDIRECT(J$2),INDIRECT(I3751),test),getMax(B3751,C3751,INDIRECT(J$2),INDIRECT(I3751),test))</f>
        <v>0.28000000000000003</v>
      </c>
      <c r="F3751" s="1" t="str">
        <f t="shared" si="235"/>
        <v>50</v>
      </c>
      <c r="G3751" s="1" t="str">
        <f t="shared" si="236"/>
        <v/>
      </c>
      <c r="I3751" s="1" t="str">
        <f t="shared" si="234"/>
        <v>威尔新数值1.06.xlsm!monsterDamage</v>
      </c>
    </row>
    <row r="3752" spans="1:9" x14ac:dyDescent="0.15">
      <c r="A3752" s="1">
        <v>3751</v>
      </c>
      <c r="B3752" s="1">
        <v>103080600</v>
      </c>
      <c r="C3752" s="1">
        <f t="shared" si="233"/>
        <v>107</v>
      </c>
      <c r="D3752" s="5">
        <f ca="1">IF(getQuality(B3752)&lt;4,getOtherMin(B3752,C3752,INDIRECT(J$2),INDIRECT(I3752),test),getMin(B3752,C3752,INDIRECT(J$2),INDIRECT(I3752),test))</f>
        <v>0.14000000000000001</v>
      </c>
      <c r="E3752" s="5">
        <f ca="1">IF(getQuality(B3752)&lt;4,getOtherMax(B3752,C3752,INDIRECT(J$2),INDIRECT(I3752),test),getMax(B3752,C3752,INDIRECT(J$2),INDIRECT(I3752),test))</f>
        <v>0.28000000000000003</v>
      </c>
      <c r="F3752" s="1" t="str">
        <f t="shared" si="235"/>
        <v>50</v>
      </c>
      <c r="G3752" s="1" t="str">
        <f t="shared" si="236"/>
        <v/>
      </c>
      <c r="I3752" s="1" t="str">
        <f t="shared" si="234"/>
        <v>威尔新数值1.06.xlsm!monsterDamage</v>
      </c>
    </row>
    <row r="3753" spans="1:9" x14ac:dyDescent="0.15">
      <c r="A3753" s="1">
        <v>3752</v>
      </c>
      <c r="B3753" s="1">
        <v>103080600</v>
      </c>
      <c r="C3753" s="1">
        <f t="shared" si="233"/>
        <v>108</v>
      </c>
      <c r="D3753" s="5">
        <f ca="1">IF(getQuality(B3753)&lt;4,getOtherMin(B3753,C3753,INDIRECT(J$2),INDIRECT(I3753),test),getMin(B3753,C3753,INDIRECT(J$2),INDIRECT(I3753),test))</f>
        <v>0.14000000000000001</v>
      </c>
      <c r="E3753" s="5">
        <f ca="1">IF(getQuality(B3753)&lt;4,getOtherMax(B3753,C3753,INDIRECT(J$2),INDIRECT(I3753),test),getMax(B3753,C3753,INDIRECT(J$2),INDIRECT(I3753),test))</f>
        <v>0.28000000000000003</v>
      </c>
      <c r="F3753" s="1" t="str">
        <f t="shared" si="235"/>
        <v>50</v>
      </c>
      <c r="G3753" s="1" t="str">
        <f t="shared" si="236"/>
        <v/>
      </c>
      <c r="I3753" s="1" t="str">
        <f t="shared" si="234"/>
        <v>威尔新数值1.06.xlsm!monsterDamage</v>
      </c>
    </row>
    <row r="3754" spans="1:9" x14ac:dyDescent="0.15">
      <c r="A3754" s="1">
        <v>3753</v>
      </c>
      <c r="B3754" s="1">
        <v>103090600</v>
      </c>
      <c r="C3754" s="1">
        <f t="shared" si="233"/>
        <v>3</v>
      </c>
      <c r="D3754" s="5">
        <f ca="1">IF(getQuality(B3754)&lt;4,getOtherMin(B3754,C3754,INDIRECT(J$2),INDIRECT(I3754),test),getMin(B3754,C3754,INDIRECT(J$2),INDIRECT(I3754),test))</f>
        <v>329.28048273180752</v>
      </c>
      <c r="E3754" s="5">
        <f ca="1">IF(getQuality(B3754)&lt;4,getOtherMax(B3754,C3754,INDIRECT(J$2),INDIRECT(I3754),test),getMax(B3754,C3754,INDIRECT(J$2),INDIRECT(I3754),test))</f>
        <v>390.92443123182665</v>
      </c>
      <c r="F3754" s="1" t="str">
        <f t="shared" si="235"/>
        <v>50</v>
      </c>
      <c r="G3754" s="1" t="str">
        <f t="shared" si="236"/>
        <v/>
      </c>
      <c r="I3754" s="1" t="str">
        <f t="shared" si="234"/>
        <v>威尔新数值1.06.xlsm!suitPower</v>
      </c>
    </row>
    <row r="3755" spans="1:9" x14ac:dyDescent="0.15">
      <c r="A3755" s="1">
        <v>3754</v>
      </c>
      <c r="B3755" s="1">
        <v>103090600</v>
      </c>
      <c r="C3755" s="1">
        <f t="shared" si="233"/>
        <v>5</v>
      </c>
      <c r="D3755" s="5">
        <f ca="1">IF(getQuality(B3755)&lt;4,getOtherMin(B3755,C3755,INDIRECT(J$2),INDIRECT(I3755),test),getMin(B3755,C3755,INDIRECT(J$2),INDIRECT(I3755),test))</f>
        <v>329.28048273180752</v>
      </c>
      <c r="E3755" s="5">
        <f ca="1">IF(getQuality(B3755)&lt;4,getOtherMax(B3755,C3755,INDIRECT(J$2),INDIRECT(I3755),test),getMax(B3755,C3755,INDIRECT(J$2),INDIRECT(I3755),test))</f>
        <v>390.92443123182665</v>
      </c>
      <c r="F3755" s="1" t="str">
        <f t="shared" si="235"/>
        <v>50</v>
      </c>
      <c r="G3755" s="1" t="str">
        <f t="shared" si="236"/>
        <v>1</v>
      </c>
      <c r="I3755" s="1" t="str">
        <f t="shared" si="234"/>
        <v>威尔新数值1.06.xlsm!suitPower</v>
      </c>
    </row>
    <row r="3756" spans="1:9" x14ac:dyDescent="0.15">
      <c r="A3756" s="1">
        <v>3755</v>
      </c>
      <c r="B3756" s="1">
        <v>103090600</v>
      </c>
      <c r="C3756" s="1">
        <f t="shared" si="233"/>
        <v>7</v>
      </c>
      <c r="D3756" s="5">
        <f ca="1">IF(getQuality(B3756)&lt;4,getOtherMin(B3756,C3756,INDIRECT(J$2),INDIRECT(I3756),test),getMin(B3756,C3756,INDIRECT(J$2),INDIRECT(I3756),test))</f>
        <v>60.25925925925911</v>
      </c>
      <c r="E3756" s="5">
        <f ca="1">IF(getQuality(B3756)&lt;4,getOtherMax(B3756,C3756,INDIRECT(J$2),INDIRECT(I3756),test),getMax(B3756,C3756,INDIRECT(J$2),INDIRECT(I3756),test))</f>
        <v>66.666666666666501</v>
      </c>
      <c r="F3756" s="1" t="str">
        <f t="shared" si="235"/>
        <v>50</v>
      </c>
      <c r="G3756" s="1" t="str">
        <f t="shared" si="236"/>
        <v/>
      </c>
      <c r="I3756" s="1" t="str">
        <f t="shared" si="234"/>
        <v>威尔新数值1.06.xlsm!suitPower</v>
      </c>
    </row>
    <row r="3757" spans="1:9" x14ac:dyDescent="0.15">
      <c r="A3757" s="1">
        <v>3756</v>
      </c>
      <c r="B3757" s="1">
        <v>103090600</v>
      </c>
      <c r="C3757" s="1">
        <f t="shared" si="233"/>
        <v>8</v>
      </c>
      <c r="D3757" s="5">
        <f ca="1">IF(getQuality(B3757)&lt;4,getOtherMin(B3757,C3757,INDIRECT(J$2),INDIRECT(I3757),test),getMin(B3757,C3757,INDIRECT(J$2),INDIRECT(I3757),test))</f>
        <v>134.33333333333334</v>
      </c>
      <c r="E3757" s="5">
        <f ca="1">IF(getQuality(B3757)&lt;4,getOtherMax(B3757,C3757,INDIRECT(J$2),INDIRECT(I3757),test),getMax(B3757,C3757,INDIRECT(J$2),INDIRECT(I3757),test))</f>
        <v>150</v>
      </c>
      <c r="F3757" s="1" t="str">
        <f t="shared" si="235"/>
        <v>50</v>
      </c>
      <c r="G3757" s="1" t="str">
        <f t="shared" si="236"/>
        <v/>
      </c>
      <c r="I3757" s="1" t="str">
        <f t="shared" si="234"/>
        <v>威尔新数值1.06.xlsm!suitPower</v>
      </c>
    </row>
    <row r="3758" spans="1:9" x14ac:dyDescent="0.15">
      <c r="A3758" s="1">
        <v>3757</v>
      </c>
      <c r="B3758" s="1">
        <v>103090600</v>
      </c>
      <c r="C3758" s="1">
        <f t="shared" si="233"/>
        <v>9</v>
      </c>
      <c r="D3758" s="5">
        <f ca="1">IF(getQuality(B3758)&lt;4,getOtherMin(B3758,C3758,INDIRECT(J$2),INDIRECT(I3758),test),getMin(B3758,C3758,INDIRECT(J$2),INDIRECT(I3758),test))</f>
        <v>329.28048273180752</v>
      </c>
      <c r="E3758" s="5">
        <f ca="1">IF(getQuality(B3758)&lt;4,getOtherMax(B3758,C3758,INDIRECT(J$2),INDIRECT(I3758),test),getMax(B3758,C3758,INDIRECT(J$2),INDIRECT(I3758),test))</f>
        <v>390.92443123182665</v>
      </c>
      <c r="F3758" s="1" t="str">
        <f t="shared" si="235"/>
        <v>50</v>
      </c>
      <c r="G3758" s="1" t="str">
        <f t="shared" si="236"/>
        <v/>
      </c>
      <c r="I3758" s="1" t="str">
        <f t="shared" si="234"/>
        <v>威尔新数值1.06.xlsm!suitPower</v>
      </c>
    </row>
    <row r="3759" spans="1:9" x14ac:dyDescent="0.15">
      <c r="A3759" s="1">
        <v>3758</v>
      </c>
      <c r="B3759" s="1">
        <v>103090600</v>
      </c>
      <c r="C3759" s="1">
        <f t="shared" si="233"/>
        <v>10</v>
      </c>
      <c r="D3759" s="5">
        <f ca="1">IF(getQuality(B3759)&lt;4,getOtherMin(B3759,C3759,INDIRECT(J$2),INDIRECT(I3759),test),getMin(B3759,C3759,INDIRECT(J$2),INDIRECT(I3759),test))</f>
        <v>329.28048273180752</v>
      </c>
      <c r="E3759" s="5">
        <f ca="1">IF(getQuality(B3759)&lt;4,getOtherMax(B3759,C3759,INDIRECT(J$2),INDIRECT(I3759),test),getMax(B3759,C3759,INDIRECT(J$2),INDIRECT(I3759),test))</f>
        <v>390.92443123182665</v>
      </c>
      <c r="F3759" s="1" t="str">
        <f t="shared" si="235"/>
        <v>50</v>
      </c>
      <c r="G3759" s="1" t="str">
        <f t="shared" si="236"/>
        <v/>
      </c>
      <c r="I3759" s="1" t="str">
        <f t="shared" si="234"/>
        <v>威尔新数值1.06.xlsm!suitPower</v>
      </c>
    </row>
    <row r="3760" spans="1:9" x14ac:dyDescent="0.15">
      <c r="A3760" s="1">
        <v>3759</v>
      </c>
      <c r="B3760" s="1">
        <v>103090600</v>
      </c>
      <c r="C3760" s="1">
        <f t="shared" si="233"/>
        <v>11</v>
      </c>
      <c r="D3760" s="5">
        <f ca="1">IF(getQuality(B3760)&lt;4,getOtherMin(B3760,C3760,INDIRECT(J$2),INDIRECT(I3760),test),getMin(B3760,C3760,INDIRECT(J$2),INDIRECT(I3760),test))</f>
        <v>329.28048273180752</v>
      </c>
      <c r="E3760" s="5">
        <f ca="1">IF(getQuality(B3760)&lt;4,getOtherMax(B3760,C3760,INDIRECT(J$2),INDIRECT(I3760),test),getMax(B3760,C3760,INDIRECT(J$2),INDIRECT(I3760),test))</f>
        <v>390.92443123182665</v>
      </c>
      <c r="F3760" s="1" t="str">
        <f t="shared" si="235"/>
        <v>50</v>
      </c>
      <c r="G3760" s="1" t="str">
        <f t="shared" si="236"/>
        <v/>
      </c>
      <c r="I3760" s="1" t="str">
        <f t="shared" si="234"/>
        <v>威尔新数值1.06.xlsm!suitPower</v>
      </c>
    </row>
    <row r="3761" spans="1:9" x14ac:dyDescent="0.15">
      <c r="A3761" s="1">
        <v>3760</v>
      </c>
      <c r="B3761" s="1">
        <v>103090600</v>
      </c>
      <c r="C3761" s="1">
        <f t="shared" si="233"/>
        <v>12</v>
      </c>
      <c r="D3761" s="5">
        <f ca="1">IF(getQuality(B3761)&lt;4,getOtherMin(B3761,C3761,INDIRECT(J$2),INDIRECT(I3761),test),getMin(B3761,C3761,INDIRECT(J$2),INDIRECT(I3761),test))</f>
        <v>329.28048273180752</v>
      </c>
      <c r="E3761" s="5">
        <f ca="1">IF(getQuality(B3761)&lt;4,getOtherMax(B3761,C3761,INDIRECT(J$2),INDIRECT(I3761),test),getMax(B3761,C3761,INDIRECT(J$2),INDIRECT(I3761),test))</f>
        <v>390.92443123182665</v>
      </c>
      <c r="F3761" s="1" t="str">
        <f t="shared" si="235"/>
        <v>50</v>
      </c>
      <c r="G3761" s="1" t="str">
        <f t="shared" si="236"/>
        <v/>
      </c>
      <c r="I3761" s="1" t="str">
        <f t="shared" si="234"/>
        <v>威尔新数值1.06.xlsm!suitPower</v>
      </c>
    </row>
    <row r="3762" spans="1:9" x14ac:dyDescent="0.15">
      <c r="A3762" s="1">
        <v>3761</v>
      </c>
      <c r="B3762" s="1">
        <v>103090600</v>
      </c>
      <c r="C3762" s="1">
        <f t="shared" si="233"/>
        <v>13</v>
      </c>
      <c r="D3762" s="5">
        <f ca="1">IF(getQuality(B3762)&lt;4,getOtherMin(B3762,C3762,INDIRECT(J$2),INDIRECT(I3762),test),getMin(B3762,C3762,INDIRECT(J$2),INDIRECT(I3762),test))</f>
        <v>329.28048273180752</v>
      </c>
      <c r="E3762" s="5">
        <f ca="1">IF(getQuality(B3762)&lt;4,getOtherMax(B3762,C3762,INDIRECT(J$2),INDIRECT(I3762),test),getMax(B3762,C3762,INDIRECT(J$2),INDIRECT(I3762),test))</f>
        <v>390.92443123182665</v>
      </c>
      <c r="F3762" s="1" t="str">
        <f t="shared" si="235"/>
        <v>50</v>
      </c>
      <c r="G3762" s="1" t="str">
        <f t="shared" si="236"/>
        <v/>
      </c>
      <c r="I3762" s="1" t="str">
        <f t="shared" si="234"/>
        <v>威尔新数值1.06.xlsm!suitPower</v>
      </c>
    </row>
    <row r="3763" spans="1:9" x14ac:dyDescent="0.15">
      <c r="A3763" s="1">
        <v>3762</v>
      </c>
      <c r="B3763" s="1">
        <v>103090600</v>
      </c>
      <c r="C3763" s="1">
        <f t="shared" si="233"/>
        <v>14</v>
      </c>
      <c r="D3763" s="5">
        <f ca="1">IF(getQuality(B3763)&lt;4,getOtherMin(B3763,C3763,INDIRECT(J$2),INDIRECT(I3763),test),getMin(B3763,C3763,INDIRECT(J$2),INDIRECT(I3763),test))</f>
        <v>329.28048273180752</v>
      </c>
      <c r="E3763" s="5">
        <f ca="1">IF(getQuality(B3763)&lt;4,getOtherMax(B3763,C3763,INDIRECT(J$2),INDIRECT(I3763),test),getMax(B3763,C3763,INDIRECT(J$2),INDIRECT(I3763),test))</f>
        <v>390.92443123182665</v>
      </c>
      <c r="F3763" s="1" t="str">
        <f t="shared" si="235"/>
        <v>50</v>
      </c>
      <c r="G3763" s="1" t="str">
        <f t="shared" si="236"/>
        <v/>
      </c>
      <c r="I3763" s="1" t="str">
        <f t="shared" si="234"/>
        <v>威尔新数值1.06.xlsm!suitPower</v>
      </c>
    </row>
    <row r="3764" spans="1:9" x14ac:dyDescent="0.15">
      <c r="A3764" s="1">
        <v>3763</v>
      </c>
      <c r="B3764" s="1">
        <v>103090600</v>
      </c>
      <c r="C3764" s="1">
        <f t="shared" si="233"/>
        <v>15</v>
      </c>
      <c r="D3764" s="5">
        <f ca="1">IF(getQuality(B3764)&lt;4,getOtherMin(B3764,C3764,INDIRECT(J$2),INDIRECT(I3764),test),getMin(B3764,C3764,INDIRECT(J$2),INDIRECT(I3764),test))</f>
        <v>329.28048273180752</v>
      </c>
      <c r="E3764" s="5">
        <f ca="1">IF(getQuality(B3764)&lt;4,getOtherMax(B3764,C3764,INDIRECT(J$2),INDIRECT(I3764),test),getMax(B3764,C3764,INDIRECT(J$2),INDIRECT(I3764),test))</f>
        <v>390.92443123182665</v>
      </c>
      <c r="F3764" s="1" t="str">
        <f t="shared" si="235"/>
        <v>50</v>
      </c>
      <c r="G3764" s="1" t="str">
        <f t="shared" si="236"/>
        <v/>
      </c>
      <c r="I3764" s="1" t="str">
        <f t="shared" si="234"/>
        <v>威尔新数值1.06.xlsm!suitPower</v>
      </c>
    </row>
    <row r="3765" spans="1:9" x14ac:dyDescent="0.15">
      <c r="A3765" s="1">
        <v>3764</v>
      </c>
      <c r="B3765" s="1">
        <v>103090600</v>
      </c>
      <c r="C3765" s="1">
        <f t="shared" si="233"/>
        <v>101</v>
      </c>
      <c r="D3765" s="5">
        <f ca="1">IF(getQuality(B3765)&lt;4,getOtherMin(B3765,C3765,INDIRECT(J$2),INDIRECT(I3765),test),getMin(B3765,C3765,INDIRECT(J$2),INDIRECT(I3765),test))</f>
        <v>0.15</v>
      </c>
      <c r="E3765" s="5">
        <f ca="1">IF(getQuality(B3765)&lt;4,getOtherMax(B3765,C3765,INDIRECT(J$2),INDIRECT(I3765),test),getMax(B3765,C3765,INDIRECT(J$2),INDIRECT(I3765),test))</f>
        <v>0.18</v>
      </c>
      <c r="F3765" s="1" t="str">
        <f t="shared" si="235"/>
        <v>50</v>
      </c>
      <c r="G3765" s="1" t="str">
        <f t="shared" si="236"/>
        <v/>
      </c>
      <c r="I3765" s="1" t="str">
        <f t="shared" si="234"/>
        <v>威尔新数值1.06.xlsm!circlePer</v>
      </c>
    </row>
    <row r="3766" spans="1:9" x14ac:dyDescent="0.15">
      <c r="A3766" s="1">
        <v>3765</v>
      </c>
      <c r="B3766" s="1">
        <v>103090600</v>
      </c>
      <c r="C3766" s="1">
        <f t="shared" si="233"/>
        <v>102</v>
      </c>
      <c r="D3766" s="5">
        <f ca="1">IF(getQuality(B3766)&lt;4,getOtherMin(B3766,C3766,INDIRECT(J$2),INDIRECT(I3766),test),getMin(B3766,C3766,INDIRECT(J$2),INDIRECT(I3766),test))</f>
        <v>1.4</v>
      </c>
      <c r="E3766" s="5">
        <f ca="1">IF(getQuality(B3766)&lt;4,getOtherMax(B3766,C3766,INDIRECT(J$2),INDIRECT(I3766),test),getMax(B3766,C3766,INDIRECT(J$2),INDIRECT(I3766),test))</f>
        <v>1.7</v>
      </c>
      <c r="F3766" s="1" t="str">
        <f t="shared" si="235"/>
        <v>50</v>
      </c>
      <c r="G3766" s="1" t="str">
        <f t="shared" si="236"/>
        <v/>
      </c>
      <c r="I3766" s="1" t="str">
        <f t="shared" si="234"/>
        <v>威尔新数值1.06.xlsm!circleValue</v>
      </c>
    </row>
    <row r="3767" spans="1:9" x14ac:dyDescent="0.15">
      <c r="A3767" s="1">
        <v>3766</v>
      </c>
      <c r="B3767" s="1">
        <v>103090600</v>
      </c>
      <c r="C3767" s="1">
        <f t="shared" si="233"/>
        <v>103</v>
      </c>
      <c r="D3767" s="5">
        <f ca="1">IF(getQuality(B3767)&lt;4,getOtherMin(B3767,C3767,INDIRECT(J$2),INDIRECT(I3767),test),getMin(B3767,C3767,INDIRECT(J$2),INDIRECT(I3767),test))</f>
        <v>0.15</v>
      </c>
      <c r="E3767" s="5">
        <f ca="1">IF(getQuality(B3767)&lt;4,getOtherMax(B3767,C3767,INDIRECT(J$2),INDIRECT(I3767),test),getMax(B3767,C3767,INDIRECT(J$2),INDIRECT(I3767),test))</f>
        <v>0.18</v>
      </c>
      <c r="F3767" s="1" t="str">
        <f t="shared" si="235"/>
        <v>50</v>
      </c>
      <c r="G3767" s="1" t="str">
        <f t="shared" si="236"/>
        <v/>
      </c>
      <c r="I3767" s="1" t="str">
        <f t="shared" si="234"/>
        <v>威尔新数值1.06.xlsm!otherDamage</v>
      </c>
    </row>
    <row r="3768" spans="1:9" x14ac:dyDescent="0.15">
      <c r="A3768" s="1">
        <v>3767</v>
      </c>
      <c r="B3768" s="1">
        <v>103090600</v>
      </c>
      <c r="C3768" s="1">
        <f t="shared" si="233"/>
        <v>104</v>
      </c>
      <c r="D3768" s="5">
        <f ca="1">IF(getQuality(B3768)&lt;4,getOtherMin(B3768,C3768,INDIRECT(J$2),INDIRECT(I3768),test),getMin(B3768,C3768,INDIRECT(J$2),INDIRECT(I3768),test))</f>
        <v>0.15</v>
      </c>
      <c r="E3768" s="5">
        <f ca="1">IF(getQuality(B3768)&lt;4,getOtherMax(B3768,C3768,INDIRECT(J$2),INDIRECT(I3768),test),getMax(B3768,C3768,INDIRECT(J$2),INDIRECT(I3768),test))</f>
        <v>0.3</v>
      </c>
      <c r="F3768" s="1" t="str">
        <f t="shared" si="235"/>
        <v>50</v>
      </c>
      <c r="G3768" s="1" t="str">
        <f t="shared" si="236"/>
        <v/>
      </c>
      <c r="I3768" s="1" t="str">
        <f t="shared" si="234"/>
        <v>威尔新数值1.06.xlsm!monsterDamage</v>
      </c>
    </row>
    <row r="3769" spans="1:9" x14ac:dyDescent="0.15">
      <c r="A3769" s="1">
        <v>3768</v>
      </c>
      <c r="B3769" s="1">
        <v>103090600</v>
      </c>
      <c r="C3769" s="1">
        <f t="shared" si="233"/>
        <v>105</v>
      </c>
      <c r="D3769" s="5">
        <f ca="1">IF(getQuality(B3769)&lt;4,getOtherMin(B3769,C3769,INDIRECT(J$2),INDIRECT(I3769),test),getMin(B3769,C3769,INDIRECT(J$2),INDIRECT(I3769),test))</f>
        <v>0.15</v>
      </c>
      <c r="E3769" s="5">
        <f ca="1">IF(getQuality(B3769)&lt;4,getOtherMax(B3769,C3769,INDIRECT(J$2),INDIRECT(I3769),test),getMax(B3769,C3769,INDIRECT(J$2),INDIRECT(I3769),test))</f>
        <v>0.3</v>
      </c>
      <c r="F3769" s="1" t="str">
        <f t="shared" si="235"/>
        <v>50</v>
      </c>
      <c r="G3769" s="1" t="str">
        <f t="shared" si="236"/>
        <v/>
      </c>
      <c r="I3769" s="1" t="str">
        <f t="shared" si="234"/>
        <v>威尔新数值1.06.xlsm!monsterDamage</v>
      </c>
    </row>
    <row r="3770" spans="1:9" x14ac:dyDescent="0.15">
      <c r="A3770" s="1">
        <v>3769</v>
      </c>
      <c r="B3770" s="1">
        <v>103090600</v>
      </c>
      <c r="C3770" s="1">
        <f t="shared" si="233"/>
        <v>106</v>
      </c>
      <c r="D3770" s="5">
        <f ca="1">IF(getQuality(B3770)&lt;4,getOtherMin(B3770,C3770,INDIRECT(J$2),INDIRECT(I3770),test),getMin(B3770,C3770,INDIRECT(J$2),INDIRECT(I3770),test))</f>
        <v>0.15</v>
      </c>
      <c r="E3770" s="5">
        <f ca="1">IF(getQuality(B3770)&lt;4,getOtherMax(B3770,C3770,INDIRECT(J$2),INDIRECT(I3770),test),getMax(B3770,C3770,INDIRECT(J$2),INDIRECT(I3770),test))</f>
        <v>0.3</v>
      </c>
      <c r="F3770" s="1" t="str">
        <f t="shared" si="235"/>
        <v>50</v>
      </c>
      <c r="G3770" s="1" t="str">
        <f t="shared" si="236"/>
        <v/>
      </c>
      <c r="I3770" s="1" t="str">
        <f t="shared" si="234"/>
        <v>威尔新数值1.06.xlsm!monsterDamage</v>
      </c>
    </row>
    <row r="3771" spans="1:9" x14ac:dyDescent="0.15">
      <c r="A3771" s="1">
        <v>3770</v>
      </c>
      <c r="B3771" s="1">
        <v>103090600</v>
      </c>
      <c r="C3771" s="1">
        <f t="shared" si="233"/>
        <v>107</v>
      </c>
      <c r="D3771" s="5">
        <f ca="1">IF(getQuality(B3771)&lt;4,getOtherMin(B3771,C3771,INDIRECT(J$2),INDIRECT(I3771),test),getMin(B3771,C3771,INDIRECT(J$2),INDIRECT(I3771),test))</f>
        <v>0.15</v>
      </c>
      <c r="E3771" s="5">
        <f ca="1">IF(getQuality(B3771)&lt;4,getOtherMax(B3771,C3771,INDIRECT(J$2),INDIRECT(I3771),test),getMax(B3771,C3771,INDIRECT(J$2),INDIRECT(I3771),test))</f>
        <v>0.3</v>
      </c>
      <c r="F3771" s="1" t="str">
        <f t="shared" si="235"/>
        <v>50</v>
      </c>
      <c r="G3771" s="1" t="str">
        <f t="shared" si="236"/>
        <v/>
      </c>
      <c r="I3771" s="1" t="str">
        <f t="shared" si="234"/>
        <v>威尔新数值1.06.xlsm!monsterDamage</v>
      </c>
    </row>
    <row r="3772" spans="1:9" x14ac:dyDescent="0.15">
      <c r="A3772" s="1">
        <v>3771</v>
      </c>
      <c r="B3772" s="1">
        <v>103090600</v>
      </c>
      <c r="C3772" s="1">
        <f t="shared" ref="C3772:C3835" si="237">C1297</f>
        <v>108</v>
      </c>
      <c r="D3772" s="5">
        <f ca="1">IF(getQuality(B3772)&lt;4,getOtherMin(B3772,C3772,INDIRECT(J$2),INDIRECT(I3772),test),getMin(B3772,C3772,INDIRECT(J$2),INDIRECT(I3772),test))</f>
        <v>0.15</v>
      </c>
      <c r="E3772" s="5">
        <f ca="1">IF(getQuality(B3772)&lt;4,getOtherMax(B3772,C3772,INDIRECT(J$2),INDIRECT(I3772),test),getMax(B3772,C3772,INDIRECT(J$2),INDIRECT(I3772),test))</f>
        <v>0.3</v>
      </c>
      <c r="F3772" s="1" t="str">
        <f t="shared" si="235"/>
        <v>50</v>
      </c>
      <c r="G3772" s="1" t="str">
        <f t="shared" si="236"/>
        <v/>
      </c>
      <c r="I3772" s="1" t="str">
        <f t="shared" si="234"/>
        <v>威尔新数值1.06.xlsm!monsterDamage</v>
      </c>
    </row>
    <row r="3773" spans="1:9" x14ac:dyDescent="0.15">
      <c r="A3773" s="1">
        <v>3772</v>
      </c>
      <c r="B3773" s="1">
        <v>103010700</v>
      </c>
      <c r="C3773" s="1">
        <f t="shared" si="237"/>
        <v>3</v>
      </c>
      <c r="D3773" s="5">
        <f ca="1">IF(getQuality(B3773)&lt;4,getOtherMin(B3773,C3773,INDIRECT(J$2),INDIRECT(I3773),test),getMin(B3773,C3773,INDIRECT(J$2),INDIRECT(I3773),test))</f>
        <v>1</v>
      </c>
      <c r="E3773" s="5">
        <f ca="1">IF(getQuality(B3773)&lt;4,getOtherMax(B3773,C3773,INDIRECT(J$2),INDIRECT(I3773),test),getMax(B3773,C3773,INDIRECT(J$2),INDIRECT(I3773),test))</f>
        <v>24.009875731714647</v>
      </c>
      <c r="F3773" s="1" t="str">
        <f t="shared" si="235"/>
        <v>50</v>
      </c>
      <c r="G3773" s="1" t="str">
        <f t="shared" si="236"/>
        <v>1</v>
      </c>
      <c r="I3773" s="1" t="str">
        <f t="shared" si="234"/>
        <v>威尔新数值1.06.xlsm!suitPower</v>
      </c>
    </row>
    <row r="3774" spans="1:9" x14ac:dyDescent="0.15">
      <c r="A3774" s="1">
        <v>3773</v>
      </c>
      <c r="B3774" s="1">
        <v>103010700</v>
      </c>
      <c r="C3774" s="1">
        <f t="shared" si="237"/>
        <v>5</v>
      </c>
      <c r="D3774" s="5">
        <f ca="1">IF(getQuality(B3774)&lt;4,getOtherMin(B3774,C3774,INDIRECT(J$2),INDIRECT(I3774),test),getMin(B3774,C3774,INDIRECT(J$2),INDIRECT(I3774),test))</f>
        <v>1</v>
      </c>
      <c r="E3774" s="5">
        <f ca="1">IF(getQuality(B3774)&lt;4,getOtherMax(B3774,C3774,INDIRECT(J$2),INDIRECT(I3774),test),getMax(B3774,C3774,INDIRECT(J$2),INDIRECT(I3774),test))</f>
        <v>24.009875731714647</v>
      </c>
      <c r="F3774" s="1" t="str">
        <f t="shared" si="235"/>
        <v>50</v>
      </c>
      <c r="G3774" s="1" t="str">
        <f t="shared" si="236"/>
        <v/>
      </c>
      <c r="I3774" s="1" t="str">
        <f t="shared" si="234"/>
        <v>威尔新数值1.06.xlsm!suitPower</v>
      </c>
    </row>
    <row r="3775" spans="1:9" x14ac:dyDescent="0.15">
      <c r="A3775" s="1">
        <v>3774</v>
      </c>
      <c r="B3775" s="1">
        <v>103010700</v>
      </c>
      <c r="C3775" s="1">
        <f t="shared" si="237"/>
        <v>7</v>
      </c>
      <c r="D3775" s="5">
        <f ca="1">IF(getQuality(B3775)&lt;4,getOtherMin(B3775,C3775,INDIRECT(J$2),INDIRECT(I3775),test),getMin(B3775,C3775,INDIRECT(J$2),INDIRECT(I3775),test))</f>
        <v>1</v>
      </c>
      <c r="E3775" s="5">
        <f ca="1">IF(getQuality(B3775)&lt;4,getOtherMax(B3775,C3775,INDIRECT(J$2),INDIRECT(I3775),test),getMax(B3775,C3775,INDIRECT(J$2),INDIRECT(I3775),test))</f>
        <v>7.4074074074073888</v>
      </c>
      <c r="F3775" s="1" t="str">
        <f t="shared" si="235"/>
        <v>50</v>
      </c>
      <c r="G3775" s="1" t="str">
        <f t="shared" si="236"/>
        <v/>
      </c>
      <c r="I3775" s="1" t="str">
        <f t="shared" si="234"/>
        <v>威尔新数值1.06.xlsm!suitPower</v>
      </c>
    </row>
    <row r="3776" spans="1:9" x14ac:dyDescent="0.15">
      <c r="A3776" s="1">
        <v>3775</v>
      </c>
      <c r="B3776" s="1">
        <v>103010700</v>
      </c>
      <c r="C3776" s="1">
        <f t="shared" si="237"/>
        <v>8</v>
      </c>
      <c r="D3776" s="5">
        <f ca="1">IF(getQuality(B3776)&lt;4,getOtherMin(B3776,C3776,INDIRECT(J$2),INDIRECT(I3776),test),getMin(B3776,C3776,INDIRECT(J$2),INDIRECT(I3776),test))</f>
        <v>1</v>
      </c>
      <c r="E3776" s="5">
        <f ca="1">IF(getQuality(B3776)&lt;4,getOtherMax(B3776,C3776,INDIRECT(J$2),INDIRECT(I3776),test),getMax(B3776,C3776,INDIRECT(J$2),INDIRECT(I3776),test))</f>
        <v>16.666666666666668</v>
      </c>
      <c r="F3776" s="1" t="str">
        <f t="shared" si="235"/>
        <v>50</v>
      </c>
      <c r="G3776" s="1" t="str">
        <f t="shared" si="236"/>
        <v/>
      </c>
      <c r="I3776" s="1" t="str">
        <f t="shared" si="234"/>
        <v>威尔新数值1.06.xlsm!suitPower</v>
      </c>
    </row>
    <row r="3777" spans="1:9" x14ac:dyDescent="0.15">
      <c r="A3777" s="1">
        <v>3776</v>
      </c>
      <c r="B3777" s="1">
        <v>103010700</v>
      </c>
      <c r="C3777" s="1">
        <f t="shared" si="237"/>
        <v>9</v>
      </c>
      <c r="D3777" s="5">
        <f ca="1">IF(getQuality(B3777)&lt;4,getOtherMin(B3777,C3777,INDIRECT(J$2),INDIRECT(I3777),test),getMin(B3777,C3777,INDIRECT(J$2),INDIRECT(I3777),test))</f>
        <v>1</v>
      </c>
      <c r="E3777" s="5">
        <f ca="1">IF(getQuality(B3777)&lt;4,getOtherMax(B3777,C3777,INDIRECT(J$2),INDIRECT(I3777),test),getMax(B3777,C3777,INDIRECT(J$2),INDIRECT(I3777),test))</f>
        <v>24.009875731714647</v>
      </c>
      <c r="F3777" s="1" t="str">
        <f t="shared" si="235"/>
        <v>50</v>
      </c>
      <c r="G3777" s="1" t="str">
        <f t="shared" si="236"/>
        <v/>
      </c>
      <c r="I3777" s="1" t="str">
        <f t="shared" si="234"/>
        <v>威尔新数值1.06.xlsm!suitPower</v>
      </c>
    </row>
    <row r="3778" spans="1:9" x14ac:dyDescent="0.15">
      <c r="A3778" s="1">
        <v>3777</v>
      </c>
      <c r="B3778" s="1">
        <v>103010700</v>
      </c>
      <c r="C3778" s="1">
        <f t="shared" si="237"/>
        <v>10</v>
      </c>
      <c r="D3778" s="5">
        <f ca="1">IF(getQuality(B3778)&lt;4,getOtherMin(B3778,C3778,INDIRECT(J$2),INDIRECT(I3778),test),getMin(B3778,C3778,INDIRECT(J$2),INDIRECT(I3778),test))</f>
        <v>1</v>
      </c>
      <c r="E3778" s="5">
        <f ca="1">IF(getQuality(B3778)&lt;4,getOtherMax(B3778,C3778,INDIRECT(J$2),INDIRECT(I3778),test),getMax(B3778,C3778,INDIRECT(J$2),INDIRECT(I3778),test))</f>
        <v>24.009875731714647</v>
      </c>
      <c r="F3778" s="1" t="str">
        <f t="shared" si="235"/>
        <v>50</v>
      </c>
      <c r="G3778" s="1" t="str">
        <f t="shared" si="236"/>
        <v/>
      </c>
      <c r="I3778" s="1" t="str">
        <f t="shared" ref="I3778:I3841" si="238">IF(C3778&lt;100,VLOOKUP(C3778,test,3,FALSE),VLOOKUP(C3778,test1,3,FALSE))</f>
        <v>威尔新数值1.06.xlsm!suitPower</v>
      </c>
    </row>
    <row r="3779" spans="1:9" x14ac:dyDescent="0.15">
      <c r="A3779" s="1">
        <v>3778</v>
      </c>
      <c r="B3779" s="1">
        <v>103010700</v>
      </c>
      <c r="C3779" s="1">
        <f t="shared" si="237"/>
        <v>11</v>
      </c>
      <c r="D3779" s="5">
        <f ca="1">IF(getQuality(B3779)&lt;4,getOtherMin(B3779,C3779,INDIRECT(J$2),INDIRECT(I3779),test),getMin(B3779,C3779,INDIRECT(J$2),INDIRECT(I3779),test))</f>
        <v>1</v>
      </c>
      <c r="E3779" s="5">
        <f ca="1">IF(getQuality(B3779)&lt;4,getOtherMax(B3779,C3779,INDIRECT(J$2),INDIRECT(I3779),test),getMax(B3779,C3779,INDIRECT(J$2),INDIRECT(I3779),test))</f>
        <v>24.009875731714647</v>
      </c>
      <c r="F3779" s="1" t="str">
        <f t="shared" ref="F3779:F3842" si="239">getper(B3779,C3779)</f>
        <v>50</v>
      </c>
      <c r="G3779" s="1" t="str">
        <f t="shared" ref="G3779:G3842" si="240">getMust(B3779,C3779)</f>
        <v/>
      </c>
      <c r="I3779" s="1" t="str">
        <f t="shared" si="238"/>
        <v>威尔新数值1.06.xlsm!suitPower</v>
      </c>
    </row>
    <row r="3780" spans="1:9" x14ac:dyDescent="0.15">
      <c r="A3780" s="1">
        <v>3779</v>
      </c>
      <c r="B3780" s="1">
        <v>103010700</v>
      </c>
      <c r="C3780" s="1">
        <f t="shared" si="237"/>
        <v>12</v>
      </c>
      <c r="D3780" s="5">
        <f ca="1">IF(getQuality(B3780)&lt;4,getOtherMin(B3780,C3780,INDIRECT(J$2),INDIRECT(I3780),test),getMin(B3780,C3780,INDIRECT(J$2),INDIRECT(I3780),test))</f>
        <v>1</v>
      </c>
      <c r="E3780" s="5">
        <f ca="1">IF(getQuality(B3780)&lt;4,getOtherMax(B3780,C3780,INDIRECT(J$2),INDIRECT(I3780),test),getMax(B3780,C3780,INDIRECT(J$2),INDIRECT(I3780),test))</f>
        <v>24.009875731714647</v>
      </c>
      <c r="F3780" s="1" t="str">
        <f t="shared" si="239"/>
        <v>50</v>
      </c>
      <c r="G3780" s="1" t="str">
        <f t="shared" si="240"/>
        <v/>
      </c>
      <c r="I3780" s="1" t="str">
        <f t="shared" si="238"/>
        <v>威尔新数值1.06.xlsm!suitPower</v>
      </c>
    </row>
    <row r="3781" spans="1:9" x14ac:dyDescent="0.15">
      <c r="A3781" s="1">
        <v>3780</v>
      </c>
      <c r="B3781" s="1">
        <v>103010700</v>
      </c>
      <c r="C3781" s="1">
        <f t="shared" si="237"/>
        <v>13</v>
      </c>
      <c r="D3781" s="5">
        <f ca="1">IF(getQuality(B3781)&lt;4,getOtherMin(B3781,C3781,INDIRECT(J$2),INDIRECT(I3781),test),getMin(B3781,C3781,INDIRECT(J$2),INDIRECT(I3781),test))</f>
        <v>1</v>
      </c>
      <c r="E3781" s="5">
        <f ca="1">IF(getQuality(B3781)&lt;4,getOtherMax(B3781,C3781,INDIRECT(J$2),INDIRECT(I3781),test),getMax(B3781,C3781,INDIRECT(J$2),INDIRECT(I3781),test))</f>
        <v>24.009875731714647</v>
      </c>
      <c r="F3781" s="1" t="str">
        <f t="shared" si="239"/>
        <v>50</v>
      </c>
      <c r="G3781" s="1" t="str">
        <f t="shared" si="240"/>
        <v/>
      </c>
      <c r="I3781" s="1" t="str">
        <f t="shared" si="238"/>
        <v>威尔新数值1.06.xlsm!suitPower</v>
      </c>
    </row>
    <row r="3782" spans="1:9" x14ac:dyDescent="0.15">
      <c r="A3782" s="1">
        <v>3781</v>
      </c>
      <c r="B3782" s="1">
        <v>103010700</v>
      </c>
      <c r="C3782" s="1">
        <f t="shared" si="237"/>
        <v>14</v>
      </c>
      <c r="D3782" s="5">
        <f ca="1">IF(getQuality(B3782)&lt;4,getOtherMin(B3782,C3782,INDIRECT(J$2),INDIRECT(I3782),test),getMin(B3782,C3782,INDIRECT(J$2),INDIRECT(I3782),test))</f>
        <v>1</v>
      </c>
      <c r="E3782" s="5">
        <f ca="1">IF(getQuality(B3782)&lt;4,getOtherMax(B3782,C3782,INDIRECT(J$2),INDIRECT(I3782),test),getMax(B3782,C3782,INDIRECT(J$2),INDIRECT(I3782),test))</f>
        <v>24.009875731714647</v>
      </c>
      <c r="F3782" s="1" t="str">
        <f t="shared" si="239"/>
        <v>50</v>
      </c>
      <c r="G3782" s="1" t="str">
        <f t="shared" si="240"/>
        <v/>
      </c>
      <c r="I3782" s="1" t="str">
        <f t="shared" si="238"/>
        <v>威尔新数值1.06.xlsm!suitPower</v>
      </c>
    </row>
    <row r="3783" spans="1:9" x14ac:dyDescent="0.15">
      <c r="A3783" s="1">
        <v>3782</v>
      </c>
      <c r="B3783" s="1">
        <v>103010700</v>
      </c>
      <c r="C3783" s="1">
        <f t="shared" si="237"/>
        <v>15</v>
      </c>
      <c r="D3783" s="5">
        <f ca="1">IF(getQuality(B3783)&lt;4,getOtherMin(B3783,C3783,INDIRECT(J$2),INDIRECT(I3783),test),getMin(B3783,C3783,INDIRECT(J$2),INDIRECT(I3783),test))</f>
        <v>1</v>
      </c>
      <c r="E3783" s="5">
        <f ca="1">IF(getQuality(B3783)&lt;4,getOtherMax(B3783,C3783,INDIRECT(J$2),INDIRECT(I3783),test),getMax(B3783,C3783,INDIRECT(J$2),INDIRECT(I3783),test))</f>
        <v>24.009875731714647</v>
      </c>
      <c r="F3783" s="1" t="str">
        <f t="shared" si="239"/>
        <v>50</v>
      </c>
      <c r="G3783" s="1" t="str">
        <f t="shared" si="240"/>
        <v/>
      </c>
      <c r="I3783" s="1" t="str">
        <f t="shared" si="238"/>
        <v>威尔新数值1.06.xlsm!suitPower</v>
      </c>
    </row>
    <row r="3784" spans="1:9" x14ac:dyDescent="0.15">
      <c r="A3784" s="1">
        <v>3783</v>
      </c>
      <c r="B3784" s="1">
        <v>103010700</v>
      </c>
      <c r="C3784" s="1">
        <f t="shared" si="237"/>
        <v>101</v>
      </c>
      <c r="D3784" s="5">
        <f ca="1">IF(getQuality(B3784)&lt;4,getOtherMin(B3784,C3784,INDIRECT(J$2),INDIRECT(I3784),test),getMin(B3784,C3784,INDIRECT(J$2),INDIRECT(I3784),test))</f>
        <v>7.0000000000000007E-2</v>
      </c>
      <c r="E3784" s="5">
        <f ca="1">IF(getQuality(B3784)&lt;4,getOtherMax(B3784,C3784,INDIRECT(J$2),INDIRECT(I3784),test),getMax(B3784,C3784,INDIRECT(J$2),INDIRECT(I3784),test))</f>
        <v>0.1</v>
      </c>
      <c r="F3784" s="1" t="str">
        <f t="shared" si="239"/>
        <v>50</v>
      </c>
      <c r="G3784" s="1" t="str">
        <f t="shared" si="240"/>
        <v/>
      </c>
      <c r="I3784" s="1" t="str">
        <f t="shared" si="238"/>
        <v>威尔新数值1.06.xlsm!circlePer</v>
      </c>
    </row>
    <row r="3785" spans="1:9" x14ac:dyDescent="0.15">
      <c r="A3785" s="1">
        <v>3784</v>
      </c>
      <c r="B3785" s="1">
        <v>103010700</v>
      </c>
      <c r="C3785" s="1">
        <f t="shared" si="237"/>
        <v>102</v>
      </c>
      <c r="D3785" s="5">
        <f ca="1">IF(getQuality(B3785)&lt;4,getOtherMin(B3785,C3785,INDIRECT(J$2),INDIRECT(I3785),test),getMin(B3785,C3785,INDIRECT(J$2),INDIRECT(I3785),test))</f>
        <v>0.6</v>
      </c>
      <c r="E3785" s="5">
        <f ca="1">IF(getQuality(B3785)&lt;4,getOtherMax(B3785,C3785,INDIRECT(J$2),INDIRECT(I3785),test),getMax(B3785,C3785,INDIRECT(J$2),INDIRECT(I3785),test))</f>
        <v>0.9</v>
      </c>
      <c r="F3785" s="1" t="str">
        <f t="shared" si="239"/>
        <v>50</v>
      </c>
      <c r="G3785" s="1" t="str">
        <f t="shared" si="240"/>
        <v/>
      </c>
      <c r="I3785" s="1" t="str">
        <f t="shared" si="238"/>
        <v>威尔新数值1.06.xlsm!circleValue</v>
      </c>
    </row>
    <row r="3786" spans="1:9" x14ac:dyDescent="0.15">
      <c r="A3786" s="1">
        <v>3785</v>
      </c>
      <c r="B3786" s="1">
        <v>103010700</v>
      </c>
      <c r="C3786" s="1">
        <f t="shared" si="237"/>
        <v>103</v>
      </c>
      <c r="D3786" s="5">
        <f ca="1">IF(getQuality(B3786)&lt;4,getOtherMin(B3786,C3786,INDIRECT(J$2),INDIRECT(I3786),test),getMin(B3786,C3786,INDIRECT(J$2),INDIRECT(I3786),test))</f>
        <v>7.0000000000000007E-2</v>
      </c>
      <c r="E3786" s="5">
        <f ca="1">IF(getQuality(B3786)&lt;4,getOtherMax(B3786,C3786,INDIRECT(J$2),INDIRECT(I3786),test),getMax(B3786,C3786,INDIRECT(J$2),INDIRECT(I3786),test))</f>
        <v>0.1</v>
      </c>
      <c r="F3786" s="1" t="str">
        <f t="shared" si="239"/>
        <v>50</v>
      </c>
      <c r="G3786" s="1" t="str">
        <f t="shared" si="240"/>
        <v/>
      </c>
      <c r="I3786" s="1" t="str">
        <f t="shared" si="238"/>
        <v>威尔新数值1.06.xlsm!otherDamage</v>
      </c>
    </row>
    <row r="3787" spans="1:9" x14ac:dyDescent="0.15">
      <c r="A3787" s="1">
        <v>3786</v>
      </c>
      <c r="B3787" s="1">
        <v>103010700</v>
      </c>
      <c r="C3787" s="1">
        <f t="shared" si="237"/>
        <v>104</v>
      </c>
      <c r="D3787" s="5">
        <f ca="1">IF(getQuality(B3787)&lt;4,getOtherMin(B3787,C3787,INDIRECT(J$2),INDIRECT(I3787),test),getMin(B3787,C3787,INDIRECT(J$2),INDIRECT(I3787),test))</f>
        <v>7.0000000000000007E-2</v>
      </c>
      <c r="E3787" s="5">
        <f ca="1">IF(getQuality(B3787)&lt;4,getOtherMax(B3787,C3787,INDIRECT(J$2),INDIRECT(I3787),test),getMax(B3787,C3787,INDIRECT(J$2),INDIRECT(I3787),test))</f>
        <v>0.14000000000000001</v>
      </c>
      <c r="F3787" s="1" t="str">
        <f t="shared" si="239"/>
        <v>50</v>
      </c>
      <c r="G3787" s="1" t="str">
        <f t="shared" si="240"/>
        <v/>
      </c>
      <c r="I3787" s="1" t="str">
        <f t="shared" si="238"/>
        <v>威尔新数值1.06.xlsm!monsterDamage</v>
      </c>
    </row>
    <row r="3788" spans="1:9" x14ac:dyDescent="0.15">
      <c r="A3788" s="1">
        <v>3787</v>
      </c>
      <c r="B3788" s="1">
        <v>103010700</v>
      </c>
      <c r="C3788" s="1">
        <f t="shared" si="237"/>
        <v>105</v>
      </c>
      <c r="D3788" s="5">
        <f ca="1">IF(getQuality(B3788)&lt;4,getOtherMin(B3788,C3788,INDIRECT(J$2),INDIRECT(I3788),test),getMin(B3788,C3788,INDIRECT(J$2),INDIRECT(I3788),test))</f>
        <v>7.0000000000000007E-2</v>
      </c>
      <c r="E3788" s="5">
        <f ca="1">IF(getQuality(B3788)&lt;4,getOtherMax(B3788,C3788,INDIRECT(J$2),INDIRECT(I3788),test),getMax(B3788,C3788,INDIRECT(J$2),INDIRECT(I3788),test))</f>
        <v>0.14000000000000001</v>
      </c>
      <c r="F3788" s="1" t="str">
        <f t="shared" si="239"/>
        <v>50</v>
      </c>
      <c r="G3788" s="1" t="str">
        <f t="shared" si="240"/>
        <v/>
      </c>
      <c r="I3788" s="1" t="str">
        <f t="shared" si="238"/>
        <v>威尔新数值1.06.xlsm!monsterDamage</v>
      </c>
    </row>
    <row r="3789" spans="1:9" x14ac:dyDescent="0.15">
      <c r="A3789" s="1">
        <v>3788</v>
      </c>
      <c r="B3789" s="1">
        <v>103010700</v>
      </c>
      <c r="C3789" s="1">
        <f t="shared" si="237"/>
        <v>106</v>
      </c>
      <c r="D3789" s="5">
        <f ca="1">IF(getQuality(B3789)&lt;4,getOtherMin(B3789,C3789,INDIRECT(J$2),INDIRECT(I3789),test),getMin(B3789,C3789,INDIRECT(J$2),INDIRECT(I3789),test))</f>
        <v>7.0000000000000007E-2</v>
      </c>
      <c r="E3789" s="5">
        <f ca="1">IF(getQuality(B3789)&lt;4,getOtherMax(B3789,C3789,INDIRECT(J$2),INDIRECT(I3789),test),getMax(B3789,C3789,INDIRECT(J$2),INDIRECT(I3789),test))</f>
        <v>0.14000000000000001</v>
      </c>
      <c r="F3789" s="1" t="str">
        <f t="shared" si="239"/>
        <v>50</v>
      </c>
      <c r="G3789" s="1" t="str">
        <f t="shared" si="240"/>
        <v/>
      </c>
      <c r="I3789" s="1" t="str">
        <f t="shared" si="238"/>
        <v>威尔新数值1.06.xlsm!monsterDamage</v>
      </c>
    </row>
    <row r="3790" spans="1:9" x14ac:dyDescent="0.15">
      <c r="A3790" s="1">
        <v>3789</v>
      </c>
      <c r="B3790" s="1">
        <v>103010700</v>
      </c>
      <c r="C3790" s="1">
        <f t="shared" si="237"/>
        <v>107</v>
      </c>
      <c r="D3790" s="5">
        <f ca="1">IF(getQuality(B3790)&lt;4,getOtherMin(B3790,C3790,INDIRECT(J$2),INDIRECT(I3790),test),getMin(B3790,C3790,INDIRECT(J$2),INDIRECT(I3790),test))</f>
        <v>7.0000000000000007E-2</v>
      </c>
      <c r="E3790" s="5">
        <f ca="1">IF(getQuality(B3790)&lt;4,getOtherMax(B3790,C3790,INDIRECT(J$2),INDIRECT(I3790),test),getMax(B3790,C3790,INDIRECT(J$2),INDIRECT(I3790),test))</f>
        <v>0.14000000000000001</v>
      </c>
      <c r="F3790" s="1" t="str">
        <f t="shared" si="239"/>
        <v>50</v>
      </c>
      <c r="G3790" s="1" t="str">
        <f t="shared" si="240"/>
        <v/>
      </c>
      <c r="I3790" s="1" t="str">
        <f t="shared" si="238"/>
        <v>威尔新数值1.06.xlsm!monsterDamage</v>
      </c>
    </row>
    <row r="3791" spans="1:9" x14ac:dyDescent="0.15">
      <c r="A3791" s="1">
        <v>3790</v>
      </c>
      <c r="B3791" s="1">
        <v>103010700</v>
      </c>
      <c r="C3791" s="1">
        <f t="shared" si="237"/>
        <v>108</v>
      </c>
      <c r="D3791" s="5">
        <f ca="1">IF(getQuality(B3791)&lt;4,getOtherMin(B3791,C3791,INDIRECT(J$2),INDIRECT(I3791),test),getMin(B3791,C3791,INDIRECT(J$2),INDIRECT(I3791),test))</f>
        <v>7.0000000000000007E-2</v>
      </c>
      <c r="E3791" s="5">
        <f ca="1">IF(getQuality(B3791)&lt;4,getOtherMax(B3791,C3791,INDIRECT(J$2),INDIRECT(I3791),test),getMax(B3791,C3791,INDIRECT(J$2),INDIRECT(I3791),test))</f>
        <v>0.14000000000000001</v>
      </c>
      <c r="F3791" s="1" t="str">
        <f t="shared" si="239"/>
        <v>50</v>
      </c>
      <c r="G3791" s="1" t="str">
        <f t="shared" si="240"/>
        <v/>
      </c>
      <c r="I3791" s="1" t="str">
        <f t="shared" si="238"/>
        <v>威尔新数值1.06.xlsm!monsterDamage</v>
      </c>
    </row>
    <row r="3792" spans="1:9" x14ac:dyDescent="0.15">
      <c r="A3792" s="1">
        <v>3791</v>
      </c>
      <c r="B3792" s="1">
        <v>103020700</v>
      </c>
      <c r="C3792" s="1">
        <f t="shared" si="237"/>
        <v>3</v>
      </c>
      <c r="D3792" s="5">
        <f ca="1">IF(getQuality(B3792)&lt;4,getOtherMin(B3792,C3792,INDIRECT(J$2),INDIRECT(I3792),test),getMin(B3792,C3792,INDIRECT(J$2),INDIRECT(I3792),test))</f>
        <v>25.009875731714647</v>
      </c>
      <c r="E3792" s="5">
        <f ca="1">IF(getQuality(B3792)&lt;4,getOtherMax(B3792,C3792,INDIRECT(J$2),INDIRECT(I3792),test),getMax(B3792,C3792,INDIRECT(J$2),INDIRECT(I3792),test))</f>
        <v>52.82172660977222</v>
      </c>
      <c r="F3792" s="1" t="str">
        <f t="shared" si="239"/>
        <v>50</v>
      </c>
      <c r="G3792" s="1" t="str">
        <f t="shared" si="240"/>
        <v>1</v>
      </c>
      <c r="I3792" s="1" t="str">
        <f t="shared" si="238"/>
        <v>威尔新数值1.06.xlsm!suitPower</v>
      </c>
    </row>
    <row r="3793" spans="1:9" x14ac:dyDescent="0.15">
      <c r="A3793" s="1">
        <v>3792</v>
      </c>
      <c r="B3793" s="1">
        <v>103020700</v>
      </c>
      <c r="C3793" s="1">
        <f t="shared" si="237"/>
        <v>5</v>
      </c>
      <c r="D3793" s="5">
        <f ca="1">IF(getQuality(B3793)&lt;4,getOtherMin(B3793,C3793,INDIRECT(J$2),INDIRECT(I3793),test),getMin(B3793,C3793,INDIRECT(J$2),INDIRECT(I3793),test))</f>
        <v>25.009875731714647</v>
      </c>
      <c r="E3793" s="5">
        <f ca="1">IF(getQuality(B3793)&lt;4,getOtherMax(B3793,C3793,INDIRECT(J$2),INDIRECT(I3793),test),getMax(B3793,C3793,INDIRECT(J$2),INDIRECT(I3793),test))</f>
        <v>52.82172660977222</v>
      </c>
      <c r="F3793" s="1" t="str">
        <f t="shared" si="239"/>
        <v>50</v>
      </c>
      <c r="G3793" s="1" t="str">
        <f t="shared" si="240"/>
        <v/>
      </c>
      <c r="I3793" s="1" t="str">
        <f t="shared" si="238"/>
        <v>威尔新数值1.06.xlsm!suitPower</v>
      </c>
    </row>
    <row r="3794" spans="1:9" x14ac:dyDescent="0.15">
      <c r="A3794" s="1">
        <v>3793</v>
      </c>
      <c r="B3794" s="1">
        <v>103020700</v>
      </c>
      <c r="C3794" s="1">
        <f t="shared" si="237"/>
        <v>7</v>
      </c>
      <c r="D3794" s="5">
        <f ca="1">IF(getQuality(B3794)&lt;4,getOtherMin(B3794,C3794,INDIRECT(J$2),INDIRECT(I3794),test),getMin(B3794,C3794,INDIRECT(J$2),INDIRECT(I3794),test))</f>
        <v>8.4074074074073888</v>
      </c>
      <c r="E3794" s="5">
        <f ca="1">IF(getQuality(B3794)&lt;4,getOtherMax(B3794,C3794,INDIRECT(J$2),INDIRECT(I3794),test),getMax(B3794,C3794,INDIRECT(J$2),INDIRECT(I3794),test))</f>
        <v>14.814814814814778</v>
      </c>
      <c r="F3794" s="1" t="str">
        <f t="shared" si="239"/>
        <v>50</v>
      </c>
      <c r="G3794" s="1" t="str">
        <f t="shared" si="240"/>
        <v/>
      </c>
      <c r="I3794" s="1" t="str">
        <f t="shared" si="238"/>
        <v>威尔新数值1.06.xlsm!suitPower</v>
      </c>
    </row>
    <row r="3795" spans="1:9" x14ac:dyDescent="0.15">
      <c r="A3795" s="1">
        <v>3794</v>
      </c>
      <c r="B3795" s="1">
        <v>103020700</v>
      </c>
      <c r="C3795" s="1">
        <f t="shared" si="237"/>
        <v>8</v>
      </c>
      <c r="D3795" s="5">
        <f ca="1">IF(getQuality(B3795)&lt;4,getOtherMin(B3795,C3795,INDIRECT(J$2),INDIRECT(I3795),test),getMin(B3795,C3795,INDIRECT(J$2),INDIRECT(I3795),test))</f>
        <v>17.666666666666668</v>
      </c>
      <c r="E3795" s="5">
        <f ca="1">IF(getQuality(B3795)&lt;4,getOtherMax(B3795,C3795,INDIRECT(J$2),INDIRECT(I3795),test),getMax(B3795,C3795,INDIRECT(J$2),INDIRECT(I3795),test))</f>
        <v>33.333333333333336</v>
      </c>
      <c r="F3795" s="1" t="str">
        <f t="shared" si="239"/>
        <v>50</v>
      </c>
      <c r="G3795" s="1" t="str">
        <f t="shared" si="240"/>
        <v/>
      </c>
      <c r="I3795" s="1" t="str">
        <f t="shared" si="238"/>
        <v>威尔新数值1.06.xlsm!suitPower</v>
      </c>
    </row>
    <row r="3796" spans="1:9" x14ac:dyDescent="0.15">
      <c r="A3796" s="1">
        <v>3795</v>
      </c>
      <c r="B3796" s="1">
        <v>103020700</v>
      </c>
      <c r="C3796" s="1">
        <f t="shared" si="237"/>
        <v>9</v>
      </c>
      <c r="D3796" s="5">
        <f ca="1">IF(getQuality(B3796)&lt;4,getOtherMin(B3796,C3796,INDIRECT(J$2),INDIRECT(I3796),test),getMin(B3796,C3796,INDIRECT(J$2),INDIRECT(I3796),test))</f>
        <v>25.009875731714647</v>
      </c>
      <c r="E3796" s="5">
        <f ca="1">IF(getQuality(B3796)&lt;4,getOtherMax(B3796,C3796,INDIRECT(J$2),INDIRECT(I3796),test),getMax(B3796,C3796,INDIRECT(J$2),INDIRECT(I3796),test))</f>
        <v>52.82172660977222</v>
      </c>
      <c r="F3796" s="1" t="str">
        <f t="shared" si="239"/>
        <v>50</v>
      </c>
      <c r="G3796" s="1" t="str">
        <f t="shared" si="240"/>
        <v/>
      </c>
      <c r="I3796" s="1" t="str">
        <f t="shared" si="238"/>
        <v>威尔新数值1.06.xlsm!suitPower</v>
      </c>
    </row>
    <row r="3797" spans="1:9" x14ac:dyDescent="0.15">
      <c r="A3797" s="1">
        <v>3796</v>
      </c>
      <c r="B3797" s="1">
        <v>103020700</v>
      </c>
      <c r="C3797" s="1">
        <f t="shared" si="237"/>
        <v>10</v>
      </c>
      <c r="D3797" s="5">
        <f ca="1">IF(getQuality(B3797)&lt;4,getOtherMin(B3797,C3797,INDIRECT(J$2),INDIRECT(I3797),test),getMin(B3797,C3797,INDIRECT(J$2),INDIRECT(I3797),test))</f>
        <v>25.009875731714647</v>
      </c>
      <c r="E3797" s="5">
        <f ca="1">IF(getQuality(B3797)&lt;4,getOtherMax(B3797,C3797,INDIRECT(J$2),INDIRECT(I3797),test),getMax(B3797,C3797,INDIRECT(J$2),INDIRECT(I3797),test))</f>
        <v>52.82172660977222</v>
      </c>
      <c r="F3797" s="1" t="str">
        <f t="shared" si="239"/>
        <v>50</v>
      </c>
      <c r="G3797" s="1" t="str">
        <f t="shared" si="240"/>
        <v/>
      </c>
      <c r="I3797" s="1" t="str">
        <f t="shared" si="238"/>
        <v>威尔新数值1.06.xlsm!suitPower</v>
      </c>
    </row>
    <row r="3798" spans="1:9" x14ac:dyDescent="0.15">
      <c r="A3798" s="1">
        <v>3797</v>
      </c>
      <c r="B3798" s="1">
        <v>103020700</v>
      </c>
      <c r="C3798" s="1">
        <f t="shared" si="237"/>
        <v>11</v>
      </c>
      <c r="D3798" s="5">
        <f ca="1">IF(getQuality(B3798)&lt;4,getOtherMin(B3798,C3798,INDIRECT(J$2),INDIRECT(I3798),test),getMin(B3798,C3798,INDIRECT(J$2),INDIRECT(I3798),test))</f>
        <v>25.009875731714647</v>
      </c>
      <c r="E3798" s="5">
        <f ca="1">IF(getQuality(B3798)&lt;4,getOtherMax(B3798,C3798,INDIRECT(J$2),INDIRECT(I3798),test),getMax(B3798,C3798,INDIRECT(J$2),INDIRECT(I3798),test))</f>
        <v>52.82172660977222</v>
      </c>
      <c r="F3798" s="1" t="str">
        <f t="shared" si="239"/>
        <v>50</v>
      </c>
      <c r="G3798" s="1" t="str">
        <f t="shared" si="240"/>
        <v/>
      </c>
      <c r="I3798" s="1" t="str">
        <f t="shared" si="238"/>
        <v>威尔新数值1.06.xlsm!suitPower</v>
      </c>
    </row>
    <row r="3799" spans="1:9" x14ac:dyDescent="0.15">
      <c r="A3799" s="1">
        <v>3798</v>
      </c>
      <c r="B3799" s="1">
        <v>103020700</v>
      </c>
      <c r="C3799" s="1">
        <f t="shared" si="237"/>
        <v>12</v>
      </c>
      <c r="D3799" s="5">
        <f ca="1">IF(getQuality(B3799)&lt;4,getOtherMin(B3799,C3799,INDIRECT(J$2),INDIRECT(I3799),test),getMin(B3799,C3799,INDIRECT(J$2),INDIRECT(I3799),test))</f>
        <v>25.009875731714647</v>
      </c>
      <c r="E3799" s="5">
        <f ca="1">IF(getQuality(B3799)&lt;4,getOtherMax(B3799,C3799,INDIRECT(J$2),INDIRECT(I3799),test),getMax(B3799,C3799,INDIRECT(J$2),INDIRECT(I3799),test))</f>
        <v>52.82172660977222</v>
      </c>
      <c r="F3799" s="1" t="str">
        <f t="shared" si="239"/>
        <v>50</v>
      </c>
      <c r="G3799" s="1" t="str">
        <f t="shared" si="240"/>
        <v/>
      </c>
      <c r="I3799" s="1" t="str">
        <f t="shared" si="238"/>
        <v>威尔新数值1.06.xlsm!suitPower</v>
      </c>
    </row>
    <row r="3800" spans="1:9" x14ac:dyDescent="0.15">
      <c r="A3800" s="1">
        <v>3799</v>
      </c>
      <c r="B3800" s="1">
        <v>103020700</v>
      </c>
      <c r="C3800" s="1">
        <f t="shared" si="237"/>
        <v>13</v>
      </c>
      <c r="D3800" s="5">
        <f ca="1">IF(getQuality(B3800)&lt;4,getOtherMin(B3800,C3800,INDIRECT(J$2),INDIRECT(I3800),test),getMin(B3800,C3800,INDIRECT(J$2),INDIRECT(I3800),test))</f>
        <v>25.009875731714647</v>
      </c>
      <c r="E3800" s="5">
        <f ca="1">IF(getQuality(B3800)&lt;4,getOtherMax(B3800,C3800,INDIRECT(J$2),INDIRECT(I3800),test),getMax(B3800,C3800,INDIRECT(J$2),INDIRECT(I3800),test))</f>
        <v>52.82172660977222</v>
      </c>
      <c r="F3800" s="1" t="str">
        <f t="shared" si="239"/>
        <v>50</v>
      </c>
      <c r="G3800" s="1" t="str">
        <f t="shared" si="240"/>
        <v/>
      </c>
      <c r="I3800" s="1" t="str">
        <f t="shared" si="238"/>
        <v>威尔新数值1.06.xlsm!suitPower</v>
      </c>
    </row>
    <row r="3801" spans="1:9" x14ac:dyDescent="0.15">
      <c r="A3801" s="1">
        <v>3800</v>
      </c>
      <c r="B3801" s="1">
        <v>103020700</v>
      </c>
      <c r="C3801" s="1">
        <f t="shared" si="237"/>
        <v>14</v>
      </c>
      <c r="D3801" s="5">
        <f ca="1">IF(getQuality(B3801)&lt;4,getOtherMin(B3801,C3801,INDIRECT(J$2),INDIRECT(I3801),test),getMin(B3801,C3801,INDIRECT(J$2),INDIRECT(I3801),test))</f>
        <v>25.009875731714647</v>
      </c>
      <c r="E3801" s="5">
        <f ca="1">IF(getQuality(B3801)&lt;4,getOtherMax(B3801,C3801,INDIRECT(J$2),INDIRECT(I3801),test),getMax(B3801,C3801,INDIRECT(J$2),INDIRECT(I3801),test))</f>
        <v>52.82172660977222</v>
      </c>
      <c r="F3801" s="1" t="str">
        <f t="shared" si="239"/>
        <v>50</v>
      </c>
      <c r="G3801" s="1" t="str">
        <f t="shared" si="240"/>
        <v/>
      </c>
      <c r="I3801" s="1" t="str">
        <f t="shared" si="238"/>
        <v>威尔新数值1.06.xlsm!suitPower</v>
      </c>
    </row>
    <row r="3802" spans="1:9" x14ac:dyDescent="0.15">
      <c r="A3802" s="1">
        <v>3801</v>
      </c>
      <c r="B3802" s="1">
        <v>103020700</v>
      </c>
      <c r="C3802" s="1">
        <f t="shared" si="237"/>
        <v>15</v>
      </c>
      <c r="D3802" s="5">
        <f ca="1">IF(getQuality(B3802)&lt;4,getOtherMin(B3802,C3802,INDIRECT(J$2),INDIRECT(I3802),test),getMin(B3802,C3802,INDIRECT(J$2),INDIRECT(I3802),test))</f>
        <v>25.009875731714647</v>
      </c>
      <c r="E3802" s="5">
        <f ca="1">IF(getQuality(B3802)&lt;4,getOtherMax(B3802,C3802,INDIRECT(J$2),INDIRECT(I3802),test),getMax(B3802,C3802,INDIRECT(J$2),INDIRECT(I3802),test))</f>
        <v>52.82172660977222</v>
      </c>
      <c r="F3802" s="1" t="str">
        <f t="shared" si="239"/>
        <v>50</v>
      </c>
      <c r="G3802" s="1" t="str">
        <f t="shared" si="240"/>
        <v/>
      </c>
      <c r="I3802" s="1" t="str">
        <f t="shared" si="238"/>
        <v>威尔新数值1.06.xlsm!suitPower</v>
      </c>
    </row>
    <row r="3803" spans="1:9" x14ac:dyDescent="0.15">
      <c r="A3803" s="1">
        <v>3802</v>
      </c>
      <c r="B3803" s="1">
        <v>103020700</v>
      </c>
      <c r="C3803" s="1">
        <f t="shared" si="237"/>
        <v>101</v>
      </c>
      <c r="D3803" s="5">
        <f ca="1">IF(getQuality(B3803)&lt;4,getOtherMin(B3803,C3803,INDIRECT(J$2),INDIRECT(I3803),test),getMin(B3803,C3803,INDIRECT(J$2),INDIRECT(I3803),test))</f>
        <v>0.08</v>
      </c>
      <c r="E3803" s="5">
        <f ca="1">IF(getQuality(B3803)&lt;4,getOtherMax(B3803,C3803,INDIRECT(J$2),INDIRECT(I3803),test),getMax(B3803,C3803,INDIRECT(J$2),INDIRECT(I3803),test))</f>
        <v>0.11</v>
      </c>
      <c r="F3803" s="1" t="str">
        <f t="shared" si="239"/>
        <v>50</v>
      </c>
      <c r="G3803" s="1" t="str">
        <f t="shared" si="240"/>
        <v/>
      </c>
      <c r="I3803" s="1" t="str">
        <f t="shared" si="238"/>
        <v>威尔新数值1.06.xlsm!circlePer</v>
      </c>
    </row>
    <row r="3804" spans="1:9" x14ac:dyDescent="0.15">
      <c r="A3804" s="1">
        <v>3803</v>
      </c>
      <c r="B3804" s="1">
        <v>103020700</v>
      </c>
      <c r="C3804" s="1">
        <f t="shared" si="237"/>
        <v>102</v>
      </c>
      <c r="D3804" s="5">
        <f ca="1">IF(getQuality(B3804)&lt;4,getOtherMin(B3804,C3804,INDIRECT(J$2),INDIRECT(I3804),test),getMin(B3804,C3804,INDIRECT(J$2),INDIRECT(I3804),test))</f>
        <v>0.7</v>
      </c>
      <c r="E3804" s="5">
        <f ca="1">IF(getQuality(B3804)&lt;4,getOtherMax(B3804,C3804,INDIRECT(J$2),INDIRECT(I3804),test),getMax(B3804,C3804,INDIRECT(J$2),INDIRECT(I3804),test))</f>
        <v>1</v>
      </c>
      <c r="F3804" s="1" t="str">
        <f t="shared" si="239"/>
        <v>50</v>
      </c>
      <c r="G3804" s="1" t="str">
        <f t="shared" si="240"/>
        <v/>
      </c>
      <c r="I3804" s="1" t="str">
        <f t="shared" si="238"/>
        <v>威尔新数值1.06.xlsm!circleValue</v>
      </c>
    </row>
    <row r="3805" spans="1:9" x14ac:dyDescent="0.15">
      <c r="A3805" s="1">
        <v>3804</v>
      </c>
      <c r="B3805" s="1">
        <v>103020700</v>
      </c>
      <c r="C3805" s="1">
        <f t="shared" si="237"/>
        <v>103</v>
      </c>
      <c r="D3805" s="5">
        <f ca="1">IF(getQuality(B3805)&lt;4,getOtherMin(B3805,C3805,INDIRECT(J$2),INDIRECT(I3805),test),getMin(B3805,C3805,INDIRECT(J$2),INDIRECT(I3805),test))</f>
        <v>0.08</v>
      </c>
      <c r="E3805" s="5">
        <f ca="1">IF(getQuality(B3805)&lt;4,getOtherMax(B3805,C3805,INDIRECT(J$2),INDIRECT(I3805),test),getMax(B3805,C3805,INDIRECT(J$2),INDIRECT(I3805),test))</f>
        <v>0.11</v>
      </c>
      <c r="F3805" s="1" t="str">
        <f t="shared" si="239"/>
        <v>50</v>
      </c>
      <c r="G3805" s="1" t="str">
        <f t="shared" si="240"/>
        <v/>
      </c>
      <c r="I3805" s="1" t="str">
        <f t="shared" si="238"/>
        <v>威尔新数值1.06.xlsm!otherDamage</v>
      </c>
    </row>
    <row r="3806" spans="1:9" x14ac:dyDescent="0.15">
      <c r="A3806" s="1">
        <v>3805</v>
      </c>
      <c r="B3806" s="1">
        <v>103020700</v>
      </c>
      <c r="C3806" s="1">
        <f t="shared" si="237"/>
        <v>104</v>
      </c>
      <c r="D3806" s="5">
        <f ca="1">IF(getQuality(B3806)&lt;4,getOtherMin(B3806,C3806,INDIRECT(J$2),INDIRECT(I3806),test),getMin(B3806,C3806,INDIRECT(J$2),INDIRECT(I3806),test))</f>
        <v>0.08</v>
      </c>
      <c r="E3806" s="5">
        <f ca="1">IF(getQuality(B3806)&lt;4,getOtherMax(B3806,C3806,INDIRECT(J$2),INDIRECT(I3806),test),getMax(B3806,C3806,INDIRECT(J$2),INDIRECT(I3806),test))</f>
        <v>0.16</v>
      </c>
      <c r="F3806" s="1" t="str">
        <f t="shared" si="239"/>
        <v>50</v>
      </c>
      <c r="G3806" s="1" t="str">
        <f t="shared" si="240"/>
        <v/>
      </c>
      <c r="I3806" s="1" t="str">
        <f t="shared" si="238"/>
        <v>威尔新数值1.06.xlsm!monsterDamage</v>
      </c>
    </row>
    <row r="3807" spans="1:9" x14ac:dyDescent="0.15">
      <c r="A3807" s="1">
        <v>3806</v>
      </c>
      <c r="B3807" s="1">
        <v>103020700</v>
      </c>
      <c r="C3807" s="1">
        <f t="shared" si="237"/>
        <v>105</v>
      </c>
      <c r="D3807" s="5">
        <f ca="1">IF(getQuality(B3807)&lt;4,getOtherMin(B3807,C3807,INDIRECT(J$2),INDIRECT(I3807),test),getMin(B3807,C3807,INDIRECT(J$2),INDIRECT(I3807),test))</f>
        <v>0.08</v>
      </c>
      <c r="E3807" s="5">
        <f ca="1">IF(getQuality(B3807)&lt;4,getOtherMax(B3807,C3807,INDIRECT(J$2),INDIRECT(I3807),test),getMax(B3807,C3807,INDIRECT(J$2),INDIRECT(I3807),test))</f>
        <v>0.16</v>
      </c>
      <c r="F3807" s="1" t="str">
        <f t="shared" si="239"/>
        <v>50</v>
      </c>
      <c r="G3807" s="1" t="str">
        <f t="shared" si="240"/>
        <v/>
      </c>
      <c r="I3807" s="1" t="str">
        <f t="shared" si="238"/>
        <v>威尔新数值1.06.xlsm!monsterDamage</v>
      </c>
    </row>
    <row r="3808" spans="1:9" x14ac:dyDescent="0.15">
      <c r="A3808" s="1">
        <v>3807</v>
      </c>
      <c r="B3808" s="1">
        <v>103020700</v>
      </c>
      <c r="C3808" s="1">
        <f t="shared" si="237"/>
        <v>106</v>
      </c>
      <c r="D3808" s="5">
        <f ca="1">IF(getQuality(B3808)&lt;4,getOtherMin(B3808,C3808,INDIRECT(J$2),INDIRECT(I3808),test),getMin(B3808,C3808,INDIRECT(J$2),INDIRECT(I3808),test))</f>
        <v>0.08</v>
      </c>
      <c r="E3808" s="5">
        <f ca="1">IF(getQuality(B3808)&lt;4,getOtherMax(B3808,C3808,INDIRECT(J$2),INDIRECT(I3808),test),getMax(B3808,C3808,INDIRECT(J$2),INDIRECT(I3808),test))</f>
        <v>0.16</v>
      </c>
      <c r="F3808" s="1" t="str">
        <f t="shared" si="239"/>
        <v>50</v>
      </c>
      <c r="G3808" s="1" t="str">
        <f t="shared" si="240"/>
        <v/>
      </c>
      <c r="I3808" s="1" t="str">
        <f t="shared" si="238"/>
        <v>威尔新数值1.06.xlsm!monsterDamage</v>
      </c>
    </row>
    <row r="3809" spans="1:9" x14ac:dyDescent="0.15">
      <c r="A3809" s="1">
        <v>3808</v>
      </c>
      <c r="B3809" s="1">
        <v>103020700</v>
      </c>
      <c r="C3809" s="1">
        <f t="shared" si="237"/>
        <v>107</v>
      </c>
      <c r="D3809" s="5">
        <f ca="1">IF(getQuality(B3809)&lt;4,getOtherMin(B3809,C3809,INDIRECT(J$2),INDIRECT(I3809),test),getMin(B3809,C3809,INDIRECT(J$2),INDIRECT(I3809),test))</f>
        <v>0.08</v>
      </c>
      <c r="E3809" s="5">
        <f ca="1">IF(getQuality(B3809)&lt;4,getOtherMax(B3809,C3809,INDIRECT(J$2),INDIRECT(I3809),test),getMax(B3809,C3809,INDIRECT(J$2),INDIRECT(I3809),test))</f>
        <v>0.16</v>
      </c>
      <c r="F3809" s="1" t="str">
        <f t="shared" si="239"/>
        <v>50</v>
      </c>
      <c r="G3809" s="1" t="str">
        <f t="shared" si="240"/>
        <v/>
      </c>
      <c r="I3809" s="1" t="str">
        <f t="shared" si="238"/>
        <v>威尔新数值1.06.xlsm!monsterDamage</v>
      </c>
    </row>
    <row r="3810" spans="1:9" x14ac:dyDescent="0.15">
      <c r="A3810" s="1">
        <v>3809</v>
      </c>
      <c r="B3810" s="1">
        <v>103020700</v>
      </c>
      <c r="C3810" s="1">
        <f t="shared" si="237"/>
        <v>108</v>
      </c>
      <c r="D3810" s="5">
        <f ca="1">IF(getQuality(B3810)&lt;4,getOtherMin(B3810,C3810,INDIRECT(J$2),INDIRECT(I3810),test),getMin(B3810,C3810,INDIRECT(J$2),INDIRECT(I3810),test))</f>
        <v>0.08</v>
      </c>
      <c r="E3810" s="5">
        <f ca="1">IF(getQuality(B3810)&lt;4,getOtherMax(B3810,C3810,INDIRECT(J$2),INDIRECT(I3810),test),getMax(B3810,C3810,INDIRECT(J$2),INDIRECT(I3810),test))</f>
        <v>0.16</v>
      </c>
      <c r="F3810" s="1" t="str">
        <f t="shared" si="239"/>
        <v>50</v>
      </c>
      <c r="G3810" s="1" t="str">
        <f t="shared" si="240"/>
        <v/>
      </c>
      <c r="I3810" s="1" t="str">
        <f t="shared" si="238"/>
        <v>威尔新数值1.06.xlsm!monsterDamage</v>
      </c>
    </row>
    <row r="3811" spans="1:9" x14ac:dyDescent="0.15">
      <c r="A3811" s="1">
        <v>3810</v>
      </c>
      <c r="B3811" s="1">
        <v>103030700</v>
      </c>
      <c r="C3811" s="1">
        <f t="shared" si="237"/>
        <v>3</v>
      </c>
      <c r="D3811" s="5">
        <f ca="1">IF(getQuality(B3811)&lt;4,getOtherMin(B3811,C3811,INDIRECT(J$2),INDIRECT(I3811),test),getMin(B3811,C3811,INDIRECT(J$2),INDIRECT(I3811),test))</f>
        <v>53.82172660977222</v>
      </c>
      <c r="E3811" s="5">
        <f ca="1">IF(getQuality(B3811)&lt;4,getOtherMax(B3811,C3811,INDIRECT(J$2),INDIRECT(I3811),test),getMax(B3811,C3811,INDIRECT(J$2),INDIRECT(I3811),test))</f>
        <v>86.435552634172723</v>
      </c>
      <c r="F3811" s="1" t="str">
        <f t="shared" si="239"/>
        <v>50</v>
      </c>
      <c r="G3811" s="1" t="str">
        <f t="shared" si="240"/>
        <v>1</v>
      </c>
      <c r="I3811" s="1" t="str">
        <f t="shared" si="238"/>
        <v>威尔新数值1.06.xlsm!suitPower</v>
      </c>
    </row>
    <row r="3812" spans="1:9" x14ac:dyDescent="0.15">
      <c r="A3812" s="1">
        <v>3811</v>
      </c>
      <c r="B3812" s="1">
        <v>103030700</v>
      </c>
      <c r="C3812" s="1">
        <f t="shared" si="237"/>
        <v>5</v>
      </c>
      <c r="D3812" s="5">
        <f ca="1">IF(getQuality(B3812)&lt;4,getOtherMin(B3812,C3812,INDIRECT(J$2),INDIRECT(I3812),test),getMin(B3812,C3812,INDIRECT(J$2),INDIRECT(I3812),test))</f>
        <v>53.82172660977222</v>
      </c>
      <c r="E3812" s="5">
        <f ca="1">IF(getQuality(B3812)&lt;4,getOtherMax(B3812,C3812,INDIRECT(J$2),INDIRECT(I3812),test),getMax(B3812,C3812,INDIRECT(J$2),INDIRECT(I3812),test))</f>
        <v>86.435552634172723</v>
      </c>
      <c r="F3812" s="1" t="str">
        <f t="shared" si="239"/>
        <v>50</v>
      </c>
      <c r="G3812" s="1" t="str">
        <f t="shared" si="240"/>
        <v/>
      </c>
      <c r="I3812" s="1" t="str">
        <f t="shared" si="238"/>
        <v>威尔新数值1.06.xlsm!suitPower</v>
      </c>
    </row>
    <row r="3813" spans="1:9" x14ac:dyDescent="0.15">
      <c r="A3813" s="1">
        <v>3812</v>
      </c>
      <c r="B3813" s="1">
        <v>103030700</v>
      </c>
      <c r="C3813" s="1">
        <f t="shared" si="237"/>
        <v>7</v>
      </c>
      <c r="D3813" s="5">
        <f ca="1">IF(getQuality(B3813)&lt;4,getOtherMin(B3813,C3813,INDIRECT(J$2),INDIRECT(I3813),test),getMin(B3813,C3813,INDIRECT(J$2),INDIRECT(I3813),test))</f>
        <v>15.814814814814778</v>
      </c>
      <c r="E3813" s="5">
        <f ca="1">IF(getQuality(B3813)&lt;4,getOtherMax(B3813,C3813,INDIRECT(J$2),INDIRECT(I3813),test),getMax(B3813,C3813,INDIRECT(J$2),INDIRECT(I3813),test))</f>
        <v>22.222222222222165</v>
      </c>
      <c r="F3813" s="1" t="str">
        <f t="shared" si="239"/>
        <v>50</v>
      </c>
      <c r="G3813" s="1" t="str">
        <f t="shared" si="240"/>
        <v/>
      </c>
      <c r="I3813" s="1" t="str">
        <f t="shared" si="238"/>
        <v>威尔新数值1.06.xlsm!suitPower</v>
      </c>
    </row>
    <row r="3814" spans="1:9" x14ac:dyDescent="0.15">
      <c r="A3814" s="1">
        <v>3813</v>
      </c>
      <c r="B3814" s="1">
        <v>103030700</v>
      </c>
      <c r="C3814" s="1">
        <f t="shared" si="237"/>
        <v>8</v>
      </c>
      <c r="D3814" s="5">
        <f ca="1">IF(getQuality(B3814)&lt;4,getOtherMin(B3814,C3814,INDIRECT(J$2),INDIRECT(I3814),test),getMin(B3814,C3814,INDIRECT(J$2),INDIRECT(I3814),test))</f>
        <v>34.333333333333336</v>
      </c>
      <c r="E3814" s="5">
        <f ca="1">IF(getQuality(B3814)&lt;4,getOtherMax(B3814,C3814,INDIRECT(J$2),INDIRECT(I3814),test),getMax(B3814,C3814,INDIRECT(J$2),INDIRECT(I3814),test))</f>
        <v>50</v>
      </c>
      <c r="F3814" s="1" t="str">
        <f t="shared" si="239"/>
        <v>50</v>
      </c>
      <c r="G3814" s="1" t="str">
        <f t="shared" si="240"/>
        <v/>
      </c>
      <c r="I3814" s="1" t="str">
        <f t="shared" si="238"/>
        <v>威尔新数值1.06.xlsm!suitPower</v>
      </c>
    </row>
    <row r="3815" spans="1:9" x14ac:dyDescent="0.15">
      <c r="A3815" s="1">
        <v>3814</v>
      </c>
      <c r="B3815" s="1">
        <v>103030700</v>
      </c>
      <c r="C3815" s="1">
        <f t="shared" si="237"/>
        <v>9</v>
      </c>
      <c r="D3815" s="5">
        <f ca="1">IF(getQuality(B3815)&lt;4,getOtherMin(B3815,C3815,INDIRECT(J$2),INDIRECT(I3815),test),getMin(B3815,C3815,INDIRECT(J$2),INDIRECT(I3815),test))</f>
        <v>53.82172660977222</v>
      </c>
      <c r="E3815" s="5">
        <f ca="1">IF(getQuality(B3815)&lt;4,getOtherMax(B3815,C3815,INDIRECT(J$2),INDIRECT(I3815),test),getMax(B3815,C3815,INDIRECT(J$2),INDIRECT(I3815),test))</f>
        <v>86.435552634172723</v>
      </c>
      <c r="F3815" s="1" t="str">
        <f t="shared" si="239"/>
        <v>50</v>
      </c>
      <c r="G3815" s="1" t="str">
        <f t="shared" si="240"/>
        <v/>
      </c>
      <c r="I3815" s="1" t="str">
        <f t="shared" si="238"/>
        <v>威尔新数值1.06.xlsm!suitPower</v>
      </c>
    </row>
    <row r="3816" spans="1:9" x14ac:dyDescent="0.15">
      <c r="A3816" s="1">
        <v>3815</v>
      </c>
      <c r="B3816" s="1">
        <v>103030700</v>
      </c>
      <c r="C3816" s="1">
        <f t="shared" si="237"/>
        <v>10</v>
      </c>
      <c r="D3816" s="5">
        <f ca="1">IF(getQuality(B3816)&lt;4,getOtherMin(B3816,C3816,INDIRECT(J$2),INDIRECT(I3816),test),getMin(B3816,C3816,INDIRECT(J$2),INDIRECT(I3816),test))</f>
        <v>53.82172660977222</v>
      </c>
      <c r="E3816" s="5">
        <f ca="1">IF(getQuality(B3816)&lt;4,getOtherMax(B3816,C3816,INDIRECT(J$2),INDIRECT(I3816),test),getMax(B3816,C3816,INDIRECT(J$2),INDIRECT(I3816),test))</f>
        <v>86.435552634172723</v>
      </c>
      <c r="F3816" s="1" t="str">
        <f t="shared" si="239"/>
        <v>50</v>
      </c>
      <c r="G3816" s="1" t="str">
        <f t="shared" si="240"/>
        <v/>
      </c>
      <c r="I3816" s="1" t="str">
        <f t="shared" si="238"/>
        <v>威尔新数值1.06.xlsm!suitPower</v>
      </c>
    </row>
    <row r="3817" spans="1:9" x14ac:dyDescent="0.15">
      <c r="A3817" s="1">
        <v>3816</v>
      </c>
      <c r="B3817" s="1">
        <v>103030700</v>
      </c>
      <c r="C3817" s="1">
        <f t="shared" si="237"/>
        <v>11</v>
      </c>
      <c r="D3817" s="5">
        <f ca="1">IF(getQuality(B3817)&lt;4,getOtherMin(B3817,C3817,INDIRECT(J$2),INDIRECT(I3817),test),getMin(B3817,C3817,INDIRECT(J$2),INDIRECT(I3817),test))</f>
        <v>53.82172660977222</v>
      </c>
      <c r="E3817" s="5">
        <f ca="1">IF(getQuality(B3817)&lt;4,getOtherMax(B3817,C3817,INDIRECT(J$2),INDIRECT(I3817),test),getMax(B3817,C3817,INDIRECT(J$2),INDIRECT(I3817),test))</f>
        <v>86.435552634172723</v>
      </c>
      <c r="F3817" s="1" t="str">
        <f t="shared" si="239"/>
        <v>50</v>
      </c>
      <c r="G3817" s="1" t="str">
        <f t="shared" si="240"/>
        <v/>
      </c>
      <c r="I3817" s="1" t="str">
        <f t="shared" si="238"/>
        <v>威尔新数值1.06.xlsm!suitPower</v>
      </c>
    </row>
    <row r="3818" spans="1:9" x14ac:dyDescent="0.15">
      <c r="A3818" s="1">
        <v>3817</v>
      </c>
      <c r="B3818" s="1">
        <v>103030700</v>
      </c>
      <c r="C3818" s="1">
        <f t="shared" si="237"/>
        <v>12</v>
      </c>
      <c r="D3818" s="5">
        <f ca="1">IF(getQuality(B3818)&lt;4,getOtherMin(B3818,C3818,INDIRECT(J$2),INDIRECT(I3818),test),getMin(B3818,C3818,INDIRECT(J$2),INDIRECT(I3818),test))</f>
        <v>53.82172660977222</v>
      </c>
      <c r="E3818" s="5">
        <f ca="1">IF(getQuality(B3818)&lt;4,getOtherMax(B3818,C3818,INDIRECT(J$2),INDIRECT(I3818),test),getMax(B3818,C3818,INDIRECT(J$2),INDIRECT(I3818),test))</f>
        <v>86.435552634172723</v>
      </c>
      <c r="F3818" s="1" t="str">
        <f t="shared" si="239"/>
        <v>50</v>
      </c>
      <c r="G3818" s="1" t="str">
        <f t="shared" si="240"/>
        <v/>
      </c>
      <c r="I3818" s="1" t="str">
        <f t="shared" si="238"/>
        <v>威尔新数值1.06.xlsm!suitPower</v>
      </c>
    </row>
    <row r="3819" spans="1:9" x14ac:dyDescent="0.15">
      <c r="A3819" s="1">
        <v>3818</v>
      </c>
      <c r="B3819" s="1">
        <v>103030700</v>
      </c>
      <c r="C3819" s="1">
        <f t="shared" si="237"/>
        <v>13</v>
      </c>
      <c r="D3819" s="5">
        <f ca="1">IF(getQuality(B3819)&lt;4,getOtherMin(B3819,C3819,INDIRECT(J$2),INDIRECT(I3819),test),getMin(B3819,C3819,INDIRECT(J$2),INDIRECT(I3819),test))</f>
        <v>53.82172660977222</v>
      </c>
      <c r="E3819" s="5">
        <f ca="1">IF(getQuality(B3819)&lt;4,getOtherMax(B3819,C3819,INDIRECT(J$2),INDIRECT(I3819),test),getMax(B3819,C3819,INDIRECT(J$2),INDIRECT(I3819),test))</f>
        <v>86.435552634172723</v>
      </c>
      <c r="F3819" s="1" t="str">
        <f t="shared" si="239"/>
        <v>50</v>
      </c>
      <c r="G3819" s="1" t="str">
        <f t="shared" si="240"/>
        <v/>
      </c>
      <c r="I3819" s="1" t="str">
        <f t="shared" si="238"/>
        <v>威尔新数值1.06.xlsm!suitPower</v>
      </c>
    </row>
    <row r="3820" spans="1:9" x14ac:dyDescent="0.15">
      <c r="A3820" s="1">
        <v>3819</v>
      </c>
      <c r="B3820" s="1">
        <v>103030700</v>
      </c>
      <c r="C3820" s="1">
        <f t="shared" si="237"/>
        <v>14</v>
      </c>
      <c r="D3820" s="5">
        <f ca="1">IF(getQuality(B3820)&lt;4,getOtherMin(B3820,C3820,INDIRECT(J$2),INDIRECT(I3820),test),getMin(B3820,C3820,INDIRECT(J$2),INDIRECT(I3820),test))</f>
        <v>53.82172660977222</v>
      </c>
      <c r="E3820" s="5">
        <f ca="1">IF(getQuality(B3820)&lt;4,getOtherMax(B3820,C3820,INDIRECT(J$2),INDIRECT(I3820),test),getMax(B3820,C3820,INDIRECT(J$2),INDIRECT(I3820),test))</f>
        <v>86.435552634172723</v>
      </c>
      <c r="F3820" s="1" t="str">
        <f t="shared" si="239"/>
        <v>50</v>
      </c>
      <c r="G3820" s="1" t="str">
        <f t="shared" si="240"/>
        <v/>
      </c>
      <c r="I3820" s="1" t="str">
        <f t="shared" si="238"/>
        <v>威尔新数值1.06.xlsm!suitPower</v>
      </c>
    </row>
    <row r="3821" spans="1:9" x14ac:dyDescent="0.15">
      <c r="A3821" s="1">
        <v>3820</v>
      </c>
      <c r="B3821" s="1">
        <v>103030700</v>
      </c>
      <c r="C3821" s="1">
        <f t="shared" si="237"/>
        <v>15</v>
      </c>
      <c r="D3821" s="5">
        <f ca="1">IF(getQuality(B3821)&lt;4,getOtherMin(B3821,C3821,INDIRECT(J$2),INDIRECT(I3821),test),getMin(B3821,C3821,INDIRECT(J$2),INDIRECT(I3821),test))</f>
        <v>53.82172660977222</v>
      </c>
      <c r="E3821" s="5">
        <f ca="1">IF(getQuality(B3821)&lt;4,getOtherMax(B3821,C3821,INDIRECT(J$2),INDIRECT(I3821),test),getMax(B3821,C3821,INDIRECT(J$2),INDIRECT(I3821),test))</f>
        <v>86.435552634172723</v>
      </c>
      <c r="F3821" s="1" t="str">
        <f t="shared" si="239"/>
        <v>50</v>
      </c>
      <c r="G3821" s="1" t="str">
        <f t="shared" si="240"/>
        <v/>
      </c>
      <c r="I3821" s="1" t="str">
        <f t="shared" si="238"/>
        <v>威尔新数值1.06.xlsm!suitPower</v>
      </c>
    </row>
    <row r="3822" spans="1:9" x14ac:dyDescent="0.15">
      <c r="A3822" s="1">
        <v>3821</v>
      </c>
      <c r="B3822" s="1">
        <v>103030700</v>
      </c>
      <c r="C3822" s="1">
        <f t="shared" si="237"/>
        <v>101</v>
      </c>
      <c r="D3822" s="5">
        <f ca="1">IF(getQuality(B3822)&lt;4,getOtherMin(B3822,C3822,INDIRECT(J$2),INDIRECT(I3822),test),getMin(B3822,C3822,INDIRECT(J$2),INDIRECT(I3822),test))</f>
        <v>0.09</v>
      </c>
      <c r="E3822" s="5">
        <f ca="1">IF(getQuality(B3822)&lt;4,getOtherMax(B3822,C3822,INDIRECT(J$2),INDIRECT(I3822),test),getMax(B3822,C3822,INDIRECT(J$2),INDIRECT(I3822),test))</f>
        <v>0.12</v>
      </c>
      <c r="F3822" s="1" t="str">
        <f t="shared" si="239"/>
        <v>50</v>
      </c>
      <c r="G3822" s="1" t="str">
        <f t="shared" si="240"/>
        <v/>
      </c>
      <c r="I3822" s="1" t="str">
        <f t="shared" si="238"/>
        <v>威尔新数值1.06.xlsm!circlePer</v>
      </c>
    </row>
    <row r="3823" spans="1:9" x14ac:dyDescent="0.15">
      <c r="A3823" s="1">
        <v>3822</v>
      </c>
      <c r="B3823" s="1">
        <v>103030700</v>
      </c>
      <c r="C3823" s="1">
        <f t="shared" si="237"/>
        <v>102</v>
      </c>
      <c r="D3823" s="5">
        <f ca="1">IF(getQuality(B3823)&lt;4,getOtherMin(B3823,C3823,INDIRECT(J$2),INDIRECT(I3823),test),getMin(B3823,C3823,INDIRECT(J$2),INDIRECT(I3823),test))</f>
        <v>0.8</v>
      </c>
      <c r="E3823" s="5">
        <f ca="1">IF(getQuality(B3823)&lt;4,getOtherMax(B3823,C3823,INDIRECT(J$2),INDIRECT(I3823),test),getMax(B3823,C3823,INDIRECT(J$2),INDIRECT(I3823),test))</f>
        <v>1.1000000000000001</v>
      </c>
      <c r="F3823" s="1" t="str">
        <f t="shared" si="239"/>
        <v>50</v>
      </c>
      <c r="G3823" s="1" t="str">
        <f t="shared" si="240"/>
        <v/>
      </c>
      <c r="I3823" s="1" t="str">
        <f t="shared" si="238"/>
        <v>威尔新数值1.06.xlsm!circleValue</v>
      </c>
    </row>
    <row r="3824" spans="1:9" x14ac:dyDescent="0.15">
      <c r="A3824" s="1">
        <v>3823</v>
      </c>
      <c r="B3824" s="1">
        <v>103030700</v>
      </c>
      <c r="C3824" s="1">
        <f t="shared" si="237"/>
        <v>103</v>
      </c>
      <c r="D3824" s="5">
        <f ca="1">IF(getQuality(B3824)&lt;4,getOtherMin(B3824,C3824,INDIRECT(J$2),INDIRECT(I3824),test),getMin(B3824,C3824,INDIRECT(J$2),INDIRECT(I3824),test))</f>
        <v>0.09</v>
      </c>
      <c r="E3824" s="5">
        <f ca="1">IF(getQuality(B3824)&lt;4,getOtherMax(B3824,C3824,INDIRECT(J$2),INDIRECT(I3824),test),getMax(B3824,C3824,INDIRECT(J$2),INDIRECT(I3824),test))</f>
        <v>0.12</v>
      </c>
      <c r="F3824" s="1" t="str">
        <f t="shared" si="239"/>
        <v>50</v>
      </c>
      <c r="G3824" s="1" t="str">
        <f t="shared" si="240"/>
        <v/>
      </c>
      <c r="I3824" s="1" t="str">
        <f t="shared" si="238"/>
        <v>威尔新数值1.06.xlsm!otherDamage</v>
      </c>
    </row>
    <row r="3825" spans="1:9" x14ac:dyDescent="0.15">
      <c r="A3825" s="1">
        <v>3824</v>
      </c>
      <c r="B3825" s="1">
        <v>103030700</v>
      </c>
      <c r="C3825" s="1">
        <f t="shared" si="237"/>
        <v>104</v>
      </c>
      <c r="D3825" s="5">
        <f ca="1">IF(getQuality(B3825)&lt;4,getOtherMin(B3825,C3825,INDIRECT(J$2),INDIRECT(I3825),test),getMin(B3825,C3825,INDIRECT(J$2),INDIRECT(I3825),test))</f>
        <v>0.09</v>
      </c>
      <c r="E3825" s="5">
        <f ca="1">IF(getQuality(B3825)&lt;4,getOtherMax(B3825,C3825,INDIRECT(J$2),INDIRECT(I3825),test),getMax(B3825,C3825,INDIRECT(J$2),INDIRECT(I3825),test))</f>
        <v>0.18</v>
      </c>
      <c r="F3825" s="1" t="str">
        <f t="shared" si="239"/>
        <v>50</v>
      </c>
      <c r="G3825" s="1" t="str">
        <f t="shared" si="240"/>
        <v/>
      </c>
      <c r="I3825" s="1" t="str">
        <f t="shared" si="238"/>
        <v>威尔新数值1.06.xlsm!monsterDamage</v>
      </c>
    </row>
    <row r="3826" spans="1:9" x14ac:dyDescent="0.15">
      <c r="A3826" s="1">
        <v>3825</v>
      </c>
      <c r="B3826" s="1">
        <v>103030700</v>
      </c>
      <c r="C3826" s="1">
        <f t="shared" si="237"/>
        <v>105</v>
      </c>
      <c r="D3826" s="5">
        <f ca="1">IF(getQuality(B3826)&lt;4,getOtherMin(B3826,C3826,INDIRECT(J$2),INDIRECT(I3826),test),getMin(B3826,C3826,INDIRECT(J$2),INDIRECT(I3826),test))</f>
        <v>0.09</v>
      </c>
      <c r="E3826" s="5">
        <f ca="1">IF(getQuality(B3826)&lt;4,getOtherMax(B3826,C3826,INDIRECT(J$2),INDIRECT(I3826),test),getMax(B3826,C3826,INDIRECT(J$2),INDIRECT(I3826),test))</f>
        <v>0.18</v>
      </c>
      <c r="F3826" s="1" t="str">
        <f t="shared" si="239"/>
        <v>50</v>
      </c>
      <c r="G3826" s="1" t="str">
        <f t="shared" si="240"/>
        <v/>
      </c>
      <c r="I3826" s="1" t="str">
        <f t="shared" si="238"/>
        <v>威尔新数值1.06.xlsm!monsterDamage</v>
      </c>
    </row>
    <row r="3827" spans="1:9" x14ac:dyDescent="0.15">
      <c r="A3827" s="1">
        <v>3826</v>
      </c>
      <c r="B3827" s="1">
        <v>103030700</v>
      </c>
      <c r="C3827" s="1">
        <f t="shared" si="237"/>
        <v>106</v>
      </c>
      <c r="D3827" s="5">
        <f ca="1">IF(getQuality(B3827)&lt;4,getOtherMin(B3827,C3827,INDIRECT(J$2),INDIRECT(I3827),test),getMin(B3827,C3827,INDIRECT(J$2),INDIRECT(I3827),test))</f>
        <v>0.09</v>
      </c>
      <c r="E3827" s="5">
        <f ca="1">IF(getQuality(B3827)&lt;4,getOtherMax(B3827,C3827,INDIRECT(J$2),INDIRECT(I3827),test),getMax(B3827,C3827,INDIRECT(J$2),INDIRECT(I3827),test))</f>
        <v>0.18</v>
      </c>
      <c r="F3827" s="1" t="str">
        <f t="shared" si="239"/>
        <v>50</v>
      </c>
      <c r="G3827" s="1" t="str">
        <f t="shared" si="240"/>
        <v/>
      </c>
      <c r="I3827" s="1" t="str">
        <f t="shared" si="238"/>
        <v>威尔新数值1.06.xlsm!monsterDamage</v>
      </c>
    </row>
    <row r="3828" spans="1:9" x14ac:dyDescent="0.15">
      <c r="A3828" s="1">
        <v>3827</v>
      </c>
      <c r="B3828" s="1">
        <v>103030700</v>
      </c>
      <c r="C3828" s="1">
        <f t="shared" si="237"/>
        <v>107</v>
      </c>
      <c r="D3828" s="5">
        <f ca="1">IF(getQuality(B3828)&lt;4,getOtherMin(B3828,C3828,INDIRECT(J$2),INDIRECT(I3828),test),getMin(B3828,C3828,INDIRECT(J$2),INDIRECT(I3828),test))</f>
        <v>0.09</v>
      </c>
      <c r="E3828" s="5">
        <f ca="1">IF(getQuality(B3828)&lt;4,getOtherMax(B3828,C3828,INDIRECT(J$2),INDIRECT(I3828),test),getMax(B3828,C3828,INDIRECT(J$2),INDIRECT(I3828),test))</f>
        <v>0.18</v>
      </c>
      <c r="F3828" s="1" t="str">
        <f t="shared" si="239"/>
        <v>50</v>
      </c>
      <c r="G3828" s="1" t="str">
        <f t="shared" si="240"/>
        <v/>
      </c>
      <c r="I3828" s="1" t="str">
        <f t="shared" si="238"/>
        <v>威尔新数值1.06.xlsm!monsterDamage</v>
      </c>
    </row>
    <row r="3829" spans="1:9" x14ac:dyDescent="0.15">
      <c r="A3829" s="1">
        <v>3828</v>
      </c>
      <c r="B3829" s="1">
        <v>103030700</v>
      </c>
      <c r="C3829" s="1">
        <f t="shared" si="237"/>
        <v>108</v>
      </c>
      <c r="D3829" s="5">
        <f ca="1">IF(getQuality(B3829)&lt;4,getOtherMin(B3829,C3829,INDIRECT(J$2),INDIRECT(I3829),test),getMin(B3829,C3829,INDIRECT(J$2),INDIRECT(I3829),test))</f>
        <v>0.09</v>
      </c>
      <c r="E3829" s="5">
        <f ca="1">IF(getQuality(B3829)&lt;4,getOtherMax(B3829,C3829,INDIRECT(J$2),INDIRECT(I3829),test),getMax(B3829,C3829,INDIRECT(J$2),INDIRECT(I3829),test))</f>
        <v>0.18</v>
      </c>
      <c r="F3829" s="1" t="str">
        <f t="shared" si="239"/>
        <v>50</v>
      </c>
      <c r="G3829" s="1" t="str">
        <f t="shared" si="240"/>
        <v/>
      </c>
      <c r="I3829" s="1" t="str">
        <f t="shared" si="238"/>
        <v>威尔新数值1.06.xlsm!monsterDamage</v>
      </c>
    </row>
    <row r="3830" spans="1:9" x14ac:dyDescent="0.15">
      <c r="A3830" s="1">
        <v>3829</v>
      </c>
      <c r="B3830" s="1">
        <v>103040700</v>
      </c>
      <c r="C3830" s="1">
        <f t="shared" si="237"/>
        <v>3</v>
      </c>
      <c r="D3830" s="5">
        <f ca="1">IF(getQuality(B3830)&lt;4,getOtherMin(B3830,C3830,INDIRECT(J$2),INDIRECT(I3830),test),getMin(B3830,C3830,INDIRECT(J$2),INDIRECT(I3830),test))</f>
        <v>87.435552634172723</v>
      </c>
      <c r="E3830" s="5">
        <f ca="1">IF(getQuality(B3830)&lt;4,getOtherMax(B3830,C3830,INDIRECT(J$2),INDIRECT(I3830),test),getMax(B3830,C3830,INDIRECT(J$2),INDIRECT(I3830),test))</f>
        <v>124.85135380491616</v>
      </c>
      <c r="F3830" s="1" t="str">
        <f t="shared" si="239"/>
        <v>50</v>
      </c>
      <c r="G3830" s="1" t="str">
        <f t="shared" si="240"/>
        <v>1</v>
      </c>
      <c r="I3830" s="1" t="str">
        <f t="shared" si="238"/>
        <v>威尔新数值1.06.xlsm!suitPower</v>
      </c>
    </row>
    <row r="3831" spans="1:9" x14ac:dyDescent="0.15">
      <c r="A3831" s="1">
        <v>3830</v>
      </c>
      <c r="B3831" s="1">
        <v>103040700</v>
      </c>
      <c r="C3831" s="1">
        <f t="shared" si="237"/>
        <v>5</v>
      </c>
      <c r="D3831" s="5">
        <f ca="1">IF(getQuality(B3831)&lt;4,getOtherMin(B3831,C3831,INDIRECT(J$2),INDIRECT(I3831),test),getMin(B3831,C3831,INDIRECT(J$2),INDIRECT(I3831),test))</f>
        <v>87.435552634172723</v>
      </c>
      <c r="E3831" s="5">
        <f ca="1">IF(getQuality(B3831)&lt;4,getOtherMax(B3831,C3831,INDIRECT(J$2),INDIRECT(I3831),test),getMax(B3831,C3831,INDIRECT(J$2),INDIRECT(I3831),test))</f>
        <v>124.85135380491616</v>
      </c>
      <c r="F3831" s="1" t="str">
        <f t="shared" si="239"/>
        <v>50</v>
      </c>
      <c r="G3831" s="1" t="str">
        <f t="shared" si="240"/>
        <v/>
      </c>
      <c r="I3831" s="1" t="str">
        <f t="shared" si="238"/>
        <v>威尔新数值1.06.xlsm!suitPower</v>
      </c>
    </row>
    <row r="3832" spans="1:9" x14ac:dyDescent="0.15">
      <c r="A3832" s="1">
        <v>3831</v>
      </c>
      <c r="B3832" s="1">
        <v>103040700</v>
      </c>
      <c r="C3832" s="1">
        <f t="shared" si="237"/>
        <v>7</v>
      </c>
      <c r="D3832" s="5">
        <f ca="1">IF(getQuality(B3832)&lt;4,getOtherMin(B3832,C3832,INDIRECT(J$2),INDIRECT(I3832),test),getMin(B3832,C3832,INDIRECT(J$2),INDIRECT(I3832),test))</f>
        <v>23.222222222222165</v>
      </c>
      <c r="E3832" s="5">
        <f ca="1">IF(getQuality(B3832)&lt;4,getOtherMax(B3832,C3832,INDIRECT(J$2),INDIRECT(I3832),test),getMax(B3832,C3832,INDIRECT(J$2),INDIRECT(I3832),test))</f>
        <v>29.629629629629555</v>
      </c>
      <c r="F3832" s="1" t="str">
        <f t="shared" si="239"/>
        <v>50</v>
      </c>
      <c r="G3832" s="1" t="str">
        <f t="shared" si="240"/>
        <v/>
      </c>
      <c r="I3832" s="1" t="str">
        <f t="shared" si="238"/>
        <v>威尔新数值1.06.xlsm!suitPower</v>
      </c>
    </row>
    <row r="3833" spans="1:9" x14ac:dyDescent="0.15">
      <c r="A3833" s="1">
        <v>3832</v>
      </c>
      <c r="B3833" s="1">
        <v>103040700</v>
      </c>
      <c r="C3833" s="1">
        <f t="shared" si="237"/>
        <v>8</v>
      </c>
      <c r="D3833" s="5">
        <f ca="1">IF(getQuality(B3833)&lt;4,getOtherMin(B3833,C3833,INDIRECT(J$2),INDIRECT(I3833),test),getMin(B3833,C3833,INDIRECT(J$2),INDIRECT(I3833),test))</f>
        <v>51</v>
      </c>
      <c r="E3833" s="5">
        <f ca="1">IF(getQuality(B3833)&lt;4,getOtherMax(B3833,C3833,INDIRECT(J$2),INDIRECT(I3833),test),getMax(B3833,C3833,INDIRECT(J$2),INDIRECT(I3833),test))</f>
        <v>66.666666666666671</v>
      </c>
      <c r="F3833" s="1" t="str">
        <f t="shared" si="239"/>
        <v>50</v>
      </c>
      <c r="G3833" s="1" t="str">
        <f t="shared" si="240"/>
        <v/>
      </c>
      <c r="I3833" s="1" t="str">
        <f t="shared" si="238"/>
        <v>威尔新数值1.06.xlsm!suitPower</v>
      </c>
    </row>
    <row r="3834" spans="1:9" x14ac:dyDescent="0.15">
      <c r="A3834" s="1">
        <v>3833</v>
      </c>
      <c r="B3834" s="1">
        <v>103040700</v>
      </c>
      <c r="C3834" s="1">
        <f t="shared" si="237"/>
        <v>9</v>
      </c>
      <c r="D3834" s="5">
        <f ca="1">IF(getQuality(B3834)&lt;4,getOtherMin(B3834,C3834,INDIRECT(J$2),INDIRECT(I3834),test),getMin(B3834,C3834,INDIRECT(J$2),INDIRECT(I3834),test))</f>
        <v>87.435552634172723</v>
      </c>
      <c r="E3834" s="5">
        <f ca="1">IF(getQuality(B3834)&lt;4,getOtherMax(B3834,C3834,INDIRECT(J$2),INDIRECT(I3834),test),getMax(B3834,C3834,INDIRECT(J$2),INDIRECT(I3834),test))</f>
        <v>124.85135380491616</v>
      </c>
      <c r="F3834" s="1" t="str">
        <f t="shared" si="239"/>
        <v>50</v>
      </c>
      <c r="G3834" s="1" t="str">
        <f t="shared" si="240"/>
        <v/>
      </c>
      <c r="I3834" s="1" t="str">
        <f t="shared" si="238"/>
        <v>威尔新数值1.06.xlsm!suitPower</v>
      </c>
    </row>
    <row r="3835" spans="1:9" x14ac:dyDescent="0.15">
      <c r="A3835" s="1">
        <v>3834</v>
      </c>
      <c r="B3835" s="1">
        <v>103040700</v>
      </c>
      <c r="C3835" s="1">
        <f t="shared" si="237"/>
        <v>10</v>
      </c>
      <c r="D3835" s="5">
        <f ca="1">IF(getQuality(B3835)&lt;4,getOtherMin(B3835,C3835,INDIRECT(J$2),INDIRECT(I3835),test),getMin(B3835,C3835,INDIRECT(J$2),INDIRECT(I3835),test))</f>
        <v>87.435552634172723</v>
      </c>
      <c r="E3835" s="5">
        <f ca="1">IF(getQuality(B3835)&lt;4,getOtherMax(B3835,C3835,INDIRECT(J$2),INDIRECT(I3835),test),getMax(B3835,C3835,INDIRECT(J$2),INDIRECT(I3835),test))</f>
        <v>124.85135380491616</v>
      </c>
      <c r="F3835" s="1" t="str">
        <f t="shared" si="239"/>
        <v>50</v>
      </c>
      <c r="G3835" s="1" t="str">
        <f t="shared" si="240"/>
        <v/>
      </c>
      <c r="I3835" s="1" t="str">
        <f t="shared" si="238"/>
        <v>威尔新数值1.06.xlsm!suitPower</v>
      </c>
    </row>
    <row r="3836" spans="1:9" x14ac:dyDescent="0.15">
      <c r="A3836" s="1">
        <v>3835</v>
      </c>
      <c r="B3836" s="1">
        <v>103040700</v>
      </c>
      <c r="C3836" s="1">
        <f t="shared" ref="C3836:C3899" si="241">C1361</f>
        <v>11</v>
      </c>
      <c r="D3836" s="5">
        <f ca="1">IF(getQuality(B3836)&lt;4,getOtherMin(B3836,C3836,INDIRECT(J$2),INDIRECT(I3836),test),getMin(B3836,C3836,INDIRECT(J$2),INDIRECT(I3836),test))</f>
        <v>87.435552634172723</v>
      </c>
      <c r="E3836" s="5">
        <f ca="1">IF(getQuality(B3836)&lt;4,getOtherMax(B3836,C3836,INDIRECT(J$2),INDIRECT(I3836),test),getMax(B3836,C3836,INDIRECT(J$2),INDIRECT(I3836),test))</f>
        <v>124.85135380491616</v>
      </c>
      <c r="F3836" s="1" t="str">
        <f t="shared" si="239"/>
        <v>50</v>
      </c>
      <c r="G3836" s="1" t="str">
        <f t="shared" si="240"/>
        <v/>
      </c>
      <c r="I3836" s="1" t="str">
        <f t="shared" si="238"/>
        <v>威尔新数值1.06.xlsm!suitPower</v>
      </c>
    </row>
    <row r="3837" spans="1:9" x14ac:dyDescent="0.15">
      <c r="A3837" s="1">
        <v>3836</v>
      </c>
      <c r="B3837" s="1">
        <v>103040700</v>
      </c>
      <c r="C3837" s="1">
        <f t="shared" si="241"/>
        <v>12</v>
      </c>
      <c r="D3837" s="5">
        <f ca="1">IF(getQuality(B3837)&lt;4,getOtherMin(B3837,C3837,INDIRECT(J$2),INDIRECT(I3837),test),getMin(B3837,C3837,INDIRECT(J$2),INDIRECT(I3837),test))</f>
        <v>87.435552634172723</v>
      </c>
      <c r="E3837" s="5">
        <f ca="1">IF(getQuality(B3837)&lt;4,getOtherMax(B3837,C3837,INDIRECT(J$2),INDIRECT(I3837),test),getMax(B3837,C3837,INDIRECT(J$2),INDIRECT(I3837),test))</f>
        <v>124.85135380491616</v>
      </c>
      <c r="F3837" s="1" t="str">
        <f t="shared" si="239"/>
        <v>50</v>
      </c>
      <c r="G3837" s="1" t="str">
        <f t="shared" si="240"/>
        <v/>
      </c>
      <c r="I3837" s="1" t="str">
        <f t="shared" si="238"/>
        <v>威尔新数值1.06.xlsm!suitPower</v>
      </c>
    </row>
    <row r="3838" spans="1:9" x14ac:dyDescent="0.15">
      <c r="A3838" s="1">
        <v>3837</v>
      </c>
      <c r="B3838" s="1">
        <v>103040700</v>
      </c>
      <c r="C3838" s="1">
        <f t="shared" si="241"/>
        <v>13</v>
      </c>
      <c r="D3838" s="5">
        <f ca="1">IF(getQuality(B3838)&lt;4,getOtherMin(B3838,C3838,INDIRECT(J$2),INDIRECT(I3838),test),getMin(B3838,C3838,INDIRECT(J$2),INDIRECT(I3838),test))</f>
        <v>87.435552634172723</v>
      </c>
      <c r="E3838" s="5">
        <f ca="1">IF(getQuality(B3838)&lt;4,getOtherMax(B3838,C3838,INDIRECT(J$2),INDIRECT(I3838),test),getMax(B3838,C3838,INDIRECT(J$2),INDIRECT(I3838),test))</f>
        <v>124.85135380491616</v>
      </c>
      <c r="F3838" s="1" t="str">
        <f t="shared" si="239"/>
        <v>50</v>
      </c>
      <c r="G3838" s="1" t="str">
        <f t="shared" si="240"/>
        <v/>
      </c>
      <c r="I3838" s="1" t="str">
        <f t="shared" si="238"/>
        <v>威尔新数值1.06.xlsm!suitPower</v>
      </c>
    </row>
    <row r="3839" spans="1:9" x14ac:dyDescent="0.15">
      <c r="A3839" s="1">
        <v>3838</v>
      </c>
      <c r="B3839" s="1">
        <v>103040700</v>
      </c>
      <c r="C3839" s="1">
        <f t="shared" si="241"/>
        <v>14</v>
      </c>
      <c r="D3839" s="5">
        <f ca="1">IF(getQuality(B3839)&lt;4,getOtherMin(B3839,C3839,INDIRECT(J$2),INDIRECT(I3839),test),getMin(B3839,C3839,INDIRECT(J$2),INDIRECT(I3839),test))</f>
        <v>87.435552634172723</v>
      </c>
      <c r="E3839" s="5">
        <f ca="1">IF(getQuality(B3839)&lt;4,getOtherMax(B3839,C3839,INDIRECT(J$2),INDIRECT(I3839),test),getMax(B3839,C3839,INDIRECT(J$2),INDIRECT(I3839),test))</f>
        <v>124.85135380491616</v>
      </c>
      <c r="F3839" s="1" t="str">
        <f t="shared" si="239"/>
        <v>50</v>
      </c>
      <c r="G3839" s="1" t="str">
        <f t="shared" si="240"/>
        <v/>
      </c>
      <c r="I3839" s="1" t="str">
        <f t="shared" si="238"/>
        <v>威尔新数值1.06.xlsm!suitPower</v>
      </c>
    </row>
    <row r="3840" spans="1:9" x14ac:dyDescent="0.15">
      <c r="A3840" s="1">
        <v>3839</v>
      </c>
      <c r="B3840" s="1">
        <v>103040700</v>
      </c>
      <c r="C3840" s="1">
        <f t="shared" si="241"/>
        <v>15</v>
      </c>
      <c r="D3840" s="5">
        <f ca="1">IF(getQuality(B3840)&lt;4,getOtherMin(B3840,C3840,INDIRECT(J$2),INDIRECT(I3840),test),getMin(B3840,C3840,INDIRECT(J$2),INDIRECT(I3840),test))</f>
        <v>87.435552634172723</v>
      </c>
      <c r="E3840" s="5">
        <f ca="1">IF(getQuality(B3840)&lt;4,getOtherMax(B3840,C3840,INDIRECT(J$2),INDIRECT(I3840),test),getMax(B3840,C3840,INDIRECT(J$2),INDIRECT(I3840),test))</f>
        <v>124.85135380491616</v>
      </c>
      <c r="F3840" s="1" t="str">
        <f t="shared" si="239"/>
        <v>50</v>
      </c>
      <c r="G3840" s="1" t="str">
        <f t="shared" si="240"/>
        <v/>
      </c>
      <c r="I3840" s="1" t="str">
        <f t="shared" si="238"/>
        <v>威尔新数值1.06.xlsm!suitPower</v>
      </c>
    </row>
    <row r="3841" spans="1:9" x14ac:dyDescent="0.15">
      <c r="A3841" s="1">
        <v>3840</v>
      </c>
      <c r="B3841" s="1">
        <v>103040700</v>
      </c>
      <c r="C3841" s="1">
        <f t="shared" si="241"/>
        <v>101</v>
      </c>
      <c r="D3841" s="5">
        <f ca="1">IF(getQuality(B3841)&lt;4,getOtherMin(B3841,C3841,INDIRECT(J$2),INDIRECT(I3841),test),getMin(B3841,C3841,INDIRECT(J$2),INDIRECT(I3841),test))</f>
        <v>0.1</v>
      </c>
      <c r="E3841" s="5">
        <f ca="1">IF(getQuality(B3841)&lt;4,getOtherMax(B3841,C3841,INDIRECT(J$2),INDIRECT(I3841),test),getMax(B3841,C3841,INDIRECT(J$2),INDIRECT(I3841),test))</f>
        <v>0.13</v>
      </c>
      <c r="F3841" s="1" t="str">
        <f t="shared" si="239"/>
        <v>50</v>
      </c>
      <c r="G3841" s="1" t="str">
        <f t="shared" si="240"/>
        <v/>
      </c>
      <c r="I3841" s="1" t="str">
        <f t="shared" si="238"/>
        <v>威尔新数值1.06.xlsm!circlePer</v>
      </c>
    </row>
    <row r="3842" spans="1:9" x14ac:dyDescent="0.15">
      <c r="A3842" s="1">
        <v>3841</v>
      </c>
      <c r="B3842" s="1">
        <v>103040700</v>
      </c>
      <c r="C3842" s="1">
        <f t="shared" si="241"/>
        <v>102</v>
      </c>
      <c r="D3842" s="5">
        <f ca="1">IF(getQuality(B3842)&lt;4,getOtherMin(B3842,C3842,INDIRECT(J$2),INDIRECT(I3842),test),getMin(B3842,C3842,INDIRECT(J$2),INDIRECT(I3842),test))</f>
        <v>0.9</v>
      </c>
      <c r="E3842" s="5">
        <f ca="1">IF(getQuality(B3842)&lt;4,getOtherMax(B3842,C3842,INDIRECT(J$2),INDIRECT(I3842),test),getMax(B3842,C3842,INDIRECT(J$2),INDIRECT(I3842),test))</f>
        <v>1.2</v>
      </c>
      <c r="F3842" s="1" t="str">
        <f t="shared" si="239"/>
        <v>50</v>
      </c>
      <c r="G3842" s="1" t="str">
        <f t="shared" si="240"/>
        <v/>
      </c>
      <c r="I3842" s="1" t="str">
        <f t="shared" ref="I3842:I3905" si="242">IF(C3842&lt;100,VLOOKUP(C3842,test,3,FALSE),VLOOKUP(C3842,test1,3,FALSE))</f>
        <v>威尔新数值1.06.xlsm!circleValue</v>
      </c>
    </row>
    <row r="3843" spans="1:9" x14ac:dyDescent="0.15">
      <c r="A3843" s="1">
        <v>3842</v>
      </c>
      <c r="B3843" s="1">
        <v>103040700</v>
      </c>
      <c r="C3843" s="1">
        <f t="shared" si="241"/>
        <v>103</v>
      </c>
      <c r="D3843" s="5">
        <f ca="1">IF(getQuality(B3843)&lt;4,getOtherMin(B3843,C3843,INDIRECT(J$2),INDIRECT(I3843),test),getMin(B3843,C3843,INDIRECT(J$2),INDIRECT(I3843),test))</f>
        <v>0.1</v>
      </c>
      <c r="E3843" s="5">
        <f ca="1">IF(getQuality(B3843)&lt;4,getOtherMax(B3843,C3843,INDIRECT(J$2),INDIRECT(I3843),test),getMax(B3843,C3843,INDIRECT(J$2),INDIRECT(I3843),test))</f>
        <v>0.13</v>
      </c>
      <c r="F3843" s="1" t="str">
        <f t="shared" ref="F3843:F3906" si="243">getper(B3843,C3843)</f>
        <v>50</v>
      </c>
      <c r="G3843" s="1" t="str">
        <f t="shared" ref="G3843:G3906" si="244">getMust(B3843,C3843)</f>
        <v/>
      </c>
      <c r="I3843" s="1" t="str">
        <f t="shared" si="242"/>
        <v>威尔新数值1.06.xlsm!otherDamage</v>
      </c>
    </row>
    <row r="3844" spans="1:9" x14ac:dyDescent="0.15">
      <c r="A3844" s="1">
        <v>3843</v>
      </c>
      <c r="B3844" s="1">
        <v>103040700</v>
      </c>
      <c r="C3844" s="1">
        <f t="shared" si="241"/>
        <v>104</v>
      </c>
      <c r="D3844" s="5">
        <f ca="1">IF(getQuality(B3844)&lt;4,getOtherMin(B3844,C3844,INDIRECT(J$2),INDIRECT(I3844),test),getMin(B3844,C3844,INDIRECT(J$2),INDIRECT(I3844),test))</f>
        <v>0.1</v>
      </c>
      <c r="E3844" s="5">
        <f ca="1">IF(getQuality(B3844)&lt;4,getOtherMax(B3844,C3844,INDIRECT(J$2),INDIRECT(I3844),test),getMax(B3844,C3844,INDIRECT(J$2),INDIRECT(I3844),test))</f>
        <v>0.2</v>
      </c>
      <c r="F3844" s="1" t="str">
        <f t="shared" si="243"/>
        <v>50</v>
      </c>
      <c r="G3844" s="1" t="str">
        <f t="shared" si="244"/>
        <v/>
      </c>
      <c r="I3844" s="1" t="str">
        <f t="shared" si="242"/>
        <v>威尔新数值1.06.xlsm!monsterDamage</v>
      </c>
    </row>
    <row r="3845" spans="1:9" x14ac:dyDescent="0.15">
      <c r="A3845" s="1">
        <v>3844</v>
      </c>
      <c r="B3845" s="1">
        <v>103040700</v>
      </c>
      <c r="C3845" s="1">
        <f t="shared" si="241"/>
        <v>105</v>
      </c>
      <c r="D3845" s="5">
        <f ca="1">IF(getQuality(B3845)&lt;4,getOtherMin(B3845,C3845,INDIRECT(J$2),INDIRECT(I3845),test),getMin(B3845,C3845,INDIRECT(J$2),INDIRECT(I3845),test))</f>
        <v>0.1</v>
      </c>
      <c r="E3845" s="5">
        <f ca="1">IF(getQuality(B3845)&lt;4,getOtherMax(B3845,C3845,INDIRECT(J$2),INDIRECT(I3845),test),getMax(B3845,C3845,INDIRECT(J$2),INDIRECT(I3845),test))</f>
        <v>0.2</v>
      </c>
      <c r="F3845" s="1" t="str">
        <f t="shared" si="243"/>
        <v>50</v>
      </c>
      <c r="G3845" s="1" t="str">
        <f t="shared" si="244"/>
        <v/>
      </c>
      <c r="I3845" s="1" t="str">
        <f t="shared" si="242"/>
        <v>威尔新数值1.06.xlsm!monsterDamage</v>
      </c>
    </row>
    <row r="3846" spans="1:9" x14ac:dyDescent="0.15">
      <c r="A3846" s="1">
        <v>3845</v>
      </c>
      <c r="B3846" s="1">
        <v>103040700</v>
      </c>
      <c r="C3846" s="1">
        <f t="shared" si="241"/>
        <v>106</v>
      </c>
      <c r="D3846" s="5">
        <f ca="1">IF(getQuality(B3846)&lt;4,getOtherMin(B3846,C3846,INDIRECT(J$2),INDIRECT(I3846),test),getMin(B3846,C3846,INDIRECT(J$2),INDIRECT(I3846),test))</f>
        <v>0.1</v>
      </c>
      <c r="E3846" s="5">
        <f ca="1">IF(getQuality(B3846)&lt;4,getOtherMax(B3846,C3846,INDIRECT(J$2),INDIRECT(I3846),test),getMax(B3846,C3846,INDIRECT(J$2),INDIRECT(I3846),test))</f>
        <v>0.2</v>
      </c>
      <c r="F3846" s="1" t="str">
        <f t="shared" si="243"/>
        <v>50</v>
      </c>
      <c r="G3846" s="1" t="str">
        <f t="shared" si="244"/>
        <v/>
      </c>
      <c r="I3846" s="1" t="str">
        <f t="shared" si="242"/>
        <v>威尔新数值1.06.xlsm!monsterDamage</v>
      </c>
    </row>
    <row r="3847" spans="1:9" x14ac:dyDescent="0.15">
      <c r="A3847" s="1">
        <v>3846</v>
      </c>
      <c r="B3847" s="1">
        <v>103040700</v>
      </c>
      <c r="C3847" s="1">
        <f t="shared" si="241"/>
        <v>107</v>
      </c>
      <c r="D3847" s="5">
        <f ca="1">IF(getQuality(B3847)&lt;4,getOtherMin(B3847,C3847,INDIRECT(J$2),INDIRECT(I3847),test),getMin(B3847,C3847,INDIRECT(J$2),INDIRECT(I3847),test))</f>
        <v>0.1</v>
      </c>
      <c r="E3847" s="5">
        <f ca="1">IF(getQuality(B3847)&lt;4,getOtherMax(B3847,C3847,INDIRECT(J$2),INDIRECT(I3847),test),getMax(B3847,C3847,INDIRECT(J$2),INDIRECT(I3847),test))</f>
        <v>0.2</v>
      </c>
      <c r="F3847" s="1" t="str">
        <f t="shared" si="243"/>
        <v>50</v>
      </c>
      <c r="G3847" s="1" t="str">
        <f t="shared" si="244"/>
        <v/>
      </c>
      <c r="I3847" s="1" t="str">
        <f t="shared" si="242"/>
        <v>威尔新数值1.06.xlsm!monsterDamage</v>
      </c>
    </row>
    <row r="3848" spans="1:9" x14ac:dyDescent="0.15">
      <c r="A3848" s="1">
        <v>3847</v>
      </c>
      <c r="B3848" s="1">
        <v>103040700</v>
      </c>
      <c r="C3848" s="1">
        <f t="shared" si="241"/>
        <v>108</v>
      </c>
      <c r="D3848" s="5">
        <f ca="1">IF(getQuality(B3848)&lt;4,getOtherMin(B3848,C3848,INDIRECT(J$2),INDIRECT(I3848),test),getMin(B3848,C3848,INDIRECT(J$2),INDIRECT(I3848),test))</f>
        <v>0.1</v>
      </c>
      <c r="E3848" s="5">
        <f ca="1">IF(getQuality(B3848)&lt;4,getOtherMax(B3848,C3848,INDIRECT(J$2),INDIRECT(I3848),test),getMax(B3848,C3848,INDIRECT(J$2),INDIRECT(I3848),test))</f>
        <v>0.2</v>
      </c>
      <c r="F3848" s="1" t="str">
        <f t="shared" si="243"/>
        <v>50</v>
      </c>
      <c r="G3848" s="1" t="str">
        <f t="shared" si="244"/>
        <v/>
      </c>
      <c r="I3848" s="1" t="str">
        <f t="shared" si="242"/>
        <v>威尔新数值1.06.xlsm!monsterDamage</v>
      </c>
    </row>
    <row r="3849" spans="1:9" x14ac:dyDescent="0.15">
      <c r="A3849" s="1">
        <v>3848</v>
      </c>
      <c r="B3849" s="1">
        <v>103050700</v>
      </c>
      <c r="C3849" s="1">
        <f t="shared" si="241"/>
        <v>3</v>
      </c>
      <c r="D3849" s="5">
        <f ca="1">IF(getQuality(B3849)&lt;4,getOtherMin(B3849,C3849,INDIRECT(J$2),INDIRECT(I3849),test),getMin(B3849,C3849,INDIRECT(J$2),INDIRECT(I3849),test))</f>
        <v>125.85135380491616</v>
      </c>
      <c r="E3849" s="5">
        <f ca="1">IF(getQuality(B3849)&lt;4,getOtherMax(B3849,C3849,INDIRECT(J$2),INDIRECT(I3849),test),getMax(B3849,C3849,INDIRECT(J$2),INDIRECT(I3849),test))</f>
        <v>169.16048810980774</v>
      </c>
      <c r="F3849" s="1" t="str">
        <f t="shared" si="243"/>
        <v>50</v>
      </c>
      <c r="G3849" s="1" t="str">
        <f t="shared" si="244"/>
        <v>1</v>
      </c>
      <c r="I3849" s="1" t="str">
        <f t="shared" si="242"/>
        <v>威尔新数值1.06.xlsm!suitPower</v>
      </c>
    </row>
    <row r="3850" spans="1:9" x14ac:dyDescent="0.15">
      <c r="A3850" s="1">
        <v>3849</v>
      </c>
      <c r="B3850" s="1">
        <v>103050700</v>
      </c>
      <c r="C3850" s="1">
        <f t="shared" si="241"/>
        <v>5</v>
      </c>
      <c r="D3850" s="5">
        <f ca="1">IF(getQuality(B3850)&lt;4,getOtherMin(B3850,C3850,INDIRECT(J$2),INDIRECT(I3850),test),getMin(B3850,C3850,INDIRECT(J$2),INDIRECT(I3850),test))</f>
        <v>125.85135380491616</v>
      </c>
      <c r="E3850" s="5">
        <f ca="1">IF(getQuality(B3850)&lt;4,getOtherMax(B3850,C3850,INDIRECT(J$2),INDIRECT(I3850),test),getMax(B3850,C3850,INDIRECT(J$2),INDIRECT(I3850),test))</f>
        <v>169.16048810980774</v>
      </c>
      <c r="F3850" s="1" t="str">
        <f t="shared" si="243"/>
        <v>50</v>
      </c>
      <c r="G3850" s="1" t="str">
        <f t="shared" si="244"/>
        <v/>
      </c>
      <c r="I3850" s="1" t="str">
        <f t="shared" si="242"/>
        <v>威尔新数值1.06.xlsm!suitPower</v>
      </c>
    </row>
    <row r="3851" spans="1:9" x14ac:dyDescent="0.15">
      <c r="A3851" s="1">
        <v>3850</v>
      </c>
      <c r="B3851" s="1">
        <v>103050700</v>
      </c>
      <c r="C3851" s="1">
        <f t="shared" si="241"/>
        <v>7</v>
      </c>
      <c r="D3851" s="5">
        <f ca="1">IF(getQuality(B3851)&lt;4,getOtherMin(B3851,C3851,INDIRECT(J$2),INDIRECT(I3851),test),getMin(B3851,C3851,INDIRECT(J$2),INDIRECT(I3851),test))</f>
        <v>30.629629629629555</v>
      </c>
      <c r="E3851" s="5">
        <f ca="1">IF(getQuality(B3851)&lt;4,getOtherMax(B3851,C3851,INDIRECT(J$2),INDIRECT(I3851),test),getMax(B3851,C3851,INDIRECT(J$2),INDIRECT(I3851),test))</f>
        <v>37.037037037036946</v>
      </c>
      <c r="F3851" s="1" t="str">
        <f t="shared" si="243"/>
        <v>50</v>
      </c>
      <c r="G3851" s="1" t="str">
        <f t="shared" si="244"/>
        <v/>
      </c>
      <c r="I3851" s="1" t="str">
        <f t="shared" si="242"/>
        <v>威尔新数值1.06.xlsm!suitPower</v>
      </c>
    </row>
    <row r="3852" spans="1:9" x14ac:dyDescent="0.15">
      <c r="A3852" s="1">
        <v>3851</v>
      </c>
      <c r="B3852" s="1">
        <v>103050700</v>
      </c>
      <c r="C3852" s="1">
        <f t="shared" si="241"/>
        <v>8</v>
      </c>
      <c r="D3852" s="5">
        <f ca="1">IF(getQuality(B3852)&lt;4,getOtherMin(B3852,C3852,INDIRECT(J$2),INDIRECT(I3852),test),getMin(B3852,C3852,INDIRECT(J$2),INDIRECT(I3852),test))</f>
        <v>67.666666666666671</v>
      </c>
      <c r="E3852" s="5">
        <f ca="1">IF(getQuality(B3852)&lt;4,getOtherMax(B3852,C3852,INDIRECT(J$2),INDIRECT(I3852),test),getMax(B3852,C3852,INDIRECT(J$2),INDIRECT(I3852),test))</f>
        <v>83.333333333333329</v>
      </c>
      <c r="F3852" s="1" t="str">
        <f t="shared" si="243"/>
        <v>50</v>
      </c>
      <c r="G3852" s="1" t="str">
        <f t="shared" si="244"/>
        <v/>
      </c>
      <c r="I3852" s="1" t="str">
        <f t="shared" si="242"/>
        <v>威尔新数值1.06.xlsm!suitPower</v>
      </c>
    </row>
    <row r="3853" spans="1:9" x14ac:dyDescent="0.15">
      <c r="A3853" s="1">
        <v>3852</v>
      </c>
      <c r="B3853" s="1">
        <v>103050700</v>
      </c>
      <c r="C3853" s="1">
        <f t="shared" si="241"/>
        <v>9</v>
      </c>
      <c r="D3853" s="5">
        <f ca="1">IF(getQuality(B3853)&lt;4,getOtherMin(B3853,C3853,INDIRECT(J$2),INDIRECT(I3853),test),getMin(B3853,C3853,INDIRECT(J$2),INDIRECT(I3853),test))</f>
        <v>125.85135380491616</v>
      </c>
      <c r="E3853" s="5">
        <f ca="1">IF(getQuality(B3853)&lt;4,getOtherMax(B3853,C3853,INDIRECT(J$2),INDIRECT(I3853),test),getMax(B3853,C3853,INDIRECT(J$2),INDIRECT(I3853),test))</f>
        <v>169.16048810980774</v>
      </c>
      <c r="F3853" s="1" t="str">
        <f t="shared" si="243"/>
        <v>50</v>
      </c>
      <c r="G3853" s="1" t="str">
        <f t="shared" si="244"/>
        <v/>
      </c>
      <c r="I3853" s="1" t="str">
        <f t="shared" si="242"/>
        <v>威尔新数值1.06.xlsm!suitPower</v>
      </c>
    </row>
    <row r="3854" spans="1:9" x14ac:dyDescent="0.15">
      <c r="A3854" s="1">
        <v>3853</v>
      </c>
      <c r="B3854" s="1">
        <v>103050700</v>
      </c>
      <c r="C3854" s="1">
        <f t="shared" si="241"/>
        <v>10</v>
      </c>
      <c r="D3854" s="5">
        <f ca="1">IF(getQuality(B3854)&lt;4,getOtherMin(B3854,C3854,INDIRECT(J$2),INDIRECT(I3854),test),getMin(B3854,C3854,INDIRECT(J$2),INDIRECT(I3854),test))</f>
        <v>125.85135380491616</v>
      </c>
      <c r="E3854" s="5">
        <f ca="1">IF(getQuality(B3854)&lt;4,getOtherMax(B3854,C3854,INDIRECT(J$2),INDIRECT(I3854),test),getMax(B3854,C3854,INDIRECT(J$2),INDIRECT(I3854),test))</f>
        <v>169.16048810980774</v>
      </c>
      <c r="F3854" s="1" t="str">
        <f t="shared" si="243"/>
        <v>50</v>
      </c>
      <c r="G3854" s="1" t="str">
        <f t="shared" si="244"/>
        <v/>
      </c>
      <c r="I3854" s="1" t="str">
        <f t="shared" si="242"/>
        <v>威尔新数值1.06.xlsm!suitPower</v>
      </c>
    </row>
    <row r="3855" spans="1:9" x14ac:dyDescent="0.15">
      <c r="A3855" s="1">
        <v>3854</v>
      </c>
      <c r="B3855" s="1">
        <v>103050700</v>
      </c>
      <c r="C3855" s="1">
        <f t="shared" si="241"/>
        <v>11</v>
      </c>
      <c r="D3855" s="5">
        <f ca="1">IF(getQuality(B3855)&lt;4,getOtherMin(B3855,C3855,INDIRECT(J$2),INDIRECT(I3855),test),getMin(B3855,C3855,INDIRECT(J$2),INDIRECT(I3855),test))</f>
        <v>125.85135380491616</v>
      </c>
      <c r="E3855" s="5">
        <f ca="1">IF(getQuality(B3855)&lt;4,getOtherMax(B3855,C3855,INDIRECT(J$2),INDIRECT(I3855),test),getMax(B3855,C3855,INDIRECT(J$2),INDIRECT(I3855),test))</f>
        <v>169.16048810980774</v>
      </c>
      <c r="F3855" s="1" t="str">
        <f t="shared" si="243"/>
        <v>50</v>
      </c>
      <c r="G3855" s="1" t="str">
        <f t="shared" si="244"/>
        <v/>
      </c>
      <c r="I3855" s="1" t="str">
        <f t="shared" si="242"/>
        <v>威尔新数值1.06.xlsm!suitPower</v>
      </c>
    </row>
    <row r="3856" spans="1:9" x14ac:dyDescent="0.15">
      <c r="A3856" s="1">
        <v>3855</v>
      </c>
      <c r="B3856" s="1">
        <v>103050700</v>
      </c>
      <c r="C3856" s="1">
        <f t="shared" si="241"/>
        <v>12</v>
      </c>
      <c r="D3856" s="5">
        <f ca="1">IF(getQuality(B3856)&lt;4,getOtherMin(B3856,C3856,INDIRECT(J$2),INDIRECT(I3856),test),getMin(B3856,C3856,INDIRECT(J$2),INDIRECT(I3856),test))</f>
        <v>125.85135380491616</v>
      </c>
      <c r="E3856" s="5">
        <f ca="1">IF(getQuality(B3856)&lt;4,getOtherMax(B3856,C3856,INDIRECT(J$2),INDIRECT(I3856),test),getMax(B3856,C3856,INDIRECT(J$2),INDIRECT(I3856),test))</f>
        <v>169.16048810980774</v>
      </c>
      <c r="F3856" s="1" t="str">
        <f t="shared" si="243"/>
        <v>50</v>
      </c>
      <c r="G3856" s="1" t="str">
        <f t="shared" si="244"/>
        <v/>
      </c>
      <c r="I3856" s="1" t="str">
        <f t="shared" si="242"/>
        <v>威尔新数值1.06.xlsm!suitPower</v>
      </c>
    </row>
    <row r="3857" spans="1:9" x14ac:dyDescent="0.15">
      <c r="A3857" s="1">
        <v>3856</v>
      </c>
      <c r="B3857" s="1">
        <v>103050700</v>
      </c>
      <c r="C3857" s="1">
        <f t="shared" si="241"/>
        <v>13</v>
      </c>
      <c r="D3857" s="5">
        <f ca="1">IF(getQuality(B3857)&lt;4,getOtherMin(B3857,C3857,INDIRECT(J$2),INDIRECT(I3857),test),getMin(B3857,C3857,INDIRECT(J$2),INDIRECT(I3857),test))</f>
        <v>125.85135380491616</v>
      </c>
      <c r="E3857" s="5">
        <f ca="1">IF(getQuality(B3857)&lt;4,getOtherMax(B3857,C3857,INDIRECT(J$2),INDIRECT(I3857),test),getMax(B3857,C3857,INDIRECT(J$2),INDIRECT(I3857),test))</f>
        <v>169.16048810980774</v>
      </c>
      <c r="F3857" s="1" t="str">
        <f t="shared" si="243"/>
        <v>50</v>
      </c>
      <c r="G3857" s="1" t="str">
        <f t="shared" si="244"/>
        <v/>
      </c>
      <c r="I3857" s="1" t="str">
        <f t="shared" si="242"/>
        <v>威尔新数值1.06.xlsm!suitPower</v>
      </c>
    </row>
    <row r="3858" spans="1:9" x14ac:dyDescent="0.15">
      <c r="A3858" s="1">
        <v>3857</v>
      </c>
      <c r="B3858" s="1">
        <v>103050700</v>
      </c>
      <c r="C3858" s="1">
        <f t="shared" si="241"/>
        <v>14</v>
      </c>
      <c r="D3858" s="5">
        <f ca="1">IF(getQuality(B3858)&lt;4,getOtherMin(B3858,C3858,INDIRECT(J$2),INDIRECT(I3858),test),getMin(B3858,C3858,INDIRECT(J$2),INDIRECT(I3858),test))</f>
        <v>125.85135380491616</v>
      </c>
      <c r="E3858" s="5">
        <f ca="1">IF(getQuality(B3858)&lt;4,getOtherMax(B3858,C3858,INDIRECT(J$2),INDIRECT(I3858),test),getMax(B3858,C3858,INDIRECT(J$2),INDIRECT(I3858),test))</f>
        <v>169.16048810980774</v>
      </c>
      <c r="F3858" s="1" t="str">
        <f t="shared" si="243"/>
        <v>50</v>
      </c>
      <c r="G3858" s="1" t="str">
        <f t="shared" si="244"/>
        <v/>
      </c>
      <c r="I3858" s="1" t="str">
        <f t="shared" si="242"/>
        <v>威尔新数值1.06.xlsm!suitPower</v>
      </c>
    </row>
    <row r="3859" spans="1:9" x14ac:dyDescent="0.15">
      <c r="A3859" s="1">
        <v>3858</v>
      </c>
      <c r="B3859" s="1">
        <v>103050700</v>
      </c>
      <c r="C3859" s="1">
        <f t="shared" si="241"/>
        <v>15</v>
      </c>
      <c r="D3859" s="5">
        <f ca="1">IF(getQuality(B3859)&lt;4,getOtherMin(B3859,C3859,INDIRECT(J$2),INDIRECT(I3859),test),getMin(B3859,C3859,INDIRECT(J$2),INDIRECT(I3859),test))</f>
        <v>125.85135380491616</v>
      </c>
      <c r="E3859" s="5">
        <f ca="1">IF(getQuality(B3859)&lt;4,getOtherMax(B3859,C3859,INDIRECT(J$2),INDIRECT(I3859),test),getMax(B3859,C3859,INDIRECT(J$2),INDIRECT(I3859),test))</f>
        <v>169.16048810980774</v>
      </c>
      <c r="F3859" s="1" t="str">
        <f t="shared" si="243"/>
        <v>50</v>
      </c>
      <c r="G3859" s="1" t="str">
        <f t="shared" si="244"/>
        <v/>
      </c>
      <c r="I3859" s="1" t="str">
        <f t="shared" si="242"/>
        <v>威尔新数值1.06.xlsm!suitPower</v>
      </c>
    </row>
    <row r="3860" spans="1:9" x14ac:dyDescent="0.15">
      <c r="A3860" s="1">
        <v>3859</v>
      </c>
      <c r="B3860" s="1">
        <v>103050700</v>
      </c>
      <c r="C3860" s="1">
        <f t="shared" si="241"/>
        <v>101</v>
      </c>
      <c r="D3860" s="5">
        <f ca="1">IF(getQuality(B3860)&lt;4,getOtherMin(B3860,C3860,INDIRECT(J$2),INDIRECT(I3860),test),getMin(B3860,C3860,INDIRECT(J$2),INDIRECT(I3860),test))</f>
        <v>0.11</v>
      </c>
      <c r="E3860" s="5">
        <f ca="1">IF(getQuality(B3860)&lt;4,getOtherMax(B3860,C3860,INDIRECT(J$2),INDIRECT(I3860),test),getMax(B3860,C3860,INDIRECT(J$2),INDIRECT(I3860),test))</f>
        <v>0.14000000000000001</v>
      </c>
      <c r="F3860" s="1" t="str">
        <f t="shared" si="243"/>
        <v>50</v>
      </c>
      <c r="G3860" s="1" t="str">
        <f t="shared" si="244"/>
        <v/>
      </c>
      <c r="I3860" s="1" t="str">
        <f t="shared" si="242"/>
        <v>威尔新数值1.06.xlsm!circlePer</v>
      </c>
    </row>
    <row r="3861" spans="1:9" x14ac:dyDescent="0.15">
      <c r="A3861" s="1">
        <v>3860</v>
      </c>
      <c r="B3861" s="1">
        <v>103050700</v>
      </c>
      <c r="C3861" s="1">
        <f t="shared" si="241"/>
        <v>102</v>
      </c>
      <c r="D3861" s="5">
        <f ca="1">IF(getQuality(B3861)&lt;4,getOtherMin(B3861,C3861,INDIRECT(J$2),INDIRECT(I3861),test),getMin(B3861,C3861,INDIRECT(J$2),INDIRECT(I3861),test))</f>
        <v>1</v>
      </c>
      <c r="E3861" s="5">
        <f ca="1">IF(getQuality(B3861)&lt;4,getOtherMax(B3861,C3861,INDIRECT(J$2),INDIRECT(I3861),test),getMax(B3861,C3861,INDIRECT(J$2),INDIRECT(I3861),test))</f>
        <v>1.3</v>
      </c>
      <c r="F3861" s="1" t="str">
        <f t="shared" si="243"/>
        <v>50</v>
      </c>
      <c r="G3861" s="1" t="str">
        <f t="shared" si="244"/>
        <v/>
      </c>
      <c r="I3861" s="1" t="str">
        <f t="shared" si="242"/>
        <v>威尔新数值1.06.xlsm!circleValue</v>
      </c>
    </row>
    <row r="3862" spans="1:9" x14ac:dyDescent="0.15">
      <c r="A3862" s="1">
        <v>3861</v>
      </c>
      <c r="B3862" s="1">
        <v>103050700</v>
      </c>
      <c r="C3862" s="1">
        <f t="shared" si="241"/>
        <v>103</v>
      </c>
      <c r="D3862" s="5">
        <f ca="1">IF(getQuality(B3862)&lt;4,getOtherMin(B3862,C3862,INDIRECT(J$2),INDIRECT(I3862),test),getMin(B3862,C3862,INDIRECT(J$2),INDIRECT(I3862),test))</f>
        <v>0.11</v>
      </c>
      <c r="E3862" s="5">
        <f ca="1">IF(getQuality(B3862)&lt;4,getOtherMax(B3862,C3862,INDIRECT(J$2),INDIRECT(I3862),test),getMax(B3862,C3862,INDIRECT(J$2),INDIRECT(I3862),test))</f>
        <v>0.14000000000000001</v>
      </c>
      <c r="F3862" s="1" t="str">
        <f t="shared" si="243"/>
        <v>50</v>
      </c>
      <c r="G3862" s="1" t="str">
        <f t="shared" si="244"/>
        <v/>
      </c>
      <c r="I3862" s="1" t="str">
        <f t="shared" si="242"/>
        <v>威尔新数值1.06.xlsm!otherDamage</v>
      </c>
    </row>
    <row r="3863" spans="1:9" x14ac:dyDescent="0.15">
      <c r="A3863" s="1">
        <v>3862</v>
      </c>
      <c r="B3863" s="1">
        <v>103050700</v>
      </c>
      <c r="C3863" s="1">
        <f t="shared" si="241"/>
        <v>104</v>
      </c>
      <c r="D3863" s="5">
        <f ca="1">IF(getQuality(B3863)&lt;4,getOtherMin(B3863,C3863,INDIRECT(J$2),INDIRECT(I3863),test),getMin(B3863,C3863,INDIRECT(J$2),INDIRECT(I3863),test))</f>
        <v>0.11</v>
      </c>
      <c r="E3863" s="5">
        <f ca="1">IF(getQuality(B3863)&lt;4,getOtherMax(B3863,C3863,INDIRECT(J$2),INDIRECT(I3863),test),getMax(B3863,C3863,INDIRECT(J$2),INDIRECT(I3863),test))</f>
        <v>0.22</v>
      </c>
      <c r="F3863" s="1" t="str">
        <f t="shared" si="243"/>
        <v>50</v>
      </c>
      <c r="G3863" s="1" t="str">
        <f t="shared" si="244"/>
        <v/>
      </c>
      <c r="I3863" s="1" t="str">
        <f t="shared" si="242"/>
        <v>威尔新数值1.06.xlsm!monsterDamage</v>
      </c>
    </row>
    <row r="3864" spans="1:9" x14ac:dyDescent="0.15">
      <c r="A3864" s="1">
        <v>3863</v>
      </c>
      <c r="B3864" s="1">
        <v>103050700</v>
      </c>
      <c r="C3864" s="1">
        <f t="shared" si="241"/>
        <v>105</v>
      </c>
      <c r="D3864" s="5">
        <f ca="1">IF(getQuality(B3864)&lt;4,getOtherMin(B3864,C3864,INDIRECT(J$2),INDIRECT(I3864),test),getMin(B3864,C3864,INDIRECT(J$2),INDIRECT(I3864),test))</f>
        <v>0.11</v>
      </c>
      <c r="E3864" s="5">
        <f ca="1">IF(getQuality(B3864)&lt;4,getOtherMax(B3864,C3864,INDIRECT(J$2),INDIRECT(I3864),test),getMax(B3864,C3864,INDIRECT(J$2),INDIRECT(I3864),test))</f>
        <v>0.22</v>
      </c>
      <c r="F3864" s="1" t="str">
        <f t="shared" si="243"/>
        <v>50</v>
      </c>
      <c r="G3864" s="1" t="str">
        <f t="shared" si="244"/>
        <v/>
      </c>
      <c r="I3864" s="1" t="str">
        <f t="shared" si="242"/>
        <v>威尔新数值1.06.xlsm!monsterDamage</v>
      </c>
    </row>
    <row r="3865" spans="1:9" x14ac:dyDescent="0.15">
      <c r="A3865" s="1">
        <v>3864</v>
      </c>
      <c r="B3865" s="1">
        <v>103050700</v>
      </c>
      <c r="C3865" s="1">
        <f t="shared" si="241"/>
        <v>106</v>
      </c>
      <c r="D3865" s="5">
        <f ca="1">IF(getQuality(B3865)&lt;4,getOtherMin(B3865,C3865,INDIRECT(J$2),INDIRECT(I3865),test),getMin(B3865,C3865,INDIRECT(J$2),INDIRECT(I3865),test))</f>
        <v>0.11</v>
      </c>
      <c r="E3865" s="5">
        <f ca="1">IF(getQuality(B3865)&lt;4,getOtherMax(B3865,C3865,INDIRECT(J$2),INDIRECT(I3865),test),getMax(B3865,C3865,INDIRECT(J$2),INDIRECT(I3865),test))</f>
        <v>0.22</v>
      </c>
      <c r="F3865" s="1" t="str">
        <f t="shared" si="243"/>
        <v>50</v>
      </c>
      <c r="G3865" s="1" t="str">
        <f t="shared" si="244"/>
        <v/>
      </c>
      <c r="I3865" s="1" t="str">
        <f t="shared" si="242"/>
        <v>威尔新数值1.06.xlsm!monsterDamage</v>
      </c>
    </row>
    <row r="3866" spans="1:9" x14ac:dyDescent="0.15">
      <c r="A3866" s="1">
        <v>3865</v>
      </c>
      <c r="B3866" s="1">
        <v>103050700</v>
      </c>
      <c r="C3866" s="1">
        <f t="shared" si="241"/>
        <v>107</v>
      </c>
      <c r="D3866" s="5">
        <f ca="1">IF(getQuality(B3866)&lt;4,getOtherMin(B3866,C3866,INDIRECT(J$2),INDIRECT(I3866),test),getMin(B3866,C3866,INDIRECT(J$2),INDIRECT(I3866),test))</f>
        <v>0.11</v>
      </c>
      <c r="E3866" s="5">
        <f ca="1">IF(getQuality(B3866)&lt;4,getOtherMax(B3866,C3866,INDIRECT(J$2),INDIRECT(I3866),test),getMax(B3866,C3866,INDIRECT(J$2),INDIRECT(I3866),test))</f>
        <v>0.22</v>
      </c>
      <c r="F3866" s="1" t="str">
        <f t="shared" si="243"/>
        <v>50</v>
      </c>
      <c r="G3866" s="1" t="str">
        <f t="shared" si="244"/>
        <v/>
      </c>
      <c r="I3866" s="1" t="str">
        <f t="shared" si="242"/>
        <v>威尔新数值1.06.xlsm!monsterDamage</v>
      </c>
    </row>
    <row r="3867" spans="1:9" x14ac:dyDescent="0.15">
      <c r="A3867" s="1">
        <v>3866</v>
      </c>
      <c r="B3867" s="1">
        <v>103050700</v>
      </c>
      <c r="C3867" s="1">
        <f t="shared" si="241"/>
        <v>108</v>
      </c>
      <c r="D3867" s="5">
        <f ca="1">IF(getQuality(B3867)&lt;4,getOtherMin(B3867,C3867,INDIRECT(J$2),INDIRECT(I3867),test),getMin(B3867,C3867,INDIRECT(J$2),INDIRECT(I3867),test))</f>
        <v>0.11</v>
      </c>
      <c r="E3867" s="5">
        <f ca="1">IF(getQuality(B3867)&lt;4,getOtherMax(B3867,C3867,INDIRECT(J$2),INDIRECT(I3867),test),getMax(B3867,C3867,INDIRECT(J$2),INDIRECT(I3867),test))</f>
        <v>0.22</v>
      </c>
      <c r="F3867" s="1" t="str">
        <f t="shared" si="243"/>
        <v>50</v>
      </c>
      <c r="G3867" s="1" t="str">
        <f t="shared" si="244"/>
        <v/>
      </c>
      <c r="I3867" s="1" t="str">
        <f t="shared" si="242"/>
        <v>威尔新数值1.06.xlsm!monsterDamage</v>
      </c>
    </row>
    <row r="3868" spans="1:9" x14ac:dyDescent="0.15">
      <c r="A3868" s="1">
        <v>3867</v>
      </c>
      <c r="B3868" s="1">
        <v>103060700</v>
      </c>
      <c r="C3868" s="1">
        <f t="shared" si="241"/>
        <v>3</v>
      </c>
      <c r="D3868" s="5">
        <f ca="1">IF(getQuality(B3868)&lt;4,getOtherMin(B3868,C3868,INDIRECT(J$2),INDIRECT(I3868),test),getMin(B3868,C3868,INDIRECT(J$2),INDIRECT(I3868),test))</f>
        <v>170.16048810980774</v>
      </c>
      <c r="E3868" s="5">
        <f ca="1">IF(getQuality(B3868)&lt;4,getOtherMax(B3868,C3868,INDIRECT(J$2),INDIRECT(I3868),test),getMax(B3868,C3868,INDIRECT(J$2),INDIRECT(I3868),test))</f>
        <v>217.39851117079806</v>
      </c>
      <c r="F3868" s="1" t="str">
        <f t="shared" si="243"/>
        <v>50</v>
      </c>
      <c r="G3868" s="1" t="str">
        <f t="shared" si="244"/>
        <v>1</v>
      </c>
      <c r="I3868" s="1" t="str">
        <f t="shared" si="242"/>
        <v>威尔新数值1.06.xlsm!suitPower</v>
      </c>
    </row>
    <row r="3869" spans="1:9" x14ac:dyDescent="0.15">
      <c r="A3869" s="1">
        <v>3868</v>
      </c>
      <c r="B3869" s="1">
        <v>103060700</v>
      </c>
      <c r="C3869" s="1">
        <f t="shared" si="241"/>
        <v>5</v>
      </c>
      <c r="D3869" s="5">
        <f ca="1">IF(getQuality(B3869)&lt;4,getOtherMin(B3869,C3869,INDIRECT(J$2),INDIRECT(I3869),test),getMin(B3869,C3869,INDIRECT(J$2),INDIRECT(I3869),test))</f>
        <v>170.16048810980774</v>
      </c>
      <c r="E3869" s="5">
        <f ca="1">IF(getQuality(B3869)&lt;4,getOtherMax(B3869,C3869,INDIRECT(J$2),INDIRECT(I3869),test),getMax(B3869,C3869,INDIRECT(J$2),INDIRECT(I3869),test))</f>
        <v>217.39851117079806</v>
      </c>
      <c r="F3869" s="1" t="str">
        <f t="shared" si="243"/>
        <v>50</v>
      </c>
      <c r="G3869" s="1" t="str">
        <f t="shared" si="244"/>
        <v/>
      </c>
      <c r="I3869" s="1" t="str">
        <f t="shared" si="242"/>
        <v>威尔新数值1.06.xlsm!suitPower</v>
      </c>
    </row>
    <row r="3870" spans="1:9" x14ac:dyDescent="0.15">
      <c r="A3870" s="1">
        <v>3869</v>
      </c>
      <c r="B3870" s="1">
        <v>103060700</v>
      </c>
      <c r="C3870" s="1">
        <f t="shared" si="241"/>
        <v>7</v>
      </c>
      <c r="D3870" s="5">
        <f ca="1">IF(getQuality(B3870)&lt;4,getOtherMin(B3870,C3870,INDIRECT(J$2),INDIRECT(I3870),test),getMin(B3870,C3870,INDIRECT(J$2),INDIRECT(I3870),test))</f>
        <v>38.037037037036946</v>
      </c>
      <c r="E3870" s="5">
        <f ca="1">IF(getQuality(B3870)&lt;4,getOtherMax(B3870,C3870,INDIRECT(J$2),INDIRECT(I3870),test),getMax(B3870,C3870,INDIRECT(J$2),INDIRECT(I3870),test))</f>
        <v>44.444444444444329</v>
      </c>
      <c r="F3870" s="1" t="str">
        <f t="shared" si="243"/>
        <v>50</v>
      </c>
      <c r="G3870" s="1" t="str">
        <f t="shared" si="244"/>
        <v/>
      </c>
      <c r="I3870" s="1" t="str">
        <f t="shared" si="242"/>
        <v>威尔新数值1.06.xlsm!suitPower</v>
      </c>
    </row>
    <row r="3871" spans="1:9" x14ac:dyDescent="0.15">
      <c r="A3871" s="1">
        <v>3870</v>
      </c>
      <c r="B3871" s="1">
        <v>103060700</v>
      </c>
      <c r="C3871" s="1">
        <f t="shared" si="241"/>
        <v>8</v>
      </c>
      <c r="D3871" s="5">
        <f ca="1">IF(getQuality(B3871)&lt;4,getOtherMin(B3871,C3871,INDIRECT(J$2),INDIRECT(I3871),test),getMin(B3871,C3871,INDIRECT(J$2),INDIRECT(I3871),test))</f>
        <v>84.333333333333329</v>
      </c>
      <c r="E3871" s="5">
        <f ca="1">IF(getQuality(B3871)&lt;4,getOtherMax(B3871,C3871,INDIRECT(J$2),INDIRECT(I3871),test),getMax(B3871,C3871,INDIRECT(J$2),INDIRECT(I3871),test))</f>
        <v>100</v>
      </c>
      <c r="F3871" s="1" t="str">
        <f t="shared" si="243"/>
        <v>50</v>
      </c>
      <c r="G3871" s="1" t="str">
        <f t="shared" si="244"/>
        <v/>
      </c>
      <c r="I3871" s="1" t="str">
        <f t="shared" si="242"/>
        <v>威尔新数值1.06.xlsm!suitPower</v>
      </c>
    </row>
    <row r="3872" spans="1:9" x14ac:dyDescent="0.15">
      <c r="A3872" s="1">
        <v>3871</v>
      </c>
      <c r="B3872" s="1">
        <v>103060700</v>
      </c>
      <c r="C3872" s="1">
        <f t="shared" si="241"/>
        <v>9</v>
      </c>
      <c r="D3872" s="5">
        <f ca="1">IF(getQuality(B3872)&lt;4,getOtherMin(B3872,C3872,INDIRECT(J$2),INDIRECT(I3872),test),getMin(B3872,C3872,INDIRECT(J$2),INDIRECT(I3872),test))</f>
        <v>170.16048810980774</v>
      </c>
      <c r="E3872" s="5">
        <f ca="1">IF(getQuality(B3872)&lt;4,getOtherMax(B3872,C3872,INDIRECT(J$2),INDIRECT(I3872),test),getMax(B3872,C3872,INDIRECT(J$2),INDIRECT(I3872),test))</f>
        <v>217.39851117079806</v>
      </c>
      <c r="F3872" s="1" t="str">
        <f t="shared" si="243"/>
        <v>50</v>
      </c>
      <c r="G3872" s="1" t="str">
        <f t="shared" si="244"/>
        <v/>
      </c>
      <c r="I3872" s="1" t="str">
        <f t="shared" si="242"/>
        <v>威尔新数值1.06.xlsm!suitPower</v>
      </c>
    </row>
    <row r="3873" spans="1:9" x14ac:dyDescent="0.15">
      <c r="A3873" s="1">
        <v>3872</v>
      </c>
      <c r="B3873" s="1">
        <v>103060700</v>
      </c>
      <c r="C3873" s="1">
        <f t="shared" si="241"/>
        <v>10</v>
      </c>
      <c r="D3873" s="5">
        <f ca="1">IF(getQuality(B3873)&lt;4,getOtherMin(B3873,C3873,INDIRECT(J$2),INDIRECT(I3873),test),getMin(B3873,C3873,INDIRECT(J$2),INDIRECT(I3873),test))</f>
        <v>170.16048810980774</v>
      </c>
      <c r="E3873" s="5">
        <f ca="1">IF(getQuality(B3873)&lt;4,getOtherMax(B3873,C3873,INDIRECT(J$2),INDIRECT(I3873),test),getMax(B3873,C3873,INDIRECT(J$2),INDIRECT(I3873),test))</f>
        <v>217.39851117079806</v>
      </c>
      <c r="F3873" s="1" t="str">
        <f t="shared" si="243"/>
        <v>50</v>
      </c>
      <c r="G3873" s="1" t="str">
        <f t="shared" si="244"/>
        <v/>
      </c>
      <c r="I3873" s="1" t="str">
        <f t="shared" si="242"/>
        <v>威尔新数值1.06.xlsm!suitPower</v>
      </c>
    </row>
    <row r="3874" spans="1:9" x14ac:dyDescent="0.15">
      <c r="A3874" s="1">
        <v>3873</v>
      </c>
      <c r="B3874" s="1">
        <v>103060700</v>
      </c>
      <c r="C3874" s="1">
        <f t="shared" si="241"/>
        <v>11</v>
      </c>
      <c r="D3874" s="5">
        <f ca="1">IF(getQuality(B3874)&lt;4,getOtherMin(B3874,C3874,INDIRECT(J$2),INDIRECT(I3874),test),getMin(B3874,C3874,INDIRECT(J$2),INDIRECT(I3874),test))</f>
        <v>170.16048810980774</v>
      </c>
      <c r="E3874" s="5">
        <f ca="1">IF(getQuality(B3874)&lt;4,getOtherMax(B3874,C3874,INDIRECT(J$2),INDIRECT(I3874),test),getMax(B3874,C3874,INDIRECT(J$2),INDIRECT(I3874),test))</f>
        <v>217.39851117079806</v>
      </c>
      <c r="F3874" s="1" t="str">
        <f t="shared" si="243"/>
        <v>50</v>
      </c>
      <c r="G3874" s="1" t="str">
        <f t="shared" si="244"/>
        <v/>
      </c>
      <c r="I3874" s="1" t="str">
        <f t="shared" si="242"/>
        <v>威尔新数值1.06.xlsm!suitPower</v>
      </c>
    </row>
    <row r="3875" spans="1:9" x14ac:dyDescent="0.15">
      <c r="A3875" s="1">
        <v>3874</v>
      </c>
      <c r="B3875" s="1">
        <v>103060700</v>
      </c>
      <c r="C3875" s="1">
        <f t="shared" si="241"/>
        <v>12</v>
      </c>
      <c r="D3875" s="5">
        <f ca="1">IF(getQuality(B3875)&lt;4,getOtherMin(B3875,C3875,INDIRECT(J$2),INDIRECT(I3875),test),getMin(B3875,C3875,INDIRECT(J$2),INDIRECT(I3875),test))</f>
        <v>170.16048810980774</v>
      </c>
      <c r="E3875" s="5">
        <f ca="1">IF(getQuality(B3875)&lt;4,getOtherMax(B3875,C3875,INDIRECT(J$2),INDIRECT(I3875),test),getMax(B3875,C3875,INDIRECT(J$2),INDIRECT(I3875),test))</f>
        <v>217.39851117079806</v>
      </c>
      <c r="F3875" s="1" t="str">
        <f t="shared" si="243"/>
        <v>50</v>
      </c>
      <c r="G3875" s="1" t="str">
        <f t="shared" si="244"/>
        <v/>
      </c>
      <c r="I3875" s="1" t="str">
        <f t="shared" si="242"/>
        <v>威尔新数值1.06.xlsm!suitPower</v>
      </c>
    </row>
    <row r="3876" spans="1:9" x14ac:dyDescent="0.15">
      <c r="A3876" s="1">
        <v>3875</v>
      </c>
      <c r="B3876" s="1">
        <v>103060700</v>
      </c>
      <c r="C3876" s="1">
        <f t="shared" si="241"/>
        <v>13</v>
      </c>
      <c r="D3876" s="5">
        <f ca="1">IF(getQuality(B3876)&lt;4,getOtherMin(B3876,C3876,INDIRECT(J$2),INDIRECT(I3876),test),getMin(B3876,C3876,INDIRECT(J$2),INDIRECT(I3876),test))</f>
        <v>170.16048810980774</v>
      </c>
      <c r="E3876" s="5">
        <f ca="1">IF(getQuality(B3876)&lt;4,getOtherMax(B3876,C3876,INDIRECT(J$2),INDIRECT(I3876),test),getMax(B3876,C3876,INDIRECT(J$2),INDIRECT(I3876),test))</f>
        <v>217.39851117079806</v>
      </c>
      <c r="F3876" s="1" t="str">
        <f t="shared" si="243"/>
        <v>50</v>
      </c>
      <c r="G3876" s="1" t="str">
        <f t="shared" si="244"/>
        <v/>
      </c>
      <c r="I3876" s="1" t="str">
        <f t="shared" si="242"/>
        <v>威尔新数值1.06.xlsm!suitPower</v>
      </c>
    </row>
    <row r="3877" spans="1:9" x14ac:dyDescent="0.15">
      <c r="A3877" s="1">
        <v>3876</v>
      </c>
      <c r="B3877" s="1">
        <v>103060700</v>
      </c>
      <c r="C3877" s="1">
        <f t="shared" si="241"/>
        <v>14</v>
      </c>
      <c r="D3877" s="5">
        <f ca="1">IF(getQuality(B3877)&lt;4,getOtherMin(B3877,C3877,INDIRECT(J$2),INDIRECT(I3877),test),getMin(B3877,C3877,INDIRECT(J$2),INDIRECT(I3877),test))</f>
        <v>170.16048810980774</v>
      </c>
      <c r="E3877" s="5">
        <f ca="1">IF(getQuality(B3877)&lt;4,getOtherMax(B3877,C3877,INDIRECT(J$2),INDIRECT(I3877),test),getMax(B3877,C3877,INDIRECT(J$2),INDIRECT(I3877),test))</f>
        <v>217.39851117079806</v>
      </c>
      <c r="F3877" s="1" t="str">
        <f t="shared" si="243"/>
        <v>50</v>
      </c>
      <c r="G3877" s="1" t="str">
        <f t="shared" si="244"/>
        <v/>
      </c>
      <c r="I3877" s="1" t="str">
        <f t="shared" si="242"/>
        <v>威尔新数值1.06.xlsm!suitPower</v>
      </c>
    </row>
    <row r="3878" spans="1:9" x14ac:dyDescent="0.15">
      <c r="A3878" s="1">
        <v>3877</v>
      </c>
      <c r="B3878" s="1">
        <v>103060700</v>
      </c>
      <c r="C3878" s="1">
        <f t="shared" si="241"/>
        <v>15</v>
      </c>
      <c r="D3878" s="5">
        <f ca="1">IF(getQuality(B3878)&lt;4,getOtherMin(B3878,C3878,INDIRECT(J$2),INDIRECT(I3878),test),getMin(B3878,C3878,INDIRECT(J$2),INDIRECT(I3878),test))</f>
        <v>170.16048810980774</v>
      </c>
      <c r="E3878" s="5">
        <f ca="1">IF(getQuality(B3878)&lt;4,getOtherMax(B3878,C3878,INDIRECT(J$2),INDIRECT(I3878),test),getMax(B3878,C3878,INDIRECT(J$2),INDIRECT(I3878),test))</f>
        <v>217.39851117079806</v>
      </c>
      <c r="F3878" s="1" t="str">
        <f t="shared" si="243"/>
        <v>50</v>
      </c>
      <c r="G3878" s="1" t="str">
        <f t="shared" si="244"/>
        <v/>
      </c>
      <c r="I3878" s="1" t="str">
        <f t="shared" si="242"/>
        <v>威尔新数值1.06.xlsm!suitPower</v>
      </c>
    </row>
    <row r="3879" spans="1:9" x14ac:dyDescent="0.15">
      <c r="A3879" s="1">
        <v>3878</v>
      </c>
      <c r="B3879" s="1">
        <v>103060700</v>
      </c>
      <c r="C3879" s="1">
        <f t="shared" si="241"/>
        <v>101</v>
      </c>
      <c r="D3879" s="5">
        <f ca="1">IF(getQuality(B3879)&lt;4,getOtherMin(B3879,C3879,INDIRECT(J$2),INDIRECT(I3879),test),getMin(B3879,C3879,INDIRECT(J$2),INDIRECT(I3879),test))</f>
        <v>0.12</v>
      </c>
      <c r="E3879" s="5">
        <f ca="1">IF(getQuality(B3879)&lt;4,getOtherMax(B3879,C3879,INDIRECT(J$2),INDIRECT(I3879),test),getMax(B3879,C3879,INDIRECT(J$2),INDIRECT(I3879),test))</f>
        <v>0.15</v>
      </c>
      <c r="F3879" s="1" t="str">
        <f t="shared" si="243"/>
        <v>50</v>
      </c>
      <c r="G3879" s="1" t="str">
        <f t="shared" si="244"/>
        <v/>
      </c>
      <c r="I3879" s="1" t="str">
        <f t="shared" si="242"/>
        <v>威尔新数值1.06.xlsm!circlePer</v>
      </c>
    </row>
    <row r="3880" spans="1:9" x14ac:dyDescent="0.15">
      <c r="A3880" s="1">
        <v>3879</v>
      </c>
      <c r="B3880" s="1">
        <v>103060700</v>
      </c>
      <c r="C3880" s="1">
        <f t="shared" si="241"/>
        <v>102</v>
      </c>
      <c r="D3880" s="5">
        <f ca="1">IF(getQuality(B3880)&lt;4,getOtherMin(B3880,C3880,INDIRECT(J$2),INDIRECT(I3880),test),getMin(B3880,C3880,INDIRECT(J$2),INDIRECT(I3880),test))</f>
        <v>1.1000000000000001</v>
      </c>
      <c r="E3880" s="5">
        <f ca="1">IF(getQuality(B3880)&lt;4,getOtherMax(B3880,C3880,INDIRECT(J$2),INDIRECT(I3880),test),getMax(B3880,C3880,INDIRECT(J$2),INDIRECT(I3880),test))</f>
        <v>1.4</v>
      </c>
      <c r="F3880" s="1" t="str">
        <f t="shared" si="243"/>
        <v>50</v>
      </c>
      <c r="G3880" s="1" t="str">
        <f t="shared" si="244"/>
        <v/>
      </c>
      <c r="I3880" s="1" t="str">
        <f t="shared" si="242"/>
        <v>威尔新数值1.06.xlsm!circleValue</v>
      </c>
    </row>
    <row r="3881" spans="1:9" x14ac:dyDescent="0.15">
      <c r="A3881" s="1">
        <v>3880</v>
      </c>
      <c r="B3881" s="1">
        <v>103060700</v>
      </c>
      <c r="C3881" s="1">
        <f t="shared" si="241"/>
        <v>103</v>
      </c>
      <c r="D3881" s="5">
        <f ca="1">IF(getQuality(B3881)&lt;4,getOtherMin(B3881,C3881,INDIRECT(J$2),INDIRECT(I3881),test),getMin(B3881,C3881,INDIRECT(J$2),INDIRECT(I3881),test))</f>
        <v>0.12</v>
      </c>
      <c r="E3881" s="5">
        <f ca="1">IF(getQuality(B3881)&lt;4,getOtherMax(B3881,C3881,INDIRECT(J$2),INDIRECT(I3881),test),getMax(B3881,C3881,INDIRECT(J$2),INDIRECT(I3881),test))</f>
        <v>0.15</v>
      </c>
      <c r="F3881" s="1" t="str">
        <f t="shared" si="243"/>
        <v>50</v>
      </c>
      <c r="G3881" s="1" t="str">
        <f t="shared" si="244"/>
        <v/>
      </c>
      <c r="I3881" s="1" t="str">
        <f t="shared" si="242"/>
        <v>威尔新数值1.06.xlsm!otherDamage</v>
      </c>
    </row>
    <row r="3882" spans="1:9" x14ac:dyDescent="0.15">
      <c r="A3882" s="1">
        <v>3881</v>
      </c>
      <c r="B3882" s="1">
        <v>103060700</v>
      </c>
      <c r="C3882" s="1">
        <f t="shared" si="241"/>
        <v>104</v>
      </c>
      <c r="D3882" s="5">
        <f ca="1">IF(getQuality(B3882)&lt;4,getOtherMin(B3882,C3882,INDIRECT(J$2),INDIRECT(I3882),test),getMin(B3882,C3882,INDIRECT(J$2),INDIRECT(I3882),test))</f>
        <v>0.12</v>
      </c>
      <c r="E3882" s="5">
        <f ca="1">IF(getQuality(B3882)&lt;4,getOtherMax(B3882,C3882,INDIRECT(J$2),INDIRECT(I3882),test),getMax(B3882,C3882,INDIRECT(J$2),INDIRECT(I3882),test))</f>
        <v>0.24</v>
      </c>
      <c r="F3882" s="1" t="str">
        <f t="shared" si="243"/>
        <v>50</v>
      </c>
      <c r="G3882" s="1" t="str">
        <f t="shared" si="244"/>
        <v/>
      </c>
      <c r="I3882" s="1" t="str">
        <f t="shared" si="242"/>
        <v>威尔新数值1.06.xlsm!monsterDamage</v>
      </c>
    </row>
    <row r="3883" spans="1:9" x14ac:dyDescent="0.15">
      <c r="A3883" s="1">
        <v>3882</v>
      </c>
      <c r="B3883" s="1">
        <v>103060700</v>
      </c>
      <c r="C3883" s="1">
        <f t="shared" si="241"/>
        <v>105</v>
      </c>
      <c r="D3883" s="5">
        <f ca="1">IF(getQuality(B3883)&lt;4,getOtherMin(B3883,C3883,INDIRECT(J$2),INDIRECT(I3883),test),getMin(B3883,C3883,INDIRECT(J$2),INDIRECT(I3883),test))</f>
        <v>0.12</v>
      </c>
      <c r="E3883" s="5">
        <f ca="1">IF(getQuality(B3883)&lt;4,getOtherMax(B3883,C3883,INDIRECT(J$2),INDIRECT(I3883),test),getMax(B3883,C3883,INDIRECT(J$2),INDIRECT(I3883),test))</f>
        <v>0.24</v>
      </c>
      <c r="F3883" s="1" t="str">
        <f t="shared" si="243"/>
        <v>50</v>
      </c>
      <c r="G3883" s="1" t="str">
        <f t="shared" si="244"/>
        <v/>
      </c>
      <c r="I3883" s="1" t="str">
        <f t="shared" si="242"/>
        <v>威尔新数值1.06.xlsm!monsterDamage</v>
      </c>
    </row>
    <row r="3884" spans="1:9" x14ac:dyDescent="0.15">
      <c r="A3884" s="1">
        <v>3883</v>
      </c>
      <c r="B3884" s="1">
        <v>103060700</v>
      </c>
      <c r="C3884" s="1">
        <f t="shared" si="241"/>
        <v>106</v>
      </c>
      <c r="D3884" s="5">
        <f ca="1">IF(getQuality(B3884)&lt;4,getOtherMin(B3884,C3884,INDIRECT(J$2),INDIRECT(I3884),test),getMin(B3884,C3884,INDIRECT(J$2),INDIRECT(I3884),test))</f>
        <v>0.12</v>
      </c>
      <c r="E3884" s="5">
        <f ca="1">IF(getQuality(B3884)&lt;4,getOtherMax(B3884,C3884,INDIRECT(J$2),INDIRECT(I3884),test),getMax(B3884,C3884,INDIRECT(J$2),INDIRECT(I3884),test))</f>
        <v>0.24</v>
      </c>
      <c r="F3884" s="1" t="str">
        <f t="shared" si="243"/>
        <v>50</v>
      </c>
      <c r="G3884" s="1" t="str">
        <f t="shared" si="244"/>
        <v/>
      </c>
      <c r="I3884" s="1" t="str">
        <f t="shared" si="242"/>
        <v>威尔新数值1.06.xlsm!monsterDamage</v>
      </c>
    </row>
    <row r="3885" spans="1:9" x14ac:dyDescent="0.15">
      <c r="A3885" s="1">
        <v>3884</v>
      </c>
      <c r="B3885" s="1">
        <v>103060700</v>
      </c>
      <c r="C3885" s="1">
        <f t="shared" si="241"/>
        <v>107</v>
      </c>
      <c r="D3885" s="5">
        <f ca="1">IF(getQuality(B3885)&lt;4,getOtherMin(B3885,C3885,INDIRECT(J$2),INDIRECT(I3885),test),getMin(B3885,C3885,INDIRECT(J$2),INDIRECT(I3885),test))</f>
        <v>0.12</v>
      </c>
      <c r="E3885" s="5">
        <f ca="1">IF(getQuality(B3885)&lt;4,getOtherMax(B3885,C3885,INDIRECT(J$2),INDIRECT(I3885),test),getMax(B3885,C3885,INDIRECT(J$2),INDIRECT(I3885),test))</f>
        <v>0.24</v>
      </c>
      <c r="F3885" s="1" t="str">
        <f t="shared" si="243"/>
        <v>50</v>
      </c>
      <c r="G3885" s="1" t="str">
        <f t="shared" si="244"/>
        <v/>
      </c>
      <c r="I3885" s="1" t="str">
        <f t="shared" si="242"/>
        <v>威尔新数值1.06.xlsm!monsterDamage</v>
      </c>
    </row>
    <row r="3886" spans="1:9" x14ac:dyDescent="0.15">
      <c r="A3886" s="1">
        <v>3885</v>
      </c>
      <c r="B3886" s="1">
        <v>103060700</v>
      </c>
      <c r="C3886" s="1">
        <f t="shared" si="241"/>
        <v>108</v>
      </c>
      <c r="D3886" s="5">
        <f ca="1">IF(getQuality(B3886)&lt;4,getOtherMin(B3886,C3886,INDIRECT(J$2),INDIRECT(I3886),test),getMin(B3886,C3886,INDIRECT(J$2),INDIRECT(I3886),test))</f>
        <v>0.12</v>
      </c>
      <c r="E3886" s="5">
        <f ca="1">IF(getQuality(B3886)&lt;4,getOtherMax(B3886,C3886,INDIRECT(J$2),INDIRECT(I3886),test),getMax(B3886,C3886,INDIRECT(J$2),INDIRECT(I3886),test))</f>
        <v>0.24</v>
      </c>
      <c r="F3886" s="1" t="str">
        <f t="shared" si="243"/>
        <v>50</v>
      </c>
      <c r="G3886" s="1" t="str">
        <f t="shared" si="244"/>
        <v/>
      </c>
      <c r="I3886" s="1" t="str">
        <f t="shared" si="242"/>
        <v>威尔新数值1.06.xlsm!monsterDamage</v>
      </c>
    </row>
    <row r="3887" spans="1:9" x14ac:dyDescent="0.15">
      <c r="A3887" s="1">
        <v>3886</v>
      </c>
      <c r="B3887" s="1">
        <v>103070700</v>
      </c>
      <c r="C3887" s="1">
        <f t="shared" si="241"/>
        <v>3</v>
      </c>
      <c r="D3887" s="5">
        <f ca="1">IF(getQuality(B3887)&lt;4,getOtherMin(B3887,C3887,INDIRECT(J$2),INDIRECT(I3887),test),getMin(B3887,C3887,INDIRECT(J$2),INDIRECT(I3887),test))</f>
        <v>218.39851117079806</v>
      </c>
      <c r="E3887" s="5">
        <f ca="1">IF(getQuality(B3887)&lt;4,getOtherMax(B3887,C3887,INDIRECT(J$2),INDIRECT(I3887),test),getMax(B3887,C3887,INDIRECT(J$2),INDIRECT(I3887),test))</f>
        <v>270.43850937813136</v>
      </c>
      <c r="F3887" s="1" t="str">
        <f t="shared" si="243"/>
        <v>50</v>
      </c>
      <c r="G3887" s="1" t="str">
        <f t="shared" si="244"/>
        <v>1</v>
      </c>
      <c r="I3887" s="1" t="str">
        <f t="shared" si="242"/>
        <v>威尔新数值1.06.xlsm!suitPower</v>
      </c>
    </row>
    <row r="3888" spans="1:9" x14ac:dyDescent="0.15">
      <c r="A3888" s="1">
        <v>3887</v>
      </c>
      <c r="B3888" s="1">
        <v>103070700</v>
      </c>
      <c r="C3888" s="1">
        <f t="shared" si="241"/>
        <v>5</v>
      </c>
      <c r="D3888" s="5">
        <f ca="1">IF(getQuality(B3888)&lt;4,getOtherMin(B3888,C3888,INDIRECT(J$2),INDIRECT(I3888),test),getMin(B3888,C3888,INDIRECT(J$2),INDIRECT(I3888),test))</f>
        <v>218.39851117079806</v>
      </c>
      <c r="E3888" s="5">
        <f ca="1">IF(getQuality(B3888)&lt;4,getOtherMax(B3888,C3888,INDIRECT(J$2),INDIRECT(I3888),test),getMax(B3888,C3888,INDIRECT(J$2),INDIRECT(I3888),test))</f>
        <v>270.43850937813136</v>
      </c>
      <c r="F3888" s="1" t="str">
        <f t="shared" si="243"/>
        <v>50</v>
      </c>
      <c r="G3888" s="1" t="str">
        <f t="shared" si="244"/>
        <v/>
      </c>
      <c r="I3888" s="1" t="str">
        <f t="shared" si="242"/>
        <v>威尔新数值1.06.xlsm!suitPower</v>
      </c>
    </row>
    <row r="3889" spans="1:9" x14ac:dyDescent="0.15">
      <c r="A3889" s="1">
        <v>3888</v>
      </c>
      <c r="B3889" s="1">
        <v>103070700</v>
      </c>
      <c r="C3889" s="1">
        <f t="shared" si="241"/>
        <v>7</v>
      </c>
      <c r="D3889" s="5">
        <f ca="1">IF(getQuality(B3889)&lt;4,getOtherMin(B3889,C3889,INDIRECT(J$2),INDIRECT(I3889),test),getMin(B3889,C3889,INDIRECT(J$2),INDIRECT(I3889),test))</f>
        <v>45.444444444444329</v>
      </c>
      <c r="E3889" s="5">
        <f ca="1">IF(getQuality(B3889)&lt;4,getOtherMax(B3889,C3889,INDIRECT(J$2),INDIRECT(I3889),test),getMax(B3889,C3889,INDIRECT(J$2),INDIRECT(I3889),test))</f>
        <v>51.85185185185172</v>
      </c>
      <c r="F3889" s="1" t="str">
        <f t="shared" si="243"/>
        <v>50</v>
      </c>
      <c r="G3889" s="1" t="str">
        <f t="shared" si="244"/>
        <v/>
      </c>
      <c r="I3889" s="1" t="str">
        <f t="shared" si="242"/>
        <v>威尔新数值1.06.xlsm!suitPower</v>
      </c>
    </row>
    <row r="3890" spans="1:9" x14ac:dyDescent="0.15">
      <c r="A3890" s="1">
        <v>3889</v>
      </c>
      <c r="B3890" s="1">
        <v>103070700</v>
      </c>
      <c r="C3890" s="1">
        <f t="shared" si="241"/>
        <v>8</v>
      </c>
      <c r="D3890" s="5">
        <f ca="1">IF(getQuality(B3890)&lt;4,getOtherMin(B3890,C3890,INDIRECT(J$2),INDIRECT(I3890),test),getMin(B3890,C3890,INDIRECT(J$2),INDIRECT(I3890),test))</f>
        <v>101</v>
      </c>
      <c r="E3890" s="5">
        <f ca="1">IF(getQuality(B3890)&lt;4,getOtherMax(B3890,C3890,INDIRECT(J$2),INDIRECT(I3890),test),getMax(B3890,C3890,INDIRECT(J$2),INDIRECT(I3890),test))</f>
        <v>116.66666666666667</v>
      </c>
      <c r="F3890" s="1" t="str">
        <f t="shared" si="243"/>
        <v>50</v>
      </c>
      <c r="G3890" s="1" t="str">
        <f t="shared" si="244"/>
        <v/>
      </c>
      <c r="I3890" s="1" t="str">
        <f t="shared" si="242"/>
        <v>威尔新数值1.06.xlsm!suitPower</v>
      </c>
    </row>
    <row r="3891" spans="1:9" x14ac:dyDescent="0.15">
      <c r="A3891" s="1">
        <v>3890</v>
      </c>
      <c r="B3891" s="1">
        <v>103070700</v>
      </c>
      <c r="C3891" s="1">
        <f t="shared" si="241"/>
        <v>9</v>
      </c>
      <c r="D3891" s="5">
        <f ca="1">IF(getQuality(B3891)&lt;4,getOtherMin(B3891,C3891,INDIRECT(J$2),INDIRECT(I3891),test),getMin(B3891,C3891,INDIRECT(J$2),INDIRECT(I3891),test))</f>
        <v>218.39851117079806</v>
      </c>
      <c r="E3891" s="5">
        <f ca="1">IF(getQuality(B3891)&lt;4,getOtherMax(B3891,C3891,INDIRECT(J$2),INDIRECT(I3891),test),getMax(B3891,C3891,INDIRECT(J$2),INDIRECT(I3891),test))</f>
        <v>270.43850937813136</v>
      </c>
      <c r="F3891" s="1" t="str">
        <f t="shared" si="243"/>
        <v>50</v>
      </c>
      <c r="G3891" s="1" t="str">
        <f t="shared" si="244"/>
        <v/>
      </c>
      <c r="I3891" s="1" t="str">
        <f t="shared" si="242"/>
        <v>威尔新数值1.06.xlsm!suitPower</v>
      </c>
    </row>
    <row r="3892" spans="1:9" x14ac:dyDescent="0.15">
      <c r="A3892" s="1">
        <v>3891</v>
      </c>
      <c r="B3892" s="1">
        <v>103070700</v>
      </c>
      <c r="C3892" s="1">
        <f t="shared" si="241"/>
        <v>10</v>
      </c>
      <c r="D3892" s="5">
        <f ca="1">IF(getQuality(B3892)&lt;4,getOtherMin(B3892,C3892,INDIRECT(J$2),INDIRECT(I3892),test),getMin(B3892,C3892,INDIRECT(J$2),INDIRECT(I3892),test))</f>
        <v>218.39851117079806</v>
      </c>
      <c r="E3892" s="5">
        <f ca="1">IF(getQuality(B3892)&lt;4,getOtherMax(B3892,C3892,INDIRECT(J$2),INDIRECT(I3892),test),getMax(B3892,C3892,INDIRECT(J$2),INDIRECT(I3892),test))</f>
        <v>270.43850937813136</v>
      </c>
      <c r="F3892" s="1" t="str">
        <f t="shared" si="243"/>
        <v>50</v>
      </c>
      <c r="G3892" s="1" t="str">
        <f t="shared" si="244"/>
        <v/>
      </c>
      <c r="I3892" s="1" t="str">
        <f t="shared" si="242"/>
        <v>威尔新数值1.06.xlsm!suitPower</v>
      </c>
    </row>
    <row r="3893" spans="1:9" x14ac:dyDescent="0.15">
      <c r="A3893" s="1">
        <v>3892</v>
      </c>
      <c r="B3893" s="1">
        <v>103070700</v>
      </c>
      <c r="C3893" s="1">
        <f t="shared" si="241"/>
        <v>11</v>
      </c>
      <c r="D3893" s="5">
        <f ca="1">IF(getQuality(B3893)&lt;4,getOtherMin(B3893,C3893,INDIRECT(J$2),INDIRECT(I3893),test),getMin(B3893,C3893,INDIRECT(J$2),INDIRECT(I3893),test))</f>
        <v>218.39851117079806</v>
      </c>
      <c r="E3893" s="5">
        <f ca="1">IF(getQuality(B3893)&lt;4,getOtherMax(B3893,C3893,INDIRECT(J$2),INDIRECT(I3893),test),getMax(B3893,C3893,INDIRECT(J$2),INDIRECT(I3893),test))</f>
        <v>270.43850937813136</v>
      </c>
      <c r="F3893" s="1" t="str">
        <f t="shared" si="243"/>
        <v>50</v>
      </c>
      <c r="G3893" s="1" t="str">
        <f t="shared" si="244"/>
        <v/>
      </c>
      <c r="I3893" s="1" t="str">
        <f t="shared" si="242"/>
        <v>威尔新数值1.06.xlsm!suitPower</v>
      </c>
    </row>
    <row r="3894" spans="1:9" x14ac:dyDescent="0.15">
      <c r="A3894" s="1">
        <v>3893</v>
      </c>
      <c r="B3894" s="1">
        <v>103070700</v>
      </c>
      <c r="C3894" s="1">
        <f t="shared" si="241"/>
        <v>12</v>
      </c>
      <c r="D3894" s="5">
        <f ca="1">IF(getQuality(B3894)&lt;4,getOtherMin(B3894,C3894,INDIRECT(J$2),INDIRECT(I3894),test),getMin(B3894,C3894,INDIRECT(J$2),INDIRECT(I3894),test))</f>
        <v>218.39851117079806</v>
      </c>
      <c r="E3894" s="5">
        <f ca="1">IF(getQuality(B3894)&lt;4,getOtherMax(B3894,C3894,INDIRECT(J$2),INDIRECT(I3894),test),getMax(B3894,C3894,INDIRECT(J$2),INDIRECT(I3894),test))</f>
        <v>270.43850937813136</v>
      </c>
      <c r="F3894" s="1" t="str">
        <f t="shared" si="243"/>
        <v>50</v>
      </c>
      <c r="G3894" s="1" t="str">
        <f t="shared" si="244"/>
        <v/>
      </c>
      <c r="I3894" s="1" t="str">
        <f t="shared" si="242"/>
        <v>威尔新数值1.06.xlsm!suitPower</v>
      </c>
    </row>
    <row r="3895" spans="1:9" x14ac:dyDescent="0.15">
      <c r="A3895" s="1">
        <v>3894</v>
      </c>
      <c r="B3895" s="1">
        <v>103070700</v>
      </c>
      <c r="C3895" s="1">
        <f t="shared" si="241"/>
        <v>13</v>
      </c>
      <c r="D3895" s="5">
        <f ca="1">IF(getQuality(B3895)&lt;4,getOtherMin(B3895,C3895,INDIRECT(J$2),INDIRECT(I3895),test),getMin(B3895,C3895,INDIRECT(J$2),INDIRECT(I3895),test))</f>
        <v>218.39851117079806</v>
      </c>
      <c r="E3895" s="5">
        <f ca="1">IF(getQuality(B3895)&lt;4,getOtherMax(B3895,C3895,INDIRECT(J$2),INDIRECT(I3895),test),getMax(B3895,C3895,INDIRECT(J$2),INDIRECT(I3895),test))</f>
        <v>270.43850937813136</v>
      </c>
      <c r="F3895" s="1" t="str">
        <f t="shared" si="243"/>
        <v>50</v>
      </c>
      <c r="G3895" s="1" t="str">
        <f t="shared" si="244"/>
        <v/>
      </c>
      <c r="I3895" s="1" t="str">
        <f t="shared" si="242"/>
        <v>威尔新数值1.06.xlsm!suitPower</v>
      </c>
    </row>
    <row r="3896" spans="1:9" x14ac:dyDescent="0.15">
      <c r="A3896" s="1">
        <v>3895</v>
      </c>
      <c r="B3896" s="1">
        <v>103070700</v>
      </c>
      <c r="C3896" s="1">
        <f t="shared" si="241"/>
        <v>14</v>
      </c>
      <c r="D3896" s="5">
        <f ca="1">IF(getQuality(B3896)&lt;4,getOtherMin(B3896,C3896,INDIRECT(J$2),INDIRECT(I3896),test),getMin(B3896,C3896,INDIRECT(J$2),INDIRECT(I3896),test))</f>
        <v>218.39851117079806</v>
      </c>
      <c r="E3896" s="5">
        <f ca="1">IF(getQuality(B3896)&lt;4,getOtherMax(B3896,C3896,INDIRECT(J$2),INDIRECT(I3896),test),getMax(B3896,C3896,INDIRECT(J$2),INDIRECT(I3896),test))</f>
        <v>270.43850937813136</v>
      </c>
      <c r="F3896" s="1" t="str">
        <f t="shared" si="243"/>
        <v>50</v>
      </c>
      <c r="G3896" s="1" t="str">
        <f t="shared" si="244"/>
        <v/>
      </c>
      <c r="I3896" s="1" t="str">
        <f t="shared" si="242"/>
        <v>威尔新数值1.06.xlsm!suitPower</v>
      </c>
    </row>
    <row r="3897" spans="1:9" x14ac:dyDescent="0.15">
      <c r="A3897" s="1">
        <v>3896</v>
      </c>
      <c r="B3897" s="1">
        <v>103070700</v>
      </c>
      <c r="C3897" s="1">
        <f t="shared" si="241"/>
        <v>15</v>
      </c>
      <c r="D3897" s="5">
        <f ca="1">IF(getQuality(B3897)&lt;4,getOtherMin(B3897,C3897,INDIRECT(J$2),INDIRECT(I3897),test),getMin(B3897,C3897,INDIRECT(J$2),INDIRECT(I3897),test))</f>
        <v>218.39851117079806</v>
      </c>
      <c r="E3897" s="5">
        <f ca="1">IF(getQuality(B3897)&lt;4,getOtherMax(B3897,C3897,INDIRECT(J$2),INDIRECT(I3897),test),getMax(B3897,C3897,INDIRECT(J$2),INDIRECT(I3897),test))</f>
        <v>270.43850937813136</v>
      </c>
      <c r="F3897" s="1" t="str">
        <f t="shared" si="243"/>
        <v>50</v>
      </c>
      <c r="G3897" s="1" t="str">
        <f t="shared" si="244"/>
        <v/>
      </c>
      <c r="I3897" s="1" t="str">
        <f t="shared" si="242"/>
        <v>威尔新数值1.06.xlsm!suitPower</v>
      </c>
    </row>
    <row r="3898" spans="1:9" x14ac:dyDescent="0.15">
      <c r="A3898" s="1">
        <v>3897</v>
      </c>
      <c r="B3898" s="1">
        <v>103070700</v>
      </c>
      <c r="C3898" s="1">
        <f t="shared" si="241"/>
        <v>101</v>
      </c>
      <c r="D3898" s="5">
        <f ca="1">IF(getQuality(B3898)&lt;4,getOtherMin(B3898,C3898,INDIRECT(J$2),INDIRECT(I3898),test),getMin(B3898,C3898,INDIRECT(J$2),INDIRECT(I3898),test))</f>
        <v>0.13</v>
      </c>
      <c r="E3898" s="5">
        <f ca="1">IF(getQuality(B3898)&lt;4,getOtherMax(B3898,C3898,INDIRECT(J$2),INDIRECT(I3898),test),getMax(B3898,C3898,INDIRECT(J$2),INDIRECT(I3898),test))</f>
        <v>0.16</v>
      </c>
      <c r="F3898" s="1" t="str">
        <f t="shared" si="243"/>
        <v>50</v>
      </c>
      <c r="G3898" s="1" t="str">
        <f t="shared" si="244"/>
        <v/>
      </c>
      <c r="I3898" s="1" t="str">
        <f t="shared" si="242"/>
        <v>威尔新数值1.06.xlsm!circlePer</v>
      </c>
    </row>
    <row r="3899" spans="1:9" x14ac:dyDescent="0.15">
      <c r="A3899" s="1">
        <v>3898</v>
      </c>
      <c r="B3899" s="1">
        <v>103070700</v>
      </c>
      <c r="C3899" s="1">
        <f t="shared" si="241"/>
        <v>102</v>
      </c>
      <c r="D3899" s="5">
        <f ca="1">IF(getQuality(B3899)&lt;4,getOtherMin(B3899,C3899,INDIRECT(J$2),INDIRECT(I3899),test),getMin(B3899,C3899,INDIRECT(J$2),INDIRECT(I3899),test))</f>
        <v>1.2</v>
      </c>
      <c r="E3899" s="5">
        <f ca="1">IF(getQuality(B3899)&lt;4,getOtherMax(B3899,C3899,INDIRECT(J$2),INDIRECT(I3899),test),getMax(B3899,C3899,INDIRECT(J$2),INDIRECT(I3899),test))</f>
        <v>1.5</v>
      </c>
      <c r="F3899" s="1" t="str">
        <f t="shared" si="243"/>
        <v>50</v>
      </c>
      <c r="G3899" s="1" t="str">
        <f t="shared" si="244"/>
        <v/>
      </c>
      <c r="I3899" s="1" t="str">
        <f t="shared" si="242"/>
        <v>威尔新数值1.06.xlsm!circleValue</v>
      </c>
    </row>
    <row r="3900" spans="1:9" x14ac:dyDescent="0.15">
      <c r="A3900" s="1">
        <v>3899</v>
      </c>
      <c r="B3900" s="1">
        <v>103070700</v>
      </c>
      <c r="C3900" s="1">
        <f t="shared" ref="C3900:C3963" si="245">C1425</f>
        <v>103</v>
      </c>
      <c r="D3900" s="5">
        <f ca="1">IF(getQuality(B3900)&lt;4,getOtherMin(B3900,C3900,INDIRECT(J$2),INDIRECT(I3900),test),getMin(B3900,C3900,INDIRECT(J$2),INDIRECT(I3900),test))</f>
        <v>0.13</v>
      </c>
      <c r="E3900" s="5">
        <f ca="1">IF(getQuality(B3900)&lt;4,getOtherMax(B3900,C3900,INDIRECT(J$2),INDIRECT(I3900),test),getMax(B3900,C3900,INDIRECT(J$2),INDIRECT(I3900),test))</f>
        <v>0.16</v>
      </c>
      <c r="F3900" s="1" t="str">
        <f t="shared" si="243"/>
        <v>50</v>
      </c>
      <c r="G3900" s="1" t="str">
        <f t="shared" si="244"/>
        <v/>
      </c>
      <c r="I3900" s="1" t="str">
        <f t="shared" si="242"/>
        <v>威尔新数值1.06.xlsm!otherDamage</v>
      </c>
    </row>
    <row r="3901" spans="1:9" x14ac:dyDescent="0.15">
      <c r="A3901" s="1">
        <v>3900</v>
      </c>
      <c r="B3901" s="1">
        <v>103070700</v>
      </c>
      <c r="C3901" s="1">
        <f t="shared" si="245"/>
        <v>104</v>
      </c>
      <c r="D3901" s="5">
        <f ca="1">IF(getQuality(B3901)&lt;4,getOtherMin(B3901,C3901,INDIRECT(J$2),INDIRECT(I3901),test),getMin(B3901,C3901,INDIRECT(J$2),INDIRECT(I3901),test))</f>
        <v>0.13</v>
      </c>
      <c r="E3901" s="5">
        <f ca="1">IF(getQuality(B3901)&lt;4,getOtherMax(B3901,C3901,INDIRECT(J$2),INDIRECT(I3901),test),getMax(B3901,C3901,INDIRECT(J$2),INDIRECT(I3901),test))</f>
        <v>0.26</v>
      </c>
      <c r="F3901" s="1" t="str">
        <f t="shared" si="243"/>
        <v>50</v>
      </c>
      <c r="G3901" s="1" t="str">
        <f t="shared" si="244"/>
        <v/>
      </c>
      <c r="I3901" s="1" t="str">
        <f t="shared" si="242"/>
        <v>威尔新数值1.06.xlsm!monsterDamage</v>
      </c>
    </row>
    <row r="3902" spans="1:9" x14ac:dyDescent="0.15">
      <c r="A3902" s="1">
        <v>3901</v>
      </c>
      <c r="B3902" s="1">
        <v>103070700</v>
      </c>
      <c r="C3902" s="1">
        <f t="shared" si="245"/>
        <v>105</v>
      </c>
      <c r="D3902" s="5">
        <f ca="1">IF(getQuality(B3902)&lt;4,getOtherMin(B3902,C3902,INDIRECT(J$2),INDIRECT(I3902),test),getMin(B3902,C3902,INDIRECT(J$2),INDIRECT(I3902),test))</f>
        <v>0.13</v>
      </c>
      <c r="E3902" s="5">
        <f ca="1">IF(getQuality(B3902)&lt;4,getOtherMax(B3902,C3902,INDIRECT(J$2),INDIRECT(I3902),test),getMax(B3902,C3902,INDIRECT(J$2),INDIRECT(I3902),test))</f>
        <v>0.26</v>
      </c>
      <c r="F3902" s="1" t="str">
        <f t="shared" si="243"/>
        <v>50</v>
      </c>
      <c r="G3902" s="1" t="str">
        <f t="shared" si="244"/>
        <v/>
      </c>
      <c r="I3902" s="1" t="str">
        <f t="shared" si="242"/>
        <v>威尔新数值1.06.xlsm!monsterDamage</v>
      </c>
    </row>
    <row r="3903" spans="1:9" x14ac:dyDescent="0.15">
      <c r="A3903" s="1">
        <v>3902</v>
      </c>
      <c r="B3903" s="1">
        <v>103070700</v>
      </c>
      <c r="C3903" s="1">
        <f t="shared" si="245"/>
        <v>106</v>
      </c>
      <c r="D3903" s="5">
        <f ca="1">IF(getQuality(B3903)&lt;4,getOtherMin(B3903,C3903,INDIRECT(J$2),INDIRECT(I3903),test),getMin(B3903,C3903,INDIRECT(J$2),INDIRECT(I3903),test))</f>
        <v>0.13</v>
      </c>
      <c r="E3903" s="5">
        <f ca="1">IF(getQuality(B3903)&lt;4,getOtherMax(B3903,C3903,INDIRECT(J$2),INDIRECT(I3903),test),getMax(B3903,C3903,INDIRECT(J$2),INDIRECT(I3903),test))</f>
        <v>0.26</v>
      </c>
      <c r="F3903" s="1" t="str">
        <f t="shared" si="243"/>
        <v>50</v>
      </c>
      <c r="G3903" s="1" t="str">
        <f t="shared" si="244"/>
        <v/>
      </c>
      <c r="I3903" s="1" t="str">
        <f t="shared" si="242"/>
        <v>威尔新数值1.06.xlsm!monsterDamage</v>
      </c>
    </row>
    <row r="3904" spans="1:9" x14ac:dyDescent="0.15">
      <c r="A3904" s="1">
        <v>3903</v>
      </c>
      <c r="B3904" s="1">
        <v>103070700</v>
      </c>
      <c r="C3904" s="1">
        <f t="shared" si="245"/>
        <v>107</v>
      </c>
      <c r="D3904" s="5">
        <f ca="1">IF(getQuality(B3904)&lt;4,getOtherMin(B3904,C3904,INDIRECT(J$2),INDIRECT(I3904),test),getMin(B3904,C3904,INDIRECT(J$2),INDIRECT(I3904),test))</f>
        <v>0.13</v>
      </c>
      <c r="E3904" s="5">
        <f ca="1">IF(getQuality(B3904)&lt;4,getOtherMax(B3904,C3904,INDIRECT(J$2),INDIRECT(I3904),test),getMax(B3904,C3904,INDIRECT(J$2),INDIRECT(I3904),test))</f>
        <v>0.26</v>
      </c>
      <c r="F3904" s="1" t="str">
        <f t="shared" si="243"/>
        <v>50</v>
      </c>
      <c r="G3904" s="1" t="str">
        <f t="shared" si="244"/>
        <v/>
      </c>
      <c r="I3904" s="1" t="str">
        <f t="shared" si="242"/>
        <v>威尔新数值1.06.xlsm!monsterDamage</v>
      </c>
    </row>
    <row r="3905" spans="1:9" x14ac:dyDescent="0.15">
      <c r="A3905" s="1">
        <v>3904</v>
      </c>
      <c r="B3905" s="1">
        <v>103070700</v>
      </c>
      <c r="C3905" s="1">
        <f t="shared" si="245"/>
        <v>108</v>
      </c>
      <c r="D3905" s="5">
        <f ca="1">IF(getQuality(B3905)&lt;4,getOtherMin(B3905,C3905,INDIRECT(J$2),INDIRECT(I3905),test),getMin(B3905,C3905,INDIRECT(J$2),INDIRECT(I3905),test))</f>
        <v>0.13</v>
      </c>
      <c r="E3905" s="5">
        <f ca="1">IF(getQuality(B3905)&lt;4,getOtherMax(B3905,C3905,INDIRECT(J$2),INDIRECT(I3905),test),getMax(B3905,C3905,INDIRECT(J$2),INDIRECT(I3905),test))</f>
        <v>0.26</v>
      </c>
      <c r="F3905" s="1" t="str">
        <f t="shared" si="243"/>
        <v>50</v>
      </c>
      <c r="G3905" s="1" t="str">
        <f t="shared" si="244"/>
        <v/>
      </c>
      <c r="I3905" s="1" t="str">
        <f t="shared" si="242"/>
        <v>威尔新数值1.06.xlsm!monsterDamage</v>
      </c>
    </row>
    <row r="3906" spans="1:9" x14ac:dyDescent="0.15">
      <c r="A3906" s="1">
        <v>3905</v>
      </c>
      <c r="B3906" s="1">
        <v>103080700</v>
      </c>
      <c r="C3906" s="1">
        <f t="shared" si="245"/>
        <v>3</v>
      </c>
      <c r="D3906" s="5">
        <f ca="1">IF(getQuality(B3906)&lt;4,getOtherMin(B3906,C3906,INDIRECT(J$2),INDIRECT(I3906),test),getMin(B3906,C3906,INDIRECT(J$2),INDIRECT(I3906),test))</f>
        <v>271.43850937813136</v>
      </c>
      <c r="E3906" s="5">
        <f ca="1">IF(getQuality(B3906)&lt;4,getOtherMax(B3906,C3906,INDIRECT(J$2),INDIRECT(I3906),test),getMax(B3906,C3906,INDIRECT(J$2),INDIRECT(I3906),test))</f>
        <v>328.28048273180752</v>
      </c>
      <c r="F3906" s="1" t="str">
        <f t="shared" si="243"/>
        <v>50</v>
      </c>
      <c r="G3906" s="1" t="str">
        <f t="shared" si="244"/>
        <v>1</v>
      </c>
      <c r="I3906" s="1" t="str">
        <f t="shared" ref="I3906:I3969" si="246">IF(C3906&lt;100,VLOOKUP(C3906,test,3,FALSE),VLOOKUP(C3906,test1,3,FALSE))</f>
        <v>威尔新数值1.06.xlsm!suitPower</v>
      </c>
    </row>
    <row r="3907" spans="1:9" x14ac:dyDescent="0.15">
      <c r="A3907" s="1">
        <v>3906</v>
      </c>
      <c r="B3907" s="1">
        <v>103080700</v>
      </c>
      <c r="C3907" s="1">
        <f t="shared" si="245"/>
        <v>5</v>
      </c>
      <c r="D3907" s="5">
        <f ca="1">IF(getQuality(B3907)&lt;4,getOtherMin(B3907,C3907,INDIRECT(J$2),INDIRECT(I3907),test),getMin(B3907,C3907,INDIRECT(J$2),INDIRECT(I3907),test))</f>
        <v>271.43850937813136</v>
      </c>
      <c r="E3907" s="5">
        <f ca="1">IF(getQuality(B3907)&lt;4,getOtherMax(B3907,C3907,INDIRECT(J$2),INDIRECT(I3907),test),getMax(B3907,C3907,INDIRECT(J$2),INDIRECT(I3907),test))</f>
        <v>328.28048273180752</v>
      </c>
      <c r="F3907" s="1" t="str">
        <f t="shared" ref="F3907:F3970" si="247">getper(B3907,C3907)</f>
        <v>50</v>
      </c>
      <c r="G3907" s="1" t="str">
        <f t="shared" ref="G3907:G3970" si="248">getMust(B3907,C3907)</f>
        <v/>
      </c>
      <c r="I3907" s="1" t="str">
        <f t="shared" si="246"/>
        <v>威尔新数值1.06.xlsm!suitPower</v>
      </c>
    </row>
    <row r="3908" spans="1:9" x14ac:dyDescent="0.15">
      <c r="A3908" s="1">
        <v>3907</v>
      </c>
      <c r="B3908" s="1">
        <v>103080700</v>
      </c>
      <c r="C3908" s="1">
        <f t="shared" si="245"/>
        <v>7</v>
      </c>
      <c r="D3908" s="5">
        <f ca="1">IF(getQuality(B3908)&lt;4,getOtherMin(B3908,C3908,INDIRECT(J$2),INDIRECT(I3908),test),getMin(B3908,C3908,INDIRECT(J$2),INDIRECT(I3908),test))</f>
        <v>52.85185185185172</v>
      </c>
      <c r="E3908" s="5">
        <f ca="1">IF(getQuality(B3908)&lt;4,getOtherMax(B3908,C3908,INDIRECT(J$2),INDIRECT(I3908),test),getMax(B3908,C3908,INDIRECT(J$2),INDIRECT(I3908),test))</f>
        <v>59.25925925925911</v>
      </c>
      <c r="F3908" s="1" t="str">
        <f t="shared" si="247"/>
        <v>50</v>
      </c>
      <c r="G3908" s="1" t="str">
        <f t="shared" si="248"/>
        <v/>
      </c>
      <c r="I3908" s="1" t="str">
        <f t="shared" si="246"/>
        <v>威尔新数值1.06.xlsm!suitPower</v>
      </c>
    </row>
    <row r="3909" spans="1:9" x14ac:dyDescent="0.15">
      <c r="A3909" s="1">
        <v>3908</v>
      </c>
      <c r="B3909" s="1">
        <v>103080700</v>
      </c>
      <c r="C3909" s="1">
        <f t="shared" si="245"/>
        <v>8</v>
      </c>
      <c r="D3909" s="5">
        <f ca="1">IF(getQuality(B3909)&lt;4,getOtherMin(B3909,C3909,INDIRECT(J$2),INDIRECT(I3909),test),getMin(B3909,C3909,INDIRECT(J$2),INDIRECT(I3909),test))</f>
        <v>117.66666666666667</v>
      </c>
      <c r="E3909" s="5">
        <f ca="1">IF(getQuality(B3909)&lt;4,getOtherMax(B3909,C3909,INDIRECT(J$2),INDIRECT(I3909),test),getMax(B3909,C3909,INDIRECT(J$2),INDIRECT(I3909),test))</f>
        <v>133.33333333333334</v>
      </c>
      <c r="F3909" s="1" t="str">
        <f t="shared" si="247"/>
        <v>50</v>
      </c>
      <c r="G3909" s="1" t="str">
        <f t="shared" si="248"/>
        <v/>
      </c>
      <c r="I3909" s="1" t="str">
        <f t="shared" si="246"/>
        <v>威尔新数值1.06.xlsm!suitPower</v>
      </c>
    </row>
    <row r="3910" spans="1:9" x14ac:dyDescent="0.15">
      <c r="A3910" s="1">
        <v>3909</v>
      </c>
      <c r="B3910" s="1">
        <v>103080700</v>
      </c>
      <c r="C3910" s="1">
        <f t="shared" si="245"/>
        <v>9</v>
      </c>
      <c r="D3910" s="5">
        <f ca="1">IF(getQuality(B3910)&lt;4,getOtherMin(B3910,C3910,INDIRECT(J$2),INDIRECT(I3910),test),getMin(B3910,C3910,INDIRECT(J$2),INDIRECT(I3910),test))</f>
        <v>271.43850937813136</v>
      </c>
      <c r="E3910" s="5">
        <f ca="1">IF(getQuality(B3910)&lt;4,getOtherMax(B3910,C3910,INDIRECT(J$2),INDIRECT(I3910),test),getMax(B3910,C3910,INDIRECT(J$2),INDIRECT(I3910),test))</f>
        <v>328.28048273180752</v>
      </c>
      <c r="F3910" s="1" t="str">
        <f t="shared" si="247"/>
        <v>50</v>
      </c>
      <c r="G3910" s="1" t="str">
        <f t="shared" si="248"/>
        <v/>
      </c>
      <c r="I3910" s="1" t="str">
        <f t="shared" si="246"/>
        <v>威尔新数值1.06.xlsm!suitPower</v>
      </c>
    </row>
    <row r="3911" spans="1:9" x14ac:dyDescent="0.15">
      <c r="A3911" s="1">
        <v>3910</v>
      </c>
      <c r="B3911" s="1">
        <v>103080700</v>
      </c>
      <c r="C3911" s="1">
        <f t="shared" si="245"/>
        <v>10</v>
      </c>
      <c r="D3911" s="5">
        <f ca="1">IF(getQuality(B3911)&lt;4,getOtherMin(B3911,C3911,INDIRECT(J$2),INDIRECT(I3911),test),getMin(B3911,C3911,INDIRECT(J$2),INDIRECT(I3911),test))</f>
        <v>271.43850937813136</v>
      </c>
      <c r="E3911" s="5">
        <f ca="1">IF(getQuality(B3911)&lt;4,getOtherMax(B3911,C3911,INDIRECT(J$2),INDIRECT(I3911),test),getMax(B3911,C3911,INDIRECT(J$2),INDIRECT(I3911),test))</f>
        <v>328.28048273180752</v>
      </c>
      <c r="F3911" s="1" t="str">
        <f t="shared" si="247"/>
        <v>50</v>
      </c>
      <c r="G3911" s="1" t="str">
        <f t="shared" si="248"/>
        <v/>
      </c>
      <c r="I3911" s="1" t="str">
        <f t="shared" si="246"/>
        <v>威尔新数值1.06.xlsm!suitPower</v>
      </c>
    </row>
    <row r="3912" spans="1:9" x14ac:dyDescent="0.15">
      <c r="A3912" s="1">
        <v>3911</v>
      </c>
      <c r="B3912" s="1">
        <v>103080700</v>
      </c>
      <c r="C3912" s="1">
        <f t="shared" si="245"/>
        <v>11</v>
      </c>
      <c r="D3912" s="5">
        <f ca="1">IF(getQuality(B3912)&lt;4,getOtherMin(B3912,C3912,INDIRECT(J$2),INDIRECT(I3912),test),getMin(B3912,C3912,INDIRECT(J$2),INDIRECT(I3912),test))</f>
        <v>271.43850937813136</v>
      </c>
      <c r="E3912" s="5">
        <f ca="1">IF(getQuality(B3912)&lt;4,getOtherMax(B3912,C3912,INDIRECT(J$2),INDIRECT(I3912),test),getMax(B3912,C3912,INDIRECT(J$2),INDIRECT(I3912),test))</f>
        <v>328.28048273180752</v>
      </c>
      <c r="F3912" s="1" t="str">
        <f t="shared" si="247"/>
        <v>50</v>
      </c>
      <c r="G3912" s="1" t="str">
        <f t="shared" si="248"/>
        <v/>
      </c>
      <c r="I3912" s="1" t="str">
        <f t="shared" si="246"/>
        <v>威尔新数值1.06.xlsm!suitPower</v>
      </c>
    </row>
    <row r="3913" spans="1:9" x14ac:dyDescent="0.15">
      <c r="A3913" s="1">
        <v>3912</v>
      </c>
      <c r="B3913" s="1">
        <v>103080700</v>
      </c>
      <c r="C3913" s="1">
        <f t="shared" si="245"/>
        <v>12</v>
      </c>
      <c r="D3913" s="5">
        <f ca="1">IF(getQuality(B3913)&lt;4,getOtherMin(B3913,C3913,INDIRECT(J$2),INDIRECT(I3913),test),getMin(B3913,C3913,INDIRECT(J$2),INDIRECT(I3913),test))</f>
        <v>271.43850937813136</v>
      </c>
      <c r="E3913" s="5">
        <f ca="1">IF(getQuality(B3913)&lt;4,getOtherMax(B3913,C3913,INDIRECT(J$2),INDIRECT(I3913),test),getMax(B3913,C3913,INDIRECT(J$2),INDIRECT(I3913),test))</f>
        <v>328.28048273180752</v>
      </c>
      <c r="F3913" s="1" t="str">
        <f t="shared" si="247"/>
        <v>50</v>
      </c>
      <c r="G3913" s="1" t="str">
        <f t="shared" si="248"/>
        <v/>
      </c>
      <c r="I3913" s="1" t="str">
        <f t="shared" si="246"/>
        <v>威尔新数值1.06.xlsm!suitPower</v>
      </c>
    </row>
    <row r="3914" spans="1:9" x14ac:dyDescent="0.15">
      <c r="A3914" s="1">
        <v>3913</v>
      </c>
      <c r="B3914" s="1">
        <v>103080700</v>
      </c>
      <c r="C3914" s="1">
        <f t="shared" si="245"/>
        <v>13</v>
      </c>
      <c r="D3914" s="5">
        <f ca="1">IF(getQuality(B3914)&lt;4,getOtherMin(B3914,C3914,INDIRECT(J$2),INDIRECT(I3914),test),getMin(B3914,C3914,INDIRECT(J$2),INDIRECT(I3914),test))</f>
        <v>271.43850937813136</v>
      </c>
      <c r="E3914" s="5">
        <f ca="1">IF(getQuality(B3914)&lt;4,getOtherMax(B3914,C3914,INDIRECT(J$2),INDIRECT(I3914),test),getMax(B3914,C3914,INDIRECT(J$2),INDIRECT(I3914),test))</f>
        <v>328.28048273180752</v>
      </c>
      <c r="F3914" s="1" t="str">
        <f t="shared" si="247"/>
        <v>50</v>
      </c>
      <c r="G3914" s="1" t="str">
        <f t="shared" si="248"/>
        <v/>
      </c>
      <c r="I3914" s="1" t="str">
        <f t="shared" si="246"/>
        <v>威尔新数值1.06.xlsm!suitPower</v>
      </c>
    </row>
    <row r="3915" spans="1:9" x14ac:dyDescent="0.15">
      <c r="A3915" s="1">
        <v>3914</v>
      </c>
      <c r="B3915" s="1">
        <v>103080700</v>
      </c>
      <c r="C3915" s="1">
        <f t="shared" si="245"/>
        <v>14</v>
      </c>
      <c r="D3915" s="5">
        <f ca="1">IF(getQuality(B3915)&lt;4,getOtherMin(B3915,C3915,INDIRECT(J$2),INDIRECT(I3915),test),getMin(B3915,C3915,INDIRECT(J$2),INDIRECT(I3915),test))</f>
        <v>271.43850937813136</v>
      </c>
      <c r="E3915" s="5">
        <f ca="1">IF(getQuality(B3915)&lt;4,getOtherMax(B3915,C3915,INDIRECT(J$2),INDIRECT(I3915),test),getMax(B3915,C3915,INDIRECT(J$2),INDIRECT(I3915),test))</f>
        <v>328.28048273180752</v>
      </c>
      <c r="F3915" s="1" t="str">
        <f t="shared" si="247"/>
        <v>50</v>
      </c>
      <c r="G3915" s="1" t="str">
        <f t="shared" si="248"/>
        <v/>
      </c>
      <c r="I3915" s="1" t="str">
        <f t="shared" si="246"/>
        <v>威尔新数值1.06.xlsm!suitPower</v>
      </c>
    </row>
    <row r="3916" spans="1:9" x14ac:dyDescent="0.15">
      <c r="A3916" s="1">
        <v>3915</v>
      </c>
      <c r="B3916" s="1">
        <v>103080700</v>
      </c>
      <c r="C3916" s="1">
        <f t="shared" si="245"/>
        <v>15</v>
      </c>
      <c r="D3916" s="5">
        <f ca="1">IF(getQuality(B3916)&lt;4,getOtherMin(B3916,C3916,INDIRECT(J$2),INDIRECT(I3916),test),getMin(B3916,C3916,INDIRECT(J$2),INDIRECT(I3916),test))</f>
        <v>271.43850937813136</v>
      </c>
      <c r="E3916" s="5">
        <f ca="1">IF(getQuality(B3916)&lt;4,getOtherMax(B3916,C3916,INDIRECT(J$2),INDIRECT(I3916),test),getMax(B3916,C3916,INDIRECT(J$2),INDIRECT(I3916),test))</f>
        <v>328.28048273180752</v>
      </c>
      <c r="F3916" s="1" t="str">
        <f t="shared" si="247"/>
        <v>50</v>
      </c>
      <c r="G3916" s="1" t="str">
        <f t="shared" si="248"/>
        <v/>
      </c>
      <c r="I3916" s="1" t="str">
        <f t="shared" si="246"/>
        <v>威尔新数值1.06.xlsm!suitPower</v>
      </c>
    </row>
    <row r="3917" spans="1:9" x14ac:dyDescent="0.15">
      <c r="A3917" s="1">
        <v>3916</v>
      </c>
      <c r="B3917" s="1">
        <v>103080700</v>
      </c>
      <c r="C3917" s="1">
        <f t="shared" si="245"/>
        <v>101</v>
      </c>
      <c r="D3917" s="5">
        <f ca="1">IF(getQuality(B3917)&lt;4,getOtherMin(B3917,C3917,INDIRECT(J$2),INDIRECT(I3917),test),getMin(B3917,C3917,INDIRECT(J$2),INDIRECT(I3917),test))</f>
        <v>0.14000000000000001</v>
      </c>
      <c r="E3917" s="5">
        <f ca="1">IF(getQuality(B3917)&lt;4,getOtherMax(B3917,C3917,INDIRECT(J$2),INDIRECT(I3917),test),getMax(B3917,C3917,INDIRECT(J$2),INDIRECT(I3917),test))</f>
        <v>0.17</v>
      </c>
      <c r="F3917" s="1" t="str">
        <f t="shared" si="247"/>
        <v>50</v>
      </c>
      <c r="G3917" s="1" t="str">
        <f t="shared" si="248"/>
        <v/>
      </c>
      <c r="I3917" s="1" t="str">
        <f t="shared" si="246"/>
        <v>威尔新数值1.06.xlsm!circlePer</v>
      </c>
    </row>
    <row r="3918" spans="1:9" x14ac:dyDescent="0.15">
      <c r="A3918" s="1">
        <v>3917</v>
      </c>
      <c r="B3918" s="1">
        <v>103080700</v>
      </c>
      <c r="C3918" s="1">
        <f t="shared" si="245"/>
        <v>102</v>
      </c>
      <c r="D3918" s="5">
        <f ca="1">IF(getQuality(B3918)&lt;4,getOtherMin(B3918,C3918,INDIRECT(J$2),INDIRECT(I3918),test),getMin(B3918,C3918,INDIRECT(J$2),INDIRECT(I3918),test))</f>
        <v>1.3</v>
      </c>
      <c r="E3918" s="5">
        <f ca="1">IF(getQuality(B3918)&lt;4,getOtherMax(B3918,C3918,INDIRECT(J$2),INDIRECT(I3918),test),getMax(B3918,C3918,INDIRECT(J$2),INDIRECT(I3918),test))</f>
        <v>1.6</v>
      </c>
      <c r="F3918" s="1" t="str">
        <f t="shared" si="247"/>
        <v>50</v>
      </c>
      <c r="G3918" s="1" t="str">
        <f t="shared" si="248"/>
        <v/>
      </c>
      <c r="I3918" s="1" t="str">
        <f t="shared" si="246"/>
        <v>威尔新数值1.06.xlsm!circleValue</v>
      </c>
    </row>
    <row r="3919" spans="1:9" x14ac:dyDescent="0.15">
      <c r="A3919" s="1">
        <v>3918</v>
      </c>
      <c r="B3919" s="1">
        <v>103080700</v>
      </c>
      <c r="C3919" s="1">
        <f t="shared" si="245"/>
        <v>103</v>
      </c>
      <c r="D3919" s="5">
        <f ca="1">IF(getQuality(B3919)&lt;4,getOtherMin(B3919,C3919,INDIRECT(J$2),INDIRECT(I3919),test),getMin(B3919,C3919,INDIRECT(J$2),INDIRECT(I3919),test))</f>
        <v>0.14000000000000001</v>
      </c>
      <c r="E3919" s="5">
        <f ca="1">IF(getQuality(B3919)&lt;4,getOtherMax(B3919,C3919,INDIRECT(J$2),INDIRECT(I3919),test),getMax(B3919,C3919,INDIRECT(J$2),INDIRECT(I3919),test))</f>
        <v>0.17</v>
      </c>
      <c r="F3919" s="1" t="str">
        <f t="shared" si="247"/>
        <v>50</v>
      </c>
      <c r="G3919" s="1" t="str">
        <f t="shared" si="248"/>
        <v/>
      </c>
      <c r="I3919" s="1" t="str">
        <f t="shared" si="246"/>
        <v>威尔新数值1.06.xlsm!otherDamage</v>
      </c>
    </row>
    <row r="3920" spans="1:9" x14ac:dyDescent="0.15">
      <c r="A3920" s="1">
        <v>3919</v>
      </c>
      <c r="B3920" s="1">
        <v>103080700</v>
      </c>
      <c r="C3920" s="1">
        <f t="shared" si="245"/>
        <v>104</v>
      </c>
      <c r="D3920" s="5">
        <f ca="1">IF(getQuality(B3920)&lt;4,getOtherMin(B3920,C3920,INDIRECT(J$2),INDIRECT(I3920),test),getMin(B3920,C3920,INDIRECT(J$2),INDIRECT(I3920),test))</f>
        <v>0.14000000000000001</v>
      </c>
      <c r="E3920" s="5">
        <f ca="1">IF(getQuality(B3920)&lt;4,getOtherMax(B3920,C3920,INDIRECT(J$2),INDIRECT(I3920),test),getMax(B3920,C3920,INDIRECT(J$2),INDIRECT(I3920),test))</f>
        <v>0.28000000000000003</v>
      </c>
      <c r="F3920" s="1" t="str">
        <f t="shared" si="247"/>
        <v>50</v>
      </c>
      <c r="G3920" s="1" t="str">
        <f t="shared" si="248"/>
        <v/>
      </c>
      <c r="I3920" s="1" t="str">
        <f t="shared" si="246"/>
        <v>威尔新数值1.06.xlsm!monsterDamage</v>
      </c>
    </row>
    <row r="3921" spans="1:9" x14ac:dyDescent="0.15">
      <c r="A3921" s="1">
        <v>3920</v>
      </c>
      <c r="B3921" s="1">
        <v>103080700</v>
      </c>
      <c r="C3921" s="1">
        <f t="shared" si="245"/>
        <v>105</v>
      </c>
      <c r="D3921" s="5">
        <f ca="1">IF(getQuality(B3921)&lt;4,getOtherMin(B3921,C3921,INDIRECT(J$2),INDIRECT(I3921),test),getMin(B3921,C3921,INDIRECT(J$2),INDIRECT(I3921),test))</f>
        <v>0.14000000000000001</v>
      </c>
      <c r="E3921" s="5">
        <f ca="1">IF(getQuality(B3921)&lt;4,getOtherMax(B3921,C3921,INDIRECT(J$2),INDIRECT(I3921),test),getMax(B3921,C3921,INDIRECT(J$2),INDIRECT(I3921),test))</f>
        <v>0.28000000000000003</v>
      </c>
      <c r="F3921" s="1" t="str">
        <f t="shared" si="247"/>
        <v>50</v>
      </c>
      <c r="G3921" s="1" t="str">
        <f t="shared" si="248"/>
        <v/>
      </c>
      <c r="I3921" s="1" t="str">
        <f t="shared" si="246"/>
        <v>威尔新数值1.06.xlsm!monsterDamage</v>
      </c>
    </row>
    <row r="3922" spans="1:9" x14ac:dyDescent="0.15">
      <c r="A3922" s="1">
        <v>3921</v>
      </c>
      <c r="B3922" s="1">
        <v>103080700</v>
      </c>
      <c r="C3922" s="1">
        <f t="shared" si="245"/>
        <v>106</v>
      </c>
      <c r="D3922" s="5">
        <f ca="1">IF(getQuality(B3922)&lt;4,getOtherMin(B3922,C3922,INDIRECT(J$2),INDIRECT(I3922),test),getMin(B3922,C3922,INDIRECT(J$2),INDIRECT(I3922),test))</f>
        <v>0.14000000000000001</v>
      </c>
      <c r="E3922" s="5">
        <f ca="1">IF(getQuality(B3922)&lt;4,getOtherMax(B3922,C3922,INDIRECT(J$2),INDIRECT(I3922),test),getMax(B3922,C3922,INDIRECT(J$2),INDIRECT(I3922),test))</f>
        <v>0.28000000000000003</v>
      </c>
      <c r="F3922" s="1" t="str">
        <f t="shared" si="247"/>
        <v>50</v>
      </c>
      <c r="G3922" s="1" t="str">
        <f t="shared" si="248"/>
        <v/>
      </c>
      <c r="I3922" s="1" t="str">
        <f t="shared" si="246"/>
        <v>威尔新数值1.06.xlsm!monsterDamage</v>
      </c>
    </row>
    <row r="3923" spans="1:9" x14ac:dyDescent="0.15">
      <c r="A3923" s="1">
        <v>3922</v>
      </c>
      <c r="B3923" s="1">
        <v>103080700</v>
      </c>
      <c r="C3923" s="1">
        <f t="shared" si="245"/>
        <v>107</v>
      </c>
      <c r="D3923" s="5">
        <f ca="1">IF(getQuality(B3923)&lt;4,getOtherMin(B3923,C3923,INDIRECT(J$2),INDIRECT(I3923),test),getMin(B3923,C3923,INDIRECT(J$2),INDIRECT(I3923),test))</f>
        <v>0.14000000000000001</v>
      </c>
      <c r="E3923" s="5">
        <f ca="1">IF(getQuality(B3923)&lt;4,getOtherMax(B3923,C3923,INDIRECT(J$2),INDIRECT(I3923),test),getMax(B3923,C3923,INDIRECT(J$2),INDIRECT(I3923),test))</f>
        <v>0.28000000000000003</v>
      </c>
      <c r="F3923" s="1" t="str">
        <f t="shared" si="247"/>
        <v>50</v>
      </c>
      <c r="G3923" s="1" t="str">
        <f t="shared" si="248"/>
        <v/>
      </c>
      <c r="I3923" s="1" t="str">
        <f t="shared" si="246"/>
        <v>威尔新数值1.06.xlsm!monsterDamage</v>
      </c>
    </row>
    <row r="3924" spans="1:9" x14ac:dyDescent="0.15">
      <c r="A3924" s="1">
        <v>3923</v>
      </c>
      <c r="B3924" s="1">
        <v>103080700</v>
      </c>
      <c r="C3924" s="1">
        <f t="shared" si="245"/>
        <v>108</v>
      </c>
      <c r="D3924" s="5">
        <f ca="1">IF(getQuality(B3924)&lt;4,getOtherMin(B3924,C3924,INDIRECT(J$2),INDIRECT(I3924),test),getMin(B3924,C3924,INDIRECT(J$2),INDIRECT(I3924),test))</f>
        <v>0.14000000000000001</v>
      </c>
      <c r="E3924" s="5">
        <f ca="1">IF(getQuality(B3924)&lt;4,getOtherMax(B3924,C3924,INDIRECT(J$2),INDIRECT(I3924),test),getMax(B3924,C3924,INDIRECT(J$2),INDIRECT(I3924),test))</f>
        <v>0.28000000000000003</v>
      </c>
      <c r="F3924" s="1" t="str">
        <f t="shared" si="247"/>
        <v>50</v>
      </c>
      <c r="G3924" s="1" t="str">
        <f t="shared" si="248"/>
        <v/>
      </c>
      <c r="I3924" s="1" t="str">
        <f t="shared" si="246"/>
        <v>威尔新数值1.06.xlsm!monsterDamage</v>
      </c>
    </row>
    <row r="3925" spans="1:9" x14ac:dyDescent="0.15">
      <c r="A3925" s="1">
        <v>3924</v>
      </c>
      <c r="B3925" s="1">
        <v>103090700</v>
      </c>
      <c r="C3925" s="1">
        <f t="shared" si="245"/>
        <v>3</v>
      </c>
      <c r="D3925" s="5">
        <f ca="1">IF(getQuality(B3925)&lt;4,getOtherMin(B3925,C3925,INDIRECT(J$2),INDIRECT(I3925),test),getMin(B3925,C3925,INDIRECT(J$2),INDIRECT(I3925),test))</f>
        <v>329.28048273180752</v>
      </c>
      <c r="E3925" s="5">
        <f ca="1">IF(getQuality(B3925)&lt;4,getOtherMax(B3925,C3925,INDIRECT(J$2),INDIRECT(I3925),test),getMax(B3925,C3925,INDIRECT(J$2),INDIRECT(I3925),test))</f>
        <v>390.92443123182665</v>
      </c>
      <c r="F3925" s="1" t="str">
        <f t="shared" si="247"/>
        <v>50</v>
      </c>
      <c r="G3925" s="1" t="str">
        <f t="shared" si="248"/>
        <v>1</v>
      </c>
      <c r="I3925" s="1" t="str">
        <f t="shared" si="246"/>
        <v>威尔新数值1.06.xlsm!suitPower</v>
      </c>
    </row>
    <row r="3926" spans="1:9" x14ac:dyDescent="0.15">
      <c r="A3926" s="1">
        <v>3925</v>
      </c>
      <c r="B3926" s="1">
        <v>103090700</v>
      </c>
      <c r="C3926" s="1">
        <f t="shared" si="245"/>
        <v>5</v>
      </c>
      <c r="D3926" s="5">
        <f ca="1">IF(getQuality(B3926)&lt;4,getOtherMin(B3926,C3926,INDIRECT(J$2),INDIRECT(I3926),test),getMin(B3926,C3926,INDIRECT(J$2),INDIRECT(I3926),test))</f>
        <v>329.28048273180752</v>
      </c>
      <c r="E3926" s="5">
        <f ca="1">IF(getQuality(B3926)&lt;4,getOtherMax(B3926,C3926,INDIRECT(J$2),INDIRECT(I3926),test),getMax(B3926,C3926,INDIRECT(J$2),INDIRECT(I3926),test))</f>
        <v>390.92443123182665</v>
      </c>
      <c r="F3926" s="1" t="str">
        <f t="shared" si="247"/>
        <v>50</v>
      </c>
      <c r="G3926" s="1" t="str">
        <f t="shared" si="248"/>
        <v/>
      </c>
      <c r="I3926" s="1" t="str">
        <f t="shared" si="246"/>
        <v>威尔新数值1.06.xlsm!suitPower</v>
      </c>
    </row>
    <row r="3927" spans="1:9" x14ac:dyDescent="0.15">
      <c r="A3927" s="1">
        <v>3926</v>
      </c>
      <c r="B3927" s="1">
        <v>103090700</v>
      </c>
      <c r="C3927" s="1">
        <f t="shared" si="245"/>
        <v>7</v>
      </c>
      <c r="D3927" s="5">
        <f ca="1">IF(getQuality(B3927)&lt;4,getOtherMin(B3927,C3927,INDIRECT(J$2),INDIRECT(I3927),test),getMin(B3927,C3927,INDIRECT(J$2),INDIRECT(I3927),test))</f>
        <v>60.25925925925911</v>
      </c>
      <c r="E3927" s="5">
        <f ca="1">IF(getQuality(B3927)&lt;4,getOtherMax(B3927,C3927,INDIRECT(J$2),INDIRECT(I3927),test),getMax(B3927,C3927,INDIRECT(J$2),INDIRECT(I3927),test))</f>
        <v>66.666666666666501</v>
      </c>
      <c r="F3927" s="1" t="str">
        <f t="shared" si="247"/>
        <v>50</v>
      </c>
      <c r="G3927" s="1" t="str">
        <f t="shared" si="248"/>
        <v/>
      </c>
      <c r="I3927" s="1" t="str">
        <f t="shared" si="246"/>
        <v>威尔新数值1.06.xlsm!suitPower</v>
      </c>
    </row>
    <row r="3928" spans="1:9" x14ac:dyDescent="0.15">
      <c r="A3928" s="1">
        <v>3927</v>
      </c>
      <c r="B3928" s="1">
        <v>103090700</v>
      </c>
      <c r="C3928" s="1">
        <f t="shared" si="245"/>
        <v>8</v>
      </c>
      <c r="D3928" s="5">
        <f ca="1">IF(getQuality(B3928)&lt;4,getOtherMin(B3928,C3928,INDIRECT(J$2),INDIRECT(I3928),test),getMin(B3928,C3928,INDIRECT(J$2),INDIRECT(I3928),test))</f>
        <v>134.33333333333334</v>
      </c>
      <c r="E3928" s="5">
        <f ca="1">IF(getQuality(B3928)&lt;4,getOtherMax(B3928,C3928,INDIRECT(J$2),INDIRECT(I3928),test),getMax(B3928,C3928,INDIRECT(J$2),INDIRECT(I3928),test))</f>
        <v>150</v>
      </c>
      <c r="F3928" s="1" t="str">
        <f t="shared" si="247"/>
        <v>50</v>
      </c>
      <c r="G3928" s="1" t="str">
        <f t="shared" si="248"/>
        <v/>
      </c>
      <c r="I3928" s="1" t="str">
        <f t="shared" si="246"/>
        <v>威尔新数值1.06.xlsm!suitPower</v>
      </c>
    </row>
    <row r="3929" spans="1:9" x14ac:dyDescent="0.15">
      <c r="A3929" s="1">
        <v>3928</v>
      </c>
      <c r="B3929" s="1">
        <v>103090700</v>
      </c>
      <c r="C3929" s="1">
        <f t="shared" si="245"/>
        <v>9</v>
      </c>
      <c r="D3929" s="5">
        <f ca="1">IF(getQuality(B3929)&lt;4,getOtherMin(B3929,C3929,INDIRECT(J$2),INDIRECT(I3929),test),getMin(B3929,C3929,INDIRECT(J$2),INDIRECT(I3929),test))</f>
        <v>329.28048273180752</v>
      </c>
      <c r="E3929" s="5">
        <f ca="1">IF(getQuality(B3929)&lt;4,getOtherMax(B3929,C3929,INDIRECT(J$2),INDIRECT(I3929),test),getMax(B3929,C3929,INDIRECT(J$2),INDIRECT(I3929),test))</f>
        <v>390.92443123182665</v>
      </c>
      <c r="F3929" s="1" t="str">
        <f t="shared" si="247"/>
        <v>50</v>
      </c>
      <c r="G3929" s="1" t="str">
        <f t="shared" si="248"/>
        <v/>
      </c>
      <c r="I3929" s="1" t="str">
        <f t="shared" si="246"/>
        <v>威尔新数值1.06.xlsm!suitPower</v>
      </c>
    </row>
    <row r="3930" spans="1:9" x14ac:dyDescent="0.15">
      <c r="A3930" s="1">
        <v>3929</v>
      </c>
      <c r="B3930" s="1">
        <v>103090700</v>
      </c>
      <c r="C3930" s="1">
        <f t="shared" si="245"/>
        <v>10</v>
      </c>
      <c r="D3930" s="5">
        <f ca="1">IF(getQuality(B3930)&lt;4,getOtherMin(B3930,C3930,INDIRECT(J$2),INDIRECT(I3930),test),getMin(B3930,C3930,INDIRECT(J$2),INDIRECT(I3930),test))</f>
        <v>329.28048273180752</v>
      </c>
      <c r="E3930" s="5">
        <f ca="1">IF(getQuality(B3930)&lt;4,getOtherMax(B3930,C3930,INDIRECT(J$2),INDIRECT(I3930),test),getMax(B3930,C3930,INDIRECT(J$2),INDIRECT(I3930),test))</f>
        <v>390.92443123182665</v>
      </c>
      <c r="F3930" s="1" t="str">
        <f t="shared" si="247"/>
        <v>50</v>
      </c>
      <c r="G3930" s="1" t="str">
        <f t="shared" si="248"/>
        <v/>
      </c>
      <c r="I3930" s="1" t="str">
        <f t="shared" si="246"/>
        <v>威尔新数值1.06.xlsm!suitPower</v>
      </c>
    </row>
    <row r="3931" spans="1:9" x14ac:dyDescent="0.15">
      <c r="A3931" s="1">
        <v>3930</v>
      </c>
      <c r="B3931" s="1">
        <v>103090700</v>
      </c>
      <c r="C3931" s="1">
        <f t="shared" si="245"/>
        <v>11</v>
      </c>
      <c r="D3931" s="5">
        <f ca="1">IF(getQuality(B3931)&lt;4,getOtherMin(B3931,C3931,INDIRECT(J$2),INDIRECT(I3931),test),getMin(B3931,C3931,INDIRECT(J$2),INDIRECT(I3931),test))</f>
        <v>329.28048273180752</v>
      </c>
      <c r="E3931" s="5">
        <f ca="1">IF(getQuality(B3931)&lt;4,getOtherMax(B3931,C3931,INDIRECT(J$2),INDIRECT(I3931),test),getMax(B3931,C3931,INDIRECT(J$2),INDIRECT(I3931),test))</f>
        <v>390.92443123182665</v>
      </c>
      <c r="F3931" s="1" t="str">
        <f t="shared" si="247"/>
        <v>50</v>
      </c>
      <c r="G3931" s="1" t="str">
        <f t="shared" si="248"/>
        <v/>
      </c>
      <c r="I3931" s="1" t="str">
        <f t="shared" si="246"/>
        <v>威尔新数值1.06.xlsm!suitPower</v>
      </c>
    </row>
    <row r="3932" spans="1:9" x14ac:dyDescent="0.15">
      <c r="A3932" s="1">
        <v>3931</v>
      </c>
      <c r="B3932" s="1">
        <v>103090700</v>
      </c>
      <c r="C3932" s="1">
        <f t="shared" si="245"/>
        <v>12</v>
      </c>
      <c r="D3932" s="5">
        <f ca="1">IF(getQuality(B3932)&lt;4,getOtherMin(B3932,C3932,INDIRECT(J$2),INDIRECT(I3932),test),getMin(B3932,C3932,INDIRECT(J$2),INDIRECT(I3932),test))</f>
        <v>329.28048273180752</v>
      </c>
      <c r="E3932" s="5">
        <f ca="1">IF(getQuality(B3932)&lt;4,getOtherMax(B3932,C3932,INDIRECT(J$2),INDIRECT(I3932),test),getMax(B3932,C3932,INDIRECT(J$2),INDIRECT(I3932),test))</f>
        <v>390.92443123182665</v>
      </c>
      <c r="F3932" s="1" t="str">
        <f t="shared" si="247"/>
        <v>50</v>
      </c>
      <c r="G3932" s="1" t="str">
        <f t="shared" si="248"/>
        <v/>
      </c>
      <c r="I3932" s="1" t="str">
        <f t="shared" si="246"/>
        <v>威尔新数值1.06.xlsm!suitPower</v>
      </c>
    </row>
    <row r="3933" spans="1:9" x14ac:dyDescent="0.15">
      <c r="A3933" s="1">
        <v>3932</v>
      </c>
      <c r="B3933" s="1">
        <v>103090700</v>
      </c>
      <c r="C3933" s="1">
        <f t="shared" si="245"/>
        <v>13</v>
      </c>
      <c r="D3933" s="5">
        <f ca="1">IF(getQuality(B3933)&lt;4,getOtherMin(B3933,C3933,INDIRECT(J$2),INDIRECT(I3933),test),getMin(B3933,C3933,INDIRECT(J$2),INDIRECT(I3933),test))</f>
        <v>329.28048273180752</v>
      </c>
      <c r="E3933" s="5">
        <f ca="1">IF(getQuality(B3933)&lt;4,getOtherMax(B3933,C3933,INDIRECT(J$2),INDIRECT(I3933),test),getMax(B3933,C3933,INDIRECT(J$2),INDIRECT(I3933),test))</f>
        <v>390.92443123182665</v>
      </c>
      <c r="F3933" s="1" t="str">
        <f t="shared" si="247"/>
        <v>50</v>
      </c>
      <c r="G3933" s="1" t="str">
        <f t="shared" si="248"/>
        <v/>
      </c>
      <c r="I3933" s="1" t="str">
        <f t="shared" si="246"/>
        <v>威尔新数值1.06.xlsm!suitPower</v>
      </c>
    </row>
    <row r="3934" spans="1:9" x14ac:dyDescent="0.15">
      <c r="A3934" s="1">
        <v>3933</v>
      </c>
      <c r="B3934" s="1">
        <v>103090700</v>
      </c>
      <c r="C3934" s="1">
        <f t="shared" si="245"/>
        <v>14</v>
      </c>
      <c r="D3934" s="5">
        <f ca="1">IF(getQuality(B3934)&lt;4,getOtherMin(B3934,C3934,INDIRECT(J$2),INDIRECT(I3934),test),getMin(B3934,C3934,INDIRECT(J$2),INDIRECT(I3934),test))</f>
        <v>329.28048273180752</v>
      </c>
      <c r="E3934" s="5">
        <f ca="1">IF(getQuality(B3934)&lt;4,getOtherMax(B3934,C3934,INDIRECT(J$2),INDIRECT(I3934),test),getMax(B3934,C3934,INDIRECT(J$2),INDIRECT(I3934),test))</f>
        <v>390.92443123182665</v>
      </c>
      <c r="F3934" s="1" t="str">
        <f t="shared" si="247"/>
        <v>50</v>
      </c>
      <c r="G3934" s="1" t="str">
        <f t="shared" si="248"/>
        <v/>
      </c>
      <c r="I3934" s="1" t="str">
        <f t="shared" si="246"/>
        <v>威尔新数值1.06.xlsm!suitPower</v>
      </c>
    </row>
    <row r="3935" spans="1:9" x14ac:dyDescent="0.15">
      <c r="A3935" s="1">
        <v>3934</v>
      </c>
      <c r="B3935" s="1">
        <v>103090700</v>
      </c>
      <c r="C3935" s="1">
        <f t="shared" si="245"/>
        <v>15</v>
      </c>
      <c r="D3935" s="5">
        <f ca="1">IF(getQuality(B3935)&lt;4,getOtherMin(B3935,C3935,INDIRECT(J$2),INDIRECT(I3935),test),getMin(B3935,C3935,INDIRECT(J$2),INDIRECT(I3935),test))</f>
        <v>329.28048273180752</v>
      </c>
      <c r="E3935" s="5">
        <f ca="1">IF(getQuality(B3935)&lt;4,getOtherMax(B3935,C3935,INDIRECT(J$2),INDIRECT(I3935),test),getMax(B3935,C3935,INDIRECT(J$2),INDIRECT(I3935),test))</f>
        <v>390.92443123182665</v>
      </c>
      <c r="F3935" s="1" t="str">
        <f t="shared" si="247"/>
        <v>50</v>
      </c>
      <c r="G3935" s="1" t="str">
        <f t="shared" si="248"/>
        <v/>
      </c>
      <c r="I3935" s="1" t="str">
        <f t="shared" si="246"/>
        <v>威尔新数值1.06.xlsm!suitPower</v>
      </c>
    </row>
    <row r="3936" spans="1:9" x14ac:dyDescent="0.15">
      <c r="A3936" s="1">
        <v>3935</v>
      </c>
      <c r="B3936" s="1">
        <v>103090700</v>
      </c>
      <c r="C3936" s="1">
        <f t="shared" si="245"/>
        <v>101</v>
      </c>
      <c r="D3936" s="5">
        <f ca="1">IF(getQuality(B3936)&lt;4,getOtherMin(B3936,C3936,INDIRECT(J$2),INDIRECT(I3936),test),getMin(B3936,C3936,INDIRECT(J$2),INDIRECT(I3936),test))</f>
        <v>0.15</v>
      </c>
      <c r="E3936" s="5">
        <f ca="1">IF(getQuality(B3936)&lt;4,getOtherMax(B3936,C3936,INDIRECT(J$2),INDIRECT(I3936),test),getMax(B3936,C3936,INDIRECT(J$2),INDIRECT(I3936),test))</f>
        <v>0.18</v>
      </c>
      <c r="F3936" s="1" t="str">
        <f t="shared" si="247"/>
        <v>50</v>
      </c>
      <c r="G3936" s="1" t="str">
        <f t="shared" si="248"/>
        <v/>
      </c>
      <c r="I3936" s="1" t="str">
        <f t="shared" si="246"/>
        <v>威尔新数值1.06.xlsm!circlePer</v>
      </c>
    </row>
    <row r="3937" spans="1:9" x14ac:dyDescent="0.15">
      <c r="A3937" s="1">
        <v>3936</v>
      </c>
      <c r="B3937" s="1">
        <v>103090700</v>
      </c>
      <c r="C3937" s="1">
        <f t="shared" si="245"/>
        <v>102</v>
      </c>
      <c r="D3937" s="5">
        <f ca="1">IF(getQuality(B3937)&lt;4,getOtherMin(B3937,C3937,INDIRECT(J$2),INDIRECT(I3937),test),getMin(B3937,C3937,INDIRECT(J$2),INDIRECT(I3937),test))</f>
        <v>1.4</v>
      </c>
      <c r="E3937" s="5">
        <f ca="1">IF(getQuality(B3937)&lt;4,getOtherMax(B3937,C3937,INDIRECT(J$2),INDIRECT(I3937),test),getMax(B3937,C3937,INDIRECT(J$2),INDIRECT(I3937),test))</f>
        <v>1.7</v>
      </c>
      <c r="F3937" s="1" t="str">
        <f t="shared" si="247"/>
        <v>50</v>
      </c>
      <c r="G3937" s="1" t="str">
        <f t="shared" si="248"/>
        <v/>
      </c>
      <c r="I3937" s="1" t="str">
        <f t="shared" si="246"/>
        <v>威尔新数值1.06.xlsm!circleValue</v>
      </c>
    </row>
    <row r="3938" spans="1:9" x14ac:dyDescent="0.15">
      <c r="A3938" s="1">
        <v>3937</v>
      </c>
      <c r="B3938" s="1">
        <v>103090700</v>
      </c>
      <c r="C3938" s="1">
        <f t="shared" si="245"/>
        <v>103</v>
      </c>
      <c r="D3938" s="5">
        <f ca="1">IF(getQuality(B3938)&lt;4,getOtherMin(B3938,C3938,INDIRECT(J$2),INDIRECT(I3938),test),getMin(B3938,C3938,INDIRECT(J$2),INDIRECT(I3938),test))</f>
        <v>0.15</v>
      </c>
      <c r="E3938" s="5">
        <f ca="1">IF(getQuality(B3938)&lt;4,getOtherMax(B3938,C3938,INDIRECT(J$2),INDIRECT(I3938),test),getMax(B3938,C3938,INDIRECT(J$2),INDIRECT(I3938),test))</f>
        <v>0.18</v>
      </c>
      <c r="F3938" s="1" t="str">
        <f t="shared" si="247"/>
        <v>50</v>
      </c>
      <c r="G3938" s="1" t="str">
        <f t="shared" si="248"/>
        <v/>
      </c>
      <c r="I3938" s="1" t="str">
        <f t="shared" si="246"/>
        <v>威尔新数值1.06.xlsm!otherDamage</v>
      </c>
    </row>
    <row r="3939" spans="1:9" x14ac:dyDescent="0.15">
      <c r="A3939" s="1">
        <v>3938</v>
      </c>
      <c r="B3939" s="1">
        <v>103090700</v>
      </c>
      <c r="C3939" s="1">
        <f t="shared" si="245"/>
        <v>104</v>
      </c>
      <c r="D3939" s="5">
        <f ca="1">IF(getQuality(B3939)&lt;4,getOtherMin(B3939,C3939,INDIRECT(J$2),INDIRECT(I3939),test),getMin(B3939,C3939,INDIRECT(J$2),INDIRECT(I3939),test))</f>
        <v>0.15</v>
      </c>
      <c r="E3939" s="5">
        <f ca="1">IF(getQuality(B3939)&lt;4,getOtherMax(B3939,C3939,INDIRECT(J$2),INDIRECT(I3939),test),getMax(B3939,C3939,INDIRECT(J$2),INDIRECT(I3939),test))</f>
        <v>0.3</v>
      </c>
      <c r="F3939" s="1" t="str">
        <f t="shared" si="247"/>
        <v>50</v>
      </c>
      <c r="G3939" s="1" t="str">
        <f t="shared" si="248"/>
        <v/>
      </c>
      <c r="I3939" s="1" t="str">
        <f t="shared" si="246"/>
        <v>威尔新数值1.06.xlsm!monsterDamage</v>
      </c>
    </row>
    <row r="3940" spans="1:9" x14ac:dyDescent="0.15">
      <c r="A3940" s="1">
        <v>3939</v>
      </c>
      <c r="B3940" s="1">
        <v>103090700</v>
      </c>
      <c r="C3940" s="1">
        <f t="shared" si="245"/>
        <v>105</v>
      </c>
      <c r="D3940" s="5">
        <f ca="1">IF(getQuality(B3940)&lt;4,getOtherMin(B3940,C3940,INDIRECT(J$2),INDIRECT(I3940),test),getMin(B3940,C3940,INDIRECT(J$2),INDIRECT(I3940),test))</f>
        <v>0.15</v>
      </c>
      <c r="E3940" s="5">
        <f ca="1">IF(getQuality(B3940)&lt;4,getOtherMax(B3940,C3940,INDIRECT(J$2),INDIRECT(I3940),test),getMax(B3940,C3940,INDIRECT(J$2),INDIRECT(I3940),test))</f>
        <v>0.3</v>
      </c>
      <c r="F3940" s="1" t="str">
        <f t="shared" si="247"/>
        <v>50</v>
      </c>
      <c r="G3940" s="1" t="str">
        <f t="shared" si="248"/>
        <v/>
      </c>
      <c r="I3940" s="1" t="str">
        <f t="shared" si="246"/>
        <v>威尔新数值1.06.xlsm!monsterDamage</v>
      </c>
    </row>
    <row r="3941" spans="1:9" x14ac:dyDescent="0.15">
      <c r="A3941" s="1">
        <v>3940</v>
      </c>
      <c r="B3941" s="1">
        <v>103090700</v>
      </c>
      <c r="C3941" s="1">
        <f t="shared" si="245"/>
        <v>106</v>
      </c>
      <c r="D3941" s="5">
        <f ca="1">IF(getQuality(B3941)&lt;4,getOtherMin(B3941,C3941,INDIRECT(J$2),INDIRECT(I3941),test),getMin(B3941,C3941,INDIRECT(J$2),INDIRECT(I3941),test))</f>
        <v>0.15</v>
      </c>
      <c r="E3941" s="5">
        <f ca="1">IF(getQuality(B3941)&lt;4,getOtherMax(B3941,C3941,INDIRECT(J$2),INDIRECT(I3941),test),getMax(B3941,C3941,INDIRECT(J$2),INDIRECT(I3941),test))</f>
        <v>0.3</v>
      </c>
      <c r="F3941" s="1" t="str">
        <f t="shared" si="247"/>
        <v>50</v>
      </c>
      <c r="G3941" s="1" t="str">
        <f t="shared" si="248"/>
        <v/>
      </c>
      <c r="I3941" s="1" t="str">
        <f t="shared" si="246"/>
        <v>威尔新数值1.06.xlsm!monsterDamage</v>
      </c>
    </row>
    <row r="3942" spans="1:9" x14ac:dyDescent="0.15">
      <c r="A3942" s="1">
        <v>3941</v>
      </c>
      <c r="B3942" s="1">
        <v>103090700</v>
      </c>
      <c r="C3942" s="1">
        <f t="shared" si="245"/>
        <v>107</v>
      </c>
      <c r="D3942" s="5">
        <f ca="1">IF(getQuality(B3942)&lt;4,getOtherMin(B3942,C3942,INDIRECT(J$2),INDIRECT(I3942),test),getMin(B3942,C3942,INDIRECT(J$2),INDIRECT(I3942),test))</f>
        <v>0.15</v>
      </c>
      <c r="E3942" s="5">
        <f ca="1">IF(getQuality(B3942)&lt;4,getOtherMax(B3942,C3942,INDIRECT(J$2),INDIRECT(I3942),test),getMax(B3942,C3942,INDIRECT(J$2),INDIRECT(I3942),test))</f>
        <v>0.3</v>
      </c>
      <c r="F3942" s="1" t="str">
        <f t="shared" si="247"/>
        <v>50</v>
      </c>
      <c r="G3942" s="1" t="str">
        <f t="shared" si="248"/>
        <v/>
      </c>
      <c r="I3942" s="1" t="str">
        <f t="shared" si="246"/>
        <v>威尔新数值1.06.xlsm!monsterDamage</v>
      </c>
    </row>
    <row r="3943" spans="1:9" x14ac:dyDescent="0.15">
      <c r="A3943" s="1">
        <v>3942</v>
      </c>
      <c r="B3943" s="1">
        <v>103090700</v>
      </c>
      <c r="C3943" s="1">
        <f t="shared" si="245"/>
        <v>108</v>
      </c>
      <c r="D3943" s="5">
        <f ca="1">IF(getQuality(B3943)&lt;4,getOtherMin(B3943,C3943,INDIRECT(J$2),INDIRECT(I3943),test),getMin(B3943,C3943,INDIRECT(J$2),INDIRECT(I3943),test))</f>
        <v>0.15</v>
      </c>
      <c r="E3943" s="5">
        <f ca="1">IF(getQuality(B3943)&lt;4,getOtherMax(B3943,C3943,INDIRECT(J$2),INDIRECT(I3943),test),getMax(B3943,C3943,INDIRECT(J$2),INDIRECT(I3943),test))</f>
        <v>0.3</v>
      </c>
      <c r="F3943" s="1" t="str">
        <f t="shared" si="247"/>
        <v>50</v>
      </c>
      <c r="G3943" s="1" t="str">
        <f t="shared" si="248"/>
        <v/>
      </c>
      <c r="I3943" s="1" t="str">
        <f t="shared" si="246"/>
        <v>威尔新数值1.06.xlsm!monsterDamage</v>
      </c>
    </row>
    <row r="3944" spans="1:9" x14ac:dyDescent="0.15">
      <c r="A3944" s="1">
        <v>3943</v>
      </c>
      <c r="B3944" s="1">
        <v>103010800</v>
      </c>
      <c r="C3944" s="1">
        <f t="shared" si="245"/>
        <v>3</v>
      </c>
      <c r="D3944" s="5">
        <f ca="1">IF(getQuality(B3944)&lt;4,getOtherMin(B3944,C3944,INDIRECT(J$2),INDIRECT(I3944),test),getMin(B3944,C3944,INDIRECT(J$2),INDIRECT(I3944),test))</f>
        <v>1</v>
      </c>
      <c r="E3944" s="5">
        <f ca="1">IF(getQuality(B3944)&lt;4,getOtherMax(B3944,C3944,INDIRECT(J$2),INDIRECT(I3944),test),getMax(B3944,C3944,INDIRECT(J$2),INDIRECT(I3944),test))</f>
        <v>24.009875731714647</v>
      </c>
      <c r="F3944" s="1" t="str">
        <f t="shared" si="247"/>
        <v>50</v>
      </c>
      <c r="G3944" s="1" t="str">
        <f t="shared" si="248"/>
        <v/>
      </c>
      <c r="I3944" s="1" t="str">
        <f t="shared" si="246"/>
        <v>威尔新数值1.06.xlsm!suitPower</v>
      </c>
    </row>
    <row r="3945" spans="1:9" x14ac:dyDescent="0.15">
      <c r="A3945" s="1">
        <v>3944</v>
      </c>
      <c r="B3945" s="1">
        <v>103010800</v>
      </c>
      <c r="C3945" s="1">
        <f t="shared" si="245"/>
        <v>5</v>
      </c>
      <c r="D3945" s="5">
        <f ca="1">IF(getQuality(B3945)&lt;4,getOtherMin(B3945,C3945,INDIRECT(J$2),INDIRECT(I3945),test),getMin(B3945,C3945,INDIRECT(J$2),INDIRECT(I3945),test))</f>
        <v>1</v>
      </c>
      <c r="E3945" s="5">
        <f ca="1">IF(getQuality(B3945)&lt;4,getOtherMax(B3945,C3945,INDIRECT(J$2),INDIRECT(I3945),test),getMax(B3945,C3945,INDIRECT(J$2),INDIRECT(I3945),test))</f>
        <v>24.009875731714647</v>
      </c>
      <c r="F3945" s="1" t="str">
        <f t="shared" si="247"/>
        <v>50</v>
      </c>
      <c r="G3945" s="1" t="str">
        <f t="shared" si="248"/>
        <v>1</v>
      </c>
      <c r="I3945" s="1" t="str">
        <f t="shared" si="246"/>
        <v>威尔新数值1.06.xlsm!suitPower</v>
      </c>
    </row>
    <row r="3946" spans="1:9" x14ac:dyDescent="0.15">
      <c r="A3946" s="1">
        <v>3945</v>
      </c>
      <c r="B3946" s="1">
        <v>103010800</v>
      </c>
      <c r="C3946" s="1">
        <f t="shared" si="245"/>
        <v>7</v>
      </c>
      <c r="D3946" s="5">
        <f ca="1">IF(getQuality(B3946)&lt;4,getOtherMin(B3946,C3946,INDIRECT(J$2),INDIRECT(I3946),test),getMin(B3946,C3946,INDIRECT(J$2),INDIRECT(I3946),test))</f>
        <v>1</v>
      </c>
      <c r="E3946" s="5">
        <f ca="1">IF(getQuality(B3946)&lt;4,getOtherMax(B3946,C3946,INDIRECT(J$2),INDIRECT(I3946),test),getMax(B3946,C3946,INDIRECT(J$2),INDIRECT(I3946),test))</f>
        <v>7.4074074074073888</v>
      </c>
      <c r="F3946" s="1" t="str">
        <f t="shared" si="247"/>
        <v>50</v>
      </c>
      <c r="G3946" s="1" t="str">
        <f t="shared" si="248"/>
        <v/>
      </c>
      <c r="I3946" s="1" t="str">
        <f t="shared" si="246"/>
        <v>威尔新数值1.06.xlsm!suitPower</v>
      </c>
    </row>
    <row r="3947" spans="1:9" x14ac:dyDescent="0.15">
      <c r="A3947" s="1">
        <v>3946</v>
      </c>
      <c r="B3947" s="1">
        <v>103010800</v>
      </c>
      <c r="C3947" s="1">
        <f t="shared" si="245"/>
        <v>8</v>
      </c>
      <c r="D3947" s="5">
        <f ca="1">IF(getQuality(B3947)&lt;4,getOtherMin(B3947,C3947,INDIRECT(J$2),INDIRECT(I3947),test),getMin(B3947,C3947,INDIRECT(J$2),INDIRECT(I3947),test))</f>
        <v>1</v>
      </c>
      <c r="E3947" s="5">
        <f ca="1">IF(getQuality(B3947)&lt;4,getOtherMax(B3947,C3947,INDIRECT(J$2),INDIRECT(I3947),test),getMax(B3947,C3947,INDIRECT(J$2),INDIRECT(I3947),test))</f>
        <v>16.666666666666668</v>
      </c>
      <c r="F3947" s="1" t="str">
        <f t="shared" si="247"/>
        <v>50</v>
      </c>
      <c r="G3947" s="1" t="str">
        <f t="shared" si="248"/>
        <v/>
      </c>
      <c r="I3947" s="1" t="str">
        <f t="shared" si="246"/>
        <v>威尔新数值1.06.xlsm!suitPower</v>
      </c>
    </row>
    <row r="3948" spans="1:9" x14ac:dyDescent="0.15">
      <c r="A3948" s="1">
        <v>3947</v>
      </c>
      <c r="B3948" s="1">
        <v>103010800</v>
      </c>
      <c r="C3948" s="1">
        <f t="shared" si="245"/>
        <v>9</v>
      </c>
      <c r="D3948" s="5">
        <f ca="1">IF(getQuality(B3948)&lt;4,getOtherMin(B3948,C3948,INDIRECT(J$2),INDIRECT(I3948),test),getMin(B3948,C3948,INDIRECT(J$2),INDIRECT(I3948),test))</f>
        <v>1</v>
      </c>
      <c r="E3948" s="5">
        <f ca="1">IF(getQuality(B3948)&lt;4,getOtherMax(B3948,C3948,INDIRECT(J$2),INDIRECT(I3948),test),getMax(B3948,C3948,INDIRECT(J$2),INDIRECT(I3948),test))</f>
        <v>24.009875731714647</v>
      </c>
      <c r="F3948" s="1" t="str">
        <f t="shared" si="247"/>
        <v>50</v>
      </c>
      <c r="G3948" s="1" t="str">
        <f t="shared" si="248"/>
        <v/>
      </c>
      <c r="I3948" s="1" t="str">
        <f t="shared" si="246"/>
        <v>威尔新数值1.06.xlsm!suitPower</v>
      </c>
    </row>
    <row r="3949" spans="1:9" x14ac:dyDescent="0.15">
      <c r="A3949" s="1">
        <v>3948</v>
      </c>
      <c r="B3949" s="1">
        <v>103010800</v>
      </c>
      <c r="C3949" s="1">
        <f t="shared" si="245"/>
        <v>10</v>
      </c>
      <c r="D3949" s="5">
        <f ca="1">IF(getQuality(B3949)&lt;4,getOtherMin(B3949,C3949,INDIRECT(J$2),INDIRECT(I3949),test),getMin(B3949,C3949,INDIRECT(J$2),INDIRECT(I3949),test))</f>
        <v>1</v>
      </c>
      <c r="E3949" s="5">
        <f ca="1">IF(getQuality(B3949)&lt;4,getOtherMax(B3949,C3949,INDIRECT(J$2),INDIRECT(I3949),test),getMax(B3949,C3949,INDIRECT(J$2),INDIRECT(I3949),test))</f>
        <v>24.009875731714647</v>
      </c>
      <c r="F3949" s="1" t="str">
        <f t="shared" si="247"/>
        <v>50</v>
      </c>
      <c r="G3949" s="1" t="str">
        <f t="shared" si="248"/>
        <v/>
      </c>
      <c r="I3949" s="1" t="str">
        <f t="shared" si="246"/>
        <v>威尔新数值1.06.xlsm!suitPower</v>
      </c>
    </row>
    <row r="3950" spans="1:9" x14ac:dyDescent="0.15">
      <c r="A3950" s="1">
        <v>3949</v>
      </c>
      <c r="B3950" s="1">
        <v>103010800</v>
      </c>
      <c r="C3950" s="1">
        <f t="shared" si="245"/>
        <v>11</v>
      </c>
      <c r="D3950" s="5">
        <f ca="1">IF(getQuality(B3950)&lt;4,getOtherMin(B3950,C3950,INDIRECT(J$2),INDIRECT(I3950),test),getMin(B3950,C3950,INDIRECT(J$2),INDIRECT(I3950),test))</f>
        <v>1</v>
      </c>
      <c r="E3950" s="5">
        <f ca="1">IF(getQuality(B3950)&lt;4,getOtherMax(B3950,C3950,INDIRECT(J$2),INDIRECT(I3950),test),getMax(B3950,C3950,INDIRECT(J$2),INDIRECT(I3950),test))</f>
        <v>24.009875731714647</v>
      </c>
      <c r="F3950" s="1" t="str">
        <f t="shared" si="247"/>
        <v>50</v>
      </c>
      <c r="G3950" s="1" t="str">
        <f t="shared" si="248"/>
        <v/>
      </c>
      <c r="I3950" s="1" t="str">
        <f t="shared" si="246"/>
        <v>威尔新数值1.06.xlsm!suitPower</v>
      </c>
    </row>
    <row r="3951" spans="1:9" x14ac:dyDescent="0.15">
      <c r="A3951" s="1">
        <v>3950</v>
      </c>
      <c r="B3951" s="1">
        <v>103010800</v>
      </c>
      <c r="C3951" s="1">
        <f t="shared" si="245"/>
        <v>12</v>
      </c>
      <c r="D3951" s="5">
        <f ca="1">IF(getQuality(B3951)&lt;4,getOtherMin(B3951,C3951,INDIRECT(J$2),INDIRECT(I3951),test),getMin(B3951,C3951,INDIRECT(J$2),INDIRECT(I3951),test))</f>
        <v>1</v>
      </c>
      <c r="E3951" s="5">
        <f ca="1">IF(getQuality(B3951)&lt;4,getOtherMax(B3951,C3951,INDIRECT(J$2),INDIRECT(I3951),test),getMax(B3951,C3951,INDIRECT(J$2),INDIRECT(I3951),test))</f>
        <v>24.009875731714647</v>
      </c>
      <c r="F3951" s="1" t="str">
        <f t="shared" si="247"/>
        <v>50</v>
      </c>
      <c r="G3951" s="1" t="str">
        <f t="shared" si="248"/>
        <v/>
      </c>
      <c r="I3951" s="1" t="str">
        <f t="shared" si="246"/>
        <v>威尔新数值1.06.xlsm!suitPower</v>
      </c>
    </row>
    <row r="3952" spans="1:9" x14ac:dyDescent="0.15">
      <c r="A3952" s="1">
        <v>3951</v>
      </c>
      <c r="B3952" s="1">
        <v>103010800</v>
      </c>
      <c r="C3952" s="1">
        <f t="shared" si="245"/>
        <v>13</v>
      </c>
      <c r="D3952" s="5">
        <f ca="1">IF(getQuality(B3952)&lt;4,getOtherMin(B3952,C3952,INDIRECT(J$2),INDIRECT(I3952),test),getMin(B3952,C3952,INDIRECT(J$2),INDIRECT(I3952),test))</f>
        <v>1</v>
      </c>
      <c r="E3952" s="5">
        <f ca="1">IF(getQuality(B3952)&lt;4,getOtherMax(B3952,C3952,INDIRECT(J$2),INDIRECT(I3952),test),getMax(B3952,C3952,INDIRECT(J$2),INDIRECT(I3952),test))</f>
        <v>24.009875731714647</v>
      </c>
      <c r="F3952" s="1" t="str">
        <f t="shared" si="247"/>
        <v>50</v>
      </c>
      <c r="G3952" s="1" t="str">
        <f t="shared" si="248"/>
        <v/>
      </c>
      <c r="I3952" s="1" t="str">
        <f t="shared" si="246"/>
        <v>威尔新数值1.06.xlsm!suitPower</v>
      </c>
    </row>
    <row r="3953" spans="1:9" x14ac:dyDescent="0.15">
      <c r="A3953" s="1">
        <v>3952</v>
      </c>
      <c r="B3953" s="1">
        <v>103010800</v>
      </c>
      <c r="C3953" s="1">
        <f t="shared" si="245"/>
        <v>14</v>
      </c>
      <c r="D3953" s="5">
        <f ca="1">IF(getQuality(B3953)&lt;4,getOtherMin(B3953,C3953,INDIRECT(J$2),INDIRECT(I3953),test),getMin(B3953,C3953,INDIRECT(J$2),INDIRECT(I3953),test))</f>
        <v>1</v>
      </c>
      <c r="E3953" s="5">
        <f ca="1">IF(getQuality(B3953)&lt;4,getOtherMax(B3953,C3953,INDIRECT(J$2),INDIRECT(I3953),test),getMax(B3953,C3953,INDIRECT(J$2),INDIRECT(I3953),test))</f>
        <v>24.009875731714647</v>
      </c>
      <c r="F3953" s="1" t="str">
        <f t="shared" si="247"/>
        <v>50</v>
      </c>
      <c r="G3953" s="1" t="str">
        <f t="shared" si="248"/>
        <v/>
      </c>
      <c r="I3953" s="1" t="str">
        <f t="shared" si="246"/>
        <v>威尔新数值1.06.xlsm!suitPower</v>
      </c>
    </row>
    <row r="3954" spans="1:9" x14ac:dyDescent="0.15">
      <c r="A3954" s="1">
        <v>3953</v>
      </c>
      <c r="B3954" s="1">
        <v>103010800</v>
      </c>
      <c r="C3954" s="1">
        <f t="shared" si="245"/>
        <v>15</v>
      </c>
      <c r="D3954" s="5">
        <f ca="1">IF(getQuality(B3954)&lt;4,getOtherMin(B3954,C3954,INDIRECT(J$2),INDIRECT(I3954),test),getMin(B3954,C3954,INDIRECT(J$2),INDIRECT(I3954),test))</f>
        <v>1</v>
      </c>
      <c r="E3954" s="5">
        <f ca="1">IF(getQuality(B3954)&lt;4,getOtherMax(B3954,C3954,INDIRECT(J$2),INDIRECT(I3954),test),getMax(B3954,C3954,INDIRECT(J$2),INDIRECT(I3954),test))</f>
        <v>24.009875731714647</v>
      </c>
      <c r="F3954" s="1" t="str">
        <f t="shared" si="247"/>
        <v>50</v>
      </c>
      <c r="G3954" s="1" t="str">
        <f t="shared" si="248"/>
        <v/>
      </c>
      <c r="I3954" s="1" t="str">
        <f t="shared" si="246"/>
        <v>威尔新数值1.06.xlsm!suitPower</v>
      </c>
    </row>
    <row r="3955" spans="1:9" x14ac:dyDescent="0.15">
      <c r="A3955" s="1">
        <v>3954</v>
      </c>
      <c r="B3955" s="1">
        <v>103010800</v>
      </c>
      <c r="C3955" s="1">
        <f t="shared" si="245"/>
        <v>101</v>
      </c>
      <c r="D3955" s="5">
        <f ca="1">IF(getQuality(B3955)&lt;4,getOtherMin(B3955,C3955,INDIRECT(J$2),INDIRECT(I3955),test),getMin(B3955,C3955,INDIRECT(J$2),INDIRECT(I3955),test))</f>
        <v>7.0000000000000007E-2</v>
      </c>
      <c r="E3955" s="5">
        <f ca="1">IF(getQuality(B3955)&lt;4,getOtherMax(B3955,C3955,INDIRECT(J$2),INDIRECT(I3955),test),getMax(B3955,C3955,INDIRECT(J$2),INDIRECT(I3955),test))</f>
        <v>0.1</v>
      </c>
      <c r="F3955" s="1" t="str">
        <f t="shared" si="247"/>
        <v>50</v>
      </c>
      <c r="G3955" s="1" t="str">
        <f t="shared" si="248"/>
        <v/>
      </c>
      <c r="I3955" s="1" t="str">
        <f t="shared" si="246"/>
        <v>威尔新数值1.06.xlsm!circlePer</v>
      </c>
    </row>
    <row r="3956" spans="1:9" x14ac:dyDescent="0.15">
      <c r="A3956" s="1">
        <v>3955</v>
      </c>
      <c r="B3956" s="1">
        <v>103010800</v>
      </c>
      <c r="C3956" s="1">
        <f t="shared" si="245"/>
        <v>102</v>
      </c>
      <c r="D3956" s="5">
        <f ca="1">IF(getQuality(B3956)&lt;4,getOtherMin(B3956,C3956,INDIRECT(J$2),INDIRECT(I3956),test),getMin(B3956,C3956,INDIRECT(J$2),INDIRECT(I3956),test))</f>
        <v>0.6</v>
      </c>
      <c r="E3956" s="5">
        <f ca="1">IF(getQuality(B3956)&lt;4,getOtherMax(B3956,C3956,INDIRECT(J$2),INDIRECT(I3956),test),getMax(B3956,C3956,INDIRECT(J$2),INDIRECT(I3956),test))</f>
        <v>0.9</v>
      </c>
      <c r="F3956" s="1" t="str">
        <f t="shared" si="247"/>
        <v>50</v>
      </c>
      <c r="G3956" s="1" t="str">
        <f t="shared" si="248"/>
        <v/>
      </c>
      <c r="I3956" s="1" t="str">
        <f t="shared" si="246"/>
        <v>威尔新数值1.06.xlsm!circleValue</v>
      </c>
    </row>
    <row r="3957" spans="1:9" x14ac:dyDescent="0.15">
      <c r="A3957" s="1">
        <v>3956</v>
      </c>
      <c r="B3957" s="1">
        <v>103010800</v>
      </c>
      <c r="C3957" s="1">
        <f t="shared" si="245"/>
        <v>103</v>
      </c>
      <c r="D3957" s="5">
        <f ca="1">IF(getQuality(B3957)&lt;4,getOtherMin(B3957,C3957,INDIRECT(J$2),INDIRECT(I3957),test),getMin(B3957,C3957,INDIRECT(J$2),INDIRECT(I3957),test))</f>
        <v>7.0000000000000007E-2</v>
      </c>
      <c r="E3957" s="5">
        <f ca="1">IF(getQuality(B3957)&lt;4,getOtherMax(B3957,C3957,INDIRECT(J$2),INDIRECT(I3957),test),getMax(B3957,C3957,INDIRECT(J$2),INDIRECT(I3957),test))</f>
        <v>0.1</v>
      </c>
      <c r="F3957" s="1" t="str">
        <f t="shared" si="247"/>
        <v>50</v>
      </c>
      <c r="G3957" s="1" t="str">
        <f t="shared" si="248"/>
        <v/>
      </c>
      <c r="I3957" s="1" t="str">
        <f t="shared" si="246"/>
        <v>威尔新数值1.06.xlsm!otherDamage</v>
      </c>
    </row>
    <row r="3958" spans="1:9" x14ac:dyDescent="0.15">
      <c r="A3958" s="1">
        <v>3957</v>
      </c>
      <c r="B3958" s="1">
        <v>103010800</v>
      </c>
      <c r="C3958" s="1">
        <f t="shared" si="245"/>
        <v>104</v>
      </c>
      <c r="D3958" s="5">
        <f ca="1">IF(getQuality(B3958)&lt;4,getOtherMin(B3958,C3958,INDIRECT(J$2),INDIRECT(I3958),test),getMin(B3958,C3958,INDIRECT(J$2),INDIRECT(I3958),test))</f>
        <v>7.0000000000000007E-2</v>
      </c>
      <c r="E3958" s="5">
        <f ca="1">IF(getQuality(B3958)&lt;4,getOtherMax(B3958,C3958,INDIRECT(J$2),INDIRECT(I3958),test),getMax(B3958,C3958,INDIRECT(J$2),INDIRECT(I3958),test))</f>
        <v>0.14000000000000001</v>
      </c>
      <c r="F3958" s="1" t="str">
        <f t="shared" si="247"/>
        <v>50</v>
      </c>
      <c r="G3958" s="1" t="str">
        <f t="shared" si="248"/>
        <v/>
      </c>
      <c r="I3958" s="1" t="str">
        <f t="shared" si="246"/>
        <v>威尔新数值1.06.xlsm!monsterDamage</v>
      </c>
    </row>
    <row r="3959" spans="1:9" x14ac:dyDescent="0.15">
      <c r="A3959" s="1">
        <v>3958</v>
      </c>
      <c r="B3959" s="1">
        <v>103010800</v>
      </c>
      <c r="C3959" s="1">
        <f t="shared" si="245"/>
        <v>105</v>
      </c>
      <c r="D3959" s="5">
        <f ca="1">IF(getQuality(B3959)&lt;4,getOtherMin(B3959,C3959,INDIRECT(J$2),INDIRECT(I3959),test),getMin(B3959,C3959,INDIRECT(J$2),INDIRECT(I3959),test))</f>
        <v>7.0000000000000007E-2</v>
      </c>
      <c r="E3959" s="5">
        <f ca="1">IF(getQuality(B3959)&lt;4,getOtherMax(B3959,C3959,INDIRECT(J$2),INDIRECT(I3959),test),getMax(B3959,C3959,INDIRECT(J$2),INDIRECT(I3959),test))</f>
        <v>0.14000000000000001</v>
      </c>
      <c r="F3959" s="1" t="str">
        <f t="shared" si="247"/>
        <v>50</v>
      </c>
      <c r="G3959" s="1" t="str">
        <f t="shared" si="248"/>
        <v/>
      </c>
      <c r="I3959" s="1" t="str">
        <f t="shared" si="246"/>
        <v>威尔新数值1.06.xlsm!monsterDamage</v>
      </c>
    </row>
    <row r="3960" spans="1:9" x14ac:dyDescent="0.15">
      <c r="A3960" s="1">
        <v>3959</v>
      </c>
      <c r="B3960" s="1">
        <v>103010800</v>
      </c>
      <c r="C3960" s="1">
        <f t="shared" si="245"/>
        <v>106</v>
      </c>
      <c r="D3960" s="5">
        <f ca="1">IF(getQuality(B3960)&lt;4,getOtherMin(B3960,C3960,INDIRECT(J$2),INDIRECT(I3960),test),getMin(B3960,C3960,INDIRECT(J$2),INDIRECT(I3960),test))</f>
        <v>7.0000000000000007E-2</v>
      </c>
      <c r="E3960" s="5">
        <f ca="1">IF(getQuality(B3960)&lt;4,getOtherMax(B3960,C3960,INDIRECT(J$2),INDIRECT(I3960),test),getMax(B3960,C3960,INDIRECT(J$2),INDIRECT(I3960),test))</f>
        <v>0.14000000000000001</v>
      </c>
      <c r="F3960" s="1" t="str">
        <f t="shared" si="247"/>
        <v>50</v>
      </c>
      <c r="G3960" s="1" t="str">
        <f t="shared" si="248"/>
        <v/>
      </c>
      <c r="I3960" s="1" t="str">
        <f t="shared" si="246"/>
        <v>威尔新数值1.06.xlsm!monsterDamage</v>
      </c>
    </row>
    <row r="3961" spans="1:9" x14ac:dyDescent="0.15">
      <c r="A3961" s="1">
        <v>3960</v>
      </c>
      <c r="B3961" s="1">
        <v>103010800</v>
      </c>
      <c r="C3961" s="1">
        <f t="shared" si="245"/>
        <v>107</v>
      </c>
      <c r="D3961" s="5">
        <f ca="1">IF(getQuality(B3961)&lt;4,getOtherMin(B3961,C3961,INDIRECT(J$2),INDIRECT(I3961),test),getMin(B3961,C3961,INDIRECT(J$2),INDIRECT(I3961),test))</f>
        <v>7.0000000000000007E-2</v>
      </c>
      <c r="E3961" s="5">
        <f ca="1">IF(getQuality(B3961)&lt;4,getOtherMax(B3961,C3961,INDIRECT(J$2),INDIRECT(I3961),test),getMax(B3961,C3961,INDIRECT(J$2),INDIRECT(I3961),test))</f>
        <v>0.14000000000000001</v>
      </c>
      <c r="F3961" s="1" t="str">
        <f t="shared" si="247"/>
        <v>50</v>
      </c>
      <c r="G3961" s="1" t="str">
        <f t="shared" si="248"/>
        <v/>
      </c>
      <c r="I3961" s="1" t="str">
        <f t="shared" si="246"/>
        <v>威尔新数值1.06.xlsm!monsterDamage</v>
      </c>
    </row>
    <row r="3962" spans="1:9" x14ac:dyDescent="0.15">
      <c r="A3962" s="1">
        <v>3961</v>
      </c>
      <c r="B3962" s="1">
        <v>103010800</v>
      </c>
      <c r="C3962" s="1">
        <f t="shared" si="245"/>
        <v>108</v>
      </c>
      <c r="D3962" s="5">
        <f ca="1">IF(getQuality(B3962)&lt;4,getOtherMin(B3962,C3962,INDIRECT(J$2),INDIRECT(I3962),test),getMin(B3962,C3962,INDIRECT(J$2),INDIRECT(I3962),test))</f>
        <v>7.0000000000000007E-2</v>
      </c>
      <c r="E3962" s="5">
        <f ca="1">IF(getQuality(B3962)&lt;4,getOtherMax(B3962,C3962,INDIRECT(J$2),INDIRECT(I3962),test),getMax(B3962,C3962,INDIRECT(J$2),INDIRECT(I3962),test))</f>
        <v>0.14000000000000001</v>
      </c>
      <c r="F3962" s="1" t="str">
        <f t="shared" si="247"/>
        <v>50</v>
      </c>
      <c r="G3962" s="1" t="str">
        <f t="shared" si="248"/>
        <v/>
      </c>
      <c r="I3962" s="1" t="str">
        <f t="shared" si="246"/>
        <v>威尔新数值1.06.xlsm!monsterDamage</v>
      </c>
    </row>
    <row r="3963" spans="1:9" x14ac:dyDescent="0.15">
      <c r="A3963" s="1">
        <v>3962</v>
      </c>
      <c r="B3963" s="1">
        <v>103020800</v>
      </c>
      <c r="C3963" s="1">
        <f t="shared" si="245"/>
        <v>3</v>
      </c>
      <c r="D3963" s="5">
        <f ca="1">IF(getQuality(B3963)&lt;4,getOtherMin(B3963,C3963,INDIRECT(J$2),INDIRECT(I3963),test),getMin(B3963,C3963,INDIRECT(J$2),INDIRECT(I3963),test))</f>
        <v>25.009875731714647</v>
      </c>
      <c r="E3963" s="5">
        <f ca="1">IF(getQuality(B3963)&lt;4,getOtherMax(B3963,C3963,INDIRECT(J$2),INDIRECT(I3963),test),getMax(B3963,C3963,INDIRECT(J$2),INDIRECT(I3963),test))</f>
        <v>52.82172660977222</v>
      </c>
      <c r="F3963" s="1" t="str">
        <f t="shared" si="247"/>
        <v>50</v>
      </c>
      <c r="G3963" s="1" t="str">
        <f t="shared" si="248"/>
        <v/>
      </c>
      <c r="I3963" s="1" t="str">
        <f t="shared" si="246"/>
        <v>威尔新数值1.06.xlsm!suitPower</v>
      </c>
    </row>
    <row r="3964" spans="1:9" x14ac:dyDescent="0.15">
      <c r="A3964" s="1">
        <v>3963</v>
      </c>
      <c r="B3964" s="1">
        <v>103020800</v>
      </c>
      <c r="C3964" s="1">
        <f t="shared" ref="C3964:C4027" si="249">C1489</f>
        <v>5</v>
      </c>
      <c r="D3964" s="5">
        <f ca="1">IF(getQuality(B3964)&lt;4,getOtherMin(B3964,C3964,INDIRECT(J$2),INDIRECT(I3964),test),getMin(B3964,C3964,INDIRECT(J$2),INDIRECT(I3964),test))</f>
        <v>25.009875731714647</v>
      </c>
      <c r="E3964" s="5">
        <f ca="1">IF(getQuality(B3964)&lt;4,getOtherMax(B3964,C3964,INDIRECT(J$2),INDIRECT(I3964),test),getMax(B3964,C3964,INDIRECT(J$2),INDIRECT(I3964),test))</f>
        <v>52.82172660977222</v>
      </c>
      <c r="F3964" s="1" t="str">
        <f t="shared" si="247"/>
        <v>50</v>
      </c>
      <c r="G3964" s="1" t="str">
        <f t="shared" si="248"/>
        <v>1</v>
      </c>
      <c r="I3964" s="1" t="str">
        <f t="shared" si="246"/>
        <v>威尔新数值1.06.xlsm!suitPower</v>
      </c>
    </row>
    <row r="3965" spans="1:9" x14ac:dyDescent="0.15">
      <c r="A3965" s="1">
        <v>3964</v>
      </c>
      <c r="B3965" s="1">
        <v>103020800</v>
      </c>
      <c r="C3965" s="1">
        <f t="shared" si="249"/>
        <v>7</v>
      </c>
      <c r="D3965" s="5">
        <f ca="1">IF(getQuality(B3965)&lt;4,getOtherMin(B3965,C3965,INDIRECT(J$2),INDIRECT(I3965),test),getMin(B3965,C3965,INDIRECT(J$2),INDIRECT(I3965),test))</f>
        <v>8.4074074074073888</v>
      </c>
      <c r="E3965" s="5">
        <f ca="1">IF(getQuality(B3965)&lt;4,getOtherMax(B3965,C3965,INDIRECT(J$2),INDIRECT(I3965),test),getMax(B3965,C3965,INDIRECT(J$2),INDIRECT(I3965),test))</f>
        <v>14.814814814814778</v>
      </c>
      <c r="F3965" s="1" t="str">
        <f t="shared" si="247"/>
        <v>50</v>
      </c>
      <c r="G3965" s="1" t="str">
        <f t="shared" si="248"/>
        <v/>
      </c>
      <c r="I3965" s="1" t="str">
        <f t="shared" si="246"/>
        <v>威尔新数值1.06.xlsm!suitPower</v>
      </c>
    </row>
    <row r="3966" spans="1:9" x14ac:dyDescent="0.15">
      <c r="A3966" s="1">
        <v>3965</v>
      </c>
      <c r="B3966" s="1">
        <v>103020800</v>
      </c>
      <c r="C3966" s="1">
        <f t="shared" si="249"/>
        <v>8</v>
      </c>
      <c r="D3966" s="5">
        <f ca="1">IF(getQuality(B3966)&lt;4,getOtherMin(B3966,C3966,INDIRECT(J$2),INDIRECT(I3966),test),getMin(B3966,C3966,INDIRECT(J$2),INDIRECT(I3966),test))</f>
        <v>17.666666666666668</v>
      </c>
      <c r="E3966" s="5">
        <f ca="1">IF(getQuality(B3966)&lt;4,getOtherMax(B3966,C3966,INDIRECT(J$2),INDIRECT(I3966),test),getMax(B3966,C3966,INDIRECT(J$2),INDIRECT(I3966),test))</f>
        <v>33.333333333333336</v>
      </c>
      <c r="F3966" s="1" t="str">
        <f t="shared" si="247"/>
        <v>50</v>
      </c>
      <c r="G3966" s="1" t="str">
        <f t="shared" si="248"/>
        <v/>
      </c>
      <c r="I3966" s="1" t="str">
        <f t="shared" si="246"/>
        <v>威尔新数值1.06.xlsm!suitPower</v>
      </c>
    </row>
    <row r="3967" spans="1:9" x14ac:dyDescent="0.15">
      <c r="A3967" s="1">
        <v>3966</v>
      </c>
      <c r="B3967" s="1">
        <v>103020800</v>
      </c>
      <c r="C3967" s="1">
        <f t="shared" si="249"/>
        <v>9</v>
      </c>
      <c r="D3967" s="5">
        <f ca="1">IF(getQuality(B3967)&lt;4,getOtherMin(B3967,C3967,INDIRECT(J$2),INDIRECT(I3967),test),getMin(B3967,C3967,INDIRECT(J$2),INDIRECT(I3967),test))</f>
        <v>25.009875731714647</v>
      </c>
      <c r="E3967" s="5">
        <f ca="1">IF(getQuality(B3967)&lt;4,getOtherMax(B3967,C3967,INDIRECT(J$2),INDIRECT(I3967),test),getMax(B3967,C3967,INDIRECT(J$2),INDIRECT(I3967),test))</f>
        <v>52.82172660977222</v>
      </c>
      <c r="F3967" s="1" t="str">
        <f t="shared" si="247"/>
        <v>50</v>
      </c>
      <c r="G3967" s="1" t="str">
        <f t="shared" si="248"/>
        <v/>
      </c>
      <c r="I3967" s="1" t="str">
        <f t="shared" si="246"/>
        <v>威尔新数值1.06.xlsm!suitPower</v>
      </c>
    </row>
    <row r="3968" spans="1:9" x14ac:dyDescent="0.15">
      <c r="A3968" s="1">
        <v>3967</v>
      </c>
      <c r="B3968" s="1">
        <v>103020800</v>
      </c>
      <c r="C3968" s="1">
        <f t="shared" si="249"/>
        <v>10</v>
      </c>
      <c r="D3968" s="5">
        <f ca="1">IF(getQuality(B3968)&lt;4,getOtherMin(B3968,C3968,INDIRECT(J$2),INDIRECT(I3968),test),getMin(B3968,C3968,INDIRECT(J$2),INDIRECT(I3968),test))</f>
        <v>25.009875731714647</v>
      </c>
      <c r="E3968" s="5">
        <f ca="1">IF(getQuality(B3968)&lt;4,getOtherMax(B3968,C3968,INDIRECT(J$2),INDIRECT(I3968),test),getMax(B3968,C3968,INDIRECT(J$2),INDIRECT(I3968),test))</f>
        <v>52.82172660977222</v>
      </c>
      <c r="F3968" s="1" t="str">
        <f t="shared" si="247"/>
        <v>50</v>
      </c>
      <c r="G3968" s="1" t="str">
        <f t="shared" si="248"/>
        <v/>
      </c>
      <c r="I3968" s="1" t="str">
        <f t="shared" si="246"/>
        <v>威尔新数值1.06.xlsm!suitPower</v>
      </c>
    </row>
    <row r="3969" spans="1:9" x14ac:dyDescent="0.15">
      <c r="A3969" s="1">
        <v>3968</v>
      </c>
      <c r="B3969" s="1">
        <v>103020800</v>
      </c>
      <c r="C3969" s="1">
        <f t="shared" si="249"/>
        <v>11</v>
      </c>
      <c r="D3969" s="5">
        <f ca="1">IF(getQuality(B3969)&lt;4,getOtherMin(B3969,C3969,INDIRECT(J$2),INDIRECT(I3969),test),getMin(B3969,C3969,INDIRECT(J$2),INDIRECT(I3969),test))</f>
        <v>25.009875731714647</v>
      </c>
      <c r="E3969" s="5">
        <f ca="1">IF(getQuality(B3969)&lt;4,getOtherMax(B3969,C3969,INDIRECT(J$2),INDIRECT(I3969),test),getMax(B3969,C3969,INDIRECT(J$2),INDIRECT(I3969),test))</f>
        <v>52.82172660977222</v>
      </c>
      <c r="F3969" s="1" t="str">
        <f t="shared" si="247"/>
        <v>50</v>
      </c>
      <c r="G3969" s="1" t="str">
        <f t="shared" si="248"/>
        <v/>
      </c>
      <c r="I3969" s="1" t="str">
        <f t="shared" si="246"/>
        <v>威尔新数值1.06.xlsm!suitPower</v>
      </c>
    </row>
    <row r="3970" spans="1:9" x14ac:dyDescent="0.15">
      <c r="A3970" s="1">
        <v>3969</v>
      </c>
      <c r="B3970" s="1">
        <v>103020800</v>
      </c>
      <c r="C3970" s="1">
        <f t="shared" si="249"/>
        <v>12</v>
      </c>
      <c r="D3970" s="5">
        <f ca="1">IF(getQuality(B3970)&lt;4,getOtherMin(B3970,C3970,INDIRECT(J$2),INDIRECT(I3970),test),getMin(B3970,C3970,INDIRECT(J$2),INDIRECT(I3970),test))</f>
        <v>25.009875731714647</v>
      </c>
      <c r="E3970" s="5">
        <f ca="1">IF(getQuality(B3970)&lt;4,getOtherMax(B3970,C3970,INDIRECT(J$2),INDIRECT(I3970),test),getMax(B3970,C3970,INDIRECT(J$2),INDIRECT(I3970),test))</f>
        <v>52.82172660977222</v>
      </c>
      <c r="F3970" s="1" t="str">
        <f t="shared" si="247"/>
        <v>50</v>
      </c>
      <c r="G3970" s="1" t="str">
        <f t="shared" si="248"/>
        <v/>
      </c>
      <c r="I3970" s="1" t="str">
        <f t="shared" ref="I3970:I4033" si="250">IF(C3970&lt;100,VLOOKUP(C3970,test,3,FALSE),VLOOKUP(C3970,test1,3,FALSE))</f>
        <v>威尔新数值1.06.xlsm!suitPower</v>
      </c>
    </row>
    <row r="3971" spans="1:9" x14ac:dyDescent="0.15">
      <c r="A3971" s="1">
        <v>3970</v>
      </c>
      <c r="B3971" s="1">
        <v>103020800</v>
      </c>
      <c r="C3971" s="1">
        <f t="shared" si="249"/>
        <v>13</v>
      </c>
      <c r="D3971" s="5">
        <f ca="1">IF(getQuality(B3971)&lt;4,getOtherMin(B3971,C3971,INDIRECT(J$2),INDIRECT(I3971),test),getMin(B3971,C3971,INDIRECT(J$2),INDIRECT(I3971),test))</f>
        <v>25.009875731714647</v>
      </c>
      <c r="E3971" s="5">
        <f ca="1">IF(getQuality(B3971)&lt;4,getOtherMax(B3971,C3971,INDIRECT(J$2),INDIRECT(I3971),test),getMax(B3971,C3971,INDIRECT(J$2),INDIRECT(I3971),test))</f>
        <v>52.82172660977222</v>
      </c>
      <c r="F3971" s="1" t="str">
        <f t="shared" ref="F3971:F4034" si="251">getper(B3971,C3971)</f>
        <v>50</v>
      </c>
      <c r="G3971" s="1" t="str">
        <f t="shared" ref="G3971:G4034" si="252">getMust(B3971,C3971)</f>
        <v/>
      </c>
      <c r="I3971" s="1" t="str">
        <f t="shared" si="250"/>
        <v>威尔新数值1.06.xlsm!suitPower</v>
      </c>
    </row>
    <row r="3972" spans="1:9" x14ac:dyDescent="0.15">
      <c r="A3972" s="1">
        <v>3971</v>
      </c>
      <c r="B3972" s="1">
        <v>103020800</v>
      </c>
      <c r="C3972" s="1">
        <f t="shared" si="249"/>
        <v>14</v>
      </c>
      <c r="D3972" s="5">
        <f ca="1">IF(getQuality(B3972)&lt;4,getOtherMin(B3972,C3972,INDIRECT(J$2),INDIRECT(I3972),test),getMin(B3972,C3972,INDIRECT(J$2),INDIRECT(I3972),test))</f>
        <v>25.009875731714647</v>
      </c>
      <c r="E3972" s="5">
        <f ca="1">IF(getQuality(B3972)&lt;4,getOtherMax(B3972,C3972,INDIRECT(J$2),INDIRECT(I3972),test),getMax(B3972,C3972,INDIRECT(J$2),INDIRECT(I3972),test))</f>
        <v>52.82172660977222</v>
      </c>
      <c r="F3972" s="1" t="str">
        <f t="shared" si="251"/>
        <v>50</v>
      </c>
      <c r="G3972" s="1" t="str">
        <f t="shared" si="252"/>
        <v/>
      </c>
      <c r="I3972" s="1" t="str">
        <f t="shared" si="250"/>
        <v>威尔新数值1.06.xlsm!suitPower</v>
      </c>
    </row>
    <row r="3973" spans="1:9" x14ac:dyDescent="0.15">
      <c r="A3973" s="1">
        <v>3972</v>
      </c>
      <c r="B3973" s="1">
        <v>103020800</v>
      </c>
      <c r="C3973" s="1">
        <f t="shared" si="249"/>
        <v>15</v>
      </c>
      <c r="D3973" s="5">
        <f ca="1">IF(getQuality(B3973)&lt;4,getOtherMin(B3973,C3973,INDIRECT(J$2),INDIRECT(I3973),test),getMin(B3973,C3973,INDIRECT(J$2),INDIRECT(I3973),test))</f>
        <v>25.009875731714647</v>
      </c>
      <c r="E3973" s="5">
        <f ca="1">IF(getQuality(B3973)&lt;4,getOtherMax(B3973,C3973,INDIRECT(J$2),INDIRECT(I3973),test),getMax(B3973,C3973,INDIRECT(J$2),INDIRECT(I3973),test))</f>
        <v>52.82172660977222</v>
      </c>
      <c r="F3973" s="1" t="str">
        <f t="shared" si="251"/>
        <v>50</v>
      </c>
      <c r="G3973" s="1" t="str">
        <f t="shared" si="252"/>
        <v/>
      </c>
      <c r="I3973" s="1" t="str">
        <f t="shared" si="250"/>
        <v>威尔新数值1.06.xlsm!suitPower</v>
      </c>
    </row>
    <row r="3974" spans="1:9" x14ac:dyDescent="0.15">
      <c r="A3974" s="1">
        <v>3973</v>
      </c>
      <c r="B3974" s="1">
        <v>103020800</v>
      </c>
      <c r="C3974" s="1">
        <f t="shared" si="249"/>
        <v>101</v>
      </c>
      <c r="D3974" s="5">
        <f ca="1">IF(getQuality(B3974)&lt;4,getOtherMin(B3974,C3974,INDIRECT(J$2),INDIRECT(I3974),test),getMin(B3974,C3974,INDIRECT(J$2),INDIRECT(I3974),test))</f>
        <v>0.08</v>
      </c>
      <c r="E3974" s="5">
        <f ca="1">IF(getQuality(B3974)&lt;4,getOtherMax(B3974,C3974,INDIRECT(J$2),INDIRECT(I3974),test),getMax(B3974,C3974,INDIRECT(J$2),INDIRECT(I3974),test))</f>
        <v>0.11</v>
      </c>
      <c r="F3974" s="1" t="str">
        <f t="shared" si="251"/>
        <v>50</v>
      </c>
      <c r="G3974" s="1" t="str">
        <f t="shared" si="252"/>
        <v/>
      </c>
      <c r="I3974" s="1" t="str">
        <f t="shared" si="250"/>
        <v>威尔新数值1.06.xlsm!circlePer</v>
      </c>
    </row>
    <row r="3975" spans="1:9" x14ac:dyDescent="0.15">
      <c r="A3975" s="1">
        <v>3974</v>
      </c>
      <c r="B3975" s="1">
        <v>103020800</v>
      </c>
      <c r="C3975" s="1">
        <f t="shared" si="249"/>
        <v>102</v>
      </c>
      <c r="D3975" s="5">
        <f ca="1">IF(getQuality(B3975)&lt;4,getOtherMin(B3975,C3975,INDIRECT(J$2),INDIRECT(I3975),test),getMin(B3975,C3975,INDIRECT(J$2),INDIRECT(I3975),test))</f>
        <v>0.7</v>
      </c>
      <c r="E3975" s="5">
        <f ca="1">IF(getQuality(B3975)&lt;4,getOtherMax(B3975,C3975,INDIRECT(J$2),INDIRECT(I3975),test),getMax(B3975,C3975,INDIRECT(J$2),INDIRECT(I3975),test))</f>
        <v>1</v>
      </c>
      <c r="F3975" s="1" t="str">
        <f t="shared" si="251"/>
        <v>50</v>
      </c>
      <c r="G3975" s="1" t="str">
        <f t="shared" si="252"/>
        <v/>
      </c>
      <c r="I3975" s="1" t="str">
        <f t="shared" si="250"/>
        <v>威尔新数值1.06.xlsm!circleValue</v>
      </c>
    </row>
    <row r="3976" spans="1:9" x14ac:dyDescent="0.15">
      <c r="A3976" s="1">
        <v>3975</v>
      </c>
      <c r="B3976" s="1">
        <v>103020800</v>
      </c>
      <c r="C3976" s="1">
        <f t="shared" si="249"/>
        <v>103</v>
      </c>
      <c r="D3976" s="5">
        <f ca="1">IF(getQuality(B3976)&lt;4,getOtherMin(B3976,C3976,INDIRECT(J$2),INDIRECT(I3976),test),getMin(B3976,C3976,INDIRECT(J$2),INDIRECT(I3976),test))</f>
        <v>0.08</v>
      </c>
      <c r="E3976" s="5">
        <f ca="1">IF(getQuality(B3976)&lt;4,getOtherMax(B3976,C3976,INDIRECT(J$2),INDIRECT(I3976),test),getMax(B3976,C3976,INDIRECT(J$2),INDIRECT(I3976),test))</f>
        <v>0.11</v>
      </c>
      <c r="F3976" s="1" t="str">
        <f t="shared" si="251"/>
        <v>50</v>
      </c>
      <c r="G3976" s="1" t="str">
        <f t="shared" si="252"/>
        <v/>
      </c>
      <c r="I3976" s="1" t="str">
        <f t="shared" si="250"/>
        <v>威尔新数值1.06.xlsm!otherDamage</v>
      </c>
    </row>
    <row r="3977" spans="1:9" x14ac:dyDescent="0.15">
      <c r="A3977" s="1">
        <v>3976</v>
      </c>
      <c r="B3977" s="1">
        <v>103020800</v>
      </c>
      <c r="C3977" s="1">
        <f t="shared" si="249"/>
        <v>104</v>
      </c>
      <c r="D3977" s="5">
        <f ca="1">IF(getQuality(B3977)&lt;4,getOtherMin(B3977,C3977,INDIRECT(J$2),INDIRECT(I3977),test),getMin(B3977,C3977,INDIRECT(J$2),INDIRECT(I3977),test))</f>
        <v>0.08</v>
      </c>
      <c r="E3977" s="5">
        <f ca="1">IF(getQuality(B3977)&lt;4,getOtherMax(B3977,C3977,INDIRECT(J$2),INDIRECT(I3977),test),getMax(B3977,C3977,INDIRECT(J$2),INDIRECT(I3977),test))</f>
        <v>0.16</v>
      </c>
      <c r="F3977" s="1" t="str">
        <f t="shared" si="251"/>
        <v>50</v>
      </c>
      <c r="G3977" s="1" t="str">
        <f t="shared" si="252"/>
        <v/>
      </c>
      <c r="I3977" s="1" t="str">
        <f t="shared" si="250"/>
        <v>威尔新数值1.06.xlsm!monsterDamage</v>
      </c>
    </row>
    <row r="3978" spans="1:9" x14ac:dyDescent="0.15">
      <c r="A3978" s="1">
        <v>3977</v>
      </c>
      <c r="B3978" s="1">
        <v>103020800</v>
      </c>
      <c r="C3978" s="1">
        <f t="shared" si="249"/>
        <v>105</v>
      </c>
      <c r="D3978" s="5">
        <f ca="1">IF(getQuality(B3978)&lt;4,getOtherMin(B3978,C3978,INDIRECT(J$2),INDIRECT(I3978),test),getMin(B3978,C3978,INDIRECT(J$2),INDIRECT(I3978),test))</f>
        <v>0.08</v>
      </c>
      <c r="E3978" s="5">
        <f ca="1">IF(getQuality(B3978)&lt;4,getOtherMax(B3978,C3978,INDIRECT(J$2),INDIRECT(I3978),test),getMax(B3978,C3978,INDIRECT(J$2),INDIRECT(I3978),test))</f>
        <v>0.16</v>
      </c>
      <c r="F3978" s="1" t="str">
        <f t="shared" si="251"/>
        <v>50</v>
      </c>
      <c r="G3978" s="1" t="str">
        <f t="shared" si="252"/>
        <v/>
      </c>
      <c r="I3978" s="1" t="str">
        <f t="shared" si="250"/>
        <v>威尔新数值1.06.xlsm!monsterDamage</v>
      </c>
    </row>
    <row r="3979" spans="1:9" x14ac:dyDescent="0.15">
      <c r="A3979" s="1">
        <v>3978</v>
      </c>
      <c r="B3979" s="1">
        <v>103020800</v>
      </c>
      <c r="C3979" s="1">
        <f t="shared" si="249"/>
        <v>106</v>
      </c>
      <c r="D3979" s="5">
        <f ca="1">IF(getQuality(B3979)&lt;4,getOtherMin(B3979,C3979,INDIRECT(J$2),INDIRECT(I3979),test),getMin(B3979,C3979,INDIRECT(J$2),INDIRECT(I3979),test))</f>
        <v>0.08</v>
      </c>
      <c r="E3979" s="5">
        <f ca="1">IF(getQuality(B3979)&lt;4,getOtherMax(B3979,C3979,INDIRECT(J$2),INDIRECT(I3979),test),getMax(B3979,C3979,INDIRECT(J$2),INDIRECT(I3979),test))</f>
        <v>0.16</v>
      </c>
      <c r="F3979" s="1" t="str">
        <f t="shared" si="251"/>
        <v>50</v>
      </c>
      <c r="G3979" s="1" t="str">
        <f t="shared" si="252"/>
        <v/>
      </c>
      <c r="I3979" s="1" t="str">
        <f t="shared" si="250"/>
        <v>威尔新数值1.06.xlsm!monsterDamage</v>
      </c>
    </row>
    <row r="3980" spans="1:9" x14ac:dyDescent="0.15">
      <c r="A3980" s="1">
        <v>3979</v>
      </c>
      <c r="B3980" s="1">
        <v>103020800</v>
      </c>
      <c r="C3980" s="1">
        <f t="shared" si="249"/>
        <v>107</v>
      </c>
      <c r="D3980" s="5">
        <f ca="1">IF(getQuality(B3980)&lt;4,getOtherMin(B3980,C3980,INDIRECT(J$2),INDIRECT(I3980),test),getMin(B3980,C3980,INDIRECT(J$2),INDIRECT(I3980),test))</f>
        <v>0.08</v>
      </c>
      <c r="E3980" s="5">
        <f ca="1">IF(getQuality(B3980)&lt;4,getOtherMax(B3980,C3980,INDIRECT(J$2),INDIRECT(I3980),test),getMax(B3980,C3980,INDIRECT(J$2),INDIRECT(I3980),test))</f>
        <v>0.16</v>
      </c>
      <c r="F3980" s="1" t="str">
        <f t="shared" si="251"/>
        <v>50</v>
      </c>
      <c r="G3980" s="1" t="str">
        <f t="shared" si="252"/>
        <v/>
      </c>
      <c r="I3980" s="1" t="str">
        <f t="shared" si="250"/>
        <v>威尔新数值1.06.xlsm!monsterDamage</v>
      </c>
    </row>
    <row r="3981" spans="1:9" x14ac:dyDescent="0.15">
      <c r="A3981" s="1">
        <v>3980</v>
      </c>
      <c r="B3981" s="1">
        <v>103020800</v>
      </c>
      <c r="C3981" s="1">
        <f t="shared" si="249"/>
        <v>108</v>
      </c>
      <c r="D3981" s="5">
        <f ca="1">IF(getQuality(B3981)&lt;4,getOtherMin(B3981,C3981,INDIRECT(J$2),INDIRECT(I3981),test),getMin(B3981,C3981,INDIRECT(J$2),INDIRECT(I3981),test))</f>
        <v>0.08</v>
      </c>
      <c r="E3981" s="5">
        <f ca="1">IF(getQuality(B3981)&lt;4,getOtherMax(B3981,C3981,INDIRECT(J$2),INDIRECT(I3981),test),getMax(B3981,C3981,INDIRECT(J$2),INDIRECT(I3981),test))</f>
        <v>0.16</v>
      </c>
      <c r="F3981" s="1" t="str">
        <f t="shared" si="251"/>
        <v>50</v>
      </c>
      <c r="G3981" s="1" t="str">
        <f t="shared" si="252"/>
        <v/>
      </c>
      <c r="I3981" s="1" t="str">
        <f t="shared" si="250"/>
        <v>威尔新数值1.06.xlsm!monsterDamage</v>
      </c>
    </row>
    <row r="3982" spans="1:9" x14ac:dyDescent="0.15">
      <c r="A3982" s="1">
        <v>3981</v>
      </c>
      <c r="B3982" s="1">
        <v>103030800</v>
      </c>
      <c r="C3982" s="1">
        <f t="shared" si="249"/>
        <v>3</v>
      </c>
      <c r="D3982" s="5">
        <f ca="1">IF(getQuality(B3982)&lt;4,getOtherMin(B3982,C3982,INDIRECT(J$2),INDIRECT(I3982),test),getMin(B3982,C3982,INDIRECT(J$2),INDIRECT(I3982),test))</f>
        <v>53.82172660977222</v>
      </c>
      <c r="E3982" s="5">
        <f ca="1">IF(getQuality(B3982)&lt;4,getOtherMax(B3982,C3982,INDIRECT(J$2),INDIRECT(I3982),test),getMax(B3982,C3982,INDIRECT(J$2),INDIRECT(I3982),test))</f>
        <v>86.435552634172723</v>
      </c>
      <c r="F3982" s="1" t="str">
        <f t="shared" si="251"/>
        <v>50</v>
      </c>
      <c r="G3982" s="1" t="str">
        <f t="shared" si="252"/>
        <v/>
      </c>
      <c r="I3982" s="1" t="str">
        <f t="shared" si="250"/>
        <v>威尔新数值1.06.xlsm!suitPower</v>
      </c>
    </row>
    <row r="3983" spans="1:9" x14ac:dyDescent="0.15">
      <c r="A3983" s="1">
        <v>3982</v>
      </c>
      <c r="B3983" s="1">
        <v>103030800</v>
      </c>
      <c r="C3983" s="1">
        <f t="shared" si="249"/>
        <v>5</v>
      </c>
      <c r="D3983" s="5">
        <f ca="1">IF(getQuality(B3983)&lt;4,getOtherMin(B3983,C3983,INDIRECT(J$2),INDIRECT(I3983),test),getMin(B3983,C3983,INDIRECT(J$2),INDIRECT(I3983),test))</f>
        <v>53.82172660977222</v>
      </c>
      <c r="E3983" s="5">
        <f ca="1">IF(getQuality(B3983)&lt;4,getOtherMax(B3983,C3983,INDIRECT(J$2),INDIRECT(I3983),test),getMax(B3983,C3983,INDIRECT(J$2),INDIRECT(I3983),test))</f>
        <v>86.435552634172723</v>
      </c>
      <c r="F3983" s="1" t="str">
        <f t="shared" si="251"/>
        <v>50</v>
      </c>
      <c r="G3983" s="1" t="str">
        <f t="shared" si="252"/>
        <v>1</v>
      </c>
      <c r="I3983" s="1" t="str">
        <f t="shared" si="250"/>
        <v>威尔新数值1.06.xlsm!suitPower</v>
      </c>
    </row>
    <row r="3984" spans="1:9" x14ac:dyDescent="0.15">
      <c r="A3984" s="1">
        <v>3983</v>
      </c>
      <c r="B3984" s="1">
        <v>103030800</v>
      </c>
      <c r="C3984" s="1">
        <f t="shared" si="249"/>
        <v>7</v>
      </c>
      <c r="D3984" s="5">
        <f ca="1">IF(getQuality(B3984)&lt;4,getOtherMin(B3984,C3984,INDIRECT(J$2),INDIRECT(I3984),test),getMin(B3984,C3984,INDIRECT(J$2),INDIRECT(I3984),test))</f>
        <v>15.814814814814778</v>
      </c>
      <c r="E3984" s="5">
        <f ca="1">IF(getQuality(B3984)&lt;4,getOtherMax(B3984,C3984,INDIRECT(J$2),INDIRECT(I3984),test),getMax(B3984,C3984,INDIRECT(J$2),INDIRECT(I3984),test))</f>
        <v>22.222222222222165</v>
      </c>
      <c r="F3984" s="1" t="str">
        <f t="shared" si="251"/>
        <v>50</v>
      </c>
      <c r="G3984" s="1" t="str">
        <f t="shared" si="252"/>
        <v/>
      </c>
      <c r="I3984" s="1" t="str">
        <f t="shared" si="250"/>
        <v>威尔新数值1.06.xlsm!suitPower</v>
      </c>
    </row>
    <row r="3985" spans="1:9" x14ac:dyDescent="0.15">
      <c r="A3985" s="1">
        <v>3984</v>
      </c>
      <c r="B3985" s="1">
        <v>103030800</v>
      </c>
      <c r="C3985" s="1">
        <f t="shared" si="249"/>
        <v>8</v>
      </c>
      <c r="D3985" s="5">
        <f ca="1">IF(getQuality(B3985)&lt;4,getOtherMin(B3985,C3985,INDIRECT(J$2),INDIRECT(I3985),test),getMin(B3985,C3985,INDIRECT(J$2),INDIRECT(I3985),test))</f>
        <v>34.333333333333336</v>
      </c>
      <c r="E3985" s="5">
        <f ca="1">IF(getQuality(B3985)&lt;4,getOtherMax(B3985,C3985,INDIRECT(J$2),INDIRECT(I3985),test),getMax(B3985,C3985,INDIRECT(J$2),INDIRECT(I3985),test))</f>
        <v>50</v>
      </c>
      <c r="F3985" s="1" t="str">
        <f t="shared" si="251"/>
        <v>50</v>
      </c>
      <c r="G3985" s="1" t="str">
        <f t="shared" si="252"/>
        <v/>
      </c>
      <c r="I3985" s="1" t="str">
        <f t="shared" si="250"/>
        <v>威尔新数值1.06.xlsm!suitPower</v>
      </c>
    </row>
    <row r="3986" spans="1:9" x14ac:dyDescent="0.15">
      <c r="A3986" s="1">
        <v>3985</v>
      </c>
      <c r="B3986" s="1">
        <v>103030800</v>
      </c>
      <c r="C3986" s="1">
        <f t="shared" si="249"/>
        <v>9</v>
      </c>
      <c r="D3986" s="5">
        <f ca="1">IF(getQuality(B3986)&lt;4,getOtherMin(B3986,C3986,INDIRECT(J$2),INDIRECT(I3986),test),getMin(B3986,C3986,INDIRECT(J$2),INDIRECT(I3986),test))</f>
        <v>53.82172660977222</v>
      </c>
      <c r="E3986" s="5">
        <f ca="1">IF(getQuality(B3986)&lt;4,getOtherMax(B3986,C3986,INDIRECT(J$2),INDIRECT(I3986),test),getMax(B3986,C3986,INDIRECT(J$2),INDIRECT(I3986),test))</f>
        <v>86.435552634172723</v>
      </c>
      <c r="F3986" s="1" t="str">
        <f t="shared" si="251"/>
        <v>50</v>
      </c>
      <c r="G3986" s="1" t="str">
        <f t="shared" si="252"/>
        <v/>
      </c>
      <c r="I3986" s="1" t="str">
        <f t="shared" si="250"/>
        <v>威尔新数值1.06.xlsm!suitPower</v>
      </c>
    </row>
    <row r="3987" spans="1:9" x14ac:dyDescent="0.15">
      <c r="A3987" s="1">
        <v>3986</v>
      </c>
      <c r="B3987" s="1">
        <v>103030800</v>
      </c>
      <c r="C3987" s="1">
        <f t="shared" si="249"/>
        <v>10</v>
      </c>
      <c r="D3987" s="5">
        <f ca="1">IF(getQuality(B3987)&lt;4,getOtherMin(B3987,C3987,INDIRECT(J$2),INDIRECT(I3987),test),getMin(B3987,C3987,INDIRECT(J$2),INDIRECT(I3987),test))</f>
        <v>53.82172660977222</v>
      </c>
      <c r="E3987" s="5">
        <f ca="1">IF(getQuality(B3987)&lt;4,getOtherMax(B3987,C3987,INDIRECT(J$2),INDIRECT(I3987),test),getMax(B3987,C3987,INDIRECT(J$2),INDIRECT(I3987),test))</f>
        <v>86.435552634172723</v>
      </c>
      <c r="F3987" s="1" t="str">
        <f t="shared" si="251"/>
        <v>50</v>
      </c>
      <c r="G3987" s="1" t="str">
        <f t="shared" si="252"/>
        <v/>
      </c>
      <c r="I3987" s="1" t="str">
        <f t="shared" si="250"/>
        <v>威尔新数值1.06.xlsm!suitPower</v>
      </c>
    </row>
    <row r="3988" spans="1:9" x14ac:dyDescent="0.15">
      <c r="A3988" s="1">
        <v>3987</v>
      </c>
      <c r="B3988" s="1">
        <v>103030800</v>
      </c>
      <c r="C3988" s="1">
        <f t="shared" si="249"/>
        <v>11</v>
      </c>
      <c r="D3988" s="5">
        <f ca="1">IF(getQuality(B3988)&lt;4,getOtherMin(B3988,C3988,INDIRECT(J$2),INDIRECT(I3988),test),getMin(B3988,C3988,INDIRECT(J$2),INDIRECT(I3988),test))</f>
        <v>53.82172660977222</v>
      </c>
      <c r="E3988" s="5">
        <f ca="1">IF(getQuality(B3988)&lt;4,getOtherMax(B3988,C3988,INDIRECT(J$2),INDIRECT(I3988),test),getMax(B3988,C3988,INDIRECT(J$2),INDIRECT(I3988),test))</f>
        <v>86.435552634172723</v>
      </c>
      <c r="F3988" s="1" t="str">
        <f t="shared" si="251"/>
        <v>50</v>
      </c>
      <c r="G3988" s="1" t="str">
        <f t="shared" si="252"/>
        <v/>
      </c>
      <c r="I3988" s="1" t="str">
        <f t="shared" si="250"/>
        <v>威尔新数值1.06.xlsm!suitPower</v>
      </c>
    </row>
    <row r="3989" spans="1:9" x14ac:dyDescent="0.15">
      <c r="A3989" s="1">
        <v>3988</v>
      </c>
      <c r="B3989" s="1">
        <v>103030800</v>
      </c>
      <c r="C3989" s="1">
        <f t="shared" si="249"/>
        <v>12</v>
      </c>
      <c r="D3989" s="5">
        <f ca="1">IF(getQuality(B3989)&lt;4,getOtherMin(B3989,C3989,INDIRECT(J$2),INDIRECT(I3989),test),getMin(B3989,C3989,INDIRECT(J$2),INDIRECT(I3989),test))</f>
        <v>53.82172660977222</v>
      </c>
      <c r="E3989" s="5">
        <f ca="1">IF(getQuality(B3989)&lt;4,getOtherMax(B3989,C3989,INDIRECT(J$2),INDIRECT(I3989),test),getMax(B3989,C3989,INDIRECT(J$2),INDIRECT(I3989),test))</f>
        <v>86.435552634172723</v>
      </c>
      <c r="F3989" s="1" t="str">
        <f t="shared" si="251"/>
        <v>50</v>
      </c>
      <c r="G3989" s="1" t="str">
        <f t="shared" si="252"/>
        <v/>
      </c>
      <c r="I3989" s="1" t="str">
        <f t="shared" si="250"/>
        <v>威尔新数值1.06.xlsm!suitPower</v>
      </c>
    </row>
    <row r="3990" spans="1:9" x14ac:dyDescent="0.15">
      <c r="A3990" s="1">
        <v>3989</v>
      </c>
      <c r="B3990" s="1">
        <v>103030800</v>
      </c>
      <c r="C3990" s="1">
        <f t="shared" si="249"/>
        <v>13</v>
      </c>
      <c r="D3990" s="5">
        <f ca="1">IF(getQuality(B3990)&lt;4,getOtherMin(B3990,C3990,INDIRECT(J$2),INDIRECT(I3990),test),getMin(B3990,C3990,INDIRECT(J$2),INDIRECT(I3990),test))</f>
        <v>53.82172660977222</v>
      </c>
      <c r="E3990" s="5">
        <f ca="1">IF(getQuality(B3990)&lt;4,getOtherMax(B3990,C3990,INDIRECT(J$2),INDIRECT(I3990),test),getMax(B3990,C3990,INDIRECT(J$2),INDIRECT(I3990),test))</f>
        <v>86.435552634172723</v>
      </c>
      <c r="F3990" s="1" t="str">
        <f t="shared" si="251"/>
        <v>50</v>
      </c>
      <c r="G3990" s="1" t="str">
        <f t="shared" si="252"/>
        <v/>
      </c>
      <c r="I3990" s="1" t="str">
        <f t="shared" si="250"/>
        <v>威尔新数值1.06.xlsm!suitPower</v>
      </c>
    </row>
    <row r="3991" spans="1:9" x14ac:dyDescent="0.15">
      <c r="A3991" s="1">
        <v>3990</v>
      </c>
      <c r="B3991" s="1">
        <v>103030800</v>
      </c>
      <c r="C3991" s="1">
        <f t="shared" si="249"/>
        <v>14</v>
      </c>
      <c r="D3991" s="5">
        <f ca="1">IF(getQuality(B3991)&lt;4,getOtherMin(B3991,C3991,INDIRECT(J$2),INDIRECT(I3991),test),getMin(B3991,C3991,INDIRECT(J$2),INDIRECT(I3991),test))</f>
        <v>53.82172660977222</v>
      </c>
      <c r="E3991" s="5">
        <f ca="1">IF(getQuality(B3991)&lt;4,getOtherMax(B3991,C3991,INDIRECT(J$2),INDIRECT(I3991),test),getMax(B3991,C3991,INDIRECT(J$2),INDIRECT(I3991),test))</f>
        <v>86.435552634172723</v>
      </c>
      <c r="F3991" s="1" t="str">
        <f t="shared" si="251"/>
        <v>50</v>
      </c>
      <c r="G3991" s="1" t="str">
        <f t="shared" si="252"/>
        <v/>
      </c>
      <c r="I3991" s="1" t="str">
        <f t="shared" si="250"/>
        <v>威尔新数值1.06.xlsm!suitPower</v>
      </c>
    </row>
    <row r="3992" spans="1:9" x14ac:dyDescent="0.15">
      <c r="A3992" s="1">
        <v>3991</v>
      </c>
      <c r="B3992" s="1">
        <v>103030800</v>
      </c>
      <c r="C3992" s="1">
        <f t="shared" si="249"/>
        <v>15</v>
      </c>
      <c r="D3992" s="5">
        <f ca="1">IF(getQuality(B3992)&lt;4,getOtherMin(B3992,C3992,INDIRECT(J$2),INDIRECT(I3992),test),getMin(B3992,C3992,INDIRECT(J$2),INDIRECT(I3992),test))</f>
        <v>53.82172660977222</v>
      </c>
      <c r="E3992" s="5">
        <f ca="1">IF(getQuality(B3992)&lt;4,getOtherMax(B3992,C3992,INDIRECT(J$2),INDIRECT(I3992),test),getMax(B3992,C3992,INDIRECT(J$2),INDIRECT(I3992),test))</f>
        <v>86.435552634172723</v>
      </c>
      <c r="F3992" s="1" t="str">
        <f t="shared" si="251"/>
        <v>50</v>
      </c>
      <c r="G3992" s="1" t="str">
        <f t="shared" si="252"/>
        <v/>
      </c>
      <c r="I3992" s="1" t="str">
        <f t="shared" si="250"/>
        <v>威尔新数值1.06.xlsm!suitPower</v>
      </c>
    </row>
    <row r="3993" spans="1:9" x14ac:dyDescent="0.15">
      <c r="A3993" s="1">
        <v>3992</v>
      </c>
      <c r="B3993" s="1">
        <v>103030800</v>
      </c>
      <c r="C3993" s="1">
        <f t="shared" si="249"/>
        <v>101</v>
      </c>
      <c r="D3993" s="5">
        <f ca="1">IF(getQuality(B3993)&lt;4,getOtherMin(B3993,C3993,INDIRECT(J$2),INDIRECT(I3993),test),getMin(B3993,C3993,INDIRECT(J$2),INDIRECT(I3993),test))</f>
        <v>0.09</v>
      </c>
      <c r="E3993" s="5">
        <f ca="1">IF(getQuality(B3993)&lt;4,getOtherMax(B3993,C3993,INDIRECT(J$2),INDIRECT(I3993),test),getMax(B3993,C3993,INDIRECT(J$2),INDIRECT(I3993),test))</f>
        <v>0.12</v>
      </c>
      <c r="F3993" s="1" t="str">
        <f t="shared" si="251"/>
        <v>50</v>
      </c>
      <c r="G3993" s="1" t="str">
        <f t="shared" si="252"/>
        <v/>
      </c>
      <c r="I3993" s="1" t="str">
        <f t="shared" si="250"/>
        <v>威尔新数值1.06.xlsm!circlePer</v>
      </c>
    </row>
    <row r="3994" spans="1:9" x14ac:dyDescent="0.15">
      <c r="A3994" s="1">
        <v>3993</v>
      </c>
      <c r="B3994" s="1">
        <v>103030800</v>
      </c>
      <c r="C3994" s="1">
        <f t="shared" si="249"/>
        <v>102</v>
      </c>
      <c r="D3994" s="5">
        <f ca="1">IF(getQuality(B3994)&lt;4,getOtherMin(B3994,C3994,INDIRECT(J$2),INDIRECT(I3994),test),getMin(B3994,C3994,INDIRECT(J$2),INDIRECT(I3994),test))</f>
        <v>0.8</v>
      </c>
      <c r="E3994" s="5">
        <f ca="1">IF(getQuality(B3994)&lt;4,getOtherMax(B3994,C3994,INDIRECT(J$2),INDIRECT(I3994),test),getMax(B3994,C3994,INDIRECT(J$2),INDIRECT(I3994),test))</f>
        <v>1.1000000000000001</v>
      </c>
      <c r="F3994" s="1" t="str">
        <f t="shared" si="251"/>
        <v>50</v>
      </c>
      <c r="G3994" s="1" t="str">
        <f t="shared" si="252"/>
        <v/>
      </c>
      <c r="I3994" s="1" t="str">
        <f t="shared" si="250"/>
        <v>威尔新数值1.06.xlsm!circleValue</v>
      </c>
    </row>
    <row r="3995" spans="1:9" x14ac:dyDescent="0.15">
      <c r="A3995" s="1">
        <v>3994</v>
      </c>
      <c r="B3995" s="1">
        <v>103030800</v>
      </c>
      <c r="C3995" s="1">
        <f t="shared" si="249"/>
        <v>103</v>
      </c>
      <c r="D3995" s="5">
        <f ca="1">IF(getQuality(B3995)&lt;4,getOtherMin(B3995,C3995,INDIRECT(J$2),INDIRECT(I3995),test),getMin(B3995,C3995,INDIRECT(J$2),INDIRECT(I3995),test))</f>
        <v>0.09</v>
      </c>
      <c r="E3995" s="5">
        <f ca="1">IF(getQuality(B3995)&lt;4,getOtherMax(B3995,C3995,INDIRECT(J$2),INDIRECT(I3995),test),getMax(B3995,C3995,INDIRECT(J$2),INDIRECT(I3995),test))</f>
        <v>0.12</v>
      </c>
      <c r="F3995" s="1" t="str">
        <f t="shared" si="251"/>
        <v>50</v>
      </c>
      <c r="G3995" s="1" t="str">
        <f t="shared" si="252"/>
        <v/>
      </c>
      <c r="I3995" s="1" t="str">
        <f t="shared" si="250"/>
        <v>威尔新数值1.06.xlsm!otherDamage</v>
      </c>
    </row>
    <row r="3996" spans="1:9" x14ac:dyDescent="0.15">
      <c r="A3996" s="1">
        <v>3995</v>
      </c>
      <c r="B3996" s="1">
        <v>103030800</v>
      </c>
      <c r="C3996" s="1">
        <f t="shared" si="249"/>
        <v>104</v>
      </c>
      <c r="D3996" s="5">
        <f ca="1">IF(getQuality(B3996)&lt;4,getOtherMin(B3996,C3996,INDIRECT(J$2),INDIRECT(I3996),test),getMin(B3996,C3996,INDIRECT(J$2),INDIRECT(I3996),test))</f>
        <v>0.09</v>
      </c>
      <c r="E3996" s="5">
        <f ca="1">IF(getQuality(B3996)&lt;4,getOtherMax(B3996,C3996,INDIRECT(J$2),INDIRECT(I3996),test),getMax(B3996,C3996,INDIRECT(J$2),INDIRECT(I3996),test))</f>
        <v>0.18</v>
      </c>
      <c r="F3996" s="1" t="str">
        <f t="shared" si="251"/>
        <v>50</v>
      </c>
      <c r="G3996" s="1" t="str">
        <f t="shared" si="252"/>
        <v/>
      </c>
      <c r="I3996" s="1" t="str">
        <f t="shared" si="250"/>
        <v>威尔新数值1.06.xlsm!monsterDamage</v>
      </c>
    </row>
    <row r="3997" spans="1:9" x14ac:dyDescent="0.15">
      <c r="A3997" s="1">
        <v>3996</v>
      </c>
      <c r="B3997" s="1">
        <v>103030800</v>
      </c>
      <c r="C3997" s="1">
        <f t="shared" si="249"/>
        <v>105</v>
      </c>
      <c r="D3997" s="5">
        <f ca="1">IF(getQuality(B3997)&lt;4,getOtherMin(B3997,C3997,INDIRECT(J$2),INDIRECT(I3997),test),getMin(B3997,C3997,INDIRECT(J$2),INDIRECT(I3997),test))</f>
        <v>0.09</v>
      </c>
      <c r="E3997" s="5">
        <f ca="1">IF(getQuality(B3997)&lt;4,getOtherMax(B3997,C3997,INDIRECT(J$2),INDIRECT(I3997),test),getMax(B3997,C3997,INDIRECT(J$2),INDIRECT(I3997),test))</f>
        <v>0.18</v>
      </c>
      <c r="F3997" s="1" t="str">
        <f t="shared" si="251"/>
        <v>50</v>
      </c>
      <c r="G3997" s="1" t="str">
        <f t="shared" si="252"/>
        <v/>
      </c>
      <c r="I3997" s="1" t="str">
        <f t="shared" si="250"/>
        <v>威尔新数值1.06.xlsm!monsterDamage</v>
      </c>
    </row>
    <row r="3998" spans="1:9" x14ac:dyDescent="0.15">
      <c r="A3998" s="1">
        <v>3997</v>
      </c>
      <c r="B3998" s="1">
        <v>103030800</v>
      </c>
      <c r="C3998" s="1">
        <f t="shared" si="249"/>
        <v>106</v>
      </c>
      <c r="D3998" s="5">
        <f ca="1">IF(getQuality(B3998)&lt;4,getOtherMin(B3998,C3998,INDIRECT(J$2),INDIRECT(I3998),test),getMin(B3998,C3998,INDIRECT(J$2),INDIRECT(I3998),test))</f>
        <v>0.09</v>
      </c>
      <c r="E3998" s="5">
        <f ca="1">IF(getQuality(B3998)&lt;4,getOtherMax(B3998,C3998,INDIRECT(J$2),INDIRECT(I3998),test),getMax(B3998,C3998,INDIRECT(J$2),INDIRECT(I3998),test))</f>
        <v>0.18</v>
      </c>
      <c r="F3998" s="1" t="str">
        <f t="shared" si="251"/>
        <v>50</v>
      </c>
      <c r="G3998" s="1" t="str">
        <f t="shared" si="252"/>
        <v/>
      </c>
      <c r="I3998" s="1" t="str">
        <f t="shared" si="250"/>
        <v>威尔新数值1.06.xlsm!monsterDamage</v>
      </c>
    </row>
    <row r="3999" spans="1:9" x14ac:dyDescent="0.15">
      <c r="A3999" s="1">
        <v>3998</v>
      </c>
      <c r="B3999" s="1">
        <v>103030800</v>
      </c>
      <c r="C3999" s="1">
        <f t="shared" si="249"/>
        <v>107</v>
      </c>
      <c r="D3999" s="5">
        <f ca="1">IF(getQuality(B3999)&lt;4,getOtherMin(B3999,C3999,INDIRECT(J$2),INDIRECT(I3999),test),getMin(B3999,C3999,INDIRECT(J$2),INDIRECT(I3999),test))</f>
        <v>0.09</v>
      </c>
      <c r="E3999" s="5">
        <f ca="1">IF(getQuality(B3999)&lt;4,getOtherMax(B3999,C3999,INDIRECT(J$2),INDIRECT(I3999),test),getMax(B3999,C3999,INDIRECT(J$2),INDIRECT(I3999),test))</f>
        <v>0.18</v>
      </c>
      <c r="F3999" s="1" t="str">
        <f t="shared" si="251"/>
        <v>50</v>
      </c>
      <c r="G3999" s="1" t="str">
        <f t="shared" si="252"/>
        <v/>
      </c>
      <c r="I3999" s="1" t="str">
        <f t="shared" si="250"/>
        <v>威尔新数值1.06.xlsm!monsterDamage</v>
      </c>
    </row>
    <row r="4000" spans="1:9" x14ac:dyDescent="0.15">
      <c r="A4000" s="1">
        <v>3999</v>
      </c>
      <c r="B4000" s="1">
        <v>103030800</v>
      </c>
      <c r="C4000" s="1">
        <f t="shared" si="249"/>
        <v>108</v>
      </c>
      <c r="D4000" s="5">
        <f ca="1">IF(getQuality(B4000)&lt;4,getOtherMin(B4000,C4000,INDIRECT(J$2),INDIRECT(I4000),test),getMin(B4000,C4000,INDIRECT(J$2),INDIRECT(I4000),test))</f>
        <v>0.09</v>
      </c>
      <c r="E4000" s="5">
        <f ca="1">IF(getQuality(B4000)&lt;4,getOtherMax(B4000,C4000,INDIRECT(J$2),INDIRECT(I4000),test),getMax(B4000,C4000,INDIRECT(J$2),INDIRECT(I4000),test))</f>
        <v>0.18</v>
      </c>
      <c r="F4000" s="1" t="str">
        <f t="shared" si="251"/>
        <v>50</v>
      </c>
      <c r="G4000" s="1" t="str">
        <f t="shared" si="252"/>
        <v/>
      </c>
      <c r="I4000" s="1" t="str">
        <f t="shared" si="250"/>
        <v>威尔新数值1.06.xlsm!monsterDamage</v>
      </c>
    </row>
    <row r="4001" spans="1:9" x14ac:dyDescent="0.15">
      <c r="A4001" s="1">
        <v>4000</v>
      </c>
      <c r="B4001" s="1">
        <v>103040800</v>
      </c>
      <c r="C4001" s="1">
        <f t="shared" si="249"/>
        <v>3</v>
      </c>
      <c r="D4001" s="5">
        <f ca="1">IF(getQuality(B4001)&lt;4,getOtherMin(B4001,C4001,INDIRECT(J$2),INDIRECT(I4001),test),getMin(B4001,C4001,INDIRECT(J$2),INDIRECT(I4001),test))</f>
        <v>87.435552634172723</v>
      </c>
      <c r="E4001" s="5">
        <f ca="1">IF(getQuality(B4001)&lt;4,getOtherMax(B4001,C4001,INDIRECT(J$2),INDIRECT(I4001),test),getMax(B4001,C4001,INDIRECT(J$2),INDIRECT(I4001),test))</f>
        <v>124.85135380491616</v>
      </c>
      <c r="F4001" s="1" t="str">
        <f t="shared" si="251"/>
        <v>50</v>
      </c>
      <c r="G4001" s="1" t="str">
        <f t="shared" si="252"/>
        <v/>
      </c>
      <c r="I4001" s="1" t="str">
        <f t="shared" si="250"/>
        <v>威尔新数值1.06.xlsm!suitPower</v>
      </c>
    </row>
    <row r="4002" spans="1:9" x14ac:dyDescent="0.15">
      <c r="A4002" s="1">
        <v>4001</v>
      </c>
      <c r="B4002" s="1">
        <v>103040800</v>
      </c>
      <c r="C4002" s="1">
        <f t="shared" si="249"/>
        <v>5</v>
      </c>
      <c r="D4002" s="5">
        <f ca="1">IF(getQuality(B4002)&lt;4,getOtherMin(B4002,C4002,INDIRECT(J$2),INDIRECT(I4002),test),getMin(B4002,C4002,INDIRECT(J$2),INDIRECT(I4002),test))</f>
        <v>87.435552634172723</v>
      </c>
      <c r="E4002" s="5">
        <f ca="1">IF(getQuality(B4002)&lt;4,getOtherMax(B4002,C4002,INDIRECT(J$2),INDIRECT(I4002),test),getMax(B4002,C4002,INDIRECT(J$2),INDIRECT(I4002),test))</f>
        <v>124.85135380491616</v>
      </c>
      <c r="F4002" s="1" t="str">
        <f t="shared" si="251"/>
        <v>50</v>
      </c>
      <c r="G4002" s="1" t="str">
        <f t="shared" si="252"/>
        <v>1</v>
      </c>
      <c r="I4002" s="1" t="str">
        <f t="shared" si="250"/>
        <v>威尔新数值1.06.xlsm!suitPower</v>
      </c>
    </row>
    <row r="4003" spans="1:9" x14ac:dyDescent="0.15">
      <c r="A4003" s="1">
        <v>4002</v>
      </c>
      <c r="B4003" s="1">
        <v>103040800</v>
      </c>
      <c r="C4003" s="1">
        <f t="shared" si="249"/>
        <v>7</v>
      </c>
      <c r="D4003" s="5">
        <f ca="1">IF(getQuality(B4003)&lt;4,getOtherMin(B4003,C4003,INDIRECT(J$2),INDIRECT(I4003),test),getMin(B4003,C4003,INDIRECT(J$2),INDIRECT(I4003),test))</f>
        <v>23.222222222222165</v>
      </c>
      <c r="E4003" s="5">
        <f ca="1">IF(getQuality(B4003)&lt;4,getOtherMax(B4003,C4003,INDIRECT(J$2),INDIRECT(I4003),test),getMax(B4003,C4003,INDIRECT(J$2),INDIRECT(I4003),test))</f>
        <v>29.629629629629555</v>
      </c>
      <c r="F4003" s="1" t="str">
        <f t="shared" si="251"/>
        <v>50</v>
      </c>
      <c r="G4003" s="1" t="str">
        <f t="shared" si="252"/>
        <v/>
      </c>
      <c r="I4003" s="1" t="str">
        <f t="shared" si="250"/>
        <v>威尔新数值1.06.xlsm!suitPower</v>
      </c>
    </row>
    <row r="4004" spans="1:9" x14ac:dyDescent="0.15">
      <c r="A4004" s="1">
        <v>4003</v>
      </c>
      <c r="B4004" s="1">
        <v>103040800</v>
      </c>
      <c r="C4004" s="1">
        <f t="shared" si="249"/>
        <v>8</v>
      </c>
      <c r="D4004" s="5">
        <f ca="1">IF(getQuality(B4004)&lt;4,getOtherMin(B4004,C4004,INDIRECT(J$2),INDIRECT(I4004),test),getMin(B4004,C4004,INDIRECT(J$2),INDIRECT(I4004),test))</f>
        <v>51</v>
      </c>
      <c r="E4004" s="5">
        <f ca="1">IF(getQuality(B4004)&lt;4,getOtherMax(B4004,C4004,INDIRECT(J$2),INDIRECT(I4004),test),getMax(B4004,C4004,INDIRECT(J$2),INDIRECT(I4004),test))</f>
        <v>66.666666666666671</v>
      </c>
      <c r="F4004" s="1" t="str">
        <f t="shared" si="251"/>
        <v>50</v>
      </c>
      <c r="G4004" s="1" t="str">
        <f t="shared" si="252"/>
        <v/>
      </c>
      <c r="I4004" s="1" t="str">
        <f t="shared" si="250"/>
        <v>威尔新数值1.06.xlsm!suitPower</v>
      </c>
    </row>
    <row r="4005" spans="1:9" x14ac:dyDescent="0.15">
      <c r="A4005" s="1">
        <v>4004</v>
      </c>
      <c r="B4005" s="1">
        <v>103040800</v>
      </c>
      <c r="C4005" s="1">
        <f t="shared" si="249"/>
        <v>9</v>
      </c>
      <c r="D4005" s="5">
        <f ca="1">IF(getQuality(B4005)&lt;4,getOtherMin(B4005,C4005,INDIRECT(J$2),INDIRECT(I4005),test),getMin(B4005,C4005,INDIRECT(J$2),INDIRECT(I4005),test))</f>
        <v>87.435552634172723</v>
      </c>
      <c r="E4005" s="5">
        <f ca="1">IF(getQuality(B4005)&lt;4,getOtherMax(B4005,C4005,INDIRECT(J$2),INDIRECT(I4005),test),getMax(B4005,C4005,INDIRECT(J$2),INDIRECT(I4005),test))</f>
        <v>124.85135380491616</v>
      </c>
      <c r="F4005" s="1" t="str">
        <f t="shared" si="251"/>
        <v>50</v>
      </c>
      <c r="G4005" s="1" t="str">
        <f t="shared" si="252"/>
        <v/>
      </c>
      <c r="I4005" s="1" t="str">
        <f t="shared" si="250"/>
        <v>威尔新数值1.06.xlsm!suitPower</v>
      </c>
    </row>
    <row r="4006" spans="1:9" x14ac:dyDescent="0.15">
      <c r="A4006" s="1">
        <v>4005</v>
      </c>
      <c r="B4006" s="1">
        <v>103040800</v>
      </c>
      <c r="C4006" s="1">
        <f t="shared" si="249"/>
        <v>10</v>
      </c>
      <c r="D4006" s="5">
        <f ca="1">IF(getQuality(B4006)&lt;4,getOtherMin(B4006,C4006,INDIRECT(J$2),INDIRECT(I4006),test),getMin(B4006,C4006,INDIRECT(J$2),INDIRECT(I4006),test))</f>
        <v>87.435552634172723</v>
      </c>
      <c r="E4006" s="5">
        <f ca="1">IF(getQuality(B4006)&lt;4,getOtherMax(B4006,C4006,INDIRECT(J$2),INDIRECT(I4006),test),getMax(B4006,C4006,INDIRECT(J$2),INDIRECT(I4006),test))</f>
        <v>124.85135380491616</v>
      </c>
      <c r="F4006" s="1" t="str">
        <f t="shared" si="251"/>
        <v>50</v>
      </c>
      <c r="G4006" s="1" t="str">
        <f t="shared" si="252"/>
        <v/>
      </c>
      <c r="I4006" s="1" t="str">
        <f t="shared" si="250"/>
        <v>威尔新数值1.06.xlsm!suitPower</v>
      </c>
    </row>
    <row r="4007" spans="1:9" x14ac:dyDescent="0.15">
      <c r="A4007" s="1">
        <v>4006</v>
      </c>
      <c r="B4007" s="1">
        <v>103040800</v>
      </c>
      <c r="C4007" s="1">
        <f t="shared" si="249"/>
        <v>11</v>
      </c>
      <c r="D4007" s="5">
        <f ca="1">IF(getQuality(B4007)&lt;4,getOtherMin(B4007,C4007,INDIRECT(J$2),INDIRECT(I4007),test),getMin(B4007,C4007,INDIRECT(J$2),INDIRECT(I4007),test))</f>
        <v>87.435552634172723</v>
      </c>
      <c r="E4007" s="5">
        <f ca="1">IF(getQuality(B4007)&lt;4,getOtherMax(B4007,C4007,INDIRECT(J$2),INDIRECT(I4007),test),getMax(B4007,C4007,INDIRECT(J$2),INDIRECT(I4007),test))</f>
        <v>124.85135380491616</v>
      </c>
      <c r="F4007" s="1" t="str">
        <f t="shared" si="251"/>
        <v>50</v>
      </c>
      <c r="G4007" s="1" t="str">
        <f t="shared" si="252"/>
        <v/>
      </c>
      <c r="I4007" s="1" t="str">
        <f t="shared" si="250"/>
        <v>威尔新数值1.06.xlsm!suitPower</v>
      </c>
    </row>
    <row r="4008" spans="1:9" x14ac:dyDescent="0.15">
      <c r="A4008" s="1">
        <v>4007</v>
      </c>
      <c r="B4008" s="1">
        <v>103040800</v>
      </c>
      <c r="C4008" s="1">
        <f t="shared" si="249"/>
        <v>12</v>
      </c>
      <c r="D4008" s="5">
        <f ca="1">IF(getQuality(B4008)&lt;4,getOtherMin(B4008,C4008,INDIRECT(J$2),INDIRECT(I4008),test),getMin(B4008,C4008,INDIRECT(J$2),INDIRECT(I4008),test))</f>
        <v>87.435552634172723</v>
      </c>
      <c r="E4008" s="5">
        <f ca="1">IF(getQuality(B4008)&lt;4,getOtherMax(B4008,C4008,INDIRECT(J$2),INDIRECT(I4008),test),getMax(B4008,C4008,INDIRECT(J$2),INDIRECT(I4008),test))</f>
        <v>124.85135380491616</v>
      </c>
      <c r="F4008" s="1" t="str">
        <f t="shared" si="251"/>
        <v>50</v>
      </c>
      <c r="G4008" s="1" t="str">
        <f t="shared" si="252"/>
        <v/>
      </c>
      <c r="I4008" s="1" t="str">
        <f t="shared" si="250"/>
        <v>威尔新数值1.06.xlsm!suitPower</v>
      </c>
    </row>
    <row r="4009" spans="1:9" x14ac:dyDescent="0.15">
      <c r="A4009" s="1">
        <v>4008</v>
      </c>
      <c r="B4009" s="1">
        <v>103040800</v>
      </c>
      <c r="C4009" s="1">
        <f t="shared" si="249"/>
        <v>13</v>
      </c>
      <c r="D4009" s="5">
        <f ca="1">IF(getQuality(B4009)&lt;4,getOtherMin(B4009,C4009,INDIRECT(J$2),INDIRECT(I4009),test),getMin(B4009,C4009,INDIRECT(J$2),INDIRECT(I4009),test))</f>
        <v>87.435552634172723</v>
      </c>
      <c r="E4009" s="5">
        <f ca="1">IF(getQuality(B4009)&lt;4,getOtherMax(B4009,C4009,INDIRECT(J$2),INDIRECT(I4009),test),getMax(B4009,C4009,INDIRECT(J$2),INDIRECT(I4009),test))</f>
        <v>124.85135380491616</v>
      </c>
      <c r="F4009" s="1" t="str">
        <f t="shared" si="251"/>
        <v>50</v>
      </c>
      <c r="G4009" s="1" t="str">
        <f t="shared" si="252"/>
        <v/>
      </c>
      <c r="I4009" s="1" t="str">
        <f t="shared" si="250"/>
        <v>威尔新数值1.06.xlsm!suitPower</v>
      </c>
    </row>
    <row r="4010" spans="1:9" x14ac:dyDescent="0.15">
      <c r="A4010" s="1">
        <v>4009</v>
      </c>
      <c r="B4010" s="1">
        <v>103040800</v>
      </c>
      <c r="C4010" s="1">
        <f t="shared" si="249"/>
        <v>14</v>
      </c>
      <c r="D4010" s="5">
        <f ca="1">IF(getQuality(B4010)&lt;4,getOtherMin(B4010,C4010,INDIRECT(J$2),INDIRECT(I4010),test),getMin(B4010,C4010,INDIRECT(J$2),INDIRECT(I4010),test))</f>
        <v>87.435552634172723</v>
      </c>
      <c r="E4010" s="5">
        <f ca="1">IF(getQuality(B4010)&lt;4,getOtherMax(B4010,C4010,INDIRECT(J$2),INDIRECT(I4010),test),getMax(B4010,C4010,INDIRECT(J$2),INDIRECT(I4010),test))</f>
        <v>124.85135380491616</v>
      </c>
      <c r="F4010" s="1" t="str">
        <f t="shared" si="251"/>
        <v>50</v>
      </c>
      <c r="G4010" s="1" t="str">
        <f t="shared" si="252"/>
        <v/>
      </c>
      <c r="I4010" s="1" t="str">
        <f t="shared" si="250"/>
        <v>威尔新数值1.06.xlsm!suitPower</v>
      </c>
    </row>
    <row r="4011" spans="1:9" x14ac:dyDescent="0.15">
      <c r="A4011" s="1">
        <v>4010</v>
      </c>
      <c r="B4011" s="1">
        <v>103040800</v>
      </c>
      <c r="C4011" s="1">
        <f t="shared" si="249"/>
        <v>15</v>
      </c>
      <c r="D4011" s="5">
        <f ca="1">IF(getQuality(B4011)&lt;4,getOtherMin(B4011,C4011,INDIRECT(J$2),INDIRECT(I4011),test),getMin(B4011,C4011,INDIRECT(J$2),INDIRECT(I4011),test))</f>
        <v>87.435552634172723</v>
      </c>
      <c r="E4011" s="5">
        <f ca="1">IF(getQuality(B4011)&lt;4,getOtherMax(B4011,C4011,INDIRECT(J$2),INDIRECT(I4011),test),getMax(B4011,C4011,INDIRECT(J$2),INDIRECT(I4011),test))</f>
        <v>124.85135380491616</v>
      </c>
      <c r="F4011" s="1" t="str">
        <f t="shared" si="251"/>
        <v>50</v>
      </c>
      <c r="G4011" s="1" t="str">
        <f t="shared" si="252"/>
        <v/>
      </c>
      <c r="I4011" s="1" t="str">
        <f t="shared" si="250"/>
        <v>威尔新数值1.06.xlsm!suitPower</v>
      </c>
    </row>
    <row r="4012" spans="1:9" x14ac:dyDescent="0.15">
      <c r="A4012" s="1">
        <v>4011</v>
      </c>
      <c r="B4012" s="1">
        <v>103040800</v>
      </c>
      <c r="C4012" s="1">
        <f t="shared" si="249"/>
        <v>101</v>
      </c>
      <c r="D4012" s="5">
        <f ca="1">IF(getQuality(B4012)&lt;4,getOtherMin(B4012,C4012,INDIRECT(J$2),INDIRECT(I4012),test),getMin(B4012,C4012,INDIRECT(J$2),INDIRECT(I4012),test))</f>
        <v>0.1</v>
      </c>
      <c r="E4012" s="5">
        <f ca="1">IF(getQuality(B4012)&lt;4,getOtherMax(B4012,C4012,INDIRECT(J$2),INDIRECT(I4012),test),getMax(B4012,C4012,INDIRECT(J$2),INDIRECT(I4012),test))</f>
        <v>0.13</v>
      </c>
      <c r="F4012" s="1" t="str">
        <f t="shared" si="251"/>
        <v>50</v>
      </c>
      <c r="G4012" s="1" t="str">
        <f t="shared" si="252"/>
        <v/>
      </c>
      <c r="I4012" s="1" t="str">
        <f t="shared" si="250"/>
        <v>威尔新数值1.06.xlsm!circlePer</v>
      </c>
    </row>
    <row r="4013" spans="1:9" x14ac:dyDescent="0.15">
      <c r="A4013" s="1">
        <v>4012</v>
      </c>
      <c r="B4013" s="1">
        <v>103040800</v>
      </c>
      <c r="C4013" s="1">
        <f t="shared" si="249"/>
        <v>102</v>
      </c>
      <c r="D4013" s="5">
        <f ca="1">IF(getQuality(B4013)&lt;4,getOtherMin(B4013,C4013,INDIRECT(J$2),INDIRECT(I4013),test),getMin(B4013,C4013,INDIRECT(J$2),INDIRECT(I4013),test))</f>
        <v>0.9</v>
      </c>
      <c r="E4013" s="5">
        <f ca="1">IF(getQuality(B4013)&lt;4,getOtherMax(B4013,C4013,INDIRECT(J$2),INDIRECT(I4013),test),getMax(B4013,C4013,INDIRECT(J$2),INDIRECT(I4013),test))</f>
        <v>1.2</v>
      </c>
      <c r="F4013" s="1" t="str">
        <f t="shared" si="251"/>
        <v>50</v>
      </c>
      <c r="G4013" s="1" t="str">
        <f t="shared" si="252"/>
        <v/>
      </c>
      <c r="I4013" s="1" t="str">
        <f t="shared" si="250"/>
        <v>威尔新数值1.06.xlsm!circleValue</v>
      </c>
    </row>
    <row r="4014" spans="1:9" x14ac:dyDescent="0.15">
      <c r="A4014" s="1">
        <v>4013</v>
      </c>
      <c r="B4014" s="1">
        <v>103040800</v>
      </c>
      <c r="C4014" s="1">
        <f t="shared" si="249"/>
        <v>103</v>
      </c>
      <c r="D4014" s="5">
        <f ca="1">IF(getQuality(B4014)&lt;4,getOtherMin(B4014,C4014,INDIRECT(J$2),INDIRECT(I4014),test),getMin(B4014,C4014,INDIRECT(J$2),INDIRECT(I4014),test))</f>
        <v>0.1</v>
      </c>
      <c r="E4014" s="5">
        <f ca="1">IF(getQuality(B4014)&lt;4,getOtherMax(B4014,C4014,INDIRECT(J$2),INDIRECT(I4014),test),getMax(B4014,C4014,INDIRECT(J$2),INDIRECT(I4014),test))</f>
        <v>0.13</v>
      </c>
      <c r="F4014" s="1" t="str">
        <f t="shared" si="251"/>
        <v>50</v>
      </c>
      <c r="G4014" s="1" t="str">
        <f t="shared" si="252"/>
        <v/>
      </c>
      <c r="I4014" s="1" t="str">
        <f t="shared" si="250"/>
        <v>威尔新数值1.06.xlsm!otherDamage</v>
      </c>
    </row>
    <row r="4015" spans="1:9" x14ac:dyDescent="0.15">
      <c r="A4015" s="1">
        <v>4014</v>
      </c>
      <c r="B4015" s="1">
        <v>103040800</v>
      </c>
      <c r="C4015" s="1">
        <f t="shared" si="249"/>
        <v>104</v>
      </c>
      <c r="D4015" s="5">
        <f ca="1">IF(getQuality(B4015)&lt;4,getOtherMin(B4015,C4015,INDIRECT(J$2),INDIRECT(I4015),test),getMin(B4015,C4015,INDIRECT(J$2),INDIRECT(I4015),test))</f>
        <v>0.1</v>
      </c>
      <c r="E4015" s="5">
        <f ca="1">IF(getQuality(B4015)&lt;4,getOtherMax(B4015,C4015,INDIRECT(J$2),INDIRECT(I4015),test),getMax(B4015,C4015,INDIRECT(J$2),INDIRECT(I4015),test))</f>
        <v>0.2</v>
      </c>
      <c r="F4015" s="1" t="str">
        <f t="shared" si="251"/>
        <v>50</v>
      </c>
      <c r="G4015" s="1" t="str">
        <f t="shared" si="252"/>
        <v/>
      </c>
      <c r="I4015" s="1" t="str">
        <f t="shared" si="250"/>
        <v>威尔新数值1.06.xlsm!monsterDamage</v>
      </c>
    </row>
    <row r="4016" spans="1:9" x14ac:dyDescent="0.15">
      <c r="A4016" s="1">
        <v>4015</v>
      </c>
      <c r="B4016" s="1">
        <v>103040800</v>
      </c>
      <c r="C4016" s="1">
        <f t="shared" si="249"/>
        <v>105</v>
      </c>
      <c r="D4016" s="5">
        <f ca="1">IF(getQuality(B4016)&lt;4,getOtherMin(B4016,C4016,INDIRECT(J$2),INDIRECT(I4016),test),getMin(B4016,C4016,INDIRECT(J$2),INDIRECT(I4016),test))</f>
        <v>0.1</v>
      </c>
      <c r="E4016" s="5">
        <f ca="1">IF(getQuality(B4016)&lt;4,getOtherMax(B4016,C4016,INDIRECT(J$2),INDIRECT(I4016),test),getMax(B4016,C4016,INDIRECT(J$2),INDIRECT(I4016),test))</f>
        <v>0.2</v>
      </c>
      <c r="F4016" s="1" t="str">
        <f t="shared" si="251"/>
        <v>50</v>
      </c>
      <c r="G4016" s="1" t="str">
        <f t="shared" si="252"/>
        <v/>
      </c>
      <c r="I4016" s="1" t="str">
        <f t="shared" si="250"/>
        <v>威尔新数值1.06.xlsm!monsterDamage</v>
      </c>
    </row>
    <row r="4017" spans="1:9" x14ac:dyDescent="0.15">
      <c r="A4017" s="1">
        <v>4016</v>
      </c>
      <c r="B4017" s="1">
        <v>103040800</v>
      </c>
      <c r="C4017" s="1">
        <f t="shared" si="249"/>
        <v>106</v>
      </c>
      <c r="D4017" s="5">
        <f ca="1">IF(getQuality(B4017)&lt;4,getOtherMin(B4017,C4017,INDIRECT(J$2),INDIRECT(I4017),test),getMin(B4017,C4017,INDIRECT(J$2),INDIRECT(I4017),test))</f>
        <v>0.1</v>
      </c>
      <c r="E4017" s="5">
        <f ca="1">IF(getQuality(B4017)&lt;4,getOtherMax(B4017,C4017,INDIRECT(J$2),INDIRECT(I4017),test),getMax(B4017,C4017,INDIRECT(J$2),INDIRECT(I4017),test))</f>
        <v>0.2</v>
      </c>
      <c r="F4017" s="1" t="str">
        <f t="shared" si="251"/>
        <v>50</v>
      </c>
      <c r="G4017" s="1" t="str">
        <f t="shared" si="252"/>
        <v/>
      </c>
      <c r="I4017" s="1" t="str">
        <f t="shared" si="250"/>
        <v>威尔新数值1.06.xlsm!monsterDamage</v>
      </c>
    </row>
    <row r="4018" spans="1:9" x14ac:dyDescent="0.15">
      <c r="A4018" s="1">
        <v>4017</v>
      </c>
      <c r="B4018" s="1">
        <v>103040800</v>
      </c>
      <c r="C4018" s="1">
        <f t="shared" si="249"/>
        <v>107</v>
      </c>
      <c r="D4018" s="5">
        <f ca="1">IF(getQuality(B4018)&lt;4,getOtherMin(B4018,C4018,INDIRECT(J$2),INDIRECT(I4018),test),getMin(B4018,C4018,INDIRECT(J$2),INDIRECT(I4018),test))</f>
        <v>0.1</v>
      </c>
      <c r="E4018" s="5">
        <f ca="1">IF(getQuality(B4018)&lt;4,getOtherMax(B4018,C4018,INDIRECT(J$2),INDIRECT(I4018),test),getMax(B4018,C4018,INDIRECT(J$2),INDIRECT(I4018),test))</f>
        <v>0.2</v>
      </c>
      <c r="F4018" s="1" t="str">
        <f t="shared" si="251"/>
        <v>50</v>
      </c>
      <c r="G4018" s="1" t="str">
        <f t="shared" si="252"/>
        <v/>
      </c>
      <c r="I4018" s="1" t="str">
        <f t="shared" si="250"/>
        <v>威尔新数值1.06.xlsm!monsterDamage</v>
      </c>
    </row>
    <row r="4019" spans="1:9" x14ac:dyDescent="0.15">
      <c r="A4019" s="1">
        <v>4018</v>
      </c>
      <c r="B4019" s="1">
        <v>103040800</v>
      </c>
      <c r="C4019" s="1">
        <f t="shared" si="249"/>
        <v>108</v>
      </c>
      <c r="D4019" s="5">
        <f ca="1">IF(getQuality(B4019)&lt;4,getOtherMin(B4019,C4019,INDIRECT(J$2),INDIRECT(I4019),test),getMin(B4019,C4019,INDIRECT(J$2),INDIRECT(I4019),test))</f>
        <v>0.1</v>
      </c>
      <c r="E4019" s="5">
        <f ca="1">IF(getQuality(B4019)&lt;4,getOtherMax(B4019,C4019,INDIRECT(J$2),INDIRECT(I4019),test),getMax(B4019,C4019,INDIRECT(J$2),INDIRECT(I4019),test))</f>
        <v>0.2</v>
      </c>
      <c r="F4019" s="1" t="str">
        <f t="shared" si="251"/>
        <v>50</v>
      </c>
      <c r="G4019" s="1" t="str">
        <f t="shared" si="252"/>
        <v/>
      </c>
      <c r="I4019" s="1" t="str">
        <f t="shared" si="250"/>
        <v>威尔新数值1.06.xlsm!monsterDamage</v>
      </c>
    </row>
    <row r="4020" spans="1:9" x14ac:dyDescent="0.15">
      <c r="A4020" s="1">
        <v>4019</v>
      </c>
      <c r="B4020" s="1">
        <v>103050800</v>
      </c>
      <c r="C4020" s="1">
        <f t="shared" si="249"/>
        <v>3</v>
      </c>
      <c r="D4020" s="5">
        <f ca="1">IF(getQuality(B4020)&lt;4,getOtherMin(B4020,C4020,INDIRECT(J$2),INDIRECT(I4020),test),getMin(B4020,C4020,INDIRECT(J$2),INDIRECT(I4020),test))</f>
        <v>125.85135380491616</v>
      </c>
      <c r="E4020" s="5">
        <f ca="1">IF(getQuality(B4020)&lt;4,getOtherMax(B4020,C4020,INDIRECT(J$2),INDIRECT(I4020),test),getMax(B4020,C4020,INDIRECT(J$2),INDIRECT(I4020),test))</f>
        <v>169.16048810980774</v>
      </c>
      <c r="F4020" s="1" t="str">
        <f t="shared" si="251"/>
        <v>50</v>
      </c>
      <c r="G4020" s="1" t="str">
        <f t="shared" si="252"/>
        <v/>
      </c>
      <c r="I4020" s="1" t="str">
        <f t="shared" si="250"/>
        <v>威尔新数值1.06.xlsm!suitPower</v>
      </c>
    </row>
    <row r="4021" spans="1:9" x14ac:dyDescent="0.15">
      <c r="A4021" s="1">
        <v>4020</v>
      </c>
      <c r="B4021" s="1">
        <v>103050800</v>
      </c>
      <c r="C4021" s="1">
        <f t="shared" si="249"/>
        <v>5</v>
      </c>
      <c r="D4021" s="5">
        <f ca="1">IF(getQuality(B4021)&lt;4,getOtherMin(B4021,C4021,INDIRECT(J$2),INDIRECT(I4021),test),getMin(B4021,C4021,INDIRECT(J$2),INDIRECT(I4021),test))</f>
        <v>125.85135380491616</v>
      </c>
      <c r="E4021" s="5">
        <f ca="1">IF(getQuality(B4021)&lt;4,getOtherMax(B4021,C4021,INDIRECT(J$2),INDIRECT(I4021),test),getMax(B4021,C4021,INDIRECT(J$2),INDIRECT(I4021),test))</f>
        <v>169.16048810980774</v>
      </c>
      <c r="F4021" s="1" t="str">
        <f t="shared" si="251"/>
        <v>50</v>
      </c>
      <c r="G4021" s="1" t="str">
        <f t="shared" si="252"/>
        <v>1</v>
      </c>
      <c r="I4021" s="1" t="str">
        <f t="shared" si="250"/>
        <v>威尔新数值1.06.xlsm!suitPower</v>
      </c>
    </row>
    <row r="4022" spans="1:9" x14ac:dyDescent="0.15">
      <c r="A4022" s="1">
        <v>4021</v>
      </c>
      <c r="B4022" s="1">
        <v>103050800</v>
      </c>
      <c r="C4022" s="1">
        <f t="shared" si="249"/>
        <v>7</v>
      </c>
      <c r="D4022" s="5">
        <f ca="1">IF(getQuality(B4022)&lt;4,getOtherMin(B4022,C4022,INDIRECT(J$2),INDIRECT(I4022),test),getMin(B4022,C4022,INDIRECT(J$2),INDIRECT(I4022),test))</f>
        <v>30.629629629629555</v>
      </c>
      <c r="E4022" s="5">
        <f ca="1">IF(getQuality(B4022)&lt;4,getOtherMax(B4022,C4022,INDIRECT(J$2),INDIRECT(I4022),test),getMax(B4022,C4022,INDIRECT(J$2),INDIRECT(I4022),test))</f>
        <v>37.037037037036946</v>
      </c>
      <c r="F4022" s="1" t="str">
        <f t="shared" si="251"/>
        <v>50</v>
      </c>
      <c r="G4022" s="1" t="str">
        <f t="shared" si="252"/>
        <v/>
      </c>
      <c r="I4022" s="1" t="str">
        <f t="shared" si="250"/>
        <v>威尔新数值1.06.xlsm!suitPower</v>
      </c>
    </row>
    <row r="4023" spans="1:9" x14ac:dyDescent="0.15">
      <c r="A4023" s="1">
        <v>4022</v>
      </c>
      <c r="B4023" s="1">
        <v>103050800</v>
      </c>
      <c r="C4023" s="1">
        <f t="shared" si="249"/>
        <v>8</v>
      </c>
      <c r="D4023" s="5">
        <f ca="1">IF(getQuality(B4023)&lt;4,getOtherMin(B4023,C4023,INDIRECT(J$2),INDIRECT(I4023),test),getMin(B4023,C4023,INDIRECT(J$2),INDIRECT(I4023),test))</f>
        <v>67.666666666666671</v>
      </c>
      <c r="E4023" s="5">
        <f ca="1">IF(getQuality(B4023)&lt;4,getOtherMax(B4023,C4023,INDIRECT(J$2),INDIRECT(I4023),test),getMax(B4023,C4023,INDIRECT(J$2),INDIRECT(I4023),test))</f>
        <v>83.333333333333329</v>
      </c>
      <c r="F4023" s="1" t="str">
        <f t="shared" si="251"/>
        <v>50</v>
      </c>
      <c r="G4023" s="1" t="str">
        <f t="shared" si="252"/>
        <v/>
      </c>
      <c r="I4023" s="1" t="str">
        <f t="shared" si="250"/>
        <v>威尔新数值1.06.xlsm!suitPower</v>
      </c>
    </row>
    <row r="4024" spans="1:9" x14ac:dyDescent="0.15">
      <c r="A4024" s="1">
        <v>4023</v>
      </c>
      <c r="B4024" s="1">
        <v>103050800</v>
      </c>
      <c r="C4024" s="1">
        <f t="shared" si="249"/>
        <v>9</v>
      </c>
      <c r="D4024" s="5">
        <f ca="1">IF(getQuality(B4024)&lt;4,getOtherMin(B4024,C4024,INDIRECT(J$2),INDIRECT(I4024),test),getMin(B4024,C4024,INDIRECT(J$2),INDIRECT(I4024),test))</f>
        <v>125.85135380491616</v>
      </c>
      <c r="E4024" s="5">
        <f ca="1">IF(getQuality(B4024)&lt;4,getOtherMax(B4024,C4024,INDIRECT(J$2),INDIRECT(I4024),test),getMax(B4024,C4024,INDIRECT(J$2),INDIRECT(I4024),test))</f>
        <v>169.16048810980774</v>
      </c>
      <c r="F4024" s="1" t="str">
        <f t="shared" si="251"/>
        <v>50</v>
      </c>
      <c r="G4024" s="1" t="str">
        <f t="shared" si="252"/>
        <v/>
      </c>
      <c r="I4024" s="1" t="str">
        <f t="shared" si="250"/>
        <v>威尔新数值1.06.xlsm!suitPower</v>
      </c>
    </row>
    <row r="4025" spans="1:9" x14ac:dyDescent="0.15">
      <c r="A4025" s="1">
        <v>4024</v>
      </c>
      <c r="B4025" s="1">
        <v>103050800</v>
      </c>
      <c r="C4025" s="1">
        <f t="shared" si="249"/>
        <v>10</v>
      </c>
      <c r="D4025" s="5">
        <f ca="1">IF(getQuality(B4025)&lt;4,getOtherMin(B4025,C4025,INDIRECT(J$2),INDIRECT(I4025),test),getMin(B4025,C4025,INDIRECT(J$2),INDIRECT(I4025),test))</f>
        <v>125.85135380491616</v>
      </c>
      <c r="E4025" s="5">
        <f ca="1">IF(getQuality(B4025)&lt;4,getOtherMax(B4025,C4025,INDIRECT(J$2),INDIRECT(I4025),test),getMax(B4025,C4025,INDIRECT(J$2),INDIRECT(I4025),test))</f>
        <v>169.16048810980774</v>
      </c>
      <c r="F4025" s="1" t="str">
        <f t="shared" si="251"/>
        <v>50</v>
      </c>
      <c r="G4025" s="1" t="str">
        <f t="shared" si="252"/>
        <v/>
      </c>
      <c r="I4025" s="1" t="str">
        <f t="shared" si="250"/>
        <v>威尔新数值1.06.xlsm!suitPower</v>
      </c>
    </row>
    <row r="4026" spans="1:9" x14ac:dyDescent="0.15">
      <c r="A4026" s="1">
        <v>4025</v>
      </c>
      <c r="B4026" s="1">
        <v>103050800</v>
      </c>
      <c r="C4026" s="1">
        <f t="shared" si="249"/>
        <v>11</v>
      </c>
      <c r="D4026" s="5">
        <f ca="1">IF(getQuality(B4026)&lt;4,getOtherMin(B4026,C4026,INDIRECT(J$2),INDIRECT(I4026),test),getMin(B4026,C4026,INDIRECT(J$2),INDIRECT(I4026),test))</f>
        <v>125.85135380491616</v>
      </c>
      <c r="E4026" s="5">
        <f ca="1">IF(getQuality(B4026)&lt;4,getOtherMax(B4026,C4026,INDIRECT(J$2),INDIRECT(I4026),test),getMax(B4026,C4026,INDIRECT(J$2),INDIRECT(I4026),test))</f>
        <v>169.16048810980774</v>
      </c>
      <c r="F4026" s="1" t="str">
        <f t="shared" si="251"/>
        <v>50</v>
      </c>
      <c r="G4026" s="1" t="str">
        <f t="shared" si="252"/>
        <v/>
      </c>
      <c r="I4026" s="1" t="str">
        <f t="shared" si="250"/>
        <v>威尔新数值1.06.xlsm!suitPower</v>
      </c>
    </row>
    <row r="4027" spans="1:9" x14ac:dyDescent="0.15">
      <c r="A4027" s="1">
        <v>4026</v>
      </c>
      <c r="B4027" s="1">
        <v>103050800</v>
      </c>
      <c r="C4027" s="1">
        <f t="shared" si="249"/>
        <v>12</v>
      </c>
      <c r="D4027" s="5">
        <f ca="1">IF(getQuality(B4027)&lt;4,getOtherMin(B4027,C4027,INDIRECT(J$2),INDIRECT(I4027),test),getMin(B4027,C4027,INDIRECT(J$2),INDIRECT(I4027),test))</f>
        <v>125.85135380491616</v>
      </c>
      <c r="E4027" s="5">
        <f ca="1">IF(getQuality(B4027)&lt;4,getOtherMax(B4027,C4027,INDIRECT(J$2),INDIRECT(I4027),test),getMax(B4027,C4027,INDIRECT(J$2),INDIRECT(I4027),test))</f>
        <v>169.16048810980774</v>
      </c>
      <c r="F4027" s="1" t="str">
        <f t="shared" si="251"/>
        <v>50</v>
      </c>
      <c r="G4027" s="1" t="str">
        <f t="shared" si="252"/>
        <v/>
      </c>
      <c r="I4027" s="1" t="str">
        <f t="shared" si="250"/>
        <v>威尔新数值1.06.xlsm!suitPower</v>
      </c>
    </row>
    <row r="4028" spans="1:9" x14ac:dyDescent="0.15">
      <c r="A4028" s="1">
        <v>4027</v>
      </c>
      <c r="B4028" s="1">
        <v>103050800</v>
      </c>
      <c r="C4028" s="1">
        <f t="shared" ref="C4028:C4091" si="253">C1553</f>
        <v>13</v>
      </c>
      <c r="D4028" s="5">
        <f ca="1">IF(getQuality(B4028)&lt;4,getOtherMin(B4028,C4028,INDIRECT(J$2),INDIRECT(I4028),test),getMin(B4028,C4028,INDIRECT(J$2),INDIRECT(I4028),test))</f>
        <v>125.85135380491616</v>
      </c>
      <c r="E4028" s="5">
        <f ca="1">IF(getQuality(B4028)&lt;4,getOtherMax(B4028,C4028,INDIRECT(J$2),INDIRECT(I4028),test),getMax(B4028,C4028,INDIRECT(J$2),INDIRECT(I4028),test))</f>
        <v>169.16048810980774</v>
      </c>
      <c r="F4028" s="1" t="str">
        <f t="shared" si="251"/>
        <v>50</v>
      </c>
      <c r="G4028" s="1" t="str">
        <f t="shared" si="252"/>
        <v/>
      </c>
      <c r="I4028" s="1" t="str">
        <f t="shared" si="250"/>
        <v>威尔新数值1.06.xlsm!suitPower</v>
      </c>
    </row>
    <row r="4029" spans="1:9" x14ac:dyDescent="0.15">
      <c r="A4029" s="1">
        <v>4028</v>
      </c>
      <c r="B4029" s="1">
        <v>103050800</v>
      </c>
      <c r="C4029" s="1">
        <f t="shared" si="253"/>
        <v>14</v>
      </c>
      <c r="D4029" s="5">
        <f ca="1">IF(getQuality(B4029)&lt;4,getOtherMin(B4029,C4029,INDIRECT(J$2),INDIRECT(I4029),test),getMin(B4029,C4029,INDIRECT(J$2),INDIRECT(I4029),test))</f>
        <v>125.85135380491616</v>
      </c>
      <c r="E4029" s="5">
        <f ca="1">IF(getQuality(B4029)&lt;4,getOtherMax(B4029,C4029,INDIRECT(J$2),INDIRECT(I4029),test),getMax(B4029,C4029,INDIRECT(J$2),INDIRECT(I4029),test))</f>
        <v>169.16048810980774</v>
      </c>
      <c r="F4029" s="1" t="str">
        <f t="shared" si="251"/>
        <v>50</v>
      </c>
      <c r="G4029" s="1" t="str">
        <f t="shared" si="252"/>
        <v/>
      </c>
      <c r="I4029" s="1" t="str">
        <f t="shared" si="250"/>
        <v>威尔新数值1.06.xlsm!suitPower</v>
      </c>
    </row>
    <row r="4030" spans="1:9" x14ac:dyDescent="0.15">
      <c r="A4030" s="1">
        <v>4029</v>
      </c>
      <c r="B4030" s="1">
        <v>103050800</v>
      </c>
      <c r="C4030" s="1">
        <f t="shared" si="253"/>
        <v>15</v>
      </c>
      <c r="D4030" s="5">
        <f ca="1">IF(getQuality(B4030)&lt;4,getOtherMin(B4030,C4030,INDIRECT(J$2),INDIRECT(I4030),test),getMin(B4030,C4030,INDIRECT(J$2),INDIRECT(I4030),test))</f>
        <v>125.85135380491616</v>
      </c>
      <c r="E4030" s="5">
        <f ca="1">IF(getQuality(B4030)&lt;4,getOtherMax(B4030,C4030,INDIRECT(J$2),INDIRECT(I4030),test),getMax(B4030,C4030,INDIRECT(J$2),INDIRECT(I4030),test))</f>
        <v>169.16048810980774</v>
      </c>
      <c r="F4030" s="1" t="str">
        <f t="shared" si="251"/>
        <v>50</v>
      </c>
      <c r="G4030" s="1" t="str">
        <f t="shared" si="252"/>
        <v/>
      </c>
      <c r="I4030" s="1" t="str">
        <f t="shared" si="250"/>
        <v>威尔新数值1.06.xlsm!suitPower</v>
      </c>
    </row>
    <row r="4031" spans="1:9" x14ac:dyDescent="0.15">
      <c r="A4031" s="1">
        <v>4030</v>
      </c>
      <c r="B4031" s="1">
        <v>103050800</v>
      </c>
      <c r="C4031" s="1">
        <f t="shared" si="253"/>
        <v>101</v>
      </c>
      <c r="D4031" s="5">
        <f ca="1">IF(getQuality(B4031)&lt;4,getOtherMin(B4031,C4031,INDIRECT(J$2),INDIRECT(I4031),test),getMin(B4031,C4031,INDIRECT(J$2),INDIRECT(I4031),test))</f>
        <v>0.11</v>
      </c>
      <c r="E4031" s="5">
        <f ca="1">IF(getQuality(B4031)&lt;4,getOtherMax(B4031,C4031,INDIRECT(J$2),INDIRECT(I4031),test),getMax(B4031,C4031,INDIRECT(J$2),INDIRECT(I4031),test))</f>
        <v>0.14000000000000001</v>
      </c>
      <c r="F4031" s="1" t="str">
        <f t="shared" si="251"/>
        <v>50</v>
      </c>
      <c r="G4031" s="1" t="str">
        <f t="shared" si="252"/>
        <v/>
      </c>
      <c r="I4031" s="1" t="str">
        <f t="shared" si="250"/>
        <v>威尔新数值1.06.xlsm!circlePer</v>
      </c>
    </row>
    <row r="4032" spans="1:9" x14ac:dyDescent="0.15">
      <c r="A4032" s="1">
        <v>4031</v>
      </c>
      <c r="B4032" s="1">
        <v>103050800</v>
      </c>
      <c r="C4032" s="1">
        <f t="shared" si="253"/>
        <v>102</v>
      </c>
      <c r="D4032" s="5">
        <f ca="1">IF(getQuality(B4032)&lt;4,getOtherMin(B4032,C4032,INDIRECT(J$2),INDIRECT(I4032),test),getMin(B4032,C4032,INDIRECT(J$2),INDIRECT(I4032),test))</f>
        <v>1</v>
      </c>
      <c r="E4032" s="5">
        <f ca="1">IF(getQuality(B4032)&lt;4,getOtherMax(B4032,C4032,INDIRECT(J$2),INDIRECT(I4032),test),getMax(B4032,C4032,INDIRECT(J$2),INDIRECT(I4032),test))</f>
        <v>1.3</v>
      </c>
      <c r="F4032" s="1" t="str">
        <f t="shared" si="251"/>
        <v>50</v>
      </c>
      <c r="G4032" s="1" t="str">
        <f t="shared" si="252"/>
        <v/>
      </c>
      <c r="I4032" s="1" t="str">
        <f t="shared" si="250"/>
        <v>威尔新数值1.06.xlsm!circleValue</v>
      </c>
    </row>
    <row r="4033" spans="1:9" x14ac:dyDescent="0.15">
      <c r="A4033" s="1">
        <v>4032</v>
      </c>
      <c r="B4033" s="1">
        <v>103050800</v>
      </c>
      <c r="C4033" s="1">
        <f t="shared" si="253"/>
        <v>103</v>
      </c>
      <c r="D4033" s="5">
        <f ca="1">IF(getQuality(B4033)&lt;4,getOtherMin(B4033,C4033,INDIRECT(J$2),INDIRECT(I4033),test),getMin(B4033,C4033,INDIRECT(J$2),INDIRECT(I4033),test))</f>
        <v>0.11</v>
      </c>
      <c r="E4033" s="5">
        <f ca="1">IF(getQuality(B4033)&lt;4,getOtherMax(B4033,C4033,INDIRECT(J$2),INDIRECT(I4033),test),getMax(B4033,C4033,INDIRECT(J$2),INDIRECT(I4033),test))</f>
        <v>0.14000000000000001</v>
      </c>
      <c r="F4033" s="1" t="str">
        <f t="shared" si="251"/>
        <v>50</v>
      </c>
      <c r="G4033" s="1" t="str">
        <f t="shared" si="252"/>
        <v/>
      </c>
      <c r="I4033" s="1" t="str">
        <f t="shared" si="250"/>
        <v>威尔新数值1.06.xlsm!otherDamage</v>
      </c>
    </row>
    <row r="4034" spans="1:9" x14ac:dyDescent="0.15">
      <c r="A4034" s="1">
        <v>4033</v>
      </c>
      <c r="B4034" s="1">
        <v>103050800</v>
      </c>
      <c r="C4034" s="1">
        <f t="shared" si="253"/>
        <v>104</v>
      </c>
      <c r="D4034" s="5">
        <f ca="1">IF(getQuality(B4034)&lt;4,getOtherMin(B4034,C4034,INDIRECT(J$2),INDIRECT(I4034),test),getMin(B4034,C4034,INDIRECT(J$2),INDIRECT(I4034),test))</f>
        <v>0.11</v>
      </c>
      <c r="E4034" s="5">
        <f ca="1">IF(getQuality(B4034)&lt;4,getOtherMax(B4034,C4034,INDIRECT(J$2),INDIRECT(I4034),test),getMax(B4034,C4034,INDIRECT(J$2),INDIRECT(I4034),test))</f>
        <v>0.22</v>
      </c>
      <c r="F4034" s="1" t="str">
        <f t="shared" si="251"/>
        <v>50</v>
      </c>
      <c r="G4034" s="1" t="str">
        <f t="shared" si="252"/>
        <v/>
      </c>
      <c r="I4034" s="1" t="str">
        <f t="shared" ref="I4034:I4097" si="254">IF(C4034&lt;100,VLOOKUP(C4034,test,3,FALSE),VLOOKUP(C4034,test1,3,FALSE))</f>
        <v>威尔新数值1.06.xlsm!monsterDamage</v>
      </c>
    </row>
    <row r="4035" spans="1:9" x14ac:dyDescent="0.15">
      <c r="A4035" s="1">
        <v>4034</v>
      </c>
      <c r="B4035" s="1">
        <v>103050800</v>
      </c>
      <c r="C4035" s="1">
        <f t="shared" si="253"/>
        <v>105</v>
      </c>
      <c r="D4035" s="5">
        <f ca="1">IF(getQuality(B4035)&lt;4,getOtherMin(B4035,C4035,INDIRECT(J$2),INDIRECT(I4035),test),getMin(B4035,C4035,INDIRECT(J$2),INDIRECT(I4035),test))</f>
        <v>0.11</v>
      </c>
      <c r="E4035" s="5">
        <f ca="1">IF(getQuality(B4035)&lt;4,getOtherMax(B4035,C4035,INDIRECT(J$2),INDIRECT(I4035),test),getMax(B4035,C4035,INDIRECT(J$2),INDIRECT(I4035),test))</f>
        <v>0.22</v>
      </c>
      <c r="F4035" s="1" t="str">
        <f t="shared" ref="F4035:F4098" si="255">getper(B4035,C4035)</f>
        <v>50</v>
      </c>
      <c r="G4035" s="1" t="str">
        <f t="shared" ref="G4035:G4098" si="256">getMust(B4035,C4035)</f>
        <v/>
      </c>
      <c r="I4035" s="1" t="str">
        <f t="shared" si="254"/>
        <v>威尔新数值1.06.xlsm!monsterDamage</v>
      </c>
    </row>
    <row r="4036" spans="1:9" x14ac:dyDescent="0.15">
      <c r="A4036" s="1">
        <v>4035</v>
      </c>
      <c r="B4036" s="1">
        <v>103050800</v>
      </c>
      <c r="C4036" s="1">
        <f t="shared" si="253"/>
        <v>106</v>
      </c>
      <c r="D4036" s="5">
        <f ca="1">IF(getQuality(B4036)&lt;4,getOtherMin(B4036,C4036,INDIRECT(J$2),INDIRECT(I4036),test),getMin(B4036,C4036,INDIRECT(J$2),INDIRECT(I4036),test))</f>
        <v>0.11</v>
      </c>
      <c r="E4036" s="5">
        <f ca="1">IF(getQuality(B4036)&lt;4,getOtherMax(B4036,C4036,INDIRECT(J$2),INDIRECT(I4036),test),getMax(B4036,C4036,INDIRECT(J$2),INDIRECT(I4036),test))</f>
        <v>0.22</v>
      </c>
      <c r="F4036" s="1" t="str">
        <f t="shared" si="255"/>
        <v>50</v>
      </c>
      <c r="G4036" s="1" t="str">
        <f t="shared" si="256"/>
        <v/>
      </c>
      <c r="I4036" s="1" t="str">
        <f t="shared" si="254"/>
        <v>威尔新数值1.06.xlsm!monsterDamage</v>
      </c>
    </row>
    <row r="4037" spans="1:9" x14ac:dyDescent="0.15">
      <c r="A4037" s="1">
        <v>4036</v>
      </c>
      <c r="B4037" s="1">
        <v>103050800</v>
      </c>
      <c r="C4037" s="1">
        <f t="shared" si="253"/>
        <v>107</v>
      </c>
      <c r="D4037" s="5">
        <f ca="1">IF(getQuality(B4037)&lt;4,getOtherMin(B4037,C4037,INDIRECT(J$2),INDIRECT(I4037),test),getMin(B4037,C4037,INDIRECT(J$2),INDIRECT(I4037),test))</f>
        <v>0.11</v>
      </c>
      <c r="E4037" s="5">
        <f ca="1">IF(getQuality(B4037)&lt;4,getOtherMax(B4037,C4037,INDIRECT(J$2),INDIRECT(I4037),test),getMax(B4037,C4037,INDIRECT(J$2),INDIRECT(I4037),test))</f>
        <v>0.22</v>
      </c>
      <c r="F4037" s="1" t="str">
        <f t="shared" si="255"/>
        <v>50</v>
      </c>
      <c r="G4037" s="1" t="str">
        <f t="shared" si="256"/>
        <v/>
      </c>
      <c r="I4037" s="1" t="str">
        <f t="shared" si="254"/>
        <v>威尔新数值1.06.xlsm!monsterDamage</v>
      </c>
    </row>
    <row r="4038" spans="1:9" x14ac:dyDescent="0.15">
      <c r="A4038" s="1">
        <v>4037</v>
      </c>
      <c r="B4038" s="1">
        <v>103050800</v>
      </c>
      <c r="C4038" s="1">
        <f t="shared" si="253"/>
        <v>108</v>
      </c>
      <c r="D4038" s="5">
        <f ca="1">IF(getQuality(B4038)&lt;4,getOtherMin(B4038,C4038,INDIRECT(J$2),INDIRECT(I4038),test),getMin(B4038,C4038,INDIRECT(J$2),INDIRECT(I4038),test))</f>
        <v>0.11</v>
      </c>
      <c r="E4038" s="5">
        <f ca="1">IF(getQuality(B4038)&lt;4,getOtherMax(B4038,C4038,INDIRECT(J$2),INDIRECT(I4038),test),getMax(B4038,C4038,INDIRECT(J$2),INDIRECT(I4038),test))</f>
        <v>0.22</v>
      </c>
      <c r="F4038" s="1" t="str">
        <f t="shared" si="255"/>
        <v>50</v>
      </c>
      <c r="G4038" s="1" t="str">
        <f t="shared" si="256"/>
        <v/>
      </c>
      <c r="I4038" s="1" t="str">
        <f t="shared" si="254"/>
        <v>威尔新数值1.06.xlsm!monsterDamage</v>
      </c>
    </row>
    <row r="4039" spans="1:9" x14ac:dyDescent="0.15">
      <c r="A4039" s="1">
        <v>4038</v>
      </c>
      <c r="B4039" s="1">
        <v>103060800</v>
      </c>
      <c r="C4039" s="1">
        <f t="shared" si="253"/>
        <v>3</v>
      </c>
      <c r="D4039" s="5">
        <f ca="1">IF(getQuality(B4039)&lt;4,getOtherMin(B4039,C4039,INDIRECT(J$2),INDIRECT(I4039),test),getMin(B4039,C4039,INDIRECT(J$2),INDIRECT(I4039),test))</f>
        <v>170.16048810980774</v>
      </c>
      <c r="E4039" s="5">
        <f ca="1">IF(getQuality(B4039)&lt;4,getOtherMax(B4039,C4039,INDIRECT(J$2),INDIRECT(I4039),test),getMax(B4039,C4039,INDIRECT(J$2),INDIRECT(I4039),test))</f>
        <v>217.39851117079806</v>
      </c>
      <c r="F4039" s="1" t="str">
        <f t="shared" si="255"/>
        <v>50</v>
      </c>
      <c r="G4039" s="1" t="str">
        <f t="shared" si="256"/>
        <v/>
      </c>
      <c r="I4039" s="1" t="str">
        <f t="shared" si="254"/>
        <v>威尔新数值1.06.xlsm!suitPower</v>
      </c>
    </row>
    <row r="4040" spans="1:9" x14ac:dyDescent="0.15">
      <c r="A4040" s="1">
        <v>4039</v>
      </c>
      <c r="B4040" s="1">
        <v>103060800</v>
      </c>
      <c r="C4040" s="1">
        <f t="shared" si="253"/>
        <v>5</v>
      </c>
      <c r="D4040" s="5">
        <f ca="1">IF(getQuality(B4040)&lt;4,getOtherMin(B4040,C4040,INDIRECT(J$2),INDIRECT(I4040),test),getMin(B4040,C4040,INDIRECT(J$2),INDIRECT(I4040),test))</f>
        <v>170.16048810980774</v>
      </c>
      <c r="E4040" s="5">
        <f ca="1">IF(getQuality(B4040)&lt;4,getOtherMax(B4040,C4040,INDIRECT(J$2),INDIRECT(I4040),test),getMax(B4040,C4040,INDIRECT(J$2),INDIRECT(I4040),test))</f>
        <v>217.39851117079806</v>
      </c>
      <c r="F4040" s="1" t="str">
        <f t="shared" si="255"/>
        <v>50</v>
      </c>
      <c r="G4040" s="1" t="str">
        <f t="shared" si="256"/>
        <v>1</v>
      </c>
      <c r="I4040" s="1" t="str">
        <f t="shared" si="254"/>
        <v>威尔新数值1.06.xlsm!suitPower</v>
      </c>
    </row>
    <row r="4041" spans="1:9" x14ac:dyDescent="0.15">
      <c r="A4041" s="1">
        <v>4040</v>
      </c>
      <c r="B4041" s="1">
        <v>103060800</v>
      </c>
      <c r="C4041" s="1">
        <f t="shared" si="253"/>
        <v>7</v>
      </c>
      <c r="D4041" s="5">
        <f ca="1">IF(getQuality(B4041)&lt;4,getOtherMin(B4041,C4041,INDIRECT(J$2),INDIRECT(I4041),test),getMin(B4041,C4041,INDIRECT(J$2),INDIRECT(I4041),test))</f>
        <v>38.037037037036946</v>
      </c>
      <c r="E4041" s="5">
        <f ca="1">IF(getQuality(B4041)&lt;4,getOtherMax(B4041,C4041,INDIRECT(J$2),INDIRECT(I4041),test),getMax(B4041,C4041,INDIRECT(J$2),INDIRECT(I4041),test))</f>
        <v>44.444444444444329</v>
      </c>
      <c r="F4041" s="1" t="str">
        <f t="shared" si="255"/>
        <v>50</v>
      </c>
      <c r="G4041" s="1" t="str">
        <f t="shared" si="256"/>
        <v/>
      </c>
      <c r="I4041" s="1" t="str">
        <f t="shared" si="254"/>
        <v>威尔新数值1.06.xlsm!suitPower</v>
      </c>
    </row>
    <row r="4042" spans="1:9" x14ac:dyDescent="0.15">
      <c r="A4042" s="1">
        <v>4041</v>
      </c>
      <c r="B4042" s="1">
        <v>103060800</v>
      </c>
      <c r="C4042" s="1">
        <f t="shared" si="253"/>
        <v>8</v>
      </c>
      <c r="D4042" s="5">
        <f ca="1">IF(getQuality(B4042)&lt;4,getOtherMin(B4042,C4042,INDIRECT(J$2),INDIRECT(I4042),test),getMin(B4042,C4042,INDIRECT(J$2),INDIRECT(I4042),test))</f>
        <v>84.333333333333329</v>
      </c>
      <c r="E4042" s="5">
        <f ca="1">IF(getQuality(B4042)&lt;4,getOtherMax(B4042,C4042,INDIRECT(J$2),INDIRECT(I4042),test),getMax(B4042,C4042,INDIRECT(J$2),INDIRECT(I4042),test))</f>
        <v>100</v>
      </c>
      <c r="F4042" s="1" t="str">
        <f t="shared" si="255"/>
        <v>50</v>
      </c>
      <c r="G4042" s="1" t="str">
        <f t="shared" si="256"/>
        <v/>
      </c>
      <c r="I4042" s="1" t="str">
        <f t="shared" si="254"/>
        <v>威尔新数值1.06.xlsm!suitPower</v>
      </c>
    </row>
    <row r="4043" spans="1:9" x14ac:dyDescent="0.15">
      <c r="A4043" s="1">
        <v>4042</v>
      </c>
      <c r="B4043" s="1">
        <v>103060800</v>
      </c>
      <c r="C4043" s="1">
        <f t="shared" si="253"/>
        <v>9</v>
      </c>
      <c r="D4043" s="5">
        <f ca="1">IF(getQuality(B4043)&lt;4,getOtherMin(B4043,C4043,INDIRECT(J$2),INDIRECT(I4043),test),getMin(B4043,C4043,INDIRECT(J$2),INDIRECT(I4043),test))</f>
        <v>170.16048810980774</v>
      </c>
      <c r="E4043" s="5">
        <f ca="1">IF(getQuality(B4043)&lt;4,getOtherMax(B4043,C4043,INDIRECT(J$2),INDIRECT(I4043),test),getMax(B4043,C4043,INDIRECT(J$2),INDIRECT(I4043),test))</f>
        <v>217.39851117079806</v>
      </c>
      <c r="F4043" s="1" t="str">
        <f t="shared" si="255"/>
        <v>50</v>
      </c>
      <c r="G4043" s="1" t="str">
        <f t="shared" si="256"/>
        <v/>
      </c>
      <c r="I4043" s="1" t="str">
        <f t="shared" si="254"/>
        <v>威尔新数值1.06.xlsm!suitPower</v>
      </c>
    </row>
    <row r="4044" spans="1:9" x14ac:dyDescent="0.15">
      <c r="A4044" s="1">
        <v>4043</v>
      </c>
      <c r="B4044" s="1">
        <v>103060800</v>
      </c>
      <c r="C4044" s="1">
        <f t="shared" si="253"/>
        <v>10</v>
      </c>
      <c r="D4044" s="5">
        <f ca="1">IF(getQuality(B4044)&lt;4,getOtherMin(B4044,C4044,INDIRECT(J$2),INDIRECT(I4044),test),getMin(B4044,C4044,INDIRECT(J$2),INDIRECT(I4044),test))</f>
        <v>170.16048810980774</v>
      </c>
      <c r="E4044" s="5">
        <f ca="1">IF(getQuality(B4044)&lt;4,getOtherMax(B4044,C4044,INDIRECT(J$2),INDIRECT(I4044),test),getMax(B4044,C4044,INDIRECT(J$2),INDIRECT(I4044),test))</f>
        <v>217.39851117079806</v>
      </c>
      <c r="F4044" s="1" t="str">
        <f t="shared" si="255"/>
        <v>50</v>
      </c>
      <c r="G4044" s="1" t="str">
        <f t="shared" si="256"/>
        <v/>
      </c>
      <c r="I4044" s="1" t="str">
        <f t="shared" si="254"/>
        <v>威尔新数值1.06.xlsm!suitPower</v>
      </c>
    </row>
    <row r="4045" spans="1:9" x14ac:dyDescent="0.15">
      <c r="A4045" s="1">
        <v>4044</v>
      </c>
      <c r="B4045" s="1">
        <v>103060800</v>
      </c>
      <c r="C4045" s="1">
        <f t="shared" si="253"/>
        <v>11</v>
      </c>
      <c r="D4045" s="5">
        <f ca="1">IF(getQuality(B4045)&lt;4,getOtherMin(B4045,C4045,INDIRECT(J$2),INDIRECT(I4045),test),getMin(B4045,C4045,INDIRECT(J$2),INDIRECT(I4045),test))</f>
        <v>170.16048810980774</v>
      </c>
      <c r="E4045" s="5">
        <f ca="1">IF(getQuality(B4045)&lt;4,getOtherMax(B4045,C4045,INDIRECT(J$2),INDIRECT(I4045),test),getMax(B4045,C4045,INDIRECT(J$2),INDIRECT(I4045),test))</f>
        <v>217.39851117079806</v>
      </c>
      <c r="F4045" s="1" t="str">
        <f t="shared" si="255"/>
        <v>50</v>
      </c>
      <c r="G4045" s="1" t="str">
        <f t="shared" si="256"/>
        <v/>
      </c>
      <c r="I4045" s="1" t="str">
        <f t="shared" si="254"/>
        <v>威尔新数值1.06.xlsm!suitPower</v>
      </c>
    </row>
    <row r="4046" spans="1:9" x14ac:dyDescent="0.15">
      <c r="A4046" s="1">
        <v>4045</v>
      </c>
      <c r="B4046" s="1">
        <v>103060800</v>
      </c>
      <c r="C4046" s="1">
        <f t="shared" si="253"/>
        <v>12</v>
      </c>
      <c r="D4046" s="5">
        <f ca="1">IF(getQuality(B4046)&lt;4,getOtherMin(B4046,C4046,INDIRECT(J$2),INDIRECT(I4046),test),getMin(B4046,C4046,INDIRECT(J$2),INDIRECT(I4046),test))</f>
        <v>170.16048810980774</v>
      </c>
      <c r="E4046" s="5">
        <f ca="1">IF(getQuality(B4046)&lt;4,getOtherMax(B4046,C4046,INDIRECT(J$2),INDIRECT(I4046),test),getMax(B4046,C4046,INDIRECT(J$2),INDIRECT(I4046),test))</f>
        <v>217.39851117079806</v>
      </c>
      <c r="F4046" s="1" t="str">
        <f t="shared" si="255"/>
        <v>50</v>
      </c>
      <c r="G4046" s="1" t="str">
        <f t="shared" si="256"/>
        <v/>
      </c>
      <c r="I4046" s="1" t="str">
        <f t="shared" si="254"/>
        <v>威尔新数值1.06.xlsm!suitPower</v>
      </c>
    </row>
    <row r="4047" spans="1:9" x14ac:dyDescent="0.15">
      <c r="A4047" s="1">
        <v>4046</v>
      </c>
      <c r="B4047" s="1">
        <v>103060800</v>
      </c>
      <c r="C4047" s="1">
        <f t="shared" si="253"/>
        <v>13</v>
      </c>
      <c r="D4047" s="5">
        <f ca="1">IF(getQuality(B4047)&lt;4,getOtherMin(B4047,C4047,INDIRECT(J$2),INDIRECT(I4047),test),getMin(B4047,C4047,INDIRECT(J$2),INDIRECT(I4047),test))</f>
        <v>170.16048810980774</v>
      </c>
      <c r="E4047" s="5">
        <f ca="1">IF(getQuality(B4047)&lt;4,getOtherMax(B4047,C4047,INDIRECT(J$2),INDIRECT(I4047),test),getMax(B4047,C4047,INDIRECT(J$2),INDIRECT(I4047),test))</f>
        <v>217.39851117079806</v>
      </c>
      <c r="F4047" s="1" t="str">
        <f t="shared" si="255"/>
        <v>50</v>
      </c>
      <c r="G4047" s="1" t="str">
        <f t="shared" si="256"/>
        <v/>
      </c>
      <c r="I4047" s="1" t="str">
        <f t="shared" si="254"/>
        <v>威尔新数值1.06.xlsm!suitPower</v>
      </c>
    </row>
    <row r="4048" spans="1:9" x14ac:dyDescent="0.15">
      <c r="A4048" s="1">
        <v>4047</v>
      </c>
      <c r="B4048" s="1">
        <v>103060800</v>
      </c>
      <c r="C4048" s="1">
        <f t="shared" si="253"/>
        <v>14</v>
      </c>
      <c r="D4048" s="5">
        <f ca="1">IF(getQuality(B4048)&lt;4,getOtherMin(B4048,C4048,INDIRECT(J$2),INDIRECT(I4048),test),getMin(B4048,C4048,INDIRECT(J$2),INDIRECT(I4048),test))</f>
        <v>170.16048810980774</v>
      </c>
      <c r="E4048" s="5">
        <f ca="1">IF(getQuality(B4048)&lt;4,getOtherMax(B4048,C4048,INDIRECT(J$2),INDIRECT(I4048),test),getMax(B4048,C4048,INDIRECT(J$2),INDIRECT(I4048),test))</f>
        <v>217.39851117079806</v>
      </c>
      <c r="F4048" s="1" t="str">
        <f t="shared" si="255"/>
        <v>50</v>
      </c>
      <c r="G4048" s="1" t="str">
        <f t="shared" si="256"/>
        <v/>
      </c>
      <c r="I4048" s="1" t="str">
        <f t="shared" si="254"/>
        <v>威尔新数值1.06.xlsm!suitPower</v>
      </c>
    </row>
    <row r="4049" spans="1:9" x14ac:dyDescent="0.15">
      <c r="A4049" s="1">
        <v>4048</v>
      </c>
      <c r="B4049" s="1">
        <v>103060800</v>
      </c>
      <c r="C4049" s="1">
        <f t="shared" si="253"/>
        <v>15</v>
      </c>
      <c r="D4049" s="5">
        <f ca="1">IF(getQuality(B4049)&lt;4,getOtherMin(B4049,C4049,INDIRECT(J$2),INDIRECT(I4049),test),getMin(B4049,C4049,INDIRECT(J$2),INDIRECT(I4049),test))</f>
        <v>170.16048810980774</v>
      </c>
      <c r="E4049" s="5">
        <f ca="1">IF(getQuality(B4049)&lt;4,getOtherMax(B4049,C4049,INDIRECT(J$2),INDIRECT(I4049),test),getMax(B4049,C4049,INDIRECT(J$2),INDIRECT(I4049),test))</f>
        <v>217.39851117079806</v>
      </c>
      <c r="F4049" s="1" t="str">
        <f t="shared" si="255"/>
        <v>50</v>
      </c>
      <c r="G4049" s="1" t="str">
        <f t="shared" si="256"/>
        <v/>
      </c>
      <c r="I4049" s="1" t="str">
        <f t="shared" si="254"/>
        <v>威尔新数值1.06.xlsm!suitPower</v>
      </c>
    </row>
    <row r="4050" spans="1:9" x14ac:dyDescent="0.15">
      <c r="A4050" s="1">
        <v>4049</v>
      </c>
      <c r="B4050" s="1">
        <v>103060800</v>
      </c>
      <c r="C4050" s="1">
        <f t="shared" si="253"/>
        <v>101</v>
      </c>
      <c r="D4050" s="5">
        <f ca="1">IF(getQuality(B4050)&lt;4,getOtherMin(B4050,C4050,INDIRECT(J$2),INDIRECT(I4050),test),getMin(B4050,C4050,INDIRECT(J$2),INDIRECT(I4050),test))</f>
        <v>0.12</v>
      </c>
      <c r="E4050" s="5">
        <f ca="1">IF(getQuality(B4050)&lt;4,getOtherMax(B4050,C4050,INDIRECT(J$2),INDIRECT(I4050),test),getMax(B4050,C4050,INDIRECT(J$2),INDIRECT(I4050),test))</f>
        <v>0.15</v>
      </c>
      <c r="F4050" s="1" t="str">
        <f t="shared" si="255"/>
        <v>50</v>
      </c>
      <c r="G4050" s="1" t="str">
        <f t="shared" si="256"/>
        <v/>
      </c>
      <c r="I4050" s="1" t="str">
        <f t="shared" si="254"/>
        <v>威尔新数值1.06.xlsm!circlePer</v>
      </c>
    </row>
    <row r="4051" spans="1:9" x14ac:dyDescent="0.15">
      <c r="A4051" s="1">
        <v>4050</v>
      </c>
      <c r="B4051" s="1">
        <v>103060800</v>
      </c>
      <c r="C4051" s="1">
        <f t="shared" si="253"/>
        <v>102</v>
      </c>
      <c r="D4051" s="5">
        <f ca="1">IF(getQuality(B4051)&lt;4,getOtherMin(B4051,C4051,INDIRECT(J$2),INDIRECT(I4051),test),getMin(B4051,C4051,INDIRECT(J$2),INDIRECT(I4051),test))</f>
        <v>1.1000000000000001</v>
      </c>
      <c r="E4051" s="5">
        <f ca="1">IF(getQuality(B4051)&lt;4,getOtherMax(B4051,C4051,INDIRECT(J$2),INDIRECT(I4051),test),getMax(B4051,C4051,INDIRECT(J$2),INDIRECT(I4051),test))</f>
        <v>1.4</v>
      </c>
      <c r="F4051" s="1" t="str">
        <f t="shared" si="255"/>
        <v>50</v>
      </c>
      <c r="G4051" s="1" t="str">
        <f t="shared" si="256"/>
        <v/>
      </c>
      <c r="I4051" s="1" t="str">
        <f t="shared" si="254"/>
        <v>威尔新数值1.06.xlsm!circleValue</v>
      </c>
    </row>
    <row r="4052" spans="1:9" x14ac:dyDescent="0.15">
      <c r="A4052" s="1">
        <v>4051</v>
      </c>
      <c r="B4052" s="1">
        <v>103060800</v>
      </c>
      <c r="C4052" s="1">
        <f t="shared" si="253"/>
        <v>103</v>
      </c>
      <c r="D4052" s="5">
        <f ca="1">IF(getQuality(B4052)&lt;4,getOtherMin(B4052,C4052,INDIRECT(J$2),INDIRECT(I4052),test),getMin(B4052,C4052,INDIRECT(J$2),INDIRECT(I4052),test))</f>
        <v>0.12</v>
      </c>
      <c r="E4052" s="5">
        <f ca="1">IF(getQuality(B4052)&lt;4,getOtherMax(B4052,C4052,INDIRECT(J$2),INDIRECT(I4052),test),getMax(B4052,C4052,INDIRECT(J$2),INDIRECT(I4052),test))</f>
        <v>0.15</v>
      </c>
      <c r="F4052" s="1" t="str">
        <f t="shared" si="255"/>
        <v>50</v>
      </c>
      <c r="G4052" s="1" t="str">
        <f t="shared" si="256"/>
        <v/>
      </c>
      <c r="I4052" s="1" t="str">
        <f t="shared" si="254"/>
        <v>威尔新数值1.06.xlsm!otherDamage</v>
      </c>
    </row>
    <row r="4053" spans="1:9" x14ac:dyDescent="0.15">
      <c r="A4053" s="1">
        <v>4052</v>
      </c>
      <c r="B4053" s="1">
        <v>103060800</v>
      </c>
      <c r="C4053" s="1">
        <f t="shared" si="253"/>
        <v>104</v>
      </c>
      <c r="D4053" s="5">
        <f ca="1">IF(getQuality(B4053)&lt;4,getOtherMin(B4053,C4053,INDIRECT(J$2),INDIRECT(I4053),test),getMin(B4053,C4053,INDIRECT(J$2),INDIRECT(I4053),test))</f>
        <v>0.12</v>
      </c>
      <c r="E4053" s="5">
        <f ca="1">IF(getQuality(B4053)&lt;4,getOtherMax(B4053,C4053,INDIRECT(J$2),INDIRECT(I4053),test),getMax(B4053,C4053,INDIRECT(J$2),INDIRECT(I4053),test))</f>
        <v>0.24</v>
      </c>
      <c r="F4053" s="1" t="str">
        <f t="shared" si="255"/>
        <v>50</v>
      </c>
      <c r="G4053" s="1" t="str">
        <f t="shared" si="256"/>
        <v/>
      </c>
      <c r="I4053" s="1" t="str">
        <f t="shared" si="254"/>
        <v>威尔新数值1.06.xlsm!monsterDamage</v>
      </c>
    </row>
    <row r="4054" spans="1:9" x14ac:dyDescent="0.15">
      <c r="A4054" s="1">
        <v>4053</v>
      </c>
      <c r="B4054" s="1">
        <v>103060800</v>
      </c>
      <c r="C4054" s="1">
        <f t="shared" si="253"/>
        <v>105</v>
      </c>
      <c r="D4054" s="5">
        <f ca="1">IF(getQuality(B4054)&lt;4,getOtherMin(B4054,C4054,INDIRECT(J$2),INDIRECT(I4054),test),getMin(B4054,C4054,INDIRECT(J$2),INDIRECT(I4054),test))</f>
        <v>0.12</v>
      </c>
      <c r="E4054" s="5">
        <f ca="1">IF(getQuality(B4054)&lt;4,getOtherMax(B4054,C4054,INDIRECT(J$2),INDIRECT(I4054),test),getMax(B4054,C4054,INDIRECT(J$2),INDIRECT(I4054),test))</f>
        <v>0.24</v>
      </c>
      <c r="F4054" s="1" t="str">
        <f t="shared" si="255"/>
        <v>50</v>
      </c>
      <c r="G4054" s="1" t="str">
        <f t="shared" si="256"/>
        <v/>
      </c>
      <c r="I4054" s="1" t="str">
        <f t="shared" si="254"/>
        <v>威尔新数值1.06.xlsm!monsterDamage</v>
      </c>
    </row>
    <row r="4055" spans="1:9" x14ac:dyDescent="0.15">
      <c r="A4055" s="1">
        <v>4054</v>
      </c>
      <c r="B4055" s="1">
        <v>103060800</v>
      </c>
      <c r="C4055" s="1">
        <f t="shared" si="253"/>
        <v>106</v>
      </c>
      <c r="D4055" s="5">
        <f ca="1">IF(getQuality(B4055)&lt;4,getOtherMin(B4055,C4055,INDIRECT(J$2),INDIRECT(I4055),test),getMin(B4055,C4055,INDIRECT(J$2),INDIRECT(I4055),test))</f>
        <v>0.12</v>
      </c>
      <c r="E4055" s="5">
        <f ca="1">IF(getQuality(B4055)&lt;4,getOtherMax(B4055,C4055,INDIRECT(J$2),INDIRECT(I4055),test),getMax(B4055,C4055,INDIRECT(J$2),INDIRECT(I4055),test))</f>
        <v>0.24</v>
      </c>
      <c r="F4055" s="1" t="str">
        <f t="shared" si="255"/>
        <v>50</v>
      </c>
      <c r="G4055" s="1" t="str">
        <f t="shared" si="256"/>
        <v/>
      </c>
      <c r="I4055" s="1" t="str">
        <f t="shared" si="254"/>
        <v>威尔新数值1.06.xlsm!monsterDamage</v>
      </c>
    </row>
    <row r="4056" spans="1:9" x14ac:dyDescent="0.15">
      <c r="A4056" s="1">
        <v>4055</v>
      </c>
      <c r="B4056" s="1">
        <v>103060800</v>
      </c>
      <c r="C4056" s="1">
        <f t="shared" si="253"/>
        <v>107</v>
      </c>
      <c r="D4056" s="5">
        <f ca="1">IF(getQuality(B4056)&lt;4,getOtherMin(B4056,C4056,INDIRECT(J$2),INDIRECT(I4056),test),getMin(B4056,C4056,INDIRECT(J$2),INDIRECT(I4056),test))</f>
        <v>0.12</v>
      </c>
      <c r="E4056" s="5">
        <f ca="1">IF(getQuality(B4056)&lt;4,getOtherMax(B4056,C4056,INDIRECT(J$2),INDIRECT(I4056),test),getMax(B4056,C4056,INDIRECT(J$2),INDIRECT(I4056),test))</f>
        <v>0.24</v>
      </c>
      <c r="F4056" s="1" t="str">
        <f t="shared" si="255"/>
        <v>50</v>
      </c>
      <c r="G4056" s="1" t="str">
        <f t="shared" si="256"/>
        <v/>
      </c>
      <c r="I4056" s="1" t="str">
        <f t="shared" si="254"/>
        <v>威尔新数值1.06.xlsm!monsterDamage</v>
      </c>
    </row>
    <row r="4057" spans="1:9" x14ac:dyDescent="0.15">
      <c r="A4057" s="1">
        <v>4056</v>
      </c>
      <c r="B4057" s="1">
        <v>103060800</v>
      </c>
      <c r="C4057" s="1">
        <f t="shared" si="253"/>
        <v>108</v>
      </c>
      <c r="D4057" s="5">
        <f ca="1">IF(getQuality(B4057)&lt;4,getOtherMin(B4057,C4057,INDIRECT(J$2),INDIRECT(I4057),test),getMin(B4057,C4057,INDIRECT(J$2),INDIRECT(I4057),test))</f>
        <v>0.12</v>
      </c>
      <c r="E4057" s="5">
        <f ca="1">IF(getQuality(B4057)&lt;4,getOtherMax(B4057,C4057,INDIRECT(J$2),INDIRECT(I4057),test),getMax(B4057,C4057,INDIRECT(J$2),INDIRECT(I4057),test))</f>
        <v>0.24</v>
      </c>
      <c r="F4057" s="1" t="str">
        <f t="shared" si="255"/>
        <v>50</v>
      </c>
      <c r="G4057" s="1" t="str">
        <f t="shared" si="256"/>
        <v/>
      </c>
      <c r="I4057" s="1" t="str">
        <f t="shared" si="254"/>
        <v>威尔新数值1.06.xlsm!monsterDamage</v>
      </c>
    </row>
    <row r="4058" spans="1:9" x14ac:dyDescent="0.15">
      <c r="A4058" s="1">
        <v>4057</v>
      </c>
      <c r="B4058" s="1">
        <v>103070800</v>
      </c>
      <c r="C4058" s="1">
        <f t="shared" si="253"/>
        <v>3</v>
      </c>
      <c r="D4058" s="5">
        <f ca="1">IF(getQuality(B4058)&lt;4,getOtherMin(B4058,C4058,INDIRECT(J$2),INDIRECT(I4058),test),getMin(B4058,C4058,INDIRECT(J$2),INDIRECT(I4058),test))</f>
        <v>218.39851117079806</v>
      </c>
      <c r="E4058" s="5">
        <f ca="1">IF(getQuality(B4058)&lt;4,getOtherMax(B4058,C4058,INDIRECT(J$2),INDIRECT(I4058),test),getMax(B4058,C4058,INDIRECT(J$2),INDIRECT(I4058),test))</f>
        <v>270.43850937813136</v>
      </c>
      <c r="F4058" s="1" t="str">
        <f t="shared" si="255"/>
        <v>50</v>
      </c>
      <c r="G4058" s="1" t="str">
        <f t="shared" si="256"/>
        <v/>
      </c>
      <c r="I4058" s="1" t="str">
        <f t="shared" si="254"/>
        <v>威尔新数值1.06.xlsm!suitPower</v>
      </c>
    </row>
    <row r="4059" spans="1:9" x14ac:dyDescent="0.15">
      <c r="A4059" s="1">
        <v>4058</v>
      </c>
      <c r="B4059" s="1">
        <v>103070800</v>
      </c>
      <c r="C4059" s="1">
        <f t="shared" si="253"/>
        <v>5</v>
      </c>
      <c r="D4059" s="5">
        <f ca="1">IF(getQuality(B4059)&lt;4,getOtherMin(B4059,C4059,INDIRECT(J$2),INDIRECT(I4059),test),getMin(B4059,C4059,INDIRECT(J$2),INDIRECT(I4059),test))</f>
        <v>218.39851117079806</v>
      </c>
      <c r="E4059" s="5">
        <f ca="1">IF(getQuality(B4059)&lt;4,getOtherMax(B4059,C4059,INDIRECT(J$2),INDIRECT(I4059),test),getMax(B4059,C4059,INDIRECT(J$2),INDIRECT(I4059),test))</f>
        <v>270.43850937813136</v>
      </c>
      <c r="F4059" s="1" t="str">
        <f t="shared" si="255"/>
        <v>50</v>
      </c>
      <c r="G4059" s="1" t="str">
        <f t="shared" si="256"/>
        <v>1</v>
      </c>
      <c r="I4059" s="1" t="str">
        <f t="shared" si="254"/>
        <v>威尔新数值1.06.xlsm!suitPower</v>
      </c>
    </row>
    <row r="4060" spans="1:9" x14ac:dyDescent="0.15">
      <c r="A4060" s="1">
        <v>4059</v>
      </c>
      <c r="B4060" s="1">
        <v>103070800</v>
      </c>
      <c r="C4060" s="1">
        <f t="shared" si="253"/>
        <v>7</v>
      </c>
      <c r="D4060" s="5">
        <f ca="1">IF(getQuality(B4060)&lt;4,getOtherMin(B4060,C4060,INDIRECT(J$2),INDIRECT(I4060),test),getMin(B4060,C4060,INDIRECT(J$2),INDIRECT(I4060),test))</f>
        <v>45.444444444444329</v>
      </c>
      <c r="E4060" s="5">
        <f ca="1">IF(getQuality(B4060)&lt;4,getOtherMax(B4060,C4060,INDIRECT(J$2),INDIRECT(I4060),test),getMax(B4060,C4060,INDIRECT(J$2),INDIRECT(I4060),test))</f>
        <v>51.85185185185172</v>
      </c>
      <c r="F4060" s="1" t="str">
        <f t="shared" si="255"/>
        <v>50</v>
      </c>
      <c r="G4060" s="1" t="str">
        <f t="shared" si="256"/>
        <v/>
      </c>
      <c r="I4060" s="1" t="str">
        <f t="shared" si="254"/>
        <v>威尔新数值1.06.xlsm!suitPower</v>
      </c>
    </row>
    <row r="4061" spans="1:9" x14ac:dyDescent="0.15">
      <c r="A4061" s="1">
        <v>4060</v>
      </c>
      <c r="B4061" s="1">
        <v>103070800</v>
      </c>
      <c r="C4061" s="1">
        <f t="shared" si="253"/>
        <v>8</v>
      </c>
      <c r="D4061" s="5">
        <f ca="1">IF(getQuality(B4061)&lt;4,getOtherMin(B4061,C4061,INDIRECT(J$2),INDIRECT(I4061),test),getMin(B4061,C4061,INDIRECT(J$2),INDIRECT(I4061),test))</f>
        <v>101</v>
      </c>
      <c r="E4061" s="5">
        <f ca="1">IF(getQuality(B4061)&lt;4,getOtherMax(B4061,C4061,INDIRECT(J$2),INDIRECT(I4061),test),getMax(B4061,C4061,INDIRECT(J$2),INDIRECT(I4061),test))</f>
        <v>116.66666666666667</v>
      </c>
      <c r="F4061" s="1" t="str">
        <f t="shared" si="255"/>
        <v>50</v>
      </c>
      <c r="G4061" s="1" t="str">
        <f t="shared" si="256"/>
        <v/>
      </c>
      <c r="I4061" s="1" t="str">
        <f t="shared" si="254"/>
        <v>威尔新数值1.06.xlsm!suitPower</v>
      </c>
    </row>
    <row r="4062" spans="1:9" x14ac:dyDescent="0.15">
      <c r="A4062" s="1">
        <v>4061</v>
      </c>
      <c r="B4062" s="1">
        <v>103070800</v>
      </c>
      <c r="C4062" s="1">
        <f t="shared" si="253"/>
        <v>9</v>
      </c>
      <c r="D4062" s="5">
        <f ca="1">IF(getQuality(B4062)&lt;4,getOtherMin(B4062,C4062,INDIRECT(J$2),INDIRECT(I4062),test),getMin(B4062,C4062,INDIRECT(J$2),INDIRECT(I4062),test))</f>
        <v>218.39851117079806</v>
      </c>
      <c r="E4062" s="5">
        <f ca="1">IF(getQuality(B4062)&lt;4,getOtherMax(B4062,C4062,INDIRECT(J$2),INDIRECT(I4062),test),getMax(B4062,C4062,INDIRECT(J$2),INDIRECT(I4062),test))</f>
        <v>270.43850937813136</v>
      </c>
      <c r="F4062" s="1" t="str">
        <f t="shared" si="255"/>
        <v>50</v>
      </c>
      <c r="G4062" s="1" t="str">
        <f t="shared" si="256"/>
        <v/>
      </c>
      <c r="I4062" s="1" t="str">
        <f t="shared" si="254"/>
        <v>威尔新数值1.06.xlsm!suitPower</v>
      </c>
    </row>
    <row r="4063" spans="1:9" x14ac:dyDescent="0.15">
      <c r="A4063" s="1">
        <v>4062</v>
      </c>
      <c r="B4063" s="1">
        <v>103070800</v>
      </c>
      <c r="C4063" s="1">
        <f t="shared" si="253"/>
        <v>10</v>
      </c>
      <c r="D4063" s="5">
        <f ca="1">IF(getQuality(B4063)&lt;4,getOtherMin(B4063,C4063,INDIRECT(J$2),INDIRECT(I4063),test),getMin(B4063,C4063,INDIRECT(J$2),INDIRECT(I4063),test))</f>
        <v>218.39851117079806</v>
      </c>
      <c r="E4063" s="5">
        <f ca="1">IF(getQuality(B4063)&lt;4,getOtherMax(B4063,C4063,INDIRECT(J$2),INDIRECT(I4063),test),getMax(B4063,C4063,INDIRECT(J$2),INDIRECT(I4063),test))</f>
        <v>270.43850937813136</v>
      </c>
      <c r="F4063" s="1" t="str">
        <f t="shared" si="255"/>
        <v>50</v>
      </c>
      <c r="G4063" s="1" t="str">
        <f t="shared" si="256"/>
        <v/>
      </c>
      <c r="I4063" s="1" t="str">
        <f t="shared" si="254"/>
        <v>威尔新数值1.06.xlsm!suitPower</v>
      </c>
    </row>
    <row r="4064" spans="1:9" x14ac:dyDescent="0.15">
      <c r="A4064" s="1">
        <v>4063</v>
      </c>
      <c r="B4064" s="1">
        <v>103070800</v>
      </c>
      <c r="C4064" s="1">
        <f t="shared" si="253"/>
        <v>11</v>
      </c>
      <c r="D4064" s="5">
        <f ca="1">IF(getQuality(B4064)&lt;4,getOtherMin(B4064,C4064,INDIRECT(J$2),INDIRECT(I4064),test),getMin(B4064,C4064,INDIRECT(J$2),INDIRECT(I4064),test))</f>
        <v>218.39851117079806</v>
      </c>
      <c r="E4064" s="5">
        <f ca="1">IF(getQuality(B4064)&lt;4,getOtherMax(B4064,C4064,INDIRECT(J$2),INDIRECT(I4064),test),getMax(B4064,C4064,INDIRECT(J$2),INDIRECT(I4064),test))</f>
        <v>270.43850937813136</v>
      </c>
      <c r="F4064" s="1" t="str">
        <f t="shared" si="255"/>
        <v>50</v>
      </c>
      <c r="G4064" s="1" t="str">
        <f t="shared" si="256"/>
        <v/>
      </c>
      <c r="I4064" s="1" t="str">
        <f t="shared" si="254"/>
        <v>威尔新数值1.06.xlsm!suitPower</v>
      </c>
    </row>
    <row r="4065" spans="1:9" x14ac:dyDescent="0.15">
      <c r="A4065" s="1">
        <v>4064</v>
      </c>
      <c r="B4065" s="1">
        <v>103070800</v>
      </c>
      <c r="C4065" s="1">
        <f t="shared" si="253"/>
        <v>12</v>
      </c>
      <c r="D4065" s="5">
        <f ca="1">IF(getQuality(B4065)&lt;4,getOtherMin(B4065,C4065,INDIRECT(J$2),INDIRECT(I4065),test),getMin(B4065,C4065,INDIRECT(J$2),INDIRECT(I4065),test))</f>
        <v>218.39851117079806</v>
      </c>
      <c r="E4065" s="5">
        <f ca="1">IF(getQuality(B4065)&lt;4,getOtherMax(B4065,C4065,INDIRECT(J$2),INDIRECT(I4065),test),getMax(B4065,C4065,INDIRECT(J$2),INDIRECT(I4065),test))</f>
        <v>270.43850937813136</v>
      </c>
      <c r="F4065" s="1" t="str">
        <f t="shared" si="255"/>
        <v>50</v>
      </c>
      <c r="G4065" s="1" t="str">
        <f t="shared" si="256"/>
        <v/>
      </c>
      <c r="I4065" s="1" t="str">
        <f t="shared" si="254"/>
        <v>威尔新数值1.06.xlsm!suitPower</v>
      </c>
    </row>
    <row r="4066" spans="1:9" x14ac:dyDescent="0.15">
      <c r="A4066" s="1">
        <v>4065</v>
      </c>
      <c r="B4066" s="1">
        <v>103070800</v>
      </c>
      <c r="C4066" s="1">
        <f t="shared" si="253"/>
        <v>13</v>
      </c>
      <c r="D4066" s="5">
        <f ca="1">IF(getQuality(B4066)&lt;4,getOtherMin(B4066,C4066,INDIRECT(J$2),INDIRECT(I4066),test),getMin(B4066,C4066,INDIRECT(J$2),INDIRECT(I4066),test))</f>
        <v>218.39851117079806</v>
      </c>
      <c r="E4066" s="5">
        <f ca="1">IF(getQuality(B4066)&lt;4,getOtherMax(B4066,C4066,INDIRECT(J$2),INDIRECT(I4066),test),getMax(B4066,C4066,INDIRECT(J$2),INDIRECT(I4066),test))</f>
        <v>270.43850937813136</v>
      </c>
      <c r="F4066" s="1" t="str">
        <f t="shared" si="255"/>
        <v>50</v>
      </c>
      <c r="G4066" s="1" t="str">
        <f t="shared" si="256"/>
        <v/>
      </c>
      <c r="I4066" s="1" t="str">
        <f t="shared" si="254"/>
        <v>威尔新数值1.06.xlsm!suitPower</v>
      </c>
    </row>
    <row r="4067" spans="1:9" x14ac:dyDescent="0.15">
      <c r="A4067" s="1">
        <v>4066</v>
      </c>
      <c r="B4067" s="1">
        <v>103070800</v>
      </c>
      <c r="C4067" s="1">
        <f t="shared" si="253"/>
        <v>14</v>
      </c>
      <c r="D4067" s="5">
        <f ca="1">IF(getQuality(B4067)&lt;4,getOtherMin(B4067,C4067,INDIRECT(J$2),INDIRECT(I4067),test),getMin(B4067,C4067,INDIRECT(J$2),INDIRECT(I4067),test))</f>
        <v>218.39851117079806</v>
      </c>
      <c r="E4067" s="5">
        <f ca="1">IF(getQuality(B4067)&lt;4,getOtherMax(B4067,C4067,INDIRECT(J$2),INDIRECT(I4067),test),getMax(B4067,C4067,INDIRECT(J$2),INDIRECT(I4067),test))</f>
        <v>270.43850937813136</v>
      </c>
      <c r="F4067" s="1" t="str">
        <f t="shared" si="255"/>
        <v>50</v>
      </c>
      <c r="G4067" s="1" t="str">
        <f t="shared" si="256"/>
        <v/>
      </c>
      <c r="I4067" s="1" t="str">
        <f t="shared" si="254"/>
        <v>威尔新数值1.06.xlsm!suitPower</v>
      </c>
    </row>
    <row r="4068" spans="1:9" x14ac:dyDescent="0.15">
      <c r="A4068" s="1">
        <v>4067</v>
      </c>
      <c r="B4068" s="1">
        <v>103070800</v>
      </c>
      <c r="C4068" s="1">
        <f t="shared" si="253"/>
        <v>15</v>
      </c>
      <c r="D4068" s="5">
        <f ca="1">IF(getQuality(B4068)&lt;4,getOtherMin(B4068,C4068,INDIRECT(J$2),INDIRECT(I4068),test),getMin(B4068,C4068,INDIRECT(J$2),INDIRECT(I4068),test))</f>
        <v>218.39851117079806</v>
      </c>
      <c r="E4068" s="5">
        <f ca="1">IF(getQuality(B4068)&lt;4,getOtherMax(B4068,C4068,INDIRECT(J$2),INDIRECT(I4068),test),getMax(B4068,C4068,INDIRECT(J$2),INDIRECT(I4068),test))</f>
        <v>270.43850937813136</v>
      </c>
      <c r="F4068" s="1" t="str">
        <f t="shared" si="255"/>
        <v>50</v>
      </c>
      <c r="G4068" s="1" t="str">
        <f t="shared" si="256"/>
        <v/>
      </c>
      <c r="I4068" s="1" t="str">
        <f t="shared" si="254"/>
        <v>威尔新数值1.06.xlsm!suitPower</v>
      </c>
    </row>
    <row r="4069" spans="1:9" x14ac:dyDescent="0.15">
      <c r="A4069" s="1">
        <v>4068</v>
      </c>
      <c r="B4069" s="1">
        <v>103070800</v>
      </c>
      <c r="C4069" s="1">
        <f t="shared" si="253"/>
        <v>101</v>
      </c>
      <c r="D4069" s="5">
        <f ca="1">IF(getQuality(B4069)&lt;4,getOtherMin(B4069,C4069,INDIRECT(J$2),INDIRECT(I4069),test),getMin(B4069,C4069,INDIRECT(J$2),INDIRECT(I4069),test))</f>
        <v>0.13</v>
      </c>
      <c r="E4069" s="5">
        <f ca="1">IF(getQuality(B4069)&lt;4,getOtherMax(B4069,C4069,INDIRECT(J$2),INDIRECT(I4069),test),getMax(B4069,C4069,INDIRECT(J$2),INDIRECT(I4069),test))</f>
        <v>0.16</v>
      </c>
      <c r="F4069" s="1" t="str">
        <f t="shared" si="255"/>
        <v>50</v>
      </c>
      <c r="G4069" s="1" t="str">
        <f t="shared" si="256"/>
        <v/>
      </c>
      <c r="I4069" s="1" t="str">
        <f t="shared" si="254"/>
        <v>威尔新数值1.06.xlsm!circlePer</v>
      </c>
    </row>
    <row r="4070" spans="1:9" x14ac:dyDescent="0.15">
      <c r="A4070" s="1">
        <v>4069</v>
      </c>
      <c r="B4070" s="1">
        <v>103070800</v>
      </c>
      <c r="C4070" s="1">
        <f t="shared" si="253"/>
        <v>102</v>
      </c>
      <c r="D4070" s="5">
        <f ca="1">IF(getQuality(B4070)&lt;4,getOtherMin(B4070,C4070,INDIRECT(J$2),INDIRECT(I4070),test),getMin(B4070,C4070,INDIRECT(J$2),INDIRECT(I4070),test))</f>
        <v>1.2</v>
      </c>
      <c r="E4070" s="5">
        <f ca="1">IF(getQuality(B4070)&lt;4,getOtherMax(B4070,C4070,INDIRECT(J$2),INDIRECT(I4070),test),getMax(B4070,C4070,INDIRECT(J$2),INDIRECT(I4070),test))</f>
        <v>1.5</v>
      </c>
      <c r="F4070" s="1" t="str">
        <f t="shared" si="255"/>
        <v>50</v>
      </c>
      <c r="G4070" s="1" t="str">
        <f t="shared" si="256"/>
        <v/>
      </c>
      <c r="I4070" s="1" t="str">
        <f t="shared" si="254"/>
        <v>威尔新数值1.06.xlsm!circleValue</v>
      </c>
    </row>
    <row r="4071" spans="1:9" x14ac:dyDescent="0.15">
      <c r="A4071" s="1">
        <v>4070</v>
      </c>
      <c r="B4071" s="1">
        <v>103070800</v>
      </c>
      <c r="C4071" s="1">
        <f t="shared" si="253"/>
        <v>103</v>
      </c>
      <c r="D4071" s="5">
        <f ca="1">IF(getQuality(B4071)&lt;4,getOtherMin(B4071,C4071,INDIRECT(J$2),INDIRECT(I4071),test),getMin(B4071,C4071,INDIRECT(J$2),INDIRECT(I4071),test))</f>
        <v>0.13</v>
      </c>
      <c r="E4071" s="5">
        <f ca="1">IF(getQuality(B4071)&lt;4,getOtherMax(B4071,C4071,INDIRECT(J$2),INDIRECT(I4071),test),getMax(B4071,C4071,INDIRECT(J$2),INDIRECT(I4071),test))</f>
        <v>0.16</v>
      </c>
      <c r="F4071" s="1" t="str">
        <f t="shared" si="255"/>
        <v>50</v>
      </c>
      <c r="G4071" s="1" t="str">
        <f t="shared" si="256"/>
        <v/>
      </c>
      <c r="I4071" s="1" t="str">
        <f t="shared" si="254"/>
        <v>威尔新数值1.06.xlsm!otherDamage</v>
      </c>
    </row>
    <row r="4072" spans="1:9" x14ac:dyDescent="0.15">
      <c r="A4072" s="1">
        <v>4071</v>
      </c>
      <c r="B4072" s="1">
        <v>103070800</v>
      </c>
      <c r="C4072" s="1">
        <f t="shared" si="253"/>
        <v>104</v>
      </c>
      <c r="D4072" s="5">
        <f ca="1">IF(getQuality(B4072)&lt;4,getOtherMin(B4072,C4072,INDIRECT(J$2),INDIRECT(I4072),test),getMin(B4072,C4072,INDIRECT(J$2),INDIRECT(I4072),test))</f>
        <v>0.13</v>
      </c>
      <c r="E4072" s="5">
        <f ca="1">IF(getQuality(B4072)&lt;4,getOtherMax(B4072,C4072,INDIRECT(J$2),INDIRECT(I4072),test),getMax(B4072,C4072,INDIRECT(J$2),INDIRECT(I4072),test))</f>
        <v>0.26</v>
      </c>
      <c r="F4072" s="1" t="str">
        <f t="shared" si="255"/>
        <v>50</v>
      </c>
      <c r="G4072" s="1" t="str">
        <f t="shared" si="256"/>
        <v/>
      </c>
      <c r="I4072" s="1" t="str">
        <f t="shared" si="254"/>
        <v>威尔新数值1.06.xlsm!monsterDamage</v>
      </c>
    </row>
    <row r="4073" spans="1:9" x14ac:dyDescent="0.15">
      <c r="A4073" s="1">
        <v>4072</v>
      </c>
      <c r="B4073" s="1">
        <v>103070800</v>
      </c>
      <c r="C4073" s="1">
        <f t="shared" si="253"/>
        <v>105</v>
      </c>
      <c r="D4073" s="5">
        <f ca="1">IF(getQuality(B4073)&lt;4,getOtherMin(B4073,C4073,INDIRECT(J$2),INDIRECT(I4073),test),getMin(B4073,C4073,INDIRECT(J$2),INDIRECT(I4073),test))</f>
        <v>0.13</v>
      </c>
      <c r="E4073" s="5">
        <f ca="1">IF(getQuality(B4073)&lt;4,getOtherMax(B4073,C4073,INDIRECT(J$2),INDIRECT(I4073),test),getMax(B4073,C4073,INDIRECT(J$2),INDIRECT(I4073),test))</f>
        <v>0.26</v>
      </c>
      <c r="F4073" s="1" t="str">
        <f t="shared" si="255"/>
        <v>50</v>
      </c>
      <c r="G4073" s="1" t="str">
        <f t="shared" si="256"/>
        <v/>
      </c>
      <c r="I4073" s="1" t="str">
        <f t="shared" si="254"/>
        <v>威尔新数值1.06.xlsm!monsterDamage</v>
      </c>
    </row>
    <row r="4074" spans="1:9" x14ac:dyDescent="0.15">
      <c r="A4074" s="1">
        <v>4073</v>
      </c>
      <c r="B4074" s="1">
        <v>103070800</v>
      </c>
      <c r="C4074" s="1">
        <f t="shared" si="253"/>
        <v>106</v>
      </c>
      <c r="D4074" s="5">
        <f ca="1">IF(getQuality(B4074)&lt;4,getOtherMin(B4074,C4074,INDIRECT(J$2),INDIRECT(I4074),test),getMin(B4074,C4074,INDIRECT(J$2),INDIRECT(I4074),test))</f>
        <v>0.13</v>
      </c>
      <c r="E4074" s="5">
        <f ca="1">IF(getQuality(B4074)&lt;4,getOtherMax(B4074,C4074,INDIRECT(J$2),INDIRECT(I4074),test),getMax(B4074,C4074,INDIRECT(J$2),INDIRECT(I4074),test))</f>
        <v>0.26</v>
      </c>
      <c r="F4074" s="1" t="str">
        <f t="shared" si="255"/>
        <v>50</v>
      </c>
      <c r="G4074" s="1" t="str">
        <f t="shared" si="256"/>
        <v/>
      </c>
      <c r="I4074" s="1" t="str">
        <f t="shared" si="254"/>
        <v>威尔新数值1.06.xlsm!monsterDamage</v>
      </c>
    </row>
    <row r="4075" spans="1:9" x14ac:dyDescent="0.15">
      <c r="A4075" s="1">
        <v>4074</v>
      </c>
      <c r="B4075" s="1">
        <v>103070800</v>
      </c>
      <c r="C4075" s="1">
        <f t="shared" si="253"/>
        <v>107</v>
      </c>
      <c r="D4075" s="5">
        <f ca="1">IF(getQuality(B4075)&lt;4,getOtherMin(B4075,C4075,INDIRECT(J$2),INDIRECT(I4075),test),getMin(B4075,C4075,INDIRECT(J$2),INDIRECT(I4075),test))</f>
        <v>0.13</v>
      </c>
      <c r="E4075" s="5">
        <f ca="1">IF(getQuality(B4075)&lt;4,getOtherMax(B4075,C4075,INDIRECT(J$2),INDIRECT(I4075),test),getMax(B4075,C4075,INDIRECT(J$2),INDIRECT(I4075),test))</f>
        <v>0.26</v>
      </c>
      <c r="F4075" s="1" t="str">
        <f t="shared" si="255"/>
        <v>50</v>
      </c>
      <c r="G4075" s="1" t="str">
        <f t="shared" si="256"/>
        <v/>
      </c>
      <c r="I4075" s="1" t="str">
        <f t="shared" si="254"/>
        <v>威尔新数值1.06.xlsm!monsterDamage</v>
      </c>
    </row>
    <row r="4076" spans="1:9" x14ac:dyDescent="0.15">
      <c r="A4076" s="1">
        <v>4075</v>
      </c>
      <c r="B4076" s="1">
        <v>103070800</v>
      </c>
      <c r="C4076" s="1">
        <f t="shared" si="253"/>
        <v>108</v>
      </c>
      <c r="D4076" s="5">
        <f ca="1">IF(getQuality(B4076)&lt;4,getOtherMin(B4076,C4076,INDIRECT(J$2),INDIRECT(I4076),test),getMin(B4076,C4076,INDIRECT(J$2),INDIRECT(I4076),test))</f>
        <v>0.13</v>
      </c>
      <c r="E4076" s="5">
        <f ca="1">IF(getQuality(B4076)&lt;4,getOtherMax(B4076,C4076,INDIRECT(J$2),INDIRECT(I4076),test),getMax(B4076,C4076,INDIRECT(J$2),INDIRECT(I4076),test))</f>
        <v>0.26</v>
      </c>
      <c r="F4076" s="1" t="str">
        <f t="shared" si="255"/>
        <v>50</v>
      </c>
      <c r="G4076" s="1" t="str">
        <f t="shared" si="256"/>
        <v/>
      </c>
      <c r="I4076" s="1" t="str">
        <f t="shared" si="254"/>
        <v>威尔新数值1.06.xlsm!monsterDamage</v>
      </c>
    </row>
    <row r="4077" spans="1:9" x14ac:dyDescent="0.15">
      <c r="A4077" s="1">
        <v>4076</v>
      </c>
      <c r="B4077" s="1">
        <v>103080800</v>
      </c>
      <c r="C4077" s="1">
        <f t="shared" si="253"/>
        <v>3</v>
      </c>
      <c r="D4077" s="5">
        <f ca="1">IF(getQuality(B4077)&lt;4,getOtherMin(B4077,C4077,INDIRECT(J$2),INDIRECT(I4077),test),getMin(B4077,C4077,INDIRECT(J$2),INDIRECT(I4077),test))</f>
        <v>271.43850937813136</v>
      </c>
      <c r="E4077" s="5">
        <f ca="1">IF(getQuality(B4077)&lt;4,getOtherMax(B4077,C4077,INDIRECT(J$2),INDIRECT(I4077),test),getMax(B4077,C4077,INDIRECT(J$2),INDIRECT(I4077),test))</f>
        <v>328.28048273180752</v>
      </c>
      <c r="F4077" s="1" t="str">
        <f t="shared" si="255"/>
        <v>50</v>
      </c>
      <c r="G4077" s="1" t="str">
        <f t="shared" si="256"/>
        <v/>
      </c>
      <c r="I4077" s="1" t="str">
        <f t="shared" si="254"/>
        <v>威尔新数值1.06.xlsm!suitPower</v>
      </c>
    </row>
    <row r="4078" spans="1:9" x14ac:dyDescent="0.15">
      <c r="A4078" s="1">
        <v>4077</v>
      </c>
      <c r="B4078" s="1">
        <v>103080800</v>
      </c>
      <c r="C4078" s="1">
        <f t="shared" si="253"/>
        <v>5</v>
      </c>
      <c r="D4078" s="5">
        <f ca="1">IF(getQuality(B4078)&lt;4,getOtherMin(B4078,C4078,INDIRECT(J$2),INDIRECT(I4078),test),getMin(B4078,C4078,INDIRECT(J$2),INDIRECT(I4078),test))</f>
        <v>271.43850937813136</v>
      </c>
      <c r="E4078" s="5">
        <f ca="1">IF(getQuality(B4078)&lt;4,getOtherMax(B4078,C4078,INDIRECT(J$2),INDIRECT(I4078),test),getMax(B4078,C4078,INDIRECT(J$2),INDIRECT(I4078),test))</f>
        <v>328.28048273180752</v>
      </c>
      <c r="F4078" s="1" t="str">
        <f t="shared" si="255"/>
        <v>50</v>
      </c>
      <c r="G4078" s="1" t="str">
        <f t="shared" si="256"/>
        <v>1</v>
      </c>
      <c r="I4078" s="1" t="str">
        <f t="shared" si="254"/>
        <v>威尔新数值1.06.xlsm!suitPower</v>
      </c>
    </row>
    <row r="4079" spans="1:9" x14ac:dyDescent="0.15">
      <c r="A4079" s="1">
        <v>4078</v>
      </c>
      <c r="B4079" s="1">
        <v>103080800</v>
      </c>
      <c r="C4079" s="1">
        <f t="shared" si="253"/>
        <v>7</v>
      </c>
      <c r="D4079" s="5">
        <f ca="1">IF(getQuality(B4079)&lt;4,getOtherMin(B4079,C4079,INDIRECT(J$2),INDIRECT(I4079),test),getMin(B4079,C4079,INDIRECT(J$2),INDIRECT(I4079),test))</f>
        <v>52.85185185185172</v>
      </c>
      <c r="E4079" s="5">
        <f ca="1">IF(getQuality(B4079)&lt;4,getOtherMax(B4079,C4079,INDIRECT(J$2),INDIRECT(I4079),test),getMax(B4079,C4079,INDIRECT(J$2),INDIRECT(I4079),test))</f>
        <v>59.25925925925911</v>
      </c>
      <c r="F4079" s="1" t="str">
        <f t="shared" si="255"/>
        <v>50</v>
      </c>
      <c r="G4079" s="1" t="str">
        <f t="shared" si="256"/>
        <v/>
      </c>
      <c r="I4079" s="1" t="str">
        <f t="shared" si="254"/>
        <v>威尔新数值1.06.xlsm!suitPower</v>
      </c>
    </row>
    <row r="4080" spans="1:9" x14ac:dyDescent="0.15">
      <c r="A4080" s="1">
        <v>4079</v>
      </c>
      <c r="B4080" s="1">
        <v>103080800</v>
      </c>
      <c r="C4080" s="1">
        <f t="shared" si="253"/>
        <v>8</v>
      </c>
      <c r="D4080" s="5">
        <f ca="1">IF(getQuality(B4080)&lt;4,getOtherMin(B4080,C4080,INDIRECT(J$2),INDIRECT(I4080),test),getMin(B4080,C4080,INDIRECT(J$2),INDIRECT(I4080),test))</f>
        <v>117.66666666666667</v>
      </c>
      <c r="E4080" s="5">
        <f ca="1">IF(getQuality(B4080)&lt;4,getOtherMax(B4080,C4080,INDIRECT(J$2),INDIRECT(I4080),test),getMax(B4080,C4080,INDIRECT(J$2),INDIRECT(I4080),test))</f>
        <v>133.33333333333334</v>
      </c>
      <c r="F4080" s="1" t="str">
        <f t="shared" si="255"/>
        <v>50</v>
      </c>
      <c r="G4080" s="1" t="str">
        <f t="shared" si="256"/>
        <v/>
      </c>
      <c r="I4080" s="1" t="str">
        <f t="shared" si="254"/>
        <v>威尔新数值1.06.xlsm!suitPower</v>
      </c>
    </row>
    <row r="4081" spans="1:9" x14ac:dyDescent="0.15">
      <c r="A4081" s="1">
        <v>4080</v>
      </c>
      <c r="B4081" s="1">
        <v>103080800</v>
      </c>
      <c r="C4081" s="1">
        <f t="shared" si="253"/>
        <v>9</v>
      </c>
      <c r="D4081" s="5">
        <f ca="1">IF(getQuality(B4081)&lt;4,getOtherMin(B4081,C4081,INDIRECT(J$2),INDIRECT(I4081),test),getMin(B4081,C4081,INDIRECT(J$2),INDIRECT(I4081),test))</f>
        <v>271.43850937813136</v>
      </c>
      <c r="E4081" s="5">
        <f ca="1">IF(getQuality(B4081)&lt;4,getOtherMax(B4081,C4081,INDIRECT(J$2),INDIRECT(I4081),test),getMax(B4081,C4081,INDIRECT(J$2),INDIRECT(I4081),test))</f>
        <v>328.28048273180752</v>
      </c>
      <c r="F4081" s="1" t="str">
        <f t="shared" si="255"/>
        <v>50</v>
      </c>
      <c r="G4081" s="1" t="str">
        <f t="shared" si="256"/>
        <v/>
      </c>
      <c r="I4081" s="1" t="str">
        <f t="shared" si="254"/>
        <v>威尔新数值1.06.xlsm!suitPower</v>
      </c>
    </row>
    <row r="4082" spans="1:9" x14ac:dyDescent="0.15">
      <c r="A4082" s="1">
        <v>4081</v>
      </c>
      <c r="B4082" s="1">
        <v>103080800</v>
      </c>
      <c r="C4082" s="1">
        <f t="shared" si="253"/>
        <v>10</v>
      </c>
      <c r="D4082" s="5">
        <f ca="1">IF(getQuality(B4082)&lt;4,getOtherMin(B4082,C4082,INDIRECT(J$2),INDIRECT(I4082),test),getMin(B4082,C4082,INDIRECT(J$2),INDIRECT(I4082),test))</f>
        <v>271.43850937813136</v>
      </c>
      <c r="E4082" s="5">
        <f ca="1">IF(getQuality(B4082)&lt;4,getOtherMax(B4082,C4082,INDIRECT(J$2),INDIRECT(I4082),test),getMax(B4082,C4082,INDIRECT(J$2),INDIRECT(I4082),test))</f>
        <v>328.28048273180752</v>
      </c>
      <c r="F4082" s="1" t="str">
        <f t="shared" si="255"/>
        <v>50</v>
      </c>
      <c r="G4082" s="1" t="str">
        <f t="shared" si="256"/>
        <v/>
      </c>
      <c r="I4082" s="1" t="str">
        <f t="shared" si="254"/>
        <v>威尔新数值1.06.xlsm!suitPower</v>
      </c>
    </row>
    <row r="4083" spans="1:9" x14ac:dyDescent="0.15">
      <c r="A4083" s="1">
        <v>4082</v>
      </c>
      <c r="B4083" s="1">
        <v>103080800</v>
      </c>
      <c r="C4083" s="1">
        <f t="shared" si="253"/>
        <v>11</v>
      </c>
      <c r="D4083" s="5">
        <f ca="1">IF(getQuality(B4083)&lt;4,getOtherMin(B4083,C4083,INDIRECT(J$2),INDIRECT(I4083),test),getMin(B4083,C4083,INDIRECT(J$2),INDIRECT(I4083),test))</f>
        <v>271.43850937813136</v>
      </c>
      <c r="E4083" s="5">
        <f ca="1">IF(getQuality(B4083)&lt;4,getOtherMax(B4083,C4083,INDIRECT(J$2),INDIRECT(I4083),test),getMax(B4083,C4083,INDIRECT(J$2),INDIRECT(I4083),test))</f>
        <v>328.28048273180752</v>
      </c>
      <c r="F4083" s="1" t="str">
        <f t="shared" si="255"/>
        <v>50</v>
      </c>
      <c r="G4083" s="1" t="str">
        <f t="shared" si="256"/>
        <v/>
      </c>
      <c r="I4083" s="1" t="str">
        <f t="shared" si="254"/>
        <v>威尔新数值1.06.xlsm!suitPower</v>
      </c>
    </row>
    <row r="4084" spans="1:9" x14ac:dyDescent="0.15">
      <c r="A4084" s="1">
        <v>4083</v>
      </c>
      <c r="B4084" s="1">
        <v>103080800</v>
      </c>
      <c r="C4084" s="1">
        <f t="shared" si="253"/>
        <v>12</v>
      </c>
      <c r="D4084" s="5">
        <f ca="1">IF(getQuality(B4084)&lt;4,getOtherMin(B4084,C4084,INDIRECT(J$2),INDIRECT(I4084),test),getMin(B4084,C4084,INDIRECT(J$2),INDIRECT(I4084),test))</f>
        <v>271.43850937813136</v>
      </c>
      <c r="E4084" s="5">
        <f ca="1">IF(getQuality(B4084)&lt;4,getOtherMax(B4084,C4084,INDIRECT(J$2),INDIRECT(I4084),test),getMax(B4084,C4084,INDIRECT(J$2),INDIRECT(I4084),test))</f>
        <v>328.28048273180752</v>
      </c>
      <c r="F4084" s="1" t="str">
        <f t="shared" si="255"/>
        <v>50</v>
      </c>
      <c r="G4084" s="1" t="str">
        <f t="shared" si="256"/>
        <v/>
      </c>
      <c r="I4084" s="1" t="str">
        <f t="shared" si="254"/>
        <v>威尔新数值1.06.xlsm!suitPower</v>
      </c>
    </row>
    <row r="4085" spans="1:9" x14ac:dyDescent="0.15">
      <c r="A4085" s="1">
        <v>4084</v>
      </c>
      <c r="B4085" s="1">
        <v>103080800</v>
      </c>
      <c r="C4085" s="1">
        <f t="shared" si="253"/>
        <v>13</v>
      </c>
      <c r="D4085" s="5">
        <f ca="1">IF(getQuality(B4085)&lt;4,getOtherMin(B4085,C4085,INDIRECT(J$2),INDIRECT(I4085),test),getMin(B4085,C4085,INDIRECT(J$2),INDIRECT(I4085),test))</f>
        <v>271.43850937813136</v>
      </c>
      <c r="E4085" s="5">
        <f ca="1">IF(getQuality(B4085)&lt;4,getOtherMax(B4085,C4085,INDIRECT(J$2),INDIRECT(I4085),test),getMax(B4085,C4085,INDIRECT(J$2),INDIRECT(I4085),test))</f>
        <v>328.28048273180752</v>
      </c>
      <c r="F4085" s="1" t="str">
        <f t="shared" si="255"/>
        <v>50</v>
      </c>
      <c r="G4085" s="1" t="str">
        <f t="shared" si="256"/>
        <v/>
      </c>
      <c r="I4085" s="1" t="str">
        <f t="shared" si="254"/>
        <v>威尔新数值1.06.xlsm!suitPower</v>
      </c>
    </row>
    <row r="4086" spans="1:9" x14ac:dyDescent="0.15">
      <c r="A4086" s="1">
        <v>4085</v>
      </c>
      <c r="B4086" s="1">
        <v>103080800</v>
      </c>
      <c r="C4086" s="1">
        <f t="shared" si="253"/>
        <v>14</v>
      </c>
      <c r="D4086" s="5">
        <f ca="1">IF(getQuality(B4086)&lt;4,getOtherMin(B4086,C4086,INDIRECT(J$2),INDIRECT(I4086),test),getMin(B4086,C4086,INDIRECT(J$2),INDIRECT(I4086),test))</f>
        <v>271.43850937813136</v>
      </c>
      <c r="E4086" s="5">
        <f ca="1">IF(getQuality(B4086)&lt;4,getOtherMax(B4086,C4086,INDIRECT(J$2),INDIRECT(I4086),test),getMax(B4086,C4086,INDIRECT(J$2),INDIRECT(I4086),test))</f>
        <v>328.28048273180752</v>
      </c>
      <c r="F4086" s="1" t="str">
        <f t="shared" si="255"/>
        <v>50</v>
      </c>
      <c r="G4086" s="1" t="str">
        <f t="shared" si="256"/>
        <v/>
      </c>
      <c r="I4086" s="1" t="str">
        <f t="shared" si="254"/>
        <v>威尔新数值1.06.xlsm!suitPower</v>
      </c>
    </row>
    <row r="4087" spans="1:9" x14ac:dyDescent="0.15">
      <c r="A4087" s="1">
        <v>4086</v>
      </c>
      <c r="B4087" s="1">
        <v>103080800</v>
      </c>
      <c r="C4087" s="1">
        <f t="shared" si="253"/>
        <v>15</v>
      </c>
      <c r="D4087" s="5">
        <f ca="1">IF(getQuality(B4087)&lt;4,getOtherMin(B4087,C4087,INDIRECT(J$2),INDIRECT(I4087),test),getMin(B4087,C4087,INDIRECT(J$2),INDIRECT(I4087),test))</f>
        <v>271.43850937813136</v>
      </c>
      <c r="E4087" s="5">
        <f ca="1">IF(getQuality(B4087)&lt;4,getOtherMax(B4087,C4087,INDIRECT(J$2),INDIRECT(I4087),test),getMax(B4087,C4087,INDIRECT(J$2),INDIRECT(I4087),test))</f>
        <v>328.28048273180752</v>
      </c>
      <c r="F4087" s="1" t="str">
        <f t="shared" si="255"/>
        <v>50</v>
      </c>
      <c r="G4087" s="1" t="str">
        <f t="shared" si="256"/>
        <v/>
      </c>
      <c r="I4087" s="1" t="str">
        <f t="shared" si="254"/>
        <v>威尔新数值1.06.xlsm!suitPower</v>
      </c>
    </row>
    <row r="4088" spans="1:9" x14ac:dyDescent="0.15">
      <c r="A4088" s="1">
        <v>4087</v>
      </c>
      <c r="B4088" s="1">
        <v>103080800</v>
      </c>
      <c r="C4088" s="1">
        <f t="shared" si="253"/>
        <v>101</v>
      </c>
      <c r="D4088" s="5">
        <f ca="1">IF(getQuality(B4088)&lt;4,getOtherMin(B4088,C4088,INDIRECT(J$2),INDIRECT(I4088),test),getMin(B4088,C4088,INDIRECT(J$2),INDIRECT(I4088),test))</f>
        <v>0.14000000000000001</v>
      </c>
      <c r="E4088" s="5">
        <f ca="1">IF(getQuality(B4088)&lt;4,getOtherMax(B4088,C4088,INDIRECT(J$2),INDIRECT(I4088),test),getMax(B4088,C4088,INDIRECT(J$2),INDIRECT(I4088),test))</f>
        <v>0.17</v>
      </c>
      <c r="F4088" s="1" t="str">
        <f t="shared" si="255"/>
        <v>50</v>
      </c>
      <c r="G4088" s="1" t="str">
        <f t="shared" si="256"/>
        <v/>
      </c>
      <c r="I4088" s="1" t="str">
        <f t="shared" si="254"/>
        <v>威尔新数值1.06.xlsm!circlePer</v>
      </c>
    </row>
    <row r="4089" spans="1:9" x14ac:dyDescent="0.15">
      <c r="A4089" s="1">
        <v>4088</v>
      </c>
      <c r="B4089" s="1">
        <v>103080800</v>
      </c>
      <c r="C4089" s="1">
        <f t="shared" si="253"/>
        <v>102</v>
      </c>
      <c r="D4089" s="5">
        <f ca="1">IF(getQuality(B4089)&lt;4,getOtherMin(B4089,C4089,INDIRECT(J$2),INDIRECT(I4089),test),getMin(B4089,C4089,INDIRECT(J$2),INDIRECT(I4089),test))</f>
        <v>1.3</v>
      </c>
      <c r="E4089" s="5">
        <f ca="1">IF(getQuality(B4089)&lt;4,getOtherMax(B4089,C4089,INDIRECT(J$2),INDIRECT(I4089),test),getMax(B4089,C4089,INDIRECT(J$2),INDIRECT(I4089),test))</f>
        <v>1.6</v>
      </c>
      <c r="F4089" s="1" t="str">
        <f t="shared" si="255"/>
        <v>50</v>
      </c>
      <c r="G4089" s="1" t="str">
        <f t="shared" si="256"/>
        <v/>
      </c>
      <c r="I4089" s="1" t="str">
        <f t="shared" si="254"/>
        <v>威尔新数值1.06.xlsm!circleValue</v>
      </c>
    </row>
    <row r="4090" spans="1:9" x14ac:dyDescent="0.15">
      <c r="A4090" s="1">
        <v>4089</v>
      </c>
      <c r="B4090" s="1">
        <v>103080800</v>
      </c>
      <c r="C4090" s="1">
        <f t="shared" si="253"/>
        <v>103</v>
      </c>
      <c r="D4090" s="5">
        <f ca="1">IF(getQuality(B4090)&lt;4,getOtherMin(B4090,C4090,INDIRECT(J$2),INDIRECT(I4090),test),getMin(B4090,C4090,INDIRECT(J$2),INDIRECT(I4090),test))</f>
        <v>0.14000000000000001</v>
      </c>
      <c r="E4090" s="5">
        <f ca="1">IF(getQuality(B4090)&lt;4,getOtherMax(B4090,C4090,INDIRECT(J$2),INDIRECT(I4090),test),getMax(B4090,C4090,INDIRECT(J$2),INDIRECT(I4090),test))</f>
        <v>0.17</v>
      </c>
      <c r="F4090" s="1" t="str">
        <f t="shared" si="255"/>
        <v>50</v>
      </c>
      <c r="G4090" s="1" t="str">
        <f t="shared" si="256"/>
        <v/>
      </c>
      <c r="I4090" s="1" t="str">
        <f t="shared" si="254"/>
        <v>威尔新数值1.06.xlsm!otherDamage</v>
      </c>
    </row>
    <row r="4091" spans="1:9" x14ac:dyDescent="0.15">
      <c r="A4091" s="1">
        <v>4090</v>
      </c>
      <c r="B4091" s="1">
        <v>103080800</v>
      </c>
      <c r="C4091" s="1">
        <f t="shared" si="253"/>
        <v>104</v>
      </c>
      <c r="D4091" s="5">
        <f ca="1">IF(getQuality(B4091)&lt;4,getOtherMin(B4091,C4091,INDIRECT(J$2),INDIRECT(I4091),test),getMin(B4091,C4091,INDIRECT(J$2),INDIRECT(I4091),test))</f>
        <v>0.14000000000000001</v>
      </c>
      <c r="E4091" s="5">
        <f ca="1">IF(getQuality(B4091)&lt;4,getOtherMax(B4091,C4091,INDIRECT(J$2),INDIRECT(I4091),test),getMax(B4091,C4091,INDIRECT(J$2),INDIRECT(I4091),test))</f>
        <v>0.28000000000000003</v>
      </c>
      <c r="F4091" s="1" t="str">
        <f t="shared" si="255"/>
        <v>50</v>
      </c>
      <c r="G4091" s="1" t="str">
        <f t="shared" si="256"/>
        <v/>
      </c>
      <c r="I4091" s="1" t="str">
        <f t="shared" si="254"/>
        <v>威尔新数值1.06.xlsm!monsterDamage</v>
      </c>
    </row>
    <row r="4092" spans="1:9" x14ac:dyDescent="0.15">
      <c r="A4092" s="1">
        <v>4091</v>
      </c>
      <c r="B4092" s="1">
        <v>103080800</v>
      </c>
      <c r="C4092" s="1">
        <f t="shared" ref="C4092:C4155" si="257">C1617</f>
        <v>105</v>
      </c>
      <c r="D4092" s="5">
        <f ca="1">IF(getQuality(B4092)&lt;4,getOtherMin(B4092,C4092,INDIRECT(J$2),INDIRECT(I4092),test),getMin(B4092,C4092,INDIRECT(J$2),INDIRECT(I4092),test))</f>
        <v>0.14000000000000001</v>
      </c>
      <c r="E4092" s="5">
        <f ca="1">IF(getQuality(B4092)&lt;4,getOtherMax(B4092,C4092,INDIRECT(J$2),INDIRECT(I4092),test),getMax(B4092,C4092,INDIRECT(J$2),INDIRECT(I4092),test))</f>
        <v>0.28000000000000003</v>
      </c>
      <c r="F4092" s="1" t="str">
        <f t="shared" si="255"/>
        <v>50</v>
      </c>
      <c r="G4092" s="1" t="str">
        <f t="shared" si="256"/>
        <v/>
      </c>
      <c r="I4092" s="1" t="str">
        <f t="shared" si="254"/>
        <v>威尔新数值1.06.xlsm!monsterDamage</v>
      </c>
    </row>
    <row r="4093" spans="1:9" x14ac:dyDescent="0.15">
      <c r="A4093" s="1">
        <v>4092</v>
      </c>
      <c r="B4093" s="1">
        <v>103080800</v>
      </c>
      <c r="C4093" s="1">
        <f t="shared" si="257"/>
        <v>106</v>
      </c>
      <c r="D4093" s="5">
        <f ca="1">IF(getQuality(B4093)&lt;4,getOtherMin(B4093,C4093,INDIRECT(J$2),INDIRECT(I4093),test),getMin(B4093,C4093,INDIRECT(J$2),INDIRECT(I4093),test))</f>
        <v>0.14000000000000001</v>
      </c>
      <c r="E4093" s="5">
        <f ca="1">IF(getQuality(B4093)&lt;4,getOtherMax(B4093,C4093,INDIRECT(J$2),INDIRECT(I4093),test),getMax(B4093,C4093,INDIRECT(J$2),INDIRECT(I4093),test))</f>
        <v>0.28000000000000003</v>
      </c>
      <c r="F4093" s="1" t="str">
        <f t="shared" si="255"/>
        <v>50</v>
      </c>
      <c r="G4093" s="1" t="str">
        <f t="shared" si="256"/>
        <v/>
      </c>
      <c r="I4093" s="1" t="str">
        <f t="shared" si="254"/>
        <v>威尔新数值1.06.xlsm!monsterDamage</v>
      </c>
    </row>
    <row r="4094" spans="1:9" x14ac:dyDescent="0.15">
      <c r="A4094" s="1">
        <v>4093</v>
      </c>
      <c r="B4094" s="1">
        <v>103080800</v>
      </c>
      <c r="C4094" s="1">
        <f t="shared" si="257"/>
        <v>107</v>
      </c>
      <c r="D4094" s="5">
        <f ca="1">IF(getQuality(B4094)&lt;4,getOtherMin(B4094,C4094,INDIRECT(J$2),INDIRECT(I4094),test),getMin(B4094,C4094,INDIRECT(J$2),INDIRECT(I4094),test))</f>
        <v>0.14000000000000001</v>
      </c>
      <c r="E4094" s="5">
        <f ca="1">IF(getQuality(B4094)&lt;4,getOtherMax(B4094,C4094,INDIRECT(J$2),INDIRECT(I4094),test),getMax(B4094,C4094,INDIRECT(J$2),INDIRECT(I4094),test))</f>
        <v>0.28000000000000003</v>
      </c>
      <c r="F4094" s="1" t="str">
        <f t="shared" si="255"/>
        <v>50</v>
      </c>
      <c r="G4094" s="1" t="str">
        <f t="shared" si="256"/>
        <v/>
      </c>
      <c r="I4094" s="1" t="str">
        <f t="shared" si="254"/>
        <v>威尔新数值1.06.xlsm!monsterDamage</v>
      </c>
    </row>
    <row r="4095" spans="1:9" x14ac:dyDescent="0.15">
      <c r="A4095" s="1">
        <v>4094</v>
      </c>
      <c r="B4095" s="1">
        <v>103080800</v>
      </c>
      <c r="C4095" s="1">
        <f t="shared" si="257"/>
        <v>108</v>
      </c>
      <c r="D4095" s="5">
        <f ca="1">IF(getQuality(B4095)&lt;4,getOtherMin(B4095,C4095,INDIRECT(J$2),INDIRECT(I4095),test),getMin(B4095,C4095,INDIRECT(J$2),INDIRECT(I4095),test))</f>
        <v>0.14000000000000001</v>
      </c>
      <c r="E4095" s="5">
        <f ca="1">IF(getQuality(B4095)&lt;4,getOtherMax(B4095,C4095,INDIRECT(J$2),INDIRECT(I4095),test),getMax(B4095,C4095,INDIRECT(J$2),INDIRECT(I4095),test))</f>
        <v>0.28000000000000003</v>
      </c>
      <c r="F4095" s="1" t="str">
        <f t="shared" si="255"/>
        <v>50</v>
      </c>
      <c r="G4095" s="1" t="str">
        <f t="shared" si="256"/>
        <v/>
      </c>
      <c r="I4095" s="1" t="str">
        <f t="shared" si="254"/>
        <v>威尔新数值1.06.xlsm!monsterDamage</v>
      </c>
    </row>
    <row r="4096" spans="1:9" x14ac:dyDescent="0.15">
      <c r="A4096" s="1">
        <v>4095</v>
      </c>
      <c r="B4096" s="1">
        <v>103090800</v>
      </c>
      <c r="C4096" s="1">
        <f t="shared" si="257"/>
        <v>3</v>
      </c>
      <c r="D4096" s="5">
        <f ca="1">IF(getQuality(B4096)&lt;4,getOtherMin(B4096,C4096,INDIRECT(J$2),INDIRECT(I4096),test),getMin(B4096,C4096,INDIRECT(J$2),INDIRECT(I4096),test))</f>
        <v>329.28048273180752</v>
      </c>
      <c r="E4096" s="5">
        <f ca="1">IF(getQuality(B4096)&lt;4,getOtherMax(B4096,C4096,INDIRECT(J$2),INDIRECT(I4096),test),getMax(B4096,C4096,INDIRECT(J$2),INDIRECT(I4096),test))</f>
        <v>390.92443123182665</v>
      </c>
      <c r="F4096" s="1" t="str">
        <f t="shared" si="255"/>
        <v>50</v>
      </c>
      <c r="G4096" s="1" t="str">
        <f t="shared" si="256"/>
        <v/>
      </c>
      <c r="I4096" s="1" t="str">
        <f t="shared" si="254"/>
        <v>威尔新数值1.06.xlsm!suitPower</v>
      </c>
    </row>
    <row r="4097" spans="1:9" x14ac:dyDescent="0.15">
      <c r="A4097" s="1">
        <v>4096</v>
      </c>
      <c r="B4097" s="1">
        <v>103090800</v>
      </c>
      <c r="C4097" s="1">
        <f t="shared" si="257"/>
        <v>5</v>
      </c>
      <c r="D4097" s="5">
        <f ca="1">IF(getQuality(B4097)&lt;4,getOtherMin(B4097,C4097,INDIRECT(J$2),INDIRECT(I4097),test),getMin(B4097,C4097,INDIRECT(J$2),INDIRECT(I4097),test))</f>
        <v>329.28048273180752</v>
      </c>
      <c r="E4097" s="5">
        <f ca="1">IF(getQuality(B4097)&lt;4,getOtherMax(B4097,C4097,INDIRECT(J$2),INDIRECT(I4097),test),getMax(B4097,C4097,INDIRECT(J$2),INDIRECT(I4097),test))</f>
        <v>390.92443123182665</v>
      </c>
      <c r="F4097" s="1" t="str">
        <f t="shared" si="255"/>
        <v>50</v>
      </c>
      <c r="G4097" s="1" t="str">
        <f t="shared" si="256"/>
        <v>1</v>
      </c>
      <c r="I4097" s="1" t="str">
        <f t="shared" si="254"/>
        <v>威尔新数值1.06.xlsm!suitPower</v>
      </c>
    </row>
    <row r="4098" spans="1:9" x14ac:dyDescent="0.15">
      <c r="A4098" s="1">
        <v>4097</v>
      </c>
      <c r="B4098" s="1">
        <v>103090800</v>
      </c>
      <c r="C4098" s="1">
        <f t="shared" si="257"/>
        <v>7</v>
      </c>
      <c r="D4098" s="5">
        <f ca="1">IF(getQuality(B4098)&lt;4,getOtherMin(B4098,C4098,INDIRECT(J$2),INDIRECT(I4098),test),getMin(B4098,C4098,INDIRECT(J$2),INDIRECT(I4098),test))</f>
        <v>60.25925925925911</v>
      </c>
      <c r="E4098" s="5">
        <f ca="1">IF(getQuality(B4098)&lt;4,getOtherMax(B4098,C4098,INDIRECT(J$2),INDIRECT(I4098),test),getMax(B4098,C4098,INDIRECT(J$2),INDIRECT(I4098),test))</f>
        <v>66.666666666666501</v>
      </c>
      <c r="F4098" s="1" t="str">
        <f t="shared" si="255"/>
        <v>50</v>
      </c>
      <c r="G4098" s="1" t="str">
        <f t="shared" si="256"/>
        <v/>
      </c>
      <c r="I4098" s="1" t="str">
        <f t="shared" ref="I4098:I4161" si="258">IF(C4098&lt;100,VLOOKUP(C4098,test,3,FALSE),VLOOKUP(C4098,test1,3,FALSE))</f>
        <v>威尔新数值1.06.xlsm!suitPower</v>
      </c>
    </row>
    <row r="4099" spans="1:9" x14ac:dyDescent="0.15">
      <c r="A4099" s="1">
        <v>4098</v>
      </c>
      <c r="B4099" s="1">
        <v>103090800</v>
      </c>
      <c r="C4099" s="1">
        <f t="shared" si="257"/>
        <v>8</v>
      </c>
      <c r="D4099" s="5">
        <f ca="1">IF(getQuality(B4099)&lt;4,getOtherMin(B4099,C4099,INDIRECT(J$2),INDIRECT(I4099),test),getMin(B4099,C4099,INDIRECT(J$2),INDIRECT(I4099),test))</f>
        <v>134.33333333333334</v>
      </c>
      <c r="E4099" s="5">
        <f ca="1">IF(getQuality(B4099)&lt;4,getOtherMax(B4099,C4099,INDIRECT(J$2),INDIRECT(I4099),test),getMax(B4099,C4099,INDIRECT(J$2),INDIRECT(I4099),test))</f>
        <v>150</v>
      </c>
      <c r="F4099" s="1" t="str">
        <f t="shared" ref="F4099:F4162" si="259">getper(B4099,C4099)</f>
        <v>50</v>
      </c>
      <c r="G4099" s="1" t="str">
        <f t="shared" ref="G4099:G4162" si="260">getMust(B4099,C4099)</f>
        <v/>
      </c>
      <c r="I4099" s="1" t="str">
        <f t="shared" si="258"/>
        <v>威尔新数值1.06.xlsm!suitPower</v>
      </c>
    </row>
    <row r="4100" spans="1:9" x14ac:dyDescent="0.15">
      <c r="A4100" s="1">
        <v>4099</v>
      </c>
      <c r="B4100" s="1">
        <v>103090800</v>
      </c>
      <c r="C4100" s="1">
        <f t="shared" si="257"/>
        <v>9</v>
      </c>
      <c r="D4100" s="5">
        <f ca="1">IF(getQuality(B4100)&lt;4,getOtherMin(B4100,C4100,INDIRECT(J$2),INDIRECT(I4100),test),getMin(B4100,C4100,INDIRECT(J$2),INDIRECT(I4100),test))</f>
        <v>329.28048273180752</v>
      </c>
      <c r="E4100" s="5">
        <f ca="1">IF(getQuality(B4100)&lt;4,getOtherMax(B4100,C4100,INDIRECT(J$2),INDIRECT(I4100),test),getMax(B4100,C4100,INDIRECT(J$2),INDIRECT(I4100),test))</f>
        <v>390.92443123182665</v>
      </c>
      <c r="F4100" s="1" t="str">
        <f t="shared" si="259"/>
        <v>50</v>
      </c>
      <c r="G4100" s="1" t="str">
        <f t="shared" si="260"/>
        <v/>
      </c>
      <c r="I4100" s="1" t="str">
        <f t="shared" si="258"/>
        <v>威尔新数值1.06.xlsm!suitPower</v>
      </c>
    </row>
    <row r="4101" spans="1:9" x14ac:dyDescent="0.15">
      <c r="A4101" s="1">
        <v>4100</v>
      </c>
      <c r="B4101" s="1">
        <v>103090800</v>
      </c>
      <c r="C4101" s="1">
        <f t="shared" si="257"/>
        <v>10</v>
      </c>
      <c r="D4101" s="5">
        <f ca="1">IF(getQuality(B4101)&lt;4,getOtherMin(B4101,C4101,INDIRECT(J$2),INDIRECT(I4101),test),getMin(B4101,C4101,INDIRECT(J$2),INDIRECT(I4101),test))</f>
        <v>329.28048273180752</v>
      </c>
      <c r="E4101" s="5">
        <f ca="1">IF(getQuality(B4101)&lt;4,getOtherMax(B4101,C4101,INDIRECT(J$2),INDIRECT(I4101),test),getMax(B4101,C4101,INDIRECT(J$2),INDIRECT(I4101),test))</f>
        <v>390.92443123182665</v>
      </c>
      <c r="F4101" s="1" t="str">
        <f t="shared" si="259"/>
        <v>50</v>
      </c>
      <c r="G4101" s="1" t="str">
        <f t="shared" si="260"/>
        <v/>
      </c>
      <c r="I4101" s="1" t="str">
        <f t="shared" si="258"/>
        <v>威尔新数值1.06.xlsm!suitPower</v>
      </c>
    </row>
    <row r="4102" spans="1:9" x14ac:dyDescent="0.15">
      <c r="A4102" s="1">
        <v>4101</v>
      </c>
      <c r="B4102" s="1">
        <v>103090800</v>
      </c>
      <c r="C4102" s="1">
        <f t="shared" si="257"/>
        <v>11</v>
      </c>
      <c r="D4102" s="5">
        <f ca="1">IF(getQuality(B4102)&lt;4,getOtherMin(B4102,C4102,INDIRECT(J$2),INDIRECT(I4102),test),getMin(B4102,C4102,INDIRECT(J$2),INDIRECT(I4102),test))</f>
        <v>329.28048273180752</v>
      </c>
      <c r="E4102" s="5">
        <f ca="1">IF(getQuality(B4102)&lt;4,getOtherMax(B4102,C4102,INDIRECT(J$2),INDIRECT(I4102),test),getMax(B4102,C4102,INDIRECT(J$2),INDIRECT(I4102),test))</f>
        <v>390.92443123182665</v>
      </c>
      <c r="F4102" s="1" t="str">
        <f t="shared" si="259"/>
        <v>50</v>
      </c>
      <c r="G4102" s="1" t="str">
        <f t="shared" si="260"/>
        <v/>
      </c>
      <c r="I4102" s="1" t="str">
        <f t="shared" si="258"/>
        <v>威尔新数值1.06.xlsm!suitPower</v>
      </c>
    </row>
    <row r="4103" spans="1:9" x14ac:dyDescent="0.15">
      <c r="A4103" s="1">
        <v>4102</v>
      </c>
      <c r="B4103" s="1">
        <v>103090800</v>
      </c>
      <c r="C4103" s="1">
        <f t="shared" si="257"/>
        <v>12</v>
      </c>
      <c r="D4103" s="5">
        <f ca="1">IF(getQuality(B4103)&lt;4,getOtherMin(B4103,C4103,INDIRECT(J$2),INDIRECT(I4103),test),getMin(B4103,C4103,INDIRECT(J$2),INDIRECT(I4103),test))</f>
        <v>329.28048273180752</v>
      </c>
      <c r="E4103" s="5">
        <f ca="1">IF(getQuality(B4103)&lt;4,getOtherMax(B4103,C4103,INDIRECT(J$2),INDIRECT(I4103),test),getMax(B4103,C4103,INDIRECT(J$2),INDIRECT(I4103),test))</f>
        <v>390.92443123182665</v>
      </c>
      <c r="F4103" s="1" t="str">
        <f t="shared" si="259"/>
        <v>50</v>
      </c>
      <c r="G4103" s="1" t="str">
        <f t="shared" si="260"/>
        <v/>
      </c>
      <c r="I4103" s="1" t="str">
        <f t="shared" si="258"/>
        <v>威尔新数值1.06.xlsm!suitPower</v>
      </c>
    </row>
    <row r="4104" spans="1:9" x14ac:dyDescent="0.15">
      <c r="A4104" s="1">
        <v>4103</v>
      </c>
      <c r="B4104" s="1">
        <v>103090800</v>
      </c>
      <c r="C4104" s="1">
        <f t="shared" si="257"/>
        <v>13</v>
      </c>
      <c r="D4104" s="5">
        <f ca="1">IF(getQuality(B4104)&lt;4,getOtherMin(B4104,C4104,INDIRECT(J$2),INDIRECT(I4104),test),getMin(B4104,C4104,INDIRECT(J$2),INDIRECT(I4104),test))</f>
        <v>329.28048273180752</v>
      </c>
      <c r="E4104" s="5">
        <f ca="1">IF(getQuality(B4104)&lt;4,getOtherMax(B4104,C4104,INDIRECT(J$2),INDIRECT(I4104),test),getMax(B4104,C4104,INDIRECT(J$2),INDIRECT(I4104),test))</f>
        <v>390.92443123182665</v>
      </c>
      <c r="F4104" s="1" t="str">
        <f t="shared" si="259"/>
        <v>50</v>
      </c>
      <c r="G4104" s="1" t="str">
        <f t="shared" si="260"/>
        <v/>
      </c>
      <c r="I4104" s="1" t="str">
        <f t="shared" si="258"/>
        <v>威尔新数值1.06.xlsm!suitPower</v>
      </c>
    </row>
    <row r="4105" spans="1:9" x14ac:dyDescent="0.15">
      <c r="A4105" s="1">
        <v>4104</v>
      </c>
      <c r="B4105" s="1">
        <v>103090800</v>
      </c>
      <c r="C4105" s="1">
        <f t="shared" si="257"/>
        <v>14</v>
      </c>
      <c r="D4105" s="5">
        <f ca="1">IF(getQuality(B4105)&lt;4,getOtherMin(B4105,C4105,INDIRECT(J$2),INDIRECT(I4105),test),getMin(B4105,C4105,INDIRECT(J$2),INDIRECT(I4105),test))</f>
        <v>329.28048273180752</v>
      </c>
      <c r="E4105" s="5">
        <f ca="1">IF(getQuality(B4105)&lt;4,getOtherMax(B4105,C4105,INDIRECT(J$2),INDIRECT(I4105),test),getMax(B4105,C4105,INDIRECT(J$2),INDIRECT(I4105),test))</f>
        <v>390.92443123182665</v>
      </c>
      <c r="F4105" s="1" t="str">
        <f t="shared" si="259"/>
        <v>50</v>
      </c>
      <c r="G4105" s="1" t="str">
        <f t="shared" si="260"/>
        <v/>
      </c>
      <c r="I4105" s="1" t="str">
        <f t="shared" si="258"/>
        <v>威尔新数值1.06.xlsm!suitPower</v>
      </c>
    </row>
    <row r="4106" spans="1:9" x14ac:dyDescent="0.15">
      <c r="A4106" s="1">
        <v>4105</v>
      </c>
      <c r="B4106" s="1">
        <v>103090800</v>
      </c>
      <c r="C4106" s="1">
        <f t="shared" si="257"/>
        <v>15</v>
      </c>
      <c r="D4106" s="5">
        <f ca="1">IF(getQuality(B4106)&lt;4,getOtherMin(B4106,C4106,INDIRECT(J$2),INDIRECT(I4106),test),getMin(B4106,C4106,INDIRECT(J$2),INDIRECT(I4106),test))</f>
        <v>329.28048273180752</v>
      </c>
      <c r="E4106" s="5">
        <f ca="1">IF(getQuality(B4106)&lt;4,getOtherMax(B4106,C4106,INDIRECT(J$2),INDIRECT(I4106),test),getMax(B4106,C4106,INDIRECT(J$2),INDIRECT(I4106),test))</f>
        <v>390.92443123182665</v>
      </c>
      <c r="F4106" s="1" t="str">
        <f t="shared" si="259"/>
        <v>50</v>
      </c>
      <c r="G4106" s="1" t="str">
        <f t="shared" si="260"/>
        <v/>
      </c>
      <c r="I4106" s="1" t="str">
        <f t="shared" si="258"/>
        <v>威尔新数值1.06.xlsm!suitPower</v>
      </c>
    </row>
    <row r="4107" spans="1:9" x14ac:dyDescent="0.15">
      <c r="A4107" s="1">
        <v>4106</v>
      </c>
      <c r="B4107" s="1">
        <v>103090800</v>
      </c>
      <c r="C4107" s="1">
        <f t="shared" si="257"/>
        <v>101</v>
      </c>
      <c r="D4107" s="5">
        <f ca="1">IF(getQuality(B4107)&lt;4,getOtherMin(B4107,C4107,INDIRECT(J$2),INDIRECT(I4107),test),getMin(B4107,C4107,INDIRECT(J$2),INDIRECT(I4107),test))</f>
        <v>0.15</v>
      </c>
      <c r="E4107" s="5">
        <f ca="1">IF(getQuality(B4107)&lt;4,getOtherMax(B4107,C4107,INDIRECT(J$2),INDIRECT(I4107),test),getMax(B4107,C4107,INDIRECT(J$2),INDIRECT(I4107),test))</f>
        <v>0.18</v>
      </c>
      <c r="F4107" s="1" t="str">
        <f t="shared" si="259"/>
        <v>50</v>
      </c>
      <c r="G4107" s="1" t="str">
        <f t="shared" si="260"/>
        <v/>
      </c>
      <c r="I4107" s="1" t="str">
        <f t="shared" si="258"/>
        <v>威尔新数值1.06.xlsm!circlePer</v>
      </c>
    </row>
    <row r="4108" spans="1:9" x14ac:dyDescent="0.15">
      <c r="A4108" s="1">
        <v>4107</v>
      </c>
      <c r="B4108" s="1">
        <v>103090800</v>
      </c>
      <c r="C4108" s="1">
        <f t="shared" si="257"/>
        <v>102</v>
      </c>
      <c r="D4108" s="5">
        <f ca="1">IF(getQuality(B4108)&lt;4,getOtherMin(B4108,C4108,INDIRECT(J$2),INDIRECT(I4108),test),getMin(B4108,C4108,INDIRECT(J$2),INDIRECT(I4108),test))</f>
        <v>1.4</v>
      </c>
      <c r="E4108" s="5">
        <f ca="1">IF(getQuality(B4108)&lt;4,getOtherMax(B4108,C4108,INDIRECT(J$2),INDIRECT(I4108),test),getMax(B4108,C4108,INDIRECT(J$2),INDIRECT(I4108),test))</f>
        <v>1.7</v>
      </c>
      <c r="F4108" s="1" t="str">
        <f t="shared" si="259"/>
        <v>50</v>
      </c>
      <c r="G4108" s="1" t="str">
        <f t="shared" si="260"/>
        <v/>
      </c>
      <c r="I4108" s="1" t="str">
        <f t="shared" si="258"/>
        <v>威尔新数值1.06.xlsm!circleValue</v>
      </c>
    </row>
    <row r="4109" spans="1:9" x14ac:dyDescent="0.15">
      <c r="A4109" s="1">
        <v>4108</v>
      </c>
      <c r="B4109" s="1">
        <v>103090800</v>
      </c>
      <c r="C4109" s="1">
        <f t="shared" si="257"/>
        <v>103</v>
      </c>
      <c r="D4109" s="5">
        <f ca="1">IF(getQuality(B4109)&lt;4,getOtherMin(B4109,C4109,INDIRECT(J$2),INDIRECT(I4109),test),getMin(B4109,C4109,INDIRECT(J$2),INDIRECT(I4109),test))</f>
        <v>0.15</v>
      </c>
      <c r="E4109" s="5">
        <f ca="1">IF(getQuality(B4109)&lt;4,getOtherMax(B4109,C4109,INDIRECT(J$2),INDIRECT(I4109),test),getMax(B4109,C4109,INDIRECT(J$2),INDIRECT(I4109),test))</f>
        <v>0.18</v>
      </c>
      <c r="F4109" s="1" t="str">
        <f t="shared" si="259"/>
        <v>50</v>
      </c>
      <c r="G4109" s="1" t="str">
        <f t="shared" si="260"/>
        <v/>
      </c>
      <c r="I4109" s="1" t="str">
        <f t="shared" si="258"/>
        <v>威尔新数值1.06.xlsm!otherDamage</v>
      </c>
    </row>
    <row r="4110" spans="1:9" x14ac:dyDescent="0.15">
      <c r="A4110" s="1">
        <v>4109</v>
      </c>
      <c r="B4110" s="1">
        <v>103090800</v>
      </c>
      <c r="C4110" s="1">
        <f t="shared" si="257"/>
        <v>104</v>
      </c>
      <c r="D4110" s="5">
        <f ca="1">IF(getQuality(B4110)&lt;4,getOtherMin(B4110,C4110,INDIRECT(J$2),INDIRECT(I4110),test),getMin(B4110,C4110,INDIRECT(J$2),INDIRECT(I4110),test))</f>
        <v>0.15</v>
      </c>
      <c r="E4110" s="5">
        <f ca="1">IF(getQuality(B4110)&lt;4,getOtherMax(B4110,C4110,INDIRECT(J$2),INDIRECT(I4110),test),getMax(B4110,C4110,INDIRECT(J$2),INDIRECT(I4110),test))</f>
        <v>0.3</v>
      </c>
      <c r="F4110" s="1" t="str">
        <f t="shared" si="259"/>
        <v>50</v>
      </c>
      <c r="G4110" s="1" t="str">
        <f t="shared" si="260"/>
        <v/>
      </c>
      <c r="I4110" s="1" t="str">
        <f t="shared" si="258"/>
        <v>威尔新数值1.06.xlsm!monsterDamage</v>
      </c>
    </row>
    <row r="4111" spans="1:9" x14ac:dyDescent="0.15">
      <c r="A4111" s="1">
        <v>4110</v>
      </c>
      <c r="B4111" s="1">
        <v>103090800</v>
      </c>
      <c r="C4111" s="1">
        <f t="shared" si="257"/>
        <v>105</v>
      </c>
      <c r="D4111" s="5">
        <f ca="1">IF(getQuality(B4111)&lt;4,getOtherMin(B4111,C4111,INDIRECT(J$2),INDIRECT(I4111),test),getMin(B4111,C4111,INDIRECT(J$2),INDIRECT(I4111),test))</f>
        <v>0.15</v>
      </c>
      <c r="E4111" s="5">
        <f ca="1">IF(getQuality(B4111)&lt;4,getOtherMax(B4111,C4111,INDIRECT(J$2),INDIRECT(I4111),test),getMax(B4111,C4111,INDIRECT(J$2),INDIRECT(I4111),test))</f>
        <v>0.3</v>
      </c>
      <c r="F4111" s="1" t="str">
        <f t="shared" si="259"/>
        <v>50</v>
      </c>
      <c r="G4111" s="1" t="str">
        <f t="shared" si="260"/>
        <v/>
      </c>
      <c r="I4111" s="1" t="str">
        <f t="shared" si="258"/>
        <v>威尔新数值1.06.xlsm!monsterDamage</v>
      </c>
    </row>
    <row r="4112" spans="1:9" x14ac:dyDescent="0.15">
      <c r="A4112" s="1">
        <v>4111</v>
      </c>
      <c r="B4112" s="1">
        <v>103090800</v>
      </c>
      <c r="C4112" s="1">
        <f t="shared" si="257"/>
        <v>106</v>
      </c>
      <c r="D4112" s="5">
        <f ca="1">IF(getQuality(B4112)&lt;4,getOtherMin(B4112,C4112,INDIRECT(J$2),INDIRECT(I4112),test),getMin(B4112,C4112,INDIRECT(J$2),INDIRECT(I4112),test))</f>
        <v>0.15</v>
      </c>
      <c r="E4112" s="5">
        <f ca="1">IF(getQuality(B4112)&lt;4,getOtherMax(B4112,C4112,INDIRECT(J$2),INDIRECT(I4112),test),getMax(B4112,C4112,INDIRECT(J$2),INDIRECT(I4112),test))</f>
        <v>0.3</v>
      </c>
      <c r="F4112" s="1" t="str">
        <f t="shared" si="259"/>
        <v>50</v>
      </c>
      <c r="G4112" s="1" t="str">
        <f t="shared" si="260"/>
        <v/>
      </c>
      <c r="I4112" s="1" t="str">
        <f t="shared" si="258"/>
        <v>威尔新数值1.06.xlsm!monsterDamage</v>
      </c>
    </row>
    <row r="4113" spans="1:9" x14ac:dyDescent="0.15">
      <c r="A4113" s="1">
        <v>4112</v>
      </c>
      <c r="B4113" s="1">
        <v>103090800</v>
      </c>
      <c r="C4113" s="1">
        <f t="shared" si="257"/>
        <v>107</v>
      </c>
      <c r="D4113" s="5">
        <f ca="1">IF(getQuality(B4113)&lt;4,getOtherMin(B4113,C4113,INDIRECT(J$2),INDIRECT(I4113),test),getMin(B4113,C4113,INDIRECT(J$2),INDIRECT(I4113),test))</f>
        <v>0.15</v>
      </c>
      <c r="E4113" s="5">
        <f ca="1">IF(getQuality(B4113)&lt;4,getOtherMax(B4113,C4113,INDIRECT(J$2),INDIRECT(I4113),test),getMax(B4113,C4113,INDIRECT(J$2),INDIRECT(I4113),test))</f>
        <v>0.3</v>
      </c>
      <c r="F4113" s="1" t="str">
        <f t="shared" si="259"/>
        <v>50</v>
      </c>
      <c r="G4113" s="1" t="str">
        <f t="shared" si="260"/>
        <v/>
      </c>
      <c r="I4113" s="1" t="str">
        <f t="shared" si="258"/>
        <v>威尔新数值1.06.xlsm!monsterDamage</v>
      </c>
    </row>
    <row r="4114" spans="1:9" x14ac:dyDescent="0.15">
      <c r="A4114" s="1">
        <v>4113</v>
      </c>
      <c r="B4114" s="1">
        <v>103090800</v>
      </c>
      <c r="C4114" s="1">
        <f t="shared" si="257"/>
        <v>108</v>
      </c>
      <c r="D4114" s="5">
        <f ca="1">IF(getQuality(B4114)&lt;4,getOtherMin(B4114,C4114,INDIRECT(J$2),INDIRECT(I4114),test),getMin(B4114,C4114,INDIRECT(J$2),INDIRECT(I4114),test))</f>
        <v>0.15</v>
      </c>
      <c r="E4114" s="5">
        <f ca="1">IF(getQuality(B4114)&lt;4,getOtherMax(B4114,C4114,INDIRECT(J$2),INDIRECT(I4114),test),getMax(B4114,C4114,INDIRECT(J$2),INDIRECT(I4114),test))</f>
        <v>0.3</v>
      </c>
      <c r="F4114" s="1" t="str">
        <f t="shared" si="259"/>
        <v>50</v>
      </c>
      <c r="G4114" s="1" t="str">
        <f t="shared" si="260"/>
        <v/>
      </c>
      <c r="I4114" s="1" t="str">
        <f t="shared" si="258"/>
        <v>威尔新数值1.06.xlsm!monsterDamage</v>
      </c>
    </row>
    <row r="4115" spans="1:9" x14ac:dyDescent="0.15">
      <c r="A4115" s="1">
        <v>4114</v>
      </c>
      <c r="B4115" s="1">
        <v>103010900</v>
      </c>
      <c r="C4115" s="1">
        <f t="shared" si="257"/>
        <v>3</v>
      </c>
      <c r="D4115" s="5">
        <f ca="1">IF(getQuality(B4115)&lt;4,getOtherMin(B4115,C4115,INDIRECT(J$2),INDIRECT(I4115),test),getMin(B4115,C4115,INDIRECT(J$2),INDIRECT(I4115),test))</f>
        <v>1</v>
      </c>
      <c r="E4115" s="5">
        <f ca="1">IF(getQuality(B4115)&lt;4,getOtherMax(B4115,C4115,INDIRECT(J$2),INDIRECT(I4115),test),getMax(B4115,C4115,INDIRECT(J$2),INDIRECT(I4115),test))</f>
        <v>24.009875731714647</v>
      </c>
      <c r="F4115" s="1" t="str">
        <f t="shared" si="259"/>
        <v>50</v>
      </c>
      <c r="G4115" s="1" t="str">
        <f t="shared" si="260"/>
        <v/>
      </c>
      <c r="I4115" s="1" t="str">
        <f t="shared" si="258"/>
        <v>威尔新数值1.06.xlsm!suitPower</v>
      </c>
    </row>
    <row r="4116" spans="1:9" x14ac:dyDescent="0.15">
      <c r="A4116" s="1">
        <v>4115</v>
      </c>
      <c r="B4116" s="1">
        <v>103010900</v>
      </c>
      <c r="C4116" s="1">
        <f t="shared" si="257"/>
        <v>5</v>
      </c>
      <c r="D4116" s="5">
        <f ca="1">IF(getQuality(B4116)&lt;4,getOtherMin(B4116,C4116,INDIRECT(J$2),INDIRECT(I4116),test),getMin(B4116,C4116,INDIRECT(J$2),INDIRECT(I4116),test))</f>
        <v>1</v>
      </c>
      <c r="E4116" s="5">
        <f ca="1">IF(getQuality(B4116)&lt;4,getOtherMax(B4116,C4116,INDIRECT(J$2),INDIRECT(I4116),test),getMax(B4116,C4116,INDIRECT(J$2),INDIRECT(I4116),test))</f>
        <v>24.009875731714647</v>
      </c>
      <c r="F4116" s="1" t="str">
        <f t="shared" si="259"/>
        <v>50</v>
      </c>
      <c r="G4116" s="1" t="str">
        <f t="shared" si="260"/>
        <v>1</v>
      </c>
      <c r="I4116" s="1" t="str">
        <f t="shared" si="258"/>
        <v>威尔新数值1.06.xlsm!suitPower</v>
      </c>
    </row>
    <row r="4117" spans="1:9" x14ac:dyDescent="0.15">
      <c r="A4117" s="1">
        <v>4116</v>
      </c>
      <c r="B4117" s="1">
        <v>103010900</v>
      </c>
      <c r="C4117" s="1">
        <f t="shared" si="257"/>
        <v>7</v>
      </c>
      <c r="D4117" s="5">
        <f ca="1">IF(getQuality(B4117)&lt;4,getOtherMin(B4117,C4117,INDIRECT(J$2),INDIRECT(I4117),test),getMin(B4117,C4117,INDIRECT(J$2),INDIRECT(I4117),test))</f>
        <v>1</v>
      </c>
      <c r="E4117" s="5">
        <f ca="1">IF(getQuality(B4117)&lt;4,getOtherMax(B4117,C4117,INDIRECT(J$2),INDIRECT(I4117),test),getMax(B4117,C4117,INDIRECT(J$2),INDIRECT(I4117),test))</f>
        <v>7.4074074074073888</v>
      </c>
      <c r="F4117" s="1" t="str">
        <f t="shared" si="259"/>
        <v>50</v>
      </c>
      <c r="G4117" s="1" t="str">
        <f t="shared" si="260"/>
        <v/>
      </c>
      <c r="I4117" s="1" t="str">
        <f t="shared" si="258"/>
        <v>威尔新数值1.06.xlsm!suitPower</v>
      </c>
    </row>
    <row r="4118" spans="1:9" x14ac:dyDescent="0.15">
      <c r="A4118" s="1">
        <v>4117</v>
      </c>
      <c r="B4118" s="1">
        <v>103010900</v>
      </c>
      <c r="C4118" s="1">
        <f t="shared" si="257"/>
        <v>8</v>
      </c>
      <c r="D4118" s="5">
        <f ca="1">IF(getQuality(B4118)&lt;4,getOtherMin(B4118,C4118,INDIRECT(J$2),INDIRECT(I4118),test),getMin(B4118,C4118,INDIRECT(J$2),INDIRECT(I4118),test))</f>
        <v>1</v>
      </c>
      <c r="E4118" s="5">
        <f ca="1">IF(getQuality(B4118)&lt;4,getOtherMax(B4118,C4118,INDIRECT(J$2),INDIRECT(I4118),test),getMax(B4118,C4118,INDIRECT(J$2),INDIRECT(I4118),test))</f>
        <v>16.666666666666668</v>
      </c>
      <c r="F4118" s="1" t="str">
        <f t="shared" si="259"/>
        <v>50</v>
      </c>
      <c r="G4118" s="1" t="str">
        <f t="shared" si="260"/>
        <v/>
      </c>
      <c r="I4118" s="1" t="str">
        <f t="shared" si="258"/>
        <v>威尔新数值1.06.xlsm!suitPower</v>
      </c>
    </row>
    <row r="4119" spans="1:9" x14ac:dyDescent="0.15">
      <c r="A4119" s="1">
        <v>4118</v>
      </c>
      <c r="B4119" s="1">
        <v>103010900</v>
      </c>
      <c r="C4119" s="1">
        <f t="shared" si="257"/>
        <v>9</v>
      </c>
      <c r="D4119" s="5">
        <f ca="1">IF(getQuality(B4119)&lt;4,getOtherMin(B4119,C4119,INDIRECT(J$2),INDIRECT(I4119),test),getMin(B4119,C4119,INDIRECT(J$2),INDIRECT(I4119),test))</f>
        <v>1</v>
      </c>
      <c r="E4119" s="5">
        <f ca="1">IF(getQuality(B4119)&lt;4,getOtherMax(B4119,C4119,INDIRECT(J$2),INDIRECT(I4119),test),getMax(B4119,C4119,INDIRECT(J$2),INDIRECT(I4119),test))</f>
        <v>24.009875731714647</v>
      </c>
      <c r="F4119" s="1" t="str">
        <f t="shared" si="259"/>
        <v>50</v>
      </c>
      <c r="G4119" s="1" t="str">
        <f t="shared" si="260"/>
        <v/>
      </c>
      <c r="I4119" s="1" t="str">
        <f t="shared" si="258"/>
        <v>威尔新数值1.06.xlsm!suitPower</v>
      </c>
    </row>
    <row r="4120" spans="1:9" x14ac:dyDescent="0.15">
      <c r="A4120" s="1">
        <v>4119</v>
      </c>
      <c r="B4120" s="1">
        <v>103010900</v>
      </c>
      <c r="C4120" s="1">
        <f t="shared" si="257"/>
        <v>10</v>
      </c>
      <c r="D4120" s="5">
        <f ca="1">IF(getQuality(B4120)&lt;4,getOtherMin(B4120,C4120,INDIRECT(J$2),INDIRECT(I4120),test),getMin(B4120,C4120,INDIRECT(J$2),INDIRECT(I4120),test))</f>
        <v>1</v>
      </c>
      <c r="E4120" s="5">
        <f ca="1">IF(getQuality(B4120)&lt;4,getOtherMax(B4120,C4120,INDIRECT(J$2),INDIRECT(I4120),test),getMax(B4120,C4120,INDIRECT(J$2),INDIRECT(I4120),test))</f>
        <v>24.009875731714647</v>
      </c>
      <c r="F4120" s="1" t="str">
        <f t="shared" si="259"/>
        <v>50</v>
      </c>
      <c r="G4120" s="1" t="str">
        <f t="shared" si="260"/>
        <v/>
      </c>
      <c r="I4120" s="1" t="str">
        <f t="shared" si="258"/>
        <v>威尔新数值1.06.xlsm!suitPower</v>
      </c>
    </row>
    <row r="4121" spans="1:9" x14ac:dyDescent="0.15">
      <c r="A4121" s="1">
        <v>4120</v>
      </c>
      <c r="B4121" s="1">
        <v>103010900</v>
      </c>
      <c r="C4121" s="1">
        <f t="shared" si="257"/>
        <v>11</v>
      </c>
      <c r="D4121" s="5">
        <f ca="1">IF(getQuality(B4121)&lt;4,getOtherMin(B4121,C4121,INDIRECT(J$2),INDIRECT(I4121),test),getMin(B4121,C4121,INDIRECT(J$2),INDIRECT(I4121),test))</f>
        <v>1</v>
      </c>
      <c r="E4121" s="5">
        <f ca="1">IF(getQuality(B4121)&lt;4,getOtherMax(B4121,C4121,INDIRECT(J$2),INDIRECT(I4121),test),getMax(B4121,C4121,INDIRECT(J$2),INDIRECT(I4121),test))</f>
        <v>24.009875731714647</v>
      </c>
      <c r="F4121" s="1" t="str">
        <f t="shared" si="259"/>
        <v>50</v>
      </c>
      <c r="G4121" s="1" t="str">
        <f t="shared" si="260"/>
        <v/>
      </c>
      <c r="I4121" s="1" t="str">
        <f t="shared" si="258"/>
        <v>威尔新数值1.06.xlsm!suitPower</v>
      </c>
    </row>
    <row r="4122" spans="1:9" x14ac:dyDescent="0.15">
      <c r="A4122" s="1">
        <v>4121</v>
      </c>
      <c r="B4122" s="1">
        <v>103010900</v>
      </c>
      <c r="C4122" s="1">
        <f t="shared" si="257"/>
        <v>12</v>
      </c>
      <c r="D4122" s="5">
        <f ca="1">IF(getQuality(B4122)&lt;4,getOtherMin(B4122,C4122,INDIRECT(J$2),INDIRECT(I4122),test),getMin(B4122,C4122,INDIRECT(J$2),INDIRECT(I4122),test))</f>
        <v>1</v>
      </c>
      <c r="E4122" s="5">
        <f ca="1">IF(getQuality(B4122)&lt;4,getOtherMax(B4122,C4122,INDIRECT(J$2),INDIRECT(I4122),test),getMax(B4122,C4122,INDIRECT(J$2),INDIRECT(I4122),test))</f>
        <v>24.009875731714647</v>
      </c>
      <c r="F4122" s="1" t="str">
        <f t="shared" si="259"/>
        <v>50</v>
      </c>
      <c r="G4122" s="1" t="str">
        <f t="shared" si="260"/>
        <v/>
      </c>
      <c r="I4122" s="1" t="str">
        <f t="shared" si="258"/>
        <v>威尔新数值1.06.xlsm!suitPower</v>
      </c>
    </row>
    <row r="4123" spans="1:9" x14ac:dyDescent="0.15">
      <c r="A4123" s="1">
        <v>4122</v>
      </c>
      <c r="B4123" s="1">
        <v>103010900</v>
      </c>
      <c r="C4123" s="1">
        <f t="shared" si="257"/>
        <v>13</v>
      </c>
      <c r="D4123" s="5">
        <f ca="1">IF(getQuality(B4123)&lt;4,getOtherMin(B4123,C4123,INDIRECT(J$2),INDIRECT(I4123),test),getMin(B4123,C4123,INDIRECT(J$2),INDIRECT(I4123),test))</f>
        <v>1</v>
      </c>
      <c r="E4123" s="5">
        <f ca="1">IF(getQuality(B4123)&lt;4,getOtherMax(B4123,C4123,INDIRECT(J$2),INDIRECT(I4123),test),getMax(B4123,C4123,INDIRECT(J$2),INDIRECT(I4123),test))</f>
        <v>24.009875731714647</v>
      </c>
      <c r="F4123" s="1" t="str">
        <f t="shared" si="259"/>
        <v>50</v>
      </c>
      <c r="G4123" s="1" t="str">
        <f t="shared" si="260"/>
        <v/>
      </c>
      <c r="I4123" s="1" t="str">
        <f t="shared" si="258"/>
        <v>威尔新数值1.06.xlsm!suitPower</v>
      </c>
    </row>
    <row r="4124" spans="1:9" x14ac:dyDescent="0.15">
      <c r="A4124" s="1">
        <v>4123</v>
      </c>
      <c r="B4124" s="1">
        <v>103010900</v>
      </c>
      <c r="C4124" s="1">
        <f t="shared" si="257"/>
        <v>14</v>
      </c>
      <c r="D4124" s="5">
        <f ca="1">IF(getQuality(B4124)&lt;4,getOtherMin(B4124,C4124,INDIRECT(J$2),INDIRECT(I4124),test),getMin(B4124,C4124,INDIRECT(J$2),INDIRECT(I4124),test))</f>
        <v>1</v>
      </c>
      <c r="E4124" s="5">
        <f ca="1">IF(getQuality(B4124)&lt;4,getOtherMax(B4124,C4124,INDIRECT(J$2),INDIRECT(I4124),test),getMax(B4124,C4124,INDIRECT(J$2),INDIRECT(I4124),test))</f>
        <v>24.009875731714647</v>
      </c>
      <c r="F4124" s="1" t="str">
        <f t="shared" si="259"/>
        <v>50</v>
      </c>
      <c r="G4124" s="1" t="str">
        <f t="shared" si="260"/>
        <v/>
      </c>
      <c r="I4124" s="1" t="str">
        <f t="shared" si="258"/>
        <v>威尔新数值1.06.xlsm!suitPower</v>
      </c>
    </row>
    <row r="4125" spans="1:9" x14ac:dyDescent="0.15">
      <c r="A4125" s="1">
        <v>4124</v>
      </c>
      <c r="B4125" s="1">
        <v>103010900</v>
      </c>
      <c r="C4125" s="1">
        <f t="shared" si="257"/>
        <v>15</v>
      </c>
      <c r="D4125" s="5">
        <f ca="1">IF(getQuality(B4125)&lt;4,getOtherMin(B4125,C4125,INDIRECT(J$2),INDIRECT(I4125),test),getMin(B4125,C4125,INDIRECT(J$2),INDIRECT(I4125),test))</f>
        <v>1</v>
      </c>
      <c r="E4125" s="5">
        <f ca="1">IF(getQuality(B4125)&lt;4,getOtherMax(B4125,C4125,INDIRECT(J$2),INDIRECT(I4125),test),getMax(B4125,C4125,INDIRECT(J$2),INDIRECT(I4125),test))</f>
        <v>24.009875731714647</v>
      </c>
      <c r="F4125" s="1" t="str">
        <f t="shared" si="259"/>
        <v>50</v>
      </c>
      <c r="G4125" s="1" t="str">
        <f t="shared" si="260"/>
        <v/>
      </c>
      <c r="I4125" s="1" t="str">
        <f t="shared" si="258"/>
        <v>威尔新数值1.06.xlsm!suitPower</v>
      </c>
    </row>
    <row r="4126" spans="1:9" x14ac:dyDescent="0.15">
      <c r="A4126" s="1">
        <v>4125</v>
      </c>
      <c r="B4126" s="1">
        <v>103010900</v>
      </c>
      <c r="C4126" s="1">
        <f t="shared" si="257"/>
        <v>101</v>
      </c>
      <c r="D4126" s="5">
        <f ca="1">IF(getQuality(B4126)&lt;4,getOtherMin(B4126,C4126,INDIRECT(J$2),INDIRECT(I4126),test),getMin(B4126,C4126,INDIRECT(J$2),INDIRECT(I4126),test))</f>
        <v>7.0000000000000007E-2</v>
      </c>
      <c r="E4126" s="5">
        <f ca="1">IF(getQuality(B4126)&lt;4,getOtherMax(B4126,C4126,INDIRECT(J$2),INDIRECT(I4126),test),getMax(B4126,C4126,INDIRECT(J$2),INDIRECT(I4126),test))</f>
        <v>0.1</v>
      </c>
      <c r="F4126" s="1" t="str">
        <f t="shared" si="259"/>
        <v>50</v>
      </c>
      <c r="G4126" s="1" t="str">
        <f t="shared" si="260"/>
        <v/>
      </c>
      <c r="I4126" s="1" t="str">
        <f t="shared" si="258"/>
        <v>威尔新数值1.06.xlsm!circlePer</v>
      </c>
    </row>
    <row r="4127" spans="1:9" x14ac:dyDescent="0.15">
      <c r="A4127" s="1">
        <v>4126</v>
      </c>
      <c r="B4127" s="1">
        <v>103010900</v>
      </c>
      <c r="C4127" s="1">
        <f t="shared" si="257"/>
        <v>102</v>
      </c>
      <c r="D4127" s="5">
        <f ca="1">IF(getQuality(B4127)&lt;4,getOtherMin(B4127,C4127,INDIRECT(J$2),INDIRECT(I4127),test),getMin(B4127,C4127,INDIRECT(J$2),INDIRECT(I4127),test))</f>
        <v>0.6</v>
      </c>
      <c r="E4127" s="5">
        <f ca="1">IF(getQuality(B4127)&lt;4,getOtherMax(B4127,C4127,INDIRECT(J$2),INDIRECT(I4127),test),getMax(B4127,C4127,INDIRECT(J$2),INDIRECT(I4127),test))</f>
        <v>0.9</v>
      </c>
      <c r="F4127" s="1" t="str">
        <f t="shared" si="259"/>
        <v>50</v>
      </c>
      <c r="G4127" s="1" t="str">
        <f t="shared" si="260"/>
        <v/>
      </c>
      <c r="I4127" s="1" t="str">
        <f t="shared" si="258"/>
        <v>威尔新数值1.06.xlsm!circleValue</v>
      </c>
    </row>
    <row r="4128" spans="1:9" x14ac:dyDescent="0.15">
      <c r="A4128" s="1">
        <v>4127</v>
      </c>
      <c r="B4128" s="1">
        <v>103010900</v>
      </c>
      <c r="C4128" s="1">
        <f t="shared" si="257"/>
        <v>103</v>
      </c>
      <c r="D4128" s="5">
        <f ca="1">IF(getQuality(B4128)&lt;4,getOtherMin(B4128,C4128,INDIRECT(J$2),INDIRECT(I4128),test),getMin(B4128,C4128,INDIRECT(J$2),INDIRECT(I4128),test))</f>
        <v>7.0000000000000007E-2</v>
      </c>
      <c r="E4128" s="5">
        <f ca="1">IF(getQuality(B4128)&lt;4,getOtherMax(B4128,C4128,INDIRECT(J$2),INDIRECT(I4128),test),getMax(B4128,C4128,INDIRECT(J$2),INDIRECT(I4128),test))</f>
        <v>0.1</v>
      </c>
      <c r="F4128" s="1" t="str">
        <f t="shared" si="259"/>
        <v>50</v>
      </c>
      <c r="G4128" s="1" t="str">
        <f t="shared" si="260"/>
        <v/>
      </c>
      <c r="I4128" s="1" t="str">
        <f t="shared" si="258"/>
        <v>威尔新数值1.06.xlsm!otherDamage</v>
      </c>
    </row>
    <row r="4129" spans="1:9" x14ac:dyDescent="0.15">
      <c r="A4129" s="1">
        <v>4128</v>
      </c>
      <c r="B4129" s="1">
        <v>103010900</v>
      </c>
      <c r="C4129" s="1">
        <f t="shared" si="257"/>
        <v>104</v>
      </c>
      <c r="D4129" s="5">
        <f ca="1">IF(getQuality(B4129)&lt;4,getOtherMin(B4129,C4129,INDIRECT(J$2),INDIRECT(I4129),test),getMin(B4129,C4129,INDIRECT(J$2),INDIRECT(I4129),test))</f>
        <v>7.0000000000000007E-2</v>
      </c>
      <c r="E4129" s="5">
        <f ca="1">IF(getQuality(B4129)&lt;4,getOtherMax(B4129,C4129,INDIRECT(J$2),INDIRECT(I4129),test),getMax(B4129,C4129,INDIRECT(J$2),INDIRECT(I4129),test))</f>
        <v>0.14000000000000001</v>
      </c>
      <c r="F4129" s="1" t="str">
        <f t="shared" si="259"/>
        <v>50</v>
      </c>
      <c r="G4129" s="1" t="str">
        <f t="shared" si="260"/>
        <v/>
      </c>
      <c r="I4129" s="1" t="str">
        <f t="shared" si="258"/>
        <v>威尔新数值1.06.xlsm!monsterDamage</v>
      </c>
    </row>
    <row r="4130" spans="1:9" x14ac:dyDescent="0.15">
      <c r="A4130" s="1">
        <v>4129</v>
      </c>
      <c r="B4130" s="1">
        <v>103010900</v>
      </c>
      <c r="C4130" s="1">
        <f t="shared" si="257"/>
        <v>105</v>
      </c>
      <c r="D4130" s="5">
        <f ca="1">IF(getQuality(B4130)&lt;4,getOtherMin(B4130,C4130,INDIRECT(J$2),INDIRECT(I4130),test),getMin(B4130,C4130,INDIRECT(J$2),INDIRECT(I4130),test))</f>
        <v>7.0000000000000007E-2</v>
      </c>
      <c r="E4130" s="5">
        <f ca="1">IF(getQuality(B4130)&lt;4,getOtherMax(B4130,C4130,INDIRECT(J$2),INDIRECT(I4130),test),getMax(B4130,C4130,INDIRECT(J$2),INDIRECT(I4130),test))</f>
        <v>0.14000000000000001</v>
      </c>
      <c r="F4130" s="1" t="str">
        <f t="shared" si="259"/>
        <v>50</v>
      </c>
      <c r="G4130" s="1" t="str">
        <f t="shared" si="260"/>
        <v/>
      </c>
      <c r="I4130" s="1" t="str">
        <f t="shared" si="258"/>
        <v>威尔新数值1.06.xlsm!monsterDamage</v>
      </c>
    </row>
    <row r="4131" spans="1:9" x14ac:dyDescent="0.15">
      <c r="A4131" s="1">
        <v>4130</v>
      </c>
      <c r="B4131" s="1">
        <v>103010900</v>
      </c>
      <c r="C4131" s="1">
        <f t="shared" si="257"/>
        <v>106</v>
      </c>
      <c r="D4131" s="5">
        <f ca="1">IF(getQuality(B4131)&lt;4,getOtherMin(B4131,C4131,INDIRECT(J$2),INDIRECT(I4131),test),getMin(B4131,C4131,INDIRECT(J$2),INDIRECT(I4131),test))</f>
        <v>7.0000000000000007E-2</v>
      </c>
      <c r="E4131" s="5">
        <f ca="1">IF(getQuality(B4131)&lt;4,getOtherMax(B4131,C4131,INDIRECT(J$2),INDIRECT(I4131),test),getMax(B4131,C4131,INDIRECT(J$2),INDIRECT(I4131),test))</f>
        <v>0.14000000000000001</v>
      </c>
      <c r="F4131" s="1" t="str">
        <f t="shared" si="259"/>
        <v>50</v>
      </c>
      <c r="G4131" s="1" t="str">
        <f t="shared" si="260"/>
        <v/>
      </c>
      <c r="I4131" s="1" t="str">
        <f t="shared" si="258"/>
        <v>威尔新数值1.06.xlsm!monsterDamage</v>
      </c>
    </row>
    <row r="4132" spans="1:9" x14ac:dyDescent="0.15">
      <c r="A4132" s="1">
        <v>4131</v>
      </c>
      <c r="B4132" s="1">
        <v>103010900</v>
      </c>
      <c r="C4132" s="1">
        <f t="shared" si="257"/>
        <v>107</v>
      </c>
      <c r="D4132" s="5">
        <f ca="1">IF(getQuality(B4132)&lt;4,getOtherMin(B4132,C4132,INDIRECT(J$2),INDIRECT(I4132),test),getMin(B4132,C4132,INDIRECT(J$2),INDIRECT(I4132),test))</f>
        <v>7.0000000000000007E-2</v>
      </c>
      <c r="E4132" s="5">
        <f ca="1">IF(getQuality(B4132)&lt;4,getOtherMax(B4132,C4132,INDIRECT(J$2),INDIRECT(I4132),test),getMax(B4132,C4132,INDIRECT(J$2),INDIRECT(I4132),test))</f>
        <v>0.14000000000000001</v>
      </c>
      <c r="F4132" s="1" t="str">
        <f t="shared" si="259"/>
        <v>50</v>
      </c>
      <c r="G4132" s="1" t="str">
        <f t="shared" si="260"/>
        <v/>
      </c>
      <c r="I4132" s="1" t="str">
        <f t="shared" si="258"/>
        <v>威尔新数值1.06.xlsm!monsterDamage</v>
      </c>
    </row>
    <row r="4133" spans="1:9" x14ac:dyDescent="0.15">
      <c r="A4133" s="1">
        <v>4132</v>
      </c>
      <c r="B4133" s="1">
        <v>103010900</v>
      </c>
      <c r="C4133" s="1">
        <f t="shared" si="257"/>
        <v>108</v>
      </c>
      <c r="D4133" s="5">
        <f ca="1">IF(getQuality(B4133)&lt;4,getOtherMin(B4133,C4133,INDIRECT(J$2),INDIRECT(I4133),test),getMin(B4133,C4133,INDIRECT(J$2),INDIRECT(I4133),test))</f>
        <v>7.0000000000000007E-2</v>
      </c>
      <c r="E4133" s="5">
        <f ca="1">IF(getQuality(B4133)&lt;4,getOtherMax(B4133,C4133,INDIRECT(J$2),INDIRECT(I4133),test),getMax(B4133,C4133,INDIRECT(J$2),INDIRECT(I4133),test))</f>
        <v>0.14000000000000001</v>
      </c>
      <c r="F4133" s="1" t="str">
        <f t="shared" si="259"/>
        <v>50</v>
      </c>
      <c r="G4133" s="1" t="str">
        <f t="shared" si="260"/>
        <v/>
      </c>
      <c r="I4133" s="1" t="str">
        <f t="shared" si="258"/>
        <v>威尔新数值1.06.xlsm!monsterDamage</v>
      </c>
    </row>
    <row r="4134" spans="1:9" x14ac:dyDescent="0.15">
      <c r="A4134" s="1">
        <v>4133</v>
      </c>
      <c r="B4134" s="1">
        <v>103020900</v>
      </c>
      <c r="C4134" s="1">
        <f t="shared" si="257"/>
        <v>3</v>
      </c>
      <c r="D4134" s="5">
        <f ca="1">IF(getQuality(B4134)&lt;4,getOtherMin(B4134,C4134,INDIRECT(J$2),INDIRECT(I4134),test),getMin(B4134,C4134,INDIRECT(J$2),INDIRECT(I4134),test))</f>
        <v>25.009875731714647</v>
      </c>
      <c r="E4134" s="5">
        <f ca="1">IF(getQuality(B4134)&lt;4,getOtherMax(B4134,C4134,INDIRECT(J$2),INDIRECT(I4134),test),getMax(B4134,C4134,INDIRECT(J$2),INDIRECT(I4134),test))</f>
        <v>52.82172660977222</v>
      </c>
      <c r="F4134" s="1" t="str">
        <f t="shared" si="259"/>
        <v>50</v>
      </c>
      <c r="G4134" s="1" t="str">
        <f t="shared" si="260"/>
        <v/>
      </c>
      <c r="I4134" s="1" t="str">
        <f t="shared" si="258"/>
        <v>威尔新数值1.06.xlsm!suitPower</v>
      </c>
    </row>
    <row r="4135" spans="1:9" x14ac:dyDescent="0.15">
      <c r="A4135" s="1">
        <v>4134</v>
      </c>
      <c r="B4135" s="1">
        <v>103020900</v>
      </c>
      <c r="C4135" s="1">
        <f t="shared" si="257"/>
        <v>5</v>
      </c>
      <c r="D4135" s="5">
        <f ca="1">IF(getQuality(B4135)&lt;4,getOtherMin(B4135,C4135,INDIRECT(J$2),INDIRECT(I4135),test),getMin(B4135,C4135,INDIRECT(J$2),INDIRECT(I4135),test))</f>
        <v>25.009875731714647</v>
      </c>
      <c r="E4135" s="5">
        <f ca="1">IF(getQuality(B4135)&lt;4,getOtherMax(B4135,C4135,INDIRECT(J$2),INDIRECT(I4135),test),getMax(B4135,C4135,INDIRECT(J$2),INDIRECT(I4135),test))</f>
        <v>52.82172660977222</v>
      </c>
      <c r="F4135" s="1" t="str">
        <f t="shared" si="259"/>
        <v>50</v>
      </c>
      <c r="G4135" s="1" t="str">
        <f t="shared" si="260"/>
        <v>1</v>
      </c>
      <c r="I4135" s="1" t="str">
        <f t="shared" si="258"/>
        <v>威尔新数值1.06.xlsm!suitPower</v>
      </c>
    </row>
    <row r="4136" spans="1:9" x14ac:dyDescent="0.15">
      <c r="A4136" s="1">
        <v>4135</v>
      </c>
      <c r="B4136" s="1">
        <v>103020900</v>
      </c>
      <c r="C4136" s="1">
        <f t="shared" si="257"/>
        <v>7</v>
      </c>
      <c r="D4136" s="5">
        <f ca="1">IF(getQuality(B4136)&lt;4,getOtherMin(B4136,C4136,INDIRECT(J$2),INDIRECT(I4136),test),getMin(B4136,C4136,INDIRECT(J$2),INDIRECT(I4136),test))</f>
        <v>8.4074074074073888</v>
      </c>
      <c r="E4136" s="5">
        <f ca="1">IF(getQuality(B4136)&lt;4,getOtherMax(B4136,C4136,INDIRECT(J$2),INDIRECT(I4136),test),getMax(B4136,C4136,INDIRECT(J$2),INDIRECT(I4136),test))</f>
        <v>14.814814814814778</v>
      </c>
      <c r="F4136" s="1" t="str">
        <f t="shared" si="259"/>
        <v>50</v>
      </c>
      <c r="G4136" s="1" t="str">
        <f t="shared" si="260"/>
        <v/>
      </c>
      <c r="I4136" s="1" t="str">
        <f t="shared" si="258"/>
        <v>威尔新数值1.06.xlsm!suitPower</v>
      </c>
    </row>
    <row r="4137" spans="1:9" x14ac:dyDescent="0.15">
      <c r="A4137" s="1">
        <v>4136</v>
      </c>
      <c r="B4137" s="1">
        <v>103020900</v>
      </c>
      <c r="C4137" s="1">
        <f t="shared" si="257"/>
        <v>8</v>
      </c>
      <c r="D4137" s="5">
        <f ca="1">IF(getQuality(B4137)&lt;4,getOtherMin(B4137,C4137,INDIRECT(J$2),INDIRECT(I4137),test),getMin(B4137,C4137,INDIRECT(J$2),INDIRECT(I4137),test))</f>
        <v>17.666666666666668</v>
      </c>
      <c r="E4137" s="5">
        <f ca="1">IF(getQuality(B4137)&lt;4,getOtherMax(B4137,C4137,INDIRECT(J$2),INDIRECT(I4137),test),getMax(B4137,C4137,INDIRECT(J$2),INDIRECT(I4137),test))</f>
        <v>33.333333333333336</v>
      </c>
      <c r="F4137" s="1" t="str">
        <f t="shared" si="259"/>
        <v>50</v>
      </c>
      <c r="G4137" s="1" t="str">
        <f t="shared" si="260"/>
        <v/>
      </c>
      <c r="I4137" s="1" t="str">
        <f t="shared" si="258"/>
        <v>威尔新数值1.06.xlsm!suitPower</v>
      </c>
    </row>
    <row r="4138" spans="1:9" x14ac:dyDescent="0.15">
      <c r="A4138" s="1">
        <v>4137</v>
      </c>
      <c r="B4138" s="1">
        <v>103020900</v>
      </c>
      <c r="C4138" s="1">
        <f t="shared" si="257"/>
        <v>9</v>
      </c>
      <c r="D4138" s="5">
        <f ca="1">IF(getQuality(B4138)&lt;4,getOtherMin(B4138,C4138,INDIRECT(J$2),INDIRECT(I4138),test),getMin(B4138,C4138,INDIRECT(J$2),INDIRECT(I4138),test))</f>
        <v>25.009875731714647</v>
      </c>
      <c r="E4138" s="5">
        <f ca="1">IF(getQuality(B4138)&lt;4,getOtherMax(B4138,C4138,INDIRECT(J$2),INDIRECT(I4138),test),getMax(B4138,C4138,INDIRECT(J$2),INDIRECT(I4138),test))</f>
        <v>52.82172660977222</v>
      </c>
      <c r="F4138" s="1" t="str">
        <f t="shared" si="259"/>
        <v>50</v>
      </c>
      <c r="G4138" s="1" t="str">
        <f t="shared" si="260"/>
        <v/>
      </c>
      <c r="I4138" s="1" t="str">
        <f t="shared" si="258"/>
        <v>威尔新数值1.06.xlsm!suitPower</v>
      </c>
    </row>
    <row r="4139" spans="1:9" x14ac:dyDescent="0.15">
      <c r="A4139" s="1">
        <v>4138</v>
      </c>
      <c r="B4139" s="1">
        <v>103020900</v>
      </c>
      <c r="C4139" s="1">
        <f t="shared" si="257"/>
        <v>10</v>
      </c>
      <c r="D4139" s="5">
        <f ca="1">IF(getQuality(B4139)&lt;4,getOtherMin(B4139,C4139,INDIRECT(J$2),INDIRECT(I4139),test),getMin(B4139,C4139,INDIRECT(J$2),INDIRECT(I4139),test))</f>
        <v>25.009875731714647</v>
      </c>
      <c r="E4139" s="5">
        <f ca="1">IF(getQuality(B4139)&lt;4,getOtherMax(B4139,C4139,INDIRECT(J$2),INDIRECT(I4139),test),getMax(B4139,C4139,INDIRECT(J$2),INDIRECT(I4139),test))</f>
        <v>52.82172660977222</v>
      </c>
      <c r="F4139" s="1" t="str">
        <f t="shared" si="259"/>
        <v>50</v>
      </c>
      <c r="G4139" s="1" t="str">
        <f t="shared" si="260"/>
        <v/>
      </c>
      <c r="I4139" s="1" t="str">
        <f t="shared" si="258"/>
        <v>威尔新数值1.06.xlsm!suitPower</v>
      </c>
    </row>
    <row r="4140" spans="1:9" x14ac:dyDescent="0.15">
      <c r="A4140" s="1">
        <v>4139</v>
      </c>
      <c r="B4140" s="1">
        <v>103020900</v>
      </c>
      <c r="C4140" s="1">
        <f t="shared" si="257"/>
        <v>11</v>
      </c>
      <c r="D4140" s="5">
        <f ca="1">IF(getQuality(B4140)&lt;4,getOtherMin(B4140,C4140,INDIRECT(J$2),INDIRECT(I4140),test),getMin(B4140,C4140,INDIRECT(J$2),INDIRECT(I4140),test))</f>
        <v>25.009875731714647</v>
      </c>
      <c r="E4140" s="5">
        <f ca="1">IF(getQuality(B4140)&lt;4,getOtherMax(B4140,C4140,INDIRECT(J$2),INDIRECT(I4140),test),getMax(B4140,C4140,INDIRECT(J$2),INDIRECT(I4140),test))</f>
        <v>52.82172660977222</v>
      </c>
      <c r="F4140" s="1" t="str">
        <f t="shared" si="259"/>
        <v>50</v>
      </c>
      <c r="G4140" s="1" t="str">
        <f t="shared" si="260"/>
        <v/>
      </c>
      <c r="I4140" s="1" t="str">
        <f t="shared" si="258"/>
        <v>威尔新数值1.06.xlsm!suitPower</v>
      </c>
    </row>
    <row r="4141" spans="1:9" x14ac:dyDescent="0.15">
      <c r="A4141" s="1">
        <v>4140</v>
      </c>
      <c r="B4141" s="1">
        <v>103020900</v>
      </c>
      <c r="C4141" s="1">
        <f t="shared" si="257"/>
        <v>12</v>
      </c>
      <c r="D4141" s="5">
        <f ca="1">IF(getQuality(B4141)&lt;4,getOtherMin(B4141,C4141,INDIRECT(J$2),INDIRECT(I4141),test),getMin(B4141,C4141,INDIRECT(J$2),INDIRECT(I4141),test))</f>
        <v>25.009875731714647</v>
      </c>
      <c r="E4141" s="5">
        <f ca="1">IF(getQuality(B4141)&lt;4,getOtherMax(B4141,C4141,INDIRECT(J$2),INDIRECT(I4141),test),getMax(B4141,C4141,INDIRECT(J$2),INDIRECT(I4141),test))</f>
        <v>52.82172660977222</v>
      </c>
      <c r="F4141" s="1" t="str">
        <f t="shared" si="259"/>
        <v>50</v>
      </c>
      <c r="G4141" s="1" t="str">
        <f t="shared" si="260"/>
        <v/>
      </c>
      <c r="I4141" s="1" t="str">
        <f t="shared" si="258"/>
        <v>威尔新数值1.06.xlsm!suitPower</v>
      </c>
    </row>
    <row r="4142" spans="1:9" x14ac:dyDescent="0.15">
      <c r="A4142" s="1">
        <v>4141</v>
      </c>
      <c r="B4142" s="1">
        <v>103020900</v>
      </c>
      <c r="C4142" s="1">
        <f t="shared" si="257"/>
        <v>13</v>
      </c>
      <c r="D4142" s="5">
        <f ca="1">IF(getQuality(B4142)&lt;4,getOtherMin(B4142,C4142,INDIRECT(J$2),INDIRECT(I4142),test),getMin(B4142,C4142,INDIRECT(J$2),INDIRECT(I4142),test))</f>
        <v>25.009875731714647</v>
      </c>
      <c r="E4142" s="5">
        <f ca="1">IF(getQuality(B4142)&lt;4,getOtherMax(B4142,C4142,INDIRECT(J$2),INDIRECT(I4142),test),getMax(B4142,C4142,INDIRECT(J$2),INDIRECT(I4142),test))</f>
        <v>52.82172660977222</v>
      </c>
      <c r="F4142" s="1" t="str">
        <f t="shared" si="259"/>
        <v>50</v>
      </c>
      <c r="G4142" s="1" t="str">
        <f t="shared" si="260"/>
        <v/>
      </c>
      <c r="I4142" s="1" t="str">
        <f t="shared" si="258"/>
        <v>威尔新数值1.06.xlsm!suitPower</v>
      </c>
    </row>
    <row r="4143" spans="1:9" x14ac:dyDescent="0.15">
      <c r="A4143" s="1">
        <v>4142</v>
      </c>
      <c r="B4143" s="1">
        <v>103020900</v>
      </c>
      <c r="C4143" s="1">
        <f t="shared" si="257"/>
        <v>14</v>
      </c>
      <c r="D4143" s="5">
        <f ca="1">IF(getQuality(B4143)&lt;4,getOtherMin(B4143,C4143,INDIRECT(J$2),INDIRECT(I4143),test),getMin(B4143,C4143,INDIRECT(J$2),INDIRECT(I4143),test))</f>
        <v>25.009875731714647</v>
      </c>
      <c r="E4143" s="5">
        <f ca="1">IF(getQuality(B4143)&lt;4,getOtherMax(B4143,C4143,INDIRECT(J$2),INDIRECT(I4143),test),getMax(B4143,C4143,INDIRECT(J$2),INDIRECT(I4143),test))</f>
        <v>52.82172660977222</v>
      </c>
      <c r="F4143" s="1" t="str">
        <f t="shared" si="259"/>
        <v>50</v>
      </c>
      <c r="G4143" s="1" t="str">
        <f t="shared" si="260"/>
        <v/>
      </c>
      <c r="I4143" s="1" t="str">
        <f t="shared" si="258"/>
        <v>威尔新数值1.06.xlsm!suitPower</v>
      </c>
    </row>
    <row r="4144" spans="1:9" x14ac:dyDescent="0.15">
      <c r="A4144" s="1">
        <v>4143</v>
      </c>
      <c r="B4144" s="1">
        <v>103020900</v>
      </c>
      <c r="C4144" s="1">
        <f t="shared" si="257"/>
        <v>15</v>
      </c>
      <c r="D4144" s="5">
        <f ca="1">IF(getQuality(B4144)&lt;4,getOtherMin(B4144,C4144,INDIRECT(J$2),INDIRECT(I4144),test),getMin(B4144,C4144,INDIRECT(J$2),INDIRECT(I4144),test))</f>
        <v>25.009875731714647</v>
      </c>
      <c r="E4144" s="5">
        <f ca="1">IF(getQuality(B4144)&lt;4,getOtherMax(B4144,C4144,INDIRECT(J$2),INDIRECT(I4144),test),getMax(B4144,C4144,INDIRECT(J$2),INDIRECT(I4144),test))</f>
        <v>52.82172660977222</v>
      </c>
      <c r="F4144" s="1" t="str">
        <f t="shared" si="259"/>
        <v>50</v>
      </c>
      <c r="G4144" s="1" t="str">
        <f t="shared" si="260"/>
        <v/>
      </c>
      <c r="I4144" s="1" t="str">
        <f t="shared" si="258"/>
        <v>威尔新数值1.06.xlsm!suitPower</v>
      </c>
    </row>
    <row r="4145" spans="1:9" x14ac:dyDescent="0.15">
      <c r="A4145" s="1">
        <v>4144</v>
      </c>
      <c r="B4145" s="1">
        <v>103020900</v>
      </c>
      <c r="C4145" s="1">
        <f t="shared" si="257"/>
        <v>101</v>
      </c>
      <c r="D4145" s="5">
        <f ca="1">IF(getQuality(B4145)&lt;4,getOtherMin(B4145,C4145,INDIRECT(J$2),INDIRECT(I4145),test),getMin(B4145,C4145,INDIRECT(J$2),INDIRECT(I4145),test))</f>
        <v>0.08</v>
      </c>
      <c r="E4145" s="5">
        <f ca="1">IF(getQuality(B4145)&lt;4,getOtherMax(B4145,C4145,INDIRECT(J$2),INDIRECT(I4145),test),getMax(B4145,C4145,INDIRECT(J$2),INDIRECT(I4145),test))</f>
        <v>0.11</v>
      </c>
      <c r="F4145" s="1" t="str">
        <f t="shared" si="259"/>
        <v>50</v>
      </c>
      <c r="G4145" s="1" t="str">
        <f t="shared" si="260"/>
        <v/>
      </c>
      <c r="I4145" s="1" t="str">
        <f t="shared" si="258"/>
        <v>威尔新数值1.06.xlsm!circlePer</v>
      </c>
    </row>
    <row r="4146" spans="1:9" x14ac:dyDescent="0.15">
      <c r="A4146" s="1">
        <v>4145</v>
      </c>
      <c r="B4146" s="1">
        <v>103020900</v>
      </c>
      <c r="C4146" s="1">
        <f t="shared" si="257"/>
        <v>102</v>
      </c>
      <c r="D4146" s="5">
        <f ca="1">IF(getQuality(B4146)&lt;4,getOtherMin(B4146,C4146,INDIRECT(J$2),INDIRECT(I4146),test),getMin(B4146,C4146,INDIRECT(J$2),INDIRECT(I4146),test))</f>
        <v>0.7</v>
      </c>
      <c r="E4146" s="5">
        <f ca="1">IF(getQuality(B4146)&lt;4,getOtherMax(B4146,C4146,INDIRECT(J$2),INDIRECT(I4146),test),getMax(B4146,C4146,INDIRECT(J$2),INDIRECT(I4146),test))</f>
        <v>1</v>
      </c>
      <c r="F4146" s="1" t="str">
        <f t="shared" si="259"/>
        <v>50</v>
      </c>
      <c r="G4146" s="1" t="str">
        <f t="shared" si="260"/>
        <v/>
      </c>
      <c r="I4146" s="1" t="str">
        <f t="shared" si="258"/>
        <v>威尔新数值1.06.xlsm!circleValue</v>
      </c>
    </row>
    <row r="4147" spans="1:9" x14ac:dyDescent="0.15">
      <c r="A4147" s="1">
        <v>4146</v>
      </c>
      <c r="B4147" s="1">
        <v>103020900</v>
      </c>
      <c r="C4147" s="1">
        <f t="shared" si="257"/>
        <v>103</v>
      </c>
      <c r="D4147" s="5">
        <f ca="1">IF(getQuality(B4147)&lt;4,getOtherMin(B4147,C4147,INDIRECT(J$2),INDIRECT(I4147),test),getMin(B4147,C4147,INDIRECT(J$2),INDIRECT(I4147),test))</f>
        <v>0.08</v>
      </c>
      <c r="E4147" s="5">
        <f ca="1">IF(getQuality(B4147)&lt;4,getOtherMax(B4147,C4147,INDIRECT(J$2),INDIRECT(I4147),test),getMax(B4147,C4147,INDIRECT(J$2),INDIRECT(I4147),test))</f>
        <v>0.11</v>
      </c>
      <c r="F4147" s="1" t="str">
        <f t="shared" si="259"/>
        <v>50</v>
      </c>
      <c r="G4147" s="1" t="str">
        <f t="shared" si="260"/>
        <v/>
      </c>
      <c r="I4147" s="1" t="str">
        <f t="shared" si="258"/>
        <v>威尔新数值1.06.xlsm!otherDamage</v>
      </c>
    </row>
    <row r="4148" spans="1:9" x14ac:dyDescent="0.15">
      <c r="A4148" s="1">
        <v>4147</v>
      </c>
      <c r="B4148" s="1">
        <v>103020900</v>
      </c>
      <c r="C4148" s="1">
        <f t="shared" si="257"/>
        <v>104</v>
      </c>
      <c r="D4148" s="5">
        <f ca="1">IF(getQuality(B4148)&lt;4,getOtherMin(B4148,C4148,INDIRECT(J$2),INDIRECT(I4148),test),getMin(B4148,C4148,INDIRECT(J$2),INDIRECT(I4148),test))</f>
        <v>0.08</v>
      </c>
      <c r="E4148" s="5">
        <f ca="1">IF(getQuality(B4148)&lt;4,getOtherMax(B4148,C4148,INDIRECT(J$2),INDIRECT(I4148),test),getMax(B4148,C4148,INDIRECT(J$2),INDIRECT(I4148),test))</f>
        <v>0.16</v>
      </c>
      <c r="F4148" s="1" t="str">
        <f t="shared" si="259"/>
        <v>50</v>
      </c>
      <c r="G4148" s="1" t="str">
        <f t="shared" si="260"/>
        <v/>
      </c>
      <c r="I4148" s="1" t="str">
        <f t="shared" si="258"/>
        <v>威尔新数值1.06.xlsm!monsterDamage</v>
      </c>
    </row>
    <row r="4149" spans="1:9" x14ac:dyDescent="0.15">
      <c r="A4149" s="1">
        <v>4148</v>
      </c>
      <c r="B4149" s="1">
        <v>103020900</v>
      </c>
      <c r="C4149" s="1">
        <f t="shared" si="257"/>
        <v>105</v>
      </c>
      <c r="D4149" s="5">
        <f ca="1">IF(getQuality(B4149)&lt;4,getOtherMin(B4149,C4149,INDIRECT(J$2),INDIRECT(I4149),test),getMin(B4149,C4149,INDIRECT(J$2),INDIRECT(I4149),test))</f>
        <v>0.08</v>
      </c>
      <c r="E4149" s="5">
        <f ca="1">IF(getQuality(B4149)&lt;4,getOtherMax(B4149,C4149,INDIRECT(J$2),INDIRECT(I4149),test),getMax(B4149,C4149,INDIRECT(J$2),INDIRECT(I4149),test))</f>
        <v>0.16</v>
      </c>
      <c r="F4149" s="1" t="str">
        <f t="shared" si="259"/>
        <v>50</v>
      </c>
      <c r="G4149" s="1" t="str">
        <f t="shared" si="260"/>
        <v/>
      </c>
      <c r="I4149" s="1" t="str">
        <f t="shared" si="258"/>
        <v>威尔新数值1.06.xlsm!monsterDamage</v>
      </c>
    </row>
    <row r="4150" spans="1:9" x14ac:dyDescent="0.15">
      <c r="A4150" s="1">
        <v>4149</v>
      </c>
      <c r="B4150" s="1">
        <v>103020900</v>
      </c>
      <c r="C4150" s="1">
        <f t="shared" si="257"/>
        <v>106</v>
      </c>
      <c r="D4150" s="5">
        <f ca="1">IF(getQuality(B4150)&lt;4,getOtherMin(B4150,C4150,INDIRECT(J$2),INDIRECT(I4150),test),getMin(B4150,C4150,INDIRECT(J$2),INDIRECT(I4150),test))</f>
        <v>0.08</v>
      </c>
      <c r="E4150" s="5">
        <f ca="1">IF(getQuality(B4150)&lt;4,getOtherMax(B4150,C4150,INDIRECT(J$2),INDIRECT(I4150),test),getMax(B4150,C4150,INDIRECT(J$2),INDIRECT(I4150),test))</f>
        <v>0.16</v>
      </c>
      <c r="F4150" s="1" t="str">
        <f t="shared" si="259"/>
        <v>50</v>
      </c>
      <c r="G4150" s="1" t="str">
        <f t="shared" si="260"/>
        <v/>
      </c>
      <c r="I4150" s="1" t="str">
        <f t="shared" si="258"/>
        <v>威尔新数值1.06.xlsm!monsterDamage</v>
      </c>
    </row>
    <row r="4151" spans="1:9" x14ac:dyDescent="0.15">
      <c r="A4151" s="1">
        <v>4150</v>
      </c>
      <c r="B4151" s="1">
        <v>103020900</v>
      </c>
      <c r="C4151" s="1">
        <f t="shared" si="257"/>
        <v>107</v>
      </c>
      <c r="D4151" s="5">
        <f ca="1">IF(getQuality(B4151)&lt;4,getOtherMin(B4151,C4151,INDIRECT(J$2),INDIRECT(I4151),test),getMin(B4151,C4151,INDIRECT(J$2),INDIRECT(I4151),test))</f>
        <v>0.08</v>
      </c>
      <c r="E4151" s="5">
        <f ca="1">IF(getQuality(B4151)&lt;4,getOtherMax(B4151,C4151,INDIRECT(J$2),INDIRECT(I4151),test),getMax(B4151,C4151,INDIRECT(J$2),INDIRECT(I4151),test))</f>
        <v>0.16</v>
      </c>
      <c r="F4151" s="1" t="str">
        <f t="shared" si="259"/>
        <v>50</v>
      </c>
      <c r="G4151" s="1" t="str">
        <f t="shared" si="260"/>
        <v/>
      </c>
      <c r="I4151" s="1" t="str">
        <f t="shared" si="258"/>
        <v>威尔新数值1.06.xlsm!monsterDamage</v>
      </c>
    </row>
    <row r="4152" spans="1:9" x14ac:dyDescent="0.15">
      <c r="A4152" s="1">
        <v>4151</v>
      </c>
      <c r="B4152" s="1">
        <v>103020900</v>
      </c>
      <c r="C4152" s="1">
        <f t="shared" si="257"/>
        <v>108</v>
      </c>
      <c r="D4152" s="5">
        <f ca="1">IF(getQuality(B4152)&lt;4,getOtherMin(B4152,C4152,INDIRECT(J$2),INDIRECT(I4152),test),getMin(B4152,C4152,INDIRECT(J$2),INDIRECT(I4152),test))</f>
        <v>0.08</v>
      </c>
      <c r="E4152" s="5">
        <f ca="1">IF(getQuality(B4152)&lt;4,getOtherMax(B4152,C4152,INDIRECT(J$2),INDIRECT(I4152),test),getMax(B4152,C4152,INDIRECT(J$2),INDIRECT(I4152),test))</f>
        <v>0.16</v>
      </c>
      <c r="F4152" s="1" t="str">
        <f t="shared" si="259"/>
        <v>50</v>
      </c>
      <c r="G4152" s="1" t="str">
        <f t="shared" si="260"/>
        <v/>
      </c>
      <c r="I4152" s="1" t="str">
        <f t="shared" si="258"/>
        <v>威尔新数值1.06.xlsm!monsterDamage</v>
      </c>
    </row>
    <row r="4153" spans="1:9" x14ac:dyDescent="0.15">
      <c r="A4153" s="1">
        <v>4152</v>
      </c>
      <c r="B4153" s="1">
        <v>103030900</v>
      </c>
      <c r="C4153" s="1">
        <f t="shared" si="257"/>
        <v>3</v>
      </c>
      <c r="D4153" s="5">
        <f ca="1">IF(getQuality(B4153)&lt;4,getOtherMin(B4153,C4153,INDIRECT(J$2),INDIRECT(I4153),test),getMin(B4153,C4153,INDIRECT(J$2),INDIRECT(I4153),test))</f>
        <v>53.82172660977222</v>
      </c>
      <c r="E4153" s="5">
        <f ca="1">IF(getQuality(B4153)&lt;4,getOtherMax(B4153,C4153,INDIRECT(J$2),INDIRECT(I4153),test),getMax(B4153,C4153,INDIRECT(J$2),INDIRECT(I4153),test))</f>
        <v>86.435552634172723</v>
      </c>
      <c r="F4153" s="1" t="str">
        <f t="shared" si="259"/>
        <v>50</v>
      </c>
      <c r="G4153" s="1" t="str">
        <f t="shared" si="260"/>
        <v/>
      </c>
      <c r="I4153" s="1" t="str">
        <f t="shared" si="258"/>
        <v>威尔新数值1.06.xlsm!suitPower</v>
      </c>
    </row>
    <row r="4154" spans="1:9" x14ac:dyDescent="0.15">
      <c r="A4154" s="1">
        <v>4153</v>
      </c>
      <c r="B4154" s="1">
        <v>103030900</v>
      </c>
      <c r="C4154" s="1">
        <f t="shared" si="257"/>
        <v>5</v>
      </c>
      <c r="D4154" s="5">
        <f ca="1">IF(getQuality(B4154)&lt;4,getOtherMin(B4154,C4154,INDIRECT(J$2),INDIRECT(I4154),test),getMin(B4154,C4154,INDIRECT(J$2),INDIRECT(I4154),test))</f>
        <v>53.82172660977222</v>
      </c>
      <c r="E4154" s="5">
        <f ca="1">IF(getQuality(B4154)&lt;4,getOtherMax(B4154,C4154,INDIRECT(J$2),INDIRECT(I4154),test),getMax(B4154,C4154,INDIRECT(J$2),INDIRECT(I4154),test))</f>
        <v>86.435552634172723</v>
      </c>
      <c r="F4154" s="1" t="str">
        <f t="shared" si="259"/>
        <v>50</v>
      </c>
      <c r="G4154" s="1" t="str">
        <f t="shared" si="260"/>
        <v>1</v>
      </c>
      <c r="I4154" s="1" t="str">
        <f t="shared" si="258"/>
        <v>威尔新数值1.06.xlsm!suitPower</v>
      </c>
    </row>
    <row r="4155" spans="1:9" x14ac:dyDescent="0.15">
      <c r="A4155" s="1">
        <v>4154</v>
      </c>
      <c r="B4155" s="1">
        <v>103030900</v>
      </c>
      <c r="C4155" s="1">
        <f t="shared" si="257"/>
        <v>7</v>
      </c>
      <c r="D4155" s="5">
        <f ca="1">IF(getQuality(B4155)&lt;4,getOtherMin(B4155,C4155,INDIRECT(J$2),INDIRECT(I4155),test),getMin(B4155,C4155,INDIRECT(J$2),INDIRECT(I4155),test))</f>
        <v>15.814814814814778</v>
      </c>
      <c r="E4155" s="5">
        <f ca="1">IF(getQuality(B4155)&lt;4,getOtherMax(B4155,C4155,INDIRECT(J$2),INDIRECT(I4155),test),getMax(B4155,C4155,INDIRECT(J$2),INDIRECT(I4155),test))</f>
        <v>22.222222222222165</v>
      </c>
      <c r="F4155" s="1" t="str">
        <f t="shared" si="259"/>
        <v>50</v>
      </c>
      <c r="G4155" s="1" t="str">
        <f t="shared" si="260"/>
        <v/>
      </c>
      <c r="I4155" s="1" t="str">
        <f t="shared" si="258"/>
        <v>威尔新数值1.06.xlsm!suitPower</v>
      </c>
    </row>
    <row r="4156" spans="1:9" x14ac:dyDescent="0.15">
      <c r="A4156" s="1">
        <v>4155</v>
      </c>
      <c r="B4156" s="1">
        <v>103030900</v>
      </c>
      <c r="C4156" s="1">
        <f t="shared" ref="C4156:C4219" si="261">C1681</f>
        <v>8</v>
      </c>
      <c r="D4156" s="5">
        <f ca="1">IF(getQuality(B4156)&lt;4,getOtherMin(B4156,C4156,INDIRECT(J$2),INDIRECT(I4156),test),getMin(B4156,C4156,INDIRECT(J$2),INDIRECT(I4156),test))</f>
        <v>34.333333333333336</v>
      </c>
      <c r="E4156" s="5">
        <f ca="1">IF(getQuality(B4156)&lt;4,getOtherMax(B4156,C4156,INDIRECT(J$2),INDIRECT(I4156),test),getMax(B4156,C4156,INDIRECT(J$2),INDIRECT(I4156),test))</f>
        <v>50</v>
      </c>
      <c r="F4156" s="1" t="str">
        <f t="shared" si="259"/>
        <v>50</v>
      </c>
      <c r="G4156" s="1" t="str">
        <f t="shared" si="260"/>
        <v/>
      </c>
      <c r="I4156" s="1" t="str">
        <f t="shared" si="258"/>
        <v>威尔新数值1.06.xlsm!suitPower</v>
      </c>
    </row>
    <row r="4157" spans="1:9" x14ac:dyDescent="0.15">
      <c r="A4157" s="1">
        <v>4156</v>
      </c>
      <c r="B4157" s="1">
        <v>103030900</v>
      </c>
      <c r="C4157" s="1">
        <f t="shared" si="261"/>
        <v>9</v>
      </c>
      <c r="D4157" s="5">
        <f ca="1">IF(getQuality(B4157)&lt;4,getOtherMin(B4157,C4157,INDIRECT(J$2),INDIRECT(I4157),test),getMin(B4157,C4157,INDIRECT(J$2),INDIRECT(I4157),test))</f>
        <v>53.82172660977222</v>
      </c>
      <c r="E4157" s="5">
        <f ca="1">IF(getQuality(B4157)&lt;4,getOtherMax(B4157,C4157,INDIRECT(J$2),INDIRECT(I4157),test),getMax(B4157,C4157,INDIRECT(J$2),INDIRECT(I4157),test))</f>
        <v>86.435552634172723</v>
      </c>
      <c r="F4157" s="1" t="str">
        <f t="shared" si="259"/>
        <v>50</v>
      </c>
      <c r="G4157" s="1" t="str">
        <f t="shared" si="260"/>
        <v/>
      </c>
      <c r="I4157" s="1" t="str">
        <f t="shared" si="258"/>
        <v>威尔新数值1.06.xlsm!suitPower</v>
      </c>
    </row>
    <row r="4158" spans="1:9" x14ac:dyDescent="0.15">
      <c r="A4158" s="1">
        <v>4157</v>
      </c>
      <c r="B4158" s="1">
        <v>103030900</v>
      </c>
      <c r="C4158" s="1">
        <f t="shared" si="261"/>
        <v>10</v>
      </c>
      <c r="D4158" s="5">
        <f ca="1">IF(getQuality(B4158)&lt;4,getOtherMin(B4158,C4158,INDIRECT(J$2),INDIRECT(I4158),test),getMin(B4158,C4158,INDIRECT(J$2),INDIRECT(I4158),test))</f>
        <v>53.82172660977222</v>
      </c>
      <c r="E4158" s="5">
        <f ca="1">IF(getQuality(B4158)&lt;4,getOtherMax(B4158,C4158,INDIRECT(J$2),INDIRECT(I4158),test),getMax(B4158,C4158,INDIRECT(J$2),INDIRECT(I4158),test))</f>
        <v>86.435552634172723</v>
      </c>
      <c r="F4158" s="1" t="str">
        <f t="shared" si="259"/>
        <v>50</v>
      </c>
      <c r="G4158" s="1" t="str">
        <f t="shared" si="260"/>
        <v/>
      </c>
      <c r="I4158" s="1" t="str">
        <f t="shared" si="258"/>
        <v>威尔新数值1.06.xlsm!suitPower</v>
      </c>
    </row>
    <row r="4159" spans="1:9" x14ac:dyDescent="0.15">
      <c r="A4159" s="1">
        <v>4158</v>
      </c>
      <c r="B4159" s="1">
        <v>103030900</v>
      </c>
      <c r="C4159" s="1">
        <f t="shared" si="261"/>
        <v>11</v>
      </c>
      <c r="D4159" s="5">
        <f ca="1">IF(getQuality(B4159)&lt;4,getOtherMin(B4159,C4159,INDIRECT(J$2),INDIRECT(I4159),test),getMin(B4159,C4159,INDIRECT(J$2),INDIRECT(I4159),test))</f>
        <v>53.82172660977222</v>
      </c>
      <c r="E4159" s="5">
        <f ca="1">IF(getQuality(B4159)&lt;4,getOtherMax(B4159,C4159,INDIRECT(J$2),INDIRECT(I4159),test),getMax(B4159,C4159,INDIRECT(J$2),INDIRECT(I4159),test))</f>
        <v>86.435552634172723</v>
      </c>
      <c r="F4159" s="1" t="str">
        <f t="shared" si="259"/>
        <v>50</v>
      </c>
      <c r="G4159" s="1" t="str">
        <f t="shared" si="260"/>
        <v/>
      </c>
      <c r="I4159" s="1" t="str">
        <f t="shared" si="258"/>
        <v>威尔新数值1.06.xlsm!suitPower</v>
      </c>
    </row>
    <row r="4160" spans="1:9" x14ac:dyDescent="0.15">
      <c r="A4160" s="1">
        <v>4159</v>
      </c>
      <c r="B4160" s="1">
        <v>103030900</v>
      </c>
      <c r="C4160" s="1">
        <f t="shared" si="261"/>
        <v>12</v>
      </c>
      <c r="D4160" s="5">
        <f ca="1">IF(getQuality(B4160)&lt;4,getOtherMin(B4160,C4160,INDIRECT(J$2),INDIRECT(I4160),test),getMin(B4160,C4160,INDIRECT(J$2),INDIRECT(I4160),test))</f>
        <v>53.82172660977222</v>
      </c>
      <c r="E4160" s="5">
        <f ca="1">IF(getQuality(B4160)&lt;4,getOtherMax(B4160,C4160,INDIRECT(J$2),INDIRECT(I4160),test),getMax(B4160,C4160,INDIRECT(J$2),INDIRECT(I4160),test))</f>
        <v>86.435552634172723</v>
      </c>
      <c r="F4160" s="1" t="str">
        <f t="shared" si="259"/>
        <v>50</v>
      </c>
      <c r="G4160" s="1" t="str">
        <f t="shared" si="260"/>
        <v/>
      </c>
      <c r="I4160" s="1" t="str">
        <f t="shared" si="258"/>
        <v>威尔新数值1.06.xlsm!suitPower</v>
      </c>
    </row>
    <row r="4161" spans="1:9" x14ac:dyDescent="0.15">
      <c r="A4161" s="1">
        <v>4160</v>
      </c>
      <c r="B4161" s="1">
        <v>103030900</v>
      </c>
      <c r="C4161" s="1">
        <f t="shared" si="261"/>
        <v>13</v>
      </c>
      <c r="D4161" s="5">
        <f ca="1">IF(getQuality(B4161)&lt;4,getOtherMin(B4161,C4161,INDIRECT(J$2),INDIRECT(I4161),test),getMin(B4161,C4161,INDIRECT(J$2),INDIRECT(I4161),test))</f>
        <v>53.82172660977222</v>
      </c>
      <c r="E4161" s="5">
        <f ca="1">IF(getQuality(B4161)&lt;4,getOtherMax(B4161,C4161,INDIRECT(J$2),INDIRECT(I4161),test),getMax(B4161,C4161,INDIRECT(J$2),INDIRECT(I4161),test))</f>
        <v>86.435552634172723</v>
      </c>
      <c r="F4161" s="1" t="str">
        <f t="shared" si="259"/>
        <v>50</v>
      </c>
      <c r="G4161" s="1" t="str">
        <f t="shared" si="260"/>
        <v/>
      </c>
      <c r="I4161" s="1" t="str">
        <f t="shared" si="258"/>
        <v>威尔新数值1.06.xlsm!suitPower</v>
      </c>
    </row>
    <row r="4162" spans="1:9" x14ac:dyDescent="0.15">
      <c r="A4162" s="1">
        <v>4161</v>
      </c>
      <c r="B4162" s="1">
        <v>103030900</v>
      </c>
      <c r="C4162" s="1">
        <f t="shared" si="261"/>
        <v>14</v>
      </c>
      <c r="D4162" s="5">
        <f ca="1">IF(getQuality(B4162)&lt;4,getOtherMin(B4162,C4162,INDIRECT(J$2),INDIRECT(I4162),test),getMin(B4162,C4162,INDIRECT(J$2),INDIRECT(I4162),test))</f>
        <v>53.82172660977222</v>
      </c>
      <c r="E4162" s="5">
        <f ca="1">IF(getQuality(B4162)&lt;4,getOtherMax(B4162,C4162,INDIRECT(J$2),INDIRECT(I4162),test),getMax(B4162,C4162,INDIRECT(J$2),INDIRECT(I4162),test))</f>
        <v>86.435552634172723</v>
      </c>
      <c r="F4162" s="1" t="str">
        <f t="shared" si="259"/>
        <v>50</v>
      </c>
      <c r="G4162" s="1" t="str">
        <f t="shared" si="260"/>
        <v/>
      </c>
      <c r="I4162" s="1" t="str">
        <f t="shared" ref="I4162:I4225" si="262">IF(C4162&lt;100,VLOOKUP(C4162,test,3,FALSE),VLOOKUP(C4162,test1,3,FALSE))</f>
        <v>威尔新数值1.06.xlsm!suitPower</v>
      </c>
    </row>
    <row r="4163" spans="1:9" x14ac:dyDescent="0.15">
      <c r="A4163" s="1">
        <v>4162</v>
      </c>
      <c r="B4163" s="1">
        <v>103030900</v>
      </c>
      <c r="C4163" s="1">
        <f t="shared" si="261"/>
        <v>15</v>
      </c>
      <c r="D4163" s="5">
        <f ca="1">IF(getQuality(B4163)&lt;4,getOtherMin(B4163,C4163,INDIRECT(J$2),INDIRECT(I4163),test),getMin(B4163,C4163,INDIRECT(J$2),INDIRECT(I4163),test))</f>
        <v>53.82172660977222</v>
      </c>
      <c r="E4163" s="5">
        <f ca="1">IF(getQuality(B4163)&lt;4,getOtherMax(B4163,C4163,INDIRECT(J$2),INDIRECT(I4163),test),getMax(B4163,C4163,INDIRECT(J$2),INDIRECT(I4163),test))</f>
        <v>86.435552634172723</v>
      </c>
      <c r="F4163" s="1" t="str">
        <f t="shared" ref="F4163:F4226" si="263">getper(B4163,C4163)</f>
        <v>50</v>
      </c>
      <c r="G4163" s="1" t="str">
        <f t="shared" ref="G4163:G4226" si="264">getMust(B4163,C4163)</f>
        <v/>
      </c>
      <c r="I4163" s="1" t="str">
        <f t="shared" si="262"/>
        <v>威尔新数值1.06.xlsm!suitPower</v>
      </c>
    </row>
    <row r="4164" spans="1:9" x14ac:dyDescent="0.15">
      <c r="A4164" s="1">
        <v>4163</v>
      </c>
      <c r="B4164" s="1">
        <v>103030900</v>
      </c>
      <c r="C4164" s="1">
        <f t="shared" si="261"/>
        <v>101</v>
      </c>
      <c r="D4164" s="5">
        <f ca="1">IF(getQuality(B4164)&lt;4,getOtherMin(B4164,C4164,INDIRECT(J$2),INDIRECT(I4164),test),getMin(B4164,C4164,INDIRECT(J$2),INDIRECT(I4164),test))</f>
        <v>0.09</v>
      </c>
      <c r="E4164" s="5">
        <f ca="1">IF(getQuality(B4164)&lt;4,getOtherMax(B4164,C4164,INDIRECT(J$2),INDIRECT(I4164),test),getMax(B4164,C4164,INDIRECT(J$2),INDIRECT(I4164),test))</f>
        <v>0.12</v>
      </c>
      <c r="F4164" s="1" t="str">
        <f t="shared" si="263"/>
        <v>50</v>
      </c>
      <c r="G4164" s="1" t="str">
        <f t="shared" si="264"/>
        <v/>
      </c>
      <c r="I4164" s="1" t="str">
        <f t="shared" si="262"/>
        <v>威尔新数值1.06.xlsm!circlePer</v>
      </c>
    </row>
    <row r="4165" spans="1:9" x14ac:dyDescent="0.15">
      <c r="A4165" s="1">
        <v>4164</v>
      </c>
      <c r="B4165" s="1">
        <v>103030900</v>
      </c>
      <c r="C4165" s="1">
        <f t="shared" si="261"/>
        <v>102</v>
      </c>
      <c r="D4165" s="5">
        <f ca="1">IF(getQuality(B4165)&lt;4,getOtherMin(B4165,C4165,INDIRECT(J$2),INDIRECT(I4165),test),getMin(B4165,C4165,INDIRECT(J$2),INDIRECT(I4165),test))</f>
        <v>0.8</v>
      </c>
      <c r="E4165" s="5">
        <f ca="1">IF(getQuality(B4165)&lt;4,getOtherMax(B4165,C4165,INDIRECT(J$2),INDIRECT(I4165),test),getMax(B4165,C4165,INDIRECT(J$2),INDIRECT(I4165),test))</f>
        <v>1.1000000000000001</v>
      </c>
      <c r="F4165" s="1" t="str">
        <f t="shared" si="263"/>
        <v>50</v>
      </c>
      <c r="G4165" s="1" t="str">
        <f t="shared" si="264"/>
        <v/>
      </c>
      <c r="I4165" s="1" t="str">
        <f t="shared" si="262"/>
        <v>威尔新数值1.06.xlsm!circleValue</v>
      </c>
    </row>
    <row r="4166" spans="1:9" x14ac:dyDescent="0.15">
      <c r="A4166" s="1">
        <v>4165</v>
      </c>
      <c r="B4166" s="1">
        <v>103030900</v>
      </c>
      <c r="C4166" s="1">
        <f t="shared" si="261"/>
        <v>103</v>
      </c>
      <c r="D4166" s="5">
        <f ca="1">IF(getQuality(B4166)&lt;4,getOtherMin(B4166,C4166,INDIRECT(J$2),INDIRECT(I4166),test),getMin(B4166,C4166,INDIRECT(J$2),INDIRECT(I4166),test))</f>
        <v>0.09</v>
      </c>
      <c r="E4166" s="5">
        <f ca="1">IF(getQuality(B4166)&lt;4,getOtherMax(B4166,C4166,INDIRECT(J$2),INDIRECT(I4166),test),getMax(B4166,C4166,INDIRECT(J$2),INDIRECT(I4166),test))</f>
        <v>0.12</v>
      </c>
      <c r="F4166" s="1" t="str">
        <f t="shared" si="263"/>
        <v>50</v>
      </c>
      <c r="G4166" s="1" t="str">
        <f t="shared" si="264"/>
        <v/>
      </c>
      <c r="I4166" s="1" t="str">
        <f t="shared" si="262"/>
        <v>威尔新数值1.06.xlsm!otherDamage</v>
      </c>
    </row>
    <row r="4167" spans="1:9" x14ac:dyDescent="0.15">
      <c r="A4167" s="1">
        <v>4166</v>
      </c>
      <c r="B4167" s="1">
        <v>103030900</v>
      </c>
      <c r="C4167" s="1">
        <f t="shared" si="261"/>
        <v>104</v>
      </c>
      <c r="D4167" s="5">
        <f ca="1">IF(getQuality(B4167)&lt;4,getOtherMin(B4167,C4167,INDIRECT(J$2),INDIRECT(I4167),test),getMin(B4167,C4167,INDIRECT(J$2),INDIRECT(I4167),test))</f>
        <v>0.09</v>
      </c>
      <c r="E4167" s="5">
        <f ca="1">IF(getQuality(B4167)&lt;4,getOtherMax(B4167,C4167,INDIRECT(J$2),INDIRECT(I4167),test),getMax(B4167,C4167,INDIRECT(J$2),INDIRECT(I4167),test))</f>
        <v>0.18</v>
      </c>
      <c r="F4167" s="1" t="str">
        <f t="shared" si="263"/>
        <v>50</v>
      </c>
      <c r="G4167" s="1" t="str">
        <f t="shared" si="264"/>
        <v/>
      </c>
      <c r="I4167" s="1" t="str">
        <f t="shared" si="262"/>
        <v>威尔新数值1.06.xlsm!monsterDamage</v>
      </c>
    </row>
    <row r="4168" spans="1:9" x14ac:dyDescent="0.15">
      <c r="A4168" s="1">
        <v>4167</v>
      </c>
      <c r="B4168" s="1">
        <v>103030900</v>
      </c>
      <c r="C4168" s="1">
        <f t="shared" si="261"/>
        <v>105</v>
      </c>
      <c r="D4168" s="5">
        <f ca="1">IF(getQuality(B4168)&lt;4,getOtherMin(B4168,C4168,INDIRECT(J$2),INDIRECT(I4168),test),getMin(B4168,C4168,INDIRECT(J$2),INDIRECT(I4168),test))</f>
        <v>0.09</v>
      </c>
      <c r="E4168" s="5">
        <f ca="1">IF(getQuality(B4168)&lt;4,getOtherMax(B4168,C4168,INDIRECT(J$2),INDIRECT(I4168),test),getMax(B4168,C4168,INDIRECT(J$2),INDIRECT(I4168),test))</f>
        <v>0.18</v>
      </c>
      <c r="F4168" s="1" t="str">
        <f t="shared" si="263"/>
        <v>50</v>
      </c>
      <c r="G4168" s="1" t="str">
        <f t="shared" si="264"/>
        <v/>
      </c>
      <c r="I4168" s="1" t="str">
        <f t="shared" si="262"/>
        <v>威尔新数值1.06.xlsm!monsterDamage</v>
      </c>
    </row>
    <row r="4169" spans="1:9" x14ac:dyDescent="0.15">
      <c r="A4169" s="1">
        <v>4168</v>
      </c>
      <c r="B4169" s="1">
        <v>103030900</v>
      </c>
      <c r="C4169" s="1">
        <f t="shared" si="261"/>
        <v>106</v>
      </c>
      <c r="D4169" s="5">
        <f ca="1">IF(getQuality(B4169)&lt;4,getOtherMin(B4169,C4169,INDIRECT(J$2),INDIRECT(I4169),test),getMin(B4169,C4169,INDIRECT(J$2),INDIRECT(I4169),test))</f>
        <v>0.09</v>
      </c>
      <c r="E4169" s="5">
        <f ca="1">IF(getQuality(B4169)&lt;4,getOtherMax(B4169,C4169,INDIRECT(J$2),INDIRECT(I4169),test),getMax(B4169,C4169,INDIRECT(J$2),INDIRECT(I4169),test))</f>
        <v>0.18</v>
      </c>
      <c r="F4169" s="1" t="str">
        <f t="shared" si="263"/>
        <v>50</v>
      </c>
      <c r="G4169" s="1" t="str">
        <f t="shared" si="264"/>
        <v/>
      </c>
      <c r="I4169" s="1" t="str">
        <f t="shared" si="262"/>
        <v>威尔新数值1.06.xlsm!monsterDamage</v>
      </c>
    </row>
    <row r="4170" spans="1:9" x14ac:dyDescent="0.15">
      <c r="A4170" s="1">
        <v>4169</v>
      </c>
      <c r="B4170" s="1">
        <v>103030900</v>
      </c>
      <c r="C4170" s="1">
        <f t="shared" si="261"/>
        <v>107</v>
      </c>
      <c r="D4170" s="5">
        <f ca="1">IF(getQuality(B4170)&lt;4,getOtherMin(B4170,C4170,INDIRECT(J$2),INDIRECT(I4170),test),getMin(B4170,C4170,INDIRECT(J$2),INDIRECT(I4170),test))</f>
        <v>0.09</v>
      </c>
      <c r="E4170" s="5">
        <f ca="1">IF(getQuality(B4170)&lt;4,getOtherMax(B4170,C4170,INDIRECT(J$2),INDIRECT(I4170),test),getMax(B4170,C4170,INDIRECT(J$2),INDIRECT(I4170),test))</f>
        <v>0.18</v>
      </c>
      <c r="F4170" s="1" t="str">
        <f t="shared" si="263"/>
        <v>50</v>
      </c>
      <c r="G4170" s="1" t="str">
        <f t="shared" si="264"/>
        <v/>
      </c>
      <c r="I4170" s="1" t="str">
        <f t="shared" si="262"/>
        <v>威尔新数值1.06.xlsm!monsterDamage</v>
      </c>
    </row>
    <row r="4171" spans="1:9" x14ac:dyDescent="0.15">
      <c r="A4171" s="1">
        <v>4170</v>
      </c>
      <c r="B4171" s="1">
        <v>103030900</v>
      </c>
      <c r="C4171" s="1">
        <f t="shared" si="261"/>
        <v>108</v>
      </c>
      <c r="D4171" s="5">
        <f ca="1">IF(getQuality(B4171)&lt;4,getOtherMin(B4171,C4171,INDIRECT(J$2),INDIRECT(I4171),test),getMin(B4171,C4171,INDIRECT(J$2),INDIRECT(I4171),test))</f>
        <v>0.09</v>
      </c>
      <c r="E4171" s="5">
        <f ca="1">IF(getQuality(B4171)&lt;4,getOtherMax(B4171,C4171,INDIRECT(J$2),INDIRECT(I4171),test),getMax(B4171,C4171,INDIRECT(J$2),INDIRECT(I4171),test))</f>
        <v>0.18</v>
      </c>
      <c r="F4171" s="1" t="str">
        <f t="shared" si="263"/>
        <v>50</v>
      </c>
      <c r="G4171" s="1" t="str">
        <f t="shared" si="264"/>
        <v/>
      </c>
      <c r="I4171" s="1" t="str">
        <f t="shared" si="262"/>
        <v>威尔新数值1.06.xlsm!monsterDamage</v>
      </c>
    </row>
    <row r="4172" spans="1:9" x14ac:dyDescent="0.15">
      <c r="A4172" s="1">
        <v>4171</v>
      </c>
      <c r="B4172" s="1">
        <v>103040900</v>
      </c>
      <c r="C4172" s="1">
        <f t="shared" si="261"/>
        <v>3</v>
      </c>
      <c r="D4172" s="5">
        <f ca="1">IF(getQuality(B4172)&lt;4,getOtherMin(B4172,C4172,INDIRECT(J$2),INDIRECT(I4172),test),getMin(B4172,C4172,INDIRECT(J$2),INDIRECT(I4172),test))</f>
        <v>87.435552634172723</v>
      </c>
      <c r="E4172" s="5">
        <f ca="1">IF(getQuality(B4172)&lt;4,getOtherMax(B4172,C4172,INDIRECT(J$2),INDIRECT(I4172),test),getMax(B4172,C4172,INDIRECT(J$2),INDIRECT(I4172),test))</f>
        <v>124.85135380491616</v>
      </c>
      <c r="F4172" s="1" t="str">
        <f t="shared" si="263"/>
        <v>50</v>
      </c>
      <c r="G4172" s="1" t="str">
        <f t="shared" si="264"/>
        <v/>
      </c>
      <c r="I4172" s="1" t="str">
        <f t="shared" si="262"/>
        <v>威尔新数值1.06.xlsm!suitPower</v>
      </c>
    </row>
    <row r="4173" spans="1:9" x14ac:dyDescent="0.15">
      <c r="A4173" s="1">
        <v>4172</v>
      </c>
      <c r="B4173" s="1">
        <v>103040900</v>
      </c>
      <c r="C4173" s="1">
        <f t="shared" si="261"/>
        <v>5</v>
      </c>
      <c r="D4173" s="5">
        <f ca="1">IF(getQuality(B4173)&lt;4,getOtherMin(B4173,C4173,INDIRECT(J$2),INDIRECT(I4173),test),getMin(B4173,C4173,INDIRECT(J$2),INDIRECT(I4173),test))</f>
        <v>87.435552634172723</v>
      </c>
      <c r="E4173" s="5">
        <f ca="1">IF(getQuality(B4173)&lt;4,getOtherMax(B4173,C4173,INDIRECT(J$2),INDIRECT(I4173),test),getMax(B4173,C4173,INDIRECT(J$2),INDIRECT(I4173),test))</f>
        <v>124.85135380491616</v>
      </c>
      <c r="F4173" s="1" t="str">
        <f t="shared" si="263"/>
        <v>50</v>
      </c>
      <c r="G4173" s="1" t="str">
        <f t="shared" si="264"/>
        <v>1</v>
      </c>
      <c r="I4173" s="1" t="str">
        <f t="shared" si="262"/>
        <v>威尔新数值1.06.xlsm!suitPower</v>
      </c>
    </row>
    <row r="4174" spans="1:9" x14ac:dyDescent="0.15">
      <c r="A4174" s="1">
        <v>4173</v>
      </c>
      <c r="B4174" s="1">
        <v>103040900</v>
      </c>
      <c r="C4174" s="1">
        <f t="shared" si="261"/>
        <v>7</v>
      </c>
      <c r="D4174" s="5">
        <f ca="1">IF(getQuality(B4174)&lt;4,getOtherMin(B4174,C4174,INDIRECT(J$2),INDIRECT(I4174),test),getMin(B4174,C4174,INDIRECT(J$2),INDIRECT(I4174),test))</f>
        <v>23.222222222222165</v>
      </c>
      <c r="E4174" s="5">
        <f ca="1">IF(getQuality(B4174)&lt;4,getOtherMax(B4174,C4174,INDIRECT(J$2),INDIRECT(I4174),test),getMax(B4174,C4174,INDIRECT(J$2),INDIRECT(I4174),test))</f>
        <v>29.629629629629555</v>
      </c>
      <c r="F4174" s="1" t="str">
        <f t="shared" si="263"/>
        <v>50</v>
      </c>
      <c r="G4174" s="1" t="str">
        <f t="shared" si="264"/>
        <v/>
      </c>
      <c r="I4174" s="1" t="str">
        <f t="shared" si="262"/>
        <v>威尔新数值1.06.xlsm!suitPower</v>
      </c>
    </row>
    <row r="4175" spans="1:9" x14ac:dyDescent="0.15">
      <c r="A4175" s="1">
        <v>4174</v>
      </c>
      <c r="B4175" s="1">
        <v>103040900</v>
      </c>
      <c r="C4175" s="1">
        <f t="shared" si="261"/>
        <v>8</v>
      </c>
      <c r="D4175" s="5">
        <f ca="1">IF(getQuality(B4175)&lt;4,getOtherMin(B4175,C4175,INDIRECT(J$2),INDIRECT(I4175),test),getMin(B4175,C4175,INDIRECT(J$2),INDIRECT(I4175),test))</f>
        <v>51</v>
      </c>
      <c r="E4175" s="5">
        <f ca="1">IF(getQuality(B4175)&lt;4,getOtherMax(B4175,C4175,INDIRECT(J$2),INDIRECT(I4175),test),getMax(B4175,C4175,INDIRECT(J$2),INDIRECT(I4175),test))</f>
        <v>66.666666666666671</v>
      </c>
      <c r="F4175" s="1" t="str">
        <f t="shared" si="263"/>
        <v>50</v>
      </c>
      <c r="G4175" s="1" t="str">
        <f t="shared" si="264"/>
        <v/>
      </c>
      <c r="I4175" s="1" t="str">
        <f t="shared" si="262"/>
        <v>威尔新数值1.06.xlsm!suitPower</v>
      </c>
    </row>
    <row r="4176" spans="1:9" x14ac:dyDescent="0.15">
      <c r="A4176" s="1">
        <v>4175</v>
      </c>
      <c r="B4176" s="1">
        <v>103040900</v>
      </c>
      <c r="C4176" s="1">
        <f t="shared" si="261"/>
        <v>9</v>
      </c>
      <c r="D4176" s="5">
        <f ca="1">IF(getQuality(B4176)&lt;4,getOtherMin(B4176,C4176,INDIRECT(J$2),INDIRECT(I4176),test),getMin(B4176,C4176,INDIRECT(J$2),INDIRECT(I4176),test))</f>
        <v>87.435552634172723</v>
      </c>
      <c r="E4176" s="5">
        <f ca="1">IF(getQuality(B4176)&lt;4,getOtherMax(B4176,C4176,INDIRECT(J$2),INDIRECT(I4176),test),getMax(B4176,C4176,INDIRECT(J$2),INDIRECT(I4176),test))</f>
        <v>124.85135380491616</v>
      </c>
      <c r="F4176" s="1" t="str">
        <f t="shared" si="263"/>
        <v>50</v>
      </c>
      <c r="G4176" s="1" t="str">
        <f t="shared" si="264"/>
        <v/>
      </c>
      <c r="I4176" s="1" t="str">
        <f t="shared" si="262"/>
        <v>威尔新数值1.06.xlsm!suitPower</v>
      </c>
    </row>
    <row r="4177" spans="1:9" x14ac:dyDescent="0.15">
      <c r="A4177" s="1">
        <v>4176</v>
      </c>
      <c r="B4177" s="1">
        <v>103040900</v>
      </c>
      <c r="C4177" s="1">
        <f t="shared" si="261"/>
        <v>10</v>
      </c>
      <c r="D4177" s="5">
        <f ca="1">IF(getQuality(B4177)&lt;4,getOtherMin(B4177,C4177,INDIRECT(J$2),INDIRECT(I4177),test),getMin(B4177,C4177,INDIRECT(J$2),INDIRECT(I4177),test))</f>
        <v>87.435552634172723</v>
      </c>
      <c r="E4177" s="5">
        <f ca="1">IF(getQuality(B4177)&lt;4,getOtherMax(B4177,C4177,INDIRECT(J$2),INDIRECT(I4177),test),getMax(B4177,C4177,INDIRECT(J$2),INDIRECT(I4177),test))</f>
        <v>124.85135380491616</v>
      </c>
      <c r="F4177" s="1" t="str">
        <f t="shared" si="263"/>
        <v>50</v>
      </c>
      <c r="G4177" s="1" t="str">
        <f t="shared" si="264"/>
        <v/>
      </c>
      <c r="I4177" s="1" t="str">
        <f t="shared" si="262"/>
        <v>威尔新数值1.06.xlsm!suitPower</v>
      </c>
    </row>
    <row r="4178" spans="1:9" x14ac:dyDescent="0.15">
      <c r="A4178" s="1">
        <v>4177</v>
      </c>
      <c r="B4178" s="1">
        <v>103040900</v>
      </c>
      <c r="C4178" s="1">
        <f t="shared" si="261"/>
        <v>11</v>
      </c>
      <c r="D4178" s="5">
        <f ca="1">IF(getQuality(B4178)&lt;4,getOtherMin(B4178,C4178,INDIRECT(J$2),INDIRECT(I4178),test),getMin(B4178,C4178,INDIRECT(J$2),INDIRECT(I4178),test))</f>
        <v>87.435552634172723</v>
      </c>
      <c r="E4178" s="5">
        <f ca="1">IF(getQuality(B4178)&lt;4,getOtherMax(B4178,C4178,INDIRECT(J$2),INDIRECT(I4178),test),getMax(B4178,C4178,INDIRECT(J$2),INDIRECT(I4178),test))</f>
        <v>124.85135380491616</v>
      </c>
      <c r="F4178" s="1" t="str">
        <f t="shared" si="263"/>
        <v>50</v>
      </c>
      <c r="G4178" s="1" t="str">
        <f t="shared" si="264"/>
        <v/>
      </c>
      <c r="I4178" s="1" t="str">
        <f t="shared" si="262"/>
        <v>威尔新数值1.06.xlsm!suitPower</v>
      </c>
    </row>
    <row r="4179" spans="1:9" x14ac:dyDescent="0.15">
      <c r="A4179" s="1">
        <v>4178</v>
      </c>
      <c r="B4179" s="1">
        <v>103040900</v>
      </c>
      <c r="C4179" s="1">
        <f t="shared" si="261"/>
        <v>12</v>
      </c>
      <c r="D4179" s="5">
        <f ca="1">IF(getQuality(B4179)&lt;4,getOtherMin(B4179,C4179,INDIRECT(J$2),INDIRECT(I4179),test),getMin(B4179,C4179,INDIRECT(J$2),INDIRECT(I4179),test))</f>
        <v>87.435552634172723</v>
      </c>
      <c r="E4179" s="5">
        <f ca="1">IF(getQuality(B4179)&lt;4,getOtherMax(B4179,C4179,INDIRECT(J$2),INDIRECT(I4179),test),getMax(B4179,C4179,INDIRECT(J$2),INDIRECT(I4179),test))</f>
        <v>124.85135380491616</v>
      </c>
      <c r="F4179" s="1" t="str">
        <f t="shared" si="263"/>
        <v>50</v>
      </c>
      <c r="G4179" s="1" t="str">
        <f t="shared" si="264"/>
        <v/>
      </c>
      <c r="I4179" s="1" t="str">
        <f t="shared" si="262"/>
        <v>威尔新数值1.06.xlsm!suitPower</v>
      </c>
    </row>
    <row r="4180" spans="1:9" x14ac:dyDescent="0.15">
      <c r="A4180" s="1">
        <v>4179</v>
      </c>
      <c r="B4180" s="1">
        <v>103040900</v>
      </c>
      <c r="C4180" s="1">
        <f t="shared" si="261"/>
        <v>13</v>
      </c>
      <c r="D4180" s="5">
        <f ca="1">IF(getQuality(B4180)&lt;4,getOtherMin(B4180,C4180,INDIRECT(J$2),INDIRECT(I4180),test),getMin(B4180,C4180,INDIRECT(J$2),INDIRECT(I4180),test))</f>
        <v>87.435552634172723</v>
      </c>
      <c r="E4180" s="5">
        <f ca="1">IF(getQuality(B4180)&lt;4,getOtherMax(B4180,C4180,INDIRECT(J$2),INDIRECT(I4180),test),getMax(B4180,C4180,INDIRECT(J$2),INDIRECT(I4180),test))</f>
        <v>124.85135380491616</v>
      </c>
      <c r="F4180" s="1" t="str">
        <f t="shared" si="263"/>
        <v>50</v>
      </c>
      <c r="G4180" s="1" t="str">
        <f t="shared" si="264"/>
        <v/>
      </c>
      <c r="I4180" s="1" t="str">
        <f t="shared" si="262"/>
        <v>威尔新数值1.06.xlsm!suitPower</v>
      </c>
    </row>
    <row r="4181" spans="1:9" x14ac:dyDescent="0.15">
      <c r="A4181" s="1">
        <v>4180</v>
      </c>
      <c r="B4181" s="1">
        <v>103040900</v>
      </c>
      <c r="C4181" s="1">
        <f t="shared" si="261"/>
        <v>14</v>
      </c>
      <c r="D4181" s="5">
        <f ca="1">IF(getQuality(B4181)&lt;4,getOtherMin(B4181,C4181,INDIRECT(J$2),INDIRECT(I4181),test),getMin(B4181,C4181,INDIRECT(J$2),INDIRECT(I4181),test))</f>
        <v>87.435552634172723</v>
      </c>
      <c r="E4181" s="5">
        <f ca="1">IF(getQuality(B4181)&lt;4,getOtherMax(B4181,C4181,INDIRECT(J$2),INDIRECT(I4181),test),getMax(B4181,C4181,INDIRECT(J$2),INDIRECT(I4181),test))</f>
        <v>124.85135380491616</v>
      </c>
      <c r="F4181" s="1" t="str">
        <f t="shared" si="263"/>
        <v>50</v>
      </c>
      <c r="G4181" s="1" t="str">
        <f t="shared" si="264"/>
        <v/>
      </c>
      <c r="I4181" s="1" t="str">
        <f t="shared" si="262"/>
        <v>威尔新数值1.06.xlsm!suitPower</v>
      </c>
    </row>
    <row r="4182" spans="1:9" x14ac:dyDescent="0.15">
      <c r="A4182" s="1">
        <v>4181</v>
      </c>
      <c r="B4182" s="1">
        <v>103040900</v>
      </c>
      <c r="C4182" s="1">
        <f t="shared" si="261"/>
        <v>15</v>
      </c>
      <c r="D4182" s="5">
        <f ca="1">IF(getQuality(B4182)&lt;4,getOtherMin(B4182,C4182,INDIRECT(J$2),INDIRECT(I4182),test),getMin(B4182,C4182,INDIRECT(J$2),INDIRECT(I4182),test))</f>
        <v>87.435552634172723</v>
      </c>
      <c r="E4182" s="5">
        <f ca="1">IF(getQuality(B4182)&lt;4,getOtherMax(B4182,C4182,INDIRECT(J$2),INDIRECT(I4182),test),getMax(B4182,C4182,INDIRECT(J$2),INDIRECT(I4182),test))</f>
        <v>124.85135380491616</v>
      </c>
      <c r="F4182" s="1" t="str">
        <f t="shared" si="263"/>
        <v>50</v>
      </c>
      <c r="G4182" s="1" t="str">
        <f t="shared" si="264"/>
        <v/>
      </c>
      <c r="I4182" s="1" t="str">
        <f t="shared" si="262"/>
        <v>威尔新数值1.06.xlsm!suitPower</v>
      </c>
    </row>
    <row r="4183" spans="1:9" x14ac:dyDescent="0.15">
      <c r="A4183" s="1">
        <v>4182</v>
      </c>
      <c r="B4183" s="1">
        <v>103040900</v>
      </c>
      <c r="C4183" s="1">
        <f t="shared" si="261"/>
        <v>101</v>
      </c>
      <c r="D4183" s="5">
        <f ca="1">IF(getQuality(B4183)&lt;4,getOtherMin(B4183,C4183,INDIRECT(J$2),INDIRECT(I4183),test),getMin(B4183,C4183,INDIRECT(J$2),INDIRECT(I4183),test))</f>
        <v>0.1</v>
      </c>
      <c r="E4183" s="5">
        <f ca="1">IF(getQuality(B4183)&lt;4,getOtherMax(B4183,C4183,INDIRECT(J$2),INDIRECT(I4183),test),getMax(B4183,C4183,INDIRECT(J$2),INDIRECT(I4183),test))</f>
        <v>0.13</v>
      </c>
      <c r="F4183" s="1" t="str">
        <f t="shared" si="263"/>
        <v>50</v>
      </c>
      <c r="G4183" s="1" t="str">
        <f t="shared" si="264"/>
        <v/>
      </c>
      <c r="I4183" s="1" t="str">
        <f t="shared" si="262"/>
        <v>威尔新数值1.06.xlsm!circlePer</v>
      </c>
    </row>
    <row r="4184" spans="1:9" x14ac:dyDescent="0.15">
      <c r="A4184" s="1">
        <v>4183</v>
      </c>
      <c r="B4184" s="1">
        <v>103040900</v>
      </c>
      <c r="C4184" s="1">
        <f t="shared" si="261"/>
        <v>102</v>
      </c>
      <c r="D4184" s="5">
        <f ca="1">IF(getQuality(B4184)&lt;4,getOtherMin(B4184,C4184,INDIRECT(J$2),INDIRECT(I4184),test),getMin(B4184,C4184,INDIRECT(J$2),INDIRECT(I4184),test))</f>
        <v>0.9</v>
      </c>
      <c r="E4184" s="5">
        <f ca="1">IF(getQuality(B4184)&lt;4,getOtherMax(B4184,C4184,INDIRECT(J$2),INDIRECT(I4184),test),getMax(B4184,C4184,INDIRECT(J$2),INDIRECT(I4184),test))</f>
        <v>1.2</v>
      </c>
      <c r="F4184" s="1" t="str">
        <f t="shared" si="263"/>
        <v>50</v>
      </c>
      <c r="G4184" s="1" t="str">
        <f t="shared" si="264"/>
        <v/>
      </c>
      <c r="I4184" s="1" t="str">
        <f t="shared" si="262"/>
        <v>威尔新数值1.06.xlsm!circleValue</v>
      </c>
    </row>
    <row r="4185" spans="1:9" x14ac:dyDescent="0.15">
      <c r="A4185" s="1">
        <v>4184</v>
      </c>
      <c r="B4185" s="1">
        <v>103040900</v>
      </c>
      <c r="C4185" s="1">
        <f t="shared" si="261"/>
        <v>103</v>
      </c>
      <c r="D4185" s="5">
        <f ca="1">IF(getQuality(B4185)&lt;4,getOtherMin(B4185,C4185,INDIRECT(J$2),INDIRECT(I4185),test),getMin(B4185,C4185,INDIRECT(J$2),INDIRECT(I4185),test))</f>
        <v>0.1</v>
      </c>
      <c r="E4185" s="5">
        <f ca="1">IF(getQuality(B4185)&lt;4,getOtherMax(B4185,C4185,INDIRECT(J$2),INDIRECT(I4185),test),getMax(B4185,C4185,INDIRECT(J$2),INDIRECT(I4185),test))</f>
        <v>0.13</v>
      </c>
      <c r="F4185" s="1" t="str">
        <f t="shared" si="263"/>
        <v>50</v>
      </c>
      <c r="G4185" s="1" t="str">
        <f t="shared" si="264"/>
        <v/>
      </c>
      <c r="I4185" s="1" t="str">
        <f t="shared" si="262"/>
        <v>威尔新数值1.06.xlsm!otherDamage</v>
      </c>
    </row>
    <row r="4186" spans="1:9" x14ac:dyDescent="0.15">
      <c r="A4186" s="1">
        <v>4185</v>
      </c>
      <c r="B4186" s="1">
        <v>103040900</v>
      </c>
      <c r="C4186" s="1">
        <f t="shared" si="261"/>
        <v>104</v>
      </c>
      <c r="D4186" s="5">
        <f ca="1">IF(getQuality(B4186)&lt;4,getOtherMin(B4186,C4186,INDIRECT(J$2),INDIRECT(I4186),test),getMin(B4186,C4186,INDIRECT(J$2),INDIRECT(I4186),test))</f>
        <v>0.1</v>
      </c>
      <c r="E4186" s="5">
        <f ca="1">IF(getQuality(B4186)&lt;4,getOtherMax(B4186,C4186,INDIRECT(J$2),INDIRECT(I4186),test),getMax(B4186,C4186,INDIRECT(J$2),INDIRECT(I4186),test))</f>
        <v>0.2</v>
      </c>
      <c r="F4186" s="1" t="str">
        <f t="shared" si="263"/>
        <v>50</v>
      </c>
      <c r="G4186" s="1" t="str">
        <f t="shared" si="264"/>
        <v/>
      </c>
      <c r="I4186" s="1" t="str">
        <f t="shared" si="262"/>
        <v>威尔新数值1.06.xlsm!monsterDamage</v>
      </c>
    </row>
    <row r="4187" spans="1:9" x14ac:dyDescent="0.15">
      <c r="A4187" s="1">
        <v>4186</v>
      </c>
      <c r="B4187" s="1">
        <v>103040900</v>
      </c>
      <c r="C4187" s="1">
        <f t="shared" si="261"/>
        <v>105</v>
      </c>
      <c r="D4187" s="5">
        <f ca="1">IF(getQuality(B4187)&lt;4,getOtherMin(B4187,C4187,INDIRECT(J$2),INDIRECT(I4187),test),getMin(B4187,C4187,INDIRECT(J$2),INDIRECT(I4187),test))</f>
        <v>0.1</v>
      </c>
      <c r="E4187" s="5">
        <f ca="1">IF(getQuality(B4187)&lt;4,getOtherMax(B4187,C4187,INDIRECT(J$2),INDIRECT(I4187),test),getMax(B4187,C4187,INDIRECT(J$2),INDIRECT(I4187),test))</f>
        <v>0.2</v>
      </c>
      <c r="F4187" s="1" t="str">
        <f t="shared" si="263"/>
        <v>50</v>
      </c>
      <c r="G4187" s="1" t="str">
        <f t="shared" si="264"/>
        <v/>
      </c>
      <c r="I4187" s="1" t="str">
        <f t="shared" si="262"/>
        <v>威尔新数值1.06.xlsm!monsterDamage</v>
      </c>
    </row>
    <row r="4188" spans="1:9" x14ac:dyDescent="0.15">
      <c r="A4188" s="1">
        <v>4187</v>
      </c>
      <c r="B4188" s="1">
        <v>103040900</v>
      </c>
      <c r="C4188" s="1">
        <f t="shared" si="261"/>
        <v>106</v>
      </c>
      <c r="D4188" s="5">
        <f ca="1">IF(getQuality(B4188)&lt;4,getOtherMin(B4188,C4188,INDIRECT(J$2),INDIRECT(I4188),test),getMin(B4188,C4188,INDIRECT(J$2),INDIRECT(I4188),test))</f>
        <v>0.1</v>
      </c>
      <c r="E4188" s="5">
        <f ca="1">IF(getQuality(B4188)&lt;4,getOtherMax(B4188,C4188,INDIRECT(J$2),INDIRECT(I4188),test),getMax(B4188,C4188,INDIRECT(J$2),INDIRECT(I4188),test))</f>
        <v>0.2</v>
      </c>
      <c r="F4188" s="1" t="str">
        <f t="shared" si="263"/>
        <v>50</v>
      </c>
      <c r="G4188" s="1" t="str">
        <f t="shared" si="264"/>
        <v/>
      </c>
      <c r="I4188" s="1" t="str">
        <f t="shared" si="262"/>
        <v>威尔新数值1.06.xlsm!monsterDamage</v>
      </c>
    </row>
    <row r="4189" spans="1:9" x14ac:dyDescent="0.15">
      <c r="A4189" s="1">
        <v>4188</v>
      </c>
      <c r="B4189" s="1">
        <v>103040900</v>
      </c>
      <c r="C4189" s="1">
        <f t="shared" si="261"/>
        <v>107</v>
      </c>
      <c r="D4189" s="5">
        <f ca="1">IF(getQuality(B4189)&lt;4,getOtherMin(B4189,C4189,INDIRECT(J$2),INDIRECT(I4189),test),getMin(B4189,C4189,INDIRECT(J$2),INDIRECT(I4189),test))</f>
        <v>0.1</v>
      </c>
      <c r="E4189" s="5">
        <f ca="1">IF(getQuality(B4189)&lt;4,getOtherMax(B4189,C4189,INDIRECT(J$2),INDIRECT(I4189),test),getMax(B4189,C4189,INDIRECT(J$2),INDIRECT(I4189),test))</f>
        <v>0.2</v>
      </c>
      <c r="F4189" s="1" t="str">
        <f t="shared" si="263"/>
        <v>50</v>
      </c>
      <c r="G4189" s="1" t="str">
        <f t="shared" si="264"/>
        <v/>
      </c>
      <c r="I4189" s="1" t="str">
        <f t="shared" si="262"/>
        <v>威尔新数值1.06.xlsm!monsterDamage</v>
      </c>
    </row>
    <row r="4190" spans="1:9" x14ac:dyDescent="0.15">
      <c r="A4190" s="1">
        <v>4189</v>
      </c>
      <c r="B4190" s="1">
        <v>103040900</v>
      </c>
      <c r="C4190" s="1">
        <f t="shared" si="261"/>
        <v>108</v>
      </c>
      <c r="D4190" s="5">
        <f ca="1">IF(getQuality(B4190)&lt;4,getOtherMin(B4190,C4190,INDIRECT(J$2),INDIRECT(I4190),test),getMin(B4190,C4190,INDIRECT(J$2),INDIRECT(I4190),test))</f>
        <v>0.1</v>
      </c>
      <c r="E4190" s="5">
        <f ca="1">IF(getQuality(B4190)&lt;4,getOtherMax(B4190,C4190,INDIRECT(J$2),INDIRECT(I4190),test),getMax(B4190,C4190,INDIRECT(J$2),INDIRECT(I4190),test))</f>
        <v>0.2</v>
      </c>
      <c r="F4190" s="1" t="str">
        <f t="shared" si="263"/>
        <v>50</v>
      </c>
      <c r="G4190" s="1" t="str">
        <f t="shared" si="264"/>
        <v/>
      </c>
      <c r="I4190" s="1" t="str">
        <f t="shared" si="262"/>
        <v>威尔新数值1.06.xlsm!monsterDamage</v>
      </c>
    </row>
    <row r="4191" spans="1:9" x14ac:dyDescent="0.15">
      <c r="A4191" s="1">
        <v>4190</v>
      </c>
      <c r="B4191" s="1">
        <v>103050900</v>
      </c>
      <c r="C4191" s="1">
        <f t="shared" si="261"/>
        <v>3</v>
      </c>
      <c r="D4191" s="5">
        <f ca="1">IF(getQuality(B4191)&lt;4,getOtherMin(B4191,C4191,INDIRECT(J$2),INDIRECT(I4191),test),getMin(B4191,C4191,INDIRECT(J$2),INDIRECT(I4191),test))</f>
        <v>125.85135380491616</v>
      </c>
      <c r="E4191" s="5">
        <f ca="1">IF(getQuality(B4191)&lt;4,getOtherMax(B4191,C4191,INDIRECT(J$2),INDIRECT(I4191),test),getMax(B4191,C4191,INDIRECT(J$2),INDIRECT(I4191),test))</f>
        <v>169.16048810980774</v>
      </c>
      <c r="F4191" s="1" t="str">
        <f t="shared" si="263"/>
        <v>50</v>
      </c>
      <c r="G4191" s="1" t="str">
        <f t="shared" si="264"/>
        <v/>
      </c>
      <c r="I4191" s="1" t="str">
        <f t="shared" si="262"/>
        <v>威尔新数值1.06.xlsm!suitPower</v>
      </c>
    </row>
    <row r="4192" spans="1:9" x14ac:dyDescent="0.15">
      <c r="A4192" s="1">
        <v>4191</v>
      </c>
      <c r="B4192" s="1">
        <v>103050900</v>
      </c>
      <c r="C4192" s="1">
        <f t="shared" si="261"/>
        <v>5</v>
      </c>
      <c r="D4192" s="5">
        <f ca="1">IF(getQuality(B4192)&lt;4,getOtherMin(B4192,C4192,INDIRECT(J$2),INDIRECT(I4192),test),getMin(B4192,C4192,INDIRECT(J$2),INDIRECT(I4192),test))</f>
        <v>125.85135380491616</v>
      </c>
      <c r="E4192" s="5">
        <f ca="1">IF(getQuality(B4192)&lt;4,getOtherMax(B4192,C4192,INDIRECT(J$2),INDIRECT(I4192),test),getMax(B4192,C4192,INDIRECT(J$2),INDIRECT(I4192),test))</f>
        <v>169.16048810980774</v>
      </c>
      <c r="F4192" s="1" t="str">
        <f t="shared" si="263"/>
        <v>50</v>
      </c>
      <c r="G4192" s="1" t="str">
        <f t="shared" si="264"/>
        <v>1</v>
      </c>
      <c r="I4192" s="1" t="str">
        <f t="shared" si="262"/>
        <v>威尔新数值1.06.xlsm!suitPower</v>
      </c>
    </row>
    <row r="4193" spans="1:9" x14ac:dyDescent="0.15">
      <c r="A4193" s="1">
        <v>4192</v>
      </c>
      <c r="B4193" s="1">
        <v>103050900</v>
      </c>
      <c r="C4193" s="1">
        <f t="shared" si="261"/>
        <v>7</v>
      </c>
      <c r="D4193" s="5">
        <f ca="1">IF(getQuality(B4193)&lt;4,getOtherMin(B4193,C4193,INDIRECT(J$2),INDIRECT(I4193),test),getMin(B4193,C4193,INDIRECT(J$2),INDIRECT(I4193),test))</f>
        <v>30.629629629629555</v>
      </c>
      <c r="E4193" s="5">
        <f ca="1">IF(getQuality(B4193)&lt;4,getOtherMax(B4193,C4193,INDIRECT(J$2),INDIRECT(I4193),test),getMax(B4193,C4193,INDIRECT(J$2),INDIRECT(I4193),test))</f>
        <v>37.037037037036946</v>
      </c>
      <c r="F4193" s="1" t="str">
        <f t="shared" si="263"/>
        <v>50</v>
      </c>
      <c r="G4193" s="1" t="str">
        <f t="shared" si="264"/>
        <v/>
      </c>
      <c r="I4193" s="1" t="str">
        <f t="shared" si="262"/>
        <v>威尔新数值1.06.xlsm!suitPower</v>
      </c>
    </row>
    <row r="4194" spans="1:9" x14ac:dyDescent="0.15">
      <c r="A4194" s="1">
        <v>4193</v>
      </c>
      <c r="B4194" s="1">
        <v>103050900</v>
      </c>
      <c r="C4194" s="1">
        <f t="shared" si="261"/>
        <v>8</v>
      </c>
      <c r="D4194" s="5">
        <f ca="1">IF(getQuality(B4194)&lt;4,getOtherMin(B4194,C4194,INDIRECT(J$2),INDIRECT(I4194),test),getMin(B4194,C4194,INDIRECT(J$2),INDIRECT(I4194),test))</f>
        <v>67.666666666666671</v>
      </c>
      <c r="E4194" s="5">
        <f ca="1">IF(getQuality(B4194)&lt;4,getOtherMax(B4194,C4194,INDIRECT(J$2),INDIRECT(I4194),test),getMax(B4194,C4194,INDIRECT(J$2),INDIRECT(I4194),test))</f>
        <v>83.333333333333329</v>
      </c>
      <c r="F4194" s="1" t="str">
        <f t="shared" si="263"/>
        <v>50</v>
      </c>
      <c r="G4194" s="1" t="str">
        <f t="shared" si="264"/>
        <v/>
      </c>
      <c r="I4194" s="1" t="str">
        <f t="shared" si="262"/>
        <v>威尔新数值1.06.xlsm!suitPower</v>
      </c>
    </row>
    <row r="4195" spans="1:9" x14ac:dyDescent="0.15">
      <c r="A4195" s="1">
        <v>4194</v>
      </c>
      <c r="B4195" s="1">
        <v>103050900</v>
      </c>
      <c r="C4195" s="1">
        <f t="shared" si="261"/>
        <v>9</v>
      </c>
      <c r="D4195" s="5">
        <f ca="1">IF(getQuality(B4195)&lt;4,getOtherMin(B4195,C4195,INDIRECT(J$2),INDIRECT(I4195),test),getMin(B4195,C4195,INDIRECT(J$2),INDIRECT(I4195),test))</f>
        <v>125.85135380491616</v>
      </c>
      <c r="E4195" s="5">
        <f ca="1">IF(getQuality(B4195)&lt;4,getOtherMax(B4195,C4195,INDIRECT(J$2),INDIRECT(I4195),test),getMax(B4195,C4195,INDIRECT(J$2),INDIRECT(I4195),test))</f>
        <v>169.16048810980774</v>
      </c>
      <c r="F4195" s="1" t="str">
        <f t="shared" si="263"/>
        <v>50</v>
      </c>
      <c r="G4195" s="1" t="str">
        <f t="shared" si="264"/>
        <v/>
      </c>
      <c r="I4195" s="1" t="str">
        <f t="shared" si="262"/>
        <v>威尔新数值1.06.xlsm!suitPower</v>
      </c>
    </row>
    <row r="4196" spans="1:9" x14ac:dyDescent="0.15">
      <c r="A4196" s="1">
        <v>4195</v>
      </c>
      <c r="B4196" s="1">
        <v>103050900</v>
      </c>
      <c r="C4196" s="1">
        <f t="shared" si="261"/>
        <v>10</v>
      </c>
      <c r="D4196" s="5">
        <f ca="1">IF(getQuality(B4196)&lt;4,getOtherMin(B4196,C4196,INDIRECT(J$2),INDIRECT(I4196),test),getMin(B4196,C4196,INDIRECT(J$2),INDIRECT(I4196),test))</f>
        <v>125.85135380491616</v>
      </c>
      <c r="E4196" s="5">
        <f ca="1">IF(getQuality(B4196)&lt;4,getOtherMax(B4196,C4196,INDIRECT(J$2),INDIRECT(I4196),test),getMax(B4196,C4196,INDIRECT(J$2),INDIRECT(I4196),test))</f>
        <v>169.16048810980774</v>
      </c>
      <c r="F4196" s="1" t="str">
        <f t="shared" si="263"/>
        <v>50</v>
      </c>
      <c r="G4196" s="1" t="str">
        <f t="shared" si="264"/>
        <v/>
      </c>
      <c r="I4196" s="1" t="str">
        <f t="shared" si="262"/>
        <v>威尔新数值1.06.xlsm!suitPower</v>
      </c>
    </row>
    <row r="4197" spans="1:9" x14ac:dyDescent="0.15">
      <c r="A4197" s="1">
        <v>4196</v>
      </c>
      <c r="B4197" s="1">
        <v>103050900</v>
      </c>
      <c r="C4197" s="1">
        <f t="shared" si="261"/>
        <v>11</v>
      </c>
      <c r="D4197" s="5">
        <f ca="1">IF(getQuality(B4197)&lt;4,getOtherMin(B4197,C4197,INDIRECT(J$2),INDIRECT(I4197),test),getMin(B4197,C4197,INDIRECT(J$2),INDIRECT(I4197),test))</f>
        <v>125.85135380491616</v>
      </c>
      <c r="E4197" s="5">
        <f ca="1">IF(getQuality(B4197)&lt;4,getOtherMax(B4197,C4197,INDIRECT(J$2),INDIRECT(I4197),test),getMax(B4197,C4197,INDIRECT(J$2),INDIRECT(I4197),test))</f>
        <v>169.16048810980774</v>
      </c>
      <c r="F4197" s="1" t="str">
        <f t="shared" si="263"/>
        <v>50</v>
      </c>
      <c r="G4197" s="1" t="str">
        <f t="shared" si="264"/>
        <v/>
      </c>
      <c r="I4197" s="1" t="str">
        <f t="shared" si="262"/>
        <v>威尔新数值1.06.xlsm!suitPower</v>
      </c>
    </row>
    <row r="4198" spans="1:9" x14ac:dyDescent="0.15">
      <c r="A4198" s="1">
        <v>4197</v>
      </c>
      <c r="B4198" s="1">
        <v>103050900</v>
      </c>
      <c r="C4198" s="1">
        <f t="shared" si="261"/>
        <v>12</v>
      </c>
      <c r="D4198" s="5">
        <f ca="1">IF(getQuality(B4198)&lt;4,getOtherMin(B4198,C4198,INDIRECT(J$2),INDIRECT(I4198),test),getMin(B4198,C4198,INDIRECT(J$2),INDIRECT(I4198),test))</f>
        <v>125.85135380491616</v>
      </c>
      <c r="E4198" s="5">
        <f ca="1">IF(getQuality(B4198)&lt;4,getOtherMax(B4198,C4198,INDIRECT(J$2),INDIRECT(I4198),test),getMax(B4198,C4198,INDIRECT(J$2),INDIRECT(I4198),test))</f>
        <v>169.16048810980774</v>
      </c>
      <c r="F4198" s="1" t="str">
        <f t="shared" si="263"/>
        <v>50</v>
      </c>
      <c r="G4198" s="1" t="str">
        <f t="shared" si="264"/>
        <v/>
      </c>
      <c r="I4198" s="1" t="str">
        <f t="shared" si="262"/>
        <v>威尔新数值1.06.xlsm!suitPower</v>
      </c>
    </row>
    <row r="4199" spans="1:9" x14ac:dyDescent="0.15">
      <c r="A4199" s="1">
        <v>4198</v>
      </c>
      <c r="B4199" s="1">
        <v>103050900</v>
      </c>
      <c r="C4199" s="1">
        <f t="shared" si="261"/>
        <v>13</v>
      </c>
      <c r="D4199" s="5">
        <f ca="1">IF(getQuality(B4199)&lt;4,getOtherMin(B4199,C4199,INDIRECT(J$2),INDIRECT(I4199),test),getMin(B4199,C4199,INDIRECT(J$2),INDIRECT(I4199),test))</f>
        <v>125.85135380491616</v>
      </c>
      <c r="E4199" s="5">
        <f ca="1">IF(getQuality(B4199)&lt;4,getOtherMax(B4199,C4199,INDIRECT(J$2),INDIRECT(I4199),test),getMax(B4199,C4199,INDIRECT(J$2),INDIRECT(I4199),test))</f>
        <v>169.16048810980774</v>
      </c>
      <c r="F4199" s="1" t="str">
        <f t="shared" si="263"/>
        <v>50</v>
      </c>
      <c r="G4199" s="1" t="str">
        <f t="shared" si="264"/>
        <v/>
      </c>
      <c r="I4199" s="1" t="str">
        <f t="shared" si="262"/>
        <v>威尔新数值1.06.xlsm!suitPower</v>
      </c>
    </row>
    <row r="4200" spans="1:9" x14ac:dyDescent="0.15">
      <c r="A4200" s="1">
        <v>4199</v>
      </c>
      <c r="B4200" s="1">
        <v>103050900</v>
      </c>
      <c r="C4200" s="1">
        <f t="shared" si="261"/>
        <v>14</v>
      </c>
      <c r="D4200" s="5">
        <f ca="1">IF(getQuality(B4200)&lt;4,getOtherMin(B4200,C4200,INDIRECT(J$2),INDIRECT(I4200),test),getMin(B4200,C4200,INDIRECT(J$2),INDIRECT(I4200),test))</f>
        <v>125.85135380491616</v>
      </c>
      <c r="E4200" s="5">
        <f ca="1">IF(getQuality(B4200)&lt;4,getOtherMax(B4200,C4200,INDIRECT(J$2),INDIRECT(I4200),test),getMax(B4200,C4200,INDIRECT(J$2),INDIRECT(I4200),test))</f>
        <v>169.16048810980774</v>
      </c>
      <c r="F4200" s="1" t="str">
        <f t="shared" si="263"/>
        <v>50</v>
      </c>
      <c r="G4200" s="1" t="str">
        <f t="shared" si="264"/>
        <v/>
      </c>
      <c r="I4200" s="1" t="str">
        <f t="shared" si="262"/>
        <v>威尔新数值1.06.xlsm!suitPower</v>
      </c>
    </row>
    <row r="4201" spans="1:9" x14ac:dyDescent="0.15">
      <c r="A4201" s="1">
        <v>4200</v>
      </c>
      <c r="B4201" s="1">
        <v>103050900</v>
      </c>
      <c r="C4201" s="1">
        <f t="shared" si="261"/>
        <v>15</v>
      </c>
      <c r="D4201" s="5">
        <f ca="1">IF(getQuality(B4201)&lt;4,getOtherMin(B4201,C4201,INDIRECT(J$2),INDIRECT(I4201),test),getMin(B4201,C4201,INDIRECT(J$2),INDIRECT(I4201),test))</f>
        <v>125.85135380491616</v>
      </c>
      <c r="E4201" s="5">
        <f ca="1">IF(getQuality(B4201)&lt;4,getOtherMax(B4201,C4201,INDIRECT(J$2),INDIRECT(I4201),test),getMax(B4201,C4201,INDIRECT(J$2),INDIRECT(I4201),test))</f>
        <v>169.16048810980774</v>
      </c>
      <c r="F4201" s="1" t="str">
        <f t="shared" si="263"/>
        <v>50</v>
      </c>
      <c r="G4201" s="1" t="str">
        <f t="shared" si="264"/>
        <v/>
      </c>
      <c r="I4201" s="1" t="str">
        <f t="shared" si="262"/>
        <v>威尔新数值1.06.xlsm!suitPower</v>
      </c>
    </row>
    <row r="4202" spans="1:9" x14ac:dyDescent="0.15">
      <c r="A4202" s="1">
        <v>4201</v>
      </c>
      <c r="B4202" s="1">
        <v>103050900</v>
      </c>
      <c r="C4202" s="1">
        <f t="shared" si="261"/>
        <v>101</v>
      </c>
      <c r="D4202" s="5">
        <f ca="1">IF(getQuality(B4202)&lt;4,getOtherMin(B4202,C4202,INDIRECT(J$2),INDIRECT(I4202),test),getMin(B4202,C4202,INDIRECT(J$2),INDIRECT(I4202),test))</f>
        <v>0.11</v>
      </c>
      <c r="E4202" s="5">
        <f ca="1">IF(getQuality(B4202)&lt;4,getOtherMax(B4202,C4202,INDIRECT(J$2),INDIRECT(I4202),test),getMax(B4202,C4202,INDIRECT(J$2),INDIRECT(I4202),test))</f>
        <v>0.14000000000000001</v>
      </c>
      <c r="F4202" s="1" t="str">
        <f t="shared" si="263"/>
        <v>50</v>
      </c>
      <c r="G4202" s="1" t="str">
        <f t="shared" si="264"/>
        <v/>
      </c>
      <c r="I4202" s="1" t="str">
        <f t="shared" si="262"/>
        <v>威尔新数值1.06.xlsm!circlePer</v>
      </c>
    </row>
    <row r="4203" spans="1:9" x14ac:dyDescent="0.15">
      <c r="A4203" s="1">
        <v>4202</v>
      </c>
      <c r="B4203" s="1">
        <v>103050900</v>
      </c>
      <c r="C4203" s="1">
        <f t="shared" si="261"/>
        <v>102</v>
      </c>
      <c r="D4203" s="5">
        <f ca="1">IF(getQuality(B4203)&lt;4,getOtherMin(B4203,C4203,INDIRECT(J$2),INDIRECT(I4203),test),getMin(B4203,C4203,INDIRECT(J$2),INDIRECT(I4203),test))</f>
        <v>1</v>
      </c>
      <c r="E4203" s="5">
        <f ca="1">IF(getQuality(B4203)&lt;4,getOtherMax(B4203,C4203,INDIRECT(J$2),INDIRECT(I4203),test),getMax(B4203,C4203,INDIRECT(J$2),INDIRECT(I4203),test))</f>
        <v>1.3</v>
      </c>
      <c r="F4203" s="1" t="str">
        <f t="shared" si="263"/>
        <v>50</v>
      </c>
      <c r="G4203" s="1" t="str">
        <f t="shared" si="264"/>
        <v/>
      </c>
      <c r="I4203" s="1" t="str">
        <f t="shared" si="262"/>
        <v>威尔新数值1.06.xlsm!circleValue</v>
      </c>
    </row>
    <row r="4204" spans="1:9" x14ac:dyDescent="0.15">
      <c r="A4204" s="1">
        <v>4203</v>
      </c>
      <c r="B4204" s="1">
        <v>103050900</v>
      </c>
      <c r="C4204" s="1">
        <f t="shared" si="261"/>
        <v>103</v>
      </c>
      <c r="D4204" s="5">
        <f ca="1">IF(getQuality(B4204)&lt;4,getOtherMin(B4204,C4204,INDIRECT(J$2),INDIRECT(I4204),test),getMin(B4204,C4204,INDIRECT(J$2),INDIRECT(I4204),test))</f>
        <v>0.11</v>
      </c>
      <c r="E4204" s="5">
        <f ca="1">IF(getQuality(B4204)&lt;4,getOtherMax(B4204,C4204,INDIRECT(J$2),INDIRECT(I4204),test),getMax(B4204,C4204,INDIRECT(J$2),INDIRECT(I4204),test))</f>
        <v>0.14000000000000001</v>
      </c>
      <c r="F4204" s="1" t="str">
        <f t="shared" si="263"/>
        <v>50</v>
      </c>
      <c r="G4204" s="1" t="str">
        <f t="shared" si="264"/>
        <v/>
      </c>
      <c r="I4204" s="1" t="str">
        <f t="shared" si="262"/>
        <v>威尔新数值1.06.xlsm!otherDamage</v>
      </c>
    </row>
    <row r="4205" spans="1:9" x14ac:dyDescent="0.15">
      <c r="A4205" s="1">
        <v>4204</v>
      </c>
      <c r="B4205" s="1">
        <v>103050900</v>
      </c>
      <c r="C4205" s="1">
        <f t="shared" si="261"/>
        <v>104</v>
      </c>
      <c r="D4205" s="5">
        <f ca="1">IF(getQuality(B4205)&lt;4,getOtherMin(B4205,C4205,INDIRECT(J$2),INDIRECT(I4205),test),getMin(B4205,C4205,INDIRECT(J$2),INDIRECT(I4205),test))</f>
        <v>0.11</v>
      </c>
      <c r="E4205" s="5">
        <f ca="1">IF(getQuality(B4205)&lt;4,getOtherMax(B4205,C4205,INDIRECT(J$2),INDIRECT(I4205),test),getMax(B4205,C4205,INDIRECT(J$2),INDIRECT(I4205),test))</f>
        <v>0.22</v>
      </c>
      <c r="F4205" s="1" t="str">
        <f t="shared" si="263"/>
        <v>50</v>
      </c>
      <c r="G4205" s="1" t="str">
        <f t="shared" si="264"/>
        <v/>
      </c>
      <c r="I4205" s="1" t="str">
        <f t="shared" si="262"/>
        <v>威尔新数值1.06.xlsm!monsterDamage</v>
      </c>
    </row>
    <row r="4206" spans="1:9" x14ac:dyDescent="0.15">
      <c r="A4206" s="1">
        <v>4205</v>
      </c>
      <c r="B4206" s="1">
        <v>103050900</v>
      </c>
      <c r="C4206" s="1">
        <f t="shared" si="261"/>
        <v>105</v>
      </c>
      <c r="D4206" s="5">
        <f ca="1">IF(getQuality(B4206)&lt;4,getOtherMin(B4206,C4206,INDIRECT(J$2),INDIRECT(I4206),test),getMin(B4206,C4206,INDIRECT(J$2),INDIRECT(I4206),test))</f>
        <v>0.11</v>
      </c>
      <c r="E4206" s="5">
        <f ca="1">IF(getQuality(B4206)&lt;4,getOtherMax(B4206,C4206,INDIRECT(J$2),INDIRECT(I4206),test),getMax(B4206,C4206,INDIRECT(J$2),INDIRECT(I4206),test))</f>
        <v>0.22</v>
      </c>
      <c r="F4206" s="1" t="str">
        <f t="shared" si="263"/>
        <v>50</v>
      </c>
      <c r="G4206" s="1" t="str">
        <f t="shared" si="264"/>
        <v/>
      </c>
      <c r="I4206" s="1" t="str">
        <f t="shared" si="262"/>
        <v>威尔新数值1.06.xlsm!monsterDamage</v>
      </c>
    </row>
    <row r="4207" spans="1:9" x14ac:dyDescent="0.15">
      <c r="A4207" s="1">
        <v>4206</v>
      </c>
      <c r="B4207" s="1">
        <v>103050900</v>
      </c>
      <c r="C4207" s="1">
        <f t="shared" si="261"/>
        <v>106</v>
      </c>
      <c r="D4207" s="5">
        <f ca="1">IF(getQuality(B4207)&lt;4,getOtherMin(B4207,C4207,INDIRECT(J$2),INDIRECT(I4207),test),getMin(B4207,C4207,INDIRECT(J$2),INDIRECT(I4207),test))</f>
        <v>0.11</v>
      </c>
      <c r="E4207" s="5">
        <f ca="1">IF(getQuality(B4207)&lt;4,getOtherMax(B4207,C4207,INDIRECT(J$2),INDIRECT(I4207),test),getMax(B4207,C4207,INDIRECT(J$2),INDIRECT(I4207),test))</f>
        <v>0.22</v>
      </c>
      <c r="F4207" s="1" t="str">
        <f t="shared" si="263"/>
        <v>50</v>
      </c>
      <c r="G4207" s="1" t="str">
        <f t="shared" si="264"/>
        <v/>
      </c>
      <c r="I4207" s="1" t="str">
        <f t="shared" si="262"/>
        <v>威尔新数值1.06.xlsm!monsterDamage</v>
      </c>
    </row>
    <row r="4208" spans="1:9" x14ac:dyDescent="0.15">
      <c r="A4208" s="1">
        <v>4207</v>
      </c>
      <c r="B4208" s="1">
        <v>103050900</v>
      </c>
      <c r="C4208" s="1">
        <f t="shared" si="261"/>
        <v>107</v>
      </c>
      <c r="D4208" s="5">
        <f ca="1">IF(getQuality(B4208)&lt;4,getOtherMin(B4208,C4208,INDIRECT(J$2),INDIRECT(I4208),test),getMin(B4208,C4208,INDIRECT(J$2),INDIRECT(I4208),test))</f>
        <v>0.11</v>
      </c>
      <c r="E4208" s="5">
        <f ca="1">IF(getQuality(B4208)&lt;4,getOtherMax(B4208,C4208,INDIRECT(J$2),INDIRECT(I4208),test),getMax(B4208,C4208,INDIRECT(J$2),INDIRECT(I4208),test))</f>
        <v>0.22</v>
      </c>
      <c r="F4208" s="1" t="str">
        <f t="shared" si="263"/>
        <v>50</v>
      </c>
      <c r="G4208" s="1" t="str">
        <f t="shared" si="264"/>
        <v/>
      </c>
      <c r="I4208" s="1" t="str">
        <f t="shared" si="262"/>
        <v>威尔新数值1.06.xlsm!monsterDamage</v>
      </c>
    </row>
    <row r="4209" spans="1:9" x14ac:dyDescent="0.15">
      <c r="A4209" s="1">
        <v>4208</v>
      </c>
      <c r="B4209" s="1">
        <v>103050900</v>
      </c>
      <c r="C4209" s="1">
        <f t="shared" si="261"/>
        <v>108</v>
      </c>
      <c r="D4209" s="5">
        <f ca="1">IF(getQuality(B4209)&lt;4,getOtherMin(B4209,C4209,INDIRECT(J$2),INDIRECT(I4209),test),getMin(B4209,C4209,INDIRECT(J$2),INDIRECT(I4209),test))</f>
        <v>0.11</v>
      </c>
      <c r="E4209" s="5">
        <f ca="1">IF(getQuality(B4209)&lt;4,getOtherMax(B4209,C4209,INDIRECT(J$2),INDIRECT(I4209),test),getMax(B4209,C4209,INDIRECT(J$2),INDIRECT(I4209),test))</f>
        <v>0.22</v>
      </c>
      <c r="F4209" s="1" t="str">
        <f t="shared" si="263"/>
        <v>50</v>
      </c>
      <c r="G4209" s="1" t="str">
        <f t="shared" si="264"/>
        <v/>
      </c>
      <c r="I4209" s="1" t="str">
        <f t="shared" si="262"/>
        <v>威尔新数值1.06.xlsm!monsterDamage</v>
      </c>
    </row>
    <row r="4210" spans="1:9" x14ac:dyDescent="0.15">
      <c r="A4210" s="1">
        <v>4209</v>
      </c>
      <c r="B4210" s="1">
        <v>103060900</v>
      </c>
      <c r="C4210" s="1">
        <f t="shared" si="261"/>
        <v>3</v>
      </c>
      <c r="D4210" s="5">
        <f ca="1">IF(getQuality(B4210)&lt;4,getOtherMin(B4210,C4210,INDIRECT(J$2),INDIRECT(I4210),test),getMin(B4210,C4210,INDIRECT(J$2),INDIRECT(I4210),test))</f>
        <v>170.16048810980774</v>
      </c>
      <c r="E4210" s="5">
        <f ca="1">IF(getQuality(B4210)&lt;4,getOtherMax(B4210,C4210,INDIRECT(J$2),INDIRECT(I4210),test),getMax(B4210,C4210,INDIRECT(J$2),INDIRECT(I4210),test))</f>
        <v>217.39851117079806</v>
      </c>
      <c r="F4210" s="1" t="str">
        <f t="shared" si="263"/>
        <v>50</v>
      </c>
      <c r="G4210" s="1" t="str">
        <f t="shared" si="264"/>
        <v/>
      </c>
      <c r="I4210" s="1" t="str">
        <f t="shared" si="262"/>
        <v>威尔新数值1.06.xlsm!suitPower</v>
      </c>
    </row>
    <row r="4211" spans="1:9" x14ac:dyDescent="0.15">
      <c r="A4211" s="1">
        <v>4210</v>
      </c>
      <c r="B4211" s="1">
        <v>103060900</v>
      </c>
      <c r="C4211" s="1">
        <f t="shared" si="261"/>
        <v>5</v>
      </c>
      <c r="D4211" s="5">
        <f ca="1">IF(getQuality(B4211)&lt;4,getOtherMin(B4211,C4211,INDIRECT(J$2),INDIRECT(I4211),test),getMin(B4211,C4211,INDIRECT(J$2),INDIRECT(I4211),test))</f>
        <v>170.16048810980774</v>
      </c>
      <c r="E4211" s="5">
        <f ca="1">IF(getQuality(B4211)&lt;4,getOtherMax(B4211,C4211,INDIRECT(J$2),INDIRECT(I4211),test),getMax(B4211,C4211,INDIRECT(J$2),INDIRECT(I4211),test))</f>
        <v>217.39851117079806</v>
      </c>
      <c r="F4211" s="1" t="str">
        <f t="shared" si="263"/>
        <v>50</v>
      </c>
      <c r="G4211" s="1" t="str">
        <f t="shared" si="264"/>
        <v>1</v>
      </c>
      <c r="I4211" s="1" t="str">
        <f t="shared" si="262"/>
        <v>威尔新数值1.06.xlsm!suitPower</v>
      </c>
    </row>
    <row r="4212" spans="1:9" x14ac:dyDescent="0.15">
      <c r="A4212" s="1">
        <v>4211</v>
      </c>
      <c r="B4212" s="1">
        <v>103060900</v>
      </c>
      <c r="C4212" s="1">
        <f t="shared" si="261"/>
        <v>7</v>
      </c>
      <c r="D4212" s="5">
        <f ca="1">IF(getQuality(B4212)&lt;4,getOtherMin(B4212,C4212,INDIRECT(J$2),INDIRECT(I4212),test),getMin(B4212,C4212,INDIRECT(J$2),INDIRECT(I4212),test))</f>
        <v>38.037037037036946</v>
      </c>
      <c r="E4212" s="5">
        <f ca="1">IF(getQuality(B4212)&lt;4,getOtherMax(B4212,C4212,INDIRECT(J$2),INDIRECT(I4212),test),getMax(B4212,C4212,INDIRECT(J$2),INDIRECT(I4212),test))</f>
        <v>44.444444444444329</v>
      </c>
      <c r="F4212" s="1" t="str">
        <f t="shared" si="263"/>
        <v>50</v>
      </c>
      <c r="G4212" s="1" t="str">
        <f t="shared" si="264"/>
        <v/>
      </c>
      <c r="I4212" s="1" t="str">
        <f t="shared" si="262"/>
        <v>威尔新数值1.06.xlsm!suitPower</v>
      </c>
    </row>
    <row r="4213" spans="1:9" x14ac:dyDescent="0.15">
      <c r="A4213" s="1">
        <v>4212</v>
      </c>
      <c r="B4213" s="1">
        <v>103060900</v>
      </c>
      <c r="C4213" s="1">
        <f t="shared" si="261"/>
        <v>8</v>
      </c>
      <c r="D4213" s="5">
        <f ca="1">IF(getQuality(B4213)&lt;4,getOtherMin(B4213,C4213,INDIRECT(J$2),INDIRECT(I4213),test),getMin(B4213,C4213,INDIRECT(J$2),INDIRECT(I4213),test))</f>
        <v>84.333333333333329</v>
      </c>
      <c r="E4213" s="5">
        <f ca="1">IF(getQuality(B4213)&lt;4,getOtherMax(B4213,C4213,INDIRECT(J$2),INDIRECT(I4213),test),getMax(B4213,C4213,INDIRECT(J$2),INDIRECT(I4213),test))</f>
        <v>100</v>
      </c>
      <c r="F4213" s="1" t="str">
        <f t="shared" si="263"/>
        <v>50</v>
      </c>
      <c r="G4213" s="1" t="str">
        <f t="shared" si="264"/>
        <v/>
      </c>
      <c r="I4213" s="1" t="str">
        <f t="shared" si="262"/>
        <v>威尔新数值1.06.xlsm!suitPower</v>
      </c>
    </row>
    <row r="4214" spans="1:9" x14ac:dyDescent="0.15">
      <c r="A4214" s="1">
        <v>4213</v>
      </c>
      <c r="B4214" s="1">
        <v>103060900</v>
      </c>
      <c r="C4214" s="1">
        <f t="shared" si="261"/>
        <v>9</v>
      </c>
      <c r="D4214" s="5">
        <f ca="1">IF(getQuality(B4214)&lt;4,getOtherMin(B4214,C4214,INDIRECT(J$2),INDIRECT(I4214),test),getMin(B4214,C4214,INDIRECT(J$2),INDIRECT(I4214),test))</f>
        <v>170.16048810980774</v>
      </c>
      <c r="E4214" s="5">
        <f ca="1">IF(getQuality(B4214)&lt;4,getOtherMax(B4214,C4214,INDIRECT(J$2),INDIRECT(I4214),test),getMax(B4214,C4214,INDIRECT(J$2),INDIRECT(I4214),test))</f>
        <v>217.39851117079806</v>
      </c>
      <c r="F4214" s="1" t="str">
        <f t="shared" si="263"/>
        <v>50</v>
      </c>
      <c r="G4214" s="1" t="str">
        <f t="shared" si="264"/>
        <v/>
      </c>
      <c r="I4214" s="1" t="str">
        <f t="shared" si="262"/>
        <v>威尔新数值1.06.xlsm!suitPower</v>
      </c>
    </row>
    <row r="4215" spans="1:9" x14ac:dyDescent="0.15">
      <c r="A4215" s="1">
        <v>4214</v>
      </c>
      <c r="B4215" s="1">
        <v>103060900</v>
      </c>
      <c r="C4215" s="1">
        <f t="shared" si="261"/>
        <v>10</v>
      </c>
      <c r="D4215" s="5">
        <f ca="1">IF(getQuality(B4215)&lt;4,getOtherMin(B4215,C4215,INDIRECT(J$2),INDIRECT(I4215),test),getMin(B4215,C4215,INDIRECT(J$2),INDIRECT(I4215),test))</f>
        <v>170.16048810980774</v>
      </c>
      <c r="E4215" s="5">
        <f ca="1">IF(getQuality(B4215)&lt;4,getOtherMax(B4215,C4215,INDIRECT(J$2),INDIRECT(I4215),test),getMax(B4215,C4215,INDIRECT(J$2),INDIRECT(I4215),test))</f>
        <v>217.39851117079806</v>
      </c>
      <c r="F4215" s="1" t="str">
        <f t="shared" si="263"/>
        <v>50</v>
      </c>
      <c r="G4215" s="1" t="str">
        <f t="shared" si="264"/>
        <v/>
      </c>
      <c r="I4215" s="1" t="str">
        <f t="shared" si="262"/>
        <v>威尔新数值1.06.xlsm!suitPower</v>
      </c>
    </row>
    <row r="4216" spans="1:9" x14ac:dyDescent="0.15">
      <c r="A4216" s="1">
        <v>4215</v>
      </c>
      <c r="B4216" s="1">
        <v>103060900</v>
      </c>
      <c r="C4216" s="1">
        <f t="shared" si="261"/>
        <v>11</v>
      </c>
      <c r="D4216" s="5">
        <f ca="1">IF(getQuality(B4216)&lt;4,getOtherMin(B4216,C4216,INDIRECT(J$2),INDIRECT(I4216),test),getMin(B4216,C4216,INDIRECT(J$2),INDIRECT(I4216),test))</f>
        <v>170.16048810980774</v>
      </c>
      <c r="E4216" s="5">
        <f ca="1">IF(getQuality(B4216)&lt;4,getOtherMax(B4216,C4216,INDIRECT(J$2),INDIRECT(I4216),test),getMax(B4216,C4216,INDIRECT(J$2),INDIRECT(I4216),test))</f>
        <v>217.39851117079806</v>
      </c>
      <c r="F4216" s="1" t="str">
        <f t="shared" si="263"/>
        <v>50</v>
      </c>
      <c r="G4216" s="1" t="str">
        <f t="shared" si="264"/>
        <v/>
      </c>
      <c r="I4216" s="1" t="str">
        <f t="shared" si="262"/>
        <v>威尔新数值1.06.xlsm!suitPower</v>
      </c>
    </row>
    <row r="4217" spans="1:9" x14ac:dyDescent="0.15">
      <c r="A4217" s="1">
        <v>4216</v>
      </c>
      <c r="B4217" s="1">
        <v>103060900</v>
      </c>
      <c r="C4217" s="1">
        <f t="shared" si="261"/>
        <v>12</v>
      </c>
      <c r="D4217" s="5">
        <f ca="1">IF(getQuality(B4217)&lt;4,getOtherMin(B4217,C4217,INDIRECT(J$2),INDIRECT(I4217),test),getMin(B4217,C4217,INDIRECT(J$2),INDIRECT(I4217),test))</f>
        <v>170.16048810980774</v>
      </c>
      <c r="E4217" s="5">
        <f ca="1">IF(getQuality(B4217)&lt;4,getOtherMax(B4217,C4217,INDIRECT(J$2),INDIRECT(I4217),test),getMax(B4217,C4217,INDIRECT(J$2),INDIRECT(I4217),test))</f>
        <v>217.39851117079806</v>
      </c>
      <c r="F4217" s="1" t="str">
        <f t="shared" si="263"/>
        <v>50</v>
      </c>
      <c r="G4217" s="1" t="str">
        <f t="shared" si="264"/>
        <v/>
      </c>
      <c r="I4217" s="1" t="str">
        <f t="shared" si="262"/>
        <v>威尔新数值1.06.xlsm!suitPower</v>
      </c>
    </row>
    <row r="4218" spans="1:9" x14ac:dyDescent="0.15">
      <c r="A4218" s="1">
        <v>4217</v>
      </c>
      <c r="B4218" s="1">
        <v>103060900</v>
      </c>
      <c r="C4218" s="1">
        <f t="shared" si="261"/>
        <v>13</v>
      </c>
      <c r="D4218" s="5">
        <f ca="1">IF(getQuality(B4218)&lt;4,getOtherMin(B4218,C4218,INDIRECT(J$2),INDIRECT(I4218),test),getMin(B4218,C4218,INDIRECT(J$2),INDIRECT(I4218),test))</f>
        <v>170.16048810980774</v>
      </c>
      <c r="E4218" s="5">
        <f ca="1">IF(getQuality(B4218)&lt;4,getOtherMax(B4218,C4218,INDIRECT(J$2),INDIRECT(I4218),test),getMax(B4218,C4218,INDIRECT(J$2),INDIRECT(I4218),test))</f>
        <v>217.39851117079806</v>
      </c>
      <c r="F4218" s="1" t="str">
        <f t="shared" si="263"/>
        <v>50</v>
      </c>
      <c r="G4218" s="1" t="str">
        <f t="shared" si="264"/>
        <v/>
      </c>
      <c r="I4218" s="1" t="str">
        <f t="shared" si="262"/>
        <v>威尔新数值1.06.xlsm!suitPower</v>
      </c>
    </row>
    <row r="4219" spans="1:9" x14ac:dyDescent="0.15">
      <c r="A4219" s="1">
        <v>4218</v>
      </c>
      <c r="B4219" s="1">
        <v>103060900</v>
      </c>
      <c r="C4219" s="1">
        <f t="shared" si="261"/>
        <v>14</v>
      </c>
      <c r="D4219" s="5">
        <f ca="1">IF(getQuality(B4219)&lt;4,getOtherMin(B4219,C4219,INDIRECT(J$2),INDIRECT(I4219),test),getMin(B4219,C4219,INDIRECT(J$2),INDIRECT(I4219),test))</f>
        <v>170.16048810980774</v>
      </c>
      <c r="E4219" s="5">
        <f ca="1">IF(getQuality(B4219)&lt;4,getOtherMax(B4219,C4219,INDIRECT(J$2),INDIRECT(I4219),test),getMax(B4219,C4219,INDIRECT(J$2),INDIRECT(I4219),test))</f>
        <v>217.39851117079806</v>
      </c>
      <c r="F4219" s="1" t="str">
        <f t="shared" si="263"/>
        <v>50</v>
      </c>
      <c r="G4219" s="1" t="str">
        <f t="shared" si="264"/>
        <v/>
      </c>
      <c r="I4219" s="1" t="str">
        <f t="shared" si="262"/>
        <v>威尔新数值1.06.xlsm!suitPower</v>
      </c>
    </row>
    <row r="4220" spans="1:9" x14ac:dyDescent="0.15">
      <c r="A4220" s="1">
        <v>4219</v>
      </c>
      <c r="B4220" s="1">
        <v>103060900</v>
      </c>
      <c r="C4220" s="1">
        <f t="shared" ref="C4220:C4283" si="265">C1745</f>
        <v>15</v>
      </c>
      <c r="D4220" s="5">
        <f ca="1">IF(getQuality(B4220)&lt;4,getOtherMin(B4220,C4220,INDIRECT(J$2),INDIRECT(I4220),test),getMin(B4220,C4220,INDIRECT(J$2),INDIRECT(I4220),test))</f>
        <v>170.16048810980774</v>
      </c>
      <c r="E4220" s="5">
        <f ca="1">IF(getQuality(B4220)&lt;4,getOtherMax(B4220,C4220,INDIRECT(J$2),INDIRECT(I4220),test),getMax(B4220,C4220,INDIRECT(J$2),INDIRECT(I4220),test))</f>
        <v>217.39851117079806</v>
      </c>
      <c r="F4220" s="1" t="str">
        <f t="shared" si="263"/>
        <v>50</v>
      </c>
      <c r="G4220" s="1" t="str">
        <f t="shared" si="264"/>
        <v/>
      </c>
      <c r="I4220" s="1" t="str">
        <f t="shared" si="262"/>
        <v>威尔新数值1.06.xlsm!suitPower</v>
      </c>
    </row>
    <row r="4221" spans="1:9" x14ac:dyDescent="0.15">
      <c r="A4221" s="1">
        <v>4220</v>
      </c>
      <c r="B4221" s="1">
        <v>103060900</v>
      </c>
      <c r="C4221" s="1">
        <f t="shared" si="265"/>
        <v>101</v>
      </c>
      <c r="D4221" s="5">
        <f ca="1">IF(getQuality(B4221)&lt;4,getOtherMin(B4221,C4221,INDIRECT(J$2),INDIRECT(I4221),test),getMin(B4221,C4221,INDIRECT(J$2),INDIRECT(I4221),test))</f>
        <v>0.12</v>
      </c>
      <c r="E4221" s="5">
        <f ca="1">IF(getQuality(B4221)&lt;4,getOtherMax(B4221,C4221,INDIRECT(J$2),INDIRECT(I4221),test),getMax(B4221,C4221,INDIRECT(J$2),INDIRECT(I4221),test))</f>
        <v>0.15</v>
      </c>
      <c r="F4221" s="1" t="str">
        <f t="shared" si="263"/>
        <v>50</v>
      </c>
      <c r="G4221" s="1" t="str">
        <f t="shared" si="264"/>
        <v/>
      </c>
      <c r="I4221" s="1" t="str">
        <f t="shared" si="262"/>
        <v>威尔新数值1.06.xlsm!circlePer</v>
      </c>
    </row>
    <row r="4222" spans="1:9" x14ac:dyDescent="0.15">
      <c r="A4222" s="1">
        <v>4221</v>
      </c>
      <c r="B4222" s="1">
        <v>103060900</v>
      </c>
      <c r="C4222" s="1">
        <f t="shared" si="265"/>
        <v>102</v>
      </c>
      <c r="D4222" s="5">
        <f ca="1">IF(getQuality(B4222)&lt;4,getOtherMin(B4222,C4222,INDIRECT(J$2),INDIRECT(I4222),test),getMin(B4222,C4222,INDIRECT(J$2),INDIRECT(I4222),test))</f>
        <v>1.1000000000000001</v>
      </c>
      <c r="E4222" s="5">
        <f ca="1">IF(getQuality(B4222)&lt;4,getOtherMax(B4222,C4222,INDIRECT(J$2),INDIRECT(I4222),test),getMax(B4222,C4222,INDIRECT(J$2),INDIRECT(I4222),test))</f>
        <v>1.4</v>
      </c>
      <c r="F4222" s="1" t="str">
        <f t="shared" si="263"/>
        <v>50</v>
      </c>
      <c r="G4222" s="1" t="str">
        <f t="shared" si="264"/>
        <v/>
      </c>
      <c r="I4222" s="1" t="str">
        <f t="shared" si="262"/>
        <v>威尔新数值1.06.xlsm!circleValue</v>
      </c>
    </row>
    <row r="4223" spans="1:9" x14ac:dyDescent="0.15">
      <c r="A4223" s="1">
        <v>4222</v>
      </c>
      <c r="B4223" s="1">
        <v>103060900</v>
      </c>
      <c r="C4223" s="1">
        <f t="shared" si="265"/>
        <v>103</v>
      </c>
      <c r="D4223" s="5">
        <f ca="1">IF(getQuality(B4223)&lt;4,getOtherMin(B4223,C4223,INDIRECT(J$2),INDIRECT(I4223),test),getMin(B4223,C4223,INDIRECT(J$2),INDIRECT(I4223),test))</f>
        <v>0.12</v>
      </c>
      <c r="E4223" s="5">
        <f ca="1">IF(getQuality(B4223)&lt;4,getOtherMax(B4223,C4223,INDIRECT(J$2),INDIRECT(I4223),test),getMax(B4223,C4223,INDIRECT(J$2),INDIRECT(I4223),test))</f>
        <v>0.15</v>
      </c>
      <c r="F4223" s="1" t="str">
        <f t="shared" si="263"/>
        <v>50</v>
      </c>
      <c r="G4223" s="1" t="str">
        <f t="shared" si="264"/>
        <v/>
      </c>
      <c r="I4223" s="1" t="str">
        <f t="shared" si="262"/>
        <v>威尔新数值1.06.xlsm!otherDamage</v>
      </c>
    </row>
    <row r="4224" spans="1:9" x14ac:dyDescent="0.15">
      <c r="A4224" s="1">
        <v>4223</v>
      </c>
      <c r="B4224" s="1">
        <v>103060900</v>
      </c>
      <c r="C4224" s="1">
        <f t="shared" si="265"/>
        <v>104</v>
      </c>
      <c r="D4224" s="5">
        <f ca="1">IF(getQuality(B4224)&lt;4,getOtherMin(B4224,C4224,INDIRECT(J$2),INDIRECT(I4224),test),getMin(B4224,C4224,INDIRECT(J$2),INDIRECT(I4224),test))</f>
        <v>0.12</v>
      </c>
      <c r="E4224" s="5">
        <f ca="1">IF(getQuality(B4224)&lt;4,getOtherMax(B4224,C4224,INDIRECT(J$2),INDIRECT(I4224),test),getMax(B4224,C4224,INDIRECT(J$2),INDIRECT(I4224),test))</f>
        <v>0.24</v>
      </c>
      <c r="F4224" s="1" t="str">
        <f t="shared" si="263"/>
        <v>50</v>
      </c>
      <c r="G4224" s="1" t="str">
        <f t="shared" si="264"/>
        <v/>
      </c>
      <c r="I4224" s="1" t="str">
        <f t="shared" si="262"/>
        <v>威尔新数值1.06.xlsm!monsterDamage</v>
      </c>
    </row>
    <row r="4225" spans="1:9" x14ac:dyDescent="0.15">
      <c r="A4225" s="1">
        <v>4224</v>
      </c>
      <c r="B4225" s="1">
        <v>103060900</v>
      </c>
      <c r="C4225" s="1">
        <f t="shared" si="265"/>
        <v>105</v>
      </c>
      <c r="D4225" s="5">
        <f ca="1">IF(getQuality(B4225)&lt;4,getOtherMin(B4225,C4225,INDIRECT(J$2),INDIRECT(I4225),test),getMin(B4225,C4225,INDIRECT(J$2),INDIRECT(I4225),test))</f>
        <v>0.12</v>
      </c>
      <c r="E4225" s="5">
        <f ca="1">IF(getQuality(B4225)&lt;4,getOtherMax(B4225,C4225,INDIRECT(J$2),INDIRECT(I4225),test),getMax(B4225,C4225,INDIRECT(J$2),INDIRECT(I4225),test))</f>
        <v>0.24</v>
      </c>
      <c r="F4225" s="1" t="str">
        <f t="shared" si="263"/>
        <v>50</v>
      </c>
      <c r="G4225" s="1" t="str">
        <f t="shared" si="264"/>
        <v/>
      </c>
      <c r="I4225" s="1" t="str">
        <f t="shared" si="262"/>
        <v>威尔新数值1.06.xlsm!monsterDamage</v>
      </c>
    </row>
    <row r="4226" spans="1:9" x14ac:dyDescent="0.15">
      <c r="A4226" s="1">
        <v>4225</v>
      </c>
      <c r="B4226" s="1">
        <v>103060900</v>
      </c>
      <c r="C4226" s="1">
        <f t="shared" si="265"/>
        <v>106</v>
      </c>
      <c r="D4226" s="5">
        <f ca="1">IF(getQuality(B4226)&lt;4,getOtherMin(B4226,C4226,INDIRECT(J$2),INDIRECT(I4226),test),getMin(B4226,C4226,INDIRECT(J$2),INDIRECT(I4226),test))</f>
        <v>0.12</v>
      </c>
      <c r="E4226" s="5">
        <f ca="1">IF(getQuality(B4226)&lt;4,getOtherMax(B4226,C4226,INDIRECT(J$2),INDIRECT(I4226),test),getMax(B4226,C4226,INDIRECT(J$2),INDIRECT(I4226),test))</f>
        <v>0.24</v>
      </c>
      <c r="F4226" s="1" t="str">
        <f t="shared" si="263"/>
        <v>50</v>
      </c>
      <c r="G4226" s="1" t="str">
        <f t="shared" si="264"/>
        <v/>
      </c>
      <c r="I4226" s="1" t="str">
        <f t="shared" ref="I4226:I4289" si="266">IF(C4226&lt;100,VLOOKUP(C4226,test,3,FALSE),VLOOKUP(C4226,test1,3,FALSE))</f>
        <v>威尔新数值1.06.xlsm!monsterDamage</v>
      </c>
    </row>
    <row r="4227" spans="1:9" x14ac:dyDescent="0.15">
      <c r="A4227" s="1">
        <v>4226</v>
      </c>
      <c r="B4227" s="1">
        <v>103060900</v>
      </c>
      <c r="C4227" s="1">
        <f t="shared" si="265"/>
        <v>107</v>
      </c>
      <c r="D4227" s="5">
        <f ca="1">IF(getQuality(B4227)&lt;4,getOtherMin(B4227,C4227,INDIRECT(J$2),INDIRECT(I4227),test),getMin(B4227,C4227,INDIRECT(J$2),INDIRECT(I4227),test))</f>
        <v>0.12</v>
      </c>
      <c r="E4227" s="5">
        <f ca="1">IF(getQuality(B4227)&lt;4,getOtherMax(B4227,C4227,INDIRECT(J$2),INDIRECT(I4227),test),getMax(B4227,C4227,INDIRECT(J$2),INDIRECT(I4227),test))</f>
        <v>0.24</v>
      </c>
      <c r="F4227" s="1" t="str">
        <f t="shared" ref="F4227:F4290" si="267">getper(B4227,C4227)</f>
        <v>50</v>
      </c>
      <c r="G4227" s="1" t="str">
        <f t="shared" ref="G4227:G4290" si="268">getMust(B4227,C4227)</f>
        <v/>
      </c>
      <c r="I4227" s="1" t="str">
        <f t="shared" si="266"/>
        <v>威尔新数值1.06.xlsm!monsterDamage</v>
      </c>
    </row>
    <row r="4228" spans="1:9" x14ac:dyDescent="0.15">
      <c r="A4228" s="1">
        <v>4227</v>
      </c>
      <c r="B4228" s="1">
        <v>103060900</v>
      </c>
      <c r="C4228" s="1">
        <f t="shared" si="265"/>
        <v>108</v>
      </c>
      <c r="D4228" s="5">
        <f ca="1">IF(getQuality(B4228)&lt;4,getOtherMin(B4228,C4228,INDIRECT(J$2),INDIRECT(I4228),test),getMin(B4228,C4228,INDIRECT(J$2),INDIRECT(I4228),test))</f>
        <v>0.12</v>
      </c>
      <c r="E4228" s="5">
        <f ca="1">IF(getQuality(B4228)&lt;4,getOtherMax(B4228,C4228,INDIRECT(J$2),INDIRECT(I4228),test),getMax(B4228,C4228,INDIRECT(J$2),INDIRECT(I4228),test))</f>
        <v>0.24</v>
      </c>
      <c r="F4228" s="1" t="str">
        <f t="shared" si="267"/>
        <v>50</v>
      </c>
      <c r="G4228" s="1" t="str">
        <f t="shared" si="268"/>
        <v/>
      </c>
      <c r="I4228" s="1" t="str">
        <f t="shared" si="266"/>
        <v>威尔新数值1.06.xlsm!monsterDamage</v>
      </c>
    </row>
    <row r="4229" spans="1:9" x14ac:dyDescent="0.15">
      <c r="A4229" s="1">
        <v>4228</v>
      </c>
      <c r="B4229" s="1">
        <v>103070900</v>
      </c>
      <c r="C4229" s="1">
        <f t="shared" si="265"/>
        <v>3</v>
      </c>
      <c r="D4229" s="5">
        <f ca="1">IF(getQuality(B4229)&lt;4,getOtherMin(B4229,C4229,INDIRECT(J$2),INDIRECT(I4229),test),getMin(B4229,C4229,INDIRECT(J$2),INDIRECT(I4229),test))</f>
        <v>218.39851117079806</v>
      </c>
      <c r="E4229" s="5">
        <f ca="1">IF(getQuality(B4229)&lt;4,getOtherMax(B4229,C4229,INDIRECT(J$2),INDIRECT(I4229),test),getMax(B4229,C4229,INDIRECT(J$2),INDIRECT(I4229),test))</f>
        <v>270.43850937813136</v>
      </c>
      <c r="F4229" s="1" t="str">
        <f t="shared" si="267"/>
        <v>50</v>
      </c>
      <c r="G4229" s="1" t="str">
        <f t="shared" si="268"/>
        <v/>
      </c>
      <c r="I4229" s="1" t="str">
        <f t="shared" si="266"/>
        <v>威尔新数值1.06.xlsm!suitPower</v>
      </c>
    </row>
    <row r="4230" spans="1:9" x14ac:dyDescent="0.15">
      <c r="A4230" s="1">
        <v>4229</v>
      </c>
      <c r="B4230" s="1">
        <v>103070900</v>
      </c>
      <c r="C4230" s="1">
        <f t="shared" si="265"/>
        <v>5</v>
      </c>
      <c r="D4230" s="5">
        <f ca="1">IF(getQuality(B4230)&lt;4,getOtherMin(B4230,C4230,INDIRECT(J$2),INDIRECT(I4230),test),getMin(B4230,C4230,INDIRECT(J$2),INDIRECT(I4230),test))</f>
        <v>218.39851117079806</v>
      </c>
      <c r="E4230" s="5">
        <f ca="1">IF(getQuality(B4230)&lt;4,getOtherMax(B4230,C4230,INDIRECT(J$2),INDIRECT(I4230),test),getMax(B4230,C4230,INDIRECT(J$2),INDIRECT(I4230),test))</f>
        <v>270.43850937813136</v>
      </c>
      <c r="F4230" s="1" t="str">
        <f t="shared" si="267"/>
        <v>50</v>
      </c>
      <c r="G4230" s="1" t="str">
        <f t="shared" si="268"/>
        <v>1</v>
      </c>
      <c r="I4230" s="1" t="str">
        <f t="shared" si="266"/>
        <v>威尔新数值1.06.xlsm!suitPower</v>
      </c>
    </row>
    <row r="4231" spans="1:9" x14ac:dyDescent="0.15">
      <c r="A4231" s="1">
        <v>4230</v>
      </c>
      <c r="B4231" s="1">
        <v>103070900</v>
      </c>
      <c r="C4231" s="1">
        <f t="shared" si="265"/>
        <v>7</v>
      </c>
      <c r="D4231" s="5">
        <f ca="1">IF(getQuality(B4231)&lt;4,getOtherMin(B4231,C4231,INDIRECT(J$2),INDIRECT(I4231),test),getMin(B4231,C4231,INDIRECT(J$2),INDIRECT(I4231),test))</f>
        <v>45.444444444444329</v>
      </c>
      <c r="E4231" s="5">
        <f ca="1">IF(getQuality(B4231)&lt;4,getOtherMax(B4231,C4231,INDIRECT(J$2),INDIRECT(I4231),test),getMax(B4231,C4231,INDIRECT(J$2),INDIRECT(I4231),test))</f>
        <v>51.85185185185172</v>
      </c>
      <c r="F4231" s="1" t="str">
        <f t="shared" si="267"/>
        <v>50</v>
      </c>
      <c r="G4231" s="1" t="str">
        <f t="shared" si="268"/>
        <v/>
      </c>
      <c r="I4231" s="1" t="str">
        <f t="shared" si="266"/>
        <v>威尔新数值1.06.xlsm!suitPower</v>
      </c>
    </row>
    <row r="4232" spans="1:9" x14ac:dyDescent="0.15">
      <c r="A4232" s="1">
        <v>4231</v>
      </c>
      <c r="B4232" s="1">
        <v>103070900</v>
      </c>
      <c r="C4232" s="1">
        <f t="shared" si="265"/>
        <v>8</v>
      </c>
      <c r="D4232" s="5">
        <f ca="1">IF(getQuality(B4232)&lt;4,getOtherMin(B4232,C4232,INDIRECT(J$2),INDIRECT(I4232),test),getMin(B4232,C4232,INDIRECT(J$2),INDIRECT(I4232),test))</f>
        <v>101</v>
      </c>
      <c r="E4232" s="5">
        <f ca="1">IF(getQuality(B4232)&lt;4,getOtherMax(B4232,C4232,INDIRECT(J$2),INDIRECT(I4232),test),getMax(B4232,C4232,INDIRECT(J$2),INDIRECT(I4232),test))</f>
        <v>116.66666666666667</v>
      </c>
      <c r="F4232" s="1" t="str">
        <f t="shared" si="267"/>
        <v>50</v>
      </c>
      <c r="G4232" s="1" t="str">
        <f t="shared" si="268"/>
        <v/>
      </c>
      <c r="I4232" s="1" t="str">
        <f t="shared" si="266"/>
        <v>威尔新数值1.06.xlsm!suitPower</v>
      </c>
    </row>
    <row r="4233" spans="1:9" x14ac:dyDescent="0.15">
      <c r="A4233" s="1">
        <v>4232</v>
      </c>
      <c r="B4233" s="1">
        <v>103070900</v>
      </c>
      <c r="C4233" s="1">
        <f t="shared" si="265"/>
        <v>9</v>
      </c>
      <c r="D4233" s="5">
        <f ca="1">IF(getQuality(B4233)&lt;4,getOtherMin(B4233,C4233,INDIRECT(J$2),INDIRECT(I4233),test),getMin(B4233,C4233,INDIRECT(J$2),INDIRECT(I4233),test))</f>
        <v>218.39851117079806</v>
      </c>
      <c r="E4233" s="5">
        <f ca="1">IF(getQuality(B4233)&lt;4,getOtherMax(B4233,C4233,INDIRECT(J$2),INDIRECT(I4233),test),getMax(B4233,C4233,INDIRECT(J$2),INDIRECT(I4233),test))</f>
        <v>270.43850937813136</v>
      </c>
      <c r="F4233" s="1" t="str">
        <f t="shared" si="267"/>
        <v>50</v>
      </c>
      <c r="G4233" s="1" t="str">
        <f t="shared" si="268"/>
        <v/>
      </c>
      <c r="I4233" s="1" t="str">
        <f t="shared" si="266"/>
        <v>威尔新数值1.06.xlsm!suitPower</v>
      </c>
    </row>
    <row r="4234" spans="1:9" x14ac:dyDescent="0.15">
      <c r="A4234" s="1">
        <v>4233</v>
      </c>
      <c r="B4234" s="1">
        <v>103070900</v>
      </c>
      <c r="C4234" s="1">
        <f t="shared" si="265"/>
        <v>10</v>
      </c>
      <c r="D4234" s="5">
        <f ca="1">IF(getQuality(B4234)&lt;4,getOtherMin(B4234,C4234,INDIRECT(J$2),INDIRECT(I4234),test),getMin(B4234,C4234,INDIRECT(J$2),INDIRECT(I4234),test))</f>
        <v>218.39851117079806</v>
      </c>
      <c r="E4234" s="5">
        <f ca="1">IF(getQuality(B4234)&lt;4,getOtherMax(B4234,C4234,INDIRECT(J$2),INDIRECT(I4234),test),getMax(B4234,C4234,INDIRECT(J$2),INDIRECT(I4234),test))</f>
        <v>270.43850937813136</v>
      </c>
      <c r="F4234" s="1" t="str">
        <f t="shared" si="267"/>
        <v>50</v>
      </c>
      <c r="G4234" s="1" t="str">
        <f t="shared" si="268"/>
        <v/>
      </c>
      <c r="I4234" s="1" t="str">
        <f t="shared" si="266"/>
        <v>威尔新数值1.06.xlsm!suitPower</v>
      </c>
    </row>
    <row r="4235" spans="1:9" x14ac:dyDescent="0.15">
      <c r="A4235" s="1">
        <v>4234</v>
      </c>
      <c r="B4235" s="1">
        <v>103070900</v>
      </c>
      <c r="C4235" s="1">
        <f t="shared" si="265"/>
        <v>11</v>
      </c>
      <c r="D4235" s="5">
        <f ca="1">IF(getQuality(B4235)&lt;4,getOtherMin(B4235,C4235,INDIRECT(J$2),INDIRECT(I4235),test),getMin(B4235,C4235,INDIRECT(J$2),INDIRECT(I4235),test))</f>
        <v>218.39851117079806</v>
      </c>
      <c r="E4235" s="5">
        <f ca="1">IF(getQuality(B4235)&lt;4,getOtherMax(B4235,C4235,INDIRECT(J$2),INDIRECT(I4235),test),getMax(B4235,C4235,INDIRECT(J$2),INDIRECT(I4235),test))</f>
        <v>270.43850937813136</v>
      </c>
      <c r="F4235" s="1" t="str">
        <f t="shared" si="267"/>
        <v>50</v>
      </c>
      <c r="G4235" s="1" t="str">
        <f t="shared" si="268"/>
        <v/>
      </c>
      <c r="I4235" s="1" t="str">
        <f t="shared" si="266"/>
        <v>威尔新数值1.06.xlsm!suitPower</v>
      </c>
    </row>
    <row r="4236" spans="1:9" x14ac:dyDescent="0.15">
      <c r="A4236" s="1">
        <v>4235</v>
      </c>
      <c r="B4236" s="1">
        <v>103070900</v>
      </c>
      <c r="C4236" s="1">
        <f t="shared" si="265"/>
        <v>12</v>
      </c>
      <c r="D4236" s="5">
        <f ca="1">IF(getQuality(B4236)&lt;4,getOtherMin(B4236,C4236,INDIRECT(J$2),INDIRECT(I4236),test),getMin(B4236,C4236,INDIRECT(J$2),INDIRECT(I4236),test))</f>
        <v>218.39851117079806</v>
      </c>
      <c r="E4236" s="5">
        <f ca="1">IF(getQuality(B4236)&lt;4,getOtherMax(B4236,C4236,INDIRECT(J$2),INDIRECT(I4236),test),getMax(B4236,C4236,INDIRECT(J$2),INDIRECT(I4236),test))</f>
        <v>270.43850937813136</v>
      </c>
      <c r="F4236" s="1" t="str">
        <f t="shared" si="267"/>
        <v>50</v>
      </c>
      <c r="G4236" s="1" t="str">
        <f t="shared" si="268"/>
        <v/>
      </c>
      <c r="I4236" s="1" t="str">
        <f t="shared" si="266"/>
        <v>威尔新数值1.06.xlsm!suitPower</v>
      </c>
    </row>
    <row r="4237" spans="1:9" x14ac:dyDescent="0.15">
      <c r="A4237" s="1">
        <v>4236</v>
      </c>
      <c r="B4237" s="1">
        <v>103070900</v>
      </c>
      <c r="C4237" s="1">
        <f t="shared" si="265"/>
        <v>13</v>
      </c>
      <c r="D4237" s="5">
        <f ca="1">IF(getQuality(B4237)&lt;4,getOtherMin(B4237,C4237,INDIRECT(J$2),INDIRECT(I4237),test),getMin(B4237,C4237,INDIRECT(J$2),INDIRECT(I4237),test))</f>
        <v>218.39851117079806</v>
      </c>
      <c r="E4237" s="5">
        <f ca="1">IF(getQuality(B4237)&lt;4,getOtherMax(B4237,C4237,INDIRECT(J$2),INDIRECT(I4237),test),getMax(B4237,C4237,INDIRECT(J$2),INDIRECT(I4237),test))</f>
        <v>270.43850937813136</v>
      </c>
      <c r="F4237" s="1" t="str">
        <f t="shared" si="267"/>
        <v>50</v>
      </c>
      <c r="G4237" s="1" t="str">
        <f t="shared" si="268"/>
        <v/>
      </c>
      <c r="I4237" s="1" t="str">
        <f t="shared" si="266"/>
        <v>威尔新数值1.06.xlsm!suitPower</v>
      </c>
    </row>
    <row r="4238" spans="1:9" x14ac:dyDescent="0.15">
      <c r="A4238" s="1">
        <v>4237</v>
      </c>
      <c r="B4238" s="1">
        <v>103070900</v>
      </c>
      <c r="C4238" s="1">
        <f t="shared" si="265"/>
        <v>14</v>
      </c>
      <c r="D4238" s="5">
        <f ca="1">IF(getQuality(B4238)&lt;4,getOtherMin(B4238,C4238,INDIRECT(J$2),INDIRECT(I4238),test),getMin(B4238,C4238,INDIRECT(J$2),INDIRECT(I4238),test))</f>
        <v>218.39851117079806</v>
      </c>
      <c r="E4238" s="5">
        <f ca="1">IF(getQuality(B4238)&lt;4,getOtherMax(B4238,C4238,INDIRECT(J$2),INDIRECT(I4238),test),getMax(B4238,C4238,INDIRECT(J$2),INDIRECT(I4238),test))</f>
        <v>270.43850937813136</v>
      </c>
      <c r="F4238" s="1" t="str">
        <f t="shared" si="267"/>
        <v>50</v>
      </c>
      <c r="G4238" s="1" t="str">
        <f t="shared" si="268"/>
        <v/>
      </c>
      <c r="I4238" s="1" t="str">
        <f t="shared" si="266"/>
        <v>威尔新数值1.06.xlsm!suitPower</v>
      </c>
    </row>
    <row r="4239" spans="1:9" x14ac:dyDescent="0.15">
      <c r="A4239" s="1">
        <v>4238</v>
      </c>
      <c r="B4239" s="1">
        <v>103070900</v>
      </c>
      <c r="C4239" s="1">
        <f t="shared" si="265"/>
        <v>15</v>
      </c>
      <c r="D4239" s="5">
        <f ca="1">IF(getQuality(B4239)&lt;4,getOtherMin(B4239,C4239,INDIRECT(J$2),INDIRECT(I4239),test),getMin(B4239,C4239,INDIRECT(J$2),INDIRECT(I4239),test))</f>
        <v>218.39851117079806</v>
      </c>
      <c r="E4239" s="5">
        <f ca="1">IF(getQuality(B4239)&lt;4,getOtherMax(B4239,C4239,INDIRECT(J$2),INDIRECT(I4239),test),getMax(B4239,C4239,INDIRECT(J$2),INDIRECT(I4239),test))</f>
        <v>270.43850937813136</v>
      </c>
      <c r="F4239" s="1" t="str">
        <f t="shared" si="267"/>
        <v>50</v>
      </c>
      <c r="G4239" s="1" t="str">
        <f t="shared" si="268"/>
        <v/>
      </c>
      <c r="I4239" s="1" t="str">
        <f t="shared" si="266"/>
        <v>威尔新数值1.06.xlsm!suitPower</v>
      </c>
    </row>
    <row r="4240" spans="1:9" x14ac:dyDescent="0.15">
      <c r="A4240" s="1">
        <v>4239</v>
      </c>
      <c r="B4240" s="1">
        <v>103070900</v>
      </c>
      <c r="C4240" s="1">
        <f t="shared" si="265"/>
        <v>101</v>
      </c>
      <c r="D4240" s="5">
        <f ca="1">IF(getQuality(B4240)&lt;4,getOtherMin(B4240,C4240,INDIRECT(J$2),INDIRECT(I4240),test),getMin(B4240,C4240,INDIRECT(J$2),INDIRECT(I4240),test))</f>
        <v>0.13</v>
      </c>
      <c r="E4240" s="5">
        <f ca="1">IF(getQuality(B4240)&lt;4,getOtherMax(B4240,C4240,INDIRECT(J$2),INDIRECT(I4240),test),getMax(B4240,C4240,INDIRECT(J$2),INDIRECT(I4240),test))</f>
        <v>0.16</v>
      </c>
      <c r="F4240" s="1" t="str">
        <f t="shared" si="267"/>
        <v>50</v>
      </c>
      <c r="G4240" s="1" t="str">
        <f t="shared" si="268"/>
        <v/>
      </c>
      <c r="I4240" s="1" t="str">
        <f t="shared" si="266"/>
        <v>威尔新数值1.06.xlsm!circlePer</v>
      </c>
    </row>
    <row r="4241" spans="1:9" x14ac:dyDescent="0.15">
      <c r="A4241" s="1">
        <v>4240</v>
      </c>
      <c r="B4241" s="1">
        <v>103070900</v>
      </c>
      <c r="C4241" s="1">
        <f t="shared" si="265"/>
        <v>102</v>
      </c>
      <c r="D4241" s="5">
        <f ca="1">IF(getQuality(B4241)&lt;4,getOtherMin(B4241,C4241,INDIRECT(J$2),INDIRECT(I4241),test),getMin(B4241,C4241,INDIRECT(J$2),INDIRECT(I4241),test))</f>
        <v>1.2</v>
      </c>
      <c r="E4241" s="5">
        <f ca="1">IF(getQuality(B4241)&lt;4,getOtherMax(B4241,C4241,INDIRECT(J$2),INDIRECT(I4241),test),getMax(B4241,C4241,INDIRECT(J$2),INDIRECT(I4241),test))</f>
        <v>1.5</v>
      </c>
      <c r="F4241" s="1" t="str">
        <f t="shared" si="267"/>
        <v>50</v>
      </c>
      <c r="G4241" s="1" t="str">
        <f t="shared" si="268"/>
        <v/>
      </c>
      <c r="I4241" s="1" t="str">
        <f t="shared" si="266"/>
        <v>威尔新数值1.06.xlsm!circleValue</v>
      </c>
    </row>
    <row r="4242" spans="1:9" x14ac:dyDescent="0.15">
      <c r="A4242" s="1">
        <v>4241</v>
      </c>
      <c r="B4242" s="1">
        <v>103070900</v>
      </c>
      <c r="C4242" s="1">
        <f t="shared" si="265"/>
        <v>103</v>
      </c>
      <c r="D4242" s="5">
        <f ca="1">IF(getQuality(B4242)&lt;4,getOtherMin(B4242,C4242,INDIRECT(J$2),INDIRECT(I4242),test),getMin(B4242,C4242,INDIRECT(J$2),INDIRECT(I4242),test))</f>
        <v>0.13</v>
      </c>
      <c r="E4242" s="5">
        <f ca="1">IF(getQuality(B4242)&lt;4,getOtherMax(B4242,C4242,INDIRECT(J$2),INDIRECT(I4242),test),getMax(B4242,C4242,INDIRECT(J$2),INDIRECT(I4242),test))</f>
        <v>0.16</v>
      </c>
      <c r="F4242" s="1" t="str">
        <f t="shared" si="267"/>
        <v>50</v>
      </c>
      <c r="G4242" s="1" t="str">
        <f t="shared" si="268"/>
        <v/>
      </c>
      <c r="I4242" s="1" t="str">
        <f t="shared" si="266"/>
        <v>威尔新数值1.06.xlsm!otherDamage</v>
      </c>
    </row>
    <row r="4243" spans="1:9" x14ac:dyDescent="0.15">
      <c r="A4243" s="1">
        <v>4242</v>
      </c>
      <c r="B4243" s="1">
        <v>103070900</v>
      </c>
      <c r="C4243" s="1">
        <f t="shared" si="265"/>
        <v>104</v>
      </c>
      <c r="D4243" s="5">
        <f ca="1">IF(getQuality(B4243)&lt;4,getOtherMin(B4243,C4243,INDIRECT(J$2),INDIRECT(I4243),test),getMin(B4243,C4243,INDIRECT(J$2),INDIRECT(I4243),test))</f>
        <v>0.13</v>
      </c>
      <c r="E4243" s="5">
        <f ca="1">IF(getQuality(B4243)&lt;4,getOtherMax(B4243,C4243,INDIRECT(J$2),INDIRECT(I4243),test),getMax(B4243,C4243,INDIRECT(J$2),INDIRECT(I4243),test))</f>
        <v>0.26</v>
      </c>
      <c r="F4243" s="1" t="str">
        <f t="shared" si="267"/>
        <v>50</v>
      </c>
      <c r="G4243" s="1" t="str">
        <f t="shared" si="268"/>
        <v/>
      </c>
      <c r="I4243" s="1" t="str">
        <f t="shared" si="266"/>
        <v>威尔新数值1.06.xlsm!monsterDamage</v>
      </c>
    </row>
    <row r="4244" spans="1:9" x14ac:dyDescent="0.15">
      <c r="A4244" s="1">
        <v>4243</v>
      </c>
      <c r="B4244" s="1">
        <v>103070900</v>
      </c>
      <c r="C4244" s="1">
        <f t="shared" si="265"/>
        <v>105</v>
      </c>
      <c r="D4244" s="5">
        <f ca="1">IF(getQuality(B4244)&lt;4,getOtherMin(B4244,C4244,INDIRECT(J$2),INDIRECT(I4244),test),getMin(B4244,C4244,INDIRECT(J$2),INDIRECT(I4244),test))</f>
        <v>0.13</v>
      </c>
      <c r="E4244" s="5">
        <f ca="1">IF(getQuality(B4244)&lt;4,getOtherMax(B4244,C4244,INDIRECT(J$2),INDIRECT(I4244),test),getMax(B4244,C4244,INDIRECT(J$2),INDIRECT(I4244),test))</f>
        <v>0.26</v>
      </c>
      <c r="F4244" s="1" t="str">
        <f t="shared" si="267"/>
        <v>50</v>
      </c>
      <c r="G4244" s="1" t="str">
        <f t="shared" si="268"/>
        <v/>
      </c>
      <c r="I4244" s="1" t="str">
        <f t="shared" si="266"/>
        <v>威尔新数值1.06.xlsm!monsterDamage</v>
      </c>
    </row>
    <row r="4245" spans="1:9" x14ac:dyDescent="0.15">
      <c r="A4245" s="1">
        <v>4244</v>
      </c>
      <c r="B4245" s="1">
        <v>103070900</v>
      </c>
      <c r="C4245" s="1">
        <f t="shared" si="265"/>
        <v>106</v>
      </c>
      <c r="D4245" s="5">
        <f ca="1">IF(getQuality(B4245)&lt;4,getOtherMin(B4245,C4245,INDIRECT(J$2),INDIRECT(I4245),test),getMin(B4245,C4245,INDIRECT(J$2),INDIRECT(I4245),test))</f>
        <v>0.13</v>
      </c>
      <c r="E4245" s="5">
        <f ca="1">IF(getQuality(B4245)&lt;4,getOtherMax(B4245,C4245,INDIRECT(J$2),INDIRECT(I4245),test),getMax(B4245,C4245,INDIRECT(J$2),INDIRECT(I4245),test))</f>
        <v>0.26</v>
      </c>
      <c r="F4245" s="1" t="str">
        <f t="shared" si="267"/>
        <v>50</v>
      </c>
      <c r="G4245" s="1" t="str">
        <f t="shared" si="268"/>
        <v/>
      </c>
      <c r="I4245" s="1" t="str">
        <f t="shared" si="266"/>
        <v>威尔新数值1.06.xlsm!monsterDamage</v>
      </c>
    </row>
    <row r="4246" spans="1:9" x14ac:dyDescent="0.15">
      <c r="A4246" s="1">
        <v>4245</v>
      </c>
      <c r="B4246" s="1">
        <v>103070900</v>
      </c>
      <c r="C4246" s="1">
        <f t="shared" si="265"/>
        <v>107</v>
      </c>
      <c r="D4246" s="5">
        <f ca="1">IF(getQuality(B4246)&lt;4,getOtherMin(B4246,C4246,INDIRECT(J$2),INDIRECT(I4246),test),getMin(B4246,C4246,INDIRECT(J$2),INDIRECT(I4246),test))</f>
        <v>0.13</v>
      </c>
      <c r="E4246" s="5">
        <f ca="1">IF(getQuality(B4246)&lt;4,getOtherMax(B4246,C4246,INDIRECT(J$2),INDIRECT(I4246),test),getMax(B4246,C4246,INDIRECT(J$2),INDIRECT(I4246),test))</f>
        <v>0.26</v>
      </c>
      <c r="F4246" s="1" t="str">
        <f t="shared" si="267"/>
        <v>50</v>
      </c>
      <c r="G4246" s="1" t="str">
        <f t="shared" si="268"/>
        <v/>
      </c>
      <c r="I4246" s="1" t="str">
        <f t="shared" si="266"/>
        <v>威尔新数值1.06.xlsm!monsterDamage</v>
      </c>
    </row>
    <row r="4247" spans="1:9" x14ac:dyDescent="0.15">
      <c r="A4247" s="1">
        <v>4246</v>
      </c>
      <c r="B4247" s="1">
        <v>103070900</v>
      </c>
      <c r="C4247" s="1">
        <f t="shared" si="265"/>
        <v>108</v>
      </c>
      <c r="D4247" s="5">
        <f ca="1">IF(getQuality(B4247)&lt;4,getOtherMin(B4247,C4247,INDIRECT(J$2),INDIRECT(I4247),test),getMin(B4247,C4247,INDIRECT(J$2),INDIRECT(I4247),test))</f>
        <v>0.13</v>
      </c>
      <c r="E4247" s="5">
        <f ca="1">IF(getQuality(B4247)&lt;4,getOtherMax(B4247,C4247,INDIRECT(J$2),INDIRECT(I4247),test),getMax(B4247,C4247,INDIRECT(J$2),INDIRECT(I4247),test))</f>
        <v>0.26</v>
      </c>
      <c r="F4247" s="1" t="str">
        <f t="shared" si="267"/>
        <v>50</v>
      </c>
      <c r="G4247" s="1" t="str">
        <f t="shared" si="268"/>
        <v/>
      </c>
      <c r="I4247" s="1" t="str">
        <f t="shared" si="266"/>
        <v>威尔新数值1.06.xlsm!monsterDamage</v>
      </c>
    </row>
    <row r="4248" spans="1:9" x14ac:dyDescent="0.15">
      <c r="A4248" s="1">
        <v>4247</v>
      </c>
      <c r="B4248" s="1">
        <v>103080900</v>
      </c>
      <c r="C4248" s="1">
        <f t="shared" si="265"/>
        <v>3</v>
      </c>
      <c r="D4248" s="5">
        <f ca="1">IF(getQuality(B4248)&lt;4,getOtherMin(B4248,C4248,INDIRECT(J$2),INDIRECT(I4248),test),getMin(B4248,C4248,INDIRECT(J$2),INDIRECT(I4248),test))</f>
        <v>271.43850937813136</v>
      </c>
      <c r="E4248" s="5">
        <f ca="1">IF(getQuality(B4248)&lt;4,getOtherMax(B4248,C4248,INDIRECT(J$2),INDIRECT(I4248),test),getMax(B4248,C4248,INDIRECT(J$2),INDIRECT(I4248),test))</f>
        <v>328.28048273180752</v>
      </c>
      <c r="F4248" s="1" t="str">
        <f t="shared" si="267"/>
        <v>50</v>
      </c>
      <c r="G4248" s="1" t="str">
        <f t="shared" si="268"/>
        <v/>
      </c>
      <c r="I4248" s="1" t="str">
        <f t="shared" si="266"/>
        <v>威尔新数值1.06.xlsm!suitPower</v>
      </c>
    </row>
    <row r="4249" spans="1:9" x14ac:dyDescent="0.15">
      <c r="A4249" s="1">
        <v>4248</v>
      </c>
      <c r="B4249" s="1">
        <v>103080900</v>
      </c>
      <c r="C4249" s="1">
        <f t="shared" si="265"/>
        <v>5</v>
      </c>
      <c r="D4249" s="5">
        <f ca="1">IF(getQuality(B4249)&lt;4,getOtherMin(B4249,C4249,INDIRECT(J$2),INDIRECT(I4249),test),getMin(B4249,C4249,INDIRECT(J$2),INDIRECT(I4249),test))</f>
        <v>271.43850937813136</v>
      </c>
      <c r="E4249" s="5">
        <f ca="1">IF(getQuality(B4249)&lt;4,getOtherMax(B4249,C4249,INDIRECT(J$2),INDIRECT(I4249),test),getMax(B4249,C4249,INDIRECT(J$2),INDIRECT(I4249),test))</f>
        <v>328.28048273180752</v>
      </c>
      <c r="F4249" s="1" t="str">
        <f t="shared" si="267"/>
        <v>50</v>
      </c>
      <c r="G4249" s="1" t="str">
        <f t="shared" si="268"/>
        <v>1</v>
      </c>
      <c r="I4249" s="1" t="str">
        <f t="shared" si="266"/>
        <v>威尔新数值1.06.xlsm!suitPower</v>
      </c>
    </row>
    <row r="4250" spans="1:9" x14ac:dyDescent="0.15">
      <c r="A4250" s="1">
        <v>4249</v>
      </c>
      <c r="B4250" s="1">
        <v>103080900</v>
      </c>
      <c r="C4250" s="1">
        <f t="shared" si="265"/>
        <v>7</v>
      </c>
      <c r="D4250" s="5">
        <f ca="1">IF(getQuality(B4250)&lt;4,getOtherMin(B4250,C4250,INDIRECT(J$2),INDIRECT(I4250),test),getMin(B4250,C4250,INDIRECT(J$2),INDIRECT(I4250),test))</f>
        <v>52.85185185185172</v>
      </c>
      <c r="E4250" s="5">
        <f ca="1">IF(getQuality(B4250)&lt;4,getOtherMax(B4250,C4250,INDIRECT(J$2),INDIRECT(I4250),test),getMax(B4250,C4250,INDIRECT(J$2),INDIRECT(I4250),test))</f>
        <v>59.25925925925911</v>
      </c>
      <c r="F4250" s="1" t="str">
        <f t="shared" si="267"/>
        <v>50</v>
      </c>
      <c r="G4250" s="1" t="str">
        <f t="shared" si="268"/>
        <v/>
      </c>
      <c r="I4250" s="1" t="str">
        <f t="shared" si="266"/>
        <v>威尔新数值1.06.xlsm!suitPower</v>
      </c>
    </row>
    <row r="4251" spans="1:9" x14ac:dyDescent="0.15">
      <c r="A4251" s="1">
        <v>4250</v>
      </c>
      <c r="B4251" s="1">
        <v>103080900</v>
      </c>
      <c r="C4251" s="1">
        <f t="shared" si="265"/>
        <v>8</v>
      </c>
      <c r="D4251" s="5">
        <f ca="1">IF(getQuality(B4251)&lt;4,getOtherMin(B4251,C4251,INDIRECT(J$2),INDIRECT(I4251),test),getMin(B4251,C4251,INDIRECT(J$2),INDIRECT(I4251),test))</f>
        <v>117.66666666666667</v>
      </c>
      <c r="E4251" s="5">
        <f ca="1">IF(getQuality(B4251)&lt;4,getOtherMax(B4251,C4251,INDIRECT(J$2),INDIRECT(I4251),test),getMax(B4251,C4251,INDIRECT(J$2),INDIRECT(I4251),test))</f>
        <v>133.33333333333334</v>
      </c>
      <c r="F4251" s="1" t="str">
        <f t="shared" si="267"/>
        <v>50</v>
      </c>
      <c r="G4251" s="1" t="str">
        <f t="shared" si="268"/>
        <v/>
      </c>
      <c r="I4251" s="1" t="str">
        <f t="shared" si="266"/>
        <v>威尔新数值1.06.xlsm!suitPower</v>
      </c>
    </row>
    <row r="4252" spans="1:9" x14ac:dyDescent="0.15">
      <c r="A4252" s="1">
        <v>4251</v>
      </c>
      <c r="B4252" s="1">
        <v>103080900</v>
      </c>
      <c r="C4252" s="1">
        <f t="shared" si="265"/>
        <v>9</v>
      </c>
      <c r="D4252" s="5">
        <f ca="1">IF(getQuality(B4252)&lt;4,getOtherMin(B4252,C4252,INDIRECT(J$2),INDIRECT(I4252),test),getMin(B4252,C4252,INDIRECT(J$2),INDIRECT(I4252),test))</f>
        <v>271.43850937813136</v>
      </c>
      <c r="E4252" s="5">
        <f ca="1">IF(getQuality(B4252)&lt;4,getOtherMax(B4252,C4252,INDIRECT(J$2),INDIRECT(I4252),test),getMax(B4252,C4252,INDIRECT(J$2),INDIRECT(I4252),test))</f>
        <v>328.28048273180752</v>
      </c>
      <c r="F4252" s="1" t="str">
        <f t="shared" si="267"/>
        <v>50</v>
      </c>
      <c r="G4252" s="1" t="str">
        <f t="shared" si="268"/>
        <v/>
      </c>
      <c r="I4252" s="1" t="str">
        <f t="shared" si="266"/>
        <v>威尔新数值1.06.xlsm!suitPower</v>
      </c>
    </row>
    <row r="4253" spans="1:9" x14ac:dyDescent="0.15">
      <c r="A4253" s="1">
        <v>4252</v>
      </c>
      <c r="B4253" s="1">
        <v>103080900</v>
      </c>
      <c r="C4253" s="1">
        <f t="shared" si="265"/>
        <v>10</v>
      </c>
      <c r="D4253" s="5">
        <f ca="1">IF(getQuality(B4253)&lt;4,getOtherMin(B4253,C4253,INDIRECT(J$2),INDIRECT(I4253),test),getMin(B4253,C4253,INDIRECT(J$2),INDIRECT(I4253),test))</f>
        <v>271.43850937813136</v>
      </c>
      <c r="E4253" s="5">
        <f ca="1">IF(getQuality(B4253)&lt;4,getOtherMax(B4253,C4253,INDIRECT(J$2),INDIRECT(I4253),test),getMax(B4253,C4253,INDIRECT(J$2),INDIRECT(I4253),test))</f>
        <v>328.28048273180752</v>
      </c>
      <c r="F4253" s="1" t="str">
        <f t="shared" si="267"/>
        <v>50</v>
      </c>
      <c r="G4253" s="1" t="str">
        <f t="shared" si="268"/>
        <v/>
      </c>
      <c r="I4253" s="1" t="str">
        <f t="shared" si="266"/>
        <v>威尔新数值1.06.xlsm!suitPower</v>
      </c>
    </row>
    <row r="4254" spans="1:9" x14ac:dyDescent="0.15">
      <c r="A4254" s="1">
        <v>4253</v>
      </c>
      <c r="B4254" s="1">
        <v>103080900</v>
      </c>
      <c r="C4254" s="1">
        <f t="shared" si="265"/>
        <v>11</v>
      </c>
      <c r="D4254" s="5">
        <f ca="1">IF(getQuality(B4254)&lt;4,getOtherMin(B4254,C4254,INDIRECT(J$2),INDIRECT(I4254),test),getMin(B4254,C4254,INDIRECT(J$2),INDIRECT(I4254),test))</f>
        <v>271.43850937813136</v>
      </c>
      <c r="E4254" s="5">
        <f ca="1">IF(getQuality(B4254)&lt;4,getOtherMax(B4254,C4254,INDIRECT(J$2),INDIRECT(I4254),test),getMax(B4254,C4254,INDIRECT(J$2),INDIRECT(I4254),test))</f>
        <v>328.28048273180752</v>
      </c>
      <c r="F4254" s="1" t="str">
        <f t="shared" si="267"/>
        <v>50</v>
      </c>
      <c r="G4254" s="1" t="str">
        <f t="shared" si="268"/>
        <v/>
      </c>
      <c r="I4254" s="1" t="str">
        <f t="shared" si="266"/>
        <v>威尔新数值1.06.xlsm!suitPower</v>
      </c>
    </row>
    <row r="4255" spans="1:9" x14ac:dyDescent="0.15">
      <c r="A4255" s="1">
        <v>4254</v>
      </c>
      <c r="B4255" s="1">
        <v>103080900</v>
      </c>
      <c r="C4255" s="1">
        <f t="shared" si="265"/>
        <v>12</v>
      </c>
      <c r="D4255" s="5">
        <f ca="1">IF(getQuality(B4255)&lt;4,getOtherMin(B4255,C4255,INDIRECT(J$2),INDIRECT(I4255),test),getMin(B4255,C4255,INDIRECT(J$2),INDIRECT(I4255),test))</f>
        <v>271.43850937813136</v>
      </c>
      <c r="E4255" s="5">
        <f ca="1">IF(getQuality(B4255)&lt;4,getOtherMax(B4255,C4255,INDIRECT(J$2),INDIRECT(I4255),test),getMax(B4255,C4255,INDIRECT(J$2),INDIRECT(I4255),test))</f>
        <v>328.28048273180752</v>
      </c>
      <c r="F4255" s="1" t="str">
        <f t="shared" si="267"/>
        <v>50</v>
      </c>
      <c r="G4255" s="1" t="str">
        <f t="shared" si="268"/>
        <v/>
      </c>
      <c r="I4255" s="1" t="str">
        <f t="shared" si="266"/>
        <v>威尔新数值1.06.xlsm!suitPower</v>
      </c>
    </row>
    <row r="4256" spans="1:9" x14ac:dyDescent="0.15">
      <c r="A4256" s="1">
        <v>4255</v>
      </c>
      <c r="B4256" s="1">
        <v>103080900</v>
      </c>
      <c r="C4256" s="1">
        <f t="shared" si="265"/>
        <v>13</v>
      </c>
      <c r="D4256" s="5">
        <f ca="1">IF(getQuality(B4256)&lt;4,getOtherMin(B4256,C4256,INDIRECT(J$2),INDIRECT(I4256),test),getMin(B4256,C4256,INDIRECT(J$2),INDIRECT(I4256),test))</f>
        <v>271.43850937813136</v>
      </c>
      <c r="E4256" s="5">
        <f ca="1">IF(getQuality(B4256)&lt;4,getOtherMax(B4256,C4256,INDIRECT(J$2),INDIRECT(I4256),test),getMax(B4256,C4256,INDIRECT(J$2),INDIRECT(I4256),test))</f>
        <v>328.28048273180752</v>
      </c>
      <c r="F4256" s="1" t="str">
        <f t="shared" si="267"/>
        <v>50</v>
      </c>
      <c r="G4256" s="1" t="str">
        <f t="shared" si="268"/>
        <v/>
      </c>
      <c r="I4256" s="1" t="str">
        <f t="shared" si="266"/>
        <v>威尔新数值1.06.xlsm!suitPower</v>
      </c>
    </row>
    <row r="4257" spans="1:9" x14ac:dyDescent="0.15">
      <c r="A4257" s="1">
        <v>4256</v>
      </c>
      <c r="B4257" s="1">
        <v>103080900</v>
      </c>
      <c r="C4257" s="1">
        <f t="shared" si="265"/>
        <v>14</v>
      </c>
      <c r="D4257" s="5">
        <f ca="1">IF(getQuality(B4257)&lt;4,getOtherMin(B4257,C4257,INDIRECT(J$2),INDIRECT(I4257),test),getMin(B4257,C4257,INDIRECT(J$2),INDIRECT(I4257),test))</f>
        <v>271.43850937813136</v>
      </c>
      <c r="E4257" s="5">
        <f ca="1">IF(getQuality(B4257)&lt;4,getOtherMax(B4257,C4257,INDIRECT(J$2),INDIRECT(I4257),test),getMax(B4257,C4257,INDIRECT(J$2),INDIRECT(I4257),test))</f>
        <v>328.28048273180752</v>
      </c>
      <c r="F4257" s="1" t="str">
        <f t="shared" si="267"/>
        <v>50</v>
      </c>
      <c r="G4257" s="1" t="str">
        <f t="shared" si="268"/>
        <v/>
      </c>
      <c r="I4257" s="1" t="str">
        <f t="shared" si="266"/>
        <v>威尔新数值1.06.xlsm!suitPower</v>
      </c>
    </row>
    <row r="4258" spans="1:9" x14ac:dyDescent="0.15">
      <c r="A4258" s="1">
        <v>4257</v>
      </c>
      <c r="B4258" s="1">
        <v>103080900</v>
      </c>
      <c r="C4258" s="1">
        <f t="shared" si="265"/>
        <v>15</v>
      </c>
      <c r="D4258" s="5">
        <f ca="1">IF(getQuality(B4258)&lt;4,getOtherMin(B4258,C4258,INDIRECT(J$2),INDIRECT(I4258),test),getMin(B4258,C4258,INDIRECT(J$2),INDIRECT(I4258),test))</f>
        <v>271.43850937813136</v>
      </c>
      <c r="E4258" s="5">
        <f ca="1">IF(getQuality(B4258)&lt;4,getOtherMax(B4258,C4258,INDIRECT(J$2),INDIRECT(I4258),test),getMax(B4258,C4258,INDIRECT(J$2),INDIRECT(I4258),test))</f>
        <v>328.28048273180752</v>
      </c>
      <c r="F4258" s="1" t="str">
        <f t="shared" si="267"/>
        <v>50</v>
      </c>
      <c r="G4258" s="1" t="str">
        <f t="shared" si="268"/>
        <v/>
      </c>
      <c r="I4258" s="1" t="str">
        <f t="shared" si="266"/>
        <v>威尔新数值1.06.xlsm!suitPower</v>
      </c>
    </row>
    <row r="4259" spans="1:9" x14ac:dyDescent="0.15">
      <c r="A4259" s="1">
        <v>4258</v>
      </c>
      <c r="B4259" s="1">
        <v>103080900</v>
      </c>
      <c r="C4259" s="1">
        <f t="shared" si="265"/>
        <v>101</v>
      </c>
      <c r="D4259" s="5">
        <f ca="1">IF(getQuality(B4259)&lt;4,getOtherMin(B4259,C4259,INDIRECT(J$2),INDIRECT(I4259),test),getMin(B4259,C4259,INDIRECT(J$2),INDIRECT(I4259),test))</f>
        <v>0.14000000000000001</v>
      </c>
      <c r="E4259" s="5">
        <f ca="1">IF(getQuality(B4259)&lt;4,getOtherMax(B4259,C4259,INDIRECT(J$2),INDIRECT(I4259),test),getMax(B4259,C4259,INDIRECT(J$2),INDIRECT(I4259),test))</f>
        <v>0.17</v>
      </c>
      <c r="F4259" s="1" t="str">
        <f t="shared" si="267"/>
        <v>50</v>
      </c>
      <c r="G4259" s="1" t="str">
        <f t="shared" si="268"/>
        <v/>
      </c>
      <c r="I4259" s="1" t="str">
        <f t="shared" si="266"/>
        <v>威尔新数值1.06.xlsm!circlePer</v>
      </c>
    </row>
    <row r="4260" spans="1:9" x14ac:dyDescent="0.15">
      <c r="A4260" s="1">
        <v>4259</v>
      </c>
      <c r="B4260" s="1">
        <v>103080900</v>
      </c>
      <c r="C4260" s="1">
        <f t="shared" si="265"/>
        <v>102</v>
      </c>
      <c r="D4260" s="5">
        <f ca="1">IF(getQuality(B4260)&lt;4,getOtherMin(B4260,C4260,INDIRECT(J$2),INDIRECT(I4260),test),getMin(B4260,C4260,INDIRECT(J$2),INDIRECT(I4260),test))</f>
        <v>1.3</v>
      </c>
      <c r="E4260" s="5">
        <f ca="1">IF(getQuality(B4260)&lt;4,getOtherMax(B4260,C4260,INDIRECT(J$2),INDIRECT(I4260),test),getMax(B4260,C4260,INDIRECT(J$2),INDIRECT(I4260),test))</f>
        <v>1.6</v>
      </c>
      <c r="F4260" s="1" t="str">
        <f t="shared" si="267"/>
        <v>50</v>
      </c>
      <c r="G4260" s="1" t="str">
        <f t="shared" si="268"/>
        <v/>
      </c>
      <c r="I4260" s="1" t="str">
        <f t="shared" si="266"/>
        <v>威尔新数值1.06.xlsm!circleValue</v>
      </c>
    </row>
    <row r="4261" spans="1:9" x14ac:dyDescent="0.15">
      <c r="A4261" s="1">
        <v>4260</v>
      </c>
      <c r="B4261" s="1">
        <v>103080900</v>
      </c>
      <c r="C4261" s="1">
        <f t="shared" si="265"/>
        <v>103</v>
      </c>
      <c r="D4261" s="5">
        <f ca="1">IF(getQuality(B4261)&lt;4,getOtherMin(B4261,C4261,INDIRECT(J$2),INDIRECT(I4261),test),getMin(B4261,C4261,INDIRECT(J$2),INDIRECT(I4261),test))</f>
        <v>0.14000000000000001</v>
      </c>
      <c r="E4261" s="5">
        <f ca="1">IF(getQuality(B4261)&lt;4,getOtherMax(B4261,C4261,INDIRECT(J$2),INDIRECT(I4261),test),getMax(B4261,C4261,INDIRECT(J$2),INDIRECT(I4261),test))</f>
        <v>0.17</v>
      </c>
      <c r="F4261" s="1" t="str">
        <f t="shared" si="267"/>
        <v>50</v>
      </c>
      <c r="G4261" s="1" t="str">
        <f t="shared" si="268"/>
        <v/>
      </c>
      <c r="I4261" s="1" t="str">
        <f t="shared" si="266"/>
        <v>威尔新数值1.06.xlsm!otherDamage</v>
      </c>
    </row>
    <row r="4262" spans="1:9" x14ac:dyDescent="0.15">
      <c r="A4262" s="1">
        <v>4261</v>
      </c>
      <c r="B4262" s="1">
        <v>103080900</v>
      </c>
      <c r="C4262" s="1">
        <f t="shared" si="265"/>
        <v>104</v>
      </c>
      <c r="D4262" s="5">
        <f ca="1">IF(getQuality(B4262)&lt;4,getOtherMin(B4262,C4262,INDIRECT(J$2),INDIRECT(I4262),test),getMin(B4262,C4262,INDIRECT(J$2),INDIRECT(I4262),test))</f>
        <v>0.14000000000000001</v>
      </c>
      <c r="E4262" s="5">
        <f ca="1">IF(getQuality(B4262)&lt;4,getOtherMax(B4262,C4262,INDIRECT(J$2),INDIRECT(I4262),test),getMax(B4262,C4262,INDIRECT(J$2),INDIRECT(I4262),test))</f>
        <v>0.28000000000000003</v>
      </c>
      <c r="F4262" s="1" t="str">
        <f t="shared" si="267"/>
        <v>50</v>
      </c>
      <c r="G4262" s="1" t="str">
        <f t="shared" si="268"/>
        <v/>
      </c>
      <c r="I4262" s="1" t="str">
        <f t="shared" si="266"/>
        <v>威尔新数值1.06.xlsm!monsterDamage</v>
      </c>
    </row>
    <row r="4263" spans="1:9" x14ac:dyDescent="0.15">
      <c r="A4263" s="1">
        <v>4262</v>
      </c>
      <c r="B4263" s="1">
        <v>103080900</v>
      </c>
      <c r="C4263" s="1">
        <f t="shared" si="265"/>
        <v>105</v>
      </c>
      <c r="D4263" s="5">
        <f ca="1">IF(getQuality(B4263)&lt;4,getOtherMin(B4263,C4263,INDIRECT(J$2),INDIRECT(I4263),test),getMin(B4263,C4263,INDIRECT(J$2),INDIRECT(I4263),test))</f>
        <v>0.14000000000000001</v>
      </c>
      <c r="E4263" s="5">
        <f ca="1">IF(getQuality(B4263)&lt;4,getOtherMax(B4263,C4263,INDIRECT(J$2),INDIRECT(I4263),test),getMax(B4263,C4263,INDIRECT(J$2),INDIRECT(I4263),test))</f>
        <v>0.28000000000000003</v>
      </c>
      <c r="F4263" s="1" t="str">
        <f t="shared" si="267"/>
        <v>50</v>
      </c>
      <c r="G4263" s="1" t="str">
        <f t="shared" si="268"/>
        <v/>
      </c>
      <c r="I4263" s="1" t="str">
        <f t="shared" si="266"/>
        <v>威尔新数值1.06.xlsm!monsterDamage</v>
      </c>
    </row>
    <row r="4264" spans="1:9" x14ac:dyDescent="0.15">
      <c r="A4264" s="1">
        <v>4263</v>
      </c>
      <c r="B4264" s="1">
        <v>103080900</v>
      </c>
      <c r="C4264" s="1">
        <f t="shared" si="265"/>
        <v>106</v>
      </c>
      <c r="D4264" s="5">
        <f ca="1">IF(getQuality(B4264)&lt;4,getOtherMin(B4264,C4264,INDIRECT(J$2),INDIRECT(I4264),test),getMin(B4264,C4264,INDIRECT(J$2),INDIRECT(I4264),test))</f>
        <v>0.14000000000000001</v>
      </c>
      <c r="E4264" s="5">
        <f ca="1">IF(getQuality(B4264)&lt;4,getOtherMax(B4264,C4264,INDIRECT(J$2),INDIRECT(I4264),test),getMax(B4264,C4264,INDIRECT(J$2),INDIRECT(I4264),test))</f>
        <v>0.28000000000000003</v>
      </c>
      <c r="F4264" s="1" t="str">
        <f t="shared" si="267"/>
        <v>50</v>
      </c>
      <c r="G4264" s="1" t="str">
        <f t="shared" si="268"/>
        <v/>
      </c>
      <c r="I4264" s="1" t="str">
        <f t="shared" si="266"/>
        <v>威尔新数值1.06.xlsm!monsterDamage</v>
      </c>
    </row>
    <row r="4265" spans="1:9" x14ac:dyDescent="0.15">
      <c r="A4265" s="1">
        <v>4264</v>
      </c>
      <c r="B4265" s="1">
        <v>103080900</v>
      </c>
      <c r="C4265" s="1">
        <f t="shared" si="265"/>
        <v>107</v>
      </c>
      <c r="D4265" s="5">
        <f ca="1">IF(getQuality(B4265)&lt;4,getOtherMin(B4265,C4265,INDIRECT(J$2),INDIRECT(I4265),test),getMin(B4265,C4265,INDIRECT(J$2),INDIRECT(I4265),test))</f>
        <v>0.14000000000000001</v>
      </c>
      <c r="E4265" s="5">
        <f ca="1">IF(getQuality(B4265)&lt;4,getOtherMax(B4265,C4265,INDIRECT(J$2),INDIRECT(I4265),test),getMax(B4265,C4265,INDIRECT(J$2),INDIRECT(I4265),test))</f>
        <v>0.28000000000000003</v>
      </c>
      <c r="F4265" s="1" t="str">
        <f t="shared" si="267"/>
        <v>50</v>
      </c>
      <c r="G4265" s="1" t="str">
        <f t="shared" si="268"/>
        <v/>
      </c>
      <c r="I4265" s="1" t="str">
        <f t="shared" si="266"/>
        <v>威尔新数值1.06.xlsm!monsterDamage</v>
      </c>
    </row>
    <row r="4266" spans="1:9" x14ac:dyDescent="0.15">
      <c r="A4266" s="1">
        <v>4265</v>
      </c>
      <c r="B4266" s="1">
        <v>103080900</v>
      </c>
      <c r="C4266" s="1">
        <f t="shared" si="265"/>
        <v>108</v>
      </c>
      <c r="D4266" s="5">
        <f ca="1">IF(getQuality(B4266)&lt;4,getOtherMin(B4266,C4266,INDIRECT(J$2),INDIRECT(I4266),test),getMin(B4266,C4266,INDIRECT(J$2),INDIRECT(I4266),test))</f>
        <v>0.14000000000000001</v>
      </c>
      <c r="E4266" s="5">
        <f ca="1">IF(getQuality(B4266)&lt;4,getOtherMax(B4266,C4266,INDIRECT(J$2),INDIRECT(I4266),test),getMax(B4266,C4266,INDIRECT(J$2),INDIRECT(I4266),test))</f>
        <v>0.28000000000000003</v>
      </c>
      <c r="F4266" s="1" t="str">
        <f t="shared" si="267"/>
        <v>50</v>
      </c>
      <c r="G4266" s="1" t="str">
        <f t="shared" si="268"/>
        <v/>
      </c>
      <c r="I4266" s="1" t="str">
        <f t="shared" si="266"/>
        <v>威尔新数值1.06.xlsm!monsterDamage</v>
      </c>
    </row>
    <row r="4267" spans="1:9" x14ac:dyDescent="0.15">
      <c r="A4267" s="1">
        <v>4266</v>
      </c>
      <c r="B4267" s="1">
        <v>103090900</v>
      </c>
      <c r="C4267" s="1">
        <f t="shared" si="265"/>
        <v>3</v>
      </c>
      <c r="D4267" s="5">
        <f ca="1">IF(getQuality(B4267)&lt;4,getOtherMin(B4267,C4267,INDIRECT(J$2),INDIRECT(I4267),test),getMin(B4267,C4267,INDIRECT(J$2),INDIRECT(I4267),test))</f>
        <v>329.28048273180752</v>
      </c>
      <c r="E4267" s="5">
        <f ca="1">IF(getQuality(B4267)&lt;4,getOtherMax(B4267,C4267,INDIRECT(J$2),INDIRECT(I4267),test),getMax(B4267,C4267,INDIRECT(J$2),INDIRECT(I4267),test))</f>
        <v>390.92443123182665</v>
      </c>
      <c r="F4267" s="1" t="str">
        <f t="shared" si="267"/>
        <v>50</v>
      </c>
      <c r="G4267" s="1" t="str">
        <f t="shared" si="268"/>
        <v/>
      </c>
      <c r="I4267" s="1" t="str">
        <f t="shared" si="266"/>
        <v>威尔新数值1.06.xlsm!suitPower</v>
      </c>
    </row>
    <row r="4268" spans="1:9" x14ac:dyDescent="0.15">
      <c r="A4268" s="1">
        <v>4267</v>
      </c>
      <c r="B4268" s="1">
        <v>103090900</v>
      </c>
      <c r="C4268" s="1">
        <f t="shared" si="265"/>
        <v>5</v>
      </c>
      <c r="D4268" s="5">
        <f ca="1">IF(getQuality(B4268)&lt;4,getOtherMin(B4268,C4268,INDIRECT(J$2),INDIRECT(I4268),test),getMin(B4268,C4268,INDIRECT(J$2),INDIRECT(I4268),test))</f>
        <v>329.28048273180752</v>
      </c>
      <c r="E4268" s="5">
        <f ca="1">IF(getQuality(B4268)&lt;4,getOtherMax(B4268,C4268,INDIRECT(J$2),INDIRECT(I4268),test),getMax(B4268,C4268,INDIRECT(J$2),INDIRECT(I4268),test))</f>
        <v>390.92443123182665</v>
      </c>
      <c r="F4268" s="1" t="str">
        <f t="shared" si="267"/>
        <v>50</v>
      </c>
      <c r="G4268" s="1" t="str">
        <f t="shared" si="268"/>
        <v>1</v>
      </c>
      <c r="I4268" s="1" t="str">
        <f t="shared" si="266"/>
        <v>威尔新数值1.06.xlsm!suitPower</v>
      </c>
    </row>
    <row r="4269" spans="1:9" x14ac:dyDescent="0.15">
      <c r="A4269" s="1">
        <v>4268</v>
      </c>
      <c r="B4269" s="1">
        <v>103090900</v>
      </c>
      <c r="C4269" s="1">
        <f t="shared" si="265"/>
        <v>7</v>
      </c>
      <c r="D4269" s="5">
        <f ca="1">IF(getQuality(B4269)&lt;4,getOtherMin(B4269,C4269,INDIRECT(J$2),INDIRECT(I4269),test),getMin(B4269,C4269,INDIRECT(J$2),INDIRECT(I4269),test))</f>
        <v>60.25925925925911</v>
      </c>
      <c r="E4269" s="5">
        <f ca="1">IF(getQuality(B4269)&lt;4,getOtherMax(B4269,C4269,INDIRECT(J$2),INDIRECT(I4269),test),getMax(B4269,C4269,INDIRECT(J$2),INDIRECT(I4269),test))</f>
        <v>66.666666666666501</v>
      </c>
      <c r="F4269" s="1" t="str">
        <f t="shared" si="267"/>
        <v>50</v>
      </c>
      <c r="G4269" s="1" t="str">
        <f t="shared" si="268"/>
        <v/>
      </c>
      <c r="I4269" s="1" t="str">
        <f t="shared" si="266"/>
        <v>威尔新数值1.06.xlsm!suitPower</v>
      </c>
    </row>
    <row r="4270" spans="1:9" x14ac:dyDescent="0.15">
      <c r="A4270" s="1">
        <v>4269</v>
      </c>
      <c r="B4270" s="1">
        <v>103090900</v>
      </c>
      <c r="C4270" s="1">
        <f t="shared" si="265"/>
        <v>8</v>
      </c>
      <c r="D4270" s="5">
        <f ca="1">IF(getQuality(B4270)&lt;4,getOtherMin(B4270,C4270,INDIRECT(J$2),INDIRECT(I4270),test),getMin(B4270,C4270,INDIRECT(J$2),INDIRECT(I4270),test))</f>
        <v>134.33333333333334</v>
      </c>
      <c r="E4270" s="5">
        <f ca="1">IF(getQuality(B4270)&lt;4,getOtherMax(B4270,C4270,INDIRECT(J$2),INDIRECT(I4270),test),getMax(B4270,C4270,INDIRECT(J$2),INDIRECT(I4270),test))</f>
        <v>150</v>
      </c>
      <c r="F4270" s="1" t="str">
        <f t="shared" si="267"/>
        <v>50</v>
      </c>
      <c r="G4270" s="1" t="str">
        <f t="shared" si="268"/>
        <v/>
      </c>
      <c r="I4270" s="1" t="str">
        <f t="shared" si="266"/>
        <v>威尔新数值1.06.xlsm!suitPower</v>
      </c>
    </row>
    <row r="4271" spans="1:9" x14ac:dyDescent="0.15">
      <c r="A4271" s="1">
        <v>4270</v>
      </c>
      <c r="B4271" s="1">
        <v>103090900</v>
      </c>
      <c r="C4271" s="1">
        <f t="shared" si="265"/>
        <v>9</v>
      </c>
      <c r="D4271" s="5">
        <f ca="1">IF(getQuality(B4271)&lt;4,getOtherMin(B4271,C4271,INDIRECT(J$2),INDIRECT(I4271),test),getMin(B4271,C4271,INDIRECT(J$2),INDIRECT(I4271),test))</f>
        <v>329.28048273180752</v>
      </c>
      <c r="E4271" s="5">
        <f ca="1">IF(getQuality(B4271)&lt;4,getOtherMax(B4271,C4271,INDIRECT(J$2),INDIRECT(I4271),test),getMax(B4271,C4271,INDIRECT(J$2),INDIRECT(I4271),test))</f>
        <v>390.92443123182665</v>
      </c>
      <c r="F4271" s="1" t="str">
        <f t="shared" si="267"/>
        <v>50</v>
      </c>
      <c r="G4271" s="1" t="str">
        <f t="shared" si="268"/>
        <v/>
      </c>
      <c r="I4271" s="1" t="str">
        <f t="shared" si="266"/>
        <v>威尔新数值1.06.xlsm!suitPower</v>
      </c>
    </row>
    <row r="4272" spans="1:9" x14ac:dyDescent="0.15">
      <c r="A4272" s="1">
        <v>4271</v>
      </c>
      <c r="B4272" s="1">
        <v>103090900</v>
      </c>
      <c r="C4272" s="1">
        <f t="shared" si="265"/>
        <v>10</v>
      </c>
      <c r="D4272" s="5">
        <f ca="1">IF(getQuality(B4272)&lt;4,getOtherMin(B4272,C4272,INDIRECT(J$2),INDIRECT(I4272),test),getMin(B4272,C4272,INDIRECT(J$2),INDIRECT(I4272),test))</f>
        <v>329.28048273180752</v>
      </c>
      <c r="E4272" s="5">
        <f ca="1">IF(getQuality(B4272)&lt;4,getOtherMax(B4272,C4272,INDIRECT(J$2),INDIRECT(I4272),test),getMax(B4272,C4272,INDIRECT(J$2),INDIRECT(I4272),test))</f>
        <v>390.92443123182665</v>
      </c>
      <c r="F4272" s="1" t="str">
        <f t="shared" si="267"/>
        <v>50</v>
      </c>
      <c r="G4272" s="1" t="str">
        <f t="shared" si="268"/>
        <v/>
      </c>
      <c r="I4272" s="1" t="str">
        <f t="shared" si="266"/>
        <v>威尔新数值1.06.xlsm!suitPower</v>
      </c>
    </row>
    <row r="4273" spans="1:9" x14ac:dyDescent="0.15">
      <c r="A4273" s="1">
        <v>4272</v>
      </c>
      <c r="B4273" s="1">
        <v>103090900</v>
      </c>
      <c r="C4273" s="1">
        <f t="shared" si="265"/>
        <v>11</v>
      </c>
      <c r="D4273" s="5">
        <f ca="1">IF(getQuality(B4273)&lt;4,getOtherMin(B4273,C4273,INDIRECT(J$2),INDIRECT(I4273),test),getMin(B4273,C4273,INDIRECT(J$2),INDIRECT(I4273),test))</f>
        <v>329.28048273180752</v>
      </c>
      <c r="E4273" s="5">
        <f ca="1">IF(getQuality(B4273)&lt;4,getOtherMax(B4273,C4273,INDIRECT(J$2),INDIRECT(I4273),test),getMax(B4273,C4273,INDIRECT(J$2),INDIRECT(I4273),test))</f>
        <v>390.92443123182665</v>
      </c>
      <c r="F4273" s="1" t="str">
        <f t="shared" si="267"/>
        <v>50</v>
      </c>
      <c r="G4273" s="1" t="str">
        <f t="shared" si="268"/>
        <v/>
      </c>
      <c r="I4273" s="1" t="str">
        <f t="shared" si="266"/>
        <v>威尔新数值1.06.xlsm!suitPower</v>
      </c>
    </row>
    <row r="4274" spans="1:9" x14ac:dyDescent="0.15">
      <c r="A4274" s="1">
        <v>4273</v>
      </c>
      <c r="B4274" s="1">
        <v>103090900</v>
      </c>
      <c r="C4274" s="1">
        <f t="shared" si="265"/>
        <v>12</v>
      </c>
      <c r="D4274" s="5">
        <f ca="1">IF(getQuality(B4274)&lt;4,getOtherMin(B4274,C4274,INDIRECT(J$2),INDIRECT(I4274),test),getMin(B4274,C4274,INDIRECT(J$2),INDIRECT(I4274),test))</f>
        <v>329.28048273180752</v>
      </c>
      <c r="E4274" s="5">
        <f ca="1">IF(getQuality(B4274)&lt;4,getOtherMax(B4274,C4274,INDIRECT(J$2),INDIRECT(I4274),test),getMax(B4274,C4274,INDIRECT(J$2),INDIRECT(I4274),test))</f>
        <v>390.92443123182665</v>
      </c>
      <c r="F4274" s="1" t="str">
        <f t="shared" si="267"/>
        <v>50</v>
      </c>
      <c r="G4274" s="1" t="str">
        <f t="shared" si="268"/>
        <v/>
      </c>
      <c r="I4274" s="1" t="str">
        <f t="shared" si="266"/>
        <v>威尔新数值1.06.xlsm!suitPower</v>
      </c>
    </row>
    <row r="4275" spans="1:9" x14ac:dyDescent="0.15">
      <c r="A4275" s="1">
        <v>4274</v>
      </c>
      <c r="B4275" s="1">
        <v>103090900</v>
      </c>
      <c r="C4275" s="1">
        <f t="shared" si="265"/>
        <v>13</v>
      </c>
      <c r="D4275" s="5">
        <f ca="1">IF(getQuality(B4275)&lt;4,getOtherMin(B4275,C4275,INDIRECT(J$2),INDIRECT(I4275),test),getMin(B4275,C4275,INDIRECT(J$2),INDIRECT(I4275),test))</f>
        <v>329.28048273180752</v>
      </c>
      <c r="E4275" s="5">
        <f ca="1">IF(getQuality(B4275)&lt;4,getOtherMax(B4275,C4275,INDIRECT(J$2),INDIRECT(I4275),test),getMax(B4275,C4275,INDIRECT(J$2),INDIRECT(I4275),test))</f>
        <v>390.92443123182665</v>
      </c>
      <c r="F4275" s="1" t="str">
        <f t="shared" si="267"/>
        <v>50</v>
      </c>
      <c r="G4275" s="1" t="str">
        <f t="shared" si="268"/>
        <v/>
      </c>
      <c r="I4275" s="1" t="str">
        <f t="shared" si="266"/>
        <v>威尔新数值1.06.xlsm!suitPower</v>
      </c>
    </row>
    <row r="4276" spans="1:9" x14ac:dyDescent="0.15">
      <c r="A4276" s="1">
        <v>4275</v>
      </c>
      <c r="B4276" s="1">
        <v>103090900</v>
      </c>
      <c r="C4276" s="1">
        <f t="shared" si="265"/>
        <v>14</v>
      </c>
      <c r="D4276" s="5">
        <f ca="1">IF(getQuality(B4276)&lt;4,getOtherMin(B4276,C4276,INDIRECT(J$2),INDIRECT(I4276),test),getMin(B4276,C4276,INDIRECT(J$2),INDIRECT(I4276),test))</f>
        <v>329.28048273180752</v>
      </c>
      <c r="E4276" s="5">
        <f ca="1">IF(getQuality(B4276)&lt;4,getOtherMax(B4276,C4276,INDIRECT(J$2),INDIRECT(I4276),test),getMax(B4276,C4276,INDIRECT(J$2),INDIRECT(I4276),test))</f>
        <v>390.92443123182665</v>
      </c>
      <c r="F4276" s="1" t="str">
        <f t="shared" si="267"/>
        <v>50</v>
      </c>
      <c r="G4276" s="1" t="str">
        <f t="shared" si="268"/>
        <v/>
      </c>
      <c r="I4276" s="1" t="str">
        <f t="shared" si="266"/>
        <v>威尔新数值1.06.xlsm!suitPower</v>
      </c>
    </row>
    <row r="4277" spans="1:9" x14ac:dyDescent="0.15">
      <c r="A4277" s="1">
        <v>4276</v>
      </c>
      <c r="B4277" s="1">
        <v>103090900</v>
      </c>
      <c r="C4277" s="1">
        <f t="shared" si="265"/>
        <v>15</v>
      </c>
      <c r="D4277" s="5">
        <f ca="1">IF(getQuality(B4277)&lt;4,getOtherMin(B4277,C4277,INDIRECT(J$2),INDIRECT(I4277),test),getMin(B4277,C4277,INDIRECT(J$2),INDIRECT(I4277),test))</f>
        <v>329.28048273180752</v>
      </c>
      <c r="E4277" s="5">
        <f ca="1">IF(getQuality(B4277)&lt;4,getOtherMax(B4277,C4277,INDIRECT(J$2),INDIRECT(I4277),test),getMax(B4277,C4277,INDIRECT(J$2),INDIRECT(I4277),test))</f>
        <v>390.92443123182665</v>
      </c>
      <c r="F4277" s="1" t="str">
        <f t="shared" si="267"/>
        <v>50</v>
      </c>
      <c r="G4277" s="1" t="str">
        <f t="shared" si="268"/>
        <v/>
      </c>
      <c r="I4277" s="1" t="str">
        <f t="shared" si="266"/>
        <v>威尔新数值1.06.xlsm!suitPower</v>
      </c>
    </row>
    <row r="4278" spans="1:9" x14ac:dyDescent="0.15">
      <c r="A4278" s="1">
        <v>4277</v>
      </c>
      <c r="B4278" s="1">
        <v>103090900</v>
      </c>
      <c r="C4278" s="1">
        <f t="shared" si="265"/>
        <v>101</v>
      </c>
      <c r="D4278" s="5">
        <f ca="1">IF(getQuality(B4278)&lt;4,getOtherMin(B4278,C4278,INDIRECT(J$2),INDIRECT(I4278),test),getMin(B4278,C4278,INDIRECT(J$2),INDIRECT(I4278),test))</f>
        <v>0.15</v>
      </c>
      <c r="E4278" s="5">
        <f ca="1">IF(getQuality(B4278)&lt;4,getOtherMax(B4278,C4278,INDIRECT(J$2),INDIRECT(I4278),test),getMax(B4278,C4278,INDIRECT(J$2),INDIRECT(I4278),test))</f>
        <v>0.18</v>
      </c>
      <c r="F4278" s="1" t="str">
        <f t="shared" si="267"/>
        <v>50</v>
      </c>
      <c r="G4278" s="1" t="str">
        <f t="shared" si="268"/>
        <v/>
      </c>
      <c r="I4278" s="1" t="str">
        <f t="shared" si="266"/>
        <v>威尔新数值1.06.xlsm!circlePer</v>
      </c>
    </row>
    <row r="4279" spans="1:9" x14ac:dyDescent="0.15">
      <c r="A4279" s="1">
        <v>4278</v>
      </c>
      <c r="B4279" s="1">
        <v>103090900</v>
      </c>
      <c r="C4279" s="1">
        <f t="shared" si="265"/>
        <v>102</v>
      </c>
      <c r="D4279" s="5">
        <f ca="1">IF(getQuality(B4279)&lt;4,getOtherMin(B4279,C4279,INDIRECT(J$2),INDIRECT(I4279),test),getMin(B4279,C4279,INDIRECT(J$2),INDIRECT(I4279),test))</f>
        <v>1.4</v>
      </c>
      <c r="E4279" s="5">
        <f ca="1">IF(getQuality(B4279)&lt;4,getOtherMax(B4279,C4279,INDIRECT(J$2),INDIRECT(I4279),test),getMax(B4279,C4279,INDIRECT(J$2),INDIRECT(I4279),test))</f>
        <v>1.7</v>
      </c>
      <c r="F4279" s="1" t="str">
        <f t="shared" si="267"/>
        <v>50</v>
      </c>
      <c r="G4279" s="1" t="str">
        <f t="shared" si="268"/>
        <v/>
      </c>
      <c r="I4279" s="1" t="str">
        <f t="shared" si="266"/>
        <v>威尔新数值1.06.xlsm!circleValue</v>
      </c>
    </row>
    <row r="4280" spans="1:9" x14ac:dyDescent="0.15">
      <c r="A4280" s="1">
        <v>4279</v>
      </c>
      <c r="B4280" s="1">
        <v>103090900</v>
      </c>
      <c r="C4280" s="1">
        <f t="shared" si="265"/>
        <v>103</v>
      </c>
      <c r="D4280" s="5">
        <f ca="1">IF(getQuality(B4280)&lt;4,getOtherMin(B4280,C4280,INDIRECT(J$2),INDIRECT(I4280),test),getMin(B4280,C4280,INDIRECT(J$2),INDIRECT(I4280),test))</f>
        <v>0.15</v>
      </c>
      <c r="E4280" s="5">
        <f ca="1">IF(getQuality(B4280)&lt;4,getOtherMax(B4280,C4280,INDIRECT(J$2),INDIRECT(I4280),test),getMax(B4280,C4280,INDIRECT(J$2),INDIRECT(I4280),test))</f>
        <v>0.18</v>
      </c>
      <c r="F4280" s="1" t="str">
        <f t="shared" si="267"/>
        <v>50</v>
      </c>
      <c r="G4280" s="1" t="str">
        <f t="shared" si="268"/>
        <v/>
      </c>
      <c r="I4280" s="1" t="str">
        <f t="shared" si="266"/>
        <v>威尔新数值1.06.xlsm!otherDamage</v>
      </c>
    </row>
    <row r="4281" spans="1:9" x14ac:dyDescent="0.15">
      <c r="A4281" s="1">
        <v>4280</v>
      </c>
      <c r="B4281" s="1">
        <v>103090900</v>
      </c>
      <c r="C4281" s="1">
        <f t="shared" si="265"/>
        <v>104</v>
      </c>
      <c r="D4281" s="5">
        <f ca="1">IF(getQuality(B4281)&lt;4,getOtherMin(B4281,C4281,INDIRECT(J$2),INDIRECT(I4281),test),getMin(B4281,C4281,INDIRECT(J$2),INDIRECT(I4281),test))</f>
        <v>0.15</v>
      </c>
      <c r="E4281" s="5">
        <f ca="1">IF(getQuality(B4281)&lt;4,getOtherMax(B4281,C4281,INDIRECT(J$2),INDIRECT(I4281),test),getMax(B4281,C4281,INDIRECT(J$2),INDIRECT(I4281),test))</f>
        <v>0.3</v>
      </c>
      <c r="F4281" s="1" t="str">
        <f t="shared" si="267"/>
        <v>50</v>
      </c>
      <c r="G4281" s="1" t="str">
        <f t="shared" si="268"/>
        <v/>
      </c>
      <c r="I4281" s="1" t="str">
        <f t="shared" si="266"/>
        <v>威尔新数值1.06.xlsm!monsterDamage</v>
      </c>
    </row>
    <row r="4282" spans="1:9" x14ac:dyDescent="0.15">
      <c r="A4282" s="1">
        <v>4281</v>
      </c>
      <c r="B4282" s="1">
        <v>103090900</v>
      </c>
      <c r="C4282" s="1">
        <f t="shared" si="265"/>
        <v>105</v>
      </c>
      <c r="D4282" s="5">
        <f ca="1">IF(getQuality(B4282)&lt;4,getOtherMin(B4282,C4282,INDIRECT(J$2),INDIRECT(I4282),test),getMin(B4282,C4282,INDIRECT(J$2),INDIRECT(I4282),test))</f>
        <v>0.15</v>
      </c>
      <c r="E4282" s="5">
        <f ca="1">IF(getQuality(B4282)&lt;4,getOtherMax(B4282,C4282,INDIRECT(J$2),INDIRECT(I4282),test),getMax(B4282,C4282,INDIRECT(J$2),INDIRECT(I4282),test))</f>
        <v>0.3</v>
      </c>
      <c r="F4282" s="1" t="str">
        <f t="shared" si="267"/>
        <v>50</v>
      </c>
      <c r="G4282" s="1" t="str">
        <f t="shared" si="268"/>
        <v/>
      </c>
      <c r="I4282" s="1" t="str">
        <f t="shared" si="266"/>
        <v>威尔新数值1.06.xlsm!monsterDamage</v>
      </c>
    </row>
    <row r="4283" spans="1:9" x14ac:dyDescent="0.15">
      <c r="A4283" s="1">
        <v>4282</v>
      </c>
      <c r="B4283" s="1">
        <v>103090900</v>
      </c>
      <c r="C4283" s="1">
        <f t="shared" si="265"/>
        <v>106</v>
      </c>
      <c r="D4283" s="5">
        <f ca="1">IF(getQuality(B4283)&lt;4,getOtherMin(B4283,C4283,INDIRECT(J$2),INDIRECT(I4283),test),getMin(B4283,C4283,INDIRECT(J$2),INDIRECT(I4283),test))</f>
        <v>0.15</v>
      </c>
      <c r="E4283" s="5">
        <f ca="1">IF(getQuality(B4283)&lt;4,getOtherMax(B4283,C4283,INDIRECT(J$2),INDIRECT(I4283),test),getMax(B4283,C4283,INDIRECT(J$2),INDIRECT(I4283),test))</f>
        <v>0.3</v>
      </c>
      <c r="F4283" s="1" t="str">
        <f t="shared" si="267"/>
        <v>50</v>
      </c>
      <c r="G4283" s="1" t="str">
        <f t="shared" si="268"/>
        <v/>
      </c>
      <c r="I4283" s="1" t="str">
        <f t="shared" si="266"/>
        <v>威尔新数值1.06.xlsm!monsterDamage</v>
      </c>
    </row>
    <row r="4284" spans="1:9" x14ac:dyDescent="0.15">
      <c r="A4284" s="1">
        <v>4283</v>
      </c>
      <c r="B4284" s="1">
        <v>103090900</v>
      </c>
      <c r="C4284" s="1">
        <f t="shared" ref="C4284:C4347" si="269">C1809</f>
        <v>107</v>
      </c>
      <c r="D4284" s="5">
        <f ca="1">IF(getQuality(B4284)&lt;4,getOtherMin(B4284,C4284,INDIRECT(J$2),INDIRECT(I4284),test),getMin(B4284,C4284,INDIRECT(J$2),INDIRECT(I4284),test))</f>
        <v>0.15</v>
      </c>
      <c r="E4284" s="5">
        <f ca="1">IF(getQuality(B4284)&lt;4,getOtherMax(B4284,C4284,INDIRECT(J$2),INDIRECT(I4284),test),getMax(B4284,C4284,INDIRECT(J$2),INDIRECT(I4284),test))</f>
        <v>0.3</v>
      </c>
      <c r="F4284" s="1" t="str">
        <f t="shared" si="267"/>
        <v>50</v>
      </c>
      <c r="G4284" s="1" t="str">
        <f t="shared" si="268"/>
        <v/>
      </c>
      <c r="I4284" s="1" t="str">
        <f t="shared" si="266"/>
        <v>威尔新数值1.06.xlsm!monsterDamage</v>
      </c>
    </row>
    <row r="4285" spans="1:9" x14ac:dyDescent="0.15">
      <c r="A4285" s="1">
        <v>4284</v>
      </c>
      <c r="B4285" s="1">
        <v>103090900</v>
      </c>
      <c r="C4285" s="1">
        <f t="shared" si="269"/>
        <v>108</v>
      </c>
      <c r="D4285" s="5">
        <f ca="1">IF(getQuality(B4285)&lt;4,getOtherMin(B4285,C4285,INDIRECT(J$2),INDIRECT(I4285),test),getMin(B4285,C4285,INDIRECT(J$2),INDIRECT(I4285),test))</f>
        <v>0.15</v>
      </c>
      <c r="E4285" s="5">
        <f ca="1">IF(getQuality(B4285)&lt;4,getOtherMax(B4285,C4285,INDIRECT(J$2),INDIRECT(I4285),test),getMax(B4285,C4285,INDIRECT(J$2),INDIRECT(I4285),test))</f>
        <v>0.3</v>
      </c>
      <c r="F4285" s="1" t="str">
        <f t="shared" si="267"/>
        <v>50</v>
      </c>
      <c r="G4285" s="1" t="str">
        <f t="shared" si="268"/>
        <v/>
      </c>
      <c r="I4285" s="1" t="str">
        <f t="shared" si="266"/>
        <v>威尔新数值1.06.xlsm!monsterDamage</v>
      </c>
    </row>
    <row r="4286" spans="1:9" x14ac:dyDescent="0.15">
      <c r="A4286" s="1">
        <v>4285</v>
      </c>
      <c r="B4286" s="1">
        <v>103011000</v>
      </c>
      <c r="C4286" s="1">
        <f t="shared" si="269"/>
        <v>3</v>
      </c>
      <c r="D4286" s="5">
        <f ca="1">IF(getQuality(B4286)&lt;4,getOtherMin(B4286,C4286,INDIRECT(J$2),INDIRECT(I4286),test),getMin(B4286,C4286,INDIRECT(J$2),INDIRECT(I4286),test))</f>
        <v>1</v>
      </c>
      <c r="E4286" s="5">
        <f ca="1">IF(getQuality(B4286)&lt;4,getOtherMax(B4286,C4286,INDIRECT(J$2),INDIRECT(I4286),test),getMax(B4286,C4286,INDIRECT(J$2),INDIRECT(I4286),test))</f>
        <v>24.009875731714647</v>
      </c>
      <c r="F4286" s="1" t="str">
        <f t="shared" si="267"/>
        <v>50</v>
      </c>
      <c r="G4286" s="1" t="str">
        <f t="shared" si="268"/>
        <v>1</v>
      </c>
      <c r="I4286" s="1" t="str">
        <f t="shared" si="266"/>
        <v>威尔新数值1.06.xlsm!suitPower</v>
      </c>
    </row>
    <row r="4287" spans="1:9" x14ac:dyDescent="0.15">
      <c r="A4287" s="1">
        <v>4286</v>
      </c>
      <c r="B4287" s="1">
        <v>103011000</v>
      </c>
      <c r="C4287" s="1">
        <f t="shared" si="269"/>
        <v>5</v>
      </c>
      <c r="D4287" s="5">
        <f ca="1">IF(getQuality(B4287)&lt;4,getOtherMin(B4287,C4287,INDIRECT(J$2),INDIRECT(I4287),test),getMin(B4287,C4287,INDIRECT(J$2),INDIRECT(I4287),test))</f>
        <v>1</v>
      </c>
      <c r="E4287" s="5">
        <f ca="1">IF(getQuality(B4287)&lt;4,getOtherMax(B4287,C4287,INDIRECT(J$2),INDIRECT(I4287),test),getMax(B4287,C4287,INDIRECT(J$2),INDIRECT(I4287),test))</f>
        <v>24.009875731714647</v>
      </c>
      <c r="F4287" s="1" t="str">
        <f t="shared" si="267"/>
        <v>50</v>
      </c>
      <c r="G4287" s="1" t="str">
        <f t="shared" si="268"/>
        <v/>
      </c>
      <c r="I4287" s="1" t="str">
        <f t="shared" si="266"/>
        <v>威尔新数值1.06.xlsm!suitPower</v>
      </c>
    </row>
    <row r="4288" spans="1:9" x14ac:dyDescent="0.15">
      <c r="A4288" s="1">
        <v>4287</v>
      </c>
      <c r="B4288" s="1">
        <v>103011000</v>
      </c>
      <c r="C4288" s="1">
        <f t="shared" si="269"/>
        <v>7</v>
      </c>
      <c r="D4288" s="5">
        <f ca="1">IF(getQuality(B4288)&lt;4,getOtherMin(B4288,C4288,INDIRECT(J$2),INDIRECT(I4288),test),getMin(B4288,C4288,INDIRECT(J$2),INDIRECT(I4288),test))</f>
        <v>1</v>
      </c>
      <c r="E4288" s="5">
        <f ca="1">IF(getQuality(B4288)&lt;4,getOtherMax(B4288,C4288,INDIRECT(J$2),INDIRECT(I4288),test),getMax(B4288,C4288,INDIRECT(J$2),INDIRECT(I4288),test))</f>
        <v>7.4074074074073888</v>
      </c>
      <c r="F4288" s="1" t="str">
        <f t="shared" si="267"/>
        <v>50</v>
      </c>
      <c r="G4288" s="1" t="str">
        <f t="shared" si="268"/>
        <v/>
      </c>
      <c r="I4288" s="1" t="str">
        <f t="shared" si="266"/>
        <v>威尔新数值1.06.xlsm!suitPower</v>
      </c>
    </row>
    <row r="4289" spans="1:9" x14ac:dyDescent="0.15">
      <c r="A4289" s="1">
        <v>4288</v>
      </c>
      <c r="B4289" s="1">
        <v>103011000</v>
      </c>
      <c r="C4289" s="1">
        <f t="shared" si="269"/>
        <v>8</v>
      </c>
      <c r="D4289" s="5">
        <f ca="1">IF(getQuality(B4289)&lt;4,getOtherMin(B4289,C4289,INDIRECT(J$2),INDIRECT(I4289),test),getMin(B4289,C4289,INDIRECT(J$2),INDIRECT(I4289),test))</f>
        <v>1</v>
      </c>
      <c r="E4289" s="5">
        <f ca="1">IF(getQuality(B4289)&lt;4,getOtherMax(B4289,C4289,INDIRECT(J$2),INDIRECT(I4289),test),getMax(B4289,C4289,INDIRECT(J$2),INDIRECT(I4289),test))</f>
        <v>16.666666666666668</v>
      </c>
      <c r="F4289" s="1" t="str">
        <f t="shared" si="267"/>
        <v>50</v>
      </c>
      <c r="G4289" s="1" t="str">
        <f t="shared" si="268"/>
        <v/>
      </c>
      <c r="I4289" s="1" t="str">
        <f t="shared" si="266"/>
        <v>威尔新数值1.06.xlsm!suitPower</v>
      </c>
    </row>
    <row r="4290" spans="1:9" x14ac:dyDescent="0.15">
      <c r="A4290" s="1">
        <v>4289</v>
      </c>
      <c r="B4290" s="1">
        <v>103011000</v>
      </c>
      <c r="C4290" s="1">
        <f t="shared" si="269"/>
        <v>9</v>
      </c>
      <c r="D4290" s="5">
        <f ca="1">IF(getQuality(B4290)&lt;4,getOtherMin(B4290,C4290,INDIRECT(J$2),INDIRECT(I4290),test),getMin(B4290,C4290,INDIRECT(J$2),INDIRECT(I4290),test))</f>
        <v>1</v>
      </c>
      <c r="E4290" s="5">
        <f ca="1">IF(getQuality(B4290)&lt;4,getOtherMax(B4290,C4290,INDIRECT(J$2),INDIRECT(I4290),test),getMax(B4290,C4290,INDIRECT(J$2),INDIRECT(I4290),test))</f>
        <v>24.009875731714647</v>
      </c>
      <c r="F4290" s="1" t="str">
        <f t="shared" si="267"/>
        <v>50</v>
      </c>
      <c r="G4290" s="1" t="str">
        <f t="shared" si="268"/>
        <v/>
      </c>
      <c r="I4290" s="1" t="str">
        <f t="shared" ref="I4290:I4353" si="270">IF(C4290&lt;100,VLOOKUP(C4290,test,3,FALSE),VLOOKUP(C4290,test1,3,FALSE))</f>
        <v>威尔新数值1.06.xlsm!suitPower</v>
      </c>
    </row>
    <row r="4291" spans="1:9" x14ac:dyDescent="0.15">
      <c r="A4291" s="1">
        <v>4290</v>
      </c>
      <c r="B4291" s="1">
        <v>103011000</v>
      </c>
      <c r="C4291" s="1">
        <f t="shared" si="269"/>
        <v>10</v>
      </c>
      <c r="D4291" s="5">
        <f ca="1">IF(getQuality(B4291)&lt;4,getOtherMin(B4291,C4291,INDIRECT(J$2),INDIRECT(I4291),test),getMin(B4291,C4291,INDIRECT(J$2),INDIRECT(I4291),test))</f>
        <v>1</v>
      </c>
      <c r="E4291" s="5">
        <f ca="1">IF(getQuality(B4291)&lt;4,getOtherMax(B4291,C4291,INDIRECT(J$2),INDIRECT(I4291),test),getMax(B4291,C4291,INDIRECT(J$2),INDIRECT(I4291),test))</f>
        <v>24.009875731714647</v>
      </c>
      <c r="F4291" s="1" t="str">
        <f t="shared" ref="F4291:F4354" si="271">getper(B4291,C4291)</f>
        <v>50</v>
      </c>
      <c r="G4291" s="1" t="str">
        <f t="shared" ref="G4291:G4354" si="272">getMust(B4291,C4291)</f>
        <v/>
      </c>
      <c r="I4291" s="1" t="str">
        <f t="shared" si="270"/>
        <v>威尔新数值1.06.xlsm!suitPower</v>
      </c>
    </row>
    <row r="4292" spans="1:9" x14ac:dyDescent="0.15">
      <c r="A4292" s="1">
        <v>4291</v>
      </c>
      <c r="B4292" s="1">
        <v>103011000</v>
      </c>
      <c r="C4292" s="1">
        <f t="shared" si="269"/>
        <v>11</v>
      </c>
      <c r="D4292" s="5">
        <f ca="1">IF(getQuality(B4292)&lt;4,getOtherMin(B4292,C4292,INDIRECT(J$2),INDIRECT(I4292),test),getMin(B4292,C4292,INDIRECT(J$2),INDIRECT(I4292),test))</f>
        <v>1</v>
      </c>
      <c r="E4292" s="5">
        <f ca="1">IF(getQuality(B4292)&lt;4,getOtherMax(B4292,C4292,INDIRECT(J$2),INDIRECT(I4292),test),getMax(B4292,C4292,INDIRECT(J$2),INDIRECT(I4292),test))</f>
        <v>24.009875731714647</v>
      </c>
      <c r="F4292" s="1" t="str">
        <f t="shared" si="271"/>
        <v>50</v>
      </c>
      <c r="G4292" s="1" t="str">
        <f t="shared" si="272"/>
        <v/>
      </c>
      <c r="I4292" s="1" t="str">
        <f t="shared" si="270"/>
        <v>威尔新数值1.06.xlsm!suitPower</v>
      </c>
    </row>
    <row r="4293" spans="1:9" x14ac:dyDescent="0.15">
      <c r="A4293" s="1">
        <v>4292</v>
      </c>
      <c r="B4293" s="1">
        <v>103011000</v>
      </c>
      <c r="C4293" s="1">
        <f t="shared" si="269"/>
        <v>12</v>
      </c>
      <c r="D4293" s="5">
        <f ca="1">IF(getQuality(B4293)&lt;4,getOtherMin(B4293,C4293,INDIRECT(J$2),INDIRECT(I4293),test),getMin(B4293,C4293,INDIRECT(J$2),INDIRECT(I4293),test))</f>
        <v>1</v>
      </c>
      <c r="E4293" s="5">
        <f ca="1">IF(getQuality(B4293)&lt;4,getOtherMax(B4293,C4293,INDIRECT(J$2),INDIRECT(I4293),test),getMax(B4293,C4293,INDIRECT(J$2),INDIRECT(I4293),test))</f>
        <v>24.009875731714647</v>
      </c>
      <c r="F4293" s="1" t="str">
        <f t="shared" si="271"/>
        <v>50</v>
      </c>
      <c r="G4293" s="1" t="str">
        <f t="shared" si="272"/>
        <v/>
      </c>
      <c r="I4293" s="1" t="str">
        <f t="shared" si="270"/>
        <v>威尔新数值1.06.xlsm!suitPower</v>
      </c>
    </row>
    <row r="4294" spans="1:9" x14ac:dyDescent="0.15">
      <c r="A4294" s="1">
        <v>4293</v>
      </c>
      <c r="B4294" s="1">
        <v>103011000</v>
      </c>
      <c r="C4294" s="1">
        <f t="shared" si="269"/>
        <v>13</v>
      </c>
      <c r="D4294" s="5">
        <f ca="1">IF(getQuality(B4294)&lt;4,getOtherMin(B4294,C4294,INDIRECT(J$2),INDIRECT(I4294),test),getMin(B4294,C4294,INDIRECT(J$2),INDIRECT(I4294),test))</f>
        <v>1</v>
      </c>
      <c r="E4294" s="5">
        <f ca="1">IF(getQuality(B4294)&lt;4,getOtherMax(B4294,C4294,INDIRECT(J$2),INDIRECT(I4294),test),getMax(B4294,C4294,INDIRECT(J$2),INDIRECT(I4294),test))</f>
        <v>24.009875731714647</v>
      </c>
      <c r="F4294" s="1" t="str">
        <f t="shared" si="271"/>
        <v>50</v>
      </c>
      <c r="G4294" s="1" t="str">
        <f t="shared" si="272"/>
        <v/>
      </c>
      <c r="I4294" s="1" t="str">
        <f t="shared" si="270"/>
        <v>威尔新数值1.06.xlsm!suitPower</v>
      </c>
    </row>
    <row r="4295" spans="1:9" x14ac:dyDescent="0.15">
      <c r="A4295" s="1">
        <v>4294</v>
      </c>
      <c r="B4295" s="1">
        <v>103011000</v>
      </c>
      <c r="C4295" s="1">
        <f t="shared" si="269"/>
        <v>14</v>
      </c>
      <c r="D4295" s="5">
        <f ca="1">IF(getQuality(B4295)&lt;4,getOtherMin(B4295,C4295,INDIRECT(J$2),INDIRECT(I4295),test),getMin(B4295,C4295,INDIRECT(J$2),INDIRECT(I4295),test))</f>
        <v>1</v>
      </c>
      <c r="E4295" s="5">
        <f ca="1">IF(getQuality(B4295)&lt;4,getOtherMax(B4295,C4295,INDIRECT(J$2),INDIRECT(I4295),test),getMax(B4295,C4295,INDIRECT(J$2),INDIRECT(I4295),test))</f>
        <v>24.009875731714647</v>
      </c>
      <c r="F4295" s="1" t="str">
        <f t="shared" si="271"/>
        <v>50</v>
      </c>
      <c r="G4295" s="1" t="str">
        <f t="shared" si="272"/>
        <v/>
      </c>
      <c r="I4295" s="1" t="str">
        <f t="shared" si="270"/>
        <v>威尔新数值1.06.xlsm!suitPower</v>
      </c>
    </row>
    <row r="4296" spans="1:9" x14ac:dyDescent="0.15">
      <c r="A4296" s="1">
        <v>4295</v>
      </c>
      <c r="B4296" s="1">
        <v>103011000</v>
      </c>
      <c r="C4296" s="1">
        <f t="shared" si="269"/>
        <v>15</v>
      </c>
      <c r="D4296" s="5">
        <f ca="1">IF(getQuality(B4296)&lt;4,getOtherMin(B4296,C4296,INDIRECT(J$2),INDIRECT(I4296),test),getMin(B4296,C4296,INDIRECT(J$2),INDIRECT(I4296),test))</f>
        <v>1</v>
      </c>
      <c r="E4296" s="5">
        <f ca="1">IF(getQuality(B4296)&lt;4,getOtherMax(B4296,C4296,INDIRECT(J$2),INDIRECT(I4296),test),getMax(B4296,C4296,INDIRECT(J$2),INDIRECT(I4296),test))</f>
        <v>24.009875731714647</v>
      </c>
      <c r="F4296" s="1" t="str">
        <f t="shared" si="271"/>
        <v>50</v>
      </c>
      <c r="G4296" s="1" t="str">
        <f t="shared" si="272"/>
        <v/>
      </c>
      <c r="I4296" s="1" t="str">
        <f t="shared" si="270"/>
        <v>威尔新数值1.06.xlsm!suitPower</v>
      </c>
    </row>
    <row r="4297" spans="1:9" x14ac:dyDescent="0.15">
      <c r="A4297" s="1">
        <v>4296</v>
      </c>
      <c r="B4297" s="1">
        <v>103011000</v>
      </c>
      <c r="C4297" s="1">
        <f t="shared" si="269"/>
        <v>101</v>
      </c>
      <c r="D4297" s="5">
        <f ca="1">IF(getQuality(B4297)&lt;4,getOtherMin(B4297,C4297,INDIRECT(J$2),INDIRECT(I4297),test),getMin(B4297,C4297,INDIRECT(J$2),INDIRECT(I4297),test))</f>
        <v>7.0000000000000007E-2</v>
      </c>
      <c r="E4297" s="5">
        <f ca="1">IF(getQuality(B4297)&lt;4,getOtherMax(B4297,C4297,INDIRECT(J$2),INDIRECT(I4297),test),getMax(B4297,C4297,INDIRECT(J$2),INDIRECT(I4297),test))</f>
        <v>0.1</v>
      </c>
      <c r="F4297" s="1" t="str">
        <f t="shared" si="271"/>
        <v>50</v>
      </c>
      <c r="G4297" s="1" t="str">
        <f t="shared" si="272"/>
        <v/>
      </c>
      <c r="I4297" s="1" t="str">
        <f t="shared" si="270"/>
        <v>威尔新数值1.06.xlsm!circlePer</v>
      </c>
    </row>
    <row r="4298" spans="1:9" x14ac:dyDescent="0.15">
      <c r="A4298" s="1">
        <v>4297</v>
      </c>
      <c r="B4298" s="1">
        <v>103011000</v>
      </c>
      <c r="C4298" s="1">
        <f t="shared" si="269"/>
        <v>102</v>
      </c>
      <c r="D4298" s="5">
        <f ca="1">IF(getQuality(B4298)&lt;4,getOtherMin(B4298,C4298,INDIRECT(J$2),INDIRECT(I4298),test),getMin(B4298,C4298,INDIRECT(J$2),INDIRECT(I4298),test))</f>
        <v>0.6</v>
      </c>
      <c r="E4298" s="5">
        <f ca="1">IF(getQuality(B4298)&lt;4,getOtherMax(B4298,C4298,INDIRECT(J$2),INDIRECT(I4298),test),getMax(B4298,C4298,INDIRECT(J$2),INDIRECT(I4298),test))</f>
        <v>0.9</v>
      </c>
      <c r="F4298" s="1" t="str">
        <f t="shared" si="271"/>
        <v>50</v>
      </c>
      <c r="G4298" s="1" t="str">
        <f t="shared" si="272"/>
        <v/>
      </c>
      <c r="I4298" s="1" t="str">
        <f t="shared" si="270"/>
        <v>威尔新数值1.06.xlsm!circleValue</v>
      </c>
    </row>
    <row r="4299" spans="1:9" x14ac:dyDescent="0.15">
      <c r="A4299" s="1">
        <v>4298</v>
      </c>
      <c r="B4299" s="1">
        <v>103011000</v>
      </c>
      <c r="C4299" s="1">
        <f t="shared" si="269"/>
        <v>103</v>
      </c>
      <c r="D4299" s="5">
        <f ca="1">IF(getQuality(B4299)&lt;4,getOtherMin(B4299,C4299,INDIRECT(J$2),INDIRECT(I4299),test),getMin(B4299,C4299,INDIRECT(J$2),INDIRECT(I4299),test))</f>
        <v>7.0000000000000007E-2</v>
      </c>
      <c r="E4299" s="5">
        <f ca="1">IF(getQuality(B4299)&lt;4,getOtherMax(B4299,C4299,INDIRECT(J$2),INDIRECT(I4299),test),getMax(B4299,C4299,INDIRECT(J$2),INDIRECT(I4299),test))</f>
        <v>0.1</v>
      </c>
      <c r="F4299" s="1" t="str">
        <f t="shared" si="271"/>
        <v>50</v>
      </c>
      <c r="G4299" s="1" t="str">
        <f t="shared" si="272"/>
        <v/>
      </c>
      <c r="I4299" s="1" t="str">
        <f t="shared" si="270"/>
        <v>威尔新数值1.06.xlsm!otherDamage</v>
      </c>
    </row>
    <row r="4300" spans="1:9" x14ac:dyDescent="0.15">
      <c r="A4300" s="1">
        <v>4299</v>
      </c>
      <c r="B4300" s="1">
        <v>103011000</v>
      </c>
      <c r="C4300" s="1">
        <f t="shared" si="269"/>
        <v>104</v>
      </c>
      <c r="D4300" s="5">
        <f ca="1">IF(getQuality(B4300)&lt;4,getOtherMin(B4300,C4300,INDIRECT(J$2),INDIRECT(I4300),test),getMin(B4300,C4300,INDIRECT(J$2),INDIRECT(I4300),test))</f>
        <v>7.0000000000000007E-2</v>
      </c>
      <c r="E4300" s="5">
        <f ca="1">IF(getQuality(B4300)&lt;4,getOtherMax(B4300,C4300,INDIRECT(J$2),INDIRECT(I4300),test),getMax(B4300,C4300,INDIRECT(J$2),INDIRECT(I4300),test))</f>
        <v>0.14000000000000001</v>
      </c>
      <c r="F4300" s="1" t="str">
        <f t="shared" si="271"/>
        <v>50</v>
      </c>
      <c r="G4300" s="1" t="str">
        <f t="shared" si="272"/>
        <v/>
      </c>
      <c r="I4300" s="1" t="str">
        <f t="shared" si="270"/>
        <v>威尔新数值1.06.xlsm!monsterDamage</v>
      </c>
    </row>
    <row r="4301" spans="1:9" x14ac:dyDescent="0.15">
      <c r="A4301" s="1">
        <v>4300</v>
      </c>
      <c r="B4301" s="1">
        <v>103011000</v>
      </c>
      <c r="C4301" s="1">
        <f t="shared" si="269"/>
        <v>105</v>
      </c>
      <c r="D4301" s="5">
        <f ca="1">IF(getQuality(B4301)&lt;4,getOtherMin(B4301,C4301,INDIRECT(J$2),INDIRECT(I4301),test),getMin(B4301,C4301,INDIRECT(J$2),INDIRECT(I4301),test))</f>
        <v>7.0000000000000007E-2</v>
      </c>
      <c r="E4301" s="5">
        <f ca="1">IF(getQuality(B4301)&lt;4,getOtherMax(B4301,C4301,INDIRECT(J$2),INDIRECT(I4301),test),getMax(B4301,C4301,INDIRECT(J$2),INDIRECT(I4301),test))</f>
        <v>0.14000000000000001</v>
      </c>
      <c r="F4301" s="1" t="str">
        <f t="shared" si="271"/>
        <v>50</v>
      </c>
      <c r="G4301" s="1" t="str">
        <f t="shared" si="272"/>
        <v/>
      </c>
      <c r="I4301" s="1" t="str">
        <f t="shared" si="270"/>
        <v>威尔新数值1.06.xlsm!monsterDamage</v>
      </c>
    </row>
    <row r="4302" spans="1:9" x14ac:dyDescent="0.15">
      <c r="A4302" s="1">
        <v>4301</v>
      </c>
      <c r="B4302" s="1">
        <v>103011000</v>
      </c>
      <c r="C4302" s="1">
        <f t="shared" si="269"/>
        <v>106</v>
      </c>
      <c r="D4302" s="5">
        <f ca="1">IF(getQuality(B4302)&lt;4,getOtherMin(B4302,C4302,INDIRECT(J$2),INDIRECT(I4302),test),getMin(B4302,C4302,INDIRECT(J$2),INDIRECT(I4302),test))</f>
        <v>7.0000000000000007E-2</v>
      </c>
      <c r="E4302" s="5">
        <f ca="1">IF(getQuality(B4302)&lt;4,getOtherMax(B4302,C4302,INDIRECT(J$2),INDIRECT(I4302),test),getMax(B4302,C4302,INDIRECT(J$2),INDIRECT(I4302),test))</f>
        <v>0.14000000000000001</v>
      </c>
      <c r="F4302" s="1" t="str">
        <f t="shared" si="271"/>
        <v>50</v>
      </c>
      <c r="G4302" s="1" t="str">
        <f t="shared" si="272"/>
        <v/>
      </c>
      <c r="I4302" s="1" t="str">
        <f t="shared" si="270"/>
        <v>威尔新数值1.06.xlsm!monsterDamage</v>
      </c>
    </row>
    <row r="4303" spans="1:9" x14ac:dyDescent="0.15">
      <c r="A4303" s="1">
        <v>4302</v>
      </c>
      <c r="B4303" s="1">
        <v>103011000</v>
      </c>
      <c r="C4303" s="1">
        <f t="shared" si="269"/>
        <v>107</v>
      </c>
      <c r="D4303" s="5">
        <f ca="1">IF(getQuality(B4303)&lt;4,getOtherMin(B4303,C4303,INDIRECT(J$2),INDIRECT(I4303),test),getMin(B4303,C4303,INDIRECT(J$2),INDIRECT(I4303),test))</f>
        <v>7.0000000000000007E-2</v>
      </c>
      <c r="E4303" s="5">
        <f ca="1">IF(getQuality(B4303)&lt;4,getOtherMax(B4303,C4303,INDIRECT(J$2),INDIRECT(I4303),test),getMax(B4303,C4303,INDIRECT(J$2),INDIRECT(I4303),test))</f>
        <v>0.14000000000000001</v>
      </c>
      <c r="F4303" s="1" t="str">
        <f t="shared" si="271"/>
        <v>50</v>
      </c>
      <c r="G4303" s="1" t="str">
        <f t="shared" si="272"/>
        <v/>
      </c>
      <c r="I4303" s="1" t="str">
        <f t="shared" si="270"/>
        <v>威尔新数值1.06.xlsm!monsterDamage</v>
      </c>
    </row>
    <row r="4304" spans="1:9" x14ac:dyDescent="0.15">
      <c r="A4304" s="1">
        <v>4303</v>
      </c>
      <c r="B4304" s="1">
        <v>103011000</v>
      </c>
      <c r="C4304" s="1">
        <f t="shared" si="269"/>
        <v>108</v>
      </c>
      <c r="D4304" s="5">
        <f ca="1">IF(getQuality(B4304)&lt;4,getOtherMin(B4304,C4304,INDIRECT(J$2),INDIRECT(I4304),test),getMin(B4304,C4304,INDIRECT(J$2),INDIRECT(I4304),test))</f>
        <v>7.0000000000000007E-2</v>
      </c>
      <c r="E4304" s="5">
        <f ca="1">IF(getQuality(B4304)&lt;4,getOtherMax(B4304,C4304,INDIRECT(J$2),INDIRECT(I4304),test),getMax(B4304,C4304,INDIRECT(J$2),INDIRECT(I4304),test))</f>
        <v>0.14000000000000001</v>
      </c>
      <c r="F4304" s="1" t="str">
        <f t="shared" si="271"/>
        <v>50</v>
      </c>
      <c r="G4304" s="1" t="str">
        <f t="shared" si="272"/>
        <v/>
      </c>
      <c r="I4304" s="1" t="str">
        <f t="shared" si="270"/>
        <v>威尔新数值1.06.xlsm!monsterDamage</v>
      </c>
    </row>
    <row r="4305" spans="1:9" x14ac:dyDescent="0.15">
      <c r="A4305" s="1">
        <v>4304</v>
      </c>
      <c r="B4305" s="1">
        <v>103021000</v>
      </c>
      <c r="C4305" s="1">
        <f t="shared" si="269"/>
        <v>3</v>
      </c>
      <c r="D4305" s="5">
        <f ca="1">IF(getQuality(B4305)&lt;4,getOtherMin(B4305,C4305,INDIRECT(J$2),INDIRECT(I4305),test),getMin(B4305,C4305,INDIRECT(J$2),INDIRECT(I4305),test))</f>
        <v>25.009875731714647</v>
      </c>
      <c r="E4305" s="5">
        <f ca="1">IF(getQuality(B4305)&lt;4,getOtherMax(B4305,C4305,INDIRECT(J$2),INDIRECT(I4305),test),getMax(B4305,C4305,INDIRECT(J$2),INDIRECT(I4305),test))</f>
        <v>52.82172660977222</v>
      </c>
      <c r="F4305" s="1" t="str">
        <f t="shared" si="271"/>
        <v>50</v>
      </c>
      <c r="G4305" s="1" t="str">
        <f t="shared" si="272"/>
        <v>1</v>
      </c>
      <c r="I4305" s="1" t="str">
        <f t="shared" si="270"/>
        <v>威尔新数值1.06.xlsm!suitPower</v>
      </c>
    </row>
    <row r="4306" spans="1:9" x14ac:dyDescent="0.15">
      <c r="A4306" s="1">
        <v>4305</v>
      </c>
      <c r="B4306" s="1">
        <v>103021000</v>
      </c>
      <c r="C4306" s="1">
        <f t="shared" si="269"/>
        <v>5</v>
      </c>
      <c r="D4306" s="5">
        <f ca="1">IF(getQuality(B4306)&lt;4,getOtherMin(B4306,C4306,INDIRECT(J$2),INDIRECT(I4306),test),getMin(B4306,C4306,INDIRECT(J$2),INDIRECT(I4306),test))</f>
        <v>25.009875731714647</v>
      </c>
      <c r="E4306" s="5">
        <f ca="1">IF(getQuality(B4306)&lt;4,getOtherMax(B4306,C4306,INDIRECT(J$2),INDIRECT(I4306),test),getMax(B4306,C4306,INDIRECT(J$2),INDIRECT(I4306),test))</f>
        <v>52.82172660977222</v>
      </c>
      <c r="F4306" s="1" t="str">
        <f t="shared" si="271"/>
        <v>50</v>
      </c>
      <c r="G4306" s="1" t="str">
        <f t="shared" si="272"/>
        <v/>
      </c>
      <c r="I4306" s="1" t="str">
        <f t="shared" si="270"/>
        <v>威尔新数值1.06.xlsm!suitPower</v>
      </c>
    </row>
    <row r="4307" spans="1:9" x14ac:dyDescent="0.15">
      <c r="A4307" s="1">
        <v>4306</v>
      </c>
      <c r="B4307" s="1">
        <v>103021000</v>
      </c>
      <c r="C4307" s="1">
        <f t="shared" si="269"/>
        <v>7</v>
      </c>
      <c r="D4307" s="5">
        <f ca="1">IF(getQuality(B4307)&lt;4,getOtherMin(B4307,C4307,INDIRECT(J$2),INDIRECT(I4307),test),getMin(B4307,C4307,INDIRECT(J$2),INDIRECT(I4307),test))</f>
        <v>8.4074074074073888</v>
      </c>
      <c r="E4307" s="5">
        <f ca="1">IF(getQuality(B4307)&lt;4,getOtherMax(B4307,C4307,INDIRECT(J$2),INDIRECT(I4307),test),getMax(B4307,C4307,INDIRECT(J$2),INDIRECT(I4307),test))</f>
        <v>14.814814814814778</v>
      </c>
      <c r="F4307" s="1" t="str">
        <f t="shared" si="271"/>
        <v>50</v>
      </c>
      <c r="G4307" s="1" t="str">
        <f t="shared" si="272"/>
        <v/>
      </c>
      <c r="I4307" s="1" t="str">
        <f t="shared" si="270"/>
        <v>威尔新数值1.06.xlsm!suitPower</v>
      </c>
    </row>
    <row r="4308" spans="1:9" x14ac:dyDescent="0.15">
      <c r="A4308" s="1">
        <v>4307</v>
      </c>
      <c r="B4308" s="1">
        <v>103021000</v>
      </c>
      <c r="C4308" s="1">
        <f t="shared" si="269"/>
        <v>8</v>
      </c>
      <c r="D4308" s="5">
        <f ca="1">IF(getQuality(B4308)&lt;4,getOtherMin(B4308,C4308,INDIRECT(J$2),INDIRECT(I4308),test),getMin(B4308,C4308,INDIRECT(J$2),INDIRECT(I4308),test))</f>
        <v>17.666666666666668</v>
      </c>
      <c r="E4308" s="5">
        <f ca="1">IF(getQuality(B4308)&lt;4,getOtherMax(B4308,C4308,INDIRECT(J$2),INDIRECT(I4308),test),getMax(B4308,C4308,INDIRECT(J$2),INDIRECT(I4308),test))</f>
        <v>33.333333333333336</v>
      </c>
      <c r="F4308" s="1" t="str">
        <f t="shared" si="271"/>
        <v>50</v>
      </c>
      <c r="G4308" s="1" t="str">
        <f t="shared" si="272"/>
        <v/>
      </c>
      <c r="I4308" s="1" t="str">
        <f t="shared" si="270"/>
        <v>威尔新数值1.06.xlsm!suitPower</v>
      </c>
    </row>
    <row r="4309" spans="1:9" x14ac:dyDescent="0.15">
      <c r="A4309" s="1">
        <v>4308</v>
      </c>
      <c r="B4309" s="1">
        <v>103021000</v>
      </c>
      <c r="C4309" s="1">
        <f t="shared" si="269"/>
        <v>9</v>
      </c>
      <c r="D4309" s="5">
        <f ca="1">IF(getQuality(B4309)&lt;4,getOtherMin(B4309,C4309,INDIRECT(J$2),INDIRECT(I4309),test),getMin(B4309,C4309,INDIRECT(J$2),INDIRECT(I4309),test))</f>
        <v>25.009875731714647</v>
      </c>
      <c r="E4309" s="5">
        <f ca="1">IF(getQuality(B4309)&lt;4,getOtherMax(B4309,C4309,INDIRECT(J$2),INDIRECT(I4309),test),getMax(B4309,C4309,INDIRECT(J$2),INDIRECT(I4309),test))</f>
        <v>52.82172660977222</v>
      </c>
      <c r="F4309" s="1" t="str">
        <f t="shared" si="271"/>
        <v>50</v>
      </c>
      <c r="G4309" s="1" t="str">
        <f t="shared" si="272"/>
        <v/>
      </c>
      <c r="I4309" s="1" t="str">
        <f t="shared" si="270"/>
        <v>威尔新数值1.06.xlsm!suitPower</v>
      </c>
    </row>
    <row r="4310" spans="1:9" x14ac:dyDescent="0.15">
      <c r="A4310" s="1">
        <v>4309</v>
      </c>
      <c r="B4310" s="1">
        <v>103021000</v>
      </c>
      <c r="C4310" s="1">
        <f t="shared" si="269"/>
        <v>10</v>
      </c>
      <c r="D4310" s="5">
        <f ca="1">IF(getQuality(B4310)&lt;4,getOtherMin(B4310,C4310,INDIRECT(J$2),INDIRECT(I4310),test),getMin(B4310,C4310,INDIRECT(J$2),INDIRECT(I4310),test))</f>
        <v>25.009875731714647</v>
      </c>
      <c r="E4310" s="5">
        <f ca="1">IF(getQuality(B4310)&lt;4,getOtherMax(B4310,C4310,INDIRECT(J$2),INDIRECT(I4310),test),getMax(B4310,C4310,INDIRECT(J$2),INDIRECT(I4310),test))</f>
        <v>52.82172660977222</v>
      </c>
      <c r="F4310" s="1" t="str">
        <f t="shared" si="271"/>
        <v>50</v>
      </c>
      <c r="G4310" s="1" t="str">
        <f t="shared" si="272"/>
        <v/>
      </c>
      <c r="I4310" s="1" t="str">
        <f t="shared" si="270"/>
        <v>威尔新数值1.06.xlsm!suitPower</v>
      </c>
    </row>
    <row r="4311" spans="1:9" x14ac:dyDescent="0.15">
      <c r="A4311" s="1">
        <v>4310</v>
      </c>
      <c r="B4311" s="1">
        <v>103021000</v>
      </c>
      <c r="C4311" s="1">
        <f t="shared" si="269"/>
        <v>11</v>
      </c>
      <c r="D4311" s="5">
        <f ca="1">IF(getQuality(B4311)&lt;4,getOtherMin(B4311,C4311,INDIRECT(J$2),INDIRECT(I4311),test),getMin(B4311,C4311,INDIRECT(J$2),INDIRECT(I4311),test))</f>
        <v>25.009875731714647</v>
      </c>
      <c r="E4311" s="5">
        <f ca="1">IF(getQuality(B4311)&lt;4,getOtherMax(B4311,C4311,INDIRECT(J$2),INDIRECT(I4311),test),getMax(B4311,C4311,INDIRECT(J$2),INDIRECT(I4311),test))</f>
        <v>52.82172660977222</v>
      </c>
      <c r="F4311" s="1" t="str">
        <f t="shared" si="271"/>
        <v>50</v>
      </c>
      <c r="G4311" s="1" t="str">
        <f t="shared" si="272"/>
        <v/>
      </c>
      <c r="I4311" s="1" t="str">
        <f t="shared" si="270"/>
        <v>威尔新数值1.06.xlsm!suitPower</v>
      </c>
    </row>
    <row r="4312" spans="1:9" x14ac:dyDescent="0.15">
      <c r="A4312" s="1">
        <v>4311</v>
      </c>
      <c r="B4312" s="1">
        <v>103021000</v>
      </c>
      <c r="C4312" s="1">
        <f t="shared" si="269"/>
        <v>12</v>
      </c>
      <c r="D4312" s="5">
        <f ca="1">IF(getQuality(B4312)&lt;4,getOtherMin(B4312,C4312,INDIRECT(J$2),INDIRECT(I4312),test),getMin(B4312,C4312,INDIRECT(J$2),INDIRECT(I4312),test))</f>
        <v>25.009875731714647</v>
      </c>
      <c r="E4312" s="5">
        <f ca="1">IF(getQuality(B4312)&lt;4,getOtherMax(B4312,C4312,INDIRECT(J$2),INDIRECT(I4312),test),getMax(B4312,C4312,INDIRECT(J$2),INDIRECT(I4312),test))</f>
        <v>52.82172660977222</v>
      </c>
      <c r="F4312" s="1" t="str">
        <f t="shared" si="271"/>
        <v>50</v>
      </c>
      <c r="G4312" s="1" t="str">
        <f t="shared" si="272"/>
        <v/>
      </c>
      <c r="I4312" s="1" t="str">
        <f t="shared" si="270"/>
        <v>威尔新数值1.06.xlsm!suitPower</v>
      </c>
    </row>
    <row r="4313" spans="1:9" x14ac:dyDescent="0.15">
      <c r="A4313" s="1">
        <v>4312</v>
      </c>
      <c r="B4313" s="1">
        <v>103021000</v>
      </c>
      <c r="C4313" s="1">
        <f t="shared" si="269"/>
        <v>13</v>
      </c>
      <c r="D4313" s="5">
        <f ca="1">IF(getQuality(B4313)&lt;4,getOtherMin(B4313,C4313,INDIRECT(J$2),INDIRECT(I4313),test),getMin(B4313,C4313,INDIRECT(J$2),INDIRECT(I4313),test))</f>
        <v>25.009875731714647</v>
      </c>
      <c r="E4313" s="5">
        <f ca="1">IF(getQuality(B4313)&lt;4,getOtherMax(B4313,C4313,INDIRECT(J$2),INDIRECT(I4313),test),getMax(B4313,C4313,INDIRECT(J$2),INDIRECT(I4313),test))</f>
        <v>52.82172660977222</v>
      </c>
      <c r="F4313" s="1" t="str">
        <f t="shared" si="271"/>
        <v>50</v>
      </c>
      <c r="G4313" s="1" t="str">
        <f t="shared" si="272"/>
        <v/>
      </c>
      <c r="I4313" s="1" t="str">
        <f t="shared" si="270"/>
        <v>威尔新数值1.06.xlsm!suitPower</v>
      </c>
    </row>
    <row r="4314" spans="1:9" x14ac:dyDescent="0.15">
      <c r="A4314" s="1">
        <v>4313</v>
      </c>
      <c r="B4314" s="1">
        <v>103021000</v>
      </c>
      <c r="C4314" s="1">
        <f t="shared" si="269"/>
        <v>14</v>
      </c>
      <c r="D4314" s="5">
        <f ca="1">IF(getQuality(B4314)&lt;4,getOtherMin(B4314,C4314,INDIRECT(J$2),INDIRECT(I4314),test),getMin(B4314,C4314,INDIRECT(J$2),INDIRECT(I4314),test))</f>
        <v>25.009875731714647</v>
      </c>
      <c r="E4314" s="5">
        <f ca="1">IF(getQuality(B4314)&lt;4,getOtherMax(B4314,C4314,INDIRECT(J$2),INDIRECT(I4314),test),getMax(B4314,C4314,INDIRECT(J$2),INDIRECT(I4314),test))</f>
        <v>52.82172660977222</v>
      </c>
      <c r="F4314" s="1" t="str">
        <f t="shared" si="271"/>
        <v>50</v>
      </c>
      <c r="G4314" s="1" t="str">
        <f t="shared" si="272"/>
        <v/>
      </c>
      <c r="I4314" s="1" t="str">
        <f t="shared" si="270"/>
        <v>威尔新数值1.06.xlsm!suitPower</v>
      </c>
    </row>
    <row r="4315" spans="1:9" x14ac:dyDescent="0.15">
      <c r="A4315" s="1">
        <v>4314</v>
      </c>
      <c r="B4315" s="1">
        <v>103021000</v>
      </c>
      <c r="C4315" s="1">
        <f t="shared" si="269"/>
        <v>15</v>
      </c>
      <c r="D4315" s="5">
        <f ca="1">IF(getQuality(B4315)&lt;4,getOtherMin(B4315,C4315,INDIRECT(J$2),INDIRECT(I4315),test),getMin(B4315,C4315,INDIRECT(J$2),INDIRECT(I4315),test))</f>
        <v>25.009875731714647</v>
      </c>
      <c r="E4315" s="5">
        <f ca="1">IF(getQuality(B4315)&lt;4,getOtherMax(B4315,C4315,INDIRECT(J$2),INDIRECT(I4315),test),getMax(B4315,C4315,INDIRECT(J$2),INDIRECT(I4315),test))</f>
        <v>52.82172660977222</v>
      </c>
      <c r="F4315" s="1" t="str">
        <f t="shared" si="271"/>
        <v>50</v>
      </c>
      <c r="G4315" s="1" t="str">
        <f t="shared" si="272"/>
        <v/>
      </c>
      <c r="I4315" s="1" t="str">
        <f t="shared" si="270"/>
        <v>威尔新数值1.06.xlsm!suitPower</v>
      </c>
    </row>
    <row r="4316" spans="1:9" x14ac:dyDescent="0.15">
      <c r="A4316" s="1">
        <v>4315</v>
      </c>
      <c r="B4316" s="1">
        <v>103021000</v>
      </c>
      <c r="C4316" s="1">
        <f t="shared" si="269"/>
        <v>101</v>
      </c>
      <c r="D4316" s="5">
        <f ca="1">IF(getQuality(B4316)&lt;4,getOtherMin(B4316,C4316,INDIRECT(J$2),INDIRECT(I4316),test),getMin(B4316,C4316,INDIRECT(J$2),INDIRECT(I4316),test))</f>
        <v>0.08</v>
      </c>
      <c r="E4316" s="5">
        <f ca="1">IF(getQuality(B4316)&lt;4,getOtherMax(B4316,C4316,INDIRECT(J$2),INDIRECT(I4316),test),getMax(B4316,C4316,INDIRECT(J$2),INDIRECT(I4316),test))</f>
        <v>0.11</v>
      </c>
      <c r="F4316" s="1" t="str">
        <f t="shared" si="271"/>
        <v>50</v>
      </c>
      <c r="G4316" s="1" t="str">
        <f t="shared" si="272"/>
        <v/>
      </c>
      <c r="I4316" s="1" t="str">
        <f t="shared" si="270"/>
        <v>威尔新数值1.06.xlsm!circlePer</v>
      </c>
    </row>
    <row r="4317" spans="1:9" x14ac:dyDescent="0.15">
      <c r="A4317" s="1">
        <v>4316</v>
      </c>
      <c r="B4317" s="1">
        <v>103021000</v>
      </c>
      <c r="C4317" s="1">
        <f t="shared" si="269"/>
        <v>102</v>
      </c>
      <c r="D4317" s="5">
        <f ca="1">IF(getQuality(B4317)&lt;4,getOtherMin(B4317,C4317,INDIRECT(J$2),INDIRECT(I4317),test),getMin(B4317,C4317,INDIRECT(J$2),INDIRECT(I4317),test))</f>
        <v>0.7</v>
      </c>
      <c r="E4317" s="5">
        <f ca="1">IF(getQuality(B4317)&lt;4,getOtherMax(B4317,C4317,INDIRECT(J$2),INDIRECT(I4317),test),getMax(B4317,C4317,INDIRECT(J$2),INDIRECT(I4317),test))</f>
        <v>1</v>
      </c>
      <c r="F4317" s="1" t="str">
        <f t="shared" si="271"/>
        <v>50</v>
      </c>
      <c r="G4317" s="1" t="str">
        <f t="shared" si="272"/>
        <v/>
      </c>
      <c r="I4317" s="1" t="str">
        <f t="shared" si="270"/>
        <v>威尔新数值1.06.xlsm!circleValue</v>
      </c>
    </row>
    <row r="4318" spans="1:9" x14ac:dyDescent="0.15">
      <c r="A4318" s="1">
        <v>4317</v>
      </c>
      <c r="B4318" s="1">
        <v>103021000</v>
      </c>
      <c r="C4318" s="1">
        <f t="shared" si="269"/>
        <v>103</v>
      </c>
      <c r="D4318" s="5">
        <f ca="1">IF(getQuality(B4318)&lt;4,getOtherMin(B4318,C4318,INDIRECT(J$2),INDIRECT(I4318),test),getMin(B4318,C4318,INDIRECT(J$2),INDIRECT(I4318),test))</f>
        <v>0.08</v>
      </c>
      <c r="E4318" s="5">
        <f ca="1">IF(getQuality(B4318)&lt;4,getOtherMax(B4318,C4318,INDIRECT(J$2),INDIRECT(I4318),test),getMax(B4318,C4318,INDIRECT(J$2),INDIRECT(I4318),test))</f>
        <v>0.11</v>
      </c>
      <c r="F4318" s="1" t="str">
        <f t="shared" si="271"/>
        <v>50</v>
      </c>
      <c r="G4318" s="1" t="str">
        <f t="shared" si="272"/>
        <v/>
      </c>
      <c r="I4318" s="1" t="str">
        <f t="shared" si="270"/>
        <v>威尔新数值1.06.xlsm!otherDamage</v>
      </c>
    </row>
    <row r="4319" spans="1:9" x14ac:dyDescent="0.15">
      <c r="A4319" s="1">
        <v>4318</v>
      </c>
      <c r="B4319" s="1">
        <v>103021000</v>
      </c>
      <c r="C4319" s="1">
        <f t="shared" si="269"/>
        <v>104</v>
      </c>
      <c r="D4319" s="5">
        <f ca="1">IF(getQuality(B4319)&lt;4,getOtherMin(B4319,C4319,INDIRECT(J$2),INDIRECT(I4319),test),getMin(B4319,C4319,INDIRECT(J$2),INDIRECT(I4319),test))</f>
        <v>0.08</v>
      </c>
      <c r="E4319" s="5">
        <f ca="1">IF(getQuality(B4319)&lt;4,getOtherMax(B4319,C4319,INDIRECT(J$2),INDIRECT(I4319),test),getMax(B4319,C4319,INDIRECT(J$2),INDIRECT(I4319),test))</f>
        <v>0.16</v>
      </c>
      <c r="F4319" s="1" t="str">
        <f t="shared" si="271"/>
        <v>50</v>
      </c>
      <c r="G4319" s="1" t="str">
        <f t="shared" si="272"/>
        <v/>
      </c>
      <c r="I4319" s="1" t="str">
        <f t="shared" si="270"/>
        <v>威尔新数值1.06.xlsm!monsterDamage</v>
      </c>
    </row>
    <row r="4320" spans="1:9" x14ac:dyDescent="0.15">
      <c r="A4320" s="1">
        <v>4319</v>
      </c>
      <c r="B4320" s="1">
        <v>103021000</v>
      </c>
      <c r="C4320" s="1">
        <f t="shared" si="269"/>
        <v>105</v>
      </c>
      <c r="D4320" s="5">
        <f ca="1">IF(getQuality(B4320)&lt;4,getOtherMin(B4320,C4320,INDIRECT(J$2),INDIRECT(I4320),test),getMin(B4320,C4320,INDIRECT(J$2),INDIRECT(I4320),test))</f>
        <v>0.08</v>
      </c>
      <c r="E4320" s="5">
        <f ca="1">IF(getQuality(B4320)&lt;4,getOtherMax(B4320,C4320,INDIRECT(J$2),INDIRECT(I4320),test),getMax(B4320,C4320,INDIRECT(J$2),INDIRECT(I4320),test))</f>
        <v>0.16</v>
      </c>
      <c r="F4320" s="1" t="str">
        <f t="shared" si="271"/>
        <v>50</v>
      </c>
      <c r="G4320" s="1" t="str">
        <f t="shared" si="272"/>
        <v/>
      </c>
      <c r="I4320" s="1" t="str">
        <f t="shared" si="270"/>
        <v>威尔新数值1.06.xlsm!monsterDamage</v>
      </c>
    </row>
    <row r="4321" spans="1:9" x14ac:dyDescent="0.15">
      <c r="A4321" s="1">
        <v>4320</v>
      </c>
      <c r="B4321" s="1">
        <v>103021000</v>
      </c>
      <c r="C4321" s="1">
        <f t="shared" si="269"/>
        <v>106</v>
      </c>
      <c r="D4321" s="5">
        <f ca="1">IF(getQuality(B4321)&lt;4,getOtherMin(B4321,C4321,INDIRECT(J$2),INDIRECT(I4321),test),getMin(B4321,C4321,INDIRECT(J$2),INDIRECT(I4321),test))</f>
        <v>0.08</v>
      </c>
      <c r="E4321" s="5">
        <f ca="1">IF(getQuality(B4321)&lt;4,getOtherMax(B4321,C4321,INDIRECT(J$2),INDIRECT(I4321),test),getMax(B4321,C4321,INDIRECT(J$2),INDIRECT(I4321),test))</f>
        <v>0.16</v>
      </c>
      <c r="F4321" s="1" t="str">
        <f t="shared" si="271"/>
        <v>50</v>
      </c>
      <c r="G4321" s="1" t="str">
        <f t="shared" si="272"/>
        <v/>
      </c>
      <c r="I4321" s="1" t="str">
        <f t="shared" si="270"/>
        <v>威尔新数值1.06.xlsm!monsterDamage</v>
      </c>
    </row>
    <row r="4322" spans="1:9" x14ac:dyDescent="0.15">
      <c r="A4322" s="1">
        <v>4321</v>
      </c>
      <c r="B4322" s="1">
        <v>103021000</v>
      </c>
      <c r="C4322" s="1">
        <f t="shared" si="269"/>
        <v>107</v>
      </c>
      <c r="D4322" s="5">
        <f ca="1">IF(getQuality(B4322)&lt;4,getOtherMin(B4322,C4322,INDIRECT(J$2),INDIRECT(I4322),test),getMin(B4322,C4322,INDIRECT(J$2),INDIRECT(I4322),test))</f>
        <v>0.08</v>
      </c>
      <c r="E4322" s="5">
        <f ca="1">IF(getQuality(B4322)&lt;4,getOtherMax(B4322,C4322,INDIRECT(J$2),INDIRECT(I4322),test),getMax(B4322,C4322,INDIRECT(J$2),INDIRECT(I4322),test))</f>
        <v>0.16</v>
      </c>
      <c r="F4322" s="1" t="str">
        <f t="shared" si="271"/>
        <v>50</v>
      </c>
      <c r="G4322" s="1" t="str">
        <f t="shared" si="272"/>
        <v/>
      </c>
      <c r="I4322" s="1" t="str">
        <f t="shared" si="270"/>
        <v>威尔新数值1.06.xlsm!monsterDamage</v>
      </c>
    </row>
    <row r="4323" spans="1:9" x14ac:dyDescent="0.15">
      <c r="A4323" s="1">
        <v>4322</v>
      </c>
      <c r="B4323" s="1">
        <v>103021000</v>
      </c>
      <c r="C4323" s="1">
        <f t="shared" si="269"/>
        <v>108</v>
      </c>
      <c r="D4323" s="5">
        <f ca="1">IF(getQuality(B4323)&lt;4,getOtherMin(B4323,C4323,INDIRECT(J$2),INDIRECT(I4323),test),getMin(B4323,C4323,INDIRECT(J$2),INDIRECT(I4323),test))</f>
        <v>0.08</v>
      </c>
      <c r="E4323" s="5">
        <f ca="1">IF(getQuality(B4323)&lt;4,getOtherMax(B4323,C4323,INDIRECT(J$2),INDIRECT(I4323),test),getMax(B4323,C4323,INDIRECT(J$2),INDIRECT(I4323),test))</f>
        <v>0.16</v>
      </c>
      <c r="F4323" s="1" t="str">
        <f t="shared" si="271"/>
        <v>50</v>
      </c>
      <c r="G4323" s="1" t="str">
        <f t="shared" si="272"/>
        <v/>
      </c>
      <c r="I4323" s="1" t="str">
        <f t="shared" si="270"/>
        <v>威尔新数值1.06.xlsm!monsterDamage</v>
      </c>
    </row>
    <row r="4324" spans="1:9" x14ac:dyDescent="0.15">
      <c r="A4324" s="1">
        <v>4323</v>
      </c>
      <c r="B4324" s="1">
        <v>103031000</v>
      </c>
      <c r="C4324" s="1">
        <f t="shared" si="269"/>
        <v>3</v>
      </c>
      <c r="D4324" s="5">
        <f ca="1">IF(getQuality(B4324)&lt;4,getOtherMin(B4324,C4324,INDIRECT(J$2),INDIRECT(I4324),test),getMin(B4324,C4324,INDIRECT(J$2),INDIRECT(I4324),test))</f>
        <v>53.82172660977222</v>
      </c>
      <c r="E4324" s="5">
        <f ca="1">IF(getQuality(B4324)&lt;4,getOtherMax(B4324,C4324,INDIRECT(J$2),INDIRECT(I4324),test),getMax(B4324,C4324,INDIRECT(J$2),INDIRECT(I4324),test))</f>
        <v>86.435552634172723</v>
      </c>
      <c r="F4324" s="1" t="str">
        <f t="shared" si="271"/>
        <v>50</v>
      </c>
      <c r="G4324" s="1" t="str">
        <f t="shared" si="272"/>
        <v>1</v>
      </c>
      <c r="I4324" s="1" t="str">
        <f t="shared" si="270"/>
        <v>威尔新数值1.06.xlsm!suitPower</v>
      </c>
    </row>
    <row r="4325" spans="1:9" x14ac:dyDescent="0.15">
      <c r="A4325" s="1">
        <v>4324</v>
      </c>
      <c r="B4325" s="1">
        <v>103031000</v>
      </c>
      <c r="C4325" s="1">
        <f t="shared" si="269"/>
        <v>5</v>
      </c>
      <c r="D4325" s="5">
        <f ca="1">IF(getQuality(B4325)&lt;4,getOtherMin(B4325,C4325,INDIRECT(J$2),INDIRECT(I4325),test),getMin(B4325,C4325,INDIRECT(J$2),INDIRECT(I4325),test))</f>
        <v>53.82172660977222</v>
      </c>
      <c r="E4325" s="5">
        <f ca="1">IF(getQuality(B4325)&lt;4,getOtherMax(B4325,C4325,INDIRECT(J$2),INDIRECT(I4325),test),getMax(B4325,C4325,INDIRECT(J$2),INDIRECT(I4325),test))</f>
        <v>86.435552634172723</v>
      </c>
      <c r="F4325" s="1" t="str">
        <f t="shared" si="271"/>
        <v>50</v>
      </c>
      <c r="G4325" s="1" t="str">
        <f t="shared" si="272"/>
        <v/>
      </c>
      <c r="I4325" s="1" t="str">
        <f t="shared" si="270"/>
        <v>威尔新数值1.06.xlsm!suitPower</v>
      </c>
    </row>
    <row r="4326" spans="1:9" x14ac:dyDescent="0.15">
      <c r="A4326" s="1">
        <v>4325</v>
      </c>
      <c r="B4326" s="1">
        <v>103031000</v>
      </c>
      <c r="C4326" s="1">
        <f t="shared" si="269"/>
        <v>7</v>
      </c>
      <c r="D4326" s="5">
        <f ca="1">IF(getQuality(B4326)&lt;4,getOtherMin(B4326,C4326,INDIRECT(J$2),INDIRECT(I4326),test),getMin(B4326,C4326,INDIRECT(J$2),INDIRECT(I4326),test))</f>
        <v>15.814814814814778</v>
      </c>
      <c r="E4326" s="5">
        <f ca="1">IF(getQuality(B4326)&lt;4,getOtherMax(B4326,C4326,INDIRECT(J$2),INDIRECT(I4326),test),getMax(B4326,C4326,INDIRECT(J$2),INDIRECT(I4326),test))</f>
        <v>22.222222222222165</v>
      </c>
      <c r="F4326" s="1" t="str">
        <f t="shared" si="271"/>
        <v>50</v>
      </c>
      <c r="G4326" s="1" t="str">
        <f t="shared" si="272"/>
        <v/>
      </c>
      <c r="I4326" s="1" t="str">
        <f t="shared" si="270"/>
        <v>威尔新数值1.06.xlsm!suitPower</v>
      </c>
    </row>
    <row r="4327" spans="1:9" x14ac:dyDescent="0.15">
      <c r="A4327" s="1">
        <v>4326</v>
      </c>
      <c r="B4327" s="1">
        <v>103031000</v>
      </c>
      <c r="C4327" s="1">
        <f t="shared" si="269"/>
        <v>8</v>
      </c>
      <c r="D4327" s="5">
        <f ca="1">IF(getQuality(B4327)&lt;4,getOtherMin(B4327,C4327,INDIRECT(J$2),INDIRECT(I4327),test),getMin(B4327,C4327,INDIRECT(J$2),INDIRECT(I4327),test))</f>
        <v>34.333333333333336</v>
      </c>
      <c r="E4327" s="5">
        <f ca="1">IF(getQuality(B4327)&lt;4,getOtherMax(B4327,C4327,INDIRECT(J$2),INDIRECT(I4327),test),getMax(B4327,C4327,INDIRECT(J$2),INDIRECT(I4327),test))</f>
        <v>50</v>
      </c>
      <c r="F4327" s="1" t="str">
        <f t="shared" si="271"/>
        <v>50</v>
      </c>
      <c r="G4327" s="1" t="str">
        <f t="shared" si="272"/>
        <v/>
      </c>
      <c r="I4327" s="1" t="str">
        <f t="shared" si="270"/>
        <v>威尔新数值1.06.xlsm!suitPower</v>
      </c>
    </row>
    <row r="4328" spans="1:9" x14ac:dyDescent="0.15">
      <c r="A4328" s="1">
        <v>4327</v>
      </c>
      <c r="B4328" s="1">
        <v>103031000</v>
      </c>
      <c r="C4328" s="1">
        <f t="shared" si="269"/>
        <v>9</v>
      </c>
      <c r="D4328" s="5">
        <f ca="1">IF(getQuality(B4328)&lt;4,getOtherMin(B4328,C4328,INDIRECT(J$2),INDIRECT(I4328),test),getMin(B4328,C4328,INDIRECT(J$2),INDIRECT(I4328),test))</f>
        <v>53.82172660977222</v>
      </c>
      <c r="E4328" s="5">
        <f ca="1">IF(getQuality(B4328)&lt;4,getOtherMax(B4328,C4328,INDIRECT(J$2),INDIRECT(I4328),test),getMax(B4328,C4328,INDIRECT(J$2),INDIRECT(I4328),test))</f>
        <v>86.435552634172723</v>
      </c>
      <c r="F4328" s="1" t="str">
        <f t="shared" si="271"/>
        <v>50</v>
      </c>
      <c r="G4328" s="1" t="str">
        <f t="shared" si="272"/>
        <v/>
      </c>
      <c r="I4328" s="1" t="str">
        <f t="shared" si="270"/>
        <v>威尔新数值1.06.xlsm!suitPower</v>
      </c>
    </row>
    <row r="4329" spans="1:9" x14ac:dyDescent="0.15">
      <c r="A4329" s="1">
        <v>4328</v>
      </c>
      <c r="B4329" s="1">
        <v>103031000</v>
      </c>
      <c r="C4329" s="1">
        <f t="shared" si="269"/>
        <v>10</v>
      </c>
      <c r="D4329" s="5">
        <f ca="1">IF(getQuality(B4329)&lt;4,getOtherMin(B4329,C4329,INDIRECT(J$2),INDIRECT(I4329),test),getMin(B4329,C4329,INDIRECT(J$2),INDIRECT(I4329),test))</f>
        <v>53.82172660977222</v>
      </c>
      <c r="E4329" s="5">
        <f ca="1">IF(getQuality(B4329)&lt;4,getOtherMax(B4329,C4329,INDIRECT(J$2),INDIRECT(I4329),test),getMax(B4329,C4329,INDIRECT(J$2),INDIRECT(I4329),test))</f>
        <v>86.435552634172723</v>
      </c>
      <c r="F4329" s="1" t="str">
        <f t="shared" si="271"/>
        <v>50</v>
      </c>
      <c r="G4329" s="1" t="str">
        <f t="shared" si="272"/>
        <v/>
      </c>
      <c r="I4329" s="1" t="str">
        <f t="shared" si="270"/>
        <v>威尔新数值1.06.xlsm!suitPower</v>
      </c>
    </row>
    <row r="4330" spans="1:9" x14ac:dyDescent="0.15">
      <c r="A4330" s="1">
        <v>4329</v>
      </c>
      <c r="B4330" s="1">
        <v>103031000</v>
      </c>
      <c r="C4330" s="1">
        <f t="shared" si="269"/>
        <v>11</v>
      </c>
      <c r="D4330" s="5">
        <f ca="1">IF(getQuality(B4330)&lt;4,getOtherMin(B4330,C4330,INDIRECT(J$2),INDIRECT(I4330),test),getMin(B4330,C4330,INDIRECT(J$2),INDIRECT(I4330),test))</f>
        <v>53.82172660977222</v>
      </c>
      <c r="E4330" s="5">
        <f ca="1">IF(getQuality(B4330)&lt;4,getOtherMax(B4330,C4330,INDIRECT(J$2),INDIRECT(I4330),test),getMax(B4330,C4330,INDIRECT(J$2),INDIRECT(I4330),test))</f>
        <v>86.435552634172723</v>
      </c>
      <c r="F4330" s="1" t="str">
        <f t="shared" si="271"/>
        <v>50</v>
      </c>
      <c r="G4330" s="1" t="str">
        <f t="shared" si="272"/>
        <v/>
      </c>
      <c r="I4330" s="1" t="str">
        <f t="shared" si="270"/>
        <v>威尔新数值1.06.xlsm!suitPower</v>
      </c>
    </row>
    <row r="4331" spans="1:9" x14ac:dyDescent="0.15">
      <c r="A4331" s="1">
        <v>4330</v>
      </c>
      <c r="B4331" s="1">
        <v>103031000</v>
      </c>
      <c r="C4331" s="1">
        <f t="shared" si="269"/>
        <v>12</v>
      </c>
      <c r="D4331" s="5">
        <f ca="1">IF(getQuality(B4331)&lt;4,getOtherMin(B4331,C4331,INDIRECT(J$2),INDIRECT(I4331),test),getMin(B4331,C4331,INDIRECT(J$2),INDIRECT(I4331),test))</f>
        <v>53.82172660977222</v>
      </c>
      <c r="E4331" s="5">
        <f ca="1">IF(getQuality(B4331)&lt;4,getOtherMax(B4331,C4331,INDIRECT(J$2),INDIRECT(I4331),test),getMax(B4331,C4331,INDIRECT(J$2),INDIRECT(I4331),test))</f>
        <v>86.435552634172723</v>
      </c>
      <c r="F4331" s="1" t="str">
        <f t="shared" si="271"/>
        <v>50</v>
      </c>
      <c r="G4331" s="1" t="str">
        <f t="shared" si="272"/>
        <v/>
      </c>
      <c r="I4331" s="1" t="str">
        <f t="shared" si="270"/>
        <v>威尔新数值1.06.xlsm!suitPower</v>
      </c>
    </row>
    <row r="4332" spans="1:9" x14ac:dyDescent="0.15">
      <c r="A4332" s="1">
        <v>4331</v>
      </c>
      <c r="B4332" s="1">
        <v>103031000</v>
      </c>
      <c r="C4332" s="1">
        <f t="shared" si="269"/>
        <v>13</v>
      </c>
      <c r="D4332" s="5">
        <f ca="1">IF(getQuality(B4332)&lt;4,getOtherMin(B4332,C4332,INDIRECT(J$2),INDIRECT(I4332),test),getMin(B4332,C4332,INDIRECT(J$2),INDIRECT(I4332),test))</f>
        <v>53.82172660977222</v>
      </c>
      <c r="E4332" s="5">
        <f ca="1">IF(getQuality(B4332)&lt;4,getOtherMax(B4332,C4332,INDIRECT(J$2),INDIRECT(I4332),test),getMax(B4332,C4332,INDIRECT(J$2),INDIRECT(I4332),test))</f>
        <v>86.435552634172723</v>
      </c>
      <c r="F4332" s="1" t="str">
        <f t="shared" si="271"/>
        <v>50</v>
      </c>
      <c r="G4332" s="1" t="str">
        <f t="shared" si="272"/>
        <v/>
      </c>
      <c r="I4332" s="1" t="str">
        <f t="shared" si="270"/>
        <v>威尔新数值1.06.xlsm!suitPower</v>
      </c>
    </row>
    <row r="4333" spans="1:9" x14ac:dyDescent="0.15">
      <c r="A4333" s="1">
        <v>4332</v>
      </c>
      <c r="B4333" s="1">
        <v>103031000</v>
      </c>
      <c r="C4333" s="1">
        <f t="shared" si="269"/>
        <v>14</v>
      </c>
      <c r="D4333" s="5">
        <f ca="1">IF(getQuality(B4333)&lt;4,getOtherMin(B4333,C4333,INDIRECT(J$2),INDIRECT(I4333),test),getMin(B4333,C4333,INDIRECT(J$2),INDIRECT(I4333),test))</f>
        <v>53.82172660977222</v>
      </c>
      <c r="E4333" s="5">
        <f ca="1">IF(getQuality(B4333)&lt;4,getOtherMax(B4333,C4333,INDIRECT(J$2),INDIRECT(I4333),test),getMax(B4333,C4333,INDIRECT(J$2),INDIRECT(I4333),test))</f>
        <v>86.435552634172723</v>
      </c>
      <c r="F4333" s="1" t="str">
        <f t="shared" si="271"/>
        <v>50</v>
      </c>
      <c r="G4333" s="1" t="str">
        <f t="shared" si="272"/>
        <v/>
      </c>
      <c r="I4333" s="1" t="str">
        <f t="shared" si="270"/>
        <v>威尔新数值1.06.xlsm!suitPower</v>
      </c>
    </row>
    <row r="4334" spans="1:9" x14ac:dyDescent="0.15">
      <c r="A4334" s="1">
        <v>4333</v>
      </c>
      <c r="B4334" s="1">
        <v>103031000</v>
      </c>
      <c r="C4334" s="1">
        <f t="shared" si="269"/>
        <v>15</v>
      </c>
      <c r="D4334" s="5">
        <f ca="1">IF(getQuality(B4334)&lt;4,getOtherMin(B4334,C4334,INDIRECT(J$2),INDIRECT(I4334),test),getMin(B4334,C4334,INDIRECT(J$2),INDIRECT(I4334),test))</f>
        <v>53.82172660977222</v>
      </c>
      <c r="E4334" s="5">
        <f ca="1">IF(getQuality(B4334)&lt;4,getOtherMax(B4334,C4334,INDIRECT(J$2),INDIRECT(I4334),test),getMax(B4334,C4334,INDIRECT(J$2),INDIRECT(I4334),test))</f>
        <v>86.435552634172723</v>
      </c>
      <c r="F4334" s="1" t="str">
        <f t="shared" si="271"/>
        <v>50</v>
      </c>
      <c r="G4334" s="1" t="str">
        <f t="shared" si="272"/>
        <v/>
      </c>
      <c r="I4334" s="1" t="str">
        <f t="shared" si="270"/>
        <v>威尔新数值1.06.xlsm!suitPower</v>
      </c>
    </row>
    <row r="4335" spans="1:9" x14ac:dyDescent="0.15">
      <c r="A4335" s="1">
        <v>4334</v>
      </c>
      <c r="B4335" s="1">
        <v>103031000</v>
      </c>
      <c r="C4335" s="1">
        <f t="shared" si="269"/>
        <v>101</v>
      </c>
      <c r="D4335" s="5">
        <f ca="1">IF(getQuality(B4335)&lt;4,getOtherMin(B4335,C4335,INDIRECT(J$2),INDIRECT(I4335),test),getMin(B4335,C4335,INDIRECT(J$2),INDIRECT(I4335),test))</f>
        <v>0.09</v>
      </c>
      <c r="E4335" s="5">
        <f ca="1">IF(getQuality(B4335)&lt;4,getOtherMax(B4335,C4335,INDIRECT(J$2),INDIRECT(I4335),test),getMax(B4335,C4335,INDIRECT(J$2),INDIRECT(I4335),test))</f>
        <v>0.12</v>
      </c>
      <c r="F4335" s="1" t="str">
        <f t="shared" si="271"/>
        <v>50</v>
      </c>
      <c r="G4335" s="1" t="str">
        <f t="shared" si="272"/>
        <v/>
      </c>
      <c r="I4335" s="1" t="str">
        <f t="shared" si="270"/>
        <v>威尔新数值1.06.xlsm!circlePer</v>
      </c>
    </row>
    <row r="4336" spans="1:9" x14ac:dyDescent="0.15">
      <c r="A4336" s="1">
        <v>4335</v>
      </c>
      <c r="B4336" s="1">
        <v>103031000</v>
      </c>
      <c r="C4336" s="1">
        <f t="shared" si="269"/>
        <v>102</v>
      </c>
      <c r="D4336" s="5">
        <f ca="1">IF(getQuality(B4336)&lt;4,getOtherMin(B4336,C4336,INDIRECT(J$2),INDIRECT(I4336),test),getMin(B4336,C4336,INDIRECT(J$2),INDIRECT(I4336),test))</f>
        <v>0.8</v>
      </c>
      <c r="E4336" s="5">
        <f ca="1">IF(getQuality(B4336)&lt;4,getOtherMax(B4336,C4336,INDIRECT(J$2),INDIRECT(I4336),test),getMax(B4336,C4336,INDIRECT(J$2),INDIRECT(I4336),test))</f>
        <v>1.1000000000000001</v>
      </c>
      <c r="F4336" s="1" t="str">
        <f t="shared" si="271"/>
        <v>50</v>
      </c>
      <c r="G4336" s="1" t="str">
        <f t="shared" si="272"/>
        <v/>
      </c>
      <c r="I4336" s="1" t="str">
        <f t="shared" si="270"/>
        <v>威尔新数值1.06.xlsm!circleValue</v>
      </c>
    </row>
    <row r="4337" spans="1:9" x14ac:dyDescent="0.15">
      <c r="A4337" s="1">
        <v>4336</v>
      </c>
      <c r="B4337" s="1">
        <v>103031000</v>
      </c>
      <c r="C4337" s="1">
        <f t="shared" si="269"/>
        <v>103</v>
      </c>
      <c r="D4337" s="5">
        <f ca="1">IF(getQuality(B4337)&lt;4,getOtherMin(B4337,C4337,INDIRECT(J$2),INDIRECT(I4337),test),getMin(B4337,C4337,INDIRECT(J$2),INDIRECT(I4337),test))</f>
        <v>0.09</v>
      </c>
      <c r="E4337" s="5">
        <f ca="1">IF(getQuality(B4337)&lt;4,getOtherMax(B4337,C4337,INDIRECT(J$2),INDIRECT(I4337),test),getMax(B4337,C4337,INDIRECT(J$2),INDIRECT(I4337),test))</f>
        <v>0.12</v>
      </c>
      <c r="F4337" s="1" t="str">
        <f t="shared" si="271"/>
        <v>50</v>
      </c>
      <c r="G4337" s="1" t="str">
        <f t="shared" si="272"/>
        <v/>
      </c>
      <c r="I4337" s="1" t="str">
        <f t="shared" si="270"/>
        <v>威尔新数值1.06.xlsm!otherDamage</v>
      </c>
    </row>
    <row r="4338" spans="1:9" x14ac:dyDescent="0.15">
      <c r="A4338" s="1">
        <v>4337</v>
      </c>
      <c r="B4338" s="1">
        <v>103031000</v>
      </c>
      <c r="C4338" s="1">
        <f t="shared" si="269"/>
        <v>104</v>
      </c>
      <c r="D4338" s="5">
        <f ca="1">IF(getQuality(B4338)&lt;4,getOtherMin(B4338,C4338,INDIRECT(J$2),INDIRECT(I4338),test),getMin(B4338,C4338,INDIRECT(J$2),INDIRECT(I4338),test))</f>
        <v>0.09</v>
      </c>
      <c r="E4338" s="5">
        <f ca="1">IF(getQuality(B4338)&lt;4,getOtherMax(B4338,C4338,INDIRECT(J$2),INDIRECT(I4338),test),getMax(B4338,C4338,INDIRECT(J$2),INDIRECT(I4338),test))</f>
        <v>0.18</v>
      </c>
      <c r="F4338" s="1" t="str">
        <f t="shared" si="271"/>
        <v>50</v>
      </c>
      <c r="G4338" s="1" t="str">
        <f t="shared" si="272"/>
        <v/>
      </c>
      <c r="I4338" s="1" t="str">
        <f t="shared" si="270"/>
        <v>威尔新数值1.06.xlsm!monsterDamage</v>
      </c>
    </row>
    <row r="4339" spans="1:9" x14ac:dyDescent="0.15">
      <c r="A4339" s="1">
        <v>4338</v>
      </c>
      <c r="B4339" s="1">
        <v>103031000</v>
      </c>
      <c r="C4339" s="1">
        <f t="shared" si="269"/>
        <v>105</v>
      </c>
      <c r="D4339" s="5">
        <f ca="1">IF(getQuality(B4339)&lt;4,getOtherMin(B4339,C4339,INDIRECT(J$2),INDIRECT(I4339),test),getMin(B4339,C4339,INDIRECT(J$2),INDIRECT(I4339),test))</f>
        <v>0.09</v>
      </c>
      <c r="E4339" s="5">
        <f ca="1">IF(getQuality(B4339)&lt;4,getOtherMax(B4339,C4339,INDIRECT(J$2),INDIRECT(I4339),test),getMax(B4339,C4339,INDIRECT(J$2),INDIRECT(I4339),test))</f>
        <v>0.18</v>
      </c>
      <c r="F4339" s="1" t="str">
        <f t="shared" si="271"/>
        <v>50</v>
      </c>
      <c r="G4339" s="1" t="str">
        <f t="shared" si="272"/>
        <v/>
      </c>
      <c r="I4339" s="1" t="str">
        <f t="shared" si="270"/>
        <v>威尔新数值1.06.xlsm!monsterDamage</v>
      </c>
    </row>
    <row r="4340" spans="1:9" x14ac:dyDescent="0.15">
      <c r="A4340" s="1">
        <v>4339</v>
      </c>
      <c r="B4340" s="1">
        <v>103031000</v>
      </c>
      <c r="C4340" s="1">
        <f t="shared" si="269"/>
        <v>106</v>
      </c>
      <c r="D4340" s="5">
        <f ca="1">IF(getQuality(B4340)&lt;4,getOtherMin(B4340,C4340,INDIRECT(J$2),INDIRECT(I4340),test),getMin(B4340,C4340,INDIRECT(J$2),INDIRECT(I4340),test))</f>
        <v>0.09</v>
      </c>
      <c r="E4340" s="5">
        <f ca="1">IF(getQuality(B4340)&lt;4,getOtherMax(B4340,C4340,INDIRECT(J$2),INDIRECT(I4340),test),getMax(B4340,C4340,INDIRECT(J$2),INDIRECT(I4340),test))</f>
        <v>0.18</v>
      </c>
      <c r="F4340" s="1" t="str">
        <f t="shared" si="271"/>
        <v>50</v>
      </c>
      <c r="G4340" s="1" t="str">
        <f t="shared" si="272"/>
        <v/>
      </c>
      <c r="I4340" s="1" t="str">
        <f t="shared" si="270"/>
        <v>威尔新数值1.06.xlsm!monsterDamage</v>
      </c>
    </row>
    <row r="4341" spans="1:9" x14ac:dyDescent="0.15">
      <c r="A4341" s="1">
        <v>4340</v>
      </c>
      <c r="B4341" s="1">
        <v>103031000</v>
      </c>
      <c r="C4341" s="1">
        <f t="shared" si="269"/>
        <v>107</v>
      </c>
      <c r="D4341" s="5">
        <f ca="1">IF(getQuality(B4341)&lt;4,getOtherMin(B4341,C4341,INDIRECT(J$2),INDIRECT(I4341),test),getMin(B4341,C4341,INDIRECT(J$2),INDIRECT(I4341),test))</f>
        <v>0.09</v>
      </c>
      <c r="E4341" s="5">
        <f ca="1">IF(getQuality(B4341)&lt;4,getOtherMax(B4341,C4341,INDIRECT(J$2),INDIRECT(I4341),test),getMax(B4341,C4341,INDIRECT(J$2),INDIRECT(I4341),test))</f>
        <v>0.18</v>
      </c>
      <c r="F4341" s="1" t="str">
        <f t="shared" si="271"/>
        <v>50</v>
      </c>
      <c r="G4341" s="1" t="str">
        <f t="shared" si="272"/>
        <v/>
      </c>
      <c r="I4341" s="1" t="str">
        <f t="shared" si="270"/>
        <v>威尔新数值1.06.xlsm!monsterDamage</v>
      </c>
    </row>
    <row r="4342" spans="1:9" x14ac:dyDescent="0.15">
      <c r="A4342" s="1">
        <v>4341</v>
      </c>
      <c r="B4342" s="1">
        <v>103031000</v>
      </c>
      <c r="C4342" s="1">
        <f t="shared" si="269"/>
        <v>108</v>
      </c>
      <c r="D4342" s="5">
        <f ca="1">IF(getQuality(B4342)&lt;4,getOtherMin(B4342,C4342,INDIRECT(J$2),INDIRECT(I4342),test),getMin(B4342,C4342,INDIRECT(J$2),INDIRECT(I4342),test))</f>
        <v>0.09</v>
      </c>
      <c r="E4342" s="5">
        <f ca="1">IF(getQuality(B4342)&lt;4,getOtherMax(B4342,C4342,INDIRECT(J$2),INDIRECT(I4342),test),getMax(B4342,C4342,INDIRECT(J$2),INDIRECT(I4342),test))</f>
        <v>0.18</v>
      </c>
      <c r="F4342" s="1" t="str">
        <f t="shared" si="271"/>
        <v>50</v>
      </c>
      <c r="G4342" s="1" t="str">
        <f t="shared" si="272"/>
        <v/>
      </c>
      <c r="I4342" s="1" t="str">
        <f t="shared" si="270"/>
        <v>威尔新数值1.06.xlsm!monsterDamage</v>
      </c>
    </row>
    <row r="4343" spans="1:9" x14ac:dyDescent="0.15">
      <c r="A4343" s="1">
        <v>4342</v>
      </c>
      <c r="B4343" s="1">
        <v>103041000</v>
      </c>
      <c r="C4343" s="1">
        <f t="shared" si="269"/>
        <v>3</v>
      </c>
      <c r="D4343" s="5">
        <f ca="1">IF(getQuality(B4343)&lt;4,getOtherMin(B4343,C4343,INDIRECT(J$2),INDIRECT(I4343),test),getMin(B4343,C4343,INDIRECT(J$2),INDIRECT(I4343),test))</f>
        <v>87.435552634172723</v>
      </c>
      <c r="E4343" s="5">
        <f ca="1">IF(getQuality(B4343)&lt;4,getOtherMax(B4343,C4343,INDIRECT(J$2),INDIRECT(I4343),test),getMax(B4343,C4343,INDIRECT(J$2),INDIRECT(I4343),test))</f>
        <v>124.85135380491616</v>
      </c>
      <c r="F4343" s="1" t="str">
        <f t="shared" si="271"/>
        <v>50</v>
      </c>
      <c r="G4343" s="1" t="str">
        <f t="shared" si="272"/>
        <v>1</v>
      </c>
      <c r="I4343" s="1" t="str">
        <f t="shared" si="270"/>
        <v>威尔新数值1.06.xlsm!suitPower</v>
      </c>
    </row>
    <row r="4344" spans="1:9" x14ac:dyDescent="0.15">
      <c r="A4344" s="1">
        <v>4343</v>
      </c>
      <c r="B4344" s="1">
        <v>103041000</v>
      </c>
      <c r="C4344" s="1">
        <f t="shared" si="269"/>
        <v>5</v>
      </c>
      <c r="D4344" s="5">
        <f ca="1">IF(getQuality(B4344)&lt;4,getOtherMin(B4344,C4344,INDIRECT(J$2),INDIRECT(I4344),test),getMin(B4344,C4344,INDIRECT(J$2),INDIRECT(I4344),test))</f>
        <v>87.435552634172723</v>
      </c>
      <c r="E4344" s="5">
        <f ca="1">IF(getQuality(B4344)&lt;4,getOtherMax(B4344,C4344,INDIRECT(J$2),INDIRECT(I4344),test),getMax(B4344,C4344,INDIRECT(J$2),INDIRECT(I4344),test))</f>
        <v>124.85135380491616</v>
      </c>
      <c r="F4344" s="1" t="str">
        <f t="shared" si="271"/>
        <v>50</v>
      </c>
      <c r="G4344" s="1" t="str">
        <f t="shared" si="272"/>
        <v/>
      </c>
      <c r="I4344" s="1" t="str">
        <f t="shared" si="270"/>
        <v>威尔新数值1.06.xlsm!suitPower</v>
      </c>
    </row>
    <row r="4345" spans="1:9" x14ac:dyDescent="0.15">
      <c r="A4345" s="1">
        <v>4344</v>
      </c>
      <c r="B4345" s="1">
        <v>103041000</v>
      </c>
      <c r="C4345" s="1">
        <f t="shared" si="269"/>
        <v>7</v>
      </c>
      <c r="D4345" s="5">
        <f ca="1">IF(getQuality(B4345)&lt;4,getOtherMin(B4345,C4345,INDIRECT(J$2),INDIRECT(I4345),test),getMin(B4345,C4345,INDIRECT(J$2),INDIRECT(I4345),test))</f>
        <v>23.222222222222165</v>
      </c>
      <c r="E4345" s="5">
        <f ca="1">IF(getQuality(B4345)&lt;4,getOtherMax(B4345,C4345,INDIRECT(J$2),INDIRECT(I4345),test),getMax(B4345,C4345,INDIRECT(J$2),INDIRECT(I4345),test))</f>
        <v>29.629629629629555</v>
      </c>
      <c r="F4345" s="1" t="str">
        <f t="shared" si="271"/>
        <v>50</v>
      </c>
      <c r="G4345" s="1" t="str">
        <f t="shared" si="272"/>
        <v/>
      </c>
      <c r="I4345" s="1" t="str">
        <f t="shared" si="270"/>
        <v>威尔新数值1.06.xlsm!suitPower</v>
      </c>
    </row>
    <row r="4346" spans="1:9" x14ac:dyDescent="0.15">
      <c r="A4346" s="1">
        <v>4345</v>
      </c>
      <c r="B4346" s="1">
        <v>103041000</v>
      </c>
      <c r="C4346" s="1">
        <f t="shared" si="269"/>
        <v>8</v>
      </c>
      <c r="D4346" s="5">
        <f ca="1">IF(getQuality(B4346)&lt;4,getOtherMin(B4346,C4346,INDIRECT(J$2),INDIRECT(I4346),test),getMin(B4346,C4346,INDIRECT(J$2),INDIRECT(I4346),test))</f>
        <v>51</v>
      </c>
      <c r="E4346" s="5">
        <f ca="1">IF(getQuality(B4346)&lt;4,getOtherMax(B4346,C4346,INDIRECT(J$2),INDIRECT(I4346),test),getMax(B4346,C4346,INDIRECT(J$2),INDIRECT(I4346),test))</f>
        <v>66.666666666666671</v>
      </c>
      <c r="F4346" s="1" t="str">
        <f t="shared" si="271"/>
        <v>50</v>
      </c>
      <c r="G4346" s="1" t="str">
        <f t="shared" si="272"/>
        <v/>
      </c>
      <c r="I4346" s="1" t="str">
        <f t="shared" si="270"/>
        <v>威尔新数值1.06.xlsm!suitPower</v>
      </c>
    </row>
    <row r="4347" spans="1:9" x14ac:dyDescent="0.15">
      <c r="A4347" s="1">
        <v>4346</v>
      </c>
      <c r="B4347" s="1">
        <v>103041000</v>
      </c>
      <c r="C4347" s="1">
        <f t="shared" si="269"/>
        <v>9</v>
      </c>
      <c r="D4347" s="5">
        <f ca="1">IF(getQuality(B4347)&lt;4,getOtherMin(B4347,C4347,INDIRECT(J$2),INDIRECT(I4347),test),getMin(B4347,C4347,INDIRECT(J$2),INDIRECT(I4347),test))</f>
        <v>87.435552634172723</v>
      </c>
      <c r="E4347" s="5">
        <f ca="1">IF(getQuality(B4347)&lt;4,getOtherMax(B4347,C4347,INDIRECT(J$2),INDIRECT(I4347),test),getMax(B4347,C4347,INDIRECT(J$2),INDIRECT(I4347),test))</f>
        <v>124.85135380491616</v>
      </c>
      <c r="F4347" s="1" t="str">
        <f t="shared" si="271"/>
        <v>50</v>
      </c>
      <c r="G4347" s="1" t="str">
        <f t="shared" si="272"/>
        <v/>
      </c>
      <c r="I4347" s="1" t="str">
        <f t="shared" si="270"/>
        <v>威尔新数值1.06.xlsm!suitPower</v>
      </c>
    </row>
    <row r="4348" spans="1:9" x14ac:dyDescent="0.15">
      <c r="A4348" s="1">
        <v>4347</v>
      </c>
      <c r="B4348" s="1">
        <v>103041000</v>
      </c>
      <c r="C4348" s="1">
        <f t="shared" ref="C4348:C4411" si="273">C1873</f>
        <v>10</v>
      </c>
      <c r="D4348" s="5">
        <f ca="1">IF(getQuality(B4348)&lt;4,getOtherMin(B4348,C4348,INDIRECT(J$2),INDIRECT(I4348),test),getMin(B4348,C4348,INDIRECT(J$2),INDIRECT(I4348),test))</f>
        <v>87.435552634172723</v>
      </c>
      <c r="E4348" s="5">
        <f ca="1">IF(getQuality(B4348)&lt;4,getOtherMax(B4348,C4348,INDIRECT(J$2),INDIRECT(I4348),test),getMax(B4348,C4348,INDIRECT(J$2),INDIRECT(I4348),test))</f>
        <v>124.85135380491616</v>
      </c>
      <c r="F4348" s="1" t="str">
        <f t="shared" si="271"/>
        <v>50</v>
      </c>
      <c r="G4348" s="1" t="str">
        <f t="shared" si="272"/>
        <v/>
      </c>
      <c r="I4348" s="1" t="str">
        <f t="shared" si="270"/>
        <v>威尔新数值1.06.xlsm!suitPower</v>
      </c>
    </row>
    <row r="4349" spans="1:9" x14ac:dyDescent="0.15">
      <c r="A4349" s="1">
        <v>4348</v>
      </c>
      <c r="B4349" s="1">
        <v>103041000</v>
      </c>
      <c r="C4349" s="1">
        <f t="shared" si="273"/>
        <v>11</v>
      </c>
      <c r="D4349" s="5">
        <f ca="1">IF(getQuality(B4349)&lt;4,getOtherMin(B4349,C4349,INDIRECT(J$2),INDIRECT(I4349),test),getMin(B4349,C4349,INDIRECT(J$2),INDIRECT(I4349),test))</f>
        <v>87.435552634172723</v>
      </c>
      <c r="E4349" s="5">
        <f ca="1">IF(getQuality(B4349)&lt;4,getOtherMax(B4349,C4349,INDIRECT(J$2),INDIRECT(I4349),test),getMax(B4349,C4349,INDIRECT(J$2),INDIRECT(I4349),test))</f>
        <v>124.85135380491616</v>
      </c>
      <c r="F4349" s="1" t="str">
        <f t="shared" si="271"/>
        <v>50</v>
      </c>
      <c r="G4349" s="1" t="str">
        <f t="shared" si="272"/>
        <v/>
      </c>
      <c r="I4349" s="1" t="str">
        <f t="shared" si="270"/>
        <v>威尔新数值1.06.xlsm!suitPower</v>
      </c>
    </row>
    <row r="4350" spans="1:9" x14ac:dyDescent="0.15">
      <c r="A4350" s="1">
        <v>4349</v>
      </c>
      <c r="B4350" s="1">
        <v>103041000</v>
      </c>
      <c r="C4350" s="1">
        <f t="shared" si="273"/>
        <v>12</v>
      </c>
      <c r="D4350" s="5">
        <f ca="1">IF(getQuality(B4350)&lt;4,getOtherMin(B4350,C4350,INDIRECT(J$2),INDIRECT(I4350),test),getMin(B4350,C4350,INDIRECT(J$2),INDIRECT(I4350),test))</f>
        <v>87.435552634172723</v>
      </c>
      <c r="E4350" s="5">
        <f ca="1">IF(getQuality(B4350)&lt;4,getOtherMax(B4350,C4350,INDIRECT(J$2),INDIRECT(I4350),test),getMax(B4350,C4350,INDIRECT(J$2),INDIRECT(I4350),test))</f>
        <v>124.85135380491616</v>
      </c>
      <c r="F4350" s="1" t="str">
        <f t="shared" si="271"/>
        <v>50</v>
      </c>
      <c r="G4350" s="1" t="str">
        <f t="shared" si="272"/>
        <v/>
      </c>
      <c r="I4350" s="1" t="str">
        <f t="shared" si="270"/>
        <v>威尔新数值1.06.xlsm!suitPower</v>
      </c>
    </row>
    <row r="4351" spans="1:9" x14ac:dyDescent="0.15">
      <c r="A4351" s="1">
        <v>4350</v>
      </c>
      <c r="B4351" s="1">
        <v>103041000</v>
      </c>
      <c r="C4351" s="1">
        <f t="shared" si="273"/>
        <v>13</v>
      </c>
      <c r="D4351" s="5">
        <f ca="1">IF(getQuality(B4351)&lt;4,getOtherMin(B4351,C4351,INDIRECT(J$2),INDIRECT(I4351),test),getMin(B4351,C4351,INDIRECT(J$2),INDIRECT(I4351),test))</f>
        <v>87.435552634172723</v>
      </c>
      <c r="E4351" s="5">
        <f ca="1">IF(getQuality(B4351)&lt;4,getOtherMax(B4351,C4351,INDIRECT(J$2),INDIRECT(I4351),test),getMax(B4351,C4351,INDIRECT(J$2),INDIRECT(I4351),test))</f>
        <v>124.85135380491616</v>
      </c>
      <c r="F4351" s="1" t="str">
        <f t="shared" si="271"/>
        <v>50</v>
      </c>
      <c r="G4351" s="1" t="str">
        <f t="shared" si="272"/>
        <v/>
      </c>
      <c r="I4351" s="1" t="str">
        <f t="shared" si="270"/>
        <v>威尔新数值1.06.xlsm!suitPower</v>
      </c>
    </row>
    <row r="4352" spans="1:9" x14ac:dyDescent="0.15">
      <c r="A4352" s="1">
        <v>4351</v>
      </c>
      <c r="B4352" s="1">
        <v>103041000</v>
      </c>
      <c r="C4352" s="1">
        <f t="shared" si="273"/>
        <v>14</v>
      </c>
      <c r="D4352" s="5">
        <f ca="1">IF(getQuality(B4352)&lt;4,getOtherMin(B4352,C4352,INDIRECT(J$2),INDIRECT(I4352),test),getMin(B4352,C4352,INDIRECT(J$2),INDIRECT(I4352),test))</f>
        <v>87.435552634172723</v>
      </c>
      <c r="E4352" s="5">
        <f ca="1">IF(getQuality(B4352)&lt;4,getOtherMax(B4352,C4352,INDIRECT(J$2),INDIRECT(I4352),test),getMax(B4352,C4352,INDIRECT(J$2),INDIRECT(I4352),test))</f>
        <v>124.85135380491616</v>
      </c>
      <c r="F4352" s="1" t="str">
        <f t="shared" si="271"/>
        <v>50</v>
      </c>
      <c r="G4352" s="1" t="str">
        <f t="shared" si="272"/>
        <v/>
      </c>
      <c r="I4352" s="1" t="str">
        <f t="shared" si="270"/>
        <v>威尔新数值1.06.xlsm!suitPower</v>
      </c>
    </row>
    <row r="4353" spans="1:9" x14ac:dyDescent="0.15">
      <c r="A4353" s="1">
        <v>4352</v>
      </c>
      <c r="B4353" s="1">
        <v>103041000</v>
      </c>
      <c r="C4353" s="1">
        <f t="shared" si="273"/>
        <v>15</v>
      </c>
      <c r="D4353" s="5">
        <f ca="1">IF(getQuality(B4353)&lt;4,getOtherMin(B4353,C4353,INDIRECT(J$2),INDIRECT(I4353),test),getMin(B4353,C4353,INDIRECT(J$2),INDIRECT(I4353),test))</f>
        <v>87.435552634172723</v>
      </c>
      <c r="E4353" s="5">
        <f ca="1">IF(getQuality(B4353)&lt;4,getOtherMax(B4353,C4353,INDIRECT(J$2),INDIRECT(I4353),test),getMax(B4353,C4353,INDIRECT(J$2),INDIRECT(I4353),test))</f>
        <v>124.85135380491616</v>
      </c>
      <c r="F4353" s="1" t="str">
        <f t="shared" si="271"/>
        <v>50</v>
      </c>
      <c r="G4353" s="1" t="str">
        <f t="shared" si="272"/>
        <v/>
      </c>
      <c r="I4353" s="1" t="str">
        <f t="shared" si="270"/>
        <v>威尔新数值1.06.xlsm!suitPower</v>
      </c>
    </row>
    <row r="4354" spans="1:9" x14ac:dyDescent="0.15">
      <c r="A4354" s="1">
        <v>4353</v>
      </c>
      <c r="B4354" s="1">
        <v>103041000</v>
      </c>
      <c r="C4354" s="1">
        <f t="shared" si="273"/>
        <v>101</v>
      </c>
      <c r="D4354" s="5">
        <f ca="1">IF(getQuality(B4354)&lt;4,getOtherMin(B4354,C4354,INDIRECT(J$2),INDIRECT(I4354),test),getMin(B4354,C4354,INDIRECT(J$2),INDIRECT(I4354),test))</f>
        <v>0.1</v>
      </c>
      <c r="E4354" s="5">
        <f ca="1">IF(getQuality(B4354)&lt;4,getOtherMax(B4354,C4354,INDIRECT(J$2),INDIRECT(I4354),test),getMax(B4354,C4354,INDIRECT(J$2),INDIRECT(I4354),test))</f>
        <v>0.13</v>
      </c>
      <c r="F4354" s="1" t="str">
        <f t="shared" si="271"/>
        <v>50</v>
      </c>
      <c r="G4354" s="1" t="str">
        <f t="shared" si="272"/>
        <v/>
      </c>
      <c r="I4354" s="1" t="str">
        <f t="shared" ref="I4354:I4417" si="274">IF(C4354&lt;100,VLOOKUP(C4354,test,3,FALSE),VLOOKUP(C4354,test1,3,FALSE))</f>
        <v>威尔新数值1.06.xlsm!circlePer</v>
      </c>
    </row>
    <row r="4355" spans="1:9" x14ac:dyDescent="0.15">
      <c r="A4355" s="1">
        <v>4354</v>
      </c>
      <c r="B4355" s="1">
        <v>103041000</v>
      </c>
      <c r="C4355" s="1">
        <f t="shared" si="273"/>
        <v>102</v>
      </c>
      <c r="D4355" s="5">
        <f ca="1">IF(getQuality(B4355)&lt;4,getOtherMin(B4355,C4355,INDIRECT(J$2),INDIRECT(I4355),test),getMin(B4355,C4355,INDIRECT(J$2),INDIRECT(I4355),test))</f>
        <v>0.9</v>
      </c>
      <c r="E4355" s="5">
        <f ca="1">IF(getQuality(B4355)&lt;4,getOtherMax(B4355,C4355,INDIRECT(J$2),INDIRECT(I4355),test),getMax(B4355,C4355,INDIRECT(J$2),INDIRECT(I4355),test))</f>
        <v>1.2</v>
      </c>
      <c r="F4355" s="1" t="str">
        <f t="shared" ref="F4355:F4418" si="275">getper(B4355,C4355)</f>
        <v>50</v>
      </c>
      <c r="G4355" s="1" t="str">
        <f t="shared" ref="G4355:G4418" si="276">getMust(B4355,C4355)</f>
        <v/>
      </c>
      <c r="I4355" s="1" t="str">
        <f t="shared" si="274"/>
        <v>威尔新数值1.06.xlsm!circleValue</v>
      </c>
    </row>
    <row r="4356" spans="1:9" x14ac:dyDescent="0.15">
      <c r="A4356" s="1">
        <v>4355</v>
      </c>
      <c r="B4356" s="1">
        <v>103041000</v>
      </c>
      <c r="C4356" s="1">
        <f t="shared" si="273"/>
        <v>103</v>
      </c>
      <c r="D4356" s="5">
        <f ca="1">IF(getQuality(B4356)&lt;4,getOtherMin(B4356,C4356,INDIRECT(J$2),INDIRECT(I4356),test),getMin(B4356,C4356,INDIRECT(J$2),INDIRECT(I4356),test))</f>
        <v>0.1</v>
      </c>
      <c r="E4356" s="5">
        <f ca="1">IF(getQuality(B4356)&lt;4,getOtherMax(B4356,C4356,INDIRECT(J$2),INDIRECT(I4356),test),getMax(B4356,C4356,INDIRECT(J$2),INDIRECT(I4356),test))</f>
        <v>0.13</v>
      </c>
      <c r="F4356" s="1" t="str">
        <f t="shared" si="275"/>
        <v>50</v>
      </c>
      <c r="G4356" s="1" t="str">
        <f t="shared" si="276"/>
        <v/>
      </c>
      <c r="I4356" s="1" t="str">
        <f t="shared" si="274"/>
        <v>威尔新数值1.06.xlsm!otherDamage</v>
      </c>
    </row>
    <row r="4357" spans="1:9" x14ac:dyDescent="0.15">
      <c r="A4357" s="1">
        <v>4356</v>
      </c>
      <c r="B4357" s="1">
        <v>103041000</v>
      </c>
      <c r="C4357" s="1">
        <f t="shared" si="273"/>
        <v>104</v>
      </c>
      <c r="D4357" s="5">
        <f ca="1">IF(getQuality(B4357)&lt;4,getOtherMin(B4357,C4357,INDIRECT(J$2),INDIRECT(I4357),test),getMin(B4357,C4357,INDIRECT(J$2),INDIRECT(I4357),test))</f>
        <v>0.1</v>
      </c>
      <c r="E4357" s="5">
        <f ca="1">IF(getQuality(B4357)&lt;4,getOtherMax(B4357,C4357,INDIRECT(J$2),INDIRECT(I4357),test),getMax(B4357,C4357,INDIRECT(J$2),INDIRECT(I4357),test))</f>
        <v>0.2</v>
      </c>
      <c r="F4357" s="1" t="str">
        <f t="shared" si="275"/>
        <v>50</v>
      </c>
      <c r="G4357" s="1" t="str">
        <f t="shared" si="276"/>
        <v/>
      </c>
      <c r="I4357" s="1" t="str">
        <f t="shared" si="274"/>
        <v>威尔新数值1.06.xlsm!monsterDamage</v>
      </c>
    </row>
    <row r="4358" spans="1:9" x14ac:dyDescent="0.15">
      <c r="A4358" s="1">
        <v>4357</v>
      </c>
      <c r="B4358" s="1">
        <v>103041000</v>
      </c>
      <c r="C4358" s="1">
        <f t="shared" si="273"/>
        <v>105</v>
      </c>
      <c r="D4358" s="5">
        <f ca="1">IF(getQuality(B4358)&lt;4,getOtherMin(B4358,C4358,INDIRECT(J$2),INDIRECT(I4358),test),getMin(B4358,C4358,INDIRECT(J$2),INDIRECT(I4358),test))</f>
        <v>0.1</v>
      </c>
      <c r="E4358" s="5">
        <f ca="1">IF(getQuality(B4358)&lt;4,getOtherMax(B4358,C4358,INDIRECT(J$2),INDIRECT(I4358),test),getMax(B4358,C4358,INDIRECT(J$2),INDIRECT(I4358),test))</f>
        <v>0.2</v>
      </c>
      <c r="F4358" s="1" t="str">
        <f t="shared" si="275"/>
        <v>50</v>
      </c>
      <c r="G4358" s="1" t="str">
        <f t="shared" si="276"/>
        <v/>
      </c>
      <c r="I4358" s="1" t="str">
        <f t="shared" si="274"/>
        <v>威尔新数值1.06.xlsm!monsterDamage</v>
      </c>
    </row>
    <row r="4359" spans="1:9" x14ac:dyDescent="0.15">
      <c r="A4359" s="1">
        <v>4358</v>
      </c>
      <c r="B4359" s="1">
        <v>103041000</v>
      </c>
      <c r="C4359" s="1">
        <f t="shared" si="273"/>
        <v>106</v>
      </c>
      <c r="D4359" s="5">
        <f ca="1">IF(getQuality(B4359)&lt;4,getOtherMin(B4359,C4359,INDIRECT(J$2),INDIRECT(I4359),test),getMin(B4359,C4359,INDIRECT(J$2),INDIRECT(I4359),test))</f>
        <v>0.1</v>
      </c>
      <c r="E4359" s="5">
        <f ca="1">IF(getQuality(B4359)&lt;4,getOtherMax(B4359,C4359,INDIRECT(J$2),INDIRECT(I4359),test),getMax(B4359,C4359,INDIRECT(J$2),INDIRECT(I4359),test))</f>
        <v>0.2</v>
      </c>
      <c r="F4359" s="1" t="str">
        <f t="shared" si="275"/>
        <v>50</v>
      </c>
      <c r="G4359" s="1" t="str">
        <f t="shared" si="276"/>
        <v/>
      </c>
      <c r="I4359" s="1" t="str">
        <f t="shared" si="274"/>
        <v>威尔新数值1.06.xlsm!monsterDamage</v>
      </c>
    </row>
    <row r="4360" spans="1:9" x14ac:dyDescent="0.15">
      <c r="A4360" s="1">
        <v>4359</v>
      </c>
      <c r="B4360" s="1">
        <v>103041000</v>
      </c>
      <c r="C4360" s="1">
        <f t="shared" si="273"/>
        <v>107</v>
      </c>
      <c r="D4360" s="5">
        <f ca="1">IF(getQuality(B4360)&lt;4,getOtherMin(B4360,C4360,INDIRECT(J$2),INDIRECT(I4360),test),getMin(B4360,C4360,INDIRECT(J$2),INDIRECT(I4360),test))</f>
        <v>0.1</v>
      </c>
      <c r="E4360" s="5">
        <f ca="1">IF(getQuality(B4360)&lt;4,getOtherMax(B4360,C4360,INDIRECT(J$2),INDIRECT(I4360),test),getMax(B4360,C4360,INDIRECT(J$2),INDIRECT(I4360),test))</f>
        <v>0.2</v>
      </c>
      <c r="F4360" s="1" t="str">
        <f t="shared" si="275"/>
        <v>50</v>
      </c>
      <c r="G4360" s="1" t="str">
        <f t="shared" si="276"/>
        <v/>
      </c>
      <c r="I4360" s="1" t="str">
        <f t="shared" si="274"/>
        <v>威尔新数值1.06.xlsm!monsterDamage</v>
      </c>
    </row>
    <row r="4361" spans="1:9" x14ac:dyDescent="0.15">
      <c r="A4361" s="1">
        <v>4360</v>
      </c>
      <c r="B4361" s="1">
        <v>103041000</v>
      </c>
      <c r="C4361" s="1">
        <f t="shared" si="273"/>
        <v>108</v>
      </c>
      <c r="D4361" s="5">
        <f ca="1">IF(getQuality(B4361)&lt;4,getOtherMin(B4361,C4361,INDIRECT(J$2),INDIRECT(I4361),test),getMin(B4361,C4361,INDIRECT(J$2),INDIRECT(I4361),test))</f>
        <v>0.1</v>
      </c>
      <c r="E4361" s="5">
        <f ca="1">IF(getQuality(B4361)&lt;4,getOtherMax(B4361,C4361,INDIRECT(J$2),INDIRECT(I4361),test),getMax(B4361,C4361,INDIRECT(J$2),INDIRECT(I4361),test))</f>
        <v>0.2</v>
      </c>
      <c r="F4361" s="1" t="str">
        <f t="shared" si="275"/>
        <v>50</v>
      </c>
      <c r="G4361" s="1" t="str">
        <f t="shared" si="276"/>
        <v/>
      </c>
      <c r="I4361" s="1" t="str">
        <f t="shared" si="274"/>
        <v>威尔新数值1.06.xlsm!monsterDamage</v>
      </c>
    </row>
    <row r="4362" spans="1:9" x14ac:dyDescent="0.15">
      <c r="A4362" s="1">
        <v>4361</v>
      </c>
      <c r="B4362" s="1">
        <v>103051000</v>
      </c>
      <c r="C4362" s="1">
        <f t="shared" si="273"/>
        <v>3</v>
      </c>
      <c r="D4362" s="5">
        <f ca="1">IF(getQuality(B4362)&lt;4,getOtherMin(B4362,C4362,INDIRECT(J$2),INDIRECT(I4362),test),getMin(B4362,C4362,INDIRECT(J$2),INDIRECT(I4362),test))</f>
        <v>125.85135380491616</v>
      </c>
      <c r="E4362" s="5">
        <f ca="1">IF(getQuality(B4362)&lt;4,getOtherMax(B4362,C4362,INDIRECT(J$2),INDIRECT(I4362),test),getMax(B4362,C4362,INDIRECT(J$2),INDIRECT(I4362),test))</f>
        <v>169.16048810980774</v>
      </c>
      <c r="F4362" s="1" t="str">
        <f t="shared" si="275"/>
        <v>50</v>
      </c>
      <c r="G4362" s="1" t="str">
        <f t="shared" si="276"/>
        <v>1</v>
      </c>
      <c r="I4362" s="1" t="str">
        <f t="shared" si="274"/>
        <v>威尔新数值1.06.xlsm!suitPower</v>
      </c>
    </row>
    <row r="4363" spans="1:9" x14ac:dyDescent="0.15">
      <c r="A4363" s="1">
        <v>4362</v>
      </c>
      <c r="B4363" s="1">
        <v>103051000</v>
      </c>
      <c r="C4363" s="1">
        <f t="shared" si="273"/>
        <v>5</v>
      </c>
      <c r="D4363" s="5">
        <f ca="1">IF(getQuality(B4363)&lt;4,getOtherMin(B4363,C4363,INDIRECT(J$2),INDIRECT(I4363),test),getMin(B4363,C4363,INDIRECT(J$2),INDIRECT(I4363),test))</f>
        <v>125.85135380491616</v>
      </c>
      <c r="E4363" s="5">
        <f ca="1">IF(getQuality(B4363)&lt;4,getOtherMax(B4363,C4363,INDIRECT(J$2),INDIRECT(I4363),test),getMax(B4363,C4363,INDIRECT(J$2),INDIRECT(I4363),test))</f>
        <v>169.16048810980774</v>
      </c>
      <c r="F4363" s="1" t="str">
        <f t="shared" si="275"/>
        <v>50</v>
      </c>
      <c r="G4363" s="1" t="str">
        <f t="shared" si="276"/>
        <v/>
      </c>
      <c r="I4363" s="1" t="str">
        <f t="shared" si="274"/>
        <v>威尔新数值1.06.xlsm!suitPower</v>
      </c>
    </row>
    <row r="4364" spans="1:9" x14ac:dyDescent="0.15">
      <c r="A4364" s="1">
        <v>4363</v>
      </c>
      <c r="B4364" s="1">
        <v>103051000</v>
      </c>
      <c r="C4364" s="1">
        <f t="shared" si="273"/>
        <v>7</v>
      </c>
      <c r="D4364" s="5">
        <f ca="1">IF(getQuality(B4364)&lt;4,getOtherMin(B4364,C4364,INDIRECT(J$2),INDIRECT(I4364),test),getMin(B4364,C4364,INDIRECT(J$2),INDIRECT(I4364),test))</f>
        <v>30.629629629629555</v>
      </c>
      <c r="E4364" s="5">
        <f ca="1">IF(getQuality(B4364)&lt;4,getOtherMax(B4364,C4364,INDIRECT(J$2),INDIRECT(I4364),test),getMax(B4364,C4364,INDIRECT(J$2),INDIRECT(I4364),test))</f>
        <v>37.037037037036946</v>
      </c>
      <c r="F4364" s="1" t="str">
        <f t="shared" si="275"/>
        <v>50</v>
      </c>
      <c r="G4364" s="1" t="str">
        <f t="shared" si="276"/>
        <v/>
      </c>
      <c r="I4364" s="1" t="str">
        <f t="shared" si="274"/>
        <v>威尔新数值1.06.xlsm!suitPower</v>
      </c>
    </row>
    <row r="4365" spans="1:9" x14ac:dyDescent="0.15">
      <c r="A4365" s="1">
        <v>4364</v>
      </c>
      <c r="B4365" s="1">
        <v>103051000</v>
      </c>
      <c r="C4365" s="1">
        <f t="shared" si="273"/>
        <v>8</v>
      </c>
      <c r="D4365" s="5">
        <f ca="1">IF(getQuality(B4365)&lt;4,getOtherMin(B4365,C4365,INDIRECT(J$2),INDIRECT(I4365),test),getMin(B4365,C4365,INDIRECT(J$2),INDIRECT(I4365),test))</f>
        <v>67.666666666666671</v>
      </c>
      <c r="E4365" s="5">
        <f ca="1">IF(getQuality(B4365)&lt;4,getOtherMax(B4365,C4365,INDIRECT(J$2),INDIRECT(I4365),test),getMax(B4365,C4365,INDIRECT(J$2),INDIRECT(I4365),test))</f>
        <v>83.333333333333329</v>
      </c>
      <c r="F4365" s="1" t="str">
        <f t="shared" si="275"/>
        <v>50</v>
      </c>
      <c r="G4365" s="1" t="str">
        <f t="shared" si="276"/>
        <v/>
      </c>
      <c r="I4365" s="1" t="str">
        <f t="shared" si="274"/>
        <v>威尔新数值1.06.xlsm!suitPower</v>
      </c>
    </row>
    <row r="4366" spans="1:9" x14ac:dyDescent="0.15">
      <c r="A4366" s="1">
        <v>4365</v>
      </c>
      <c r="B4366" s="1">
        <v>103051000</v>
      </c>
      <c r="C4366" s="1">
        <f t="shared" si="273"/>
        <v>9</v>
      </c>
      <c r="D4366" s="5">
        <f ca="1">IF(getQuality(B4366)&lt;4,getOtherMin(B4366,C4366,INDIRECT(J$2),INDIRECT(I4366),test),getMin(B4366,C4366,INDIRECT(J$2),INDIRECT(I4366),test))</f>
        <v>125.85135380491616</v>
      </c>
      <c r="E4366" s="5">
        <f ca="1">IF(getQuality(B4366)&lt;4,getOtherMax(B4366,C4366,INDIRECT(J$2),INDIRECT(I4366),test),getMax(B4366,C4366,INDIRECT(J$2),INDIRECT(I4366),test))</f>
        <v>169.16048810980774</v>
      </c>
      <c r="F4366" s="1" t="str">
        <f t="shared" si="275"/>
        <v>50</v>
      </c>
      <c r="G4366" s="1" t="str">
        <f t="shared" si="276"/>
        <v/>
      </c>
      <c r="I4366" s="1" t="str">
        <f t="shared" si="274"/>
        <v>威尔新数值1.06.xlsm!suitPower</v>
      </c>
    </row>
    <row r="4367" spans="1:9" x14ac:dyDescent="0.15">
      <c r="A4367" s="1">
        <v>4366</v>
      </c>
      <c r="B4367" s="1">
        <v>103051000</v>
      </c>
      <c r="C4367" s="1">
        <f t="shared" si="273"/>
        <v>10</v>
      </c>
      <c r="D4367" s="5">
        <f ca="1">IF(getQuality(B4367)&lt;4,getOtherMin(B4367,C4367,INDIRECT(J$2),INDIRECT(I4367),test),getMin(B4367,C4367,INDIRECT(J$2),INDIRECT(I4367),test))</f>
        <v>125.85135380491616</v>
      </c>
      <c r="E4367" s="5">
        <f ca="1">IF(getQuality(B4367)&lt;4,getOtherMax(B4367,C4367,INDIRECT(J$2),INDIRECT(I4367),test),getMax(B4367,C4367,INDIRECT(J$2),INDIRECT(I4367),test))</f>
        <v>169.16048810980774</v>
      </c>
      <c r="F4367" s="1" t="str">
        <f t="shared" si="275"/>
        <v>50</v>
      </c>
      <c r="G4367" s="1" t="str">
        <f t="shared" si="276"/>
        <v/>
      </c>
      <c r="I4367" s="1" t="str">
        <f t="shared" si="274"/>
        <v>威尔新数值1.06.xlsm!suitPower</v>
      </c>
    </row>
    <row r="4368" spans="1:9" x14ac:dyDescent="0.15">
      <c r="A4368" s="1">
        <v>4367</v>
      </c>
      <c r="B4368" s="1">
        <v>103051000</v>
      </c>
      <c r="C4368" s="1">
        <f t="shared" si="273"/>
        <v>11</v>
      </c>
      <c r="D4368" s="5">
        <f ca="1">IF(getQuality(B4368)&lt;4,getOtherMin(B4368,C4368,INDIRECT(J$2),INDIRECT(I4368),test),getMin(B4368,C4368,INDIRECT(J$2),INDIRECT(I4368),test))</f>
        <v>125.85135380491616</v>
      </c>
      <c r="E4368" s="5">
        <f ca="1">IF(getQuality(B4368)&lt;4,getOtherMax(B4368,C4368,INDIRECT(J$2),INDIRECT(I4368),test),getMax(B4368,C4368,INDIRECT(J$2),INDIRECT(I4368),test))</f>
        <v>169.16048810980774</v>
      </c>
      <c r="F4368" s="1" t="str">
        <f t="shared" si="275"/>
        <v>50</v>
      </c>
      <c r="G4368" s="1" t="str">
        <f t="shared" si="276"/>
        <v/>
      </c>
      <c r="I4368" s="1" t="str">
        <f t="shared" si="274"/>
        <v>威尔新数值1.06.xlsm!suitPower</v>
      </c>
    </row>
    <row r="4369" spans="1:9" x14ac:dyDescent="0.15">
      <c r="A4369" s="1">
        <v>4368</v>
      </c>
      <c r="B4369" s="1">
        <v>103051000</v>
      </c>
      <c r="C4369" s="1">
        <f t="shared" si="273"/>
        <v>12</v>
      </c>
      <c r="D4369" s="5">
        <f ca="1">IF(getQuality(B4369)&lt;4,getOtherMin(B4369,C4369,INDIRECT(J$2),INDIRECT(I4369),test),getMin(B4369,C4369,INDIRECT(J$2),INDIRECT(I4369),test))</f>
        <v>125.85135380491616</v>
      </c>
      <c r="E4369" s="5">
        <f ca="1">IF(getQuality(B4369)&lt;4,getOtherMax(B4369,C4369,INDIRECT(J$2),INDIRECT(I4369),test),getMax(B4369,C4369,INDIRECT(J$2),INDIRECT(I4369),test))</f>
        <v>169.16048810980774</v>
      </c>
      <c r="F4369" s="1" t="str">
        <f t="shared" si="275"/>
        <v>50</v>
      </c>
      <c r="G4369" s="1" t="str">
        <f t="shared" si="276"/>
        <v/>
      </c>
      <c r="I4369" s="1" t="str">
        <f t="shared" si="274"/>
        <v>威尔新数值1.06.xlsm!suitPower</v>
      </c>
    </row>
    <row r="4370" spans="1:9" x14ac:dyDescent="0.15">
      <c r="A4370" s="1">
        <v>4369</v>
      </c>
      <c r="B4370" s="1">
        <v>103051000</v>
      </c>
      <c r="C4370" s="1">
        <f t="shared" si="273"/>
        <v>13</v>
      </c>
      <c r="D4370" s="5">
        <f ca="1">IF(getQuality(B4370)&lt;4,getOtherMin(B4370,C4370,INDIRECT(J$2),INDIRECT(I4370),test),getMin(B4370,C4370,INDIRECT(J$2),INDIRECT(I4370),test))</f>
        <v>125.85135380491616</v>
      </c>
      <c r="E4370" s="5">
        <f ca="1">IF(getQuality(B4370)&lt;4,getOtherMax(B4370,C4370,INDIRECT(J$2),INDIRECT(I4370),test),getMax(B4370,C4370,INDIRECT(J$2),INDIRECT(I4370),test))</f>
        <v>169.16048810980774</v>
      </c>
      <c r="F4370" s="1" t="str">
        <f t="shared" si="275"/>
        <v>50</v>
      </c>
      <c r="G4370" s="1" t="str">
        <f t="shared" si="276"/>
        <v/>
      </c>
      <c r="I4370" s="1" t="str">
        <f t="shared" si="274"/>
        <v>威尔新数值1.06.xlsm!suitPower</v>
      </c>
    </row>
    <row r="4371" spans="1:9" x14ac:dyDescent="0.15">
      <c r="A4371" s="1">
        <v>4370</v>
      </c>
      <c r="B4371" s="1">
        <v>103051000</v>
      </c>
      <c r="C4371" s="1">
        <f t="shared" si="273"/>
        <v>14</v>
      </c>
      <c r="D4371" s="5">
        <f ca="1">IF(getQuality(B4371)&lt;4,getOtherMin(B4371,C4371,INDIRECT(J$2),INDIRECT(I4371),test),getMin(B4371,C4371,INDIRECT(J$2),INDIRECT(I4371),test))</f>
        <v>125.85135380491616</v>
      </c>
      <c r="E4371" s="5">
        <f ca="1">IF(getQuality(B4371)&lt;4,getOtherMax(B4371,C4371,INDIRECT(J$2),INDIRECT(I4371),test),getMax(B4371,C4371,INDIRECT(J$2),INDIRECT(I4371),test))</f>
        <v>169.16048810980774</v>
      </c>
      <c r="F4371" s="1" t="str">
        <f t="shared" si="275"/>
        <v>50</v>
      </c>
      <c r="G4371" s="1" t="str">
        <f t="shared" si="276"/>
        <v/>
      </c>
      <c r="I4371" s="1" t="str">
        <f t="shared" si="274"/>
        <v>威尔新数值1.06.xlsm!suitPower</v>
      </c>
    </row>
    <row r="4372" spans="1:9" x14ac:dyDescent="0.15">
      <c r="A4372" s="1">
        <v>4371</v>
      </c>
      <c r="B4372" s="1">
        <v>103051000</v>
      </c>
      <c r="C4372" s="1">
        <f t="shared" si="273"/>
        <v>15</v>
      </c>
      <c r="D4372" s="5">
        <f ca="1">IF(getQuality(B4372)&lt;4,getOtherMin(B4372,C4372,INDIRECT(J$2),INDIRECT(I4372),test),getMin(B4372,C4372,INDIRECT(J$2),INDIRECT(I4372),test))</f>
        <v>125.85135380491616</v>
      </c>
      <c r="E4372" s="5">
        <f ca="1">IF(getQuality(B4372)&lt;4,getOtherMax(B4372,C4372,INDIRECT(J$2),INDIRECT(I4372),test),getMax(B4372,C4372,INDIRECT(J$2),INDIRECT(I4372),test))</f>
        <v>169.16048810980774</v>
      </c>
      <c r="F4372" s="1" t="str">
        <f t="shared" si="275"/>
        <v>50</v>
      </c>
      <c r="G4372" s="1" t="str">
        <f t="shared" si="276"/>
        <v/>
      </c>
      <c r="I4372" s="1" t="str">
        <f t="shared" si="274"/>
        <v>威尔新数值1.06.xlsm!suitPower</v>
      </c>
    </row>
    <row r="4373" spans="1:9" x14ac:dyDescent="0.15">
      <c r="A4373" s="1">
        <v>4372</v>
      </c>
      <c r="B4373" s="1">
        <v>103051000</v>
      </c>
      <c r="C4373" s="1">
        <f t="shared" si="273"/>
        <v>101</v>
      </c>
      <c r="D4373" s="5">
        <f ca="1">IF(getQuality(B4373)&lt;4,getOtherMin(B4373,C4373,INDIRECT(J$2),INDIRECT(I4373),test),getMin(B4373,C4373,INDIRECT(J$2),INDIRECT(I4373),test))</f>
        <v>0.11</v>
      </c>
      <c r="E4373" s="5">
        <f ca="1">IF(getQuality(B4373)&lt;4,getOtherMax(B4373,C4373,INDIRECT(J$2),INDIRECT(I4373),test),getMax(B4373,C4373,INDIRECT(J$2),INDIRECT(I4373),test))</f>
        <v>0.14000000000000001</v>
      </c>
      <c r="F4373" s="1" t="str">
        <f t="shared" si="275"/>
        <v>50</v>
      </c>
      <c r="G4373" s="1" t="str">
        <f t="shared" si="276"/>
        <v/>
      </c>
      <c r="I4373" s="1" t="str">
        <f t="shared" si="274"/>
        <v>威尔新数值1.06.xlsm!circlePer</v>
      </c>
    </row>
    <row r="4374" spans="1:9" x14ac:dyDescent="0.15">
      <c r="A4374" s="1">
        <v>4373</v>
      </c>
      <c r="B4374" s="1">
        <v>103051000</v>
      </c>
      <c r="C4374" s="1">
        <f t="shared" si="273"/>
        <v>102</v>
      </c>
      <c r="D4374" s="5">
        <f ca="1">IF(getQuality(B4374)&lt;4,getOtherMin(B4374,C4374,INDIRECT(J$2),INDIRECT(I4374),test),getMin(B4374,C4374,INDIRECT(J$2),INDIRECT(I4374),test))</f>
        <v>1</v>
      </c>
      <c r="E4374" s="5">
        <f ca="1">IF(getQuality(B4374)&lt;4,getOtherMax(B4374,C4374,INDIRECT(J$2),INDIRECT(I4374),test),getMax(B4374,C4374,INDIRECT(J$2),INDIRECT(I4374),test))</f>
        <v>1.3</v>
      </c>
      <c r="F4374" s="1" t="str">
        <f t="shared" si="275"/>
        <v>50</v>
      </c>
      <c r="G4374" s="1" t="str">
        <f t="shared" si="276"/>
        <v/>
      </c>
      <c r="I4374" s="1" t="str">
        <f t="shared" si="274"/>
        <v>威尔新数值1.06.xlsm!circleValue</v>
      </c>
    </row>
    <row r="4375" spans="1:9" x14ac:dyDescent="0.15">
      <c r="A4375" s="1">
        <v>4374</v>
      </c>
      <c r="B4375" s="1">
        <v>103051000</v>
      </c>
      <c r="C4375" s="1">
        <f t="shared" si="273"/>
        <v>103</v>
      </c>
      <c r="D4375" s="5">
        <f ca="1">IF(getQuality(B4375)&lt;4,getOtherMin(B4375,C4375,INDIRECT(J$2),INDIRECT(I4375),test),getMin(B4375,C4375,INDIRECT(J$2),INDIRECT(I4375),test))</f>
        <v>0.11</v>
      </c>
      <c r="E4375" s="5">
        <f ca="1">IF(getQuality(B4375)&lt;4,getOtherMax(B4375,C4375,INDIRECT(J$2),INDIRECT(I4375),test),getMax(B4375,C4375,INDIRECT(J$2),INDIRECT(I4375),test))</f>
        <v>0.14000000000000001</v>
      </c>
      <c r="F4375" s="1" t="str">
        <f t="shared" si="275"/>
        <v>50</v>
      </c>
      <c r="G4375" s="1" t="str">
        <f t="shared" si="276"/>
        <v/>
      </c>
      <c r="I4375" s="1" t="str">
        <f t="shared" si="274"/>
        <v>威尔新数值1.06.xlsm!otherDamage</v>
      </c>
    </row>
    <row r="4376" spans="1:9" x14ac:dyDescent="0.15">
      <c r="A4376" s="1">
        <v>4375</v>
      </c>
      <c r="B4376" s="1">
        <v>103051000</v>
      </c>
      <c r="C4376" s="1">
        <f t="shared" si="273"/>
        <v>104</v>
      </c>
      <c r="D4376" s="5">
        <f ca="1">IF(getQuality(B4376)&lt;4,getOtherMin(B4376,C4376,INDIRECT(J$2),INDIRECT(I4376),test),getMin(B4376,C4376,INDIRECT(J$2),INDIRECT(I4376),test))</f>
        <v>0.11</v>
      </c>
      <c r="E4376" s="5">
        <f ca="1">IF(getQuality(B4376)&lt;4,getOtherMax(B4376,C4376,INDIRECT(J$2),INDIRECT(I4376),test),getMax(B4376,C4376,INDIRECT(J$2),INDIRECT(I4376),test))</f>
        <v>0.22</v>
      </c>
      <c r="F4376" s="1" t="str">
        <f t="shared" si="275"/>
        <v>50</v>
      </c>
      <c r="G4376" s="1" t="str">
        <f t="shared" si="276"/>
        <v/>
      </c>
      <c r="I4376" s="1" t="str">
        <f t="shared" si="274"/>
        <v>威尔新数值1.06.xlsm!monsterDamage</v>
      </c>
    </row>
    <row r="4377" spans="1:9" x14ac:dyDescent="0.15">
      <c r="A4377" s="1">
        <v>4376</v>
      </c>
      <c r="B4377" s="1">
        <v>103051000</v>
      </c>
      <c r="C4377" s="1">
        <f t="shared" si="273"/>
        <v>105</v>
      </c>
      <c r="D4377" s="5">
        <f ca="1">IF(getQuality(B4377)&lt;4,getOtherMin(B4377,C4377,INDIRECT(J$2),INDIRECT(I4377),test),getMin(B4377,C4377,INDIRECT(J$2),INDIRECT(I4377),test))</f>
        <v>0.11</v>
      </c>
      <c r="E4377" s="5">
        <f ca="1">IF(getQuality(B4377)&lt;4,getOtherMax(B4377,C4377,INDIRECT(J$2),INDIRECT(I4377),test),getMax(B4377,C4377,INDIRECT(J$2),INDIRECT(I4377),test))</f>
        <v>0.22</v>
      </c>
      <c r="F4377" s="1" t="str">
        <f t="shared" si="275"/>
        <v>50</v>
      </c>
      <c r="G4377" s="1" t="str">
        <f t="shared" si="276"/>
        <v/>
      </c>
      <c r="I4377" s="1" t="str">
        <f t="shared" si="274"/>
        <v>威尔新数值1.06.xlsm!monsterDamage</v>
      </c>
    </row>
    <row r="4378" spans="1:9" x14ac:dyDescent="0.15">
      <c r="A4378" s="1">
        <v>4377</v>
      </c>
      <c r="B4378" s="1">
        <v>103051000</v>
      </c>
      <c r="C4378" s="1">
        <f t="shared" si="273"/>
        <v>106</v>
      </c>
      <c r="D4378" s="5">
        <f ca="1">IF(getQuality(B4378)&lt;4,getOtherMin(B4378,C4378,INDIRECT(J$2),INDIRECT(I4378),test),getMin(B4378,C4378,INDIRECT(J$2),INDIRECT(I4378),test))</f>
        <v>0.11</v>
      </c>
      <c r="E4378" s="5">
        <f ca="1">IF(getQuality(B4378)&lt;4,getOtherMax(B4378,C4378,INDIRECT(J$2),INDIRECT(I4378),test),getMax(B4378,C4378,INDIRECT(J$2),INDIRECT(I4378),test))</f>
        <v>0.22</v>
      </c>
      <c r="F4378" s="1" t="str">
        <f t="shared" si="275"/>
        <v>50</v>
      </c>
      <c r="G4378" s="1" t="str">
        <f t="shared" si="276"/>
        <v/>
      </c>
      <c r="I4378" s="1" t="str">
        <f t="shared" si="274"/>
        <v>威尔新数值1.06.xlsm!monsterDamage</v>
      </c>
    </row>
    <row r="4379" spans="1:9" x14ac:dyDescent="0.15">
      <c r="A4379" s="1">
        <v>4378</v>
      </c>
      <c r="B4379" s="1">
        <v>103051000</v>
      </c>
      <c r="C4379" s="1">
        <f t="shared" si="273"/>
        <v>107</v>
      </c>
      <c r="D4379" s="5">
        <f ca="1">IF(getQuality(B4379)&lt;4,getOtherMin(B4379,C4379,INDIRECT(J$2),INDIRECT(I4379),test),getMin(B4379,C4379,INDIRECT(J$2),INDIRECT(I4379),test))</f>
        <v>0.11</v>
      </c>
      <c r="E4379" s="5">
        <f ca="1">IF(getQuality(B4379)&lt;4,getOtherMax(B4379,C4379,INDIRECT(J$2),INDIRECT(I4379),test),getMax(B4379,C4379,INDIRECT(J$2),INDIRECT(I4379),test))</f>
        <v>0.22</v>
      </c>
      <c r="F4379" s="1" t="str">
        <f t="shared" si="275"/>
        <v>50</v>
      </c>
      <c r="G4379" s="1" t="str">
        <f t="shared" si="276"/>
        <v/>
      </c>
      <c r="I4379" s="1" t="str">
        <f t="shared" si="274"/>
        <v>威尔新数值1.06.xlsm!monsterDamage</v>
      </c>
    </row>
    <row r="4380" spans="1:9" x14ac:dyDescent="0.15">
      <c r="A4380" s="1">
        <v>4379</v>
      </c>
      <c r="B4380" s="1">
        <v>103051000</v>
      </c>
      <c r="C4380" s="1">
        <f t="shared" si="273"/>
        <v>108</v>
      </c>
      <c r="D4380" s="5">
        <f ca="1">IF(getQuality(B4380)&lt;4,getOtherMin(B4380,C4380,INDIRECT(J$2),INDIRECT(I4380),test),getMin(B4380,C4380,INDIRECT(J$2),INDIRECT(I4380),test))</f>
        <v>0.11</v>
      </c>
      <c r="E4380" s="5">
        <f ca="1">IF(getQuality(B4380)&lt;4,getOtherMax(B4380,C4380,INDIRECT(J$2),INDIRECT(I4380),test),getMax(B4380,C4380,INDIRECT(J$2),INDIRECT(I4380),test))</f>
        <v>0.22</v>
      </c>
      <c r="F4380" s="1" t="str">
        <f t="shared" si="275"/>
        <v>50</v>
      </c>
      <c r="G4380" s="1" t="str">
        <f t="shared" si="276"/>
        <v/>
      </c>
      <c r="I4380" s="1" t="str">
        <f t="shared" si="274"/>
        <v>威尔新数值1.06.xlsm!monsterDamage</v>
      </c>
    </row>
    <row r="4381" spans="1:9" x14ac:dyDescent="0.15">
      <c r="A4381" s="1">
        <v>4380</v>
      </c>
      <c r="B4381" s="1">
        <v>103061000</v>
      </c>
      <c r="C4381" s="1">
        <f t="shared" si="273"/>
        <v>3</v>
      </c>
      <c r="D4381" s="5">
        <f ca="1">IF(getQuality(B4381)&lt;4,getOtherMin(B4381,C4381,INDIRECT(J$2),INDIRECT(I4381),test),getMin(B4381,C4381,INDIRECT(J$2),INDIRECT(I4381),test))</f>
        <v>170.16048810980774</v>
      </c>
      <c r="E4381" s="5">
        <f ca="1">IF(getQuality(B4381)&lt;4,getOtherMax(B4381,C4381,INDIRECT(J$2),INDIRECT(I4381),test),getMax(B4381,C4381,INDIRECT(J$2),INDIRECT(I4381),test))</f>
        <v>217.39851117079806</v>
      </c>
      <c r="F4381" s="1" t="str">
        <f t="shared" si="275"/>
        <v>50</v>
      </c>
      <c r="G4381" s="1" t="str">
        <f t="shared" si="276"/>
        <v>1</v>
      </c>
      <c r="I4381" s="1" t="str">
        <f t="shared" si="274"/>
        <v>威尔新数值1.06.xlsm!suitPower</v>
      </c>
    </row>
    <row r="4382" spans="1:9" x14ac:dyDescent="0.15">
      <c r="A4382" s="1">
        <v>4381</v>
      </c>
      <c r="B4382" s="1">
        <v>103061000</v>
      </c>
      <c r="C4382" s="1">
        <f t="shared" si="273"/>
        <v>5</v>
      </c>
      <c r="D4382" s="5">
        <f ca="1">IF(getQuality(B4382)&lt;4,getOtherMin(B4382,C4382,INDIRECT(J$2),INDIRECT(I4382),test),getMin(B4382,C4382,INDIRECT(J$2),INDIRECT(I4382),test))</f>
        <v>170.16048810980774</v>
      </c>
      <c r="E4382" s="5">
        <f ca="1">IF(getQuality(B4382)&lt;4,getOtherMax(B4382,C4382,INDIRECT(J$2),INDIRECT(I4382),test),getMax(B4382,C4382,INDIRECT(J$2),INDIRECT(I4382),test))</f>
        <v>217.39851117079806</v>
      </c>
      <c r="F4382" s="1" t="str">
        <f t="shared" si="275"/>
        <v>50</v>
      </c>
      <c r="G4382" s="1" t="str">
        <f t="shared" si="276"/>
        <v/>
      </c>
      <c r="I4382" s="1" t="str">
        <f t="shared" si="274"/>
        <v>威尔新数值1.06.xlsm!suitPower</v>
      </c>
    </row>
    <row r="4383" spans="1:9" x14ac:dyDescent="0.15">
      <c r="A4383" s="1">
        <v>4382</v>
      </c>
      <c r="B4383" s="1">
        <v>103061000</v>
      </c>
      <c r="C4383" s="1">
        <f t="shared" si="273"/>
        <v>7</v>
      </c>
      <c r="D4383" s="5">
        <f ca="1">IF(getQuality(B4383)&lt;4,getOtherMin(B4383,C4383,INDIRECT(J$2),INDIRECT(I4383),test),getMin(B4383,C4383,INDIRECT(J$2),INDIRECT(I4383),test))</f>
        <v>38.037037037036946</v>
      </c>
      <c r="E4383" s="5">
        <f ca="1">IF(getQuality(B4383)&lt;4,getOtherMax(B4383,C4383,INDIRECT(J$2),INDIRECT(I4383),test),getMax(B4383,C4383,INDIRECT(J$2),INDIRECT(I4383),test))</f>
        <v>44.444444444444329</v>
      </c>
      <c r="F4383" s="1" t="str">
        <f t="shared" si="275"/>
        <v>50</v>
      </c>
      <c r="G4383" s="1" t="str">
        <f t="shared" si="276"/>
        <v/>
      </c>
      <c r="I4383" s="1" t="str">
        <f t="shared" si="274"/>
        <v>威尔新数值1.06.xlsm!suitPower</v>
      </c>
    </row>
    <row r="4384" spans="1:9" x14ac:dyDescent="0.15">
      <c r="A4384" s="1">
        <v>4383</v>
      </c>
      <c r="B4384" s="1">
        <v>103061000</v>
      </c>
      <c r="C4384" s="1">
        <f t="shared" si="273"/>
        <v>8</v>
      </c>
      <c r="D4384" s="5">
        <f ca="1">IF(getQuality(B4384)&lt;4,getOtherMin(B4384,C4384,INDIRECT(J$2),INDIRECT(I4384),test),getMin(B4384,C4384,INDIRECT(J$2),INDIRECT(I4384),test))</f>
        <v>84.333333333333329</v>
      </c>
      <c r="E4384" s="5">
        <f ca="1">IF(getQuality(B4384)&lt;4,getOtherMax(B4384,C4384,INDIRECT(J$2),INDIRECT(I4384),test),getMax(B4384,C4384,INDIRECT(J$2),INDIRECT(I4384),test))</f>
        <v>100</v>
      </c>
      <c r="F4384" s="1" t="str">
        <f t="shared" si="275"/>
        <v>50</v>
      </c>
      <c r="G4384" s="1" t="str">
        <f t="shared" si="276"/>
        <v/>
      </c>
      <c r="I4384" s="1" t="str">
        <f t="shared" si="274"/>
        <v>威尔新数值1.06.xlsm!suitPower</v>
      </c>
    </row>
    <row r="4385" spans="1:9" x14ac:dyDescent="0.15">
      <c r="A4385" s="1">
        <v>4384</v>
      </c>
      <c r="B4385" s="1">
        <v>103061000</v>
      </c>
      <c r="C4385" s="1">
        <f t="shared" si="273"/>
        <v>9</v>
      </c>
      <c r="D4385" s="5">
        <f ca="1">IF(getQuality(B4385)&lt;4,getOtherMin(B4385,C4385,INDIRECT(J$2),INDIRECT(I4385),test),getMin(B4385,C4385,INDIRECT(J$2),INDIRECT(I4385),test))</f>
        <v>170.16048810980774</v>
      </c>
      <c r="E4385" s="5">
        <f ca="1">IF(getQuality(B4385)&lt;4,getOtherMax(B4385,C4385,INDIRECT(J$2),INDIRECT(I4385),test),getMax(B4385,C4385,INDIRECT(J$2),INDIRECT(I4385),test))</f>
        <v>217.39851117079806</v>
      </c>
      <c r="F4385" s="1" t="str">
        <f t="shared" si="275"/>
        <v>50</v>
      </c>
      <c r="G4385" s="1" t="str">
        <f t="shared" si="276"/>
        <v/>
      </c>
      <c r="I4385" s="1" t="str">
        <f t="shared" si="274"/>
        <v>威尔新数值1.06.xlsm!suitPower</v>
      </c>
    </row>
    <row r="4386" spans="1:9" x14ac:dyDescent="0.15">
      <c r="A4386" s="1">
        <v>4385</v>
      </c>
      <c r="B4386" s="1">
        <v>103061000</v>
      </c>
      <c r="C4386" s="1">
        <f t="shared" si="273"/>
        <v>10</v>
      </c>
      <c r="D4386" s="5">
        <f ca="1">IF(getQuality(B4386)&lt;4,getOtherMin(B4386,C4386,INDIRECT(J$2),INDIRECT(I4386),test),getMin(B4386,C4386,INDIRECT(J$2),INDIRECT(I4386),test))</f>
        <v>170.16048810980774</v>
      </c>
      <c r="E4386" s="5">
        <f ca="1">IF(getQuality(B4386)&lt;4,getOtherMax(B4386,C4386,INDIRECT(J$2),INDIRECT(I4386),test),getMax(B4386,C4386,INDIRECT(J$2),INDIRECT(I4386),test))</f>
        <v>217.39851117079806</v>
      </c>
      <c r="F4386" s="1" t="str">
        <f t="shared" si="275"/>
        <v>50</v>
      </c>
      <c r="G4386" s="1" t="str">
        <f t="shared" si="276"/>
        <v/>
      </c>
      <c r="I4386" s="1" t="str">
        <f t="shared" si="274"/>
        <v>威尔新数值1.06.xlsm!suitPower</v>
      </c>
    </row>
    <row r="4387" spans="1:9" x14ac:dyDescent="0.15">
      <c r="A4387" s="1">
        <v>4386</v>
      </c>
      <c r="B4387" s="1">
        <v>103061000</v>
      </c>
      <c r="C4387" s="1">
        <f t="shared" si="273"/>
        <v>11</v>
      </c>
      <c r="D4387" s="5">
        <f ca="1">IF(getQuality(B4387)&lt;4,getOtherMin(B4387,C4387,INDIRECT(J$2),INDIRECT(I4387),test),getMin(B4387,C4387,INDIRECT(J$2),INDIRECT(I4387),test))</f>
        <v>170.16048810980774</v>
      </c>
      <c r="E4387" s="5">
        <f ca="1">IF(getQuality(B4387)&lt;4,getOtherMax(B4387,C4387,INDIRECT(J$2),INDIRECT(I4387),test),getMax(B4387,C4387,INDIRECT(J$2),INDIRECT(I4387),test))</f>
        <v>217.39851117079806</v>
      </c>
      <c r="F4387" s="1" t="str">
        <f t="shared" si="275"/>
        <v>50</v>
      </c>
      <c r="G4387" s="1" t="str">
        <f t="shared" si="276"/>
        <v/>
      </c>
      <c r="I4387" s="1" t="str">
        <f t="shared" si="274"/>
        <v>威尔新数值1.06.xlsm!suitPower</v>
      </c>
    </row>
    <row r="4388" spans="1:9" x14ac:dyDescent="0.15">
      <c r="A4388" s="1">
        <v>4387</v>
      </c>
      <c r="B4388" s="1">
        <v>103061000</v>
      </c>
      <c r="C4388" s="1">
        <f t="shared" si="273"/>
        <v>12</v>
      </c>
      <c r="D4388" s="5">
        <f ca="1">IF(getQuality(B4388)&lt;4,getOtherMin(B4388,C4388,INDIRECT(J$2),INDIRECT(I4388),test),getMin(B4388,C4388,INDIRECT(J$2),INDIRECT(I4388),test))</f>
        <v>170.16048810980774</v>
      </c>
      <c r="E4388" s="5">
        <f ca="1">IF(getQuality(B4388)&lt;4,getOtherMax(B4388,C4388,INDIRECT(J$2),INDIRECT(I4388),test),getMax(B4388,C4388,INDIRECT(J$2),INDIRECT(I4388),test))</f>
        <v>217.39851117079806</v>
      </c>
      <c r="F4388" s="1" t="str">
        <f t="shared" si="275"/>
        <v>50</v>
      </c>
      <c r="G4388" s="1" t="str">
        <f t="shared" si="276"/>
        <v/>
      </c>
      <c r="I4388" s="1" t="str">
        <f t="shared" si="274"/>
        <v>威尔新数值1.06.xlsm!suitPower</v>
      </c>
    </row>
    <row r="4389" spans="1:9" x14ac:dyDescent="0.15">
      <c r="A4389" s="1">
        <v>4388</v>
      </c>
      <c r="B4389" s="1">
        <v>103061000</v>
      </c>
      <c r="C4389" s="1">
        <f t="shared" si="273"/>
        <v>13</v>
      </c>
      <c r="D4389" s="5">
        <f ca="1">IF(getQuality(B4389)&lt;4,getOtherMin(B4389,C4389,INDIRECT(J$2),INDIRECT(I4389),test),getMin(B4389,C4389,INDIRECT(J$2),INDIRECT(I4389),test))</f>
        <v>170.16048810980774</v>
      </c>
      <c r="E4389" s="5">
        <f ca="1">IF(getQuality(B4389)&lt;4,getOtherMax(B4389,C4389,INDIRECT(J$2),INDIRECT(I4389),test),getMax(B4389,C4389,INDIRECT(J$2),INDIRECT(I4389),test))</f>
        <v>217.39851117079806</v>
      </c>
      <c r="F4389" s="1" t="str">
        <f t="shared" si="275"/>
        <v>50</v>
      </c>
      <c r="G4389" s="1" t="str">
        <f t="shared" si="276"/>
        <v/>
      </c>
      <c r="I4389" s="1" t="str">
        <f t="shared" si="274"/>
        <v>威尔新数值1.06.xlsm!suitPower</v>
      </c>
    </row>
    <row r="4390" spans="1:9" x14ac:dyDescent="0.15">
      <c r="A4390" s="1">
        <v>4389</v>
      </c>
      <c r="B4390" s="1">
        <v>103061000</v>
      </c>
      <c r="C4390" s="1">
        <f t="shared" si="273"/>
        <v>14</v>
      </c>
      <c r="D4390" s="5">
        <f ca="1">IF(getQuality(B4390)&lt;4,getOtherMin(B4390,C4390,INDIRECT(J$2),INDIRECT(I4390),test),getMin(B4390,C4390,INDIRECT(J$2),INDIRECT(I4390),test))</f>
        <v>170.16048810980774</v>
      </c>
      <c r="E4390" s="5">
        <f ca="1">IF(getQuality(B4390)&lt;4,getOtherMax(B4390,C4390,INDIRECT(J$2),INDIRECT(I4390),test),getMax(B4390,C4390,INDIRECT(J$2),INDIRECT(I4390),test))</f>
        <v>217.39851117079806</v>
      </c>
      <c r="F4390" s="1" t="str">
        <f t="shared" si="275"/>
        <v>50</v>
      </c>
      <c r="G4390" s="1" t="str">
        <f t="shared" si="276"/>
        <v/>
      </c>
      <c r="I4390" s="1" t="str">
        <f t="shared" si="274"/>
        <v>威尔新数值1.06.xlsm!suitPower</v>
      </c>
    </row>
    <row r="4391" spans="1:9" x14ac:dyDescent="0.15">
      <c r="A4391" s="1">
        <v>4390</v>
      </c>
      <c r="B4391" s="1">
        <v>103061000</v>
      </c>
      <c r="C4391" s="1">
        <f t="shared" si="273"/>
        <v>15</v>
      </c>
      <c r="D4391" s="5">
        <f ca="1">IF(getQuality(B4391)&lt;4,getOtherMin(B4391,C4391,INDIRECT(J$2),INDIRECT(I4391),test),getMin(B4391,C4391,INDIRECT(J$2),INDIRECT(I4391),test))</f>
        <v>170.16048810980774</v>
      </c>
      <c r="E4391" s="5">
        <f ca="1">IF(getQuality(B4391)&lt;4,getOtherMax(B4391,C4391,INDIRECT(J$2),INDIRECT(I4391),test),getMax(B4391,C4391,INDIRECT(J$2),INDIRECT(I4391),test))</f>
        <v>217.39851117079806</v>
      </c>
      <c r="F4391" s="1" t="str">
        <f t="shared" si="275"/>
        <v>50</v>
      </c>
      <c r="G4391" s="1" t="str">
        <f t="shared" si="276"/>
        <v/>
      </c>
      <c r="I4391" s="1" t="str">
        <f t="shared" si="274"/>
        <v>威尔新数值1.06.xlsm!suitPower</v>
      </c>
    </row>
    <row r="4392" spans="1:9" x14ac:dyDescent="0.15">
      <c r="A4392" s="1">
        <v>4391</v>
      </c>
      <c r="B4392" s="1">
        <v>103061000</v>
      </c>
      <c r="C4392" s="1">
        <f t="shared" si="273"/>
        <v>101</v>
      </c>
      <c r="D4392" s="5">
        <f ca="1">IF(getQuality(B4392)&lt;4,getOtherMin(B4392,C4392,INDIRECT(J$2),INDIRECT(I4392),test),getMin(B4392,C4392,INDIRECT(J$2),INDIRECT(I4392),test))</f>
        <v>0.12</v>
      </c>
      <c r="E4392" s="5">
        <f ca="1">IF(getQuality(B4392)&lt;4,getOtherMax(B4392,C4392,INDIRECT(J$2),INDIRECT(I4392),test),getMax(B4392,C4392,INDIRECT(J$2),INDIRECT(I4392),test))</f>
        <v>0.15</v>
      </c>
      <c r="F4392" s="1" t="str">
        <f t="shared" si="275"/>
        <v>50</v>
      </c>
      <c r="G4392" s="1" t="str">
        <f t="shared" si="276"/>
        <v/>
      </c>
      <c r="I4392" s="1" t="str">
        <f t="shared" si="274"/>
        <v>威尔新数值1.06.xlsm!circlePer</v>
      </c>
    </row>
    <row r="4393" spans="1:9" x14ac:dyDescent="0.15">
      <c r="A4393" s="1">
        <v>4392</v>
      </c>
      <c r="B4393" s="1">
        <v>103061000</v>
      </c>
      <c r="C4393" s="1">
        <f t="shared" si="273"/>
        <v>102</v>
      </c>
      <c r="D4393" s="5">
        <f ca="1">IF(getQuality(B4393)&lt;4,getOtherMin(B4393,C4393,INDIRECT(J$2),INDIRECT(I4393),test),getMin(B4393,C4393,INDIRECT(J$2),INDIRECT(I4393),test))</f>
        <v>1.1000000000000001</v>
      </c>
      <c r="E4393" s="5">
        <f ca="1">IF(getQuality(B4393)&lt;4,getOtherMax(B4393,C4393,INDIRECT(J$2),INDIRECT(I4393),test),getMax(B4393,C4393,INDIRECT(J$2),INDIRECT(I4393),test))</f>
        <v>1.4</v>
      </c>
      <c r="F4393" s="1" t="str">
        <f t="shared" si="275"/>
        <v>50</v>
      </c>
      <c r="G4393" s="1" t="str">
        <f t="shared" si="276"/>
        <v/>
      </c>
      <c r="I4393" s="1" t="str">
        <f t="shared" si="274"/>
        <v>威尔新数值1.06.xlsm!circleValue</v>
      </c>
    </row>
    <row r="4394" spans="1:9" x14ac:dyDescent="0.15">
      <c r="A4394" s="1">
        <v>4393</v>
      </c>
      <c r="B4394" s="1">
        <v>103061000</v>
      </c>
      <c r="C4394" s="1">
        <f t="shared" si="273"/>
        <v>103</v>
      </c>
      <c r="D4394" s="5">
        <f ca="1">IF(getQuality(B4394)&lt;4,getOtherMin(B4394,C4394,INDIRECT(J$2),INDIRECT(I4394),test),getMin(B4394,C4394,INDIRECT(J$2),INDIRECT(I4394),test))</f>
        <v>0.12</v>
      </c>
      <c r="E4394" s="5">
        <f ca="1">IF(getQuality(B4394)&lt;4,getOtherMax(B4394,C4394,INDIRECT(J$2),INDIRECT(I4394),test),getMax(B4394,C4394,INDIRECT(J$2),INDIRECT(I4394),test))</f>
        <v>0.15</v>
      </c>
      <c r="F4394" s="1" t="str">
        <f t="shared" si="275"/>
        <v>50</v>
      </c>
      <c r="G4394" s="1" t="str">
        <f t="shared" si="276"/>
        <v/>
      </c>
      <c r="I4394" s="1" t="str">
        <f t="shared" si="274"/>
        <v>威尔新数值1.06.xlsm!otherDamage</v>
      </c>
    </row>
    <row r="4395" spans="1:9" x14ac:dyDescent="0.15">
      <c r="A4395" s="1">
        <v>4394</v>
      </c>
      <c r="B4395" s="1">
        <v>103061000</v>
      </c>
      <c r="C4395" s="1">
        <f t="shared" si="273"/>
        <v>104</v>
      </c>
      <c r="D4395" s="5">
        <f ca="1">IF(getQuality(B4395)&lt;4,getOtherMin(B4395,C4395,INDIRECT(J$2),INDIRECT(I4395),test),getMin(B4395,C4395,INDIRECT(J$2),INDIRECT(I4395),test))</f>
        <v>0.12</v>
      </c>
      <c r="E4395" s="5">
        <f ca="1">IF(getQuality(B4395)&lt;4,getOtherMax(B4395,C4395,INDIRECT(J$2),INDIRECT(I4395),test),getMax(B4395,C4395,INDIRECT(J$2),INDIRECT(I4395),test))</f>
        <v>0.24</v>
      </c>
      <c r="F4395" s="1" t="str">
        <f t="shared" si="275"/>
        <v>50</v>
      </c>
      <c r="G4395" s="1" t="str">
        <f t="shared" si="276"/>
        <v/>
      </c>
      <c r="I4395" s="1" t="str">
        <f t="shared" si="274"/>
        <v>威尔新数值1.06.xlsm!monsterDamage</v>
      </c>
    </row>
    <row r="4396" spans="1:9" x14ac:dyDescent="0.15">
      <c r="A4396" s="1">
        <v>4395</v>
      </c>
      <c r="B4396" s="1">
        <v>103061000</v>
      </c>
      <c r="C4396" s="1">
        <f t="shared" si="273"/>
        <v>105</v>
      </c>
      <c r="D4396" s="5">
        <f ca="1">IF(getQuality(B4396)&lt;4,getOtherMin(B4396,C4396,INDIRECT(J$2),INDIRECT(I4396),test),getMin(B4396,C4396,INDIRECT(J$2),INDIRECT(I4396),test))</f>
        <v>0.12</v>
      </c>
      <c r="E4396" s="5">
        <f ca="1">IF(getQuality(B4396)&lt;4,getOtherMax(B4396,C4396,INDIRECT(J$2),INDIRECT(I4396),test),getMax(B4396,C4396,INDIRECT(J$2),INDIRECT(I4396),test))</f>
        <v>0.24</v>
      </c>
      <c r="F4396" s="1" t="str">
        <f t="shared" si="275"/>
        <v>50</v>
      </c>
      <c r="G4396" s="1" t="str">
        <f t="shared" si="276"/>
        <v/>
      </c>
      <c r="I4396" s="1" t="str">
        <f t="shared" si="274"/>
        <v>威尔新数值1.06.xlsm!monsterDamage</v>
      </c>
    </row>
    <row r="4397" spans="1:9" x14ac:dyDescent="0.15">
      <c r="A4397" s="1">
        <v>4396</v>
      </c>
      <c r="B4397" s="1">
        <v>103061000</v>
      </c>
      <c r="C4397" s="1">
        <f t="shared" si="273"/>
        <v>106</v>
      </c>
      <c r="D4397" s="5">
        <f ca="1">IF(getQuality(B4397)&lt;4,getOtherMin(B4397,C4397,INDIRECT(J$2),INDIRECT(I4397),test),getMin(B4397,C4397,INDIRECT(J$2),INDIRECT(I4397),test))</f>
        <v>0.12</v>
      </c>
      <c r="E4397" s="5">
        <f ca="1">IF(getQuality(B4397)&lt;4,getOtherMax(B4397,C4397,INDIRECT(J$2),INDIRECT(I4397),test),getMax(B4397,C4397,INDIRECT(J$2),INDIRECT(I4397),test))</f>
        <v>0.24</v>
      </c>
      <c r="F4397" s="1" t="str">
        <f t="shared" si="275"/>
        <v>50</v>
      </c>
      <c r="G4397" s="1" t="str">
        <f t="shared" si="276"/>
        <v/>
      </c>
      <c r="I4397" s="1" t="str">
        <f t="shared" si="274"/>
        <v>威尔新数值1.06.xlsm!monsterDamage</v>
      </c>
    </row>
    <row r="4398" spans="1:9" x14ac:dyDescent="0.15">
      <c r="A4398" s="1">
        <v>4397</v>
      </c>
      <c r="B4398" s="1">
        <v>103061000</v>
      </c>
      <c r="C4398" s="1">
        <f t="shared" si="273"/>
        <v>107</v>
      </c>
      <c r="D4398" s="5">
        <f ca="1">IF(getQuality(B4398)&lt;4,getOtherMin(B4398,C4398,INDIRECT(J$2),INDIRECT(I4398),test),getMin(B4398,C4398,INDIRECT(J$2),INDIRECT(I4398),test))</f>
        <v>0.12</v>
      </c>
      <c r="E4398" s="5">
        <f ca="1">IF(getQuality(B4398)&lt;4,getOtherMax(B4398,C4398,INDIRECT(J$2),INDIRECT(I4398),test),getMax(B4398,C4398,INDIRECT(J$2),INDIRECT(I4398),test))</f>
        <v>0.24</v>
      </c>
      <c r="F4398" s="1" t="str">
        <f t="shared" si="275"/>
        <v>50</v>
      </c>
      <c r="G4398" s="1" t="str">
        <f t="shared" si="276"/>
        <v/>
      </c>
      <c r="I4398" s="1" t="str">
        <f t="shared" si="274"/>
        <v>威尔新数值1.06.xlsm!monsterDamage</v>
      </c>
    </row>
    <row r="4399" spans="1:9" x14ac:dyDescent="0.15">
      <c r="A4399" s="1">
        <v>4398</v>
      </c>
      <c r="B4399" s="1">
        <v>103061000</v>
      </c>
      <c r="C4399" s="1">
        <f t="shared" si="273"/>
        <v>108</v>
      </c>
      <c r="D4399" s="5">
        <f ca="1">IF(getQuality(B4399)&lt;4,getOtherMin(B4399,C4399,INDIRECT(J$2),INDIRECT(I4399),test),getMin(B4399,C4399,INDIRECT(J$2),INDIRECT(I4399),test))</f>
        <v>0.12</v>
      </c>
      <c r="E4399" s="5">
        <f ca="1">IF(getQuality(B4399)&lt;4,getOtherMax(B4399,C4399,INDIRECT(J$2),INDIRECT(I4399),test),getMax(B4399,C4399,INDIRECT(J$2),INDIRECT(I4399),test))</f>
        <v>0.24</v>
      </c>
      <c r="F4399" s="1" t="str">
        <f t="shared" si="275"/>
        <v>50</v>
      </c>
      <c r="G4399" s="1" t="str">
        <f t="shared" si="276"/>
        <v/>
      </c>
      <c r="I4399" s="1" t="str">
        <f t="shared" si="274"/>
        <v>威尔新数值1.06.xlsm!monsterDamage</v>
      </c>
    </row>
    <row r="4400" spans="1:9" x14ac:dyDescent="0.15">
      <c r="A4400" s="1">
        <v>4399</v>
      </c>
      <c r="B4400" s="1">
        <v>103071000</v>
      </c>
      <c r="C4400" s="1">
        <f t="shared" si="273"/>
        <v>3</v>
      </c>
      <c r="D4400" s="5">
        <f ca="1">IF(getQuality(B4400)&lt;4,getOtherMin(B4400,C4400,INDIRECT(J$2),INDIRECT(I4400),test),getMin(B4400,C4400,INDIRECT(J$2),INDIRECT(I4400),test))</f>
        <v>218.39851117079806</v>
      </c>
      <c r="E4400" s="5">
        <f ca="1">IF(getQuality(B4400)&lt;4,getOtherMax(B4400,C4400,INDIRECT(J$2),INDIRECT(I4400),test),getMax(B4400,C4400,INDIRECT(J$2),INDIRECT(I4400),test))</f>
        <v>270.43850937813136</v>
      </c>
      <c r="F4400" s="1" t="str">
        <f t="shared" si="275"/>
        <v>50</v>
      </c>
      <c r="G4400" s="1" t="str">
        <f t="shared" si="276"/>
        <v>1</v>
      </c>
      <c r="I4400" s="1" t="str">
        <f t="shared" si="274"/>
        <v>威尔新数值1.06.xlsm!suitPower</v>
      </c>
    </row>
    <row r="4401" spans="1:9" x14ac:dyDescent="0.15">
      <c r="A4401" s="1">
        <v>4400</v>
      </c>
      <c r="B4401" s="1">
        <v>103071000</v>
      </c>
      <c r="C4401" s="1">
        <f t="shared" si="273"/>
        <v>5</v>
      </c>
      <c r="D4401" s="5">
        <f ca="1">IF(getQuality(B4401)&lt;4,getOtherMin(B4401,C4401,INDIRECT(J$2),INDIRECT(I4401),test),getMin(B4401,C4401,INDIRECT(J$2),INDIRECT(I4401),test))</f>
        <v>218.39851117079806</v>
      </c>
      <c r="E4401" s="5">
        <f ca="1">IF(getQuality(B4401)&lt;4,getOtherMax(B4401,C4401,INDIRECT(J$2),INDIRECT(I4401),test),getMax(B4401,C4401,INDIRECT(J$2),INDIRECT(I4401),test))</f>
        <v>270.43850937813136</v>
      </c>
      <c r="F4401" s="1" t="str">
        <f t="shared" si="275"/>
        <v>50</v>
      </c>
      <c r="G4401" s="1" t="str">
        <f t="shared" si="276"/>
        <v/>
      </c>
      <c r="I4401" s="1" t="str">
        <f t="shared" si="274"/>
        <v>威尔新数值1.06.xlsm!suitPower</v>
      </c>
    </row>
    <row r="4402" spans="1:9" x14ac:dyDescent="0.15">
      <c r="A4402" s="1">
        <v>4401</v>
      </c>
      <c r="B4402" s="1">
        <v>103071000</v>
      </c>
      <c r="C4402" s="1">
        <f t="shared" si="273"/>
        <v>7</v>
      </c>
      <c r="D4402" s="5">
        <f ca="1">IF(getQuality(B4402)&lt;4,getOtherMin(B4402,C4402,INDIRECT(J$2),INDIRECT(I4402),test),getMin(B4402,C4402,INDIRECT(J$2),INDIRECT(I4402),test))</f>
        <v>45.444444444444329</v>
      </c>
      <c r="E4402" s="5">
        <f ca="1">IF(getQuality(B4402)&lt;4,getOtherMax(B4402,C4402,INDIRECT(J$2),INDIRECT(I4402),test),getMax(B4402,C4402,INDIRECT(J$2),INDIRECT(I4402),test))</f>
        <v>51.85185185185172</v>
      </c>
      <c r="F4402" s="1" t="str">
        <f t="shared" si="275"/>
        <v>50</v>
      </c>
      <c r="G4402" s="1" t="str">
        <f t="shared" si="276"/>
        <v/>
      </c>
      <c r="I4402" s="1" t="str">
        <f t="shared" si="274"/>
        <v>威尔新数值1.06.xlsm!suitPower</v>
      </c>
    </row>
    <row r="4403" spans="1:9" x14ac:dyDescent="0.15">
      <c r="A4403" s="1">
        <v>4402</v>
      </c>
      <c r="B4403" s="1">
        <v>103071000</v>
      </c>
      <c r="C4403" s="1">
        <f t="shared" si="273"/>
        <v>8</v>
      </c>
      <c r="D4403" s="5">
        <f ca="1">IF(getQuality(B4403)&lt;4,getOtherMin(B4403,C4403,INDIRECT(J$2),INDIRECT(I4403),test),getMin(B4403,C4403,INDIRECT(J$2),INDIRECT(I4403),test))</f>
        <v>101</v>
      </c>
      <c r="E4403" s="5">
        <f ca="1">IF(getQuality(B4403)&lt;4,getOtherMax(B4403,C4403,INDIRECT(J$2),INDIRECT(I4403),test),getMax(B4403,C4403,INDIRECT(J$2),INDIRECT(I4403),test))</f>
        <v>116.66666666666667</v>
      </c>
      <c r="F4403" s="1" t="str">
        <f t="shared" si="275"/>
        <v>50</v>
      </c>
      <c r="G4403" s="1" t="str">
        <f t="shared" si="276"/>
        <v/>
      </c>
      <c r="I4403" s="1" t="str">
        <f t="shared" si="274"/>
        <v>威尔新数值1.06.xlsm!suitPower</v>
      </c>
    </row>
    <row r="4404" spans="1:9" x14ac:dyDescent="0.15">
      <c r="A4404" s="1">
        <v>4403</v>
      </c>
      <c r="B4404" s="1">
        <v>103071000</v>
      </c>
      <c r="C4404" s="1">
        <f t="shared" si="273"/>
        <v>9</v>
      </c>
      <c r="D4404" s="5">
        <f ca="1">IF(getQuality(B4404)&lt;4,getOtherMin(B4404,C4404,INDIRECT(J$2),INDIRECT(I4404),test),getMin(B4404,C4404,INDIRECT(J$2),INDIRECT(I4404),test))</f>
        <v>218.39851117079806</v>
      </c>
      <c r="E4404" s="5">
        <f ca="1">IF(getQuality(B4404)&lt;4,getOtherMax(B4404,C4404,INDIRECT(J$2),INDIRECT(I4404),test),getMax(B4404,C4404,INDIRECT(J$2),INDIRECT(I4404),test))</f>
        <v>270.43850937813136</v>
      </c>
      <c r="F4404" s="1" t="str">
        <f t="shared" si="275"/>
        <v>50</v>
      </c>
      <c r="G4404" s="1" t="str">
        <f t="shared" si="276"/>
        <v/>
      </c>
      <c r="I4404" s="1" t="str">
        <f t="shared" si="274"/>
        <v>威尔新数值1.06.xlsm!suitPower</v>
      </c>
    </row>
    <row r="4405" spans="1:9" x14ac:dyDescent="0.15">
      <c r="A4405" s="1">
        <v>4404</v>
      </c>
      <c r="B4405" s="1">
        <v>103071000</v>
      </c>
      <c r="C4405" s="1">
        <f t="shared" si="273"/>
        <v>10</v>
      </c>
      <c r="D4405" s="5">
        <f ca="1">IF(getQuality(B4405)&lt;4,getOtherMin(B4405,C4405,INDIRECT(J$2),INDIRECT(I4405),test),getMin(B4405,C4405,INDIRECT(J$2),INDIRECT(I4405),test))</f>
        <v>218.39851117079806</v>
      </c>
      <c r="E4405" s="5">
        <f ca="1">IF(getQuality(B4405)&lt;4,getOtherMax(B4405,C4405,INDIRECT(J$2),INDIRECT(I4405),test),getMax(B4405,C4405,INDIRECT(J$2),INDIRECT(I4405),test))</f>
        <v>270.43850937813136</v>
      </c>
      <c r="F4405" s="1" t="str">
        <f t="shared" si="275"/>
        <v>50</v>
      </c>
      <c r="G4405" s="1" t="str">
        <f t="shared" si="276"/>
        <v/>
      </c>
      <c r="I4405" s="1" t="str">
        <f t="shared" si="274"/>
        <v>威尔新数值1.06.xlsm!suitPower</v>
      </c>
    </row>
    <row r="4406" spans="1:9" x14ac:dyDescent="0.15">
      <c r="A4406" s="1">
        <v>4405</v>
      </c>
      <c r="B4406" s="1">
        <v>103071000</v>
      </c>
      <c r="C4406" s="1">
        <f t="shared" si="273"/>
        <v>11</v>
      </c>
      <c r="D4406" s="5">
        <f ca="1">IF(getQuality(B4406)&lt;4,getOtherMin(B4406,C4406,INDIRECT(J$2),INDIRECT(I4406),test),getMin(B4406,C4406,INDIRECT(J$2),INDIRECT(I4406),test))</f>
        <v>218.39851117079806</v>
      </c>
      <c r="E4406" s="5">
        <f ca="1">IF(getQuality(B4406)&lt;4,getOtherMax(B4406,C4406,INDIRECT(J$2),INDIRECT(I4406),test),getMax(B4406,C4406,INDIRECT(J$2),INDIRECT(I4406),test))</f>
        <v>270.43850937813136</v>
      </c>
      <c r="F4406" s="1" t="str">
        <f t="shared" si="275"/>
        <v>50</v>
      </c>
      <c r="G4406" s="1" t="str">
        <f t="shared" si="276"/>
        <v/>
      </c>
      <c r="I4406" s="1" t="str">
        <f t="shared" si="274"/>
        <v>威尔新数值1.06.xlsm!suitPower</v>
      </c>
    </row>
    <row r="4407" spans="1:9" x14ac:dyDescent="0.15">
      <c r="A4407" s="1">
        <v>4406</v>
      </c>
      <c r="B4407" s="1">
        <v>103071000</v>
      </c>
      <c r="C4407" s="1">
        <f t="shared" si="273"/>
        <v>12</v>
      </c>
      <c r="D4407" s="5">
        <f ca="1">IF(getQuality(B4407)&lt;4,getOtherMin(B4407,C4407,INDIRECT(J$2),INDIRECT(I4407),test),getMin(B4407,C4407,INDIRECT(J$2),INDIRECT(I4407),test))</f>
        <v>218.39851117079806</v>
      </c>
      <c r="E4407" s="5">
        <f ca="1">IF(getQuality(B4407)&lt;4,getOtherMax(B4407,C4407,INDIRECT(J$2),INDIRECT(I4407),test),getMax(B4407,C4407,INDIRECT(J$2),INDIRECT(I4407),test))</f>
        <v>270.43850937813136</v>
      </c>
      <c r="F4407" s="1" t="str">
        <f t="shared" si="275"/>
        <v>50</v>
      </c>
      <c r="G4407" s="1" t="str">
        <f t="shared" si="276"/>
        <v/>
      </c>
      <c r="I4407" s="1" t="str">
        <f t="shared" si="274"/>
        <v>威尔新数值1.06.xlsm!suitPower</v>
      </c>
    </row>
    <row r="4408" spans="1:9" x14ac:dyDescent="0.15">
      <c r="A4408" s="1">
        <v>4407</v>
      </c>
      <c r="B4408" s="1">
        <v>103071000</v>
      </c>
      <c r="C4408" s="1">
        <f t="shared" si="273"/>
        <v>13</v>
      </c>
      <c r="D4408" s="5">
        <f ca="1">IF(getQuality(B4408)&lt;4,getOtherMin(B4408,C4408,INDIRECT(J$2),INDIRECT(I4408),test),getMin(B4408,C4408,INDIRECT(J$2),INDIRECT(I4408),test))</f>
        <v>218.39851117079806</v>
      </c>
      <c r="E4408" s="5">
        <f ca="1">IF(getQuality(B4408)&lt;4,getOtherMax(B4408,C4408,INDIRECT(J$2),INDIRECT(I4408),test),getMax(B4408,C4408,INDIRECT(J$2),INDIRECT(I4408),test))</f>
        <v>270.43850937813136</v>
      </c>
      <c r="F4408" s="1" t="str">
        <f t="shared" si="275"/>
        <v>50</v>
      </c>
      <c r="G4408" s="1" t="str">
        <f t="shared" si="276"/>
        <v/>
      </c>
      <c r="I4408" s="1" t="str">
        <f t="shared" si="274"/>
        <v>威尔新数值1.06.xlsm!suitPower</v>
      </c>
    </row>
    <row r="4409" spans="1:9" x14ac:dyDescent="0.15">
      <c r="A4409" s="1">
        <v>4408</v>
      </c>
      <c r="B4409" s="1">
        <v>103071000</v>
      </c>
      <c r="C4409" s="1">
        <f t="shared" si="273"/>
        <v>14</v>
      </c>
      <c r="D4409" s="5">
        <f ca="1">IF(getQuality(B4409)&lt;4,getOtherMin(B4409,C4409,INDIRECT(J$2),INDIRECT(I4409),test),getMin(B4409,C4409,INDIRECT(J$2),INDIRECT(I4409),test))</f>
        <v>218.39851117079806</v>
      </c>
      <c r="E4409" s="5">
        <f ca="1">IF(getQuality(B4409)&lt;4,getOtherMax(B4409,C4409,INDIRECT(J$2),INDIRECT(I4409),test),getMax(B4409,C4409,INDIRECT(J$2),INDIRECT(I4409),test))</f>
        <v>270.43850937813136</v>
      </c>
      <c r="F4409" s="1" t="str">
        <f t="shared" si="275"/>
        <v>50</v>
      </c>
      <c r="G4409" s="1" t="str">
        <f t="shared" si="276"/>
        <v/>
      </c>
      <c r="I4409" s="1" t="str">
        <f t="shared" si="274"/>
        <v>威尔新数值1.06.xlsm!suitPower</v>
      </c>
    </row>
    <row r="4410" spans="1:9" x14ac:dyDescent="0.15">
      <c r="A4410" s="1">
        <v>4409</v>
      </c>
      <c r="B4410" s="1">
        <v>103071000</v>
      </c>
      <c r="C4410" s="1">
        <f t="shared" si="273"/>
        <v>15</v>
      </c>
      <c r="D4410" s="5">
        <f ca="1">IF(getQuality(B4410)&lt;4,getOtherMin(B4410,C4410,INDIRECT(J$2),INDIRECT(I4410),test),getMin(B4410,C4410,INDIRECT(J$2),INDIRECT(I4410),test))</f>
        <v>218.39851117079806</v>
      </c>
      <c r="E4410" s="5">
        <f ca="1">IF(getQuality(B4410)&lt;4,getOtherMax(B4410,C4410,INDIRECT(J$2),INDIRECT(I4410),test),getMax(B4410,C4410,INDIRECT(J$2),INDIRECT(I4410),test))</f>
        <v>270.43850937813136</v>
      </c>
      <c r="F4410" s="1" t="str">
        <f t="shared" si="275"/>
        <v>50</v>
      </c>
      <c r="G4410" s="1" t="str">
        <f t="shared" si="276"/>
        <v/>
      </c>
      <c r="I4410" s="1" t="str">
        <f t="shared" si="274"/>
        <v>威尔新数值1.06.xlsm!suitPower</v>
      </c>
    </row>
    <row r="4411" spans="1:9" x14ac:dyDescent="0.15">
      <c r="A4411" s="1">
        <v>4410</v>
      </c>
      <c r="B4411" s="1">
        <v>103071000</v>
      </c>
      <c r="C4411" s="1">
        <f t="shared" si="273"/>
        <v>101</v>
      </c>
      <c r="D4411" s="5">
        <f ca="1">IF(getQuality(B4411)&lt;4,getOtherMin(B4411,C4411,INDIRECT(J$2),INDIRECT(I4411),test),getMin(B4411,C4411,INDIRECT(J$2),INDIRECT(I4411),test))</f>
        <v>0.13</v>
      </c>
      <c r="E4411" s="5">
        <f ca="1">IF(getQuality(B4411)&lt;4,getOtherMax(B4411,C4411,INDIRECT(J$2),INDIRECT(I4411),test),getMax(B4411,C4411,INDIRECT(J$2),INDIRECT(I4411),test))</f>
        <v>0.16</v>
      </c>
      <c r="F4411" s="1" t="str">
        <f t="shared" si="275"/>
        <v>50</v>
      </c>
      <c r="G4411" s="1" t="str">
        <f t="shared" si="276"/>
        <v/>
      </c>
      <c r="I4411" s="1" t="str">
        <f t="shared" si="274"/>
        <v>威尔新数值1.06.xlsm!circlePer</v>
      </c>
    </row>
    <row r="4412" spans="1:9" x14ac:dyDescent="0.15">
      <c r="A4412" s="1">
        <v>4411</v>
      </c>
      <c r="B4412" s="1">
        <v>103071000</v>
      </c>
      <c r="C4412" s="1">
        <f t="shared" ref="C4412:C4475" si="277">C1937</f>
        <v>102</v>
      </c>
      <c r="D4412" s="5">
        <f ca="1">IF(getQuality(B4412)&lt;4,getOtherMin(B4412,C4412,INDIRECT(J$2),INDIRECT(I4412),test),getMin(B4412,C4412,INDIRECT(J$2),INDIRECT(I4412),test))</f>
        <v>1.2</v>
      </c>
      <c r="E4412" s="5">
        <f ca="1">IF(getQuality(B4412)&lt;4,getOtherMax(B4412,C4412,INDIRECT(J$2),INDIRECT(I4412),test),getMax(B4412,C4412,INDIRECT(J$2),INDIRECT(I4412),test))</f>
        <v>1.5</v>
      </c>
      <c r="F4412" s="1" t="str">
        <f t="shared" si="275"/>
        <v>50</v>
      </c>
      <c r="G4412" s="1" t="str">
        <f t="shared" si="276"/>
        <v/>
      </c>
      <c r="I4412" s="1" t="str">
        <f t="shared" si="274"/>
        <v>威尔新数值1.06.xlsm!circleValue</v>
      </c>
    </row>
    <row r="4413" spans="1:9" x14ac:dyDescent="0.15">
      <c r="A4413" s="1">
        <v>4412</v>
      </c>
      <c r="B4413" s="1">
        <v>103071000</v>
      </c>
      <c r="C4413" s="1">
        <f t="shared" si="277"/>
        <v>103</v>
      </c>
      <c r="D4413" s="5">
        <f ca="1">IF(getQuality(B4413)&lt;4,getOtherMin(B4413,C4413,INDIRECT(J$2),INDIRECT(I4413),test),getMin(B4413,C4413,INDIRECT(J$2),INDIRECT(I4413),test))</f>
        <v>0.13</v>
      </c>
      <c r="E4413" s="5">
        <f ca="1">IF(getQuality(B4413)&lt;4,getOtherMax(B4413,C4413,INDIRECT(J$2),INDIRECT(I4413),test),getMax(B4413,C4413,INDIRECT(J$2),INDIRECT(I4413),test))</f>
        <v>0.16</v>
      </c>
      <c r="F4413" s="1" t="str">
        <f t="shared" si="275"/>
        <v>50</v>
      </c>
      <c r="G4413" s="1" t="str">
        <f t="shared" si="276"/>
        <v/>
      </c>
      <c r="I4413" s="1" t="str">
        <f t="shared" si="274"/>
        <v>威尔新数值1.06.xlsm!otherDamage</v>
      </c>
    </row>
    <row r="4414" spans="1:9" x14ac:dyDescent="0.15">
      <c r="A4414" s="1">
        <v>4413</v>
      </c>
      <c r="B4414" s="1">
        <v>103071000</v>
      </c>
      <c r="C4414" s="1">
        <f t="shared" si="277"/>
        <v>104</v>
      </c>
      <c r="D4414" s="5">
        <f ca="1">IF(getQuality(B4414)&lt;4,getOtherMin(B4414,C4414,INDIRECT(J$2),INDIRECT(I4414),test),getMin(B4414,C4414,INDIRECT(J$2),INDIRECT(I4414),test))</f>
        <v>0.13</v>
      </c>
      <c r="E4414" s="5">
        <f ca="1">IF(getQuality(B4414)&lt;4,getOtherMax(B4414,C4414,INDIRECT(J$2),INDIRECT(I4414),test),getMax(B4414,C4414,INDIRECT(J$2),INDIRECT(I4414),test))</f>
        <v>0.26</v>
      </c>
      <c r="F4414" s="1" t="str">
        <f t="shared" si="275"/>
        <v>50</v>
      </c>
      <c r="G4414" s="1" t="str">
        <f t="shared" si="276"/>
        <v/>
      </c>
      <c r="I4414" s="1" t="str">
        <f t="shared" si="274"/>
        <v>威尔新数值1.06.xlsm!monsterDamage</v>
      </c>
    </row>
    <row r="4415" spans="1:9" x14ac:dyDescent="0.15">
      <c r="A4415" s="1">
        <v>4414</v>
      </c>
      <c r="B4415" s="1">
        <v>103071000</v>
      </c>
      <c r="C4415" s="1">
        <f t="shared" si="277"/>
        <v>105</v>
      </c>
      <c r="D4415" s="5">
        <f ca="1">IF(getQuality(B4415)&lt;4,getOtherMin(B4415,C4415,INDIRECT(J$2),INDIRECT(I4415),test),getMin(B4415,C4415,INDIRECT(J$2),INDIRECT(I4415),test))</f>
        <v>0.13</v>
      </c>
      <c r="E4415" s="5">
        <f ca="1">IF(getQuality(B4415)&lt;4,getOtherMax(B4415,C4415,INDIRECT(J$2),INDIRECT(I4415),test),getMax(B4415,C4415,INDIRECT(J$2),INDIRECT(I4415),test))</f>
        <v>0.26</v>
      </c>
      <c r="F4415" s="1" t="str">
        <f t="shared" si="275"/>
        <v>50</v>
      </c>
      <c r="G4415" s="1" t="str">
        <f t="shared" si="276"/>
        <v/>
      </c>
      <c r="I4415" s="1" t="str">
        <f t="shared" si="274"/>
        <v>威尔新数值1.06.xlsm!monsterDamage</v>
      </c>
    </row>
    <row r="4416" spans="1:9" x14ac:dyDescent="0.15">
      <c r="A4416" s="1">
        <v>4415</v>
      </c>
      <c r="B4416" s="1">
        <v>103071000</v>
      </c>
      <c r="C4416" s="1">
        <f t="shared" si="277"/>
        <v>106</v>
      </c>
      <c r="D4416" s="5">
        <f ca="1">IF(getQuality(B4416)&lt;4,getOtherMin(B4416,C4416,INDIRECT(J$2),INDIRECT(I4416),test),getMin(B4416,C4416,INDIRECT(J$2),INDIRECT(I4416),test))</f>
        <v>0.13</v>
      </c>
      <c r="E4416" s="5">
        <f ca="1">IF(getQuality(B4416)&lt;4,getOtherMax(B4416,C4416,INDIRECT(J$2),INDIRECT(I4416),test),getMax(B4416,C4416,INDIRECT(J$2),INDIRECT(I4416),test))</f>
        <v>0.26</v>
      </c>
      <c r="F4416" s="1" t="str">
        <f t="shared" si="275"/>
        <v>50</v>
      </c>
      <c r="G4416" s="1" t="str">
        <f t="shared" si="276"/>
        <v/>
      </c>
      <c r="I4416" s="1" t="str">
        <f t="shared" si="274"/>
        <v>威尔新数值1.06.xlsm!monsterDamage</v>
      </c>
    </row>
    <row r="4417" spans="1:9" x14ac:dyDescent="0.15">
      <c r="A4417" s="1">
        <v>4416</v>
      </c>
      <c r="B4417" s="1">
        <v>103071000</v>
      </c>
      <c r="C4417" s="1">
        <f t="shared" si="277"/>
        <v>107</v>
      </c>
      <c r="D4417" s="5">
        <f ca="1">IF(getQuality(B4417)&lt;4,getOtherMin(B4417,C4417,INDIRECT(J$2),INDIRECT(I4417),test),getMin(B4417,C4417,INDIRECT(J$2),INDIRECT(I4417),test))</f>
        <v>0.13</v>
      </c>
      <c r="E4417" s="5">
        <f ca="1">IF(getQuality(B4417)&lt;4,getOtherMax(B4417,C4417,INDIRECT(J$2),INDIRECT(I4417),test),getMax(B4417,C4417,INDIRECT(J$2),INDIRECT(I4417),test))</f>
        <v>0.26</v>
      </c>
      <c r="F4417" s="1" t="str">
        <f t="shared" si="275"/>
        <v>50</v>
      </c>
      <c r="G4417" s="1" t="str">
        <f t="shared" si="276"/>
        <v/>
      </c>
      <c r="I4417" s="1" t="str">
        <f t="shared" si="274"/>
        <v>威尔新数值1.06.xlsm!monsterDamage</v>
      </c>
    </row>
    <row r="4418" spans="1:9" x14ac:dyDescent="0.15">
      <c r="A4418" s="1">
        <v>4417</v>
      </c>
      <c r="B4418" s="1">
        <v>103071000</v>
      </c>
      <c r="C4418" s="1">
        <f t="shared" si="277"/>
        <v>108</v>
      </c>
      <c r="D4418" s="5">
        <f ca="1">IF(getQuality(B4418)&lt;4,getOtherMin(B4418,C4418,INDIRECT(J$2),INDIRECT(I4418),test),getMin(B4418,C4418,INDIRECT(J$2),INDIRECT(I4418),test))</f>
        <v>0.13</v>
      </c>
      <c r="E4418" s="5">
        <f ca="1">IF(getQuality(B4418)&lt;4,getOtherMax(B4418,C4418,INDIRECT(J$2),INDIRECT(I4418),test),getMax(B4418,C4418,INDIRECT(J$2),INDIRECT(I4418),test))</f>
        <v>0.26</v>
      </c>
      <c r="F4418" s="1" t="str">
        <f t="shared" si="275"/>
        <v>50</v>
      </c>
      <c r="G4418" s="1" t="str">
        <f t="shared" si="276"/>
        <v/>
      </c>
      <c r="I4418" s="1" t="str">
        <f t="shared" ref="I4418:I4481" si="278">IF(C4418&lt;100,VLOOKUP(C4418,test,3,FALSE),VLOOKUP(C4418,test1,3,FALSE))</f>
        <v>威尔新数值1.06.xlsm!monsterDamage</v>
      </c>
    </row>
    <row r="4419" spans="1:9" x14ac:dyDescent="0.15">
      <c r="A4419" s="1">
        <v>4418</v>
      </c>
      <c r="B4419" s="1">
        <v>103081000</v>
      </c>
      <c r="C4419" s="1">
        <f t="shared" si="277"/>
        <v>3</v>
      </c>
      <c r="D4419" s="5">
        <f ca="1">IF(getQuality(B4419)&lt;4,getOtherMin(B4419,C4419,INDIRECT(J$2),INDIRECT(I4419),test),getMin(B4419,C4419,INDIRECT(J$2),INDIRECT(I4419),test))</f>
        <v>271.43850937813136</v>
      </c>
      <c r="E4419" s="5">
        <f ca="1">IF(getQuality(B4419)&lt;4,getOtherMax(B4419,C4419,INDIRECT(J$2),INDIRECT(I4419),test),getMax(B4419,C4419,INDIRECT(J$2),INDIRECT(I4419),test))</f>
        <v>328.28048273180752</v>
      </c>
      <c r="F4419" s="1" t="str">
        <f t="shared" ref="F4419:F4482" si="279">getper(B4419,C4419)</f>
        <v>50</v>
      </c>
      <c r="G4419" s="1" t="str">
        <f t="shared" ref="G4419:G4482" si="280">getMust(B4419,C4419)</f>
        <v>1</v>
      </c>
      <c r="I4419" s="1" t="str">
        <f t="shared" si="278"/>
        <v>威尔新数值1.06.xlsm!suitPower</v>
      </c>
    </row>
    <row r="4420" spans="1:9" x14ac:dyDescent="0.15">
      <c r="A4420" s="1">
        <v>4419</v>
      </c>
      <c r="B4420" s="1">
        <v>103081000</v>
      </c>
      <c r="C4420" s="1">
        <f t="shared" si="277"/>
        <v>5</v>
      </c>
      <c r="D4420" s="5">
        <f ca="1">IF(getQuality(B4420)&lt;4,getOtherMin(B4420,C4420,INDIRECT(J$2),INDIRECT(I4420),test),getMin(B4420,C4420,INDIRECT(J$2),INDIRECT(I4420),test))</f>
        <v>271.43850937813136</v>
      </c>
      <c r="E4420" s="5">
        <f ca="1">IF(getQuality(B4420)&lt;4,getOtherMax(B4420,C4420,INDIRECT(J$2),INDIRECT(I4420),test),getMax(B4420,C4420,INDIRECT(J$2),INDIRECT(I4420),test))</f>
        <v>328.28048273180752</v>
      </c>
      <c r="F4420" s="1" t="str">
        <f t="shared" si="279"/>
        <v>50</v>
      </c>
      <c r="G4420" s="1" t="str">
        <f t="shared" si="280"/>
        <v/>
      </c>
      <c r="I4420" s="1" t="str">
        <f t="shared" si="278"/>
        <v>威尔新数值1.06.xlsm!suitPower</v>
      </c>
    </row>
    <row r="4421" spans="1:9" x14ac:dyDescent="0.15">
      <c r="A4421" s="1">
        <v>4420</v>
      </c>
      <c r="B4421" s="1">
        <v>103081000</v>
      </c>
      <c r="C4421" s="1">
        <f t="shared" si="277"/>
        <v>7</v>
      </c>
      <c r="D4421" s="5">
        <f ca="1">IF(getQuality(B4421)&lt;4,getOtherMin(B4421,C4421,INDIRECT(J$2),INDIRECT(I4421),test),getMin(B4421,C4421,INDIRECT(J$2),INDIRECT(I4421),test))</f>
        <v>52.85185185185172</v>
      </c>
      <c r="E4421" s="5">
        <f ca="1">IF(getQuality(B4421)&lt;4,getOtherMax(B4421,C4421,INDIRECT(J$2),INDIRECT(I4421),test),getMax(B4421,C4421,INDIRECT(J$2),INDIRECT(I4421),test))</f>
        <v>59.25925925925911</v>
      </c>
      <c r="F4421" s="1" t="str">
        <f t="shared" si="279"/>
        <v>50</v>
      </c>
      <c r="G4421" s="1" t="str">
        <f t="shared" si="280"/>
        <v/>
      </c>
      <c r="I4421" s="1" t="str">
        <f t="shared" si="278"/>
        <v>威尔新数值1.06.xlsm!suitPower</v>
      </c>
    </row>
    <row r="4422" spans="1:9" x14ac:dyDescent="0.15">
      <c r="A4422" s="1">
        <v>4421</v>
      </c>
      <c r="B4422" s="1">
        <v>103081000</v>
      </c>
      <c r="C4422" s="1">
        <f t="shared" si="277"/>
        <v>8</v>
      </c>
      <c r="D4422" s="5">
        <f ca="1">IF(getQuality(B4422)&lt;4,getOtherMin(B4422,C4422,INDIRECT(J$2),INDIRECT(I4422),test),getMin(B4422,C4422,INDIRECT(J$2),INDIRECT(I4422),test))</f>
        <v>117.66666666666667</v>
      </c>
      <c r="E4422" s="5">
        <f ca="1">IF(getQuality(B4422)&lt;4,getOtherMax(B4422,C4422,INDIRECT(J$2),INDIRECT(I4422),test),getMax(B4422,C4422,INDIRECT(J$2),INDIRECT(I4422),test))</f>
        <v>133.33333333333334</v>
      </c>
      <c r="F4422" s="1" t="str">
        <f t="shared" si="279"/>
        <v>50</v>
      </c>
      <c r="G4422" s="1" t="str">
        <f t="shared" si="280"/>
        <v/>
      </c>
      <c r="I4422" s="1" t="str">
        <f t="shared" si="278"/>
        <v>威尔新数值1.06.xlsm!suitPower</v>
      </c>
    </row>
    <row r="4423" spans="1:9" x14ac:dyDescent="0.15">
      <c r="A4423" s="1">
        <v>4422</v>
      </c>
      <c r="B4423" s="1">
        <v>103081000</v>
      </c>
      <c r="C4423" s="1">
        <f t="shared" si="277"/>
        <v>9</v>
      </c>
      <c r="D4423" s="5">
        <f ca="1">IF(getQuality(B4423)&lt;4,getOtherMin(B4423,C4423,INDIRECT(J$2),INDIRECT(I4423),test),getMin(B4423,C4423,INDIRECT(J$2),INDIRECT(I4423),test))</f>
        <v>271.43850937813136</v>
      </c>
      <c r="E4423" s="5">
        <f ca="1">IF(getQuality(B4423)&lt;4,getOtherMax(B4423,C4423,INDIRECT(J$2),INDIRECT(I4423),test),getMax(B4423,C4423,INDIRECT(J$2),INDIRECT(I4423),test))</f>
        <v>328.28048273180752</v>
      </c>
      <c r="F4423" s="1" t="str">
        <f t="shared" si="279"/>
        <v>50</v>
      </c>
      <c r="G4423" s="1" t="str">
        <f t="shared" si="280"/>
        <v/>
      </c>
      <c r="I4423" s="1" t="str">
        <f t="shared" si="278"/>
        <v>威尔新数值1.06.xlsm!suitPower</v>
      </c>
    </row>
    <row r="4424" spans="1:9" x14ac:dyDescent="0.15">
      <c r="A4424" s="1">
        <v>4423</v>
      </c>
      <c r="B4424" s="1">
        <v>103081000</v>
      </c>
      <c r="C4424" s="1">
        <f t="shared" si="277"/>
        <v>10</v>
      </c>
      <c r="D4424" s="5">
        <f ca="1">IF(getQuality(B4424)&lt;4,getOtherMin(B4424,C4424,INDIRECT(J$2),INDIRECT(I4424),test),getMin(B4424,C4424,INDIRECT(J$2),INDIRECT(I4424),test))</f>
        <v>271.43850937813136</v>
      </c>
      <c r="E4424" s="5">
        <f ca="1">IF(getQuality(B4424)&lt;4,getOtherMax(B4424,C4424,INDIRECT(J$2),INDIRECT(I4424),test),getMax(B4424,C4424,INDIRECT(J$2),INDIRECT(I4424),test))</f>
        <v>328.28048273180752</v>
      </c>
      <c r="F4424" s="1" t="str">
        <f t="shared" si="279"/>
        <v>50</v>
      </c>
      <c r="G4424" s="1" t="str">
        <f t="shared" si="280"/>
        <v/>
      </c>
      <c r="I4424" s="1" t="str">
        <f t="shared" si="278"/>
        <v>威尔新数值1.06.xlsm!suitPower</v>
      </c>
    </row>
    <row r="4425" spans="1:9" x14ac:dyDescent="0.15">
      <c r="A4425" s="1">
        <v>4424</v>
      </c>
      <c r="B4425" s="1">
        <v>103081000</v>
      </c>
      <c r="C4425" s="1">
        <f t="shared" si="277"/>
        <v>11</v>
      </c>
      <c r="D4425" s="5">
        <f ca="1">IF(getQuality(B4425)&lt;4,getOtherMin(B4425,C4425,INDIRECT(J$2),INDIRECT(I4425),test),getMin(B4425,C4425,INDIRECT(J$2),INDIRECT(I4425),test))</f>
        <v>271.43850937813136</v>
      </c>
      <c r="E4425" s="5">
        <f ca="1">IF(getQuality(B4425)&lt;4,getOtherMax(B4425,C4425,INDIRECT(J$2),INDIRECT(I4425),test),getMax(B4425,C4425,INDIRECT(J$2),INDIRECT(I4425),test))</f>
        <v>328.28048273180752</v>
      </c>
      <c r="F4425" s="1" t="str">
        <f t="shared" si="279"/>
        <v>50</v>
      </c>
      <c r="G4425" s="1" t="str">
        <f t="shared" si="280"/>
        <v/>
      </c>
      <c r="I4425" s="1" t="str">
        <f t="shared" si="278"/>
        <v>威尔新数值1.06.xlsm!suitPower</v>
      </c>
    </row>
    <row r="4426" spans="1:9" x14ac:dyDescent="0.15">
      <c r="A4426" s="1">
        <v>4425</v>
      </c>
      <c r="B4426" s="1">
        <v>103081000</v>
      </c>
      <c r="C4426" s="1">
        <f t="shared" si="277"/>
        <v>12</v>
      </c>
      <c r="D4426" s="5">
        <f ca="1">IF(getQuality(B4426)&lt;4,getOtherMin(B4426,C4426,INDIRECT(J$2),INDIRECT(I4426),test),getMin(B4426,C4426,INDIRECT(J$2),INDIRECT(I4426),test))</f>
        <v>271.43850937813136</v>
      </c>
      <c r="E4426" s="5">
        <f ca="1">IF(getQuality(B4426)&lt;4,getOtherMax(B4426,C4426,INDIRECT(J$2),INDIRECT(I4426),test),getMax(B4426,C4426,INDIRECT(J$2),INDIRECT(I4426),test))</f>
        <v>328.28048273180752</v>
      </c>
      <c r="F4426" s="1" t="str">
        <f t="shared" si="279"/>
        <v>50</v>
      </c>
      <c r="G4426" s="1" t="str">
        <f t="shared" si="280"/>
        <v/>
      </c>
      <c r="I4426" s="1" t="str">
        <f t="shared" si="278"/>
        <v>威尔新数值1.06.xlsm!suitPower</v>
      </c>
    </row>
    <row r="4427" spans="1:9" x14ac:dyDescent="0.15">
      <c r="A4427" s="1">
        <v>4426</v>
      </c>
      <c r="B4427" s="1">
        <v>103081000</v>
      </c>
      <c r="C4427" s="1">
        <f t="shared" si="277"/>
        <v>13</v>
      </c>
      <c r="D4427" s="5">
        <f ca="1">IF(getQuality(B4427)&lt;4,getOtherMin(B4427,C4427,INDIRECT(J$2),INDIRECT(I4427),test),getMin(B4427,C4427,INDIRECT(J$2),INDIRECT(I4427),test))</f>
        <v>271.43850937813136</v>
      </c>
      <c r="E4427" s="5">
        <f ca="1">IF(getQuality(B4427)&lt;4,getOtherMax(B4427,C4427,INDIRECT(J$2),INDIRECT(I4427),test),getMax(B4427,C4427,INDIRECT(J$2),INDIRECT(I4427),test))</f>
        <v>328.28048273180752</v>
      </c>
      <c r="F4427" s="1" t="str">
        <f t="shared" si="279"/>
        <v>50</v>
      </c>
      <c r="G4427" s="1" t="str">
        <f t="shared" si="280"/>
        <v/>
      </c>
      <c r="I4427" s="1" t="str">
        <f t="shared" si="278"/>
        <v>威尔新数值1.06.xlsm!suitPower</v>
      </c>
    </row>
    <row r="4428" spans="1:9" x14ac:dyDescent="0.15">
      <c r="A4428" s="1">
        <v>4427</v>
      </c>
      <c r="B4428" s="1">
        <v>103081000</v>
      </c>
      <c r="C4428" s="1">
        <f t="shared" si="277"/>
        <v>14</v>
      </c>
      <c r="D4428" s="5">
        <f ca="1">IF(getQuality(B4428)&lt;4,getOtherMin(B4428,C4428,INDIRECT(J$2),INDIRECT(I4428),test),getMin(B4428,C4428,INDIRECT(J$2),INDIRECT(I4428),test))</f>
        <v>271.43850937813136</v>
      </c>
      <c r="E4428" s="5">
        <f ca="1">IF(getQuality(B4428)&lt;4,getOtherMax(B4428,C4428,INDIRECT(J$2),INDIRECT(I4428),test),getMax(B4428,C4428,INDIRECT(J$2),INDIRECT(I4428),test))</f>
        <v>328.28048273180752</v>
      </c>
      <c r="F4428" s="1" t="str">
        <f t="shared" si="279"/>
        <v>50</v>
      </c>
      <c r="G4428" s="1" t="str">
        <f t="shared" si="280"/>
        <v/>
      </c>
      <c r="I4428" s="1" t="str">
        <f t="shared" si="278"/>
        <v>威尔新数值1.06.xlsm!suitPower</v>
      </c>
    </row>
    <row r="4429" spans="1:9" x14ac:dyDescent="0.15">
      <c r="A4429" s="1">
        <v>4428</v>
      </c>
      <c r="B4429" s="1">
        <v>103081000</v>
      </c>
      <c r="C4429" s="1">
        <f t="shared" si="277"/>
        <v>15</v>
      </c>
      <c r="D4429" s="5">
        <f ca="1">IF(getQuality(B4429)&lt;4,getOtherMin(B4429,C4429,INDIRECT(J$2),INDIRECT(I4429),test),getMin(B4429,C4429,INDIRECT(J$2),INDIRECT(I4429),test))</f>
        <v>271.43850937813136</v>
      </c>
      <c r="E4429" s="5">
        <f ca="1">IF(getQuality(B4429)&lt;4,getOtherMax(B4429,C4429,INDIRECT(J$2),INDIRECT(I4429),test),getMax(B4429,C4429,INDIRECT(J$2),INDIRECT(I4429),test))</f>
        <v>328.28048273180752</v>
      </c>
      <c r="F4429" s="1" t="str">
        <f t="shared" si="279"/>
        <v>50</v>
      </c>
      <c r="G4429" s="1" t="str">
        <f t="shared" si="280"/>
        <v/>
      </c>
      <c r="I4429" s="1" t="str">
        <f t="shared" si="278"/>
        <v>威尔新数值1.06.xlsm!suitPower</v>
      </c>
    </row>
    <row r="4430" spans="1:9" x14ac:dyDescent="0.15">
      <c r="A4430" s="1">
        <v>4429</v>
      </c>
      <c r="B4430" s="1">
        <v>103081000</v>
      </c>
      <c r="C4430" s="1">
        <f t="shared" si="277"/>
        <v>101</v>
      </c>
      <c r="D4430" s="5">
        <f ca="1">IF(getQuality(B4430)&lt;4,getOtherMin(B4430,C4430,INDIRECT(J$2),INDIRECT(I4430),test),getMin(B4430,C4430,INDIRECT(J$2),INDIRECT(I4430),test))</f>
        <v>0.14000000000000001</v>
      </c>
      <c r="E4430" s="5">
        <f ca="1">IF(getQuality(B4430)&lt;4,getOtherMax(B4430,C4430,INDIRECT(J$2),INDIRECT(I4430),test),getMax(B4430,C4430,INDIRECT(J$2),INDIRECT(I4430),test))</f>
        <v>0.17</v>
      </c>
      <c r="F4430" s="1" t="str">
        <f t="shared" si="279"/>
        <v>50</v>
      </c>
      <c r="G4430" s="1" t="str">
        <f t="shared" si="280"/>
        <v/>
      </c>
      <c r="I4430" s="1" t="str">
        <f t="shared" si="278"/>
        <v>威尔新数值1.06.xlsm!circlePer</v>
      </c>
    </row>
    <row r="4431" spans="1:9" x14ac:dyDescent="0.15">
      <c r="A4431" s="1">
        <v>4430</v>
      </c>
      <c r="B4431" s="1">
        <v>103081000</v>
      </c>
      <c r="C4431" s="1">
        <f t="shared" si="277"/>
        <v>102</v>
      </c>
      <c r="D4431" s="5">
        <f ca="1">IF(getQuality(B4431)&lt;4,getOtherMin(B4431,C4431,INDIRECT(J$2),INDIRECT(I4431),test),getMin(B4431,C4431,INDIRECT(J$2),INDIRECT(I4431),test))</f>
        <v>1.3</v>
      </c>
      <c r="E4431" s="5">
        <f ca="1">IF(getQuality(B4431)&lt;4,getOtherMax(B4431,C4431,INDIRECT(J$2),INDIRECT(I4431),test),getMax(B4431,C4431,INDIRECT(J$2),INDIRECT(I4431),test))</f>
        <v>1.6</v>
      </c>
      <c r="F4431" s="1" t="str">
        <f t="shared" si="279"/>
        <v>50</v>
      </c>
      <c r="G4431" s="1" t="str">
        <f t="shared" si="280"/>
        <v/>
      </c>
      <c r="I4431" s="1" t="str">
        <f t="shared" si="278"/>
        <v>威尔新数值1.06.xlsm!circleValue</v>
      </c>
    </row>
    <row r="4432" spans="1:9" x14ac:dyDescent="0.15">
      <c r="A4432" s="1">
        <v>4431</v>
      </c>
      <c r="B4432" s="1">
        <v>103081000</v>
      </c>
      <c r="C4432" s="1">
        <f t="shared" si="277"/>
        <v>103</v>
      </c>
      <c r="D4432" s="5">
        <f ca="1">IF(getQuality(B4432)&lt;4,getOtherMin(B4432,C4432,INDIRECT(J$2),INDIRECT(I4432),test),getMin(B4432,C4432,INDIRECT(J$2),INDIRECT(I4432),test))</f>
        <v>0.14000000000000001</v>
      </c>
      <c r="E4432" s="5">
        <f ca="1">IF(getQuality(B4432)&lt;4,getOtherMax(B4432,C4432,INDIRECT(J$2),INDIRECT(I4432),test),getMax(B4432,C4432,INDIRECT(J$2),INDIRECT(I4432),test))</f>
        <v>0.17</v>
      </c>
      <c r="F4432" s="1" t="str">
        <f t="shared" si="279"/>
        <v>50</v>
      </c>
      <c r="G4432" s="1" t="str">
        <f t="shared" si="280"/>
        <v/>
      </c>
      <c r="I4432" s="1" t="str">
        <f t="shared" si="278"/>
        <v>威尔新数值1.06.xlsm!otherDamage</v>
      </c>
    </row>
    <row r="4433" spans="1:9" x14ac:dyDescent="0.15">
      <c r="A4433" s="1">
        <v>4432</v>
      </c>
      <c r="B4433" s="1">
        <v>103081000</v>
      </c>
      <c r="C4433" s="1">
        <f t="shared" si="277"/>
        <v>104</v>
      </c>
      <c r="D4433" s="5">
        <f ca="1">IF(getQuality(B4433)&lt;4,getOtherMin(B4433,C4433,INDIRECT(J$2),INDIRECT(I4433),test),getMin(B4433,C4433,INDIRECT(J$2),INDIRECT(I4433),test))</f>
        <v>0.14000000000000001</v>
      </c>
      <c r="E4433" s="5">
        <f ca="1">IF(getQuality(B4433)&lt;4,getOtherMax(B4433,C4433,INDIRECT(J$2),INDIRECT(I4433),test),getMax(B4433,C4433,INDIRECT(J$2),INDIRECT(I4433),test))</f>
        <v>0.28000000000000003</v>
      </c>
      <c r="F4433" s="1" t="str">
        <f t="shared" si="279"/>
        <v>50</v>
      </c>
      <c r="G4433" s="1" t="str">
        <f t="shared" si="280"/>
        <v/>
      </c>
      <c r="I4433" s="1" t="str">
        <f t="shared" si="278"/>
        <v>威尔新数值1.06.xlsm!monsterDamage</v>
      </c>
    </row>
    <row r="4434" spans="1:9" x14ac:dyDescent="0.15">
      <c r="A4434" s="1">
        <v>4433</v>
      </c>
      <c r="B4434" s="1">
        <v>103081000</v>
      </c>
      <c r="C4434" s="1">
        <f t="shared" si="277"/>
        <v>105</v>
      </c>
      <c r="D4434" s="5">
        <f ca="1">IF(getQuality(B4434)&lt;4,getOtherMin(B4434,C4434,INDIRECT(J$2),INDIRECT(I4434),test),getMin(B4434,C4434,INDIRECT(J$2),INDIRECT(I4434),test))</f>
        <v>0.14000000000000001</v>
      </c>
      <c r="E4434" s="5">
        <f ca="1">IF(getQuality(B4434)&lt;4,getOtherMax(B4434,C4434,INDIRECT(J$2),INDIRECT(I4434),test),getMax(B4434,C4434,INDIRECT(J$2),INDIRECT(I4434),test))</f>
        <v>0.28000000000000003</v>
      </c>
      <c r="F4434" s="1" t="str">
        <f t="shared" si="279"/>
        <v>50</v>
      </c>
      <c r="G4434" s="1" t="str">
        <f t="shared" si="280"/>
        <v/>
      </c>
      <c r="I4434" s="1" t="str">
        <f t="shared" si="278"/>
        <v>威尔新数值1.06.xlsm!monsterDamage</v>
      </c>
    </row>
    <row r="4435" spans="1:9" x14ac:dyDescent="0.15">
      <c r="A4435" s="1">
        <v>4434</v>
      </c>
      <c r="B4435" s="1">
        <v>103081000</v>
      </c>
      <c r="C4435" s="1">
        <f t="shared" si="277"/>
        <v>106</v>
      </c>
      <c r="D4435" s="5">
        <f ca="1">IF(getQuality(B4435)&lt;4,getOtherMin(B4435,C4435,INDIRECT(J$2),INDIRECT(I4435),test),getMin(B4435,C4435,INDIRECT(J$2),INDIRECT(I4435),test))</f>
        <v>0.14000000000000001</v>
      </c>
      <c r="E4435" s="5">
        <f ca="1">IF(getQuality(B4435)&lt;4,getOtherMax(B4435,C4435,INDIRECT(J$2),INDIRECT(I4435),test),getMax(B4435,C4435,INDIRECT(J$2),INDIRECT(I4435),test))</f>
        <v>0.28000000000000003</v>
      </c>
      <c r="F4435" s="1" t="str">
        <f t="shared" si="279"/>
        <v>50</v>
      </c>
      <c r="G4435" s="1" t="str">
        <f t="shared" si="280"/>
        <v/>
      </c>
      <c r="I4435" s="1" t="str">
        <f t="shared" si="278"/>
        <v>威尔新数值1.06.xlsm!monsterDamage</v>
      </c>
    </row>
    <row r="4436" spans="1:9" x14ac:dyDescent="0.15">
      <c r="A4436" s="1">
        <v>4435</v>
      </c>
      <c r="B4436" s="1">
        <v>103081000</v>
      </c>
      <c r="C4436" s="1">
        <f t="shared" si="277"/>
        <v>107</v>
      </c>
      <c r="D4436" s="5">
        <f ca="1">IF(getQuality(B4436)&lt;4,getOtherMin(B4436,C4436,INDIRECT(J$2),INDIRECT(I4436),test),getMin(B4436,C4436,INDIRECT(J$2),INDIRECT(I4436),test))</f>
        <v>0.14000000000000001</v>
      </c>
      <c r="E4436" s="5">
        <f ca="1">IF(getQuality(B4436)&lt;4,getOtherMax(B4436,C4436,INDIRECT(J$2),INDIRECT(I4436),test),getMax(B4436,C4436,INDIRECT(J$2),INDIRECT(I4436),test))</f>
        <v>0.28000000000000003</v>
      </c>
      <c r="F4436" s="1" t="str">
        <f t="shared" si="279"/>
        <v>50</v>
      </c>
      <c r="G4436" s="1" t="str">
        <f t="shared" si="280"/>
        <v/>
      </c>
      <c r="I4436" s="1" t="str">
        <f t="shared" si="278"/>
        <v>威尔新数值1.06.xlsm!monsterDamage</v>
      </c>
    </row>
    <row r="4437" spans="1:9" x14ac:dyDescent="0.15">
      <c r="A4437" s="1">
        <v>4436</v>
      </c>
      <c r="B4437" s="1">
        <v>103081000</v>
      </c>
      <c r="C4437" s="1">
        <f t="shared" si="277"/>
        <v>108</v>
      </c>
      <c r="D4437" s="5">
        <f ca="1">IF(getQuality(B4437)&lt;4,getOtherMin(B4437,C4437,INDIRECT(J$2),INDIRECT(I4437),test),getMin(B4437,C4437,INDIRECT(J$2),INDIRECT(I4437),test))</f>
        <v>0.14000000000000001</v>
      </c>
      <c r="E4437" s="5">
        <f ca="1">IF(getQuality(B4437)&lt;4,getOtherMax(B4437,C4437,INDIRECT(J$2),INDIRECT(I4437),test),getMax(B4437,C4437,INDIRECT(J$2),INDIRECT(I4437),test))</f>
        <v>0.28000000000000003</v>
      </c>
      <c r="F4437" s="1" t="str">
        <f t="shared" si="279"/>
        <v>50</v>
      </c>
      <c r="G4437" s="1" t="str">
        <f t="shared" si="280"/>
        <v/>
      </c>
      <c r="I4437" s="1" t="str">
        <f t="shared" si="278"/>
        <v>威尔新数值1.06.xlsm!monsterDamage</v>
      </c>
    </row>
    <row r="4438" spans="1:9" x14ac:dyDescent="0.15">
      <c r="A4438" s="1">
        <v>4437</v>
      </c>
      <c r="B4438" s="1">
        <v>103091000</v>
      </c>
      <c r="C4438" s="1">
        <f t="shared" si="277"/>
        <v>3</v>
      </c>
      <c r="D4438" s="5">
        <f ca="1">IF(getQuality(B4438)&lt;4,getOtherMin(B4438,C4438,INDIRECT(J$2),INDIRECT(I4438),test),getMin(B4438,C4438,INDIRECT(J$2),INDIRECT(I4438),test))</f>
        <v>329.28048273180752</v>
      </c>
      <c r="E4438" s="5">
        <f ca="1">IF(getQuality(B4438)&lt;4,getOtherMax(B4438,C4438,INDIRECT(J$2),INDIRECT(I4438),test),getMax(B4438,C4438,INDIRECT(J$2),INDIRECT(I4438),test))</f>
        <v>390.92443123182665</v>
      </c>
      <c r="F4438" s="1" t="str">
        <f t="shared" si="279"/>
        <v>50</v>
      </c>
      <c r="G4438" s="1" t="str">
        <f t="shared" si="280"/>
        <v>1</v>
      </c>
      <c r="I4438" s="1" t="str">
        <f t="shared" si="278"/>
        <v>威尔新数值1.06.xlsm!suitPower</v>
      </c>
    </row>
    <row r="4439" spans="1:9" x14ac:dyDescent="0.15">
      <c r="A4439" s="1">
        <v>4438</v>
      </c>
      <c r="B4439" s="1">
        <v>103091000</v>
      </c>
      <c r="C4439" s="1">
        <f t="shared" si="277"/>
        <v>5</v>
      </c>
      <c r="D4439" s="5">
        <f ca="1">IF(getQuality(B4439)&lt;4,getOtherMin(B4439,C4439,INDIRECT(J$2),INDIRECT(I4439),test),getMin(B4439,C4439,INDIRECT(J$2),INDIRECT(I4439),test))</f>
        <v>329.28048273180752</v>
      </c>
      <c r="E4439" s="5">
        <f ca="1">IF(getQuality(B4439)&lt;4,getOtherMax(B4439,C4439,INDIRECT(J$2),INDIRECT(I4439),test),getMax(B4439,C4439,INDIRECT(J$2),INDIRECT(I4439),test))</f>
        <v>390.92443123182665</v>
      </c>
      <c r="F4439" s="1" t="str">
        <f t="shared" si="279"/>
        <v>50</v>
      </c>
      <c r="G4439" s="1" t="str">
        <f t="shared" si="280"/>
        <v/>
      </c>
      <c r="I4439" s="1" t="str">
        <f t="shared" si="278"/>
        <v>威尔新数值1.06.xlsm!suitPower</v>
      </c>
    </row>
    <row r="4440" spans="1:9" x14ac:dyDescent="0.15">
      <c r="A4440" s="1">
        <v>4439</v>
      </c>
      <c r="B4440" s="1">
        <v>103091000</v>
      </c>
      <c r="C4440" s="1">
        <f t="shared" si="277"/>
        <v>7</v>
      </c>
      <c r="D4440" s="5">
        <f ca="1">IF(getQuality(B4440)&lt;4,getOtherMin(B4440,C4440,INDIRECT(J$2),INDIRECT(I4440),test),getMin(B4440,C4440,INDIRECT(J$2),INDIRECT(I4440),test))</f>
        <v>60.25925925925911</v>
      </c>
      <c r="E4440" s="5">
        <f ca="1">IF(getQuality(B4440)&lt;4,getOtherMax(B4440,C4440,INDIRECT(J$2),INDIRECT(I4440),test),getMax(B4440,C4440,INDIRECT(J$2),INDIRECT(I4440),test))</f>
        <v>66.666666666666501</v>
      </c>
      <c r="F4440" s="1" t="str">
        <f t="shared" si="279"/>
        <v>50</v>
      </c>
      <c r="G4440" s="1" t="str">
        <f t="shared" si="280"/>
        <v/>
      </c>
      <c r="I4440" s="1" t="str">
        <f t="shared" si="278"/>
        <v>威尔新数值1.06.xlsm!suitPower</v>
      </c>
    </row>
    <row r="4441" spans="1:9" x14ac:dyDescent="0.15">
      <c r="A4441" s="1">
        <v>4440</v>
      </c>
      <c r="B4441" s="1">
        <v>103091000</v>
      </c>
      <c r="C4441" s="1">
        <f t="shared" si="277"/>
        <v>8</v>
      </c>
      <c r="D4441" s="5">
        <f ca="1">IF(getQuality(B4441)&lt;4,getOtherMin(B4441,C4441,INDIRECT(J$2),INDIRECT(I4441),test),getMin(B4441,C4441,INDIRECT(J$2),INDIRECT(I4441),test))</f>
        <v>134.33333333333334</v>
      </c>
      <c r="E4441" s="5">
        <f ca="1">IF(getQuality(B4441)&lt;4,getOtherMax(B4441,C4441,INDIRECT(J$2),INDIRECT(I4441),test),getMax(B4441,C4441,INDIRECT(J$2),INDIRECT(I4441),test))</f>
        <v>150</v>
      </c>
      <c r="F4441" s="1" t="str">
        <f t="shared" si="279"/>
        <v>50</v>
      </c>
      <c r="G4441" s="1" t="str">
        <f t="shared" si="280"/>
        <v/>
      </c>
      <c r="I4441" s="1" t="str">
        <f t="shared" si="278"/>
        <v>威尔新数值1.06.xlsm!suitPower</v>
      </c>
    </row>
    <row r="4442" spans="1:9" x14ac:dyDescent="0.15">
      <c r="A4442" s="1">
        <v>4441</v>
      </c>
      <c r="B4442" s="1">
        <v>103091000</v>
      </c>
      <c r="C4442" s="1">
        <f t="shared" si="277"/>
        <v>9</v>
      </c>
      <c r="D4442" s="5">
        <f ca="1">IF(getQuality(B4442)&lt;4,getOtherMin(B4442,C4442,INDIRECT(J$2),INDIRECT(I4442),test),getMin(B4442,C4442,INDIRECT(J$2),INDIRECT(I4442),test))</f>
        <v>329.28048273180752</v>
      </c>
      <c r="E4442" s="5">
        <f ca="1">IF(getQuality(B4442)&lt;4,getOtherMax(B4442,C4442,INDIRECT(J$2),INDIRECT(I4442),test),getMax(B4442,C4442,INDIRECT(J$2),INDIRECT(I4442),test))</f>
        <v>390.92443123182665</v>
      </c>
      <c r="F4442" s="1" t="str">
        <f t="shared" si="279"/>
        <v>50</v>
      </c>
      <c r="G4442" s="1" t="str">
        <f t="shared" si="280"/>
        <v/>
      </c>
      <c r="I4442" s="1" t="str">
        <f t="shared" si="278"/>
        <v>威尔新数值1.06.xlsm!suitPower</v>
      </c>
    </row>
    <row r="4443" spans="1:9" x14ac:dyDescent="0.15">
      <c r="A4443" s="1">
        <v>4442</v>
      </c>
      <c r="B4443" s="1">
        <v>103091000</v>
      </c>
      <c r="C4443" s="1">
        <f t="shared" si="277"/>
        <v>10</v>
      </c>
      <c r="D4443" s="5">
        <f ca="1">IF(getQuality(B4443)&lt;4,getOtherMin(B4443,C4443,INDIRECT(J$2),INDIRECT(I4443),test),getMin(B4443,C4443,INDIRECT(J$2),INDIRECT(I4443),test))</f>
        <v>329.28048273180752</v>
      </c>
      <c r="E4443" s="5">
        <f ca="1">IF(getQuality(B4443)&lt;4,getOtherMax(B4443,C4443,INDIRECT(J$2),INDIRECT(I4443),test),getMax(B4443,C4443,INDIRECT(J$2),INDIRECT(I4443),test))</f>
        <v>390.92443123182665</v>
      </c>
      <c r="F4443" s="1" t="str">
        <f t="shared" si="279"/>
        <v>50</v>
      </c>
      <c r="G4443" s="1" t="str">
        <f t="shared" si="280"/>
        <v/>
      </c>
      <c r="I4443" s="1" t="str">
        <f t="shared" si="278"/>
        <v>威尔新数值1.06.xlsm!suitPower</v>
      </c>
    </row>
    <row r="4444" spans="1:9" x14ac:dyDescent="0.15">
      <c r="A4444" s="1">
        <v>4443</v>
      </c>
      <c r="B4444" s="1">
        <v>103091000</v>
      </c>
      <c r="C4444" s="1">
        <f t="shared" si="277"/>
        <v>11</v>
      </c>
      <c r="D4444" s="5">
        <f ca="1">IF(getQuality(B4444)&lt;4,getOtherMin(B4444,C4444,INDIRECT(J$2),INDIRECT(I4444),test),getMin(B4444,C4444,INDIRECT(J$2),INDIRECT(I4444),test))</f>
        <v>329.28048273180752</v>
      </c>
      <c r="E4444" s="5">
        <f ca="1">IF(getQuality(B4444)&lt;4,getOtherMax(B4444,C4444,INDIRECT(J$2),INDIRECT(I4444),test),getMax(B4444,C4444,INDIRECT(J$2),INDIRECT(I4444),test))</f>
        <v>390.92443123182665</v>
      </c>
      <c r="F4444" s="1" t="str">
        <f t="shared" si="279"/>
        <v>50</v>
      </c>
      <c r="G4444" s="1" t="str">
        <f t="shared" si="280"/>
        <v/>
      </c>
      <c r="I4444" s="1" t="str">
        <f t="shared" si="278"/>
        <v>威尔新数值1.06.xlsm!suitPower</v>
      </c>
    </row>
    <row r="4445" spans="1:9" x14ac:dyDescent="0.15">
      <c r="A4445" s="1">
        <v>4444</v>
      </c>
      <c r="B4445" s="1">
        <v>103091000</v>
      </c>
      <c r="C4445" s="1">
        <f t="shared" si="277"/>
        <v>12</v>
      </c>
      <c r="D4445" s="5">
        <f ca="1">IF(getQuality(B4445)&lt;4,getOtherMin(B4445,C4445,INDIRECT(J$2),INDIRECT(I4445),test),getMin(B4445,C4445,INDIRECT(J$2),INDIRECT(I4445),test))</f>
        <v>329.28048273180752</v>
      </c>
      <c r="E4445" s="5">
        <f ca="1">IF(getQuality(B4445)&lt;4,getOtherMax(B4445,C4445,INDIRECT(J$2),INDIRECT(I4445),test),getMax(B4445,C4445,INDIRECT(J$2),INDIRECT(I4445),test))</f>
        <v>390.92443123182665</v>
      </c>
      <c r="F4445" s="1" t="str">
        <f t="shared" si="279"/>
        <v>50</v>
      </c>
      <c r="G4445" s="1" t="str">
        <f t="shared" si="280"/>
        <v/>
      </c>
      <c r="I4445" s="1" t="str">
        <f t="shared" si="278"/>
        <v>威尔新数值1.06.xlsm!suitPower</v>
      </c>
    </row>
    <row r="4446" spans="1:9" x14ac:dyDescent="0.15">
      <c r="A4446" s="1">
        <v>4445</v>
      </c>
      <c r="B4446" s="1">
        <v>103091000</v>
      </c>
      <c r="C4446" s="1">
        <f t="shared" si="277"/>
        <v>13</v>
      </c>
      <c r="D4446" s="5">
        <f ca="1">IF(getQuality(B4446)&lt;4,getOtherMin(B4446,C4446,INDIRECT(J$2),INDIRECT(I4446),test),getMin(B4446,C4446,INDIRECT(J$2),INDIRECT(I4446),test))</f>
        <v>329.28048273180752</v>
      </c>
      <c r="E4446" s="5">
        <f ca="1">IF(getQuality(B4446)&lt;4,getOtherMax(B4446,C4446,INDIRECT(J$2),INDIRECT(I4446),test),getMax(B4446,C4446,INDIRECT(J$2),INDIRECT(I4446),test))</f>
        <v>390.92443123182665</v>
      </c>
      <c r="F4446" s="1" t="str">
        <f t="shared" si="279"/>
        <v>50</v>
      </c>
      <c r="G4446" s="1" t="str">
        <f t="shared" si="280"/>
        <v/>
      </c>
      <c r="I4446" s="1" t="str">
        <f t="shared" si="278"/>
        <v>威尔新数值1.06.xlsm!suitPower</v>
      </c>
    </row>
    <row r="4447" spans="1:9" x14ac:dyDescent="0.15">
      <c r="A4447" s="1">
        <v>4446</v>
      </c>
      <c r="B4447" s="1">
        <v>103091000</v>
      </c>
      <c r="C4447" s="1">
        <f t="shared" si="277"/>
        <v>14</v>
      </c>
      <c r="D4447" s="5">
        <f ca="1">IF(getQuality(B4447)&lt;4,getOtherMin(B4447,C4447,INDIRECT(J$2),INDIRECT(I4447),test),getMin(B4447,C4447,INDIRECT(J$2),INDIRECT(I4447),test))</f>
        <v>329.28048273180752</v>
      </c>
      <c r="E4447" s="5">
        <f ca="1">IF(getQuality(B4447)&lt;4,getOtherMax(B4447,C4447,INDIRECT(J$2),INDIRECT(I4447),test),getMax(B4447,C4447,INDIRECT(J$2),INDIRECT(I4447),test))</f>
        <v>390.92443123182665</v>
      </c>
      <c r="F4447" s="1" t="str">
        <f t="shared" si="279"/>
        <v>50</v>
      </c>
      <c r="G4447" s="1" t="str">
        <f t="shared" si="280"/>
        <v/>
      </c>
      <c r="I4447" s="1" t="str">
        <f t="shared" si="278"/>
        <v>威尔新数值1.06.xlsm!suitPower</v>
      </c>
    </row>
    <row r="4448" spans="1:9" x14ac:dyDescent="0.15">
      <c r="A4448" s="1">
        <v>4447</v>
      </c>
      <c r="B4448" s="1">
        <v>103091000</v>
      </c>
      <c r="C4448" s="1">
        <f t="shared" si="277"/>
        <v>15</v>
      </c>
      <c r="D4448" s="5">
        <f ca="1">IF(getQuality(B4448)&lt;4,getOtherMin(B4448,C4448,INDIRECT(J$2),INDIRECT(I4448),test),getMin(B4448,C4448,INDIRECT(J$2),INDIRECT(I4448),test))</f>
        <v>329.28048273180752</v>
      </c>
      <c r="E4448" s="5">
        <f ca="1">IF(getQuality(B4448)&lt;4,getOtherMax(B4448,C4448,INDIRECT(J$2),INDIRECT(I4448),test),getMax(B4448,C4448,INDIRECT(J$2),INDIRECT(I4448),test))</f>
        <v>390.92443123182665</v>
      </c>
      <c r="F4448" s="1" t="str">
        <f t="shared" si="279"/>
        <v>50</v>
      </c>
      <c r="G4448" s="1" t="str">
        <f t="shared" si="280"/>
        <v/>
      </c>
      <c r="I4448" s="1" t="str">
        <f t="shared" si="278"/>
        <v>威尔新数值1.06.xlsm!suitPower</v>
      </c>
    </row>
    <row r="4449" spans="1:9" x14ac:dyDescent="0.15">
      <c r="A4449" s="1">
        <v>4448</v>
      </c>
      <c r="B4449" s="1">
        <v>103091000</v>
      </c>
      <c r="C4449" s="1">
        <f t="shared" si="277"/>
        <v>101</v>
      </c>
      <c r="D4449" s="5">
        <f ca="1">IF(getQuality(B4449)&lt;4,getOtherMin(B4449,C4449,INDIRECT(J$2),INDIRECT(I4449),test),getMin(B4449,C4449,INDIRECT(J$2),INDIRECT(I4449),test))</f>
        <v>0.15</v>
      </c>
      <c r="E4449" s="5">
        <f ca="1">IF(getQuality(B4449)&lt;4,getOtherMax(B4449,C4449,INDIRECT(J$2),INDIRECT(I4449),test),getMax(B4449,C4449,INDIRECT(J$2),INDIRECT(I4449),test))</f>
        <v>0.18</v>
      </c>
      <c r="F4449" s="1" t="str">
        <f t="shared" si="279"/>
        <v>50</v>
      </c>
      <c r="G4449" s="1" t="str">
        <f t="shared" si="280"/>
        <v/>
      </c>
      <c r="I4449" s="1" t="str">
        <f t="shared" si="278"/>
        <v>威尔新数值1.06.xlsm!circlePer</v>
      </c>
    </row>
    <row r="4450" spans="1:9" x14ac:dyDescent="0.15">
      <c r="A4450" s="1">
        <v>4449</v>
      </c>
      <c r="B4450" s="1">
        <v>103091000</v>
      </c>
      <c r="C4450" s="1">
        <f t="shared" si="277"/>
        <v>102</v>
      </c>
      <c r="D4450" s="5">
        <f ca="1">IF(getQuality(B4450)&lt;4,getOtherMin(B4450,C4450,INDIRECT(J$2),INDIRECT(I4450),test),getMin(B4450,C4450,INDIRECT(J$2),INDIRECT(I4450),test))</f>
        <v>1.4</v>
      </c>
      <c r="E4450" s="5">
        <f ca="1">IF(getQuality(B4450)&lt;4,getOtherMax(B4450,C4450,INDIRECT(J$2),INDIRECT(I4450),test),getMax(B4450,C4450,INDIRECT(J$2),INDIRECT(I4450),test))</f>
        <v>1.7</v>
      </c>
      <c r="F4450" s="1" t="str">
        <f t="shared" si="279"/>
        <v>50</v>
      </c>
      <c r="G4450" s="1" t="str">
        <f t="shared" si="280"/>
        <v/>
      </c>
      <c r="I4450" s="1" t="str">
        <f t="shared" si="278"/>
        <v>威尔新数值1.06.xlsm!circleValue</v>
      </c>
    </row>
    <row r="4451" spans="1:9" x14ac:dyDescent="0.15">
      <c r="A4451" s="1">
        <v>4450</v>
      </c>
      <c r="B4451" s="1">
        <v>103091000</v>
      </c>
      <c r="C4451" s="1">
        <f t="shared" si="277"/>
        <v>103</v>
      </c>
      <c r="D4451" s="5">
        <f ca="1">IF(getQuality(B4451)&lt;4,getOtherMin(B4451,C4451,INDIRECT(J$2),INDIRECT(I4451),test),getMin(B4451,C4451,INDIRECT(J$2),INDIRECT(I4451),test))</f>
        <v>0.15</v>
      </c>
      <c r="E4451" s="5">
        <f ca="1">IF(getQuality(B4451)&lt;4,getOtherMax(B4451,C4451,INDIRECT(J$2),INDIRECT(I4451),test),getMax(B4451,C4451,INDIRECT(J$2),INDIRECT(I4451),test))</f>
        <v>0.18</v>
      </c>
      <c r="F4451" s="1" t="str">
        <f t="shared" si="279"/>
        <v>50</v>
      </c>
      <c r="G4451" s="1" t="str">
        <f t="shared" si="280"/>
        <v/>
      </c>
      <c r="I4451" s="1" t="str">
        <f t="shared" si="278"/>
        <v>威尔新数值1.06.xlsm!otherDamage</v>
      </c>
    </row>
    <row r="4452" spans="1:9" x14ac:dyDescent="0.15">
      <c r="A4452" s="1">
        <v>4451</v>
      </c>
      <c r="B4452" s="1">
        <v>103091000</v>
      </c>
      <c r="C4452" s="1">
        <f t="shared" si="277"/>
        <v>104</v>
      </c>
      <c r="D4452" s="5">
        <f ca="1">IF(getQuality(B4452)&lt;4,getOtherMin(B4452,C4452,INDIRECT(J$2),INDIRECT(I4452),test),getMin(B4452,C4452,INDIRECT(J$2),INDIRECT(I4452),test))</f>
        <v>0.15</v>
      </c>
      <c r="E4452" s="5">
        <f ca="1">IF(getQuality(B4452)&lt;4,getOtherMax(B4452,C4452,INDIRECT(J$2),INDIRECT(I4452),test),getMax(B4452,C4452,INDIRECT(J$2),INDIRECT(I4452),test))</f>
        <v>0.3</v>
      </c>
      <c r="F4452" s="1" t="str">
        <f t="shared" si="279"/>
        <v>50</v>
      </c>
      <c r="G4452" s="1" t="str">
        <f t="shared" si="280"/>
        <v/>
      </c>
      <c r="I4452" s="1" t="str">
        <f t="shared" si="278"/>
        <v>威尔新数值1.06.xlsm!monsterDamage</v>
      </c>
    </row>
    <row r="4453" spans="1:9" x14ac:dyDescent="0.15">
      <c r="A4453" s="1">
        <v>4452</v>
      </c>
      <c r="B4453" s="1">
        <v>103091000</v>
      </c>
      <c r="C4453" s="1">
        <f t="shared" si="277"/>
        <v>105</v>
      </c>
      <c r="D4453" s="5">
        <f ca="1">IF(getQuality(B4453)&lt;4,getOtherMin(B4453,C4453,INDIRECT(J$2),INDIRECT(I4453),test),getMin(B4453,C4453,INDIRECT(J$2),INDIRECT(I4453),test))</f>
        <v>0.15</v>
      </c>
      <c r="E4453" s="5">
        <f ca="1">IF(getQuality(B4453)&lt;4,getOtherMax(B4453,C4453,INDIRECT(J$2),INDIRECT(I4453),test),getMax(B4453,C4453,INDIRECT(J$2),INDIRECT(I4453),test))</f>
        <v>0.3</v>
      </c>
      <c r="F4453" s="1" t="str">
        <f t="shared" si="279"/>
        <v>50</v>
      </c>
      <c r="G4453" s="1" t="str">
        <f t="shared" si="280"/>
        <v/>
      </c>
      <c r="I4453" s="1" t="str">
        <f t="shared" si="278"/>
        <v>威尔新数值1.06.xlsm!monsterDamage</v>
      </c>
    </row>
    <row r="4454" spans="1:9" x14ac:dyDescent="0.15">
      <c r="A4454" s="1">
        <v>4453</v>
      </c>
      <c r="B4454" s="1">
        <v>103091000</v>
      </c>
      <c r="C4454" s="1">
        <f t="shared" si="277"/>
        <v>106</v>
      </c>
      <c r="D4454" s="5">
        <f ca="1">IF(getQuality(B4454)&lt;4,getOtherMin(B4454,C4454,INDIRECT(J$2),INDIRECT(I4454),test),getMin(B4454,C4454,INDIRECT(J$2),INDIRECT(I4454),test))</f>
        <v>0.15</v>
      </c>
      <c r="E4454" s="5">
        <f ca="1">IF(getQuality(B4454)&lt;4,getOtherMax(B4454,C4454,INDIRECT(J$2),INDIRECT(I4454),test),getMax(B4454,C4454,INDIRECT(J$2),INDIRECT(I4454),test))</f>
        <v>0.3</v>
      </c>
      <c r="F4454" s="1" t="str">
        <f t="shared" si="279"/>
        <v>50</v>
      </c>
      <c r="G4454" s="1" t="str">
        <f t="shared" si="280"/>
        <v/>
      </c>
      <c r="I4454" s="1" t="str">
        <f t="shared" si="278"/>
        <v>威尔新数值1.06.xlsm!monsterDamage</v>
      </c>
    </row>
    <row r="4455" spans="1:9" x14ac:dyDescent="0.15">
      <c r="A4455" s="1">
        <v>4454</v>
      </c>
      <c r="B4455" s="1">
        <v>103091000</v>
      </c>
      <c r="C4455" s="1">
        <f t="shared" si="277"/>
        <v>107</v>
      </c>
      <c r="D4455" s="5">
        <f ca="1">IF(getQuality(B4455)&lt;4,getOtherMin(B4455,C4455,INDIRECT(J$2),INDIRECT(I4455),test),getMin(B4455,C4455,INDIRECT(J$2),INDIRECT(I4455),test))</f>
        <v>0.15</v>
      </c>
      <c r="E4455" s="5">
        <f ca="1">IF(getQuality(B4455)&lt;4,getOtherMax(B4455,C4455,INDIRECT(J$2),INDIRECT(I4455),test),getMax(B4455,C4455,INDIRECT(J$2),INDIRECT(I4455),test))</f>
        <v>0.3</v>
      </c>
      <c r="F4455" s="1" t="str">
        <f t="shared" si="279"/>
        <v>50</v>
      </c>
      <c r="G4455" s="1" t="str">
        <f t="shared" si="280"/>
        <v/>
      </c>
      <c r="I4455" s="1" t="str">
        <f t="shared" si="278"/>
        <v>威尔新数值1.06.xlsm!monsterDamage</v>
      </c>
    </row>
    <row r="4456" spans="1:9" x14ac:dyDescent="0.15">
      <c r="A4456" s="1">
        <v>4455</v>
      </c>
      <c r="B4456" s="1">
        <v>103091000</v>
      </c>
      <c r="C4456" s="1">
        <f t="shared" si="277"/>
        <v>108</v>
      </c>
      <c r="D4456" s="5">
        <f ca="1">IF(getQuality(B4456)&lt;4,getOtherMin(B4456,C4456,INDIRECT(J$2),INDIRECT(I4456),test),getMin(B4456,C4456,INDIRECT(J$2),INDIRECT(I4456),test))</f>
        <v>0.15</v>
      </c>
      <c r="E4456" s="5">
        <f ca="1">IF(getQuality(B4456)&lt;4,getOtherMax(B4456,C4456,INDIRECT(J$2),INDIRECT(I4456),test),getMax(B4456,C4456,INDIRECT(J$2),INDIRECT(I4456),test))</f>
        <v>0.3</v>
      </c>
      <c r="F4456" s="1" t="str">
        <f t="shared" si="279"/>
        <v>50</v>
      </c>
      <c r="G4456" s="1" t="str">
        <f t="shared" si="280"/>
        <v/>
      </c>
      <c r="I4456" s="1" t="str">
        <f t="shared" si="278"/>
        <v>威尔新数值1.06.xlsm!monsterDamage</v>
      </c>
    </row>
    <row r="4457" spans="1:9" x14ac:dyDescent="0.15">
      <c r="A4457" s="1">
        <v>4456</v>
      </c>
      <c r="B4457" s="1">
        <v>103011100</v>
      </c>
      <c r="C4457" s="1">
        <f t="shared" si="277"/>
        <v>3</v>
      </c>
      <c r="D4457" s="5">
        <f ca="1">IF(getQuality(B4457)&lt;4,getOtherMin(B4457,C4457,INDIRECT(J$2),INDIRECT(I4457),test),getMin(B4457,C4457,INDIRECT(J$2),INDIRECT(I4457),test))</f>
        <v>1</v>
      </c>
      <c r="E4457" s="5">
        <f ca="1">IF(getQuality(B4457)&lt;4,getOtherMax(B4457,C4457,INDIRECT(J$2),INDIRECT(I4457),test),getMax(B4457,C4457,INDIRECT(J$2),INDIRECT(I4457),test))</f>
        <v>24.009875731714647</v>
      </c>
      <c r="F4457" s="1" t="str">
        <f t="shared" si="279"/>
        <v>50</v>
      </c>
      <c r="G4457" s="1" t="str">
        <f t="shared" si="280"/>
        <v/>
      </c>
      <c r="I4457" s="1" t="str">
        <f t="shared" si="278"/>
        <v>威尔新数值1.06.xlsm!suitPower</v>
      </c>
    </row>
    <row r="4458" spans="1:9" x14ac:dyDescent="0.15">
      <c r="A4458" s="1">
        <v>4457</v>
      </c>
      <c r="B4458" s="1">
        <v>103011100</v>
      </c>
      <c r="C4458" s="1">
        <f t="shared" si="277"/>
        <v>5</v>
      </c>
      <c r="D4458" s="5">
        <f ca="1">IF(getQuality(B4458)&lt;4,getOtherMin(B4458,C4458,INDIRECT(J$2),INDIRECT(I4458),test),getMin(B4458,C4458,INDIRECT(J$2),INDIRECT(I4458),test))</f>
        <v>1</v>
      </c>
      <c r="E4458" s="5">
        <f ca="1">IF(getQuality(B4458)&lt;4,getOtherMax(B4458,C4458,INDIRECT(J$2),INDIRECT(I4458),test),getMax(B4458,C4458,INDIRECT(J$2),INDIRECT(I4458),test))</f>
        <v>24.009875731714647</v>
      </c>
      <c r="F4458" s="1" t="str">
        <f t="shared" si="279"/>
        <v>50</v>
      </c>
      <c r="G4458" s="1" t="str">
        <f t="shared" si="280"/>
        <v>1</v>
      </c>
      <c r="I4458" s="1" t="str">
        <f t="shared" si="278"/>
        <v>威尔新数值1.06.xlsm!suitPower</v>
      </c>
    </row>
    <row r="4459" spans="1:9" x14ac:dyDescent="0.15">
      <c r="A4459" s="1">
        <v>4458</v>
      </c>
      <c r="B4459" s="1">
        <v>103011100</v>
      </c>
      <c r="C4459" s="1">
        <f t="shared" si="277"/>
        <v>7</v>
      </c>
      <c r="D4459" s="5">
        <f ca="1">IF(getQuality(B4459)&lt;4,getOtherMin(B4459,C4459,INDIRECT(J$2),INDIRECT(I4459),test),getMin(B4459,C4459,INDIRECT(J$2),INDIRECT(I4459),test))</f>
        <v>1</v>
      </c>
      <c r="E4459" s="5">
        <f ca="1">IF(getQuality(B4459)&lt;4,getOtherMax(B4459,C4459,INDIRECT(J$2),INDIRECT(I4459),test),getMax(B4459,C4459,INDIRECT(J$2),INDIRECT(I4459),test))</f>
        <v>7.4074074074073888</v>
      </c>
      <c r="F4459" s="1" t="str">
        <f t="shared" si="279"/>
        <v>50</v>
      </c>
      <c r="G4459" s="1" t="str">
        <f t="shared" si="280"/>
        <v/>
      </c>
      <c r="I4459" s="1" t="str">
        <f t="shared" si="278"/>
        <v>威尔新数值1.06.xlsm!suitPower</v>
      </c>
    </row>
    <row r="4460" spans="1:9" x14ac:dyDescent="0.15">
      <c r="A4460" s="1">
        <v>4459</v>
      </c>
      <c r="B4460" s="1">
        <v>103011100</v>
      </c>
      <c r="C4460" s="1">
        <f t="shared" si="277"/>
        <v>8</v>
      </c>
      <c r="D4460" s="5">
        <f ca="1">IF(getQuality(B4460)&lt;4,getOtherMin(B4460,C4460,INDIRECT(J$2),INDIRECT(I4460),test),getMin(B4460,C4460,INDIRECT(J$2),INDIRECT(I4460),test))</f>
        <v>1</v>
      </c>
      <c r="E4460" s="5">
        <f ca="1">IF(getQuality(B4460)&lt;4,getOtherMax(B4460,C4460,INDIRECT(J$2),INDIRECT(I4460),test),getMax(B4460,C4460,INDIRECT(J$2),INDIRECT(I4460),test))</f>
        <v>16.666666666666668</v>
      </c>
      <c r="F4460" s="1" t="str">
        <f t="shared" si="279"/>
        <v>50</v>
      </c>
      <c r="G4460" s="1" t="str">
        <f t="shared" si="280"/>
        <v/>
      </c>
      <c r="I4460" s="1" t="str">
        <f t="shared" si="278"/>
        <v>威尔新数值1.06.xlsm!suitPower</v>
      </c>
    </row>
    <row r="4461" spans="1:9" x14ac:dyDescent="0.15">
      <c r="A4461" s="1">
        <v>4460</v>
      </c>
      <c r="B4461" s="1">
        <v>103011100</v>
      </c>
      <c r="C4461" s="1">
        <f t="shared" si="277"/>
        <v>9</v>
      </c>
      <c r="D4461" s="5">
        <f ca="1">IF(getQuality(B4461)&lt;4,getOtherMin(B4461,C4461,INDIRECT(J$2),INDIRECT(I4461),test),getMin(B4461,C4461,INDIRECT(J$2),INDIRECT(I4461),test))</f>
        <v>1</v>
      </c>
      <c r="E4461" s="5">
        <f ca="1">IF(getQuality(B4461)&lt;4,getOtherMax(B4461,C4461,INDIRECT(J$2),INDIRECT(I4461),test),getMax(B4461,C4461,INDIRECT(J$2),INDIRECT(I4461),test))</f>
        <v>24.009875731714647</v>
      </c>
      <c r="F4461" s="1" t="str">
        <f t="shared" si="279"/>
        <v>50</v>
      </c>
      <c r="G4461" s="1" t="str">
        <f t="shared" si="280"/>
        <v/>
      </c>
      <c r="I4461" s="1" t="str">
        <f t="shared" si="278"/>
        <v>威尔新数值1.06.xlsm!suitPower</v>
      </c>
    </row>
    <row r="4462" spans="1:9" x14ac:dyDescent="0.15">
      <c r="A4462" s="1">
        <v>4461</v>
      </c>
      <c r="B4462" s="1">
        <v>103011100</v>
      </c>
      <c r="C4462" s="1">
        <f t="shared" si="277"/>
        <v>10</v>
      </c>
      <c r="D4462" s="5">
        <f ca="1">IF(getQuality(B4462)&lt;4,getOtherMin(B4462,C4462,INDIRECT(J$2),INDIRECT(I4462),test),getMin(B4462,C4462,INDIRECT(J$2),INDIRECT(I4462),test))</f>
        <v>1</v>
      </c>
      <c r="E4462" s="5">
        <f ca="1">IF(getQuality(B4462)&lt;4,getOtherMax(B4462,C4462,INDIRECT(J$2),INDIRECT(I4462),test),getMax(B4462,C4462,INDIRECT(J$2),INDIRECT(I4462),test))</f>
        <v>24.009875731714647</v>
      </c>
      <c r="F4462" s="1" t="str">
        <f t="shared" si="279"/>
        <v>50</v>
      </c>
      <c r="G4462" s="1" t="str">
        <f t="shared" si="280"/>
        <v/>
      </c>
      <c r="I4462" s="1" t="str">
        <f t="shared" si="278"/>
        <v>威尔新数值1.06.xlsm!suitPower</v>
      </c>
    </row>
    <row r="4463" spans="1:9" x14ac:dyDescent="0.15">
      <c r="A4463" s="1">
        <v>4462</v>
      </c>
      <c r="B4463" s="1">
        <v>103011100</v>
      </c>
      <c r="C4463" s="1">
        <f t="shared" si="277"/>
        <v>11</v>
      </c>
      <c r="D4463" s="5">
        <f ca="1">IF(getQuality(B4463)&lt;4,getOtherMin(B4463,C4463,INDIRECT(J$2),INDIRECT(I4463),test),getMin(B4463,C4463,INDIRECT(J$2),INDIRECT(I4463),test))</f>
        <v>1</v>
      </c>
      <c r="E4463" s="5">
        <f ca="1">IF(getQuality(B4463)&lt;4,getOtherMax(B4463,C4463,INDIRECT(J$2),INDIRECT(I4463),test),getMax(B4463,C4463,INDIRECT(J$2),INDIRECT(I4463),test))</f>
        <v>24.009875731714647</v>
      </c>
      <c r="F4463" s="1" t="str">
        <f t="shared" si="279"/>
        <v>50</v>
      </c>
      <c r="G4463" s="1" t="str">
        <f t="shared" si="280"/>
        <v/>
      </c>
      <c r="I4463" s="1" t="str">
        <f t="shared" si="278"/>
        <v>威尔新数值1.06.xlsm!suitPower</v>
      </c>
    </row>
    <row r="4464" spans="1:9" x14ac:dyDescent="0.15">
      <c r="A4464" s="1">
        <v>4463</v>
      </c>
      <c r="B4464" s="1">
        <v>103011100</v>
      </c>
      <c r="C4464" s="1">
        <f t="shared" si="277"/>
        <v>12</v>
      </c>
      <c r="D4464" s="5">
        <f ca="1">IF(getQuality(B4464)&lt;4,getOtherMin(B4464,C4464,INDIRECT(J$2),INDIRECT(I4464),test),getMin(B4464,C4464,INDIRECT(J$2),INDIRECT(I4464),test))</f>
        <v>1</v>
      </c>
      <c r="E4464" s="5">
        <f ca="1">IF(getQuality(B4464)&lt;4,getOtherMax(B4464,C4464,INDIRECT(J$2),INDIRECT(I4464),test),getMax(B4464,C4464,INDIRECT(J$2),INDIRECT(I4464),test))</f>
        <v>24.009875731714647</v>
      </c>
      <c r="F4464" s="1" t="str">
        <f t="shared" si="279"/>
        <v>50</v>
      </c>
      <c r="G4464" s="1" t="str">
        <f t="shared" si="280"/>
        <v/>
      </c>
      <c r="I4464" s="1" t="str">
        <f t="shared" si="278"/>
        <v>威尔新数值1.06.xlsm!suitPower</v>
      </c>
    </row>
    <row r="4465" spans="1:9" x14ac:dyDescent="0.15">
      <c r="A4465" s="1">
        <v>4464</v>
      </c>
      <c r="B4465" s="1">
        <v>103011100</v>
      </c>
      <c r="C4465" s="1">
        <f t="shared" si="277"/>
        <v>13</v>
      </c>
      <c r="D4465" s="5">
        <f ca="1">IF(getQuality(B4465)&lt;4,getOtherMin(B4465,C4465,INDIRECT(J$2),INDIRECT(I4465),test),getMin(B4465,C4465,INDIRECT(J$2),INDIRECT(I4465),test))</f>
        <v>1</v>
      </c>
      <c r="E4465" s="5">
        <f ca="1">IF(getQuality(B4465)&lt;4,getOtherMax(B4465,C4465,INDIRECT(J$2),INDIRECT(I4465),test),getMax(B4465,C4465,INDIRECT(J$2),INDIRECT(I4465),test))</f>
        <v>24.009875731714647</v>
      </c>
      <c r="F4465" s="1" t="str">
        <f t="shared" si="279"/>
        <v>50</v>
      </c>
      <c r="G4465" s="1" t="str">
        <f t="shared" si="280"/>
        <v/>
      </c>
      <c r="I4465" s="1" t="str">
        <f t="shared" si="278"/>
        <v>威尔新数值1.06.xlsm!suitPower</v>
      </c>
    </row>
    <row r="4466" spans="1:9" x14ac:dyDescent="0.15">
      <c r="A4466" s="1">
        <v>4465</v>
      </c>
      <c r="B4466" s="1">
        <v>103011100</v>
      </c>
      <c r="C4466" s="1">
        <f t="shared" si="277"/>
        <v>14</v>
      </c>
      <c r="D4466" s="5">
        <f ca="1">IF(getQuality(B4466)&lt;4,getOtherMin(B4466,C4466,INDIRECT(J$2),INDIRECT(I4466),test),getMin(B4466,C4466,INDIRECT(J$2),INDIRECT(I4466),test))</f>
        <v>1</v>
      </c>
      <c r="E4466" s="5">
        <f ca="1">IF(getQuality(B4466)&lt;4,getOtherMax(B4466,C4466,INDIRECT(J$2),INDIRECT(I4466),test),getMax(B4466,C4466,INDIRECT(J$2),INDIRECT(I4466),test))</f>
        <v>24.009875731714647</v>
      </c>
      <c r="F4466" s="1" t="str">
        <f t="shared" si="279"/>
        <v>50</v>
      </c>
      <c r="G4466" s="1" t="str">
        <f t="shared" si="280"/>
        <v/>
      </c>
      <c r="I4466" s="1" t="str">
        <f t="shared" si="278"/>
        <v>威尔新数值1.06.xlsm!suitPower</v>
      </c>
    </row>
    <row r="4467" spans="1:9" x14ac:dyDescent="0.15">
      <c r="A4467" s="1">
        <v>4466</v>
      </c>
      <c r="B4467" s="1">
        <v>103011100</v>
      </c>
      <c r="C4467" s="1">
        <f t="shared" si="277"/>
        <v>15</v>
      </c>
      <c r="D4467" s="5">
        <f ca="1">IF(getQuality(B4467)&lt;4,getOtherMin(B4467,C4467,INDIRECT(J$2),INDIRECT(I4467),test),getMin(B4467,C4467,INDIRECT(J$2),INDIRECT(I4467),test))</f>
        <v>1</v>
      </c>
      <c r="E4467" s="5">
        <f ca="1">IF(getQuality(B4467)&lt;4,getOtherMax(B4467,C4467,INDIRECT(J$2),INDIRECT(I4467),test),getMax(B4467,C4467,INDIRECT(J$2),INDIRECT(I4467),test))</f>
        <v>24.009875731714647</v>
      </c>
      <c r="F4467" s="1" t="str">
        <f t="shared" si="279"/>
        <v>50</v>
      </c>
      <c r="G4467" s="1" t="str">
        <f t="shared" si="280"/>
        <v/>
      </c>
      <c r="I4467" s="1" t="str">
        <f t="shared" si="278"/>
        <v>威尔新数值1.06.xlsm!suitPower</v>
      </c>
    </row>
    <row r="4468" spans="1:9" x14ac:dyDescent="0.15">
      <c r="A4468" s="1">
        <v>4467</v>
      </c>
      <c r="B4468" s="1">
        <v>103011100</v>
      </c>
      <c r="C4468" s="1">
        <f t="shared" si="277"/>
        <v>101</v>
      </c>
      <c r="D4468" s="5">
        <f ca="1">IF(getQuality(B4468)&lt;4,getOtherMin(B4468,C4468,INDIRECT(J$2),INDIRECT(I4468),test),getMin(B4468,C4468,INDIRECT(J$2),INDIRECT(I4468),test))</f>
        <v>7.0000000000000007E-2</v>
      </c>
      <c r="E4468" s="5">
        <f ca="1">IF(getQuality(B4468)&lt;4,getOtherMax(B4468,C4468,INDIRECT(J$2),INDIRECT(I4468),test),getMax(B4468,C4468,INDIRECT(J$2),INDIRECT(I4468),test))</f>
        <v>0.1</v>
      </c>
      <c r="F4468" s="1" t="str">
        <f t="shared" si="279"/>
        <v>50</v>
      </c>
      <c r="G4468" s="1" t="str">
        <f t="shared" si="280"/>
        <v/>
      </c>
      <c r="I4468" s="1" t="str">
        <f t="shared" si="278"/>
        <v>威尔新数值1.06.xlsm!circlePer</v>
      </c>
    </row>
    <row r="4469" spans="1:9" x14ac:dyDescent="0.15">
      <c r="A4469" s="1">
        <v>4468</v>
      </c>
      <c r="B4469" s="1">
        <v>103011100</v>
      </c>
      <c r="C4469" s="1">
        <f t="shared" si="277"/>
        <v>102</v>
      </c>
      <c r="D4469" s="5">
        <f ca="1">IF(getQuality(B4469)&lt;4,getOtherMin(B4469,C4469,INDIRECT(J$2),INDIRECT(I4469),test),getMin(B4469,C4469,INDIRECT(J$2),INDIRECT(I4469),test))</f>
        <v>0.6</v>
      </c>
      <c r="E4469" s="5">
        <f ca="1">IF(getQuality(B4469)&lt;4,getOtherMax(B4469,C4469,INDIRECT(J$2),INDIRECT(I4469),test),getMax(B4469,C4469,INDIRECT(J$2),INDIRECT(I4469),test))</f>
        <v>0.9</v>
      </c>
      <c r="F4469" s="1" t="str">
        <f t="shared" si="279"/>
        <v>50</v>
      </c>
      <c r="G4469" s="1" t="str">
        <f t="shared" si="280"/>
        <v/>
      </c>
      <c r="I4469" s="1" t="str">
        <f t="shared" si="278"/>
        <v>威尔新数值1.06.xlsm!circleValue</v>
      </c>
    </row>
    <row r="4470" spans="1:9" x14ac:dyDescent="0.15">
      <c r="A4470" s="1">
        <v>4469</v>
      </c>
      <c r="B4470" s="1">
        <v>103011100</v>
      </c>
      <c r="C4470" s="1">
        <f t="shared" si="277"/>
        <v>103</v>
      </c>
      <c r="D4470" s="5">
        <f ca="1">IF(getQuality(B4470)&lt;4,getOtherMin(B4470,C4470,INDIRECT(J$2),INDIRECT(I4470),test),getMin(B4470,C4470,INDIRECT(J$2),INDIRECT(I4470),test))</f>
        <v>7.0000000000000007E-2</v>
      </c>
      <c r="E4470" s="5">
        <f ca="1">IF(getQuality(B4470)&lt;4,getOtherMax(B4470,C4470,INDIRECT(J$2),INDIRECT(I4470),test),getMax(B4470,C4470,INDIRECT(J$2),INDIRECT(I4470),test))</f>
        <v>0.1</v>
      </c>
      <c r="F4470" s="1" t="str">
        <f t="shared" si="279"/>
        <v>50</v>
      </c>
      <c r="G4470" s="1" t="str">
        <f t="shared" si="280"/>
        <v/>
      </c>
      <c r="I4470" s="1" t="str">
        <f t="shared" si="278"/>
        <v>威尔新数值1.06.xlsm!otherDamage</v>
      </c>
    </row>
    <row r="4471" spans="1:9" x14ac:dyDescent="0.15">
      <c r="A4471" s="1">
        <v>4470</v>
      </c>
      <c r="B4471" s="1">
        <v>103011100</v>
      </c>
      <c r="C4471" s="1">
        <f t="shared" si="277"/>
        <v>104</v>
      </c>
      <c r="D4471" s="5">
        <f ca="1">IF(getQuality(B4471)&lt;4,getOtherMin(B4471,C4471,INDIRECT(J$2),INDIRECT(I4471),test),getMin(B4471,C4471,INDIRECT(J$2),INDIRECT(I4471),test))</f>
        <v>7.0000000000000007E-2</v>
      </c>
      <c r="E4471" s="5">
        <f ca="1">IF(getQuality(B4471)&lt;4,getOtherMax(B4471,C4471,INDIRECT(J$2),INDIRECT(I4471),test),getMax(B4471,C4471,INDIRECT(J$2),INDIRECT(I4471),test))</f>
        <v>0.14000000000000001</v>
      </c>
      <c r="F4471" s="1" t="str">
        <f t="shared" si="279"/>
        <v>50</v>
      </c>
      <c r="G4471" s="1" t="str">
        <f t="shared" si="280"/>
        <v/>
      </c>
      <c r="I4471" s="1" t="str">
        <f t="shared" si="278"/>
        <v>威尔新数值1.06.xlsm!monsterDamage</v>
      </c>
    </row>
    <row r="4472" spans="1:9" x14ac:dyDescent="0.15">
      <c r="A4472" s="1">
        <v>4471</v>
      </c>
      <c r="B4472" s="1">
        <v>103011100</v>
      </c>
      <c r="C4472" s="1">
        <f t="shared" si="277"/>
        <v>105</v>
      </c>
      <c r="D4472" s="5">
        <f ca="1">IF(getQuality(B4472)&lt;4,getOtherMin(B4472,C4472,INDIRECT(J$2),INDIRECT(I4472),test),getMin(B4472,C4472,INDIRECT(J$2),INDIRECT(I4472),test))</f>
        <v>7.0000000000000007E-2</v>
      </c>
      <c r="E4472" s="5">
        <f ca="1">IF(getQuality(B4472)&lt;4,getOtherMax(B4472,C4472,INDIRECT(J$2),INDIRECT(I4472),test),getMax(B4472,C4472,INDIRECT(J$2),INDIRECT(I4472),test))</f>
        <v>0.14000000000000001</v>
      </c>
      <c r="F4472" s="1" t="str">
        <f t="shared" si="279"/>
        <v>50</v>
      </c>
      <c r="G4472" s="1" t="str">
        <f t="shared" si="280"/>
        <v/>
      </c>
      <c r="I4472" s="1" t="str">
        <f t="shared" si="278"/>
        <v>威尔新数值1.06.xlsm!monsterDamage</v>
      </c>
    </row>
    <row r="4473" spans="1:9" x14ac:dyDescent="0.15">
      <c r="A4473" s="1">
        <v>4472</v>
      </c>
      <c r="B4473" s="1">
        <v>103011100</v>
      </c>
      <c r="C4473" s="1">
        <f t="shared" si="277"/>
        <v>106</v>
      </c>
      <c r="D4473" s="5">
        <f ca="1">IF(getQuality(B4473)&lt;4,getOtherMin(B4473,C4473,INDIRECT(J$2),INDIRECT(I4473),test),getMin(B4473,C4473,INDIRECT(J$2),INDIRECT(I4473),test))</f>
        <v>7.0000000000000007E-2</v>
      </c>
      <c r="E4473" s="5">
        <f ca="1">IF(getQuality(B4473)&lt;4,getOtherMax(B4473,C4473,INDIRECT(J$2),INDIRECT(I4473),test),getMax(B4473,C4473,INDIRECT(J$2),INDIRECT(I4473),test))</f>
        <v>0.14000000000000001</v>
      </c>
      <c r="F4473" s="1" t="str">
        <f t="shared" si="279"/>
        <v>50</v>
      </c>
      <c r="G4473" s="1" t="str">
        <f t="shared" si="280"/>
        <v/>
      </c>
      <c r="I4473" s="1" t="str">
        <f t="shared" si="278"/>
        <v>威尔新数值1.06.xlsm!monsterDamage</v>
      </c>
    </row>
    <row r="4474" spans="1:9" x14ac:dyDescent="0.15">
      <c r="A4474" s="1">
        <v>4473</v>
      </c>
      <c r="B4474" s="1">
        <v>103011100</v>
      </c>
      <c r="C4474" s="1">
        <f t="shared" si="277"/>
        <v>107</v>
      </c>
      <c r="D4474" s="5">
        <f ca="1">IF(getQuality(B4474)&lt;4,getOtherMin(B4474,C4474,INDIRECT(J$2),INDIRECT(I4474),test),getMin(B4474,C4474,INDIRECT(J$2),INDIRECT(I4474),test))</f>
        <v>7.0000000000000007E-2</v>
      </c>
      <c r="E4474" s="5">
        <f ca="1">IF(getQuality(B4474)&lt;4,getOtherMax(B4474,C4474,INDIRECT(J$2),INDIRECT(I4474),test),getMax(B4474,C4474,INDIRECT(J$2),INDIRECT(I4474),test))</f>
        <v>0.14000000000000001</v>
      </c>
      <c r="F4474" s="1" t="str">
        <f t="shared" si="279"/>
        <v>50</v>
      </c>
      <c r="G4474" s="1" t="str">
        <f t="shared" si="280"/>
        <v/>
      </c>
      <c r="I4474" s="1" t="str">
        <f t="shared" si="278"/>
        <v>威尔新数值1.06.xlsm!monsterDamage</v>
      </c>
    </row>
    <row r="4475" spans="1:9" x14ac:dyDescent="0.15">
      <c r="A4475" s="1">
        <v>4474</v>
      </c>
      <c r="B4475" s="1">
        <v>103011100</v>
      </c>
      <c r="C4475" s="1">
        <f t="shared" si="277"/>
        <v>108</v>
      </c>
      <c r="D4475" s="5">
        <f ca="1">IF(getQuality(B4475)&lt;4,getOtherMin(B4475,C4475,INDIRECT(J$2),INDIRECT(I4475),test),getMin(B4475,C4475,INDIRECT(J$2),INDIRECT(I4475),test))</f>
        <v>7.0000000000000007E-2</v>
      </c>
      <c r="E4475" s="5">
        <f ca="1">IF(getQuality(B4475)&lt;4,getOtherMax(B4475,C4475,INDIRECT(J$2),INDIRECT(I4475),test),getMax(B4475,C4475,INDIRECT(J$2),INDIRECT(I4475),test))</f>
        <v>0.14000000000000001</v>
      </c>
      <c r="F4475" s="1" t="str">
        <f t="shared" si="279"/>
        <v>50</v>
      </c>
      <c r="G4475" s="1" t="str">
        <f t="shared" si="280"/>
        <v/>
      </c>
      <c r="I4475" s="1" t="str">
        <f t="shared" si="278"/>
        <v>威尔新数值1.06.xlsm!monsterDamage</v>
      </c>
    </row>
    <row r="4476" spans="1:9" x14ac:dyDescent="0.15">
      <c r="A4476" s="1">
        <v>4475</v>
      </c>
      <c r="B4476" s="1">
        <v>103021100</v>
      </c>
      <c r="C4476" s="1">
        <f t="shared" ref="C4476:C4539" si="281">C2001</f>
        <v>3</v>
      </c>
      <c r="D4476" s="5">
        <f ca="1">IF(getQuality(B4476)&lt;4,getOtherMin(B4476,C4476,INDIRECT(J$2),INDIRECT(I4476),test),getMin(B4476,C4476,INDIRECT(J$2),INDIRECT(I4476),test))</f>
        <v>25.009875731714647</v>
      </c>
      <c r="E4476" s="5">
        <f ca="1">IF(getQuality(B4476)&lt;4,getOtherMax(B4476,C4476,INDIRECT(J$2),INDIRECT(I4476),test),getMax(B4476,C4476,INDIRECT(J$2),INDIRECT(I4476),test))</f>
        <v>52.82172660977222</v>
      </c>
      <c r="F4476" s="1" t="str">
        <f t="shared" si="279"/>
        <v>50</v>
      </c>
      <c r="G4476" s="1" t="str">
        <f t="shared" si="280"/>
        <v/>
      </c>
      <c r="I4476" s="1" t="str">
        <f t="shared" si="278"/>
        <v>威尔新数值1.06.xlsm!suitPower</v>
      </c>
    </row>
    <row r="4477" spans="1:9" x14ac:dyDescent="0.15">
      <c r="A4477" s="1">
        <v>4476</v>
      </c>
      <c r="B4477" s="1">
        <v>103021100</v>
      </c>
      <c r="C4477" s="1">
        <f t="shared" si="281"/>
        <v>5</v>
      </c>
      <c r="D4477" s="5">
        <f ca="1">IF(getQuality(B4477)&lt;4,getOtherMin(B4477,C4477,INDIRECT(J$2),INDIRECT(I4477),test),getMin(B4477,C4477,INDIRECT(J$2),INDIRECT(I4477),test))</f>
        <v>25.009875731714647</v>
      </c>
      <c r="E4477" s="5">
        <f ca="1">IF(getQuality(B4477)&lt;4,getOtherMax(B4477,C4477,INDIRECT(J$2),INDIRECT(I4477),test),getMax(B4477,C4477,INDIRECT(J$2),INDIRECT(I4477),test))</f>
        <v>52.82172660977222</v>
      </c>
      <c r="F4477" s="1" t="str">
        <f t="shared" si="279"/>
        <v>50</v>
      </c>
      <c r="G4477" s="1" t="str">
        <f t="shared" si="280"/>
        <v>1</v>
      </c>
      <c r="I4477" s="1" t="str">
        <f t="shared" si="278"/>
        <v>威尔新数值1.06.xlsm!suitPower</v>
      </c>
    </row>
    <row r="4478" spans="1:9" x14ac:dyDescent="0.15">
      <c r="A4478" s="1">
        <v>4477</v>
      </c>
      <c r="B4478" s="1">
        <v>103021100</v>
      </c>
      <c r="C4478" s="1">
        <f t="shared" si="281"/>
        <v>7</v>
      </c>
      <c r="D4478" s="5">
        <f ca="1">IF(getQuality(B4478)&lt;4,getOtherMin(B4478,C4478,INDIRECT(J$2),INDIRECT(I4478),test),getMin(B4478,C4478,INDIRECT(J$2),INDIRECT(I4478),test))</f>
        <v>8.4074074074073888</v>
      </c>
      <c r="E4478" s="5">
        <f ca="1">IF(getQuality(B4478)&lt;4,getOtherMax(B4478,C4478,INDIRECT(J$2),INDIRECT(I4478),test),getMax(B4478,C4478,INDIRECT(J$2),INDIRECT(I4478),test))</f>
        <v>14.814814814814778</v>
      </c>
      <c r="F4478" s="1" t="str">
        <f t="shared" si="279"/>
        <v>50</v>
      </c>
      <c r="G4478" s="1" t="str">
        <f t="shared" si="280"/>
        <v/>
      </c>
      <c r="I4478" s="1" t="str">
        <f t="shared" si="278"/>
        <v>威尔新数值1.06.xlsm!suitPower</v>
      </c>
    </row>
    <row r="4479" spans="1:9" x14ac:dyDescent="0.15">
      <c r="A4479" s="1">
        <v>4478</v>
      </c>
      <c r="B4479" s="1">
        <v>103021100</v>
      </c>
      <c r="C4479" s="1">
        <f t="shared" si="281"/>
        <v>8</v>
      </c>
      <c r="D4479" s="5">
        <f ca="1">IF(getQuality(B4479)&lt;4,getOtherMin(B4479,C4479,INDIRECT(J$2),INDIRECT(I4479),test),getMin(B4479,C4479,INDIRECT(J$2),INDIRECT(I4479),test))</f>
        <v>17.666666666666668</v>
      </c>
      <c r="E4479" s="5">
        <f ca="1">IF(getQuality(B4479)&lt;4,getOtherMax(B4479,C4479,INDIRECT(J$2),INDIRECT(I4479),test),getMax(B4479,C4479,INDIRECT(J$2),INDIRECT(I4479),test))</f>
        <v>33.333333333333336</v>
      </c>
      <c r="F4479" s="1" t="str">
        <f t="shared" si="279"/>
        <v>50</v>
      </c>
      <c r="G4479" s="1" t="str">
        <f t="shared" si="280"/>
        <v/>
      </c>
      <c r="I4479" s="1" t="str">
        <f t="shared" si="278"/>
        <v>威尔新数值1.06.xlsm!suitPower</v>
      </c>
    </row>
    <row r="4480" spans="1:9" x14ac:dyDescent="0.15">
      <c r="A4480" s="1">
        <v>4479</v>
      </c>
      <c r="B4480" s="1">
        <v>103021100</v>
      </c>
      <c r="C4480" s="1">
        <f t="shared" si="281"/>
        <v>9</v>
      </c>
      <c r="D4480" s="5">
        <f ca="1">IF(getQuality(B4480)&lt;4,getOtherMin(B4480,C4480,INDIRECT(J$2),INDIRECT(I4480),test),getMin(B4480,C4480,INDIRECT(J$2),INDIRECT(I4480),test))</f>
        <v>25.009875731714647</v>
      </c>
      <c r="E4480" s="5">
        <f ca="1">IF(getQuality(B4480)&lt;4,getOtherMax(B4480,C4480,INDIRECT(J$2),INDIRECT(I4480),test),getMax(B4480,C4480,INDIRECT(J$2),INDIRECT(I4480),test))</f>
        <v>52.82172660977222</v>
      </c>
      <c r="F4480" s="1" t="str">
        <f t="shared" si="279"/>
        <v>50</v>
      </c>
      <c r="G4480" s="1" t="str">
        <f t="shared" si="280"/>
        <v/>
      </c>
      <c r="I4480" s="1" t="str">
        <f t="shared" si="278"/>
        <v>威尔新数值1.06.xlsm!suitPower</v>
      </c>
    </row>
    <row r="4481" spans="1:9" x14ac:dyDescent="0.15">
      <c r="A4481" s="1">
        <v>4480</v>
      </c>
      <c r="B4481" s="1">
        <v>103021100</v>
      </c>
      <c r="C4481" s="1">
        <f t="shared" si="281"/>
        <v>10</v>
      </c>
      <c r="D4481" s="5">
        <f ca="1">IF(getQuality(B4481)&lt;4,getOtherMin(B4481,C4481,INDIRECT(J$2),INDIRECT(I4481),test),getMin(B4481,C4481,INDIRECT(J$2),INDIRECT(I4481),test))</f>
        <v>25.009875731714647</v>
      </c>
      <c r="E4481" s="5">
        <f ca="1">IF(getQuality(B4481)&lt;4,getOtherMax(B4481,C4481,INDIRECT(J$2),INDIRECT(I4481),test),getMax(B4481,C4481,INDIRECT(J$2),INDIRECT(I4481),test))</f>
        <v>52.82172660977222</v>
      </c>
      <c r="F4481" s="1" t="str">
        <f t="shared" si="279"/>
        <v>50</v>
      </c>
      <c r="G4481" s="1" t="str">
        <f t="shared" si="280"/>
        <v/>
      </c>
      <c r="I4481" s="1" t="str">
        <f t="shared" si="278"/>
        <v>威尔新数值1.06.xlsm!suitPower</v>
      </c>
    </row>
    <row r="4482" spans="1:9" x14ac:dyDescent="0.15">
      <c r="A4482" s="1">
        <v>4481</v>
      </c>
      <c r="B4482" s="1">
        <v>103021100</v>
      </c>
      <c r="C4482" s="1">
        <f t="shared" si="281"/>
        <v>11</v>
      </c>
      <c r="D4482" s="5">
        <f ca="1">IF(getQuality(B4482)&lt;4,getOtherMin(B4482,C4482,INDIRECT(J$2),INDIRECT(I4482),test),getMin(B4482,C4482,INDIRECT(J$2),INDIRECT(I4482),test))</f>
        <v>25.009875731714647</v>
      </c>
      <c r="E4482" s="5">
        <f ca="1">IF(getQuality(B4482)&lt;4,getOtherMax(B4482,C4482,INDIRECT(J$2),INDIRECT(I4482),test),getMax(B4482,C4482,INDIRECT(J$2),INDIRECT(I4482),test))</f>
        <v>52.82172660977222</v>
      </c>
      <c r="F4482" s="1" t="str">
        <f t="shared" si="279"/>
        <v>50</v>
      </c>
      <c r="G4482" s="1" t="str">
        <f t="shared" si="280"/>
        <v/>
      </c>
      <c r="I4482" s="1" t="str">
        <f t="shared" ref="I4482:I4545" si="282">IF(C4482&lt;100,VLOOKUP(C4482,test,3,FALSE),VLOOKUP(C4482,test1,3,FALSE))</f>
        <v>威尔新数值1.06.xlsm!suitPower</v>
      </c>
    </row>
    <row r="4483" spans="1:9" x14ac:dyDescent="0.15">
      <c r="A4483" s="1">
        <v>4482</v>
      </c>
      <c r="B4483" s="1">
        <v>103021100</v>
      </c>
      <c r="C4483" s="1">
        <f t="shared" si="281"/>
        <v>12</v>
      </c>
      <c r="D4483" s="5">
        <f ca="1">IF(getQuality(B4483)&lt;4,getOtherMin(B4483,C4483,INDIRECT(J$2),INDIRECT(I4483),test),getMin(B4483,C4483,INDIRECT(J$2),INDIRECT(I4483),test))</f>
        <v>25.009875731714647</v>
      </c>
      <c r="E4483" s="5">
        <f ca="1">IF(getQuality(B4483)&lt;4,getOtherMax(B4483,C4483,INDIRECT(J$2),INDIRECT(I4483),test),getMax(B4483,C4483,INDIRECT(J$2),INDIRECT(I4483),test))</f>
        <v>52.82172660977222</v>
      </c>
      <c r="F4483" s="1" t="str">
        <f t="shared" ref="F4483:F4546" si="283">getper(B4483,C4483)</f>
        <v>50</v>
      </c>
      <c r="G4483" s="1" t="str">
        <f t="shared" ref="G4483:G4546" si="284">getMust(B4483,C4483)</f>
        <v/>
      </c>
      <c r="I4483" s="1" t="str">
        <f t="shared" si="282"/>
        <v>威尔新数值1.06.xlsm!suitPower</v>
      </c>
    </row>
    <row r="4484" spans="1:9" x14ac:dyDescent="0.15">
      <c r="A4484" s="1">
        <v>4483</v>
      </c>
      <c r="B4484" s="1">
        <v>103021100</v>
      </c>
      <c r="C4484" s="1">
        <f t="shared" si="281"/>
        <v>13</v>
      </c>
      <c r="D4484" s="5">
        <f ca="1">IF(getQuality(B4484)&lt;4,getOtherMin(B4484,C4484,INDIRECT(J$2),INDIRECT(I4484),test),getMin(B4484,C4484,INDIRECT(J$2),INDIRECT(I4484),test))</f>
        <v>25.009875731714647</v>
      </c>
      <c r="E4484" s="5">
        <f ca="1">IF(getQuality(B4484)&lt;4,getOtherMax(B4484,C4484,INDIRECT(J$2),INDIRECT(I4484),test),getMax(B4484,C4484,INDIRECT(J$2),INDIRECT(I4484),test))</f>
        <v>52.82172660977222</v>
      </c>
      <c r="F4484" s="1" t="str">
        <f t="shared" si="283"/>
        <v>50</v>
      </c>
      <c r="G4484" s="1" t="str">
        <f t="shared" si="284"/>
        <v/>
      </c>
      <c r="I4484" s="1" t="str">
        <f t="shared" si="282"/>
        <v>威尔新数值1.06.xlsm!suitPower</v>
      </c>
    </row>
    <row r="4485" spans="1:9" x14ac:dyDescent="0.15">
      <c r="A4485" s="1">
        <v>4484</v>
      </c>
      <c r="B4485" s="1">
        <v>103021100</v>
      </c>
      <c r="C4485" s="1">
        <f t="shared" si="281"/>
        <v>14</v>
      </c>
      <c r="D4485" s="5">
        <f ca="1">IF(getQuality(B4485)&lt;4,getOtherMin(B4485,C4485,INDIRECT(J$2),INDIRECT(I4485),test),getMin(B4485,C4485,INDIRECT(J$2),INDIRECT(I4485),test))</f>
        <v>25.009875731714647</v>
      </c>
      <c r="E4485" s="5">
        <f ca="1">IF(getQuality(B4485)&lt;4,getOtherMax(B4485,C4485,INDIRECT(J$2),INDIRECT(I4485),test),getMax(B4485,C4485,INDIRECT(J$2),INDIRECT(I4485),test))</f>
        <v>52.82172660977222</v>
      </c>
      <c r="F4485" s="1" t="str">
        <f t="shared" si="283"/>
        <v>50</v>
      </c>
      <c r="G4485" s="1" t="str">
        <f t="shared" si="284"/>
        <v/>
      </c>
      <c r="I4485" s="1" t="str">
        <f t="shared" si="282"/>
        <v>威尔新数值1.06.xlsm!suitPower</v>
      </c>
    </row>
    <row r="4486" spans="1:9" x14ac:dyDescent="0.15">
      <c r="A4486" s="1">
        <v>4485</v>
      </c>
      <c r="B4486" s="1">
        <v>103021100</v>
      </c>
      <c r="C4486" s="1">
        <f t="shared" si="281"/>
        <v>15</v>
      </c>
      <c r="D4486" s="5">
        <f ca="1">IF(getQuality(B4486)&lt;4,getOtherMin(B4486,C4486,INDIRECT(J$2),INDIRECT(I4486),test),getMin(B4486,C4486,INDIRECT(J$2),INDIRECT(I4486),test))</f>
        <v>25.009875731714647</v>
      </c>
      <c r="E4486" s="5">
        <f ca="1">IF(getQuality(B4486)&lt;4,getOtherMax(B4486,C4486,INDIRECT(J$2),INDIRECT(I4486),test),getMax(B4486,C4486,INDIRECT(J$2),INDIRECT(I4486),test))</f>
        <v>52.82172660977222</v>
      </c>
      <c r="F4486" s="1" t="str">
        <f t="shared" si="283"/>
        <v>50</v>
      </c>
      <c r="G4486" s="1" t="str">
        <f t="shared" si="284"/>
        <v/>
      </c>
      <c r="I4486" s="1" t="str">
        <f t="shared" si="282"/>
        <v>威尔新数值1.06.xlsm!suitPower</v>
      </c>
    </row>
    <row r="4487" spans="1:9" x14ac:dyDescent="0.15">
      <c r="A4487" s="1">
        <v>4486</v>
      </c>
      <c r="B4487" s="1">
        <v>103021100</v>
      </c>
      <c r="C4487" s="1">
        <f t="shared" si="281"/>
        <v>101</v>
      </c>
      <c r="D4487" s="5">
        <f ca="1">IF(getQuality(B4487)&lt;4,getOtherMin(B4487,C4487,INDIRECT(J$2),INDIRECT(I4487),test),getMin(B4487,C4487,INDIRECT(J$2),INDIRECT(I4487),test))</f>
        <v>0.08</v>
      </c>
      <c r="E4487" s="5">
        <f ca="1">IF(getQuality(B4487)&lt;4,getOtherMax(B4487,C4487,INDIRECT(J$2),INDIRECT(I4487),test),getMax(B4487,C4487,INDIRECT(J$2),INDIRECT(I4487),test))</f>
        <v>0.11</v>
      </c>
      <c r="F4487" s="1" t="str">
        <f t="shared" si="283"/>
        <v>50</v>
      </c>
      <c r="G4487" s="1" t="str">
        <f t="shared" si="284"/>
        <v/>
      </c>
      <c r="I4487" s="1" t="str">
        <f t="shared" si="282"/>
        <v>威尔新数值1.06.xlsm!circlePer</v>
      </c>
    </row>
    <row r="4488" spans="1:9" x14ac:dyDescent="0.15">
      <c r="A4488" s="1">
        <v>4487</v>
      </c>
      <c r="B4488" s="1">
        <v>103021100</v>
      </c>
      <c r="C4488" s="1">
        <f t="shared" si="281"/>
        <v>102</v>
      </c>
      <c r="D4488" s="5">
        <f ca="1">IF(getQuality(B4488)&lt;4,getOtherMin(B4488,C4488,INDIRECT(J$2),INDIRECT(I4488),test),getMin(B4488,C4488,INDIRECT(J$2),INDIRECT(I4488),test))</f>
        <v>0.7</v>
      </c>
      <c r="E4488" s="5">
        <f ca="1">IF(getQuality(B4488)&lt;4,getOtherMax(B4488,C4488,INDIRECT(J$2),INDIRECT(I4488),test),getMax(B4488,C4488,INDIRECT(J$2),INDIRECT(I4488),test))</f>
        <v>1</v>
      </c>
      <c r="F4488" s="1" t="str">
        <f t="shared" si="283"/>
        <v>50</v>
      </c>
      <c r="G4488" s="1" t="str">
        <f t="shared" si="284"/>
        <v/>
      </c>
      <c r="I4488" s="1" t="str">
        <f t="shared" si="282"/>
        <v>威尔新数值1.06.xlsm!circleValue</v>
      </c>
    </row>
    <row r="4489" spans="1:9" x14ac:dyDescent="0.15">
      <c r="A4489" s="1">
        <v>4488</v>
      </c>
      <c r="B4489" s="1">
        <v>103021100</v>
      </c>
      <c r="C4489" s="1">
        <f t="shared" si="281"/>
        <v>103</v>
      </c>
      <c r="D4489" s="5">
        <f ca="1">IF(getQuality(B4489)&lt;4,getOtherMin(B4489,C4489,INDIRECT(J$2),INDIRECT(I4489),test),getMin(B4489,C4489,INDIRECT(J$2),INDIRECT(I4489),test))</f>
        <v>0.08</v>
      </c>
      <c r="E4489" s="5">
        <f ca="1">IF(getQuality(B4489)&lt;4,getOtherMax(B4489,C4489,INDIRECT(J$2),INDIRECT(I4489),test),getMax(B4489,C4489,INDIRECT(J$2),INDIRECT(I4489),test))</f>
        <v>0.11</v>
      </c>
      <c r="F4489" s="1" t="str">
        <f t="shared" si="283"/>
        <v>50</v>
      </c>
      <c r="G4489" s="1" t="str">
        <f t="shared" si="284"/>
        <v/>
      </c>
      <c r="I4489" s="1" t="str">
        <f t="shared" si="282"/>
        <v>威尔新数值1.06.xlsm!otherDamage</v>
      </c>
    </row>
    <row r="4490" spans="1:9" x14ac:dyDescent="0.15">
      <c r="A4490" s="1">
        <v>4489</v>
      </c>
      <c r="B4490" s="1">
        <v>103021100</v>
      </c>
      <c r="C4490" s="1">
        <f t="shared" si="281"/>
        <v>104</v>
      </c>
      <c r="D4490" s="5">
        <f ca="1">IF(getQuality(B4490)&lt;4,getOtherMin(B4490,C4490,INDIRECT(J$2),INDIRECT(I4490),test),getMin(B4490,C4490,INDIRECT(J$2),INDIRECT(I4490),test))</f>
        <v>0.08</v>
      </c>
      <c r="E4490" s="5">
        <f ca="1">IF(getQuality(B4490)&lt;4,getOtherMax(B4490,C4490,INDIRECT(J$2),INDIRECT(I4490),test),getMax(B4490,C4490,INDIRECT(J$2),INDIRECT(I4490),test))</f>
        <v>0.16</v>
      </c>
      <c r="F4490" s="1" t="str">
        <f t="shared" si="283"/>
        <v>50</v>
      </c>
      <c r="G4490" s="1" t="str">
        <f t="shared" si="284"/>
        <v/>
      </c>
      <c r="I4490" s="1" t="str">
        <f t="shared" si="282"/>
        <v>威尔新数值1.06.xlsm!monsterDamage</v>
      </c>
    </row>
    <row r="4491" spans="1:9" x14ac:dyDescent="0.15">
      <c r="A4491" s="1">
        <v>4490</v>
      </c>
      <c r="B4491" s="1">
        <v>103021100</v>
      </c>
      <c r="C4491" s="1">
        <f t="shared" si="281"/>
        <v>105</v>
      </c>
      <c r="D4491" s="5">
        <f ca="1">IF(getQuality(B4491)&lt;4,getOtherMin(B4491,C4491,INDIRECT(J$2),INDIRECT(I4491),test),getMin(B4491,C4491,INDIRECT(J$2),INDIRECT(I4491),test))</f>
        <v>0.08</v>
      </c>
      <c r="E4491" s="5">
        <f ca="1">IF(getQuality(B4491)&lt;4,getOtherMax(B4491,C4491,INDIRECT(J$2),INDIRECT(I4491),test),getMax(B4491,C4491,INDIRECT(J$2),INDIRECT(I4491),test))</f>
        <v>0.16</v>
      </c>
      <c r="F4491" s="1" t="str">
        <f t="shared" si="283"/>
        <v>50</v>
      </c>
      <c r="G4491" s="1" t="str">
        <f t="shared" si="284"/>
        <v/>
      </c>
      <c r="I4491" s="1" t="str">
        <f t="shared" si="282"/>
        <v>威尔新数值1.06.xlsm!monsterDamage</v>
      </c>
    </row>
    <row r="4492" spans="1:9" x14ac:dyDescent="0.15">
      <c r="A4492" s="1">
        <v>4491</v>
      </c>
      <c r="B4492" s="1">
        <v>103021100</v>
      </c>
      <c r="C4492" s="1">
        <f t="shared" si="281"/>
        <v>106</v>
      </c>
      <c r="D4492" s="5">
        <f ca="1">IF(getQuality(B4492)&lt;4,getOtherMin(B4492,C4492,INDIRECT(J$2),INDIRECT(I4492),test),getMin(B4492,C4492,INDIRECT(J$2),INDIRECT(I4492),test))</f>
        <v>0.08</v>
      </c>
      <c r="E4492" s="5">
        <f ca="1">IF(getQuality(B4492)&lt;4,getOtherMax(B4492,C4492,INDIRECT(J$2),INDIRECT(I4492),test),getMax(B4492,C4492,INDIRECT(J$2),INDIRECT(I4492),test))</f>
        <v>0.16</v>
      </c>
      <c r="F4492" s="1" t="str">
        <f t="shared" si="283"/>
        <v>50</v>
      </c>
      <c r="G4492" s="1" t="str">
        <f t="shared" si="284"/>
        <v/>
      </c>
      <c r="I4492" s="1" t="str">
        <f t="shared" si="282"/>
        <v>威尔新数值1.06.xlsm!monsterDamage</v>
      </c>
    </row>
    <row r="4493" spans="1:9" x14ac:dyDescent="0.15">
      <c r="A4493" s="1">
        <v>4492</v>
      </c>
      <c r="B4493" s="1">
        <v>103021100</v>
      </c>
      <c r="C4493" s="1">
        <f t="shared" si="281"/>
        <v>107</v>
      </c>
      <c r="D4493" s="5">
        <f ca="1">IF(getQuality(B4493)&lt;4,getOtherMin(B4493,C4493,INDIRECT(J$2),INDIRECT(I4493),test),getMin(B4493,C4493,INDIRECT(J$2),INDIRECT(I4493),test))</f>
        <v>0.08</v>
      </c>
      <c r="E4493" s="5">
        <f ca="1">IF(getQuality(B4493)&lt;4,getOtherMax(B4493,C4493,INDIRECT(J$2),INDIRECT(I4493),test),getMax(B4493,C4493,INDIRECT(J$2),INDIRECT(I4493),test))</f>
        <v>0.16</v>
      </c>
      <c r="F4493" s="1" t="str">
        <f t="shared" si="283"/>
        <v>50</v>
      </c>
      <c r="G4493" s="1" t="str">
        <f t="shared" si="284"/>
        <v/>
      </c>
      <c r="I4493" s="1" t="str">
        <f t="shared" si="282"/>
        <v>威尔新数值1.06.xlsm!monsterDamage</v>
      </c>
    </row>
    <row r="4494" spans="1:9" x14ac:dyDescent="0.15">
      <c r="A4494" s="1">
        <v>4493</v>
      </c>
      <c r="B4494" s="1">
        <v>103021100</v>
      </c>
      <c r="C4494" s="1">
        <f t="shared" si="281"/>
        <v>108</v>
      </c>
      <c r="D4494" s="5">
        <f ca="1">IF(getQuality(B4494)&lt;4,getOtherMin(B4494,C4494,INDIRECT(J$2),INDIRECT(I4494),test),getMin(B4494,C4494,INDIRECT(J$2),INDIRECT(I4494),test))</f>
        <v>0.08</v>
      </c>
      <c r="E4494" s="5">
        <f ca="1">IF(getQuality(B4494)&lt;4,getOtherMax(B4494,C4494,INDIRECT(J$2),INDIRECT(I4494),test),getMax(B4494,C4494,INDIRECT(J$2),INDIRECT(I4494),test))</f>
        <v>0.16</v>
      </c>
      <c r="F4494" s="1" t="str">
        <f t="shared" si="283"/>
        <v>50</v>
      </c>
      <c r="G4494" s="1" t="str">
        <f t="shared" si="284"/>
        <v/>
      </c>
      <c r="I4494" s="1" t="str">
        <f t="shared" si="282"/>
        <v>威尔新数值1.06.xlsm!monsterDamage</v>
      </c>
    </row>
    <row r="4495" spans="1:9" x14ac:dyDescent="0.15">
      <c r="A4495" s="1">
        <v>4494</v>
      </c>
      <c r="B4495" s="1">
        <v>103031100</v>
      </c>
      <c r="C4495" s="1">
        <f t="shared" si="281"/>
        <v>3</v>
      </c>
      <c r="D4495" s="5">
        <f ca="1">IF(getQuality(B4495)&lt;4,getOtherMin(B4495,C4495,INDIRECT(J$2),INDIRECT(I4495),test),getMin(B4495,C4495,INDIRECT(J$2),INDIRECT(I4495),test))</f>
        <v>53.82172660977222</v>
      </c>
      <c r="E4495" s="5">
        <f ca="1">IF(getQuality(B4495)&lt;4,getOtherMax(B4495,C4495,INDIRECT(J$2),INDIRECT(I4495),test),getMax(B4495,C4495,INDIRECT(J$2),INDIRECT(I4495),test))</f>
        <v>86.435552634172723</v>
      </c>
      <c r="F4495" s="1" t="str">
        <f t="shared" si="283"/>
        <v>50</v>
      </c>
      <c r="G4495" s="1" t="str">
        <f t="shared" si="284"/>
        <v/>
      </c>
      <c r="I4495" s="1" t="str">
        <f t="shared" si="282"/>
        <v>威尔新数值1.06.xlsm!suitPower</v>
      </c>
    </row>
    <row r="4496" spans="1:9" x14ac:dyDescent="0.15">
      <c r="A4496" s="1">
        <v>4495</v>
      </c>
      <c r="B4496" s="1">
        <v>103031100</v>
      </c>
      <c r="C4496" s="1">
        <f t="shared" si="281"/>
        <v>5</v>
      </c>
      <c r="D4496" s="5">
        <f ca="1">IF(getQuality(B4496)&lt;4,getOtherMin(B4496,C4496,INDIRECT(J$2),INDIRECT(I4496),test),getMin(B4496,C4496,INDIRECT(J$2),INDIRECT(I4496),test))</f>
        <v>53.82172660977222</v>
      </c>
      <c r="E4496" s="5">
        <f ca="1">IF(getQuality(B4496)&lt;4,getOtherMax(B4496,C4496,INDIRECT(J$2),INDIRECT(I4496),test),getMax(B4496,C4496,INDIRECT(J$2),INDIRECT(I4496),test))</f>
        <v>86.435552634172723</v>
      </c>
      <c r="F4496" s="1" t="str">
        <f t="shared" si="283"/>
        <v>50</v>
      </c>
      <c r="G4496" s="1" t="str">
        <f t="shared" si="284"/>
        <v>1</v>
      </c>
      <c r="I4496" s="1" t="str">
        <f t="shared" si="282"/>
        <v>威尔新数值1.06.xlsm!suitPower</v>
      </c>
    </row>
    <row r="4497" spans="1:9" x14ac:dyDescent="0.15">
      <c r="A4497" s="1">
        <v>4496</v>
      </c>
      <c r="B4497" s="1">
        <v>103031100</v>
      </c>
      <c r="C4497" s="1">
        <f t="shared" si="281"/>
        <v>7</v>
      </c>
      <c r="D4497" s="5">
        <f ca="1">IF(getQuality(B4497)&lt;4,getOtherMin(B4497,C4497,INDIRECT(J$2),INDIRECT(I4497),test),getMin(B4497,C4497,INDIRECT(J$2),INDIRECT(I4497),test))</f>
        <v>15.814814814814778</v>
      </c>
      <c r="E4497" s="5">
        <f ca="1">IF(getQuality(B4497)&lt;4,getOtherMax(B4497,C4497,INDIRECT(J$2),INDIRECT(I4497),test),getMax(B4497,C4497,INDIRECT(J$2),INDIRECT(I4497),test))</f>
        <v>22.222222222222165</v>
      </c>
      <c r="F4497" s="1" t="str">
        <f t="shared" si="283"/>
        <v>50</v>
      </c>
      <c r="G4497" s="1" t="str">
        <f t="shared" si="284"/>
        <v/>
      </c>
      <c r="I4497" s="1" t="str">
        <f t="shared" si="282"/>
        <v>威尔新数值1.06.xlsm!suitPower</v>
      </c>
    </row>
    <row r="4498" spans="1:9" x14ac:dyDescent="0.15">
      <c r="A4498" s="1">
        <v>4497</v>
      </c>
      <c r="B4498" s="1">
        <v>103031100</v>
      </c>
      <c r="C4498" s="1">
        <f t="shared" si="281"/>
        <v>8</v>
      </c>
      <c r="D4498" s="5">
        <f ca="1">IF(getQuality(B4498)&lt;4,getOtherMin(B4498,C4498,INDIRECT(J$2),INDIRECT(I4498),test),getMin(B4498,C4498,INDIRECT(J$2),INDIRECT(I4498),test))</f>
        <v>34.333333333333336</v>
      </c>
      <c r="E4498" s="5">
        <f ca="1">IF(getQuality(B4498)&lt;4,getOtherMax(B4498,C4498,INDIRECT(J$2),INDIRECT(I4498),test),getMax(B4498,C4498,INDIRECT(J$2),INDIRECT(I4498),test))</f>
        <v>50</v>
      </c>
      <c r="F4498" s="1" t="str">
        <f t="shared" si="283"/>
        <v>50</v>
      </c>
      <c r="G4498" s="1" t="str">
        <f t="shared" si="284"/>
        <v/>
      </c>
      <c r="I4498" s="1" t="str">
        <f t="shared" si="282"/>
        <v>威尔新数值1.06.xlsm!suitPower</v>
      </c>
    </row>
    <row r="4499" spans="1:9" x14ac:dyDescent="0.15">
      <c r="A4499" s="1">
        <v>4498</v>
      </c>
      <c r="B4499" s="1">
        <v>103031100</v>
      </c>
      <c r="C4499" s="1">
        <f t="shared" si="281"/>
        <v>9</v>
      </c>
      <c r="D4499" s="5">
        <f ca="1">IF(getQuality(B4499)&lt;4,getOtherMin(B4499,C4499,INDIRECT(J$2),INDIRECT(I4499),test),getMin(B4499,C4499,INDIRECT(J$2),INDIRECT(I4499),test))</f>
        <v>53.82172660977222</v>
      </c>
      <c r="E4499" s="5">
        <f ca="1">IF(getQuality(B4499)&lt;4,getOtherMax(B4499,C4499,INDIRECT(J$2),INDIRECT(I4499),test),getMax(B4499,C4499,INDIRECT(J$2),INDIRECT(I4499),test))</f>
        <v>86.435552634172723</v>
      </c>
      <c r="F4499" s="1" t="str">
        <f t="shared" si="283"/>
        <v>50</v>
      </c>
      <c r="G4499" s="1" t="str">
        <f t="shared" si="284"/>
        <v/>
      </c>
      <c r="I4499" s="1" t="str">
        <f t="shared" si="282"/>
        <v>威尔新数值1.06.xlsm!suitPower</v>
      </c>
    </row>
    <row r="4500" spans="1:9" x14ac:dyDescent="0.15">
      <c r="A4500" s="1">
        <v>4499</v>
      </c>
      <c r="B4500" s="1">
        <v>103031100</v>
      </c>
      <c r="C4500" s="1">
        <f t="shared" si="281"/>
        <v>10</v>
      </c>
      <c r="D4500" s="5">
        <f ca="1">IF(getQuality(B4500)&lt;4,getOtherMin(B4500,C4500,INDIRECT(J$2),INDIRECT(I4500),test),getMin(B4500,C4500,INDIRECT(J$2),INDIRECT(I4500),test))</f>
        <v>53.82172660977222</v>
      </c>
      <c r="E4500" s="5">
        <f ca="1">IF(getQuality(B4500)&lt;4,getOtherMax(B4500,C4500,INDIRECT(J$2),INDIRECT(I4500),test),getMax(B4500,C4500,INDIRECT(J$2),INDIRECT(I4500),test))</f>
        <v>86.435552634172723</v>
      </c>
      <c r="F4500" s="1" t="str">
        <f t="shared" si="283"/>
        <v>50</v>
      </c>
      <c r="G4500" s="1" t="str">
        <f t="shared" si="284"/>
        <v/>
      </c>
      <c r="I4500" s="1" t="str">
        <f t="shared" si="282"/>
        <v>威尔新数值1.06.xlsm!suitPower</v>
      </c>
    </row>
    <row r="4501" spans="1:9" x14ac:dyDescent="0.15">
      <c r="A4501" s="1">
        <v>4500</v>
      </c>
      <c r="B4501" s="1">
        <v>103031100</v>
      </c>
      <c r="C4501" s="1">
        <f t="shared" si="281"/>
        <v>11</v>
      </c>
      <c r="D4501" s="5">
        <f ca="1">IF(getQuality(B4501)&lt;4,getOtherMin(B4501,C4501,INDIRECT(J$2),INDIRECT(I4501),test),getMin(B4501,C4501,INDIRECT(J$2),INDIRECT(I4501),test))</f>
        <v>53.82172660977222</v>
      </c>
      <c r="E4501" s="5">
        <f ca="1">IF(getQuality(B4501)&lt;4,getOtherMax(B4501,C4501,INDIRECT(J$2),INDIRECT(I4501),test),getMax(B4501,C4501,INDIRECT(J$2),INDIRECT(I4501),test))</f>
        <v>86.435552634172723</v>
      </c>
      <c r="F4501" s="1" t="str">
        <f t="shared" si="283"/>
        <v>50</v>
      </c>
      <c r="G4501" s="1" t="str">
        <f t="shared" si="284"/>
        <v/>
      </c>
      <c r="I4501" s="1" t="str">
        <f t="shared" si="282"/>
        <v>威尔新数值1.06.xlsm!suitPower</v>
      </c>
    </row>
    <row r="4502" spans="1:9" x14ac:dyDescent="0.15">
      <c r="A4502" s="1">
        <v>4501</v>
      </c>
      <c r="B4502" s="1">
        <v>103031100</v>
      </c>
      <c r="C4502" s="1">
        <f t="shared" si="281"/>
        <v>12</v>
      </c>
      <c r="D4502" s="5">
        <f ca="1">IF(getQuality(B4502)&lt;4,getOtherMin(B4502,C4502,INDIRECT(J$2),INDIRECT(I4502),test),getMin(B4502,C4502,INDIRECT(J$2),INDIRECT(I4502),test))</f>
        <v>53.82172660977222</v>
      </c>
      <c r="E4502" s="5">
        <f ca="1">IF(getQuality(B4502)&lt;4,getOtherMax(B4502,C4502,INDIRECT(J$2),INDIRECT(I4502),test),getMax(B4502,C4502,INDIRECT(J$2),INDIRECT(I4502),test))</f>
        <v>86.435552634172723</v>
      </c>
      <c r="F4502" s="1" t="str">
        <f t="shared" si="283"/>
        <v>50</v>
      </c>
      <c r="G4502" s="1" t="str">
        <f t="shared" si="284"/>
        <v/>
      </c>
      <c r="I4502" s="1" t="str">
        <f t="shared" si="282"/>
        <v>威尔新数值1.06.xlsm!suitPower</v>
      </c>
    </row>
    <row r="4503" spans="1:9" x14ac:dyDescent="0.15">
      <c r="A4503" s="1">
        <v>4502</v>
      </c>
      <c r="B4503" s="1">
        <v>103031100</v>
      </c>
      <c r="C4503" s="1">
        <f t="shared" si="281"/>
        <v>13</v>
      </c>
      <c r="D4503" s="5">
        <f ca="1">IF(getQuality(B4503)&lt;4,getOtherMin(B4503,C4503,INDIRECT(J$2),INDIRECT(I4503),test),getMin(B4503,C4503,INDIRECT(J$2),INDIRECT(I4503),test))</f>
        <v>53.82172660977222</v>
      </c>
      <c r="E4503" s="5">
        <f ca="1">IF(getQuality(B4503)&lt;4,getOtherMax(B4503,C4503,INDIRECT(J$2),INDIRECT(I4503),test),getMax(B4503,C4503,INDIRECT(J$2),INDIRECT(I4503),test))</f>
        <v>86.435552634172723</v>
      </c>
      <c r="F4503" s="1" t="str">
        <f t="shared" si="283"/>
        <v>50</v>
      </c>
      <c r="G4503" s="1" t="str">
        <f t="shared" si="284"/>
        <v/>
      </c>
      <c r="I4503" s="1" t="str">
        <f t="shared" si="282"/>
        <v>威尔新数值1.06.xlsm!suitPower</v>
      </c>
    </row>
    <row r="4504" spans="1:9" x14ac:dyDescent="0.15">
      <c r="A4504" s="1">
        <v>4503</v>
      </c>
      <c r="B4504" s="1">
        <v>103031100</v>
      </c>
      <c r="C4504" s="1">
        <f t="shared" si="281"/>
        <v>14</v>
      </c>
      <c r="D4504" s="5">
        <f ca="1">IF(getQuality(B4504)&lt;4,getOtherMin(B4504,C4504,INDIRECT(J$2),INDIRECT(I4504),test),getMin(B4504,C4504,INDIRECT(J$2),INDIRECT(I4504),test))</f>
        <v>53.82172660977222</v>
      </c>
      <c r="E4504" s="5">
        <f ca="1">IF(getQuality(B4504)&lt;4,getOtherMax(B4504,C4504,INDIRECT(J$2),INDIRECT(I4504),test),getMax(B4504,C4504,INDIRECT(J$2),INDIRECT(I4504),test))</f>
        <v>86.435552634172723</v>
      </c>
      <c r="F4504" s="1" t="str">
        <f t="shared" si="283"/>
        <v>50</v>
      </c>
      <c r="G4504" s="1" t="str">
        <f t="shared" si="284"/>
        <v/>
      </c>
      <c r="I4504" s="1" t="str">
        <f t="shared" si="282"/>
        <v>威尔新数值1.06.xlsm!suitPower</v>
      </c>
    </row>
    <row r="4505" spans="1:9" x14ac:dyDescent="0.15">
      <c r="A4505" s="1">
        <v>4504</v>
      </c>
      <c r="B4505" s="1">
        <v>103031100</v>
      </c>
      <c r="C4505" s="1">
        <f t="shared" si="281"/>
        <v>15</v>
      </c>
      <c r="D4505" s="5">
        <f ca="1">IF(getQuality(B4505)&lt;4,getOtherMin(B4505,C4505,INDIRECT(J$2),INDIRECT(I4505),test),getMin(B4505,C4505,INDIRECT(J$2),INDIRECT(I4505),test))</f>
        <v>53.82172660977222</v>
      </c>
      <c r="E4505" s="5">
        <f ca="1">IF(getQuality(B4505)&lt;4,getOtherMax(B4505,C4505,INDIRECT(J$2),INDIRECT(I4505),test),getMax(B4505,C4505,INDIRECT(J$2),INDIRECT(I4505),test))</f>
        <v>86.435552634172723</v>
      </c>
      <c r="F4505" s="1" t="str">
        <f t="shared" si="283"/>
        <v>50</v>
      </c>
      <c r="G4505" s="1" t="str">
        <f t="shared" si="284"/>
        <v/>
      </c>
      <c r="I4505" s="1" t="str">
        <f t="shared" si="282"/>
        <v>威尔新数值1.06.xlsm!suitPower</v>
      </c>
    </row>
    <row r="4506" spans="1:9" x14ac:dyDescent="0.15">
      <c r="A4506" s="1">
        <v>4505</v>
      </c>
      <c r="B4506" s="1">
        <v>103031100</v>
      </c>
      <c r="C4506" s="1">
        <f t="shared" si="281"/>
        <v>101</v>
      </c>
      <c r="D4506" s="5">
        <f ca="1">IF(getQuality(B4506)&lt;4,getOtherMin(B4506,C4506,INDIRECT(J$2),INDIRECT(I4506),test),getMin(B4506,C4506,INDIRECT(J$2),INDIRECT(I4506),test))</f>
        <v>0.09</v>
      </c>
      <c r="E4506" s="5">
        <f ca="1">IF(getQuality(B4506)&lt;4,getOtherMax(B4506,C4506,INDIRECT(J$2),INDIRECT(I4506),test),getMax(B4506,C4506,INDIRECT(J$2),INDIRECT(I4506),test))</f>
        <v>0.12</v>
      </c>
      <c r="F4506" s="1" t="str">
        <f t="shared" si="283"/>
        <v>50</v>
      </c>
      <c r="G4506" s="1" t="str">
        <f t="shared" si="284"/>
        <v/>
      </c>
      <c r="I4506" s="1" t="str">
        <f t="shared" si="282"/>
        <v>威尔新数值1.06.xlsm!circlePer</v>
      </c>
    </row>
    <row r="4507" spans="1:9" x14ac:dyDescent="0.15">
      <c r="A4507" s="1">
        <v>4506</v>
      </c>
      <c r="B4507" s="1">
        <v>103031100</v>
      </c>
      <c r="C4507" s="1">
        <f t="shared" si="281"/>
        <v>102</v>
      </c>
      <c r="D4507" s="5">
        <f ca="1">IF(getQuality(B4507)&lt;4,getOtherMin(B4507,C4507,INDIRECT(J$2),INDIRECT(I4507),test),getMin(B4507,C4507,INDIRECT(J$2),INDIRECT(I4507),test))</f>
        <v>0.8</v>
      </c>
      <c r="E4507" s="5">
        <f ca="1">IF(getQuality(B4507)&lt;4,getOtherMax(B4507,C4507,INDIRECT(J$2),INDIRECT(I4507),test),getMax(B4507,C4507,INDIRECT(J$2),INDIRECT(I4507),test))</f>
        <v>1.1000000000000001</v>
      </c>
      <c r="F4507" s="1" t="str">
        <f t="shared" si="283"/>
        <v>50</v>
      </c>
      <c r="G4507" s="1" t="str">
        <f t="shared" si="284"/>
        <v/>
      </c>
      <c r="I4507" s="1" t="str">
        <f t="shared" si="282"/>
        <v>威尔新数值1.06.xlsm!circleValue</v>
      </c>
    </row>
    <row r="4508" spans="1:9" x14ac:dyDescent="0.15">
      <c r="A4508" s="1">
        <v>4507</v>
      </c>
      <c r="B4508" s="1">
        <v>103031100</v>
      </c>
      <c r="C4508" s="1">
        <f t="shared" si="281"/>
        <v>103</v>
      </c>
      <c r="D4508" s="5">
        <f ca="1">IF(getQuality(B4508)&lt;4,getOtherMin(B4508,C4508,INDIRECT(J$2),INDIRECT(I4508),test),getMin(B4508,C4508,INDIRECT(J$2),INDIRECT(I4508),test))</f>
        <v>0.09</v>
      </c>
      <c r="E4508" s="5">
        <f ca="1">IF(getQuality(B4508)&lt;4,getOtherMax(B4508,C4508,INDIRECT(J$2),INDIRECT(I4508),test),getMax(B4508,C4508,INDIRECT(J$2),INDIRECT(I4508),test))</f>
        <v>0.12</v>
      </c>
      <c r="F4508" s="1" t="str">
        <f t="shared" si="283"/>
        <v>50</v>
      </c>
      <c r="G4508" s="1" t="str">
        <f t="shared" si="284"/>
        <v/>
      </c>
      <c r="I4508" s="1" t="str">
        <f t="shared" si="282"/>
        <v>威尔新数值1.06.xlsm!otherDamage</v>
      </c>
    </row>
    <row r="4509" spans="1:9" x14ac:dyDescent="0.15">
      <c r="A4509" s="1">
        <v>4508</v>
      </c>
      <c r="B4509" s="1">
        <v>103031100</v>
      </c>
      <c r="C4509" s="1">
        <f t="shared" si="281"/>
        <v>104</v>
      </c>
      <c r="D4509" s="5">
        <f ca="1">IF(getQuality(B4509)&lt;4,getOtherMin(B4509,C4509,INDIRECT(J$2),INDIRECT(I4509),test),getMin(B4509,C4509,INDIRECT(J$2),INDIRECT(I4509),test))</f>
        <v>0.09</v>
      </c>
      <c r="E4509" s="5">
        <f ca="1">IF(getQuality(B4509)&lt;4,getOtherMax(B4509,C4509,INDIRECT(J$2),INDIRECT(I4509),test),getMax(B4509,C4509,INDIRECT(J$2),INDIRECT(I4509),test))</f>
        <v>0.18</v>
      </c>
      <c r="F4509" s="1" t="str">
        <f t="shared" si="283"/>
        <v>50</v>
      </c>
      <c r="G4509" s="1" t="str">
        <f t="shared" si="284"/>
        <v/>
      </c>
      <c r="I4509" s="1" t="str">
        <f t="shared" si="282"/>
        <v>威尔新数值1.06.xlsm!monsterDamage</v>
      </c>
    </row>
    <row r="4510" spans="1:9" x14ac:dyDescent="0.15">
      <c r="A4510" s="1">
        <v>4509</v>
      </c>
      <c r="B4510" s="1">
        <v>103031100</v>
      </c>
      <c r="C4510" s="1">
        <f t="shared" si="281"/>
        <v>105</v>
      </c>
      <c r="D4510" s="5">
        <f ca="1">IF(getQuality(B4510)&lt;4,getOtherMin(B4510,C4510,INDIRECT(J$2),INDIRECT(I4510),test),getMin(B4510,C4510,INDIRECT(J$2),INDIRECT(I4510),test))</f>
        <v>0.09</v>
      </c>
      <c r="E4510" s="5">
        <f ca="1">IF(getQuality(B4510)&lt;4,getOtherMax(B4510,C4510,INDIRECT(J$2),INDIRECT(I4510),test),getMax(B4510,C4510,INDIRECT(J$2),INDIRECT(I4510),test))</f>
        <v>0.18</v>
      </c>
      <c r="F4510" s="1" t="str">
        <f t="shared" si="283"/>
        <v>50</v>
      </c>
      <c r="G4510" s="1" t="str">
        <f t="shared" si="284"/>
        <v/>
      </c>
      <c r="I4510" s="1" t="str">
        <f t="shared" si="282"/>
        <v>威尔新数值1.06.xlsm!monsterDamage</v>
      </c>
    </row>
    <row r="4511" spans="1:9" x14ac:dyDescent="0.15">
      <c r="A4511" s="1">
        <v>4510</v>
      </c>
      <c r="B4511" s="1">
        <v>103031100</v>
      </c>
      <c r="C4511" s="1">
        <f t="shared" si="281"/>
        <v>106</v>
      </c>
      <c r="D4511" s="5">
        <f ca="1">IF(getQuality(B4511)&lt;4,getOtherMin(B4511,C4511,INDIRECT(J$2),INDIRECT(I4511),test),getMin(B4511,C4511,INDIRECT(J$2),INDIRECT(I4511),test))</f>
        <v>0.09</v>
      </c>
      <c r="E4511" s="5">
        <f ca="1">IF(getQuality(B4511)&lt;4,getOtherMax(B4511,C4511,INDIRECT(J$2),INDIRECT(I4511),test),getMax(B4511,C4511,INDIRECT(J$2),INDIRECT(I4511),test))</f>
        <v>0.18</v>
      </c>
      <c r="F4511" s="1" t="str">
        <f t="shared" si="283"/>
        <v>50</v>
      </c>
      <c r="G4511" s="1" t="str">
        <f t="shared" si="284"/>
        <v/>
      </c>
      <c r="I4511" s="1" t="str">
        <f t="shared" si="282"/>
        <v>威尔新数值1.06.xlsm!monsterDamage</v>
      </c>
    </row>
    <row r="4512" spans="1:9" x14ac:dyDescent="0.15">
      <c r="A4512" s="1">
        <v>4511</v>
      </c>
      <c r="B4512" s="1">
        <v>103031100</v>
      </c>
      <c r="C4512" s="1">
        <f t="shared" si="281"/>
        <v>107</v>
      </c>
      <c r="D4512" s="5">
        <f ca="1">IF(getQuality(B4512)&lt;4,getOtherMin(B4512,C4512,INDIRECT(J$2),INDIRECT(I4512),test),getMin(B4512,C4512,INDIRECT(J$2),INDIRECT(I4512),test))</f>
        <v>0.09</v>
      </c>
      <c r="E4512" s="5">
        <f ca="1">IF(getQuality(B4512)&lt;4,getOtherMax(B4512,C4512,INDIRECT(J$2),INDIRECT(I4512),test),getMax(B4512,C4512,INDIRECT(J$2),INDIRECT(I4512),test))</f>
        <v>0.18</v>
      </c>
      <c r="F4512" s="1" t="str">
        <f t="shared" si="283"/>
        <v>50</v>
      </c>
      <c r="G4512" s="1" t="str">
        <f t="shared" si="284"/>
        <v/>
      </c>
      <c r="I4512" s="1" t="str">
        <f t="shared" si="282"/>
        <v>威尔新数值1.06.xlsm!monsterDamage</v>
      </c>
    </row>
    <row r="4513" spans="1:9" x14ac:dyDescent="0.15">
      <c r="A4513" s="1">
        <v>4512</v>
      </c>
      <c r="B4513" s="1">
        <v>103031100</v>
      </c>
      <c r="C4513" s="1">
        <f t="shared" si="281"/>
        <v>108</v>
      </c>
      <c r="D4513" s="5">
        <f ca="1">IF(getQuality(B4513)&lt;4,getOtherMin(B4513,C4513,INDIRECT(J$2),INDIRECT(I4513),test),getMin(B4513,C4513,INDIRECT(J$2),INDIRECT(I4513),test))</f>
        <v>0.09</v>
      </c>
      <c r="E4513" s="5">
        <f ca="1">IF(getQuality(B4513)&lt;4,getOtherMax(B4513,C4513,INDIRECT(J$2),INDIRECT(I4513),test),getMax(B4513,C4513,INDIRECT(J$2),INDIRECT(I4513),test))</f>
        <v>0.18</v>
      </c>
      <c r="F4513" s="1" t="str">
        <f t="shared" si="283"/>
        <v>50</v>
      </c>
      <c r="G4513" s="1" t="str">
        <f t="shared" si="284"/>
        <v/>
      </c>
      <c r="I4513" s="1" t="str">
        <f t="shared" si="282"/>
        <v>威尔新数值1.06.xlsm!monsterDamage</v>
      </c>
    </row>
    <row r="4514" spans="1:9" x14ac:dyDescent="0.15">
      <c r="A4514" s="1">
        <v>4513</v>
      </c>
      <c r="B4514" s="1">
        <v>103041100</v>
      </c>
      <c r="C4514" s="1">
        <f t="shared" si="281"/>
        <v>3</v>
      </c>
      <c r="D4514" s="5">
        <f ca="1">IF(getQuality(B4514)&lt;4,getOtherMin(B4514,C4514,INDIRECT(J$2),INDIRECT(I4514),test),getMin(B4514,C4514,INDIRECT(J$2),INDIRECT(I4514),test))</f>
        <v>87.435552634172723</v>
      </c>
      <c r="E4514" s="5">
        <f ca="1">IF(getQuality(B4514)&lt;4,getOtherMax(B4514,C4514,INDIRECT(J$2),INDIRECT(I4514),test),getMax(B4514,C4514,INDIRECT(J$2),INDIRECT(I4514),test))</f>
        <v>124.85135380491616</v>
      </c>
      <c r="F4514" s="1" t="str">
        <f t="shared" si="283"/>
        <v>50</v>
      </c>
      <c r="G4514" s="1" t="str">
        <f t="shared" si="284"/>
        <v/>
      </c>
      <c r="I4514" s="1" t="str">
        <f t="shared" si="282"/>
        <v>威尔新数值1.06.xlsm!suitPower</v>
      </c>
    </row>
    <row r="4515" spans="1:9" x14ac:dyDescent="0.15">
      <c r="A4515" s="1">
        <v>4514</v>
      </c>
      <c r="B4515" s="1">
        <v>103041100</v>
      </c>
      <c r="C4515" s="1">
        <f t="shared" si="281"/>
        <v>5</v>
      </c>
      <c r="D4515" s="5">
        <f ca="1">IF(getQuality(B4515)&lt;4,getOtherMin(B4515,C4515,INDIRECT(J$2),INDIRECT(I4515),test),getMin(B4515,C4515,INDIRECT(J$2),INDIRECT(I4515),test))</f>
        <v>87.435552634172723</v>
      </c>
      <c r="E4515" s="5">
        <f ca="1">IF(getQuality(B4515)&lt;4,getOtherMax(B4515,C4515,INDIRECT(J$2),INDIRECT(I4515),test),getMax(B4515,C4515,INDIRECT(J$2),INDIRECT(I4515),test))</f>
        <v>124.85135380491616</v>
      </c>
      <c r="F4515" s="1" t="str">
        <f t="shared" si="283"/>
        <v>50</v>
      </c>
      <c r="G4515" s="1" t="str">
        <f t="shared" si="284"/>
        <v>1</v>
      </c>
      <c r="I4515" s="1" t="str">
        <f t="shared" si="282"/>
        <v>威尔新数值1.06.xlsm!suitPower</v>
      </c>
    </row>
    <row r="4516" spans="1:9" x14ac:dyDescent="0.15">
      <c r="A4516" s="1">
        <v>4515</v>
      </c>
      <c r="B4516" s="1">
        <v>103041100</v>
      </c>
      <c r="C4516" s="1">
        <f t="shared" si="281"/>
        <v>7</v>
      </c>
      <c r="D4516" s="5">
        <f ca="1">IF(getQuality(B4516)&lt;4,getOtherMin(B4516,C4516,INDIRECT(J$2),INDIRECT(I4516),test),getMin(B4516,C4516,INDIRECT(J$2),INDIRECT(I4516),test))</f>
        <v>23.222222222222165</v>
      </c>
      <c r="E4516" s="5">
        <f ca="1">IF(getQuality(B4516)&lt;4,getOtherMax(B4516,C4516,INDIRECT(J$2),INDIRECT(I4516),test),getMax(B4516,C4516,INDIRECT(J$2),INDIRECT(I4516),test))</f>
        <v>29.629629629629555</v>
      </c>
      <c r="F4516" s="1" t="str">
        <f t="shared" si="283"/>
        <v>50</v>
      </c>
      <c r="G4516" s="1" t="str">
        <f t="shared" si="284"/>
        <v/>
      </c>
      <c r="I4516" s="1" t="str">
        <f t="shared" si="282"/>
        <v>威尔新数值1.06.xlsm!suitPower</v>
      </c>
    </row>
    <row r="4517" spans="1:9" x14ac:dyDescent="0.15">
      <c r="A4517" s="1">
        <v>4516</v>
      </c>
      <c r="B4517" s="1">
        <v>103041100</v>
      </c>
      <c r="C4517" s="1">
        <f t="shared" si="281"/>
        <v>8</v>
      </c>
      <c r="D4517" s="5">
        <f ca="1">IF(getQuality(B4517)&lt;4,getOtherMin(B4517,C4517,INDIRECT(J$2),INDIRECT(I4517),test),getMin(B4517,C4517,INDIRECT(J$2),INDIRECT(I4517),test))</f>
        <v>51</v>
      </c>
      <c r="E4517" s="5">
        <f ca="1">IF(getQuality(B4517)&lt;4,getOtherMax(B4517,C4517,INDIRECT(J$2),INDIRECT(I4517),test),getMax(B4517,C4517,INDIRECT(J$2),INDIRECT(I4517),test))</f>
        <v>66.666666666666671</v>
      </c>
      <c r="F4517" s="1" t="str">
        <f t="shared" si="283"/>
        <v>50</v>
      </c>
      <c r="G4517" s="1" t="str">
        <f t="shared" si="284"/>
        <v/>
      </c>
      <c r="I4517" s="1" t="str">
        <f t="shared" si="282"/>
        <v>威尔新数值1.06.xlsm!suitPower</v>
      </c>
    </row>
    <row r="4518" spans="1:9" x14ac:dyDescent="0.15">
      <c r="A4518" s="1">
        <v>4517</v>
      </c>
      <c r="B4518" s="1">
        <v>103041100</v>
      </c>
      <c r="C4518" s="1">
        <f t="shared" si="281"/>
        <v>9</v>
      </c>
      <c r="D4518" s="5">
        <f ca="1">IF(getQuality(B4518)&lt;4,getOtherMin(B4518,C4518,INDIRECT(J$2),INDIRECT(I4518),test),getMin(B4518,C4518,INDIRECT(J$2),INDIRECT(I4518),test))</f>
        <v>87.435552634172723</v>
      </c>
      <c r="E4518" s="5">
        <f ca="1">IF(getQuality(B4518)&lt;4,getOtherMax(B4518,C4518,INDIRECT(J$2),INDIRECT(I4518),test),getMax(B4518,C4518,INDIRECT(J$2),INDIRECT(I4518),test))</f>
        <v>124.85135380491616</v>
      </c>
      <c r="F4518" s="1" t="str">
        <f t="shared" si="283"/>
        <v>50</v>
      </c>
      <c r="G4518" s="1" t="str">
        <f t="shared" si="284"/>
        <v/>
      </c>
      <c r="I4518" s="1" t="str">
        <f t="shared" si="282"/>
        <v>威尔新数值1.06.xlsm!suitPower</v>
      </c>
    </row>
    <row r="4519" spans="1:9" x14ac:dyDescent="0.15">
      <c r="A4519" s="1">
        <v>4518</v>
      </c>
      <c r="B4519" s="1">
        <v>103041100</v>
      </c>
      <c r="C4519" s="1">
        <f t="shared" si="281"/>
        <v>10</v>
      </c>
      <c r="D4519" s="5">
        <f ca="1">IF(getQuality(B4519)&lt;4,getOtherMin(B4519,C4519,INDIRECT(J$2),INDIRECT(I4519),test),getMin(B4519,C4519,INDIRECT(J$2),INDIRECT(I4519),test))</f>
        <v>87.435552634172723</v>
      </c>
      <c r="E4519" s="5">
        <f ca="1">IF(getQuality(B4519)&lt;4,getOtherMax(B4519,C4519,INDIRECT(J$2),INDIRECT(I4519),test),getMax(B4519,C4519,INDIRECT(J$2),INDIRECT(I4519),test))</f>
        <v>124.85135380491616</v>
      </c>
      <c r="F4519" s="1" t="str">
        <f t="shared" si="283"/>
        <v>50</v>
      </c>
      <c r="G4519" s="1" t="str">
        <f t="shared" si="284"/>
        <v/>
      </c>
      <c r="I4519" s="1" t="str">
        <f t="shared" si="282"/>
        <v>威尔新数值1.06.xlsm!suitPower</v>
      </c>
    </row>
    <row r="4520" spans="1:9" x14ac:dyDescent="0.15">
      <c r="A4520" s="1">
        <v>4519</v>
      </c>
      <c r="B4520" s="1">
        <v>103041100</v>
      </c>
      <c r="C4520" s="1">
        <f t="shared" si="281"/>
        <v>11</v>
      </c>
      <c r="D4520" s="5">
        <f ca="1">IF(getQuality(B4520)&lt;4,getOtherMin(B4520,C4520,INDIRECT(J$2),INDIRECT(I4520),test),getMin(B4520,C4520,INDIRECT(J$2),INDIRECT(I4520),test))</f>
        <v>87.435552634172723</v>
      </c>
      <c r="E4520" s="5">
        <f ca="1">IF(getQuality(B4520)&lt;4,getOtherMax(B4520,C4520,INDIRECT(J$2),INDIRECT(I4520),test),getMax(B4520,C4520,INDIRECT(J$2),INDIRECT(I4520),test))</f>
        <v>124.85135380491616</v>
      </c>
      <c r="F4520" s="1" t="str">
        <f t="shared" si="283"/>
        <v>50</v>
      </c>
      <c r="G4520" s="1" t="str">
        <f t="shared" si="284"/>
        <v/>
      </c>
      <c r="I4520" s="1" t="str">
        <f t="shared" si="282"/>
        <v>威尔新数值1.06.xlsm!suitPower</v>
      </c>
    </row>
    <row r="4521" spans="1:9" x14ac:dyDescent="0.15">
      <c r="A4521" s="1">
        <v>4520</v>
      </c>
      <c r="B4521" s="1">
        <v>103041100</v>
      </c>
      <c r="C4521" s="1">
        <f t="shared" si="281"/>
        <v>12</v>
      </c>
      <c r="D4521" s="5">
        <f ca="1">IF(getQuality(B4521)&lt;4,getOtherMin(B4521,C4521,INDIRECT(J$2),INDIRECT(I4521),test),getMin(B4521,C4521,INDIRECT(J$2),INDIRECT(I4521),test))</f>
        <v>87.435552634172723</v>
      </c>
      <c r="E4521" s="5">
        <f ca="1">IF(getQuality(B4521)&lt;4,getOtherMax(B4521,C4521,INDIRECT(J$2),INDIRECT(I4521),test),getMax(B4521,C4521,INDIRECT(J$2),INDIRECT(I4521),test))</f>
        <v>124.85135380491616</v>
      </c>
      <c r="F4521" s="1" t="str">
        <f t="shared" si="283"/>
        <v>50</v>
      </c>
      <c r="G4521" s="1" t="str">
        <f t="shared" si="284"/>
        <v/>
      </c>
      <c r="I4521" s="1" t="str">
        <f t="shared" si="282"/>
        <v>威尔新数值1.06.xlsm!suitPower</v>
      </c>
    </row>
    <row r="4522" spans="1:9" x14ac:dyDescent="0.15">
      <c r="A4522" s="1">
        <v>4521</v>
      </c>
      <c r="B4522" s="1">
        <v>103041100</v>
      </c>
      <c r="C4522" s="1">
        <f t="shared" si="281"/>
        <v>13</v>
      </c>
      <c r="D4522" s="5">
        <f ca="1">IF(getQuality(B4522)&lt;4,getOtherMin(B4522,C4522,INDIRECT(J$2),INDIRECT(I4522),test),getMin(B4522,C4522,INDIRECT(J$2),INDIRECT(I4522),test))</f>
        <v>87.435552634172723</v>
      </c>
      <c r="E4522" s="5">
        <f ca="1">IF(getQuality(B4522)&lt;4,getOtherMax(B4522,C4522,INDIRECT(J$2),INDIRECT(I4522),test),getMax(B4522,C4522,INDIRECT(J$2),INDIRECT(I4522),test))</f>
        <v>124.85135380491616</v>
      </c>
      <c r="F4522" s="1" t="str">
        <f t="shared" si="283"/>
        <v>50</v>
      </c>
      <c r="G4522" s="1" t="str">
        <f t="shared" si="284"/>
        <v/>
      </c>
      <c r="I4522" s="1" t="str">
        <f t="shared" si="282"/>
        <v>威尔新数值1.06.xlsm!suitPower</v>
      </c>
    </row>
    <row r="4523" spans="1:9" x14ac:dyDescent="0.15">
      <c r="A4523" s="1">
        <v>4522</v>
      </c>
      <c r="B4523" s="1">
        <v>103041100</v>
      </c>
      <c r="C4523" s="1">
        <f t="shared" si="281"/>
        <v>14</v>
      </c>
      <c r="D4523" s="5">
        <f ca="1">IF(getQuality(B4523)&lt;4,getOtherMin(B4523,C4523,INDIRECT(J$2),INDIRECT(I4523),test),getMin(B4523,C4523,INDIRECT(J$2),INDIRECT(I4523),test))</f>
        <v>87.435552634172723</v>
      </c>
      <c r="E4523" s="5">
        <f ca="1">IF(getQuality(B4523)&lt;4,getOtherMax(B4523,C4523,INDIRECT(J$2),INDIRECT(I4523),test),getMax(B4523,C4523,INDIRECT(J$2),INDIRECT(I4523),test))</f>
        <v>124.85135380491616</v>
      </c>
      <c r="F4523" s="1" t="str">
        <f t="shared" si="283"/>
        <v>50</v>
      </c>
      <c r="G4523" s="1" t="str">
        <f t="shared" si="284"/>
        <v/>
      </c>
      <c r="I4523" s="1" t="str">
        <f t="shared" si="282"/>
        <v>威尔新数值1.06.xlsm!suitPower</v>
      </c>
    </row>
    <row r="4524" spans="1:9" x14ac:dyDescent="0.15">
      <c r="A4524" s="1">
        <v>4523</v>
      </c>
      <c r="B4524" s="1">
        <v>103041100</v>
      </c>
      <c r="C4524" s="1">
        <f t="shared" si="281"/>
        <v>15</v>
      </c>
      <c r="D4524" s="5">
        <f ca="1">IF(getQuality(B4524)&lt;4,getOtherMin(B4524,C4524,INDIRECT(J$2),INDIRECT(I4524),test),getMin(B4524,C4524,INDIRECT(J$2),INDIRECT(I4524),test))</f>
        <v>87.435552634172723</v>
      </c>
      <c r="E4524" s="5">
        <f ca="1">IF(getQuality(B4524)&lt;4,getOtherMax(B4524,C4524,INDIRECT(J$2),INDIRECT(I4524),test),getMax(B4524,C4524,INDIRECT(J$2),INDIRECT(I4524),test))</f>
        <v>124.85135380491616</v>
      </c>
      <c r="F4524" s="1" t="str">
        <f t="shared" si="283"/>
        <v>50</v>
      </c>
      <c r="G4524" s="1" t="str">
        <f t="shared" si="284"/>
        <v/>
      </c>
      <c r="I4524" s="1" t="str">
        <f t="shared" si="282"/>
        <v>威尔新数值1.06.xlsm!suitPower</v>
      </c>
    </row>
    <row r="4525" spans="1:9" x14ac:dyDescent="0.15">
      <c r="A4525" s="1">
        <v>4524</v>
      </c>
      <c r="B4525" s="1">
        <v>103041100</v>
      </c>
      <c r="C4525" s="1">
        <f t="shared" si="281"/>
        <v>101</v>
      </c>
      <c r="D4525" s="5">
        <f ca="1">IF(getQuality(B4525)&lt;4,getOtherMin(B4525,C4525,INDIRECT(J$2),INDIRECT(I4525),test),getMin(B4525,C4525,INDIRECT(J$2),INDIRECT(I4525),test))</f>
        <v>0.1</v>
      </c>
      <c r="E4525" s="5">
        <f ca="1">IF(getQuality(B4525)&lt;4,getOtherMax(B4525,C4525,INDIRECT(J$2),INDIRECT(I4525),test),getMax(B4525,C4525,INDIRECT(J$2),INDIRECT(I4525),test))</f>
        <v>0.13</v>
      </c>
      <c r="F4525" s="1" t="str">
        <f t="shared" si="283"/>
        <v>50</v>
      </c>
      <c r="G4525" s="1" t="str">
        <f t="shared" si="284"/>
        <v/>
      </c>
      <c r="I4525" s="1" t="str">
        <f t="shared" si="282"/>
        <v>威尔新数值1.06.xlsm!circlePer</v>
      </c>
    </row>
    <row r="4526" spans="1:9" x14ac:dyDescent="0.15">
      <c r="A4526" s="1">
        <v>4525</v>
      </c>
      <c r="B4526" s="1">
        <v>103041100</v>
      </c>
      <c r="C4526" s="1">
        <f t="shared" si="281"/>
        <v>102</v>
      </c>
      <c r="D4526" s="5">
        <f ca="1">IF(getQuality(B4526)&lt;4,getOtherMin(B4526,C4526,INDIRECT(J$2),INDIRECT(I4526),test),getMin(B4526,C4526,INDIRECT(J$2),INDIRECT(I4526),test))</f>
        <v>0.9</v>
      </c>
      <c r="E4526" s="5">
        <f ca="1">IF(getQuality(B4526)&lt;4,getOtherMax(B4526,C4526,INDIRECT(J$2),INDIRECT(I4526),test),getMax(B4526,C4526,INDIRECT(J$2),INDIRECT(I4526),test))</f>
        <v>1.2</v>
      </c>
      <c r="F4526" s="1" t="str">
        <f t="shared" si="283"/>
        <v>50</v>
      </c>
      <c r="G4526" s="1" t="str">
        <f t="shared" si="284"/>
        <v/>
      </c>
      <c r="I4526" s="1" t="str">
        <f t="shared" si="282"/>
        <v>威尔新数值1.06.xlsm!circleValue</v>
      </c>
    </row>
    <row r="4527" spans="1:9" x14ac:dyDescent="0.15">
      <c r="A4527" s="1">
        <v>4526</v>
      </c>
      <c r="B4527" s="1">
        <v>103041100</v>
      </c>
      <c r="C4527" s="1">
        <f t="shared" si="281"/>
        <v>103</v>
      </c>
      <c r="D4527" s="5">
        <f ca="1">IF(getQuality(B4527)&lt;4,getOtherMin(B4527,C4527,INDIRECT(J$2),INDIRECT(I4527),test),getMin(B4527,C4527,INDIRECT(J$2),INDIRECT(I4527),test))</f>
        <v>0.1</v>
      </c>
      <c r="E4527" s="5">
        <f ca="1">IF(getQuality(B4527)&lt;4,getOtherMax(B4527,C4527,INDIRECT(J$2),INDIRECT(I4527),test),getMax(B4527,C4527,INDIRECT(J$2),INDIRECT(I4527),test))</f>
        <v>0.13</v>
      </c>
      <c r="F4527" s="1" t="str">
        <f t="shared" si="283"/>
        <v>50</v>
      </c>
      <c r="G4527" s="1" t="str">
        <f t="shared" si="284"/>
        <v/>
      </c>
      <c r="I4527" s="1" t="str">
        <f t="shared" si="282"/>
        <v>威尔新数值1.06.xlsm!otherDamage</v>
      </c>
    </row>
    <row r="4528" spans="1:9" x14ac:dyDescent="0.15">
      <c r="A4528" s="1">
        <v>4527</v>
      </c>
      <c r="B4528" s="1">
        <v>103041100</v>
      </c>
      <c r="C4528" s="1">
        <f t="shared" si="281"/>
        <v>104</v>
      </c>
      <c r="D4528" s="5">
        <f ca="1">IF(getQuality(B4528)&lt;4,getOtherMin(B4528,C4528,INDIRECT(J$2),INDIRECT(I4528),test),getMin(B4528,C4528,INDIRECT(J$2),INDIRECT(I4528),test))</f>
        <v>0.1</v>
      </c>
      <c r="E4528" s="5">
        <f ca="1">IF(getQuality(B4528)&lt;4,getOtherMax(B4528,C4528,INDIRECT(J$2),INDIRECT(I4528),test),getMax(B4528,C4528,INDIRECT(J$2),INDIRECT(I4528),test))</f>
        <v>0.2</v>
      </c>
      <c r="F4528" s="1" t="str">
        <f t="shared" si="283"/>
        <v>50</v>
      </c>
      <c r="G4528" s="1" t="str">
        <f t="shared" si="284"/>
        <v/>
      </c>
      <c r="I4528" s="1" t="str">
        <f t="shared" si="282"/>
        <v>威尔新数值1.06.xlsm!monsterDamage</v>
      </c>
    </row>
    <row r="4529" spans="1:9" x14ac:dyDescent="0.15">
      <c r="A4529" s="1">
        <v>4528</v>
      </c>
      <c r="B4529" s="1">
        <v>103041100</v>
      </c>
      <c r="C4529" s="1">
        <f t="shared" si="281"/>
        <v>105</v>
      </c>
      <c r="D4529" s="5">
        <f ca="1">IF(getQuality(B4529)&lt;4,getOtherMin(B4529,C4529,INDIRECT(J$2),INDIRECT(I4529),test),getMin(B4529,C4529,INDIRECT(J$2),INDIRECT(I4529),test))</f>
        <v>0.1</v>
      </c>
      <c r="E4529" s="5">
        <f ca="1">IF(getQuality(B4529)&lt;4,getOtherMax(B4529,C4529,INDIRECT(J$2),INDIRECT(I4529),test),getMax(B4529,C4529,INDIRECT(J$2),INDIRECT(I4529),test))</f>
        <v>0.2</v>
      </c>
      <c r="F4529" s="1" t="str">
        <f t="shared" si="283"/>
        <v>50</v>
      </c>
      <c r="G4529" s="1" t="str">
        <f t="shared" si="284"/>
        <v/>
      </c>
      <c r="I4529" s="1" t="str">
        <f t="shared" si="282"/>
        <v>威尔新数值1.06.xlsm!monsterDamage</v>
      </c>
    </row>
    <row r="4530" spans="1:9" x14ac:dyDescent="0.15">
      <c r="A4530" s="1">
        <v>4529</v>
      </c>
      <c r="B4530" s="1">
        <v>103041100</v>
      </c>
      <c r="C4530" s="1">
        <f t="shared" si="281"/>
        <v>106</v>
      </c>
      <c r="D4530" s="5">
        <f ca="1">IF(getQuality(B4530)&lt;4,getOtherMin(B4530,C4530,INDIRECT(J$2),INDIRECT(I4530),test),getMin(B4530,C4530,INDIRECT(J$2),INDIRECT(I4530),test))</f>
        <v>0.1</v>
      </c>
      <c r="E4530" s="5">
        <f ca="1">IF(getQuality(B4530)&lt;4,getOtherMax(B4530,C4530,INDIRECT(J$2),INDIRECT(I4530),test),getMax(B4530,C4530,INDIRECT(J$2),INDIRECT(I4530),test))</f>
        <v>0.2</v>
      </c>
      <c r="F4530" s="1" t="str">
        <f t="shared" si="283"/>
        <v>50</v>
      </c>
      <c r="G4530" s="1" t="str">
        <f t="shared" si="284"/>
        <v/>
      </c>
      <c r="I4530" s="1" t="str">
        <f t="shared" si="282"/>
        <v>威尔新数值1.06.xlsm!monsterDamage</v>
      </c>
    </row>
    <row r="4531" spans="1:9" x14ac:dyDescent="0.15">
      <c r="A4531" s="1">
        <v>4530</v>
      </c>
      <c r="B4531" s="1">
        <v>103041100</v>
      </c>
      <c r="C4531" s="1">
        <f t="shared" si="281"/>
        <v>107</v>
      </c>
      <c r="D4531" s="5">
        <f ca="1">IF(getQuality(B4531)&lt;4,getOtherMin(B4531,C4531,INDIRECT(J$2),INDIRECT(I4531),test),getMin(B4531,C4531,INDIRECT(J$2),INDIRECT(I4531),test))</f>
        <v>0.1</v>
      </c>
      <c r="E4531" s="5">
        <f ca="1">IF(getQuality(B4531)&lt;4,getOtherMax(B4531,C4531,INDIRECT(J$2),INDIRECT(I4531),test),getMax(B4531,C4531,INDIRECT(J$2),INDIRECT(I4531),test))</f>
        <v>0.2</v>
      </c>
      <c r="F4531" s="1" t="str">
        <f t="shared" si="283"/>
        <v>50</v>
      </c>
      <c r="G4531" s="1" t="str">
        <f t="shared" si="284"/>
        <v/>
      </c>
      <c r="I4531" s="1" t="str">
        <f t="shared" si="282"/>
        <v>威尔新数值1.06.xlsm!monsterDamage</v>
      </c>
    </row>
    <row r="4532" spans="1:9" x14ac:dyDescent="0.15">
      <c r="A4532" s="1">
        <v>4531</v>
      </c>
      <c r="B4532" s="1">
        <v>103041100</v>
      </c>
      <c r="C4532" s="1">
        <f t="shared" si="281"/>
        <v>108</v>
      </c>
      <c r="D4532" s="5">
        <f ca="1">IF(getQuality(B4532)&lt;4,getOtherMin(B4532,C4532,INDIRECT(J$2),INDIRECT(I4532),test),getMin(B4532,C4532,INDIRECT(J$2),INDIRECT(I4532),test))</f>
        <v>0.1</v>
      </c>
      <c r="E4532" s="5">
        <f ca="1">IF(getQuality(B4532)&lt;4,getOtherMax(B4532,C4532,INDIRECT(J$2),INDIRECT(I4532),test),getMax(B4532,C4532,INDIRECT(J$2),INDIRECT(I4532),test))</f>
        <v>0.2</v>
      </c>
      <c r="F4532" s="1" t="str">
        <f t="shared" si="283"/>
        <v>50</v>
      </c>
      <c r="G4532" s="1" t="str">
        <f t="shared" si="284"/>
        <v/>
      </c>
      <c r="I4532" s="1" t="str">
        <f t="shared" si="282"/>
        <v>威尔新数值1.06.xlsm!monsterDamage</v>
      </c>
    </row>
    <row r="4533" spans="1:9" x14ac:dyDescent="0.15">
      <c r="A4533" s="1">
        <v>4532</v>
      </c>
      <c r="B4533" s="1">
        <v>103051100</v>
      </c>
      <c r="C4533" s="1">
        <f t="shared" si="281"/>
        <v>3</v>
      </c>
      <c r="D4533" s="5">
        <f ca="1">IF(getQuality(B4533)&lt;4,getOtherMin(B4533,C4533,INDIRECT(J$2),INDIRECT(I4533),test),getMin(B4533,C4533,INDIRECT(J$2),INDIRECT(I4533),test))</f>
        <v>125.85135380491616</v>
      </c>
      <c r="E4533" s="5">
        <f ca="1">IF(getQuality(B4533)&lt;4,getOtherMax(B4533,C4533,INDIRECT(J$2),INDIRECT(I4533),test),getMax(B4533,C4533,INDIRECT(J$2),INDIRECT(I4533),test))</f>
        <v>169.16048810980774</v>
      </c>
      <c r="F4533" s="1" t="str">
        <f t="shared" si="283"/>
        <v>50</v>
      </c>
      <c r="G4533" s="1" t="str">
        <f t="shared" si="284"/>
        <v/>
      </c>
      <c r="I4533" s="1" t="str">
        <f t="shared" si="282"/>
        <v>威尔新数值1.06.xlsm!suitPower</v>
      </c>
    </row>
    <row r="4534" spans="1:9" x14ac:dyDescent="0.15">
      <c r="A4534" s="1">
        <v>4533</v>
      </c>
      <c r="B4534" s="1">
        <v>103051100</v>
      </c>
      <c r="C4534" s="1">
        <f t="shared" si="281"/>
        <v>5</v>
      </c>
      <c r="D4534" s="5">
        <f ca="1">IF(getQuality(B4534)&lt;4,getOtherMin(B4534,C4534,INDIRECT(J$2),INDIRECT(I4534),test),getMin(B4534,C4534,INDIRECT(J$2),INDIRECT(I4534),test))</f>
        <v>125.85135380491616</v>
      </c>
      <c r="E4534" s="5">
        <f ca="1">IF(getQuality(B4534)&lt;4,getOtherMax(B4534,C4534,INDIRECT(J$2),INDIRECT(I4534),test),getMax(B4534,C4534,INDIRECT(J$2),INDIRECT(I4534),test))</f>
        <v>169.16048810980774</v>
      </c>
      <c r="F4534" s="1" t="str">
        <f t="shared" si="283"/>
        <v>50</v>
      </c>
      <c r="G4534" s="1" t="str">
        <f t="shared" si="284"/>
        <v>1</v>
      </c>
      <c r="I4534" s="1" t="str">
        <f t="shared" si="282"/>
        <v>威尔新数值1.06.xlsm!suitPower</v>
      </c>
    </row>
    <row r="4535" spans="1:9" x14ac:dyDescent="0.15">
      <c r="A4535" s="1">
        <v>4534</v>
      </c>
      <c r="B4535" s="1">
        <v>103051100</v>
      </c>
      <c r="C4535" s="1">
        <f t="shared" si="281"/>
        <v>7</v>
      </c>
      <c r="D4535" s="5">
        <f ca="1">IF(getQuality(B4535)&lt;4,getOtherMin(B4535,C4535,INDIRECT(J$2),INDIRECT(I4535),test),getMin(B4535,C4535,INDIRECT(J$2),INDIRECT(I4535),test))</f>
        <v>30.629629629629555</v>
      </c>
      <c r="E4535" s="5">
        <f ca="1">IF(getQuality(B4535)&lt;4,getOtherMax(B4535,C4535,INDIRECT(J$2),INDIRECT(I4535),test),getMax(B4535,C4535,INDIRECT(J$2),INDIRECT(I4535),test))</f>
        <v>37.037037037036946</v>
      </c>
      <c r="F4535" s="1" t="str">
        <f t="shared" si="283"/>
        <v>50</v>
      </c>
      <c r="G4535" s="1" t="str">
        <f t="shared" si="284"/>
        <v/>
      </c>
      <c r="I4535" s="1" t="str">
        <f t="shared" si="282"/>
        <v>威尔新数值1.06.xlsm!suitPower</v>
      </c>
    </row>
    <row r="4536" spans="1:9" x14ac:dyDescent="0.15">
      <c r="A4536" s="1">
        <v>4535</v>
      </c>
      <c r="B4536" s="1">
        <v>103051100</v>
      </c>
      <c r="C4536" s="1">
        <f t="shared" si="281"/>
        <v>8</v>
      </c>
      <c r="D4536" s="5">
        <f ca="1">IF(getQuality(B4536)&lt;4,getOtherMin(B4536,C4536,INDIRECT(J$2),INDIRECT(I4536),test),getMin(B4536,C4536,INDIRECT(J$2),INDIRECT(I4536),test))</f>
        <v>67.666666666666671</v>
      </c>
      <c r="E4536" s="5">
        <f ca="1">IF(getQuality(B4536)&lt;4,getOtherMax(B4536,C4536,INDIRECT(J$2),INDIRECT(I4536),test),getMax(B4536,C4536,INDIRECT(J$2),INDIRECT(I4536),test))</f>
        <v>83.333333333333329</v>
      </c>
      <c r="F4536" s="1" t="str">
        <f t="shared" si="283"/>
        <v>50</v>
      </c>
      <c r="G4536" s="1" t="str">
        <f t="shared" si="284"/>
        <v/>
      </c>
      <c r="I4536" s="1" t="str">
        <f t="shared" si="282"/>
        <v>威尔新数值1.06.xlsm!suitPower</v>
      </c>
    </row>
    <row r="4537" spans="1:9" x14ac:dyDescent="0.15">
      <c r="A4537" s="1">
        <v>4536</v>
      </c>
      <c r="B4537" s="1">
        <v>103051100</v>
      </c>
      <c r="C4537" s="1">
        <f t="shared" si="281"/>
        <v>9</v>
      </c>
      <c r="D4537" s="5">
        <f ca="1">IF(getQuality(B4537)&lt;4,getOtherMin(B4537,C4537,INDIRECT(J$2),INDIRECT(I4537),test),getMin(B4537,C4537,INDIRECT(J$2),INDIRECT(I4537),test))</f>
        <v>125.85135380491616</v>
      </c>
      <c r="E4537" s="5">
        <f ca="1">IF(getQuality(B4537)&lt;4,getOtherMax(B4537,C4537,INDIRECT(J$2),INDIRECT(I4537),test),getMax(B4537,C4537,INDIRECT(J$2),INDIRECT(I4537),test))</f>
        <v>169.16048810980774</v>
      </c>
      <c r="F4537" s="1" t="str">
        <f t="shared" si="283"/>
        <v>50</v>
      </c>
      <c r="G4537" s="1" t="str">
        <f t="shared" si="284"/>
        <v/>
      </c>
      <c r="I4537" s="1" t="str">
        <f t="shared" si="282"/>
        <v>威尔新数值1.06.xlsm!suitPower</v>
      </c>
    </row>
    <row r="4538" spans="1:9" x14ac:dyDescent="0.15">
      <c r="A4538" s="1">
        <v>4537</v>
      </c>
      <c r="B4538" s="1">
        <v>103051100</v>
      </c>
      <c r="C4538" s="1">
        <f t="shared" si="281"/>
        <v>10</v>
      </c>
      <c r="D4538" s="5">
        <f ca="1">IF(getQuality(B4538)&lt;4,getOtherMin(B4538,C4538,INDIRECT(J$2),INDIRECT(I4538),test),getMin(B4538,C4538,INDIRECT(J$2),INDIRECT(I4538),test))</f>
        <v>125.85135380491616</v>
      </c>
      <c r="E4538" s="5">
        <f ca="1">IF(getQuality(B4538)&lt;4,getOtherMax(B4538,C4538,INDIRECT(J$2),INDIRECT(I4538),test),getMax(B4538,C4538,INDIRECT(J$2),INDIRECT(I4538),test))</f>
        <v>169.16048810980774</v>
      </c>
      <c r="F4538" s="1" t="str">
        <f t="shared" si="283"/>
        <v>50</v>
      </c>
      <c r="G4538" s="1" t="str">
        <f t="shared" si="284"/>
        <v/>
      </c>
      <c r="I4538" s="1" t="str">
        <f t="shared" si="282"/>
        <v>威尔新数值1.06.xlsm!suitPower</v>
      </c>
    </row>
    <row r="4539" spans="1:9" x14ac:dyDescent="0.15">
      <c r="A4539" s="1">
        <v>4538</v>
      </c>
      <c r="B4539" s="1">
        <v>103051100</v>
      </c>
      <c r="C4539" s="1">
        <f t="shared" si="281"/>
        <v>11</v>
      </c>
      <c r="D4539" s="5">
        <f ca="1">IF(getQuality(B4539)&lt;4,getOtherMin(B4539,C4539,INDIRECT(J$2),INDIRECT(I4539),test),getMin(B4539,C4539,INDIRECT(J$2),INDIRECT(I4539),test))</f>
        <v>125.85135380491616</v>
      </c>
      <c r="E4539" s="5">
        <f ca="1">IF(getQuality(B4539)&lt;4,getOtherMax(B4539,C4539,INDIRECT(J$2),INDIRECT(I4539),test),getMax(B4539,C4539,INDIRECT(J$2),INDIRECT(I4539),test))</f>
        <v>169.16048810980774</v>
      </c>
      <c r="F4539" s="1" t="str">
        <f t="shared" si="283"/>
        <v>50</v>
      </c>
      <c r="G4539" s="1" t="str">
        <f t="shared" si="284"/>
        <v/>
      </c>
      <c r="I4539" s="1" t="str">
        <f t="shared" si="282"/>
        <v>威尔新数值1.06.xlsm!suitPower</v>
      </c>
    </row>
    <row r="4540" spans="1:9" x14ac:dyDescent="0.15">
      <c r="A4540" s="1">
        <v>4539</v>
      </c>
      <c r="B4540" s="1">
        <v>103051100</v>
      </c>
      <c r="C4540" s="1">
        <f t="shared" ref="C4540:C4603" si="285">C2065</f>
        <v>12</v>
      </c>
      <c r="D4540" s="5">
        <f ca="1">IF(getQuality(B4540)&lt;4,getOtherMin(B4540,C4540,INDIRECT(J$2),INDIRECT(I4540),test),getMin(B4540,C4540,INDIRECT(J$2),INDIRECT(I4540),test))</f>
        <v>125.85135380491616</v>
      </c>
      <c r="E4540" s="5">
        <f ca="1">IF(getQuality(B4540)&lt;4,getOtherMax(B4540,C4540,INDIRECT(J$2),INDIRECT(I4540),test),getMax(B4540,C4540,INDIRECT(J$2),INDIRECT(I4540),test))</f>
        <v>169.16048810980774</v>
      </c>
      <c r="F4540" s="1" t="str">
        <f t="shared" si="283"/>
        <v>50</v>
      </c>
      <c r="G4540" s="1" t="str">
        <f t="shared" si="284"/>
        <v/>
      </c>
      <c r="I4540" s="1" t="str">
        <f t="shared" si="282"/>
        <v>威尔新数值1.06.xlsm!suitPower</v>
      </c>
    </row>
    <row r="4541" spans="1:9" x14ac:dyDescent="0.15">
      <c r="A4541" s="1">
        <v>4540</v>
      </c>
      <c r="B4541" s="1">
        <v>103051100</v>
      </c>
      <c r="C4541" s="1">
        <f t="shared" si="285"/>
        <v>13</v>
      </c>
      <c r="D4541" s="5">
        <f ca="1">IF(getQuality(B4541)&lt;4,getOtherMin(B4541,C4541,INDIRECT(J$2),INDIRECT(I4541),test),getMin(B4541,C4541,INDIRECT(J$2),INDIRECT(I4541),test))</f>
        <v>125.85135380491616</v>
      </c>
      <c r="E4541" s="5">
        <f ca="1">IF(getQuality(B4541)&lt;4,getOtherMax(B4541,C4541,INDIRECT(J$2),INDIRECT(I4541),test),getMax(B4541,C4541,INDIRECT(J$2),INDIRECT(I4541),test))</f>
        <v>169.16048810980774</v>
      </c>
      <c r="F4541" s="1" t="str">
        <f t="shared" si="283"/>
        <v>50</v>
      </c>
      <c r="G4541" s="1" t="str">
        <f t="shared" si="284"/>
        <v/>
      </c>
      <c r="I4541" s="1" t="str">
        <f t="shared" si="282"/>
        <v>威尔新数值1.06.xlsm!suitPower</v>
      </c>
    </row>
    <row r="4542" spans="1:9" x14ac:dyDescent="0.15">
      <c r="A4542" s="1">
        <v>4541</v>
      </c>
      <c r="B4542" s="1">
        <v>103051100</v>
      </c>
      <c r="C4542" s="1">
        <f t="shared" si="285"/>
        <v>14</v>
      </c>
      <c r="D4542" s="5">
        <f ca="1">IF(getQuality(B4542)&lt;4,getOtherMin(B4542,C4542,INDIRECT(J$2),INDIRECT(I4542),test),getMin(B4542,C4542,INDIRECT(J$2),INDIRECT(I4542),test))</f>
        <v>125.85135380491616</v>
      </c>
      <c r="E4542" s="5">
        <f ca="1">IF(getQuality(B4542)&lt;4,getOtherMax(B4542,C4542,INDIRECT(J$2),INDIRECT(I4542),test),getMax(B4542,C4542,INDIRECT(J$2),INDIRECT(I4542),test))</f>
        <v>169.16048810980774</v>
      </c>
      <c r="F4542" s="1" t="str">
        <f t="shared" si="283"/>
        <v>50</v>
      </c>
      <c r="G4542" s="1" t="str">
        <f t="shared" si="284"/>
        <v/>
      </c>
      <c r="I4542" s="1" t="str">
        <f t="shared" si="282"/>
        <v>威尔新数值1.06.xlsm!suitPower</v>
      </c>
    </row>
    <row r="4543" spans="1:9" x14ac:dyDescent="0.15">
      <c r="A4543" s="1">
        <v>4542</v>
      </c>
      <c r="B4543" s="1">
        <v>103051100</v>
      </c>
      <c r="C4543" s="1">
        <f t="shared" si="285"/>
        <v>15</v>
      </c>
      <c r="D4543" s="5">
        <f ca="1">IF(getQuality(B4543)&lt;4,getOtherMin(B4543,C4543,INDIRECT(J$2),INDIRECT(I4543),test),getMin(B4543,C4543,INDIRECT(J$2),INDIRECT(I4543),test))</f>
        <v>125.85135380491616</v>
      </c>
      <c r="E4543" s="5">
        <f ca="1">IF(getQuality(B4543)&lt;4,getOtherMax(B4543,C4543,INDIRECT(J$2),INDIRECT(I4543),test),getMax(B4543,C4543,INDIRECT(J$2),INDIRECT(I4543),test))</f>
        <v>169.16048810980774</v>
      </c>
      <c r="F4543" s="1" t="str">
        <f t="shared" si="283"/>
        <v>50</v>
      </c>
      <c r="G4543" s="1" t="str">
        <f t="shared" si="284"/>
        <v/>
      </c>
      <c r="I4543" s="1" t="str">
        <f t="shared" si="282"/>
        <v>威尔新数值1.06.xlsm!suitPower</v>
      </c>
    </row>
    <row r="4544" spans="1:9" x14ac:dyDescent="0.15">
      <c r="A4544" s="1">
        <v>4543</v>
      </c>
      <c r="B4544" s="1">
        <v>103051100</v>
      </c>
      <c r="C4544" s="1">
        <f t="shared" si="285"/>
        <v>101</v>
      </c>
      <c r="D4544" s="5">
        <f ca="1">IF(getQuality(B4544)&lt;4,getOtherMin(B4544,C4544,INDIRECT(J$2),INDIRECT(I4544),test),getMin(B4544,C4544,INDIRECT(J$2),INDIRECT(I4544),test))</f>
        <v>0.11</v>
      </c>
      <c r="E4544" s="5">
        <f ca="1">IF(getQuality(B4544)&lt;4,getOtherMax(B4544,C4544,INDIRECT(J$2),INDIRECT(I4544),test),getMax(B4544,C4544,INDIRECT(J$2),INDIRECT(I4544),test))</f>
        <v>0.14000000000000001</v>
      </c>
      <c r="F4544" s="1" t="str">
        <f t="shared" si="283"/>
        <v>50</v>
      </c>
      <c r="G4544" s="1" t="str">
        <f t="shared" si="284"/>
        <v/>
      </c>
      <c r="I4544" s="1" t="str">
        <f t="shared" si="282"/>
        <v>威尔新数值1.06.xlsm!circlePer</v>
      </c>
    </row>
    <row r="4545" spans="1:9" x14ac:dyDescent="0.15">
      <c r="A4545" s="1">
        <v>4544</v>
      </c>
      <c r="B4545" s="1">
        <v>103051100</v>
      </c>
      <c r="C4545" s="1">
        <f t="shared" si="285"/>
        <v>102</v>
      </c>
      <c r="D4545" s="5">
        <f ca="1">IF(getQuality(B4545)&lt;4,getOtherMin(B4545,C4545,INDIRECT(J$2),INDIRECT(I4545),test),getMin(B4545,C4545,INDIRECT(J$2),INDIRECT(I4545),test))</f>
        <v>1</v>
      </c>
      <c r="E4545" s="5">
        <f ca="1">IF(getQuality(B4545)&lt;4,getOtherMax(B4545,C4545,INDIRECT(J$2),INDIRECT(I4545),test),getMax(B4545,C4545,INDIRECT(J$2),INDIRECT(I4545),test))</f>
        <v>1.3</v>
      </c>
      <c r="F4545" s="1" t="str">
        <f t="shared" si="283"/>
        <v>50</v>
      </c>
      <c r="G4545" s="1" t="str">
        <f t="shared" si="284"/>
        <v/>
      </c>
      <c r="I4545" s="1" t="str">
        <f t="shared" si="282"/>
        <v>威尔新数值1.06.xlsm!circleValue</v>
      </c>
    </row>
    <row r="4546" spans="1:9" x14ac:dyDescent="0.15">
      <c r="A4546" s="1">
        <v>4545</v>
      </c>
      <c r="B4546" s="1">
        <v>103051100</v>
      </c>
      <c r="C4546" s="1">
        <f t="shared" si="285"/>
        <v>103</v>
      </c>
      <c r="D4546" s="5">
        <f ca="1">IF(getQuality(B4546)&lt;4,getOtherMin(B4546,C4546,INDIRECT(J$2),INDIRECT(I4546),test),getMin(B4546,C4546,INDIRECT(J$2),INDIRECT(I4546),test))</f>
        <v>0.11</v>
      </c>
      <c r="E4546" s="5">
        <f ca="1">IF(getQuality(B4546)&lt;4,getOtherMax(B4546,C4546,INDIRECT(J$2),INDIRECT(I4546),test),getMax(B4546,C4546,INDIRECT(J$2),INDIRECT(I4546),test))</f>
        <v>0.14000000000000001</v>
      </c>
      <c r="F4546" s="1" t="str">
        <f t="shared" si="283"/>
        <v>50</v>
      </c>
      <c r="G4546" s="1" t="str">
        <f t="shared" si="284"/>
        <v/>
      </c>
      <c r="I4546" s="1" t="str">
        <f t="shared" ref="I4546:I4609" si="286">IF(C4546&lt;100,VLOOKUP(C4546,test,3,FALSE),VLOOKUP(C4546,test1,3,FALSE))</f>
        <v>威尔新数值1.06.xlsm!otherDamage</v>
      </c>
    </row>
    <row r="4547" spans="1:9" x14ac:dyDescent="0.15">
      <c r="A4547" s="1">
        <v>4546</v>
      </c>
      <c r="B4547" s="1">
        <v>103051100</v>
      </c>
      <c r="C4547" s="1">
        <f t="shared" si="285"/>
        <v>104</v>
      </c>
      <c r="D4547" s="5">
        <f ca="1">IF(getQuality(B4547)&lt;4,getOtherMin(B4547,C4547,INDIRECT(J$2),INDIRECT(I4547),test),getMin(B4547,C4547,INDIRECT(J$2),INDIRECT(I4547),test))</f>
        <v>0.11</v>
      </c>
      <c r="E4547" s="5">
        <f ca="1">IF(getQuality(B4547)&lt;4,getOtherMax(B4547,C4547,INDIRECT(J$2),INDIRECT(I4547),test),getMax(B4547,C4547,INDIRECT(J$2),INDIRECT(I4547),test))</f>
        <v>0.22</v>
      </c>
      <c r="F4547" s="1" t="str">
        <f t="shared" ref="F4547:F4610" si="287">getper(B4547,C4547)</f>
        <v>50</v>
      </c>
      <c r="G4547" s="1" t="str">
        <f t="shared" ref="G4547:G4610" si="288">getMust(B4547,C4547)</f>
        <v/>
      </c>
      <c r="I4547" s="1" t="str">
        <f t="shared" si="286"/>
        <v>威尔新数值1.06.xlsm!monsterDamage</v>
      </c>
    </row>
    <row r="4548" spans="1:9" x14ac:dyDescent="0.15">
      <c r="A4548" s="1">
        <v>4547</v>
      </c>
      <c r="B4548" s="1">
        <v>103051100</v>
      </c>
      <c r="C4548" s="1">
        <f t="shared" si="285"/>
        <v>105</v>
      </c>
      <c r="D4548" s="5">
        <f ca="1">IF(getQuality(B4548)&lt;4,getOtherMin(B4548,C4548,INDIRECT(J$2),INDIRECT(I4548),test),getMin(B4548,C4548,INDIRECT(J$2),INDIRECT(I4548),test))</f>
        <v>0.11</v>
      </c>
      <c r="E4548" s="5">
        <f ca="1">IF(getQuality(B4548)&lt;4,getOtherMax(B4548,C4548,INDIRECT(J$2),INDIRECT(I4548),test),getMax(B4548,C4548,INDIRECT(J$2),INDIRECT(I4548),test))</f>
        <v>0.22</v>
      </c>
      <c r="F4548" s="1" t="str">
        <f t="shared" si="287"/>
        <v>50</v>
      </c>
      <c r="G4548" s="1" t="str">
        <f t="shared" si="288"/>
        <v/>
      </c>
      <c r="I4548" s="1" t="str">
        <f t="shared" si="286"/>
        <v>威尔新数值1.06.xlsm!monsterDamage</v>
      </c>
    </row>
    <row r="4549" spans="1:9" x14ac:dyDescent="0.15">
      <c r="A4549" s="1">
        <v>4548</v>
      </c>
      <c r="B4549" s="1">
        <v>103051100</v>
      </c>
      <c r="C4549" s="1">
        <f t="shared" si="285"/>
        <v>106</v>
      </c>
      <c r="D4549" s="5">
        <f ca="1">IF(getQuality(B4549)&lt;4,getOtherMin(B4549,C4549,INDIRECT(J$2),INDIRECT(I4549),test),getMin(B4549,C4549,INDIRECT(J$2),INDIRECT(I4549),test))</f>
        <v>0.11</v>
      </c>
      <c r="E4549" s="5">
        <f ca="1">IF(getQuality(B4549)&lt;4,getOtherMax(B4549,C4549,INDIRECT(J$2),INDIRECT(I4549),test),getMax(B4549,C4549,INDIRECT(J$2),INDIRECT(I4549),test))</f>
        <v>0.22</v>
      </c>
      <c r="F4549" s="1" t="str">
        <f t="shared" si="287"/>
        <v>50</v>
      </c>
      <c r="G4549" s="1" t="str">
        <f t="shared" si="288"/>
        <v/>
      </c>
      <c r="I4549" s="1" t="str">
        <f t="shared" si="286"/>
        <v>威尔新数值1.06.xlsm!monsterDamage</v>
      </c>
    </row>
    <row r="4550" spans="1:9" x14ac:dyDescent="0.15">
      <c r="A4550" s="1">
        <v>4549</v>
      </c>
      <c r="B4550" s="1">
        <v>103051100</v>
      </c>
      <c r="C4550" s="1">
        <f t="shared" si="285"/>
        <v>107</v>
      </c>
      <c r="D4550" s="5">
        <f ca="1">IF(getQuality(B4550)&lt;4,getOtherMin(B4550,C4550,INDIRECT(J$2),INDIRECT(I4550),test),getMin(B4550,C4550,INDIRECT(J$2),INDIRECT(I4550),test))</f>
        <v>0.11</v>
      </c>
      <c r="E4550" s="5">
        <f ca="1">IF(getQuality(B4550)&lt;4,getOtherMax(B4550,C4550,INDIRECT(J$2),INDIRECT(I4550),test),getMax(B4550,C4550,INDIRECT(J$2),INDIRECT(I4550),test))</f>
        <v>0.22</v>
      </c>
      <c r="F4550" s="1" t="str">
        <f t="shared" si="287"/>
        <v>50</v>
      </c>
      <c r="G4550" s="1" t="str">
        <f t="shared" si="288"/>
        <v/>
      </c>
      <c r="I4550" s="1" t="str">
        <f t="shared" si="286"/>
        <v>威尔新数值1.06.xlsm!monsterDamage</v>
      </c>
    </row>
    <row r="4551" spans="1:9" x14ac:dyDescent="0.15">
      <c r="A4551" s="1">
        <v>4550</v>
      </c>
      <c r="B4551" s="1">
        <v>103051100</v>
      </c>
      <c r="C4551" s="1">
        <f t="shared" si="285"/>
        <v>108</v>
      </c>
      <c r="D4551" s="5">
        <f ca="1">IF(getQuality(B4551)&lt;4,getOtherMin(B4551,C4551,INDIRECT(J$2),INDIRECT(I4551),test),getMin(B4551,C4551,INDIRECT(J$2),INDIRECT(I4551),test))</f>
        <v>0.11</v>
      </c>
      <c r="E4551" s="5">
        <f ca="1">IF(getQuality(B4551)&lt;4,getOtherMax(B4551,C4551,INDIRECT(J$2),INDIRECT(I4551),test),getMax(B4551,C4551,INDIRECT(J$2),INDIRECT(I4551),test))</f>
        <v>0.22</v>
      </c>
      <c r="F4551" s="1" t="str">
        <f t="shared" si="287"/>
        <v>50</v>
      </c>
      <c r="G4551" s="1" t="str">
        <f t="shared" si="288"/>
        <v/>
      </c>
      <c r="I4551" s="1" t="str">
        <f t="shared" si="286"/>
        <v>威尔新数值1.06.xlsm!monsterDamage</v>
      </c>
    </row>
    <row r="4552" spans="1:9" x14ac:dyDescent="0.15">
      <c r="A4552" s="1">
        <v>4551</v>
      </c>
      <c r="B4552" s="1">
        <v>103061100</v>
      </c>
      <c r="C4552" s="1">
        <f t="shared" si="285"/>
        <v>3</v>
      </c>
      <c r="D4552" s="5">
        <f ca="1">IF(getQuality(B4552)&lt;4,getOtherMin(B4552,C4552,INDIRECT(J$2),INDIRECT(I4552),test),getMin(B4552,C4552,INDIRECT(J$2),INDIRECT(I4552),test))</f>
        <v>170.16048810980774</v>
      </c>
      <c r="E4552" s="5">
        <f ca="1">IF(getQuality(B4552)&lt;4,getOtherMax(B4552,C4552,INDIRECT(J$2),INDIRECT(I4552),test),getMax(B4552,C4552,INDIRECT(J$2),INDIRECT(I4552),test))</f>
        <v>217.39851117079806</v>
      </c>
      <c r="F4552" s="1" t="str">
        <f t="shared" si="287"/>
        <v>50</v>
      </c>
      <c r="G4552" s="1" t="str">
        <f t="shared" si="288"/>
        <v/>
      </c>
      <c r="I4552" s="1" t="str">
        <f t="shared" si="286"/>
        <v>威尔新数值1.06.xlsm!suitPower</v>
      </c>
    </row>
    <row r="4553" spans="1:9" x14ac:dyDescent="0.15">
      <c r="A4553" s="1">
        <v>4552</v>
      </c>
      <c r="B4553" s="1">
        <v>103061100</v>
      </c>
      <c r="C4553" s="1">
        <f t="shared" si="285"/>
        <v>5</v>
      </c>
      <c r="D4553" s="5">
        <f ca="1">IF(getQuality(B4553)&lt;4,getOtherMin(B4553,C4553,INDIRECT(J$2),INDIRECT(I4553),test),getMin(B4553,C4553,INDIRECT(J$2),INDIRECT(I4553),test))</f>
        <v>170.16048810980774</v>
      </c>
      <c r="E4553" s="5">
        <f ca="1">IF(getQuality(B4553)&lt;4,getOtherMax(B4553,C4553,INDIRECT(J$2),INDIRECT(I4553),test),getMax(B4553,C4553,INDIRECT(J$2),INDIRECT(I4553),test))</f>
        <v>217.39851117079806</v>
      </c>
      <c r="F4553" s="1" t="str">
        <f t="shared" si="287"/>
        <v>50</v>
      </c>
      <c r="G4553" s="1" t="str">
        <f t="shared" si="288"/>
        <v>1</v>
      </c>
      <c r="I4553" s="1" t="str">
        <f t="shared" si="286"/>
        <v>威尔新数值1.06.xlsm!suitPower</v>
      </c>
    </row>
    <row r="4554" spans="1:9" x14ac:dyDescent="0.15">
      <c r="A4554" s="1">
        <v>4553</v>
      </c>
      <c r="B4554" s="1">
        <v>103061100</v>
      </c>
      <c r="C4554" s="1">
        <f t="shared" si="285"/>
        <v>7</v>
      </c>
      <c r="D4554" s="5">
        <f ca="1">IF(getQuality(B4554)&lt;4,getOtherMin(B4554,C4554,INDIRECT(J$2),INDIRECT(I4554),test),getMin(B4554,C4554,INDIRECT(J$2),INDIRECT(I4554),test))</f>
        <v>38.037037037036946</v>
      </c>
      <c r="E4554" s="5">
        <f ca="1">IF(getQuality(B4554)&lt;4,getOtherMax(B4554,C4554,INDIRECT(J$2),INDIRECT(I4554),test),getMax(B4554,C4554,INDIRECT(J$2),INDIRECT(I4554),test))</f>
        <v>44.444444444444329</v>
      </c>
      <c r="F4554" s="1" t="str">
        <f t="shared" si="287"/>
        <v>50</v>
      </c>
      <c r="G4554" s="1" t="str">
        <f t="shared" si="288"/>
        <v/>
      </c>
      <c r="I4554" s="1" t="str">
        <f t="shared" si="286"/>
        <v>威尔新数值1.06.xlsm!suitPower</v>
      </c>
    </row>
    <row r="4555" spans="1:9" x14ac:dyDescent="0.15">
      <c r="A4555" s="1">
        <v>4554</v>
      </c>
      <c r="B4555" s="1">
        <v>103061100</v>
      </c>
      <c r="C4555" s="1">
        <f t="shared" si="285"/>
        <v>8</v>
      </c>
      <c r="D4555" s="5">
        <f ca="1">IF(getQuality(B4555)&lt;4,getOtherMin(B4555,C4555,INDIRECT(J$2),INDIRECT(I4555),test),getMin(B4555,C4555,INDIRECT(J$2),INDIRECT(I4555),test))</f>
        <v>84.333333333333329</v>
      </c>
      <c r="E4555" s="5">
        <f ca="1">IF(getQuality(B4555)&lt;4,getOtherMax(B4555,C4555,INDIRECT(J$2),INDIRECT(I4555),test),getMax(B4555,C4555,INDIRECT(J$2),INDIRECT(I4555),test))</f>
        <v>100</v>
      </c>
      <c r="F4555" s="1" t="str">
        <f t="shared" si="287"/>
        <v>50</v>
      </c>
      <c r="G4555" s="1" t="str">
        <f t="shared" si="288"/>
        <v/>
      </c>
      <c r="I4555" s="1" t="str">
        <f t="shared" si="286"/>
        <v>威尔新数值1.06.xlsm!suitPower</v>
      </c>
    </row>
    <row r="4556" spans="1:9" x14ac:dyDescent="0.15">
      <c r="A4556" s="1">
        <v>4555</v>
      </c>
      <c r="B4556" s="1">
        <v>103061100</v>
      </c>
      <c r="C4556" s="1">
        <f t="shared" si="285"/>
        <v>9</v>
      </c>
      <c r="D4556" s="5">
        <f ca="1">IF(getQuality(B4556)&lt;4,getOtherMin(B4556,C4556,INDIRECT(J$2),INDIRECT(I4556),test),getMin(B4556,C4556,INDIRECT(J$2),INDIRECT(I4556),test))</f>
        <v>170.16048810980774</v>
      </c>
      <c r="E4556" s="5">
        <f ca="1">IF(getQuality(B4556)&lt;4,getOtherMax(B4556,C4556,INDIRECT(J$2),INDIRECT(I4556),test),getMax(B4556,C4556,INDIRECT(J$2),INDIRECT(I4556),test))</f>
        <v>217.39851117079806</v>
      </c>
      <c r="F4556" s="1" t="str">
        <f t="shared" si="287"/>
        <v>50</v>
      </c>
      <c r="G4556" s="1" t="str">
        <f t="shared" si="288"/>
        <v/>
      </c>
      <c r="I4556" s="1" t="str">
        <f t="shared" si="286"/>
        <v>威尔新数值1.06.xlsm!suitPower</v>
      </c>
    </row>
    <row r="4557" spans="1:9" x14ac:dyDescent="0.15">
      <c r="A4557" s="1">
        <v>4556</v>
      </c>
      <c r="B4557" s="1">
        <v>103061100</v>
      </c>
      <c r="C4557" s="1">
        <f t="shared" si="285"/>
        <v>10</v>
      </c>
      <c r="D4557" s="5">
        <f ca="1">IF(getQuality(B4557)&lt;4,getOtherMin(B4557,C4557,INDIRECT(J$2),INDIRECT(I4557),test),getMin(B4557,C4557,INDIRECT(J$2),INDIRECT(I4557),test))</f>
        <v>170.16048810980774</v>
      </c>
      <c r="E4557" s="5">
        <f ca="1">IF(getQuality(B4557)&lt;4,getOtherMax(B4557,C4557,INDIRECT(J$2),INDIRECT(I4557),test),getMax(B4557,C4557,INDIRECT(J$2),INDIRECT(I4557),test))</f>
        <v>217.39851117079806</v>
      </c>
      <c r="F4557" s="1" t="str">
        <f t="shared" si="287"/>
        <v>50</v>
      </c>
      <c r="G4557" s="1" t="str">
        <f t="shared" si="288"/>
        <v/>
      </c>
      <c r="I4557" s="1" t="str">
        <f t="shared" si="286"/>
        <v>威尔新数值1.06.xlsm!suitPower</v>
      </c>
    </row>
    <row r="4558" spans="1:9" x14ac:dyDescent="0.15">
      <c r="A4558" s="1">
        <v>4557</v>
      </c>
      <c r="B4558" s="1">
        <v>103061100</v>
      </c>
      <c r="C4558" s="1">
        <f t="shared" si="285"/>
        <v>11</v>
      </c>
      <c r="D4558" s="5">
        <f ca="1">IF(getQuality(B4558)&lt;4,getOtherMin(B4558,C4558,INDIRECT(J$2),INDIRECT(I4558),test),getMin(B4558,C4558,INDIRECT(J$2),INDIRECT(I4558),test))</f>
        <v>170.16048810980774</v>
      </c>
      <c r="E4558" s="5">
        <f ca="1">IF(getQuality(B4558)&lt;4,getOtherMax(B4558,C4558,INDIRECT(J$2),INDIRECT(I4558),test),getMax(B4558,C4558,INDIRECT(J$2),INDIRECT(I4558),test))</f>
        <v>217.39851117079806</v>
      </c>
      <c r="F4558" s="1" t="str">
        <f t="shared" si="287"/>
        <v>50</v>
      </c>
      <c r="G4558" s="1" t="str">
        <f t="shared" si="288"/>
        <v/>
      </c>
      <c r="I4558" s="1" t="str">
        <f t="shared" si="286"/>
        <v>威尔新数值1.06.xlsm!suitPower</v>
      </c>
    </row>
    <row r="4559" spans="1:9" x14ac:dyDescent="0.15">
      <c r="A4559" s="1">
        <v>4558</v>
      </c>
      <c r="B4559" s="1">
        <v>103061100</v>
      </c>
      <c r="C4559" s="1">
        <f t="shared" si="285"/>
        <v>12</v>
      </c>
      <c r="D4559" s="5">
        <f ca="1">IF(getQuality(B4559)&lt;4,getOtherMin(B4559,C4559,INDIRECT(J$2),INDIRECT(I4559),test),getMin(B4559,C4559,INDIRECT(J$2),INDIRECT(I4559),test))</f>
        <v>170.16048810980774</v>
      </c>
      <c r="E4559" s="5">
        <f ca="1">IF(getQuality(B4559)&lt;4,getOtherMax(B4559,C4559,INDIRECT(J$2),INDIRECT(I4559),test),getMax(B4559,C4559,INDIRECT(J$2),INDIRECT(I4559),test))</f>
        <v>217.39851117079806</v>
      </c>
      <c r="F4559" s="1" t="str">
        <f t="shared" si="287"/>
        <v>50</v>
      </c>
      <c r="G4559" s="1" t="str">
        <f t="shared" si="288"/>
        <v/>
      </c>
      <c r="I4559" s="1" t="str">
        <f t="shared" si="286"/>
        <v>威尔新数值1.06.xlsm!suitPower</v>
      </c>
    </row>
    <row r="4560" spans="1:9" x14ac:dyDescent="0.15">
      <c r="A4560" s="1">
        <v>4559</v>
      </c>
      <c r="B4560" s="1">
        <v>103061100</v>
      </c>
      <c r="C4560" s="1">
        <f t="shared" si="285"/>
        <v>13</v>
      </c>
      <c r="D4560" s="5">
        <f ca="1">IF(getQuality(B4560)&lt;4,getOtherMin(B4560,C4560,INDIRECT(J$2),INDIRECT(I4560),test),getMin(B4560,C4560,INDIRECT(J$2),INDIRECT(I4560),test))</f>
        <v>170.16048810980774</v>
      </c>
      <c r="E4560" s="5">
        <f ca="1">IF(getQuality(B4560)&lt;4,getOtherMax(B4560,C4560,INDIRECT(J$2),INDIRECT(I4560),test),getMax(B4560,C4560,INDIRECT(J$2),INDIRECT(I4560),test))</f>
        <v>217.39851117079806</v>
      </c>
      <c r="F4560" s="1" t="str">
        <f t="shared" si="287"/>
        <v>50</v>
      </c>
      <c r="G4560" s="1" t="str">
        <f t="shared" si="288"/>
        <v/>
      </c>
      <c r="I4560" s="1" t="str">
        <f t="shared" si="286"/>
        <v>威尔新数值1.06.xlsm!suitPower</v>
      </c>
    </row>
    <row r="4561" spans="1:9" x14ac:dyDescent="0.15">
      <c r="A4561" s="1">
        <v>4560</v>
      </c>
      <c r="B4561" s="1">
        <v>103061100</v>
      </c>
      <c r="C4561" s="1">
        <f t="shared" si="285"/>
        <v>14</v>
      </c>
      <c r="D4561" s="5">
        <f ca="1">IF(getQuality(B4561)&lt;4,getOtherMin(B4561,C4561,INDIRECT(J$2),INDIRECT(I4561),test),getMin(B4561,C4561,INDIRECT(J$2),INDIRECT(I4561),test))</f>
        <v>170.16048810980774</v>
      </c>
      <c r="E4561" s="5">
        <f ca="1">IF(getQuality(B4561)&lt;4,getOtherMax(B4561,C4561,INDIRECT(J$2),INDIRECT(I4561),test),getMax(B4561,C4561,INDIRECT(J$2),INDIRECT(I4561),test))</f>
        <v>217.39851117079806</v>
      </c>
      <c r="F4561" s="1" t="str">
        <f t="shared" si="287"/>
        <v>50</v>
      </c>
      <c r="G4561" s="1" t="str">
        <f t="shared" si="288"/>
        <v/>
      </c>
      <c r="I4561" s="1" t="str">
        <f t="shared" si="286"/>
        <v>威尔新数值1.06.xlsm!suitPower</v>
      </c>
    </row>
    <row r="4562" spans="1:9" x14ac:dyDescent="0.15">
      <c r="A4562" s="1">
        <v>4561</v>
      </c>
      <c r="B4562" s="1">
        <v>103061100</v>
      </c>
      <c r="C4562" s="1">
        <f t="shared" si="285"/>
        <v>15</v>
      </c>
      <c r="D4562" s="5">
        <f ca="1">IF(getQuality(B4562)&lt;4,getOtherMin(B4562,C4562,INDIRECT(J$2),INDIRECT(I4562),test),getMin(B4562,C4562,INDIRECT(J$2),INDIRECT(I4562),test))</f>
        <v>170.16048810980774</v>
      </c>
      <c r="E4562" s="5">
        <f ca="1">IF(getQuality(B4562)&lt;4,getOtherMax(B4562,C4562,INDIRECT(J$2),INDIRECT(I4562),test),getMax(B4562,C4562,INDIRECT(J$2),INDIRECT(I4562),test))</f>
        <v>217.39851117079806</v>
      </c>
      <c r="F4562" s="1" t="str">
        <f t="shared" si="287"/>
        <v>50</v>
      </c>
      <c r="G4562" s="1" t="str">
        <f t="shared" si="288"/>
        <v/>
      </c>
      <c r="I4562" s="1" t="str">
        <f t="shared" si="286"/>
        <v>威尔新数值1.06.xlsm!suitPower</v>
      </c>
    </row>
    <row r="4563" spans="1:9" x14ac:dyDescent="0.15">
      <c r="A4563" s="1">
        <v>4562</v>
      </c>
      <c r="B4563" s="1">
        <v>103061100</v>
      </c>
      <c r="C4563" s="1">
        <f t="shared" si="285"/>
        <v>101</v>
      </c>
      <c r="D4563" s="5">
        <f ca="1">IF(getQuality(B4563)&lt;4,getOtherMin(B4563,C4563,INDIRECT(J$2),INDIRECT(I4563),test),getMin(B4563,C4563,INDIRECT(J$2),INDIRECT(I4563),test))</f>
        <v>0.12</v>
      </c>
      <c r="E4563" s="5">
        <f ca="1">IF(getQuality(B4563)&lt;4,getOtherMax(B4563,C4563,INDIRECT(J$2),INDIRECT(I4563),test),getMax(B4563,C4563,INDIRECT(J$2),INDIRECT(I4563),test))</f>
        <v>0.15</v>
      </c>
      <c r="F4563" s="1" t="str">
        <f t="shared" si="287"/>
        <v>50</v>
      </c>
      <c r="G4563" s="1" t="str">
        <f t="shared" si="288"/>
        <v/>
      </c>
      <c r="I4563" s="1" t="str">
        <f t="shared" si="286"/>
        <v>威尔新数值1.06.xlsm!circlePer</v>
      </c>
    </row>
    <row r="4564" spans="1:9" x14ac:dyDescent="0.15">
      <c r="A4564" s="1">
        <v>4563</v>
      </c>
      <c r="B4564" s="1">
        <v>103061100</v>
      </c>
      <c r="C4564" s="1">
        <f t="shared" si="285"/>
        <v>102</v>
      </c>
      <c r="D4564" s="5">
        <f ca="1">IF(getQuality(B4564)&lt;4,getOtherMin(B4564,C4564,INDIRECT(J$2),INDIRECT(I4564),test),getMin(B4564,C4564,INDIRECT(J$2),INDIRECT(I4564),test))</f>
        <v>1.1000000000000001</v>
      </c>
      <c r="E4564" s="5">
        <f ca="1">IF(getQuality(B4564)&lt;4,getOtherMax(B4564,C4564,INDIRECT(J$2),INDIRECT(I4564),test),getMax(B4564,C4564,INDIRECT(J$2),INDIRECT(I4564),test))</f>
        <v>1.4</v>
      </c>
      <c r="F4564" s="1" t="str">
        <f t="shared" si="287"/>
        <v>50</v>
      </c>
      <c r="G4564" s="1" t="str">
        <f t="shared" si="288"/>
        <v/>
      </c>
      <c r="I4564" s="1" t="str">
        <f t="shared" si="286"/>
        <v>威尔新数值1.06.xlsm!circleValue</v>
      </c>
    </row>
    <row r="4565" spans="1:9" x14ac:dyDescent="0.15">
      <c r="A4565" s="1">
        <v>4564</v>
      </c>
      <c r="B4565" s="1">
        <v>103061100</v>
      </c>
      <c r="C4565" s="1">
        <f t="shared" si="285"/>
        <v>103</v>
      </c>
      <c r="D4565" s="5">
        <f ca="1">IF(getQuality(B4565)&lt;4,getOtherMin(B4565,C4565,INDIRECT(J$2),INDIRECT(I4565),test),getMin(B4565,C4565,INDIRECT(J$2),INDIRECT(I4565),test))</f>
        <v>0.12</v>
      </c>
      <c r="E4565" s="5">
        <f ca="1">IF(getQuality(B4565)&lt;4,getOtherMax(B4565,C4565,INDIRECT(J$2),INDIRECT(I4565),test),getMax(B4565,C4565,INDIRECT(J$2),INDIRECT(I4565),test))</f>
        <v>0.15</v>
      </c>
      <c r="F4565" s="1" t="str">
        <f t="shared" si="287"/>
        <v>50</v>
      </c>
      <c r="G4565" s="1" t="str">
        <f t="shared" si="288"/>
        <v/>
      </c>
      <c r="I4565" s="1" t="str">
        <f t="shared" si="286"/>
        <v>威尔新数值1.06.xlsm!otherDamage</v>
      </c>
    </row>
    <row r="4566" spans="1:9" x14ac:dyDescent="0.15">
      <c r="A4566" s="1">
        <v>4565</v>
      </c>
      <c r="B4566" s="1">
        <v>103061100</v>
      </c>
      <c r="C4566" s="1">
        <f t="shared" si="285"/>
        <v>104</v>
      </c>
      <c r="D4566" s="5">
        <f ca="1">IF(getQuality(B4566)&lt;4,getOtherMin(B4566,C4566,INDIRECT(J$2),INDIRECT(I4566),test),getMin(B4566,C4566,INDIRECT(J$2),INDIRECT(I4566),test))</f>
        <v>0.12</v>
      </c>
      <c r="E4566" s="5">
        <f ca="1">IF(getQuality(B4566)&lt;4,getOtherMax(B4566,C4566,INDIRECT(J$2),INDIRECT(I4566),test),getMax(B4566,C4566,INDIRECT(J$2),INDIRECT(I4566),test))</f>
        <v>0.24</v>
      </c>
      <c r="F4566" s="1" t="str">
        <f t="shared" si="287"/>
        <v>50</v>
      </c>
      <c r="G4566" s="1" t="str">
        <f t="shared" si="288"/>
        <v/>
      </c>
      <c r="I4566" s="1" t="str">
        <f t="shared" si="286"/>
        <v>威尔新数值1.06.xlsm!monsterDamage</v>
      </c>
    </row>
    <row r="4567" spans="1:9" x14ac:dyDescent="0.15">
      <c r="A4567" s="1">
        <v>4566</v>
      </c>
      <c r="B4567" s="1">
        <v>103061100</v>
      </c>
      <c r="C4567" s="1">
        <f t="shared" si="285"/>
        <v>105</v>
      </c>
      <c r="D4567" s="5">
        <f ca="1">IF(getQuality(B4567)&lt;4,getOtherMin(B4567,C4567,INDIRECT(J$2),INDIRECT(I4567),test),getMin(B4567,C4567,INDIRECT(J$2),INDIRECT(I4567),test))</f>
        <v>0.12</v>
      </c>
      <c r="E4567" s="5">
        <f ca="1">IF(getQuality(B4567)&lt;4,getOtherMax(B4567,C4567,INDIRECT(J$2),INDIRECT(I4567),test),getMax(B4567,C4567,INDIRECT(J$2),INDIRECT(I4567),test))</f>
        <v>0.24</v>
      </c>
      <c r="F4567" s="1" t="str">
        <f t="shared" si="287"/>
        <v>50</v>
      </c>
      <c r="G4567" s="1" t="str">
        <f t="shared" si="288"/>
        <v/>
      </c>
      <c r="I4567" s="1" t="str">
        <f t="shared" si="286"/>
        <v>威尔新数值1.06.xlsm!monsterDamage</v>
      </c>
    </row>
    <row r="4568" spans="1:9" x14ac:dyDescent="0.15">
      <c r="A4568" s="1">
        <v>4567</v>
      </c>
      <c r="B4568" s="1">
        <v>103061100</v>
      </c>
      <c r="C4568" s="1">
        <f t="shared" si="285"/>
        <v>106</v>
      </c>
      <c r="D4568" s="5">
        <f ca="1">IF(getQuality(B4568)&lt;4,getOtherMin(B4568,C4568,INDIRECT(J$2),INDIRECT(I4568),test),getMin(B4568,C4568,INDIRECT(J$2),INDIRECT(I4568),test))</f>
        <v>0.12</v>
      </c>
      <c r="E4568" s="5">
        <f ca="1">IF(getQuality(B4568)&lt;4,getOtherMax(B4568,C4568,INDIRECT(J$2),INDIRECT(I4568),test),getMax(B4568,C4568,INDIRECT(J$2),INDIRECT(I4568),test))</f>
        <v>0.24</v>
      </c>
      <c r="F4568" s="1" t="str">
        <f t="shared" si="287"/>
        <v>50</v>
      </c>
      <c r="G4568" s="1" t="str">
        <f t="shared" si="288"/>
        <v/>
      </c>
      <c r="I4568" s="1" t="str">
        <f t="shared" si="286"/>
        <v>威尔新数值1.06.xlsm!monsterDamage</v>
      </c>
    </row>
    <row r="4569" spans="1:9" x14ac:dyDescent="0.15">
      <c r="A4569" s="1">
        <v>4568</v>
      </c>
      <c r="B4569" s="1">
        <v>103061100</v>
      </c>
      <c r="C4569" s="1">
        <f t="shared" si="285"/>
        <v>107</v>
      </c>
      <c r="D4569" s="5">
        <f ca="1">IF(getQuality(B4569)&lt;4,getOtherMin(B4569,C4569,INDIRECT(J$2),INDIRECT(I4569),test),getMin(B4569,C4569,INDIRECT(J$2),INDIRECT(I4569),test))</f>
        <v>0.12</v>
      </c>
      <c r="E4569" s="5">
        <f ca="1">IF(getQuality(B4569)&lt;4,getOtherMax(B4569,C4569,INDIRECT(J$2),INDIRECT(I4569),test),getMax(B4569,C4569,INDIRECT(J$2),INDIRECT(I4569),test))</f>
        <v>0.24</v>
      </c>
      <c r="F4569" s="1" t="str">
        <f t="shared" si="287"/>
        <v>50</v>
      </c>
      <c r="G4569" s="1" t="str">
        <f t="shared" si="288"/>
        <v/>
      </c>
      <c r="I4569" s="1" t="str">
        <f t="shared" si="286"/>
        <v>威尔新数值1.06.xlsm!monsterDamage</v>
      </c>
    </row>
    <row r="4570" spans="1:9" x14ac:dyDescent="0.15">
      <c r="A4570" s="1">
        <v>4569</v>
      </c>
      <c r="B4570" s="1">
        <v>103061100</v>
      </c>
      <c r="C4570" s="1">
        <f t="shared" si="285"/>
        <v>108</v>
      </c>
      <c r="D4570" s="5">
        <f ca="1">IF(getQuality(B4570)&lt;4,getOtherMin(B4570,C4570,INDIRECT(J$2),INDIRECT(I4570),test),getMin(B4570,C4570,INDIRECT(J$2),INDIRECT(I4570),test))</f>
        <v>0.12</v>
      </c>
      <c r="E4570" s="5">
        <f ca="1">IF(getQuality(B4570)&lt;4,getOtherMax(B4570,C4570,INDIRECT(J$2),INDIRECT(I4570),test),getMax(B4570,C4570,INDIRECT(J$2),INDIRECT(I4570),test))</f>
        <v>0.24</v>
      </c>
      <c r="F4570" s="1" t="str">
        <f t="shared" si="287"/>
        <v>50</v>
      </c>
      <c r="G4570" s="1" t="str">
        <f t="shared" si="288"/>
        <v/>
      </c>
      <c r="I4570" s="1" t="str">
        <f t="shared" si="286"/>
        <v>威尔新数值1.06.xlsm!monsterDamage</v>
      </c>
    </row>
    <row r="4571" spans="1:9" x14ac:dyDescent="0.15">
      <c r="A4571" s="1">
        <v>4570</v>
      </c>
      <c r="B4571" s="1">
        <v>103071100</v>
      </c>
      <c r="C4571" s="1">
        <f t="shared" si="285"/>
        <v>3</v>
      </c>
      <c r="D4571" s="5">
        <f ca="1">IF(getQuality(B4571)&lt;4,getOtherMin(B4571,C4571,INDIRECT(J$2),INDIRECT(I4571),test),getMin(B4571,C4571,INDIRECT(J$2),INDIRECT(I4571),test))</f>
        <v>218.39851117079806</v>
      </c>
      <c r="E4571" s="5">
        <f ca="1">IF(getQuality(B4571)&lt;4,getOtherMax(B4571,C4571,INDIRECT(J$2),INDIRECT(I4571),test),getMax(B4571,C4571,INDIRECT(J$2),INDIRECT(I4571),test))</f>
        <v>270.43850937813136</v>
      </c>
      <c r="F4571" s="1" t="str">
        <f t="shared" si="287"/>
        <v>50</v>
      </c>
      <c r="G4571" s="1" t="str">
        <f t="shared" si="288"/>
        <v/>
      </c>
      <c r="I4571" s="1" t="str">
        <f t="shared" si="286"/>
        <v>威尔新数值1.06.xlsm!suitPower</v>
      </c>
    </row>
    <row r="4572" spans="1:9" x14ac:dyDescent="0.15">
      <c r="A4572" s="1">
        <v>4571</v>
      </c>
      <c r="B4572" s="1">
        <v>103071100</v>
      </c>
      <c r="C4572" s="1">
        <f t="shared" si="285"/>
        <v>5</v>
      </c>
      <c r="D4572" s="5">
        <f ca="1">IF(getQuality(B4572)&lt;4,getOtherMin(B4572,C4572,INDIRECT(J$2),INDIRECT(I4572),test),getMin(B4572,C4572,INDIRECT(J$2),INDIRECT(I4572),test))</f>
        <v>218.39851117079806</v>
      </c>
      <c r="E4572" s="5">
        <f ca="1">IF(getQuality(B4572)&lt;4,getOtherMax(B4572,C4572,INDIRECT(J$2),INDIRECT(I4572),test),getMax(B4572,C4572,INDIRECT(J$2),INDIRECT(I4572),test))</f>
        <v>270.43850937813136</v>
      </c>
      <c r="F4572" s="1" t="str">
        <f t="shared" si="287"/>
        <v>50</v>
      </c>
      <c r="G4572" s="1" t="str">
        <f t="shared" si="288"/>
        <v>1</v>
      </c>
      <c r="I4572" s="1" t="str">
        <f t="shared" si="286"/>
        <v>威尔新数值1.06.xlsm!suitPower</v>
      </c>
    </row>
    <row r="4573" spans="1:9" x14ac:dyDescent="0.15">
      <c r="A4573" s="1">
        <v>4572</v>
      </c>
      <c r="B4573" s="1">
        <v>103071100</v>
      </c>
      <c r="C4573" s="1">
        <f t="shared" si="285"/>
        <v>7</v>
      </c>
      <c r="D4573" s="5">
        <f ca="1">IF(getQuality(B4573)&lt;4,getOtherMin(B4573,C4573,INDIRECT(J$2),INDIRECT(I4573),test),getMin(B4573,C4573,INDIRECT(J$2),INDIRECT(I4573),test))</f>
        <v>45.444444444444329</v>
      </c>
      <c r="E4573" s="5">
        <f ca="1">IF(getQuality(B4573)&lt;4,getOtherMax(B4573,C4573,INDIRECT(J$2),INDIRECT(I4573),test),getMax(B4573,C4573,INDIRECT(J$2),INDIRECT(I4573),test))</f>
        <v>51.85185185185172</v>
      </c>
      <c r="F4573" s="1" t="str">
        <f t="shared" si="287"/>
        <v>50</v>
      </c>
      <c r="G4573" s="1" t="str">
        <f t="shared" si="288"/>
        <v/>
      </c>
      <c r="I4573" s="1" t="str">
        <f t="shared" si="286"/>
        <v>威尔新数值1.06.xlsm!suitPower</v>
      </c>
    </row>
    <row r="4574" spans="1:9" x14ac:dyDescent="0.15">
      <c r="A4574" s="1">
        <v>4573</v>
      </c>
      <c r="B4574" s="1">
        <v>103071100</v>
      </c>
      <c r="C4574" s="1">
        <f t="shared" si="285"/>
        <v>8</v>
      </c>
      <c r="D4574" s="5">
        <f ca="1">IF(getQuality(B4574)&lt;4,getOtherMin(B4574,C4574,INDIRECT(J$2),INDIRECT(I4574),test),getMin(B4574,C4574,INDIRECT(J$2),INDIRECT(I4574),test))</f>
        <v>101</v>
      </c>
      <c r="E4574" s="5">
        <f ca="1">IF(getQuality(B4574)&lt;4,getOtherMax(B4574,C4574,INDIRECT(J$2),INDIRECT(I4574),test),getMax(B4574,C4574,INDIRECT(J$2),INDIRECT(I4574),test))</f>
        <v>116.66666666666667</v>
      </c>
      <c r="F4574" s="1" t="str">
        <f t="shared" si="287"/>
        <v>50</v>
      </c>
      <c r="G4574" s="1" t="str">
        <f t="shared" si="288"/>
        <v/>
      </c>
      <c r="I4574" s="1" t="str">
        <f t="shared" si="286"/>
        <v>威尔新数值1.06.xlsm!suitPower</v>
      </c>
    </row>
    <row r="4575" spans="1:9" x14ac:dyDescent="0.15">
      <c r="A4575" s="1">
        <v>4574</v>
      </c>
      <c r="B4575" s="1">
        <v>103071100</v>
      </c>
      <c r="C4575" s="1">
        <f t="shared" si="285"/>
        <v>9</v>
      </c>
      <c r="D4575" s="5">
        <f ca="1">IF(getQuality(B4575)&lt;4,getOtherMin(B4575,C4575,INDIRECT(J$2),INDIRECT(I4575),test),getMin(B4575,C4575,INDIRECT(J$2),INDIRECT(I4575),test))</f>
        <v>218.39851117079806</v>
      </c>
      <c r="E4575" s="5">
        <f ca="1">IF(getQuality(B4575)&lt;4,getOtherMax(B4575,C4575,INDIRECT(J$2),INDIRECT(I4575),test),getMax(B4575,C4575,INDIRECT(J$2),INDIRECT(I4575),test))</f>
        <v>270.43850937813136</v>
      </c>
      <c r="F4575" s="1" t="str">
        <f t="shared" si="287"/>
        <v>50</v>
      </c>
      <c r="G4575" s="1" t="str">
        <f t="shared" si="288"/>
        <v/>
      </c>
      <c r="I4575" s="1" t="str">
        <f t="shared" si="286"/>
        <v>威尔新数值1.06.xlsm!suitPower</v>
      </c>
    </row>
    <row r="4576" spans="1:9" x14ac:dyDescent="0.15">
      <c r="A4576" s="1">
        <v>4575</v>
      </c>
      <c r="B4576" s="1">
        <v>103071100</v>
      </c>
      <c r="C4576" s="1">
        <f t="shared" si="285"/>
        <v>10</v>
      </c>
      <c r="D4576" s="5">
        <f ca="1">IF(getQuality(B4576)&lt;4,getOtherMin(B4576,C4576,INDIRECT(J$2),INDIRECT(I4576),test),getMin(B4576,C4576,INDIRECT(J$2),INDIRECT(I4576),test))</f>
        <v>218.39851117079806</v>
      </c>
      <c r="E4576" s="5">
        <f ca="1">IF(getQuality(B4576)&lt;4,getOtherMax(B4576,C4576,INDIRECT(J$2),INDIRECT(I4576),test),getMax(B4576,C4576,INDIRECT(J$2),INDIRECT(I4576),test))</f>
        <v>270.43850937813136</v>
      </c>
      <c r="F4576" s="1" t="str">
        <f t="shared" si="287"/>
        <v>50</v>
      </c>
      <c r="G4576" s="1" t="str">
        <f t="shared" si="288"/>
        <v/>
      </c>
      <c r="I4576" s="1" t="str">
        <f t="shared" si="286"/>
        <v>威尔新数值1.06.xlsm!suitPower</v>
      </c>
    </row>
    <row r="4577" spans="1:9" x14ac:dyDescent="0.15">
      <c r="A4577" s="1">
        <v>4576</v>
      </c>
      <c r="B4577" s="1">
        <v>103071100</v>
      </c>
      <c r="C4577" s="1">
        <f t="shared" si="285"/>
        <v>11</v>
      </c>
      <c r="D4577" s="5">
        <f ca="1">IF(getQuality(B4577)&lt;4,getOtherMin(B4577,C4577,INDIRECT(J$2),INDIRECT(I4577),test),getMin(B4577,C4577,INDIRECT(J$2),INDIRECT(I4577),test))</f>
        <v>218.39851117079806</v>
      </c>
      <c r="E4577" s="5">
        <f ca="1">IF(getQuality(B4577)&lt;4,getOtherMax(B4577,C4577,INDIRECT(J$2),INDIRECT(I4577),test),getMax(B4577,C4577,INDIRECT(J$2),INDIRECT(I4577),test))</f>
        <v>270.43850937813136</v>
      </c>
      <c r="F4577" s="1" t="str">
        <f t="shared" si="287"/>
        <v>50</v>
      </c>
      <c r="G4577" s="1" t="str">
        <f t="shared" si="288"/>
        <v/>
      </c>
      <c r="I4577" s="1" t="str">
        <f t="shared" si="286"/>
        <v>威尔新数值1.06.xlsm!suitPower</v>
      </c>
    </row>
    <row r="4578" spans="1:9" x14ac:dyDescent="0.15">
      <c r="A4578" s="1">
        <v>4577</v>
      </c>
      <c r="B4578" s="1">
        <v>103071100</v>
      </c>
      <c r="C4578" s="1">
        <f t="shared" si="285"/>
        <v>12</v>
      </c>
      <c r="D4578" s="5">
        <f ca="1">IF(getQuality(B4578)&lt;4,getOtherMin(B4578,C4578,INDIRECT(J$2),INDIRECT(I4578),test),getMin(B4578,C4578,INDIRECT(J$2),INDIRECT(I4578),test))</f>
        <v>218.39851117079806</v>
      </c>
      <c r="E4578" s="5">
        <f ca="1">IF(getQuality(B4578)&lt;4,getOtherMax(B4578,C4578,INDIRECT(J$2),INDIRECT(I4578),test),getMax(B4578,C4578,INDIRECT(J$2),INDIRECT(I4578),test))</f>
        <v>270.43850937813136</v>
      </c>
      <c r="F4578" s="1" t="str">
        <f t="shared" si="287"/>
        <v>50</v>
      </c>
      <c r="G4578" s="1" t="str">
        <f t="shared" si="288"/>
        <v/>
      </c>
      <c r="I4578" s="1" t="str">
        <f t="shared" si="286"/>
        <v>威尔新数值1.06.xlsm!suitPower</v>
      </c>
    </row>
    <row r="4579" spans="1:9" x14ac:dyDescent="0.15">
      <c r="A4579" s="1">
        <v>4578</v>
      </c>
      <c r="B4579" s="1">
        <v>103071100</v>
      </c>
      <c r="C4579" s="1">
        <f t="shared" si="285"/>
        <v>13</v>
      </c>
      <c r="D4579" s="5">
        <f ca="1">IF(getQuality(B4579)&lt;4,getOtherMin(B4579,C4579,INDIRECT(J$2),INDIRECT(I4579),test),getMin(B4579,C4579,INDIRECT(J$2),INDIRECT(I4579),test))</f>
        <v>218.39851117079806</v>
      </c>
      <c r="E4579" s="5">
        <f ca="1">IF(getQuality(B4579)&lt;4,getOtherMax(B4579,C4579,INDIRECT(J$2),INDIRECT(I4579),test),getMax(B4579,C4579,INDIRECT(J$2),INDIRECT(I4579),test))</f>
        <v>270.43850937813136</v>
      </c>
      <c r="F4579" s="1" t="str">
        <f t="shared" si="287"/>
        <v>50</v>
      </c>
      <c r="G4579" s="1" t="str">
        <f t="shared" si="288"/>
        <v/>
      </c>
      <c r="I4579" s="1" t="str">
        <f t="shared" si="286"/>
        <v>威尔新数值1.06.xlsm!suitPower</v>
      </c>
    </row>
    <row r="4580" spans="1:9" x14ac:dyDescent="0.15">
      <c r="A4580" s="1">
        <v>4579</v>
      </c>
      <c r="B4580" s="1">
        <v>103071100</v>
      </c>
      <c r="C4580" s="1">
        <f t="shared" si="285"/>
        <v>14</v>
      </c>
      <c r="D4580" s="5">
        <f ca="1">IF(getQuality(B4580)&lt;4,getOtherMin(B4580,C4580,INDIRECT(J$2),INDIRECT(I4580),test),getMin(B4580,C4580,INDIRECT(J$2),INDIRECT(I4580),test))</f>
        <v>218.39851117079806</v>
      </c>
      <c r="E4580" s="5">
        <f ca="1">IF(getQuality(B4580)&lt;4,getOtherMax(B4580,C4580,INDIRECT(J$2),INDIRECT(I4580),test),getMax(B4580,C4580,INDIRECT(J$2),INDIRECT(I4580),test))</f>
        <v>270.43850937813136</v>
      </c>
      <c r="F4580" s="1" t="str">
        <f t="shared" si="287"/>
        <v>50</v>
      </c>
      <c r="G4580" s="1" t="str">
        <f t="shared" si="288"/>
        <v/>
      </c>
      <c r="I4580" s="1" t="str">
        <f t="shared" si="286"/>
        <v>威尔新数值1.06.xlsm!suitPower</v>
      </c>
    </row>
    <row r="4581" spans="1:9" x14ac:dyDescent="0.15">
      <c r="A4581" s="1">
        <v>4580</v>
      </c>
      <c r="B4581" s="1">
        <v>103071100</v>
      </c>
      <c r="C4581" s="1">
        <f t="shared" si="285"/>
        <v>15</v>
      </c>
      <c r="D4581" s="5">
        <f ca="1">IF(getQuality(B4581)&lt;4,getOtherMin(B4581,C4581,INDIRECT(J$2),INDIRECT(I4581),test),getMin(B4581,C4581,INDIRECT(J$2),INDIRECT(I4581),test))</f>
        <v>218.39851117079806</v>
      </c>
      <c r="E4581" s="5">
        <f ca="1">IF(getQuality(B4581)&lt;4,getOtherMax(B4581,C4581,INDIRECT(J$2),INDIRECT(I4581),test),getMax(B4581,C4581,INDIRECT(J$2),INDIRECT(I4581),test))</f>
        <v>270.43850937813136</v>
      </c>
      <c r="F4581" s="1" t="str">
        <f t="shared" si="287"/>
        <v>50</v>
      </c>
      <c r="G4581" s="1" t="str">
        <f t="shared" si="288"/>
        <v/>
      </c>
      <c r="I4581" s="1" t="str">
        <f t="shared" si="286"/>
        <v>威尔新数值1.06.xlsm!suitPower</v>
      </c>
    </row>
    <row r="4582" spans="1:9" x14ac:dyDescent="0.15">
      <c r="A4582" s="1">
        <v>4581</v>
      </c>
      <c r="B4582" s="1">
        <v>103071100</v>
      </c>
      <c r="C4582" s="1">
        <f t="shared" si="285"/>
        <v>101</v>
      </c>
      <c r="D4582" s="5">
        <f ca="1">IF(getQuality(B4582)&lt;4,getOtherMin(B4582,C4582,INDIRECT(J$2),INDIRECT(I4582),test),getMin(B4582,C4582,INDIRECT(J$2),INDIRECT(I4582),test))</f>
        <v>0.13</v>
      </c>
      <c r="E4582" s="5">
        <f ca="1">IF(getQuality(B4582)&lt;4,getOtherMax(B4582,C4582,INDIRECT(J$2),INDIRECT(I4582),test),getMax(B4582,C4582,INDIRECT(J$2),INDIRECT(I4582),test))</f>
        <v>0.16</v>
      </c>
      <c r="F4582" s="1" t="str">
        <f t="shared" si="287"/>
        <v>50</v>
      </c>
      <c r="G4582" s="1" t="str">
        <f t="shared" si="288"/>
        <v/>
      </c>
      <c r="I4582" s="1" t="str">
        <f t="shared" si="286"/>
        <v>威尔新数值1.06.xlsm!circlePer</v>
      </c>
    </row>
    <row r="4583" spans="1:9" x14ac:dyDescent="0.15">
      <c r="A4583" s="1">
        <v>4582</v>
      </c>
      <c r="B4583" s="1">
        <v>103071100</v>
      </c>
      <c r="C4583" s="1">
        <f t="shared" si="285"/>
        <v>102</v>
      </c>
      <c r="D4583" s="5">
        <f ca="1">IF(getQuality(B4583)&lt;4,getOtherMin(B4583,C4583,INDIRECT(J$2),INDIRECT(I4583),test),getMin(B4583,C4583,INDIRECT(J$2),INDIRECT(I4583),test))</f>
        <v>1.2</v>
      </c>
      <c r="E4583" s="5">
        <f ca="1">IF(getQuality(B4583)&lt;4,getOtherMax(B4583,C4583,INDIRECT(J$2),INDIRECT(I4583),test),getMax(B4583,C4583,INDIRECT(J$2),INDIRECT(I4583),test))</f>
        <v>1.5</v>
      </c>
      <c r="F4583" s="1" t="str">
        <f t="shared" si="287"/>
        <v>50</v>
      </c>
      <c r="G4583" s="1" t="str">
        <f t="shared" si="288"/>
        <v/>
      </c>
      <c r="I4583" s="1" t="str">
        <f t="shared" si="286"/>
        <v>威尔新数值1.06.xlsm!circleValue</v>
      </c>
    </row>
    <row r="4584" spans="1:9" x14ac:dyDescent="0.15">
      <c r="A4584" s="1">
        <v>4583</v>
      </c>
      <c r="B4584" s="1">
        <v>103071100</v>
      </c>
      <c r="C4584" s="1">
        <f t="shared" si="285"/>
        <v>103</v>
      </c>
      <c r="D4584" s="5">
        <f ca="1">IF(getQuality(B4584)&lt;4,getOtherMin(B4584,C4584,INDIRECT(J$2),INDIRECT(I4584),test),getMin(B4584,C4584,INDIRECT(J$2),INDIRECT(I4584),test))</f>
        <v>0.13</v>
      </c>
      <c r="E4584" s="5">
        <f ca="1">IF(getQuality(B4584)&lt;4,getOtherMax(B4584,C4584,INDIRECT(J$2),INDIRECT(I4584),test),getMax(B4584,C4584,INDIRECT(J$2),INDIRECT(I4584),test))</f>
        <v>0.16</v>
      </c>
      <c r="F4584" s="1" t="str">
        <f t="shared" si="287"/>
        <v>50</v>
      </c>
      <c r="G4584" s="1" t="str">
        <f t="shared" si="288"/>
        <v/>
      </c>
      <c r="I4584" s="1" t="str">
        <f t="shared" si="286"/>
        <v>威尔新数值1.06.xlsm!otherDamage</v>
      </c>
    </row>
    <row r="4585" spans="1:9" x14ac:dyDescent="0.15">
      <c r="A4585" s="1">
        <v>4584</v>
      </c>
      <c r="B4585" s="1">
        <v>103071100</v>
      </c>
      <c r="C4585" s="1">
        <f t="shared" si="285"/>
        <v>104</v>
      </c>
      <c r="D4585" s="5">
        <f ca="1">IF(getQuality(B4585)&lt;4,getOtherMin(B4585,C4585,INDIRECT(J$2),INDIRECT(I4585),test),getMin(B4585,C4585,INDIRECT(J$2),INDIRECT(I4585),test))</f>
        <v>0.13</v>
      </c>
      <c r="E4585" s="5">
        <f ca="1">IF(getQuality(B4585)&lt;4,getOtherMax(B4585,C4585,INDIRECT(J$2),INDIRECT(I4585),test),getMax(B4585,C4585,INDIRECT(J$2),INDIRECT(I4585),test))</f>
        <v>0.26</v>
      </c>
      <c r="F4585" s="1" t="str">
        <f t="shared" si="287"/>
        <v>50</v>
      </c>
      <c r="G4585" s="1" t="str">
        <f t="shared" si="288"/>
        <v/>
      </c>
      <c r="I4585" s="1" t="str">
        <f t="shared" si="286"/>
        <v>威尔新数值1.06.xlsm!monsterDamage</v>
      </c>
    </row>
    <row r="4586" spans="1:9" x14ac:dyDescent="0.15">
      <c r="A4586" s="1">
        <v>4585</v>
      </c>
      <c r="B4586" s="1">
        <v>103071100</v>
      </c>
      <c r="C4586" s="1">
        <f t="shared" si="285"/>
        <v>105</v>
      </c>
      <c r="D4586" s="5">
        <f ca="1">IF(getQuality(B4586)&lt;4,getOtherMin(B4586,C4586,INDIRECT(J$2),INDIRECT(I4586),test),getMin(B4586,C4586,INDIRECT(J$2),INDIRECT(I4586),test))</f>
        <v>0.13</v>
      </c>
      <c r="E4586" s="5">
        <f ca="1">IF(getQuality(B4586)&lt;4,getOtherMax(B4586,C4586,INDIRECT(J$2),INDIRECT(I4586),test),getMax(B4586,C4586,INDIRECT(J$2),INDIRECT(I4586),test))</f>
        <v>0.26</v>
      </c>
      <c r="F4586" s="1" t="str">
        <f t="shared" si="287"/>
        <v>50</v>
      </c>
      <c r="G4586" s="1" t="str">
        <f t="shared" si="288"/>
        <v/>
      </c>
      <c r="I4586" s="1" t="str">
        <f t="shared" si="286"/>
        <v>威尔新数值1.06.xlsm!monsterDamage</v>
      </c>
    </row>
    <row r="4587" spans="1:9" x14ac:dyDescent="0.15">
      <c r="A4587" s="1">
        <v>4586</v>
      </c>
      <c r="B4587" s="1">
        <v>103071100</v>
      </c>
      <c r="C4587" s="1">
        <f t="shared" si="285"/>
        <v>106</v>
      </c>
      <c r="D4587" s="5">
        <f ca="1">IF(getQuality(B4587)&lt;4,getOtherMin(B4587,C4587,INDIRECT(J$2),INDIRECT(I4587),test),getMin(B4587,C4587,INDIRECT(J$2),INDIRECT(I4587),test))</f>
        <v>0.13</v>
      </c>
      <c r="E4587" s="5">
        <f ca="1">IF(getQuality(B4587)&lt;4,getOtherMax(B4587,C4587,INDIRECT(J$2),INDIRECT(I4587),test),getMax(B4587,C4587,INDIRECT(J$2),INDIRECT(I4587),test))</f>
        <v>0.26</v>
      </c>
      <c r="F4587" s="1" t="str">
        <f t="shared" si="287"/>
        <v>50</v>
      </c>
      <c r="G4587" s="1" t="str">
        <f t="shared" si="288"/>
        <v/>
      </c>
      <c r="I4587" s="1" t="str">
        <f t="shared" si="286"/>
        <v>威尔新数值1.06.xlsm!monsterDamage</v>
      </c>
    </row>
    <row r="4588" spans="1:9" x14ac:dyDescent="0.15">
      <c r="A4588" s="1">
        <v>4587</v>
      </c>
      <c r="B4588" s="1">
        <v>103071100</v>
      </c>
      <c r="C4588" s="1">
        <f t="shared" si="285"/>
        <v>107</v>
      </c>
      <c r="D4588" s="5">
        <f ca="1">IF(getQuality(B4588)&lt;4,getOtherMin(B4588,C4588,INDIRECT(J$2),INDIRECT(I4588),test),getMin(B4588,C4588,INDIRECT(J$2),INDIRECT(I4588),test))</f>
        <v>0.13</v>
      </c>
      <c r="E4588" s="5">
        <f ca="1">IF(getQuality(B4588)&lt;4,getOtherMax(B4588,C4588,INDIRECT(J$2),INDIRECT(I4588),test),getMax(B4588,C4588,INDIRECT(J$2),INDIRECT(I4588),test))</f>
        <v>0.26</v>
      </c>
      <c r="F4588" s="1" t="str">
        <f t="shared" si="287"/>
        <v>50</v>
      </c>
      <c r="G4588" s="1" t="str">
        <f t="shared" si="288"/>
        <v/>
      </c>
      <c r="I4588" s="1" t="str">
        <f t="shared" si="286"/>
        <v>威尔新数值1.06.xlsm!monsterDamage</v>
      </c>
    </row>
    <row r="4589" spans="1:9" x14ac:dyDescent="0.15">
      <c r="A4589" s="1">
        <v>4588</v>
      </c>
      <c r="B4589" s="1">
        <v>103071100</v>
      </c>
      <c r="C4589" s="1">
        <f t="shared" si="285"/>
        <v>108</v>
      </c>
      <c r="D4589" s="5">
        <f ca="1">IF(getQuality(B4589)&lt;4,getOtherMin(B4589,C4589,INDIRECT(J$2),INDIRECT(I4589),test),getMin(B4589,C4589,INDIRECT(J$2),INDIRECT(I4589),test))</f>
        <v>0.13</v>
      </c>
      <c r="E4589" s="5">
        <f ca="1">IF(getQuality(B4589)&lt;4,getOtherMax(B4589,C4589,INDIRECT(J$2),INDIRECT(I4589),test),getMax(B4589,C4589,INDIRECT(J$2),INDIRECT(I4589),test))</f>
        <v>0.26</v>
      </c>
      <c r="F4589" s="1" t="str">
        <f t="shared" si="287"/>
        <v>50</v>
      </c>
      <c r="G4589" s="1" t="str">
        <f t="shared" si="288"/>
        <v/>
      </c>
      <c r="I4589" s="1" t="str">
        <f t="shared" si="286"/>
        <v>威尔新数值1.06.xlsm!monsterDamage</v>
      </c>
    </row>
    <row r="4590" spans="1:9" x14ac:dyDescent="0.15">
      <c r="A4590" s="1">
        <v>4589</v>
      </c>
      <c r="B4590" s="1">
        <v>103081100</v>
      </c>
      <c r="C4590" s="1">
        <f t="shared" si="285"/>
        <v>3</v>
      </c>
      <c r="D4590" s="5">
        <f ca="1">IF(getQuality(B4590)&lt;4,getOtherMin(B4590,C4590,INDIRECT(J$2),INDIRECT(I4590),test),getMin(B4590,C4590,INDIRECT(J$2),INDIRECT(I4590),test))</f>
        <v>271.43850937813136</v>
      </c>
      <c r="E4590" s="5">
        <f ca="1">IF(getQuality(B4590)&lt;4,getOtherMax(B4590,C4590,INDIRECT(J$2),INDIRECT(I4590),test),getMax(B4590,C4590,INDIRECT(J$2),INDIRECT(I4590),test))</f>
        <v>328.28048273180752</v>
      </c>
      <c r="F4590" s="1" t="str">
        <f t="shared" si="287"/>
        <v>50</v>
      </c>
      <c r="G4590" s="1" t="str">
        <f t="shared" si="288"/>
        <v/>
      </c>
      <c r="I4590" s="1" t="str">
        <f t="shared" si="286"/>
        <v>威尔新数值1.06.xlsm!suitPower</v>
      </c>
    </row>
    <row r="4591" spans="1:9" x14ac:dyDescent="0.15">
      <c r="A4591" s="1">
        <v>4590</v>
      </c>
      <c r="B4591" s="1">
        <v>103081100</v>
      </c>
      <c r="C4591" s="1">
        <f t="shared" si="285"/>
        <v>5</v>
      </c>
      <c r="D4591" s="5">
        <f ca="1">IF(getQuality(B4591)&lt;4,getOtherMin(B4591,C4591,INDIRECT(J$2),INDIRECT(I4591),test),getMin(B4591,C4591,INDIRECT(J$2),INDIRECT(I4591),test))</f>
        <v>271.43850937813136</v>
      </c>
      <c r="E4591" s="5">
        <f ca="1">IF(getQuality(B4591)&lt;4,getOtherMax(B4591,C4591,INDIRECT(J$2),INDIRECT(I4591),test),getMax(B4591,C4591,INDIRECT(J$2),INDIRECT(I4591),test))</f>
        <v>328.28048273180752</v>
      </c>
      <c r="F4591" s="1" t="str">
        <f t="shared" si="287"/>
        <v>50</v>
      </c>
      <c r="G4591" s="1" t="str">
        <f t="shared" si="288"/>
        <v>1</v>
      </c>
      <c r="I4591" s="1" t="str">
        <f t="shared" si="286"/>
        <v>威尔新数值1.06.xlsm!suitPower</v>
      </c>
    </row>
    <row r="4592" spans="1:9" x14ac:dyDescent="0.15">
      <c r="A4592" s="1">
        <v>4591</v>
      </c>
      <c r="B4592" s="1">
        <v>103081100</v>
      </c>
      <c r="C4592" s="1">
        <f t="shared" si="285"/>
        <v>7</v>
      </c>
      <c r="D4592" s="5">
        <f ca="1">IF(getQuality(B4592)&lt;4,getOtherMin(B4592,C4592,INDIRECT(J$2),INDIRECT(I4592),test),getMin(B4592,C4592,INDIRECT(J$2),INDIRECT(I4592),test))</f>
        <v>52.85185185185172</v>
      </c>
      <c r="E4592" s="5">
        <f ca="1">IF(getQuality(B4592)&lt;4,getOtherMax(B4592,C4592,INDIRECT(J$2),INDIRECT(I4592),test),getMax(B4592,C4592,INDIRECT(J$2),INDIRECT(I4592),test))</f>
        <v>59.25925925925911</v>
      </c>
      <c r="F4592" s="1" t="str">
        <f t="shared" si="287"/>
        <v>50</v>
      </c>
      <c r="G4592" s="1" t="str">
        <f t="shared" si="288"/>
        <v/>
      </c>
      <c r="I4592" s="1" t="str">
        <f t="shared" si="286"/>
        <v>威尔新数值1.06.xlsm!suitPower</v>
      </c>
    </row>
    <row r="4593" spans="1:9" x14ac:dyDescent="0.15">
      <c r="A4593" s="1">
        <v>4592</v>
      </c>
      <c r="B4593" s="1">
        <v>103081100</v>
      </c>
      <c r="C4593" s="1">
        <f t="shared" si="285"/>
        <v>8</v>
      </c>
      <c r="D4593" s="5">
        <f ca="1">IF(getQuality(B4593)&lt;4,getOtherMin(B4593,C4593,INDIRECT(J$2),INDIRECT(I4593),test),getMin(B4593,C4593,INDIRECT(J$2),INDIRECT(I4593),test))</f>
        <v>117.66666666666667</v>
      </c>
      <c r="E4593" s="5">
        <f ca="1">IF(getQuality(B4593)&lt;4,getOtherMax(B4593,C4593,INDIRECT(J$2),INDIRECT(I4593),test),getMax(B4593,C4593,INDIRECT(J$2),INDIRECT(I4593),test))</f>
        <v>133.33333333333334</v>
      </c>
      <c r="F4593" s="1" t="str">
        <f t="shared" si="287"/>
        <v>50</v>
      </c>
      <c r="G4593" s="1" t="str">
        <f t="shared" si="288"/>
        <v/>
      </c>
      <c r="I4593" s="1" t="str">
        <f t="shared" si="286"/>
        <v>威尔新数值1.06.xlsm!suitPower</v>
      </c>
    </row>
    <row r="4594" spans="1:9" x14ac:dyDescent="0.15">
      <c r="A4594" s="1">
        <v>4593</v>
      </c>
      <c r="B4594" s="1">
        <v>103081100</v>
      </c>
      <c r="C4594" s="1">
        <f t="shared" si="285"/>
        <v>9</v>
      </c>
      <c r="D4594" s="5">
        <f ca="1">IF(getQuality(B4594)&lt;4,getOtherMin(B4594,C4594,INDIRECT(J$2),INDIRECT(I4594),test),getMin(B4594,C4594,INDIRECT(J$2),INDIRECT(I4594),test))</f>
        <v>271.43850937813136</v>
      </c>
      <c r="E4594" s="5">
        <f ca="1">IF(getQuality(B4594)&lt;4,getOtherMax(B4594,C4594,INDIRECT(J$2),INDIRECT(I4594),test),getMax(B4594,C4594,INDIRECT(J$2),INDIRECT(I4594),test))</f>
        <v>328.28048273180752</v>
      </c>
      <c r="F4594" s="1" t="str">
        <f t="shared" si="287"/>
        <v>50</v>
      </c>
      <c r="G4594" s="1" t="str">
        <f t="shared" si="288"/>
        <v/>
      </c>
      <c r="I4594" s="1" t="str">
        <f t="shared" si="286"/>
        <v>威尔新数值1.06.xlsm!suitPower</v>
      </c>
    </row>
    <row r="4595" spans="1:9" x14ac:dyDescent="0.15">
      <c r="A4595" s="1">
        <v>4594</v>
      </c>
      <c r="B4595" s="1">
        <v>103081100</v>
      </c>
      <c r="C4595" s="1">
        <f t="shared" si="285"/>
        <v>10</v>
      </c>
      <c r="D4595" s="5">
        <f ca="1">IF(getQuality(B4595)&lt;4,getOtherMin(B4595,C4595,INDIRECT(J$2),INDIRECT(I4595),test),getMin(B4595,C4595,INDIRECT(J$2),INDIRECT(I4595),test))</f>
        <v>271.43850937813136</v>
      </c>
      <c r="E4595" s="5">
        <f ca="1">IF(getQuality(B4595)&lt;4,getOtherMax(B4595,C4595,INDIRECT(J$2),INDIRECT(I4595),test),getMax(B4595,C4595,INDIRECT(J$2),INDIRECT(I4595),test))</f>
        <v>328.28048273180752</v>
      </c>
      <c r="F4595" s="1" t="str">
        <f t="shared" si="287"/>
        <v>50</v>
      </c>
      <c r="G4595" s="1" t="str">
        <f t="shared" si="288"/>
        <v/>
      </c>
      <c r="I4595" s="1" t="str">
        <f t="shared" si="286"/>
        <v>威尔新数值1.06.xlsm!suitPower</v>
      </c>
    </row>
    <row r="4596" spans="1:9" x14ac:dyDescent="0.15">
      <c r="A4596" s="1">
        <v>4595</v>
      </c>
      <c r="B4596" s="1">
        <v>103081100</v>
      </c>
      <c r="C4596" s="1">
        <f t="shared" si="285"/>
        <v>11</v>
      </c>
      <c r="D4596" s="5">
        <f ca="1">IF(getQuality(B4596)&lt;4,getOtherMin(B4596,C4596,INDIRECT(J$2),INDIRECT(I4596),test),getMin(B4596,C4596,INDIRECT(J$2),INDIRECT(I4596),test))</f>
        <v>271.43850937813136</v>
      </c>
      <c r="E4596" s="5">
        <f ca="1">IF(getQuality(B4596)&lt;4,getOtherMax(B4596,C4596,INDIRECT(J$2),INDIRECT(I4596),test),getMax(B4596,C4596,INDIRECT(J$2),INDIRECT(I4596),test))</f>
        <v>328.28048273180752</v>
      </c>
      <c r="F4596" s="1" t="str">
        <f t="shared" si="287"/>
        <v>50</v>
      </c>
      <c r="G4596" s="1" t="str">
        <f t="shared" si="288"/>
        <v/>
      </c>
      <c r="I4596" s="1" t="str">
        <f t="shared" si="286"/>
        <v>威尔新数值1.06.xlsm!suitPower</v>
      </c>
    </row>
    <row r="4597" spans="1:9" x14ac:dyDescent="0.15">
      <c r="A4597" s="1">
        <v>4596</v>
      </c>
      <c r="B4597" s="1">
        <v>103081100</v>
      </c>
      <c r="C4597" s="1">
        <f t="shared" si="285"/>
        <v>12</v>
      </c>
      <c r="D4597" s="5">
        <f ca="1">IF(getQuality(B4597)&lt;4,getOtherMin(B4597,C4597,INDIRECT(J$2),INDIRECT(I4597),test),getMin(B4597,C4597,INDIRECT(J$2),INDIRECT(I4597),test))</f>
        <v>271.43850937813136</v>
      </c>
      <c r="E4597" s="5">
        <f ca="1">IF(getQuality(B4597)&lt;4,getOtherMax(B4597,C4597,INDIRECT(J$2),INDIRECT(I4597),test),getMax(B4597,C4597,INDIRECT(J$2),INDIRECT(I4597),test))</f>
        <v>328.28048273180752</v>
      </c>
      <c r="F4597" s="1" t="str">
        <f t="shared" si="287"/>
        <v>50</v>
      </c>
      <c r="G4597" s="1" t="str">
        <f t="shared" si="288"/>
        <v/>
      </c>
      <c r="I4597" s="1" t="str">
        <f t="shared" si="286"/>
        <v>威尔新数值1.06.xlsm!suitPower</v>
      </c>
    </row>
    <row r="4598" spans="1:9" x14ac:dyDescent="0.15">
      <c r="A4598" s="1">
        <v>4597</v>
      </c>
      <c r="B4598" s="1">
        <v>103081100</v>
      </c>
      <c r="C4598" s="1">
        <f t="shared" si="285"/>
        <v>13</v>
      </c>
      <c r="D4598" s="5">
        <f ca="1">IF(getQuality(B4598)&lt;4,getOtherMin(B4598,C4598,INDIRECT(J$2),INDIRECT(I4598),test),getMin(B4598,C4598,INDIRECT(J$2),INDIRECT(I4598),test))</f>
        <v>271.43850937813136</v>
      </c>
      <c r="E4598" s="5">
        <f ca="1">IF(getQuality(B4598)&lt;4,getOtherMax(B4598,C4598,INDIRECT(J$2),INDIRECT(I4598),test),getMax(B4598,C4598,INDIRECT(J$2),INDIRECT(I4598),test))</f>
        <v>328.28048273180752</v>
      </c>
      <c r="F4598" s="1" t="str">
        <f t="shared" si="287"/>
        <v>50</v>
      </c>
      <c r="G4598" s="1" t="str">
        <f t="shared" si="288"/>
        <v/>
      </c>
      <c r="I4598" s="1" t="str">
        <f t="shared" si="286"/>
        <v>威尔新数值1.06.xlsm!suitPower</v>
      </c>
    </row>
    <row r="4599" spans="1:9" x14ac:dyDescent="0.15">
      <c r="A4599" s="1">
        <v>4598</v>
      </c>
      <c r="B4599" s="1">
        <v>103081100</v>
      </c>
      <c r="C4599" s="1">
        <f t="shared" si="285"/>
        <v>14</v>
      </c>
      <c r="D4599" s="5">
        <f ca="1">IF(getQuality(B4599)&lt;4,getOtherMin(B4599,C4599,INDIRECT(J$2),INDIRECT(I4599),test),getMin(B4599,C4599,INDIRECT(J$2),INDIRECT(I4599),test))</f>
        <v>271.43850937813136</v>
      </c>
      <c r="E4599" s="5">
        <f ca="1">IF(getQuality(B4599)&lt;4,getOtherMax(B4599,C4599,INDIRECT(J$2),INDIRECT(I4599),test),getMax(B4599,C4599,INDIRECT(J$2),INDIRECT(I4599),test))</f>
        <v>328.28048273180752</v>
      </c>
      <c r="F4599" s="1" t="str">
        <f t="shared" si="287"/>
        <v>50</v>
      </c>
      <c r="G4599" s="1" t="str">
        <f t="shared" si="288"/>
        <v/>
      </c>
      <c r="I4599" s="1" t="str">
        <f t="shared" si="286"/>
        <v>威尔新数值1.06.xlsm!suitPower</v>
      </c>
    </row>
    <row r="4600" spans="1:9" x14ac:dyDescent="0.15">
      <c r="A4600" s="1">
        <v>4599</v>
      </c>
      <c r="B4600" s="1">
        <v>103081100</v>
      </c>
      <c r="C4600" s="1">
        <f t="shared" si="285"/>
        <v>15</v>
      </c>
      <c r="D4600" s="5">
        <f ca="1">IF(getQuality(B4600)&lt;4,getOtherMin(B4600,C4600,INDIRECT(J$2),INDIRECT(I4600),test),getMin(B4600,C4600,INDIRECT(J$2),INDIRECT(I4600),test))</f>
        <v>271.43850937813136</v>
      </c>
      <c r="E4600" s="5">
        <f ca="1">IF(getQuality(B4600)&lt;4,getOtherMax(B4600,C4600,INDIRECT(J$2),INDIRECT(I4600),test),getMax(B4600,C4600,INDIRECT(J$2),INDIRECT(I4600),test))</f>
        <v>328.28048273180752</v>
      </c>
      <c r="F4600" s="1" t="str">
        <f t="shared" si="287"/>
        <v>50</v>
      </c>
      <c r="G4600" s="1" t="str">
        <f t="shared" si="288"/>
        <v/>
      </c>
      <c r="I4600" s="1" t="str">
        <f t="shared" si="286"/>
        <v>威尔新数值1.06.xlsm!suitPower</v>
      </c>
    </row>
    <row r="4601" spans="1:9" x14ac:dyDescent="0.15">
      <c r="A4601" s="1">
        <v>4600</v>
      </c>
      <c r="B4601" s="1">
        <v>103081100</v>
      </c>
      <c r="C4601" s="1">
        <f t="shared" si="285"/>
        <v>101</v>
      </c>
      <c r="D4601" s="5">
        <f ca="1">IF(getQuality(B4601)&lt;4,getOtherMin(B4601,C4601,INDIRECT(J$2),INDIRECT(I4601),test),getMin(B4601,C4601,INDIRECT(J$2),INDIRECT(I4601),test))</f>
        <v>0.14000000000000001</v>
      </c>
      <c r="E4601" s="5">
        <f ca="1">IF(getQuality(B4601)&lt;4,getOtherMax(B4601,C4601,INDIRECT(J$2),INDIRECT(I4601),test),getMax(B4601,C4601,INDIRECT(J$2),INDIRECT(I4601),test))</f>
        <v>0.17</v>
      </c>
      <c r="F4601" s="1" t="str">
        <f t="shared" si="287"/>
        <v>50</v>
      </c>
      <c r="G4601" s="1" t="str">
        <f t="shared" si="288"/>
        <v/>
      </c>
      <c r="I4601" s="1" t="str">
        <f t="shared" si="286"/>
        <v>威尔新数值1.06.xlsm!circlePer</v>
      </c>
    </row>
    <row r="4602" spans="1:9" x14ac:dyDescent="0.15">
      <c r="A4602" s="1">
        <v>4601</v>
      </c>
      <c r="B4602" s="1">
        <v>103081100</v>
      </c>
      <c r="C4602" s="1">
        <f t="shared" si="285"/>
        <v>102</v>
      </c>
      <c r="D4602" s="5">
        <f ca="1">IF(getQuality(B4602)&lt;4,getOtherMin(B4602,C4602,INDIRECT(J$2),INDIRECT(I4602),test),getMin(B4602,C4602,INDIRECT(J$2),INDIRECT(I4602),test))</f>
        <v>1.3</v>
      </c>
      <c r="E4602" s="5">
        <f ca="1">IF(getQuality(B4602)&lt;4,getOtherMax(B4602,C4602,INDIRECT(J$2),INDIRECT(I4602),test),getMax(B4602,C4602,INDIRECT(J$2),INDIRECT(I4602),test))</f>
        <v>1.6</v>
      </c>
      <c r="F4602" s="1" t="str">
        <f t="shared" si="287"/>
        <v>50</v>
      </c>
      <c r="G4602" s="1" t="str">
        <f t="shared" si="288"/>
        <v/>
      </c>
      <c r="I4602" s="1" t="str">
        <f t="shared" si="286"/>
        <v>威尔新数值1.06.xlsm!circleValue</v>
      </c>
    </row>
    <row r="4603" spans="1:9" x14ac:dyDescent="0.15">
      <c r="A4603" s="1">
        <v>4602</v>
      </c>
      <c r="B4603" s="1">
        <v>103081100</v>
      </c>
      <c r="C4603" s="1">
        <f t="shared" si="285"/>
        <v>103</v>
      </c>
      <c r="D4603" s="5">
        <f ca="1">IF(getQuality(B4603)&lt;4,getOtherMin(B4603,C4603,INDIRECT(J$2),INDIRECT(I4603),test),getMin(B4603,C4603,INDIRECT(J$2),INDIRECT(I4603),test))</f>
        <v>0.14000000000000001</v>
      </c>
      <c r="E4603" s="5">
        <f ca="1">IF(getQuality(B4603)&lt;4,getOtherMax(B4603,C4603,INDIRECT(J$2),INDIRECT(I4603),test),getMax(B4603,C4603,INDIRECT(J$2),INDIRECT(I4603),test))</f>
        <v>0.17</v>
      </c>
      <c r="F4603" s="1" t="str">
        <f t="shared" si="287"/>
        <v>50</v>
      </c>
      <c r="G4603" s="1" t="str">
        <f t="shared" si="288"/>
        <v/>
      </c>
      <c r="I4603" s="1" t="str">
        <f t="shared" si="286"/>
        <v>威尔新数值1.06.xlsm!otherDamage</v>
      </c>
    </row>
    <row r="4604" spans="1:9" x14ac:dyDescent="0.15">
      <c r="A4604" s="1">
        <v>4603</v>
      </c>
      <c r="B4604" s="1">
        <v>103081100</v>
      </c>
      <c r="C4604" s="1">
        <f t="shared" ref="C4604:C4667" si="289">C2129</f>
        <v>104</v>
      </c>
      <c r="D4604" s="5">
        <f ca="1">IF(getQuality(B4604)&lt;4,getOtherMin(B4604,C4604,INDIRECT(J$2),INDIRECT(I4604),test),getMin(B4604,C4604,INDIRECT(J$2),INDIRECT(I4604),test))</f>
        <v>0.14000000000000001</v>
      </c>
      <c r="E4604" s="5">
        <f ca="1">IF(getQuality(B4604)&lt;4,getOtherMax(B4604,C4604,INDIRECT(J$2),INDIRECT(I4604),test),getMax(B4604,C4604,INDIRECT(J$2),INDIRECT(I4604),test))</f>
        <v>0.28000000000000003</v>
      </c>
      <c r="F4604" s="1" t="str">
        <f t="shared" si="287"/>
        <v>50</v>
      </c>
      <c r="G4604" s="1" t="str">
        <f t="shared" si="288"/>
        <v/>
      </c>
      <c r="I4604" s="1" t="str">
        <f t="shared" si="286"/>
        <v>威尔新数值1.06.xlsm!monsterDamage</v>
      </c>
    </row>
    <row r="4605" spans="1:9" x14ac:dyDescent="0.15">
      <c r="A4605" s="1">
        <v>4604</v>
      </c>
      <c r="B4605" s="1">
        <v>103081100</v>
      </c>
      <c r="C4605" s="1">
        <f t="shared" si="289"/>
        <v>105</v>
      </c>
      <c r="D4605" s="5">
        <f ca="1">IF(getQuality(B4605)&lt;4,getOtherMin(B4605,C4605,INDIRECT(J$2),INDIRECT(I4605),test),getMin(B4605,C4605,INDIRECT(J$2),INDIRECT(I4605),test))</f>
        <v>0.14000000000000001</v>
      </c>
      <c r="E4605" s="5">
        <f ca="1">IF(getQuality(B4605)&lt;4,getOtherMax(B4605,C4605,INDIRECT(J$2),INDIRECT(I4605),test),getMax(B4605,C4605,INDIRECT(J$2),INDIRECT(I4605),test))</f>
        <v>0.28000000000000003</v>
      </c>
      <c r="F4605" s="1" t="str">
        <f t="shared" si="287"/>
        <v>50</v>
      </c>
      <c r="G4605" s="1" t="str">
        <f t="shared" si="288"/>
        <v/>
      </c>
      <c r="I4605" s="1" t="str">
        <f t="shared" si="286"/>
        <v>威尔新数值1.06.xlsm!monsterDamage</v>
      </c>
    </row>
    <row r="4606" spans="1:9" x14ac:dyDescent="0.15">
      <c r="A4606" s="1">
        <v>4605</v>
      </c>
      <c r="B4606" s="1">
        <v>103081100</v>
      </c>
      <c r="C4606" s="1">
        <f t="shared" si="289"/>
        <v>106</v>
      </c>
      <c r="D4606" s="5">
        <f ca="1">IF(getQuality(B4606)&lt;4,getOtherMin(B4606,C4606,INDIRECT(J$2),INDIRECT(I4606),test),getMin(B4606,C4606,INDIRECT(J$2),INDIRECT(I4606),test))</f>
        <v>0.14000000000000001</v>
      </c>
      <c r="E4606" s="5">
        <f ca="1">IF(getQuality(B4606)&lt;4,getOtherMax(B4606,C4606,INDIRECT(J$2),INDIRECT(I4606),test),getMax(B4606,C4606,INDIRECT(J$2),INDIRECT(I4606),test))</f>
        <v>0.28000000000000003</v>
      </c>
      <c r="F4606" s="1" t="str">
        <f t="shared" si="287"/>
        <v>50</v>
      </c>
      <c r="G4606" s="1" t="str">
        <f t="shared" si="288"/>
        <v/>
      </c>
      <c r="I4606" s="1" t="str">
        <f t="shared" si="286"/>
        <v>威尔新数值1.06.xlsm!monsterDamage</v>
      </c>
    </row>
    <row r="4607" spans="1:9" x14ac:dyDescent="0.15">
      <c r="A4607" s="1">
        <v>4606</v>
      </c>
      <c r="B4607" s="1">
        <v>103081100</v>
      </c>
      <c r="C4607" s="1">
        <f t="shared" si="289"/>
        <v>107</v>
      </c>
      <c r="D4607" s="5">
        <f ca="1">IF(getQuality(B4607)&lt;4,getOtherMin(B4607,C4607,INDIRECT(J$2),INDIRECT(I4607),test),getMin(B4607,C4607,INDIRECT(J$2),INDIRECT(I4607),test))</f>
        <v>0.14000000000000001</v>
      </c>
      <c r="E4607" s="5">
        <f ca="1">IF(getQuality(B4607)&lt;4,getOtherMax(B4607,C4607,INDIRECT(J$2),INDIRECT(I4607),test),getMax(B4607,C4607,INDIRECT(J$2),INDIRECT(I4607),test))</f>
        <v>0.28000000000000003</v>
      </c>
      <c r="F4607" s="1" t="str">
        <f t="shared" si="287"/>
        <v>50</v>
      </c>
      <c r="G4607" s="1" t="str">
        <f t="shared" si="288"/>
        <v/>
      </c>
      <c r="I4607" s="1" t="str">
        <f t="shared" si="286"/>
        <v>威尔新数值1.06.xlsm!monsterDamage</v>
      </c>
    </row>
    <row r="4608" spans="1:9" x14ac:dyDescent="0.15">
      <c r="A4608" s="1">
        <v>4607</v>
      </c>
      <c r="B4608" s="1">
        <v>103081100</v>
      </c>
      <c r="C4608" s="1">
        <f t="shared" si="289"/>
        <v>108</v>
      </c>
      <c r="D4608" s="5">
        <f ca="1">IF(getQuality(B4608)&lt;4,getOtherMin(B4608,C4608,INDIRECT(J$2),INDIRECT(I4608),test),getMin(B4608,C4608,INDIRECT(J$2),INDIRECT(I4608),test))</f>
        <v>0.14000000000000001</v>
      </c>
      <c r="E4608" s="5">
        <f ca="1">IF(getQuality(B4608)&lt;4,getOtherMax(B4608,C4608,INDIRECT(J$2),INDIRECT(I4608),test),getMax(B4608,C4608,INDIRECT(J$2),INDIRECT(I4608),test))</f>
        <v>0.28000000000000003</v>
      </c>
      <c r="F4608" s="1" t="str">
        <f t="shared" si="287"/>
        <v>50</v>
      </c>
      <c r="G4608" s="1" t="str">
        <f t="shared" si="288"/>
        <v/>
      </c>
      <c r="I4608" s="1" t="str">
        <f t="shared" si="286"/>
        <v>威尔新数值1.06.xlsm!monsterDamage</v>
      </c>
    </row>
    <row r="4609" spans="1:9" x14ac:dyDescent="0.15">
      <c r="A4609" s="1">
        <v>4608</v>
      </c>
      <c r="B4609" s="1">
        <v>103091100</v>
      </c>
      <c r="C4609" s="1">
        <f t="shared" si="289"/>
        <v>3</v>
      </c>
      <c r="D4609" s="5">
        <f ca="1">IF(getQuality(B4609)&lt;4,getOtherMin(B4609,C4609,INDIRECT(J$2),INDIRECT(I4609),test),getMin(B4609,C4609,INDIRECT(J$2),INDIRECT(I4609),test))</f>
        <v>329.28048273180752</v>
      </c>
      <c r="E4609" s="5">
        <f ca="1">IF(getQuality(B4609)&lt;4,getOtherMax(B4609,C4609,INDIRECT(J$2),INDIRECT(I4609),test),getMax(B4609,C4609,INDIRECT(J$2),INDIRECT(I4609),test))</f>
        <v>390.92443123182665</v>
      </c>
      <c r="F4609" s="1" t="str">
        <f t="shared" si="287"/>
        <v>50</v>
      </c>
      <c r="G4609" s="1" t="str">
        <f t="shared" si="288"/>
        <v/>
      </c>
      <c r="I4609" s="1" t="str">
        <f t="shared" si="286"/>
        <v>威尔新数值1.06.xlsm!suitPower</v>
      </c>
    </row>
    <row r="4610" spans="1:9" x14ac:dyDescent="0.15">
      <c r="A4610" s="1">
        <v>4609</v>
      </c>
      <c r="B4610" s="1">
        <v>103091100</v>
      </c>
      <c r="C4610" s="1">
        <f t="shared" si="289"/>
        <v>5</v>
      </c>
      <c r="D4610" s="5">
        <f ca="1">IF(getQuality(B4610)&lt;4,getOtherMin(B4610,C4610,INDIRECT(J$2),INDIRECT(I4610),test),getMin(B4610,C4610,INDIRECT(J$2),INDIRECT(I4610),test))</f>
        <v>329.28048273180752</v>
      </c>
      <c r="E4610" s="5">
        <f ca="1">IF(getQuality(B4610)&lt;4,getOtherMax(B4610,C4610,INDIRECT(J$2),INDIRECT(I4610),test),getMax(B4610,C4610,INDIRECT(J$2),INDIRECT(I4610),test))</f>
        <v>390.92443123182665</v>
      </c>
      <c r="F4610" s="1" t="str">
        <f t="shared" si="287"/>
        <v>50</v>
      </c>
      <c r="G4610" s="1" t="str">
        <f t="shared" si="288"/>
        <v>1</v>
      </c>
      <c r="I4610" s="1" t="str">
        <f t="shared" ref="I4610:I4673" si="290">IF(C4610&lt;100,VLOOKUP(C4610,test,3,FALSE),VLOOKUP(C4610,test1,3,FALSE))</f>
        <v>威尔新数值1.06.xlsm!suitPower</v>
      </c>
    </row>
    <row r="4611" spans="1:9" x14ac:dyDescent="0.15">
      <c r="A4611" s="1">
        <v>4610</v>
      </c>
      <c r="B4611" s="1">
        <v>103091100</v>
      </c>
      <c r="C4611" s="1">
        <f t="shared" si="289"/>
        <v>7</v>
      </c>
      <c r="D4611" s="5">
        <f ca="1">IF(getQuality(B4611)&lt;4,getOtherMin(B4611,C4611,INDIRECT(J$2),INDIRECT(I4611),test),getMin(B4611,C4611,INDIRECT(J$2),INDIRECT(I4611),test))</f>
        <v>60.25925925925911</v>
      </c>
      <c r="E4611" s="5">
        <f ca="1">IF(getQuality(B4611)&lt;4,getOtherMax(B4611,C4611,INDIRECT(J$2),INDIRECT(I4611),test),getMax(B4611,C4611,INDIRECT(J$2),INDIRECT(I4611),test))</f>
        <v>66.666666666666501</v>
      </c>
      <c r="F4611" s="1" t="str">
        <f t="shared" ref="F4611:F4674" si="291">getper(B4611,C4611)</f>
        <v>50</v>
      </c>
      <c r="G4611" s="1" t="str">
        <f t="shared" ref="G4611:G4674" si="292">getMust(B4611,C4611)</f>
        <v/>
      </c>
      <c r="I4611" s="1" t="str">
        <f t="shared" si="290"/>
        <v>威尔新数值1.06.xlsm!suitPower</v>
      </c>
    </row>
    <row r="4612" spans="1:9" x14ac:dyDescent="0.15">
      <c r="A4612" s="1">
        <v>4611</v>
      </c>
      <c r="B4612" s="1">
        <v>103091100</v>
      </c>
      <c r="C4612" s="1">
        <f t="shared" si="289"/>
        <v>8</v>
      </c>
      <c r="D4612" s="5">
        <f ca="1">IF(getQuality(B4612)&lt;4,getOtherMin(B4612,C4612,INDIRECT(J$2),INDIRECT(I4612),test),getMin(B4612,C4612,INDIRECT(J$2),INDIRECT(I4612),test))</f>
        <v>134.33333333333334</v>
      </c>
      <c r="E4612" s="5">
        <f ca="1">IF(getQuality(B4612)&lt;4,getOtherMax(B4612,C4612,INDIRECT(J$2),INDIRECT(I4612),test),getMax(B4612,C4612,INDIRECT(J$2),INDIRECT(I4612),test))</f>
        <v>150</v>
      </c>
      <c r="F4612" s="1" t="str">
        <f t="shared" si="291"/>
        <v>50</v>
      </c>
      <c r="G4612" s="1" t="str">
        <f t="shared" si="292"/>
        <v/>
      </c>
      <c r="I4612" s="1" t="str">
        <f t="shared" si="290"/>
        <v>威尔新数值1.06.xlsm!suitPower</v>
      </c>
    </row>
    <row r="4613" spans="1:9" x14ac:dyDescent="0.15">
      <c r="A4613" s="1">
        <v>4612</v>
      </c>
      <c r="B4613" s="1">
        <v>103091100</v>
      </c>
      <c r="C4613" s="1">
        <f t="shared" si="289"/>
        <v>9</v>
      </c>
      <c r="D4613" s="5">
        <f ca="1">IF(getQuality(B4613)&lt;4,getOtherMin(B4613,C4613,INDIRECT(J$2),INDIRECT(I4613),test),getMin(B4613,C4613,INDIRECT(J$2),INDIRECT(I4613),test))</f>
        <v>329.28048273180752</v>
      </c>
      <c r="E4613" s="5">
        <f ca="1">IF(getQuality(B4613)&lt;4,getOtherMax(B4613,C4613,INDIRECT(J$2),INDIRECT(I4613),test),getMax(B4613,C4613,INDIRECT(J$2),INDIRECT(I4613),test))</f>
        <v>390.92443123182665</v>
      </c>
      <c r="F4613" s="1" t="str">
        <f t="shared" si="291"/>
        <v>50</v>
      </c>
      <c r="G4613" s="1" t="str">
        <f t="shared" si="292"/>
        <v/>
      </c>
      <c r="I4613" s="1" t="str">
        <f t="shared" si="290"/>
        <v>威尔新数值1.06.xlsm!suitPower</v>
      </c>
    </row>
    <row r="4614" spans="1:9" x14ac:dyDescent="0.15">
      <c r="A4614" s="1">
        <v>4613</v>
      </c>
      <c r="B4614" s="1">
        <v>103091100</v>
      </c>
      <c r="C4614" s="1">
        <f t="shared" si="289"/>
        <v>10</v>
      </c>
      <c r="D4614" s="5">
        <f ca="1">IF(getQuality(B4614)&lt;4,getOtherMin(B4614,C4614,INDIRECT(J$2),INDIRECT(I4614),test),getMin(B4614,C4614,INDIRECT(J$2),INDIRECT(I4614),test))</f>
        <v>329.28048273180752</v>
      </c>
      <c r="E4614" s="5">
        <f ca="1">IF(getQuality(B4614)&lt;4,getOtherMax(B4614,C4614,INDIRECT(J$2),INDIRECT(I4614),test),getMax(B4614,C4614,INDIRECT(J$2),INDIRECT(I4614),test))</f>
        <v>390.92443123182665</v>
      </c>
      <c r="F4614" s="1" t="str">
        <f t="shared" si="291"/>
        <v>50</v>
      </c>
      <c r="G4614" s="1" t="str">
        <f t="shared" si="292"/>
        <v/>
      </c>
      <c r="I4614" s="1" t="str">
        <f t="shared" si="290"/>
        <v>威尔新数值1.06.xlsm!suitPower</v>
      </c>
    </row>
    <row r="4615" spans="1:9" x14ac:dyDescent="0.15">
      <c r="A4615" s="1">
        <v>4614</v>
      </c>
      <c r="B4615" s="1">
        <v>103091100</v>
      </c>
      <c r="C4615" s="1">
        <f t="shared" si="289"/>
        <v>11</v>
      </c>
      <c r="D4615" s="5">
        <f ca="1">IF(getQuality(B4615)&lt;4,getOtherMin(B4615,C4615,INDIRECT(J$2),INDIRECT(I4615),test),getMin(B4615,C4615,INDIRECT(J$2),INDIRECT(I4615),test))</f>
        <v>329.28048273180752</v>
      </c>
      <c r="E4615" s="5">
        <f ca="1">IF(getQuality(B4615)&lt;4,getOtherMax(B4615,C4615,INDIRECT(J$2),INDIRECT(I4615),test),getMax(B4615,C4615,INDIRECT(J$2),INDIRECT(I4615),test))</f>
        <v>390.92443123182665</v>
      </c>
      <c r="F4615" s="1" t="str">
        <f t="shared" si="291"/>
        <v>50</v>
      </c>
      <c r="G4615" s="1" t="str">
        <f t="shared" si="292"/>
        <v/>
      </c>
      <c r="I4615" s="1" t="str">
        <f t="shared" si="290"/>
        <v>威尔新数值1.06.xlsm!suitPower</v>
      </c>
    </row>
    <row r="4616" spans="1:9" x14ac:dyDescent="0.15">
      <c r="A4616" s="1">
        <v>4615</v>
      </c>
      <c r="B4616" s="1">
        <v>103091100</v>
      </c>
      <c r="C4616" s="1">
        <f t="shared" si="289"/>
        <v>12</v>
      </c>
      <c r="D4616" s="5">
        <f ca="1">IF(getQuality(B4616)&lt;4,getOtherMin(B4616,C4616,INDIRECT(J$2),INDIRECT(I4616),test),getMin(B4616,C4616,INDIRECT(J$2),INDIRECT(I4616),test))</f>
        <v>329.28048273180752</v>
      </c>
      <c r="E4616" s="5">
        <f ca="1">IF(getQuality(B4616)&lt;4,getOtherMax(B4616,C4616,INDIRECT(J$2),INDIRECT(I4616),test),getMax(B4616,C4616,INDIRECT(J$2),INDIRECT(I4616),test))</f>
        <v>390.92443123182665</v>
      </c>
      <c r="F4616" s="1" t="str">
        <f t="shared" si="291"/>
        <v>50</v>
      </c>
      <c r="G4616" s="1" t="str">
        <f t="shared" si="292"/>
        <v/>
      </c>
      <c r="I4616" s="1" t="str">
        <f t="shared" si="290"/>
        <v>威尔新数值1.06.xlsm!suitPower</v>
      </c>
    </row>
    <row r="4617" spans="1:9" x14ac:dyDescent="0.15">
      <c r="A4617" s="1">
        <v>4616</v>
      </c>
      <c r="B4617" s="1">
        <v>103091100</v>
      </c>
      <c r="C4617" s="1">
        <f t="shared" si="289"/>
        <v>13</v>
      </c>
      <c r="D4617" s="5">
        <f ca="1">IF(getQuality(B4617)&lt;4,getOtherMin(B4617,C4617,INDIRECT(J$2),INDIRECT(I4617),test),getMin(B4617,C4617,INDIRECT(J$2),INDIRECT(I4617),test))</f>
        <v>329.28048273180752</v>
      </c>
      <c r="E4617" s="5">
        <f ca="1">IF(getQuality(B4617)&lt;4,getOtherMax(B4617,C4617,INDIRECT(J$2),INDIRECT(I4617),test),getMax(B4617,C4617,INDIRECT(J$2),INDIRECT(I4617),test))</f>
        <v>390.92443123182665</v>
      </c>
      <c r="F4617" s="1" t="str">
        <f t="shared" si="291"/>
        <v>50</v>
      </c>
      <c r="G4617" s="1" t="str">
        <f t="shared" si="292"/>
        <v/>
      </c>
      <c r="I4617" s="1" t="str">
        <f t="shared" si="290"/>
        <v>威尔新数值1.06.xlsm!suitPower</v>
      </c>
    </row>
    <row r="4618" spans="1:9" x14ac:dyDescent="0.15">
      <c r="A4618" s="1">
        <v>4617</v>
      </c>
      <c r="B4618" s="1">
        <v>103091100</v>
      </c>
      <c r="C4618" s="1">
        <f t="shared" si="289"/>
        <v>14</v>
      </c>
      <c r="D4618" s="5">
        <f ca="1">IF(getQuality(B4618)&lt;4,getOtherMin(B4618,C4618,INDIRECT(J$2),INDIRECT(I4618),test),getMin(B4618,C4618,INDIRECT(J$2),INDIRECT(I4618),test))</f>
        <v>329.28048273180752</v>
      </c>
      <c r="E4618" s="5">
        <f ca="1">IF(getQuality(B4618)&lt;4,getOtherMax(B4618,C4618,INDIRECT(J$2),INDIRECT(I4618),test),getMax(B4618,C4618,INDIRECT(J$2),INDIRECT(I4618),test))</f>
        <v>390.92443123182665</v>
      </c>
      <c r="F4618" s="1" t="str">
        <f t="shared" si="291"/>
        <v>50</v>
      </c>
      <c r="G4618" s="1" t="str">
        <f t="shared" si="292"/>
        <v/>
      </c>
      <c r="I4618" s="1" t="str">
        <f t="shared" si="290"/>
        <v>威尔新数值1.06.xlsm!suitPower</v>
      </c>
    </row>
    <row r="4619" spans="1:9" x14ac:dyDescent="0.15">
      <c r="A4619" s="1">
        <v>4618</v>
      </c>
      <c r="B4619" s="1">
        <v>103091100</v>
      </c>
      <c r="C4619" s="1">
        <f t="shared" si="289"/>
        <v>15</v>
      </c>
      <c r="D4619" s="5">
        <f ca="1">IF(getQuality(B4619)&lt;4,getOtherMin(B4619,C4619,INDIRECT(J$2),INDIRECT(I4619),test),getMin(B4619,C4619,INDIRECT(J$2),INDIRECT(I4619),test))</f>
        <v>329.28048273180752</v>
      </c>
      <c r="E4619" s="5">
        <f ca="1">IF(getQuality(B4619)&lt;4,getOtherMax(B4619,C4619,INDIRECT(J$2),INDIRECT(I4619),test),getMax(B4619,C4619,INDIRECT(J$2),INDIRECT(I4619),test))</f>
        <v>390.92443123182665</v>
      </c>
      <c r="F4619" s="1" t="str">
        <f t="shared" si="291"/>
        <v>50</v>
      </c>
      <c r="G4619" s="1" t="str">
        <f t="shared" si="292"/>
        <v/>
      </c>
      <c r="I4619" s="1" t="str">
        <f t="shared" si="290"/>
        <v>威尔新数值1.06.xlsm!suitPower</v>
      </c>
    </row>
    <row r="4620" spans="1:9" x14ac:dyDescent="0.15">
      <c r="A4620" s="1">
        <v>4619</v>
      </c>
      <c r="B4620" s="1">
        <v>103091100</v>
      </c>
      <c r="C4620" s="1">
        <f t="shared" si="289"/>
        <v>101</v>
      </c>
      <c r="D4620" s="5">
        <f ca="1">IF(getQuality(B4620)&lt;4,getOtherMin(B4620,C4620,INDIRECT(J$2),INDIRECT(I4620),test),getMin(B4620,C4620,INDIRECT(J$2),INDIRECT(I4620),test))</f>
        <v>0.15</v>
      </c>
      <c r="E4620" s="5">
        <f ca="1">IF(getQuality(B4620)&lt;4,getOtherMax(B4620,C4620,INDIRECT(J$2),INDIRECT(I4620),test),getMax(B4620,C4620,INDIRECT(J$2),INDIRECT(I4620),test))</f>
        <v>0.18</v>
      </c>
      <c r="F4620" s="1" t="str">
        <f t="shared" si="291"/>
        <v>50</v>
      </c>
      <c r="G4620" s="1" t="str">
        <f t="shared" si="292"/>
        <v/>
      </c>
      <c r="I4620" s="1" t="str">
        <f t="shared" si="290"/>
        <v>威尔新数值1.06.xlsm!circlePer</v>
      </c>
    </row>
    <row r="4621" spans="1:9" x14ac:dyDescent="0.15">
      <c r="A4621" s="1">
        <v>4620</v>
      </c>
      <c r="B4621" s="1">
        <v>103091100</v>
      </c>
      <c r="C4621" s="1">
        <f t="shared" si="289"/>
        <v>102</v>
      </c>
      <c r="D4621" s="5">
        <f ca="1">IF(getQuality(B4621)&lt;4,getOtherMin(B4621,C4621,INDIRECT(J$2),INDIRECT(I4621),test),getMin(B4621,C4621,INDIRECT(J$2),INDIRECT(I4621),test))</f>
        <v>1.4</v>
      </c>
      <c r="E4621" s="5">
        <f ca="1">IF(getQuality(B4621)&lt;4,getOtherMax(B4621,C4621,INDIRECT(J$2),INDIRECT(I4621),test),getMax(B4621,C4621,INDIRECT(J$2),INDIRECT(I4621),test))</f>
        <v>1.7</v>
      </c>
      <c r="F4621" s="1" t="str">
        <f t="shared" si="291"/>
        <v>50</v>
      </c>
      <c r="G4621" s="1" t="str">
        <f t="shared" si="292"/>
        <v/>
      </c>
      <c r="I4621" s="1" t="str">
        <f t="shared" si="290"/>
        <v>威尔新数值1.06.xlsm!circleValue</v>
      </c>
    </row>
    <row r="4622" spans="1:9" x14ac:dyDescent="0.15">
      <c r="A4622" s="1">
        <v>4621</v>
      </c>
      <c r="B4622" s="1">
        <v>103091100</v>
      </c>
      <c r="C4622" s="1">
        <f t="shared" si="289"/>
        <v>103</v>
      </c>
      <c r="D4622" s="5">
        <f ca="1">IF(getQuality(B4622)&lt;4,getOtherMin(B4622,C4622,INDIRECT(J$2),INDIRECT(I4622),test),getMin(B4622,C4622,INDIRECT(J$2),INDIRECT(I4622),test))</f>
        <v>0.15</v>
      </c>
      <c r="E4622" s="5">
        <f ca="1">IF(getQuality(B4622)&lt;4,getOtherMax(B4622,C4622,INDIRECT(J$2),INDIRECT(I4622),test),getMax(B4622,C4622,INDIRECT(J$2),INDIRECT(I4622),test))</f>
        <v>0.18</v>
      </c>
      <c r="F4622" s="1" t="str">
        <f t="shared" si="291"/>
        <v>50</v>
      </c>
      <c r="G4622" s="1" t="str">
        <f t="shared" si="292"/>
        <v/>
      </c>
      <c r="I4622" s="1" t="str">
        <f t="shared" si="290"/>
        <v>威尔新数值1.06.xlsm!otherDamage</v>
      </c>
    </row>
    <row r="4623" spans="1:9" x14ac:dyDescent="0.15">
      <c r="A4623" s="1">
        <v>4622</v>
      </c>
      <c r="B4623" s="1">
        <v>103091100</v>
      </c>
      <c r="C4623" s="1">
        <f t="shared" si="289"/>
        <v>104</v>
      </c>
      <c r="D4623" s="5">
        <f ca="1">IF(getQuality(B4623)&lt;4,getOtherMin(B4623,C4623,INDIRECT(J$2),INDIRECT(I4623),test),getMin(B4623,C4623,INDIRECT(J$2),INDIRECT(I4623),test))</f>
        <v>0.15</v>
      </c>
      <c r="E4623" s="5">
        <f ca="1">IF(getQuality(B4623)&lt;4,getOtherMax(B4623,C4623,INDIRECT(J$2),INDIRECT(I4623),test),getMax(B4623,C4623,INDIRECT(J$2),INDIRECT(I4623),test))</f>
        <v>0.3</v>
      </c>
      <c r="F4623" s="1" t="str">
        <f t="shared" si="291"/>
        <v>50</v>
      </c>
      <c r="G4623" s="1" t="str">
        <f t="shared" si="292"/>
        <v/>
      </c>
      <c r="I4623" s="1" t="str">
        <f t="shared" si="290"/>
        <v>威尔新数值1.06.xlsm!monsterDamage</v>
      </c>
    </row>
    <row r="4624" spans="1:9" x14ac:dyDescent="0.15">
      <c r="A4624" s="1">
        <v>4623</v>
      </c>
      <c r="B4624" s="1">
        <v>103091100</v>
      </c>
      <c r="C4624" s="1">
        <f t="shared" si="289"/>
        <v>105</v>
      </c>
      <c r="D4624" s="5">
        <f ca="1">IF(getQuality(B4624)&lt;4,getOtherMin(B4624,C4624,INDIRECT(J$2),INDIRECT(I4624),test),getMin(B4624,C4624,INDIRECT(J$2),INDIRECT(I4624),test))</f>
        <v>0.15</v>
      </c>
      <c r="E4624" s="5">
        <f ca="1">IF(getQuality(B4624)&lt;4,getOtherMax(B4624,C4624,INDIRECT(J$2),INDIRECT(I4624),test),getMax(B4624,C4624,INDIRECT(J$2),INDIRECT(I4624),test))</f>
        <v>0.3</v>
      </c>
      <c r="F4624" s="1" t="str">
        <f t="shared" si="291"/>
        <v>50</v>
      </c>
      <c r="G4624" s="1" t="str">
        <f t="shared" si="292"/>
        <v/>
      </c>
      <c r="I4624" s="1" t="str">
        <f t="shared" si="290"/>
        <v>威尔新数值1.06.xlsm!monsterDamage</v>
      </c>
    </row>
    <row r="4625" spans="1:9" x14ac:dyDescent="0.15">
      <c r="A4625" s="1">
        <v>4624</v>
      </c>
      <c r="B4625" s="1">
        <v>103091100</v>
      </c>
      <c r="C4625" s="1">
        <f t="shared" si="289"/>
        <v>106</v>
      </c>
      <c r="D4625" s="5">
        <f ca="1">IF(getQuality(B4625)&lt;4,getOtherMin(B4625,C4625,INDIRECT(J$2),INDIRECT(I4625),test),getMin(B4625,C4625,INDIRECT(J$2),INDIRECT(I4625),test))</f>
        <v>0.15</v>
      </c>
      <c r="E4625" s="5">
        <f ca="1">IF(getQuality(B4625)&lt;4,getOtherMax(B4625,C4625,INDIRECT(J$2),INDIRECT(I4625),test),getMax(B4625,C4625,INDIRECT(J$2),INDIRECT(I4625),test))</f>
        <v>0.3</v>
      </c>
      <c r="F4625" s="1" t="str">
        <f t="shared" si="291"/>
        <v>50</v>
      </c>
      <c r="G4625" s="1" t="str">
        <f t="shared" si="292"/>
        <v/>
      </c>
      <c r="I4625" s="1" t="str">
        <f t="shared" si="290"/>
        <v>威尔新数值1.06.xlsm!monsterDamage</v>
      </c>
    </row>
    <row r="4626" spans="1:9" x14ac:dyDescent="0.15">
      <c r="A4626" s="1">
        <v>4625</v>
      </c>
      <c r="B4626" s="1">
        <v>103091100</v>
      </c>
      <c r="C4626" s="1">
        <f t="shared" si="289"/>
        <v>107</v>
      </c>
      <c r="D4626" s="5">
        <f ca="1">IF(getQuality(B4626)&lt;4,getOtherMin(B4626,C4626,INDIRECT(J$2),INDIRECT(I4626),test),getMin(B4626,C4626,INDIRECT(J$2),INDIRECT(I4626),test))</f>
        <v>0.15</v>
      </c>
      <c r="E4626" s="5">
        <f ca="1">IF(getQuality(B4626)&lt;4,getOtherMax(B4626,C4626,INDIRECT(J$2),INDIRECT(I4626),test),getMax(B4626,C4626,INDIRECT(J$2),INDIRECT(I4626),test))</f>
        <v>0.3</v>
      </c>
      <c r="F4626" s="1" t="str">
        <f t="shared" si="291"/>
        <v>50</v>
      </c>
      <c r="G4626" s="1" t="str">
        <f t="shared" si="292"/>
        <v/>
      </c>
      <c r="I4626" s="1" t="str">
        <f t="shared" si="290"/>
        <v>威尔新数值1.06.xlsm!monsterDamage</v>
      </c>
    </row>
    <row r="4627" spans="1:9" x14ac:dyDescent="0.15">
      <c r="A4627" s="1">
        <v>4626</v>
      </c>
      <c r="B4627" s="1">
        <v>103091100</v>
      </c>
      <c r="C4627" s="1">
        <f t="shared" si="289"/>
        <v>108</v>
      </c>
      <c r="D4627" s="5">
        <f ca="1">IF(getQuality(B4627)&lt;4,getOtherMin(B4627,C4627,INDIRECT(J$2),INDIRECT(I4627),test),getMin(B4627,C4627,INDIRECT(J$2),INDIRECT(I4627),test))</f>
        <v>0.15</v>
      </c>
      <c r="E4627" s="5">
        <f ca="1">IF(getQuality(B4627)&lt;4,getOtherMax(B4627,C4627,INDIRECT(J$2),INDIRECT(I4627),test),getMax(B4627,C4627,INDIRECT(J$2),INDIRECT(I4627),test))</f>
        <v>0.3</v>
      </c>
      <c r="F4627" s="1" t="str">
        <f t="shared" si="291"/>
        <v>50</v>
      </c>
      <c r="G4627" s="1" t="str">
        <f t="shared" si="292"/>
        <v/>
      </c>
      <c r="I4627" s="1" t="str">
        <f t="shared" si="290"/>
        <v>威尔新数值1.06.xlsm!monsterDamage</v>
      </c>
    </row>
    <row r="4628" spans="1:9" x14ac:dyDescent="0.15">
      <c r="A4628" s="1">
        <v>4627</v>
      </c>
      <c r="B4628" s="1">
        <v>103011200</v>
      </c>
      <c r="C4628" s="1">
        <f t="shared" si="289"/>
        <v>3</v>
      </c>
      <c r="D4628" s="5">
        <f ca="1">IF(getQuality(B4628)&lt;4,getOtherMin(B4628,C4628,INDIRECT(J$2),INDIRECT(I4628),test),getMin(B4628,C4628,INDIRECT(J$2),INDIRECT(I4628),test))</f>
        <v>1</v>
      </c>
      <c r="E4628" s="5">
        <f ca="1">IF(getQuality(B4628)&lt;4,getOtherMax(B4628,C4628,INDIRECT(J$2),INDIRECT(I4628),test),getMax(B4628,C4628,INDIRECT(J$2),INDIRECT(I4628),test))</f>
        <v>24.009875731714647</v>
      </c>
      <c r="F4628" s="1" t="str">
        <f t="shared" si="291"/>
        <v>50</v>
      </c>
      <c r="G4628" s="1" t="str">
        <f t="shared" si="292"/>
        <v>1</v>
      </c>
      <c r="I4628" s="1" t="str">
        <f t="shared" si="290"/>
        <v>威尔新数值1.06.xlsm!suitPower</v>
      </c>
    </row>
    <row r="4629" spans="1:9" x14ac:dyDescent="0.15">
      <c r="A4629" s="1">
        <v>4628</v>
      </c>
      <c r="B4629" s="1">
        <v>103011200</v>
      </c>
      <c r="C4629" s="1">
        <f t="shared" si="289"/>
        <v>5</v>
      </c>
      <c r="D4629" s="5">
        <f ca="1">IF(getQuality(B4629)&lt;4,getOtherMin(B4629,C4629,INDIRECT(J$2),INDIRECT(I4629),test),getMin(B4629,C4629,INDIRECT(J$2),INDIRECT(I4629),test))</f>
        <v>1</v>
      </c>
      <c r="E4629" s="5">
        <f ca="1">IF(getQuality(B4629)&lt;4,getOtherMax(B4629,C4629,INDIRECT(J$2),INDIRECT(I4629),test),getMax(B4629,C4629,INDIRECT(J$2),INDIRECT(I4629),test))</f>
        <v>24.009875731714647</v>
      </c>
      <c r="F4629" s="1" t="str">
        <f t="shared" si="291"/>
        <v>50</v>
      </c>
      <c r="G4629" s="1" t="str">
        <f t="shared" si="292"/>
        <v/>
      </c>
      <c r="I4629" s="1" t="str">
        <f t="shared" si="290"/>
        <v>威尔新数值1.06.xlsm!suitPower</v>
      </c>
    </row>
    <row r="4630" spans="1:9" x14ac:dyDescent="0.15">
      <c r="A4630" s="1">
        <v>4629</v>
      </c>
      <c r="B4630" s="1">
        <v>103011200</v>
      </c>
      <c r="C4630" s="1">
        <f t="shared" si="289"/>
        <v>7</v>
      </c>
      <c r="D4630" s="5">
        <f ca="1">IF(getQuality(B4630)&lt;4,getOtherMin(B4630,C4630,INDIRECT(J$2),INDIRECT(I4630),test),getMin(B4630,C4630,INDIRECT(J$2),INDIRECT(I4630),test))</f>
        <v>1</v>
      </c>
      <c r="E4630" s="5">
        <f ca="1">IF(getQuality(B4630)&lt;4,getOtherMax(B4630,C4630,INDIRECT(J$2),INDIRECT(I4630),test),getMax(B4630,C4630,INDIRECT(J$2),INDIRECT(I4630),test))</f>
        <v>7.4074074074073888</v>
      </c>
      <c r="F4630" s="1" t="str">
        <f t="shared" si="291"/>
        <v>50</v>
      </c>
      <c r="G4630" s="1" t="str">
        <f t="shared" si="292"/>
        <v/>
      </c>
      <c r="I4630" s="1" t="str">
        <f t="shared" si="290"/>
        <v>威尔新数值1.06.xlsm!suitPower</v>
      </c>
    </row>
    <row r="4631" spans="1:9" x14ac:dyDescent="0.15">
      <c r="A4631" s="1">
        <v>4630</v>
      </c>
      <c r="B4631" s="1">
        <v>103011200</v>
      </c>
      <c r="C4631" s="1">
        <f t="shared" si="289"/>
        <v>8</v>
      </c>
      <c r="D4631" s="5">
        <f ca="1">IF(getQuality(B4631)&lt;4,getOtherMin(B4631,C4631,INDIRECT(J$2),INDIRECT(I4631),test),getMin(B4631,C4631,INDIRECT(J$2),INDIRECT(I4631),test))</f>
        <v>1</v>
      </c>
      <c r="E4631" s="5">
        <f ca="1">IF(getQuality(B4631)&lt;4,getOtherMax(B4631,C4631,INDIRECT(J$2),INDIRECT(I4631),test),getMax(B4631,C4631,INDIRECT(J$2),INDIRECT(I4631),test))</f>
        <v>16.666666666666668</v>
      </c>
      <c r="F4631" s="1" t="str">
        <f t="shared" si="291"/>
        <v>50</v>
      </c>
      <c r="G4631" s="1" t="str">
        <f t="shared" si="292"/>
        <v/>
      </c>
      <c r="I4631" s="1" t="str">
        <f t="shared" si="290"/>
        <v>威尔新数值1.06.xlsm!suitPower</v>
      </c>
    </row>
    <row r="4632" spans="1:9" x14ac:dyDescent="0.15">
      <c r="A4632" s="1">
        <v>4631</v>
      </c>
      <c r="B4632" s="1">
        <v>103011200</v>
      </c>
      <c r="C4632" s="1">
        <f t="shared" si="289"/>
        <v>9</v>
      </c>
      <c r="D4632" s="5">
        <f ca="1">IF(getQuality(B4632)&lt;4,getOtherMin(B4632,C4632,INDIRECT(J$2),INDIRECT(I4632),test),getMin(B4632,C4632,INDIRECT(J$2),INDIRECT(I4632),test))</f>
        <v>1</v>
      </c>
      <c r="E4632" s="5">
        <f ca="1">IF(getQuality(B4632)&lt;4,getOtherMax(B4632,C4632,INDIRECT(J$2),INDIRECT(I4632),test),getMax(B4632,C4632,INDIRECT(J$2),INDIRECT(I4632),test))</f>
        <v>24.009875731714647</v>
      </c>
      <c r="F4632" s="1" t="str">
        <f t="shared" si="291"/>
        <v>50</v>
      </c>
      <c r="G4632" s="1" t="str">
        <f t="shared" si="292"/>
        <v/>
      </c>
      <c r="I4632" s="1" t="str">
        <f t="shared" si="290"/>
        <v>威尔新数值1.06.xlsm!suitPower</v>
      </c>
    </row>
    <row r="4633" spans="1:9" x14ac:dyDescent="0.15">
      <c r="A4633" s="1">
        <v>4632</v>
      </c>
      <c r="B4633" s="1">
        <v>103011200</v>
      </c>
      <c r="C4633" s="1">
        <f t="shared" si="289"/>
        <v>10</v>
      </c>
      <c r="D4633" s="5">
        <f ca="1">IF(getQuality(B4633)&lt;4,getOtherMin(B4633,C4633,INDIRECT(J$2),INDIRECT(I4633),test),getMin(B4633,C4633,INDIRECT(J$2),INDIRECT(I4633),test))</f>
        <v>1</v>
      </c>
      <c r="E4633" s="5">
        <f ca="1">IF(getQuality(B4633)&lt;4,getOtherMax(B4633,C4633,INDIRECT(J$2),INDIRECT(I4633),test),getMax(B4633,C4633,INDIRECT(J$2),INDIRECT(I4633),test))</f>
        <v>24.009875731714647</v>
      </c>
      <c r="F4633" s="1" t="str">
        <f t="shared" si="291"/>
        <v>50</v>
      </c>
      <c r="G4633" s="1" t="str">
        <f t="shared" si="292"/>
        <v/>
      </c>
      <c r="I4633" s="1" t="str">
        <f t="shared" si="290"/>
        <v>威尔新数值1.06.xlsm!suitPower</v>
      </c>
    </row>
    <row r="4634" spans="1:9" x14ac:dyDescent="0.15">
      <c r="A4634" s="1">
        <v>4633</v>
      </c>
      <c r="B4634" s="1">
        <v>103011200</v>
      </c>
      <c r="C4634" s="1">
        <f t="shared" si="289"/>
        <v>11</v>
      </c>
      <c r="D4634" s="5">
        <f ca="1">IF(getQuality(B4634)&lt;4,getOtherMin(B4634,C4634,INDIRECT(J$2),INDIRECT(I4634),test),getMin(B4634,C4634,INDIRECT(J$2),INDIRECT(I4634),test))</f>
        <v>1</v>
      </c>
      <c r="E4634" s="5">
        <f ca="1">IF(getQuality(B4634)&lt;4,getOtherMax(B4634,C4634,INDIRECT(J$2),INDIRECT(I4634),test),getMax(B4634,C4634,INDIRECT(J$2),INDIRECT(I4634),test))</f>
        <v>24.009875731714647</v>
      </c>
      <c r="F4634" s="1" t="str">
        <f t="shared" si="291"/>
        <v>50</v>
      </c>
      <c r="G4634" s="1" t="str">
        <f t="shared" si="292"/>
        <v/>
      </c>
      <c r="I4634" s="1" t="str">
        <f t="shared" si="290"/>
        <v>威尔新数值1.06.xlsm!suitPower</v>
      </c>
    </row>
    <row r="4635" spans="1:9" x14ac:dyDescent="0.15">
      <c r="A4635" s="1">
        <v>4634</v>
      </c>
      <c r="B4635" s="1">
        <v>103011200</v>
      </c>
      <c r="C4635" s="1">
        <f t="shared" si="289"/>
        <v>12</v>
      </c>
      <c r="D4635" s="5">
        <f ca="1">IF(getQuality(B4635)&lt;4,getOtherMin(B4635,C4635,INDIRECT(J$2),INDIRECT(I4635),test),getMin(B4635,C4635,INDIRECT(J$2),INDIRECT(I4635),test))</f>
        <v>1</v>
      </c>
      <c r="E4635" s="5">
        <f ca="1">IF(getQuality(B4635)&lt;4,getOtherMax(B4635,C4635,INDIRECT(J$2),INDIRECT(I4635),test),getMax(B4635,C4635,INDIRECT(J$2),INDIRECT(I4635),test))</f>
        <v>24.009875731714647</v>
      </c>
      <c r="F4635" s="1" t="str">
        <f t="shared" si="291"/>
        <v>50</v>
      </c>
      <c r="G4635" s="1" t="str">
        <f t="shared" si="292"/>
        <v/>
      </c>
      <c r="I4635" s="1" t="str">
        <f t="shared" si="290"/>
        <v>威尔新数值1.06.xlsm!suitPower</v>
      </c>
    </row>
    <row r="4636" spans="1:9" x14ac:dyDescent="0.15">
      <c r="A4636" s="1">
        <v>4635</v>
      </c>
      <c r="B4636" s="1">
        <v>103011200</v>
      </c>
      <c r="C4636" s="1">
        <f t="shared" si="289"/>
        <v>13</v>
      </c>
      <c r="D4636" s="5">
        <f ca="1">IF(getQuality(B4636)&lt;4,getOtherMin(B4636,C4636,INDIRECT(J$2),INDIRECT(I4636),test),getMin(B4636,C4636,INDIRECT(J$2),INDIRECT(I4636),test))</f>
        <v>1</v>
      </c>
      <c r="E4636" s="5">
        <f ca="1">IF(getQuality(B4636)&lt;4,getOtherMax(B4636,C4636,INDIRECT(J$2),INDIRECT(I4636),test),getMax(B4636,C4636,INDIRECT(J$2),INDIRECT(I4636),test))</f>
        <v>24.009875731714647</v>
      </c>
      <c r="F4636" s="1" t="str">
        <f t="shared" si="291"/>
        <v>50</v>
      </c>
      <c r="G4636" s="1" t="str">
        <f t="shared" si="292"/>
        <v/>
      </c>
      <c r="I4636" s="1" t="str">
        <f t="shared" si="290"/>
        <v>威尔新数值1.06.xlsm!suitPower</v>
      </c>
    </row>
    <row r="4637" spans="1:9" x14ac:dyDescent="0.15">
      <c r="A4637" s="1">
        <v>4636</v>
      </c>
      <c r="B4637" s="1">
        <v>103011200</v>
      </c>
      <c r="C4637" s="1">
        <f t="shared" si="289"/>
        <v>14</v>
      </c>
      <c r="D4637" s="5">
        <f ca="1">IF(getQuality(B4637)&lt;4,getOtherMin(B4637,C4637,INDIRECT(J$2),INDIRECT(I4637),test),getMin(B4637,C4637,INDIRECT(J$2),INDIRECT(I4637),test))</f>
        <v>1</v>
      </c>
      <c r="E4637" s="5">
        <f ca="1">IF(getQuality(B4637)&lt;4,getOtherMax(B4637,C4637,INDIRECT(J$2),INDIRECT(I4637),test),getMax(B4637,C4637,INDIRECT(J$2),INDIRECT(I4637),test))</f>
        <v>24.009875731714647</v>
      </c>
      <c r="F4637" s="1" t="str">
        <f t="shared" si="291"/>
        <v>50</v>
      </c>
      <c r="G4637" s="1" t="str">
        <f t="shared" si="292"/>
        <v/>
      </c>
      <c r="I4637" s="1" t="str">
        <f t="shared" si="290"/>
        <v>威尔新数值1.06.xlsm!suitPower</v>
      </c>
    </row>
    <row r="4638" spans="1:9" x14ac:dyDescent="0.15">
      <c r="A4638" s="1">
        <v>4637</v>
      </c>
      <c r="B4638" s="1">
        <v>103011200</v>
      </c>
      <c r="C4638" s="1">
        <f t="shared" si="289"/>
        <v>15</v>
      </c>
      <c r="D4638" s="5">
        <f ca="1">IF(getQuality(B4638)&lt;4,getOtherMin(B4638,C4638,INDIRECT(J$2),INDIRECT(I4638),test),getMin(B4638,C4638,INDIRECT(J$2),INDIRECT(I4638),test))</f>
        <v>1</v>
      </c>
      <c r="E4638" s="5">
        <f ca="1">IF(getQuality(B4638)&lt;4,getOtherMax(B4638,C4638,INDIRECT(J$2),INDIRECT(I4638),test),getMax(B4638,C4638,INDIRECT(J$2),INDIRECT(I4638),test))</f>
        <v>24.009875731714647</v>
      </c>
      <c r="F4638" s="1" t="str">
        <f t="shared" si="291"/>
        <v>50</v>
      </c>
      <c r="G4638" s="1" t="str">
        <f t="shared" si="292"/>
        <v/>
      </c>
      <c r="I4638" s="1" t="str">
        <f t="shared" si="290"/>
        <v>威尔新数值1.06.xlsm!suitPower</v>
      </c>
    </row>
    <row r="4639" spans="1:9" x14ac:dyDescent="0.15">
      <c r="A4639" s="1">
        <v>4638</v>
      </c>
      <c r="B4639" s="1">
        <v>103011200</v>
      </c>
      <c r="C4639" s="1">
        <f t="shared" si="289"/>
        <v>101</v>
      </c>
      <c r="D4639" s="5">
        <f ca="1">IF(getQuality(B4639)&lt;4,getOtherMin(B4639,C4639,INDIRECT(J$2),INDIRECT(I4639),test),getMin(B4639,C4639,INDIRECT(J$2),INDIRECT(I4639),test))</f>
        <v>7.0000000000000007E-2</v>
      </c>
      <c r="E4639" s="5">
        <f ca="1">IF(getQuality(B4639)&lt;4,getOtherMax(B4639,C4639,INDIRECT(J$2),INDIRECT(I4639),test),getMax(B4639,C4639,INDIRECT(J$2),INDIRECT(I4639),test))</f>
        <v>0.1</v>
      </c>
      <c r="F4639" s="1" t="str">
        <f t="shared" si="291"/>
        <v>50</v>
      </c>
      <c r="G4639" s="1" t="str">
        <f t="shared" si="292"/>
        <v/>
      </c>
      <c r="I4639" s="1" t="str">
        <f t="shared" si="290"/>
        <v>威尔新数值1.06.xlsm!circlePer</v>
      </c>
    </row>
    <row r="4640" spans="1:9" x14ac:dyDescent="0.15">
      <c r="A4640" s="1">
        <v>4639</v>
      </c>
      <c r="B4640" s="1">
        <v>103011200</v>
      </c>
      <c r="C4640" s="1">
        <f t="shared" si="289"/>
        <v>102</v>
      </c>
      <c r="D4640" s="5">
        <f ca="1">IF(getQuality(B4640)&lt;4,getOtherMin(B4640,C4640,INDIRECT(J$2),INDIRECT(I4640),test),getMin(B4640,C4640,INDIRECT(J$2),INDIRECT(I4640),test))</f>
        <v>0.6</v>
      </c>
      <c r="E4640" s="5">
        <f ca="1">IF(getQuality(B4640)&lt;4,getOtherMax(B4640,C4640,INDIRECT(J$2),INDIRECT(I4640),test),getMax(B4640,C4640,INDIRECT(J$2),INDIRECT(I4640),test))</f>
        <v>0.9</v>
      </c>
      <c r="F4640" s="1" t="str">
        <f t="shared" si="291"/>
        <v>50</v>
      </c>
      <c r="G4640" s="1" t="str">
        <f t="shared" si="292"/>
        <v/>
      </c>
      <c r="I4640" s="1" t="str">
        <f t="shared" si="290"/>
        <v>威尔新数值1.06.xlsm!circleValue</v>
      </c>
    </row>
    <row r="4641" spans="1:9" x14ac:dyDescent="0.15">
      <c r="A4641" s="1">
        <v>4640</v>
      </c>
      <c r="B4641" s="1">
        <v>103011200</v>
      </c>
      <c r="C4641" s="1">
        <f t="shared" si="289"/>
        <v>103</v>
      </c>
      <c r="D4641" s="5">
        <f ca="1">IF(getQuality(B4641)&lt;4,getOtherMin(B4641,C4641,INDIRECT(J$2),INDIRECT(I4641),test),getMin(B4641,C4641,INDIRECT(J$2),INDIRECT(I4641),test))</f>
        <v>7.0000000000000007E-2</v>
      </c>
      <c r="E4641" s="5">
        <f ca="1">IF(getQuality(B4641)&lt;4,getOtherMax(B4641,C4641,INDIRECT(J$2),INDIRECT(I4641),test),getMax(B4641,C4641,INDIRECT(J$2),INDIRECT(I4641),test))</f>
        <v>0.1</v>
      </c>
      <c r="F4641" s="1" t="str">
        <f t="shared" si="291"/>
        <v>50</v>
      </c>
      <c r="G4641" s="1" t="str">
        <f t="shared" si="292"/>
        <v/>
      </c>
      <c r="I4641" s="1" t="str">
        <f t="shared" si="290"/>
        <v>威尔新数值1.06.xlsm!otherDamage</v>
      </c>
    </row>
    <row r="4642" spans="1:9" x14ac:dyDescent="0.15">
      <c r="A4642" s="1">
        <v>4641</v>
      </c>
      <c r="B4642" s="1">
        <v>103011200</v>
      </c>
      <c r="C4642" s="1">
        <f t="shared" si="289"/>
        <v>104</v>
      </c>
      <c r="D4642" s="5">
        <f ca="1">IF(getQuality(B4642)&lt;4,getOtherMin(B4642,C4642,INDIRECT(J$2),INDIRECT(I4642),test),getMin(B4642,C4642,INDIRECT(J$2),INDIRECT(I4642),test))</f>
        <v>7.0000000000000007E-2</v>
      </c>
      <c r="E4642" s="5">
        <f ca="1">IF(getQuality(B4642)&lt;4,getOtherMax(B4642,C4642,INDIRECT(J$2),INDIRECT(I4642),test),getMax(B4642,C4642,INDIRECT(J$2),INDIRECT(I4642),test))</f>
        <v>0.14000000000000001</v>
      </c>
      <c r="F4642" s="1" t="str">
        <f t="shared" si="291"/>
        <v>50</v>
      </c>
      <c r="G4642" s="1" t="str">
        <f t="shared" si="292"/>
        <v/>
      </c>
      <c r="I4642" s="1" t="str">
        <f t="shared" si="290"/>
        <v>威尔新数值1.06.xlsm!monsterDamage</v>
      </c>
    </row>
    <row r="4643" spans="1:9" x14ac:dyDescent="0.15">
      <c r="A4643" s="1">
        <v>4642</v>
      </c>
      <c r="B4643" s="1">
        <v>103011200</v>
      </c>
      <c r="C4643" s="1">
        <f t="shared" si="289"/>
        <v>105</v>
      </c>
      <c r="D4643" s="5">
        <f ca="1">IF(getQuality(B4643)&lt;4,getOtherMin(B4643,C4643,INDIRECT(J$2),INDIRECT(I4643),test),getMin(B4643,C4643,INDIRECT(J$2),INDIRECT(I4643),test))</f>
        <v>7.0000000000000007E-2</v>
      </c>
      <c r="E4643" s="5">
        <f ca="1">IF(getQuality(B4643)&lt;4,getOtherMax(B4643,C4643,INDIRECT(J$2),INDIRECT(I4643),test),getMax(B4643,C4643,INDIRECT(J$2),INDIRECT(I4643),test))</f>
        <v>0.14000000000000001</v>
      </c>
      <c r="F4643" s="1" t="str">
        <f t="shared" si="291"/>
        <v>50</v>
      </c>
      <c r="G4643" s="1" t="str">
        <f t="shared" si="292"/>
        <v/>
      </c>
      <c r="I4643" s="1" t="str">
        <f t="shared" si="290"/>
        <v>威尔新数值1.06.xlsm!monsterDamage</v>
      </c>
    </row>
    <row r="4644" spans="1:9" x14ac:dyDescent="0.15">
      <c r="A4644" s="1">
        <v>4643</v>
      </c>
      <c r="B4644" s="1">
        <v>103011200</v>
      </c>
      <c r="C4644" s="1">
        <f t="shared" si="289"/>
        <v>106</v>
      </c>
      <c r="D4644" s="5">
        <f ca="1">IF(getQuality(B4644)&lt;4,getOtherMin(B4644,C4644,INDIRECT(J$2),INDIRECT(I4644),test),getMin(B4644,C4644,INDIRECT(J$2),INDIRECT(I4644),test))</f>
        <v>7.0000000000000007E-2</v>
      </c>
      <c r="E4644" s="5">
        <f ca="1">IF(getQuality(B4644)&lt;4,getOtherMax(B4644,C4644,INDIRECT(J$2),INDIRECT(I4644),test),getMax(B4644,C4644,INDIRECT(J$2),INDIRECT(I4644),test))</f>
        <v>0.14000000000000001</v>
      </c>
      <c r="F4644" s="1" t="str">
        <f t="shared" si="291"/>
        <v>50</v>
      </c>
      <c r="G4644" s="1" t="str">
        <f t="shared" si="292"/>
        <v/>
      </c>
      <c r="I4644" s="1" t="str">
        <f t="shared" si="290"/>
        <v>威尔新数值1.06.xlsm!monsterDamage</v>
      </c>
    </row>
    <row r="4645" spans="1:9" x14ac:dyDescent="0.15">
      <c r="A4645" s="1">
        <v>4644</v>
      </c>
      <c r="B4645" s="1">
        <v>103011200</v>
      </c>
      <c r="C4645" s="1">
        <f t="shared" si="289"/>
        <v>107</v>
      </c>
      <c r="D4645" s="5">
        <f ca="1">IF(getQuality(B4645)&lt;4,getOtherMin(B4645,C4645,INDIRECT(J$2),INDIRECT(I4645),test),getMin(B4645,C4645,INDIRECT(J$2),INDIRECT(I4645),test))</f>
        <v>7.0000000000000007E-2</v>
      </c>
      <c r="E4645" s="5">
        <f ca="1">IF(getQuality(B4645)&lt;4,getOtherMax(B4645,C4645,INDIRECT(J$2),INDIRECT(I4645),test),getMax(B4645,C4645,INDIRECT(J$2),INDIRECT(I4645),test))</f>
        <v>0.14000000000000001</v>
      </c>
      <c r="F4645" s="1" t="str">
        <f t="shared" si="291"/>
        <v>50</v>
      </c>
      <c r="G4645" s="1" t="str">
        <f t="shared" si="292"/>
        <v/>
      </c>
      <c r="I4645" s="1" t="str">
        <f t="shared" si="290"/>
        <v>威尔新数值1.06.xlsm!monsterDamage</v>
      </c>
    </row>
    <row r="4646" spans="1:9" x14ac:dyDescent="0.15">
      <c r="A4646" s="1">
        <v>4645</v>
      </c>
      <c r="B4646" s="1">
        <v>103011200</v>
      </c>
      <c r="C4646" s="1">
        <f t="shared" si="289"/>
        <v>108</v>
      </c>
      <c r="D4646" s="5">
        <f ca="1">IF(getQuality(B4646)&lt;4,getOtherMin(B4646,C4646,INDIRECT(J$2),INDIRECT(I4646),test),getMin(B4646,C4646,INDIRECT(J$2),INDIRECT(I4646),test))</f>
        <v>7.0000000000000007E-2</v>
      </c>
      <c r="E4646" s="5">
        <f ca="1">IF(getQuality(B4646)&lt;4,getOtherMax(B4646,C4646,INDIRECT(J$2),INDIRECT(I4646),test),getMax(B4646,C4646,INDIRECT(J$2),INDIRECT(I4646),test))</f>
        <v>0.14000000000000001</v>
      </c>
      <c r="F4646" s="1" t="str">
        <f t="shared" si="291"/>
        <v>50</v>
      </c>
      <c r="G4646" s="1" t="str">
        <f t="shared" si="292"/>
        <v/>
      </c>
      <c r="I4646" s="1" t="str">
        <f t="shared" si="290"/>
        <v>威尔新数值1.06.xlsm!monsterDamage</v>
      </c>
    </row>
    <row r="4647" spans="1:9" x14ac:dyDescent="0.15">
      <c r="A4647" s="1">
        <v>4646</v>
      </c>
      <c r="B4647" s="1">
        <v>103021200</v>
      </c>
      <c r="C4647" s="1">
        <f t="shared" si="289"/>
        <v>3</v>
      </c>
      <c r="D4647" s="5">
        <f ca="1">IF(getQuality(B4647)&lt;4,getOtherMin(B4647,C4647,INDIRECT(J$2),INDIRECT(I4647),test),getMin(B4647,C4647,INDIRECT(J$2),INDIRECT(I4647),test))</f>
        <v>25.009875731714647</v>
      </c>
      <c r="E4647" s="5">
        <f ca="1">IF(getQuality(B4647)&lt;4,getOtherMax(B4647,C4647,INDIRECT(J$2),INDIRECT(I4647),test),getMax(B4647,C4647,INDIRECT(J$2),INDIRECT(I4647),test))</f>
        <v>52.82172660977222</v>
      </c>
      <c r="F4647" s="1" t="str">
        <f t="shared" si="291"/>
        <v>50</v>
      </c>
      <c r="G4647" s="1" t="str">
        <f t="shared" si="292"/>
        <v>1</v>
      </c>
      <c r="I4647" s="1" t="str">
        <f t="shared" si="290"/>
        <v>威尔新数值1.06.xlsm!suitPower</v>
      </c>
    </row>
    <row r="4648" spans="1:9" x14ac:dyDescent="0.15">
      <c r="A4648" s="1">
        <v>4647</v>
      </c>
      <c r="B4648" s="1">
        <v>103021200</v>
      </c>
      <c r="C4648" s="1">
        <f t="shared" si="289"/>
        <v>5</v>
      </c>
      <c r="D4648" s="5">
        <f ca="1">IF(getQuality(B4648)&lt;4,getOtherMin(B4648,C4648,INDIRECT(J$2),INDIRECT(I4648),test),getMin(B4648,C4648,INDIRECT(J$2),INDIRECT(I4648),test))</f>
        <v>25.009875731714647</v>
      </c>
      <c r="E4648" s="5">
        <f ca="1">IF(getQuality(B4648)&lt;4,getOtherMax(B4648,C4648,INDIRECT(J$2),INDIRECT(I4648),test),getMax(B4648,C4648,INDIRECT(J$2),INDIRECT(I4648),test))</f>
        <v>52.82172660977222</v>
      </c>
      <c r="F4648" s="1" t="str">
        <f t="shared" si="291"/>
        <v>50</v>
      </c>
      <c r="G4648" s="1" t="str">
        <f t="shared" si="292"/>
        <v/>
      </c>
      <c r="I4648" s="1" t="str">
        <f t="shared" si="290"/>
        <v>威尔新数值1.06.xlsm!suitPower</v>
      </c>
    </row>
    <row r="4649" spans="1:9" x14ac:dyDescent="0.15">
      <c r="A4649" s="1">
        <v>4648</v>
      </c>
      <c r="B4649" s="1">
        <v>103021200</v>
      </c>
      <c r="C4649" s="1">
        <f t="shared" si="289"/>
        <v>7</v>
      </c>
      <c r="D4649" s="5">
        <f ca="1">IF(getQuality(B4649)&lt;4,getOtherMin(B4649,C4649,INDIRECT(J$2),INDIRECT(I4649),test),getMin(B4649,C4649,INDIRECT(J$2),INDIRECT(I4649),test))</f>
        <v>8.4074074074073888</v>
      </c>
      <c r="E4649" s="5">
        <f ca="1">IF(getQuality(B4649)&lt;4,getOtherMax(B4649,C4649,INDIRECT(J$2),INDIRECT(I4649),test),getMax(B4649,C4649,INDIRECT(J$2),INDIRECT(I4649),test))</f>
        <v>14.814814814814778</v>
      </c>
      <c r="F4649" s="1" t="str">
        <f t="shared" si="291"/>
        <v>50</v>
      </c>
      <c r="G4649" s="1" t="str">
        <f t="shared" si="292"/>
        <v/>
      </c>
      <c r="I4649" s="1" t="str">
        <f t="shared" si="290"/>
        <v>威尔新数值1.06.xlsm!suitPower</v>
      </c>
    </row>
    <row r="4650" spans="1:9" x14ac:dyDescent="0.15">
      <c r="A4650" s="1">
        <v>4649</v>
      </c>
      <c r="B4650" s="1">
        <v>103021200</v>
      </c>
      <c r="C4650" s="1">
        <f t="shared" si="289"/>
        <v>8</v>
      </c>
      <c r="D4650" s="5">
        <f ca="1">IF(getQuality(B4650)&lt;4,getOtherMin(B4650,C4650,INDIRECT(J$2),INDIRECT(I4650),test),getMin(B4650,C4650,INDIRECT(J$2),INDIRECT(I4650),test))</f>
        <v>17.666666666666668</v>
      </c>
      <c r="E4650" s="5">
        <f ca="1">IF(getQuality(B4650)&lt;4,getOtherMax(B4650,C4650,INDIRECT(J$2),INDIRECT(I4650),test),getMax(B4650,C4650,INDIRECT(J$2),INDIRECT(I4650),test))</f>
        <v>33.333333333333336</v>
      </c>
      <c r="F4650" s="1" t="str">
        <f t="shared" si="291"/>
        <v>50</v>
      </c>
      <c r="G4650" s="1" t="str">
        <f t="shared" si="292"/>
        <v/>
      </c>
      <c r="I4650" s="1" t="str">
        <f t="shared" si="290"/>
        <v>威尔新数值1.06.xlsm!suitPower</v>
      </c>
    </row>
    <row r="4651" spans="1:9" x14ac:dyDescent="0.15">
      <c r="A4651" s="1">
        <v>4650</v>
      </c>
      <c r="B4651" s="1">
        <v>103021200</v>
      </c>
      <c r="C4651" s="1">
        <f t="shared" si="289"/>
        <v>9</v>
      </c>
      <c r="D4651" s="5">
        <f ca="1">IF(getQuality(B4651)&lt;4,getOtherMin(B4651,C4651,INDIRECT(J$2),INDIRECT(I4651),test),getMin(B4651,C4651,INDIRECT(J$2),INDIRECT(I4651),test))</f>
        <v>25.009875731714647</v>
      </c>
      <c r="E4651" s="5">
        <f ca="1">IF(getQuality(B4651)&lt;4,getOtherMax(B4651,C4651,INDIRECT(J$2),INDIRECT(I4651),test),getMax(B4651,C4651,INDIRECT(J$2),INDIRECT(I4651),test))</f>
        <v>52.82172660977222</v>
      </c>
      <c r="F4651" s="1" t="str">
        <f t="shared" si="291"/>
        <v>50</v>
      </c>
      <c r="G4651" s="1" t="str">
        <f t="shared" si="292"/>
        <v/>
      </c>
      <c r="I4651" s="1" t="str">
        <f t="shared" si="290"/>
        <v>威尔新数值1.06.xlsm!suitPower</v>
      </c>
    </row>
    <row r="4652" spans="1:9" x14ac:dyDescent="0.15">
      <c r="A4652" s="1">
        <v>4651</v>
      </c>
      <c r="B4652" s="1">
        <v>103021200</v>
      </c>
      <c r="C4652" s="1">
        <f t="shared" si="289"/>
        <v>10</v>
      </c>
      <c r="D4652" s="5">
        <f ca="1">IF(getQuality(B4652)&lt;4,getOtherMin(B4652,C4652,INDIRECT(J$2),INDIRECT(I4652),test),getMin(B4652,C4652,INDIRECT(J$2),INDIRECT(I4652),test))</f>
        <v>25.009875731714647</v>
      </c>
      <c r="E4652" s="5">
        <f ca="1">IF(getQuality(B4652)&lt;4,getOtherMax(B4652,C4652,INDIRECT(J$2),INDIRECT(I4652),test),getMax(B4652,C4652,INDIRECT(J$2),INDIRECT(I4652),test))</f>
        <v>52.82172660977222</v>
      </c>
      <c r="F4652" s="1" t="str">
        <f t="shared" si="291"/>
        <v>50</v>
      </c>
      <c r="G4652" s="1" t="str">
        <f t="shared" si="292"/>
        <v/>
      </c>
      <c r="I4652" s="1" t="str">
        <f t="shared" si="290"/>
        <v>威尔新数值1.06.xlsm!suitPower</v>
      </c>
    </row>
    <row r="4653" spans="1:9" x14ac:dyDescent="0.15">
      <c r="A4653" s="1">
        <v>4652</v>
      </c>
      <c r="B4653" s="1">
        <v>103021200</v>
      </c>
      <c r="C4653" s="1">
        <f t="shared" si="289"/>
        <v>11</v>
      </c>
      <c r="D4653" s="5">
        <f ca="1">IF(getQuality(B4653)&lt;4,getOtherMin(B4653,C4653,INDIRECT(J$2),INDIRECT(I4653),test),getMin(B4653,C4653,INDIRECT(J$2),INDIRECT(I4653),test))</f>
        <v>25.009875731714647</v>
      </c>
      <c r="E4653" s="5">
        <f ca="1">IF(getQuality(B4653)&lt;4,getOtherMax(B4653,C4653,INDIRECT(J$2),INDIRECT(I4653),test),getMax(B4653,C4653,INDIRECT(J$2),INDIRECT(I4653),test))</f>
        <v>52.82172660977222</v>
      </c>
      <c r="F4653" s="1" t="str">
        <f t="shared" si="291"/>
        <v>50</v>
      </c>
      <c r="G4653" s="1" t="str">
        <f t="shared" si="292"/>
        <v/>
      </c>
      <c r="I4653" s="1" t="str">
        <f t="shared" si="290"/>
        <v>威尔新数值1.06.xlsm!suitPower</v>
      </c>
    </row>
    <row r="4654" spans="1:9" x14ac:dyDescent="0.15">
      <c r="A4654" s="1">
        <v>4653</v>
      </c>
      <c r="B4654" s="1">
        <v>103021200</v>
      </c>
      <c r="C4654" s="1">
        <f t="shared" si="289"/>
        <v>12</v>
      </c>
      <c r="D4654" s="5">
        <f ca="1">IF(getQuality(B4654)&lt;4,getOtherMin(B4654,C4654,INDIRECT(J$2),INDIRECT(I4654),test),getMin(B4654,C4654,INDIRECT(J$2),INDIRECT(I4654),test))</f>
        <v>25.009875731714647</v>
      </c>
      <c r="E4654" s="5">
        <f ca="1">IF(getQuality(B4654)&lt;4,getOtherMax(B4654,C4654,INDIRECT(J$2),INDIRECT(I4654),test),getMax(B4654,C4654,INDIRECT(J$2),INDIRECT(I4654),test))</f>
        <v>52.82172660977222</v>
      </c>
      <c r="F4654" s="1" t="str">
        <f t="shared" si="291"/>
        <v>50</v>
      </c>
      <c r="G4654" s="1" t="str">
        <f t="shared" si="292"/>
        <v/>
      </c>
      <c r="I4654" s="1" t="str">
        <f t="shared" si="290"/>
        <v>威尔新数值1.06.xlsm!suitPower</v>
      </c>
    </row>
    <row r="4655" spans="1:9" x14ac:dyDescent="0.15">
      <c r="A4655" s="1">
        <v>4654</v>
      </c>
      <c r="B4655" s="1">
        <v>103021200</v>
      </c>
      <c r="C4655" s="1">
        <f t="shared" si="289"/>
        <v>13</v>
      </c>
      <c r="D4655" s="5">
        <f ca="1">IF(getQuality(B4655)&lt;4,getOtherMin(B4655,C4655,INDIRECT(J$2),INDIRECT(I4655),test),getMin(B4655,C4655,INDIRECT(J$2),INDIRECT(I4655),test))</f>
        <v>25.009875731714647</v>
      </c>
      <c r="E4655" s="5">
        <f ca="1">IF(getQuality(B4655)&lt;4,getOtherMax(B4655,C4655,INDIRECT(J$2),INDIRECT(I4655),test),getMax(B4655,C4655,INDIRECT(J$2),INDIRECT(I4655),test))</f>
        <v>52.82172660977222</v>
      </c>
      <c r="F4655" s="1" t="str">
        <f t="shared" si="291"/>
        <v>50</v>
      </c>
      <c r="G4655" s="1" t="str">
        <f t="shared" si="292"/>
        <v/>
      </c>
      <c r="I4655" s="1" t="str">
        <f t="shared" si="290"/>
        <v>威尔新数值1.06.xlsm!suitPower</v>
      </c>
    </row>
    <row r="4656" spans="1:9" x14ac:dyDescent="0.15">
      <c r="A4656" s="1">
        <v>4655</v>
      </c>
      <c r="B4656" s="1">
        <v>103021200</v>
      </c>
      <c r="C4656" s="1">
        <f t="shared" si="289"/>
        <v>14</v>
      </c>
      <c r="D4656" s="5">
        <f ca="1">IF(getQuality(B4656)&lt;4,getOtherMin(B4656,C4656,INDIRECT(J$2),INDIRECT(I4656),test),getMin(B4656,C4656,INDIRECT(J$2),INDIRECT(I4656),test))</f>
        <v>25.009875731714647</v>
      </c>
      <c r="E4656" s="5">
        <f ca="1">IF(getQuality(B4656)&lt;4,getOtherMax(B4656,C4656,INDIRECT(J$2),INDIRECT(I4656),test),getMax(B4656,C4656,INDIRECT(J$2),INDIRECT(I4656),test))</f>
        <v>52.82172660977222</v>
      </c>
      <c r="F4656" s="1" t="str">
        <f t="shared" si="291"/>
        <v>50</v>
      </c>
      <c r="G4656" s="1" t="str">
        <f t="shared" si="292"/>
        <v/>
      </c>
      <c r="I4656" s="1" t="str">
        <f t="shared" si="290"/>
        <v>威尔新数值1.06.xlsm!suitPower</v>
      </c>
    </row>
    <row r="4657" spans="1:9" x14ac:dyDescent="0.15">
      <c r="A4657" s="1">
        <v>4656</v>
      </c>
      <c r="B4657" s="1">
        <v>103021200</v>
      </c>
      <c r="C4657" s="1">
        <f t="shared" si="289"/>
        <v>15</v>
      </c>
      <c r="D4657" s="5">
        <f ca="1">IF(getQuality(B4657)&lt;4,getOtherMin(B4657,C4657,INDIRECT(J$2),INDIRECT(I4657),test),getMin(B4657,C4657,INDIRECT(J$2),INDIRECT(I4657),test))</f>
        <v>25.009875731714647</v>
      </c>
      <c r="E4657" s="5">
        <f ca="1">IF(getQuality(B4657)&lt;4,getOtherMax(B4657,C4657,INDIRECT(J$2),INDIRECT(I4657),test),getMax(B4657,C4657,INDIRECT(J$2),INDIRECT(I4657),test))</f>
        <v>52.82172660977222</v>
      </c>
      <c r="F4657" s="1" t="str">
        <f t="shared" si="291"/>
        <v>50</v>
      </c>
      <c r="G4657" s="1" t="str">
        <f t="shared" si="292"/>
        <v/>
      </c>
      <c r="I4657" s="1" t="str">
        <f t="shared" si="290"/>
        <v>威尔新数值1.06.xlsm!suitPower</v>
      </c>
    </row>
    <row r="4658" spans="1:9" x14ac:dyDescent="0.15">
      <c r="A4658" s="1">
        <v>4657</v>
      </c>
      <c r="B4658" s="1">
        <v>103021200</v>
      </c>
      <c r="C4658" s="1">
        <f t="shared" si="289"/>
        <v>101</v>
      </c>
      <c r="D4658" s="5">
        <f ca="1">IF(getQuality(B4658)&lt;4,getOtherMin(B4658,C4658,INDIRECT(J$2),INDIRECT(I4658),test),getMin(B4658,C4658,INDIRECT(J$2),INDIRECT(I4658),test))</f>
        <v>0.08</v>
      </c>
      <c r="E4658" s="5">
        <f ca="1">IF(getQuality(B4658)&lt;4,getOtherMax(B4658,C4658,INDIRECT(J$2),INDIRECT(I4658),test),getMax(B4658,C4658,INDIRECT(J$2),INDIRECT(I4658),test))</f>
        <v>0.11</v>
      </c>
      <c r="F4658" s="1" t="str">
        <f t="shared" si="291"/>
        <v>50</v>
      </c>
      <c r="G4658" s="1" t="str">
        <f t="shared" si="292"/>
        <v/>
      </c>
      <c r="I4658" s="1" t="str">
        <f t="shared" si="290"/>
        <v>威尔新数值1.06.xlsm!circlePer</v>
      </c>
    </row>
    <row r="4659" spans="1:9" x14ac:dyDescent="0.15">
      <c r="A4659" s="1">
        <v>4658</v>
      </c>
      <c r="B4659" s="1">
        <v>103021200</v>
      </c>
      <c r="C4659" s="1">
        <f t="shared" si="289"/>
        <v>102</v>
      </c>
      <c r="D4659" s="5">
        <f ca="1">IF(getQuality(B4659)&lt;4,getOtherMin(B4659,C4659,INDIRECT(J$2),INDIRECT(I4659),test),getMin(B4659,C4659,INDIRECT(J$2),INDIRECT(I4659),test))</f>
        <v>0.7</v>
      </c>
      <c r="E4659" s="5">
        <f ca="1">IF(getQuality(B4659)&lt;4,getOtherMax(B4659,C4659,INDIRECT(J$2),INDIRECT(I4659),test),getMax(B4659,C4659,INDIRECT(J$2),INDIRECT(I4659),test))</f>
        <v>1</v>
      </c>
      <c r="F4659" s="1" t="str">
        <f t="shared" si="291"/>
        <v>50</v>
      </c>
      <c r="G4659" s="1" t="str">
        <f t="shared" si="292"/>
        <v/>
      </c>
      <c r="I4659" s="1" t="str">
        <f t="shared" si="290"/>
        <v>威尔新数值1.06.xlsm!circleValue</v>
      </c>
    </row>
    <row r="4660" spans="1:9" x14ac:dyDescent="0.15">
      <c r="A4660" s="1">
        <v>4659</v>
      </c>
      <c r="B4660" s="1">
        <v>103021200</v>
      </c>
      <c r="C4660" s="1">
        <f t="shared" si="289"/>
        <v>103</v>
      </c>
      <c r="D4660" s="5">
        <f ca="1">IF(getQuality(B4660)&lt;4,getOtherMin(B4660,C4660,INDIRECT(J$2),INDIRECT(I4660),test),getMin(B4660,C4660,INDIRECT(J$2),INDIRECT(I4660),test))</f>
        <v>0.08</v>
      </c>
      <c r="E4660" s="5">
        <f ca="1">IF(getQuality(B4660)&lt;4,getOtherMax(B4660,C4660,INDIRECT(J$2),INDIRECT(I4660),test),getMax(B4660,C4660,INDIRECT(J$2),INDIRECT(I4660),test))</f>
        <v>0.11</v>
      </c>
      <c r="F4660" s="1" t="str">
        <f t="shared" si="291"/>
        <v>50</v>
      </c>
      <c r="G4660" s="1" t="str">
        <f t="shared" si="292"/>
        <v/>
      </c>
      <c r="I4660" s="1" t="str">
        <f t="shared" si="290"/>
        <v>威尔新数值1.06.xlsm!otherDamage</v>
      </c>
    </row>
    <row r="4661" spans="1:9" x14ac:dyDescent="0.15">
      <c r="A4661" s="1">
        <v>4660</v>
      </c>
      <c r="B4661" s="1">
        <v>103021200</v>
      </c>
      <c r="C4661" s="1">
        <f t="shared" si="289"/>
        <v>104</v>
      </c>
      <c r="D4661" s="5">
        <f ca="1">IF(getQuality(B4661)&lt;4,getOtherMin(B4661,C4661,INDIRECT(J$2),INDIRECT(I4661),test),getMin(B4661,C4661,INDIRECT(J$2),INDIRECT(I4661),test))</f>
        <v>0.08</v>
      </c>
      <c r="E4661" s="5">
        <f ca="1">IF(getQuality(B4661)&lt;4,getOtherMax(B4661,C4661,INDIRECT(J$2),INDIRECT(I4661),test),getMax(B4661,C4661,INDIRECT(J$2),INDIRECT(I4661),test))</f>
        <v>0.16</v>
      </c>
      <c r="F4661" s="1" t="str">
        <f t="shared" si="291"/>
        <v>50</v>
      </c>
      <c r="G4661" s="1" t="str">
        <f t="shared" si="292"/>
        <v/>
      </c>
      <c r="I4661" s="1" t="str">
        <f t="shared" si="290"/>
        <v>威尔新数值1.06.xlsm!monsterDamage</v>
      </c>
    </row>
    <row r="4662" spans="1:9" x14ac:dyDescent="0.15">
      <c r="A4662" s="1">
        <v>4661</v>
      </c>
      <c r="B4662" s="1">
        <v>103021200</v>
      </c>
      <c r="C4662" s="1">
        <f t="shared" si="289"/>
        <v>105</v>
      </c>
      <c r="D4662" s="5">
        <f ca="1">IF(getQuality(B4662)&lt;4,getOtherMin(B4662,C4662,INDIRECT(J$2),INDIRECT(I4662),test),getMin(B4662,C4662,INDIRECT(J$2),INDIRECT(I4662),test))</f>
        <v>0.08</v>
      </c>
      <c r="E4662" s="5">
        <f ca="1">IF(getQuality(B4662)&lt;4,getOtherMax(B4662,C4662,INDIRECT(J$2),INDIRECT(I4662),test),getMax(B4662,C4662,INDIRECT(J$2),INDIRECT(I4662),test))</f>
        <v>0.16</v>
      </c>
      <c r="F4662" s="1" t="str">
        <f t="shared" si="291"/>
        <v>50</v>
      </c>
      <c r="G4662" s="1" t="str">
        <f t="shared" si="292"/>
        <v/>
      </c>
      <c r="I4662" s="1" t="str">
        <f t="shared" si="290"/>
        <v>威尔新数值1.06.xlsm!monsterDamage</v>
      </c>
    </row>
    <row r="4663" spans="1:9" x14ac:dyDescent="0.15">
      <c r="A4663" s="1">
        <v>4662</v>
      </c>
      <c r="B4663" s="1">
        <v>103021200</v>
      </c>
      <c r="C4663" s="1">
        <f t="shared" si="289"/>
        <v>106</v>
      </c>
      <c r="D4663" s="5">
        <f ca="1">IF(getQuality(B4663)&lt;4,getOtherMin(B4663,C4663,INDIRECT(J$2),INDIRECT(I4663),test),getMin(B4663,C4663,INDIRECT(J$2),INDIRECT(I4663),test))</f>
        <v>0.08</v>
      </c>
      <c r="E4663" s="5">
        <f ca="1">IF(getQuality(B4663)&lt;4,getOtherMax(B4663,C4663,INDIRECT(J$2),INDIRECT(I4663),test),getMax(B4663,C4663,INDIRECT(J$2),INDIRECT(I4663),test))</f>
        <v>0.16</v>
      </c>
      <c r="F4663" s="1" t="str">
        <f t="shared" si="291"/>
        <v>50</v>
      </c>
      <c r="G4663" s="1" t="str">
        <f t="shared" si="292"/>
        <v/>
      </c>
      <c r="I4663" s="1" t="str">
        <f t="shared" si="290"/>
        <v>威尔新数值1.06.xlsm!monsterDamage</v>
      </c>
    </row>
    <row r="4664" spans="1:9" x14ac:dyDescent="0.15">
      <c r="A4664" s="1">
        <v>4663</v>
      </c>
      <c r="B4664" s="1">
        <v>103021200</v>
      </c>
      <c r="C4664" s="1">
        <f t="shared" si="289"/>
        <v>107</v>
      </c>
      <c r="D4664" s="5">
        <f ca="1">IF(getQuality(B4664)&lt;4,getOtherMin(B4664,C4664,INDIRECT(J$2),INDIRECT(I4664),test),getMin(B4664,C4664,INDIRECT(J$2),INDIRECT(I4664),test))</f>
        <v>0.08</v>
      </c>
      <c r="E4664" s="5">
        <f ca="1">IF(getQuality(B4664)&lt;4,getOtherMax(B4664,C4664,INDIRECT(J$2),INDIRECT(I4664),test),getMax(B4664,C4664,INDIRECT(J$2),INDIRECT(I4664),test))</f>
        <v>0.16</v>
      </c>
      <c r="F4664" s="1" t="str">
        <f t="shared" si="291"/>
        <v>50</v>
      </c>
      <c r="G4664" s="1" t="str">
        <f t="shared" si="292"/>
        <v/>
      </c>
      <c r="I4664" s="1" t="str">
        <f t="shared" si="290"/>
        <v>威尔新数值1.06.xlsm!monsterDamage</v>
      </c>
    </row>
    <row r="4665" spans="1:9" x14ac:dyDescent="0.15">
      <c r="A4665" s="1">
        <v>4664</v>
      </c>
      <c r="B4665" s="1">
        <v>103021200</v>
      </c>
      <c r="C4665" s="1">
        <f t="shared" si="289"/>
        <v>108</v>
      </c>
      <c r="D4665" s="5">
        <f ca="1">IF(getQuality(B4665)&lt;4,getOtherMin(B4665,C4665,INDIRECT(J$2),INDIRECT(I4665),test),getMin(B4665,C4665,INDIRECT(J$2),INDIRECT(I4665),test))</f>
        <v>0.08</v>
      </c>
      <c r="E4665" s="5">
        <f ca="1">IF(getQuality(B4665)&lt;4,getOtherMax(B4665,C4665,INDIRECT(J$2),INDIRECT(I4665),test),getMax(B4665,C4665,INDIRECT(J$2),INDIRECT(I4665),test))</f>
        <v>0.16</v>
      </c>
      <c r="F4665" s="1" t="str">
        <f t="shared" si="291"/>
        <v>50</v>
      </c>
      <c r="G4665" s="1" t="str">
        <f t="shared" si="292"/>
        <v/>
      </c>
      <c r="I4665" s="1" t="str">
        <f t="shared" si="290"/>
        <v>威尔新数值1.06.xlsm!monsterDamage</v>
      </c>
    </row>
    <row r="4666" spans="1:9" x14ac:dyDescent="0.15">
      <c r="A4666" s="1">
        <v>4665</v>
      </c>
      <c r="B4666" s="1">
        <v>103031200</v>
      </c>
      <c r="C4666" s="1">
        <f t="shared" si="289"/>
        <v>3</v>
      </c>
      <c r="D4666" s="5">
        <f ca="1">IF(getQuality(B4666)&lt;4,getOtherMin(B4666,C4666,INDIRECT(J$2),INDIRECT(I4666),test),getMin(B4666,C4666,INDIRECT(J$2),INDIRECT(I4666),test))</f>
        <v>53.82172660977222</v>
      </c>
      <c r="E4666" s="5">
        <f ca="1">IF(getQuality(B4666)&lt;4,getOtherMax(B4666,C4666,INDIRECT(J$2),INDIRECT(I4666),test),getMax(B4666,C4666,INDIRECT(J$2),INDIRECT(I4666),test))</f>
        <v>86.435552634172723</v>
      </c>
      <c r="F4666" s="1" t="str">
        <f t="shared" si="291"/>
        <v>50</v>
      </c>
      <c r="G4666" s="1" t="str">
        <f t="shared" si="292"/>
        <v>1</v>
      </c>
      <c r="I4666" s="1" t="str">
        <f t="shared" si="290"/>
        <v>威尔新数值1.06.xlsm!suitPower</v>
      </c>
    </row>
    <row r="4667" spans="1:9" x14ac:dyDescent="0.15">
      <c r="A4667" s="1">
        <v>4666</v>
      </c>
      <c r="B4667" s="1">
        <v>103031200</v>
      </c>
      <c r="C4667" s="1">
        <f t="shared" si="289"/>
        <v>5</v>
      </c>
      <c r="D4667" s="5">
        <f ca="1">IF(getQuality(B4667)&lt;4,getOtherMin(B4667,C4667,INDIRECT(J$2),INDIRECT(I4667),test),getMin(B4667,C4667,INDIRECT(J$2),INDIRECT(I4667),test))</f>
        <v>53.82172660977222</v>
      </c>
      <c r="E4667" s="5">
        <f ca="1">IF(getQuality(B4667)&lt;4,getOtherMax(B4667,C4667,INDIRECT(J$2),INDIRECT(I4667),test),getMax(B4667,C4667,INDIRECT(J$2),INDIRECT(I4667),test))</f>
        <v>86.435552634172723</v>
      </c>
      <c r="F4667" s="1" t="str">
        <f t="shared" si="291"/>
        <v>50</v>
      </c>
      <c r="G4667" s="1" t="str">
        <f t="shared" si="292"/>
        <v/>
      </c>
      <c r="I4667" s="1" t="str">
        <f t="shared" si="290"/>
        <v>威尔新数值1.06.xlsm!suitPower</v>
      </c>
    </row>
    <row r="4668" spans="1:9" x14ac:dyDescent="0.15">
      <c r="A4668" s="1">
        <v>4667</v>
      </c>
      <c r="B4668" s="1">
        <v>103031200</v>
      </c>
      <c r="C4668" s="1">
        <f t="shared" ref="C4668:C4731" si="293">C2193</f>
        <v>7</v>
      </c>
      <c r="D4668" s="5">
        <f ca="1">IF(getQuality(B4668)&lt;4,getOtherMin(B4668,C4668,INDIRECT(J$2),INDIRECT(I4668),test),getMin(B4668,C4668,INDIRECT(J$2),INDIRECT(I4668),test))</f>
        <v>15.814814814814778</v>
      </c>
      <c r="E4668" s="5">
        <f ca="1">IF(getQuality(B4668)&lt;4,getOtherMax(B4668,C4668,INDIRECT(J$2),INDIRECT(I4668),test),getMax(B4668,C4668,INDIRECT(J$2),INDIRECT(I4668),test))</f>
        <v>22.222222222222165</v>
      </c>
      <c r="F4668" s="1" t="str">
        <f t="shared" si="291"/>
        <v>50</v>
      </c>
      <c r="G4668" s="1" t="str">
        <f t="shared" si="292"/>
        <v/>
      </c>
      <c r="I4668" s="1" t="str">
        <f t="shared" si="290"/>
        <v>威尔新数值1.06.xlsm!suitPower</v>
      </c>
    </row>
    <row r="4669" spans="1:9" x14ac:dyDescent="0.15">
      <c r="A4669" s="1">
        <v>4668</v>
      </c>
      <c r="B4669" s="1">
        <v>103031200</v>
      </c>
      <c r="C4669" s="1">
        <f t="shared" si="293"/>
        <v>8</v>
      </c>
      <c r="D4669" s="5">
        <f ca="1">IF(getQuality(B4669)&lt;4,getOtherMin(B4669,C4669,INDIRECT(J$2),INDIRECT(I4669),test),getMin(B4669,C4669,INDIRECT(J$2),INDIRECT(I4669),test))</f>
        <v>34.333333333333336</v>
      </c>
      <c r="E4669" s="5">
        <f ca="1">IF(getQuality(B4669)&lt;4,getOtherMax(B4669,C4669,INDIRECT(J$2),INDIRECT(I4669),test),getMax(B4669,C4669,INDIRECT(J$2),INDIRECT(I4669),test))</f>
        <v>50</v>
      </c>
      <c r="F4669" s="1" t="str">
        <f t="shared" si="291"/>
        <v>50</v>
      </c>
      <c r="G4669" s="1" t="str">
        <f t="shared" si="292"/>
        <v/>
      </c>
      <c r="I4669" s="1" t="str">
        <f t="shared" si="290"/>
        <v>威尔新数值1.06.xlsm!suitPower</v>
      </c>
    </row>
    <row r="4670" spans="1:9" x14ac:dyDescent="0.15">
      <c r="A4670" s="1">
        <v>4669</v>
      </c>
      <c r="B4670" s="1">
        <v>103031200</v>
      </c>
      <c r="C4670" s="1">
        <f t="shared" si="293"/>
        <v>9</v>
      </c>
      <c r="D4670" s="5">
        <f ca="1">IF(getQuality(B4670)&lt;4,getOtherMin(B4670,C4670,INDIRECT(J$2),INDIRECT(I4670),test),getMin(B4670,C4670,INDIRECT(J$2),INDIRECT(I4670),test))</f>
        <v>53.82172660977222</v>
      </c>
      <c r="E4670" s="5">
        <f ca="1">IF(getQuality(B4670)&lt;4,getOtherMax(B4670,C4670,INDIRECT(J$2),INDIRECT(I4670),test),getMax(B4670,C4670,INDIRECT(J$2),INDIRECT(I4670),test))</f>
        <v>86.435552634172723</v>
      </c>
      <c r="F4670" s="1" t="str">
        <f t="shared" si="291"/>
        <v>50</v>
      </c>
      <c r="G4670" s="1" t="str">
        <f t="shared" si="292"/>
        <v/>
      </c>
      <c r="I4670" s="1" t="str">
        <f t="shared" si="290"/>
        <v>威尔新数值1.06.xlsm!suitPower</v>
      </c>
    </row>
    <row r="4671" spans="1:9" x14ac:dyDescent="0.15">
      <c r="A4671" s="1">
        <v>4670</v>
      </c>
      <c r="B4671" s="1">
        <v>103031200</v>
      </c>
      <c r="C4671" s="1">
        <f t="shared" si="293"/>
        <v>10</v>
      </c>
      <c r="D4671" s="5">
        <f ca="1">IF(getQuality(B4671)&lt;4,getOtherMin(B4671,C4671,INDIRECT(J$2),INDIRECT(I4671),test),getMin(B4671,C4671,INDIRECT(J$2),INDIRECT(I4671),test))</f>
        <v>53.82172660977222</v>
      </c>
      <c r="E4671" s="5">
        <f ca="1">IF(getQuality(B4671)&lt;4,getOtherMax(B4671,C4671,INDIRECT(J$2),INDIRECT(I4671),test),getMax(B4671,C4671,INDIRECT(J$2),INDIRECT(I4671),test))</f>
        <v>86.435552634172723</v>
      </c>
      <c r="F4671" s="1" t="str">
        <f t="shared" si="291"/>
        <v>50</v>
      </c>
      <c r="G4671" s="1" t="str">
        <f t="shared" si="292"/>
        <v/>
      </c>
      <c r="I4671" s="1" t="str">
        <f t="shared" si="290"/>
        <v>威尔新数值1.06.xlsm!suitPower</v>
      </c>
    </row>
    <row r="4672" spans="1:9" x14ac:dyDescent="0.15">
      <c r="A4672" s="1">
        <v>4671</v>
      </c>
      <c r="B4672" s="1">
        <v>103031200</v>
      </c>
      <c r="C4672" s="1">
        <f t="shared" si="293"/>
        <v>11</v>
      </c>
      <c r="D4672" s="5">
        <f ca="1">IF(getQuality(B4672)&lt;4,getOtherMin(B4672,C4672,INDIRECT(J$2),INDIRECT(I4672),test),getMin(B4672,C4672,INDIRECT(J$2),INDIRECT(I4672),test))</f>
        <v>53.82172660977222</v>
      </c>
      <c r="E4672" s="5">
        <f ca="1">IF(getQuality(B4672)&lt;4,getOtherMax(B4672,C4672,INDIRECT(J$2),INDIRECT(I4672),test),getMax(B4672,C4672,INDIRECT(J$2),INDIRECT(I4672),test))</f>
        <v>86.435552634172723</v>
      </c>
      <c r="F4672" s="1" t="str">
        <f t="shared" si="291"/>
        <v>50</v>
      </c>
      <c r="G4672" s="1" t="str">
        <f t="shared" si="292"/>
        <v/>
      </c>
      <c r="I4672" s="1" t="str">
        <f t="shared" si="290"/>
        <v>威尔新数值1.06.xlsm!suitPower</v>
      </c>
    </row>
    <row r="4673" spans="1:9" x14ac:dyDescent="0.15">
      <c r="A4673" s="1">
        <v>4672</v>
      </c>
      <c r="B4673" s="1">
        <v>103031200</v>
      </c>
      <c r="C4673" s="1">
        <f t="shared" si="293"/>
        <v>12</v>
      </c>
      <c r="D4673" s="5">
        <f ca="1">IF(getQuality(B4673)&lt;4,getOtherMin(B4673,C4673,INDIRECT(J$2),INDIRECT(I4673),test),getMin(B4673,C4673,INDIRECT(J$2),INDIRECT(I4673),test))</f>
        <v>53.82172660977222</v>
      </c>
      <c r="E4673" s="5">
        <f ca="1">IF(getQuality(B4673)&lt;4,getOtherMax(B4673,C4673,INDIRECT(J$2),INDIRECT(I4673),test),getMax(B4673,C4673,INDIRECT(J$2),INDIRECT(I4673),test))</f>
        <v>86.435552634172723</v>
      </c>
      <c r="F4673" s="1" t="str">
        <f t="shared" si="291"/>
        <v>50</v>
      </c>
      <c r="G4673" s="1" t="str">
        <f t="shared" si="292"/>
        <v/>
      </c>
      <c r="I4673" s="1" t="str">
        <f t="shared" si="290"/>
        <v>威尔新数值1.06.xlsm!suitPower</v>
      </c>
    </row>
    <row r="4674" spans="1:9" x14ac:dyDescent="0.15">
      <c r="A4674" s="1">
        <v>4673</v>
      </c>
      <c r="B4674" s="1">
        <v>103031200</v>
      </c>
      <c r="C4674" s="1">
        <f t="shared" si="293"/>
        <v>13</v>
      </c>
      <c r="D4674" s="5">
        <f ca="1">IF(getQuality(B4674)&lt;4,getOtherMin(B4674,C4674,INDIRECT(J$2),INDIRECT(I4674),test),getMin(B4674,C4674,INDIRECT(J$2),INDIRECT(I4674),test))</f>
        <v>53.82172660977222</v>
      </c>
      <c r="E4674" s="5">
        <f ca="1">IF(getQuality(B4674)&lt;4,getOtherMax(B4674,C4674,INDIRECT(J$2),INDIRECT(I4674),test),getMax(B4674,C4674,INDIRECT(J$2),INDIRECT(I4674),test))</f>
        <v>86.435552634172723</v>
      </c>
      <c r="F4674" s="1" t="str">
        <f t="shared" si="291"/>
        <v>50</v>
      </c>
      <c r="G4674" s="1" t="str">
        <f t="shared" si="292"/>
        <v/>
      </c>
      <c r="I4674" s="1" t="str">
        <f t="shared" ref="I4674:I4737" si="294">IF(C4674&lt;100,VLOOKUP(C4674,test,3,FALSE),VLOOKUP(C4674,test1,3,FALSE))</f>
        <v>威尔新数值1.06.xlsm!suitPower</v>
      </c>
    </row>
    <row r="4675" spans="1:9" x14ac:dyDescent="0.15">
      <c r="A4675" s="1">
        <v>4674</v>
      </c>
      <c r="B4675" s="1">
        <v>103031200</v>
      </c>
      <c r="C4675" s="1">
        <f t="shared" si="293"/>
        <v>14</v>
      </c>
      <c r="D4675" s="5">
        <f ca="1">IF(getQuality(B4675)&lt;4,getOtherMin(B4675,C4675,INDIRECT(J$2),INDIRECT(I4675),test),getMin(B4675,C4675,INDIRECT(J$2),INDIRECT(I4675),test))</f>
        <v>53.82172660977222</v>
      </c>
      <c r="E4675" s="5">
        <f ca="1">IF(getQuality(B4675)&lt;4,getOtherMax(B4675,C4675,INDIRECT(J$2),INDIRECT(I4675),test),getMax(B4675,C4675,INDIRECT(J$2),INDIRECT(I4675),test))</f>
        <v>86.435552634172723</v>
      </c>
      <c r="F4675" s="1" t="str">
        <f t="shared" ref="F4675:F4738" si="295">getper(B4675,C4675)</f>
        <v>50</v>
      </c>
      <c r="G4675" s="1" t="str">
        <f t="shared" ref="G4675:G4738" si="296">getMust(B4675,C4675)</f>
        <v/>
      </c>
      <c r="I4675" s="1" t="str">
        <f t="shared" si="294"/>
        <v>威尔新数值1.06.xlsm!suitPower</v>
      </c>
    </row>
    <row r="4676" spans="1:9" x14ac:dyDescent="0.15">
      <c r="A4676" s="1">
        <v>4675</v>
      </c>
      <c r="B4676" s="1">
        <v>103031200</v>
      </c>
      <c r="C4676" s="1">
        <f t="shared" si="293"/>
        <v>15</v>
      </c>
      <c r="D4676" s="5">
        <f ca="1">IF(getQuality(B4676)&lt;4,getOtherMin(B4676,C4676,INDIRECT(J$2),INDIRECT(I4676),test),getMin(B4676,C4676,INDIRECT(J$2),INDIRECT(I4676),test))</f>
        <v>53.82172660977222</v>
      </c>
      <c r="E4676" s="5">
        <f ca="1">IF(getQuality(B4676)&lt;4,getOtherMax(B4676,C4676,INDIRECT(J$2),INDIRECT(I4676),test),getMax(B4676,C4676,INDIRECT(J$2),INDIRECT(I4676),test))</f>
        <v>86.435552634172723</v>
      </c>
      <c r="F4676" s="1" t="str">
        <f t="shared" si="295"/>
        <v>50</v>
      </c>
      <c r="G4676" s="1" t="str">
        <f t="shared" si="296"/>
        <v/>
      </c>
      <c r="I4676" s="1" t="str">
        <f t="shared" si="294"/>
        <v>威尔新数值1.06.xlsm!suitPower</v>
      </c>
    </row>
    <row r="4677" spans="1:9" x14ac:dyDescent="0.15">
      <c r="A4677" s="1">
        <v>4676</v>
      </c>
      <c r="B4677" s="1">
        <v>103031200</v>
      </c>
      <c r="C4677" s="1">
        <f t="shared" si="293"/>
        <v>101</v>
      </c>
      <c r="D4677" s="5">
        <f ca="1">IF(getQuality(B4677)&lt;4,getOtherMin(B4677,C4677,INDIRECT(J$2),INDIRECT(I4677),test),getMin(B4677,C4677,INDIRECT(J$2),INDIRECT(I4677),test))</f>
        <v>0.09</v>
      </c>
      <c r="E4677" s="5">
        <f ca="1">IF(getQuality(B4677)&lt;4,getOtherMax(B4677,C4677,INDIRECT(J$2),INDIRECT(I4677),test),getMax(B4677,C4677,INDIRECT(J$2),INDIRECT(I4677),test))</f>
        <v>0.12</v>
      </c>
      <c r="F4677" s="1" t="str">
        <f t="shared" si="295"/>
        <v>50</v>
      </c>
      <c r="G4677" s="1" t="str">
        <f t="shared" si="296"/>
        <v/>
      </c>
      <c r="I4677" s="1" t="str">
        <f t="shared" si="294"/>
        <v>威尔新数值1.06.xlsm!circlePer</v>
      </c>
    </row>
    <row r="4678" spans="1:9" x14ac:dyDescent="0.15">
      <c r="A4678" s="1">
        <v>4677</v>
      </c>
      <c r="B4678" s="1">
        <v>103031200</v>
      </c>
      <c r="C4678" s="1">
        <f t="shared" si="293"/>
        <v>102</v>
      </c>
      <c r="D4678" s="5">
        <f ca="1">IF(getQuality(B4678)&lt;4,getOtherMin(B4678,C4678,INDIRECT(J$2),INDIRECT(I4678),test),getMin(B4678,C4678,INDIRECT(J$2),INDIRECT(I4678),test))</f>
        <v>0.8</v>
      </c>
      <c r="E4678" s="5">
        <f ca="1">IF(getQuality(B4678)&lt;4,getOtherMax(B4678,C4678,INDIRECT(J$2),INDIRECT(I4678),test),getMax(B4678,C4678,INDIRECT(J$2),INDIRECT(I4678),test))</f>
        <v>1.1000000000000001</v>
      </c>
      <c r="F4678" s="1" t="str">
        <f t="shared" si="295"/>
        <v>50</v>
      </c>
      <c r="G4678" s="1" t="str">
        <f t="shared" si="296"/>
        <v/>
      </c>
      <c r="I4678" s="1" t="str">
        <f t="shared" si="294"/>
        <v>威尔新数值1.06.xlsm!circleValue</v>
      </c>
    </row>
    <row r="4679" spans="1:9" x14ac:dyDescent="0.15">
      <c r="A4679" s="1">
        <v>4678</v>
      </c>
      <c r="B4679" s="1">
        <v>103031200</v>
      </c>
      <c r="C4679" s="1">
        <f t="shared" si="293"/>
        <v>103</v>
      </c>
      <c r="D4679" s="5">
        <f ca="1">IF(getQuality(B4679)&lt;4,getOtherMin(B4679,C4679,INDIRECT(J$2),INDIRECT(I4679),test),getMin(B4679,C4679,INDIRECT(J$2),INDIRECT(I4679),test))</f>
        <v>0.09</v>
      </c>
      <c r="E4679" s="5">
        <f ca="1">IF(getQuality(B4679)&lt;4,getOtherMax(B4679,C4679,INDIRECT(J$2),INDIRECT(I4679),test),getMax(B4679,C4679,INDIRECT(J$2),INDIRECT(I4679),test))</f>
        <v>0.12</v>
      </c>
      <c r="F4679" s="1" t="str">
        <f t="shared" si="295"/>
        <v>50</v>
      </c>
      <c r="G4679" s="1" t="str">
        <f t="shared" si="296"/>
        <v/>
      </c>
      <c r="I4679" s="1" t="str">
        <f t="shared" si="294"/>
        <v>威尔新数值1.06.xlsm!otherDamage</v>
      </c>
    </row>
    <row r="4680" spans="1:9" x14ac:dyDescent="0.15">
      <c r="A4680" s="1">
        <v>4679</v>
      </c>
      <c r="B4680" s="1">
        <v>103031200</v>
      </c>
      <c r="C4680" s="1">
        <f t="shared" si="293"/>
        <v>104</v>
      </c>
      <c r="D4680" s="5">
        <f ca="1">IF(getQuality(B4680)&lt;4,getOtherMin(B4680,C4680,INDIRECT(J$2),INDIRECT(I4680),test),getMin(B4680,C4680,INDIRECT(J$2),INDIRECT(I4680),test))</f>
        <v>0.09</v>
      </c>
      <c r="E4680" s="5">
        <f ca="1">IF(getQuality(B4680)&lt;4,getOtherMax(B4680,C4680,INDIRECT(J$2),INDIRECT(I4680),test),getMax(B4680,C4680,INDIRECT(J$2),INDIRECT(I4680),test))</f>
        <v>0.18</v>
      </c>
      <c r="F4680" s="1" t="str">
        <f t="shared" si="295"/>
        <v>50</v>
      </c>
      <c r="G4680" s="1" t="str">
        <f t="shared" si="296"/>
        <v/>
      </c>
      <c r="I4680" s="1" t="str">
        <f t="shared" si="294"/>
        <v>威尔新数值1.06.xlsm!monsterDamage</v>
      </c>
    </row>
    <row r="4681" spans="1:9" x14ac:dyDescent="0.15">
      <c r="A4681" s="1">
        <v>4680</v>
      </c>
      <c r="B4681" s="1">
        <v>103031200</v>
      </c>
      <c r="C4681" s="1">
        <f t="shared" si="293"/>
        <v>105</v>
      </c>
      <c r="D4681" s="5">
        <f ca="1">IF(getQuality(B4681)&lt;4,getOtherMin(B4681,C4681,INDIRECT(J$2),INDIRECT(I4681),test),getMin(B4681,C4681,INDIRECT(J$2),INDIRECT(I4681),test))</f>
        <v>0.09</v>
      </c>
      <c r="E4681" s="5">
        <f ca="1">IF(getQuality(B4681)&lt;4,getOtherMax(B4681,C4681,INDIRECT(J$2),INDIRECT(I4681),test),getMax(B4681,C4681,INDIRECT(J$2),INDIRECT(I4681),test))</f>
        <v>0.18</v>
      </c>
      <c r="F4681" s="1" t="str">
        <f t="shared" si="295"/>
        <v>50</v>
      </c>
      <c r="G4681" s="1" t="str">
        <f t="shared" si="296"/>
        <v/>
      </c>
      <c r="I4681" s="1" t="str">
        <f t="shared" si="294"/>
        <v>威尔新数值1.06.xlsm!monsterDamage</v>
      </c>
    </row>
    <row r="4682" spans="1:9" x14ac:dyDescent="0.15">
      <c r="A4682" s="1">
        <v>4681</v>
      </c>
      <c r="B4682" s="1">
        <v>103031200</v>
      </c>
      <c r="C4682" s="1">
        <f t="shared" si="293"/>
        <v>106</v>
      </c>
      <c r="D4682" s="5">
        <f ca="1">IF(getQuality(B4682)&lt;4,getOtherMin(B4682,C4682,INDIRECT(J$2),INDIRECT(I4682),test),getMin(B4682,C4682,INDIRECT(J$2),INDIRECT(I4682),test))</f>
        <v>0.09</v>
      </c>
      <c r="E4682" s="5">
        <f ca="1">IF(getQuality(B4682)&lt;4,getOtherMax(B4682,C4682,INDIRECT(J$2),INDIRECT(I4682),test),getMax(B4682,C4682,INDIRECT(J$2),INDIRECT(I4682),test))</f>
        <v>0.18</v>
      </c>
      <c r="F4682" s="1" t="str">
        <f t="shared" si="295"/>
        <v>50</v>
      </c>
      <c r="G4682" s="1" t="str">
        <f t="shared" si="296"/>
        <v/>
      </c>
      <c r="I4682" s="1" t="str">
        <f t="shared" si="294"/>
        <v>威尔新数值1.06.xlsm!monsterDamage</v>
      </c>
    </row>
    <row r="4683" spans="1:9" x14ac:dyDescent="0.15">
      <c r="A4683" s="1">
        <v>4682</v>
      </c>
      <c r="B4683" s="1">
        <v>103031200</v>
      </c>
      <c r="C4683" s="1">
        <f t="shared" si="293"/>
        <v>107</v>
      </c>
      <c r="D4683" s="5">
        <f ca="1">IF(getQuality(B4683)&lt;4,getOtherMin(B4683,C4683,INDIRECT(J$2),INDIRECT(I4683),test),getMin(B4683,C4683,INDIRECT(J$2),INDIRECT(I4683),test))</f>
        <v>0.09</v>
      </c>
      <c r="E4683" s="5">
        <f ca="1">IF(getQuality(B4683)&lt;4,getOtherMax(B4683,C4683,INDIRECT(J$2),INDIRECT(I4683),test),getMax(B4683,C4683,INDIRECT(J$2),INDIRECT(I4683),test))</f>
        <v>0.18</v>
      </c>
      <c r="F4683" s="1" t="str">
        <f t="shared" si="295"/>
        <v>50</v>
      </c>
      <c r="G4683" s="1" t="str">
        <f t="shared" si="296"/>
        <v/>
      </c>
      <c r="I4683" s="1" t="str">
        <f t="shared" si="294"/>
        <v>威尔新数值1.06.xlsm!monsterDamage</v>
      </c>
    </row>
    <row r="4684" spans="1:9" x14ac:dyDescent="0.15">
      <c r="A4684" s="1">
        <v>4683</v>
      </c>
      <c r="B4684" s="1">
        <v>103031200</v>
      </c>
      <c r="C4684" s="1">
        <f t="shared" si="293"/>
        <v>108</v>
      </c>
      <c r="D4684" s="5">
        <f ca="1">IF(getQuality(B4684)&lt;4,getOtherMin(B4684,C4684,INDIRECT(J$2),INDIRECT(I4684),test),getMin(B4684,C4684,INDIRECT(J$2),INDIRECT(I4684),test))</f>
        <v>0.09</v>
      </c>
      <c r="E4684" s="5">
        <f ca="1">IF(getQuality(B4684)&lt;4,getOtherMax(B4684,C4684,INDIRECT(J$2),INDIRECT(I4684),test),getMax(B4684,C4684,INDIRECT(J$2),INDIRECT(I4684),test))</f>
        <v>0.18</v>
      </c>
      <c r="F4684" s="1" t="str">
        <f t="shared" si="295"/>
        <v>50</v>
      </c>
      <c r="G4684" s="1" t="str">
        <f t="shared" si="296"/>
        <v/>
      </c>
      <c r="I4684" s="1" t="str">
        <f t="shared" si="294"/>
        <v>威尔新数值1.06.xlsm!monsterDamage</v>
      </c>
    </row>
    <row r="4685" spans="1:9" x14ac:dyDescent="0.15">
      <c r="A4685" s="1">
        <v>4684</v>
      </c>
      <c r="B4685" s="1">
        <v>103041200</v>
      </c>
      <c r="C4685" s="1">
        <f t="shared" si="293"/>
        <v>3</v>
      </c>
      <c r="D4685" s="5">
        <f ca="1">IF(getQuality(B4685)&lt;4,getOtherMin(B4685,C4685,INDIRECT(J$2),INDIRECT(I4685),test),getMin(B4685,C4685,INDIRECT(J$2),INDIRECT(I4685),test))</f>
        <v>87.435552634172723</v>
      </c>
      <c r="E4685" s="5">
        <f ca="1">IF(getQuality(B4685)&lt;4,getOtherMax(B4685,C4685,INDIRECT(J$2),INDIRECT(I4685),test),getMax(B4685,C4685,INDIRECT(J$2),INDIRECT(I4685),test))</f>
        <v>124.85135380491616</v>
      </c>
      <c r="F4685" s="1" t="str">
        <f t="shared" si="295"/>
        <v>50</v>
      </c>
      <c r="G4685" s="1" t="str">
        <f t="shared" si="296"/>
        <v>1</v>
      </c>
      <c r="I4685" s="1" t="str">
        <f t="shared" si="294"/>
        <v>威尔新数值1.06.xlsm!suitPower</v>
      </c>
    </row>
    <row r="4686" spans="1:9" x14ac:dyDescent="0.15">
      <c r="A4686" s="1">
        <v>4685</v>
      </c>
      <c r="B4686" s="1">
        <v>103041200</v>
      </c>
      <c r="C4686" s="1">
        <f t="shared" si="293"/>
        <v>5</v>
      </c>
      <c r="D4686" s="5">
        <f ca="1">IF(getQuality(B4686)&lt;4,getOtherMin(B4686,C4686,INDIRECT(J$2),INDIRECT(I4686),test),getMin(B4686,C4686,INDIRECT(J$2),INDIRECT(I4686),test))</f>
        <v>87.435552634172723</v>
      </c>
      <c r="E4686" s="5">
        <f ca="1">IF(getQuality(B4686)&lt;4,getOtherMax(B4686,C4686,INDIRECT(J$2),INDIRECT(I4686),test),getMax(B4686,C4686,INDIRECT(J$2),INDIRECT(I4686),test))</f>
        <v>124.85135380491616</v>
      </c>
      <c r="F4686" s="1" t="str">
        <f t="shared" si="295"/>
        <v>50</v>
      </c>
      <c r="G4686" s="1" t="str">
        <f t="shared" si="296"/>
        <v/>
      </c>
      <c r="I4686" s="1" t="str">
        <f t="shared" si="294"/>
        <v>威尔新数值1.06.xlsm!suitPower</v>
      </c>
    </row>
    <row r="4687" spans="1:9" x14ac:dyDescent="0.15">
      <c r="A4687" s="1">
        <v>4686</v>
      </c>
      <c r="B4687" s="1">
        <v>103041200</v>
      </c>
      <c r="C4687" s="1">
        <f t="shared" si="293"/>
        <v>7</v>
      </c>
      <c r="D4687" s="5">
        <f ca="1">IF(getQuality(B4687)&lt;4,getOtherMin(B4687,C4687,INDIRECT(J$2),INDIRECT(I4687),test),getMin(B4687,C4687,INDIRECT(J$2),INDIRECT(I4687),test))</f>
        <v>23.222222222222165</v>
      </c>
      <c r="E4687" s="5">
        <f ca="1">IF(getQuality(B4687)&lt;4,getOtherMax(B4687,C4687,INDIRECT(J$2),INDIRECT(I4687),test),getMax(B4687,C4687,INDIRECT(J$2),INDIRECT(I4687),test))</f>
        <v>29.629629629629555</v>
      </c>
      <c r="F4687" s="1" t="str">
        <f t="shared" si="295"/>
        <v>50</v>
      </c>
      <c r="G4687" s="1" t="str">
        <f t="shared" si="296"/>
        <v/>
      </c>
      <c r="I4687" s="1" t="str">
        <f t="shared" si="294"/>
        <v>威尔新数值1.06.xlsm!suitPower</v>
      </c>
    </row>
    <row r="4688" spans="1:9" x14ac:dyDescent="0.15">
      <c r="A4688" s="1">
        <v>4687</v>
      </c>
      <c r="B4688" s="1">
        <v>103041200</v>
      </c>
      <c r="C4688" s="1">
        <f t="shared" si="293"/>
        <v>8</v>
      </c>
      <c r="D4688" s="5">
        <f ca="1">IF(getQuality(B4688)&lt;4,getOtherMin(B4688,C4688,INDIRECT(J$2),INDIRECT(I4688),test),getMin(B4688,C4688,INDIRECT(J$2),INDIRECT(I4688),test))</f>
        <v>51</v>
      </c>
      <c r="E4688" s="5">
        <f ca="1">IF(getQuality(B4688)&lt;4,getOtherMax(B4688,C4688,INDIRECT(J$2),INDIRECT(I4688),test),getMax(B4688,C4688,INDIRECT(J$2),INDIRECT(I4688),test))</f>
        <v>66.666666666666671</v>
      </c>
      <c r="F4688" s="1" t="str">
        <f t="shared" si="295"/>
        <v>50</v>
      </c>
      <c r="G4688" s="1" t="str">
        <f t="shared" si="296"/>
        <v/>
      </c>
      <c r="I4688" s="1" t="str">
        <f t="shared" si="294"/>
        <v>威尔新数值1.06.xlsm!suitPower</v>
      </c>
    </row>
    <row r="4689" spans="1:9" x14ac:dyDescent="0.15">
      <c r="A4689" s="1">
        <v>4688</v>
      </c>
      <c r="B4689" s="1">
        <v>103041200</v>
      </c>
      <c r="C4689" s="1">
        <f t="shared" si="293"/>
        <v>9</v>
      </c>
      <c r="D4689" s="5">
        <f ca="1">IF(getQuality(B4689)&lt;4,getOtherMin(B4689,C4689,INDIRECT(J$2),INDIRECT(I4689),test),getMin(B4689,C4689,INDIRECT(J$2),INDIRECT(I4689),test))</f>
        <v>87.435552634172723</v>
      </c>
      <c r="E4689" s="5">
        <f ca="1">IF(getQuality(B4689)&lt;4,getOtherMax(B4689,C4689,INDIRECT(J$2),INDIRECT(I4689),test),getMax(B4689,C4689,INDIRECT(J$2),INDIRECT(I4689),test))</f>
        <v>124.85135380491616</v>
      </c>
      <c r="F4689" s="1" t="str">
        <f t="shared" si="295"/>
        <v>50</v>
      </c>
      <c r="G4689" s="1" t="str">
        <f t="shared" si="296"/>
        <v/>
      </c>
      <c r="I4689" s="1" t="str">
        <f t="shared" si="294"/>
        <v>威尔新数值1.06.xlsm!suitPower</v>
      </c>
    </row>
    <row r="4690" spans="1:9" x14ac:dyDescent="0.15">
      <c r="A4690" s="1">
        <v>4689</v>
      </c>
      <c r="B4690" s="1">
        <v>103041200</v>
      </c>
      <c r="C4690" s="1">
        <f t="shared" si="293"/>
        <v>10</v>
      </c>
      <c r="D4690" s="5">
        <f ca="1">IF(getQuality(B4690)&lt;4,getOtherMin(B4690,C4690,INDIRECT(J$2),INDIRECT(I4690),test),getMin(B4690,C4690,INDIRECT(J$2),INDIRECT(I4690),test))</f>
        <v>87.435552634172723</v>
      </c>
      <c r="E4690" s="5">
        <f ca="1">IF(getQuality(B4690)&lt;4,getOtherMax(B4690,C4690,INDIRECT(J$2),INDIRECT(I4690),test),getMax(B4690,C4690,INDIRECT(J$2),INDIRECT(I4690),test))</f>
        <v>124.85135380491616</v>
      </c>
      <c r="F4690" s="1" t="str">
        <f t="shared" si="295"/>
        <v>50</v>
      </c>
      <c r="G4690" s="1" t="str">
        <f t="shared" si="296"/>
        <v/>
      </c>
      <c r="I4690" s="1" t="str">
        <f t="shared" si="294"/>
        <v>威尔新数值1.06.xlsm!suitPower</v>
      </c>
    </row>
    <row r="4691" spans="1:9" x14ac:dyDescent="0.15">
      <c r="A4691" s="1">
        <v>4690</v>
      </c>
      <c r="B4691" s="1">
        <v>103041200</v>
      </c>
      <c r="C4691" s="1">
        <f t="shared" si="293"/>
        <v>11</v>
      </c>
      <c r="D4691" s="5">
        <f ca="1">IF(getQuality(B4691)&lt;4,getOtherMin(B4691,C4691,INDIRECT(J$2),INDIRECT(I4691),test),getMin(B4691,C4691,INDIRECT(J$2),INDIRECT(I4691),test))</f>
        <v>87.435552634172723</v>
      </c>
      <c r="E4691" s="5">
        <f ca="1">IF(getQuality(B4691)&lt;4,getOtherMax(B4691,C4691,INDIRECT(J$2),INDIRECT(I4691),test),getMax(B4691,C4691,INDIRECT(J$2),INDIRECT(I4691),test))</f>
        <v>124.85135380491616</v>
      </c>
      <c r="F4691" s="1" t="str">
        <f t="shared" si="295"/>
        <v>50</v>
      </c>
      <c r="G4691" s="1" t="str">
        <f t="shared" si="296"/>
        <v/>
      </c>
      <c r="I4691" s="1" t="str">
        <f t="shared" si="294"/>
        <v>威尔新数值1.06.xlsm!suitPower</v>
      </c>
    </row>
    <row r="4692" spans="1:9" x14ac:dyDescent="0.15">
      <c r="A4692" s="1">
        <v>4691</v>
      </c>
      <c r="B4692" s="1">
        <v>103041200</v>
      </c>
      <c r="C4692" s="1">
        <f t="shared" si="293"/>
        <v>12</v>
      </c>
      <c r="D4692" s="5">
        <f ca="1">IF(getQuality(B4692)&lt;4,getOtherMin(B4692,C4692,INDIRECT(J$2),INDIRECT(I4692),test),getMin(B4692,C4692,INDIRECT(J$2),INDIRECT(I4692),test))</f>
        <v>87.435552634172723</v>
      </c>
      <c r="E4692" s="5">
        <f ca="1">IF(getQuality(B4692)&lt;4,getOtherMax(B4692,C4692,INDIRECT(J$2),INDIRECT(I4692),test),getMax(B4692,C4692,INDIRECT(J$2),INDIRECT(I4692),test))</f>
        <v>124.85135380491616</v>
      </c>
      <c r="F4692" s="1" t="str">
        <f t="shared" si="295"/>
        <v>50</v>
      </c>
      <c r="G4692" s="1" t="str">
        <f t="shared" si="296"/>
        <v/>
      </c>
      <c r="I4692" s="1" t="str">
        <f t="shared" si="294"/>
        <v>威尔新数值1.06.xlsm!suitPower</v>
      </c>
    </row>
    <row r="4693" spans="1:9" x14ac:dyDescent="0.15">
      <c r="A4693" s="1">
        <v>4692</v>
      </c>
      <c r="B4693" s="1">
        <v>103041200</v>
      </c>
      <c r="C4693" s="1">
        <f t="shared" si="293"/>
        <v>13</v>
      </c>
      <c r="D4693" s="5">
        <f ca="1">IF(getQuality(B4693)&lt;4,getOtherMin(B4693,C4693,INDIRECT(J$2),INDIRECT(I4693),test),getMin(B4693,C4693,INDIRECT(J$2),INDIRECT(I4693),test))</f>
        <v>87.435552634172723</v>
      </c>
      <c r="E4693" s="5">
        <f ca="1">IF(getQuality(B4693)&lt;4,getOtherMax(B4693,C4693,INDIRECT(J$2),INDIRECT(I4693),test),getMax(B4693,C4693,INDIRECT(J$2),INDIRECT(I4693),test))</f>
        <v>124.85135380491616</v>
      </c>
      <c r="F4693" s="1" t="str">
        <f t="shared" si="295"/>
        <v>50</v>
      </c>
      <c r="G4693" s="1" t="str">
        <f t="shared" si="296"/>
        <v/>
      </c>
      <c r="I4693" s="1" t="str">
        <f t="shared" si="294"/>
        <v>威尔新数值1.06.xlsm!suitPower</v>
      </c>
    </row>
    <row r="4694" spans="1:9" x14ac:dyDescent="0.15">
      <c r="A4694" s="1">
        <v>4693</v>
      </c>
      <c r="B4694" s="1">
        <v>103041200</v>
      </c>
      <c r="C4694" s="1">
        <f t="shared" si="293"/>
        <v>14</v>
      </c>
      <c r="D4694" s="5">
        <f ca="1">IF(getQuality(B4694)&lt;4,getOtherMin(B4694,C4694,INDIRECT(J$2),INDIRECT(I4694),test),getMin(B4694,C4694,INDIRECT(J$2),INDIRECT(I4694),test))</f>
        <v>87.435552634172723</v>
      </c>
      <c r="E4694" s="5">
        <f ca="1">IF(getQuality(B4694)&lt;4,getOtherMax(B4694,C4694,INDIRECT(J$2),INDIRECT(I4694),test),getMax(B4694,C4694,INDIRECT(J$2),INDIRECT(I4694),test))</f>
        <v>124.85135380491616</v>
      </c>
      <c r="F4694" s="1" t="str">
        <f t="shared" si="295"/>
        <v>50</v>
      </c>
      <c r="G4694" s="1" t="str">
        <f t="shared" si="296"/>
        <v/>
      </c>
      <c r="I4694" s="1" t="str">
        <f t="shared" si="294"/>
        <v>威尔新数值1.06.xlsm!suitPower</v>
      </c>
    </row>
    <row r="4695" spans="1:9" x14ac:dyDescent="0.15">
      <c r="A4695" s="1">
        <v>4694</v>
      </c>
      <c r="B4695" s="1">
        <v>103041200</v>
      </c>
      <c r="C4695" s="1">
        <f t="shared" si="293"/>
        <v>15</v>
      </c>
      <c r="D4695" s="5">
        <f ca="1">IF(getQuality(B4695)&lt;4,getOtherMin(B4695,C4695,INDIRECT(J$2),INDIRECT(I4695),test),getMin(B4695,C4695,INDIRECT(J$2),INDIRECT(I4695),test))</f>
        <v>87.435552634172723</v>
      </c>
      <c r="E4695" s="5">
        <f ca="1">IF(getQuality(B4695)&lt;4,getOtherMax(B4695,C4695,INDIRECT(J$2),INDIRECT(I4695),test),getMax(B4695,C4695,INDIRECT(J$2),INDIRECT(I4695),test))</f>
        <v>124.85135380491616</v>
      </c>
      <c r="F4695" s="1" t="str">
        <f t="shared" si="295"/>
        <v>50</v>
      </c>
      <c r="G4695" s="1" t="str">
        <f t="shared" si="296"/>
        <v/>
      </c>
      <c r="I4695" s="1" t="str">
        <f t="shared" si="294"/>
        <v>威尔新数值1.06.xlsm!suitPower</v>
      </c>
    </row>
    <row r="4696" spans="1:9" x14ac:dyDescent="0.15">
      <c r="A4696" s="1">
        <v>4695</v>
      </c>
      <c r="B4696" s="1">
        <v>103041200</v>
      </c>
      <c r="C4696" s="1">
        <f t="shared" si="293"/>
        <v>101</v>
      </c>
      <c r="D4696" s="5">
        <f ca="1">IF(getQuality(B4696)&lt;4,getOtherMin(B4696,C4696,INDIRECT(J$2),INDIRECT(I4696),test),getMin(B4696,C4696,INDIRECT(J$2),INDIRECT(I4696),test))</f>
        <v>0.1</v>
      </c>
      <c r="E4696" s="5">
        <f ca="1">IF(getQuality(B4696)&lt;4,getOtherMax(B4696,C4696,INDIRECT(J$2),INDIRECT(I4696),test),getMax(B4696,C4696,INDIRECT(J$2),INDIRECT(I4696),test))</f>
        <v>0.13</v>
      </c>
      <c r="F4696" s="1" t="str">
        <f t="shared" si="295"/>
        <v>50</v>
      </c>
      <c r="G4696" s="1" t="str">
        <f t="shared" si="296"/>
        <v/>
      </c>
      <c r="I4696" s="1" t="str">
        <f t="shared" si="294"/>
        <v>威尔新数值1.06.xlsm!circlePer</v>
      </c>
    </row>
    <row r="4697" spans="1:9" x14ac:dyDescent="0.15">
      <c r="A4697" s="1">
        <v>4696</v>
      </c>
      <c r="B4697" s="1">
        <v>103041200</v>
      </c>
      <c r="C4697" s="1">
        <f t="shared" si="293"/>
        <v>102</v>
      </c>
      <c r="D4697" s="5">
        <f ca="1">IF(getQuality(B4697)&lt;4,getOtherMin(B4697,C4697,INDIRECT(J$2),INDIRECT(I4697),test),getMin(B4697,C4697,INDIRECT(J$2),INDIRECT(I4697),test))</f>
        <v>0.9</v>
      </c>
      <c r="E4697" s="5">
        <f ca="1">IF(getQuality(B4697)&lt;4,getOtherMax(B4697,C4697,INDIRECT(J$2),INDIRECT(I4697),test),getMax(B4697,C4697,INDIRECT(J$2),INDIRECT(I4697),test))</f>
        <v>1.2</v>
      </c>
      <c r="F4697" s="1" t="str">
        <f t="shared" si="295"/>
        <v>50</v>
      </c>
      <c r="G4697" s="1" t="str">
        <f t="shared" si="296"/>
        <v/>
      </c>
      <c r="I4697" s="1" t="str">
        <f t="shared" si="294"/>
        <v>威尔新数值1.06.xlsm!circleValue</v>
      </c>
    </row>
    <row r="4698" spans="1:9" x14ac:dyDescent="0.15">
      <c r="A4698" s="1">
        <v>4697</v>
      </c>
      <c r="B4698" s="1">
        <v>103041200</v>
      </c>
      <c r="C4698" s="1">
        <f t="shared" si="293"/>
        <v>103</v>
      </c>
      <c r="D4698" s="5">
        <f ca="1">IF(getQuality(B4698)&lt;4,getOtherMin(B4698,C4698,INDIRECT(J$2),INDIRECT(I4698),test),getMin(B4698,C4698,INDIRECT(J$2),INDIRECT(I4698),test))</f>
        <v>0.1</v>
      </c>
      <c r="E4698" s="5">
        <f ca="1">IF(getQuality(B4698)&lt;4,getOtherMax(B4698,C4698,INDIRECT(J$2),INDIRECT(I4698),test),getMax(B4698,C4698,INDIRECT(J$2),INDIRECT(I4698),test))</f>
        <v>0.13</v>
      </c>
      <c r="F4698" s="1" t="str">
        <f t="shared" si="295"/>
        <v>50</v>
      </c>
      <c r="G4698" s="1" t="str">
        <f t="shared" si="296"/>
        <v/>
      </c>
      <c r="I4698" s="1" t="str">
        <f t="shared" si="294"/>
        <v>威尔新数值1.06.xlsm!otherDamage</v>
      </c>
    </row>
    <row r="4699" spans="1:9" x14ac:dyDescent="0.15">
      <c r="A4699" s="1">
        <v>4698</v>
      </c>
      <c r="B4699" s="1">
        <v>103041200</v>
      </c>
      <c r="C4699" s="1">
        <f t="shared" si="293"/>
        <v>104</v>
      </c>
      <c r="D4699" s="5">
        <f ca="1">IF(getQuality(B4699)&lt;4,getOtherMin(B4699,C4699,INDIRECT(J$2),INDIRECT(I4699),test),getMin(B4699,C4699,INDIRECT(J$2),INDIRECT(I4699),test))</f>
        <v>0.1</v>
      </c>
      <c r="E4699" s="5">
        <f ca="1">IF(getQuality(B4699)&lt;4,getOtherMax(B4699,C4699,INDIRECT(J$2),INDIRECT(I4699),test),getMax(B4699,C4699,INDIRECT(J$2),INDIRECT(I4699),test))</f>
        <v>0.2</v>
      </c>
      <c r="F4699" s="1" t="str">
        <f t="shared" si="295"/>
        <v>50</v>
      </c>
      <c r="G4699" s="1" t="str">
        <f t="shared" si="296"/>
        <v/>
      </c>
      <c r="I4699" s="1" t="str">
        <f t="shared" si="294"/>
        <v>威尔新数值1.06.xlsm!monsterDamage</v>
      </c>
    </row>
    <row r="4700" spans="1:9" x14ac:dyDescent="0.15">
      <c r="A4700" s="1">
        <v>4699</v>
      </c>
      <c r="B4700" s="1">
        <v>103041200</v>
      </c>
      <c r="C4700" s="1">
        <f t="shared" si="293"/>
        <v>105</v>
      </c>
      <c r="D4700" s="5">
        <f ca="1">IF(getQuality(B4700)&lt;4,getOtherMin(B4700,C4700,INDIRECT(J$2),INDIRECT(I4700),test),getMin(B4700,C4700,INDIRECT(J$2),INDIRECT(I4700),test))</f>
        <v>0.1</v>
      </c>
      <c r="E4700" s="5">
        <f ca="1">IF(getQuality(B4700)&lt;4,getOtherMax(B4700,C4700,INDIRECT(J$2),INDIRECT(I4700),test),getMax(B4700,C4700,INDIRECT(J$2),INDIRECT(I4700),test))</f>
        <v>0.2</v>
      </c>
      <c r="F4700" s="1" t="str">
        <f t="shared" si="295"/>
        <v>50</v>
      </c>
      <c r="G4700" s="1" t="str">
        <f t="shared" si="296"/>
        <v/>
      </c>
      <c r="I4700" s="1" t="str">
        <f t="shared" si="294"/>
        <v>威尔新数值1.06.xlsm!monsterDamage</v>
      </c>
    </row>
    <row r="4701" spans="1:9" x14ac:dyDescent="0.15">
      <c r="A4701" s="1">
        <v>4700</v>
      </c>
      <c r="B4701" s="1">
        <v>103041200</v>
      </c>
      <c r="C4701" s="1">
        <f t="shared" si="293"/>
        <v>106</v>
      </c>
      <c r="D4701" s="5">
        <f ca="1">IF(getQuality(B4701)&lt;4,getOtherMin(B4701,C4701,INDIRECT(J$2),INDIRECT(I4701),test),getMin(B4701,C4701,INDIRECT(J$2),INDIRECT(I4701),test))</f>
        <v>0.1</v>
      </c>
      <c r="E4701" s="5">
        <f ca="1">IF(getQuality(B4701)&lt;4,getOtherMax(B4701,C4701,INDIRECT(J$2),INDIRECT(I4701),test),getMax(B4701,C4701,INDIRECT(J$2),INDIRECT(I4701),test))</f>
        <v>0.2</v>
      </c>
      <c r="F4701" s="1" t="str">
        <f t="shared" si="295"/>
        <v>50</v>
      </c>
      <c r="G4701" s="1" t="str">
        <f t="shared" si="296"/>
        <v/>
      </c>
      <c r="I4701" s="1" t="str">
        <f t="shared" si="294"/>
        <v>威尔新数值1.06.xlsm!monsterDamage</v>
      </c>
    </row>
    <row r="4702" spans="1:9" x14ac:dyDescent="0.15">
      <c r="A4702" s="1">
        <v>4701</v>
      </c>
      <c r="B4702" s="1">
        <v>103041200</v>
      </c>
      <c r="C4702" s="1">
        <f t="shared" si="293"/>
        <v>107</v>
      </c>
      <c r="D4702" s="5">
        <f ca="1">IF(getQuality(B4702)&lt;4,getOtherMin(B4702,C4702,INDIRECT(J$2),INDIRECT(I4702),test),getMin(B4702,C4702,INDIRECT(J$2),INDIRECT(I4702),test))</f>
        <v>0.1</v>
      </c>
      <c r="E4702" s="5">
        <f ca="1">IF(getQuality(B4702)&lt;4,getOtherMax(B4702,C4702,INDIRECT(J$2),INDIRECT(I4702),test),getMax(B4702,C4702,INDIRECT(J$2),INDIRECT(I4702),test))</f>
        <v>0.2</v>
      </c>
      <c r="F4702" s="1" t="str">
        <f t="shared" si="295"/>
        <v>50</v>
      </c>
      <c r="G4702" s="1" t="str">
        <f t="shared" si="296"/>
        <v/>
      </c>
      <c r="I4702" s="1" t="str">
        <f t="shared" si="294"/>
        <v>威尔新数值1.06.xlsm!monsterDamage</v>
      </c>
    </row>
    <row r="4703" spans="1:9" x14ac:dyDescent="0.15">
      <c r="A4703" s="1">
        <v>4702</v>
      </c>
      <c r="B4703" s="1">
        <v>103041200</v>
      </c>
      <c r="C4703" s="1">
        <f t="shared" si="293"/>
        <v>108</v>
      </c>
      <c r="D4703" s="5">
        <f ca="1">IF(getQuality(B4703)&lt;4,getOtherMin(B4703,C4703,INDIRECT(J$2),INDIRECT(I4703),test),getMin(B4703,C4703,INDIRECT(J$2),INDIRECT(I4703),test))</f>
        <v>0.1</v>
      </c>
      <c r="E4703" s="5">
        <f ca="1">IF(getQuality(B4703)&lt;4,getOtherMax(B4703,C4703,INDIRECT(J$2),INDIRECT(I4703),test),getMax(B4703,C4703,INDIRECT(J$2),INDIRECT(I4703),test))</f>
        <v>0.2</v>
      </c>
      <c r="F4703" s="1" t="str">
        <f t="shared" si="295"/>
        <v>50</v>
      </c>
      <c r="G4703" s="1" t="str">
        <f t="shared" si="296"/>
        <v/>
      </c>
      <c r="I4703" s="1" t="str">
        <f t="shared" si="294"/>
        <v>威尔新数值1.06.xlsm!monsterDamage</v>
      </c>
    </row>
    <row r="4704" spans="1:9" x14ac:dyDescent="0.15">
      <c r="A4704" s="1">
        <v>4703</v>
      </c>
      <c r="B4704" s="1">
        <v>103051200</v>
      </c>
      <c r="C4704" s="1">
        <f t="shared" si="293"/>
        <v>3</v>
      </c>
      <c r="D4704" s="5">
        <f ca="1">IF(getQuality(B4704)&lt;4,getOtherMin(B4704,C4704,INDIRECT(J$2),INDIRECT(I4704),test),getMin(B4704,C4704,INDIRECT(J$2),INDIRECT(I4704),test))</f>
        <v>125.85135380491616</v>
      </c>
      <c r="E4704" s="5">
        <f ca="1">IF(getQuality(B4704)&lt;4,getOtherMax(B4704,C4704,INDIRECT(J$2),INDIRECT(I4704),test),getMax(B4704,C4704,INDIRECT(J$2),INDIRECT(I4704),test))</f>
        <v>169.16048810980774</v>
      </c>
      <c r="F4704" s="1" t="str">
        <f t="shared" si="295"/>
        <v>50</v>
      </c>
      <c r="G4704" s="1" t="str">
        <f t="shared" si="296"/>
        <v>1</v>
      </c>
      <c r="I4704" s="1" t="str">
        <f t="shared" si="294"/>
        <v>威尔新数值1.06.xlsm!suitPower</v>
      </c>
    </row>
    <row r="4705" spans="1:9" x14ac:dyDescent="0.15">
      <c r="A4705" s="1">
        <v>4704</v>
      </c>
      <c r="B4705" s="1">
        <v>103051200</v>
      </c>
      <c r="C4705" s="1">
        <f t="shared" si="293"/>
        <v>5</v>
      </c>
      <c r="D4705" s="5">
        <f ca="1">IF(getQuality(B4705)&lt;4,getOtherMin(B4705,C4705,INDIRECT(J$2),INDIRECT(I4705),test),getMin(B4705,C4705,INDIRECT(J$2),INDIRECT(I4705),test))</f>
        <v>125.85135380491616</v>
      </c>
      <c r="E4705" s="5">
        <f ca="1">IF(getQuality(B4705)&lt;4,getOtherMax(B4705,C4705,INDIRECT(J$2),INDIRECT(I4705),test),getMax(B4705,C4705,INDIRECT(J$2),INDIRECT(I4705),test))</f>
        <v>169.16048810980774</v>
      </c>
      <c r="F4705" s="1" t="str">
        <f t="shared" si="295"/>
        <v>50</v>
      </c>
      <c r="G4705" s="1" t="str">
        <f t="shared" si="296"/>
        <v/>
      </c>
      <c r="I4705" s="1" t="str">
        <f t="shared" si="294"/>
        <v>威尔新数值1.06.xlsm!suitPower</v>
      </c>
    </row>
    <row r="4706" spans="1:9" x14ac:dyDescent="0.15">
      <c r="A4706" s="1">
        <v>4705</v>
      </c>
      <c r="B4706" s="1">
        <v>103051200</v>
      </c>
      <c r="C4706" s="1">
        <f t="shared" si="293"/>
        <v>7</v>
      </c>
      <c r="D4706" s="5">
        <f ca="1">IF(getQuality(B4706)&lt;4,getOtherMin(B4706,C4706,INDIRECT(J$2),INDIRECT(I4706),test),getMin(B4706,C4706,INDIRECT(J$2),INDIRECT(I4706),test))</f>
        <v>30.629629629629555</v>
      </c>
      <c r="E4706" s="5">
        <f ca="1">IF(getQuality(B4706)&lt;4,getOtherMax(B4706,C4706,INDIRECT(J$2),INDIRECT(I4706),test),getMax(B4706,C4706,INDIRECT(J$2),INDIRECT(I4706),test))</f>
        <v>37.037037037036946</v>
      </c>
      <c r="F4706" s="1" t="str">
        <f t="shared" si="295"/>
        <v>50</v>
      </c>
      <c r="G4706" s="1" t="str">
        <f t="shared" si="296"/>
        <v/>
      </c>
      <c r="I4706" s="1" t="str">
        <f t="shared" si="294"/>
        <v>威尔新数值1.06.xlsm!suitPower</v>
      </c>
    </row>
    <row r="4707" spans="1:9" x14ac:dyDescent="0.15">
      <c r="A4707" s="1">
        <v>4706</v>
      </c>
      <c r="B4707" s="1">
        <v>103051200</v>
      </c>
      <c r="C4707" s="1">
        <f t="shared" si="293"/>
        <v>8</v>
      </c>
      <c r="D4707" s="5">
        <f ca="1">IF(getQuality(B4707)&lt;4,getOtherMin(B4707,C4707,INDIRECT(J$2),INDIRECT(I4707),test),getMin(B4707,C4707,INDIRECT(J$2),INDIRECT(I4707),test))</f>
        <v>67.666666666666671</v>
      </c>
      <c r="E4707" s="5">
        <f ca="1">IF(getQuality(B4707)&lt;4,getOtherMax(B4707,C4707,INDIRECT(J$2),INDIRECT(I4707),test),getMax(B4707,C4707,INDIRECT(J$2),INDIRECT(I4707),test))</f>
        <v>83.333333333333329</v>
      </c>
      <c r="F4707" s="1" t="str">
        <f t="shared" si="295"/>
        <v>50</v>
      </c>
      <c r="G4707" s="1" t="str">
        <f t="shared" si="296"/>
        <v/>
      </c>
      <c r="I4707" s="1" t="str">
        <f t="shared" si="294"/>
        <v>威尔新数值1.06.xlsm!suitPower</v>
      </c>
    </row>
    <row r="4708" spans="1:9" x14ac:dyDescent="0.15">
      <c r="A4708" s="1">
        <v>4707</v>
      </c>
      <c r="B4708" s="1">
        <v>103051200</v>
      </c>
      <c r="C4708" s="1">
        <f t="shared" si="293"/>
        <v>9</v>
      </c>
      <c r="D4708" s="5">
        <f ca="1">IF(getQuality(B4708)&lt;4,getOtherMin(B4708,C4708,INDIRECT(J$2),INDIRECT(I4708),test),getMin(B4708,C4708,INDIRECT(J$2),INDIRECT(I4708),test))</f>
        <v>125.85135380491616</v>
      </c>
      <c r="E4708" s="5">
        <f ca="1">IF(getQuality(B4708)&lt;4,getOtherMax(B4708,C4708,INDIRECT(J$2),INDIRECT(I4708),test),getMax(B4708,C4708,INDIRECT(J$2),INDIRECT(I4708),test))</f>
        <v>169.16048810980774</v>
      </c>
      <c r="F4708" s="1" t="str">
        <f t="shared" si="295"/>
        <v>50</v>
      </c>
      <c r="G4708" s="1" t="str">
        <f t="shared" si="296"/>
        <v/>
      </c>
      <c r="I4708" s="1" t="str">
        <f t="shared" si="294"/>
        <v>威尔新数值1.06.xlsm!suitPower</v>
      </c>
    </row>
    <row r="4709" spans="1:9" x14ac:dyDescent="0.15">
      <c r="A4709" s="1">
        <v>4708</v>
      </c>
      <c r="B4709" s="1">
        <v>103051200</v>
      </c>
      <c r="C4709" s="1">
        <f t="shared" si="293"/>
        <v>10</v>
      </c>
      <c r="D4709" s="5">
        <f ca="1">IF(getQuality(B4709)&lt;4,getOtherMin(B4709,C4709,INDIRECT(J$2),INDIRECT(I4709),test),getMin(B4709,C4709,INDIRECT(J$2),INDIRECT(I4709),test))</f>
        <v>125.85135380491616</v>
      </c>
      <c r="E4709" s="5">
        <f ca="1">IF(getQuality(B4709)&lt;4,getOtherMax(B4709,C4709,INDIRECT(J$2),INDIRECT(I4709),test),getMax(B4709,C4709,INDIRECT(J$2),INDIRECT(I4709),test))</f>
        <v>169.16048810980774</v>
      </c>
      <c r="F4709" s="1" t="str">
        <f t="shared" si="295"/>
        <v>50</v>
      </c>
      <c r="G4709" s="1" t="str">
        <f t="shared" si="296"/>
        <v/>
      </c>
      <c r="I4709" s="1" t="str">
        <f t="shared" si="294"/>
        <v>威尔新数值1.06.xlsm!suitPower</v>
      </c>
    </row>
    <row r="4710" spans="1:9" x14ac:dyDescent="0.15">
      <c r="A4710" s="1">
        <v>4709</v>
      </c>
      <c r="B4710" s="1">
        <v>103051200</v>
      </c>
      <c r="C4710" s="1">
        <f t="shared" si="293"/>
        <v>11</v>
      </c>
      <c r="D4710" s="5">
        <f ca="1">IF(getQuality(B4710)&lt;4,getOtherMin(B4710,C4710,INDIRECT(J$2),INDIRECT(I4710),test),getMin(B4710,C4710,INDIRECT(J$2),INDIRECT(I4710),test))</f>
        <v>125.85135380491616</v>
      </c>
      <c r="E4710" s="5">
        <f ca="1">IF(getQuality(B4710)&lt;4,getOtherMax(B4710,C4710,INDIRECT(J$2),INDIRECT(I4710),test),getMax(B4710,C4710,INDIRECT(J$2),INDIRECT(I4710),test))</f>
        <v>169.16048810980774</v>
      </c>
      <c r="F4710" s="1" t="str">
        <f t="shared" si="295"/>
        <v>50</v>
      </c>
      <c r="G4710" s="1" t="str">
        <f t="shared" si="296"/>
        <v/>
      </c>
      <c r="I4710" s="1" t="str">
        <f t="shared" si="294"/>
        <v>威尔新数值1.06.xlsm!suitPower</v>
      </c>
    </row>
    <row r="4711" spans="1:9" x14ac:dyDescent="0.15">
      <c r="A4711" s="1">
        <v>4710</v>
      </c>
      <c r="B4711" s="1">
        <v>103051200</v>
      </c>
      <c r="C4711" s="1">
        <f t="shared" si="293"/>
        <v>12</v>
      </c>
      <c r="D4711" s="5">
        <f ca="1">IF(getQuality(B4711)&lt;4,getOtherMin(B4711,C4711,INDIRECT(J$2),INDIRECT(I4711),test),getMin(B4711,C4711,INDIRECT(J$2),INDIRECT(I4711),test))</f>
        <v>125.85135380491616</v>
      </c>
      <c r="E4711" s="5">
        <f ca="1">IF(getQuality(B4711)&lt;4,getOtherMax(B4711,C4711,INDIRECT(J$2),INDIRECT(I4711),test),getMax(B4711,C4711,INDIRECT(J$2),INDIRECT(I4711),test))</f>
        <v>169.16048810980774</v>
      </c>
      <c r="F4711" s="1" t="str">
        <f t="shared" si="295"/>
        <v>50</v>
      </c>
      <c r="G4711" s="1" t="str">
        <f t="shared" si="296"/>
        <v/>
      </c>
      <c r="I4711" s="1" t="str">
        <f t="shared" si="294"/>
        <v>威尔新数值1.06.xlsm!suitPower</v>
      </c>
    </row>
    <row r="4712" spans="1:9" x14ac:dyDescent="0.15">
      <c r="A4712" s="1">
        <v>4711</v>
      </c>
      <c r="B4712" s="1">
        <v>103051200</v>
      </c>
      <c r="C4712" s="1">
        <f t="shared" si="293"/>
        <v>13</v>
      </c>
      <c r="D4712" s="5">
        <f ca="1">IF(getQuality(B4712)&lt;4,getOtherMin(B4712,C4712,INDIRECT(J$2),INDIRECT(I4712),test),getMin(B4712,C4712,INDIRECT(J$2),INDIRECT(I4712),test))</f>
        <v>125.85135380491616</v>
      </c>
      <c r="E4712" s="5">
        <f ca="1">IF(getQuality(B4712)&lt;4,getOtherMax(B4712,C4712,INDIRECT(J$2),INDIRECT(I4712),test),getMax(B4712,C4712,INDIRECT(J$2),INDIRECT(I4712),test))</f>
        <v>169.16048810980774</v>
      </c>
      <c r="F4712" s="1" t="str">
        <f t="shared" si="295"/>
        <v>50</v>
      </c>
      <c r="G4712" s="1" t="str">
        <f t="shared" si="296"/>
        <v/>
      </c>
      <c r="I4712" s="1" t="str">
        <f t="shared" si="294"/>
        <v>威尔新数值1.06.xlsm!suitPower</v>
      </c>
    </row>
    <row r="4713" spans="1:9" x14ac:dyDescent="0.15">
      <c r="A4713" s="1">
        <v>4712</v>
      </c>
      <c r="B4713" s="1">
        <v>103051200</v>
      </c>
      <c r="C4713" s="1">
        <f t="shared" si="293"/>
        <v>14</v>
      </c>
      <c r="D4713" s="5">
        <f ca="1">IF(getQuality(B4713)&lt;4,getOtherMin(B4713,C4713,INDIRECT(J$2),INDIRECT(I4713),test),getMin(B4713,C4713,INDIRECT(J$2),INDIRECT(I4713),test))</f>
        <v>125.85135380491616</v>
      </c>
      <c r="E4713" s="5">
        <f ca="1">IF(getQuality(B4713)&lt;4,getOtherMax(B4713,C4713,INDIRECT(J$2),INDIRECT(I4713),test),getMax(B4713,C4713,INDIRECT(J$2),INDIRECT(I4713),test))</f>
        <v>169.16048810980774</v>
      </c>
      <c r="F4713" s="1" t="str">
        <f t="shared" si="295"/>
        <v>50</v>
      </c>
      <c r="G4713" s="1" t="str">
        <f t="shared" si="296"/>
        <v/>
      </c>
      <c r="I4713" s="1" t="str">
        <f t="shared" si="294"/>
        <v>威尔新数值1.06.xlsm!suitPower</v>
      </c>
    </row>
    <row r="4714" spans="1:9" x14ac:dyDescent="0.15">
      <c r="A4714" s="1">
        <v>4713</v>
      </c>
      <c r="B4714" s="1">
        <v>103051200</v>
      </c>
      <c r="C4714" s="1">
        <f t="shared" si="293"/>
        <v>15</v>
      </c>
      <c r="D4714" s="5">
        <f ca="1">IF(getQuality(B4714)&lt;4,getOtherMin(B4714,C4714,INDIRECT(J$2),INDIRECT(I4714),test),getMin(B4714,C4714,INDIRECT(J$2),INDIRECT(I4714),test))</f>
        <v>125.85135380491616</v>
      </c>
      <c r="E4714" s="5">
        <f ca="1">IF(getQuality(B4714)&lt;4,getOtherMax(B4714,C4714,INDIRECT(J$2),INDIRECT(I4714),test),getMax(B4714,C4714,INDIRECT(J$2),INDIRECT(I4714),test))</f>
        <v>169.16048810980774</v>
      </c>
      <c r="F4714" s="1" t="str">
        <f t="shared" si="295"/>
        <v>50</v>
      </c>
      <c r="G4714" s="1" t="str">
        <f t="shared" si="296"/>
        <v/>
      </c>
      <c r="I4714" s="1" t="str">
        <f t="shared" si="294"/>
        <v>威尔新数值1.06.xlsm!suitPower</v>
      </c>
    </row>
    <row r="4715" spans="1:9" x14ac:dyDescent="0.15">
      <c r="A4715" s="1">
        <v>4714</v>
      </c>
      <c r="B4715" s="1">
        <v>103051200</v>
      </c>
      <c r="C4715" s="1">
        <f t="shared" si="293"/>
        <v>101</v>
      </c>
      <c r="D4715" s="5">
        <f ca="1">IF(getQuality(B4715)&lt;4,getOtherMin(B4715,C4715,INDIRECT(J$2),INDIRECT(I4715),test),getMin(B4715,C4715,INDIRECT(J$2),INDIRECT(I4715),test))</f>
        <v>0.11</v>
      </c>
      <c r="E4715" s="5">
        <f ca="1">IF(getQuality(B4715)&lt;4,getOtherMax(B4715,C4715,INDIRECT(J$2),INDIRECT(I4715),test),getMax(B4715,C4715,INDIRECT(J$2),INDIRECT(I4715),test))</f>
        <v>0.14000000000000001</v>
      </c>
      <c r="F4715" s="1" t="str">
        <f t="shared" si="295"/>
        <v>50</v>
      </c>
      <c r="G4715" s="1" t="str">
        <f t="shared" si="296"/>
        <v/>
      </c>
      <c r="I4715" s="1" t="str">
        <f t="shared" si="294"/>
        <v>威尔新数值1.06.xlsm!circlePer</v>
      </c>
    </row>
    <row r="4716" spans="1:9" x14ac:dyDescent="0.15">
      <c r="A4716" s="1">
        <v>4715</v>
      </c>
      <c r="B4716" s="1">
        <v>103051200</v>
      </c>
      <c r="C4716" s="1">
        <f t="shared" si="293"/>
        <v>102</v>
      </c>
      <c r="D4716" s="5">
        <f ca="1">IF(getQuality(B4716)&lt;4,getOtherMin(B4716,C4716,INDIRECT(J$2),INDIRECT(I4716),test),getMin(B4716,C4716,INDIRECT(J$2),INDIRECT(I4716),test))</f>
        <v>1</v>
      </c>
      <c r="E4716" s="5">
        <f ca="1">IF(getQuality(B4716)&lt;4,getOtherMax(B4716,C4716,INDIRECT(J$2),INDIRECT(I4716),test),getMax(B4716,C4716,INDIRECT(J$2),INDIRECT(I4716),test))</f>
        <v>1.3</v>
      </c>
      <c r="F4716" s="1" t="str">
        <f t="shared" si="295"/>
        <v>50</v>
      </c>
      <c r="G4716" s="1" t="str">
        <f t="shared" si="296"/>
        <v/>
      </c>
      <c r="I4716" s="1" t="str">
        <f t="shared" si="294"/>
        <v>威尔新数值1.06.xlsm!circleValue</v>
      </c>
    </row>
    <row r="4717" spans="1:9" x14ac:dyDescent="0.15">
      <c r="A4717" s="1">
        <v>4716</v>
      </c>
      <c r="B4717" s="1">
        <v>103051200</v>
      </c>
      <c r="C4717" s="1">
        <f t="shared" si="293"/>
        <v>103</v>
      </c>
      <c r="D4717" s="5">
        <f ca="1">IF(getQuality(B4717)&lt;4,getOtherMin(B4717,C4717,INDIRECT(J$2),INDIRECT(I4717),test),getMin(B4717,C4717,INDIRECT(J$2),INDIRECT(I4717),test))</f>
        <v>0.11</v>
      </c>
      <c r="E4717" s="5">
        <f ca="1">IF(getQuality(B4717)&lt;4,getOtherMax(B4717,C4717,INDIRECT(J$2),INDIRECT(I4717),test),getMax(B4717,C4717,INDIRECT(J$2),INDIRECT(I4717),test))</f>
        <v>0.14000000000000001</v>
      </c>
      <c r="F4717" s="1" t="str">
        <f t="shared" si="295"/>
        <v>50</v>
      </c>
      <c r="G4717" s="1" t="str">
        <f t="shared" si="296"/>
        <v/>
      </c>
      <c r="I4717" s="1" t="str">
        <f t="shared" si="294"/>
        <v>威尔新数值1.06.xlsm!otherDamage</v>
      </c>
    </row>
    <row r="4718" spans="1:9" x14ac:dyDescent="0.15">
      <c r="A4718" s="1">
        <v>4717</v>
      </c>
      <c r="B4718" s="1">
        <v>103051200</v>
      </c>
      <c r="C4718" s="1">
        <f t="shared" si="293"/>
        <v>104</v>
      </c>
      <c r="D4718" s="5">
        <f ca="1">IF(getQuality(B4718)&lt;4,getOtherMin(B4718,C4718,INDIRECT(J$2),INDIRECT(I4718),test),getMin(B4718,C4718,INDIRECT(J$2),INDIRECT(I4718),test))</f>
        <v>0.11</v>
      </c>
      <c r="E4718" s="5">
        <f ca="1">IF(getQuality(B4718)&lt;4,getOtherMax(B4718,C4718,INDIRECT(J$2),INDIRECT(I4718),test),getMax(B4718,C4718,INDIRECT(J$2),INDIRECT(I4718),test))</f>
        <v>0.22</v>
      </c>
      <c r="F4718" s="1" t="str">
        <f t="shared" si="295"/>
        <v>50</v>
      </c>
      <c r="G4718" s="1" t="str">
        <f t="shared" si="296"/>
        <v/>
      </c>
      <c r="I4718" s="1" t="str">
        <f t="shared" si="294"/>
        <v>威尔新数值1.06.xlsm!monsterDamage</v>
      </c>
    </row>
    <row r="4719" spans="1:9" x14ac:dyDescent="0.15">
      <c r="A4719" s="1">
        <v>4718</v>
      </c>
      <c r="B4719" s="1">
        <v>103051200</v>
      </c>
      <c r="C4719" s="1">
        <f t="shared" si="293"/>
        <v>105</v>
      </c>
      <c r="D4719" s="5">
        <f ca="1">IF(getQuality(B4719)&lt;4,getOtherMin(B4719,C4719,INDIRECT(J$2),INDIRECT(I4719),test),getMin(B4719,C4719,INDIRECT(J$2),INDIRECT(I4719),test))</f>
        <v>0.11</v>
      </c>
      <c r="E4719" s="5">
        <f ca="1">IF(getQuality(B4719)&lt;4,getOtherMax(B4719,C4719,INDIRECT(J$2),INDIRECT(I4719),test),getMax(B4719,C4719,INDIRECT(J$2),INDIRECT(I4719),test))</f>
        <v>0.22</v>
      </c>
      <c r="F4719" s="1" t="str">
        <f t="shared" si="295"/>
        <v>50</v>
      </c>
      <c r="G4719" s="1" t="str">
        <f t="shared" si="296"/>
        <v/>
      </c>
      <c r="I4719" s="1" t="str">
        <f t="shared" si="294"/>
        <v>威尔新数值1.06.xlsm!monsterDamage</v>
      </c>
    </row>
    <row r="4720" spans="1:9" x14ac:dyDescent="0.15">
      <c r="A4720" s="1">
        <v>4719</v>
      </c>
      <c r="B4720" s="1">
        <v>103051200</v>
      </c>
      <c r="C4720" s="1">
        <f t="shared" si="293"/>
        <v>106</v>
      </c>
      <c r="D4720" s="5">
        <f ca="1">IF(getQuality(B4720)&lt;4,getOtherMin(B4720,C4720,INDIRECT(J$2),INDIRECT(I4720),test),getMin(B4720,C4720,INDIRECT(J$2),INDIRECT(I4720),test))</f>
        <v>0.11</v>
      </c>
      <c r="E4720" s="5">
        <f ca="1">IF(getQuality(B4720)&lt;4,getOtherMax(B4720,C4720,INDIRECT(J$2),INDIRECT(I4720),test),getMax(B4720,C4720,INDIRECT(J$2),INDIRECT(I4720),test))</f>
        <v>0.22</v>
      </c>
      <c r="F4720" s="1" t="str">
        <f t="shared" si="295"/>
        <v>50</v>
      </c>
      <c r="G4720" s="1" t="str">
        <f t="shared" si="296"/>
        <v/>
      </c>
      <c r="I4720" s="1" t="str">
        <f t="shared" si="294"/>
        <v>威尔新数值1.06.xlsm!monsterDamage</v>
      </c>
    </row>
    <row r="4721" spans="1:9" x14ac:dyDescent="0.15">
      <c r="A4721" s="1">
        <v>4720</v>
      </c>
      <c r="B4721" s="1">
        <v>103051200</v>
      </c>
      <c r="C4721" s="1">
        <f t="shared" si="293"/>
        <v>107</v>
      </c>
      <c r="D4721" s="5">
        <f ca="1">IF(getQuality(B4721)&lt;4,getOtherMin(B4721,C4721,INDIRECT(J$2),INDIRECT(I4721),test),getMin(B4721,C4721,INDIRECT(J$2),INDIRECT(I4721),test))</f>
        <v>0.11</v>
      </c>
      <c r="E4721" s="5">
        <f ca="1">IF(getQuality(B4721)&lt;4,getOtherMax(B4721,C4721,INDIRECT(J$2),INDIRECT(I4721),test),getMax(B4721,C4721,INDIRECT(J$2),INDIRECT(I4721),test))</f>
        <v>0.22</v>
      </c>
      <c r="F4721" s="1" t="str">
        <f t="shared" si="295"/>
        <v>50</v>
      </c>
      <c r="G4721" s="1" t="str">
        <f t="shared" si="296"/>
        <v/>
      </c>
      <c r="I4721" s="1" t="str">
        <f t="shared" si="294"/>
        <v>威尔新数值1.06.xlsm!monsterDamage</v>
      </c>
    </row>
    <row r="4722" spans="1:9" x14ac:dyDescent="0.15">
      <c r="A4722" s="1">
        <v>4721</v>
      </c>
      <c r="B4722" s="1">
        <v>103051200</v>
      </c>
      <c r="C4722" s="1">
        <f t="shared" si="293"/>
        <v>108</v>
      </c>
      <c r="D4722" s="5">
        <f ca="1">IF(getQuality(B4722)&lt;4,getOtherMin(B4722,C4722,INDIRECT(J$2),INDIRECT(I4722),test),getMin(B4722,C4722,INDIRECT(J$2),INDIRECT(I4722),test))</f>
        <v>0.11</v>
      </c>
      <c r="E4722" s="5">
        <f ca="1">IF(getQuality(B4722)&lt;4,getOtherMax(B4722,C4722,INDIRECT(J$2),INDIRECT(I4722),test),getMax(B4722,C4722,INDIRECT(J$2),INDIRECT(I4722),test))</f>
        <v>0.22</v>
      </c>
      <c r="F4722" s="1" t="str">
        <f t="shared" si="295"/>
        <v>50</v>
      </c>
      <c r="G4722" s="1" t="str">
        <f t="shared" si="296"/>
        <v/>
      </c>
      <c r="I4722" s="1" t="str">
        <f t="shared" si="294"/>
        <v>威尔新数值1.06.xlsm!monsterDamage</v>
      </c>
    </row>
    <row r="4723" spans="1:9" x14ac:dyDescent="0.15">
      <c r="A4723" s="1">
        <v>4722</v>
      </c>
      <c r="B4723" s="1">
        <v>103061200</v>
      </c>
      <c r="C4723" s="1">
        <f t="shared" si="293"/>
        <v>3</v>
      </c>
      <c r="D4723" s="5">
        <f ca="1">IF(getQuality(B4723)&lt;4,getOtherMin(B4723,C4723,INDIRECT(J$2),INDIRECT(I4723),test),getMin(B4723,C4723,INDIRECT(J$2),INDIRECT(I4723),test))</f>
        <v>170.16048810980774</v>
      </c>
      <c r="E4723" s="5">
        <f ca="1">IF(getQuality(B4723)&lt;4,getOtherMax(B4723,C4723,INDIRECT(J$2),INDIRECT(I4723),test),getMax(B4723,C4723,INDIRECT(J$2),INDIRECT(I4723),test))</f>
        <v>217.39851117079806</v>
      </c>
      <c r="F4723" s="1" t="str">
        <f t="shared" si="295"/>
        <v>50</v>
      </c>
      <c r="G4723" s="1" t="str">
        <f t="shared" si="296"/>
        <v>1</v>
      </c>
      <c r="I4723" s="1" t="str">
        <f t="shared" si="294"/>
        <v>威尔新数值1.06.xlsm!suitPower</v>
      </c>
    </row>
    <row r="4724" spans="1:9" x14ac:dyDescent="0.15">
      <c r="A4724" s="1">
        <v>4723</v>
      </c>
      <c r="B4724" s="1">
        <v>103061200</v>
      </c>
      <c r="C4724" s="1">
        <f t="shared" si="293"/>
        <v>5</v>
      </c>
      <c r="D4724" s="5">
        <f ca="1">IF(getQuality(B4724)&lt;4,getOtherMin(B4724,C4724,INDIRECT(J$2),INDIRECT(I4724),test),getMin(B4724,C4724,INDIRECT(J$2),INDIRECT(I4724),test))</f>
        <v>170.16048810980774</v>
      </c>
      <c r="E4724" s="5">
        <f ca="1">IF(getQuality(B4724)&lt;4,getOtherMax(B4724,C4724,INDIRECT(J$2),INDIRECT(I4724),test),getMax(B4724,C4724,INDIRECT(J$2),INDIRECT(I4724),test))</f>
        <v>217.39851117079806</v>
      </c>
      <c r="F4724" s="1" t="str">
        <f t="shared" si="295"/>
        <v>50</v>
      </c>
      <c r="G4724" s="1" t="str">
        <f t="shared" si="296"/>
        <v/>
      </c>
      <c r="I4724" s="1" t="str">
        <f t="shared" si="294"/>
        <v>威尔新数值1.06.xlsm!suitPower</v>
      </c>
    </row>
    <row r="4725" spans="1:9" x14ac:dyDescent="0.15">
      <c r="A4725" s="1">
        <v>4724</v>
      </c>
      <c r="B4725" s="1">
        <v>103061200</v>
      </c>
      <c r="C4725" s="1">
        <f t="shared" si="293"/>
        <v>7</v>
      </c>
      <c r="D4725" s="5">
        <f ca="1">IF(getQuality(B4725)&lt;4,getOtherMin(B4725,C4725,INDIRECT(J$2),INDIRECT(I4725),test),getMin(B4725,C4725,INDIRECT(J$2),INDIRECT(I4725),test))</f>
        <v>38.037037037036946</v>
      </c>
      <c r="E4725" s="5">
        <f ca="1">IF(getQuality(B4725)&lt;4,getOtherMax(B4725,C4725,INDIRECT(J$2),INDIRECT(I4725),test),getMax(B4725,C4725,INDIRECT(J$2),INDIRECT(I4725),test))</f>
        <v>44.444444444444329</v>
      </c>
      <c r="F4725" s="1" t="str">
        <f t="shared" si="295"/>
        <v>50</v>
      </c>
      <c r="G4725" s="1" t="str">
        <f t="shared" si="296"/>
        <v/>
      </c>
      <c r="I4725" s="1" t="str">
        <f t="shared" si="294"/>
        <v>威尔新数值1.06.xlsm!suitPower</v>
      </c>
    </row>
    <row r="4726" spans="1:9" x14ac:dyDescent="0.15">
      <c r="A4726" s="1">
        <v>4725</v>
      </c>
      <c r="B4726" s="1">
        <v>103061200</v>
      </c>
      <c r="C4726" s="1">
        <f t="shared" si="293"/>
        <v>8</v>
      </c>
      <c r="D4726" s="5">
        <f ca="1">IF(getQuality(B4726)&lt;4,getOtherMin(B4726,C4726,INDIRECT(J$2),INDIRECT(I4726),test),getMin(B4726,C4726,INDIRECT(J$2),INDIRECT(I4726),test))</f>
        <v>84.333333333333329</v>
      </c>
      <c r="E4726" s="5">
        <f ca="1">IF(getQuality(B4726)&lt;4,getOtherMax(B4726,C4726,INDIRECT(J$2),INDIRECT(I4726),test),getMax(B4726,C4726,INDIRECT(J$2),INDIRECT(I4726),test))</f>
        <v>100</v>
      </c>
      <c r="F4726" s="1" t="str">
        <f t="shared" si="295"/>
        <v>50</v>
      </c>
      <c r="G4726" s="1" t="str">
        <f t="shared" si="296"/>
        <v/>
      </c>
      <c r="I4726" s="1" t="str">
        <f t="shared" si="294"/>
        <v>威尔新数值1.06.xlsm!suitPower</v>
      </c>
    </row>
    <row r="4727" spans="1:9" x14ac:dyDescent="0.15">
      <c r="A4727" s="1">
        <v>4726</v>
      </c>
      <c r="B4727" s="1">
        <v>103061200</v>
      </c>
      <c r="C4727" s="1">
        <f t="shared" si="293"/>
        <v>9</v>
      </c>
      <c r="D4727" s="5">
        <f ca="1">IF(getQuality(B4727)&lt;4,getOtherMin(B4727,C4727,INDIRECT(J$2),INDIRECT(I4727),test),getMin(B4727,C4727,INDIRECT(J$2),INDIRECT(I4727),test))</f>
        <v>170.16048810980774</v>
      </c>
      <c r="E4727" s="5">
        <f ca="1">IF(getQuality(B4727)&lt;4,getOtherMax(B4727,C4727,INDIRECT(J$2),INDIRECT(I4727),test),getMax(B4727,C4727,INDIRECT(J$2),INDIRECT(I4727),test))</f>
        <v>217.39851117079806</v>
      </c>
      <c r="F4727" s="1" t="str">
        <f t="shared" si="295"/>
        <v>50</v>
      </c>
      <c r="G4727" s="1" t="str">
        <f t="shared" si="296"/>
        <v/>
      </c>
      <c r="I4727" s="1" t="str">
        <f t="shared" si="294"/>
        <v>威尔新数值1.06.xlsm!suitPower</v>
      </c>
    </row>
    <row r="4728" spans="1:9" x14ac:dyDescent="0.15">
      <c r="A4728" s="1">
        <v>4727</v>
      </c>
      <c r="B4728" s="1">
        <v>103061200</v>
      </c>
      <c r="C4728" s="1">
        <f t="shared" si="293"/>
        <v>10</v>
      </c>
      <c r="D4728" s="5">
        <f ca="1">IF(getQuality(B4728)&lt;4,getOtherMin(B4728,C4728,INDIRECT(J$2),INDIRECT(I4728),test),getMin(B4728,C4728,INDIRECT(J$2),INDIRECT(I4728),test))</f>
        <v>170.16048810980774</v>
      </c>
      <c r="E4728" s="5">
        <f ca="1">IF(getQuality(B4728)&lt;4,getOtherMax(B4728,C4728,INDIRECT(J$2),INDIRECT(I4728),test),getMax(B4728,C4728,INDIRECT(J$2),INDIRECT(I4728),test))</f>
        <v>217.39851117079806</v>
      </c>
      <c r="F4728" s="1" t="str">
        <f t="shared" si="295"/>
        <v>50</v>
      </c>
      <c r="G4728" s="1" t="str">
        <f t="shared" si="296"/>
        <v/>
      </c>
      <c r="I4728" s="1" t="str">
        <f t="shared" si="294"/>
        <v>威尔新数值1.06.xlsm!suitPower</v>
      </c>
    </row>
    <row r="4729" spans="1:9" x14ac:dyDescent="0.15">
      <c r="A4729" s="1">
        <v>4728</v>
      </c>
      <c r="B4729" s="1">
        <v>103061200</v>
      </c>
      <c r="C4729" s="1">
        <f t="shared" si="293"/>
        <v>11</v>
      </c>
      <c r="D4729" s="5">
        <f ca="1">IF(getQuality(B4729)&lt;4,getOtherMin(B4729,C4729,INDIRECT(J$2),INDIRECT(I4729),test),getMin(B4729,C4729,INDIRECT(J$2),INDIRECT(I4729),test))</f>
        <v>170.16048810980774</v>
      </c>
      <c r="E4729" s="5">
        <f ca="1">IF(getQuality(B4729)&lt;4,getOtherMax(B4729,C4729,INDIRECT(J$2),INDIRECT(I4729),test),getMax(B4729,C4729,INDIRECT(J$2),INDIRECT(I4729),test))</f>
        <v>217.39851117079806</v>
      </c>
      <c r="F4729" s="1" t="str">
        <f t="shared" si="295"/>
        <v>50</v>
      </c>
      <c r="G4729" s="1" t="str">
        <f t="shared" si="296"/>
        <v/>
      </c>
      <c r="I4729" s="1" t="str">
        <f t="shared" si="294"/>
        <v>威尔新数值1.06.xlsm!suitPower</v>
      </c>
    </row>
    <row r="4730" spans="1:9" x14ac:dyDescent="0.15">
      <c r="A4730" s="1">
        <v>4729</v>
      </c>
      <c r="B4730" s="1">
        <v>103061200</v>
      </c>
      <c r="C4730" s="1">
        <f t="shared" si="293"/>
        <v>12</v>
      </c>
      <c r="D4730" s="5">
        <f ca="1">IF(getQuality(B4730)&lt;4,getOtherMin(B4730,C4730,INDIRECT(J$2),INDIRECT(I4730),test),getMin(B4730,C4730,INDIRECT(J$2),INDIRECT(I4730),test))</f>
        <v>170.16048810980774</v>
      </c>
      <c r="E4730" s="5">
        <f ca="1">IF(getQuality(B4730)&lt;4,getOtherMax(B4730,C4730,INDIRECT(J$2),INDIRECT(I4730),test),getMax(B4730,C4730,INDIRECT(J$2),INDIRECT(I4730),test))</f>
        <v>217.39851117079806</v>
      </c>
      <c r="F4730" s="1" t="str">
        <f t="shared" si="295"/>
        <v>50</v>
      </c>
      <c r="G4730" s="1" t="str">
        <f t="shared" si="296"/>
        <v/>
      </c>
      <c r="I4730" s="1" t="str">
        <f t="shared" si="294"/>
        <v>威尔新数值1.06.xlsm!suitPower</v>
      </c>
    </row>
    <row r="4731" spans="1:9" x14ac:dyDescent="0.15">
      <c r="A4731" s="1">
        <v>4730</v>
      </c>
      <c r="B4731" s="1">
        <v>103061200</v>
      </c>
      <c r="C4731" s="1">
        <f t="shared" si="293"/>
        <v>13</v>
      </c>
      <c r="D4731" s="5">
        <f ca="1">IF(getQuality(B4731)&lt;4,getOtherMin(B4731,C4731,INDIRECT(J$2),INDIRECT(I4731),test),getMin(B4731,C4731,INDIRECT(J$2),INDIRECT(I4731),test))</f>
        <v>170.16048810980774</v>
      </c>
      <c r="E4731" s="5">
        <f ca="1">IF(getQuality(B4731)&lt;4,getOtherMax(B4731,C4731,INDIRECT(J$2),INDIRECT(I4731),test),getMax(B4731,C4731,INDIRECT(J$2),INDIRECT(I4731),test))</f>
        <v>217.39851117079806</v>
      </c>
      <c r="F4731" s="1" t="str">
        <f t="shared" si="295"/>
        <v>50</v>
      </c>
      <c r="G4731" s="1" t="str">
        <f t="shared" si="296"/>
        <v/>
      </c>
      <c r="I4731" s="1" t="str">
        <f t="shared" si="294"/>
        <v>威尔新数值1.06.xlsm!suitPower</v>
      </c>
    </row>
    <row r="4732" spans="1:9" x14ac:dyDescent="0.15">
      <c r="A4732" s="1">
        <v>4731</v>
      </c>
      <c r="B4732" s="1">
        <v>103061200</v>
      </c>
      <c r="C4732" s="1">
        <f t="shared" ref="C4732:C4795" si="297">C2257</f>
        <v>14</v>
      </c>
      <c r="D4732" s="5">
        <f ca="1">IF(getQuality(B4732)&lt;4,getOtherMin(B4732,C4732,INDIRECT(J$2),INDIRECT(I4732),test),getMin(B4732,C4732,INDIRECT(J$2),INDIRECT(I4732),test))</f>
        <v>170.16048810980774</v>
      </c>
      <c r="E4732" s="5">
        <f ca="1">IF(getQuality(B4732)&lt;4,getOtherMax(B4732,C4732,INDIRECT(J$2),INDIRECT(I4732),test),getMax(B4732,C4732,INDIRECT(J$2),INDIRECT(I4732),test))</f>
        <v>217.39851117079806</v>
      </c>
      <c r="F4732" s="1" t="str">
        <f t="shared" si="295"/>
        <v>50</v>
      </c>
      <c r="G4732" s="1" t="str">
        <f t="shared" si="296"/>
        <v/>
      </c>
      <c r="I4732" s="1" t="str">
        <f t="shared" si="294"/>
        <v>威尔新数值1.06.xlsm!suitPower</v>
      </c>
    </row>
    <row r="4733" spans="1:9" x14ac:dyDescent="0.15">
      <c r="A4733" s="1">
        <v>4732</v>
      </c>
      <c r="B4733" s="1">
        <v>103061200</v>
      </c>
      <c r="C4733" s="1">
        <f t="shared" si="297"/>
        <v>15</v>
      </c>
      <c r="D4733" s="5">
        <f ca="1">IF(getQuality(B4733)&lt;4,getOtherMin(B4733,C4733,INDIRECT(J$2),INDIRECT(I4733),test),getMin(B4733,C4733,INDIRECT(J$2),INDIRECT(I4733),test))</f>
        <v>170.16048810980774</v>
      </c>
      <c r="E4733" s="5">
        <f ca="1">IF(getQuality(B4733)&lt;4,getOtherMax(B4733,C4733,INDIRECT(J$2),INDIRECT(I4733),test),getMax(B4733,C4733,INDIRECT(J$2),INDIRECT(I4733),test))</f>
        <v>217.39851117079806</v>
      </c>
      <c r="F4733" s="1" t="str">
        <f t="shared" si="295"/>
        <v>50</v>
      </c>
      <c r="G4733" s="1" t="str">
        <f t="shared" si="296"/>
        <v/>
      </c>
      <c r="I4733" s="1" t="str">
        <f t="shared" si="294"/>
        <v>威尔新数值1.06.xlsm!suitPower</v>
      </c>
    </row>
    <row r="4734" spans="1:9" x14ac:dyDescent="0.15">
      <c r="A4734" s="1">
        <v>4733</v>
      </c>
      <c r="B4734" s="1">
        <v>103061200</v>
      </c>
      <c r="C4734" s="1">
        <f t="shared" si="297"/>
        <v>101</v>
      </c>
      <c r="D4734" s="5">
        <f ca="1">IF(getQuality(B4734)&lt;4,getOtherMin(B4734,C4734,INDIRECT(J$2),INDIRECT(I4734),test),getMin(B4734,C4734,INDIRECT(J$2),INDIRECT(I4734),test))</f>
        <v>0.12</v>
      </c>
      <c r="E4734" s="5">
        <f ca="1">IF(getQuality(B4734)&lt;4,getOtherMax(B4734,C4734,INDIRECT(J$2),INDIRECT(I4734),test),getMax(B4734,C4734,INDIRECT(J$2),INDIRECT(I4734),test))</f>
        <v>0.15</v>
      </c>
      <c r="F4734" s="1" t="str">
        <f t="shared" si="295"/>
        <v>50</v>
      </c>
      <c r="G4734" s="1" t="str">
        <f t="shared" si="296"/>
        <v/>
      </c>
      <c r="I4734" s="1" t="str">
        <f t="shared" si="294"/>
        <v>威尔新数值1.06.xlsm!circlePer</v>
      </c>
    </row>
    <row r="4735" spans="1:9" x14ac:dyDescent="0.15">
      <c r="A4735" s="1">
        <v>4734</v>
      </c>
      <c r="B4735" s="1">
        <v>103061200</v>
      </c>
      <c r="C4735" s="1">
        <f t="shared" si="297"/>
        <v>102</v>
      </c>
      <c r="D4735" s="5">
        <f ca="1">IF(getQuality(B4735)&lt;4,getOtherMin(B4735,C4735,INDIRECT(J$2),INDIRECT(I4735),test),getMin(B4735,C4735,INDIRECT(J$2),INDIRECT(I4735),test))</f>
        <v>1.1000000000000001</v>
      </c>
      <c r="E4735" s="5">
        <f ca="1">IF(getQuality(B4735)&lt;4,getOtherMax(B4735,C4735,INDIRECT(J$2),INDIRECT(I4735),test),getMax(B4735,C4735,INDIRECT(J$2),INDIRECT(I4735),test))</f>
        <v>1.4</v>
      </c>
      <c r="F4735" s="1" t="str">
        <f t="shared" si="295"/>
        <v>50</v>
      </c>
      <c r="G4735" s="1" t="str">
        <f t="shared" si="296"/>
        <v/>
      </c>
      <c r="I4735" s="1" t="str">
        <f t="shared" si="294"/>
        <v>威尔新数值1.06.xlsm!circleValue</v>
      </c>
    </row>
    <row r="4736" spans="1:9" x14ac:dyDescent="0.15">
      <c r="A4736" s="1">
        <v>4735</v>
      </c>
      <c r="B4736" s="1">
        <v>103061200</v>
      </c>
      <c r="C4736" s="1">
        <f t="shared" si="297"/>
        <v>103</v>
      </c>
      <c r="D4736" s="5">
        <f ca="1">IF(getQuality(B4736)&lt;4,getOtherMin(B4736,C4736,INDIRECT(J$2),INDIRECT(I4736),test),getMin(B4736,C4736,INDIRECT(J$2),INDIRECT(I4736),test))</f>
        <v>0.12</v>
      </c>
      <c r="E4736" s="5">
        <f ca="1">IF(getQuality(B4736)&lt;4,getOtherMax(B4736,C4736,INDIRECT(J$2),INDIRECT(I4736),test),getMax(B4736,C4736,INDIRECT(J$2),INDIRECT(I4736),test))</f>
        <v>0.15</v>
      </c>
      <c r="F4736" s="1" t="str">
        <f t="shared" si="295"/>
        <v>50</v>
      </c>
      <c r="G4736" s="1" t="str">
        <f t="shared" si="296"/>
        <v/>
      </c>
      <c r="I4736" s="1" t="str">
        <f t="shared" si="294"/>
        <v>威尔新数值1.06.xlsm!otherDamage</v>
      </c>
    </row>
    <row r="4737" spans="1:9" x14ac:dyDescent="0.15">
      <c r="A4737" s="1">
        <v>4736</v>
      </c>
      <c r="B4737" s="1">
        <v>103061200</v>
      </c>
      <c r="C4737" s="1">
        <f t="shared" si="297"/>
        <v>104</v>
      </c>
      <c r="D4737" s="5">
        <f ca="1">IF(getQuality(B4737)&lt;4,getOtherMin(B4737,C4737,INDIRECT(J$2),INDIRECT(I4737),test),getMin(B4737,C4737,INDIRECT(J$2),INDIRECT(I4737),test))</f>
        <v>0.12</v>
      </c>
      <c r="E4737" s="5">
        <f ca="1">IF(getQuality(B4737)&lt;4,getOtherMax(B4737,C4737,INDIRECT(J$2),INDIRECT(I4737),test),getMax(B4737,C4737,INDIRECT(J$2),INDIRECT(I4737),test))</f>
        <v>0.24</v>
      </c>
      <c r="F4737" s="1" t="str">
        <f t="shared" si="295"/>
        <v>50</v>
      </c>
      <c r="G4737" s="1" t="str">
        <f t="shared" si="296"/>
        <v/>
      </c>
      <c r="I4737" s="1" t="str">
        <f t="shared" si="294"/>
        <v>威尔新数值1.06.xlsm!monsterDamage</v>
      </c>
    </row>
    <row r="4738" spans="1:9" x14ac:dyDescent="0.15">
      <c r="A4738" s="1">
        <v>4737</v>
      </c>
      <c r="B4738" s="1">
        <v>103061200</v>
      </c>
      <c r="C4738" s="1">
        <f t="shared" si="297"/>
        <v>105</v>
      </c>
      <c r="D4738" s="5">
        <f ca="1">IF(getQuality(B4738)&lt;4,getOtherMin(B4738,C4738,INDIRECT(J$2),INDIRECT(I4738),test),getMin(B4738,C4738,INDIRECT(J$2),INDIRECT(I4738),test))</f>
        <v>0.12</v>
      </c>
      <c r="E4738" s="5">
        <f ca="1">IF(getQuality(B4738)&lt;4,getOtherMax(B4738,C4738,INDIRECT(J$2),INDIRECT(I4738),test),getMax(B4738,C4738,INDIRECT(J$2),INDIRECT(I4738),test))</f>
        <v>0.24</v>
      </c>
      <c r="F4738" s="1" t="str">
        <f t="shared" si="295"/>
        <v>50</v>
      </c>
      <c r="G4738" s="1" t="str">
        <f t="shared" si="296"/>
        <v/>
      </c>
      <c r="I4738" s="1" t="str">
        <f t="shared" ref="I4738:I4801" si="298">IF(C4738&lt;100,VLOOKUP(C4738,test,3,FALSE),VLOOKUP(C4738,test1,3,FALSE))</f>
        <v>威尔新数值1.06.xlsm!monsterDamage</v>
      </c>
    </row>
    <row r="4739" spans="1:9" x14ac:dyDescent="0.15">
      <c r="A4739" s="1">
        <v>4738</v>
      </c>
      <c r="B4739" s="1">
        <v>103061200</v>
      </c>
      <c r="C4739" s="1">
        <f t="shared" si="297"/>
        <v>106</v>
      </c>
      <c r="D4739" s="5">
        <f ca="1">IF(getQuality(B4739)&lt;4,getOtherMin(B4739,C4739,INDIRECT(J$2),INDIRECT(I4739),test),getMin(B4739,C4739,INDIRECT(J$2),INDIRECT(I4739),test))</f>
        <v>0.12</v>
      </c>
      <c r="E4739" s="5">
        <f ca="1">IF(getQuality(B4739)&lt;4,getOtherMax(B4739,C4739,INDIRECT(J$2),INDIRECT(I4739),test),getMax(B4739,C4739,INDIRECT(J$2),INDIRECT(I4739),test))</f>
        <v>0.24</v>
      </c>
      <c r="F4739" s="1" t="str">
        <f t="shared" ref="F4739:F4802" si="299">getper(B4739,C4739)</f>
        <v>50</v>
      </c>
      <c r="G4739" s="1" t="str">
        <f t="shared" ref="G4739:G4802" si="300">getMust(B4739,C4739)</f>
        <v/>
      </c>
      <c r="I4739" s="1" t="str">
        <f t="shared" si="298"/>
        <v>威尔新数值1.06.xlsm!monsterDamage</v>
      </c>
    </row>
    <row r="4740" spans="1:9" x14ac:dyDescent="0.15">
      <c r="A4740" s="1">
        <v>4739</v>
      </c>
      <c r="B4740" s="1">
        <v>103061200</v>
      </c>
      <c r="C4740" s="1">
        <f t="shared" si="297"/>
        <v>107</v>
      </c>
      <c r="D4740" s="5">
        <f ca="1">IF(getQuality(B4740)&lt;4,getOtherMin(B4740,C4740,INDIRECT(J$2),INDIRECT(I4740),test),getMin(B4740,C4740,INDIRECT(J$2),INDIRECT(I4740),test))</f>
        <v>0.12</v>
      </c>
      <c r="E4740" s="5">
        <f ca="1">IF(getQuality(B4740)&lt;4,getOtherMax(B4740,C4740,INDIRECT(J$2),INDIRECT(I4740),test),getMax(B4740,C4740,INDIRECT(J$2),INDIRECT(I4740),test))</f>
        <v>0.24</v>
      </c>
      <c r="F4740" s="1" t="str">
        <f t="shared" si="299"/>
        <v>50</v>
      </c>
      <c r="G4740" s="1" t="str">
        <f t="shared" si="300"/>
        <v/>
      </c>
      <c r="I4740" s="1" t="str">
        <f t="shared" si="298"/>
        <v>威尔新数值1.06.xlsm!monsterDamage</v>
      </c>
    </row>
    <row r="4741" spans="1:9" x14ac:dyDescent="0.15">
      <c r="A4741" s="1">
        <v>4740</v>
      </c>
      <c r="B4741" s="1">
        <v>103061200</v>
      </c>
      <c r="C4741" s="1">
        <f t="shared" si="297"/>
        <v>108</v>
      </c>
      <c r="D4741" s="5">
        <f ca="1">IF(getQuality(B4741)&lt;4,getOtherMin(B4741,C4741,INDIRECT(J$2),INDIRECT(I4741),test),getMin(B4741,C4741,INDIRECT(J$2),INDIRECT(I4741),test))</f>
        <v>0.12</v>
      </c>
      <c r="E4741" s="5">
        <f ca="1">IF(getQuality(B4741)&lt;4,getOtherMax(B4741,C4741,INDIRECT(J$2),INDIRECT(I4741),test),getMax(B4741,C4741,INDIRECT(J$2),INDIRECT(I4741),test))</f>
        <v>0.24</v>
      </c>
      <c r="F4741" s="1" t="str">
        <f t="shared" si="299"/>
        <v>50</v>
      </c>
      <c r="G4741" s="1" t="str">
        <f t="shared" si="300"/>
        <v/>
      </c>
      <c r="I4741" s="1" t="str">
        <f t="shared" si="298"/>
        <v>威尔新数值1.06.xlsm!monsterDamage</v>
      </c>
    </row>
    <row r="4742" spans="1:9" x14ac:dyDescent="0.15">
      <c r="A4742" s="1">
        <v>4741</v>
      </c>
      <c r="B4742" s="1">
        <v>103071200</v>
      </c>
      <c r="C4742" s="1">
        <f t="shared" si="297"/>
        <v>3</v>
      </c>
      <c r="D4742" s="5">
        <f ca="1">IF(getQuality(B4742)&lt;4,getOtherMin(B4742,C4742,INDIRECT(J$2),INDIRECT(I4742),test),getMin(B4742,C4742,INDIRECT(J$2),INDIRECT(I4742),test))</f>
        <v>218.39851117079806</v>
      </c>
      <c r="E4742" s="5">
        <f ca="1">IF(getQuality(B4742)&lt;4,getOtherMax(B4742,C4742,INDIRECT(J$2),INDIRECT(I4742),test),getMax(B4742,C4742,INDIRECT(J$2),INDIRECT(I4742),test))</f>
        <v>270.43850937813136</v>
      </c>
      <c r="F4742" s="1" t="str">
        <f t="shared" si="299"/>
        <v>50</v>
      </c>
      <c r="G4742" s="1" t="str">
        <f t="shared" si="300"/>
        <v>1</v>
      </c>
      <c r="I4742" s="1" t="str">
        <f t="shared" si="298"/>
        <v>威尔新数值1.06.xlsm!suitPower</v>
      </c>
    </row>
    <row r="4743" spans="1:9" x14ac:dyDescent="0.15">
      <c r="A4743" s="1">
        <v>4742</v>
      </c>
      <c r="B4743" s="1">
        <v>103071200</v>
      </c>
      <c r="C4743" s="1">
        <f t="shared" si="297"/>
        <v>5</v>
      </c>
      <c r="D4743" s="5">
        <f ca="1">IF(getQuality(B4743)&lt;4,getOtherMin(B4743,C4743,INDIRECT(J$2),INDIRECT(I4743),test),getMin(B4743,C4743,INDIRECT(J$2),INDIRECT(I4743),test))</f>
        <v>218.39851117079806</v>
      </c>
      <c r="E4743" s="5">
        <f ca="1">IF(getQuality(B4743)&lt;4,getOtherMax(B4743,C4743,INDIRECT(J$2),INDIRECT(I4743),test),getMax(B4743,C4743,INDIRECT(J$2),INDIRECT(I4743),test))</f>
        <v>270.43850937813136</v>
      </c>
      <c r="F4743" s="1" t="str">
        <f t="shared" si="299"/>
        <v>50</v>
      </c>
      <c r="G4743" s="1" t="str">
        <f t="shared" si="300"/>
        <v/>
      </c>
      <c r="I4743" s="1" t="str">
        <f t="shared" si="298"/>
        <v>威尔新数值1.06.xlsm!suitPower</v>
      </c>
    </row>
    <row r="4744" spans="1:9" x14ac:dyDescent="0.15">
      <c r="A4744" s="1">
        <v>4743</v>
      </c>
      <c r="B4744" s="1">
        <v>103071200</v>
      </c>
      <c r="C4744" s="1">
        <f t="shared" si="297"/>
        <v>7</v>
      </c>
      <c r="D4744" s="5">
        <f ca="1">IF(getQuality(B4744)&lt;4,getOtherMin(B4744,C4744,INDIRECT(J$2),INDIRECT(I4744),test),getMin(B4744,C4744,INDIRECT(J$2),INDIRECT(I4744),test))</f>
        <v>45.444444444444329</v>
      </c>
      <c r="E4744" s="5">
        <f ca="1">IF(getQuality(B4744)&lt;4,getOtherMax(B4744,C4744,INDIRECT(J$2),INDIRECT(I4744),test),getMax(B4744,C4744,INDIRECT(J$2),INDIRECT(I4744),test))</f>
        <v>51.85185185185172</v>
      </c>
      <c r="F4744" s="1" t="str">
        <f t="shared" si="299"/>
        <v>50</v>
      </c>
      <c r="G4744" s="1" t="str">
        <f t="shared" si="300"/>
        <v/>
      </c>
      <c r="I4744" s="1" t="str">
        <f t="shared" si="298"/>
        <v>威尔新数值1.06.xlsm!suitPower</v>
      </c>
    </row>
    <row r="4745" spans="1:9" x14ac:dyDescent="0.15">
      <c r="A4745" s="1">
        <v>4744</v>
      </c>
      <c r="B4745" s="1">
        <v>103071200</v>
      </c>
      <c r="C4745" s="1">
        <f t="shared" si="297"/>
        <v>8</v>
      </c>
      <c r="D4745" s="5">
        <f ca="1">IF(getQuality(B4745)&lt;4,getOtherMin(B4745,C4745,INDIRECT(J$2),INDIRECT(I4745),test),getMin(B4745,C4745,INDIRECT(J$2),INDIRECT(I4745),test))</f>
        <v>101</v>
      </c>
      <c r="E4745" s="5">
        <f ca="1">IF(getQuality(B4745)&lt;4,getOtherMax(B4745,C4745,INDIRECT(J$2),INDIRECT(I4745),test),getMax(B4745,C4745,INDIRECT(J$2),INDIRECT(I4745),test))</f>
        <v>116.66666666666667</v>
      </c>
      <c r="F4745" s="1" t="str">
        <f t="shared" si="299"/>
        <v>50</v>
      </c>
      <c r="G4745" s="1" t="str">
        <f t="shared" si="300"/>
        <v/>
      </c>
      <c r="I4745" s="1" t="str">
        <f t="shared" si="298"/>
        <v>威尔新数值1.06.xlsm!suitPower</v>
      </c>
    </row>
    <row r="4746" spans="1:9" x14ac:dyDescent="0.15">
      <c r="A4746" s="1">
        <v>4745</v>
      </c>
      <c r="B4746" s="1">
        <v>103071200</v>
      </c>
      <c r="C4746" s="1">
        <f t="shared" si="297"/>
        <v>9</v>
      </c>
      <c r="D4746" s="5">
        <f ca="1">IF(getQuality(B4746)&lt;4,getOtherMin(B4746,C4746,INDIRECT(J$2),INDIRECT(I4746),test),getMin(B4746,C4746,INDIRECT(J$2),INDIRECT(I4746),test))</f>
        <v>218.39851117079806</v>
      </c>
      <c r="E4746" s="5">
        <f ca="1">IF(getQuality(B4746)&lt;4,getOtherMax(B4746,C4746,INDIRECT(J$2),INDIRECT(I4746),test),getMax(B4746,C4746,INDIRECT(J$2),INDIRECT(I4746),test))</f>
        <v>270.43850937813136</v>
      </c>
      <c r="F4746" s="1" t="str">
        <f t="shared" si="299"/>
        <v>50</v>
      </c>
      <c r="G4746" s="1" t="str">
        <f t="shared" si="300"/>
        <v/>
      </c>
      <c r="I4746" s="1" t="str">
        <f t="shared" si="298"/>
        <v>威尔新数值1.06.xlsm!suitPower</v>
      </c>
    </row>
    <row r="4747" spans="1:9" x14ac:dyDescent="0.15">
      <c r="A4747" s="1">
        <v>4746</v>
      </c>
      <c r="B4747" s="1">
        <v>103071200</v>
      </c>
      <c r="C4747" s="1">
        <f t="shared" si="297"/>
        <v>10</v>
      </c>
      <c r="D4747" s="5">
        <f ca="1">IF(getQuality(B4747)&lt;4,getOtherMin(B4747,C4747,INDIRECT(J$2),INDIRECT(I4747),test),getMin(B4747,C4747,INDIRECT(J$2),INDIRECT(I4747),test))</f>
        <v>218.39851117079806</v>
      </c>
      <c r="E4747" s="5">
        <f ca="1">IF(getQuality(B4747)&lt;4,getOtherMax(B4747,C4747,INDIRECT(J$2),INDIRECT(I4747),test),getMax(B4747,C4747,INDIRECT(J$2),INDIRECT(I4747),test))</f>
        <v>270.43850937813136</v>
      </c>
      <c r="F4747" s="1" t="str">
        <f t="shared" si="299"/>
        <v>50</v>
      </c>
      <c r="G4747" s="1" t="str">
        <f t="shared" si="300"/>
        <v/>
      </c>
      <c r="I4747" s="1" t="str">
        <f t="shared" si="298"/>
        <v>威尔新数值1.06.xlsm!suitPower</v>
      </c>
    </row>
    <row r="4748" spans="1:9" x14ac:dyDescent="0.15">
      <c r="A4748" s="1">
        <v>4747</v>
      </c>
      <c r="B4748" s="1">
        <v>103071200</v>
      </c>
      <c r="C4748" s="1">
        <f t="shared" si="297"/>
        <v>11</v>
      </c>
      <c r="D4748" s="5">
        <f ca="1">IF(getQuality(B4748)&lt;4,getOtherMin(B4748,C4748,INDIRECT(J$2),INDIRECT(I4748),test),getMin(B4748,C4748,INDIRECT(J$2),INDIRECT(I4748),test))</f>
        <v>218.39851117079806</v>
      </c>
      <c r="E4748" s="5">
        <f ca="1">IF(getQuality(B4748)&lt;4,getOtherMax(B4748,C4748,INDIRECT(J$2),INDIRECT(I4748),test),getMax(B4748,C4748,INDIRECT(J$2),INDIRECT(I4748),test))</f>
        <v>270.43850937813136</v>
      </c>
      <c r="F4748" s="1" t="str">
        <f t="shared" si="299"/>
        <v>50</v>
      </c>
      <c r="G4748" s="1" t="str">
        <f t="shared" si="300"/>
        <v/>
      </c>
      <c r="I4748" s="1" t="str">
        <f t="shared" si="298"/>
        <v>威尔新数值1.06.xlsm!suitPower</v>
      </c>
    </row>
    <row r="4749" spans="1:9" x14ac:dyDescent="0.15">
      <c r="A4749" s="1">
        <v>4748</v>
      </c>
      <c r="B4749" s="1">
        <v>103071200</v>
      </c>
      <c r="C4749" s="1">
        <f t="shared" si="297"/>
        <v>12</v>
      </c>
      <c r="D4749" s="5">
        <f ca="1">IF(getQuality(B4749)&lt;4,getOtherMin(B4749,C4749,INDIRECT(J$2),INDIRECT(I4749),test),getMin(B4749,C4749,INDIRECT(J$2),INDIRECT(I4749),test))</f>
        <v>218.39851117079806</v>
      </c>
      <c r="E4749" s="5">
        <f ca="1">IF(getQuality(B4749)&lt;4,getOtherMax(B4749,C4749,INDIRECT(J$2),INDIRECT(I4749),test),getMax(B4749,C4749,INDIRECT(J$2),INDIRECT(I4749),test))</f>
        <v>270.43850937813136</v>
      </c>
      <c r="F4749" s="1" t="str">
        <f t="shared" si="299"/>
        <v>50</v>
      </c>
      <c r="G4749" s="1" t="str">
        <f t="shared" si="300"/>
        <v/>
      </c>
      <c r="I4749" s="1" t="str">
        <f t="shared" si="298"/>
        <v>威尔新数值1.06.xlsm!suitPower</v>
      </c>
    </row>
    <row r="4750" spans="1:9" x14ac:dyDescent="0.15">
      <c r="A4750" s="1">
        <v>4749</v>
      </c>
      <c r="B4750" s="1">
        <v>103071200</v>
      </c>
      <c r="C4750" s="1">
        <f t="shared" si="297"/>
        <v>13</v>
      </c>
      <c r="D4750" s="5">
        <f ca="1">IF(getQuality(B4750)&lt;4,getOtherMin(B4750,C4750,INDIRECT(J$2),INDIRECT(I4750),test),getMin(B4750,C4750,INDIRECT(J$2),INDIRECT(I4750),test))</f>
        <v>218.39851117079806</v>
      </c>
      <c r="E4750" s="5">
        <f ca="1">IF(getQuality(B4750)&lt;4,getOtherMax(B4750,C4750,INDIRECT(J$2),INDIRECT(I4750),test),getMax(B4750,C4750,INDIRECT(J$2),INDIRECT(I4750),test))</f>
        <v>270.43850937813136</v>
      </c>
      <c r="F4750" s="1" t="str">
        <f t="shared" si="299"/>
        <v>50</v>
      </c>
      <c r="G4750" s="1" t="str">
        <f t="shared" si="300"/>
        <v/>
      </c>
      <c r="I4750" s="1" t="str">
        <f t="shared" si="298"/>
        <v>威尔新数值1.06.xlsm!suitPower</v>
      </c>
    </row>
    <row r="4751" spans="1:9" x14ac:dyDescent="0.15">
      <c r="A4751" s="1">
        <v>4750</v>
      </c>
      <c r="B4751" s="1">
        <v>103071200</v>
      </c>
      <c r="C4751" s="1">
        <f t="shared" si="297"/>
        <v>14</v>
      </c>
      <c r="D4751" s="5">
        <f ca="1">IF(getQuality(B4751)&lt;4,getOtherMin(B4751,C4751,INDIRECT(J$2),INDIRECT(I4751),test),getMin(B4751,C4751,INDIRECT(J$2),INDIRECT(I4751),test))</f>
        <v>218.39851117079806</v>
      </c>
      <c r="E4751" s="5">
        <f ca="1">IF(getQuality(B4751)&lt;4,getOtherMax(B4751,C4751,INDIRECT(J$2),INDIRECT(I4751),test),getMax(B4751,C4751,INDIRECT(J$2),INDIRECT(I4751),test))</f>
        <v>270.43850937813136</v>
      </c>
      <c r="F4751" s="1" t="str">
        <f t="shared" si="299"/>
        <v>50</v>
      </c>
      <c r="G4751" s="1" t="str">
        <f t="shared" si="300"/>
        <v/>
      </c>
      <c r="I4751" s="1" t="str">
        <f t="shared" si="298"/>
        <v>威尔新数值1.06.xlsm!suitPower</v>
      </c>
    </row>
    <row r="4752" spans="1:9" x14ac:dyDescent="0.15">
      <c r="A4752" s="1">
        <v>4751</v>
      </c>
      <c r="B4752" s="1">
        <v>103071200</v>
      </c>
      <c r="C4752" s="1">
        <f t="shared" si="297"/>
        <v>15</v>
      </c>
      <c r="D4752" s="5">
        <f ca="1">IF(getQuality(B4752)&lt;4,getOtherMin(B4752,C4752,INDIRECT(J$2),INDIRECT(I4752),test),getMin(B4752,C4752,INDIRECT(J$2),INDIRECT(I4752),test))</f>
        <v>218.39851117079806</v>
      </c>
      <c r="E4752" s="5">
        <f ca="1">IF(getQuality(B4752)&lt;4,getOtherMax(B4752,C4752,INDIRECT(J$2),INDIRECT(I4752),test),getMax(B4752,C4752,INDIRECT(J$2),INDIRECT(I4752),test))</f>
        <v>270.43850937813136</v>
      </c>
      <c r="F4752" s="1" t="str">
        <f t="shared" si="299"/>
        <v>50</v>
      </c>
      <c r="G4752" s="1" t="str">
        <f t="shared" si="300"/>
        <v/>
      </c>
      <c r="I4752" s="1" t="str">
        <f t="shared" si="298"/>
        <v>威尔新数值1.06.xlsm!suitPower</v>
      </c>
    </row>
    <row r="4753" spans="1:9" x14ac:dyDescent="0.15">
      <c r="A4753" s="1">
        <v>4752</v>
      </c>
      <c r="B4753" s="1">
        <v>103071200</v>
      </c>
      <c r="C4753" s="1">
        <f t="shared" si="297"/>
        <v>101</v>
      </c>
      <c r="D4753" s="5">
        <f ca="1">IF(getQuality(B4753)&lt;4,getOtherMin(B4753,C4753,INDIRECT(J$2),INDIRECT(I4753),test),getMin(B4753,C4753,INDIRECT(J$2),INDIRECT(I4753),test))</f>
        <v>0.13</v>
      </c>
      <c r="E4753" s="5">
        <f ca="1">IF(getQuality(B4753)&lt;4,getOtherMax(B4753,C4753,INDIRECT(J$2),INDIRECT(I4753),test),getMax(B4753,C4753,INDIRECT(J$2),INDIRECT(I4753),test))</f>
        <v>0.16</v>
      </c>
      <c r="F4753" s="1" t="str">
        <f t="shared" si="299"/>
        <v>50</v>
      </c>
      <c r="G4753" s="1" t="str">
        <f t="shared" si="300"/>
        <v/>
      </c>
      <c r="I4753" s="1" t="str">
        <f t="shared" si="298"/>
        <v>威尔新数值1.06.xlsm!circlePer</v>
      </c>
    </row>
    <row r="4754" spans="1:9" x14ac:dyDescent="0.15">
      <c r="A4754" s="1">
        <v>4753</v>
      </c>
      <c r="B4754" s="1">
        <v>103071200</v>
      </c>
      <c r="C4754" s="1">
        <f t="shared" si="297"/>
        <v>102</v>
      </c>
      <c r="D4754" s="5">
        <f ca="1">IF(getQuality(B4754)&lt;4,getOtherMin(B4754,C4754,INDIRECT(J$2),INDIRECT(I4754),test),getMin(B4754,C4754,INDIRECT(J$2),INDIRECT(I4754),test))</f>
        <v>1.2</v>
      </c>
      <c r="E4754" s="5">
        <f ca="1">IF(getQuality(B4754)&lt;4,getOtherMax(B4754,C4754,INDIRECT(J$2),INDIRECT(I4754),test),getMax(B4754,C4754,INDIRECT(J$2),INDIRECT(I4754),test))</f>
        <v>1.5</v>
      </c>
      <c r="F4754" s="1" t="str">
        <f t="shared" si="299"/>
        <v>50</v>
      </c>
      <c r="G4754" s="1" t="str">
        <f t="shared" si="300"/>
        <v/>
      </c>
      <c r="I4754" s="1" t="str">
        <f t="shared" si="298"/>
        <v>威尔新数值1.06.xlsm!circleValue</v>
      </c>
    </row>
    <row r="4755" spans="1:9" x14ac:dyDescent="0.15">
      <c r="A4755" s="1">
        <v>4754</v>
      </c>
      <c r="B4755" s="1">
        <v>103071200</v>
      </c>
      <c r="C4755" s="1">
        <f t="shared" si="297"/>
        <v>103</v>
      </c>
      <c r="D4755" s="5">
        <f ca="1">IF(getQuality(B4755)&lt;4,getOtherMin(B4755,C4755,INDIRECT(J$2),INDIRECT(I4755),test),getMin(B4755,C4755,INDIRECT(J$2),INDIRECT(I4755),test))</f>
        <v>0.13</v>
      </c>
      <c r="E4755" s="5">
        <f ca="1">IF(getQuality(B4755)&lt;4,getOtherMax(B4755,C4755,INDIRECT(J$2),INDIRECT(I4755),test),getMax(B4755,C4755,INDIRECT(J$2),INDIRECT(I4755),test))</f>
        <v>0.16</v>
      </c>
      <c r="F4755" s="1" t="str">
        <f t="shared" si="299"/>
        <v>50</v>
      </c>
      <c r="G4755" s="1" t="str">
        <f t="shared" si="300"/>
        <v/>
      </c>
      <c r="I4755" s="1" t="str">
        <f t="shared" si="298"/>
        <v>威尔新数值1.06.xlsm!otherDamage</v>
      </c>
    </row>
    <row r="4756" spans="1:9" x14ac:dyDescent="0.15">
      <c r="A4756" s="1">
        <v>4755</v>
      </c>
      <c r="B4756" s="1">
        <v>103071200</v>
      </c>
      <c r="C4756" s="1">
        <f t="shared" si="297"/>
        <v>104</v>
      </c>
      <c r="D4756" s="5">
        <f ca="1">IF(getQuality(B4756)&lt;4,getOtherMin(B4756,C4756,INDIRECT(J$2),INDIRECT(I4756),test),getMin(B4756,C4756,INDIRECT(J$2),INDIRECT(I4756),test))</f>
        <v>0.13</v>
      </c>
      <c r="E4756" s="5">
        <f ca="1">IF(getQuality(B4756)&lt;4,getOtherMax(B4756,C4756,INDIRECT(J$2),INDIRECT(I4756),test),getMax(B4756,C4756,INDIRECT(J$2),INDIRECT(I4756),test))</f>
        <v>0.26</v>
      </c>
      <c r="F4756" s="1" t="str">
        <f t="shared" si="299"/>
        <v>50</v>
      </c>
      <c r="G4756" s="1" t="str">
        <f t="shared" si="300"/>
        <v/>
      </c>
      <c r="I4756" s="1" t="str">
        <f t="shared" si="298"/>
        <v>威尔新数值1.06.xlsm!monsterDamage</v>
      </c>
    </row>
    <row r="4757" spans="1:9" x14ac:dyDescent="0.15">
      <c r="A4757" s="1">
        <v>4756</v>
      </c>
      <c r="B4757" s="1">
        <v>103071200</v>
      </c>
      <c r="C4757" s="1">
        <f t="shared" si="297"/>
        <v>105</v>
      </c>
      <c r="D4757" s="5">
        <f ca="1">IF(getQuality(B4757)&lt;4,getOtherMin(B4757,C4757,INDIRECT(J$2),INDIRECT(I4757),test),getMin(B4757,C4757,INDIRECT(J$2),INDIRECT(I4757),test))</f>
        <v>0.13</v>
      </c>
      <c r="E4757" s="5">
        <f ca="1">IF(getQuality(B4757)&lt;4,getOtherMax(B4757,C4757,INDIRECT(J$2),INDIRECT(I4757),test),getMax(B4757,C4757,INDIRECT(J$2),INDIRECT(I4757),test))</f>
        <v>0.26</v>
      </c>
      <c r="F4757" s="1" t="str">
        <f t="shared" si="299"/>
        <v>50</v>
      </c>
      <c r="G4757" s="1" t="str">
        <f t="shared" si="300"/>
        <v/>
      </c>
      <c r="I4757" s="1" t="str">
        <f t="shared" si="298"/>
        <v>威尔新数值1.06.xlsm!monsterDamage</v>
      </c>
    </row>
    <row r="4758" spans="1:9" x14ac:dyDescent="0.15">
      <c r="A4758" s="1">
        <v>4757</v>
      </c>
      <c r="B4758" s="1">
        <v>103071200</v>
      </c>
      <c r="C4758" s="1">
        <f t="shared" si="297"/>
        <v>106</v>
      </c>
      <c r="D4758" s="5">
        <f ca="1">IF(getQuality(B4758)&lt;4,getOtherMin(B4758,C4758,INDIRECT(J$2),INDIRECT(I4758),test),getMin(B4758,C4758,INDIRECT(J$2),INDIRECT(I4758),test))</f>
        <v>0.13</v>
      </c>
      <c r="E4758" s="5">
        <f ca="1">IF(getQuality(B4758)&lt;4,getOtherMax(B4758,C4758,INDIRECT(J$2),INDIRECT(I4758),test),getMax(B4758,C4758,INDIRECT(J$2),INDIRECT(I4758),test))</f>
        <v>0.26</v>
      </c>
      <c r="F4758" s="1" t="str">
        <f t="shared" si="299"/>
        <v>50</v>
      </c>
      <c r="G4758" s="1" t="str">
        <f t="shared" si="300"/>
        <v/>
      </c>
      <c r="I4758" s="1" t="str">
        <f t="shared" si="298"/>
        <v>威尔新数值1.06.xlsm!monsterDamage</v>
      </c>
    </row>
    <row r="4759" spans="1:9" x14ac:dyDescent="0.15">
      <c r="A4759" s="1">
        <v>4758</v>
      </c>
      <c r="B4759" s="1">
        <v>103071200</v>
      </c>
      <c r="C4759" s="1">
        <f t="shared" si="297"/>
        <v>107</v>
      </c>
      <c r="D4759" s="5">
        <f ca="1">IF(getQuality(B4759)&lt;4,getOtherMin(B4759,C4759,INDIRECT(J$2),INDIRECT(I4759),test),getMin(B4759,C4759,INDIRECT(J$2),INDIRECT(I4759),test))</f>
        <v>0.13</v>
      </c>
      <c r="E4759" s="5">
        <f ca="1">IF(getQuality(B4759)&lt;4,getOtherMax(B4759,C4759,INDIRECT(J$2),INDIRECT(I4759),test),getMax(B4759,C4759,INDIRECT(J$2),INDIRECT(I4759),test))</f>
        <v>0.26</v>
      </c>
      <c r="F4759" s="1" t="str">
        <f t="shared" si="299"/>
        <v>50</v>
      </c>
      <c r="G4759" s="1" t="str">
        <f t="shared" si="300"/>
        <v/>
      </c>
      <c r="I4759" s="1" t="str">
        <f t="shared" si="298"/>
        <v>威尔新数值1.06.xlsm!monsterDamage</v>
      </c>
    </row>
    <row r="4760" spans="1:9" x14ac:dyDescent="0.15">
      <c r="A4760" s="1">
        <v>4759</v>
      </c>
      <c r="B4760" s="1">
        <v>103071200</v>
      </c>
      <c r="C4760" s="1">
        <f t="shared" si="297"/>
        <v>108</v>
      </c>
      <c r="D4760" s="5">
        <f ca="1">IF(getQuality(B4760)&lt;4,getOtherMin(B4760,C4760,INDIRECT(J$2),INDIRECT(I4760),test),getMin(B4760,C4760,INDIRECT(J$2),INDIRECT(I4760),test))</f>
        <v>0.13</v>
      </c>
      <c r="E4760" s="5">
        <f ca="1">IF(getQuality(B4760)&lt;4,getOtherMax(B4760,C4760,INDIRECT(J$2),INDIRECT(I4760),test),getMax(B4760,C4760,INDIRECT(J$2),INDIRECT(I4760),test))</f>
        <v>0.26</v>
      </c>
      <c r="F4760" s="1" t="str">
        <f t="shared" si="299"/>
        <v>50</v>
      </c>
      <c r="G4760" s="1" t="str">
        <f t="shared" si="300"/>
        <v/>
      </c>
      <c r="I4760" s="1" t="str">
        <f t="shared" si="298"/>
        <v>威尔新数值1.06.xlsm!monsterDamage</v>
      </c>
    </row>
    <row r="4761" spans="1:9" x14ac:dyDescent="0.15">
      <c r="A4761" s="1">
        <v>4760</v>
      </c>
      <c r="B4761" s="1">
        <v>103081200</v>
      </c>
      <c r="C4761" s="1">
        <f t="shared" si="297"/>
        <v>3</v>
      </c>
      <c r="D4761" s="5">
        <f ca="1">IF(getQuality(B4761)&lt;4,getOtherMin(B4761,C4761,INDIRECT(J$2),INDIRECT(I4761),test),getMin(B4761,C4761,INDIRECT(J$2),INDIRECT(I4761),test))</f>
        <v>271.43850937813136</v>
      </c>
      <c r="E4761" s="5">
        <f ca="1">IF(getQuality(B4761)&lt;4,getOtherMax(B4761,C4761,INDIRECT(J$2),INDIRECT(I4761),test),getMax(B4761,C4761,INDIRECT(J$2),INDIRECT(I4761),test))</f>
        <v>328.28048273180752</v>
      </c>
      <c r="F4761" s="1" t="str">
        <f t="shared" si="299"/>
        <v>50</v>
      </c>
      <c r="G4761" s="1" t="str">
        <f t="shared" si="300"/>
        <v>1</v>
      </c>
      <c r="I4761" s="1" t="str">
        <f t="shared" si="298"/>
        <v>威尔新数值1.06.xlsm!suitPower</v>
      </c>
    </row>
    <row r="4762" spans="1:9" x14ac:dyDescent="0.15">
      <c r="A4762" s="1">
        <v>4761</v>
      </c>
      <c r="B4762" s="1">
        <v>103081200</v>
      </c>
      <c r="C4762" s="1">
        <f t="shared" si="297"/>
        <v>5</v>
      </c>
      <c r="D4762" s="5">
        <f ca="1">IF(getQuality(B4762)&lt;4,getOtherMin(B4762,C4762,INDIRECT(J$2),INDIRECT(I4762),test),getMin(B4762,C4762,INDIRECT(J$2),INDIRECT(I4762),test))</f>
        <v>271.43850937813136</v>
      </c>
      <c r="E4762" s="5">
        <f ca="1">IF(getQuality(B4762)&lt;4,getOtherMax(B4762,C4762,INDIRECT(J$2),INDIRECT(I4762),test),getMax(B4762,C4762,INDIRECT(J$2),INDIRECT(I4762),test))</f>
        <v>328.28048273180752</v>
      </c>
      <c r="F4762" s="1" t="str">
        <f t="shared" si="299"/>
        <v>50</v>
      </c>
      <c r="G4762" s="1" t="str">
        <f t="shared" si="300"/>
        <v/>
      </c>
      <c r="I4762" s="1" t="str">
        <f t="shared" si="298"/>
        <v>威尔新数值1.06.xlsm!suitPower</v>
      </c>
    </row>
    <row r="4763" spans="1:9" x14ac:dyDescent="0.15">
      <c r="A4763" s="1">
        <v>4762</v>
      </c>
      <c r="B4763" s="1">
        <v>103081200</v>
      </c>
      <c r="C4763" s="1">
        <f t="shared" si="297"/>
        <v>7</v>
      </c>
      <c r="D4763" s="5">
        <f ca="1">IF(getQuality(B4763)&lt;4,getOtherMin(B4763,C4763,INDIRECT(J$2),INDIRECT(I4763),test),getMin(B4763,C4763,INDIRECT(J$2),INDIRECT(I4763),test))</f>
        <v>52.85185185185172</v>
      </c>
      <c r="E4763" s="5">
        <f ca="1">IF(getQuality(B4763)&lt;4,getOtherMax(B4763,C4763,INDIRECT(J$2),INDIRECT(I4763),test),getMax(B4763,C4763,INDIRECT(J$2),INDIRECT(I4763),test))</f>
        <v>59.25925925925911</v>
      </c>
      <c r="F4763" s="1" t="str">
        <f t="shared" si="299"/>
        <v>50</v>
      </c>
      <c r="G4763" s="1" t="str">
        <f t="shared" si="300"/>
        <v/>
      </c>
      <c r="I4763" s="1" t="str">
        <f t="shared" si="298"/>
        <v>威尔新数值1.06.xlsm!suitPower</v>
      </c>
    </row>
    <row r="4764" spans="1:9" x14ac:dyDescent="0.15">
      <c r="A4764" s="1">
        <v>4763</v>
      </c>
      <c r="B4764" s="1">
        <v>103081200</v>
      </c>
      <c r="C4764" s="1">
        <f t="shared" si="297"/>
        <v>8</v>
      </c>
      <c r="D4764" s="5">
        <f ca="1">IF(getQuality(B4764)&lt;4,getOtherMin(B4764,C4764,INDIRECT(J$2),INDIRECT(I4764),test),getMin(B4764,C4764,INDIRECT(J$2),INDIRECT(I4764),test))</f>
        <v>117.66666666666667</v>
      </c>
      <c r="E4764" s="5">
        <f ca="1">IF(getQuality(B4764)&lt;4,getOtherMax(B4764,C4764,INDIRECT(J$2),INDIRECT(I4764),test),getMax(B4764,C4764,INDIRECT(J$2),INDIRECT(I4764),test))</f>
        <v>133.33333333333334</v>
      </c>
      <c r="F4764" s="1" t="str">
        <f t="shared" si="299"/>
        <v>50</v>
      </c>
      <c r="G4764" s="1" t="str">
        <f t="shared" si="300"/>
        <v/>
      </c>
      <c r="I4764" s="1" t="str">
        <f t="shared" si="298"/>
        <v>威尔新数值1.06.xlsm!suitPower</v>
      </c>
    </row>
    <row r="4765" spans="1:9" x14ac:dyDescent="0.15">
      <c r="A4765" s="1">
        <v>4764</v>
      </c>
      <c r="B4765" s="1">
        <v>103081200</v>
      </c>
      <c r="C4765" s="1">
        <f t="shared" si="297"/>
        <v>9</v>
      </c>
      <c r="D4765" s="5">
        <f ca="1">IF(getQuality(B4765)&lt;4,getOtherMin(B4765,C4765,INDIRECT(J$2),INDIRECT(I4765),test),getMin(B4765,C4765,INDIRECT(J$2),INDIRECT(I4765),test))</f>
        <v>271.43850937813136</v>
      </c>
      <c r="E4765" s="5">
        <f ca="1">IF(getQuality(B4765)&lt;4,getOtherMax(B4765,C4765,INDIRECT(J$2),INDIRECT(I4765),test),getMax(B4765,C4765,INDIRECT(J$2),INDIRECT(I4765),test))</f>
        <v>328.28048273180752</v>
      </c>
      <c r="F4765" s="1" t="str">
        <f t="shared" si="299"/>
        <v>50</v>
      </c>
      <c r="G4765" s="1" t="str">
        <f t="shared" si="300"/>
        <v/>
      </c>
      <c r="I4765" s="1" t="str">
        <f t="shared" si="298"/>
        <v>威尔新数值1.06.xlsm!suitPower</v>
      </c>
    </row>
    <row r="4766" spans="1:9" x14ac:dyDescent="0.15">
      <c r="A4766" s="1">
        <v>4765</v>
      </c>
      <c r="B4766" s="1">
        <v>103081200</v>
      </c>
      <c r="C4766" s="1">
        <f t="shared" si="297"/>
        <v>10</v>
      </c>
      <c r="D4766" s="5">
        <f ca="1">IF(getQuality(B4766)&lt;4,getOtherMin(B4766,C4766,INDIRECT(J$2),INDIRECT(I4766),test),getMin(B4766,C4766,INDIRECT(J$2),INDIRECT(I4766),test))</f>
        <v>271.43850937813136</v>
      </c>
      <c r="E4766" s="5">
        <f ca="1">IF(getQuality(B4766)&lt;4,getOtherMax(B4766,C4766,INDIRECT(J$2),INDIRECT(I4766),test),getMax(B4766,C4766,INDIRECT(J$2),INDIRECT(I4766),test))</f>
        <v>328.28048273180752</v>
      </c>
      <c r="F4766" s="1" t="str">
        <f t="shared" si="299"/>
        <v>50</v>
      </c>
      <c r="G4766" s="1" t="str">
        <f t="shared" si="300"/>
        <v/>
      </c>
      <c r="I4766" s="1" t="str">
        <f t="shared" si="298"/>
        <v>威尔新数值1.06.xlsm!suitPower</v>
      </c>
    </row>
    <row r="4767" spans="1:9" x14ac:dyDescent="0.15">
      <c r="A4767" s="1">
        <v>4766</v>
      </c>
      <c r="B4767" s="1">
        <v>103081200</v>
      </c>
      <c r="C4767" s="1">
        <f t="shared" si="297"/>
        <v>11</v>
      </c>
      <c r="D4767" s="5">
        <f ca="1">IF(getQuality(B4767)&lt;4,getOtherMin(B4767,C4767,INDIRECT(J$2),INDIRECT(I4767),test),getMin(B4767,C4767,INDIRECT(J$2),INDIRECT(I4767),test))</f>
        <v>271.43850937813136</v>
      </c>
      <c r="E4767" s="5">
        <f ca="1">IF(getQuality(B4767)&lt;4,getOtherMax(B4767,C4767,INDIRECT(J$2),INDIRECT(I4767),test),getMax(B4767,C4767,INDIRECT(J$2),INDIRECT(I4767),test))</f>
        <v>328.28048273180752</v>
      </c>
      <c r="F4767" s="1" t="str">
        <f t="shared" si="299"/>
        <v>50</v>
      </c>
      <c r="G4767" s="1" t="str">
        <f t="shared" si="300"/>
        <v/>
      </c>
      <c r="I4767" s="1" t="str">
        <f t="shared" si="298"/>
        <v>威尔新数值1.06.xlsm!suitPower</v>
      </c>
    </row>
    <row r="4768" spans="1:9" x14ac:dyDescent="0.15">
      <c r="A4768" s="1">
        <v>4767</v>
      </c>
      <c r="B4768" s="1">
        <v>103081200</v>
      </c>
      <c r="C4768" s="1">
        <f t="shared" si="297"/>
        <v>12</v>
      </c>
      <c r="D4768" s="5">
        <f ca="1">IF(getQuality(B4768)&lt;4,getOtherMin(B4768,C4768,INDIRECT(J$2),INDIRECT(I4768),test),getMin(B4768,C4768,INDIRECT(J$2),INDIRECT(I4768),test))</f>
        <v>271.43850937813136</v>
      </c>
      <c r="E4768" s="5">
        <f ca="1">IF(getQuality(B4768)&lt;4,getOtherMax(B4768,C4768,INDIRECT(J$2),INDIRECT(I4768),test),getMax(B4768,C4768,INDIRECT(J$2),INDIRECT(I4768),test))</f>
        <v>328.28048273180752</v>
      </c>
      <c r="F4768" s="1" t="str">
        <f t="shared" si="299"/>
        <v>50</v>
      </c>
      <c r="G4768" s="1" t="str">
        <f t="shared" si="300"/>
        <v/>
      </c>
      <c r="I4768" s="1" t="str">
        <f t="shared" si="298"/>
        <v>威尔新数值1.06.xlsm!suitPower</v>
      </c>
    </row>
    <row r="4769" spans="1:9" x14ac:dyDescent="0.15">
      <c r="A4769" s="1">
        <v>4768</v>
      </c>
      <c r="B4769" s="1">
        <v>103081200</v>
      </c>
      <c r="C4769" s="1">
        <f t="shared" si="297"/>
        <v>13</v>
      </c>
      <c r="D4769" s="5">
        <f ca="1">IF(getQuality(B4769)&lt;4,getOtherMin(B4769,C4769,INDIRECT(J$2),INDIRECT(I4769),test),getMin(B4769,C4769,INDIRECT(J$2),INDIRECT(I4769),test))</f>
        <v>271.43850937813136</v>
      </c>
      <c r="E4769" s="5">
        <f ca="1">IF(getQuality(B4769)&lt;4,getOtherMax(B4769,C4769,INDIRECT(J$2),INDIRECT(I4769),test),getMax(B4769,C4769,INDIRECT(J$2),INDIRECT(I4769),test))</f>
        <v>328.28048273180752</v>
      </c>
      <c r="F4769" s="1" t="str">
        <f t="shared" si="299"/>
        <v>50</v>
      </c>
      <c r="G4769" s="1" t="str">
        <f t="shared" si="300"/>
        <v/>
      </c>
      <c r="I4769" s="1" t="str">
        <f t="shared" si="298"/>
        <v>威尔新数值1.06.xlsm!suitPower</v>
      </c>
    </row>
    <row r="4770" spans="1:9" x14ac:dyDescent="0.15">
      <c r="A4770" s="1">
        <v>4769</v>
      </c>
      <c r="B4770" s="1">
        <v>103081200</v>
      </c>
      <c r="C4770" s="1">
        <f t="shared" si="297"/>
        <v>14</v>
      </c>
      <c r="D4770" s="5">
        <f ca="1">IF(getQuality(B4770)&lt;4,getOtherMin(B4770,C4770,INDIRECT(J$2),INDIRECT(I4770),test),getMin(B4770,C4770,INDIRECT(J$2),INDIRECT(I4770),test))</f>
        <v>271.43850937813136</v>
      </c>
      <c r="E4770" s="5">
        <f ca="1">IF(getQuality(B4770)&lt;4,getOtherMax(B4770,C4770,INDIRECT(J$2),INDIRECT(I4770),test),getMax(B4770,C4770,INDIRECT(J$2),INDIRECT(I4770),test))</f>
        <v>328.28048273180752</v>
      </c>
      <c r="F4770" s="1" t="str">
        <f t="shared" si="299"/>
        <v>50</v>
      </c>
      <c r="G4770" s="1" t="str">
        <f t="shared" si="300"/>
        <v/>
      </c>
      <c r="I4770" s="1" t="str">
        <f t="shared" si="298"/>
        <v>威尔新数值1.06.xlsm!suitPower</v>
      </c>
    </row>
    <row r="4771" spans="1:9" x14ac:dyDescent="0.15">
      <c r="A4771" s="1">
        <v>4770</v>
      </c>
      <c r="B4771" s="1">
        <v>103081200</v>
      </c>
      <c r="C4771" s="1">
        <f t="shared" si="297"/>
        <v>15</v>
      </c>
      <c r="D4771" s="5">
        <f ca="1">IF(getQuality(B4771)&lt;4,getOtherMin(B4771,C4771,INDIRECT(J$2),INDIRECT(I4771),test),getMin(B4771,C4771,INDIRECT(J$2),INDIRECT(I4771),test))</f>
        <v>271.43850937813136</v>
      </c>
      <c r="E4771" s="5">
        <f ca="1">IF(getQuality(B4771)&lt;4,getOtherMax(B4771,C4771,INDIRECT(J$2),INDIRECT(I4771),test),getMax(B4771,C4771,INDIRECT(J$2),INDIRECT(I4771),test))</f>
        <v>328.28048273180752</v>
      </c>
      <c r="F4771" s="1" t="str">
        <f t="shared" si="299"/>
        <v>50</v>
      </c>
      <c r="G4771" s="1" t="str">
        <f t="shared" si="300"/>
        <v/>
      </c>
      <c r="I4771" s="1" t="str">
        <f t="shared" si="298"/>
        <v>威尔新数值1.06.xlsm!suitPower</v>
      </c>
    </row>
    <row r="4772" spans="1:9" x14ac:dyDescent="0.15">
      <c r="A4772" s="1">
        <v>4771</v>
      </c>
      <c r="B4772" s="1">
        <v>103081200</v>
      </c>
      <c r="C4772" s="1">
        <f t="shared" si="297"/>
        <v>101</v>
      </c>
      <c r="D4772" s="5">
        <f ca="1">IF(getQuality(B4772)&lt;4,getOtherMin(B4772,C4772,INDIRECT(J$2),INDIRECT(I4772),test),getMin(B4772,C4772,INDIRECT(J$2),INDIRECT(I4772),test))</f>
        <v>0.14000000000000001</v>
      </c>
      <c r="E4772" s="5">
        <f ca="1">IF(getQuality(B4772)&lt;4,getOtherMax(B4772,C4772,INDIRECT(J$2),INDIRECT(I4772),test),getMax(B4772,C4772,INDIRECT(J$2),INDIRECT(I4772),test))</f>
        <v>0.17</v>
      </c>
      <c r="F4772" s="1" t="str">
        <f t="shared" si="299"/>
        <v>50</v>
      </c>
      <c r="G4772" s="1" t="str">
        <f t="shared" si="300"/>
        <v/>
      </c>
      <c r="I4772" s="1" t="str">
        <f t="shared" si="298"/>
        <v>威尔新数值1.06.xlsm!circlePer</v>
      </c>
    </row>
    <row r="4773" spans="1:9" x14ac:dyDescent="0.15">
      <c r="A4773" s="1">
        <v>4772</v>
      </c>
      <c r="B4773" s="1">
        <v>103081200</v>
      </c>
      <c r="C4773" s="1">
        <f t="shared" si="297"/>
        <v>102</v>
      </c>
      <c r="D4773" s="5">
        <f ca="1">IF(getQuality(B4773)&lt;4,getOtherMin(B4773,C4773,INDIRECT(J$2),INDIRECT(I4773),test),getMin(B4773,C4773,INDIRECT(J$2),INDIRECT(I4773),test))</f>
        <v>1.3</v>
      </c>
      <c r="E4773" s="5">
        <f ca="1">IF(getQuality(B4773)&lt;4,getOtherMax(B4773,C4773,INDIRECT(J$2),INDIRECT(I4773),test),getMax(B4773,C4773,INDIRECT(J$2),INDIRECT(I4773),test))</f>
        <v>1.6</v>
      </c>
      <c r="F4773" s="1" t="str">
        <f t="shared" si="299"/>
        <v>50</v>
      </c>
      <c r="G4773" s="1" t="str">
        <f t="shared" si="300"/>
        <v/>
      </c>
      <c r="I4773" s="1" t="str">
        <f t="shared" si="298"/>
        <v>威尔新数值1.06.xlsm!circleValue</v>
      </c>
    </row>
    <row r="4774" spans="1:9" x14ac:dyDescent="0.15">
      <c r="A4774" s="1">
        <v>4773</v>
      </c>
      <c r="B4774" s="1">
        <v>103081200</v>
      </c>
      <c r="C4774" s="1">
        <f t="shared" si="297"/>
        <v>103</v>
      </c>
      <c r="D4774" s="5">
        <f ca="1">IF(getQuality(B4774)&lt;4,getOtherMin(B4774,C4774,INDIRECT(J$2),INDIRECT(I4774),test),getMin(B4774,C4774,INDIRECT(J$2),INDIRECT(I4774),test))</f>
        <v>0.14000000000000001</v>
      </c>
      <c r="E4774" s="5">
        <f ca="1">IF(getQuality(B4774)&lt;4,getOtherMax(B4774,C4774,INDIRECT(J$2),INDIRECT(I4774),test),getMax(B4774,C4774,INDIRECT(J$2),INDIRECT(I4774),test))</f>
        <v>0.17</v>
      </c>
      <c r="F4774" s="1" t="str">
        <f t="shared" si="299"/>
        <v>50</v>
      </c>
      <c r="G4774" s="1" t="str">
        <f t="shared" si="300"/>
        <v/>
      </c>
      <c r="I4774" s="1" t="str">
        <f t="shared" si="298"/>
        <v>威尔新数值1.06.xlsm!otherDamage</v>
      </c>
    </row>
    <row r="4775" spans="1:9" x14ac:dyDescent="0.15">
      <c r="A4775" s="1">
        <v>4774</v>
      </c>
      <c r="B4775" s="1">
        <v>103081200</v>
      </c>
      <c r="C4775" s="1">
        <f t="shared" si="297"/>
        <v>104</v>
      </c>
      <c r="D4775" s="5">
        <f ca="1">IF(getQuality(B4775)&lt;4,getOtherMin(B4775,C4775,INDIRECT(J$2),INDIRECT(I4775),test),getMin(B4775,C4775,INDIRECT(J$2),INDIRECT(I4775),test))</f>
        <v>0.14000000000000001</v>
      </c>
      <c r="E4775" s="5">
        <f ca="1">IF(getQuality(B4775)&lt;4,getOtherMax(B4775,C4775,INDIRECT(J$2),INDIRECT(I4775),test),getMax(B4775,C4775,INDIRECT(J$2),INDIRECT(I4775),test))</f>
        <v>0.28000000000000003</v>
      </c>
      <c r="F4775" s="1" t="str">
        <f t="shared" si="299"/>
        <v>50</v>
      </c>
      <c r="G4775" s="1" t="str">
        <f t="shared" si="300"/>
        <v/>
      </c>
      <c r="I4775" s="1" t="str">
        <f t="shared" si="298"/>
        <v>威尔新数值1.06.xlsm!monsterDamage</v>
      </c>
    </row>
    <row r="4776" spans="1:9" x14ac:dyDescent="0.15">
      <c r="A4776" s="1">
        <v>4775</v>
      </c>
      <c r="B4776" s="1">
        <v>103081200</v>
      </c>
      <c r="C4776" s="1">
        <f t="shared" si="297"/>
        <v>105</v>
      </c>
      <c r="D4776" s="5">
        <f ca="1">IF(getQuality(B4776)&lt;4,getOtherMin(B4776,C4776,INDIRECT(J$2),INDIRECT(I4776),test),getMin(B4776,C4776,INDIRECT(J$2),INDIRECT(I4776),test))</f>
        <v>0.14000000000000001</v>
      </c>
      <c r="E4776" s="5">
        <f ca="1">IF(getQuality(B4776)&lt;4,getOtherMax(B4776,C4776,INDIRECT(J$2),INDIRECT(I4776),test),getMax(B4776,C4776,INDIRECT(J$2),INDIRECT(I4776),test))</f>
        <v>0.28000000000000003</v>
      </c>
      <c r="F4776" s="1" t="str">
        <f t="shared" si="299"/>
        <v>50</v>
      </c>
      <c r="G4776" s="1" t="str">
        <f t="shared" si="300"/>
        <v/>
      </c>
      <c r="I4776" s="1" t="str">
        <f t="shared" si="298"/>
        <v>威尔新数值1.06.xlsm!monsterDamage</v>
      </c>
    </row>
    <row r="4777" spans="1:9" x14ac:dyDescent="0.15">
      <c r="A4777" s="1">
        <v>4776</v>
      </c>
      <c r="B4777" s="1">
        <v>103081200</v>
      </c>
      <c r="C4777" s="1">
        <f t="shared" si="297"/>
        <v>106</v>
      </c>
      <c r="D4777" s="5">
        <f ca="1">IF(getQuality(B4777)&lt;4,getOtherMin(B4777,C4777,INDIRECT(J$2),INDIRECT(I4777),test),getMin(B4777,C4777,INDIRECT(J$2),INDIRECT(I4777),test))</f>
        <v>0.14000000000000001</v>
      </c>
      <c r="E4777" s="5">
        <f ca="1">IF(getQuality(B4777)&lt;4,getOtherMax(B4777,C4777,INDIRECT(J$2),INDIRECT(I4777),test),getMax(B4777,C4777,INDIRECT(J$2),INDIRECT(I4777),test))</f>
        <v>0.28000000000000003</v>
      </c>
      <c r="F4777" s="1" t="str">
        <f t="shared" si="299"/>
        <v>50</v>
      </c>
      <c r="G4777" s="1" t="str">
        <f t="shared" si="300"/>
        <v/>
      </c>
      <c r="I4777" s="1" t="str">
        <f t="shared" si="298"/>
        <v>威尔新数值1.06.xlsm!monsterDamage</v>
      </c>
    </row>
    <row r="4778" spans="1:9" x14ac:dyDescent="0.15">
      <c r="A4778" s="1">
        <v>4777</v>
      </c>
      <c r="B4778" s="1">
        <v>103081200</v>
      </c>
      <c r="C4778" s="1">
        <f t="shared" si="297"/>
        <v>107</v>
      </c>
      <c r="D4778" s="5">
        <f ca="1">IF(getQuality(B4778)&lt;4,getOtherMin(B4778,C4778,INDIRECT(J$2),INDIRECT(I4778),test),getMin(B4778,C4778,INDIRECT(J$2),INDIRECT(I4778),test))</f>
        <v>0.14000000000000001</v>
      </c>
      <c r="E4778" s="5">
        <f ca="1">IF(getQuality(B4778)&lt;4,getOtherMax(B4778,C4778,INDIRECT(J$2),INDIRECT(I4778),test),getMax(B4778,C4778,INDIRECT(J$2),INDIRECT(I4778),test))</f>
        <v>0.28000000000000003</v>
      </c>
      <c r="F4778" s="1" t="str">
        <f t="shared" si="299"/>
        <v>50</v>
      </c>
      <c r="G4778" s="1" t="str">
        <f t="shared" si="300"/>
        <v/>
      </c>
      <c r="I4778" s="1" t="str">
        <f t="shared" si="298"/>
        <v>威尔新数值1.06.xlsm!monsterDamage</v>
      </c>
    </row>
    <row r="4779" spans="1:9" x14ac:dyDescent="0.15">
      <c r="A4779" s="1">
        <v>4778</v>
      </c>
      <c r="B4779" s="1">
        <v>103081200</v>
      </c>
      <c r="C4779" s="1">
        <f t="shared" si="297"/>
        <v>108</v>
      </c>
      <c r="D4779" s="5">
        <f ca="1">IF(getQuality(B4779)&lt;4,getOtherMin(B4779,C4779,INDIRECT(J$2),INDIRECT(I4779),test),getMin(B4779,C4779,INDIRECT(J$2),INDIRECT(I4779),test))</f>
        <v>0.14000000000000001</v>
      </c>
      <c r="E4779" s="5">
        <f ca="1">IF(getQuality(B4779)&lt;4,getOtherMax(B4779,C4779,INDIRECT(J$2),INDIRECT(I4779),test),getMax(B4779,C4779,INDIRECT(J$2),INDIRECT(I4779),test))</f>
        <v>0.28000000000000003</v>
      </c>
      <c r="F4779" s="1" t="str">
        <f t="shared" si="299"/>
        <v>50</v>
      </c>
      <c r="G4779" s="1" t="str">
        <f t="shared" si="300"/>
        <v/>
      </c>
      <c r="I4779" s="1" t="str">
        <f t="shared" si="298"/>
        <v>威尔新数值1.06.xlsm!monsterDamage</v>
      </c>
    </row>
    <row r="4780" spans="1:9" x14ac:dyDescent="0.15">
      <c r="A4780" s="1">
        <v>4779</v>
      </c>
      <c r="B4780" s="1">
        <v>103091200</v>
      </c>
      <c r="C4780" s="1">
        <f t="shared" si="297"/>
        <v>3</v>
      </c>
      <c r="D4780" s="5">
        <f ca="1">IF(getQuality(B4780)&lt;4,getOtherMin(B4780,C4780,INDIRECT(J$2),INDIRECT(I4780),test),getMin(B4780,C4780,INDIRECT(J$2),INDIRECT(I4780),test))</f>
        <v>329.28048273180752</v>
      </c>
      <c r="E4780" s="5">
        <f ca="1">IF(getQuality(B4780)&lt;4,getOtherMax(B4780,C4780,INDIRECT(J$2),INDIRECT(I4780),test),getMax(B4780,C4780,INDIRECT(J$2),INDIRECT(I4780),test))</f>
        <v>390.92443123182665</v>
      </c>
      <c r="F4780" s="1" t="str">
        <f t="shared" si="299"/>
        <v>50</v>
      </c>
      <c r="G4780" s="1" t="str">
        <f t="shared" si="300"/>
        <v>1</v>
      </c>
      <c r="I4780" s="1" t="str">
        <f t="shared" si="298"/>
        <v>威尔新数值1.06.xlsm!suitPower</v>
      </c>
    </row>
    <row r="4781" spans="1:9" x14ac:dyDescent="0.15">
      <c r="A4781" s="1">
        <v>4780</v>
      </c>
      <c r="B4781" s="1">
        <v>103091200</v>
      </c>
      <c r="C4781" s="1">
        <f t="shared" si="297"/>
        <v>5</v>
      </c>
      <c r="D4781" s="5">
        <f ca="1">IF(getQuality(B4781)&lt;4,getOtherMin(B4781,C4781,INDIRECT(J$2),INDIRECT(I4781),test),getMin(B4781,C4781,INDIRECT(J$2),INDIRECT(I4781),test))</f>
        <v>329.28048273180752</v>
      </c>
      <c r="E4781" s="5">
        <f ca="1">IF(getQuality(B4781)&lt;4,getOtherMax(B4781,C4781,INDIRECT(J$2),INDIRECT(I4781),test),getMax(B4781,C4781,INDIRECT(J$2),INDIRECT(I4781),test))</f>
        <v>390.92443123182665</v>
      </c>
      <c r="F4781" s="1" t="str">
        <f t="shared" si="299"/>
        <v>50</v>
      </c>
      <c r="G4781" s="1" t="str">
        <f t="shared" si="300"/>
        <v/>
      </c>
      <c r="I4781" s="1" t="str">
        <f t="shared" si="298"/>
        <v>威尔新数值1.06.xlsm!suitPower</v>
      </c>
    </row>
    <row r="4782" spans="1:9" x14ac:dyDescent="0.15">
      <c r="A4782" s="1">
        <v>4781</v>
      </c>
      <c r="B4782" s="1">
        <v>103091200</v>
      </c>
      <c r="C4782" s="1">
        <f t="shared" si="297"/>
        <v>7</v>
      </c>
      <c r="D4782" s="5">
        <f ca="1">IF(getQuality(B4782)&lt;4,getOtherMin(B4782,C4782,INDIRECT(J$2),INDIRECT(I4782),test),getMin(B4782,C4782,INDIRECT(J$2),INDIRECT(I4782),test))</f>
        <v>60.25925925925911</v>
      </c>
      <c r="E4782" s="5">
        <f ca="1">IF(getQuality(B4782)&lt;4,getOtherMax(B4782,C4782,INDIRECT(J$2),INDIRECT(I4782),test),getMax(B4782,C4782,INDIRECT(J$2),INDIRECT(I4782),test))</f>
        <v>66.666666666666501</v>
      </c>
      <c r="F4782" s="1" t="str">
        <f t="shared" si="299"/>
        <v>50</v>
      </c>
      <c r="G4782" s="1" t="str">
        <f t="shared" si="300"/>
        <v/>
      </c>
      <c r="I4782" s="1" t="str">
        <f t="shared" si="298"/>
        <v>威尔新数值1.06.xlsm!suitPower</v>
      </c>
    </row>
    <row r="4783" spans="1:9" x14ac:dyDescent="0.15">
      <c r="A4783" s="1">
        <v>4782</v>
      </c>
      <c r="B4783" s="1">
        <v>103091200</v>
      </c>
      <c r="C4783" s="1">
        <f t="shared" si="297"/>
        <v>8</v>
      </c>
      <c r="D4783" s="5">
        <f ca="1">IF(getQuality(B4783)&lt;4,getOtherMin(B4783,C4783,INDIRECT(J$2),INDIRECT(I4783),test),getMin(B4783,C4783,INDIRECT(J$2),INDIRECT(I4783),test))</f>
        <v>134.33333333333334</v>
      </c>
      <c r="E4783" s="5">
        <f ca="1">IF(getQuality(B4783)&lt;4,getOtherMax(B4783,C4783,INDIRECT(J$2),INDIRECT(I4783),test),getMax(B4783,C4783,INDIRECT(J$2),INDIRECT(I4783),test))</f>
        <v>150</v>
      </c>
      <c r="F4783" s="1" t="str">
        <f t="shared" si="299"/>
        <v>50</v>
      </c>
      <c r="G4783" s="1" t="str">
        <f t="shared" si="300"/>
        <v/>
      </c>
      <c r="I4783" s="1" t="str">
        <f t="shared" si="298"/>
        <v>威尔新数值1.06.xlsm!suitPower</v>
      </c>
    </row>
    <row r="4784" spans="1:9" x14ac:dyDescent="0.15">
      <c r="A4784" s="1">
        <v>4783</v>
      </c>
      <c r="B4784" s="1">
        <v>103091200</v>
      </c>
      <c r="C4784" s="1">
        <f t="shared" si="297"/>
        <v>9</v>
      </c>
      <c r="D4784" s="5">
        <f ca="1">IF(getQuality(B4784)&lt;4,getOtherMin(B4784,C4784,INDIRECT(J$2),INDIRECT(I4784),test),getMin(B4784,C4784,INDIRECT(J$2),INDIRECT(I4784),test))</f>
        <v>329.28048273180752</v>
      </c>
      <c r="E4784" s="5">
        <f ca="1">IF(getQuality(B4784)&lt;4,getOtherMax(B4784,C4784,INDIRECT(J$2),INDIRECT(I4784),test),getMax(B4784,C4784,INDIRECT(J$2),INDIRECT(I4784),test))</f>
        <v>390.92443123182665</v>
      </c>
      <c r="F4784" s="1" t="str">
        <f t="shared" si="299"/>
        <v>50</v>
      </c>
      <c r="G4784" s="1" t="str">
        <f t="shared" si="300"/>
        <v/>
      </c>
      <c r="I4784" s="1" t="str">
        <f t="shared" si="298"/>
        <v>威尔新数值1.06.xlsm!suitPower</v>
      </c>
    </row>
    <row r="4785" spans="1:9" x14ac:dyDescent="0.15">
      <c r="A4785" s="1">
        <v>4784</v>
      </c>
      <c r="B4785" s="1">
        <v>103091200</v>
      </c>
      <c r="C4785" s="1">
        <f t="shared" si="297"/>
        <v>10</v>
      </c>
      <c r="D4785" s="5">
        <f ca="1">IF(getQuality(B4785)&lt;4,getOtherMin(B4785,C4785,INDIRECT(J$2),INDIRECT(I4785),test),getMin(B4785,C4785,INDIRECT(J$2),INDIRECT(I4785),test))</f>
        <v>329.28048273180752</v>
      </c>
      <c r="E4785" s="5">
        <f ca="1">IF(getQuality(B4785)&lt;4,getOtherMax(B4785,C4785,INDIRECT(J$2),INDIRECT(I4785),test),getMax(B4785,C4785,INDIRECT(J$2),INDIRECT(I4785),test))</f>
        <v>390.92443123182665</v>
      </c>
      <c r="F4785" s="1" t="str">
        <f t="shared" si="299"/>
        <v>50</v>
      </c>
      <c r="G4785" s="1" t="str">
        <f t="shared" si="300"/>
        <v/>
      </c>
      <c r="I4785" s="1" t="str">
        <f t="shared" si="298"/>
        <v>威尔新数值1.06.xlsm!suitPower</v>
      </c>
    </row>
    <row r="4786" spans="1:9" x14ac:dyDescent="0.15">
      <c r="A4786" s="1">
        <v>4785</v>
      </c>
      <c r="B4786" s="1">
        <v>103091200</v>
      </c>
      <c r="C4786" s="1">
        <f t="shared" si="297"/>
        <v>11</v>
      </c>
      <c r="D4786" s="5">
        <f ca="1">IF(getQuality(B4786)&lt;4,getOtherMin(B4786,C4786,INDIRECT(J$2),INDIRECT(I4786),test),getMin(B4786,C4786,INDIRECT(J$2),INDIRECT(I4786),test))</f>
        <v>329.28048273180752</v>
      </c>
      <c r="E4786" s="5">
        <f ca="1">IF(getQuality(B4786)&lt;4,getOtherMax(B4786,C4786,INDIRECT(J$2),INDIRECT(I4786),test),getMax(B4786,C4786,INDIRECT(J$2),INDIRECT(I4786),test))</f>
        <v>390.92443123182665</v>
      </c>
      <c r="F4786" s="1" t="str">
        <f t="shared" si="299"/>
        <v>50</v>
      </c>
      <c r="G4786" s="1" t="str">
        <f t="shared" si="300"/>
        <v/>
      </c>
      <c r="I4786" s="1" t="str">
        <f t="shared" si="298"/>
        <v>威尔新数值1.06.xlsm!suitPower</v>
      </c>
    </row>
    <row r="4787" spans="1:9" x14ac:dyDescent="0.15">
      <c r="A4787" s="1">
        <v>4786</v>
      </c>
      <c r="B4787" s="1">
        <v>103091200</v>
      </c>
      <c r="C4787" s="1">
        <f t="shared" si="297"/>
        <v>12</v>
      </c>
      <c r="D4787" s="5">
        <f ca="1">IF(getQuality(B4787)&lt;4,getOtherMin(B4787,C4787,INDIRECT(J$2),INDIRECT(I4787),test),getMin(B4787,C4787,INDIRECT(J$2),INDIRECT(I4787),test))</f>
        <v>329.28048273180752</v>
      </c>
      <c r="E4787" s="5">
        <f ca="1">IF(getQuality(B4787)&lt;4,getOtherMax(B4787,C4787,INDIRECT(J$2),INDIRECT(I4787),test),getMax(B4787,C4787,INDIRECT(J$2),INDIRECT(I4787),test))</f>
        <v>390.92443123182665</v>
      </c>
      <c r="F4787" s="1" t="str">
        <f t="shared" si="299"/>
        <v>50</v>
      </c>
      <c r="G4787" s="1" t="str">
        <f t="shared" si="300"/>
        <v/>
      </c>
      <c r="I4787" s="1" t="str">
        <f t="shared" si="298"/>
        <v>威尔新数值1.06.xlsm!suitPower</v>
      </c>
    </row>
    <row r="4788" spans="1:9" x14ac:dyDescent="0.15">
      <c r="A4788" s="1">
        <v>4787</v>
      </c>
      <c r="B4788" s="1">
        <v>103091200</v>
      </c>
      <c r="C4788" s="1">
        <f t="shared" si="297"/>
        <v>13</v>
      </c>
      <c r="D4788" s="5">
        <f ca="1">IF(getQuality(B4788)&lt;4,getOtherMin(B4788,C4788,INDIRECT(J$2),INDIRECT(I4788),test),getMin(B4788,C4788,INDIRECT(J$2),INDIRECT(I4788),test))</f>
        <v>329.28048273180752</v>
      </c>
      <c r="E4788" s="5">
        <f ca="1">IF(getQuality(B4788)&lt;4,getOtherMax(B4788,C4788,INDIRECT(J$2),INDIRECT(I4788),test),getMax(B4788,C4788,INDIRECT(J$2),INDIRECT(I4788),test))</f>
        <v>390.92443123182665</v>
      </c>
      <c r="F4788" s="1" t="str">
        <f t="shared" si="299"/>
        <v>50</v>
      </c>
      <c r="G4788" s="1" t="str">
        <f t="shared" si="300"/>
        <v/>
      </c>
      <c r="I4788" s="1" t="str">
        <f t="shared" si="298"/>
        <v>威尔新数值1.06.xlsm!suitPower</v>
      </c>
    </row>
    <row r="4789" spans="1:9" x14ac:dyDescent="0.15">
      <c r="A4789" s="1">
        <v>4788</v>
      </c>
      <c r="B4789" s="1">
        <v>103091200</v>
      </c>
      <c r="C4789" s="1">
        <f t="shared" si="297"/>
        <v>14</v>
      </c>
      <c r="D4789" s="5">
        <f ca="1">IF(getQuality(B4789)&lt;4,getOtherMin(B4789,C4789,INDIRECT(J$2),INDIRECT(I4789),test),getMin(B4789,C4789,INDIRECT(J$2),INDIRECT(I4789),test))</f>
        <v>329.28048273180752</v>
      </c>
      <c r="E4789" s="5">
        <f ca="1">IF(getQuality(B4789)&lt;4,getOtherMax(B4789,C4789,INDIRECT(J$2),INDIRECT(I4789),test),getMax(B4789,C4789,INDIRECT(J$2),INDIRECT(I4789),test))</f>
        <v>390.92443123182665</v>
      </c>
      <c r="F4789" s="1" t="str">
        <f t="shared" si="299"/>
        <v>50</v>
      </c>
      <c r="G4789" s="1" t="str">
        <f t="shared" si="300"/>
        <v/>
      </c>
      <c r="I4789" s="1" t="str">
        <f t="shared" si="298"/>
        <v>威尔新数值1.06.xlsm!suitPower</v>
      </c>
    </row>
    <row r="4790" spans="1:9" x14ac:dyDescent="0.15">
      <c r="A4790" s="1">
        <v>4789</v>
      </c>
      <c r="B4790" s="1">
        <v>103091200</v>
      </c>
      <c r="C4790" s="1">
        <f t="shared" si="297"/>
        <v>15</v>
      </c>
      <c r="D4790" s="5">
        <f ca="1">IF(getQuality(B4790)&lt;4,getOtherMin(B4790,C4790,INDIRECT(J$2),INDIRECT(I4790),test),getMin(B4790,C4790,INDIRECT(J$2),INDIRECT(I4790),test))</f>
        <v>329.28048273180752</v>
      </c>
      <c r="E4790" s="5">
        <f ca="1">IF(getQuality(B4790)&lt;4,getOtherMax(B4790,C4790,INDIRECT(J$2),INDIRECT(I4790),test),getMax(B4790,C4790,INDIRECT(J$2),INDIRECT(I4790),test))</f>
        <v>390.92443123182665</v>
      </c>
      <c r="F4790" s="1" t="str">
        <f t="shared" si="299"/>
        <v>50</v>
      </c>
      <c r="G4790" s="1" t="str">
        <f t="shared" si="300"/>
        <v/>
      </c>
      <c r="I4790" s="1" t="str">
        <f t="shared" si="298"/>
        <v>威尔新数值1.06.xlsm!suitPower</v>
      </c>
    </row>
    <row r="4791" spans="1:9" x14ac:dyDescent="0.15">
      <c r="A4791" s="1">
        <v>4790</v>
      </c>
      <c r="B4791" s="1">
        <v>103091200</v>
      </c>
      <c r="C4791" s="1">
        <f t="shared" si="297"/>
        <v>101</v>
      </c>
      <c r="D4791" s="5">
        <f ca="1">IF(getQuality(B4791)&lt;4,getOtherMin(B4791,C4791,INDIRECT(J$2),INDIRECT(I4791),test),getMin(B4791,C4791,INDIRECT(J$2),INDIRECT(I4791),test))</f>
        <v>0.15</v>
      </c>
      <c r="E4791" s="5">
        <f ca="1">IF(getQuality(B4791)&lt;4,getOtherMax(B4791,C4791,INDIRECT(J$2),INDIRECT(I4791),test),getMax(B4791,C4791,INDIRECT(J$2),INDIRECT(I4791),test))</f>
        <v>0.18</v>
      </c>
      <c r="F4791" s="1" t="str">
        <f t="shared" si="299"/>
        <v>50</v>
      </c>
      <c r="G4791" s="1" t="str">
        <f t="shared" si="300"/>
        <v/>
      </c>
      <c r="I4791" s="1" t="str">
        <f t="shared" si="298"/>
        <v>威尔新数值1.06.xlsm!circlePer</v>
      </c>
    </row>
    <row r="4792" spans="1:9" x14ac:dyDescent="0.15">
      <c r="A4792" s="1">
        <v>4791</v>
      </c>
      <c r="B4792" s="1">
        <v>103091200</v>
      </c>
      <c r="C4792" s="1">
        <f t="shared" si="297"/>
        <v>102</v>
      </c>
      <c r="D4792" s="5">
        <f ca="1">IF(getQuality(B4792)&lt;4,getOtherMin(B4792,C4792,INDIRECT(J$2),INDIRECT(I4792),test),getMin(B4792,C4792,INDIRECT(J$2),INDIRECT(I4792),test))</f>
        <v>1.4</v>
      </c>
      <c r="E4792" s="5">
        <f ca="1">IF(getQuality(B4792)&lt;4,getOtherMax(B4792,C4792,INDIRECT(J$2),INDIRECT(I4792),test),getMax(B4792,C4792,INDIRECT(J$2),INDIRECT(I4792),test))</f>
        <v>1.7</v>
      </c>
      <c r="F4792" s="1" t="str">
        <f t="shared" si="299"/>
        <v>50</v>
      </c>
      <c r="G4792" s="1" t="str">
        <f t="shared" si="300"/>
        <v/>
      </c>
      <c r="I4792" s="1" t="str">
        <f t="shared" si="298"/>
        <v>威尔新数值1.06.xlsm!circleValue</v>
      </c>
    </row>
    <row r="4793" spans="1:9" x14ac:dyDescent="0.15">
      <c r="A4793" s="1">
        <v>4792</v>
      </c>
      <c r="B4793" s="1">
        <v>103091200</v>
      </c>
      <c r="C4793" s="1">
        <f t="shared" si="297"/>
        <v>103</v>
      </c>
      <c r="D4793" s="5">
        <f ca="1">IF(getQuality(B4793)&lt;4,getOtherMin(B4793,C4793,INDIRECT(J$2),INDIRECT(I4793),test),getMin(B4793,C4793,INDIRECT(J$2),INDIRECT(I4793),test))</f>
        <v>0.15</v>
      </c>
      <c r="E4793" s="5">
        <f ca="1">IF(getQuality(B4793)&lt;4,getOtherMax(B4793,C4793,INDIRECT(J$2),INDIRECT(I4793),test),getMax(B4793,C4793,INDIRECT(J$2),INDIRECT(I4793),test))</f>
        <v>0.18</v>
      </c>
      <c r="F4793" s="1" t="str">
        <f t="shared" si="299"/>
        <v>50</v>
      </c>
      <c r="G4793" s="1" t="str">
        <f t="shared" si="300"/>
        <v/>
      </c>
      <c r="I4793" s="1" t="str">
        <f t="shared" si="298"/>
        <v>威尔新数值1.06.xlsm!otherDamage</v>
      </c>
    </row>
    <row r="4794" spans="1:9" x14ac:dyDescent="0.15">
      <c r="A4794" s="1">
        <v>4793</v>
      </c>
      <c r="B4794" s="1">
        <v>103091200</v>
      </c>
      <c r="C4794" s="1">
        <f t="shared" si="297"/>
        <v>104</v>
      </c>
      <c r="D4794" s="5">
        <f ca="1">IF(getQuality(B4794)&lt;4,getOtherMin(B4794,C4794,INDIRECT(J$2),INDIRECT(I4794),test),getMin(B4794,C4794,INDIRECT(J$2),INDIRECT(I4794),test))</f>
        <v>0.15</v>
      </c>
      <c r="E4794" s="5">
        <f ca="1">IF(getQuality(B4794)&lt;4,getOtherMax(B4794,C4794,INDIRECT(J$2),INDIRECT(I4794),test),getMax(B4794,C4794,INDIRECT(J$2),INDIRECT(I4794),test))</f>
        <v>0.3</v>
      </c>
      <c r="F4794" s="1" t="str">
        <f t="shared" si="299"/>
        <v>50</v>
      </c>
      <c r="G4794" s="1" t="str">
        <f t="shared" si="300"/>
        <v/>
      </c>
      <c r="I4794" s="1" t="str">
        <f t="shared" si="298"/>
        <v>威尔新数值1.06.xlsm!monsterDamage</v>
      </c>
    </row>
    <row r="4795" spans="1:9" x14ac:dyDescent="0.15">
      <c r="A4795" s="1">
        <v>4794</v>
      </c>
      <c r="B4795" s="1">
        <v>103091200</v>
      </c>
      <c r="C4795" s="1">
        <f t="shared" si="297"/>
        <v>105</v>
      </c>
      <c r="D4795" s="5">
        <f ca="1">IF(getQuality(B4795)&lt;4,getOtherMin(B4795,C4795,INDIRECT(J$2),INDIRECT(I4795),test),getMin(B4795,C4795,INDIRECT(J$2),INDIRECT(I4795),test))</f>
        <v>0.15</v>
      </c>
      <c r="E4795" s="5">
        <f ca="1">IF(getQuality(B4795)&lt;4,getOtherMax(B4795,C4795,INDIRECT(J$2),INDIRECT(I4795),test),getMax(B4795,C4795,INDIRECT(J$2),INDIRECT(I4795),test))</f>
        <v>0.3</v>
      </c>
      <c r="F4795" s="1" t="str">
        <f t="shared" si="299"/>
        <v>50</v>
      </c>
      <c r="G4795" s="1" t="str">
        <f t="shared" si="300"/>
        <v/>
      </c>
      <c r="I4795" s="1" t="str">
        <f t="shared" si="298"/>
        <v>威尔新数值1.06.xlsm!monsterDamage</v>
      </c>
    </row>
    <row r="4796" spans="1:9" x14ac:dyDescent="0.15">
      <c r="A4796" s="1">
        <v>4795</v>
      </c>
      <c r="B4796" s="1">
        <v>103091200</v>
      </c>
      <c r="C4796" s="1">
        <f t="shared" ref="C4796:C4859" si="301">C2321</f>
        <v>106</v>
      </c>
      <c r="D4796" s="5">
        <f ca="1">IF(getQuality(B4796)&lt;4,getOtherMin(B4796,C4796,INDIRECT(J$2),INDIRECT(I4796),test),getMin(B4796,C4796,INDIRECT(J$2),INDIRECT(I4796),test))</f>
        <v>0.15</v>
      </c>
      <c r="E4796" s="5">
        <f ca="1">IF(getQuality(B4796)&lt;4,getOtherMax(B4796,C4796,INDIRECT(J$2),INDIRECT(I4796),test),getMax(B4796,C4796,INDIRECT(J$2),INDIRECT(I4796),test))</f>
        <v>0.3</v>
      </c>
      <c r="F4796" s="1" t="str">
        <f t="shared" si="299"/>
        <v>50</v>
      </c>
      <c r="G4796" s="1" t="str">
        <f t="shared" si="300"/>
        <v/>
      </c>
      <c r="I4796" s="1" t="str">
        <f t="shared" si="298"/>
        <v>威尔新数值1.06.xlsm!monsterDamage</v>
      </c>
    </row>
    <row r="4797" spans="1:9" x14ac:dyDescent="0.15">
      <c r="A4797" s="1">
        <v>4796</v>
      </c>
      <c r="B4797" s="1">
        <v>103091200</v>
      </c>
      <c r="C4797" s="1">
        <f t="shared" si="301"/>
        <v>107</v>
      </c>
      <c r="D4797" s="5">
        <f ca="1">IF(getQuality(B4797)&lt;4,getOtherMin(B4797,C4797,INDIRECT(J$2),INDIRECT(I4797),test),getMin(B4797,C4797,INDIRECT(J$2),INDIRECT(I4797),test))</f>
        <v>0.15</v>
      </c>
      <c r="E4797" s="5">
        <f ca="1">IF(getQuality(B4797)&lt;4,getOtherMax(B4797,C4797,INDIRECT(J$2),INDIRECT(I4797),test),getMax(B4797,C4797,INDIRECT(J$2),INDIRECT(I4797),test))</f>
        <v>0.3</v>
      </c>
      <c r="F4797" s="1" t="str">
        <f t="shared" si="299"/>
        <v>50</v>
      </c>
      <c r="G4797" s="1" t="str">
        <f t="shared" si="300"/>
        <v/>
      </c>
      <c r="I4797" s="1" t="str">
        <f t="shared" si="298"/>
        <v>威尔新数值1.06.xlsm!monsterDamage</v>
      </c>
    </row>
    <row r="4798" spans="1:9" x14ac:dyDescent="0.15">
      <c r="A4798" s="1">
        <v>4797</v>
      </c>
      <c r="B4798" s="1">
        <v>103091200</v>
      </c>
      <c r="C4798" s="1">
        <f t="shared" si="301"/>
        <v>108</v>
      </c>
      <c r="D4798" s="5">
        <f ca="1">IF(getQuality(B4798)&lt;4,getOtherMin(B4798,C4798,INDIRECT(J$2),INDIRECT(I4798),test),getMin(B4798,C4798,INDIRECT(J$2),INDIRECT(I4798),test))</f>
        <v>0.15</v>
      </c>
      <c r="E4798" s="5">
        <f ca="1">IF(getQuality(B4798)&lt;4,getOtherMax(B4798,C4798,INDIRECT(J$2),INDIRECT(I4798),test),getMax(B4798,C4798,INDIRECT(J$2),INDIRECT(I4798),test))</f>
        <v>0.3</v>
      </c>
      <c r="F4798" s="1" t="str">
        <f t="shared" si="299"/>
        <v>50</v>
      </c>
      <c r="G4798" s="1" t="str">
        <f t="shared" si="300"/>
        <v/>
      </c>
      <c r="I4798" s="1" t="str">
        <f t="shared" si="298"/>
        <v>威尔新数值1.06.xlsm!monsterDamage</v>
      </c>
    </row>
    <row r="4799" spans="1:9" x14ac:dyDescent="0.15">
      <c r="A4799" s="1">
        <v>4798</v>
      </c>
      <c r="B4799" s="1">
        <v>103011300</v>
      </c>
      <c r="C4799" s="1">
        <f t="shared" si="301"/>
        <v>3</v>
      </c>
      <c r="D4799" s="5">
        <f ca="1">IF(getQuality(B4799)&lt;4,getOtherMin(B4799,C4799,INDIRECT(J$2),INDIRECT(I4799),test),getMin(B4799,C4799,INDIRECT(J$2),INDIRECT(I4799),test))</f>
        <v>1</v>
      </c>
      <c r="E4799" s="5">
        <f ca="1">IF(getQuality(B4799)&lt;4,getOtherMax(B4799,C4799,INDIRECT(J$2),INDIRECT(I4799),test),getMax(B4799,C4799,INDIRECT(J$2),INDIRECT(I4799),test))</f>
        <v>24.009875731714647</v>
      </c>
      <c r="F4799" s="1" t="str">
        <f t="shared" si="299"/>
        <v>50</v>
      </c>
      <c r="G4799" s="1" t="str">
        <f t="shared" si="300"/>
        <v>1</v>
      </c>
      <c r="I4799" s="1" t="str">
        <f t="shared" si="298"/>
        <v>威尔新数值1.06.xlsm!suitPower</v>
      </c>
    </row>
    <row r="4800" spans="1:9" x14ac:dyDescent="0.15">
      <c r="A4800" s="1">
        <v>4799</v>
      </c>
      <c r="B4800" s="1">
        <v>103011300</v>
      </c>
      <c r="C4800" s="1">
        <f t="shared" si="301"/>
        <v>5</v>
      </c>
      <c r="D4800" s="5">
        <f ca="1">IF(getQuality(B4800)&lt;4,getOtherMin(B4800,C4800,INDIRECT(J$2),INDIRECT(I4800),test),getMin(B4800,C4800,INDIRECT(J$2),INDIRECT(I4800),test))</f>
        <v>1</v>
      </c>
      <c r="E4800" s="5">
        <f ca="1">IF(getQuality(B4800)&lt;4,getOtherMax(B4800,C4800,INDIRECT(J$2),INDIRECT(I4800),test),getMax(B4800,C4800,INDIRECT(J$2),INDIRECT(I4800),test))</f>
        <v>24.009875731714647</v>
      </c>
      <c r="F4800" s="1" t="str">
        <f t="shared" si="299"/>
        <v>50</v>
      </c>
      <c r="G4800" s="1" t="str">
        <f t="shared" si="300"/>
        <v/>
      </c>
      <c r="I4800" s="1" t="str">
        <f t="shared" si="298"/>
        <v>威尔新数值1.06.xlsm!suitPower</v>
      </c>
    </row>
    <row r="4801" spans="1:9" x14ac:dyDescent="0.15">
      <c r="A4801" s="1">
        <v>4800</v>
      </c>
      <c r="B4801" s="1">
        <v>103011300</v>
      </c>
      <c r="C4801" s="1">
        <f t="shared" si="301"/>
        <v>7</v>
      </c>
      <c r="D4801" s="5">
        <f ca="1">IF(getQuality(B4801)&lt;4,getOtherMin(B4801,C4801,INDIRECT(J$2),INDIRECT(I4801),test),getMin(B4801,C4801,INDIRECT(J$2),INDIRECT(I4801),test))</f>
        <v>1</v>
      </c>
      <c r="E4801" s="5">
        <f ca="1">IF(getQuality(B4801)&lt;4,getOtherMax(B4801,C4801,INDIRECT(J$2),INDIRECT(I4801),test),getMax(B4801,C4801,INDIRECT(J$2),INDIRECT(I4801),test))</f>
        <v>7.4074074074073888</v>
      </c>
      <c r="F4801" s="1" t="str">
        <f t="shared" si="299"/>
        <v>50</v>
      </c>
      <c r="G4801" s="1" t="str">
        <f t="shared" si="300"/>
        <v/>
      </c>
      <c r="I4801" s="1" t="str">
        <f t="shared" si="298"/>
        <v>威尔新数值1.06.xlsm!suitPower</v>
      </c>
    </row>
    <row r="4802" spans="1:9" x14ac:dyDescent="0.15">
      <c r="A4802" s="1">
        <v>4801</v>
      </c>
      <c r="B4802" s="1">
        <v>103011300</v>
      </c>
      <c r="C4802" s="1">
        <f t="shared" si="301"/>
        <v>8</v>
      </c>
      <c r="D4802" s="5">
        <f ca="1">IF(getQuality(B4802)&lt;4,getOtherMin(B4802,C4802,INDIRECT(J$2),INDIRECT(I4802),test),getMin(B4802,C4802,INDIRECT(J$2),INDIRECT(I4802),test))</f>
        <v>1</v>
      </c>
      <c r="E4802" s="5">
        <f ca="1">IF(getQuality(B4802)&lt;4,getOtherMax(B4802,C4802,INDIRECT(J$2),INDIRECT(I4802),test),getMax(B4802,C4802,INDIRECT(J$2),INDIRECT(I4802),test))</f>
        <v>16.666666666666668</v>
      </c>
      <c r="F4802" s="1" t="str">
        <f t="shared" si="299"/>
        <v>50</v>
      </c>
      <c r="G4802" s="1" t="str">
        <f t="shared" si="300"/>
        <v/>
      </c>
      <c r="I4802" s="1" t="str">
        <f t="shared" ref="I4802:I4865" si="302">IF(C4802&lt;100,VLOOKUP(C4802,test,3,FALSE),VLOOKUP(C4802,test1,3,FALSE))</f>
        <v>威尔新数值1.06.xlsm!suitPower</v>
      </c>
    </row>
    <row r="4803" spans="1:9" x14ac:dyDescent="0.15">
      <c r="A4803" s="1">
        <v>4802</v>
      </c>
      <c r="B4803" s="1">
        <v>103011300</v>
      </c>
      <c r="C4803" s="1">
        <f t="shared" si="301"/>
        <v>9</v>
      </c>
      <c r="D4803" s="5">
        <f ca="1">IF(getQuality(B4803)&lt;4,getOtherMin(B4803,C4803,INDIRECT(J$2),INDIRECT(I4803),test),getMin(B4803,C4803,INDIRECT(J$2),INDIRECT(I4803),test))</f>
        <v>1</v>
      </c>
      <c r="E4803" s="5">
        <f ca="1">IF(getQuality(B4803)&lt;4,getOtherMax(B4803,C4803,INDIRECT(J$2),INDIRECT(I4803),test),getMax(B4803,C4803,INDIRECT(J$2),INDIRECT(I4803),test))</f>
        <v>24.009875731714647</v>
      </c>
      <c r="F4803" s="1" t="str">
        <f t="shared" ref="F4803:F4866" si="303">getper(B4803,C4803)</f>
        <v>50</v>
      </c>
      <c r="G4803" s="1" t="str">
        <f t="shared" ref="G4803:G4866" si="304">getMust(B4803,C4803)</f>
        <v/>
      </c>
      <c r="I4803" s="1" t="str">
        <f t="shared" si="302"/>
        <v>威尔新数值1.06.xlsm!suitPower</v>
      </c>
    </row>
    <row r="4804" spans="1:9" x14ac:dyDescent="0.15">
      <c r="A4804" s="1">
        <v>4803</v>
      </c>
      <c r="B4804" s="1">
        <v>103011300</v>
      </c>
      <c r="C4804" s="1">
        <f t="shared" si="301"/>
        <v>10</v>
      </c>
      <c r="D4804" s="5">
        <f ca="1">IF(getQuality(B4804)&lt;4,getOtherMin(B4804,C4804,INDIRECT(J$2),INDIRECT(I4804),test),getMin(B4804,C4804,INDIRECT(J$2),INDIRECT(I4804),test))</f>
        <v>1</v>
      </c>
      <c r="E4804" s="5">
        <f ca="1">IF(getQuality(B4804)&lt;4,getOtherMax(B4804,C4804,INDIRECT(J$2),INDIRECT(I4804),test),getMax(B4804,C4804,INDIRECT(J$2),INDIRECT(I4804),test))</f>
        <v>24.009875731714647</v>
      </c>
      <c r="F4804" s="1" t="str">
        <f t="shared" si="303"/>
        <v>50</v>
      </c>
      <c r="G4804" s="1" t="str">
        <f t="shared" si="304"/>
        <v/>
      </c>
      <c r="I4804" s="1" t="str">
        <f t="shared" si="302"/>
        <v>威尔新数值1.06.xlsm!suitPower</v>
      </c>
    </row>
    <row r="4805" spans="1:9" x14ac:dyDescent="0.15">
      <c r="A4805" s="1">
        <v>4804</v>
      </c>
      <c r="B4805" s="1">
        <v>103011300</v>
      </c>
      <c r="C4805" s="1">
        <f t="shared" si="301"/>
        <v>11</v>
      </c>
      <c r="D4805" s="5">
        <f ca="1">IF(getQuality(B4805)&lt;4,getOtherMin(B4805,C4805,INDIRECT(J$2),INDIRECT(I4805),test),getMin(B4805,C4805,INDIRECT(J$2),INDIRECT(I4805),test))</f>
        <v>1</v>
      </c>
      <c r="E4805" s="5">
        <f ca="1">IF(getQuality(B4805)&lt;4,getOtherMax(B4805,C4805,INDIRECT(J$2),INDIRECT(I4805),test),getMax(B4805,C4805,INDIRECT(J$2),INDIRECT(I4805),test))</f>
        <v>24.009875731714647</v>
      </c>
      <c r="F4805" s="1" t="str">
        <f t="shared" si="303"/>
        <v>50</v>
      </c>
      <c r="G4805" s="1" t="str">
        <f t="shared" si="304"/>
        <v/>
      </c>
      <c r="I4805" s="1" t="str">
        <f t="shared" si="302"/>
        <v>威尔新数值1.06.xlsm!suitPower</v>
      </c>
    </row>
    <row r="4806" spans="1:9" x14ac:dyDescent="0.15">
      <c r="A4806" s="1">
        <v>4805</v>
      </c>
      <c r="B4806" s="1">
        <v>103011300</v>
      </c>
      <c r="C4806" s="1">
        <f t="shared" si="301"/>
        <v>12</v>
      </c>
      <c r="D4806" s="5">
        <f ca="1">IF(getQuality(B4806)&lt;4,getOtherMin(B4806,C4806,INDIRECT(J$2),INDIRECT(I4806),test),getMin(B4806,C4806,INDIRECT(J$2),INDIRECT(I4806),test))</f>
        <v>1</v>
      </c>
      <c r="E4806" s="5">
        <f ca="1">IF(getQuality(B4806)&lt;4,getOtherMax(B4806,C4806,INDIRECT(J$2),INDIRECT(I4806),test),getMax(B4806,C4806,INDIRECT(J$2),INDIRECT(I4806),test))</f>
        <v>24.009875731714647</v>
      </c>
      <c r="F4806" s="1" t="str">
        <f t="shared" si="303"/>
        <v>50</v>
      </c>
      <c r="G4806" s="1" t="str">
        <f t="shared" si="304"/>
        <v/>
      </c>
      <c r="I4806" s="1" t="str">
        <f t="shared" si="302"/>
        <v>威尔新数值1.06.xlsm!suitPower</v>
      </c>
    </row>
    <row r="4807" spans="1:9" x14ac:dyDescent="0.15">
      <c r="A4807" s="1">
        <v>4806</v>
      </c>
      <c r="B4807" s="1">
        <v>103011300</v>
      </c>
      <c r="C4807" s="1">
        <f t="shared" si="301"/>
        <v>13</v>
      </c>
      <c r="D4807" s="5">
        <f ca="1">IF(getQuality(B4807)&lt;4,getOtherMin(B4807,C4807,INDIRECT(J$2),INDIRECT(I4807),test),getMin(B4807,C4807,INDIRECT(J$2),INDIRECT(I4807),test))</f>
        <v>1</v>
      </c>
      <c r="E4807" s="5">
        <f ca="1">IF(getQuality(B4807)&lt;4,getOtherMax(B4807,C4807,INDIRECT(J$2),INDIRECT(I4807),test),getMax(B4807,C4807,INDIRECT(J$2),INDIRECT(I4807),test))</f>
        <v>24.009875731714647</v>
      </c>
      <c r="F4807" s="1" t="str">
        <f t="shared" si="303"/>
        <v>50</v>
      </c>
      <c r="G4807" s="1" t="str">
        <f t="shared" si="304"/>
        <v/>
      </c>
      <c r="I4807" s="1" t="str">
        <f t="shared" si="302"/>
        <v>威尔新数值1.06.xlsm!suitPower</v>
      </c>
    </row>
    <row r="4808" spans="1:9" x14ac:dyDescent="0.15">
      <c r="A4808" s="1">
        <v>4807</v>
      </c>
      <c r="B4808" s="1">
        <v>103011300</v>
      </c>
      <c r="C4808" s="1">
        <f t="shared" si="301"/>
        <v>14</v>
      </c>
      <c r="D4808" s="5">
        <f ca="1">IF(getQuality(B4808)&lt;4,getOtherMin(B4808,C4808,INDIRECT(J$2),INDIRECT(I4808),test),getMin(B4808,C4808,INDIRECT(J$2),INDIRECT(I4808),test))</f>
        <v>1</v>
      </c>
      <c r="E4808" s="5">
        <f ca="1">IF(getQuality(B4808)&lt;4,getOtherMax(B4808,C4808,INDIRECT(J$2),INDIRECT(I4808),test),getMax(B4808,C4808,INDIRECT(J$2),INDIRECT(I4808),test))</f>
        <v>24.009875731714647</v>
      </c>
      <c r="F4808" s="1" t="str">
        <f t="shared" si="303"/>
        <v>50</v>
      </c>
      <c r="G4808" s="1" t="str">
        <f t="shared" si="304"/>
        <v/>
      </c>
      <c r="I4808" s="1" t="str">
        <f t="shared" si="302"/>
        <v>威尔新数值1.06.xlsm!suitPower</v>
      </c>
    </row>
    <row r="4809" spans="1:9" x14ac:dyDescent="0.15">
      <c r="A4809" s="1">
        <v>4808</v>
      </c>
      <c r="B4809" s="1">
        <v>103011300</v>
      </c>
      <c r="C4809" s="1">
        <f t="shared" si="301"/>
        <v>15</v>
      </c>
      <c r="D4809" s="5">
        <f ca="1">IF(getQuality(B4809)&lt;4,getOtherMin(B4809,C4809,INDIRECT(J$2),INDIRECT(I4809),test),getMin(B4809,C4809,INDIRECT(J$2),INDIRECT(I4809),test))</f>
        <v>1</v>
      </c>
      <c r="E4809" s="5">
        <f ca="1">IF(getQuality(B4809)&lt;4,getOtherMax(B4809,C4809,INDIRECT(J$2),INDIRECT(I4809),test),getMax(B4809,C4809,INDIRECT(J$2),INDIRECT(I4809),test))</f>
        <v>24.009875731714647</v>
      </c>
      <c r="F4809" s="1" t="str">
        <f t="shared" si="303"/>
        <v>50</v>
      </c>
      <c r="G4809" s="1" t="str">
        <f t="shared" si="304"/>
        <v/>
      </c>
      <c r="I4809" s="1" t="str">
        <f t="shared" si="302"/>
        <v>威尔新数值1.06.xlsm!suitPower</v>
      </c>
    </row>
    <row r="4810" spans="1:9" x14ac:dyDescent="0.15">
      <c r="A4810" s="1">
        <v>4809</v>
      </c>
      <c r="B4810" s="1">
        <v>103011300</v>
      </c>
      <c r="C4810" s="1">
        <f t="shared" si="301"/>
        <v>101</v>
      </c>
      <c r="D4810" s="5">
        <f ca="1">IF(getQuality(B4810)&lt;4,getOtherMin(B4810,C4810,INDIRECT(J$2),INDIRECT(I4810),test),getMin(B4810,C4810,INDIRECT(J$2),INDIRECT(I4810),test))</f>
        <v>7.0000000000000007E-2</v>
      </c>
      <c r="E4810" s="5">
        <f ca="1">IF(getQuality(B4810)&lt;4,getOtherMax(B4810,C4810,INDIRECT(J$2),INDIRECT(I4810),test),getMax(B4810,C4810,INDIRECT(J$2),INDIRECT(I4810),test))</f>
        <v>0.1</v>
      </c>
      <c r="F4810" s="1" t="str">
        <f t="shared" si="303"/>
        <v>50</v>
      </c>
      <c r="G4810" s="1" t="str">
        <f t="shared" si="304"/>
        <v/>
      </c>
      <c r="I4810" s="1" t="str">
        <f t="shared" si="302"/>
        <v>威尔新数值1.06.xlsm!circlePer</v>
      </c>
    </row>
    <row r="4811" spans="1:9" x14ac:dyDescent="0.15">
      <c r="A4811" s="1">
        <v>4810</v>
      </c>
      <c r="B4811" s="1">
        <v>103011300</v>
      </c>
      <c r="C4811" s="1">
        <f t="shared" si="301"/>
        <v>102</v>
      </c>
      <c r="D4811" s="5">
        <f ca="1">IF(getQuality(B4811)&lt;4,getOtherMin(B4811,C4811,INDIRECT(J$2),INDIRECT(I4811),test),getMin(B4811,C4811,INDIRECT(J$2),INDIRECT(I4811),test))</f>
        <v>0.6</v>
      </c>
      <c r="E4811" s="5">
        <f ca="1">IF(getQuality(B4811)&lt;4,getOtherMax(B4811,C4811,INDIRECT(J$2),INDIRECT(I4811),test),getMax(B4811,C4811,INDIRECT(J$2),INDIRECT(I4811),test))</f>
        <v>0.9</v>
      </c>
      <c r="F4811" s="1" t="str">
        <f t="shared" si="303"/>
        <v>50</v>
      </c>
      <c r="G4811" s="1" t="str">
        <f t="shared" si="304"/>
        <v/>
      </c>
      <c r="I4811" s="1" t="str">
        <f t="shared" si="302"/>
        <v>威尔新数值1.06.xlsm!circleValue</v>
      </c>
    </row>
    <row r="4812" spans="1:9" x14ac:dyDescent="0.15">
      <c r="A4812" s="1">
        <v>4811</v>
      </c>
      <c r="B4812" s="1">
        <v>103011300</v>
      </c>
      <c r="C4812" s="1">
        <f t="shared" si="301"/>
        <v>103</v>
      </c>
      <c r="D4812" s="5">
        <f ca="1">IF(getQuality(B4812)&lt;4,getOtherMin(B4812,C4812,INDIRECT(J$2),INDIRECT(I4812),test),getMin(B4812,C4812,INDIRECT(J$2),INDIRECT(I4812),test))</f>
        <v>7.0000000000000007E-2</v>
      </c>
      <c r="E4812" s="5">
        <f ca="1">IF(getQuality(B4812)&lt;4,getOtherMax(B4812,C4812,INDIRECT(J$2),INDIRECT(I4812),test),getMax(B4812,C4812,INDIRECT(J$2),INDIRECT(I4812),test))</f>
        <v>0.1</v>
      </c>
      <c r="F4812" s="1" t="str">
        <f t="shared" si="303"/>
        <v>50</v>
      </c>
      <c r="G4812" s="1" t="str">
        <f t="shared" si="304"/>
        <v/>
      </c>
      <c r="I4812" s="1" t="str">
        <f t="shared" si="302"/>
        <v>威尔新数值1.06.xlsm!otherDamage</v>
      </c>
    </row>
    <row r="4813" spans="1:9" x14ac:dyDescent="0.15">
      <c r="A4813" s="1">
        <v>4812</v>
      </c>
      <c r="B4813" s="1">
        <v>103011300</v>
      </c>
      <c r="C4813" s="1">
        <f t="shared" si="301"/>
        <v>104</v>
      </c>
      <c r="D4813" s="5">
        <f ca="1">IF(getQuality(B4813)&lt;4,getOtherMin(B4813,C4813,INDIRECT(J$2),INDIRECT(I4813),test),getMin(B4813,C4813,INDIRECT(J$2),INDIRECT(I4813),test))</f>
        <v>7.0000000000000007E-2</v>
      </c>
      <c r="E4813" s="5">
        <f ca="1">IF(getQuality(B4813)&lt;4,getOtherMax(B4813,C4813,INDIRECT(J$2),INDIRECT(I4813),test),getMax(B4813,C4813,INDIRECT(J$2),INDIRECT(I4813),test))</f>
        <v>0.14000000000000001</v>
      </c>
      <c r="F4813" s="1" t="str">
        <f t="shared" si="303"/>
        <v>50</v>
      </c>
      <c r="G4813" s="1" t="str">
        <f t="shared" si="304"/>
        <v/>
      </c>
      <c r="I4813" s="1" t="str">
        <f t="shared" si="302"/>
        <v>威尔新数值1.06.xlsm!monsterDamage</v>
      </c>
    </row>
    <row r="4814" spans="1:9" x14ac:dyDescent="0.15">
      <c r="A4814" s="1">
        <v>4813</v>
      </c>
      <c r="B4814" s="1">
        <v>103011300</v>
      </c>
      <c r="C4814" s="1">
        <f t="shared" si="301"/>
        <v>105</v>
      </c>
      <c r="D4814" s="5">
        <f ca="1">IF(getQuality(B4814)&lt;4,getOtherMin(B4814,C4814,INDIRECT(J$2),INDIRECT(I4814),test),getMin(B4814,C4814,INDIRECT(J$2),INDIRECT(I4814),test))</f>
        <v>7.0000000000000007E-2</v>
      </c>
      <c r="E4814" s="5">
        <f ca="1">IF(getQuality(B4814)&lt;4,getOtherMax(B4814,C4814,INDIRECT(J$2),INDIRECT(I4814),test),getMax(B4814,C4814,INDIRECT(J$2),INDIRECT(I4814),test))</f>
        <v>0.14000000000000001</v>
      </c>
      <c r="F4814" s="1" t="str">
        <f t="shared" si="303"/>
        <v>50</v>
      </c>
      <c r="G4814" s="1" t="str">
        <f t="shared" si="304"/>
        <v/>
      </c>
      <c r="I4814" s="1" t="str">
        <f t="shared" si="302"/>
        <v>威尔新数值1.06.xlsm!monsterDamage</v>
      </c>
    </row>
    <row r="4815" spans="1:9" x14ac:dyDescent="0.15">
      <c r="A4815" s="1">
        <v>4814</v>
      </c>
      <c r="B4815" s="1">
        <v>103011300</v>
      </c>
      <c r="C4815" s="1">
        <f t="shared" si="301"/>
        <v>106</v>
      </c>
      <c r="D4815" s="5">
        <f ca="1">IF(getQuality(B4815)&lt;4,getOtherMin(B4815,C4815,INDIRECT(J$2),INDIRECT(I4815),test),getMin(B4815,C4815,INDIRECT(J$2),INDIRECT(I4815),test))</f>
        <v>7.0000000000000007E-2</v>
      </c>
      <c r="E4815" s="5">
        <f ca="1">IF(getQuality(B4815)&lt;4,getOtherMax(B4815,C4815,INDIRECT(J$2),INDIRECT(I4815),test),getMax(B4815,C4815,INDIRECT(J$2),INDIRECT(I4815),test))</f>
        <v>0.14000000000000001</v>
      </c>
      <c r="F4815" s="1" t="str">
        <f t="shared" si="303"/>
        <v>50</v>
      </c>
      <c r="G4815" s="1" t="str">
        <f t="shared" si="304"/>
        <v/>
      </c>
      <c r="I4815" s="1" t="str">
        <f t="shared" si="302"/>
        <v>威尔新数值1.06.xlsm!monsterDamage</v>
      </c>
    </row>
    <row r="4816" spans="1:9" x14ac:dyDescent="0.15">
      <c r="A4816" s="1">
        <v>4815</v>
      </c>
      <c r="B4816" s="1">
        <v>103011300</v>
      </c>
      <c r="C4816" s="1">
        <f t="shared" si="301"/>
        <v>107</v>
      </c>
      <c r="D4816" s="5">
        <f ca="1">IF(getQuality(B4816)&lt;4,getOtherMin(B4816,C4816,INDIRECT(J$2),INDIRECT(I4816),test),getMin(B4816,C4816,INDIRECT(J$2),INDIRECT(I4816),test))</f>
        <v>7.0000000000000007E-2</v>
      </c>
      <c r="E4816" s="5">
        <f ca="1">IF(getQuality(B4816)&lt;4,getOtherMax(B4816,C4816,INDIRECT(J$2),INDIRECT(I4816),test),getMax(B4816,C4816,INDIRECT(J$2),INDIRECT(I4816),test))</f>
        <v>0.14000000000000001</v>
      </c>
      <c r="F4816" s="1" t="str">
        <f t="shared" si="303"/>
        <v>50</v>
      </c>
      <c r="G4816" s="1" t="str">
        <f t="shared" si="304"/>
        <v/>
      </c>
      <c r="I4816" s="1" t="str">
        <f t="shared" si="302"/>
        <v>威尔新数值1.06.xlsm!monsterDamage</v>
      </c>
    </row>
    <row r="4817" spans="1:9" x14ac:dyDescent="0.15">
      <c r="A4817" s="1">
        <v>4816</v>
      </c>
      <c r="B4817" s="1">
        <v>103011300</v>
      </c>
      <c r="C4817" s="1">
        <f t="shared" si="301"/>
        <v>108</v>
      </c>
      <c r="D4817" s="5">
        <f ca="1">IF(getQuality(B4817)&lt;4,getOtherMin(B4817,C4817,INDIRECT(J$2),INDIRECT(I4817),test),getMin(B4817,C4817,INDIRECT(J$2),INDIRECT(I4817),test))</f>
        <v>7.0000000000000007E-2</v>
      </c>
      <c r="E4817" s="5">
        <f ca="1">IF(getQuality(B4817)&lt;4,getOtherMax(B4817,C4817,INDIRECT(J$2),INDIRECT(I4817),test),getMax(B4817,C4817,INDIRECT(J$2),INDIRECT(I4817),test))</f>
        <v>0.14000000000000001</v>
      </c>
      <c r="F4817" s="1" t="str">
        <f t="shared" si="303"/>
        <v>50</v>
      </c>
      <c r="G4817" s="1" t="str">
        <f t="shared" si="304"/>
        <v/>
      </c>
      <c r="I4817" s="1" t="str">
        <f t="shared" si="302"/>
        <v>威尔新数值1.06.xlsm!monsterDamage</v>
      </c>
    </row>
    <row r="4818" spans="1:9" x14ac:dyDescent="0.15">
      <c r="A4818" s="1">
        <v>4817</v>
      </c>
      <c r="B4818" s="1">
        <v>103021300</v>
      </c>
      <c r="C4818" s="1">
        <f t="shared" si="301"/>
        <v>3</v>
      </c>
      <c r="D4818" s="5">
        <f ca="1">IF(getQuality(B4818)&lt;4,getOtherMin(B4818,C4818,INDIRECT(J$2),INDIRECT(I4818),test),getMin(B4818,C4818,INDIRECT(J$2),INDIRECT(I4818),test))</f>
        <v>25.009875731714647</v>
      </c>
      <c r="E4818" s="5">
        <f ca="1">IF(getQuality(B4818)&lt;4,getOtherMax(B4818,C4818,INDIRECT(J$2),INDIRECT(I4818),test),getMax(B4818,C4818,INDIRECT(J$2),INDIRECT(I4818),test))</f>
        <v>52.82172660977222</v>
      </c>
      <c r="F4818" s="1" t="str">
        <f t="shared" si="303"/>
        <v>50</v>
      </c>
      <c r="G4818" s="1" t="str">
        <f t="shared" si="304"/>
        <v>1</v>
      </c>
      <c r="I4818" s="1" t="str">
        <f t="shared" si="302"/>
        <v>威尔新数值1.06.xlsm!suitPower</v>
      </c>
    </row>
    <row r="4819" spans="1:9" x14ac:dyDescent="0.15">
      <c r="A4819" s="1">
        <v>4818</v>
      </c>
      <c r="B4819" s="1">
        <v>103021300</v>
      </c>
      <c r="C4819" s="1">
        <f t="shared" si="301"/>
        <v>5</v>
      </c>
      <c r="D4819" s="5">
        <f ca="1">IF(getQuality(B4819)&lt;4,getOtherMin(B4819,C4819,INDIRECT(J$2),INDIRECT(I4819),test),getMin(B4819,C4819,INDIRECT(J$2),INDIRECT(I4819),test))</f>
        <v>25.009875731714647</v>
      </c>
      <c r="E4819" s="5">
        <f ca="1">IF(getQuality(B4819)&lt;4,getOtherMax(B4819,C4819,INDIRECT(J$2),INDIRECT(I4819),test),getMax(B4819,C4819,INDIRECT(J$2),INDIRECT(I4819),test))</f>
        <v>52.82172660977222</v>
      </c>
      <c r="F4819" s="1" t="str">
        <f t="shared" si="303"/>
        <v>50</v>
      </c>
      <c r="G4819" s="1" t="str">
        <f t="shared" si="304"/>
        <v/>
      </c>
      <c r="I4819" s="1" t="str">
        <f t="shared" si="302"/>
        <v>威尔新数值1.06.xlsm!suitPower</v>
      </c>
    </row>
    <row r="4820" spans="1:9" x14ac:dyDescent="0.15">
      <c r="A4820" s="1">
        <v>4819</v>
      </c>
      <c r="B4820" s="1">
        <v>103021300</v>
      </c>
      <c r="C4820" s="1">
        <f t="shared" si="301"/>
        <v>7</v>
      </c>
      <c r="D4820" s="5">
        <f ca="1">IF(getQuality(B4820)&lt;4,getOtherMin(B4820,C4820,INDIRECT(J$2),INDIRECT(I4820),test),getMin(B4820,C4820,INDIRECT(J$2),INDIRECT(I4820),test))</f>
        <v>8.4074074074073888</v>
      </c>
      <c r="E4820" s="5">
        <f ca="1">IF(getQuality(B4820)&lt;4,getOtherMax(B4820,C4820,INDIRECT(J$2),INDIRECT(I4820),test),getMax(B4820,C4820,INDIRECT(J$2),INDIRECT(I4820),test))</f>
        <v>14.814814814814778</v>
      </c>
      <c r="F4820" s="1" t="str">
        <f t="shared" si="303"/>
        <v>50</v>
      </c>
      <c r="G4820" s="1" t="str">
        <f t="shared" si="304"/>
        <v/>
      </c>
      <c r="I4820" s="1" t="str">
        <f t="shared" si="302"/>
        <v>威尔新数值1.06.xlsm!suitPower</v>
      </c>
    </row>
    <row r="4821" spans="1:9" x14ac:dyDescent="0.15">
      <c r="A4821" s="1">
        <v>4820</v>
      </c>
      <c r="B4821" s="1">
        <v>103021300</v>
      </c>
      <c r="C4821" s="1">
        <f t="shared" si="301"/>
        <v>8</v>
      </c>
      <c r="D4821" s="5">
        <f ca="1">IF(getQuality(B4821)&lt;4,getOtherMin(B4821,C4821,INDIRECT(J$2),INDIRECT(I4821),test),getMin(B4821,C4821,INDIRECT(J$2),INDIRECT(I4821),test))</f>
        <v>17.666666666666668</v>
      </c>
      <c r="E4821" s="5">
        <f ca="1">IF(getQuality(B4821)&lt;4,getOtherMax(B4821,C4821,INDIRECT(J$2),INDIRECT(I4821),test),getMax(B4821,C4821,INDIRECT(J$2),INDIRECT(I4821),test))</f>
        <v>33.333333333333336</v>
      </c>
      <c r="F4821" s="1" t="str">
        <f t="shared" si="303"/>
        <v>50</v>
      </c>
      <c r="G4821" s="1" t="str">
        <f t="shared" si="304"/>
        <v/>
      </c>
      <c r="I4821" s="1" t="str">
        <f t="shared" si="302"/>
        <v>威尔新数值1.06.xlsm!suitPower</v>
      </c>
    </row>
    <row r="4822" spans="1:9" x14ac:dyDescent="0.15">
      <c r="A4822" s="1">
        <v>4821</v>
      </c>
      <c r="B4822" s="1">
        <v>103021300</v>
      </c>
      <c r="C4822" s="1">
        <f t="shared" si="301"/>
        <v>9</v>
      </c>
      <c r="D4822" s="5">
        <f ca="1">IF(getQuality(B4822)&lt;4,getOtherMin(B4822,C4822,INDIRECT(J$2),INDIRECT(I4822),test),getMin(B4822,C4822,INDIRECT(J$2),INDIRECT(I4822),test))</f>
        <v>25.009875731714647</v>
      </c>
      <c r="E4822" s="5">
        <f ca="1">IF(getQuality(B4822)&lt;4,getOtherMax(B4822,C4822,INDIRECT(J$2),INDIRECT(I4822),test),getMax(B4822,C4822,INDIRECT(J$2),INDIRECT(I4822),test))</f>
        <v>52.82172660977222</v>
      </c>
      <c r="F4822" s="1" t="str">
        <f t="shared" si="303"/>
        <v>50</v>
      </c>
      <c r="G4822" s="1" t="str">
        <f t="shared" si="304"/>
        <v/>
      </c>
      <c r="I4822" s="1" t="str">
        <f t="shared" si="302"/>
        <v>威尔新数值1.06.xlsm!suitPower</v>
      </c>
    </row>
    <row r="4823" spans="1:9" x14ac:dyDescent="0.15">
      <c r="A4823" s="1">
        <v>4822</v>
      </c>
      <c r="B4823" s="1">
        <v>103021300</v>
      </c>
      <c r="C4823" s="1">
        <f t="shared" si="301"/>
        <v>10</v>
      </c>
      <c r="D4823" s="5">
        <f ca="1">IF(getQuality(B4823)&lt;4,getOtherMin(B4823,C4823,INDIRECT(J$2),INDIRECT(I4823),test),getMin(B4823,C4823,INDIRECT(J$2),INDIRECT(I4823),test))</f>
        <v>25.009875731714647</v>
      </c>
      <c r="E4823" s="5">
        <f ca="1">IF(getQuality(B4823)&lt;4,getOtherMax(B4823,C4823,INDIRECT(J$2),INDIRECT(I4823),test),getMax(B4823,C4823,INDIRECT(J$2),INDIRECT(I4823),test))</f>
        <v>52.82172660977222</v>
      </c>
      <c r="F4823" s="1" t="str">
        <f t="shared" si="303"/>
        <v>50</v>
      </c>
      <c r="G4823" s="1" t="str">
        <f t="shared" si="304"/>
        <v/>
      </c>
      <c r="I4823" s="1" t="str">
        <f t="shared" si="302"/>
        <v>威尔新数值1.06.xlsm!suitPower</v>
      </c>
    </row>
    <row r="4824" spans="1:9" x14ac:dyDescent="0.15">
      <c r="A4824" s="1">
        <v>4823</v>
      </c>
      <c r="B4824" s="1">
        <v>103021300</v>
      </c>
      <c r="C4824" s="1">
        <f t="shared" si="301"/>
        <v>11</v>
      </c>
      <c r="D4824" s="5">
        <f ca="1">IF(getQuality(B4824)&lt;4,getOtherMin(B4824,C4824,INDIRECT(J$2),INDIRECT(I4824),test),getMin(B4824,C4824,INDIRECT(J$2),INDIRECT(I4824),test))</f>
        <v>25.009875731714647</v>
      </c>
      <c r="E4824" s="5">
        <f ca="1">IF(getQuality(B4824)&lt;4,getOtherMax(B4824,C4824,INDIRECT(J$2),INDIRECT(I4824),test),getMax(B4824,C4824,INDIRECT(J$2),INDIRECT(I4824),test))</f>
        <v>52.82172660977222</v>
      </c>
      <c r="F4824" s="1" t="str">
        <f t="shared" si="303"/>
        <v>50</v>
      </c>
      <c r="G4824" s="1" t="str">
        <f t="shared" si="304"/>
        <v/>
      </c>
      <c r="I4824" s="1" t="str">
        <f t="shared" si="302"/>
        <v>威尔新数值1.06.xlsm!suitPower</v>
      </c>
    </row>
    <row r="4825" spans="1:9" x14ac:dyDescent="0.15">
      <c r="A4825" s="1">
        <v>4824</v>
      </c>
      <c r="B4825" s="1">
        <v>103021300</v>
      </c>
      <c r="C4825" s="1">
        <f t="shared" si="301"/>
        <v>12</v>
      </c>
      <c r="D4825" s="5">
        <f ca="1">IF(getQuality(B4825)&lt;4,getOtherMin(B4825,C4825,INDIRECT(J$2),INDIRECT(I4825),test),getMin(B4825,C4825,INDIRECT(J$2),INDIRECT(I4825),test))</f>
        <v>25.009875731714647</v>
      </c>
      <c r="E4825" s="5">
        <f ca="1">IF(getQuality(B4825)&lt;4,getOtherMax(B4825,C4825,INDIRECT(J$2),INDIRECT(I4825),test),getMax(B4825,C4825,INDIRECT(J$2),INDIRECT(I4825),test))</f>
        <v>52.82172660977222</v>
      </c>
      <c r="F4825" s="1" t="str">
        <f t="shared" si="303"/>
        <v>50</v>
      </c>
      <c r="G4825" s="1" t="str">
        <f t="shared" si="304"/>
        <v/>
      </c>
      <c r="I4825" s="1" t="str">
        <f t="shared" si="302"/>
        <v>威尔新数值1.06.xlsm!suitPower</v>
      </c>
    </row>
    <row r="4826" spans="1:9" x14ac:dyDescent="0.15">
      <c r="A4826" s="1">
        <v>4825</v>
      </c>
      <c r="B4826" s="1">
        <v>103021300</v>
      </c>
      <c r="C4826" s="1">
        <f t="shared" si="301"/>
        <v>13</v>
      </c>
      <c r="D4826" s="5">
        <f ca="1">IF(getQuality(B4826)&lt;4,getOtherMin(B4826,C4826,INDIRECT(J$2),INDIRECT(I4826),test),getMin(B4826,C4826,INDIRECT(J$2),INDIRECT(I4826),test))</f>
        <v>25.009875731714647</v>
      </c>
      <c r="E4826" s="5">
        <f ca="1">IF(getQuality(B4826)&lt;4,getOtherMax(B4826,C4826,INDIRECT(J$2),INDIRECT(I4826),test),getMax(B4826,C4826,INDIRECT(J$2),INDIRECT(I4826),test))</f>
        <v>52.82172660977222</v>
      </c>
      <c r="F4826" s="1" t="str">
        <f t="shared" si="303"/>
        <v>50</v>
      </c>
      <c r="G4826" s="1" t="str">
        <f t="shared" si="304"/>
        <v/>
      </c>
      <c r="I4826" s="1" t="str">
        <f t="shared" si="302"/>
        <v>威尔新数值1.06.xlsm!suitPower</v>
      </c>
    </row>
    <row r="4827" spans="1:9" x14ac:dyDescent="0.15">
      <c r="A4827" s="1">
        <v>4826</v>
      </c>
      <c r="B4827" s="1">
        <v>103021300</v>
      </c>
      <c r="C4827" s="1">
        <f t="shared" si="301"/>
        <v>14</v>
      </c>
      <c r="D4827" s="5">
        <f ca="1">IF(getQuality(B4827)&lt;4,getOtherMin(B4827,C4827,INDIRECT(J$2),INDIRECT(I4827),test),getMin(B4827,C4827,INDIRECT(J$2),INDIRECT(I4827),test))</f>
        <v>25.009875731714647</v>
      </c>
      <c r="E4827" s="5">
        <f ca="1">IF(getQuality(B4827)&lt;4,getOtherMax(B4827,C4827,INDIRECT(J$2),INDIRECT(I4827),test),getMax(B4827,C4827,INDIRECT(J$2),INDIRECT(I4827),test))</f>
        <v>52.82172660977222</v>
      </c>
      <c r="F4827" s="1" t="str">
        <f t="shared" si="303"/>
        <v>50</v>
      </c>
      <c r="G4827" s="1" t="str">
        <f t="shared" si="304"/>
        <v/>
      </c>
      <c r="I4827" s="1" t="str">
        <f t="shared" si="302"/>
        <v>威尔新数值1.06.xlsm!suitPower</v>
      </c>
    </row>
    <row r="4828" spans="1:9" x14ac:dyDescent="0.15">
      <c r="A4828" s="1">
        <v>4827</v>
      </c>
      <c r="B4828" s="1">
        <v>103021300</v>
      </c>
      <c r="C4828" s="1">
        <f t="shared" si="301"/>
        <v>15</v>
      </c>
      <c r="D4828" s="5">
        <f ca="1">IF(getQuality(B4828)&lt;4,getOtherMin(B4828,C4828,INDIRECT(J$2),INDIRECT(I4828),test),getMin(B4828,C4828,INDIRECT(J$2),INDIRECT(I4828),test))</f>
        <v>25.009875731714647</v>
      </c>
      <c r="E4828" s="5">
        <f ca="1">IF(getQuality(B4828)&lt;4,getOtherMax(B4828,C4828,INDIRECT(J$2),INDIRECT(I4828),test),getMax(B4828,C4828,INDIRECT(J$2),INDIRECT(I4828),test))</f>
        <v>52.82172660977222</v>
      </c>
      <c r="F4828" s="1" t="str">
        <f t="shared" si="303"/>
        <v>50</v>
      </c>
      <c r="G4828" s="1" t="str">
        <f t="shared" si="304"/>
        <v/>
      </c>
      <c r="I4828" s="1" t="str">
        <f t="shared" si="302"/>
        <v>威尔新数值1.06.xlsm!suitPower</v>
      </c>
    </row>
    <row r="4829" spans="1:9" x14ac:dyDescent="0.15">
      <c r="A4829" s="1">
        <v>4828</v>
      </c>
      <c r="B4829" s="1">
        <v>103021300</v>
      </c>
      <c r="C4829" s="1">
        <f t="shared" si="301"/>
        <v>101</v>
      </c>
      <c r="D4829" s="5">
        <f ca="1">IF(getQuality(B4829)&lt;4,getOtherMin(B4829,C4829,INDIRECT(J$2),INDIRECT(I4829),test),getMin(B4829,C4829,INDIRECT(J$2),INDIRECT(I4829),test))</f>
        <v>0.08</v>
      </c>
      <c r="E4829" s="5">
        <f ca="1">IF(getQuality(B4829)&lt;4,getOtherMax(B4829,C4829,INDIRECT(J$2),INDIRECT(I4829),test),getMax(B4829,C4829,INDIRECT(J$2),INDIRECT(I4829),test))</f>
        <v>0.11</v>
      </c>
      <c r="F4829" s="1" t="str">
        <f t="shared" si="303"/>
        <v>50</v>
      </c>
      <c r="G4829" s="1" t="str">
        <f t="shared" si="304"/>
        <v/>
      </c>
      <c r="I4829" s="1" t="str">
        <f t="shared" si="302"/>
        <v>威尔新数值1.06.xlsm!circlePer</v>
      </c>
    </row>
    <row r="4830" spans="1:9" x14ac:dyDescent="0.15">
      <c r="A4830" s="1">
        <v>4829</v>
      </c>
      <c r="B4830" s="1">
        <v>103021300</v>
      </c>
      <c r="C4830" s="1">
        <f t="shared" si="301"/>
        <v>102</v>
      </c>
      <c r="D4830" s="5">
        <f ca="1">IF(getQuality(B4830)&lt;4,getOtherMin(B4830,C4830,INDIRECT(J$2),INDIRECT(I4830),test),getMin(B4830,C4830,INDIRECT(J$2),INDIRECT(I4830),test))</f>
        <v>0.7</v>
      </c>
      <c r="E4830" s="5">
        <f ca="1">IF(getQuality(B4830)&lt;4,getOtherMax(B4830,C4830,INDIRECT(J$2),INDIRECT(I4830),test),getMax(B4830,C4830,INDIRECT(J$2),INDIRECT(I4830),test))</f>
        <v>1</v>
      </c>
      <c r="F4830" s="1" t="str">
        <f t="shared" si="303"/>
        <v>50</v>
      </c>
      <c r="G4830" s="1" t="str">
        <f t="shared" si="304"/>
        <v/>
      </c>
      <c r="I4830" s="1" t="str">
        <f t="shared" si="302"/>
        <v>威尔新数值1.06.xlsm!circleValue</v>
      </c>
    </row>
    <row r="4831" spans="1:9" x14ac:dyDescent="0.15">
      <c r="A4831" s="1">
        <v>4830</v>
      </c>
      <c r="B4831" s="1">
        <v>103021300</v>
      </c>
      <c r="C4831" s="1">
        <f t="shared" si="301"/>
        <v>103</v>
      </c>
      <c r="D4831" s="5">
        <f ca="1">IF(getQuality(B4831)&lt;4,getOtherMin(B4831,C4831,INDIRECT(J$2),INDIRECT(I4831),test),getMin(B4831,C4831,INDIRECT(J$2),INDIRECT(I4831),test))</f>
        <v>0.08</v>
      </c>
      <c r="E4831" s="5">
        <f ca="1">IF(getQuality(B4831)&lt;4,getOtherMax(B4831,C4831,INDIRECT(J$2),INDIRECT(I4831),test),getMax(B4831,C4831,INDIRECT(J$2),INDIRECT(I4831),test))</f>
        <v>0.11</v>
      </c>
      <c r="F4831" s="1" t="str">
        <f t="shared" si="303"/>
        <v>50</v>
      </c>
      <c r="G4831" s="1" t="str">
        <f t="shared" si="304"/>
        <v/>
      </c>
      <c r="I4831" s="1" t="str">
        <f t="shared" si="302"/>
        <v>威尔新数值1.06.xlsm!otherDamage</v>
      </c>
    </row>
    <row r="4832" spans="1:9" x14ac:dyDescent="0.15">
      <c r="A4832" s="1">
        <v>4831</v>
      </c>
      <c r="B4832" s="1">
        <v>103021300</v>
      </c>
      <c r="C4832" s="1">
        <f t="shared" si="301"/>
        <v>104</v>
      </c>
      <c r="D4832" s="5">
        <f ca="1">IF(getQuality(B4832)&lt;4,getOtherMin(B4832,C4832,INDIRECT(J$2),INDIRECT(I4832),test),getMin(B4832,C4832,INDIRECT(J$2),INDIRECT(I4832),test))</f>
        <v>0.08</v>
      </c>
      <c r="E4832" s="5">
        <f ca="1">IF(getQuality(B4832)&lt;4,getOtherMax(B4832,C4832,INDIRECT(J$2),INDIRECT(I4832),test),getMax(B4832,C4832,INDIRECT(J$2),INDIRECT(I4832),test))</f>
        <v>0.16</v>
      </c>
      <c r="F4832" s="1" t="str">
        <f t="shared" si="303"/>
        <v>50</v>
      </c>
      <c r="G4832" s="1" t="str">
        <f t="shared" si="304"/>
        <v/>
      </c>
      <c r="I4832" s="1" t="str">
        <f t="shared" si="302"/>
        <v>威尔新数值1.06.xlsm!monsterDamage</v>
      </c>
    </row>
    <row r="4833" spans="1:9" x14ac:dyDescent="0.15">
      <c r="A4833" s="1">
        <v>4832</v>
      </c>
      <c r="B4833" s="1">
        <v>103021300</v>
      </c>
      <c r="C4833" s="1">
        <f t="shared" si="301"/>
        <v>105</v>
      </c>
      <c r="D4833" s="5">
        <f ca="1">IF(getQuality(B4833)&lt;4,getOtherMin(B4833,C4833,INDIRECT(J$2),INDIRECT(I4833),test),getMin(B4833,C4833,INDIRECT(J$2),INDIRECT(I4833),test))</f>
        <v>0.08</v>
      </c>
      <c r="E4833" s="5">
        <f ca="1">IF(getQuality(B4833)&lt;4,getOtherMax(B4833,C4833,INDIRECT(J$2),INDIRECT(I4833),test),getMax(B4833,C4833,INDIRECT(J$2),INDIRECT(I4833),test))</f>
        <v>0.16</v>
      </c>
      <c r="F4833" s="1" t="str">
        <f t="shared" si="303"/>
        <v>50</v>
      </c>
      <c r="G4833" s="1" t="str">
        <f t="shared" si="304"/>
        <v/>
      </c>
      <c r="I4833" s="1" t="str">
        <f t="shared" si="302"/>
        <v>威尔新数值1.06.xlsm!monsterDamage</v>
      </c>
    </row>
    <row r="4834" spans="1:9" x14ac:dyDescent="0.15">
      <c r="A4834" s="1">
        <v>4833</v>
      </c>
      <c r="B4834" s="1">
        <v>103021300</v>
      </c>
      <c r="C4834" s="1">
        <f t="shared" si="301"/>
        <v>106</v>
      </c>
      <c r="D4834" s="5">
        <f ca="1">IF(getQuality(B4834)&lt;4,getOtherMin(B4834,C4834,INDIRECT(J$2),INDIRECT(I4834),test),getMin(B4834,C4834,INDIRECT(J$2),INDIRECT(I4834),test))</f>
        <v>0.08</v>
      </c>
      <c r="E4834" s="5">
        <f ca="1">IF(getQuality(B4834)&lt;4,getOtherMax(B4834,C4834,INDIRECT(J$2),INDIRECT(I4834),test),getMax(B4834,C4834,INDIRECT(J$2),INDIRECT(I4834),test))</f>
        <v>0.16</v>
      </c>
      <c r="F4834" s="1" t="str">
        <f t="shared" si="303"/>
        <v>50</v>
      </c>
      <c r="G4834" s="1" t="str">
        <f t="shared" si="304"/>
        <v/>
      </c>
      <c r="I4834" s="1" t="str">
        <f t="shared" si="302"/>
        <v>威尔新数值1.06.xlsm!monsterDamage</v>
      </c>
    </row>
    <row r="4835" spans="1:9" x14ac:dyDescent="0.15">
      <c r="A4835" s="1">
        <v>4834</v>
      </c>
      <c r="B4835" s="1">
        <v>103021300</v>
      </c>
      <c r="C4835" s="1">
        <f t="shared" si="301"/>
        <v>107</v>
      </c>
      <c r="D4835" s="5">
        <f ca="1">IF(getQuality(B4835)&lt;4,getOtherMin(B4835,C4835,INDIRECT(J$2),INDIRECT(I4835),test),getMin(B4835,C4835,INDIRECT(J$2),INDIRECT(I4835),test))</f>
        <v>0.08</v>
      </c>
      <c r="E4835" s="5">
        <f ca="1">IF(getQuality(B4835)&lt;4,getOtherMax(B4835,C4835,INDIRECT(J$2),INDIRECT(I4835),test),getMax(B4835,C4835,INDIRECT(J$2),INDIRECT(I4835),test))</f>
        <v>0.16</v>
      </c>
      <c r="F4835" s="1" t="str">
        <f t="shared" si="303"/>
        <v>50</v>
      </c>
      <c r="G4835" s="1" t="str">
        <f t="shared" si="304"/>
        <v/>
      </c>
      <c r="I4835" s="1" t="str">
        <f t="shared" si="302"/>
        <v>威尔新数值1.06.xlsm!monsterDamage</v>
      </c>
    </row>
    <row r="4836" spans="1:9" x14ac:dyDescent="0.15">
      <c r="A4836" s="1">
        <v>4835</v>
      </c>
      <c r="B4836" s="1">
        <v>103021300</v>
      </c>
      <c r="C4836" s="1">
        <f t="shared" si="301"/>
        <v>108</v>
      </c>
      <c r="D4836" s="5">
        <f ca="1">IF(getQuality(B4836)&lt;4,getOtherMin(B4836,C4836,INDIRECT(J$2),INDIRECT(I4836),test),getMin(B4836,C4836,INDIRECT(J$2),INDIRECT(I4836),test))</f>
        <v>0.08</v>
      </c>
      <c r="E4836" s="5">
        <f ca="1">IF(getQuality(B4836)&lt;4,getOtherMax(B4836,C4836,INDIRECT(J$2),INDIRECT(I4836),test),getMax(B4836,C4836,INDIRECT(J$2),INDIRECT(I4836),test))</f>
        <v>0.16</v>
      </c>
      <c r="F4836" s="1" t="str">
        <f t="shared" si="303"/>
        <v>50</v>
      </c>
      <c r="G4836" s="1" t="str">
        <f t="shared" si="304"/>
        <v/>
      </c>
      <c r="I4836" s="1" t="str">
        <f t="shared" si="302"/>
        <v>威尔新数值1.06.xlsm!monsterDamage</v>
      </c>
    </row>
    <row r="4837" spans="1:9" x14ac:dyDescent="0.15">
      <c r="A4837" s="1">
        <v>4836</v>
      </c>
      <c r="B4837" s="1">
        <v>103031300</v>
      </c>
      <c r="C4837" s="1">
        <f t="shared" si="301"/>
        <v>3</v>
      </c>
      <c r="D4837" s="5">
        <f ca="1">IF(getQuality(B4837)&lt;4,getOtherMin(B4837,C4837,INDIRECT(J$2),INDIRECT(I4837),test),getMin(B4837,C4837,INDIRECT(J$2),INDIRECT(I4837),test))</f>
        <v>53.82172660977222</v>
      </c>
      <c r="E4837" s="5">
        <f ca="1">IF(getQuality(B4837)&lt;4,getOtherMax(B4837,C4837,INDIRECT(J$2),INDIRECT(I4837),test),getMax(B4837,C4837,INDIRECT(J$2),INDIRECT(I4837),test))</f>
        <v>86.435552634172723</v>
      </c>
      <c r="F4837" s="1" t="str">
        <f t="shared" si="303"/>
        <v>50</v>
      </c>
      <c r="G4837" s="1" t="str">
        <f t="shared" si="304"/>
        <v>1</v>
      </c>
      <c r="I4837" s="1" t="str">
        <f t="shared" si="302"/>
        <v>威尔新数值1.06.xlsm!suitPower</v>
      </c>
    </row>
    <row r="4838" spans="1:9" x14ac:dyDescent="0.15">
      <c r="A4838" s="1">
        <v>4837</v>
      </c>
      <c r="B4838" s="1">
        <v>103031300</v>
      </c>
      <c r="C4838" s="1">
        <f t="shared" si="301"/>
        <v>5</v>
      </c>
      <c r="D4838" s="5">
        <f ca="1">IF(getQuality(B4838)&lt;4,getOtherMin(B4838,C4838,INDIRECT(J$2),INDIRECT(I4838),test),getMin(B4838,C4838,INDIRECT(J$2),INDIRECT(I4838),test))</f>
        <v>53.82172660977222</v>
      </c>
      <c r="E4838" s="5">
        <f ca="1">IF(getQuality(B4838)&lt;4,getOtherMax(B4838,C4838,INDIRECT(J$2),INDIRECT(I4838),test),getMax(B4838,C4838,INDIRECT(J$2),INDIRECT(I4838),test))</f>
        <v>86.435552634172723</v>
      </c>
      <c r="F4838" s="1" t="str">
        <f t="shared" si="303"/>
        <v>50</v>
      </c>
      <c r="G4838" s="1" t="str">
        <f t="shared" si="304"/>
        <v/>
      </c>
      <c r="I4838" s="1" t="str">
        <f t="shared" si="302"/>
        <v>威尔新数值1.06.xlsm!suitPower</v>
      </c>
    </row>
    <row r="4839" spans="1:9" x14ac:dyDescent="0.15">
      <c r="A4839" s="1">
        <v>4838</v>
      </c>
      <c r="B4839" s="1">
        <v>103031300</v>
      </c>
      <c r="C4839" s="1">
        <f t="shared" si="301"/>
        <v>7</v>
      </c>
      <c r="D4839" s="5">
        <f ca="1">IF(getQuality(B4839)&lt;4,getOtherMin(B4839,C4839,INDIRECT(J$2),INDIRECT(I4839),test),getMin(B4839,C4839,INDIRECT(J$2),INDIRECT(I4839),test))</f>
        <v>15.814814814814778</v>
      </c>
      <c r="E4839" s="5">
        <f ca="1">IF(getQuality(B4839)&lt;4,getOtherMax(B4839,C4839,INDIRECT(J$2),INDIRECT(I4839),test),getMax(B4839,C4839,INDIRECT(J$2),INDIRECT(I4839),test))</f>
        <v>22.222222222222165</v>
      </c>
      <c r="F4839" s="1" t="str">
        <f t="shared" si="303"/>
        <v>50</v>
      </c>
      <c r="G4839" s="1" t="str">
        <f t="shared" si="304"/>
        <v/>
      </c>
      <c r="I4839" s="1" t="str">
        <f t="shared" si="302"/>
        <v>威尔新数值1.06.xlsm!suitPower</v>
      </c>
    </row>
    <row r="4840" spans="1:9" x14ac:dyDescent="0.15">
      <c r="A4840" s="1">
        <v>4839</v>
      </c>
      <c r="B4840" s="1">
        <v>103031300</v>
      </c>
      <c r="C4840" s="1">
        <f t="shared" si="301"/>
        <v>8</v>
      </c>
      <c r="D4840" s="5">
        <f ca="1">IF(getQuality(B4840)&lt;4,getOtherMin(B4840,C4840,INDIRECT(J$2),INDIRECT(I4840),test),getMin(B4840,C4840,INDIRECT(J$2),INDIRECT(I4840),test))</f>
        <v>34.333333333333336</v>
      </c>
      <c r="E4840" s="5">
        <f ca="1">IF(getQuality(B4840)&lt;4,getOtherMax(B4840,C4840,INDIRECT(J$2),INDIRECT(I4840),test),getMax(B4840,C4840,INDIRECT(J$2),INDIRECT(I4840),test))</f>
        <v>50</v>
      </c>
      <c r="F4840" s="1" t="str">
        <f t="shared" si="303"/>
        <v>50</v>
      </c>
      <c r="G4840" s="1" t="str">
        <f t="shared" si="304"/>
        <v/>
      </c>
      <c r="I4840" s="1" t="str">
        <f t="shared" si="302"/>
        <v>威尔新数值1.06.xlsm!suitPower</v>
      </c>
    </row>
    <row r="4841" spans="1:9" x14ac:dyDescent="0.15">
      <c r="A4841" s="1">
        <v>4840</v>
      </c>
      <c r="B4841" s="1">
        <v>103031300</v>
      </c>
      <c r="C4841" s="1">
        <f t="shared" si="301"/>
        <v>9</v>
      </c>
      <c r="D4841" s="5">
        <f ca="1">IF(getQuality(B4841)&lt;4,getOtherMin(B4841,C4841,INDIRECT(J$2),INDIRECT(I4841),test),getMin(B4841,C4841,INDIRECT(J$2),INDIRECT(I4841),test))</f>
        <v>53.82172660977222</v>
      </c>
      <c r="E4841" s="5">
        <f ca="1">IF(getQuality(B4841)&lt;4,getOtherMax(B4841,C4841,INDIRECT(J$2),INDIRECT(I4841),test),getMax(B4841,C4841,INDIRECT(J$2),INDIRECT(I4841),test))</f>
        <v>86.435552634172723</v>
      </c>
      <c r="F4841" s="1" t="str">
        <f t="shared" si="303"/>
        <v>50</v>
      </c>
      <c r="G4841" s="1" t="str">
        <f t="shared" si="304"/>
        <v/>
      </c>
      <c r="I4841" s="1" t="str">
        <f t="shared" si="302"/>
        <v>威尔新数值1.06.xlsm!suitPower</v>
      </c>
    </row>
    <row r="4842" spans="1:9" x14ac:dyDescent="0.15">
      <c r="A4842" s="1">
        <v>4841</v>
      </c>
      <c r="B4842" s="1">
        <v>103031300</v>
      </c>
      <c r="C4842" s="1">
        <f t="shared" si="301"/>
        <v>10</v>
      </c>
      <c r="D4842" s="5">
        <f ca="1">IF(getQuality(B4842)&lt;4,getOtherMin(B4842,C4842,INDIRECT(J$2),INDIRECT(I4842),test),getMin(B4842,C4842,INDIRECT(J$2),INDIRECT(I4842),test))</f>
        <v>53.82172660977222</v>
      </c>
      <c r="E4842" s="5">
        <f ca="1">IF(getQuality(B4842)&lt;4,getOtherMax(B4842,C4842,INDIRECT(J$2),INDIRECT(I4842),test),getMax(B4842,C4842,INDIRECT(J$2),INDIRECT(I4842),test))</f>
        <v>86.435552634172723</v>
      </c>
      <c r="F4842" s="1" t="str">
        <f t="shared" si="303"/>
        <v>50</v>
      </c>
      <c r="G4842" s="1" t="str">
        <f t="shared" si="304"/>
        <v/>
      </c>
      <c r="I4842" s="1" t="str">
        <f t="shared" si="302"/>
        <v>威尔新数值1.06.xlsm!suitPower</v>
      </c>
    </row>
    <row r="4843" spans="1:9" x14ac:dyDescent="0.15">
      <c r="A4843" s="1">
        <v>4842</v>
      </c>
      <c r="B4843" s="1">
        <v>103031300</v>
      </c>
      <c r="C4843" s="1">
        <f t="shared" si="301"/>
        <v>11</v>
      </c>
      <c r="D4843" s="5">
        <f ca="1">IF(getQuality(B4843)&lt;4,getOtherMin(B4843,C4843,INDIRECT(J$2),INDIRECT(I4843),test),getMin(B4843,C4843,INDIRECT(J$2),INDIRECT(I4843),test))</f>
        <v>53.82172660977222</v>
      </c>
      <c r="E4843" s="5">
        <f ca="1">IF(getQuality(B4843)&lt;4,getOtherMax(B4843,C4843,INDIRECT(J$2),INDIRECT(I4843),test),getMax(B4843,C4843,INDIRECT(J$2),INDIRECT(I4843),test))</f>
        <v>86.435552634172723</v>
      </c>
      <c r="F4843" s="1" t="str">
        <f t="shared" si="303"/>
        <v>50</v>
      </c>
      <c r="G4843" s="1" t="str">
        <f t="shared" si="304"/>
        <v/>
      </c>
      <c r="I4843" s="1" t="str">
        <f t="shared" si="302"/>
        <v>威尔新数值1.06.xlsm!suitPower</v>
      </c>
    </row>
    <row r="4844" spans="1:9" x14ac:dyDescent="0.15">
      <c r="A4844" s="1">
        <v>4843</v>
      </c>
      <c r="B4844" s="1">
        <v>103031300</v>
      </c>
      <c r="C4844" s="1">
        <f t="shared" si="301"/>
        <v>12</v>
      </c>
      <c r="D4844" s="5">
        <f ca="1">IF(getQuality(B4844)&lt;4,getOtherMin(B4844,C4844,INDIRECT(J$2),INDIRECT(I4844),test),getMin(B4844,C4844,INDIRECT(J$2),INDIRECT(I4844),test))</f>
        <v>53.82172660977222</v>
      </c>
      <c r="E4844" s="5">
        <f ca="1">IF(getQuality(B4844)&lt;4,getOtherMax(B4844,C4844,INDIRECT(J$2),INDIRECT(I4844),test),getMax(B4844,C4844,INDIRECT(J$2),INDIRECT(I4844),test))</f>
        <v>86.435552634172723</v>
      </c>
      <c r="F4844" s="1" t="str">
        <f t="shared" si="303"/>
        <v>50</v>
      </c>
      <c r="G4844" s="1" t="str">
        <f t="shared" si="304"/>
        <v/>
      </c>
      <c r="I4844" s="1" t="str">
        <f t="shared" si="302"/>
        <v>威尔新数值1.06.xlsm!suitPower</v>
      </c>
    </row>
    <row r="4845" spans="1:9" x14ac:dyDescent="0.15">
      <c r="A4845" s="1">
        <v>4844</v>
      </c>
      <c r="B4845" s="1">
        <v>103031300</v>
      </c>
      <c r="C4845" s="1">
        <f t="shared" si="301"/>
        <v>13</v>
      </c>
      <c r="D4845" s="5">
        <f ca="1">IF(getQuality(B4845)&lt;4,getOtherMin(B4845,C4845,INDIRECT(J$2),INDIRECT(I4845),test),getMin(B4845,C4845,INDIRECT(J$2),INDIRECT(I4845),test))</f>
        <v>53.82172660977222</v>
      </c>
      <c r="E4845" s="5">
        <f ca="1">IF(getQuality(B4845)&lt;4,getOtherMax(B4845,C4845,INDIRECT(J$2),INDIRECT(I4845),test),getMax(B4845,C4845,INDIRECT(J$2),INDIRECT(I4845),test))</f>
        <v>86.435552634172723</v>
      </c>
      <c r="F4845" s="1" t="str">
        <f t="shared" si="303"/>
        <v>50</v>
      </c>
      <c r="G4845" s="1" t="str">
        <f t="shared" si="304"/>
        <v/>
      </c>
      <c r="I4845" s="1" t="str">
        <f t="shared" si="302"/>
        <v>威尔新数值1.06.xlsm!suitPower</v>
      </c>
    </row>
    <row r="4846" spans="1:9" x14ac:dyDescent="0.15">
      <c r="A4846" s="1">
        <v>4845</v>
      </c>
      <c r="B4846" s="1">
        <v>103031300</v>
      </c>
      <c r="C4846" s="1">
        <f t="shared" si="301"/>
        <v>14</v>
      </c>
      <c r="D4846" s="5">
        <f ca="1">IF(getQuality(B4846)&lt;4,getOtherMin(B4846,C4846,INDIRECT(J$2),INDIRECT(I4846),test),getMin(B4846,C4846,INDIRECT(J$2),INDIRECT(I4846),test))</f>
        <v>53.82172660977222</v>
      </c>
      <c r="E4846" s="5">
        <f ca="1">IF(getQuality(B4846)&lt;4,getOtherMax(B4846,C4846,INDIRECT(J$2),INDIRECT(I4846),test),getMax(B4846,C4846,INDIRECT(J$2),INDIRECT(I4846),test))</f>
        <v>86.435552634172723</v>
      </c>
      <c r="F4846" s="1" t="str">
        <f t="shared" si="303"/>
        <v>50</v>
      </c>
      <c r="G4846" s="1" t="str">
        <f t="shared" si="304"/>
        <v/>
      </c>
      <c r="I4846" s="1" t="str">
        <f t="shared" si="302"/>
        <v>威尔新数值1.06.xlsm!suitPower</v>
      </c>
    </row>
    <row r="4847" spans="1:9" x14ac:dyDescent="0.15">
      <c r="A4847" s="1">
        <v>4846</v>
      </c>
      <c r="B4847" s="1">
        <v>103031300</v>
      </c>
      <c r="C4847" s="1">
        <f t="shared" si="301"/>
        <v>15</v>
      </c>
      <c r="D4847" s="5">
        <f ca="1">IF(getQuality(B4847)&lt;4,getOtherMin(B4847,C4847,INDIRECT(J$2),INDIRECT(I4847),test),getMin(B4847,C4847,INDIRECT(J$2),INDIRECT(I4847),test))</f>
        <v>53.82172660977222</v>
      </c>
      <c r="E4847" s="5">
        <f ca="1">IF(getQuality(B4847)&lt;4,getOtherMax(B4847,C4847,INDIRECT(J$2),INDIRECT(I4847),test),getMax(B4847,C4847,INDIRECT(J$2),INDIRECT(I4847),test))</f>
        <v>86.435552634172723</v>
      </c>
      <c r="F4847" s="1" t="str">
        <f t="shared" si="303"/>
        <v>50</v>
      </c>
      <c r="G4847" s="1" t="str">
        <f t="shared" si="304"/>
        <v/>
      </c>
      <c r="I4847" s="1" t="str">
        <f t="shared" si="302"/>
        <v>威尔新数值1.06.xlsm!suitPower</v>
      </c>
    </row>
    <row r="4848" spans="1:9" x14ac:dyDescent="0.15">
      <c r="A4848" s="1">
        <v>4847</v>
      </c>
      <c r="B4848" s="1">
        <v>103031300</v>
      </c>
      <c r="C4848" s="1">
        <f t="shared" si="301"/>
        <v>101</v>
      </c>
      <c r="D4848" s="5">
        <f ca="1">IF(getQuality(B4848)&lt;4,getOtherMin(B4848,C4848,INDIRECT(J$2),INDIRECT(I4848),test),getMin(B4848,C4848,INDIRECT(J$2),INDIRECT(I4848),test))</f>
        <v>0.09</v>
      </c>
      <c r="E4848" s="5">
        <f ca="1">IF(getQuality(B4848)&lt;4,getOtherMax(B4848,C4848,INDIRECT(J$2),INDIRECT(I4848),test),getMax(B4848,C4848,INDIRECT(J$2),INDIRECT(I4848),test))</f>
        <v>0.12</v>
      </c>
      <c r="F4848" s="1" t="str">
        <f t="shared" si="303"/>
        <v>50</v>
      </c>
      <c r="G4848" s="1" t="str">
        <f t="shared" si="304"/>
        <v/>
      </c>
      <c r="I4848" s="1" t="str">
        <f t="shared" si="302"/>
        <v>威尔新数值1.06.xlsm!circlePer</v>
      </c>
    </row>
    <row r="4849" spans="1:9" x14ac:dyDescent="0.15">
      <c r="A4849" s="1">
        <v>4848</v>
      </c>
      <c r="B4849" s="1">
        <v>103031300</v>
      </c>
      <c r="C4849" s="1">
        <f t="shared" si="301"/>
        <v>102</v>
      </c>
      <c r="D4849" s="5">
        <f ca="1">IF(getQuality(B4849)&lt;4,getOtherMin(B4849,C4849,INDIRECT(J$2),INDIRECT(I4849),test),getMin(B4849,C4849,INDIRECT(J$2),INDIRECT(I4849),test))</f>
        <v>0.8</v>
      </c>
      <c r="E4849" s="5">
        <f ca="1">IF(getQuality(B4849)&lt;4,getOtherMax(B4849,C4849,INDIRECT(J$2),INDIRECT(I4849),test),getMax(B4849,C4849,INDIRECT(J$2),INDIRECT(I4849),test))</f>
        <v>1.1000000000000001</v>
      </c>
      <c r="F4849" s="1" t="str">
        <f t="shared" si="303"/>
        <v>50</v>
      </c>
      <c r="G4849" s="1" t="str">
        <f t="shared" si="304"/>
        <v/>
      </c>
      <c r="I4849" s="1" t="str">
        <f t="shared" si="302"/>
        <v>威尔新数值1.06.xlsm!circleValue</v>
      </c>
    </row>
    <row r="4850" spans="1:9" x14ac:dyDescent="0.15">
      <c r="A4850" s="1">
        <v>4849</v>
      </c>
      <c r="B4850" s="1">
        <v>103031300</v>
      </c>
      <c r="C4850" s="1">
        <f t="shared" si="301"/>
        <v>103</v>
      </c>
      <c r="D4850" s="5">
        <f ca="1">IF(getQuality(B4850)&lt;4,getOtherMin(B4850,C4850,INDIRECT(J$2),INDIRECT(I4850),test),getMin(B4850,C4850,INDIRECT(J$2),INDIRECT(I4850),test))</f>
        <v>0.09</v>
      </c>
      <c r="E4850" s="5">
        <f ca="1">IF(getQuality(B4850)&lt;4,getOtherMax(B4850,C4850,INDIRECT(J$2),INDIRECT(I4850),test),getMax(B4850,C4850,INDIRECT(J$2),INDIRECT(I4850),test))</f>
        <v>0.12</v>
      </c>
      <c r="F4850" s="1" t="str">
        <f t="shared" si="303"/>
        <v>50</v>
      </c>
      <c r="G4850" s="1" t="str">
        <f t="shared" si="304"/>
        <v/>
      </c>
      <c r="I4850" s="1" t="str">
        <f t="shared" si="302"/>
        <v>威尔新数值1.06.xlsm!otherDamage</v>
      </c>
    </row>
    <row r="4851" spans="1:9" x14ac:dyDescent="0.15">
      <c r="A4851" s="1">
        <v>4850</v>
      </c>
      <c r="B4851" s="1">
        <v>103031300</v>
      </c>
      <c r="C4851" s="1">
        <f t="shared" si="301"/>
        <v>104</v>
      </c>
      <c r="D4851" s="5">
        <f ca="1">IF(getQuality(B4851)&lt;4,getOtherMin(B4851,C4851,INDIRECT(J$2),INDIRECT(I4851),test),getMin(B4851,C4851,INDIRECT(J$2),INDIRECT(I4851),test))</f>
        <v>0.09</v>
      </c>
      <c r="E4851" s="5">
        <f ca="1">IF(getQuality(B4851)&lt;4,getOtherMax(B4851,C4851,INDIRECT(J$2),INDIRECT(I4851),test),getMax(B4851,C4851,INDIRECT(J$2),INDIRECT(I4851),test))</f>
        <v>0.18</v>
      </c>
      <c r="F4851" s="1" t="str">
        <f t="shared" si="303"/>
        <v>50</v>
      </c>
      <c r="G4851" s="1" t="str">
        <f t="shared" si="304"/>
        <v/>
      </c>
      <c r="I4851" s="1" t="str">
        <f t="shared" si="302"/>
        <v>威尔新数值1.06.xlsm!monsterDamage</v>
      </c>
    </row>
    <row r="4852" spans="1:9" x14ac:dyDescent="0.15">
      <c r="A4852" s="1">
        <v>4851</v>
      </c>
      <c r="B4852" s="1">
        <v>103031300</v>
      </c>
      <c r="C4852" s="1">
        <f t="shared" si="301"/>
        <v>105</v>
      </c>
      <c r="D4852" s="5">
        <f ca="1">IF(getQuality(B4852)&lt;4,getOtherMin(B4852,C4852,INDIRECT(J$2),INDIRECT(I4852),test),getMin(B4852,C4852,INDIRECT(J$2),INDIRECT(I4852),test))</f>
        <v>0.09</v>
      </c>
      <c r="E4852" s="5">
        <f ca="1">IF(getQuality(B4852)&lt;4,getOtherMax(B4852,C4852,INDIRECT(J$2),INDIRECT(I4852),test),getMax(B4852,C4852,INDIRECT(J$2),INDIRECT(I4852),test))</f>
        <v>0.18</v>
      </c>
      <c r="F4852" s="1" t="str">
        <f t="shared" si="303"/>
        <v>50</v>
      </c>
      <c r="G4852" s="1" t="str">
        <f t="shared" si="304"/>
        <v/>
      </c>
      <c r="I4852" s="1" t="str">
        <f t="shared" si="302"/>
        <v>威尔新数值1.06.xlsm!monsterDamage</v>
      </c>
    </row>
    <row r="4853" spans="1:9" x14ac:dyDescent="0.15">
      <c r="A4853" s="1">
        <v>4852</v>
      </c>
      <c r="B4853" s="1">
        <v>103031300</v>
      </c>
      <c r="C4853" s="1">
        <f t="shared" si="301"/>
        <v>106</v>
      </c>
      <c r="D4853" s="5">
        <f ca="1">IF(getQuality(B4853)&lt;4,getOtherMin(B4853,C4853,INDIRECT(J$2),INDIRECT(I4853),test),getMin(B4853,C4853,INDIRECT(J$2),INDIRECT(I4853),test))</f>
        <v>0.09</v>
      </c>
      <c r="E4853" s="5">
        <f ca="1">IF(getQuality(B4853)&lt;4,getOtherMax(B4853,C4853,INDIRECT(J$2),INDIRECT(I4853),test),getMax(B4853,C4853,INDIRECT(J$2),INDIRECT(I4853),test))</f>
        <v>0.18</v>
      </c>
      <c r="F4853" s="1" t="str">
        <f t="shared" si="303"/>
        <v>50</v>
      </c>
      <c r="G4853" s="1" t="str">
        <f t="shared" si="304"/>
        <v/>
      </c>
      <c r="I4853" s="1" t="str">
        <f t="shared" si="302"/>
        <v>威尔新数值1.06.xlsm!monsterDamage</v>
      </c>
    </row>
    <row r="4854" spans="1:9" x14ac:dyDescent="0.15">
      <c r="A4854" s="1">
        <v>4853</v>
      </c>
      <c r="B4854" s="1">
        <v>103031300</v>
      </c>
      <c r="C4854" s="1">
        <f t="shared" si="301"/>
        <v>107</v>
      </c>
      <c r="D4854" s="5">
        <f ca="1">IF(getQuality(B4854)&lt;4,getOtherMin(B4854,C4854,INDIRECT(J$2),INDIRECT(I4854),test),getMin(B4854,C4854,INDIRECT(J$2),INDIRECT(I4854),test))</f>
        <v>0.09</v>
      </c>
      <c r="E4854" s="5">
        <f ca="1">IF(getQuality(B4854)&lt;4,getOtherMax(B4854,C4854,INDIRECT(J$2),INDIRECT(I4854),test),getMax(B4854,C4854,INDIRECT(J$2),INDIRECT(I4854),test))</f>
        <v>0.18</v>
      </c>
      <c r="F4854" s="1" t="str">
        <f t="shared" si="303"/>
        <v>50</v>
      </c>
      <c r="G4854" s="1" t="str">
        <f t="shared" si="304"/>
        <v/>
      </c>
      <c r="I4854" s="1" t="str">
        <f t="shared" si="302"/>
        <v>威尔新数值1.06.xlsm!monsterDamage</v>
      </c>
    </row>
    <row r="4855" spans="1:9" x14ac:dyDescent="0.15">
      <c r="A4855" s="1">
        <v>4854</v>
      </c>
      <c r="B4855" s="1">
        <v>103031300</v>
      </c>
      <c r="C4855" s="1">
        <f t="shared" si="301"/>
        <v>108</v>
      </c>
      <c r="D4855" s="5">
        <f ca="1">IF(getQuality(B4855)&lt;4,getOtherMin(B4855,C4855,INDIRECT(J$2),INDIRECT(I4855),test),getMin(B4855,C4855,INDIRECT(J$2),INDIRECT(I4855),test))</f>
        <v>0.09</v>
      </c>
      <c r="E4855" s="5">
        <f ca="1">IF(getQuality(B4855)&lt;4,getOtherMax(B4855,C4855,INDIRECT(J$2),INDIRECT(I4855),test),getMax(B4855,C4855,INDIRECT(J$2),INDIRECT(I4855),test))</f>
        <v>0.18</v>
      </c>
      <c r="F4855" s="1" t="str">
        <f t="shared" si="303"/>
        <v>50</v>
      </c>
      <c r="G4855" s="1" t="str">
        <f t="shared" si="304"/>
        <v/>
      </c>
      <c r="I4855" s="1" t="str">
        <f t="shared" si="302"/>
        <v>威尔新数值1.06.xlsm!monsterDamage</v>
      </c>
    </row>
    <row r="4856" spans="1:9" x14ac:dyDescent="0.15">
      <c r="A4856" s="1">
        <v>4855</v>
      </c>
      <c r="B4856" s="1">
        <v>103041300</v>
      </c>
      <c r="C4856" s="1">
        <f t="shared" si="301"/>
        <v>3</v>
      </c>
      <c r="D4856" s="5">
        <f ca="1">IF(getQuality(B4856)&lt;4,getOtherMin(B4856,C4856,INDIRECT(J$2),INDIRECT(I4856),test),getMin(B4856,C4856,INDIRECT(J$2),INDIRECT(I4856),test))</f>
        <v>87.435552634172723</v>
      </c>
      <c r="E4856" s="5">
        <f ca="1">IF(getQuality(B4856)&lt;4,getOtherMax(B4856,C4856,INDIRECT(J$2),INDIRECT(I4856),test),getMax(B4856,C4856,INDIRECT(J$2),INDIRECT(I4856),test))</f>
        <v>124.85135380491616</v>
      </c>
      <c r="F4856" s="1" t="str">
        <f t="shared" si="303"/>
        <v>50</v>
      </c>
      <c r="G4856" s="1" t="str">
        <f t="shared" si="304"/>
        <v>1</v>
      </c>
      <c r="I4856" s="1" t="str">
        <f t="shared" si="302"/>
        <v>威尔新数值1.06.xlsm!suitPower</v>
      </c>
    </row>
    <row r="4857" spans="1:9" x14ac:dyDescent="0.15">
      <c r="A4857" s="1">
        <v>4856</v>
      </c>
      <c r="B4857" s="1">
        <v>103041300</v>
      </c>
      <c r="C4857" s="1">
        <f t="shared" si="301"/>
        <v>5</v>
      </c>
      <c r="D4857" s="5">
        <f ca="1">IF(getQuality(B4857)&lt;4,getOtherMin(B4857,C4857,INDIRECT(J$2),INDIRECT(I4857),test),getMin(B4857,C4857,INDIRECT(J$2),INDIRECT(I4857),test))</f>
        <v>87.435552634172723</v>
      </c>
      <c r="E4857" s="5">
        <f ca="1">IF(getQuality(B4857)&lt;4,getOtherMax(B4857,C4857,INDIRECT(J$2),INDIRECT(I4857),test),getMax(B4857,C4857,INDIRECT(J$2),INDIRECT(I4857),test))</f>
        <v>124.85135380491616</v>
      </c>
      <c r="F4857" s="1" t="str">
        <f t="shared" si="303"/>
        <v>50</v>
      </c>
      <c r="G4857" s="1" t="str">
        <f t="shared" si="304"/>
        <v/>
      </c>
      <c r="I4857" s="1" t="str">
        <f t="shared" si="302"/>
        <v>威尔新数值1.06.xlsm!suitPower</v>
      </c>
    </row>
    <row r="4858" spans="1:9" x14ac:dyDescent="0.15">
      <c r="A4858" s="1">
        <v>4857</v>
      </c>
      <c r="B4858" s="1">
        <v>103041300</v>
      </c>
      <c r="C4858" s="1">
        <f t="shared" si="301"/>
        <v>7</v>
      </c>
      <c r="D4858" s="5">
        <f ca="1">IF(getQuality(B4858)&lt;4,getOtherMin(B4858,C4858,INDIRECT(J$2),INDIRECT(I4858),test),getMin(B4858,C4858,INDIRECT(J$2),INDIRECT(I4858),test))</f>
        <v>23.222222222222165</v>
      </c>
      <c r="E4858" s="5">
        <f ca="1">IF(getQuality(B4858)&lt;4,getOtherMax(B4858,C4858,INDIRECT(J$2),INDIRECT(I4858),test),getMax(B4858,C4858,INDIRECT(J$2),INDIRECT(I4858),test))</f>
        <v>29.629629629629555</v>
      </c>
      <c r="F4858" s="1" t="str">
        <f t="shared" si="303"/>
        <v>50</v>
      </c>
      <c r="G4858" s="1" t="str">
        <f t="shared" si="304"/>
        <v/>
      </c>
      <c r="I4858" s="1" t="str">
        <f t="shared" si="302"/>
        <v>威尔新数值1.06.xlsm!suitPower</v>
      </c>
    </row>
    <row r="4859" spans="1:9" x14ac:dyDescent="0.15">
      <c r="A4859" s="1">
        <v>4858</v>
      </c>
      <c r="B4859" s="1">
        <v>103041300</v>
      </c>
      <c r="C4859" s="1">
        <f t="shared" si="301"/>
        <v>8</v>
      </c>
      <c r="D4859" s="5">
        <f ca="1">IF(getQuality(B4859)&lt;4,getOtherMin(B4859,C4859,INDIRECT(J$2),INDIRECT(I4859),test),getMin(B4859,C4859,INDIRECT(J$2),INDIRECT(I4859),test))</f>
        <v>51</v>
      </c>
      <c r="E4859" s="5">
        <f ca="1">IF(getQuality(B4859)&lt;4,getOtherMax(B4859,C4859,INDIRECT(J$2),INDIRECT(I4859),test),getMax(B4859,C4859,INDIRECT(J$2),INDIRECT(I4859),test))</f>
        <v>66.666666666666671</v>
      </c>
      <c r="F4859" s="1" t="str">
        <f t="shared" si="303"/>
        <v>50</v>
      </c>
      <c r="G4859" s="1" t="str">
        <f t="shared" si="304"/>
        <v/>
      </c>
      <c r="I4859" s="1" t="str">
        <f t="shared" si="302"/>
        <v>威尔新数值1.06.xlsm!suitPower</v>
      </c>
    </row>
    <row r="4860" spans="1:9" x14ac:dyDescent="0.15">
      <c r="A4860" s="1">
        <v>4859</v>
      </c>
      <c r="B4860" s="1">
        <v>103041300</v>
      </c>
      <c r="C4860" s="1">
        <f t="shared" ref="C4860:C4923" si="305">C2385</f>
        <v>9</v>
      </c>
      <c r="D4860" s="5">
        <f ca="1">IF(getQuality(B4860)&lt;4,getOtherMin(B4860,C4860,INDIRECT(J$2),INDIRECT(I4860),test),getMin(B4860,C4860,INDIRECT(J$2),INDIRECT(I4860),test))</f>
        <v>87.435552634172723</v>
      </c>
      <c r="E4860" s="5">
        <f ca="1">IF(getQuality(B4860)&lt;4,getOtherMax(B4860,C4860,INDIRECT(J$2),INDIRECT(I4860),test),getMax(B4860,C4860,INDIRECT(J$2),INDIRECT(I4860),test))</f>
        <v>124.85135380491616</v>
      </c>
      <c r="F4860" s="1" t="str">
        <f t="shared" si="303"/>
        <v>50</v>
      </c>
      <c r="G4860" s="1" t="str">
        <f t="shared" si="304"/>
        <v/>
      </c>
      <c r="I4860" s="1" t="str">
        <f t="shared" si="302"/>
        <v>威尔新数值1.06.xlsm!suitPower</v>
      </c>
    </row>
    <row r="4861" spans="1:9" x14ac:dyDescent="0.15">
      <c r="A4861" s="1">
        <v>4860</v>
      </c>
      <c r="B4861" s="1">
        <v>103041300</v>
      </c>
      <c r="C4861" s="1">
        <f t="shared" si="305"/>
        <v>10</v>
      </c>
      <c r="D4861" s="5">
        <f ca="1">IF(getQuality(B4861)&lt;4,getOtherMin(B4861,C4861,INDIRECT(J$2),INDIRECT(I4861),test),getMin(B4861,C4861,INDIRECT(J$2),INDIRECT(I4861),test))</f>
        <v>87.435552634172723</v>
      </c>
      <c r="E4861" s="5">
        <f ca="1">IF(getQuality(B4861)&lt;4,getOtherMax(B4861,C4861,INDIRECT(J$2),INDIRECT(I4861),test),getMax(B4861,C4861,INDIRECT(J$2),INDIRECT(I4861),test))</f>
        <v>124.85135380491616</v>
      </c>
      <c r="F4861" s="1" t="str">
        <f t="shared" si="303"/>
        <v>50</v>
      </c>
      <c r="G4861" s="1" t="str">
        <f t="shared" si="304"/>
        <v/>
      </c>
      <c r="I4861" s="1" t="str">
        <f t="shared" si="302"/>
        <v>威尔新数值1.06.xlsm!suitPower</v>
      </c>
    </row>
    <row r="4862" spans="1:9" x14ac:dyDescent="0.15">
      <c r="A4862" s="1">
        <v>4861</v>
      </c>
      <c r="B4862" s="1">
        <v>103041300</v>
      </c>
      <c r="C4862" s="1">
        <f t="shared" si="305"/>
        <v>11</v>
      </c>
      <c r="D4862" s="5">
        <f ca="1">IF(getQuality(B4862)&lt;4,getOtherMin(B4862,C4862,INDIRECT(J$2),INDIRECT(I4862),test),getMin(B4862,C4862,INDIRECT(J$2),INDIRECT(I4862),test))</f>
        <v>87.435552634172723</v>
      </c>
      <c r="E4862" s="5">
        <f ca="1">IF(getQuality(B4862)&lt;4,getOtherMax(B4862,C4862,INDIRECT(J$2),INDIRECT(I4862),test),getMax(B4862,C4862,INDIRECT(J$2),INDIRECT(I4862),test))</f>
        <v>124.85135380491616</v>
      </c>
      <c r="F4862" s="1" t="str">
        <f t="shared" si="303"/>
        <v>50</v>
      </c>
      <c r="G4862" s="1" t="str">
        <f t="shared" si="304"/>
        <v/>
      </c>
      <c r="I4862" s="1" t="str">
        <f t="shared" si="302"/>
        <v>威尔新数值1.06.xlsm!suitPower</v>
      </c>
    </row>
    <row r="4863" spans="1:9" x14ac:dyDescent="0.15">
      <c r="A4863" s="1">
        <v>4862</v>
      </c>
      <c r="B4863" s="1">
        <v>103041300</v>
      </c>
      <c r="C4863" s="1">
        <f t="shared" si="305"/>
        <v>12</v>
      </c>
      <c r="D4863" s="5">
        <f ca="1">IF(getQuality(B4863)&lt;4,getOtherMin(B4863,C4863,INDIRECT(J$2),INDIRECT(I4863),test),getMin(B4863,C4863,INDIRECT(J$2),INDIRECT(I4863),test))</f>
        <v>87.435552634172723</v>
      </c>
      <c r="E4863" s="5">
        <f ca="1">IF(getQuality(B4863)&lt;4,getOtherMax(B4863,C4863,INDIRECT(J$2),INDIRECT(I4863),test),getMax(B4863,C4863,INDIRECT(J$2),INDIRECT(I4863),test))</f>
        <v>124.85135380491616</v>
      </c>
      <c r="F4863" s="1" t="str">
        <f t="shared" si="303"/>
        <v>50</v>
      </c>
      <c r="G4863" s="1" t="str">
        <f t="shared" si="304"/>
        <v/>
      </c>
      <c r="I4863" s="1" t="str">
        <f t="shared" si="302"/>
        <v>威尔新数值1.06.xlsm!suitPower</v>
      </c>
    </row>
    <row r="4864" spans="1:9" x14ac:dyDescent="0.15">
      <c r="A4864" s="1">
        <v>4863</v>
      </c>
      <c r="B4864" s="1">
        <v>103041300</v>
      </c>
      <c r="C4864" s="1">
        <f t="shared" si="305"/>
        <v>13</v>
      </c>
      <c r="D4864" s="5">
        <f ca="1">IF(getQuality(B4864)&lt;4,getOtherMin(B4864,C4864,INDIRECT(J$2),INDIRECT(I4864),test),getMin(B4864,C4864,INDIRECT(J$2),INDIRECT(I4864),test))</f>
        <v>87.435552634172723</v>
      </c>
      <c r="E4864" s="5">
        <f ca="1">IF(getQuality(B4864)&lt;4,getOtherMax(B4864,C4864,INDIRECT(J$2),INDIRECT(I4864),test),getMax(B4864,C4864,INDIRECT(J$2),INDIRECT(I4864),test))</f>
        <v>124.85135380491616</v>
      </c>
      <c r="F4864" s="1" t="str">
        <f t="shared" si="303"/>
        <v>50</v>
      </c>
      <c r="G4864" s="1" t="str">
        <f t="shared" si="304"/>
        <v/>
      </c>
      <c r="I4864" s="1" t="str">
        <f t="shared" si="302"/>
        <v>威尔新数值1.06.xlsm!suitPower</v>
      </c>
    </row>
    <row r="4865" spans="1:9" x14ac:dyDescent="0.15">
      <c r="A4865" s="1">
        <v>4864</v>
      </c>
      <c r="B4865" s="1">
        <v>103041300</v>
      </c>
      <c r="C4865" s="1">
        <f t="shared" si="305"/>
        <v>14</v>
      </c>
      <c r="D4865" s="5">
        <f ca="1">IF(getQuality(B4865)&lt;4,getOtherMin(B4865,C4865,INDIRECT(J$2),INDIRECT(I4865),test),getMin(B4865,C4865,INDIRECT(J$2),INDIRECT(I4865),test))</f>
        <v>87.435552634172723</v>
      </c>
      <c r="E4865" s="5">
        <f ca="1">IF(getQuality(B4865)&lt;4,getOtherMax(B4865,C4865,INDIRECT(J$2),INDIRECT(I4865),test),getMax(B4865,C4865,INDIRECT(J$2),INDIRECT(I4865),test))</f>
        <v>124.85135380491616</v>
      </c>
      <c r="F4865" s="1" t="str">
        <f t="shared" si="303"/>
        <v>50</v>
      </c>
      <c r="G4865" s="1" t="str">
        <f t="shared" si="304"/>
        <v/>
      </c>
      <c r="I4865" s="1" t="str">
        <f t="shared" si="302"/>
        <v>威尔新数值1.06.xlsm!suitPower</v>
      </c>
    </row>
    <row r="4866" spans="1:9" x14ac:dyDescent="0.15">
      <c r="A4866" s="1">
        <v>4865</v>
      </c>
      <c r="B4866" s="1">
        <v>103041300</v>
      </c>
      <c r="C4866" s="1">
        <f t="shared" si="305"/>
        <v>15</v>
      </c>
      <c r="D4866" s="5">
        <f ca="1">IF(getQuality(B4866)&lt;4,getOtherMin(B4866,C4866,INDIRECT(J$2),INDIRECT(I4866),test),getMin(B4866,C4866,INDIRECT(J$2),INDIRECT(I4866),test))</f>
        <v>87.435552634172723</v>
      </c>
      <c r="E4866" s="5">
        <f ca="1">IF(getQuality(B4866)&lt;4,getOtherMax(B4866,C4866,INDIRECT(J$2),INDIRECT(I4866),test),getMax(B4866,C4866,INDIRECT(J$2),INDIRECT(I4866),test))</f>
        <v>124.85135380491616</v>
      </c>
      <c r="F4866" s="1" t="str">
        <f t="shared" si="303"/>
        <v>50</v>
      </c>
      <c r="G4866" s="1" t="str">
        <f t="shared" si="304"/>
        <v/>
      </c>
      <c r="I4866" s="1" t="str">
        <f t="shared" ref="I4866:I4929" si="306">IF(C4866&lt;100,VLOOKUP(C4866,test,3,FALSE),VLOOKUP(C4866,test1,3,FALSE))</f>
        <v>威尔新数值1.06.xlsm!suitPower</v>
      </c>
    </row>
    <row r="4867" spans="1:9" x14ac:dyDescent="0.15">
      <c r="A4867" s="1">
        <v>4866</v>
      </c>
      <c r="B4867" s="1">
        <v>103041300</v>
      </c>
      <c r="C4867" s="1">
        <f t="shared" si="305"/>
        <v>101</v>
      </c>
      <c r="D4867" s="5">
        <f ca="1">IF(getQuality(B4867)&lt;4,getOtherMin(B4867,C4867,INDIRECT(J$2),INDIRECT(I4867),test),getMin(B4867,C4867,INDIRECT(J$2),INDIRECT(I4867),test))</f>
        <v>0.1</v>
      </c>
      <c r="E4867" s="5">
        <f ca="1">IF(getQuality(B4867)&lt;4,getOtherMax(B4867,C4867,INDIRECT(J$2),INDIRECT(I4867),test),getMax(B4867,C4867,INDIRECT(J$2),INDIRECT(I4867),test))</f>
        <v>0.13</v>
      </c>
      <c r="F4867" s="1" t="str">
        <f t="shared" ref="F4867:F4930" si="307">getper(B4867,C4867)</f>
        <v>50</v>
      </c>
      <c r="G4867" s="1" t="str">
        <f t="shared" ref="G4867:G4930" si="308">getMust(B4867,C4867)</f>
        <v/>
      </c>
      <c r="I4867" s="1" t="str">
        <f t="shared" si="306"/>
        <v>威尔新数值1.06.xlsm!circlePer</v>
      </c>
    </row>
    <row r="4868" spans="1:9" x14ac:dyDescent="0.15">
      <c r="A4868" s="1">
        <v>4867</v>
      </c>
      <c r="B4868" s="1">
        <v>103041300</v>
      </c>
      <c r="C4868" s="1">
        <f t="shared" si="305"/>
        <v>102</v>
      </c>
      <c r="D4868" s="5">
        <f ca="1">IF(getQuality(B4868)&lt;4,getOtherMin(B4868,C4868,INDIRECT(J$2),INDIRECT(I4868),test),getMin(B4868,C4868,INDIRECT(J$2),INDIRECT(I4868),test))</f>
        <v>0.9</v>
      </c>
      <c r="E4868" s="5">
        <f ca="1">IF(getQuality(B4868)&lt;4,getOtherMax(B4868,C4868,INDIRECT(J$2),INDIRECT(I4868),test),getMax(B4868,C4868,INDIRECT(J$2),INDIRECT(I4868),test))</f>
        <v>1.2</v>
      </c>
      <c r="F4868" s="1" t="str">
        <f t="shared" si="307"/>
        <v>50</v>
      </c>
      <c r="G4868" s="1" t="str">
        <f t="shared" si="308"/>
        <v/>
      </c>
      <c r="I4868" s="1" t="str">
        <f t="shared" si="306"/>
        <v>威尔新数值1.06.xlsm!circleValue</v>
      </c>
    </row>
    <row r="4869" spans="1:9" x14ac:dyDescent="0.15">
      <c r="A4869" s="1">
        <v>4868</v>
      </c>
      <c r="B4869" s="1">
        <v>103041300</v>
      </c>
      <c r="C4869" s="1">
        <f t="shared" si="305"/>
        <v>103</v>
      </c>
      <c r="D4869" s="5">
        <f ca="1">IF(getQuality(B4869)&lt;4,getOtherMin(B4869,C4869,INDIRECT(J$2),INDIRECT(I4869),test),getMin(B4869,C4869,INDIRECT(J$2),INDIRECT(I4869),test))</f>
        <v>0.1</v>
      </c>
      <c r="E4869" s="5">
        <f ca="1">IF(getQuality(B4869)&lt;4,getOtherMax(B4869,C4869,INDIRECT(J$2),INDIRECT(I4869),test),getMax(B4869,C4869,INDIRECT(J$2),INDIRECT(I4869),test))</f>
        <v>0.13</v>
      </c>
      <c r="F4869" s="1" t="str">
        <f t="shared" si="307"/>
        <v>50</v>
      </c>
      <c r="G4869" s="1" t="str">
        <f t="shared" si="308"/>
        <v/>
      </c>
      <c r="I4869" s="1" t="str">
        <f t="shared" si="306"/>
        <v>威尔新数值1.06.xlsm!otherDamage</v>
      </c>
    </row>
    <row r="4870" spans="1:9" x14ac:dyDescent="0.15">
      <c r="A4870" s="1">
        <v>4869</v>
      </c>
      <c r="B4870" s="1">
        <v>103041300</v>
      </c>
      <c r="C4870" s="1">
        <f t="shared" si="305"/>
        <v>104</v>
      </c>
      <c r="D4870" s="5">
        <f ca="1">IF(getQuality(B4870)&lt;4,getOtherMin(B4870,C4870,INDIRECT(J$2),INDIRECT(I4870),test),getMin(B4870,C4870,INDIRECT(J$2),INDIRECT(I4870),test))</f>
        <v>0.1</v>
      </c>
      <c r="E4870" s="5">
        <f ca="1">IF(getQuality(B4870)&lt;4,getOtherMax(B4870,C4870,INDIRECT(J$2),INDIRECT(I4870),test),getMax(B4870,C4870,INDIRECT(J$2),INDIRECT(I4870),test))</f>
        <v>0.2</v>
      </c>
      <c r="F4870" s="1" t="str">
        <f t="shared" si="307"/>
        <v>50</v>
      </c>
      <c r="G4870" s="1" t="str">
        <f t="shared" si="308"/>
        <v/>
      </c>
      <c r="I4870" s="1" t="str">
        <f t="shared" si="306"/>
        <v>威尔新数值1.06.xlsm!monsterDamage</v>
      </c>
    </row>
    <row r="4871" spans="1:9" x14ac:dyDescent="0.15">
      <c r="A4871" s="1">
        <v>4870</v>
      </c>
      <c r="B4871" s="1">
        <v>103041300</v>
      </c>
      <c r="C4871" s="1">
        <f t="shared" si="305"/>
        <v>105</v>
      </c>
      <c r="D4871" s="5">
        <f ca="1">IF(getQuality(B4871)&lt;4,getOtherMin(B4871,C4871,INDIRECT(J$2),INDIRECT(I4871),test),getMin(B4871,C4871,INDIRECT(J$2),INDIRECT(I4871),test))</f>
        <v>0.1</v>
      </c>
      <c r="E4871" s="5">
        <f ca="1">IF(getQuality(B4871)&lt;4,getOtherMax(B4871,C4871,INDIRECT(J$2),INDIRECT(I4871),test),getMax(B4871,C4871,INDIRECT(J$2),INDIRECT(I4871),test))</f>
        <v>0.2</v>
      </c>
      <c r="F4871" s="1" t="str">
        <f t="shared" si="307"/>
        <v>50</v>
      </c>
      <c r="G4871" s="1" t="str">
        <f t="shared" si="308"/>
        <v/>
      </c>
      <c r="I4871" s="1" t="str">
        <f t="shared" si="306"/>
        <v>威尔新数值1.06.xlsm!monsterDamage</v>
      </c>
    </row>
    <row r="4872" spans="1:9" x14ac:dyDescent="0.15">
      <c r="A4872" s="1">
        <v>4871</v>
      </c>
      <c r="B4872" s="1">
        <v>103041300</v>
      </c>
      <c r="C4872" s="1">
        <f t="shared" si="305"/>
        <v>106</v>
      </c>
      <c r="D4872" s="5">
        <f ca="1">IF(getQuality(B4872)&lt;4,getOtherMin(B4872,C4872,INDIRECT(J$2),INDIRECT(I4872),test),getMin(B4872,C4872,INDIRECT(J$2),INDIRECT(I4872),test))</f>
        <v>0.1</v>
      </c>
      <c r="E4872" s="5">
        <f ca="1">IF(getQuality(B4872)&lt;4,getOtherMax(B4872,C4872,INDIRECT(J$2),INDIRECT(I4872),test),getMax(B4872,C4872,INDIRECT(J$2),INDIRECT(I4872),test))</f>
        <v>0.2</v>
      </c>
      <c r="F4872" s="1" t="str">
        <f t="shared" si="307"/>
        <v>50</v>
      </c>
      <c r="G4872" s="1" t="str">
        <f t="shared" si="308"/>
        <v/>
      </c>
      <c r="I4872" s="1" t="str">
        <f t="shared" si="306"/>
        <v>威尔新数值1.06.xlsm!monsterDamage</v>
      </c>
    </row>
    <row r="4873" spans="1:9" x14ac:dyDescent="0.15">
      <c r="A4873" s="1">
        <v>4872</v>
      </c>
      <c r="B4873" s="1">
        <v>103041300</v>
      </c>
      <c r="C4873" s="1">
        <f t="shared" si="305"/>
        <v>107</v>
      </c>
      <c r="D4873" s="5">
        <f ca="1">IF(getQuality(B4873)&lt;4,getOtherMin(B4873,C4873,INDIRECT(J$2),INDIRECT(I4873),test),getMin(B4873,C4873,INDIRECT(J$2),INDIRECT(I4873),test))</f>
        <v>0.1</v>
      </c>
      <c r="E4873" s="5">
        <f ca="1">IF(getQuality(B4873)&lt;4,getOtherMax(B4873,C4873,INDIRECT(J$2),INDIRECT(I4873),test),getMax(B4873,C4873,INDIRECT(J$2),INDIRECT(I4873),test))</f>
        <v>0.2</v>
      </c>
      <c r="F4873" s="1" t="str">
        <f t="shared" si="307"/>
        <v>50</v>
      </c>
      <c r="G4873" s="1" t="str">
        <f t="shared" si="308"/>
        <v/>
      </c>
      <c r="I4873" s="1" t="str">
        <f t="shared" si="306"/>
        <v>威尔新数值1.06.xlsm!monsterDamage</v>
      </c>
    </row>
    <row r="4874" spans="1:9" x14ac:dyDescent="0.15">
      <c r="A4874" s="1">
        <v>4873</v>
      </c>
      <c r="B4874" s="1">
        <v>103041300</v>
      </c>
      <c r="C4874" s="1">
        <f t="shared" si="305"/>
        <v>108</v>
      </c>
      <c r="D4874" s="5">
        <f ca="1">IF(getQuality(B4874)&lt;4,getOtherMin(B4874,C4874,INDIRECT(J$2),INDIRECT(I4874),test),getMin(B4874,C4874,INDIRECT(J$2),INDIRECT(I4874),test))</f>
        <v>0.1</v>
      </c>
      <c r="E4874" s="5">
        <f ca="1">IF(getQuality(B4874)&lt;4,getOtherMax(B4874,C4874,INDIRECT(J$2),INDIRECT(I4874),test),getMax(B4874,C4874,INDIRECT(J$2),INDIRECT(I4874),test))</f>
        <v>0.2</v>
      </c>
      <c r="F4874" s="1" t="str">
        <f t="shared" si="307"/>
        <v>50</v>
      </c>
      <c r="G4874" s="1" t="str">
        <f t="shared" si="308"/>
        <v/>
      </c>
      <c r="I4874" s="1" t="str">
        <f t="shared" si="306"/>
        <v>威尔新数值1.06.xlsm!monsterDamage</v>
      </c>
    </row>
    <row r="4875" spans="1:9" x14ac:dyDescent="0.15">
      <c r="A4875" s="1">
        <v>4874</v>
      </c>
      <c r="B4875" s="1">
        <v>103051300</v>
      </c>
      <c r="C4875" s="1">
        <f t="shared" si="305"/>
        <v>3</v>
      </c>
      <c r="D4875" s="5">
        <f ca="1">IF(getQuality(B4875)&lt;4,getOtherMin(B4875,C4875,INDIRECT(J$2),INDIRECT(I4875),test),getMin(B4875,C4875,INDIRECT(J$2),INDIRECT(I4875),test))</f>
        <v>125.85135380491616</v>
      </c>
      <c r="E4875" s="5">
        <f ca="1">IF(getQuality(B4875)&lt;4,getOtherMax(B4875,C4875,INDIRECT(J$2),INDIRECT(I4875),test),getMax(B4875,C4875,INDIRECT(J$2),INDIRECT(I4875),test))</f>
        <v>169.16048810980774</v>
      </c>
      <c r="F4875" s="1" t="str">
        <f t="shared" si="307"/>
        <v>50</v>
      </c>
      <c r="G4875" s="1" t="str">
        <f t="shared" si="308"/>
        <v>1</v>
      </c>
      <c r="I4875" s="1" t="str">
        <f t="shared" si="306"/>
        <v>威尔新数值1.06.xlsm!suitPower</v>
      </c>
    </row>
    <row r="4876" spans="1:9" x14ac:dyDescent="0.15">
      <c r="A4876" s="1">
        <v>4875</v>
      </c>
      <c r="B4876" s="1">
        <v>103051300</v>
      </c>
      <c r="C4876" s="1">
        <f t="shared" si="305"/>
        <v>5</v>
      </c>
      <c r="D4876" s="5">
        <f ca="1">IF(getQuality(B4876)&lt;4,getOtherMin(B4876,C4876,INDIRECT(J$2),INDIRECT(I4876),test),getMin(B4876,C4876,INDIRECT(J$2),INDIRECT(I4876),test))</f>
        <v>125.85135380491616</v>
      </c>
      <c r="E4876" s="5">
        <f ca="1">IF(getQuality(B4876)&lt;4,getOtherMax(B4876,C4876,INDIRECT(J$2),INDIRECT(I4876),test),getMax(B4876,C4876,INDIRECT(J$2),INDIRECT(I4876),test))</f>
        <v>169.16048810980774</v>
      </c>
      <c r="F4876" s="1" t="str">
        <f t="shared" si="307"/>
        <v>50</v>
      </c>
      <c r="G4876" s="1" t="str">
        <f t="shared" si="308"/>
        <v/>
      </c>
      <c r="I4876" s="1" t="str">
        <f t="shared" si="306"/>
        <v>威尔新数值1.06.xlsm!suitPower</v>
      </c>
    </row>
    <row r="4877" spans="1:9" x14ac:dyDescent="0.15">
      <c r="A4877" s="1">
        <v>4876</v>
      </c>
      <c r="B4877" s="1">
        <v>103051300</v>
      </c>
      <c r="C4877" s="1">
        <f t="shared" si="305"/>
        <v>7</v>
      </c>
      <c r="D4877" s="5">
        <f ca="1">IF(getQuality(B4877)&lt;4,getOtherMin(B4877,C4877,INDIRECT(J$2),INDIRECT(I4877),test),getMin(B4877,C4877,INDIRECT(J$2),INDIRECT(I4877),test))</f>
        <v>30.629629629629555</v>
      </c>
      <c r="E4877" s="5">
        <f ca="1">IF(getQuality(B4877)&lt;4,getOtherMax(B4877,C4877,INDIRECT(J$2),INDIRECT(I4877),test),getMax(B4877,C4877,INDIRECT(J$2),INDIRECT(I4877),test))</f>
        <v>37.037037037036946</v>
      </c>
      <c r="F4877" s="1" t="str">
        <f t="shared" si="307"/>
        <v>50</v>
      </c>
      <c r="G4877" s="1" t="str">
        <f t="shared" si="308"/>
        <v/>
      </c>
      <c r="I4877" s="1" t="str">
        <f t="shared" si="306"/>
        <v>威尔新数值1.06.xlsm!suitPower</v>
      </c>
    </row>
    <row r="4878" spans="1:9" x14ac:dyDescent="0.15">
      <c r="A4878" s="1">
        <v>4877</v>
      </c>
      <c r="B4878" s="1">
        <v>103051300</v>
      </c>
      <c r="C4878" s="1">
        <f t="shared" si="305"/>
        <v>8</v>
      </c>
      <c r="D4878" s="5">
        <f ca="1">IF(getQuality(B4878)&lt;4,getOtherMin(B4878,C4878,INDIRECT(J$2),INDIRECT(I4878),test),getMin(B4878,C4878,INDIRECT(J$2),INDIRECT(I4878),test))</f>
        <v>67.666666666666671</v>
      </c>
      <c r="E4878" s="5">
        <f ca="1">IF(getQuality(B4878)&lt;4,getOtherMax(B4878,C4878,INDIRECT(J$2),INDIRECT(I4878),test),getMax(B4878,C4878,INDIRECT(J$2),INDIRECT(I4878),test))</f>
        <v>83.333333333333329</v>
      </c>
      <c r="F4878" s="1" t="str">
        <f t="shared" si="307"/>
        <v>50</v>
      </c>
      <c r="G4878" s="1" t="str">
        <f t="shared" si="308"/>
        <v/>
      </c>
      <c r="I4878" s="1" t="str">
        <f t="shared" si="306"/>
        <v>威尔新数值1.06.xlsm!suitPower</v>
      </c>
    </row>
    <row r="4879" spans="1:9" x14ac:dyDescent="0.15">
      <c r="A4879" s="1">
        <v>4878</v>
      </c>
      <c r="B4879" s="1">
        <v>103051300</v>
      </c>
      <c r="C4879" s="1">
        <f t="shared" si="305"/>
        <v>9</v>
      </c>
      <c r="D4879" s="5">
        <f ca="1">IF(getQuality(B4879)&lt;4,getOtherMin(B4879,C4879,INDIRECT(J$2),INDIRECT(I4879),test),getMin(B4879,C4879,INDIRECT(J$2),INDIRECT(I4879),test))</f>
        <v>125.85135380491616</v>
      </c>
      <c r="E4879" s="5">
        <f ca="1">IF(getQuality(B4879)&lt;4,getOtherMax(B4879,C4879,INDIRECT(J$2),INDIRECT(I4879),test),getMax(B4879,C4879,INDIRECT(J$2),INDIRECT(I4879),test))</f>
        <v>169.16048810980774</v>
      </c>
      <c r="F4879" s="1" t="str">
        <f t="shared" si="307"/>
        <v>50</v>
      </c>
      <c r="G4879" s="1" t="str">
        <f t="shared" si="308"/>
        <v/>
      </c>
      <c r="I4879" s="1" t="str">
        <f t="shared" si="306"/>
        <v>威尔新数值1.06.xlsm!suitPower</v>
      </c>
    </row>
    <row r="4880" spans="1:9" x14ac:dyDescent="0.15">
      <c r="A4880" s="1">
        <v>4879</v>
      </c>
      <c r="B4880" s="1">
        <v>103051300</v>
      </c>
      <c r="C4880" s="1">
        <f t="shared" si="305"/>
        <v>10</v>
      </c>
      <c r="D4880" s="5">
        <f ca="1">IF(getQuality(B4880)&lt;4,getOtherMin(B4880,C4880,INDIRECT(J$2),INDIRECT(I4880),test),getMin(B4880,C4880,INDIRECT(J$2),INDIRECT(I4880),test))</f>
        <v>125.85135380491616</v>
      </c>
      <c r="E4880" s="5">
        <f ca="1">IF(getQuality(B4880)&lt;4,getOtherMax(B4880,C4880,INDIRECT(J$2),INDIRECT(I4880),test),getMax(B4880,C4880,INDIRECT(J$2),INDIRECT(I4880),test))</f>
        <v>169.16048810980774</v>
      </c>
      <c r="F4880" s="1" t="str">
        <f t="shared" si="307"/>
        <v>50</v>
      </c>
      <c r="G4880" s="1" t="str">
        <f t="shared" si="308"/>
        <v/>
      </c>
      <c r="I4880" s="1" t="str">
        <f t="shared" si="306"/>
        <v>威尔新数值1.06.xlsm!suitPower</v>
      </c>
    </row>
    <row r="4881" spans="1:9" x14ac:dyDescent="0.15">
      <c r="A4881" s="1">
        <v>4880</v>
      </c>
      <c r="B4881" s="1">
        <v>103051300</v>
      </c>
      <c r="C4881" s="1">
        <f t="shared" si="305"/>
        <v>11</v>
      </c>
      <c r="D4881" s="5">
        <f ca="1">IF(getQuality(B4881)&lt;4,getOtherMin(B4881,C4881,INDIRECT(J$2),INDIRECT(I4881),test),getMin(B4881,C4881,INDIRECT(J$2),INDIRECT(I4881),test))</f>
        <v>125.85135380491616</v>
      </c>
      <c r="E4881" s="5">
        <f ca="1">IF(getQuality(B4881)&lt;4,getOtherMax(B4881,C4881,INDIRECT(J$2),INDIRECT(I4881),test),getMax(B4881,C4881,INDIRECT(J$2),INDIRECT(I4881),test))</f>
        <v>169.16048810980774</v>
      </c>
      <c r="F4881" s="1" t="str">
        <f t="shared" si="307"/>
        <v>50</v>
      </c>
      <c r="G4881" s="1" t="str">
        <f t="shared" si="308"/>
        <v/>
      </c>
      <c r="I4881" s="1" t="str">
        <f t="shared" si="306"/>
        <v>威尔新数值1.06.xlsm!suitPower</v>
      </c>
    </row>
    <row r="4882" spans="1:9" x14ac:dyDescent="0.15">
      <c r="A4882" s="1">
        <v>4881</v>
      </c>
      <c r="B4882" s="1">
        <v>103051300</v>
      </c>
      <c r="C4882" s="1">
        <f t="shared" si="305"/>
        <v>12</v>
      </c>
      <c r="D4882" s="5">
        <f ca="1">IF(getQuality(B4882)&lt;4,getOtherMin(B4882,C4882,INDIRECT(J$2),INDIRECT(I4882),test),getMin(B4882,C4882,INDIRECT(J$2),INDIRECT(I4882),test))</f>
        <v>125.85135380491616</v>
      </c>
      <c r="E4882" s="5">
        <f ca="1">IF(getQuality(B4882)&lt;4,getOtherMax(B4882,C4882,INDIRECT(J$2),INDIRECT(I4882),test),getMax(B4882,C4882,INDIRECT(J$2),INDIRECT(I4882),test))</f>
        <v>169.16048810980774</v>
      </c>
      <c r="F4882" s="1" t="str">
        <f t="shared" si="307"/>
        <v>50</v>
      </c>
      <c r="G4882" s="1" t="str">
        <f t="shared" si="308"/>
        <v/>
      </c>
      <c r="I4882" s="1" t="str">
        <f t="shared" si="306"/>
        <v>威尔新数值1.06.xlsm!suitPower</v>
      </c>
    </row>
    <row r="4883" spans="1:9" x14ac:dyDescent="0.15">
      <c r="A4883" s="1">
        <v>4882</v>
      </c>
      <c r="B4883" s="1">
        <v>103051300</v>
      </c>
      <c r="C4883" s="1">
        <f t="shared" si="305"/>
        <v>13</v>
      </c>
      <c r="D4883" s="5">
        <f ca="1">IF(getQuality(B4883)&lt;4,getOtherMin(B4883,C4883,INDIRECT(J$2),INDIRECT(I4883),test),getMin(B4883,C4883,INDIRECT(J$2),INDIRECT(I4883),test))</f>
        <v>125.85135380491616</v>
      </c>
      <c r="E4883" s="5">
        <f ca="1">IF(getQuality(B4883)&lt;4,getOtherMax(B4883,C4883,INDIRECT(J$2),INDIRECT(I4883),test),getMax(B4883,C4883,INDIRECT(J$2),INDIRECT(I4883),test))</f>
        <v>169.16048810980774</v>
      </c>
      <c r="F4883" s="1" t="str">
        <f t="shared" si="307"/>
        <v>50</v>
      </c>
      <c r="G4883" s="1" t="str">
        <f t="shared" si="308"/>
        <v/>
      </c>
      <c r="I4883" s="1" t="str">
        <f t="shared" si="306"/>
        <v>威尔新数值1.06.xlsm!suitPower</v>
      </c>
    </row>
    <row r="4884" spans="1:9" x14ac:dyDescent="0.15">
      <c r="A4884" s="1">
        <v>4883</v>
      </c>
      <c r="B4884" s="1">
        <v>103051300</v>
      </c>
      <c r="C4884" s="1">
        <f t="shared" si="305"/>
        <v>14</v>
      </c>
      <c r="D4884" s="5">
        <f ca="1">IF(getQuality(B4884)&lt;4,getOtherMin(B4884,C4884,INDIRECT(J$2),INDIRECT(I4884),test),getMin(B4884,C4884,INDIRECT(J$2),INDIRECT(I4884),test))</f>
        <v>125.85135380491616</v>
      </c>
      <c r="E4884" s="5">
        <f ca="1">IF(getQuality(B4884)&lt;4,getOtherMax(B4884,C4884,INDIRECT(J$2),INDIRECT(I4884),test),getMax(B4884,C4884,INDIRECT(J$2),INDIRECT(I4884),test))</f>
        <v>169.16048810980774</v>
      </c>
      <c r="F4884" s="1" t="str">
        <f t="shared" si="307"/>
        <v>50</v>
      </c>
      <c r="G4884" s="1" t="str">
        <f t="shared" si="308"/>
        <v/>
      </c>
      <c r="I4884" s="1" t="str">
        <f t="shared" si="306"/>
        <v>威尔新数值1.06.xlsm!suitPower</v>
      </c>
    </row>
    <row r="4885" spans="1:9" x14ac:dyDescent="0.15">
      <c r="A4885" s="1">
        <v>4884</v>
      </c>
      <c r="B4885" s="1">
        <v>103051300</v>
      </c>
      <c r="C4885" s="1">
        <f t="shared" si="305"/>
        <v>15</v>
      </c>
      <c r="D4885" s="5">
        <f ca="1">IF(getQuality(B4885)&lt;4,getOtherMin(B4885,C4885,INDIRECT(J$2),INDIRECT(I4885),test),getMin(B4885,C4885,INDIRECT(J$2),INDIRECT(I4885),test))</f>
        <v>125.85135380491616</v>
      </c>
      <c r="E4885" s="5">
        <f ca="1">IF(getQuality(B4885)&lt;4,getOtherMax(B4885,C4885,INDIRECT(J$2),INDIRECT(I4885),test),getMax(B4885,C4885,INDIRECT(J$2),INDIRECT(I4885),test))</f>
        <v>169.16048810980774</v>
      </c>
      <c r="F4885" s="1" t="str">
        <f t="shared" si="307"/>
        <v>50</v>
      </c>
      <c r="G4885" s="1" t="str">
        <f t="shared" si="308"/>
        <v/>
      </c>
      <c r="I4885" s="1" t="str">
        <f t="shared" si="306"/>
        <v>威尔新数值1.06.xlsm!suitPower</v>
      </c>
    </row>
    <row r="4886" spans="1:9" x14ac:dyDescent="0.15">
      <c r="A4886" s="1">
        <v>4885</v>
      </c>
      <c r="B4886" s="1">
        <v>103051300</v>
      </c>
      <c r="C4886" s="1">
        <f t="shared" si="305"/>
        <v>101</v>
      </c>
      <c r="D4886" s="5">
        <f ca="1">IF(getQuality(B4886)&lt;4,getOtherMin(B4886,C4886,INDIRECT(J$2),INDIRECT(I4886),test),getMin(B4886,C4886,INDIRECT(J$2),INDIRECT(I4886),test))</f>
        <v>0.11</v>
      </c>
      <c r="E4886" s="5">
        <f ca="1">IF(getQuality(B4886)&lt;4,getOtherMax(B4886,C4886,INDIRECT(J$2),INDIRECT(I4886),test),getMax(B4886,C4886,INDIRECT(J$2),INDIRECT(I4886),test))</f>
        <v>0.14000000000000001</v>
      </c>
      <c r="F4886" s="1" t="str">
        <f t="shared" si="307"/>
        <v>50</v>
      </c>
      <c r="G4886" s="1" t="str">
        <f t="shared" si="308"/>
        <v/>
      </c>
      <c r="I4886" s="1" t="str">
        <f t="shared" si="306"/>
        <v>威尔新数值1.06.xlsm!circlePer</v>
      </c>
    </row>
    <row r="4887" spans="1:9" x14ac:dyDescent="0.15">
      <c r="A4887" s="1">
        <v>4886</v>
      </c>
      <c r="B4887" s="1">
        <v>103051300</v>
      </c>
      <c r="C4887" s="1">
        <f t="shared" si="305"/>
        <v>102</v>
      </c>
      <c r="D4887" s="5">
        <f ca="1">IF(getQuality(B4887)&lt;4,getOtherMin(B4887,C4887,INDIRECT(J$2),INDIRECT(I4887),test),getMin(B4887,C4887,INDIRECT(J$2),INDIRECT(I4887),test))</f>
        <v>1</v>
      </c>
      <c r="E4887" s="5">
        <f ca="1">IF(getQuality(B4887)&lt;4,getOtherMax(B4887,C4887,INDIRECT(J$2),INDIRECT(I4887),test),getMax(B4887,C4887,INDIRECT(J$2),INDIRECT(I4887),test))</f>
        <v>1.3</v>
      </c>
      <c r="F4887" s="1" t="str">
        <f t="shared" si="307"/>
        <v>50</v>
      </c>
      <c r="G4887" s="1" t="str">
        <f t="shared" si="308"/>
        <v/>
      </c>
      <c r="I4887" s="1" t="str">
        <f t="shared" si="306"/>
        <v>威尔新数值1.06.xlsm!circleValue</v>
      </c>
    </row>
    <row r="4888" spans="1:9" x14ac:dyDescent="0.15">
      <c r="A4888" s="1">
        <v>4887</v>
      </c>
      <c r="B4888" s="1">
        <v>103051300</v>
      </c>
      <c r="C4888" s="1">
        <f t="shared" si="305"/>
        <v>103</v>
      </c>
      <c r="D4888" s="5">
        <f ca="1">IF(getQuality(B4888)&lt;4,getOtherMin(B4888,C4888,INDIRECT(J$2),INDIRECT(I4888),test),getMin(B4888,C4888,INDIRECT(J$2),INDIRECT(I4888),test))</f>
        <v>0.11</v>
      </c>
      <c r="E4888" s="5">
        <f ca="1">IF(getQuality(B4888)&lt;4,getOtherMax(B4888,C4888,INDIRECT(J$2),INDIRECT(I4888),test),getMax(B4888,C4888,INDIRECT(J$2),INDIRECT(I4888),test))</f>
        <v>0.14000000000000001</v>
      </c>
      <c r="F4888" s="1" t="str">
        <f t="shared" si="307"/>
        <v>50</v>
      </c>
      <c r="G4888" s="1" t="str">
        <f t="shared" si="308"/>
        <v/>
      </c>
      <c r="I4888" s="1" t="str">
        <f t="shared" si="306"/>
        <v>威尔新数值1.06.xlsm!otherDamage</v>
      </c>
    </row>
    <row r="4889" spans="1:9" x14ac:dyDescent="0.15">
      <c r="A4889" s="1">
        <v>4888</v>
      </c>
      <c r="B4889" s="1">
        <v>103051300</v>
      </c>
      <c r="C4889" s="1">
        <f t="shared" si="305"/>
        <v>104</v>
      </c>
      <c r="D4889" s="5">
        <f ca="1">IF(getQuality(B4889)&lt;4,getOtherMin(B4889,C4889,INDIRECT(J$2),INDIRECT(I4889),test),getMin(B4889,C4889,INDIRECT(J$2),INDIRECT(I4889),test))</f>
        <v>0.11</v>
      </c>
      <c r="E4889" s="5">
        <f ca="1">IF(getQuality(B4889)&lt;4,getOtherMax(B4889,C4889,INDIRECT(J$2),INDIRECT(I4889),test),getMax(B4889,C4889,INDIRECT(J$2),INDIRECT(I4889),test))</f>
        <v>0.22</v>
      </c>
      <c r="F4889" s="1" t="str">
        <f t="shared" si="307"/>
        <v>50</v>
      </c>
      <c r="G4889" s="1" t="str">
        <f t="shared" si="308"/>
        <v/>
      </c>
      <c r="I4889" s="1" t="str">
        <f t="shared" si="306"/>
        <v>威尔新数值1.06.xlsm!monsterDamage</v>
      </c>
    </row>
    <row r="4890" spans="1:9" x14ac:dyDescent="0.15">
      <c r="A4890" s="1">
        <v>4889</v>
      </c>
      <c r="B4890" s="1">
        <v>103051300</v>
      </c>
      <c r="C4890" s="1">
        <f t="shared" si="305"/>
        <v>105</v>
      </c>
      <c r="D4890" s="5">
        <f ca="1">IF(getQuality(B4890)&lt;4,getOtherMin(B4890,C4890,INDIRECT(J$2),INDIRECT(I4890),test),getMin(B4890,C4890,INDIRECT(J$2),INDIRECT(I4890),test))</f>
        <v>0.11</v>
      </c>
      <c r="E4890" s="5">
        <f ca="1">IF(getQuality(B4890)&lt;4,getOtherMax(B4890,C4890,INDIRECT(J$2),INDIRECT(I4890),test),getMax(B4890,C4890,INDIRECT(J$2),INDIRECT(I4890),test))</f>
        <v>0.22</v>
      </c>
      <c r="F4890" s="1" t="str">
        <f t="shared" si="307"/>
        <v>50</v>
      </c>
      <c r="G4890" s="1" t="str">
        <f t="shared" si="308"/>
        <v/>
      </c>
      <c r="I4890" s="1" t="str">
        <f t="shared" si="306"/>
        <v>威尔新数值1.06.xlsm!monsterDamage</v>
      </c>
    </row>
    <row r="4891" spans="1:9" x14ac:dyDescent="0.15">
      <c r="A4891" s="1">
        <v>4890</v>
      </c>
      <c r="B4891" s="1">
        <v>103051300</v>
      </c>
      <c r="C4891" s="1">
        <f t="shared" si="305"/>
        <v>106</v>
      </c>
      <c r="D4891" s="5">
        <f ca="1">IF(getQuality(B4891)&lt;4,getOtherMin(B4891,C4891,INDIRECT(J$2),INDIRECT(I4891),test),getMin(B4891,C4891,INDIRECT(J$2),INDIRECT(I4891),test))</f>
        <v>0.11</v>
      </c>
      <c r="E4891" s="5">
        <f ca="1">IF(getQuality(B4891)&lt;4,getOtherMax(B4891,C4891,INDIRECT(J$2),INDIRECT(I4891),test),getMax(B4891,C4891,INDIRECT(J$2),INDIRECT(I4891),test))</f>
        <v>0.22</v>
      </c>
      <c r="F4891" s="1" t="str">
        <f t="shared" si="307"/>
        <v>50</v>
      </c>
      <c r="G4891" s="1" t="str">
        <f t="shared" si="308"/>
        <v/>
      </c>
      <c r="I4891" s="1" t="str">
        <f t="shared" si="306"/>
        <v>威尔新数值1.06.xlsm!monsterDamage</v>
      </c>
    </row>
    <row r="4892" spans="1:9" x14ac:dyDescent="0.15">
      <c r="A4892" s="1">
        <v>4891</v>
      </c>
      <c r="B4892" s="1">
        <v>103051300</v>
      </c>
      <c r="C4892" s="1">
        <f t="shared" si="305"/>
        <v>107</v>
      </c>
      <c r="D4892" s="5">
        <f ca="1">IF(getQuality(B4892)&lt;4,getOtherMin(B4892,C4892,INDIRECT(J$2),INDIRECT(I4892),test),getMin(B4892,C4892,INDIRECT(J$2),INDIRECT(I4892),test))</f>
        <v>0.11</v>
      </c>
      <c r="E4892" s="5">
        <f ca="1">IF(getQuality(B4892)&lt;4,getOtherMax(B4892,C4892,INDIRECT(J$2),INDIRECT(I4892),test),getMax(B4892,C4892,INDIRECT(J$2),INDIRECT(I4892),test))</f>
        <v>0.22</v>
      </c>
      <c r="F4892" s="1" t="str">
        <f t="shared" si="307"/>
        <v>50</v>
      </c>
      <c r="G4892" s="1" t="str">
        <f t="shared" si="308"/>
        <v/>
      </c>
      <c r="I4892" s="1" t="str">
        <f t="shared" si="306"/>
        <v>威尔新数值1.06.xlsm!monsterDamage</v>
      </c>
    </row>
    <row r="4893" spans="1:9" x14ac:dyDescent="0.15">
      <c r="A4893" s="1">
        <v>4892</v>
      </c>
      <c r="B4893" s="1">
        <v>103051300</v>
      </c>
      <c r="C4893" s="1">
        <f t="shared" si="305"/>
        <v>108</v>
      </c>
      <c r="D4893" s="5">
        <f ca="1">IF(getQuality(B4893)&lt;4,getOtherMin(B4893,C4893,INDIRECT(J$2),INDIRECT(I4893),test),getMin(B4893,C4893,INDIRECT(J$2),INDIRECT(I4893),test))</f>
        <v>0.11</v>
      </c>
      <c r="E4893" s="5">
        <f ca="1">IF(getQuality(B4893)&lt;4,getOtherMax(B4893,C4893,INDIRECT(J$2),INDIRECT(I4893),test),getMax(B4893,C4893,INDIRECT(J$2),INDIRECT(I4893),test))</f>
        <v>0.22</v>
      </c>
      <c r="F4893" s="1" t="str">
        <f t="shared" si="307"/>
        <v>50</v>
      </c>
      <c r="G4893" s="1" t="str">
        <f t="shared" si="308"/>
        <v/>
      </c>
      <c r="I4893" s="1" t="str">
        <f t="shared" si="306"/>
        <v>威尔新数值1.06.xlsm!monsterDamage</v>
      </c>
    </row>
    <row r="4894" spans="1:9" x14ac:dyDescent="0.15">
      <c r="A4894" s="1">
        <v>4893</v>
      </c>
      <c r="B4894" s="1">
        <v>103061300</v>
      </c>
      <c r="C4894" s="1">
        <f t="shared" si="305"/>
        <v>3</v>
      </c>
      <c r="D4894" s="5">
        <f ca="1">IF(getQuality(B4894)&lt;4,getOtherMin(B4894,C4894,INDIRECT(J$2),INDIRECT(I4894),test),getMin(B4894,C4894,INDIRECT(J$2),INDIRECT(I4894),test))</f>
        <v>170.16048810980774</v>
      </c>
      <c r="E4894" s="5">
        <f ca="1">IF(getQuality(B4894)&lt;4,getOtherMax(B4894,C4894,INDIRECT(J$2),INDIRECT(I4894),test),getMax(B4894,C4894,INDIRECT(J$2),INDIRECT(I4894),test))</f>
        <v>217.39851117079806</v>
      </c>
      <c r="F4894" s="1" t="str">
        <f t="shared" si="307"/>
        <v>50</v>
      </c>
      <c r="G4894" s="1" t="str">
        <f t="shared" si="308"/>
        <v>1</v>
      </c>
      <c r="I4894" s="1" t="str">
        <f t="shared" si="306"/>
        <v>威尔新数值1.06.xlsm!suitPower</v>
      </c>
    </row>
    <row r="4895" spans="1:9" x14ac:dyDescent="0.15">
      <c r="A4895" s="1">
        <v>4894</v>
      </c>
      <c r="B4895" s="1">
        <v>103061300</v>
      </c>
      <c r="C4895" s="1">
        <f t="shared" si="305"/>
        <v>5</v>
      </c>
      <c r="D4895" s="5">
        <f ca="1">IF(getQuality(B4895)&lt;4,getOtherMin(B4895,C4895,INDIRECT(J$2),INDIRECT(I4895),test),getMin(B4895,C4895,INDIRECT(J$2),INDIRECT(I4895),test))</f>
        <v>170.16048810980774</v>
      </c>
      <c r="E4895" s="5">
        <f ca="1">IF(getQuality(B4895)&lt;4,getOtherMax(B4895,C4895,INDIRECT(J$2),INDIRECT(I4895),test),getMax(B4895,C4895,INDIRECT(J$2),INDIRECT(I4895),test))</f>
        <v>217.39851117079806</v>
      </c>
      <c r="F4895" s="1" t="str">
        <f t="shared" si="307"/>
        <v>50</v>
      </c>
      <c r="G4895" s="1" t="str">
        <f t="shared" si="308"/>
        <v/>
      </c>
      <c r="I4895" s="1" t="str">
        <f t="shared" si="306"/>
        <v>威尔新数值1.06.xlsm!suitPower</v>
      </c>
    </row>
    <row r="4896" spans="1:9" x14ac:dyDescent="0.15">
      <c r="A4896" s="1">
        <v>4895</v>
      </c>
      <c r="B4896" s="1">
        <v>103061300</v>
      </c>
      <c r="C4896" s="1">
        <f t="shared" si="305"/>
        <v>7</v>
      </c>
      <c r="D4896" s="5">
        <f ca="1">IF(getQuality(B4896)&lt;4,getOtherMin(B4896,C4896,INDIRECT(J$2),INDIRECT(I4896),test),getMin(B4896,C4896,INDIRECT(J$2),INDIRECT(I4896),test))</f>
        <v>38.037037037036946</v>
      </c>
      <c r="E4896" s="5">
        <f ca="1">IF(getQuality(B4896)&lt;4,getOtherMax(B4896,C4896,INDIRECT(J$2),INDIRECT(I4896),test),getMax(B4896,C4896,INDIRECT(J$2),INDIRECT(I4896),test))</f>
        <v>44.444444444444329</v>
      </c>
      <c r="F4896" s="1" t="str">
        <f t="shared" si="307"/>
        <v>50</v>
      </c>
      <c r="G4896" s="1" t="str">
        <f t="shared" si="308"/>
        <v/>
      </c>
      <c r="I4896" s="1" t="str">
        <f t="shared" si="306"/>
        <v>威尔新数值1.06.xlsm!suitPower</v>
      </c>
    </row>
    <row r="4897" spans="1:9" x14ac:dyDescent="0.15">
      <c r="A4897" s="1">
        <v>4896</v>
      </c>
      <c r="B4897" s="1">
        <v>103061300</v>
      </c>
      <c r="C4897" s="1">
        <f t="shared" si="305"/>
        <v>8</v>
      </c>
      <c r="D4897" s="5">
        <f ca="1">IF(getQuality(B4897)&lt;4,getOtherMin(B4897,C4897,INDIRECT(J$2),INDIRECT(I4897),test),getMin(B4897,C4897,INDIRECT(J$2),INDIRECT(I4897),test))</f>
        <v>84.333333333333329</v>
      </c>
      <c r="E4897" s="5">
        <f ca="1">IF(getQuality(B4897)&lt;4,getOtherMax(B4897,C4897,INDIRECT(J$2),INDIRECT(I4897),test),getMax(B4897,C4897,INDIRECT(J$2),INDIRECT(I4897),test))</f>
        <v>100</v>
      </c>
      <c r="F4897" s="1" t="str">
        <f t="shared" si="307"/>
        <v>50</v>
      </c>
      <c r="G4897" s="1" t="str">
        <f t="shared" si="308"/>
        <v/>
      </c>
      <c r="I4897" s="1" t="str">
        <f t="shared" si="306"/>
        <v>威尔新数值1.06.xlsm!suitPower</v>
      </c>
    </row>
    <row r="4898" spans="1:9" x14ac:dyDescent="0.15">
      <c r="A4898" s="1">
        <v>4897</v>
      </c>
      <c r="B4898" s="1">
        <v>103061300</v>
      </c>
      <c r="C4898" s="1">
        <f t="shared" si="305"/>
        <v>9</v>
      </c>
      <c r="D4898" s="5">
        <f ca="1">IF(getQuality(B4898)&lt;4,getOtherMin(B4898,C4898,INDIRECT(J$2),INDIRECT(I4898),test),getMin(B4898,C4898,INDIRECT(J$2),INDIRECT(I4898),test))</f>
        <v>170.16048810980774</v>
      </c>
      <c r="E4898" s="5">
        <f ca="1">IF(getQuality(B4898)&lt;4,getOtherMax(B4898,C4898,INDIRECT(J$2),INDIRECT(I4898),test),getMax(B4898,C4898,INDIRECT(J$2),INDIRECT(I4898),test))</f>
        <v>217.39851117079806</v>
      </c>
      <c r="F4898" s="1" t="str">
        <f t="shared" si="307"/>
        <v>50</v>
      </c>
      <c r="G4898" s="1" t="str">
        <f t="shared" si="308"/>
        <v/>
      </c>
      <c r="I4898" s="1" t="str">
        <f t="shared" si="306"/>
        <v>威尔新数值1.06.xlsm!suitPower</v>
      </c>
    </row>
    <row r="4899" spans="1:9" x14ac:dyDescent="0.15">
      <c r="A4899" s="1">
        <v>4898</v>
      </c>
      <c r="B4899" s="1">
        <v>103061300</v>
      </c>
      <c r="C4899" s="1">
        <f t="shared" si="305"/>
        <v>10</v>
      </c>
      <c r="D4899" s="5">
        <f ca="1">IF(getQuality(B4899)&lt;4,getOtherMin(B4899,C4899,INDIRECT(J$2),INDIRECT(I4899),test),getMin(B4899,C4899,INDIRECT(J$2),INDIRECT(I4899),test))</f>
        <v>170.16048810980774</v>
      </c>
      <c r="E4899" s="5">
        <f ca="1">IF(getQuality(B4899)&lt;4,getOtherMax(B4899,C4899,INDIRECT(J$2),INDIRECT(I4899),test),getMax(B4899,C4899,INDIRECT(J$2),INDIRECT(I4899),test))</f>
        <v>217.39851117079806</v>
      </c>
      <c r="F4899" s="1" t="str">
        <f t="shared" si="307"/>
        <v>50</v>
      </c>
      <c r="G4899" s="1" t="str">
        <f t="shared" si="308"/>
        <v/>
      </c>
      <c r="I4899" s="1" t="str">
        <f t="shared" si="306"/>
        <v>威尔新数值1.06.xlsm!suitPower</v>
      </c>
    </row>
    <row r="4900" spans="1:9" x14ac:dyDescent="0.15">
      <c r="A4900" s="1">
        <v>4899</v>
      </c>
      <c r="B4900" s="1">
        <v>103061300</v>
      </c>
      <c r="C4900" s="1">
        <f t="shared" si="305"/>
        <v>11</v>
      </c>
      <c r="D4900" s="5">
        <f ca="1">IF(getQuality(B4900)&lt;4,getOtherMin(B4900,C4900,INDIRECT(J$2),INDIRECT(I4900),test),getMin(B4900,C4900,INDIRECT(J$2),INDIRECT(I4900),test))</f>
        <v>170.16048810980774</v>
      </c>
      <c r="E4900" s="5">
        <f ca="1">IF(getQuality(B4900)&lt;4,getOtherMax(B4900,C4900,INDIRECT(J$2),INDIRECT(I4900),test),getMax(B4900,C4900,INDIRECT(J$2),INDIRECT(I4900),test))</f>
        <v>217.39851117079806</v>
      </c>
      <c r="F4900" s="1" t="str">
        <f t="shared" si="307"/>
        <v>50</v>
      </c>
      <c r="G4900" s="1" t="str">
        <f t="shared" si="308"/>
        <v/>
      </c>
      <c r="I4900" s="1" t="str">
        <f t="shared" si="306"/>
        <v>威尔新数值1.06.xlsm!suitPower</v>
      </c>
    </row>
    <row r="4901" spans="1:9" x14ac:dyDescent="0.15">
      <c r="A4901" s="1">
        <v>4900</v>
      </c>
      <c r="B4901" s="1">
        <v>103061300</v>
      </c>
      <c r="C4901" s="1">
        <f t="shared" si="305"/>
        <v>12</v>
      </c>
      <c r="D4901" s="5">
        <f ca="1">IF(getQuality(B4901)&lt;4,getOtherMin(B4901,C4901,INDIRECT(J$2),INDIRECT(I4901),test),getMin(B4901,C4901,INDIRECT(J$2),INDIRECT(I4901),test))</f>
        <v>170.16048810980774</v>
      </c>
      <c r="E4901" s="5">
        <f ca="1">IF(getQuality(B4901)&lt;4,getOtherMax(B4901,C4901,INDIRECT(J$2),INDIRECT(I4901),test),getMax(B4901,C4901,INDIRECT(J$2),INDIRECT(I4901),test))</f>
        <v>217.39851117079806</v>
      </c>
      <c r="F4901" s="1" t="str">
        <f t="shared" si="307"/>
        <v>50</v>
      </c>
      <c r="G4901" s="1" t="str">
        <f t="shared" si="308"/>
        <v/>
      </c>
      <c r="I4901" s="1" t="str">
        <f t="shared" si="306"/>
        <v>威尔新数值1.06.xlsm!suitPower</v>
      </c>
    </row>
    <row r="4902" spans="1:9" x14ac:dyDescent="0.15">
      <c r="A4902" s="1">
        <v>4901</v>
      </c>
      <c r="B4902" s="1">
        <v>103061300</v>
      </c>
      <c r="C4902" s="1">
        <f t="shared" si="305"/>
        <v>13</v>
      </c>
      <c r="D4902" s="5">
        <f ca="1">IF(getQuality(B4902)&lt;4,getOtherMin(B4902,C4902,INDIRECT(J$2),INDIRECT(I4902),test),getMin(B4902,C4902,INDIRECT(J$2),INDIRECT(I4902),test))</f>
        <v>170.16048810980774</v>
      </c>
      <c r="E4902" s="5">
        <f ca="1">IF(getQuality(B4902)&lt;4,getOtherMax(B4902,C4902,INDIRECT(J$2),INDIRECT(I4902),test),getMax(B4902,C4902,INDIRECT(J$2),INDIRECT(I4902),test))</f>
        <v>217.39851117079806</v>
      </c>
      <c r="F4902" s="1" t="str">
        <f t="shared" si="307"/>
        <v>50</v>
      </c>
      <c r="G4902" s="1" t="str">
        <f t="shared" si="308"/>
        <v/>
      </c>
      <c r="I4902" s="1" t="str">
        <f t="shared" si="306"/>
        <v>威尔新数值1.06.xlsm!suitPower</v>
      </c>
    </row>
    <row r="4903" spans="1:9" x14ac:dyDescent="0.15">
      <c r="A4903" s="1">
        <v>4902</v>
      </c>
      <c r="B4903" s="1">
        <v>103061300</v>
      </c>
      <c r="C4903" s="1">
        <f t="shared" si="305"/>
        <v>14</v>
      </c>
      <c r="D4903" s="5">
        <f ca="1">IF(getQuality(B4903)&lt;4,getOtherMin(B4903,C4903,INDIRECT(J$2),INDIRECT(I4903),test),getMin(B4903,C4903,INDIRECT(J$2),INDIRECT(I4903),test))</f>
        <v>170.16048810980774</v>
      </c>
      <c r="E4903" s="5">
        <f ca="1">IF(getQuality(B4903)&lt;4,getOtherMax(B4903,C4903,INDIRECT(J$2),INDIRECT(I4903),test),getMax(B4903,C4903,INDIRECT(J$2),INDIRECT(I4903),test))</f>
        <v>217.39851117079806</v>
      </c>
      <c r="F4903" s="1" t="str">
        <f t="shared" si="307"/>
        <v>50</v>
      </c>
      <c r="G4903" s="1" t="str">
        <f t="shared" si="308"/>
        <v/>
      </c>
      <c r="I4903" s="1" t="str">
        <f t="shared" si="306"/>
        <v>威尔新数值1.06.xlsm!suitPower</v>
      </c>
    </row>
    <row r="4904" spans="1:9" x14ac:dyDescent="0.15">
      <c r="A4904" s="1">
        <v>4903</v>
      </c>
      <c r="B4904" s="1">
        <v>103061300</v>
      </c>
      <c r="C4904" s="1">
        <f t="shared" si="305"/>
        <v>15</v>
      </c>
      <c r="D4904" s="5">
        <f ca="1">IF(getQuality(B4904)&lt;4,getOtherMin(B4904,C4904,INDIRECT(J$2),INDIRECT(I4904),test),getMin(B4904,C4904,INDIRECT(J$2),INDIRECT(I4904),test))</f>
        <v>170.16048810980774</v>
      </c>
      <c r="E4904" s="5">
        <f ca="1">IF(getQuality(B4904)&lt;4,getOtherMax(B4904,C4904,INDIRECT(J$2),INDIRECT(I4904),test),getMax(B4904,C4904,INDIRECT(J$2),INDIRECT(I4904),test))</f>
        <v>217.39851117079806</v>
      </c>
      <c r="F4904" s="1" t="str">
        <f t="shared" si="307"/>
        <v>50</v>
      </c>
      <c r="G4904" s="1" t="str">
        <f t="shared" si="308"/>
        <v/>
      </c>
      <c r="I4904" s="1" t="str">
        <f t="shared" si="306"/>
        <v>威尔新数值1.06.xlsm!suitPower</v>
      </c>
    </row>
    <row r="4905" spans="1:9" x14ac:dyDescent="0.15">
      <c r="A4905" s="1">
        <v>4904</v>
      </c>
      <c r="B4905" s="1">
        <v>103061300</v>
      </c>
      <c r="C4905" s="1">
        <f t="shared" si="305"/>
        <v>101</v>
      </c>
      <c r="D4905" s="5">
        <f ca="1">IF(getQuality(B4905)&lt;4,getOtherMin(B4905,C4905,INDIRECT(J$2),INDIRECT(I4905),test),getMin(B4905,C4905,INDIRECT(J$2),INDIRECT(I4905),test))</f>
        <v>0.12</v>
      </c>
      <c r="E4905" s="5">
        <f ca="1">IF(getQuality(B4905)&lt;4,getOtherMax(B4905,C4905,INDIRECT(J$2),INDIRECT(I4905),test),getMax(B4905,C4905,INDIRECT(J$2),INDIRECT(I4905),test))</f>
        <v>0.15</v>
      </c>
      <c r="F4905" s="1" t="str">
        <f t="shared" si="307"/>
        <v>50</v>
      </c>
      <c r="G4905" s="1" t="str">
        <f t="shared" si="308"/>
        <v/>
      </c>
      <c r="I4905" s="1" t="str">
        <f t="shared" si="306"/>
        <v>威尔新数值1.06.xlsm!circlePer</v>
      </c>
    </row>
    <row r="4906" spans="1:9" x14ac:dyDescent="0.15">
      <c r="A4906" s="1">
        <v>4905</v>
      </c>
      <c r="B4906" s="1">
        <v>103061300</v>
      </c>
      <c r="C4906" s="1">
        <f t="shared" si="305"/>
        <v>102</v>
      </c>
      <c r="D4906" s="5">
        <f ca="1">IF(getQuality(B4906)&lt;4,getOtherMin(B4906,C4906,INDIRECT(J$2),INDIRECT(I4906),test),getMin(B4906,C4906,INDIRECT(J$2),INDIRECT(I4906),test))</f>
        <v>1.1000000000000001</v>
      </c>
      <c r="E4906" s="5">
        <f ca="1">IF(getQuality(B4906)&lt;4,getOtherMax(B4906,C4906,INDIRECT(J$2),INDIRECT(I4906),test),getMax(B4906,C4906,INDIRECT(J$2),INDIRECT(I4906),test))</f>
        <v>1.4</v>
      </c>
      <c r="F4906" s="1" t="str">
        <f t="shared" si="307"/>
        <v>50</v>
      </c>
      <c r="G4906" s="1" t="str">
        <f t="shared" si="308"/>
        <v/>
      </c>
      <c r="I4906" s="1" t="str">
        <f t="shared" si="306"/>
        <v>威尔新数值1.06.xlsm!circleValue</v>
      </c>
    </row>
    <row r="4907" spans="1:9" x14ac:dyDescent="0.15">
      <c r="A4907" s="1">
        <v>4906</v>
      </c>
      <c r="B4907" s="1">
        <v>103061300</v>
      </c>
      <c r="C4907" s="1">
        <f t="shared" si="305"/>
        <v>103</v>
      </c>
      <c r="D4907" s="5">
        <f ca="1">IF(getQuality(B4907)&lt;4,getOtherMin(B4907,C4907,INDIRECT(J$2),INDIRECT(I4907),test),getMin(B4907,C4907,INDIRECT(J$2),INDIRECT(I4907),test))</f>
        <v>0.12</v>
      </c>
      <c r="E4907" s="5">
        <f ca="1">IF(getQuality(B4907)&lt;4,getOtherMax(B4907,C4907,INDIRECT(J$2),INDIRECT(I4907),test),getMax(B4907,C4907,INDIRECT(J$2),INDIRECT(I4907),test))</f>
        <v>0.15</v>
      </c>
      <c r="F4907" s="1" t="str">
        <f t="shared" si="307"/>
        <v>50</v>
      </c>
      <c r="G4907" s="1" t="str">
        <f t="shared" si="308"/>
        <v/>
      </c>
      <c r="I4907" s="1" t="str">
        <f t="shared" si="306"/>
        <v>威尔新数值1.06.xlsm!otherDamage</v>
      </c>
    </row>
    <row r="4908" spans="1:9" x14ac:dyDescent="0.15">
      <c r="A4908" s="1">
        <v>4907</v>
      </c>
      <c r="B4908" s="1">
        <v>103061300</v>
      </c>
      <c r="C4908" s="1">
        <f t="shared" si="305"/>
        <v>104</v>
      </c>
      <c r="D4908" s="5">
        <f ca="1">IF(getQuality(B4908)&lt;4,getOtherMin(B4908,C4908,INDIRECT(J$2),INDIRECT(I4908),test),getMin(B4908,C4908,INDIRECT(J$2),INDIRECT(I4908),test))</f>
        <v>0.12</v>
      </c>
      <c r="E4908" s="5">
        <f ca="1">IF(getQuality(B4908)&lt;4,getOtherMax(B4908,C4908,INDIRECT(J$2),INDIRECT(I4908),test),getMax(B4908,C4908,INDIRECT(J$2),INDIRECT(I4908),test))</f>
        <v>0.24</v>
      </c>
      <c r="F4908" s="1" t="str">
        <f t="shared" si="307"/>
        <v>50</v>
      </c>
      <c r="G4908" s="1" t="str">
        <f t="shared" si="308"/>
        <v/>
      </c>
      <c r="I4908" s="1" t="str">
        <f t="shared" si="306"/>
        <v>威尔新数值1.06.xlsm!monsterDamage</v>
      </c>
    </row>
    <row r="4909" spans="1:9" x14ac:dyDescent="0.15">
      <c r="A4909" s="1">
        <v>4908</v>
      </c>
      <c r="B4909" s="1">
        <v>103061300</v>
      </c>
      <c r="C4909" s="1">
        <f t="shared" si="305"/>
        <v>105</v>
      </c>
      <c r="D4909" s="5">
        <f ca="1">IF(getQuality(B4909)&lt;4,getOtherMin(B4909,C4909,INDIRECT(J$2),INDIRECT(I4909),test),getMin(B4909,C4909,INDIRECT(J$2),INDIRECT(I4909),test))</f>
        <v>0.12</v>
      </c>
      <c r="E4909" s="5">
        <f ca="1">IF(getQuality(B4909)&lt;4,getOtherMax(B4909,C4909,INDIRECT(J$2),INDIRECT(I4909),test),getMax(B4909,C4909,INDIRECT(J$2),INDIRECT(I4909),test))</f>
        <v>0.24</v>
      </c>
      <c r="F4909" s="1" t="str">
        <f t="shared" si="307"/>
        <v>50</v>
      </c>
      <c r="G4909" s="1" t="str">
        <f t="shared" si="308"/>
        <v/>
      </c>
      <c r="I4909" s="1" t="str">
        <f t="shared" si="306"/>
        <v>威尔新数值1.06.xlsm!monsterDamage</v>
      </c>
    </row>
    <row r="4910" spans="1:9" x14ac:dyDescent="0.15">
      <c r="A4910" s="1">
        <v>4909</v>
      </c>
      <c r="B4910" s="1">
        <v>103061300</v>
      </c>
      <c r="C4910" s="1">
        <f t="shared" si="305"/>
        <v>106</v>
      </c>
      <c r="D4910" s="5">
        <f ca="1">IF(getQuality(B4910)&lt;4,getOtherMin(B4910,C4910,INDIRECT(J$2),INDIRECT(I4910),test),getMin(B4910,C4910,INDIRECT(J$2),INDIRECT(I4910),test))</f>
        <v>0.12</v>
      </c>
      <c r="E4910" s="5">
        <f ca="1">IF(getQuality(B4910)&lt;4,getOtherMax(B4910,C4910,INDIRECT(J$2),INDIRECT(I4910),test),getMax(B4910,C4910,INDIRECT(J$2),INDIRECT(I4910),test))</f>
        <v>0.24</v>
      </c>
      <c r="F4910" s="1" t="str">
        <f t="shared" si="307"/>
        <v>50</v>
      </c>
      <c r="G4910" s="1" t="str">
        <f t="shared" si="308"/>
        <v/>
      </c>
      <c r="I4910" s="1" t="str">
        <f t="shared" si="306"/>
        <v>威尔新数值1.06.xlsm!monsterDamage</v>
      </c>
    </row>
    <row r="4911" spans="1:9" x14ac:dyDescent="0.15">
      <c r="A4911" s="1">
        <v>4910</v>
      </c>
      <c r="B4911" s="1">
        <v>103061300</v>
      </c>
      <c r="C4911" s="1">
        <f t="shared" si="305"/>
        <v>107</v>
      </c>
      <c r="D4911" s="5">
        <f ca="1">IF(getQuality(B4911)&lt;4,getOtherMin(B4911,C4911,INDIRECT(J$2),INDIRECT(I4911),test),getMin(B4911,C4911,INDIRECT(J$2),INDIRECT(I4911),test))</f>
        <v>0.12</v>
      </c>
      <c r="E4911" s="5">
        <f ca="1">IF(getQuality(B4911)&lt;4,getOtherMax(B4911,C4911,INDIRECT(J$2),INDIRECT(I4911),test),getMax(B4911,C4911,INDIRECT(J$2),INDIRECT(I4911),test))</f>
        <v>0.24</v>
      </c>
      <c r="F4911" s="1" t="str">
        <f t="shared" si="307"/>
        <v>50</v>
      </c>
      <c r="G4911" s="1" t="str">
        <f t="shared" si="308"/>
        <v/>
      </c>
      <c r="I4911" s="1" t="str">
        <f t="shared" si="306"/>
        <v>威尔新数值1.06.xlsm!monsterDamage</v>
      </c>
    </row>
    <row r="4912" spans="1:9" x14ac:dyDescent="0.15">
      <c r="A4912" s="1">
        <v>4911</v>
      </c>
      <c r="B4912" s="1">
        <v>103061300</v>
      </c>
      <c r="C4912" s="1">
        <f t="shared" si="305"/>
        <v>108</v>
      </c>
      <c r="D4912" s="5">
        <f ca="1">IF(getQuality(B4912)&lt;4,getOtherMin(B4912,C4912,INDIRECT(J$2),INDIRECT(I4912),test),getMin(B4912,C4912,INDIRECT(J$2),INDIRECT(I4912),test))</f>
        <v>0.12</v>
      </c>
      <c r="E4912" s="5">
        <f ca="1">IF(getQuality(B4912)&lt;4,getOtherMax(B4912,C4912,INDIRECT(J$2),INDIRECT(I4912),test),getMax(B4912,C4912,INDIRECT(J$2),INDIRECT(I4912),test))</f>
        <v>0.24</v>
      </c>
      <c r="F4912" s="1" t="str">
        <f t="shared" si="307"/>
        <v>50</v>
      </c>
      <c r="G4912" s="1" t="str">
        <f t="shared" si="308"/>
        <v/>
      </c>
      <c r="I4912" s="1" t="str">
        <f t="shared" si="306"/>
        <v>威尔新数值1.06.xlsm!monsterDamage</v>
      </c>
    </row>
    <row r="4913" spans="1:9" x14ac:dyDescent="0.15">
      <c r="A4913" s="1">
        <v>4912</v>
      </c>
      <c r="B4913" s="1">
        <v>103071300</v>
      </c>
      <c r="C4913" s="1">
        <f t="shared" si="305"/>
        <v>3</v>
      </c>
      <c r="D4913" s="5">
        <f ca="1">IF(getQuality(B4913)&lt;4,getOtherMin(B4913,C4913,INDIRECT(J$2),INDIRECT(I4913),test),getMin(B4913,C4913,INDIRECT(J$2),INDIRECT(I4913),test))</f>
        <v>218.39851117079806</v>
      </c>
      <c r="E4913" s="5">
        <f ca="1">IF(getQuality(B4913)&lt;4,getOtherMax(B4913,C4913,INDIRECT(J$2),INDIRECT(I4913),test),getMax(B4913,C4913,INDIRECT(J$2),INDIRECT(I4913),test))</f>
        <v>270.43850937813136</v>
      </c>
      <c r="F4913" s="1" t="str">
        <f t="shared" si="307"/>
        <v>50</v>
      </c>
      <c r="G4913" s="1" t="str">
        <f t="shared" si="308"/>
        <v>1</v>
      </c>
      <c r="I4913" s="1" t="str">
        <f t="shared" si="306"/>
        <v>威尔新数值1.06.xlsm!suitPower</v>
      </c>
    </row>
    <row r="4914" spans="1:9" x14ac:dyDescent="0.15">
      <c r="A4914" s="1">
        <v>4913</v>
      </c>
      <c r="B4914" s="1">
        <v>103071300</v>
      </c>
      <c r="C4914" s="1">
        <f t="shared" si="305"/>
        <v>5</v>
      </c>
      <c r="D4914" s="5">
        <f ca="1">IF(getQuality(B4914)&lt;4,getOtherMin(B4914,C4914,INDIRECT(J$2),INDIRECT(I4914),test),getMin(B4914,C4914,INDIRECT(J$2),INDIRECT(I4914),test))</f>
        <v>218.39851117079806</v>
      </c>
      <c r="E4914" s="5">
        <f ca="1">IF(getQuality(B4914)&lt;4,getOtherMax(B4914,C4914,INDIRECT(J$2),INDIRECT(I4914),test),getMax(B4914,C4914,INDIRECT(J$2),INDIRECT(I4914),test))</f>
        <v>270.43850937813136</v>
      </c>
      <c r="F4914" s="1" t="str">
        <f t="shared" si="307"/>
        <v>50</v>
      </c>
      <c r="G4914" s="1" t="str">
        <f t="shared" si="308"/>
        <v/>
      </c>
      <c r="I4914" s="1" t="str">
        <f t="shared" si="306"/>
        <v>威尔新数值1.06.xlsm!suitPower</v>
      </c>
    </row>
    <row r="4915" spans="1:9" x14ac:dyDescent="0.15">
      <c r="A4915" s="1">
        <v>4914</v>
      </c>
      <c r="B4915" s="1">
        <v>103071300</v>
      </c>
      <c r="C4915" s="1">
        <f t="shared" si="305"/>
        <v>7</v>
      </c>
      <c r="D4915" s="5">
        <f ca="1">IF(getQuality(B4915)&lt;4,getOtherMin(B4915,C4915,INDIRECT(J$2),INDIRECT(I4915),test),getMin(B4915,C4915,INDIRECT(J$2),INDIRECT(I4915),test))</f>
        <v>45.444444444444329</v>
      </c>
      <c r="E4915" s="5">
        <f ca="1">IF(getQuality(B4915)&lt;4,getOtherMax(B4915,C4915,INDIRECT(J$2),INDIRECT(I4915),test),getMax(B4915,C4915,INDIRECT(J$2),INDIRECT(I4915),test))</f>
        <v>51.85185185185172</v>
      </c>
      <c r="F4915" s="1" t="str">
        <f t="shared" si="307"/>
        <v>50</v>
      </c>
      <c r="G4915" s="1" t="str">
        <f t="shared" si="308"/>
        <v/>
      </c>
      <c r="I4915" s="1" t="str">
        <f t="shared" si="306"/>
        <v>威尔新数值1.06.xlsm!suitPower</v>
      </c>
    </row>
    <row r="4916" spans="1:9" x14ac:dyDescent="0.15">
      <c r="A4916" s="1">
        <v>4915</v>
      </c>
      <c r="B4916" s="1">
        <v>103071300</v>
      </c>
      <c r="C4916" s="1">
        <f t="shared" si="305"/>
        <v>8</v>
      </c>
      <c r="D4916" s="5">
        <f ca="1">IF(getQuality(B4916)&lt;4,getOtherMin(B4916,C4916,INDIRECT(J$2),INDIRECT(I4916),test),getMin(B4916,C4916,INDIRECT(J$2),INDIRECT(I4916),test))</f>
        <v>101</v>
      </c>
      <c r="E4916" s="5">
        <f ca="1">IF(getQuality(B4916)&lt;4,getOtherMax(B4916,C4916,INDIRECT(J$2),INDIRECT(I4916),test),getMax(B4916,C4916,INDIRECT(J$2),INDIRECT(I4916),test))</f>
        <v>116.66666666666667</v>
      </c>
      <c r="F4916" s="1" t="str">
        <f t="shared" si="307"/>
        <v>50</v>
      </c>
      <c r="G4916" s="1" t="str">
        <f t="shared" si="308"/>
        <v/>
      </c>
      <c r="I4916" s="1" t="str">
        <f t="shared" si="306"/>
        <v>威尔新数值1.06.xlsm!suitPower</v>
      </c>
    </row>
    <row r="4917" spans="1:9" x14ac:dyDescent="0.15">
      <c r="A4917" s="1">
        <v>4916</v>
      </c>
      <c r="B4917" s="1">
        <v>103071300</v>
      </c>
      <c r="C4917" s="1">
        <f t="shared" si="305"/>
        <v>9</v>
      </c>
      <c r="D4917" s="5">
        <f ca="1">IF(getQuality(B4917)&lt;4,getOtherMin(B4917,C4917,INDIRECT(J$2),INDIRECT(I4917),test),getMin(B4917,C4917,INDIRECT(J$2),INDIRECT(I4917),test))</f>
        <v>218.39851117079806</v>
      </c>
      <c r="E4917" s="5">
        <f ca="1">IF(getQuality(B4917)&lt;4,getOtherMax(B4917,C4917,INDIRECT(J$2),INDIRECT(I4917),test),getMax(B4917,C4917,INDIRECT(J$2),INDIRECT(I4917),test))</f>
        <v>270.43850937813136</v>
      </c>
      <c r="F4917" s="1" t="str">
        <f t="shared" si="307"/>
        <v>50</v>
      </c>
      <c r="G4917" s="1" t="str">
        <f t="shared" si="308"/>
        <v/>
      </c>
      <c r="I4917" s="1" t="str">
        <f t="shared" si="306"/>
        <v>威尔新数值1.06.xlsm!suitPower</v>
      </c>
    </row>
    <row r="4918" spans="1:9" x14ac:dyDescent="0.15">
      <c r="A4918" s="1">
        <v>4917</v>
      </c>
      <c r="B4918" s="1">
        <v>103071300</v>
      </c>
      <c r="C4918" s="1">
        <f t="shared" si="305"/>
        <v>10</v>
      </c>
      <c r="D4918" s="5">
        <f ca="1">IF(getQuality(B4918)&lt;4,getOtherMin(B4918,C4918,INDIRECT(J$2),INDIRECT(I4918),test),getMin(B4918,C4918,INDIRECT(J$2),INDIRECT(I4918),test))</f>
        <v>218.39851117079806</v>
      </c>
      <c r="E4918" s="5">
        <f ca="1">IF(getQuality(B4918)&lt;4,getOtherMax(B4918,C4918,INDIRECT(J$2),INDIRECT(I4918),test),getMax(B4918,C4918,INDIRECT(J$2),INDIRECT(I4918),test))</f>
        <v>270.43850937813136</v>
      </c>
      <c r="F4918" s="1" t="str">
        <f t="shared" si="307"/>
        <v>50</v>
      </c>
      <c r="G4918" s="1" t="str">
        <f t="shared" si="308"/>
        <v/>
      </c>
      <c r="I4918" s="1" t="str">
        <f t="shared" si="306"/>
        <v>威尔新数值1.06.xlsm!suitPower</v>
      </c>
    </row>
    <row r="4919" spans="1:9" x14ac:dyDescent="0.15">
      <c r="A4919" s="1">
        <v>4918</v>
      </c>
      <c r="B4919" s="1">
        <v>103071300</v>
      </c>
      <c r="C4919" s="1">
        <f t="shared" si="305"/>
        <v>11</v>
      </c>
      <c r="D4919" s="5">
        <f ca="1">IF(getQuality(B4919)&lt;4,getOtherMin(B4919,C4919,INDIRECT(J$2),INDIRECT(I4919),test),getMin(B4919,C4919,INDIRECT(J$2),INDIRECT(I4919),test))</f>
        <v>218.39851117079806</v>
      </c>
      <c r="E4919" s="5">
        <f ca="1">IF(getQuality(B4919)&lt;4,getOtherMax(B4919,C4919,INDIRECT(J$2),INDIRECT(I4919),test),getMax(B4919,C4919,INDIRECT(J$2),INDIRECT(I4919),test))</f>
        <v>270.43850937813136</v>
      </c>
      <c r="F4919" s="1" t="str">
        <f t="shared" si="307"/>
        <v>50</v>
      </c>
      <c r="G4919" s="1" t="str">
        <f t="shared" si="308"/>
        <v/>
      </c>
      <c r="I4919" s="1" t="str">
        <f t="shared" si="306"/>
        <v>威尔新数值1.06.xlsm!suitPower</v>
      </c>
    </row>
    <row r="4920" spans="1:9" x14ac:dyDescent="0.15">
      <c r="A4920" s="1">
        <v>4919</v>
      </c>
      <c r="B4920" s="1">
        <v>103071300</v>
      </c>
      <c r="C4920" s="1">
        <f t="shared" si="305"/>
        <v>12</v>
      </c>
      <c r="D4920" s="5">
        <f ca="1">IF(getQuality(B4920)&lt;4,getOtherMin(B4920,C4920,INDIRECT(J$2),INDIRECT(I4920),test),getMin(B4920,C4920,INDIRECT(J$2),INDIRECT(I4920),test))</f>
        <v>218.39851117079806</v>
      </c>
      <c r="E4920" s="5">
        <f ca="1">IF(getQuality(B4920)&lt;4,getOtherMax(B4920,C4920,INDIRECT(J$2),INDIRECT(I4920),test),getMax(B4920,C4920,INDIRECT(J$2),INDIRECT(I4920),test))</f>
        <v>270.43850937813136</v>
      </c>
      <c r="F4920" s="1" t="str">
        <f t="shared" si="307"/>
        <v>50</v>
      </c>
      <c r="G4920" s="1" t="str">
        <f t="shared" si="308"/>
        <v/>
      </c>
      <c r="I4920" s="1" t="str">
        <f t="shared" si="306"/>
        <v>威尔新数值1.06.xlsm!suitPower</v>
      </c>
    </row>
    <row r="4921" spans="1:9" x14ac:dyDescent="0.15">
      <c r="A4921" s="1">
        <v>4920</v>
      </c>
      <c r="B4921" s="1">
        <v>103071300</v>
      </c>
      <c r="C4921" s="1">
        <f t="shared" si="305"/>
        <v>13</v>
      </c>
      <c r="D4921" s="5">
        <f ca="1">IF(getQuality(B4921)&lt;4,getOtherMin(B4921,C4921,INDIRECT(J$2),INDIRECT(I4921),test),getMin(B4921,C4921,INDIRECT(J$2),INDIRECT(I4921),test))</f>
        <v>218.39851117079806</v>
      </c>
      <c r="E4921" s="5">
        <f ca="1">IF(getQuality(B4921)&lt;4,getOtherMax(B4921,C4921,INDIRECT(J$2),INDIRECT(I4921),test),getMax(B4921,C4921,INDIRECT(J$2),INDIRECT(I4921),test))</f>
        <v>270.43850937813136</v>
      </c>
      <c r="F4921" s="1" t="str">
        <f t="shared" si="307"/>
        <v>50</v>
      </c>
      <c r="G4921" s="1" t="str">
        <f t="shared" si="308"/>
        <v/>
      </c>
      <c r="I4921" s="1" t="str">
        <f t="shared" si="306"/>
        <v>威尔新数值1.06.xlsm!suitPower</v>
      </c>
    </row>
    <row r="4922" spans="1:9" x14ac:dyDescent="0.15">
      <c r="A4922" s="1">
        <v>4921</v>
      </c>
      <c r="B4922" s="1">
        <v>103071300</v>
      </c>
      <c r="C4922" s="1">
        <f t="shared" si="305"/>
        <v>14</v>
      </c>
      <c r="D4922" s="5">
        <f ca="1">IF(getQuality(B4922)&lt;4,getOtherMin(B4922,C4922,INDIRECT(J$2),INDIRECT(I4922),test),getMin(B4922,C4922,INDIRECT(J$2),INDIRECT(I4922),test))</f>
        <v>218.39851117079806</v>
      </c>
      <c r="E4922" s="5">
        <f ca="1">IF(getQuality(B4922)&lt;4,getOtherMax(B4922,C4922,INDIRECT(J$2),INDIRECT(I4922),test),getMax(B4922,C4922,INDIRECT(J$2),INDIRECT(I4922),test))</f>
        <v>270.43850937813136</v>
      </c>
      <c r="F4922" s="1" t="str">
        <f t="shared" si="307"/>
        <v>50</v>
      </c>
      <c r="G4922" s="1" t="str">
        <f t="shared" si="308"/>
        <v/>
      </c>
      <c r="I4922" s="1" t="str">
        <f t="shared" si="306"/>
        <v>威尔新数值1.06.xlsm!suitPower</v>
      </c>
    </row>
    <row r="4923" spans="1:9" x14ac:dyDescent="0.15">
      <c r="A4923" s="1">
        <v>4922</v>
      </c>
      <c r="B4923" s="1">
        <v>103071300</v>
      </c>
      <c r="C4923" s="1">
        <f t="shared" si="305"/>
        <v>15</v>
      </c>
      <c r="D4923" s="5">
        <f ca="1">IF(getQuality(B4923)&lt;4,getOtherMin(B4923,C4923,INDIRECT(J$2),INDIRECT(I4923),test),getMin(B4923,C4923,INDIRECT(J$2),INDIRECT(I4923),test))</f>
        <v>218.39851117079806</v>
      </c>
      <c r="E4923" s="5">
        <f ca="1">IF(getQuality(B4923)&lt;4,getOtherMax(B4923,C4923,INDIRECT(J$2),INDIRECT(I4923),test),getMax(B4923,C4923,INDIRECT(J$2),INDIRECT(I4923),test))</f>
        <v>270.43850937813136</v>
      </c>
      <c r="F4923" s="1" t="str">
        <f t="shared" si="307"/>
        <v>50</v>
      </c>
      <c r="G4923" s="1" t="str">
        <f t="shared" si="308"/>
        <v/>
      </c>
      <c r="I4923" s="1" t="str">
        <f t="shared" si="306"/>
        <v>威尔新数值1.06.xlsm!suitPower</v>
      </c>
    </row>
    <row r="4924" spans="1:9" x14ac:dyDescent="0.15">
      <c r="A4924" s="1">
        <v>4923</v>
      </c>
      <c r="B4924" s="1">
        <v>103071300</v>
      </c>
      <c r="C4924" s="1">
        <f t="shared" ref="C4924:C4987" si="309">C2449</f>
        <v>101</v>
      </c>
      <c r="D4924" s="5">
        <f ca="1">IF(getQuality(B4924)&lt;4,getOtherMin(B4924,C4924,INDIRECT(J$2),INDIRECT(I4924),test),getMin(B4924,C4924,INDIRECT(J$2),INDIRECT(I4924),test))</f>
        <v>0.13</v>
      </c>
      <c r="E4924" s="5">
        <f ca="1">IF(getQuality(B4924)&lt;4,getOtherMax(B4924,C4924,INDIRECT(J$2),INDIRECT(I4924),test),getMax(B4924,C4924,INDIRECT(J$2),INDIRECT(I4924),test))</f>
        <v>0.16</v>
      </c>
      <c r="F4924" s="1" t="str">
        <f t="shared" si="307"/>
        <v>50</v>
      </c>
      <c r="G4924" s="1" t="str">
        <f t="shared" si="308"/>
        <v/>
      </c>
      <c r="I4924" s="1" t="str">
        <f t="shared" si="306"/>
        <v>威尔新数值1.06.xlsm!circlePer</v>
      </c>
    </row>
    <row r="4925" spans="1:9" x14ac:dyDescent="0.15">
      <c r="A4925" s="1">
        <v>4924</v>
      </c>
      <c r="B4925" s="1">
        <v>103071300</v>
      </c>
      <c r="C4925" s="1">
        <f t="shared" si="309"/>
        <v>102</v>
      </c>
      <c r="D4925" s="5">
        <f ca="1">IF(getQuality(B4925)&lt;4,getOtherMin(B4925,C4925,INDIRECT(J$2),INDIRECT(I4925),test),getMin(B4925,C4925,INDIRECT(J$2),INDIRECT(I4925),test))</f>
        <v>1.2</v>
      </c>
      <c r="E4925" s="5">
        <f ca="1">IF(getQuality(B4925)&lt;4,getOtherMax(B4925,C4925,INDIRECT(J$2),INDIRECT(I4925),test),getMax(B4925,C4925,INDIRECT(J$2),INDIRECT(I4925),test))</f>
        <v>1.5</v>
      </c>
      <c r="F4925" s="1" t="str">
        <f t="shared" si="307"/>
        <v>50</v>
      </c>
      <c r="G4925" s="1" t="str">
        <f t="shared" si="308"/>
        <v/>
      </c>
      <c r="I4925" s="1" t="str">
        <f t="shared" si="306"/>
        <v>威尔新数值1.06.xlsm!circleValue</v>
      </c>
    </row>
    <row r="4926" spans="1:9" x14ac:dyDescent="0.15">
      <c r="A4926" s="1">
        <v>4925</v>
      </c>
      <c r="B4926" s="1">
        <v>103071300</v>
      </c>
      <c r="C4926" s="1">
        <f t="shared" si="309"/>
        <v>103</v>
      </c>
      <c r="D4926" s="5">
        <f ca="1">IF(getQuality(B4926)&lt;4,getOtherMin(B4926,C4926,INDIRECT(J$2),INDIRECT(I4926),test),getMin(B4926,C4926,INDIRECT(J$2),INDIRECT(I4926),test))</f>
        <v>0.13</v>
      </c>
      <c r="E4926" s="5">
        <f ca="1">IF(getQuality(B4926)&lt;4,getOtherMax(B4926,C4926,INDIRECT(J$2),INDIRECT(I4926),test),getMax(B4926,C4926,INDIRECT(J$2),INDIRECT(I4926),test))</f>
        <v>0.16</v>
      </c>
      <c r="F4926" s="1" t="str">
        <f t="shared" si="307"/>
        <v>50</v>
      </c>
      <c r="G4926" s="1" t="str">
        <f t="shared" si="308"/>
        <v/>
      </c>
      <c r="I4926" s="1" t="str">
        <f t="shared" si="306"/>
        <v>威尔新数值1.06.xlsm!otherDamage</v>
      </c>
    </row>
    <row r="4927" spans="1:9" x14ac:dyDescent="0.15">
      <c r="A4927" s="1">
        <v>4926</v>
      </c>
      <c r="B4927" s="1">
        <v>103071300</v>
      </c>
      <c r="C4927" s="1">
        <f t="shared" si="309"/>
        <v>104</v>
      </c>
      <c r="D4927" s="5">
        <f ca="1">IF(getQuality(B4927)&lt;4,getOtherMin(B4927,C4927,INDIRECT(J$2),INDIRECT(I4927),test),getMin(B4927,C4927,INDIRECT(J$2),INDIRECT(I4927),test))</f>
        <v>0.13</v>
      </c>
      <c r="E4927" s="5">
        <f ca="1">IF(getQuality(B4927)&lt;4,getOtherMax(B4927,C4927,INDIRECT(J$2),INDIRECT(I4927),test),getMax(B4927,C4927,INDIRECT(J$2),INDIRECT(I4927),test))</f>
        <v>0.26</v>
      </c>
      <c r="F4927" s="1" t="str">
        <f t="shared" si="307"/>
        <v>50</v>
      </c>
      <c r="G4927" s="1" t="str">
        <f t="shared" si="308"/>
        <v/>
      </c>
      <c r="I4927" s="1" t="str">
        <f t="shared" si="306"/>
        <v>威尔新数值1.06.xlsm!monsterDamage</v>
      </c>
    </row>
    <row r="4928" spans="1:9" x14ac:dyDescent="0.15">
      <c r="A4928" s="1">
        <v>4927</v>
      </c>
      <c r="B4928" s="1">
        <v>103071300</v>
      </c>
      <c r="C4928" s="1">
        <f t="shared" si="309"/>
        <v>105</v>
      </c>
      <c r="D4928" s="5">
        <f ca="1">IF(getQuality(B4928)&lt;4,getOtherMin(B4928,C4928,INDIRECT(J$2),INDIRECT(I4928),test),getMin(B4928,C4928,INDIRECT(J$2),INDIRECT(I4928),test))</f>
        <v>0.13</v>
      </c>
      <c r="E4928" s="5">
        <f ca="1">IF(getQuality(B4928)&lt;4,getOtherMax(B4928,C4928,INDIRECT(J$2),INDIRECT(I4928),test),getMax(B4928,C4928,INDIRECT(J$2),INDIRECT(I4928),test))</f>
        <v>0.26</v>
      </c>
      <c r="F4928" s="1" t="str">
        <f t="shared" si="307"/>
        <v>50</v>
      </c>
      <c r="G4928" s="1" t="str">
        <f t="shared" si="308"/>
        <v/>
      </c>
      <c r="I4928" s="1" t="str">
        <f t="shared" si="306"/>
        <v>威尔新数值1.06.xlsm!monsterDamage</v>
      </c>
    </row>
    <row r="4929" spans="1:9" x14ac:dyDescent="0.15">
      <c r="A4929" s="1">
        <v>4928</v>
      </c>
      <c r="B4929" s="1">
        <v>103071300</v>
      </c>
      <c r="C4929" s="1">
        <f t="shared" si="309"/>
        <v>106</v>
      </c>
      <c r="D4929" s="5">
        <f ca="1">IF(getQuality(B4929)&lt;4,getOtherMin(B4929,C4929,INDIRECT(J$2),INDIRECT(I4929),test),getMin(B4929,C4929,INDIRECT(J$2),INDIRECT(I4929),test))</f>
        <v>0.13</v>
      </c>
      <c r="E4929" s="5">
        <f ca="1">IF(getQuality(B4929)&lt;4,getOtherMax(B4929,C4929,INDIRECT(J$2),INDIRECT(I4929),test),getMax(B4929,C4929,INDIRECT(J$2),INDIRECT(I4929),test))</f>
        <v>0.26</v>
      </c>
      <c r="F4929" s="1" t="str">
        <f t="shared" si="307"/>
        <v>50</v>
      </c>
      <c r="G4929" s="1" t="str">
        <f t="shared" si="308"/>
        <v/>
      </c>
      <c r="I4929" s="1" t="str">
        <f t="shared" si="306"/>
        <v>威尔新数值1.06.xlsm!monsterDamage</v>
      </c>
    </row>
    <row r="4930" spans="1:9" x14ac:dyDescent="0.15">
      <c r="A4930" s="1">
        <v>4929</v>
      </c>
      <c r="B4930" s="1">
        <v>103071300</v>
      </c>
      <c r="C4930" s="1">
        <f t="shared" si="309"/>
        <v>107</v>
      </c>
      <c r="D4930" s="5">
        <f ca="1">IF(getQuality(B4930)&lt;4,getOtherMin(B4930,C4930,INDIRECT(J$2),INDIRECT(I4930),test),getMin(B4930,C4930,INDIRECT(J$2),INDIRECT(I4930),test))</f>
        <v>0.13</v>
      </c>
      <c r="E4930" s="5">
        <f ca="1">IF(getQuality(B4930)&lt;4,getOtherMax(B4930,C4930,INDIRECT(J$2),INDIRECT(I4930),test),getMax(B4930,C4930,INDIRECT(J$2),INDIRECT(I4930),test))</f>
        <v>0.26</v>
      </c>
      <c r="F4930" s="1" t="str">
        <f t="shared" si="307"/>
        <v>50</v>
      </c>
      <c r="G4930" s="1" t="str">
        <f t="shared" si="308"/>
        <v/>
      </c>
      <c r="I4930" s="1" t="str">
        <f t="shared" ref="I4930:I4993" si="310">IF(C4930&lt;100,VLOOKUP(C4930,test,3,FALSE),VLOOKUP(C4930,test1,3,FALSE))</f>
        <v>威尔新数值1.06.xlsm!monsterDamage</v>
      </c>
    </row>
    <row r="4931" spans="1:9" x14ac:dyDescent="0.15">
      <c r="A4931" s="1">
        <v>4930</v>
      </c>
      <c r="B4931" s="1">
        <v>103071300</v>
      </c>
      <c r="C4931" s="1">
        <f t="shared" si="309"/>
        <v>108</v>
      </c>
      <c r="D4931" s="5">
        <f ca="1">IF(getQuality(B4931)&lt;4,getOtherMin(B4931,C4931,INDIRECT(J$2),INDIRECT(I4931),test),getMin(B4931,C4931,INDIRECT(J$2),INDIRECT(I4931),test))</f>
        <v>0.13</v>
      </c>
      <c r="E4931" s="5">
        <f ca="1">IF(getQuality(B4931)&lt;4,getOtherMax(B4931,C4931,INDIRECT(J$2),INDIRECT(I4931),test),getMax(B4931,C4931,INDIRECT(J$2),INDIRECT(I4931),test))</f>
        <v>0.26</v>
      </c>
      <c r="F4931" s="1" t="str">
        <f t="shared" ref="F4931:F4994" si="311">getper(B4931,C4931)</f>
        <v>50</v>
      </c>
      <c r="G4931" s="1" t="str">
        <f t="shared" ref="G4931:G4951" si="312">getMust(B4931,C4931)</f>
        <v/>
      </c>
      <c r="I4931" s="1" t="str">
        <f t="shared" si="310"/>
        <v>威尔新数值1.06.xlsm!monsterDamage</v>
      </c>
    </row>
    <row r="4932" spans="1:9" x14ac:dyDescent="0.15">
      <c r="A4932" s="1">
        <v>4931</v>
      </c>
      <c r="B4932" s="1">
        <v>103081300</v>
      </c>
      <c r="C4932" s="1">
        <f t="shared" si="309"/>
        <v>3</v>
      </c>
      <c r="D4932" s="5">
        <f ca="1">IF(getQuality(B4932)&lt;4,getOtherMin(B4932,C4932,INDIRECT(J$2),INDIRECT(I4932),test),getMin(B4932,C4932,INDIRECT(J$2),INDIRECT(I4932),test))</f>
        <v>271.43850937813136</v>
      </c>
      <c r="E4932" s="5">
        <f ca="1">IF(getQuality(B4932)&lt;4,getOtherMax(B4932,C4932,INDIRECT(J$2),INDIRECT(I4932),test),getMax(B4932,C4932,INDIRECT(J$2),INDIRECT(I4932),test))</f>
        <v>328.28048273180752</v>
      </c>
      <c r="F4932" s="1" t="str">
        <f t="shared" si="311"/>
        <v>50</v>
      </c>
      <c r="G4932" s="1" t="str">
        <f t="shared" si="312"/>
        <v>1</v>
      </c>
      <c r="I4932" s="1" t="str">
        <f t="shared" si="310"/>
        <v>威尔新数值1.06.xlsm!suitPower</v>
      </c>
    </row>
    <row r="4933" spans="1:9" x14ac:dyDescent="0.15">
      <c r="A4933" s="1">
        <v>4932</v>
      </c>
      <c r="B4933" s="1">
        <v>103081300</v>
      </c>
      <c r="C4933" s="1">
        <f t="shared" si="309"/>
        <v>5</v>
      </c>
      <c r="D4933" s="5">
        <f ca="1">IF(getQuality(B4933)&lt;4,getOtherMin(B4933,C4933,INDIRECT(J$2),INDIRECT(I4933),test),getMin(B4933,C4933,INDIRECT(J$2),INDIRECT(I4933),test))</f>
        <v>271.43850937813136</v>
      </c>
      <c r="E4933" s="5">
        <f ca="1">IF(getQuality(B4933)&lt;4,getOtherMax(B4933,C4933,INDIRECT(J$2),INDIRECT(I4933),test),getMax(B4933,C4933,INDIRECT(J$2),INDIRECT(I4933),test))</f>
        <v>328.28048273180752</v>
      </c>
      <c r="F4933" s="1" t="str">
        <f t="shared" si="311"/>
        <v>50</v>
      </c>
      <c r="G4933" s="1" t="str">
        <f t="shared" si="312"/>
        <v/>
      </c>
      <c r="I4933" s="1" t="str">
        <f t="shared" si="310"/>
        <v>威尔新数值1.06.xlsm!suitPower</v>
      </c>
    </row>
    <row r="4934" spans="1:9" x14ac:dyDescent="0.15">
      <c r="A4934" s="1">
        <v>4933</v>
      </c>
      <c r="B4934" s="1">
        <v>103081300</v>
      </c>
      <c r="C4934" s="1">
        <f t="shared" si="309"/>
        <v>7</v>
      </c>
      <c r="D4934" s="5">
        <f ca="1">IF(getQuality(B4934)&lt;4,getOtherMin(B4934,C4934,INDIRECT(J$2),INDIRECT(I4934),test),getMin(B4934,C4934,INDIRECT(J$2),INDIRECT(I4934),test))</f>
        <v>52.85185185185172</v>
      </c>
      <c r="E4934" s="5">
        <f ca="1">IF(getQuality(B4934)&lt;4,getOtherMax(B4934,C4934,INDIRECT(J$2),INDIRECT(I4934),test),getMax(B4934,C4934,INDIRECT(J$2),INDIRECT(I4934),test))</f>
        <v>59.25925925925911</v>
      </c>
      <c r="F4934" s="1" t="str">
        <f t="shared" si="311"/>
        <v>50</v>
      </c>
      <c r="G4934" s="1" t="str">
        <f t="shared" si="312"/>
        <v/>
      </c>
      <c r="I4934" s="1" t="str">
        <f t="shared" si="310"/>
        <v>威尔新数值1.06.xlsm!suitPower</v>
      </c>
    </row>
    <row r="4935" spans="1:9" x14ac:dyDescent="0.15">
      <c r="A4935" s="1">
        <v>4934</v>
      </c>
      <c r="B4935" s="1">
        <v>103081300</v>
      </c>
      <c r="C4935" s="1">
        <f t="shared" si="309"/>
        <v>8</v>
      </c>
      <c r="D4935" s="5">
        <f ca="1">IF(getQuality(B4935)&lt;4,getOtherMin(B4935,C4935,INDIRECT(J$2),INDIRECT(I4935),test),getMin(B4935,C4935,INDIRECT(J$2),INDIRECT(I4935),test))</f>
        <v>117.66666666666667</v>
      </c>
      <c r="E4935" s="5">
        <f ca="1">IF(getQuality(B4935)&lt;4,getOtherMax(B4935,C4935,INDIRECT(J$2),INDIRECT(I4935),test),getMax(B4935,C4935,INDIRECT(J$2),INDIRECT(I4935),test))</f>
        <v>133.33333333333334</v>
      </c>
      <c r="F4935" s="1" t="str">
        <f t="shared" si="311"/>
        <v>50</v>
      </c>
      <c r="G4935" s="1" t="str">
        <f t="shared" si="312"/>
        <v/>
      </c>
      <c r="I4935" s="1" t="str">
        <f t="shared" si="310"/>
        <v>威尔新数值1.06.xlsm!suitPower</v>
      </c>
    </row>
    <row r="4936" spans="1:9" x14ac:dyDescent="0.15">
      <c r="A4936" s="1">
        <v>4935</v>
      </c>
      <c r="B4936" s="1">
        <v>103081300</v>
      </c>
      <c r="C4936" s="1">
        <f t="shared" si="309"/>
        <v>9</v>
      </c>
      <c r="D4936" s="5">
        <f ca="1">IF(getQuality(B4936)&lt;4,getOtherMin(B4936,C4936,INDIRECT(J$2),INDIRECT(I4936),test),getMin(B4936,C4936,INDIRECT(J$2),INDIRECT(I4936),test))</f>
        <v>271.43850937813136</v>
      </c>
      <c r="E4936" s="5">
        <f ca="1">IF(getQuality(B4936)&lt;4,getOtherMax(B4936,C4936,INDIRECT(J$2),INDIRECT(I4936),test),getMax(B4936,C4936,INDIRECT(J$2),INDIRECT(I4936),test))</f>
        <v>328.28048273180752</v>
      </c>
      <c r="F4936" s="1" t="str">
        <f t="shared" si="311"/>
        <v>50</v>
      </c>
      <c r="G4936" s="1" t="str">
        <f t="shared" si="312"/>
        <v/>
      </c>
      <c r="I4936" s="1" t="str">
        <f t="shared" si="310"/>
        <v>威尔新数值1.06.xlsm!suitPower</v>
      </c>
    </row>
    <row r="4937" spans="1:9" x14ac:dyDescent="0.15">
      <c r="A4937" s="1">
        <v>4936</v>
      </c>
      <c r="B4937" s="1">
        <v>103081300</v>
      </c>
      <c r="C4937" s="1">
        <f t="shared" si="309"/>
        <v>10</v>
      </c>
      <c r="D4937" s="5">
        <f ca="1">IF(getQuality(B4937)&lt;4,getOtherMin(B4937,C4937,INDIRECT(J$2),INDIRECT(I4937),test),getMin(B4937,C4937,INDIRECT(J$2),INDIRECT(I4937),test))</f>
        <v>271.43850937813136</v>
      </c>
      <c r="E4937" s="5">
        <f ca="1">IF(getQuality(B4937)&lt;4,getOtherMax(B4937,C4937,INDIRECT(J$2),INDIRECT(I4937),test),getMax(B4937,C4937,INDIRECT(J$2),INDIRECT(I4937),test))</f>
        <v>328.28048273180752</v>
      </c>
      <c r="F4937" s="1" t="str">
        <f t="shared" si="311"/>
        <v>50</v>
      </c>
      <c r="G4937" s="1" t="str">
        <f t="shared" si="312"/>
        <v/>
      </c>
      <c r="I4937" s="1" t="str">
        <f t="shared" si="310"/>
        <v>威尔新数值1.06.xlsm!suitPower</v>
      </c>
    </row>
    <row r="4938" spans="1:9" x14ac:dyDescent="0.15">
      <c r="A4938" s="1">
        <v>4937</v>
      </c>
      <c r="B4938" s="1">
        <v>103081300</v>
      </c>
      <c r="C4938" s="1">
        <f t="shared" si="309"/>
        <v>11</v>
      </c>
      <c r="D4938" s="5">
        <f ca="1">IF(getQuality(B4938)&lt;4,getOtherMin(B4938,C4938,INDIRECT(J$2),INDIRECT(I4938),test),getMin(B4938,C4938,INDIRECT(J$2),INDIRECT(I4938),test))</f>
        <v>271.43850937813136</v>
      </c>
      <c r="E4938" s="5">
        <f ca="1">IF(getQuality(B4938)&lt;4,getOtherMax(B4938,C4938,INDIRECT(J$2),INDIRECT(I4938),test),getMax(B4938,C4938,INDIRECT(J$2),INDIRECT(I4938),test))</f>
        <v>328.28048273180752</v>
      </c>
      <c r="F4938" s="1" t="str">
        <f t="shared" si="311"/>
        <v>50</v>
      </c>
      <c r="G4938" s="1" t="str">
        <f t="shared" si="312"/>
        <v/>
      </c>
      <c r="I4938" s="1" t="str">
        <f t="shared" si="310"/>
        <v>威尔新数值1.06.xlsm!suitPower</v>
      </c>
    </row>
    <row r="4939" spans="1:9" x14ac:dyDescent="0.15">
      <c r="A4939" s="1">
        <v>4938</v>
      </c>
      <c r="B4939" s="1">
        <v>103081300</v>
      </c>
      <c r="C4939" s="1">
        <f t="shared" si="309"/>
        <v>12</v>
      </c>
      <c r="D4939" s="5">
        <f ca="1">IF(getQuality(B4939)&lt;4,getOtherMin(B4939,C4939,INDIRECT(J$2),INDIRECT(I4939),test),getMin(B4939,C4939,INDIRECT(J$2),INDIRECT(I4939),test))</f>
        <v>271.43850937813136</v>
      </c>
      <c r="E4939" s="5">
        <f ca="1">IF(getQuality(B4939)&lt;4,getOtherMax(B4939,C4939,INDIRECT(J$2),INDIRECT(I4939),test),getMax(B4939,C4939,INDIRECT(J$2),INDIRECT(I4939),test))</f>
        <v>328.28048273180752</v>
      </c>
      <c r="F4939" s="1" t="str">
        <f t="shared" si="311"/>
        <v>50</v>
      </c>
      <c r="G4939" s="1" t="str">
        <f t="shared" si="312"/>
        <v/>
      </c>
      <c r="I4939" s="1" t="str">
        <f t="shared" si="310"/>
        <v>威尔新数值1.06.xlsm!suitPower</v>
      </c>
    </row>
    <row r="4940" spans="1:9" x14ac:dyDescent="0.15">
      <c r="A4940" s="1">
        <v>4939</v>
      </c>
      <c r="B4940" s="1">
        <v>103081300</v>
      </c>
      <c r="C4940" s="1">
        <f t="shared" si="309"/>
        <v>13</v>
      </c>
      <c r="D4940" s="5">
        <f ca="1">IF(getQuality(B4940)&lt;4,getOtherMin(B4940,C4940,INDIRECT(J$2),INDIRECT(I4940),test),getMin(B4940,C4940,INDIRECT(J$2),INDIRECT(I4940),test))</f>
        <v>271.43850937813136</v>
      </c>
      <c r="E4940" s="5">
        <f ca="1">IF(getQuality(B4940)&lt;4,getOtherMax(B4940,C4940,INDIRECT(J$2),INDIRECT(I4940),test),getMax(B4940,C4940,INDIRECT(J$2),INDIRECT(I4940),test))</f>
        <v>328.28048273180752</v>
      </c>
      <c r="F4940" s="1" t="str">
        <f t="shared" si="311"/>
        <v>50</v>
      </c>
      <c r="G4940" s="1" t="str">
        <f t="shared" si="312"/>
        <v/>
      </c>
      <c r="I4940" s="1" t="str">
        <f t="shared" si="310"/>
        <v>威尔新数值1.06.xlsm!suitPower</v>
      </c>
    </row>
    <row r="4941" spans="1:9" x14ac:dyDescent="0.15">
      <c r="A4941" s="1">
        <v>4940</v>
      </c>
      <c r="B4941" s="1">
        <v>103081300</v>
      </c>
      <c r="C4941" s="1">
        <f t="shared" si="309"/>
        <v>14</v>
      </c>
      <c r="D4941" s="5">
        <f ca="1">IF(getQuality(B4941)&lt;4,getOtherMin(B4941,C4941,INDIRECT(J$2),INDIRECT(I4941),test),getMin(B4941,C4941,INDIRECT(J$2),INDIRECT(I4941),test))</f>
        <v>271.43850937813136</v>
      </c>
      <c r="E4941" s="5">
        <f ca="1">IF(getQuality(B4941)&lt;4,getOtherMax(B4941,C4941,INDIRECT(J$2),INDIRECT(I4941),test),getMax(B4941,C4941,INDIRECT(J$2),INDIRECT(I4941),test))</f>
        <v>328.28048273180752</v>
      </c>
      <c r="F4941" s="1" t="str">
        <f t="shared" si="311"/>
        <v>50</v>
      </c>
      <c r="G4941" s="1" t="str">
        <f t="shared" si="312"/>
        <v/>
      </c>
      <c r="I4941" s="1" t="str">
        <f t="shared" si="310"/>
        <v>威尔新数值1.06.xlsm!suitPower</v>
      </c>
    </row>
    <row r="4942" spans="1:9" x14ac:dyDescent="0.15">
      <c r="A4942" s="1">
        <v>4941</v>
      </c>
      <c r="B4942" s="1">
        <v>103081300</v>
      </c>
      <c r="C4942" s="1">
        <f t="shared" si="309"/>
        <v>15</v>
      </c>
      <c r="D4942" s="5">
        <f ca="1">IF(getQuality(B4942)&lt;4,getOtherMin(B4942,C4942,INDIRECT(J$2),INDIRECT(I4942),test),getMin(B4942,C4942,INDIRECT(J$2),INDIRECT(I4942),test))</f>
        <v>271.43850937813136</v>
      </c>
      <c r="E4942" s="5">
        <f ca="1">IF(getQuality(B4942)&lt;4,getOtherMax(B4942,C4942,INDIRECT(J$2),INDIRECT(I4942),test),getMax(B4942,C4942,INDIRECT(J$2),INDIRECT(I4942),test))</f>
        <v>328.28048273180752</v>
      </c>
      <c r="F4942" s="1" t="str">
        <f t="shared" si="311"/>
        <v>50</v>
      </c>
      <c r="G4942" s="1" t="str">
        <f t="shared" si="312"/>
        <v/>
      </c>
      <c r="I4942" s="1" t="str">
        <f t="shared" si="310"/>
        <v>威尔新数值1.06.xlsm!suitPower</v>
      </c>
    </row>
    <row r="4943" spans="1:9" x14ac:dyDescent="0.15">
      <c r="A4943" s="1">
        <v>4942</v>
      </c>
      <c r="B4943" s="1">
        <v>103081300</v>
      </c>
      <c r="C4943" s="1">
        <f t="shared" si="309"/>
        <v>101</v>
      </c>
      <c r="D4943" s="5">
        <f ca="1">IF(getQuality(B4943)&lt;4,getOtherMin(B4943,C4943,INDIRECT(J$2),INDIRECT(I4943),test),getMin(B4943,C4943,INDIRECT(J$2),INDIRECT(I4943),test))</f>
        <v>0.14000000000000001</v>
      </c>
      <c r="E4943" s="5">
        <f ca="1">IF(getQuality(B4943)&lt;4,getOtherMax(B4943,C4943,INDIRECT(J$2),INDIRECT(I4943),test),getMax(B4943,C4943,INDIRECT(J$2),INDIRECT(I4943),test))</f>
        <v>0.17</v>
      </c>
      <c r="F4943" s="1" t="str">
        <f t="shared" si="311"/>
        <v>50</v>
      </c>
      <c r="G4943" s="1" t="str">
        <f t="shared" si="312"/>
        <v/>
      </c>
      <c r="I4943" s="1" t="str">
        <f t="shared" si="310"/>
        <v>威尔新数值1.06.xlsm!circlePer</v>
      </c>
    </row>
    <row r="4944" spans="1:9" x14ac:dyDescent="0.15">
      <c r="A4944" s="1">
        <v>4943</v>
      </c>
      <c r="B4944" s="1">
        <v>103081300</v>
      </c>
      <c r="C4944" s="1">
        <f t="shared" si="309"/>
        <v>102</v>
      </c>
      <c r="D4944" s="5">
        <f ca="1">IF(getQuality(B4944)&lt;4,getOtherMin(B4944,C4944,INDIRECT(J$2),INDIRECT(I4944),test),getMin(B4944,C4944,INDIRECT(J$2),INDIRECT(I4944),test))</f>
        <v>1.3</v>
      </c>
      <c r="E4944" s="5">
        <f ca="1">IF(getQuality(B4944)&lt;4,getOtherMax(B4944,C4944,INDIRECT(J$2),INDIRECT(I4944),test),getMax(B4944,C4944,INDIRECT(J$2),INDIRECT(I4944),test))</f>
        <v>1.6</v>
      </c>
      <c r="F4944" s="1" t="str">
        <f t="shared" si="311"/>
        <v>50</v>
      </c>
      <c r="G4944" s="1" t="str">
        <f t="shared" si="312"/>
        <v/>
      </c>
      <c r="I4944" s="1" t="str">
        <f t="shared" si="310"/>
        <v>威尔新数值1.06.xlsm!circleValue</v>
      </c>
    </row>
    <row r="4945" spans="1:9" x14ac:dyDescent="0.15">
      <c r="A4945" s="1">
        <v>4944</v>
      </c>
      <c r="B4945" s="1">
        <v>103081300</v>
      </c>
      <c r="C4945" s="1">
        <f t="shared" si="309"/>
        <v>103</v>
      </c>
      <c r="D4945" s="5">
        <f ca="1">IF(getQuality(B4945)&lt;4,getOtherMin(B4945,C4945,INDIRECT(J$2),INDIRECT(I4945),test),getMin(B4945,C4945,INDIRECT(J$2),INDIRECT(I4945),test))</f>
        <v>0.14000000000000001</v>
      </c>
      <c r="E4945" s="5">
        <f ca="1">IF(getQuality(B4945)&lt;4,getOtherMax(B4945,C4945,INDIRECT(J$2),INDIRECT(I4945),test),getMax(B4945,C4945,INDIRECT(J$2),INDIRECT(I4945),test))</f>
        <v>0.17</v>
      </c>
      <c r="F4945" s="1" t="str">
        <f t="shared" si="311"/>
        <v>50</v>
      </c>
      <c r="G4945" s="1" t="str">
        <f t="shared" si="312"/>
        <v/>
      </c>
      <c r="I4945" s="1" t="str">
        <f t="shared" si="310"/>
        <v>威尔新数值1.06.xlsm!otherDamage</v>
      </c>
    </row>
    <row r="4946" spans="1:9" x14ac:dyDescent="0.15">
      <c r="A4946" s="1">
        <v>4945</v>
      </c>
      <c r="B4946" s="1">
        <v>103081300</v>
      </c>
      <c r="C4946" s="1">
        <f t="shared" si="309"/>
        <v>104</v>
      </c>
      <c r="D4946" s="5">
        <f ca="1">IF(getQuality(B4946)&lt;4,getOtherMin(B4946,C4946,INDIRECT(J$2),INDIRECT(I4946),test),getMin(B4946,C4946,INDIRECT(J$2),INDIRECT(I4946),test))</f>
        <v>0.14000000000000001</v>
      </c>
      <c r="E4946" s="5">
        <f ca="1">IF(getQuality(B4946)&lt;4,getOtherMax(B4946,C4946,INDIRECT(J$2),INDIRECT(I4946),test),getMax(B4946,C4946,INDIRECT(J$2),INDIRECT(I4946),test))</f>
        <v>0.28000000000000003</v>
      </c>
      <c r="F4946" s="1" t="str">
        <f t="shared" si="311"/>
        <v>50</v>
      </c>
      <c r="G4946" s="1" t="str">
        <f t="shared" si="312"/>
        <v/>
      </c>
      <c r="I4946" s="1" t="str">
        <f t="shared" si="310"/>
        <v>威尔新数值1.06.xlsm!monsterDamage</v>
      </c>
    </row>
    <row r="4947" spans="1:9" x14ac:dyDescent="0.15">
      <c r="A4947" s="1">
        <v>4946</v>
      </c>
      <c r="B4947" s="1">
        <v>103081300</v>
      </c>
      <c r="C4947" s="1">
        <f t="shared" si="309"/>
        <v>105</v>
      </c>
      <c r="D4947" s="5">
        <f ca="1">IF(getQuality(B4947)&lt;4,getOtherMin(B4947,C4947,INDIRECT(J$2),INDIRECT(I4947),test),getMin(B4947,C4947,INDIRECT(J$2),INDIRECT(I4947),test))</f>
        <v>0.14000000000000001</v>
      </c>
      <c r="E4947" s="5">
        <f ca="1">IF(getQuality(B4947)&lt;4,getOtherMax(B4947,C4947,INDIRECT(J$2),INDIRECT(I4947),test),getMax(B4947,C4947,INDIRECT(J$2),INDIRECT(I4947),test))</f>
        <v>0.28000000000000003</v>
      </c>
      <c r="F4947" s="1" t="str">
        <f t="shared" si="311"/>
        <v>50</v>
      </c>
      <c r="G4947" s="1" t="str">
        <f t="shared" si="312"/>
        <v/>
      </c>
      <c r="I4947" s="1" t="str">
        <f t="shared" si="310"/>
        <v>威尔新数值1.06.xlsm!monsterDamage</v>
      </c>
    </row>
    <row r="4948" spans="1:9" x14ac:dyDescent="0.15">
      <c r="A4948" s="1">
        <v>4947</v>
      </c>
      <c r="B4948" s="1">
        <v>103081300</v>
      </c>
      <c r="C4948" s="1">
        <f t="shared" si="309"/>
        <v>106</v>
      </c>
      <c r="D4948" s="5">
        <f ca="1">IF(getQuality(B4948)&lt;4,getOtherMin(B4948,C4948,INDIRECT(J$2),INDIRECT(I4948),test),getMin(B4948,C4948,INDIRECT(J$2),INDIRECT(I4948),test))</f>
        <v>0.14000000000000001</v>
      </c>
      <c r="E4948" s="5">
        <f ca="1">IF(getQuality(B4948)&lt;4,getOtherMax(B4948,C4948,INDIRECT(J$2),INDIRECT(I4948),test),getMax(B4948,C4948,INDIRECT(J$2),INDIRECT(I4948),test))</f>
        <v>0.28000000000000003</v>
      </c>
      <c r="F4948" s="1" t="str">
        <f t="shared" si="311"/>
        <v>50</v>
      </c>
      <c r="G4948" s="1" t="str">
        <f t="shared" si="312"/>
        <v/>
      </c>
      <c r="I4948" s="1" t="str">
        <f t="shared" si="310"/>
        <v>威尔新数值1.06.xlsm!monsterDamage</v>
      </c>
    </row>
    <row r="4949" spans="1:9" x14ac:dyDescent="0.15">
      <c r="A4949" s="1">
        <v>4948</v>
      </c>
      <c r="B4949" s="1">
        <v>103081300</v>
      </c>
      <c r="C4949" s="1">
        <f t="shared" si="309"/>
        <v>107</v>
      </c>
      <c r="D4949" s="5">
        <f ca="1">IF(getQuality(B4949)&lt;4,getOtherMin(B4949,C4949,INDIRECT(J$2),INDIRECT(I4949),test),getMin(B4949,C4949,INDIRECT(J$2),INDIRECT(I4949),test))</f>
        <v>0.14000000000000001</v>
      </c>
      <c r="E4949" s="5">
        <f ca="1">IF(getQuality(B4949)&lt;4,getOtherMax(B4949,C4949,INDIRECT(J$2),INDIRECT(I4949),test),getMax(B4949,C4949,INDIRECT(J$2),INDIRECT(I4949),test))</f>
        <v>0.28000000000000003</v>
      </c>
      <c r="F4949" s="1" t="str">
        <f t="shared" si="311"/>
        <v>50</v>
      </c>
      <c r="G4949" s="1" t="str">
        <f t="shared" si="312"/>
        <v/>
      </c>
      <c r="I4949" s="1" t="str">
        <f t="shared" si="310"/>
        <v>威尔新数值1.06.xlsm!monsterDamage</v>
      </c>
    </row>
    <row r="4950" spans="1:9" x14ac:dyDescent="0.15">
      <c r="A4950" s="1">
        <v>4949</v>
      </c>
      <c r="B4950" s="1">
        <v>103081300</v>
      </c>
      <c r="C4950" s="1">
        <f t="shared" si="309"/>
        <v>108</v>
      </c>
      <c r="D4950" s="5">
        <f ca="1">IF(getQuality(B4950)&lt;4,getOtherMin(B4950,C4950,INDIRECT(J$2),INDIRECT(I4950),test),getMin(B4950,C4950,INDIRECT(J$2),INDIRECT(I4950),test))</f>
        <v>0.14000000000000001</v>
      </c>
      <c r="E4950" s="5">
        <f ca="1">IF(getQuality(B4950)&lt;4,getOtherMax(B4950,C4950,INDIRECT(J$2),INDIRECT(I4950),test),getMax(B4950,C4950,INDIRECT(J$2),INDIRECT(I4950),test))</f>
        <v>0.28000000000000003</v>
      </c>
      <c r="F4950" s="1" t="str">
        <f t="shared" si="311"/>
        <v>50</v>
      </c>
      <c r="G4950" s="1" t="str">
        <f t="shared" si="312"/>
        <v/>
      </c>
      <c r="I4950" s="1" t="str">
        <f t="shared" si="310"/>
        <v>威尔新数值1.06.xlsm!monsterDamage</v>
      </c>
    </row>
    <row r="4951" spans="1:9" x14ac:dyDescent="0.15">
      <c r="A4951" s="1">
        <v>4950</v>
      </c>
      <c r="B4951" s="1">
        <v>103091300</v>
      </c>
      <c r="C4951" s="1">
        <f t="shared" si="309"/>
        <v>3</v>
      </c>
      <c r="D4951" s="5">
        <f ca="1">IF(getQuality(B4951)&lt;4,getOtherMin(B4951,C4951,INDIRECT(J$2),INDIRECT(I4951),test),getMin(B4951,C4951,INDIRECT(J$2),INDIRECT(I4951),test))</f>
        <v>329.28048273180752</v>
      </c>
      <c r="E4951" s="5">
        <f ca="1">IF(getQuality(B4951)&lt;4,getOtherMax(B4951,C4951,INDIRECT(J$2),INDIRECT(I4951),test),getMax(B4951,C4951,INDIRECT(J$2),INDIRECT(I4951),test))</f>
        <v>390.92443123182665</v>
      </c>
      <c r="F4951" s="1" t="str">
        <f t="shared" si="311"/>
        <v>50</v>
      </c>
      <c r="G4951" s="1" t="str">
        <f t="shared" si="312"/>
        <v>1</v>
      </c>
      <c r="I4951" s="1" t="str">
        <f t="shared" si="310"/>
        <v>威尔新数值1.06.xlsm!suitPower</v>
      </c>
    </row>
    <row r="4952" spans="1:9" x14ac:dyDescent="0.15">
      <c r="A4952" s="1">
        <v>4951</v>
      </c>
      <c r="B4952" s="1">
        <v>103091300</v>
      </c>
      <c r="C4952" s="1">
        <f t="shared" si="309"/>
        <v>5</v>
      </c>
      <c r="D4952" s="5">
        <f ca="1">IF(getQuality(B4952)&lt;4,getOtherMin(B4952,C4952,INDIRECT(J$2),INDIRECT(I4952),test),getMin(B4952,C4952,INDIRECT(J$2),INDIRECT(I4952),test))</f>
        <v>329.28048273180752</v>
      </c>
      <c r="E4952" s="5">
        <f ca="1">IF(getQuality(B4952)&lt;4,getOtherMax(B4952,C4952,INDIRECT(J$2),INDIRECT(I4952),test),getMax(B4952,C4952,INDIRECT(J$2),INDIRECT(I4952),test))</f>
        <v>390.92443123182665</v>
      </c>
      <c r="F4952" s="1" t="str">
        <f t="shared" si="311"/>
        <v>50</v>
      </c>
      <c r="G4952" s="1" t="str">
        <f>getMust(B4952,C4952)</f>
        <v/>
      </c>
      <c r="I4952" s="1" t="str">
        <f t="shared" si="310"/>
        <v>威尔新数值1.06.xlsm!suitPower</v>
      </c>
    </row>
    <row r="4953" spans="1:9" x14ac:dyDescent="0.15">
      <c r="A4953" s="1">
        <v>4952</v>
      </c>
      <c r="B4953" s="1">
        <v>103091300</v>
      </c>
      <c r="C4953" s="1">
        <f t="shared" si="309"/>
        <v>7</v>
      </c>
      <c r="D4953" s="5">
        <f ca="1">IF(getQuality(B4953)&lt;4,getOtherMin(B4953,C4953,INDIRECT(J$2),INDIRECT(I4953),test),getMin(B4953,C4953,INDIRECT(J$2),INDIRECT(I4953),test))</f>
        <v>60.25925925925911</v>
      </c>
      <c r="E4953" s="5">
        <f ca="1">IF(getQuality(B4953)&lt;4,getOtherMax(B4953,C4953,INDIRECT(J$2),INDIRECT(I4953),test),getMax(B4953,C4953,INDIRECT(J$2),INDIRECT(I4953),test))</f>
        <v>66.666666666666501</v>
      </c>
      <c r="F4953" s="1" t="str">
        <f t="shared" si="311"/>
        <v>50</v>
      </c>
      <c r="G4953" s="1" t="str">
        <f t="shared" ref="G4953:G5016" si="313">getMust(B4953,C4953)</f>
        <v/>
      </c>
      <c r="I4953" s="1" t="str">
        <f t="shared" si="310"/>
        <v>威尔新数值1.06.xlsm!suitPower</v>
      </c>
    </row>
    <row r="4954" spans="1:9" x14ac:dyDescent="0.15">
      <c r="A4954" s="1">
        <v>4953</v>
      </c>
      <c r="B4954" s="1">
        <v>103091300</v>
      </c>
      <c r="C4954" s="1">
        <f t="shared" si="309"/>
        <v>8</v>
      </c>
      <c r="D4954" s="5">
        <f ca="1">IF(getQuality(B4954)&lt;4,getOtherMin(B4954,C4954,INDIRECT(J$2),INDIRECT(I4954),test),getMin(B4954,C4954,INDIRECT(J$2),INDIRECT(I4954),test))</f>
        <v>134.33333333333334</v>
      </c>
      <c r="E4954" s="5">
        <f ca="1">IF(getQuality(B4954)&lt;4,getOtherMax(B4954,C4954,INDIRECT(J$2),INDIRECT(I4954),test),getMax(B4954,C4954,INDIRECT(J$2),INDIRECT(I4954),test))</f>
        <v>150</v>
      </c>
      <c r="F4954" s="1" t="str">
        <f t="shared" si="311"/>
        <v>50</v>
      </c>
      <c r="G4954" s="1" t="str">
        <f t="shared" si="313"/>
        <v/>
      </c>
      <c r="I4954" s="1" t="str">
        <f t="shared" si="310"/>
        <v>威尔新数值1.06.xlsm!suitPower</v>
      </c>
    </row>
    <row r="4955" spans="1:9" x14ac:dyDescent="0.15">
      <c r="A4955" s="1">
        <v>4954</v>
      </c>
      <c r="B4955" s="1">
        <v>103091300</v>
      </c>
      <c r="C4955" s="1">
        <f t="shared" si="309"/>
        <v>9</v>
      </c>
      <c r="D4955" s="5">
        <f ca="1">IF(getQuality(B4955)&lt;4,getOtherMin(B4955,C4955,INDIRECT(J$2),INDIRECT(I4955),test),getMin(B4955,C4955,INDIRECT(J$2),INDIRECT(I4955),test))</f>
        <v>329.28048273180752</v>
      </c>
      <c r="E4955" s="5">
        <f ca="1">IF(getQuality(B4955)&lt;4,getOtherMax(B4955,C4955,INDIRECT(J$2),INDIRECT(I4955),test),getMax(B4955,C4955,INDIRECT(J$2),INDIRECT(I4955),test))</f>
        <v>390.92443123182665</v>
      </c>
      <c r="F4955" s="1" t="str">
        <f t="shared" si="311"/>
        <v>50</v>
      </c>
      <c r="G4955" s="1" t="str">
        <f t="shared" si="313"/>
        <v/>
      </c>
      <c r="I4955" s="1" t="str">
        <f t="shared" si="310"/>
        <v>威尔新数值1.06.xlsm!suitPower</v>
      </c>
    </row>
    <row r="4956" spans="1:9" x14ac:dyDescent="0.15">
      <c r="A4956" s="1">
        <v>4955</v>
      </c>
      <c r="B4956" s="1">
        <v>103091300</v>
      </c>
      <c r="C4956" s="1">
        <f t="shared" si="309"/>
        <v>10</v>
      </c>
      <c r="D4956" s="5">
        <f ca="1">IF(getQuality(B4956)&lt;4,getOtherMin(B4956,C4956,INDIRECT(J$2),INDIRECT(I4956),test),getMin(B4956,C4956,INDIRECT(J$2),INDIRECT(I4956),test))</f>
        <v>329.28048273180752</v>
      </c>
      <c r="E4956" s="5">
        <f ca="1">IF(getQuality(B4956)&lt;4,getOtherMax(B4956,C4956,INDIRECT(J$2),INDIRECT(I4956),test),getMax(B4956,C4956,INDIRECT(J$2),INDIRECT(I4956),test))</f>
        <v>390.92443123182665</v>
      </c>
      <c r="F4956" s="1" t="str">
        <f t="shared" si="311"/>
        <v>50</v>
      </c>
      <c r="G4956" s="1" t="str">
        <f t="shared" si="313"/>
        <v/>
      </c>
      <c r="I4956" s="1" t="str">
        <f t="shared" si="310"/>
        <v>威尔新数值1.06.xlsm!suitPower</v>
      </c>
    </row>
    <row r="4957" spans="1:9" x14ac:dyDescent="0.15">
      <c r="A4957" s="1">
        <v>4956</v>
      </c>
      <c r="B4957" s="1">
        <v>103091300</v>
      </c>
      <c r="C4957" s="1">
        <f t="shared" si="309"/>
        <v>11</v>
      </c>
      <c r="D4957" s="5">
        <f ca="1">IF(getQuality(B4957)&lt;4,getOtherMin(B4957,C4957,INDIRECT(J$2),INDIRECT(I4957),test),getMin(B4957,C4957,INDIRECT(J$2),INDIRECT(I4957),test))</f>
        <v>329.28048273180752</v>
      </c>
      <c r="E4957" s="5">
        <f ca="1">IF(getQuality(B4957)&lt;4,getOtherMax(B4957,C4957,INDIRECT(J$2),INDIRECT(I4957),test),getMax(B4957,C4957,INDIRECT(J$2),INDIRECT(I4957),test))</f>
        <v>390.92443123182665</v>
      </c>
      <c r="F4957" s="1" t="str">
        <f t="shared" si="311"/>
        <v>50</v>
      </c>
      <c r="G4957" s="1" t="str">
        <f t="shared" si="313"/>
        <v/>
      </c>
      <c r="I4957" s="1" t="str">
        <f t="shared" si="310"/>
        <v>威尔新数值1.06.xlsm!suitPower</v>
      </c>
    </row>
    <row r="4958" spans="1:9" x14ac:dyDescent="0.15">
      <c r="A4958" s="1">
        <v>4957</v>
      </c>
      <c r="B4958" s="1">
        <v>103091300</v>
      </c>
      <c r="C4958" s="1">
        <f t="shared" si="309"/>
        <v>12</v>
      </c>
      <c r="D4958" s="5">
        <f ca="1">IF(getQuality(B4958)&lt;4,getOtherMin(B4958,C4958,INDIRECT(J$2),INDIRECT(I4958),test),getMin(B4958,C4958,INDIRECT(J$2),INDIRECT(I4958),test))</f>
        <v>329.28048273180752</v>
      </c>
      <c r="E4958" s="5">
        <f ca="1">IF(getQuality(B4958)&lt;4,getOtherMax(B4958,C4958,INDIRECT(J$2),INDIRECT(I4958),test),getMax(B4958,C4958,INDIRECT(J$2),INDIRECT(I4958),test))</f>
        <v>390.92443123182665</v>
      </c>
      <c r="F4958" s="1" t="str">
        <f t="shared" si="311"/>
        <v>50</v>
      </c>
      <c r="G4958" s="1" t="str">
        <f t="shared" si="313"/>
        <v/>
      </c>
      <c r="I4958" s="1" t="str">
        <f t="shared" si="310"/>
        <v>威尔新数值1.06.xlsm!suitPower</v>
      </c>
    </row>
    <row r="4959" spans="1:9" x14ac:dyDescent="0.15">
      <c r="A4959" s="1">
        <v>4958</v>
      </c>
      <c r="B4959" s="1">
        <v>103091300</v>
      </c>
      <c r="C4959" s="1">
        <f t="shared" si="309"/>
        <v>13</v>
      </c>
      <c r="D4959" s="5">
        <f ca="1">IF(getQuality(B4959)&lt;4,getOtherMin(B4959,C4959,INDIRECT(J$2),INDIRECT(I4959),test),getMin(B4959,C4959,INDIRECT(J$2),INDIRECT(I4959),test))</f>
        <v>329.28048273180752</v>
      </c>
      <c r="E4959" s="5">
        <f ca="1">IF(getQuality(B4959)&lt;4,getOtherMax(B4959,C4959,INDIRECT(J$2),INDIRECT(I4959),test),getMax(B4959,C4959,INDIRECT(J$2),INDIRECT(I4959),test))</f>
        <v>390.92443123182665</v>
      </c>
      <c r="F4959" s="1" t="str">
        <f t="shared" si="311"/>
        <v>50</v>
      </c>
      <c r="G4959" s="1" t="str">
        <f t="shared" si="313"/>
        <v/>
      </c>
      <c r="I4959" s="1" t="str">
        <f t="shared" si="310"/>
        <v>威尔新数值1.06.xlsm!suitPower</v>
      </c>
    </row>
    <row r="4960" spans="1:9" x14ac:dyDescent="0.15">
      <c r="A4960" s="1">
        <v>4959</v>
      </c>
      <c r="B4960" s="1">
        <v>103091300</v>
      </c>
      <c r="C4960" s="1">
        <f t="shared" si="309"/>
        <v>14</v>
      </c>
      <c r="D4960" s="5">
        <f ca="1">IF(getQuality(B4960)&lt;4,getOtherMin(B4960,C4960,INDIRECT(J$2),INDIRECT(I4960),test),getMin(B4960,C4960,INDIRECT(J$2),INDIRECT(I4960),test))</f>
        <v>329.28048273180752</v>
      </c>
      <c r="E4960" s="5">
        <f ca="1">IF(getQuality(B4960)&lt;4,getOtherMax(B4960,C4960,INDIRECT(J$2),INDIRECT(I4960),test),getMax(B4960,C4960,INDIRECT(J$2),INDIRECT(I4960),test))</f>
        <v>390.92443123182665</v>
      </c>
      <c r="F4960" s="1" t="str">
        <f t="shared" si="311"/>
        <v>50</v>
      </c>
      <c r="G4960" s="1" t="str">
        <f t="shared" si="313"/>
        <v/>
      </c>
      <c r="I4960" s="1" t="str">
        <f t="shared" si="310"/>
        <v>威尔新数值1.06.xlsm!suitPower</v>
      </c>
    </row>
    <row r="4961" spans="1:9" x14ac:dyDescent="0.15">
      <c r="A4961" s="1">
        <v>4960</v>
      </c>
      <c r="B4961" s="1">
        <v>103091300</v>
      </c>
      <c r="C4961" s="1">
        <f t="shared" si="309"/>
        <v>15</v>
      </c>
      <c r="D4961" s="5">
        <f ca="1">IF(getQuality(B4961)&lt;4,getOtherMin(B4961,C4961,INDIRECT(J$2),INDIRECT(I4961),test),getMin(B4961,C4961,INDIRECT(J$2),INDIRECT(I4961),test))</f>
        <v>329.28048273180752</v>
      </c>
      <c r="E4961" s="5">
        <f ca="1">IF(getQuality(B4961)&lt;4,getOtherMax(B4961,C4961,INDIRECT(J$2),INDIRECT(I4961),test),getMax(B4961,C4961,INDIRECT(J$2),INDIRECT(I4961),test))</f>
        <v>390.92443123182665</v>
      </c>
      <c r="F4961" s="1" t="str">
        <f t="shared" si="311"/>
        <v>50</v>
      </c>
      <c r="G4961" s="1" t="str">
        <f t="shared" si="313"/>
        <v/>
      </c>
      <c r="I4961" s="1" t="str">
        <f t="shared" si="310"/>
        <v>威尔新数值1.06.xlsm!suitPower</v>
      </c>
    </row>
    <row r="4962" spans="1:9" x14ac:dyDescent="0.15">
      <c r="A4962" s="1">
        <v>4961</v>
      </c>
      <c r="B4962" s="1">
        <v>103091300</v>
      </c>
      <c r="C4962" s="1">
        <f t="shared" si="309"/>
        <v>101</v>
      </c>
      <c r="D4962" s="5">
        <f ca="1">IF(getQuality(B4962)&lt;4,getOtherMin(B4962,C4962,INDIRECT(J$2),INDIRECT(I4962),test),getMin(B4962,C4962,INDIRECT(J$2),INDIRECT(I4962),test))</f>
        <v>0.15</v>
      </c>
      <c r="E4962" s="5">
        <f ca="1">IF(getQuality(B4962)&lt;4,getOtherMax(B4962,C4962,INDIRECT(J$2),INDIRECT(I4962),test),getMax(B4962,C4962,INDIRECT(J$2),INDIRECT(I4962),test))</f>
        <v>0.18</v>
      </c>
      <c r="F4962" s="1" t="str">
        <f t="shared" si="311"/>
        <v>50</v>
      </c>
      <c r="G4962" s="1" t="str">
        <f t="shared" si="313"/>
        <v/>
      </c>
      <c r="I4962" s="1" t="str">
        <f t="shared" si="310"/>
        <v>威尔新数值1.06.xlsm!circlePer</v>
      </c>
    </row>
    <row r="4963" spans="1:9" x14ac:dyDescent="0.15">
      <c r="A4963" s="1">
        <v>4962</v>
      </c>
      <c r="B4963" s="1">
        <v>103091300</v>
      </c>
      <c r="C4963" s="1">
        <f t="shared" si="309"/>
        <v>102</v>
      </c>
      <c r="D4963" s="5">
        <f ca="1">IF(getQuality(B4963)&lt;4,getOtherMin(B4963,C4963,INDIRECT(J$2),INDIRECT(I4963),test),getMin(B4963,C4963,INDIRECT(J$2),INDIRECT(I4963),test))</f>
        <v>1.4</v>
      </c>
      <c r="E4963" s="5">
        <f ca="1">IF(getQuality(B4963)&lt;4,getOtherMax(B4963,C4963,INDIRECT(J$2),INDIRECT(I4963),test),getMax(B4963,C4963,INDIRECT(J$2),INDIRECT(I4963),test))</f>
        <v>1.7</v>
      </c>
      <c r="F4963" s="1" t="str">
        <f t="shared" si="311"/>
        <v>50</v>
      </c>
      <c r="G4963" s="1" t="str">
        <f t="shared" si="313"/>
        <v/>
      </c>
      <c r="I4963" s="1" t="str">
        <f t="shared" si="310"/>
        <v>威尔新数值1.06.xlsm!circleValue</v>
      </c>
    </row>
    <row r="4964" spans="1:9" x14ac:dyDescent="0.15">
      <c r="A4964" s="1">
        <v>4963</v>
      </c>
      <c r="B4964" s="1">
        <v>103091300</v>
      </c>
      <c r="C4964" s="1">
        <f t="shared" si="309"/>
        <v>103</v>
      </c>
      <c r="D4964" s="5">
        <f ca="1">IF(getQuality(B4964)&lt;4,getOtherMin(B4964,C4964,INDIRECT(J$2),INDIRECT(I4964),test),getMin(B4964,C4964,INDIRECT(J$2),INDIRECT(I4964),test))</f>
        <v>0.15</v>
      </c>
      <c r="E4964" s="5">
        <f ca="1">IF(getQuality(B4964)&lt;4,getOtherMax(B4964,C4964,INDIRECT(J$2),INDIRECT(I4964),test),getMax(B4964,C4964,INDIRECT(J$2),INDIRECT(I4964),test))</f>
        <v>0.18</v>
      </c>
      <c r="F4964" s="1" t="str">
        <f t="shared" si="311"/>
        <v>50</v>
      </c>
      <c r="G4964" s="1" t="str">
        <f t="shared" si="313"/>
        <v/>
      </c>
      <c r="I4964" s="1" t="str">
        <f t="shared" si="310"/>
        <v>威尔新数值1.06.xlsm!otherDamage</v>
      </c>
    </row>
    <row r="4965" spans="1:9" x14ac:dyDescent="0.15">
      <c r="A4965" s="1">
        <v>4964</v>
      </c>
      <c r="B4965" s="1">
        <v>103091300</v>
      </c>
      <c r="C4965" s="1">
        <f t="shared" si="309"/>
        <v>104</v>
      </c>
      <c r="D4965" s="5">
        <f ca="1">IF(getQuality(B4965)&lt;4,getOtherMin(B4965,C4965,INDIRECT(J$2),INDIRECT(I4965),test),getMin(B4965,C4965,INDIRECT(J$2),INDIRECT(I4965),test))</f>
        <v>0.15</v>
      </c>
      <c r="E4965" s="5">
        <f ca="1">IF(getQuality(B4965)&lt;4,getOtherMax(B4965,C4965,INDIRECT(J$2),INDIRECT(I4965),test),getMax(B4965,C4965,INDIRECT(J$2),INDIRECT(I4965),test))</f>
        <v>0.3</v>
      </c>
      <c r="F4965" s="1" t="str">
        <f t="shared" si="311"/>
        <v>50</v>
      </c>
      <c r="G4965" s="1" t="str">
        <f t="shared" si="313"/>
        <v/>
      </c>
      <c r="I4965" s="1" t="str">
        <f t="shared" si="310"/>
        <v>威尔新数值1.06.xlsm!monsterDamage</v>
      </c>
    </row>
    <row r="4966" spans="1:9" x14ac:dyDescent="0.15">
      <c r="A4966" s="1">
        <v>4965</v>
      </c>
      <c r="B4966" s="1">
        <v>103091300</v>
      </c>
      <c r="C4966" s="1">
        <f t="shared" si="309"/>
        <v>105</v>
      </c>
      <c r="D4966" s="5">
        <f ca="1">IF(getQuality(B4966)&lt;4,getOtherMin(B4966,C4966,INDIRECT(J$2),INDIRECT(I4966),test),getMin(B4966,C4966,INDIRECT(J$2),INDIRECT(I4966),test))</f>
        <v>0.15</v>
      </c>
      <c r="E4966" s="5">
        <f ca="1">IF(getQuality(B4966)&lt;4,getOtherMax(B4966,C4966,INDIRECT(J$2),INDIRECT(I4966),test),getMax(B4966,C4966,INDIRECT(J$2),INDIRECT(I4966),test))</f>
        <v>0.3</v>
      </c>
      <c r="F4966" s="1" t="str">
        <f t="shared" si="311"/>
        <v>50</v>
      </c>
      <c r="G4966" s="1" t="str">
        <f t="shared" si="313"/>
        <v/>
      </c>
      <c r="I4966" s="1" t="str">
        <f t="shared" si="310"/>
        <v>威尔新数值1.06.xlsm!monsterDamage</v>
      </c>
    </row>
    <row r="4967" spans="1:9" x14ac:dyDescent="0.15">
      <c r="A4967" s="1">
        <v>4966</v>
      </c>
      <c r="B4967" s="1">
        <v>103091300</v>
      </c>
      <c r="C4967" s="1">
        <f t="shared" si="309"/>
        <v>106</v>
      </c>
      <c r="D4967" s="5">
        <f ca="1">IF(getQuality(B4967)&lt;4,getOtherMin(B4967,C4967,INDIRECT(J$2),INDIRECT(I4967),test),getMin(B4967,C4967,INDIRECT(J$2),INDIRECT(I4967),test))</f>
        <v>0.15</v>
      </c>
      <c r="E4967" s="5">
        <f ca="1">IF(getQuality(B4967)&lt;4,getOtherMax(B4967,C4967,INDIRECT(J$2),INDIRECT(I4967),test),getMax(B4967,C4967,INDIRECT(J$2),INDIRECT(I4967),test))</f>
        <v>0.3</v>
      </c>
      <c r="F4967" s="1" t="str">
        <f t="shared" si="311"/>
        <v>50</v>
      </c>
      <c r="G4967" s="1" t="str">
        <f t="shared" si="313"/>
        <v/>
      </c>
      <c r="I4967" s="1" t="str">
        <f t="shared" si="310"/>
        <v>威尔新数值1.06.xlsm!monsterDamage</v>
      </c>
    </row>
    <row r="4968" spans="1:9" x14ac:dyDescent="0.15">
      <c r="A4968" s="1">
        <v>4967</v>
      </c>
      <c r="B4968" s="1">
        <v>103091300</v>
      </c>
      <c r="C4968" s="1">
        <f t="shared" si="309"/>
        <v>107</v>
      </c>
      <c r="D4968" s="5">
        <f ca="1">IF(getQuality(B4968)&lt;4,getOtherMin(B4968,C4968,INDIRECT(J$2),INDIRECT(I4968),test),getMin(B4968,C4968,INDIRECT(J$2),INDIRECT(I4968),test))</f>
        <v>0.15</v>
      </c>
      <c r="E4968" s="5">
        <f ca="1">IF(getQuality(B4968)&lt;4,getOtherMax(B4968,C4968,INDIRECT(J$2),INDIRECT(I4968),test),getMax(B4968,C4968,INDIRECT(J$2),INDIRECT(I4968),test))</f>
        <v>0.3</v>
      </c>
      <c r="F4968" s="1" t="str">
        <f t="shared" si="311"/>
        <v>50</v>
      </c>
      <c r="G4968" s="1" t="str">
        <f t="shared" si="313"/>
        <v/>
      </c>
      <c r="I4968" s="1" t="str">
        <f t="shared" si="310"/>
        <v>威尔新数值1.06.xlsm!monsterDamage</v>
      </c>
    </row>
    <row r="4969" spans="1:9" x14ac:dyDescent="0.15">
      <c r="A4969" s="1">
        <v>4968</v>
      </c>
      <c r="B4969" s="1">
        <v>103091300</v>
      </c>
      <c r="C4969" s="1">
        <f t="shared" si="309"/>
        <v>108</v>
      </c>
      <c r="D4969" s="5">
        <f ca="1">IF(getQuality(B4969)&lt;4,getOtherMin(B4969,C4969,INDIRECT(J$2),INDIRECT(I4969),test),getMin(B4969,C4969,INDIRECT(J$2),INDIRECT(I4969),test))</f>
        <v>0.15</v>
      </c>
      <c r="E4969" s="5">
        <f ca="1">IF(getQuality(B4969)&lt;4,getOtherMax(B4969,C4969,INDIRECT(J$2),INDIRECT(I4969),test),getMax(B4969,C4969,INDIRECT(J$2),INDIRECT(I4969),test))</f>
        <v>0.3</v>
      </c>
      <c r="F4969" s="1" t="str">
        <f t="shared" si="311"/>
        <v>50</v>
      </c>
      <c r="G4969" s="1" t="str">
        <f t="shared" si="313"/>
        <v/>
      </c>
      <c r="I4969" s="1" t="str">
        <f t="shared" si="310"/>
        <v>威尔新数值1.06.xlsm!monsterDamage</v>
      </c>
    </row>
    <row r="4970" spans="1:9" x14ac:dyDescent="0.15">
      <c r="A4970" s="1">
        <v>4969</v>
      </c>
      <c r="B4970" s="1">
        <v>203011400</v>
      </c>
      <c r="C4970" s="1">
        <f t="shared" si="309"/>
        <v>1</v>
      </c>
      <c r="D4970" s="5">
        <f ca="1">IF(getQuality(B4970)&lt;4,getOtherMin(B4970,C4970,INDIRECT(J$2),INDIRECT(I4970),test),getMin(B4970,C4970,INDIRECT(J$2),INDIRECT(I4970),test))</f>
        <v>1</v>
      </c>
      <c r="E4970" s="5">
        <f ca="1">IF(getQuality(B4970)&lt;4,getOtherMax(B4970,C4970,INDIRECT(J$2),INDIRECT(I4970),test),getMax(B4970,C4970,INDIRECT(J$2),INDIRECT(I4970),test))</f>
        <v>63.555555555555564</v>
      </c>
      <c r="F4970" s="1" t="str">
        <f t="shared" si="311"/>
        <v>50</v>
      </c>
      <c r="G4970" s="1" t="str">
        <f t="shared" si="313"/>
        <v/>
      </c>
      <c r="I4970" s="1" t="str">
        <f t="shared" si="310"/>
        <v>威尔新数值1.06.xlsm!suitPower</v>
      </c>
    </row>
    <row r="4971" spans="1:9" x14ac:dyDescent="0.15">
      <c r="A4971" s="1">
        <v>4970</v>
      </c>
      <c r="B4971" s="1">
        <v>203011400</v>
      </c>
      <c r="C4971" s="1">
        <f t="shared" si="309"/>
        <v>2</v>
      </c>
      <c r="D4971" s="5">
        <f ca="1">IF(getQuality(B4971)&lt;4,getOtherMin(B4971,C4971,INDIRECT(J$2),INDIRECT(I4971),test),getMin(B4971,C4971,INDIRECT(J$2),INDIRECT(I4971),test))</f>
        <v>1</v>
      </c>
      <c r="E4971" s="5">
        <f ca="1">IF(getQuality(B4971)&lt;4,getOtherMax(B4971,C4971,INDIRECT(J$2),INDIRECT(I4971),test),getMax(B4971,C4971,INDIRECT(J$2),INDIRECT(I4971),test))</f>
        <v>6.1111111111111116</v>
      </c>
      <c r="F4971" s="1" t="str">
        <f t="shared" si="311"/>
        <v>50</v>
      </c>
      <c r="G4971" s="1" t="str">
        <f t="shared" si="313"/>
        <v/>
      </c>
      <c r="I4971" s="1" t="str">
        <f t="shared" si="310"/>
        <v>威尔新数值1.06.xlsm!suitPower</v>
      </c>
    </row>
    <row r="4972" spans="1:9" x14ac:dyDescent="0.15">
      <c r="A4972" s="1">
        <v>4971</v>
      </c>
      <c r="B4972" s="1">
        <v>203011400</v>
      </c>
      <c r="C4972" s="1">
        <f t="shared" si="309"/>
        <v>4</v>
      </c>
      <c r="D4972" s="5">
        <f ca="1">IF(getQuality(B4972)&lt;4,getOtherMin(B4972,C4972,INDIRECT(J$2),INDIRECT(I4972),test),getMin(B4972,C4972,INDIRECT(J$2),INDIRECT(I4972),test))</f>
        <v>1</v>
      </c>
      <c r="E4972" s="5">
        <f ca="1">IF(getQuality(B4972)&lt;4,getOtherMax(B4972,C4972,INDIRECT(J$2),INDIRECT(I4972),test),getMax(B4972,C4972,INDIRECT(J$2),INDIRECT(I4972),test))</f>
        <v>41.666666666666664</v>
      </c>
      <c r="F4972" s="1" t="str">
        <f t="shared" si="311"/>
        <v>50</v>
      </c>
      <c r="G4972" s="1" t="str">
        <f t="shared" si="313"/>
        <v>1</v>
      </c>
      <c r="I4972" s="1" t="str">
        <f t="shared" si="310"/>
        <v>威尔新数值1.06.xlsm!suitPower</v>
      </c>
    </row>
    <row r="4973" spans="1:9" x14ac:dyDescent="0.15">
      <c r="A4973" s="1">
        <v>4972</v>
      </c>
      <c r="B4973" s="1">
        <v>203011400</v>
      </c>
      <c r="C4973" s="1">
        <f t="shared" si="309"/>
        <v>6</v>
      </c>
      <c r="D4973" s="5">
        <f ca="1">IF(getQuality(B4973)&lt;4,getOtherMin(B4973,C4973,INDIRECT(J$2),INDIRECT(I4973),test),getMin(B4973,C4973,INDIRECT(J$2),INDIRECT(I4973),test))</f>
        <v>1</v>
      </c>
      <c r="E4973" s="5">
        <f ca="1">IF(getQuality(B4973)&lt;4,getOtherMax(B4973,C4973,INDIRECT(J$2),INDIRECT(I4973),test),getMax(B4973,C4973,INDIRECT(J$2),INDIRECT(I4973),test))</f>
        <v>41.666666666666664</v>
      </c>
      <c r="F4973" s="1" t="str">
        <f t="shared" si="311"/>
        <v>50</v>
      </c>
      <c r="G4973" s="1" t="str">
        <f t="shared" si="313"/>
        <v/>
      </c>
      <c r="I4973" s="1" t="str">
        <f t="shared" si="310"/>
        <v>威尔新数值1.06.xlsm!suitPower</v>
      </c>
    </row>
    <row r="4974" spans="1:9" x14ac:dyDescent="0.15">
      <c r="A4974" s="1">
        <v>4973</v>
      </c>
      <c r="B4974" s="1">
        <v>203011400</v>
      </c>
      <c r="C4974" s="1">
        <f t="shared" si="309"/>
        <v>7</v>
      </c>
      <c r="D4974" s="5">
        <f ca="1">IF(getQuality(B4974)&lt;4,getOtherMin(B4974,C4974,INDIRECT(J$2),INDIRECT(I4974),test),getMin(B4974,C4974,INDIRECT(J$2),INDIRECT(I4974),test))</f>
        <v>1</v>
      </c>
      <c r="E4974" s="5">
        <f ca="1">IF(getQuality(B4974)&lt;4,getOtherMax(B4974,C4974,INDIRECT(J$2),INDIRECT(I4974),test),getMax(B4974,C4974,INDIRECT(J$2),INDIRECT(I4974),test))</f>
        <v>3.7037037037036944</v>
      </c>
      <c r="F4974" s="1" t="str">
        <f t="shared" si="311"/>
        <v>50</v>
      </c>
      <c r="G4974" s="1" t="str">
        <f t="shared" si="313"/>
        <v/>
      </c>
      <c r="I4974" s="1" t="str">
        <f t="shared" si="310"/>
        <v>威尔新数值1.06.xlsm!suitPower</v>
      </c>
    </row>
    <row r="4975" spans="1:9" x14ac:dyDescent="0.15">
      <c r="A4975" s="1">
        <v>4974</v>
      </c>
      <c r="B4975" s="1">
        <v>203011400</v>
      </c>
      <c r="C4975" s="1">
        <f t="shared" si="309"/>
        <v>8</v>
      </c>
      <c r="D4975" s="5">
        <f ca="1">IF(getQuality(B4975)&lt;4,getOtherMin(B4975,C4975,INDIRECT(J$2),INDIRECT(I4975),test),getMin(B4975,C4975,INDIRECT(J$2),INDIRECT(I4975),test))</f>
        <v>1</v>
      </c>
      <c r="E4975" s="5">
        <f ca="1">IF(getQuality(B4975)&lt;4,getOtherMax(B4975,C4975,INDIRECT(J$2),INDIRECT(I4975),test),getMax(B4975,C4975,INDIRECT(J$2),INDIRECT(I4975),test))</f>
        <v>8.3333333333333339</v>
      </c>
      <c r="F4975" s="1" t="str">
        <f t="shared" si="311"/>
        <v>50</v>
      </c>
      <c r="G4975" s="1" t="str">
        <f t="shared" si="313"/>
        <v/>
      </c>
      <c r="I4975" s="1" t="str">
        <f t="shared" si="310"/>
        <v>威尔新数值1.06.xlsm!suitPower</v>
      </c>
    </row>
    <row r="4976" spans="1:9" x14ac:dyDescent="0.15">
      <c r="A4976" s="1">
        <v>4975</v>
      </c>
      <c r="B4976" s="1">
        <v>203011400</v>
      </c>
      <c r="C4976" s="1">
        <f t="shared" si="309"/>
        <v>16</v>
      </c>
      <c r="D4976" s="5">
        <f ca="1">IF(getQuality(B4976)&lt;4,getOtherMin(B4976,C4976,INDIRECT(J$2),INDIRECT(I4976),test),getMin(B4976,C4976,INDIRECT(J$2),INDIRECT(I4976),test))</f>
        <v>1</v>
      </c>
      <c r="E4976" s="5">
        <f ca="1">IF(getQuality(B4976)&lt;4,getOtherMax(B4976,C4976,INDIRECT(J$2),INDIRECT(I4976),test),getMax(B4976,C4976,INDIRECT(J$2),INDIRECT(I4976),test))</f>
        <v>11.111111111111111</v>
      </c>
      <c r="F4976" s="1" t="str">
        <f t="shared" si="311"/>
        <v>50</v>
      </c>
      <c r="G4976" s="1" t="str">
        <f t="shared" si="313"/>
        <v/>
      </c>
      <c r="I4976" s="1" t="str">
        <f t="shared" si="310"/>
        <v>威尔新数值1.06.xlsm!suitPower</v>
      </c>
    </row>
    <row r="4977" spans="1:9" x14ac:dyDescent="0.15">
      <c r="A4977" s="1">
        <v>4976</v>
      </c>
      <c r="B4977" s="1">
        <v>203011400</v>
      </c>
      <c r="C4977" s="1">
        <f t="shared" si="309"/>
        <v>17</v>
      </c>
      <c r="D4977" s="5">
        <f ca="1">IF(getQuality(B4977)&lt;4,getOtherMin(B4977,C4977,INDIRECT(J$2),INDIRECT(I4977),test),getMin(B4977,C4977,INDIRECT(J$2),INDIRECT(I4977),test))</f>
        <v>1</v>
      </c>
      <c r="E4977" s="5">
        <f ca="1">IF(getQuality(B4977)&lt;4,getOtherMax(B4977,C4977,INDIRECT(J$2),INDIRECT(I4977),test),getMax(B4977,C4977,INDIRECT(J$2),INDIRECT(I4977),test))</f>
        <v>11.111111111111111</v>
      </c>
      <c r="F4977" s="1" t="str">
        <f t="shared" si="311"/>
        <v>50</v>
      </c>
      <c r="G4977" s="1" t="str">
        <f t="shared" si="313"/>
        <v/>
      </c>
      <c r="I4977" s="1" t="str">
        <f t="shared" si="310"/>
        <v>威尔新数值1.06.xlsm!suitPower</v>
      </c>
    </row>
    <row r="4978" spans="1:9" x14ac:dyDescent="0.15">
      <c r="A4978" s="1">
        <v>4977</v>
      </c>
      <c r="B4978" s="1">
        <v>203011400</v>
      </c>
      <c r="C4978" s="1">
        <f t="shared" si="309"/>
        <v>18</v>
      </c>
      <c r="D4978" s="5">
        <f ca="1">IF(getQuality(B4978)&lt;4,getOtherMin(B4978,C4978,INDIRECT(J$2),INDIRECT(I4978),test),getMin(B4978,C4978,INDIRECT(J$2),INDIRECT(I4978),test))</f>
        <v>1</v>
      </c>
      <c r="E4978" s="5">
        <f ca="1">IF(getQuality(B4978)&lt;4,getOtherMax(B4978,C4978,INDIRECT(J$2),INDIRECT(I4978),test),getMax(B4978,C4978,INDIRECT(J$2),INDIRECT(I4978),test))</f>
        <v>11.111111111111111</v>
      </c>
      <c r="F4978" s="1" t="str">
        <f t="shared" si="311"/>
        <v>50</v>
      </c>
      <c r="G4978" s="1" t="str">
        <f t="shared" si="313"/>
        <v/>
      </c>
      <c r="I4978" s="1" t="str">
        <f t="shared" si="310"/>
        <v>威尔新数值1.06.xlsm!suitPower</v>
      </c>
    </row>
    <row r="4979" spans="1:9" x14ac:dyDescent="0.15">
      <c r="A4979" s="1">
        <v>4978</v>
      </c>
      <c r="B4979" s="1">
        <v>203011400</v>
      </c>
      <c r="C4979" s="1">
        <f t="shared" si="309"/>
        <v>19</v>
      </c>
      <c r="D4979" s="5">
        <f ca="1">IF(getQuality(B4979)&lt;4,getOtherMin(B4979,C4979,INDIRECT(J$2),INDIRECT(I4979),test),getMin(B4979,C4979,INDIRECT(J$2),INDIRECT(I4979),test))</f>
        <v>1</v>
      </c>
      <c r="E4979" s="5">
        <f ca="1">IF(getQuality(B4979)&lt;4,getOtherMax(B4979,C4979,INDIRECT(J$2),INDIRECT(I4979),test),getMax(B4979,C4979,INDIRECT(J$2),INDIRECT(I4979),test))</f>
        <v>11.111111111111111</v>
      </c>
      <c r="F4979" s="1" t="str">
        <f t="shared" si="311"/>
        <v>50</v>
      </c>
      <c r="G4979" s="1" t="str">
        <f t="shared" si="313"/>
        <v/>
      </c>
      <c r="I4979" s="1" t="str">
        <f t="shared" si="310"/>
        <v>威尔新数值1.06.xlsm!suitPower</v>
      </c>
    </row>
    <row r="4980" spans="1:9" x14ac:dyDescent="0.15">
      <c r="A4980" s="1">
        <v>4979</v>
      </c>
      <c r="B4980" s="1">
        <v>203011400</v>
      </c>
      <c r="C4980" s="1">
        <f t="shared" si="309"/>
        <v>20</v>
      </c>
      <c r="D4980" s="5">
        <f ca="1">IF(getQuality(B4980)&lt;4,getOtherMin(B4980,C4980,INDIRECT(J$2),INDIRECT(I4980),test),getMin(B4980,C4980,INDIRECT(J$2),INDIRECT(I4980),test))</f>
        <v>1</v>
      </c>
      <c r="E4980" s="5">
        <f ca="1">IF(getQuality(B4980)&lt;4,getOtherMax(B4980,C4980,INDIRECT(J$2),INDIRECT(I4980),test),getMax(B4980,C4980,INDIRECT(J$2),INDIRECT(I4980),test))</f>
        <v>11.111111111111111</v>
      </c>
      <c r="F4980" s="1" t="str">
        <f t="shared" si="311"/>
        <v>50</v>
      </c>
      <c r="G4980" s="1" t="str">
        <f t="shared" si="313"/>
        <v/>
      </c>
      <c r="I4980" s="1" t="str">
        <f t="shared" si="310"/>
        <v>威尔新数值1.06.xlsm!suitPower</v>
      </c>
    </row>
    <row r="4981" spans="1:9" x14ac:dyDescent="0.15">
      <c r="A4981" s="1">
        <v>4980</v>
      </c>
      <c r="B4981" s="1">
        <v>203011400</v>
      </c>
      <c r="C4981" s="1">
        <f t="shared" si="309"/>
        <v>21</v>
      </c>
      <c r="D4981" s="5">
        <f ca="1">IF(getQuality(B4981)&lt;4,getOtherMin(B4981,C4981,INDIRECT(J$2),INDIRECT(I4981),test),getMin(B4981,C4981,INDIRECT(J$2),INDIRECT(I4981),test))</f>
        <v>1</v>
      </c>
      <c r="E4981" s="5">
        <f ca="1">IF(getQuality(B4981)&lt;4,getOtherMax(B4981,C4981,INDIRECT(J$2),INDIRECT(I4981),test),getMax(B4981,C4981,INDIRECT(J$2),INDIRECT(I4981),test))</f>
        <v>11.111111111111111</v>
      </c>
      <c r="F4981" s="1" t="str">
        <f t="shared" si="311"/>
        <v>50</v>
      </c>
      <c r="G4981" s="1" t="str">
        <f t="shared" si="313"/>
        <v/>
      </c>
      <c r="I4981" s="1" t="str">
        <f t="shared" si="310"/>
        <v>威尔新数值1.06.xlsm!suitPower</v>
      </c>
    </row>
    <row r="4982" spans="1:9" x14ac:dyDescent="0.15">
      <c r="A4982" s="1">
        <v>4981</v>
      </c>
      <c r="B4982" s="1">
        <v>203011400</v>
      </c>
      <c r="C4982" s="1">
        <f t="shared" si="309"/>
        <v>22</v>
      </c>
      <c r="D4982" s="5">
        <f ca="1">IF(getQuality(B4982)&lt;4,getOtherMin(B4982,C4982,INDIRECT(J$2),INDIRECT(I4982),test),getMin(B4982,C4982,INDIRECT(J$2),INDIRECT(I4982),test))</f>
        <v>1</v>
      </c>
      <c r="E4982" s="5">
        <f ca="1">IF(getQuality(B4982)&lt;4,getOtherMax(B4982,C4982,INDIRECT(J$2),INDIRECT(I4982),test),getMax(B4982,C4982,INDIRECT(J$2),INDIRECT(I4982),test))</f>
        <v>11.111111111111111</v>
      </c>
      <c r="F4982" s="1" t="str">
        <f t="shared" si="311"/>
        <v>50</v>
      </c>
      <c r="G4982" s="1" t="str">
        <f t="shared" si="313"/>
        <v/>
      </c>
      <c r="I4982" s="1" t="str">
        <f t="shared" si="310"/>
        <v>威尔新数值1.06.xlsm!suitPower</v>
      </c>
    </row>
    <row r="4983" spans="1:9" x14ac:dyDescent="0.15">
      <c r="A4983" s="1">
        <v>4982</v>
      </c>
      <c r="B4983" s="1">
        <v>203011400</v>
      </c>
      <c r="C4983" s="1">
        <f t="shared" si="309"/>
        <v>23</v>
      </c>
      <c r="D4983" s="5">
        <f ca="1">IF(getQuality(B4983)&lt;4,getOtherMin(B4983,C4983,INDIRECT(J$2),INDIRECT(I4983),test),getMin(B4983,C4983,INDIRECT(J$2),INDIRECT(I4983),test))</f>
        <v>1</v>
      </c>
      <c r="E4983" s="5">
        <f ca="1">IF(getQuality(B4983)&lt;4,getOtherMax(B4983,C4983,INDIRECT(J$2),INDIRECT(I4983),test),getMax(B4983,C4983,INDIRECT(J$2),INDIRECT(I4983),test))</f>
        <v>11.111111111111111</v>
      </c>
      <c r="F4983" s="1" t="str">
        <f t="shared" si="311"/>
        <v>50</v>
      </c>
      <c r="G4983" s="1" t="str">
        <f t="shared" si="313"/>
        <v/>
      </c>
      <c r="I4983" s="1" t="str">
        <f t="shared" si="310"/>
        <v>威尔新数值1.06.xlsm!suitPower</v>
      </c>
    </row>
    <row r="4984" spans="1:9" x14ac:dyDescent="0.15">
      <c r="A4984" s="1">
        <v>4983</v>
      </c>
      <c r="B4984" s="1">
        <v>203021400</v>
      </c>
      <c r="C4984" s="1">
        <f t="shared" si="309"/>
        <v>1</v>
      </c>
      <c r="D4984" s="5">
        <f ca="1">IF(getQuality(B4984)&lt;4,getOtherMin(B4984,C4984,INDIRECT(J$2),INDIRECT(I4984),test),getMin(B4984,C4984,INDIRECT(J$2),INDIRECT(I4984),test))</f>
        <v>64.555555555555557</v>
      </c>
      <c r="E4984" s="5">
        <f ca="1">IF(getQuality(B4984)&lt;4,getOtherMax(B4984,C4984,INDIRECT(J$2),INDIRECT(I4984),test),getMax(B4984,C4984,INDIRECT(J$2),INDIRECT(I4984),test))</f>
        <v>139.82222222222222</v>
      </c>
      <c r="F4984" s="1" t="str">
        <f t="shared" si="311"/>
        <v>50</v>
      </c>
      <c r="G4984" s="1" t="str">
        <f t="shared" si="313"/>
        <v/>
      </c>
      <c r="I4984" s="1" t="str">
        <f t="shared" si="310"/>
        <v>威尔新数值1.06.xlsm!suitPower</v>
      </c>
    </row>
    <row r="4985" spans="1:9" x14ac:dyDescent="0.15">
      <c r="A4985" s="1">
        <v>4984</v>
      </c>
      <c r="B4985" s="1">
        <v>203021400</v>
      </c>
      <c r="C4985" s="1">
        <f t="shared" si="309"/>
        <v>2</v>
      </c>
      <c r="D4985" s="5">
        <f ca="1">IF(getQuality(B4985)&lt;4,getOtherMin(B4985,C4985,INDIRECT(J$2),INDIRECT(I4985),test),getMin(B4985,C4985,INDIRECT(J$2),INDIRECT(I4985),test))</f>
        <v>7.1111111111111116</v>
      </c>
      <c r="E4985" s="5">
        <f ca="1">IF(getQuality(B4985)&lt;4,getOtherMax(B4985,C4985,INDIRECT(J$2),INDIRECT(I4985),test),getMax(B4985,C4985,INDIRECT(J$2),INDIRECT(I4985),test))</f>
        <v>13.444444444444445</v>
      </c>
      <c r="F4985" s="1" t="str">
        <f t="shared" si="311"/>
        <v>50</v>
      </c>
      <c r="G4985" s="1" t="str">
        <f t="shared" si="313"/>
        <v/>
      </c>
      <c r="I4985" s="1" t="str">
        <f t="shared" si="310"/>
        <v>威尔新数值1.06.xlsm!suitPower</v>
      </c>
    </row>
    <row r="4986" spans="1:9" x14ac:dyDescent="0.15">
      <c r="A4986" s="1">
        <v>4985</v>
      </c>
      <c r="B4986" s="1">
        <v>203021400</v>
      </c>
      <c r="C4986" s="1">
        <f t="shared" si="309"/>
        <v>4</v>
      </c>
      <c r="D4986" s="5">
        <f ca="1">IF(getQuality(B4986)&lt;4,getOtherMin(B4986,C4986,INDIRECT(J$2),INDIRECT(I4986),test),getMin(B4986,C4986,INDIRECT(J$2),INDIRECT(I4986),test))</f>
        <v>42.666666666666664</v>
      </c>
      <c r="E4986" s="5">
        <f ca="1">IF(getQuality(B4986)&lt;4,getOtherMax(B4986,C4986,INDIRECT(J$2),INDIRECT(I4986),test),getMax(B4986,C4986,INDIRECT(J$2),INDIRECT(I4986),test))</f>
        <v>83.333333333333329</v>
      </c>
      <c r="F4986" s="1" t="str">
        <f t="shared" si="311"/>
        <v>50</v>
      </c>
      <c r="G4986" s="1" t="str">
        <f t="shared" si="313"/>
        <v>1</v>
      </c>
      <c r="I4986" s="1" t="str">
        <f t="shared" si="310"/>
        <v>威尔新数值1.06.xlsm!suitPower</v>
      </c>
    </row>
    <row r="4987" spans="1:9" x14ac:dyDescent="0.15">
      <c r="A4987" s="1">
        <v>4986</v>
      </c>
      <c r="B4987" s="1">
        <v>203021400</v>
      </c>
      <c r="C4987" s="1">
        <f t="shared" si="309"/>
        <v>6</v>
      </c>
      <c r="D4987" s="5">
        <f ca="1">IF(getQuality(B4987)&lt;4,getOtherMin(B4987,C4987,INDIRECT(J$2),INDIRECT(I4987),test),getMin(B4987,C4987,INDIRECT(J$2),INDIRECT(I4987),test))</f>
        <v>42.666666666666664</v>
      </c>
      <c r="E4987" s="5">
        <f ca="1">IF(getQuality(B4987)&lt;4,getOtherMax(B4987,C4987,INDIRECT(J$2),INDIRECT(I4987),test),getMax(B4987,C4987,INDIRECT(J$2),INDIRECT(I4987),test))</f>
        <v>83.333333333333329</v>
      </c>
      <c r="F4987" s="1" t="str">
        <f t="shared" si="311"/>
        <v>50</v>
      </c>
      <c r="G4987" s="1" t="str">
        <f t="shared" si="313"/>
        <v/>
      </c>
      <c r="I4987" s="1" t="str">
        <f t="shared" si="310"/>
        <v>威尔新数值1.06.xlsm!suitPower</v>
      </c>
    </row>
    <row r="4988" spans="1:9" x14ac:dyDescent="0.15">
      <c r="A4988" s="1">
        <v>4987</v>
      </c>
      <c r="B4988" s="1">
        <v>203021400</v>
      </c>
      <c r="C4988" s="1">
        <f t="shared" ref="C4988:C5051" si="314">C2513</f>
        <v>7</v>
      </c>
      <c r="D4988" s="5">
        <f ca="1">IF(getQuality(B4988)&lt;4,getOtherMin(B4988,C4988,INDIRECT(J$2),INDIRECT(I4988),test),getMin(B4988,C4988,INDIRECT(J$2),INDIRECT(I4988),test))</f>
        <v>4.7037037037036944</v>
      </c>
      <c r="E4988" s="5">
        <f ca="1">IF(getQuality(B4988)&lt;4,getOtherMax(B4988,C4988,INDIRECT(J$2),INDIRECT(I4988),test),getMax(B4988,C4988,INDIRECT(J$2),INDIRECT(I4988),test))</f>
        <v>7.4074074074073888</v>
      </c>
      <c r="F4988" s="1" t="str">
        <f t="shared" si="311"/>
        <v>50</v>
      </c>
      <c r="G4988" s="1" t="str">
        <f t="shared" si="313"/>
        <v/>
      </c>
      <c r="I4988" s="1" t="str">
        <f t="shared" si="310"/>
        <v>威尔新数值1.06.xlsm!suitPower</v>
      </c>
    </row>
    <row r="4989" spans="1:9" x14ac:dyDescent="0.15">
      <c r="A4989" s="1">
        <v>4988</v>
      </c>
      <c r="B4989" s="1">
        <v>203021400</v>
      </c>
      <c r="C4989" s="1">
        <f t="shared" si="314"/>
        <v>8</v>
      </c>
      <c r="D4989" s="5">
        <f ca="1">IF(getQuality(B4989)&lt;4,getOtherMin(B4989,C4989,INDIRECT(J$2),INDIRECT(I4989),test),getMin(B4989,C4989,INDIRECT(J$2),INDIRECT(I4989),test))</f>
        <v>9.3333333333333339</v>
      </c>
      <c r="E4989" s="5">
        <f ca="1">IF(getQuality(B4989)&lt;4,getOtherMax(B4989,C4989,INDIRECT(J$2),INDIRECT(I4989),test),getMax(B4989,C4989,INDIRECT(J$2),INDIRECT(I4989),test))</f>
        <v>16.666666666666668</v>
      </c>
      <c r="F4989" s="1" t="str">
        <f t="shared" si="311"/>
        <v>50</v>
      </c>
      <c r="G4989" s="1" t="str">
        <f t="shared" si="313"/>
        <v/>
      </c>
      <c r="I4989" s="1" t="str">
        <f t="shared" si="310"/>
        <v>威尔新数值1.06.xlsm!suitPower</v>
      </c>
    </row>
    <row r="4990" spans="1:9" x14ac:dyDescent="0.15">
      <c r="A4990" s="1">
        <v>4989</v>
      </c>
      <c r="B4990" s="1">
        <v>203021400</v>
      </c>
      <c r="C4990" s="1">
        <f t="shared" si="314"/>
        <v>16</v>
      </c>
      <c r="D4990" s="5">
        <f ca="1">IF(getQuality(B4990)&lt;4,getOtherMin(B4990,C4990,INDIRECT(J$2),INDIRECT(I4990),test),getMin(B4990,C4990,INDIRECT(J$2),INDIRECT(I4990),test))</f>
        <v>12.111111111111111</v>
      </c>
      <c r="E4990" s="5">
        <f ca="1">IF(getQuality(B4990)&lt;4,getOtherMax(B4990,C4990,INDIRECT(J$2),INDIRECT(I4990),test),getMax(B4990,C4990,INDIRECT(J$2),INDIRECT(I4990),test))</f>
        <v>22.222222222222221</v>
      </c>
      <c r="F4990" s="1" t="str">
        <f t="shared" si="311"/>
        <v>50</v>
      </c>
      <c r="G4990" s="1" t="str">
        <f t="shared" si="313"/>
        <v/>
      </c>
      <c r="I4990" s="1" t="str">
        <f t="shared" si="310"/>
        <v>威尔新数值1.06.xlsm!suitPower</v>
      </c>
    </row>
    <row r="4991" spans="1:9" x14ac:dyDescent="0.15">
      <c r="A4991" s="1">
        <v>4990</v>
      </c>
      <c r="B4991" s="1">
        <v>203021400</v>
      </c>
      <c r="C4991" s="1">
        <f t="shared" si="314"/>
        <v>17</v>
      </c>
      <c r="D4991" s="5">
        <f ca="1">IF(getQuality(B4991)&lt;4,getOtherMin(B4991,C4991,INDIRECT(J$2),INDIRECT(I4991),test),getMin(B4991,C4991,INDIRECT(J$2),INDIRECT(I4991),test))</f>
        <v>12.111111111111111</v>
      </c>
      <c r="E4991" s="5">
        <f ca="1">IF(getQuality(B4991)&lt;4,getOtherMax(B4991,C4991,INDIRECT(J$2),INDIRECT(I4991),test),getMax(B4991,C4991,INDIRECT(J$2),INDIRECT(I4991),test))</f>
        <v>22.222222222222221</v>
      </c>
      <c r="F4991" s="1" t="str">
        <f t="shared" si="311"/>
        <v>50</v>
      </c>
      <c r="G4991" s="1" t="str">
        <f t="shared" si="313"/>
        <v/>
      </c>
      <c r="I4991" s="1" t="str">
        <f t="shared" si="310"/>
        <v>威尔新数值1.06.xlsm!suitPower</v>
      </c>
    </row>
    <row r="4992" spans="1:9" x14ac:dyDescent="0.15">
      <c r="A4992" s="1">
        <v>4991</v>
      </c>
      <c r="B4992" s="1">
        <v>203021400</v>
      </c>
      <c r="C4992" s="1">
        <f t="shared" si="314"/>
        <v>18</v>
      </c>
      <c r="D4992" s="5">
        <f ca="1">IF(getQuality(B4992)&lt;4,getOtherMin(B4992,C4992,INDIRECT(J$2),INDIRECT(I4992),test),getMin(B4992,C4992,INDIRECT(J$2),INDIRECT(I4992),test))</f>
        <v>12.111111111111111</v>
      </c>
      <c r="E4992" s="5">
        <f ca="1">IF(getQuality(B4992)&lt;4,getOtherMax(B4992,C4992,INDIRECT(J$2),INDIRECT(I4992),test),getMax(B4992,C4992,INDIRECT(J$2),INDIRECT(I4992),test))</f>
        <v>22.222222222222221</v>
      </c>
      <c r="F4992" s="1" t="str">
        <f t="shared" si="311"/>
        <v>50</v>
      </c>
      <c r="G4992" s="1" t="str">
        <f t="shared" si="313"/>
        <v/>
      </c>
      <c r="I4992" s="1" t="str">
        <f t="shared" si="310"/>
        <v>威尔新数值1.06.xlsm!suitPower</v>
      </c>
    </row>
    <row r="4993" spans="1:9" x14ac:dyDescent="0.15">
      <c r="A4993" s="1">
        <v>4992</v>
      </c>
      <c r="B4993" s="1">
        <v>203021400</v>
      </c>
      <c r="C4993" s="1">
        <f t="shared" si="314"/>
        <v>19</v>
      </c>
      <c r="D4993" s="5">
        <f ca="1">IF(getQuality(B4993)&lt;4,getOtherMin(B4993,C4993,INDIRECT(J$2),INDIRECT(I4993),test),getMin(B4993,C4993,INDIRECT(J$2),INDIRECT(I4993),test))</f>
        <v>12.111111111111111</v>
      </c>
      <c r="E4993" s="5">
        <f ca="1">IF(getQuality(B4993)&lt;4,getOtherMax(B4993,C4993,INDIRECT(J$2),INDIRECT(I4993),test),getMax(B4993,C4993,INDIRECT(J$2),INDIRECT(I4993),test))</f>
        <v>22.222222222222221</v>
      </c>
      <c r="F4993" s="1" t="str">
        <f t="shared" si="311"/>
        <v>50</v>
      </c>
      <c r="G4993" s="1" t="str">
        <f t="shared" si="313"/>
        <v/>
      </c>
      <c r="I4993" s="1" t="str">
        <f t="shared" si="310"/>
        <v>威尔新数值1.06.xlsm!suitPower</v>
      </c>
    </row>
    <row r="4994" spans="1:9" x14ac:dyDescent="0.15">
      <c r="A4994" s="1">
        <v>4993</v>
      </c>
      <c r="B4994" s="1">
        <v>203021400</v>
      </c>
      <c r="C4994" s="1">
        <f t="shared" si="314"/>
        <v>20</v>
      </c>
      <c r="D4994" s="5">
        <f ca="1">IF(getQuality(B4994)&lt;4,getOtherMin(B4994,C4994,INDIRECT(J$2),INDIRECT(I4994),test),getMin(B4994,C4994,INDIRECT(J$2),INDIRECT(I4994),test))</f>
        <v>12.111111111111111</v>
      </c>
      <c r="E4994" s="5">
        <f ca="1">IF(getQuality(B4994)&lt;4,getOtherMax(B4994,C4994,INDIRECT(J$2),INDIRECT(I4994),test),getMax(B4994,C4994,INDIRECT(J$2),INDIRECT(I4994),test))</f>
        <v>22.222222222222221</v>
      </c>
      <c r="F4994" s="1" t="str">
        <f t="shared" si="311"/>
        <v>50</v>
      </c>
      <c r="G4994" s="1" t="str">
        <f t="shared" si="313"/>
        <v/>
      </c>
      <c r="I4994" s="1" t="str">
        <f t="shared" ref="I4994:I5057" si="315">IF(C4994&lt;100,VLOOKUP(C4994,test,3,FALSE),VLOOKUP(C4994,test1,3,FALSE))</f>
        <v>威尔新数值1.06.xlsm!suitPower</v>
      </c>
    </row>
    <row r="4995" spans="1:9" x14ac:dyDescent="0.15">
      <c r="A4995" s="1">
        <v>4994</v>
      </c>
      <c r="B4995" s="1">
        <v>203021400</v>
      </c>
      <c r="C4995" s="1">
        <f t="shared" si="314"/>
        <v>21</v>
      </c>
      <c r="D4995" s="5">
        <f ca="1">IF(getQuality(B4995)&lt;4,getOtherMin(B4995,C4995,INDIRECT(J$2),INDIRECT(I4995),test),getMin(B4995,C4995,INDIRECT(J$2),INDIRECT(I4995),test))</f>
        <v>12.111111111111111</v>
      </c>
      <c r="E4995" s="5">
        <f ca="1">IF(getQuality(B4995)&lt;4,getOtherMax(B4995,C4995,INDIRECT(J$2),INDIRECT(I4995),test),getMax(B4995,C4995,INDIRECT(J$2),INDIRECT(I4995),test))</f>
        <v>22.222222222222221</v>
      </c>
      <c r="F4995" s="1" t="str">
        <f t="shared" ref="F4995:F5058" si="316">getper(B4995,C4995)</f>
        <v>50</v>
      </c>
      <c r="G4995" s="1" t="str">
        <f t="shared" si="313"/>
        <v/>
      </c>
      <c r="I4995" s="1" t="str">
        <f t="shared" si="315"/>
        <v>威尔新数值1.06.xlsm!suitPower</v>
      </c>
    </row>
    <row r="4996" spans="1:9" x14ac:dyDescent="0.15">
      <c r="A4996" s="1">
        <v>4995</v>
      </c>
      <c r="B4996" s="1">
        <v>203021400</v>
      </c>
      <c r="C4996" s="1">
        <f t="shared" si="314"/>
        <v>22</v>
      </c>
      <c r="D4996" s="5">
        <f ca="1">IF(getQuality(B4996)&lt;4,getOtherMin(B4996,C4996,INDIRECT(J$2),INDIRECT(I4996),test),getMin(B4996,C4996,INDIRECT(J$2),INDIRECT(I4996),test))</f>
        <v>12.111111111111111</v>
      </c>
      <c r="E4996" s="5">
        <f ca="1">IF(getQuality(B4996)&lt;4,getOtherMax(B4996,C4996,INDIRECT(J$2),INDIRECT(I4996),test),getMax(B4996,C4996,INDIRECT(J$2),INDIRECT(I4996),test))</f>
        <v>22.222222222222221</v>
      </c>
      <c r="F4996" s="1" t="str">
        <f t="shared" si="316"/>
        <v>50</v>
      </c>
      <c r="G4996" s="1" t="str">
        <f t="shared" si="313"/>
        <v/>
      </c>
      <c r="I4996" s="1" t="str">
        <f t="shared" si="315"/>
        <v>威尔新数值1.06.xlsm!suitPower</v>
      </c>
    </row>
    <row r="4997" spans="1:9" x14ac:dyDescent="0.15">
      <c r="A4997" s="1">
        <v>4996</v>
      </c>
      <c r="B4997" s="1">
        <v>203021400</v>
      </c>
      <c r="C4997" s="1">
        <f t="shared" si="314"/>
        <v>23</v>
      </c>
      <c r="D4997" s="5">
        <f ca="1">IF(getQuality(B4997)&lt;4,getOtherMin(B4997,C4997,INDIRECT(J$2),INDIRECT(I4997),test),getMin(B4997,C4997,INDIRECT(J$2),INDIRECT(I4997),test))</f>
        <v>12.111111111111111</v>
      </c>
      <c r="E4997" s="5">
        <f ca="1">IF(getQuality(B4997)&lt;4,getOtherMax(B4997,C4997,INDIRECT(J$2),INDIRECT(I4997),test),getMax(B4997,C4997,INDIRECT(J$2),INDIRECT(I4997),test))</f>
        <v>22.222222222222221</v>
      </c>
      <c r="F4997" s="1" t="str">
        <f t="shared" si="316"/>
        <v>50</v>
      </c>
      <c r="G4997" s="1" t="str">
        <f t="shared" si="313"/>
        <v/>
      </c>
      <c r="I4997" s="1" t="str">
        <f t="shared" si="315"/>
        <v>威尔新数值1.06.xlsm!suitPower</v>
      </c>
    </row>
    <row r="4998" spans="1:9" x14ac:dyDescent="0.15">
      <c r="A4998" s="1">
        <v>4997</v>
      </c>
      <c r="B4998" s="1">
        <v>203031400</v>
      </c>
      <c r="C4998" s="1">
        <f t="shared" si="314"/>
        <v>1</v>
      </c>
      <c r="D4998" s="5">
        <f ca="1">IF(getQuality(B4998)&lt;4,getOtherMin(B4998,C4998,INDIRECT(J$2),INDIRECT(I4998),test),getMin(B4998,C4998,INDIRECT(J$2),INDIRECT(I4998),test))</f>
        <v>140.82222222222222</v>
      </c>
      <c r="E4998" s="5">
        <f ca="1">IF(getQuality(B4998)&lt;4,getOtherMax(B4998,C4998,INDIRECT(J$2),INDIRECT(I4998),test),getMax(B4998,C4998,INDIRECT(J$2),INDIRECT(I4998),test))</f>
        <v>228.8</v>
      </c>
      <c r="F4998" s="1" t="str">
        <f t="shared" si="316"/>
        <v>50</v>
      </c>
      <c r="G4998" s="1" t="str">
        <f t="shared" si="313"/>
        <v/>
      </c>
      <c r="I4998" s="1" t="str">
        <f t="shared" si="315"/>
        <v>威尔新数值1.06.xlsm!suitPower</v>
      </c>
    </row>
    <row r="4999" spans="1:9" x14ac:dyDescent="0.15">
      <c r="A4999" s="1">
        <v>4998</v>
      </c>
      <c r="B4999" s="1">
        <v>203031400</v>
      </c>
      <c r="C4999" s="1">
        <f t="shared" si="314"/>
        <v>2</v>
      </c>
      <c r="D4999" s="5">
        <f ca="1">IF(getQuality(B4999)&lt;4,getOtherMin(B4999,C4999,INDIRECT(J$2),INDIRECT(I4999),test),getMin(B4999,C4999,INDIRECT(J$2),INDIRECT(I4999),test))</f>
        <v>14.444444444444445</v>
      </c>
      <c r="E4999" s="5">
        <f ca="1">IF(getQuality(B4999)&lt;4,getOtherMax(B4999,C4999,INDIRECT(J$2),INDIRECT(I4999),test),getMax(B4999,C4999,INDIRECT(J$2),INDIRECT(I4999),test))</f>
        <v>22</v>
      </c>
      <c r="F4999" s="1" t="str">
        <f t="shared" si="316"/>
        <v>50</v>
      </c>
      <c r="G4999" s="1" t="str">
        <f t="shared" si="313"/>
        <v/>
      </c>
      <c r="I4999" s="1" t="str">
        <f t="shared" si="315"/>
        <v>威尔新数值1.06.xlsm!suitPower</v>
      </c>
    </row>
    <row r="5000" spans="1:9" x14ac:dyDescent="0.15">
      <c r="A5000" s="1">
        <v>4999</v>
      </c>
      <c r="B5000" s="1">
        <v>203031400</v>
      </c>
      <c r="C5000" s="1">
        <f t="shared" si="314"/>
        <v>4</v>
      </c>
      <c r="D5000" s="5">
        <f ca="1">IF(getQuality(B5000)&lt;4,getOtherMin(B5000,C5000,INDIRECT(J$2),INDIRECT(I5000),test),getMin(B5000,C5000,INDIRECT(J$2),INDIRECT(I5000),test))</f>
        <v>84.333333333333329</v>
      </c>
      <c r="E5000" s="5">
        <f ca="1">IF(getQuality(B5000)&lt;4,getOtherMax(B5000,C5000,INDIRECT(J$2),INDIRECT(I5000),test),getMax(B5000,C5000,INDIRECT(J$2),INDIRECT(I5000),test))</f>
        <v>125</v>
      </c>
      <c r="F5000" s="1" t="str">
        <f t="shared" si="316"/>
        <v>50</v>
      </c>
      <c r="G5000" s="1" t="str">
        <f t="shared" si="313"/>
        <v>1</v>
      </c>
      <c r="I5000" s="1" t="str">
        <f t="shared" si="315"/>
        <v>威尔新数值1.06.xlsm!suitPower</v>
      </c>
    </row>
    <row r="5001" spans="1:9" x14ac:dyDescent="0.15">
      <c r="A5001" s="1">
        <v>5000</v>
      </c>
      <c r="B5001" s="1">
        <v>203031400</v>
      </c>
      <c r="C5001" s="1">
        <f t="shared" si="314"/>
        <v>6</v>
      </c>
      <c r="D5001" s="5">
        <f ca="1">IF(getQuality(B5001)&lt;4,getOtherMin(B5001,C5001,INDIRECT(J$2),INDIRECT(I5001),test),getMin(B5001,C5001,INDIRECT(J$2),INDIRECT(I5001),test))</f>
        <v>84.333333333333329</v>
      </c>
      <c r="E5001" s="5">
        <f ca="1">IF(getQuality(B5001)&lt;4,getOtherMax(B5001,C5001,INDIRECT(J$2),INDIRECT(I5001),test),getMax(B5001,C5001,INDIRECT(J$2),INDIRECT(I5001),test))</f>
        <v>125</v>
      </c>
      <c r="F5001" s="1" t="str">
        <f t="shared" si="316"/>
        <v>50</v>
      </c>
      <c r="G5001" s="1" t="str">
        <f t="shared" si="313"/>
        <v/>
      </c>
      <c r="I5001" s="1" t="str">
        <f t="shared" si="315"/>
        <v>威尔新数值1.06.xlsm!suitPower</v>
      </c>
    </row>
    <row r="5002" spans="1:9" x14ac:dyDescent="0.15">
      <c r="A5002" s="1">
        <v>5001</v>
      </c>
      <c r="B5002" s="1">
        <v>203031400</v>
      </c>
      <c r="C5002" s="1">
        <f t="shared" si="314"/>
        <v>7</v>
      </c>
      <c r="D5002" s="5">
        <f ca="1">IF(getQuality(B5002)&lt;4,getOtherMin(B5002,C5002,INDIRECT(J$2),INDIRECT(I5002),test),getMin(B5002,C5002,INDIRECT(J$2),INDIRECT(I5002),test))</f>
        <v>8.4074074074073888</v>
      </c>
      <c r="E5002" s="5">
        <f ca="1">IF(getQuality(B5002)&lt;4,getOtherMax(B5002,C5002,INDIRECT(J$2),INDIRECT(I5002),test),getMax(B5002,C5002,INDIRECT(J$2),INDIRECT(I5002),test))</f>
        <v>11.111111111111082</v>
      </c>
      <c r="F5002" s="1" t="str">
        <f t="shared" si="316"/>
        <v>50</v>
      </c>
      <c r="G5002" s="1" t="str">
        <f t="shared" si="313"/>
        <v/>
      </c>
      <c r="I5002" s="1" t="str">
        <f t="shared" si="315"/>
        <v>威尔新数值1.06.xlsm!suitPower</v>
      </c>
    </row>
    <row r="5003" spans="1:9" x14ac:dyDescent="0.15">
      <c r="A5003" s="1">
        <v>5002</v>
      </c>
      <c r="B5003" s="1">
        <v>203031400</v>
      </c>
      <c r="C5003" s="1">
        <f t="shared" si="314"/>
        <v>8</v>
      </c>
      <c r="D5003" s="5">
        <f ca="1">IF(getQuality(B5003)&lt;4,getOtherMin(B5003,C5003,INDIRECT(J$2),INDIRECT(I5003),test),getMin(B5003,C5003,INDIRECT(J$2),INDIRECT(I5003),test))</f>
        <v>17.666666666666668</v>
      </c>
      <c r="E5003" s="5">
        <f ca="1">IF(getQuality(B5003)&lt;4,getOtherMax(B5003,C5003,INDIRECT(J$2),INDIRECT(I5003),test),getMax(B5003,C5003,INDIRECT(J$2),INDIRECT(I5003),test))</f>
        <v>25</v>
      </c>
      <c r="F5003" s="1" t="str">
        <f t="shared" si="316"/>
        <v>50</v>
      </c>
      <c r="G5003" s="1" t="str">
        <f t="shared" si="313"/>
        <v/>
      </c>
      <c r="I5003" s="1" t="str">
        <f t="shared" si="315"/>
        <v>威尔新数值1.06.xlsm!suitPower</v>
      </c>
    </row>
    <row r="5004" spans="1:9" x14ac:dyDescent="0.15">
      <c r="A5004" s="1">
        <v>5003</v>
      </c>
      <c r="B5004" s="1">
        <v>203031400</v>
      </c>
      <c r="C5004" s="1">
        <f t="shared" si="314"/>
        <v>16</v>
      </c>
      <c r="D5004" s="5">
        <f ca="1">IF(getQuality(B5004)&lt;4,getOtherMin(B5004,C5004,INDIRECT(J$2),INDIRECT(I5004),test),getMin(B5004,C5004,INDIRECT(J$2),INDIRECT(I5004),test))</f>
        <v>23.222222222222221</v>
      </c>
      <c r="E5004" s="5">
        <f ca="1">IF(getQuality(B5004)&lt;4,getOtherMax(B5004,C5004,INDIRECT(J$2),INDIRECT(I5004),test),getMax(B5004,C5004,INDIRECT(J$2),INDIRECT(I5004),test))</f>
        <v>33.333333333333336</v>
      </c>
      <c r="F5004" s="1" t="str">
        <f t="shared" si="316"/>
        <v>50</v>
      </c>
      <c r="G5004" s="1" t="str">
        <f t="shared" si="313"/>
        <v/>
      </c>
      <c r="I5004" s="1" t="str">
        <f t="shared" si="315"/>
        <v>威尔新数值1.06.xlsm!suitPower</v>
      </c>
    </row>
    <row r="5005" spans="1:9" x14ac:dyDescent="0.15">
      <c r="A5005" s="1">
        <v>5004</v>
      </c>
      <c r="B5005" s="1">
        <v>203031400</v>
      </c>
      <c r="C5005" s="1">
        <f t="shared" si="314"/>
        <v>17</v>
      </c>
      <c r="D5005" s="5">
        <f ca="1">IF(getQuality(B5005)&lt;4,getOtherMin(B5005,C5005,INDIRECT(J$2),INDIRECT(I5005),test),getMin(B5005,C5005,INDIRECT(J$2),INDIRECT(I5005),test))</f>
        <v>23.222222222222221</v>
      </c>
      <c r="E5005" s="5">
        <f ca="1">IF(getQuality(B5005)&lt;4,getOtherMax(B5005,C5005,INDIRECT(J$2),INDIRECT(I5005),test),getMax(B5005,C5005,INDIRECT(J$2),INDIRECT(I5005),test))</f>
        <v>33.333333333333336</v>
      </c>
      <c r="F5005" s="1" t="str">
        <f t="shared" si="316"/>
        <v>50</v>
      </c>
      <c r="G5005" s="1" t="str">
        <f t="shared" si="313"/>
        <v/>
      </c>
      <c r="I5005" s="1" t="str">
        <f t="shared" si="315"/>
        <v>威尔新数值1.06.xlsm!suitPower</v>
      </c>
    </row>
    <row r="5006" spans="1:9" x14ac:dyDescent="0.15">
      <c r="A5006" s="1">
        <v>5005</v>
      </c>
      <c r="B5006" s="1">
        <v>203031400</v>
      </c>
      <c r="C5006" s="1">
        <f t="shared" si="314"/>
        <v>18</v>
      </c>
      <c r="D5006" s="5">
        <f ca="1">IF(getQuality(B5006)&lt;4,getOtherMin(B5006,C5006,INDIRECT(J$2),INDIRECT(I5006),test),getMin(B5006,C5006,INDIRECT(J$2),INDIRECT(I5006),test))</f>
        <v>23.222222222222221</v>
      </c>
      <c r="E5006" s="5">
        <f ca="1">IF(getQuality(B5006)&lt;4,getOtherMax(B5006,C5006,INDIRECT(J$2),INDIRECT(I5006),test),getMax(B5006,C5006,INDIRECT(J$2),INDIRECT(I5006),test))</f>
        <v>33.333333333333336</v>
      </c>
      <c r="F5006" s="1" t="str">
        <f t="shared" si="316"/>
        <v>50</v>
      </c>
      <c r="G5006" s="1" t="str">
        <f t="shared" si="313"/>
        <v/>
      </c>
      <c r="I5006" s="1" t="str">
        <f t="shared" si="315"/>
        <v>威尔新数值1.06.xlsm!suitPower</v>
      </c>
    </row>
    <row r="5007" spans="1:9" x14ac:dyDescent="0.15">
      <c r="A5007" s="1">
        <v>5006</v>
      </c>
      <c r="B5007" s="1">
        <v>203031400</v>
      </c>
      <c r="C5007" s="1">
        <f t="shared" si="314"/>
        <v>19</v>
      </c>
      <c r="D5007" s="5">
        <f ca="1">IF(getQuality(B5007)&lt;4,getOtherMin(B5007,C5007,INDIRECT(J$2),INDIRECT(I5007),test),getMin(B5007,C5007,INDIRECT(J$2),INDIRECT(I5007),test))</f>
        <v>23.222222222222221</v>
      </c>
      <c r="E5007" s="5">
        <f ca="1">IF(getQuality(B5007)&lt;4,getOtherMax(B5007,C5007,INDIRECT(J$2),INDIRECT(I5007),test),getMax(B5007,C5007,INDIRECT(J$2),INDIRECT(I5007),test))</f>
        <v>33.333333333333336</v>
      </c>
      <c r="F5007" s="1" t="str">
        <f t="shared" si="316"/>
        <v>50</v>
      </c>
      <c r="G5007" s="1" t="str">
        <f t="shared" si="313"/>
        <v/>
      </c>
      <c r="I5007" s="1" t="str">
        <f t="shared" si="315"/>
        <v>威尔新数值1.06.xlsm!suitPower</v>
      </c>
    </row>
    <row r="5008" spans="1:9" x14ac:dyDescent="0.15">
      <c r="A5008" s="1">
        <v>5007</v>
      </c>
      <c r="B5008" s="1">
        <v>203031400</v>
      </c>
      <c r="C5008" s="1">
        <f t="shared" si="314"/>
        <v>20</v>
      </c>
      <c r="D5008" s="5">
        <f ca="1">IF(getQuality(B5008)&lt;4,getOtherMin(B5008,C5008,INDIRECT(J$2),INDIRECT(I5008),test),getMin(B5008,C5008,INDIRECT(J$2),INDIRECT(I5008),test))</f>
        <v>23.222222222222221</v>
      </c>
      <c r="E5008" s="5">
        <f ca="1">IF(getQuality(B5008)&lt;4,getOtherMax(B5008,C5008,INDIRECT(J$2),INDIRECT(I5008),test),getMax(B5008,C5008,INDIRECT(J$2),INDIRECT(I5008),test))</f>
        <v>33.333333333333336</v>
      </c>
      <c r="F5008" s="1" t="str">
        <f t="shared" si="316"/>
        <v>50</v>
      </c>
      <c r="G5008" s="1" t="str">
        <f t="shared" si="313"/>
        <v/>
      </c>
      <c r="I5008" s="1" t="str">
        <f t="shared" si="315"/>
        <v>威尔新数值1.06.xlsm!suitPower</v>
      </c>
    </row>
    <row r="5009" spans="1:9" x14ac:dyDescent="0.15">
      <c r="A5009" s="1">
        <v>5008</v>
      </c>
      <c r="B5009" s="1">
        <v>203031400</v>
      </c>
      <c r="C5009" s="1">
        <f t="shared" si="314"/>
        <v>21</v>
      </c>
      <c r="D5009" s="5">
        <f ca="1">IF(getQuality(B5009)&lt;4,getOtherMin(B5009,C5009,INDIRECT(J$2),INDIRECT(I5009),test),getMin(B5009,C5009,INDIRECT(J$2),INDIRECT(I5009),test))</f>
        <v>23.222222222222221</v>
      </c>
      <c r="E5009" s="5">
        <f ca="1">IF(getQuality(B5009)&lt;4,getOtherMax(B5009,C5009,INDIRECT(J$2),INDIRECT(I5009),test),getMax(B5009,C5009,INDIRECT(J$2),INDIRECT(I5009),test))</f>
        <v>33.333333333333336</v>
      </c>
      <c r="F5009" s="1" t="str">
        <f t="shared" si="316"/>
        <v>50</v>
      </c>
      <c r="G5009" s="1" t="str">
        <f t="shared" si="313"/>
        <v/>
      </c>
      <c r="I5009" s="1" t="str">
        <f t="shared" si="315"/>
        <v>威尔新数值1.06.xlsm!suitPower</v>
      </c>
    </row>
    <row r="5010" spans="1:9" x14ac:dyDescent="0.15">
      <c r="A5010" s="1">
        <v>5009</v>
      </c>
      <c r="B5010" s="1">
        <v>203031400</v>
      </c>
      <c r="C5010" s="1">
        <f t="shared" si="314"/>
        <v>22</v>
      </c>
      <c r="D5010" s="5">
        <f ca="1">IF(getQuality(B5010)&lt;4,getOtherMin(B5010,C5010,INDIRECT(J$2),INDIRECT(I5010),test),getMin(B5010,C5010,INDIRECT(J$2),INDIRECT(I5010),test))</f>
        <v>23.222222222222221</v>
      </c>
      <c r="E5010" s="5">
        <f ca="1">IF(getQuality(B5010)&lt;4,getOtherMax(B5010,C5010,INDIRECT(J$2),INDIRECT(I5010),test),getMax(B5010,C5010,INDIRECT(J$2),INDIRECT(I5010),test))</f>
        <v>33.333333333333336</v>
      </c>
      <c r="F5010" s="1" t="str">
        <f t="shared" si="316"/>
        <v>50</v>
      </c>
      <c r="G5010" s="1" t="str">
        <f t="shared" si="313"/>
        <v/>
      </c>
      <c r="I5010" s="1" t="str">
        <f t="shared" si="315"/>
        <v>威尔新数值1.06.xlsm!suitPower</v>
      </c>
    </row>
    <row r="5011" spans="1:9" x14ac:dyDescent="0.15">
      <c r="A5011" s="1">
        <v>5010</v>
      </c>
      <c r="B5011" s="1">
        <v>203031400</v>
      </c>
      <c r="C5011" s="1">
        <f t="shared" si="314"/>
        <v>23</v>
      </c>
      <c r="D5011" s="5">
        <f ca="1">IF(getQuality(B5011)&lt;4,getOtherMin(B5011,C5011,INDIRECT(J$2),INDIRECT(I5011),test),getMin(B5011,C5011,INDIRECT(J$2),INDIRECT(I5011),test))</f>
        <v>23.222222222222221</v>
      </c>
      <c r="E5011" s="5">
        <f ca="1">IF(getQuality(B5011)&lt;4,getOtherMax(B5011,C5011,INDIRECT(J$2),INDIRECT(I5011),test),getMax(B5011,C5011,INDIRECT(J$2),INDIRECT(I5011),test))</f>
        <v>33.333333333333336</v>
      </c>
      <c r="F5011" s="1" t="str">
        <f t="shared" si="316"/>
        <v>50</v>
      </c>
      <c r="G5011" s="1" t="str">
        <f t="shared" si="313"/>
        <v/>
      </c>
      <c r="I5011" s="1" t="str">
        <f t="shared" si="315"/>
        <v>威尔新数值1.06.xlsm!suitPower</v>
      </c>
    </row>
    <row r="5012" spans="1:9" x14ac:dyDescent="0.15">
      <c r="A5012" s="1">
        <v>5011</v>
      </c>
      <c r="B5012" s="1">
        <v>203041400</v>
      </c>
      <c r="C5012" s="1">
        <f t="shared" si="314"/>
        <v>1</v>
      </c>
      <c r="D5012" s="5">
        <f ca="1">IF(getQuality(B5012)&lt;4,getOtherMin(B5012,C5012,INDIRECT(J$2),INDIRECT(I5012),test),getMin(B5012,C5012,INDIRECT(J$2),INDIRECT(I5012),test))</f>
        <v>229.8</v>
      </c>
      <c r="E5012" s="5">
        <f ca="1">IF(getQuality(B5012)&lt;4,getOtherMax(B5012,C5012,INDIRECT(J$2),INDIRECT(I5012),test),getMax(B5012,C5012,INDIRECT(J$2),INDIRECT(I5012),test))</f>
        <v>330.48888888888888</v>
      </c>
      <c r="F5012" s="1" t="str">
        <f t="shared" si="316"/>
        <v>50</v>
      </c>
      <c r="G5012" s="1" t="str">
        <f t="shared" si="313"/>
        <v/>
      </c>
      <c r="I5012" s="1" t="str">
        <f t="shared" si="315"/>
        <v>威尔新数值1.06.xlsm!suitPower</v>
      </c>
    </row>
    <row r="5013" spans="1:9" x14ac:dyDescent="0.15">
      <c r="A5013" s="1">
        <v>5012</v>
      </c>
      <c r="B5013" s="1">
        <v>203041400</v>
      </c>
      <c r="C5013" s="1">
        <f t="shared" si="314"/>
        <v>2</v>
      </c>
      <c r="D5013" s="5">
        <f ca="1">IF(getQuality(B5013)&lt;4,getOtherMin(B5013,C5013,INDIRECT(J$2),INDIRECT(I5013),test),getMin(B5013,C5013,INDIRECT(J$2),INDIRECT(I5013),test))</f>
        <v>23</v>
      </c>
      <c r="E5013" s="5">
        <f ca="1">IF(getQuality(B5013)&lt;4,getOtherMax(B5013,C5013,INDIRECT(J$2),INDIRECT(I5013),test),getMax(B5013,C5013,INDIRECT(J$2),INDIRECT(I5013),test))</f>
        <v>31.777777777777775</v>
      </c>
      <c r="F5013" s="1" t="str">
        <f t="shared" si="316"/>
        <v>50</v>
      </c>
      <c r="G5013" s="1" t="str">
        <f t="shared" si="313"/>
        <v/>
      </c>
      <c r="I5013" s="1" t="str">
        <f t="shared" si="315"/>
        <v>威尔新数值1.06.xlsm!suitPower</v>
      </c>
    </row>
    <row r="5014" spans="1:9" x14ac:dyDescent="0.15">
      <c r="A5014" s="1">
        <v>5013</v>
      </c>
      <c r="B5014" s="1">
        <v>203041400</v>
      </c>
      <c r="C5014" s="1">
        <f t="shared" si="314"/>
        <v>4</v>
      </c>
      <c r="D5014" s="5">
        <f ca="1">IF(getQuality(B5014)&lt;4,getOtherMin(B5014,C5014,INDIRECT(J$2),INDIRECT(I5014),test),getMin(B5014,C5014,INDIRECT(J$2),INDIRECT(I5014),test))</f>
        <v>126</v>
      </c>
      <c r="E5014" s="5">
        <f ca="1">IF(getQuality(B5014)&lt;4,getOtherMax(B5014,C5014,INDIRECT(J$2),INDIRECT(I5014),test),getMax(B5014,C5014,INDIRECT(J$2),INDIRECT(I5014),test))</f>
        <v>166.66666666666666</v>
      </c>
      <c r="F5014" s="1" t="str">
        <f t="shared" si="316"/>
        <v>50</v>
      </c>
      <c r="G5014" s="1" t="str">
        <f t="shared" si="313"/>
        <v>1</v>
      </c>
      <c r="I5014" s="1" t="str">
        <f t="shared" si="315"/>
        <v>威尔新数值1.06.xlsm!suitPower</v>
      </c>
    </row>
    <row r="5015" spans="1:9" x14ac:dyDescent="0.15">
      <c r="A5015" s="1">
        <v>5014</v>
      </c>
      <c r="B5015" s="1">
        <v>203041400</v>
      </c>
      <c r="C5015" s="1">
        <f t="shared" si="314"/>
        <v>6</v>
      </c>
      <c r="D5015" s="5">
        <f ca="1">IF(getQuality(B5015)&lt;4,getOtherMin(B5015,C5015,INDIRECT(J$2),INDIRECT(I5015),test),getMin(B5015,C5015,INDIRECT(J$2),INDIRECT(I5015),test))</f>
        <v>126</v>
      </c>
      <c r="E5015" s="5">
        <f ca="1">IF(getQuality(B5015)&lt;4,getOtherMax(B5015,C5015,INDIRECT(J$2),INDIRECT(I5015),test),getMax(B5015,C5015,INDIRECT(J$2),INDIRECT(I5015),test))</f>
        <v>166.66666666666666</v>
      </c>
      <c r="F5015" s="1" t="str">
        <f t="shared" si="316"/>
        <v>50</v>
      </c>
      <c r="G5015" s="1" t="str">
        <f t="shared" si="313"/>
        <v/>
      </c>
      <c r="I5015" s="1" t="str">
        <f t="shared" si="315"/>
        <v>威尔新数值1.06.xlsm!suitPower</v>
      </c>
    </row>
    <row r="5016" spans="1:9" x14ac:dyDescent="0.15">
      <c r="A5016" s="1">
        <v>5015</v>
      </c>
      <c r="B5016" s="1">
        <v>203041400</v>
      </c>
      <c r="C5016" s="1">
        <f t="shared" si="314"/>
        <v>7</v>
      </c>
      <c r="D5016" s="5">
        <f ca="1">IF(getQuality(B5016)&lt;4,getOtherMin(B5016,C5016,INDIRECT(J$2),INDIRECT(I5016),test),getMin(B5016,C5016,INDIRECT(J$2),INDIRECT(I5016),test))</f>
        <v>12.111111111111082</v>
      </c>
      <c r="E5016" s="5">
        <f ca="1">IF(getQuality(B5016)&lt;4,getOtherMax(B5016,C5016,INDIRECT(J$2),INDIRECT(I5016),test),getMax(B5016,C5016,INDIRECT(J$2),INDIRECT(I5016),test))</f>
        <v>14.814814814814778</v>
      </c>
      <c r="F5016" s="1" t="str">
        <f t="shared" si="316"/>
        <v>50</v>
      </c>
      <c r="G5016" s="1" t="str">
        <f t="shared" si="313"/>
        <v/>
      </c>
      <c r="I5016" s="1" t="str">
        <f t="shared" si="315"/>
        <v>威尔新数值1.06.xlsm!suitPower</v>
      </c>
    </row>
    <row r="5017" spans="1:9" x14ac:dyDescent="0.15">
      <c r="A5017" s="1">
        <v>5016</v>
      </c>
      <c r="B5017" s="1">
        <v>203041400</v>
      </c>
      <c r="C5017" s="1">
        <f t="shared" si="314"/>
        <v>8</v>
      </c>
      <c r="D5017" s="5">
        <f ca="1">IF(getQuality(B5017)&lt;4,getOtherMin(B5017,C5017,INDIRECT(J$2),INDIRECT(I5017),test),getMin(B5017,C5017,INDIRECT(J$2),INDIRECT(I5017),test))</f>
        <v>26</v>
      </c>
      <c r="E5017" s="5">
        <f ca="1">IF(getQuality(B5017)&lt;4,getOtherMax(B5017,C5017,INDIRECT(J$2),INDIRECT(I5017),test),getMax(B5017,C5017,INDIRECT(J$2),INDIRECT(I5017),test))</f>
        <v>33.333333333333336</v>
      </c>
      <c r="F5017" s="1" t="str">
        <f t="shared" si="316"/>
        <v>50</v>
      </c>
      <c r="G5017" s="1" t="str">
        <f t="shared" ref="G5017:G5080" si="317">getMust(B5017,C5017)</f>
        <v/>
      </c>
      <c r="I5017" s="1" t="str">
        <f t="shared" si="315"/>
        <v>威尔新数值1.06.xlsm!suitPower</v>
      </c>
    </row>
    <row r="5018" spans="1:9" x14ac:dyDescent="0.15">
      <c r="A5018" s="1">
        <v>5017</v>
      </c>
      <c r="B5018" s="1">
        <v>203041400</v>
      </c>
      <c r="C5018" s="1">
        <f t="shared" si="314"/>
        <v>16</v>
      </c>
      <c r="D5018" s="5">
        <f ca="1">IF(getQuality(B5018)&lt;4,getOtherMin(B5018,C5018,INDIRECT(J$2),INDIRECT(I5018),test),getMin(B5018,C5018,INDIRECT(J$2),INDIRECT(I5018),test))</f>
        <v>34.333333333333336</v>
      </c>
      <c r="E5018" s="5">
        <f ca="1">IF(getQuality(B5018)&lt;4,getOtherMax(B5018,C5018,INDIRECT(J$2),INDIRECT(I5018),test),getMax(B5018,C5018,INDIRECT(J$2),INDIRECT(I5018),test))</f>
        <v>44.444444444444443</v>
      </c>
      <c r="F5018" s="1" t="str">
        <f t="shared" si="316"/>
        <v>50</v>
      </c>
      <c r="G5018" s="1" t="str">
        <f t="shared" si="317"/>
        <v/>
      </c>
      <c r="I5018" s="1" t="str">
        <f t="shared" si="315"/>
        <v>威尔新数值1.06.xlsm!suitPower</v>
      </c>
    </row>
    <row r="5019" spans="1:9" x14ac:dyDescent="0.15">
      <c r="A5019" s="1">
        <v>5018</v>
      </c>
      <c r="B5019" s="1">
        <v>203041400</v>
      </c>
      <c r="C5019" s="1">
        <f t="shared" si="314"/>
        <v>17</v>
      </c>
      <c r="D5019" s="5">
        <f ca="1">IF(getQuality(B5019)&lt;4,getOtherMin(B5019,C5019,INDIRECT(J$2),INDIRECT(I5019),test),getMin(B5019,C5019,INDIRECT(J$2),INDIRECT(I5019),test))</f>
        <v>34.333333333333336</v>
      </c>
      <c r="E5019" s="5">
        <f ca="1">IF(getQuality(B5019)&lt;4,getOtherMax(B5019,C5019,INDIRECT(J$2),INDIRECT(I5019),test),getMax(B5019,C5019,INDIRECT(J$2),INDIRECT(I5019),test))</f>
        <v>44.444444444444443</v>
      </c>
      <c r="F5019" s="1" t="str">
        <f t="shared" si="316"/>
        <v>50</v>
      </c>
      <c r="G5019" s="1" t="str">
        <f t="shared" si="317"/>
        <v/>
      </c>
      <c r="I5019" s="1" t="str">
        <f t="shared" si="315"/>
        <v>威尔新数值1.06.xlsm!suitPower</v>
      </c>
    </row>
    <row r="5020" spans="1:9" x14ac:dyDescent="0.15">
      <c r="A5020" s="1">
        <v>5019</v>
      </c>
      <c r="B5020" s="1">
        <v>203041400</v>
      </c>
      <c r="C5020" s="1">
        <f t="shared" si="314"/>
        <v>18</v>
      </c>
      <c r="D5020" s="5">
        <f ca="1">IF(getQuality(B5020)&lt;4,getOtherMin(B5020,C5020,INDIRECT(J$2),INDIRECT(I5020),test),getMin(B5020,C5020,INDIRECT(J$2),INDIRECT(I5020),test))</f>
        <v>34.333333333333336</v>
      </c>
      <c r="E5020" s="5">
        <f ca="1">IF(getQuality(B5020)&lt;4,getOtherMax(B5020,C5020,INDIRECT(J$2),INDIRECT(I5020),test),getMax(B5020,C5020,INDIRECT(J$2),INDIRECT(I5020),test))</f>
        <v>44.444444444444443</v>
      </c>
      <c r="F5020" s="1" t="str">
        <f t="shared" si="316"/>
        <v>50</v>
      </c>
      <c r="G5020" s="1" t="str">
        <f t="shared" si="317"/>
        <v/>
      </c>
      <c r="I5020" s="1" t="str">
        <f t="shared" si="315"/>
        <v>威尔新数值1.06.xlsm!suitPower</v>
      </c>
    </row>
    <row r="5021" spans="1:9" x14ac:dyDescent="0.15">
      <c r="A5021" s="1">
        <v>5020</v>
      </c>
      <c r="B5021" s="1">
        <v>203041400</v>
      </c>
      <c r="C5021" s="1">
        <f t="shared" si="314"/>
        <v>19</v>
      </c>
      <c r="D5021" s="5">
        <f ca="1">IF(getQuality(B5021)&lt;4,getOtherMin(B5021,C5021,INDIRECT(J$2),INDIRECT(I5021),test),getMin(B5021,C5021,INDIRECT(J$2),INDIRECT(I5021),test))</f>
        <v>34.333333333333336</v>
      </c>
      <c r="E5021" s="5">
        <f ca="1">IF(getQuality(B5021)&lt;4,getOtherMax(B5021,C5021,INDIRECT(J$2),INDIRECT(I5021),test),getMax(B5021,C5021,INDIRECT(J$2),INDIRECT(I5021),test))</f>
        <v>44.444444444444443</v>
      </c>
      <c r="F5021" s="1" t="str">
        <f t="shared" si="316"/>
        <v>50</v>
      </c>
      <c r="G5021" s="1" t="str">
        <f t="shared" si="317"/>
        <v/>
      </c>
      <c r="I5021" s="1" t="str">
        <f t="shared" si="315"/>
        <v>威尔新数值1.06.xlsm!suitPower</v>
      </c>
    </row>
    <row r="5022" spans="1:9" x14ac:dyDescent="0.15">
      <c r="A5022" s="1">
        <v>5021</v>
      </c>
      <c r="B5022" s="1">
        <v>203041400</v>
      </c>
      <c r="C5022" s="1">
        <f t="shared" si="314"/>
        <v>20</v>
      </c>
      <c r="D5022" s="5">
        <f ca="1">IF(getQuality(B5022)&lt;4,getOtherMin(B5022,C5022,INDIRECT(J$2),INDIRECT(I5022),test),getMin(B5022,C5022,INDIRECT(J$2),INDIRECT(I5022),test))</f>
        <v>34.333333333333336</v>
      </c>
      <c r="E5022" s="5">
        <f ca="1">IF(getQuality(B5022)&lt;4,getOtherMax(B5022,C5022,INDIRECT(J$2),INDIRECT(I5022),test),getMax(B5022,C5022,INDIRECT(J$2),INDIRECT(I5022),test))</f>
        <v>44.444444444444443</v>
      </c>
      <c r="F5022" s="1" t="str">
        <f t="shared" si="316"/>
        <v>50</v>
      </c>
      <c r="G5022" s="1" t="str">
        <f t="shared" si="317"/>
        <v/>
      </c>
      <c r="I5022" s="1" t="str">
        <f t="shared" si="315"/>
        <v>威尔新数值1.06.xlsm!suitPower</v>
      </c>
    </row>
    <row r="5023" spans="1:9" x14ac:dyDescent="0.15">
      <c r="A5023" s="1">
        <v>5022</v>
      </c>
      <c r="B5023" s="1">
        <v>203041400</v>
      </c>
      <c r="C5023" s="1">
        <f t="shared" si="314"/>
        <v>21</v>
      </c>
      <c r="D5023" s="5">
        <f ca="1">IF(getQuality(B5023)&lt;4,getOtherMin(B5023,C5023,INDIRECT(J$2),INDIRECT(I5023),test),getMin(B5023,C5023,INDIRECT(J$2),INDIRECT(I5023),test))</f>
        <v>34.333333333333336</v>
      </c>
      <c r="E5023" s="5">
        <f ca="1">IF(getQuality(B5023)&lt;4,getOtherMax(B5023,C5023,INDIRECT(J$2),INDIRECT(I5023),test),getMax(B5023,C5023,INDIRECT(J$2),INDIRECT(I5023),test))</f>
        <v>44.444444444444443</v>
      </c>
      <c r="F5023" s="1" t="str">
        <f t="shared" si="316"/>
        <v>50</v>
      </c>
      <c r="G5023" s="1" t="str">
        <f t="shared" si="317"/>
        <v/>
      </c>
      <c r="I5023" s="1" t="str">
        <f t="shared" si="315"/>
        <v>威尔新数值1.06.xlsm!suitPower</v>
      </c>
    </row>
    <row r="5024" spans="1:9" x14ac:dyDescent="0.15">
      <c r="A5024" s="1">
        <v>5023</v>
      </c>
      <c r="B5024" s="1">
        <v>203041400</v>
      </c>
      <c r="C5024" s="1">
        <f t="shared" si="314"/>
        <v>22</v>
      </c>
      <c r="D5024" s="5">
        <f ca="1">IF(getQuality(B5024)&lt;4,getOtherMin(B5024,C5024,INDIRECT(J$2),INDIRECT(I5024),test),getMin(B5024,C5024,INDIRECT(J$2),INDIRECT(I5024),test))</f>
        <v>34.333333333333336</v>
      </c>
      <c r="E5024" s="5">
        <f ca="1">IF(getQuality(B5024)&lt;4,getOtherMax(B5024,C5024,INDIRECT(J$2),INDIRECT(I5024),test),getMax(B5024,C5024,INDIRECT(J$2),INDIRECT(I5024),test))</f>
        <v>44.444444444444443</v>
      </c>
      <c r="F5024" s="1" t="str">
        <f t="shared" si="316"/>
        <v>50</v>
      </c>
      <c r="G5024" s="1" t="str">
        <f t="shared" si="317"/>
        <v/>
      </c>
      <c r="I5024" s="1" t="str">
        <f t="shared" si="315"/>
        <v>威尔新数值1.06.xlsm!suitPower</v>
      </c>
    </row>
    <row r="5025" spans="1:9" x14ac:dyDescent="0.15">
      <c r="A5025" s="1">
        <v>5024</v>
      </c>
      <c r="B5025" s="1">
        <v>203041400</v>
      </c>
      <c r="C5025" s="1">
        <f t="shared" si="314"/>
        <v>23</v>
      </c>
      <c r="D5025" s="5">
        <f ca="1">IF(getQuality(B5025)&lt;4,getOtherMin(B5025,C5025,INDIRECT(J$2),INDIRECT(I5025),test),getMin(B5025,C5025,INDIRECT(J$2),INDIRECT(I5025),test))</f>
        <v>34.333333333333336</v>
      </c>
      <c r="E5025" s="5">
        <f ca="1">IF(getQuality(B5025)&lt;4,getOtherMax(B5025,C5025,INDIRECT(J$2),INDIRECT(I5025),test),getMax(B5025,C5025,INDIRECT(J$2),INDIRECT(I5025),test))</f>
        <v>44.444444444444443</v>
      </c>
      <c r="F5025" s="1" t="str">
        <f t="shared" si="316"/>
        <v>50</v>
      </c>
      <c r="G5025" s="1" t="str">
        <f t="shared" si="317"/>
        <v/>
      </c>
      <c r="I5025" s="1" t="str">
        <f t="shared" si="315"/>
        <v>威尔新数值1.06.xlsm!suitPower</v>
      </c>
    </row>
    <row r="5026" spans="1:9" x14ac:dyDescent="0.15">
      <c r="A5026" s="1">
        <v>5025</v>
      </c>
      <c r="B5026" s="1">
        <v>203051400</v>
      </c>
      <c r="C5026" s="1">
        <f t="shared" si="314"/>
        <v>1</v>
      </c>
      <c r="D5026" s="5">
        <f ca="1">IF(getQuality(B5026)&lt;4,getOtherMin(B5026,C5026,INDIRECT(J$2),INDIRECT(I5026),test),getMin(B5026,C5026,INDIRECT(J$2),INDIRECT(I5026),test))</f>
        <v>331.48888888888888</v>
      </c>
      <c r="E5026" s="5">
        <f ca="1">IF(getQuality(B5026)&lt;4,getOtherMax(B5026,C5026,INDIRECT(J$2),INDIRECT(I5026),test),getMax(B5026,C5026,INDIRECT(J$2),INDIRECT(I5026),test))</f>
        <v>447.77777777777783</v>
      </c>
      <c r="F5026" s="1" t="str">
        <f t="shared" si="316"/>
        <v>50</v>
      </c>
      <c r="G5026" s="1" t="str">
        <f t="shared" si="317"/>
        <v/>
      </c>
      <c r="I5026" s="1" t="str">
        <f t="shared" si="315"/>
        <v>威尔新数值1.06.xlsm!suitPower</v>
      </c>
    </row>
    <row r="5027" spans="1:9" x14ac:dyDescent="0.15">
      <c r="A5027" s="1">
        <v>5026</v>
      </c>
      <c r="B5027" s="1">
        <v>203051400</v>
      </c>
      <c r="C5027" s="1">
        <f t="shared" si="314"/>
        <v>2</v>
      </c>
      <c r="D5027" s="5">
        <f ca="1">IF(getQuality(B5027)&lt;4,getOtherMin(B5027,C5027,INDIRECT(J$2),INDIRECT(I5027),test),getMin(B5027,C5027,INDIRECT(J$2),INDIRECT(I5027),test))</f>
        <v>32.777777777777779</v>
      </c>
      <c r="E5027" s="5">
        <f ca="1">IF(getQuality(B5027)&lt;4,getOtherMax(B5027,C5027,INDIRECT(J$2),INDIRECT(I5027),test),getMax(B5027,C5027,INDIRECT(J$2),INDIRECT(I5027),test))</f>
        <v>43.055555555555557</v>
      </c>
      <c r="F5027" s="1" t="str">
        <f t="shared" si="316"/>
        <v>50</v>
      </c>
      <c r="G5027" s="1" t="str">
        <f t="shared" si="317"/>
        <v/>
      </c>
      <c r="I5027" s="1" t="str">
        <f t="shared" si="315"/>
        <v>威尔新数值1.06.xlsm!suitPower</v>
      </c>
    </row>
    <row r="5028" spans="1:9" x14ac:dyDescent="0.15">
      <c r="A5028" s="1">
        <v>5027</v>
      </c>
      <c r="B5028" s="1">
        <v>203051400</v>
      </c>
      <c r="C5028" s="1">
        <f t="shared" si="314"/>
        <v>4</v>
      </c>
      <c r="D5028" s="5">
        <f ca="1">IF(getQuality(B5028)&lt;4,getOtherMin(B5028,C5028,INDIRECT(J$2),INDIRECT(I5028),test),getMin(B5028,C5028,INDIRECT(J$2),INDIRECT(I5028),test))</f>
        <v>167.66666666666666</v>
      </c>
      <c r="E5028" s="5">
        <f ca="1">IF(getQuality(B5028)&lt;4,getOtherMax(B5028,C5028,INDIRECT(J$2),INDIRECT(I5028),test),getMax(B5028,C5028,INDIRECT(J$2),INDIRECT(I5028),test))</f>
        <v>208.33333333333334</v>
      </c>
      <c r="F5028" s="1" t="str">
        <f t="shared" si="316"/>
        <v>50</v>
      </c>
      <c r="G5028" s="1" t="str">
        <f t="shared" si="317"/>
        <v>1</v>
      </c>
      <c r="I5028" s="1" t="str">
        <f t="shared" si="315"/>
        <v>威尔新数值1.06.xlsm!suitPower</v>
      </c>
    </row>
    <row r="5029" spans="1:9" x14ac:dyDescent="0.15">
      <c r="A5029" s="1">
        <v>5028</v>
      </c>
      <c r="B5029" s="1">
        <v>203051400</v>
      </c>
      <c r="C5029" s="1">
        <f t="shared" si="314"/>
        <v>6</v>
      </c>
      <c r="D5029" s="5">
        <f ca="1">IF(getQuality(B5029)&lt;4,getOtherMin(B5029,C5029,INDIRECT(J$2),INDIRECT(I5029),test),getMin(B5029,C5029,INDIRECT(J$2),INDIRECT(I5029),test))</f>
        <v>167.66666666666666</v>
      </c>
      <c r="E5029" s="5">
        <f ca="1">IF(getQuality(B5029)&lt;4,getOtherMax(B5029,C5029,INDIRECT(J$2),INDIRECT(I5029),test),getMax(B5029,C5029,INDIRECT(J$2),INDIRECT(I5029),test))</f>
        <v>208.33333333333334</v>
      </c>
      <c r="F5029" s="1" t="str">
        <f t="shared" si="316"/>
        <v>50</v>
      </c>
      <c r="G5029" s="1" t="str">
        <f t="shared" si="317"/>
        <v/>
      </c>
      <c r="I5029" s="1" t="str">
        <f t="shared" si="315"/>
        <v>威尔新数值1.06.xlsm!suitPower</v>
      </c>
    </row>
    <row r="5030" spans="1:9" x14ac:dyDescent="0.15">
      <c r="A5030" s="1">
        <v>5029</v>
      </c>
      <c r="B5030" s="1">
        <v>203051400</v>
      </c>
      <c r="C5030" s="1">
        <f t="shared" si="314"/>
        <v>7</v>
      </c>
      <c r="D5030" s="5">
        <f ca="1">IF(getQuality(B5030)&lt;4,getOtherMin(B5030,C5030,INDIRECT(J$2),INDIRECT(I5030),test),getMin(B5030,C5030,INDIRECT(J$2),INDIRECT(I5030),test))</f>
        <v>15.814814814814778</v>
      </c>
      <c r="E5030" s="5">
        <f ca="1">IF(getQuality(B5030)&lt;4,getOtherMax(B5030,C5030,INDIRECT(J$2),INDIRECT(I5030),test),getMax(B5030,C5030,INDIRECT(J$2),INDIRECT(I5030),test))</f>
        <v>18.518518518518473</v>
      </c>
      <c r="F5030" s="1" t="str">
        <f t="shared" si="316"/>
        <v>50</v>
      </c>
      <c r="G5030" s="1" t="str">
        <f t="shared" si="317"/>
        <v/>
      </c>
      <c r="I5030" s="1" t="str">
        <f t="shared" si="315"/>
        <v>威尔新数值1.06.xlsm!suitPower</v>
      </c>
    </row>
    <row r="5031" spans="1:9" x14ac:dyDescent="0.15">
      <c r="A5031" s="1">
        <v>5030</v>
      </c>
      <c r="B5031" s="1">
        <v>203051400</v>
      </c>
      <c r="C5031" s="1">
        <f t="shared" si="314"/>
        <v>8</v>
      </c>
      <c r="D5031" s="5">
        <f ca="1">IF(getQuality(B5031)&lt;4,getOtherMin(B5031,C5031,INDIRECT(J$2),INDIRECT(I5031),test),getMin(B5031,C5031,INDIRECT(J$2),INDIRECT(I5031),test))</f>
        <v>34.333333333333336</v>
      </c>
      <c r="E5031" s="5">
        <f ca="1">IF(getQuality(B5031)&lt;4,getOtherMax(B5031,C5031,INDIRECT(J$2),INDIRECT(I5031),test),getMax(B5031,C5031,INDIRECT(J$2),INDIRECT(I5031),test))</f>
        <v>41.666666666666664</v>
      </c>
      <c r="F5031" s="1" t="str">
        <f t="shared" si="316"/>
        <v>50</v>
      </c>
      <c r="G5031" s="1" t="str">
        <f t="shared" si="317"/>
        <v/>
      </c>
      <c r="I5031" s="1" t="str">
        <f t="shared" si="315"/>
        <v>威尔新数值1.06.xlsm!suitPower</v>
      </c>
    </row>
    <row r="5032" spans="1:9" x14ac:dyDescent="0.15">
      <c r="A5032" s="1">
        <v>5031</v>
      </c>
      <c r="B5032" s="1">
        <v>203051400</v>
      </c>
      <c r="C5032" s="1">
        <f t="shared" si="314"/>
        <v>16</v>
      </c>
      <c r="D5032" s="5">
        <f ca="1">IF(getQuality(B5032)&lt;4,getOtherMin(B5032,C5032,INDIRECT(J$2),INDIRECT(I5032),test),getMin(B5032,C5032,INDIRECT(J$2),INDIRECT(I5032),test))</f>
        <v>45.444444444444443</v>
      </c>
      <c r="E5032" s="5">
        <f ca="1">IF(getQuality(B5032)&lt;4,getOtherMax(B5032,C5032,INDIRECT(J$2),INDIRECT(I5032),test),getMax(B5032,C5032,INDIRECT(J$2),INDIRECT(I5032),test))</f>
        <v>55.555555555555557</v>
      </c>
      <c r="F5032" s="1" t="str">
        <f t="shared" si="316"/>
        <v>50</v>
      </c>
      <c r="G5032" s="1" t="str">
        <f t="shared" si="317"/>
        <v/>
      </c>
      <c r="I5032" s="1" t="str">
        <f t="shared" si="315"/>
        <v>威尔新数值1.06.xlsm!suitPower</v>
      </c>
    </row>
    <row r="5033" spans="1:9" x14ac:dyDescent="0.15">
      <c r="A5033" s="1">
        <v>5032</v>
      </c>
      <c r="B5033" s="1">
        <v>203051400</v>
      </c>
      <c r="C5033" s="1">
        <f t="shared" si="314"/>
        <v>17</v>
      </c>
      <c r="D5033" s="5">
        <f ca="1">IF(getQuality(B5033)&lt;4,getOtherMin(B5033,C5033,INDIRECT(J$2),INDIRECT(I5033),test),getMin(B5033,C5033,INDIRECT(J$2),INDIRECT(I5033),test))</f>
        <v>45.444444444444443</v>
      </c>
      <c r="E5033" s="5">
        <f ca="1">IF(getQuality(B5033)&lt;4,getOtherMax(B5033,C5033,INDIRECT(J$2),INDIRECT(I5033),test),getMax(B5033,C5033,INDIRECT(J$2),INDIRECT(I5033),test))</f>
        <v>55.555555555555557</v>
      </c>
      <c r="F5033" s="1" t="str">
        <f t="shared" si="316"/>
        <v>50</v>
      </c>
      <c r="G5033" s="1" t="str">
        <f t="shared" si="317"/>
        <v/>
      </c>
      <c r="I5033" s="1" t="str">
        <f t="shared" si="315"/>
        <v>威尔新数值1.06.xlsm!suitPower</v>
      </c>
    </row>
    <row r="5034" spans="1:9" x14ac:dyDescent="0.15">
      <c r="A5034" s="1">
        <v>5033</v>
      </c>
      <c r="B5034" s="1">
        <v>203051400</v>
      </c>
      <c r="C5034" s="1">
        <f t="shared" si="314"/>
        <v>18</v>
      </c>
      <c r="D5034" s="5">
        <f ca="1">IF(getQuality(B5034)&lt;4,getOtherMin(B5034,C5034,INDIRECT(J$2),INDIRECT(I5034),test),getMin(B5034,C5034,INDIRECT(J$2),INDIRECT(I5034),test))</f>
        <v>45.444444444444443</v>
      </c>
      <c r="E5034" s="5">
        <f ca="1">IF(getQuality(B5034)&lt;4,getOtherMax(B5034,C5034,INDIRECT(J$2),INDIRECT(I5034),test),getMax(B5034,C5034,INDIRECT(J$2),INDIRECT(I5034),test))</f>
        <v>55.555555555555557</v>
      </c>
      <c r="F5034" s="1" t="str">
        <f t="shared" si="316"/>
        <v>50</v>
      </c>
      <c r="G5034" s="1" t="str">
        <f t="shared" si="317"/>
        <v/>
      </c>
      <c r="I5034" s="1" t="str">
        <f t="shared" si="315"/>
        <v>威尔新数值1.06.xlsm!suitPower</v>
      </c>
    </row>
    <row r="5035" spans="1:9" x14ac:dyDescent="0.15">
      <c r="A5035" s="1">
        <v>5034</v>
      </c>
      <c r="B5035" s="1">
        <v>203051400</v>
      </c>
      <c r="C5035" s="1">
        <f t="shared" si="314"/>
        <v>19</v>
      </c>
      <c r="D5035" s="5">
        <f ca="1">IF(getQuality(B5035)&lt;4,getOtherMin(B5035,C5035,INDIRECT(J$2),INDIRECT(I5035),test),getMin(B5035,C5035,INDIRECT(J$2),INDIRECT(I5035),test))</f>
        <v>45.444444444444443</v>
      </c>
      <c r="E5035" s="5">
        <f ca="1">IF(getQuality(B5035)&lt;4,getOtherMax(B5035,C5035,INDIRECT(J$2),INDIRECT(I5035),test),getMax(B5035,C5035,INDIRECT(J$2),INDIRECT(I5035),test))</f>
        <v>55.555555555555557</v>
      </c>
      <c r="F5035" s="1" t="str">
        <f t="shared" si="316"/>
        <v>50</v>
      </c>
      <c r="G5035" s="1" t="str">
        <f t="shared" si="317"/>
        <v/>
      </c>
      <c r="I5035" s="1" t="str">
        <f t="shared" si="315"/>
        <v>威尔新数值1.06.xlsm!suitPower</v>
      </c>
    </row>
    <row r="5036" spans="1:9" x14ac:dyDescent="0.15">
      <c r="A5036" s="1">
        <v>5035</v>
      </c>
      <c r="B5036" s="1">
        <v>203051400</v>
      </c>
      <c r="C5036" s="1">
        <f t="shared" si="314"/>
        <v>20</v>
      </c>
      <c r="D5036" s="5">
        <f ca="1">IF(getQuality(B5036)&lt;4,getOtherMin(B5036,C5036,INDIRECT(J$2),INDIRECT(I5036),test),getMin(B5036,C5036,INDIRECT(J$2),INDIRECT(I5036),test))</f>
        <v>45.444444444444443</v>
      </c>
      <c r="E5036" s="5">
        <f ca="1">IF(getQuality(B5036)&lt;4,getOtherMax(B5036,C5036,INDIRECT(J$2),INDIRECT(I5036),test),getMax(B5036,C5036,INDIRECT(J$2),INDIRECT(I5036),test))</f>
        <v>55.555555555555557</v>
      </c>
      <c r="F5036" s="1" t="str">
        <f t="shared" si="316"/>
        <v>50</v>
      </c>
      <c r="G5036" s="1" t="str">
        <f t="shared" si="317"/>
        <v/>
      </c>
      <c r="I5036" s="1" t="str">
        <f t="shared" si="315"/>
        <v>威尔新数值1.06.xlsm!suitPower</v>
      </c>
    </row>
    <row r="5037" spans="1:9" x14ac:dyDescent="0.15">
      <c r="A5037" s="1">
        <v>5036</v>
      </c>
      <c r="B5037" s="1">
        <v>203051400</v>
      </c>
      <c r="C5037" s="1">
        <f t="shared" si="314"/>
        <v>21</v>
      </c>
      <c r="D5037" s="5">
        <f ca="1">IF(getQuality(B5037)&lt;4,getOtherMin(B5037,C5037,INDIRECT(J$2),INDIRECT(I5037),test),getMin(B5037,C5037,INDIRECT(J$2),INDIRECT(I5037),test))</f>
        <v>45.444444444444443</v>
      </c>
      <c r="E5037" s="5">
        <f ca="1">IF(getQuality(B5037)&lt;4,getOtherMax(B5037,C5037,INDIRECT(J$2),INDIRECT(I5037),test),getMax(B5037,C5037,INDIRECT(J$2),INDIRECT(I5037),test))</f>
        <v>55.555555555555557</v>
      </c>
      <c r="F5037" s="1" t="str">
        <f t="shared" si="316"/>
        <v>50</v>
      </c>
      <c r="G5037" s="1" t="str">
        <f t="shared" si="317"/>
        <v/>
      </c>
      <c r="I5037" s="1" t="str">
        <f t="shared" si="315"/>
        <v>威尔新数值1.06.xlsm!suitPower</v>
      </c>
    </row>
    <row r="5038" spans="1:9" x14ac:dyDescent="0.15">
      <c r="A5038" s="1">
        <v>5037</v>
      </c>
      <c r="B5038" s="1">
        <v>203051400</v>
      </c>
      <c r="C5038" s="1">
        <f t="shared" si="314"/>
        <v>22</v>
      </c>
      <c r="D5038" s="5">
        <f ca="1">IF(getQuality(B5038)&lt;4,getOtherMin(B5038,C5038,INDIRECT(J$2),INDIRECT(I5038),test),getMin(B5038,C5038,INDIRECT(J$2),INDIRECT(I5038),test))</f>
        <v>45.444444444444443</v>
      </c>
      <c r="E5038" s="5">
        <f ca="1">IF(getQuality(B5038)&lt;4,getOtherMax(B5038,C5038,INDIRECT(J$2),INDIRECT(I5038),test),getMax(B5038,C5038,INDIRECT(J$2),INDIRECT(I5038),test))</f>
        <v>55.555555555555557</v>
      </c>
      <c r="F5038" s="1" t="str">
        <f t="shared" si="316"/>
        <v>50</v>
      </c>
      <c r="G5038" s="1" t="str">
        <f t="shared" si="317"/>
        <v/>
      </c>
      <c r="I5038" s="1" t="str">
        <f t="shared" si="315"/>
        <v>威尔新数值1.06.xlsm!suitPower</v>
      </c>
    </row>
    <row r="5039" spans="1:9" x14ac:dyDescent="0.15">
      <c r="A5039" s="1">
        <v>5038</v>
      </c>
      <c r="B5039" s="1">
        <v>203051400</v>
      </c>
      <c r="C5039" s="1">
        <f t="shared" si="314"/>
        <v>23</v>
      </c>
      <c r="D5039" s="5">
        <f ca="1">IF(getQuality(B5039)&lt;4,getOtherMin(B5039,C5039,INDIRECT(J$2),INDIRECT(I5039),test),getMin(B5039,C5039,INDIRECT(J$2),INDIRECT(I5039),test))</f>
        <v>45.444444444444443</v>
      </c>
      <c r="E5039" s="5">
        <f ca="1">IF(getQuality(B5039)&lt;4,getOtherMax(B5039,C5039,INDIRECT(J$2),INDIRECT(I5039),test),getMax(B5039,C5039,INDIRECT(J$2),INDIRECT(I5039),test))</f>
        <v>55.555555555555557</v>
      </c>
      <c r="F5039" s="1" t="str">
        <f t="shared" si="316"/>
        <v>50</v>
      </c>
      <c r="G5039" s="1" t="str">
        <f t="shared" si="317"/>
        <v/>
      </c>
      <c r="I5039" s="1" t="str">
        <f t="shared" si="315"/>
        <v>威尔新数值1.06.xlsm!suitPower</v>
      </c>
    </row>
    <row r="5040" spans="1:9" x14ac:dyDescent="0.15">
      <c r="A5040" s="1">
        <v>5039</v>
      </c>
      <c r="B5040" s="1">
        <v>203061400</v>
      </c>
      <c r="C5040" s="1">
        <f t="shared" si="314"/>
        <v>1</v>
      </c>
      <c r="D5040" s="5">
        <f ca="1">IF(getQuality(B5040)&lt;4,getOtherMin(B5040,C5040,INDIRECT(J$2),INDIRECT(I5040),test),getMin(B5040,C5040,INDIRECT(J$2),INDIRECT(I5040),test))</f>
        <v>448.77777777777783</v>
      </c>
      <c r="E5040" s="5">
        <f ca="1">IF(getQuality(B5040)&lt;4,getOtherMax(B5040,C5040,INDIRECT(J$2),INDIRECT(I5040),test),getMax(B5040,C5040,INDIRECT(J$2),INDIRECT(I5040),test))</f>
        <v>575.4666666666667</v>
      </c>
      <c r="F5040" s="1" t="str">
        <f t="shared" si="316"/>
        <v>50</v>
      </c>
      <c r="G5040" s="1" t="str">
        <f t="shared" si="317"/>
        <v/>
      </c>
      <c r="I5040" s="1" t="str">
        <f t="shared" si="315"/>
        <v>威尔新数值1.06.xlsm!suitPower</v>
      </c>
    </row>
    <row r="5041" spans="1:9" x14ac:dyDescent="0.15">
      <c r="A5041" s="1">
        <v>5040</v>
      </c>
      <c r="B5041" s="1">
        <v>203061400</v>
      </c>
      <c r="C5041" s="1">
        <f t="shared" si="314"/>
        <v>2</v>
      </c>
      <c r="D5041" s="5">
        <f ca="1">IF(getQuality(B5041)&lt;4,getOtherMin(B5041,C5041,INDIRECT(J$2),INDIRECT(I5041),test),getMin(B5041,C5041,INDIRECT(J$2),INDIRECT(I5041),test))</f>
        <v>44.055555555555557</v>
      </c>
      <c r="E5041" s="5">
        <f ca="1">IF(getQuality(B5041)&lt;4,getOtherMax(B5041,C5041,INDIRECT(J$2),INDIRECT(I5041),test),getMax(B5041,C5041,INDIRECT(J$2),INDIRECT(I5041),test))</f>
        <v>55.333333333333329</v>
      </c>
      <c r="F5041" s="1" t="str">
        <f t="shared" si="316"/>
        <v>50</v>
      </c>
      <c r="G5041" s="1" t="str">
        <f t="shared" si="317"/>
        <v/>
      </c>
      <c r="I5041" s="1" t="str">
        <f t="shared" si="315"/>
        <v>威尔新数值1.06.xlsm!suitPower</v>
      </c>
    </row>
    <row r="5042" spans="1:9" x14ac:dyDescent="0.15">
      <c r="A5042" s="1">
        <v>5041</v>
      </c>
      <c r="B5042" s="1">
        <v>203061400</v>
      </c>
      <c r="C5042" s="1">
        <f t="shared" si="314"/>
        <v>4</v>
      </c>
      <c r="D5042" s="5">
        <f ca="1">IF(getQuality(B5042)&lt;4,getOtherMin(B5042,C5042,INDIRECT(J$2),INDIRECT(I5042),test),getMin(B5042,C5042,INDIRECT(J$2),INDIRECT(I5042),test))</f>
        <v>209.33333333333334</v>
      </c>
      <c r="E5042" s="5">
        <f ca="1">IF(getQuality(B5042)&lt;4,getOtherMax(B5042,C5042,INDIRECT(J$2),INDIRECT(I5042),test),getMax(B5042,C5042,INDIRECT(J$2),INDIRECT(I5042),test))</f>
        <v>250</v>
      </c>
      <c r="F5042" s="1" t="str">
        <f t="shared" si="316"/>
        <v>50</v>
      </c>
      <c r="G5042" s="1" t="str">
        <f t="shared" si="317"/>
        <v>1</v>
      </c>
      <c r="I5042" s="1" t="str">
        <f t="shared" si="315"/>
        <v>威尔新数值1.06.xlsm!suitPower</v>
      </c>
    </row>
    <row r="5043" spans="1:9" x14ac:dyDescent="0.15">
      <c r="A5043" s="1">
        <v>5042</v>
      </c>
      <c r="B5043" s="1">
        <v>203061400</v>
      </c>
      <c r="C5043" s="1">
        <f t="shared" si="314"/>
        <v>6</v>
      </c>
      <c r="D5043" s="5">
        <f ca="1">IF(getQuality(B5043)&lt;4,getOtherMin(B5043,C5043,INDIRECT(J$2),INDIRECT(I5043),test),getMin(B5043,C5043,INDIRECT(J$2),INDIRECT(I5043),test))</f>
        <v>209.33333333333334</v>
      </c>
      <c r="E5043" s="5">
        <f ca="1">IF(getQuality(B5043)&lt;4,getOtherMax(B5043,C5043,INDIRECT(J$2),INDIRECT(I5043),test),getMax(B5043,C5043,INDIRECT(J$2),INDIRECT(I5043),test))</f>
        <v>250</v>
      </c>
      <c r="F5043" s="1" t="str">
        <f t="shared" si="316"/>
        <v>50</v>
      </c>
      <c r="G5043" s="1" t="str">
        <f t="shared" si="317"/>
        <v/>
      </c>
      <c r="I5043" s="1" t="str">
        <f t="shared" si="315"/>
        <v>威尔新数值1.06.xlsm!suitPower</v>
      </c>
    </row>
    <row r="5044" spans="1:9" x14ac:dyDescent="0.15">
      <c r="A5044" s="1">
        <v>5043</v>
      </c>
      <c r="B5044" s="1">
        <v>203061400</v>
      </c>
      <c r="C5044" s="1">
        <f t="shared" si="314"/>
        <v>7</v>
      </c>
      <c r="D5044" s="5">
        <f ca="1">IF(getQuality(B5044)&lt;4,getOtherMin(B5044,C5044,INDIRECT(J$2),INDIRECT(I5044),test),getMin(B5044,C5044,INDIRECT(J$2),INDIRECT(I5044),test))</f>
        <v>19.518518518518473</v>
      </c>
      <c r="E5044" s="5">
        <f ca="1">IF(getQuality(B5044)&lt;4,getOtherMax(B5044,C5044,INDIRECT(J$2),INDIRECT(I5044),test),getMax(B5044,C5044,INDIRECT(J$2),INDIRECT(I5044),test))</f>
        <v>22.222222222222165</v>
      </c>
      <c r="F5044" s="1" t="str">
        <f t="shared" si="316"/>
        <v>50</v>
      </c>
      <c r="G5044" s="1" t="str">
        <f t="shared" si="317"/>
        <v/>
      </c>
      <c r="I5044" s="1" t="str">
        <f t="shared" si="315"/>
        <v>威尔新数值1.06.xlsm!suitPower</v>
      </c>
    </row>
    <row r="5045" spans="1:9" x14ac:dyDescent="0.15">
      <c r="A5045" s="1">
        <v>5044</v>
      </c>
      <c r="B5045" s="1">
        <v>203061400</v>
      </c>
      <c r="C5045" s="1">
        <f t="shared" si="314"/>
        <v>8</v>
      </c>
      <c r="D5045" s="5">
        <f ca="1">IF(getQuality(B5045)&lt;4,getOtherMin(B5045,C5045,INDIRECT(J$2),INDIRECT(I5045),test),getMin(B5045,C5045,INDIRECT(J$2),INDIRECT(I5045),test))</f>
        <v>42.666666666666664</v>
      </c>
      <c r="E5045" s="5">
        <f ca="1">IF(getQuality(B5045)&lt;4,getOtherMax(B5045,C5045,INDIRECT(J$2),INDIRECT(I5045),test),getMax(B5045,C5045,INDIRECT(J$2),INDIRECT(I5045),test))</f>
        <v>50</v>
      </c>
      <c r="F5045" s="1" t="str">
        <f t="shared" si="316"/>
        <v>50</v>
      </c>
      <c r="G5045" s="1" t="str">
        <f t="shared" si="317"/>
        <v/>
      </c>
      <c r="I5045" s="1" t="str">
        <f t="shared" si="315"/>
        <v>威尔新数值1.06.xlsm!suitPower</v>
      </c>
    </row>
    <row r="5046" spans="1:9" x14ac:dyDescent="0.15">
      <c r="A5046" s="1">
        <v>5045</v>
      </c>
      <c r="B5046" s="1">
        <v>203061400</v>
      </c>
      <c r="C5046" s="1">
        <f t="shared" si="314"/>
        <v>16</v>
      </c>
      <c r="D5046" s="5">
        <f ca="1">IF(getQuality(B5046)&lt;4,getOtherMin(B5046,C5046,INDIRECT(J$2),INDIRECT(I5046),test),getMin(B5046,C5046,INDIRECT(J$2),INDIRECT(I5046),test))</f>
        <v>56.555555555555557</v>
      </c>
      <c r="E5046" s="5">
        <f ca="1">IF(getQuality(B5046)&lt;4,getOtherMax(B5046,C5046,INDIRECT(J$2),INDIRECT(I5046),test),getMax(B5046,C5046,INDIRECT(J$2),INDIRECT(I5046),test))</f>
        <v>66.666666666666671</v>
      </c>
      <c r="F5046" s="1" t="str">
        <f t="shared" si="316"/>
        <v>50</v>
      </c>
      <c r="G5046" s="1" t="str">
        <f t="shared" si="317"/>
        <v/>
      </c>
      <c r="I5046" s="1" t="str">
        <f t="shared" si="315"/>
        <v>威尔新数值1.06.xlsm!suitPower</v>
      </c>
    </row>
    <row r="5047" spans="1:9" x14ac:dyDescent="0.15">
      <c r="A5047" s="1">
        <v>5046</v>
      </c>
      <c r="B5047" s="1">
        <v>203061400</v>
      </c>
      <c r="C5047" s="1">
        <f t="shared" si="314"/>
        <v>17</v>
      </c>
      <c r="D5047" s="5">
        <f ca="1">IF(getQuality(B5047)&lt;4,getOtherMin(B5047,C5047,INDIRECT(J$2),INDIRECT(I5047),test),getMin(B5047,C5047,INDIRECT(J$2),INDIRECT(I5047),test))</f>
        <v>56.555555555555557</v>
      </c>
      <c r="E5047" s="5">
        <f ca="1">IF(getQuality(B5047)&lt;4,getOtherMax(B5047,C5047,INDIRECT(J$2),INDIRECT(I5047),test),getMax(B5047,C5047,INDIRECT(J$2),INDIRECT(I5047),test))</f>
        <v>66.666666666666671</v>
      </c>
      <c r="F5047" s="1" t="str">
        <f t="shared" si="316"/>
        <v>50</v>
      </c>
      <c r="G5047" s="1" t="str">
        <f t="shared" si="317"/>
        <v/>
      </c>
      <c r="I5047" s="1" t="str">
        <f t="shared" si="315"/>
        <v>威尔新数值1.06.xlsm!suitPower</v>
      </c>
    </row>
    <row r="5048" spans="1:9" x14ac:dyDescent="0.15">
      <c r="A5048" s="1">
        <v>5047</v>
      </c>
      <c r="B5048" s="1">
        <v>203061400</v>
      </c>
      <c r="C5048" s="1">
        <f t="shared" si="314"/>
        <v>18</v>
      </c>
      <c r="D5048" s="5">
        <f ca="1">IF(getQuality(B5048)&lt;4,getOtherMin(B5048,C5048,INDIRECT(J$2),INDIRECT(I5048),test),getMin(B5048,C5048,INDIRECT(J$2),INDIRECT(I5048),test))</f>
        <v>56.555555555555557</v>
      </c>
      <c r="E5048" s="5">
        <f ca="1">IF(getQuality(B5048)&lt;4,getOtherMax(B5048,C5048,INDIRECT(J$2),INDIRECT(I5048),test),getMax(B5048,C5048,INDIRECT(J$2),INDIRECT(I5048),test))</f>
        <v>66.666666666666671</v>
      </c>
      <c r="F5048" s="1" t="str">
        <f t="shared" si="316"/>
        <v>50</v>
      </c>
      <c r="G5048" s="1" t="str">
        <f t="shared" si="317"/>
        <v/>
      </c>
      <c r="I5048" s="1" t="str">
        <f t="shared" si="315"/>
        <v>威尔新数值1.06.xlsm!suitPower</v>
      </c>
    </row>
    <row r="5049" spans="1:9" x14ac:dyDescent="0.15">
      <c r="A5049" s="1">
        <v>5048</v>
      </c>
      <c r="B5049" s="1">
        <v>203061400</v>
      </c>
      <c r="C5049" s="1">
        <f t="shared" si="314"/>
        <v>19</v>
      </c>
      <c r="D5049" s="5">
        <f ca="1">IF(getQuality(B5049)&lt;4,getOtherMin(B5049,C5049,INDIRECT(J$2),INDIRECT(I5049),test),getMin(B5049,C5049,INDIRECT(J$2),INDIRECT(I5049),test))</f>
        <v>56.555555555555557</v>
      </c>
      <c r="E5049" s="5">
        <f ca="1">IF(getQuality(B5049)&lt;4,getOtherMax(B5049,C5049,INDIRECT(J$2),INDIRECT(I5049),test),getMax(B5049,C5049,INDIRECT(J$2),INDIRECT(I5049),test))</f>
        <v>66.666666666666671</v>
      </c>
      <c r="F5049" s="1" t="str">
        <f t="shared" si="316"/>
        <v>50</v>
      </c>
      <c r="G5049" s="1" t="str">
        <f t="shared" si="317"/>
        <v/>
      </c>
      <c r="I5049" s="1" t="str">
        <f t="shared" si="315"/>
        <v>威尔新数值1.06.xlsm!suitPower</v>
      </c>
    </row>
    <row r="5050" spans="1:9" x14ac:dyDescent="0.15">
      <c r="A5050" s="1">
        <v>5049</v>
      </c>
      <c r="B5050" s="1">
        <v>203061400</v>
      </c>
      <c r="C5050" s="1">
        <f t="shared" si="314"/>
        <v>20</v>
      </c>
      <c r="D5050" s="5">
        <f ca="1">IF(getQuality(B5050)&lt;4,getOtherMin(B5050,C5050,INDIRECT(J$2),INDIRECT(I5050),test),getMin(B5050,C5050,INDIRECT(J$2),INDIRECT(I5050),test))</f>
        <v>56.555555555555557</v>
      </c>
      <c r="E5050" s="5">
        <f ca="1">IF(getQuality(B5050)&lt;4,getOtherMax(B5050,C5050,INDIRECT(J$2),INDIRECT(I5050),test),getMax(B5050,C5050,INDIRECT(J$2),INDIRECT(I5050),test))</f>
        <v>66.666666666666671</v>
      </c>
      <c r="F5050" s="1" t="str">
        <f t="shared" si="316"/>
        <v>50</v>
      </c>
      <c r="G5050" s="1" t="str">
        <f t="shared" si="317"/>
        <v/>
      </c>
      <c r="I5050" s="1" t="str">
        <f t="shared" si="315"/>
        <v>威尔新数值1.06.xlsm!suitPower</v>
      </c>
    </row>
    <row r="5051" spans="1:9" x14ac:dyDescent="0.15">
      <c r="A5051" s="1">
        <v>5050</v>
      </c>
      <c r="B5051" s="1">
        <v>203061400</v>
      </c>
      <c r="C5051" s="1">
        <f t="shared" si="314"/>
        <v>21</v>
      </c>
      <c r="D5051" s="5">
        <f ca="1">IF(getQuality(B5051)&lt;4,getOtherMin(B5051,C5051,INDIRECT(J$2),INDIRECT(I5051),test),getMin(B5051,C5051,INDIRECT(J$2),INDIRECT(I5051),test))</f>
        <v>56.555555555555557</v>
      </c>
      <c r="E5051" s="5">
        <f ca="1">IF(getQuality(B5051)&lt;4,getOtherMax(B5051,C5051,INDIRECT(J$2),INDIRECT(I5051),test),getMax(B5051,C5051,INDIRECT(J$2),INDIRECT(I5051),test))</f>
        <v>66.666666666666671</v>
      </c>
      <c r="F5051" s="1" t="str">
        <f t="shared" si="316"/>
        <v>50</v>
      </c>
      <c r="G5051" s="1" t="str">
        <f t="shared" si="317"/>
        <v/>
      </c>
      <c r="I5051" s="1" t="str">
        <f t="shared" si="315"/>
        <v>威尔新数值1.06.xlsm!suitPower</v>
      </c>
    </row>
    <row r="5052" spans="1:9" x14ac:dyDescent="0.15">
      <c r="A5052" s="1">
        <v>5051</v>
      </c>
      <c r="B5052" s="1">
        <v>203061400</v>
      </c>
      <c r="C5052" s="1">
        <f t="shared" ref="C5052:C5115" si="318">C2577</f>
        <v>22</v>
      </c>
      <c r="D5052" s="5">
        <f ca="1">IF(getQuality(B5052)&lt;4,getOtherMin(B5052,C5052,INDIRECT(J$2),INDIRECT(I5052),test),getMin(B5052,C5052,INDIRECT(J$2),INDIRECT(I5052),test))</f>
        <v>56.555555555555557</v>
      </c>
      <c r="E5052" s="5">
        <f ca="1">IF(getQuality(B5052)&lt;4,getOtherMax(B5052,C5052,INDIRECT(J$2),INDIRECT(I5052),test),getMax(B5052,C5052,INDIRECT(J$2),INDIRECT(I5052),test))</f>
        <v>66.666666666666671</v>
      </c>
      <c r="F5052" s="1" t="str">
        <f t="shared" si="316"/>
        <v>50</v>
      </c>
      <c r="G5052" s="1" t="str">
        <f t="shared" si="317"/>
        <v/>
      </c>
      <c r="I5052" s="1" t="str">
        <f t="shared" si="315"/>
        <v>威尔新数值1.06.xlsm!suitPower</v>
      </c>
    </row>
    <row r="5053" spans="1:9" x14ac:dyDescent="0.15">
      <c r="A5053" s="1">
        <v>5052</v>
      </c>
      <c r="B5053" s="1">
        <v>203061400</v>
      </c>
      <c r="C5053" s="1">
        <f t="shared" si="318"/>
        <v>23</v>
      </c>
      <c r="D5053" s="5">
        <f ca="1">IF(getQuality(B5053)&lt;4,getOtherMin(B5053,C5053,INDIRECT(J$2),INDIRECT(I5053),test),getMin(B5053,C5053,INDIRECT(J$2),INDIRECT(I5053),test))</f>
        <v>56.555555555555557</v>
      </c>
      <c r="E5053" s="5">
        <f ca="1">IF(getQuality(B5053)&lt;4,getOtherMax(B5053,C5053,INDIRECT(J$2),INDIRECT(I5053),test),getMax(B5053,C5053,INDIRECT(J$2),INDIRECT(I5053),test))</f>
        <v>66.666666666666671</v>
      </c>
      <c r="F5053" s="1" t="str">
        <f t="shared" si="316"/>
        <v>50</v>
      </c>
      <c r="G5053" s="1" t="str">
        <f t="shared" si="317"/>
        <v/>
      </c>
      <c r="I5053" s="1" t="str">
        <f t="shared" si="315"/>
        <v>威尔新数值1.06.xlsm!suitPower</v>
      </c>
    </row>
    <row r="5054" spans="1:9" x14ac:dyDescent="0.15">
      <c r="A5054" s="1">
        <v>5053</v>
      </c>
      <c r="B5054" s="1">
        <v>203071400</v>
      </c>
      <c r="C5054" s="1">
        <f t="shared" si="318"/>
        <v>1</v>
      </c>
      <c r="D5054" s="5">
        <f ca="1">IF(getQuality(B5054)&lt;4,getOtherMin(B5054,C5054,INDIRECT(J$2),INDIRECT(I5054),test),getMin(B5054,C5054,INDIRECT(J$2),INDIRECT(I5054),test))</f>
        <v>576.4666666666667</v>
      </c>
      <c r="E5054" s="5">
        <f ca="1">IF(getQuality(B5054)&lt;4,getOtherMax(B5054,C5054,INDIRECT(J$2),INDIRECT(I5054),test),getMax(B5054,C5054,INDIRECT(J$2),INDIRECT(I5054),test))</f>
        <v>715.86666666666667</v>
      </c>
      <c r="F5054" s="1" t="str">
        <f t="shared" si="316"/>
        <v>50</v>
      </c>
      <c r="G5054" s="1" t="str">
        <f t="shared" si="317"/>
        <v/>
      </c>
      <c r="I5054" s="1" t="str">
        <f t="shared" si="315"/>
        <v>威尔新数值1.06.xlsm!suitPower</v>
      </c>
    </row>
    <row r="5055" spans="1:9" x14ac:dyDescent="0.15">
      <c r="A5055" s="1">
        <v>5054</v>
      </c>
      <c r="B5055" s="1">
        <v>203071400</v>
      </c>
      <c r="C5055" s="1">
        <f t="shared" si="318"/>
        <v>2</v>
      </c>
      <c r="D5055" s="5">
        <f ca="1">IF(getQuality(B5055)&lt;4,getOtherMin(B5055,C5055,INDIRECT(J$2),INDIRECT(I5055),test),getMin(B5055,C5055,INDIRECT(J$2),INDIRECT(I5055),test))</f>
        <v>56.333333333333329</v>
      </c>
      <c r="E5055" s="5">
        <f ca="1">IF(getQuality(B5055)&lt;4,getOtherMax(B5055,C5055,INDIRECT(J$2),INDIRECT(I5055),test),getMax(B5055,C5055,INDIRECT(J$2),INDIRECT(I5055),test))</f>
        <v>68.833333333333329</v>
      </c>
      <c r="F5055" s="1" t="str">
        <f t="shared" si="316"/>
        <v>50</v>
      </c>
      <c r="G5055" s="1" t="str">
        <f t="shared" si="317"/>
        <v/>
      </c>
      <c r="I5055" s="1" t="str">
        <f t="shared" si="315"/>
        <v>威尔新数值1.06.xlsm!suitPower</v>
      </c>
    </row>
    <row r="5056" spans="1:9" x14ac:dyDescent="0.15">
      <c r="A5056" s="1">
        <v>5055</v>
      </c>
      <c r="B5056" s="1">
        <v>203071400</v>
      </c>
      <c r="C5056" s="1">
        <f t="shared" si="318"/>
        <v>4</v>
      </c>
      <c r="D5056" s="5">
        <f ca="1">IF(getQuality(B5056)&lt;4,getOtherMin(B5056,C5056,INDIRECT(J$2),INDIRECT(I5056),test),getMin(B5056,C5056,INDIRECT(J$2),INDIRECT(I5056),test))</f>
        <v>251</v>
      </c>
      <c r="E5056" s="5">
        <f ca="1">IF(getQuality(B5056)&lt;4,getOtherMax(B5056,C5056,INDIRECT(J$2),INDIRECT(I5056),test),getMax(B5056,C5056,INDIRECT(J$2),INDIRECT(I5056),test))</f>
        <v>291.66666666666669</v>
      </c>
      <c r="F5056" s="1" t="str">
        <f t="shared" si="316"/>
        <v>50</v>
      </c>
      <c r="G5056" s="1" t="str">
        <f t="shared" si="317"/>
        <v>1</v>
      </c>
      <c r="I5056" s="1" t="str">
        <f t="shared" si="315"/>
        <v>威尔新数值1.06.xlsm!suitPower</v>
      </c>
    </row>
    <row r="5057" spans="1:9" x14ac:dyDescent="0.15">
      <c r="A5057" s="1">
        <v>5056</v>
      </c>
      <c r="B5057" s="1">
        <v>203071400</v>
      </c>
      <c r="C5057" s="1">
        <f t="shared" si="318"/>
        <v>6</v>
      </c>
      <c r="D5057" s="5">
        <f ca="1">IF(getQuality(B5057)&lt;4,getOtherMin(B5057,C5057,INDIRECT(J$2),INDIRECT(I5057),test),getMin(B5057,C5057,INDIRECT(J$2),INDIRECT(I5057),test))</f>
        <v>251</v>
      </c>
      <c r="E5057" s="5">
        <f ca="1">IF(getQuality(B5057)&lt;4,getOtherMax(B5057,C5057,INDIRECT(J$2),INDIRECT(I5057),test),getMax(B5057,C5057,INDIRECT(J$2),INDIRECT(I5057),test))</f>
        <v>291.66666666666669</v>
      </c>
      <c r="F5057" s="1" t="str">
        <f t="shared" si="316"/>
        <v>50</v>
      </c>
      <c r="G5057" s="1" t="str">
        <f t="shared" si="317"/>
        <v/>
      </c>
      <c r="I5057" s="1" t="str">
        <f t="shared" si="315"/>
        <v>威尔新数值1.06.xlsm!suitPower</v>
      </c>
    </row>
    <row r="5058" spans="1:9" x14ac:dyDescent="0.15">
      <c r="A5058" s="1">
        <v>5057</v>
      </c>
      <c r="B5058" s="1">
        <v>203071400</v>
      </c>
      <c r="C5058" s="1">
        <f t="shared" si="318"/>
        <v>7</v>
      </c>
      <c r="D5058" s="5">
        <f ca="1">IF(getQuality(B5058)&lt;4,getOtherMin(B5058,C5058,INDIRECT(J$2),INDIRECT(I5058),test),getMin(B5058,C5058,INDIRECT(J$2),INDIRECT(I5058),test))</f>
        <v>23.222222222222165</v>
      </c>
      <c r="E5058" s="5">
        <f ca="1">IF(getQuality(B5058)&lt;4,getOtherMax(B5058,C5058,INDIRECT(J$2),INDIRECT(I5058),test),getMax(B5058,C5058,INDIRECT(J$2),INDIRECT(I5058),test))</f>
        <v>25.92592592592586</v>
      </c>
      <c r="F5058" s="1" t="str">
        <f t="shared" si="316"/>
        <v>50</v>
      </c>
      <c r="G5058" s="1" t="str">
        <f t="shared" si="317"/>
        <v/>
      </c>
      <c r="I5058" s="1" t="str">
        <f t="shared" ref="I5058:I5121" si="319">IF(C5058&lt;100,VLOOKUP(C5058,test,3,FALSE),VLOOKUP(C5058,test1,3,FALSE))</f>
        <v>威尔新数值1.06.xlsm!suitPower</v>
      </c>
    </row>
    <row r="5059" spans="1:9" x14ac:dyDescent="0.15">
      <c r="A5059" s="1">
        <v>5058</v>
      </c>
      <c r="B5059" s="1">
        <v>203071400</v>
      </c>
      <c r="C5059" s="1">
        <f t="shared" si="318"/>
        <v>8</v>
      </c>
      <c r="D5059" s="5">
        <f ca="1">IF(getQuality(B5059)&lt;4,getOtherMin(B5059,C5059,INDIRECT(J$2),INDIRECT(I5059),test),getMin(B5059,C5059,INDIRECT(J$2),INDIRECT(I5059),test))</f>
        <v>51</v>
      </c>
      <c r="E5059" s="5">
        <f ca="1">IF(getQuality(B5059)&lt;4,getOtherMax(B5059,C5059,INDIRECT(J$2),INDIRECT(I5059),test),getMax(B5059,C5059,INDIRECT(J$2),INDIRECT(I5059),test))</f>
        <v>58.333333333333336</v>
      </c>
      <c r="F5059" s="1" t="str">
        <f t="shared" ref="F5059:F5122" si="320">getper(B5059,C5059)</f>
        <v>50</v>
      </c>
      <c r="G5059" s="1" t="str">
        <f t="shared" si="317"/>
        <v/>
      </c>
      <c r="I5059" s="1" t="str">
        <f t="shared" si="319"/>
        <v>威尔新数值1.06.xlsm!suitPower</v>
      </c>
    </row>
    <row r="5060" spans="1:9" x14ac:dyDescent="0.15">
      <c r="A5060" s="1">
        <v>5059</v>
      </c>
      <c r="B5060" s="1">
        <v>203071400</v>
      </c>
      <c r="C5060" s="1">
        <f t="shared" si="318"/>
        <v>16</v>
      </c>
      <c r="D5060" s="5">
        <f ca="1">IF(getQuality(B5060)&lt;4,getOtherMin(B5060,C5060,INDIRECT(J$2),INDIRECT(I5060),test),getMin(B5060,C5060,INDIRECT(J$2),INDIRECT(I5060),test))</f>
        <v>67.666666666666671</v>
      </c>
      <c r="E5060" s="5">
        <f ca="1">IF(getQuality(B5060)&lt;4,getOtherMax(B5060,C5060,INDIRECT(J$2),INDIRECT(I5060),test),getMax(B5060,C5060,INDIRECT(J$2),INDIRECT(I5060),test))</f>
        <v>77.777777777777771</v>
      </c>
      <c r="F5060" s="1" t="str">
        <f t="shared" si="320"/>
        <v>50</v>
      </c>
      <c r="G5060" s="1" t="str">
        <f t="shared" si="317"/>
        <v/>
      </c>
      <c r="I5060" s="1" t="str">
        <f t="shared" si="319"/>
        <v>威尔新数值1.06.xlsm!suitPower</v>
      </c>
    </row>
    <row r="5061" spans="1:9" x14ac:dyDescent="0.15">
      <c r="A5061" s="1">
        <v>5060</v>
      </c>
      <c r="B5061" s="1">
        <v>203071400</v>
      </c>
      <c r="C5061" s="1">
        <f t="shared" si="318"/>
        <v>17</v>
      </c>
      <c r="D5061" s="5">
        <f ca="1">IF(getQuality(B5061)&lt;4,getOtherMin(B5061,C5061,INDIRECT(J$2),INDIRECT(I5061),test),getMin(B5061,C5061,INDIRECT(J$2),INDIRECT(I5061),test))</f>
        <v>67.666666666666671</v>
      </c>
      <c r="E5061" s="5">
        <f ca="1">IF(getQuality(B5061)&lt;4,getOtherMax(B5061,C5061,INDIRECT(J$2),INDIRECT(I5061),test),getMax(B5061,C5061,INDIRECT(J$2),INDIRECT(I5061),test))</f>
        <v>77.777777777777771</v>
      </c>
      <c r="F5061" s="1" t="str">
        <f t="shared" si="320"/>
        <v>50</v>
      </c>
      <c r="G5061" s="1" t="str">
        <f t="shared" si="317"/>
        <v/>
      </c>
      <c r="I5061" s="1" t="str">
        <f t="shared" si="319"/>
        <v>威尔新数值1.06.xlsm!suitPower</v>
      </c>
    </row>
    <row r="5062" spans="1:9" x14ac:dyDescent="0.15">
      <c r="A5062" s="1">
        <v>5061</v>
      </c>
      <c r="B5062" s="1">
        <v>203071400</v>
      </c>
      <c r="C5062" s="1">
        <f t="shared" si="318"/>
        <v>18</v>
      </c>
      <c r="D5062" s="5">
        <f ca="1">IF(getQuality(B5062)&lt;4,getOtherMin(B5062,C5062,INDIRECT(J$2),INDIRECT(I5062),test),getMin(B5062,C5062,INDIRECT(J$2),INDIRECT(I5062),test))</f>
        <v>67.666666666666671</v>
      </c>
      <c r="E5062" s="5">
        <f ca="1">IF(getQuality(B5062)&lt;4,getOtherMax(B5062,C5062,INDIRECT(J$2),INDIRECT(I5062),test),getMax(B5062,C5062,INDIRECT(J$2),INDIRECT(I5062),test))</f>
        <v>77.777777777777771</v>
      </c>
      <c r="F5062" s="1" t="str">
        <f t="shared" si="320"/>
        <v>50</v>
      </c>
      <c r="G5062" s="1" t="str">
        <f t="shared" si="317"/>
        <v/>
      </c>
      <c r="I5062" s="1" t="str">
        <f t="shared" si="319"/>
        <v>威尔新数值1.06.xlsm!suitPower</v>
      </c>
    </row>
    <row r="5063" spans="1:9" x14ac:dyDescent="0.15">
      <c r="A5063" s="1">
        <v>5062</v>
      </c>
      <c r="B5063" s="1">
        <v>203071400</v>
      </c>
      <c r="C5063" s="1">
        <f t="shared" si="318"/>
        <v>19</v>
      </c>
      <c r="D5063" s="5">
        <f ca="1">IF(getQuality(B5063)&lt;4,getOtherMin(B5063,C5063,INDIRECT(J$2),INDIRECT(I5063),test),getMin(B5063,C5063,INDIRECT(J$2),INDIRECT(I5063),test))</f>
        <v>67.666666666666671</v>
      </c>
      <c r="E5063" s="5">
        <f ca="1">IF(getQuality(B5063)&lt;4,getOtherMax(B5063,C5063,INDIRECT(J$2),INDIRECT(I5063),test),getMax(B5063,C5063,INDIRECT(J$2),INDIRECT(I5063),test))</f>
        <v>77.777777777777771</v>
      </c>
      <c r="F5063" s="1" t="str">
        <f t="shared" si="320"/>
        <v>50</v>
      </c>
      <c r="G5063" s="1" t="str">
        <f t="shared" si="317"/>
        <v/>
      </c>
      <c r="I5063" s="1" t="str">
        <f t="shared" si="319"/>
        <v>威尔新数值1.06.xlsm!suitPower</v>
      </c>
    </row>
    <row r="5064" spans="1:9" x14ac:dyDescent="0.15">
      <c r="A5064" s="1">
        <v>5063</v>
      </c>
      <c r="B5064" s="1">
        <v>203071400</v>
      </c>
      <c r="C5064" s="1">
        <f t="shared" si="318"/>
        <v>20</v>
      </c>
      <c r="D5064" s="5">
        <f ca="1">IF(getQuality(B5064)&lt;4,getOtherMin(B5064,C5064,INDIRECT(J$2),INDIRECT(I5064),test),getMin(B5064,C5064,INDIRECT(J$2),INDIRECT(I5064),test))</f>
        <v>67.666666666666671</v>
      </c>
      <c r="E5064" s="5">
        <f ca="1">IF(getQuality(B5064)&lt;4,getOtherMax(B5064,C5064,INDIRECT(J$2),INDIRECT(I5064),test),getMax(B5064,C5064,INDIRECT(J$2),INDIRECT(I5064),test))</f>
        <v>77.777777777777771</v>
      </c>
      <c r="F5064" s="1" t="str">
        <f t="shared" si="320"/>
        <v>50</v>
      </c>
      <c r="G5064" s="1" t="str">
        <f t="shared" si="317"/>
        <v/>
      </c>
      <c r="I5064" s="1" t="str">
        <f t="shared" si="319"/>
        <v>威尔新数值1.06.xlsm!suitPower</v>
      </c>
    </row>
    <row r="5065" spans="1:9" x14ac:dyDescent="0.15">
      <c r="A5065" s="1">
        <v>5064</v>
      </c>
      <c r="B5065" s="1">
        <v>203071400</v>
      </c>
      <c r="C5065" s="1">
        <f t="shared" si="318"/>
        <v>21</v>
      </c>
      <c r="D5065" s="5">
        <f ca="1">IF(getQuality(B5065)&lt;4,getOtherMin(B5065,C5065,INDIRECT(J$2),INDIRECT(I5065),test),getMin(B5065,C5065,INDIRECT(J$2),INDIRECT(I5065),test))</f>
        <v>67.666666666666671</v>
      </c>
      <c r="E5065" s="5">
        <f ca="1">IF(getQuality(B5065)&lt;4,getOtherMax(B5065,C5065,INDIRECT(J$2),INDIRECT(I5065),test),getMax(B5065,C5065,INDIRECT(J$2),INDIRECT(I5065),test))</f>
        <v>77.777777777777771</v>
      </c>
      <c r="F5065" s="1" t="str">
        <f t="shared" si="320"/>
        <v>50</v>
      </c>
      <c r="G5065" s="1" t="str">
        <f t="shared" si="317"/>
        <v/>
      </c>
      <c r="I5065" s="1" t="str">
        <f t="shared" si="319"/>
        <v>威尔新数值1.06.xlsm!suitPower</v>
      </c>
    </row>
    <row r="5066" spans="1:9" x14ac:dyDescent="0.15">
      <c r="A5066" s="1">
        <v>5065</v>
      </c>
      <c r="B5066" s="1">
        <v>203071400</v>
      </c>
      <c r="C5066" s="1">
        <f t="shared" si="318"/>
        <v>22</v>
      </c>
      <c r="D5066" s="5">
        <f ca="1">IF(getQuality(B5066)&lt;4,getOtherMin(B5066,C5066,INDIRECT(J$2),INDIRECT(I5066),test),getMin(B5066,C5066,INDIRECT(J$2),INDIRECT(I5066),test))</f>
        <v>67.666666666666671</v>
      </c>
      <c r="E5066" s="5">
        <f ca="1">IF(getQuality(B5066)&lt;4,getOtherMax(B5066,C5066,INDIRECT(J$2),INDIRECT(I5066),test),getMax(B5066,C5066,INDIRECT(J$2),INDIRECT(I5066),test))</f>
        <v>77.777777777777771</v>
      </c>
      <c r="F5066" s="1" t="str">
        <f t="shared" si="320"/>
        <v>50</v>
      </c>
      <c r="G5066" s="1" t="str">
        <f t="shared" si="317"/>
        <v/>
      </c>
      <c r="I5066" s="1" t="str">
        <f t="shared" si="319"/>
        <v>威尔新数值1.06.xlsm!suitPower</v>
      </c>
    </row>
    <row r="5067" spans="1:9" x14ac:dyDescent="0.15">
      <c r="A5067" s="1">
        <v>5066</v>
      </c>
      <c r="B5067" s="1">
        <v>203071400</v>
      </c>
      <c r="C5067" s="1">
        <f t="shared" si="318"/>
        <v>23</v>
      </c>
      <c r="D5067" s="5">
        <f ca="1">IF(getQuality(B5067)&lt;4,getOtherMin(B5067,C5067,INDIRECT(J$2),INDIRECT(I5067),test),getMin(B5067,C5067,INDIRECT(J$2),INDIRECT(I5067),test))</f>
        <v>67.666666666666671</v>
      </c>
      <c r="E5067" s="5">
        <f ca="1">IF(getQuality(B5067)&lt;4,getOtherMax(B5067,C5067,INDIRECT(J$2),INDIRECT(I5067),test),getMax(B5067,C5067,INDIRECT(J$2),INDIRECT(I5067),test))</f>
        <v>77.777777777777771</v>
      </c>
      <c r="F5067" s="1" t="str">
        <f t="shared" si="320"/>
        <v>50</v>
      </c>
      <c r="G5067" s="1" t="str">
        <f t="shared" si="317"/>
        <v/>
      </c>
      <c r="I5067" s="1" t="str">
        <f t="shared" si="319"/>
        <v>威尔新数值1.06.xlsm!suitPower</v>
      </c>
    </row>
    <row r="5068" spans="1:9" x14ac:dyDescent="0.15">
      <c r="A5068" s="1">
        <v>5067</v>
      </c>
      <c r="B5068" s="1">
        <v>203081400</v>
      </c>
      <c r="C5068" s="1">
        <f t="shared" si="318"/>
        <v>1</v>
      </c>
      <c r="D5068" s="5">
        <f ca="1">IF(getQuality(B5068)&lt;4,getOtherMin(B5068,C5068,INDIRECT(J$2),INDIRECT(I5068),test),getMin(B5068,C5068,INDIRECT(J$2),INDIRECT(I5068),test))</f>
        <v>716.86666666666667</v>
      </c>
      <c r="E5068" s="5">
        <f ca="1">IF(getQuality(B5068)&lt;4,getOtherMax(B5068,C5068,INDIRECT(J$2),INDIRECT(I5068),test),getMax(B5068,C5068,INDIRECT(J$2),INDIRECT(I5068),test))</f>
        <v>868.97777777777776</v>
      </c>
      <c r="F5068" s="1" t="str">
        <f t="shared" si="320"/>
        <v>50</v>
      </c>
      <c r="G5068" s="1" t="str">
        <f t="shared" si="317"/>
        <v/>
      </c>
      <c r="I5068" s="1" t="str">
        <f t="shared" si="319"/>
        <v>威尔新数值1.06.xlsm!suitPower</v>
      </c>
    </row>
    <row r="5069" spans="1:9" x14ac:dyDescent="0.15">
      <c r="A5069" s="1">
        <v>5068</v>
      </c>
      <c r="B5069" s="1">
        <v>203081400</v>
      </c>
      <c r="C5069" s="1">
        <f t="shared" si="318"/>
        <v>2</v>
      </c>
      <c r="D5069" s="5">
        <f ca="1">IF(getQuality(B5069)&lt;4,getOtherMin(B5069,C5069,INDIRECT(J$2),INDIRECT(I5069),test),getMin(B5069,C5069,INDIRECT(J$2),INDIRECT(I5069),test))</f>
        <v>69.833333333333329</v>
      </c>
      <c r="E5069" s="5">
        <f ca="1">IF(getQuality(B5069)&lt;4,getOtherMax(B5069,C5069,INDIRECT(J$2),INDIRECT(I5069),test),getMax(B5069,C5069,INDIRECT(J$2),INDIRECT(I5069),test))</f>
        <v>83.555555555555557</v>
      </c>
      <c r="F5069" s="1" t="str">
        <f t="shared" si="320"/>
        <v>50</v>
      </c>
      <c r="G5069" s="1" t="str">
        <f t="shared" si="317"/>
        <v/>
      </c>
      <c r="I5069" s="1" t="str">
        <f t="shared" si="319"/>
        <v>威尔新数值1.06.xlsm!suitPower</v>
      </c>
    </row>
    <row r="5070" spans="1:9" x14ac:dyDescent="0.15">
      <c r="A5070" s="1">
        <v>5069</v>
      </c>
      <c r="B5070" s="1">
        <v>203081400</v>
      </c>
      <c r="C5070" s="1">
        <f t="shared" si="318"/>
        <v>4</v>
      </c>
      <c r="D5070" s="5">
        <f ca="1">IF(getQuality(B5070)&lt;4,getOtherMin(B5070,C5070,INDIRECT(J$2),INDIRECT(I5070),test),getMin(B5070,C5070,INDIRECT(J$2),INDIRECT(I5070),test))</f>
        <v>292.66666666666669</v>
      </c>
      <c r="E5070" s="5">
        <f ca="1">IF(getQuality(B5070)&lt;4,getOtherMax(B5070,C5070,INDIRECT(J$2),INDIRECT(I5070),test),getMax(B5070,C5070,INDIRECT(J$2),INDIRECT(I5070),test))</f>
        <v>333.33333333333331</v>
      </c>
      <c r="F5070" s="1" t="str">
        <f t="shared" si="320"/>
        <v>50</v>
      </c>
      <c r="G5070" s="1" t="str">
        <f t="shared" si="317"/>
        <v>1</v>
      </c>
      <c r="I5070" s="1" t="str">
        <f t="shared" si="319"/>
        <v>威尔新数值1.06.xlsm!suitPower</v>
      </c>
    </row>
    <row r="5071" spans="1:9" x14ac:dyDescent="0.15">
      <c r="A5071" s="1">
        <v>5070</v>
      </c>
      <c r="B5071" s="1">
        <v>203081400</v>
      </c>
      <c r="C5071" s="1">
        <f t="shared" si="318"/>
        <v>6</v>
      </c>
      <c r="D5071" s="5">
        <f ca="1">IF(getQuality(B5071)&lt;4,getOtherMin(B5071,C5071,INDIRECT(J$2),INDIRECT(I5071),test),getMin(B5071,C5071,INDIRECT(J$2),INDIRECT(I5071),test))</f>
        <v>292.66666666666669</v>
      </c>
      <c r="E5071" s="5">
        <f ca="1">IF(getQuality(B5071)&lt;4,getOtherMax(B5071,C5071,INDIRECT(J$2),INDIRECT(I5071),test),getMax(B5071,C5071,INDIRECT(J$2),INDIRECT(I5071),test))</f>
        <v>333.33333333333331</v>
      </c>
      <c r="F5071" s="1" t="str">
        <f t="shared" si="320"/>
        <v>50</v>
      </c>
      <c r="G5071" s="1" t="str">
        <f t="shared" si="317"/>
        <v/>
      </c>
      <c r="I5071" s="1" t="str">
        <f t="shared" si="319"/>
        <v>威尔新数值1.06.xlsm!suitPower</v>
      </c>
    </row>
    <row r="5072" spans="1:9" x14ac:dyDescent="0.15">
      <c r="A5072" s="1">
        <v>5071</v>
      </c>
      <c r="B5072" s="1">
        <v>203081400</v>
      </c>
      <c r="C5072" s="1">
        <f t="shared" si="318"/>
        <v>7</v>
      </c>
      <c r="D5072" s="5">
        <f ca="1">IF(getQuality(B5072)&lt;4,getOtherMin(B5072,C5072,INDIRECT(J$2),INDIRECT(I5072),test),getMin(B5072,C5072,INDIRECT(J$2),INDIRECT(I5072),test))</f>
        <v>26.92592592592586</v>
      </c>
      <c r="E5072" s="5">
        <f ca="1">IF(getQuality(B5072)&lt;4,getOtherMax(B5072,C5072,INDIRECT(J$2),INDIRECT(I5072),test),getMax(B5072,C5072,INDIRECT(J$2),INDIRECT(I5072),test))</f>
        <v>29.629629629629555</v>
      </c>
      <c r="F5072" s="1" t="str">
        <f t="shared" si="320"/>
        <v>50</v>
      </c>
      <c r="G5072" s="1" t="str">
        <f t="shared" si="317"/>
        <v/>
      </c>
      <c r="I5072" s="1" t="str">
        <f t="shared" si="319"/>
        <v>威尔新数值1.06.xlsm!suitPower</v>
      </c>
    </row>
    <row r="5073" spans="1:9" x14ac:dyDescent="0.15">
      <c r="A5073" s="1">
        <v>5072</v>
      </c>
      <c r="B5073" s="1">
        <v>203081400</v>
      </c>
      <c r="C5073" s="1">
        <f t="shared" si="318"/>
        <v>8</v>
      </c>
      <c r="D5073" s="5">
        <f ca="1">IF(getQuality(B5073)&lt;4,getOtherMin(B5073,C5073,INDIRECT(J$2),INDIRECT(I5073),test),getMin(B5073,C5073,INDIRECT(J$2),INDIRECT(I5073),test))</f>
        <v>59.333333333333336</v>
      </c>
      <c r="E5073" s="5">
        <f ca="1">IF(getQuality(B5073)&lt;4,getOtherMax(B5073,C5073,INDIRECT(J$2),INDIRECT(I5073),test),getMax(B5073,C5073,INDIRECT(J$2),INDIRECT(I5073),test))</f>
        <v>66.666666666666671</v>
      </c>
      <c r="F5073" s="1" t="str">
        <f t="shared" si="320"/>
        <v>50</v>
      </c>
      <c r="G5073" s="1" t="str">
        <f t="shared" si="317"/>
        <v/>
      </c>
      <c r="I5073" s="1" t="str">
        <f t="shared" si="319"/>
        <v>威尔新数值1.06.xlsm!suitPower</v>
      </c>
    </row>
    <row r="5074" spans="1:9" x14ac:dyDescent="0.15">
      <c r="A5074" s="1">
        <v>5073</v>
      </c>
      <c r="B5074" s="1">
        <v>203081400</v>
      </c>
      <c r="C5074" s="1">
        <f t="shared" si="318"/>
        <v>16</v>
      </c>
      <c r="D5074" s="5">
        <f ca="1">IF(getQuality(B5074)&lt;4,getOtherMin(B5074,C5074,INDIRECT(J$2),INDIRECT(I5074),test),getMin(B5074,C5074,INDIRECT(J$2),INDIRECT(I5074),test))</f>
        <v>78.777777777777771</v>
      </c>
      <c r="E5074" s="5">
        <f ca="1">IF(getQuality(B5074)&lt;4,getOtherMax(B5074,C5074,INDIRECT(J$2),INDIRECT(I5074),test),getMax(B5074,C5074,INDIRECT(J$2),INDIRECT(I5074),test))</f>
        <v>88.888888888888886</v>
      </c>
      <c r="F5074" s="1" t="str">
        <f t="shared" si="320"/>
        <v>50</v>
      </c>
      <c r="G5074" s="1" t="str">
        <f t="shared" si="317"/>
        <v/>
      </c>
      <c r="I5074" s="1" t="str">
        <f t="shared" si="319"/>
        <v>威尔新数值1.06.xlsm!suitPower</v>
      </c>
    </row>
    <row r="5075" spans="1:9" x14ac:dyDescent="0.15">
      <c r="A5075" s="1">
        <v>5074</v>
      </c>
      <c r="B5075" s="1">
        <v>203081400</v>
      </c>
      <c r="C5075" s="1">
        <f t="shared" si="318"/>
        <v>17</v>
      </c>
      <c r="D5075" s="5">
        <f ca="1">IF(getQuality(B5075)&lt;4,getOtherMin(B5075,C5075,INDIRECT(J$2),INDIRECT(I5075),test),getMin(B5075,C5075,INDIRECT(J$2),INDIRECT(I5075),test))</f>
        <v>78.777777777777771</v>
      </c>
      <c r="E5075" s="5">
        <f ca="1">IF(getQuality(B5075)&lt;4,getOtherMax(B5075,C5075,INDIRECT(J$2),INDIRECT(I5075),test),getMax(B5075,C5075,INDIRECT(J$2),INDIRECT(I5075),test))</f>
        <v>88.888888888888886</v>
      </c>
      <c r="F5075" s="1" t="str">
        <f t="shared" si="320"/>
        <v>50</v>
      </c>
      <c r="G5075" s="1" t="str">
        <f t="shared" si="317"/>
        <v/>
      </c>
      <c r="I5075" s="1" t="str">
        <f t="shared" si="319"/>
        <v>威尔新数值1.06.xlsm!suitPower</v>
      </c>
    </row>
    <row r="5076" spans="1:9" x14ac:dyDescent="0.15">
      <c r="A5076" s="1">
        <v>5075</v>
      </c>
      <c r="B5076" s="1">
        <v>203081400</v>
      </c>
      <c r="C5076" s="1">
        <f t="shared" si="318"/>
        <v>18</v>
      </c>
      <c r="D5076" s="5">
        <f ca="1">IF(getQuality(B5076)&lt;4,getOtherMin(B5076,C5076,INDIRECT(J$2),INDIRECT(I5076),test),getMin(B5076,C5076,INDIRECT(J$2),INDIRECT(I5076),test))</f>
        <v>78.777777777777771</v>
      </c>
      <c r="E5076" s="5">
        <f ca="1">IF(getQuality(B5076)&lt;4,getOtherMax(B5076,C5076,INDIRECT(J$2),INDIRECT(I5076),test),getMax(B5076,C5076,INDIRECT(J$2),INDIRECT(I5076),test))</f>
        <v>88.888888888888886</v>
      </c>
      <c r="F5076" s="1" t="str">
        <f t="shared" si="320"/>
        <v>50</v>
      </c>
      <c r="G5076" s="1" t="str">
        <f t="shared" si="317"/>
        <v/>
      </c>
      <c r="I5076" s="1" t="str">
        <f t="shared" si="319"/>
        <v>威尔新数值1.06.xlsm!suitPower</v>
      </c>
    </row>
    <row r="5077" spans="1:9" x14ac:dyDescent="0.15">
      <c r="A5077" s="1">
        <v>5076</v>
      </c>
      <c r="B5077" s="1">
        <v>203081400</v>
      </c>
      <c r="C5077" s="1">
        <f t="shared" si="318"/>
        <v>19</v>
      </c>
      <c r="D5077" s="5">
        <f ca="1">IF(getQuality(B5077)&lt;4,getOtherMin(B5077,C5077,INDIRECT(J$2),INDIRECT(I5077),test),getMin(B5077,C5077,INDIRECT(J$2),INDIRECT(I5077),test))</f>
        <v>78.777777777777771</v>
      </c>
      <c r="E5077" s="5">
        <f ca="1">IF(getQuality(B5077)&lt;4,getOtherMax(B5077,C5077,INDIRECT(J$2),INDIRECT(I5077),test),getMax(B5077,C5077,INDIRECT(J$2),INDIRECT(I5077),test))</f>
        <v>88.888888888888886</v>
      </c>
      <c r="F5077" s="1" t="str">
        <f t="shared" si="320"/>
        <v>50</v>
      </c>
      <c r="G5077" s="1" t="str">
        <f t="shared" si="317"/>
        <v/>
      </c>
      <c r="I5077" s="1" t="str">
        <f t="shared" si="319"/>
        <v>威尔新数值1.06.xlsm!suitPower</v>
      </c>
    </row>
    <row r="5078" spans="1:9" x14ac:dyDescent="0.15">
      <c r="A5078" s="1">
        <v>5077</v>
      </c>
      <c r="B5078" s="1">
        <v>203081400</v>
      </c>
      <c r="C5078" s="1">
        <f t="shared" si="318"/>
        <v>20</v>
      </c>
      <c r="D5078" s="5">
        <f ca="1">IF(getQuality(B5078)&lt;4,getOtherMin(B5078,C5078,INDIRECT(J$2),INDIRECT(I5078),test),getMin(B5078,C5078,INDIRECT(J$2),INDIRECT(I5078),test))</f>
        <v>78.777777777777771</v>
      </c>
      <c r="E5078" s="5">
        <f ca="1">IF(getQuality(B5078)&lt;4,getOtherMax(B5078,C5078,INDIRECT(J$2),INDIRECT(I5078),test),getMax(B5078,C5078,INDIRECT(J$2),INDIRECT(I5078),test))</f>
        <v>88.888888888888886</v>
      </c>
      <c r="F5078" s="1" t="str">
        <f t="shared" si="320"/>
        <v>50</v>
      </c>
      <c r="G5078" s="1" t="str">
        <f t="shared" si="317"/>
        <v/>
      </c>
      <c r="I5078" s="1" t="str">
        <f t="shared" si="319"/>
        <v>威尔新数值1.06.xlsm!suitPower</v>
      </c>
    </row>
    <row r="5079" spans="1:9" x14ac:dyDescent="0.15">
      <c r="A5079" s="1">
        <v>5078</v>
      </c>
      <c r="B5079" s="1">
        <v>203081400</v>
      </c>
      <c r="C5079" s="1">
        <f t="shared" si="318"/>
        <v>21</v>
      </c>
      <c r="D5079" s="5">
        <f ca="1">IF(getQuality(B5079)&lt;4,getOtherMin(B5079,C5079,INDIRECT(J$2),INDIRECT(I5079),test),getMin(B5079,C5079,INDIRECT(J$2),INDIRECT(I5079),test))</f>
        <v>78.777777777777771</v>
      </c>
      <c r="E5079" s="5">
        <f ca="1">IF(getQuality(B5079)&lt;4,getOtherMax(B5079,C5079,INDIRECT(J$2),INDIRECT(I5079),test),getMax(B5079,C5079,INDIRECT(J$2),INDIRECT(I5079),test))</f>
        <v>88.888888888888886</v>
      </c>
      <c r="F5079" s="1" t="str">
        <f t="shared" si="320"/>
        <v>50</v>
      </c>
      <c r="G5079" s="1" t="str">
        <f t="shared" si="317"/>
        <v/>
      </c>
      <c r="I5079" s="1" t="str">
        <f t="shared" si="319"/>
        <v>威尔新数值1.06.xlsm!suitPower</v>
      </c>
    </row>
    <row r="5080" spans="1:9" x14ac:dyDescent="0.15">
      <c r="A5080" s="1">
        <v>5079</v>
      </c>
      <c r="B5080" s="1">
        <v>203081400</v>
      </c>
      <c r="C5080" s="1">
        <f t="shared" si="318"/>
        <v>22</v>
      </c>
      <c r="D5080" s="5">
        <f ca="1">IF(getQuality(B5080)&lt;4,getOtherMin(B5080,C5080,INDIRECT(J$2),INDIRECT(I5080),test),getMin(B5080,C5080,INDIRECT(J$2),INDIRECT(I5080),test))</f>
        <v>78.777777777777771</v>
      </c>
      <c r="E5080" s="5">
        <f ca="1">IF(getQuality(B5080)&lt;4,getOtherMax(B5080,C5080,INDIRECT(J$2),INDIRECT(I5080),test),getMax(B5080,C5080,INDIRECT(J$2),INDIRECT(I5080),test))</f>
        <v>88.888888888888886</v>
      </c>
      <c r="F5080" s="1" t="str">
        <f t="shared" si="320"/>
        <v>50</v>
      </c>
      <c r="G5080" s="1" t="str">
        <f t="shared" si="317"/>
        <v/>
      </c>
      <c r="I5080" s="1" t="str">
        <f t="shared" si="319"/>
        <v>威尔新数值1.06.xlsm!suitPower</v>
      </c>
    </row>
    <row r="5081" spans="1:9" x14ac:dyDescent="0.15">
      <c r="A5081" s="1">
        <v>5080</v>
      </c>
      <c r="B5081" s="1">
        <v>203081400</v>
      </c>
      <c r="C5081" s="1">
        <f t="shared" si="318"/>
        <v>23</v>
      </c>
      <c r="D5081" s="5">
        <f ca="1">IF(getQuality(B5081)&lt;4,getOtherMin(B5081,C5081,INDIRECT(J$2),INDIRECT(I5081),test),getMin(B5081,C5081,INDIRECT(J$2),INDIRECT(I5081),test))</f>
        <v>78.777777777777771</v>
      </c>
      <c r="E5081" s="5">
        <f ca="1">IF(getQuality(B5081)&lt;4,getOtherMax(B5081,C5081,INDIRECT(J$2),INDIRECT(I5081),test),getMax(B5081,C5081,INDIRECT(J$2),INDIRECT(I5081),test))</f>
        <v>88.888888888888886</v>
      </c>
      <c r="F5081" s="1" t="str">
        <f t="shared" si="320"/>
        <v>50</v>
      </c>
      <c r="G5081" s="1" t="str">
        <f t="shared" ref="G5081:G5144" si="321">getMust(B5081,C5081)</f>
        <v/>
      </c>
      <c r="I5081" s="1" t="str">
        <f t="shared" si="319"/>
        <v>威尔新数值1.06.xlsm!suitPower</v>
      </c>
    </row>
    <row r="5082" spans="1:9" x14ac:dyDescent="0.15">
      <c r="A5082" s="1">
        <v>5081</v>
      </c>
      <c r="B5082" s="1">
        <v>203091400</v>
      </c>
      <c r="C5082" s="1">
        <f t="shared" si="318"/>
        <v>1</v>
      </c>
      <c r="D5082" s="5">
        <f ca="1">IF(getQuality(B5082)&lt;4,getOtherMin(B5082,C5082,INDIRECT(J$2),INDIRECT(I5082),test),getMin(B5082,C5082,INDIRECT(J$2),INDIRECT(I5082),test))</f>
        <v>869.97777777777776</v>
      </c>
      <c r="E5082" s="5">
        <f ca="1">IF(getQuality(B5082)&lt;4,getOtherMax(B5082,C5082,INDIRECT(J$2),INDIRECT(I5082),test),getMax(B5082,C5082,INDIRECT(J$2),INDIRECT(I5082),test))</f>
        <v>1034.8</v>
      </c>
      <c r="F5082" s="1" t="str">
        <f t="shared" si="320"/>
        <v>50</v>
      </c>
      <c r="G5082" s="1" t="str">
        <f t="shared" si="321"/>
        <v/>
      </c>
      <c r="I5082" s="1" t="str">
        <f t="shared" si="319"/>
        <v>威尔新数值1.06.xlsm!suitPower</v>
      </c>
    </row>
    <row r="5083" spans="1:9" x14ac:dyDescent="0.15">
      <c r="A5083" s="1">
        <v>5082</v>
      </c>
      <c r="B5083" s="1">
        <v>203091400</v>
      </c>
      <c r="C5083" s="1">
        <f t="shared" si="318"/>
        <v>2</v>
      </c>
      <c r="D5083" s="5">
        <f ca="1">IF(getQuality(B5083)&lt;4,getOtherMin(B5083,C5083,INDIRECT(J$2),INDIRECT(I5083),test),getMin(B5083,C5083,INDIRECT(J$2),INDIRECT(I5083),test))</f>
        <v>84.555555555555557</v>
      </c>
      <c r="E5083" s="5">
        <f ca="1">IF(getQuality(B5083)&lt;4,getOtherMax(B5083,C5083,INDIRECT(J$2),INDIRECT(I5083),test),getMax(B5083,C5083,INDIRECT(J$2),INDIRECT(I5083),test))</f>
        <v>99.5</v>
      </c>
      <c r="F5083" s="1" t="str">
        <f t="shared" si="320"/>
        <v>50</v>
      </c>
      <c r="G5083" s="1" t="str">
        <f t="shared" si="321"/>
        <v/>
      </c>
      <c r="I5083" s="1" t="str">
        <f t="shared" si="319"/>
        <v>威尔新数值1.06.xlsm!suitPower</v>
      </c>
    </row>
    <row r="5084" spans="1:9" x14ac:dyDescent="0.15">
      <c r="A5084" s="1">
        <v>5083</v>
      </c>
      <c r="B5084" s="1">
        <v>203091400</v>
      </c>
      <c r="C5084" s="1">
        <f t="shared" si="318"/>
        <v>4</v>
      </c>
      <c r="D5084" s="5">
        <f ca="1">IF(getQuality(B5084)&lt;4,getOtherMin(B5084,C5084,INDIRECT(J$2),INDIRECT(I5084),test),getMin(B5084,C5084,INDIRECT(J$2),INDIRECT(I5084),test))</f>
        <v>334.33333333333331</v>
      </c>
      <c r="E5084" s="5">
        <f ca="1">IF(getQuality(B5084)&lt;4,getOtherMax(B5084,C5084,INDIRECT(J$2),INDIRECT(I5084),test),getMax(B5084,C5084,INDIRECT(J$2),INDIRECT(I5084),test))</f>
        <v>375</v>
      </c>
      <c r="F5084" s="1" t="str">
        <f t="shared" si="320"/>
        <v>50</v>
      </c>
      <c r="G5084" s="1" t="str">
        <f t="shared" si="321"/>
        <v>1</v>
      </c>
      <c r="I5084" s="1" t="str">
        <f t="shared" si="319"/>
        <v>威尔新数值1.06.xlsm!suitPower</v>
      </c>
    </row>
    <row r="5085" spans="1:9" x14ac:dyDescent="0.15">
      <c r="A5085" s="1">
        <v>5084</v>
      </c>
      <c r="B5085" s="1">
        <v>203091400</v>
      </c>
      <c r="C5085" s="1">
        <f t="shared" si="318"/>
        <v>6</v>
      </c>
      <c r="D5085" s="5">
        <f ca="1">IF(getQuality(B5085)&lt;4,getOtherMin(B5085,C5085,INDIRECT(J$2),INDIRECT(I5085),test),getMin(B5085,C5085,INDIRECT(J$2),INDIRECT(I5085),test))</f>
        <v>334.33333333333331</v>
      </c>
      <c r="E5085" s="5">
        <f ca="1">IF(getQuality(B5085)&lt;4,getOtherMax(B5085,C5085,INDIRECT(J$2),INDIRECT(I5085),test),getMax(B5085,C5085,INDIRECT(J$2),INDIRECT(I5085),test))</f>
        <v>375</v>
      </c>
      <c r="F5085" s="1" t="str">
        <f t="shared" si="320"/>
        <v>50</v>
      </c>
      <c r="G5085" s="1" t="str">
        <f t="shared" si="321"/>
        <v/>
      </c>
      <c r="I5085" s="1" t="str">
        <f t="shared" si="319"/>
        <v>威尔新数值1.06.xlsm!suitPower</v>
      </c>
    </row>
    <row r="5086" spans="1:9" x14ac:dyDescent="0.15">
      <c r="A5086" s="1">
        <v>5085</v>
      </c>
      <c r="B5086" s="1">
        <v>203091400</v>
      </c>
      <c r="C5086" s="1">
        <f t="shared" si="318"/>
        <v>7</v>
      </c>
      <c r="D5086" s="5">
        <f ca="1">IF(getQuality(B5086)&lt;4,getOtherMin(B5086,C5086,INDIRECT(J$2),INDIRECT(I5086),test),getMin(B5086,C5086,INDIRECT(J$2),INDIRECT(I5086),test))</f>
        <v>30.629629629629555</v>
      </c>
      <c r="E5086" s="5">
        <f ca="1">IF(getQuality(B5086)&lt;4,getOtherMax(B5086,C5086,INDIRECT(J$2),INDIRECT(I5086),test),getMax(B5086,C5086,INDIRECT(J$2),INDIRECT(I5086),test))</f>
        <v>33.33333333333325</v>
      </c>
      <c r="F5086" s="1" t="str">
        <f t="shared" si="320"/>
        <v>50</v>
      </c>
      <c r="G5086" s="1" t="str">
        <f t="shared" si="321"/>
        <v/>
      </c>
      <c r="I5086" s="1" t="str">
        <f t="shared" si="319"/>
        <v>威尔新数值1.06.xlsm!suitPower</v>
      </c>
    </row>
    <row r="5087" spans="1:9" x14ac:dyDescent="0.15">
      <c r="A5087" s="1">
        <v>5086</v>
      </c>
      <c r="B5087" s="1">
        <v>203091400</v>
      </c>
      <c r="C5087" s="1">
        <f t="shared" si="318"/>
        <v>8</v>
      </c>
      <c r="D5087" s="5">
        <f ca="1">IF(getQuality(B5087)&lt;4,getOtherMin(B5087,C5087,INDIRECT(J$2),INDIRECT(I5087),test),getMin(B5087,C5087,INDIRECT(J$2),INDIRECT(I5087),test))</f>
        <v>67.666666666666671</v>
      </c>
      <c r="E5087" s="5">
        <f ca="1">IF(getQuality(B5087)&lt;4,getOtherMax(B5087,C5087,INDIRECT(J$2),INDIRECT(I5087),test),getMax(B5087,C5087,INDIRECT(J$2),INDIRECT(I5087),test))</f>
        <v>75</v>
      </c>
      <c r="F5087" s="1" t="str">
        <f t="shared" si="320"/>
        <v>50</v>
      </c>
      <c r="G5087" s="1" t="str">
        <f t="shared" si="321"/>
        <v/>
      </c>
      <c r="I5087" s="1" t="str">
        <f t="shared" si="319"/>
        <v>威尔新数值1.06.xlsm!suitPower</v>
      </c>
    </row>
    <row r="5088" spans="1:9" x14ac:dyDescent="0.15">
      <c r="A5088" s="1">
        <v>5087</v>
      </c>
      <c r="B5088" s="1">
        <v>203091400</v>
      </c>
      <c r="C5088" s="1">
        <f t="shared" si="318"/>
        <v>16</v>
      </c>
      <c r="D5088" s="5">
        <f ca="1">IF(getQuality(B5088)&lt;4,getOtherMin(B5088,C5088,INDIRECT(J$2),INDIRECT(I5088),test),getMin(B5088,C5088,INDIRECT(J$2),INDIRECT(I5088),test))</f>
        <v>89.888888888888886</v>
      </c>
      <c r="E5088" s="5">
        <f ca="1">IF(getQuality(B5088)&lt;4,getOtherMax(B5088,C5088,INDIRECT(J$2),INDIRECT(I5088),test),getMax(B5088,C5088,INDIRECT(J$2),INDIRECT(I5088),test))</f>
        <v>100</v>
      </c>
      <c r="F5088" s="1" t="str">
        <f t="shared" si="320"/>
        <v>50</v>
      </c>
      <c r="G5088" s="1" t="str">
        <f t="shared" si="321"/>
        <v/>
      </c>
      <c r="I5088" s="1" t="str">
        <f t="shared" si="319"/>
        <v>威尔新数值1.06.xlsm!suitPower</v>
      </c>
    </row>
    <row r="5089" spans="1:9" x14ac:dyDescent="0.15">
      <c r="A5089" s="1">
        <v>5088</v>
      </c>
      <c r="B5089" s="1">
        <v>203091400</v>
      </c>
      <c r="C5089" s="1">
        <f t="shared" si="318"/>
        <v>17</v>
      </c>
      <c r="D5089" s="5">
        <f ca="1">IF(getQuality(B5089)&lt;4,getOtherMin(B5089,C5089,INDIRECT(J$2),INDIRECT(I5089),test),getMin(B5089,C5089,INDIRECT(J$2),INDIRECT(I5089),test))</f>
        <v>89.888888888888886</v>
      </c>
      <c r="E5089" s="5">
        <f ca="1">IF(getQuality(B5089)&lt;4,getOtherMax(B5089,C5089,INDIRECT(J$2),INDIRECT(I5089),test),getMax(B5089,C5089,INDIRECT(J$2),INDIRECT(I5089),test))</f>
        <v>100</v>
      </c>
      <c r="F5089" s="1" t="str">
        <f t="shared" si="320"/>
        <v>50</v>
      </c>
      <c r="G5089" s="1" t="str">
        <f t="shared" si="321"/>
        <v/>
      </c>
      <c r="I5089" s="1" t="str">
        <f t="shared" si="319"/>
        <v>威尔新数值1.06.xlsm!suitPower</v>
      </c>
    </row>
    <row r="5090" spans="1:9" x14ac:dyDescent="0.15">
      <c r="A5090" s="1">
        <v>5089</v>
      </c>
      <c r="B5090" s="1">
        <v>203091400</v>
      </c>
      <c r="C5090" s="1">
        <f t="shared" si="318"/>
        <v>18</v>
      </c>
      <c r="D5090" s="5">
        <f ca="1">IF(getQuality(B5090)&lt;4,getOtherMin(B5090,C5090,INDIRECT(J$2),INDIRECT(I5090),test),getMin(B5090,C5090,INDIRECT(J$2),INDIRECT(I5090),test))</f>
        <v>89.888888888888886</v>
      </c>
      <c r="E5090" s="5">
        <f ca="1">IF(getQuality(B5090)&lt;4,getOtherMax(B5090,C5090,INDIRECT(J$2),INDIRECT(I5090),test),getMax(B5090,C5090,INDIRECT(J$2),INDIRECT(I5090),test))</f>
        <v>100</v>
      </c>
      <c r="F5090" s="1" t="str">
        <f t="shared" si="320"/>
        <v>50</v>
      </c>
      <c r="G5090" s="1" t="str">
        <f t="shared" si="321"/>
        <v/>
      </c>
      <c r="I5090" s="1" t="str">
        <f t="shared" si="319"/>
        <v>威尔新数值1.06.xlsm!suitPower</v>
      </c>
    </row>
    <row r="5091" spans="1:9" x14ac:dyDescent="0.15">
      <c r="A5091" s="1">
        <v>5090</v>
      </c>
      <c r="B5091" s="1">
        <v>203091400</v>
      </c>
      <c r="C5091" s="1">
        <f t="shared" si="318"/>
        <v>19</v>
      </c>
      <c r="D5091" s="5">
        <f ca="1">IF(getQuality(B5091)&lt;4,getOtherMin(B5091,C5091,INDIRECT(J$2),INDIRECT(I5091),test),getMin(B5091,C5091,INDIRECT(J$2),INDIRECT(I5091),test))</f>
        <v>89.888888888888886</v>
      </c>
      <c r="E5091" s="5">
        <f ca="1">IF(getQuality(B5091)&lt;4,getOtherMax(B5091,C5091,INDIRECT(J$2),INDIRECT(I5091),test),getMax(B5091,C5091,INDIRECT(J$2),INDIRECT(I5091),test))</f>
        <v>100</v>
      </c>
      <c r="F5091" s="1" t="str">
        <f t="shared" si="320"/>
        <v>50</v>
      </c>
      <c r="G5091" s="1" t="str">
        <f t="shared" si="321"/>
        <v/>
      </c>
      <c r="I5091" s="1" t="str">
        <f t="shared" si="319"/>
        <v>威尔新数值1.06.xlsm!suitPower</v>
      </c>
    </row>
    <row r="5092" spans="1:9" x14ac:dyDescent="0.15">
      <c r="A5092" s="1">
        <v>5091</v>
      </c>
      <c r="B5092" s="1">
        <v>203091400</v>
      </c>
      <c r="C5092" s="1">
        <f t="shared" si="318"/>
        <v>20</v>
      </c>
      <c r="D5092" s="5">
        <f ca="1">IF(getQuality(B5092)&lt;4,getOtherMin(B5092,C5092,INDIRECT(J$2),INDIRECT(I5092),test),getMin(B5092,C5092,INDIRECT(J$2),INDIRECT(I5092),test))</f>
        <v>89.888888888888886</v>
      </c>
      <c r="E5092" s="5">
        <f ca="1">IF(getQuality(B5092)&lt;4,getOtherMax(B5092,C5092,INDIRECT(J$2),INDIRECT(I5092),test),getMax(B5092,C5092,INDIRECT(J$2),INDIRECT(I5092),test))</f>
        <v>100</v>
      </c>
      <c r="F5092" s="1" t="str">
        <f t="shared" si="320"/>
        <v>50</v>
      </c>
      <c r="G5092" s="1" t="str">
        <f t="shared" si="321"/>
        <v/>
      </c>
      <c r="I5092" s="1" t="str">
        <f t="shared" si="319"/>
        <v>威尔新数值1.06.xlsm!suitPower</v>
      </c>
    </row>
    <row r="5093" spans="1:9" x14ac:dyDescent="0.15">
      <c r="A5093" s="1">
        <v>5092</v>
      </c>
      <c r="B5093" s="1">
        <v>203091400</v>
      </c>
      <c r="C5093" s="1">
        <f t="shared" si="318"/>
        <v>21</v>
      </c>
      <c r="D5093" s="5">
        <f ca="1">IF(getQuality(B5093)&lt;4,getOtherMin(B5093,C5093,INDIRECT(J$2),INDIRECT(I5093),test),getMin(B5093,C5093,INDIRECT(J$2),INDIRECT(I5093),test))</f>
        <v>89.888888888888886</v>
      </c>
      <c r="E5093" s="5">
        <f ca="1">IF(getQuality(B5093)&lt;4,getOtherMax(B5093,C5093,INDIRECT(J$2),INDIRECT(I5093),test),getMax(B5093,C5093,INDIRECT(J$2),INDIRECT(I5093),test))</f>
        <v>100</v>
      </c>
      <c r="F5093" s="1" t="str">
        <f t="shared" si="320"/>
        <v>50</v>
      </c>
      <c r="G5093" s="1" t="str">
        <f t="shared" si="321"/>
        <v/>
      </c>
      <c r="I5093" s="1" t="str">
        <f t="shared" si="319"/>
        <v>威尔新数值1.06.xlsm!suitPower</v>
      </c>
    </row>
    <row r="5094" spans="1:9" x14ac:dyDescent="0.15">
      <c r="A5094" s="1">
        <v>5093</v>
      </c>
      <c r="B5094" s="1">
        <v>203091400</v>
      </c>
      <c r="C5094" s="1">
        <f t="shared" si="318"/>
        <v>22</v>
      </c>
      <c r="D5094" s="5">
        <f ca="1">IF(getQuality(B5094)&lt;4,getOtherMin(B5094,C5094,INDIRECT(J$2),INDIRECT(I5094),test),getMin(B5094,C5094,INDIRECT(J$2),INDIRECT(I5094),test))</f>
        <v>89.888888888888886</v>
      </c>
      <c r="E5094" s="5">
        <f ca="1">IF(getQuality(B5094)&lt;4,getOtherMax(B5094,C5094,INDIRECT(J$2),INDIRECT(I5094),test),getMax(B5094,C5094,INDIRECT(J$2),INDIRECT(I5094),test))</f>
        <v>100</v>
      </c>
      <c r="F5094" s="1" t="str">
        <f t="shared" si="320"/>
        <v>50</v>
      </c>
      <c r="G5094" s="1" t="str">
        <f t="shared" si="321"/>
        <v/>
      </c>
      <c r="I5094" s="1" t="str">
        <f t="shared" si="319"/>
        <v>威尔新数值1.06.xlsm!suitPower</v>
      </c>
    </row>
    <row r="5095" spans="1:9" x14ac:dyDescent="0.15">
      <c r="A5095" s="1">
        <v>5094</v>
      </c>
      <c r="B5095" s="1">
        <v>203091400</v>
      </c>
      <c r="C5095" s="1">
        <f t="shared" si="318"/>
        <v>23</v>
      </c>
      <c r="D5095" s="5">
        <f ca="1">IF(getQuality(B5095)&lt;4,getOtherMin(B5095,C5095,INDIRECT(J$2),INDIRECT(I5095),test),getMin(B5095,C5095,INDIRECT(J$2),INDIRECT(I5095),test))</f>
        <v>89.888888888888886</v>
      </c>
      <c r="E5095" s="5">
        <f ca="1">IF(getQuality(B5095)&lt;4,getOtherMax(B5095,C5095,INDIRECT(J$2),INDIRECT(I5095),test),getMax(B5095,C5095,INDIRECT(J$2),INDIRECT(I5095),test))</f>
        <v>100</v>
      </c>
      <c r="F5095" s="1" t="str">
        <f t="shared" si="320"/>
        <v>50</v>
      </c>
      <c r="G5095" s="1" t="str">
        <f t="shared" si="321"/>
        <v/>
      </c>
      <c r="I5095" s="1" t="str">
        <f t="shared" si="319"/>
        <v>威尔新数值1.06.xlsm!suitPower</v>
      </c>
    </row>
    <row r="5096" spans="1:9" x14ac:dyDescent="0.15">
      <c r="A5096" s="1">
        <v>5095</v>
      </c>
      <c r="B5096" s="1">
        <v>303011500</v>
      </c>
      <c r="C5096" s="1">
        <f t="shared" si="318"/>
        <v>1</v>
      </c>
      <c r="D5096" s="5">
        <f ca="1">IF(getQuality(B5096)&lt;4,getOtherMin(B5096,C5096,INDIRECT(J$2),INDIRECT(I5096),test),getMin(B5096,C5096,INDIRECT(J$2),INDIRECT(I5096),test))</f>
        <v>1</v>
      </c>
      <c r="E5096" s="5">
        <f ca="1">IF(getQuality(B5096)&lt;4,getOtherMax(B5096,C5096,INDIRECT(J$2),INDIRECT(I5096),test),getMax(B5096,C5096,INDIRECT(J$2),INDIRECT(I5096),test))</f>
        <v>63.555555555555564</v>
      </c>
      <c r="F5096" s="1" t="str">
        <f t="shared" si="320"/>
        <v>50</v>
      </c>
      <c r="G5096" s="1" t="str">
        <f t="shared" si="321"/>
        <v/>
      </c>
      <c r="I5096" s="1" t="str">
        <f t="shared" si="319"/>
        <v>威尔新数值1.06.xlsm!suitPower</v>
      </c>
    </row>
    <row r="5097" spans="1:9" x14ac:dyDescent="0.15">
      <c r="A5097" s="1">
        <v>5096</v>
      </c>
      <c r="B5097" s="1">
        <v>303011500</v>
      </c>
      <c r="C5097" s="1">
        <f t="shared" si="318"/>
        <v>2</v>
      </c>
      <c r="D5097" s="5">
        <f ca="1">IF(getQuality(B5097)&lt;4,getOtherMin(B5097,C5097,INDIRECT(J$2),INDIRECT(I5097),test),getMin(B5097,C5097,INDIRECT(J$2),INDIRECT(I5097),test))</f>
        <v>1</v>
      </c>
      <c r="E5097" s="5">
        <f ca="1">IF(getQuality(B5097)&lt;4,getOtherMax(B5097,C5097,INDIRECT(J$2),INDIRECT(I5097),test),getMax(B5097,C5097,INDIRECT(J$2),INDIRECT(I5097),test))</f>
        <v>6.1111111111111116</v>
      </c>
      <c r="F5097" s="1" t="str">
        <f t="shared" si="320"/>
        <v>50</v>
      </c>
      <c r="G5097" s="1" t="str">
        <f t="shared" si="321"/>
        <v/>
      </c>
      <c r="I5097" s="1" t="str">
        <f t="shared" si="319"/>
        <v>威尔新数值1.06.xlsm!suitPower</v>
      </c>
    </row>
    <row r="5098" spans="1:9" x14ac:dyDescent="0.15">
      <c r="A5098" s="1">
        <v>5097</v>
      </c>
      <c r="B5098" s="1">
        <v>303011500</v>
      </c>
      <c r="C5098" s="1">
        <f t="shared" si="318"/>
        <v>4</v>
      </c>
      <c r="D5098" s="5">
        <f ca="1">IF(getQuality(B5098)&lt;4,getOtherMin(B5098,C5098,INDIRECT(J$2),INDIRECT(I5098),test),getMin(B5098,C5098,INDIRECT(J$2),INDIRECT(I5098),test))</f>
        <v>1</v>
      </c>
      <c r="E5098" s="5">
        <f ca="1">IF(getQuality(B5098)&lt;4,getOtherMax(B5098,C5098,INDIRECT(J$2),INDIRECT(I5098),test),getMax(B5098,C5098,INDIRECT(J$2),INDIRECT(I5098),test))</f>
        <v>41.666666666666664</v>
      </c>
      <c r="F5098" s="1" t="str">
        <f t="shared" si="320"/>
        <v>50</v>
      </c>
      <c r="G5098" s="1" t="str">
        <f t="shared" si="321"/>
        <v>1</v>
      </c>
      <c r="I5098" s="1" t="str">
        <f t="shared" si="319"/>
        <v>威尔新数值1.06.xlsm!suitPower</v>
      </c>
    </row>
    <row r="5099" spans="1:9" x14ac:dyDescent="0.15">
      <c r="A5099" s="1">
        <v>5098</v>
      </c>
      <c r="B5099" s="1">
        <v>303011500</v>
      </c>
      <c r="C5099" s="1">
        <f t="shared" si="318"/>
        <v>6</v>
      </c>
      <c r="D5099" s="5">
        <f ca="1">IF(getQuality(B5099)&lt;4,getOtherMin(B5099,C5099,INDIRECT(J$2),INDIRECT(I5099),test),getMin(B5099,C5099,INDIRECT(J$2),INDIRECT(I5099),test))</f>
        <v>1</v>
      </c>
      <c r="E5099" s="5">
        <f ca="1">IF(getQuality(B5099)&lt;4,getOtherMax(B5099,C5099,INDIRECT(J$2),INDIRECT(I5099),test),getMax(B5099,C5099,INDIRECT(J$2),INDIRECT(I5099),test))</f>
        <v>41.666666666666664</v>
      </c>
      <c r="F5099" s="1" t="str">
        <f t="shared" si="320"/>
        <v>50</v>
      </c>
      <c r="G5099" s="1" t="str">
        <f t="shared" si="321"/>
        <v/>
      </c>
      <c r="I5099" s="1" t="str">
        <f t="shared" si="319"/>
        <v>威尔新数值1.06.xlsm!suitPower</v>
      </c>
    </row>
    <row r="5100" spans="1:9" x14ac:dyDescent="0.15">
      <c r="A5100" s="1">
        <v>5099</v>
      </c>
      <c r="B5100" s="1">
        <v>303011500</v>
      </c>
      <c r="C5100" s="1">
        <f t="shared" si="318"/>
        <v>7</v>
      </c>
      <c r="D5100" s="5">
        <f ca="1">IF(getQuality(B5100)&lt;4,getOtherMin(B5100,C5100,INDIRECT(J$2),INDIRECT(I5100),test),getMin(B5100,C5100,INDIRECT(J$2),INDIRECT(I5100),test))</f>
        <v>1</v>
      </c>
      <c r="E5100" s="5">
        <f ca="1">IF(getQuality(B5100)&lt;4,getOtherMax(B5100,C5100,INDIRECT(J$2),INDIRECT(I5100),test),getMax(B5100,C5100,INDIRECT(J$2),INDIRECT(I5100),test))</f>
        <v>3.7037037037036944</v>
      </c>
      <c r="F5100" s="1" t="str">
        <f t="shared" si="320"/>
        <v>50</v>
      </c>
      <c r="G5100" s="1" t="str">
        <f t="shared" si="321"/>
        <v/>
      </c>
      <c r="I5100" s="1" t="str">
        <f t="shared" si="319"/>
        <v>威尔新数值1.06.xlsm!suitPower</v>
      </c>
    </row>
    <row r="5101" spans="1:9" x14ac:dyDescent="0.15">
      <c r="A5101" s="1">
        <v>5100</v>
      </c>
      <c r="B5101" s="1">
        <v>303011500</v>
      </c>
      <c r="C5101" s="1">
        <f t="shared" si="318"/>
        <v>8</v>
      </c>
      <c r="D5101" s="5">
        <f ca="1">IF(getQuality(B5101)&lt;4,getOtherMin(B5101,C5101,INDIRECT(J$2),INDIRECT(I5101),test),getMin(B5101,C5101,INDIRECT(J$2),INDIRECT(I5101),test))</f>
        <v>1</v>
      </c>
      <c r="E5101" s="5">
        <f ca="1">IF(getQuality(B5101)&lt;4,getOtherMax(B5101,C5101,INDIRECT(J$2),INDIRECT(I5101),test),getMax(B5101,C5101,INDIRECT(J$2),INDIRECT(I5101),test))</f>
        <v>8.3333333333333339</v>
      </c>
      <c r="F5101" s="1" t="str">
        <f t="shared" si="320"/>
        <v>50</v>
      </c>
      <c r="G5101" s="1" t="str">
        <f t="shared" si="321"/>
        <v/>
      </c>
      <c r="I5101" s="1" t="str">
        <f t="shared" si="319"/>
        <v>威尔新数值1.06.xlsm!suitPower</v>
      </c>
    </row>
    <row r="5102" spans="1:9" x14ac:dyDescent="0.15">
      <c r="A5102" s="1">
        <v>5101</v>
      </c>
      <c r="B5102" s="1">
        <v>303011500</v>
      </c>
      <c r="C5102" s="1">
        <f t="shared" si="318"/>
        <v>16</v>
      </c>
      <c r="D5102" s="5">
        <f ca="1">IF(getQuality(B5102)&lt;4,getOtherMin(B5102,C5102,INDIRECT(J$2),INDIRECT(I5102),test),getMin(B5102,C5102,INDIRECT(J$2),INDIRECT(I5102),test))</f>
        <v>1</v>
      </c>
      <c r="E5102" s="5">
        <f ca="1">IF(getQuality(B5102)&lt;4,getOtherMax(B5102,C5102,INDIRECT(J$2),INDIRECT(I5102),test),getMax(B5102,C5102,INDIRECT(J$2),INDIRECT(I5102),test))</f>
        <v>11.111111111111111</v>
      </c>
      <c r="F5102" s="1" t="str">
        <f t="shared" si="320"/>
        <v>50</v>
      </c>
      <c r="G5102" s="1" t="str">
        <f t="shared" si="321"/>
        <v/>
      </c>
      <c r="I5102" s="1" t="str">
        <f t="shared" si="319"/>
        <v>威尔新数值1.06.xlsm!suitPower</v>
      </c>
    </row>
    <row r="5103" spans="1:9" x14ac:dyDescent="0.15">
      <c r="A5103" s="1">
        <v>5102</v>
      </c>
      <c r="B5103" s="1">
        <v>303011500</v>
      </c>
      <c r="C5103" s="1">
        <f t="shared" si="318"/>
        <v>17</v>
      </c>
      <c r="D5103" s="5">
        <f ca="1">IF(getQuality(B5103)&lt;4,getOtherMin(B5103,C5103,INDIRECT(J$2),INDIRECT(I5103),test),getMin(B5103,C5103,INDIRECT(J$2),INDIRECT(I5103),test))</f>
        <v>1</v>
      </c>
      <c r="E5103" s="5">
        <f ca="1">IF(getQuality(B5103)&lt;4,getOtherMax(B5103,C5103,INDIRECT(J$2),INDIRECT(I5103),test),getMax(B5103,C5103,INDIRECT(J$2),INDIRECT(I5103),test))</f>
        <v>11.111111111111111</v>
      </c>
      <c r="F5103" s="1" t="str">
        <f t="shared" si="320"/>
        <v>50</v>
      </c>
      <c r="G5103" s="1" t="str">
        <f t="shared" si="321"/>
        <v/>
      </c>
      <c r="I5103" s="1" t="str">
        <f t="shared" si="319"/>
        <v>威尔新数值1.06.xlsm!suitPower</v>
      </c>
    </row>
    <row r="5104" spans="1:9" x14ac:dyDescent="0.15">
      <c r="A5104" s="1">
        <v>5103</v>
      </c>
      <c r="B5104" s="1">
        <v>303011500</v>
      </c>
      <c r="C5104" s="1">
        <f t="shared" si="318"/>
        <v>18</v>
      </c>
      <c r="D5104" s="5">
        <f ca="1">IF(getQuality(B5104)&lt;4,getOtherMin(B5104,C5104,INDIRECT(J$2),INDIRECT(I5104),test),getMin(B5104,C5104,INDIRECT(J$2),INDIRECT(I5104),test))</f>
        <v>1</v>
      </c>
      <c r="E5104" s="5">
        <f ca="1">IF(getQuality(B5104)&lt;4,getOtherMax(B5104,C5104,INDIRECT(J$2),INDIRECT(I5104),test),getMax(B5104,C5104,INDIRECT(J$2),INDIRECT(I5104),test))</f>
        <v>11.111111111111111</v>
      </c>
      <c r="F5104" s="1" t="str">
        <f t="shared" si="320"/>
        <v>50</v>
      </c>
      <c r="G5104" s="1" t="str">
        <f t="shared" si="321"/>
        <v/>
      </c>
      <c r="I5104" s="1" t="str">
        <f t="shared" si="319"/>
        <v>威尔新数值1.06.xlsm!suitPower</v>
      </c>
    </row>
    <row r="5105" spans="1:9" x14ac:dyDescent="0.15">
      <c r="A5105" s="1">
        <v>5104</v>
      </c>
      <c r="B5105" s="1">
        <v>303011500</v>
      </c>
      <c r="C5105" s="1">
        <f t="shared" si="318"/>
        <v>19</v>
      </c>
      <c r="D5105" s="5">
        <f ca="1">IF(getQuality(B5105)&lt;4,getOtherMin(B5105,C5105,INDIRECT(J$2),INDIRECT(I5105),test),getMin(B5105,C5105,INDIRECT(J$2),INDIRECT(I5105),test))</f>
        <v>1</v>
      </c>
      <c r="E5105" s="5">
        <f ca="1">IF(getQuality(B5105)&lt;4,getOtherMax(B5105,C5105,INDIRECT(J$2),INDIRECT(I5105),test),getMax(B5105,C5105,INDIRECT(J$2),INDIRECT(I5105),test))</f>
        <v>11.111111111111111</v>
      </c>
      <c r="F5105" s="1" t="str">
        <f t="shared" si="320"/>
        <v>50</v>
      </c>
      <c r="G5105" s="1" t="str">
        <f t="shared" si="321"/>
        <v/>
      </c>
      <c r="I5105" s="1" t="str">
        <f t="shared" si="319"/>
        <v>威尔新数值1.06.xlsm!suitPower</v>
      </c>
    </row>
    <row r="5106" spans="1:9" x14ac:dyDescent="0.15">
      <c r="A5106" s="1">
        <v>5105</v>
      </c>
      <c r="B5106" s="1">
        <v>303011500</v>
      </c>
      <c r="C5106" s="1">
        <f t="shared" si="318"/>
        <v>20</v>
      </c>
      <c r="D5106" s="5">
        <f ca="1">IF(getQuality(B5106)&lt;4,getOtherMin(B5106,C5106,INDIRECT(J$2),INDIRECT(I5106),test),getMin(B5106,C5106,INDIRECT(J$2),INDIRECT(I5106),test))</f>
        <v>1</v>
      </c>
      <c r="E5106" s="5">
        <f ca="1">IF(getQuality(B5106)&lt;4,getOtherMax(B5106,C5106,INDIRECT(J$2),INDIRECT(I5106),test),getMax(B5106,C5106,INDIRECT(J$2),INDIRECT(I5106),test))</f>
        <v>11.111111111111111</v>
      </c>
      <c r="F5106" s="1" t="str">
        <f t="shared" si="320"/>
        <v>50</v>
      </c>
      <c r="G5106" s="1" t="str">
        <f t="shared" si="321"/>
        <v/>
      </c>
      <c r="I5106" s="1" t="str">
        <f t="shared" si="319"/>
        <v>威尔新数值1.06.xlsm!suitPower</v>
      </c>
    </row>
    <row r="5107" spans="1:9" x14ac:dyDescent="0.15">
      <c r="A5107" s="1">
        <v>5106</v>
      </c>
      <c r="B5107" s="1">
        <v>303011500</v>
      </c>
      <c r="C5107" s="1">
        <f t="shared" si="318"/>
        <v>21</v>
      </c>
      <c r="D5107" s="5">
        <f ca="1">IF(getQuality(B5107)&lt;4,getOtherMin(B5107,C5107,INDIRECT(J$2),INDIRECT(I5107),test),getMin(B5107,C5107,INDIRECT(J$2),INDIRECT(I5107),test))</f>
        <v>1</v>
      </c>
      <c r="E5107" s="5">
        <f ca="1">IF(getQuality(B5107)&lt;4,getOtherMax(B5107,C5107,INDIRECT(J$2),INDIRECT(I5107),test),getMax(B5107,C5107,INDIRECT(J$2),INDIRECT(I5107),test))</f>
        <v>11.111111111111111</v>
      </c>
      <c r="F5107" s="1" t="str">
        <f t="shared" si="320"/>
        <v>50</v>
      </c>
      <c r="G5107" s="1" t="str">
        <f t="shared" si="321"/>
        <v/>
      </c>
      <c r="I5107" s="1" t="str">
        <f t="shared" si="319"/>
        <v>威尔新数值1.06.xlsm!suitPower</v>
      </c>
    </row>
    <row r="5108" spans="1:9" x14ac:dyDescent="0.15">
      <c r="A5108" s="1">
        <v>5107</v>
      </c>
      <c r="B5108" s="1">
        <v>303011500</v>
      </c>
      <c r="C5108" s="1">
        <f t="shared" si="318"/>
        <v>22</v>
      </c>
      <c r="D5108" s="5">
        <f ca="1">IF(getQuality(B5108)&lt;4,getOtherMin(B5108,C5108,INDIRECT(J$2),INDIRECT(I5108),test),getMin(B5108,C5108,INDIRECT(J$2),INDIRECT(I5108),test))</f>
        <v>1</v>
      </c>
      <c r="E5108" s="5">
        <f ca="1">IF(getQuality(B5108)&lt;4,getOtherMax(B5108,C5108,INDIRECT(J$2),INDIRECT(I5108),test),getMax(B5108,C5108,INDIRECT(J$2),INDIRECT(I5108),test))</f>
        <v>11.111111111111111</v>
      </c>
      <c r="F5108" s="1" t="str">
        <f t="shared" si="320"/>
        <v>50</v>
      </c>
      <c r="G5108" s="1" t="str">
        <f t="shared" si="321"/>
        <v/>
      </c>
      <c r="I5108" s="1" t="str">
        <f t="shared" si="319"/>
        <v>威尔新数值1.06.xlsm!suitPower</v>
      </c>
    </row>
    <row r="5109" spans="1:9" x14ac:dyDescent="0.15">
      <c r="A5109" s="1">
        <v>5108</v>
      </c>
      <c r="B5109" s="1">
        <v>303011500</v>
      </c>
      <c r="C5109" s="1">
        <f t="shared" si="318"/>
        <v>23</v>
      </c>
      <c r="D5109" s="5">
        <f ca="1">IF(getQuality(B5109)&lt;4,getOtherMin(B5109,C5109,INDIRECT(J$2),INDIRECT(I5109),test),getMin(B5109,C5109,INDIRECT(J$2),INDIRECT(I5109),test))</f>
        <v>1</v>
      </c>
      <c r="E5109" s="5">
        <f ca="1">IF(getQuality(B5109)&lt;4,getOtherMax(B5109,C5109,INDIRECT(J$2),INDIRECT(I5109),test),getMax(B5109,C5109,INDIRECT(J$2),INDIRECT(I5109),test))</f>
        <v>11.111111111111111</v>
      </c>
      <c r="F5109" s="1" t="str">
        <f t="shared" si="320"/>
        <v>50</v>
      </c>
      <c r="G5109" s="1" t="str">
        <f t="shared" si="321"/>
        <v/>
      </c>
      <c r="I5109" s="1" t="str">
        <f t="shared" si="319"/>
        <v>威尔新数值1.06.xlsm!suitPower</v>
      </c>
    </row>
    <row r="5110" spans="1:9" x14ac:dyDescent="0.15">
      <c r="A5110" s="1">
        <v>5109</v>
      </c>
      <c r="B5110" s="1">
        <v>303021500</v>
      </c>
      <c r="C5110" s="1">
        <f t="shared" si="318"/>
        <v>1</v>
      </c>
      <c r="D5110" s="5">
        <f ca="1">IF(getQuality(B5110)&lt;4,getOtherMin(B5110,C5110,INDIRECT(J$2),INDIRECT(I5110),test),getMin(B5110,C5110,INDIRECT(J$2),INDIRECT(I5110),test))</f>
        <v>64.555555555555557</v>
      </c>
      <c r="E5110" s="5">
        <f ca="1">IF(getQuality(B5110)&lt;4,getOtherMax(B5110,C5110,INDIRECT(J$2),INDIRECT(I5110),test),getMax(B5110,C5110,INDIRECT(J$2),INDIRECT(I5110),test))</f>
        <v>139.82222222222222</v>
      </c>
      <c r="F5110" s="1" t="str">
        <f t="shared" si="320"/>
        <v>50</v>
      </c>
      <c r="G5110" s="1" t="str">
        <f t="shared" si="321"/>
        <v/>
      </c>
      <c r="I5110" s="1" t="str">
        <f t="shared" si="319"/>
        <v>威尔新数值1.06.xlsm!suitPower</v>
      </c>
    </row>
    <row r="5111" spans="1:9" x14ac:dyDescent="0.15">
      <c r="A5111" s="1">
        <v>5110</v>
      </c>
      <c r="B5111" s="1">
        <v>303021500</v>
      </c>
      <c r="C5111" s="1">
        <f t="shared" si="318"/>
        <v>2</v>
      </c>
      <c r="D5111" s="5">
        <f ca="1">IF(getQuality(B5111)&lt;4,getOtherMin(B5111,C5111,INDIRECT(J$2),INDIRECT(I5111),test),getMin(B5111,C5111,INDIRECT(J$2),INDIRECT(I5111),test))</f>
        <v>7.1111111111111116</v>
      </c>
      <c r="E5111" s="5">
        <f ca="1">IF(getQuality(B5111)&lt;4,getOtherMax(B5111,C5111,INDIRECT(J$2),INDIRECT(I5111),test),getMax(B5111,C5111,INDIRECT(J$2),INDIRECT(I5111),test))</f>
        <v>13.444444444444445</v>
      </c>
      <c r="F5111" s="1" t="str">
        <f t="shared" si="320"/>
        <v>50</v>
      </c>
      <c r="G5111" s="1" t="str">
        <f t="shared" si="321"/>
        <v/>
      </c>
      <c r="I5111" s="1" t="str">
        <f t="shared" si="319"/>
        <v>威尔新数值1.06.xlsm!suitPower</v>
      </c>
    </row>
    <row r="5112" spans="1:9" x14ac:dyDescent="0.15">
      <c r="A5112" s="1">
        <v>5111</v>
      </c>
      <c r="B5112" s="1">
        <v>303021500</v>
      </c>
      <c r="C5112" s="1">
        <f t="shared" si="318"/>
        <v>4</v>
      </c>
      <c r="D5112" s="5">
        <f ca="1">IF(getQuality(B5112)&lt;4,getOtherMin(B5112,C5112,INDIRECT(J$2),INDIRECT(I5112),test),getMin(B5112,C5112,INDIRECT(J$2),INDIRECT(I5112),test))</f>
        <v>42.666666666666664</v>
      </c>
      <c r="E5112" s="5">
        <f ca="1">IF(getQuality(B5112)&lt;4,getOtherMax(B5112,C5112,INDIRECT(J$2),INDIRECT(I5112),test),getMax(B5112,C5112,INDIRECT(J$2),INDIRECT(I5112),test))</f>
        <v>83.333333333333329</v>
      </c>
      <c r="F5112" s="1" t="str">
        <f t="shared" si="320"/>
        <v>50</v>
      </c>
      <c r="G5112" s="1" t="str">
        <f t="shared" si="321"/>
        <v>1</v>
      </c>
      <c r="I5112" s="1" t="str">
        <f t="shared" si="319"/>
        <v>威尔新数值1.06.xlsm!suitPower</v>
      </c>
    </row>
    <row r="5113" spans="1:9" x14ac:dyDescent="0.15">
      <c r="A5113" s="1">
        <v>5112</v>
      </c>
      <c r="B5113" s="1">
        <v>303021500</v>
      </c>
      <c r="C5113" s="1">
        <f t="shared" si="318"/>
        <v>6</v>
      </c>
      <c r="D5113" s="5">
        <f ca="1">IF(getQuality(B5113)&lt;4,getOtherMin(B5113,C5113,INDIRECT(J$2),INDIRECT(I5113),test),getMin(B5113,C5113,INDIRECT(J$2),INDIRECT(I5113),test))</f>
        <v>42.666666666666664</v>
      </c>
      <c r="E5113" s="5">
        <f ca="1">IF(getQuality(B5113)&lt;4,getOtherMax(B5113,C5113,INDIRECT(J$2),INDIRECT(I5113),test),getMax(B5113,C5113,INDIRECT(J$2),INDIRECT(I5113),test))</f>
        <v>83.333333333333329</v>
      </c>
      <c r="F5113" s="1" t="str">
        <f t="shared" si="320"/>
        <v>50</v>
      </c>
      <c r="G5113" s="1" t="str">
        <f t="shared" si="321"/>
        <v/>
      </c>
      <c r="I5113" s="1" t="str">
        <f t="shared" si="319"/>
        <v>威尔新数值1.06.xlsm!suitPower</v>
      </c>
    </row>
    <row r="5114" spans="1:9" x14ac:dyDescent="0.15">
      <c r="A5114" s="1">
        <v>5113</v>
      </c>
      <c r="B5114" s="1">
        <v>303021500</v>
      </c>
      <c r="C5114" s="1">
        <f t="shared" si="318"/>
        <v>7</v>
      </c>
      <c r="D5114" s="5">
        <f ca="1">IF(getQuality(B5114)&lt;4,getOtherMin(B5114,C5114,INDIRECT(J$2),INDIRECT(I5114),test),getMin(B5114,C5114,INDIRECT(J$2),INDIRECT(I5114),test))</f>
        <v>4.7037037037036944</v>
      </c>
      <c r="E5114" s="5">
        <f ca="1">IF(getQuality(B5114)&lt;4,getOtherMax(B5114,C5114,INDIRECT(J$2),INDIRECT(I5114),test),getMax(B5114,C5114,INDIRECT(J$2),INDIRECT(I5114),test))</f>
        <v>7.4074074074073888</v>
      </c>
      <c r="F5114" s="1" t="str">
        <f t="shared" si="320"/>
        <v>50</v>
      </c>
      <c r="G5114" s="1" t="str">
        <f t="shared" si="321"/>
        <v/>
      </c>
      <c r="I5114" s="1" t="str">
        <f t="shared" si="319"/>
        <v>威尔新数值1.06.xlsm!suitPower</v>
      </c>
    </row>
    <row r="5115" spans="1:9" x14ac:dyDescent="0.15">
      <c r="A5115" s="1">
        <v>5114</v>
      </c>
      <c r="B5115" s="1">
        <v>303021500</v>
      </c>
      <c r="C5115" s="1">
        <f t="shared" si="318"/>
        <v>8</v>
      </c>
      <c r="D5115" s="5">
        <f ca="1">IF(getQuality(B5115)&lt;4,getOtherMin(B5115,C5115,INDIRECT(J$2),INDIRECT(I5115),test),getMin(B5115,C5115,INDIRECT(J$2),INDIRECT(I5115),test))</f>
        <v>9.3333333333333339</v>
      </c>
      <c r="E5115" s="5">
        <f ca="1">IF(getQuality(B5115)&lt;4,getOtherMax(B5115,C5115,INDIRECT(J$2),INDIRECT(I5115),test),getMax(B5115,C5115,INDIRECT(J$2),INDIRECT(I5115),test))</f>
        <v>16.666666666666668</v>
      </c>
      <c r="F5115" s="1" t="str">
        <f t="shared" si="320"/>
        <v>50</v>
      </c>
      <c r="G5115" s="1" t="str">
        <f t="shared" si="321"/>
        <v/>
      </c>
      <c r="I5115" s="1" t="str">
        <f t="shared" si="319"/>
        <v>威尔新数值1.06.xlsm!suitPower</v>
      </c>
    </row>
    <row r="5116" spans="1:9" x14ac:dyDescent="0.15">
      <c r="A5116" s="1">
        <v>5115</v>
      </c>
      <c r="B5116" s="1">
        <v>303021500</v>
      </c>
      <c r="C5116" s="1">
        <f t="shared" ref="C5116:C5179" si="322">C2641</f>
        <v>16</v>
      </c>
      <c r="D5116" s="5">
        <f ca="1">IF(getQuality(B5116)&lt;4,getOtherMin(B5116,C5116,INDIRECT(J$2),INDIRECT(I5116),test),getMin(B5116,C5116,INDIRECT(J$2),INDIRECT(I5116),test))</f>
        <v>12.111111111111111</v>
      </c>
      <c r="E5116" s="5">
        <f ca="1">IF(getQuality(B5116)&lt;4,getOtherMax(B5116,C5116,INDIRECT(J$2),INDIRECT(I5116),test),getMax(B5116,C5116,INDIRECT(J$2),INDIRECT(I5116),test))</f>
        <v>22.222222222222221</v>
      </c>
      <c r="F5116" s="1" t="str">
        <f t="shared" si="320"/>
        <v>50</v>
      </c>
      <c r="G5116" s="1" t="str">
        <f t="shared" si="321"/>
        <v/>
      </c>
      <c r="I5116" s="1" t="str">
        <f t="shared" si="319"/>
        <v>威尔新数值1.06.xlsm!suitPower</v>
      </c>
    </row>
    <row r="5117" spans="1:9" x14ac:dyDescent="0.15">
      <c r="A5117" s="1">
        <v>5116</v>
      </c>
      <c r="B5117" s="1">
        <v>303021500</v>
      </c>
      <c r="C5117" s="1">
        <f t="shared" si="322"/>
        <v>17</v>
      </c>
      <c r="D5117" s="5">
        <f ca="1">IF(getQuality(B5117)&lt;4,getOtherMin(B5117,C5117,INDIRECT(J$2),INDIRECT(I5117),test),getMin(B5117,C5117,INDIRECT(J$2),INDIRECT(I5117),test))</f>
        <v>12.111111111111111</v>
      </c>
      <c r="E5117" s="5">
        <f ca="1">IF(getQuality(B5117)&lt;4,getOtherMax(B5117,C5117,INDIRECT(J$2),INDIRECT(I5117),test),getMax(B5117,C5117,INDIRECT(J$2),INDIRECT(I5117),test))</f>
        <v>22.222222222222221</v>
      </c>
      <c r="F5117" s="1" t="str">
        <f t="shared" si="320"/>
        <v>50</v>
      </c>
      <c r="G5117" s="1" t="str">
        <f t="shared" si="321"/>
        <v/>
      </c>
      <c r="I5117" s="1" t="str">
        <f t="shared" si="319"/>
        <v>威尔新数值1.06.xlsm!suitPower</v>
      </c>
    </row>
    <row r="5118" spans="1:9" x14ac:dyDescent="0.15">
      <c r="A5118" s="1">
        <v>5117</v>
      </c>
      <c r="B5118" s="1">
        <v>303021500</v>
      </c>
      <c r="C5118" s="1">
        <f t="shared" si="322"/>
        <v>18</v>
      </c>
      <c r="D5118" s="5">
        <f ca="1">IF(getQuality(B5118)&lt;4,getOtherMin(B5118,C5118,INDIRECT(J$2),INDIRECT(I5118),test),getMin(B5118,C5118,INDIRECT(J$2),INDIRECT(I5118),test))</f>
        <v>12.111111111111111</v>
      </c>
      <c r="E5118" s="5">
        <f ca="1">IF(getQuality(B5118)&lt;4,getOtherMax(B5118,C5118,INDIRECT(J$2),INDIRECT(I5118),test),getMax(B5118,C5118,INDIRECT(J$2),INDIRECT(I5118),test))</f>
        <v>22.222222222222221</v>
      </c>
      <c r="F5118" s="1" t="str">
        <f t="shared" si="320"/>
        <v>50</v>
      </c>
      <c r="G5118" s="1" t="str">
        <f t="shared" si="321"/>
        <v/>
      </c>
      <c r="I5118" s="1" t="str">
        <f t="shared" si="319"/>
        <v>威尔新数值1.06.xlsm!suitPower</v>
      </c>
    </row>
    <row r="5119" spans="1:9" x14ac:dyDescent="0.15">
      <c r="A5119" s="1">
        <v>5118</v>
      </c>
      <c r="B5119" s="1">
        <v>303021500</v>
      </c>
      <c r="C5119" s="1">
        <f t="shared" si="322"/>
        <v>19</v>
      </c>
      <c r="D5119" s="5">
        <f ca="1">IF(getQuality(B5119)&lt;4,getOtherMin(B5119,C5119,INDIRECT(J$2),INDIRECT(I5119),test),getMin(B5119,C5119,INDIRECT(J$2),INDIRECT(I5119),test))</f>
        <v>12.111111111111111</v>
      </c>
      <c r="E5119" s="5">
        <f ca="1">IF(getQuality(B5119)&lt;4,getOtherMax(B5119,C5119,INDIRECT(J$2),INDIRECT(I5119),test),getMax(B5119,C5119,INDIRECT(J$2),INDIRECT(I5119),test))</f>
        <v>22.222222222222221</v>
      </c>
      <c r="F5119" s="1" t="str">
        <f t="shared" si="320"/>
        <v>50</v>
      </c>
      <c r="G5119" s="1" t="str">
        <f t="shared" si="321"/>
        <v/>
      </c>
      <c r="I5119" s="1" t="str">
        <f t="shared" si="319"/>
        <v>威尔新数值1.06.xlsm!suitPower</v>
      </c>
    </row>
    <row r="5120" spans="1:9" x14ac:dyDescent="0.15">
      <c r="A5120" s="1">
        <v>5119</v>
      </c>
      <c r="B5120" s="1">
        <v>303021500</v>
      </c>
      <c r="C5120" s="1">
        <f t="shared" si="322"/>
        <v>20</v>
      </c>
      <c r="D5120" s="5">
        <f ca="1">IF(getQuality(B5120)&lt;4,getOtherMin(B5120,C5120,INDIRECT(J$2),INDIRECT(I5120),test),getMin(B5120,C5120,INDIRECT(J$2),INDIRECT(I5120),test))</f>
        <v>12.111111111111111</v>
      </c>
      <c r="E5120" s="5">
        <f ca="1">IF(getQuality(B5120)&lt;4,getOtherMax(B5120,C5120,INDIRECT(J$2),INDIRECT(I5120),test),getMax(B5120,C5120,INDIRECT(J$2),INDIRECT(I5120),test))</f>
        <v>22.222222222222221</v>
      </c>
      <c r="F5120" s="1" t="str">
        <f t="shared" si="320"/>
        <v>50</v>
      </c>
      <c r="G5120" s="1" t="str">
        <f t="shared" si="321"/>
        <v/>
      </c>
      <c r="I5120" s="1" t="str">
        <f t="shared" si="319"/>
        <v>威尔新数值1.06.xlsm!suitPower</v>
      </c>
    </row>
    <row r="5121" spans="1:9" x14ac:dyDescent="0.15">
      <c r="A5121" s="1">
        <v>5120</v>
      </c>
      <c r="B5121" s="1">
        <v>303021500</v>
      </c>
      <c r="C5121" s="1">
        <f t="shared" si="322"/>
        <v>21</v>
      </c>
      <c r="D5121" s="5">
        <f ca="1">IF(getQuality(B5121)&lt;4,getOtherMin(B5121,C5121,INDIRECT(J$2),INDIRECT(I5121),test),getMin(B5121,C5121,INDIRECT(J$2),INDIRECT(I5121),test))</f>
        <v>12.111111111111111</v>
      </c>
      <c r="E5121" s="5">
        <f ca="1">IF(getQuality(B5121)&lt;4,getOtherMax(B5121,C5121,INDIRECT(J$2),INDIRECT(I5121),test),getMax(B5121,C5121,INDIRECT(J$2),INDIRECT(I5121),test))</f>
        <v>22.222222222222221</v>
      </c>
      <c r="F5121" s="1" t="str">
        <f t="shared" si="320"/>
        <v>50</v>
      </c>
      <c r="G5121" s="1" t="str">
        <f t="shared" si="321"/>
        <v/>
      </c>
      <c r="I5121" s="1" t="str">
        <f t="shared" si="319"/>
        <v>威尔新数值1.06.xlsm!suitPower</v>
      </c>
    </row>
    <row r="5122" spans="1:9" x14ac:dyDescent="0.15">
      <c r="A5122" s="1">
        <v>5121</v>
      </c>
      <c r="B5122" s="1">
        <v>303021500</v>
      </c>
      <c r="C5122" s="1">
        <f t="shared" si="322"/>
        <v>22</v>
      </c>
      <c r="D5122" s="5">
        <f ca="1">IF(getQuality(B5122)&lt;4,getOtherMin(B5122,C5122,INDIRECT(J$2),INDIRECT(I5122),test),getMin(B5122,C5122,INDIRECT(J$2),INDIRECT(I5122),test))</f>
        <v>12.111111111111111</v>
      </c>
      <c r="E5122" s="5">
        <f ca="1">IF(getQuality(B5122)&lt;4,getOtherMax(B5122,C5122,INDIRECT(J$2),INDIRECT(I5122),test),getMax(B5122,C5122,INDIRECT(J$2),INDIRECT(I5122),test))</f>
        <v>22.222222222222221</v>
      </c>
      <c r="F5122" s="1" t="str">
        <f t="shared" si="320"/>
        <v>50</v>
      </c>
      <c r="G5122" s="1" t="str">
        <f t="shared" si="321"/>
        <v/>
      </c>
      <c r="I5122" s="1" t="str">
        <f t="shared" ref="I5122:I5185" si="323">IF(C5122&lt;100,VLOOKUP(C5122,test,3,FALSE),VLOOKUP(C5122,test1,3,FALSE))</f>
        <v>威尔新数值1.06.xlsm!suitPower</v>
      </c>
    </row>
    <row r="5123" spans="1:9" x14ac:dyDescent="0.15">
      <c r="A5123" s="1">
        <v>5122</v>
      </c>
      <c r="B5123" s="1">
        <v>303021500</v>
      </c>
      <c r="C5123" s="1">
        <f t="shared" si="322"/>
        <v>23</v>
      </c>
      <c r="D5123" s="5">
        <f ca="1">IF(getQuality(B5123)&lt;4,getOtherMin(B5123,C5123,INDIRECT(J$2),INDIRECT(I5123),test),getMin(B5123,C5123,INDIRECT(J$2),INDIRECT(I5123),test))</f>
        <v>12.111111111111111</v>
      </c>
      <c r="E5123" s="5">
        <f ca="1">IF(getQuality(B5123)&lt;4,getOtherMax(B5123,C5123,INDIRECT(J$2),INDIRECT(I5123),test),getMax(B5123,C5123,INDIRECT(J$2),INDIRECT(I5123),test))</f>
        <v>22.222222222222221</v>
      </c>
      <c r="F5123" s="1" t="str">
        <f t="shared" ref="F5123:F5186" si="324">getper(B5123,C5123)</f>
        <v>50</v>
      </c>
      <c r="G5123" s="1" t="str">
        <f t="shared" si="321"/>
        <v/>
      </c>
      <c r="I5123" s="1" t="str">
        <f t="shared" si="323"/>
        <v>威尔新数值1.06.xlsm!suitPower</v>
      </c>
    </row>
    <row r="5124" spans="1:9" x14ac:dyDescent="0.15">
      <c r="A5124" s="1">
        <v>5123</v>
      </c>
      <c r="B5124" s="1">
        <v>303031500</v>
      </c>
      <c r="C5124" s="1">
        <f t="shared" si="322"/>
        <v>1</v>
      </c>
      <c r="D5124" s="5">
        <f ca="1">IF(getQuality(B5124)&lt;4,getOtherMin(B5124,C5124,INDIRECT(J$2),INDIRECT(I5124),test),getMin(B5124,C5124,INDIRECT(J$2),INDIRECT(I5124),test))</f>
        <v>140.82222222222222</v>
      </c>
      <c r="E5124" s="5">
        <f ca="1">IF(getQuality(B5124)&lt;4,getOtherMax(B5124,C5124,INDIRECT(J$2),INDIRECT(I5124),test),getMax(B5124,C5124,INDIRECT(J$2),INDIRECT(I5124),test))</f>
        <v>228.8</v>
      </c>
      <c r="F5124" s="1" t="str">
        <f t="shared" si="324"/>
        <v>50</v>
      </c>
      <c r="G5124" s="1" t="str">
        <f t="shared" si="321"/>
        <v/>
      </c>
      <c r="I5124" s="1" t="str">
        <f t="shared" si="323"/>
        <v>威尔新数值1.06.xlsm!suitPower</v>
      </c>
    </row>
    <row r="5125" spans="1:9" x14ac:dyDescent="0.15">
      <c r="A5125" s="1">
        <v>5124</v>
      </c>
      <c r="B5125" s="1">
        <v>303031500</v>
      </c>
      <c r="C5125" s="1">
        <f t="shared" si="322"/>
        <v>2</v>
      </c>
      <c r="D5125" s="5">
        <f ca="1">IF(getQuality(B5125)&lt;4,getOtherMin(B5125,C5125,INDIRECT(J$2),INDIRECT(I5125),test),getMin(B5125,C5125,INDIRECT(J$2),INDIRECT(I5125),test))</f>
        <v>14.444444444444445</v>
      </c>
      <c r="E5125" s="5">
        <f ca="1">IF(getQuality(B5125)&lt;4,getOtherMax(B5125,C5125,INDIRECT(J$2),INDIRECT(I5125),test),getMax(B5125,C5125,INDIRECT(J$2),INDIRECT(I5125),test))</f>
        <v>22</v>
      </c>
      <c r="F5125" s="1" t="str">
        <f t="shared" si="324"/>
        <v>50</v>
      </c>
      <c r="G5125" s="1" t="str">
        <f t="shared" si="321"/>
        <v/>
      </c>
      <c r="I5125" s="1" t="str">
        <f t="shared" si="323"/>
        <v>威尔新数值1.06.xlsm!suitPower</v>
      </c>
    </row>
    <row r="5126" spans="1:9" x14ac:dyDescent="0.15">
      <c r="A5126" s="1">
        <v>5125</v>
      </c>
      <c r="B5126" s="1">
        <v>303031500</v>
      </c>
      <c r="C5126" s="1">
        <f t="shared" si="322"/>
        <v>4</v>
      </c>
      <c r="D5126" s="5">
        <f ca="1">IF(getQuality(B5126)&lt;4,getOtherMin(B5126,C5126,INDIRECT(J$2),INDIRECT(I5126),test),getMin(B5126,C5126,INDIRECT(J$2),INDIRECT(I5126),test))</f>
        <v>84.333333333333329</v>
      </c>
      <c r="E5126" s="5">
        <f ca="1">IF(getQuality(B5126)&lt;4,getOtherMax(B5126,C5126,INDIRECT(J$2),INDIRECT(I5126),test),getMax(B5126,C5126,INDIRECT(J$2),INDIRECT(I5126),test))</f>
        <v>125</v>
      </c>
      <c r="F5126" s="1" t="str">
        <f t="shared" si="324"/>
        <v>50</v>
      </c>
      <c r="G5126" s="1" t="str">
        <f t="shared" si="321"/>
        <v>1</v>
      </c>
      <c r="I5126" s="1" t="str">
        <f t="shared" si="323"/>
        <v>威尔新数值1.06.xlsm!suitPower</v>
      </c>
    </row>
    <row r="5127" spans="1:9" x14ac:dyDescent="0.15">
      <c r="A5127" s="1">
        <v>5126</v>
      </c>
      <c r="B5127" s="1">
        <v>303031500</v>
      </c>
      <c r="C5127" s="1">
        <f t="shared" si="322"/>
        <v>6</v>
      </c>
      <c r="D5127" s="5">
        <f ca="1">IF(getQuality(B5127)&lt;4,getOtherMin(B5127,C5127,INDIRECT(J$2),INDIRECT(I5127),test),getMin(B5127,C5127,INDIRECT(J$2),INDIRECT(I5127),test))</f>
        <v>84.333333333333329</v>
      </c>
      <c r="E5127" s="5">
        <f ca="1">IF(getQuality(B5127)&lt;4,getOtherMax(B5127,C5127,INDIRECT(J$2),INDIRECT(I5127),test),getMax(B5127,C5127,INDIRECT(J$2),INDIRECT(I5127),test))</f>
        <v>125</v>
      </c>
      <c r="F5127" s="1" t="str">
        <f t="shared" si="324"/>
        <v>50</v>
      </c>
      <c r="G5127" s="1" t="str">
        <f t="shared" si="321"/>
        <v/>
      </c>
      <c r="I5127" s="1" t="str">
        <f t="shared" si="323"/>
        <v>威尔新数值1.06.xlsm!suitPower</v>
      </c>
    </row>
    <row r="5128" spans="1:9" x14ac:dyDescent="0.15">
      <c r="A5128" s="1">
        <v>5127</v>
      </c>
      <c r="B5128" s="1">
        <v>303031500</v>
      </c>
      <c r="C5128" s="1">
        <f t="shared" si="322"/>
        <v>7</v>
      </c>
      <c r="D5128" s="5">
        <f ca="1">IF(getQuality(B5128)&lt;4,getOtherMin(B5128,C5128,INDIRECT(J$2),INDIRECT(I5128),test),getMin(B5128,C5128,INDIRECT(J$2),INDIRECT(I5128),test))</f>
        <v>8.4074074074073888</v>
      </c>
      <c r="E5128" s="5">
        <f ca="1">IF(getQuality(B5128)&lt;4,getOtherMax(B5128,C5128,INDIRECT(J$2),INDIRECT(I5128),test),getMax(B5128,C5128,INDIRECT(J$2),INDIRECT(I5128),test))</f>
        <v>11.111111111111082</v>
      </c>
      <c r="F5128" s="1" t="str">
        <f t="shared" si="324"/>
        <v>50</v>
      </c>
      <c r="G5128" s="1" t="str">
        <f t="shared" si="321"/>
        <v/>
      </c>
      <c r="I5128" s="1" t="str">
        <f t="shared" si="323"/>
        <v>威尔新数值1.06.xlsm!suitPower</v>
      </c>
    </row>
    <row r="5129" spans="1:9" x14ac:dyDescent="0.15">
      <c r="A5129" s="1">
        <v>5128</v>
      </c>
      <c r="B5129" s="1">
        <v>303031500</v>
      </c>
      <c r="C5129" s="1">
        <f t="shared" si="322"/>
        <v>8</v>
      </c>
      <c r="D5129" s="5">
        <f ca="1">IF(getQuality(B5129)&lt;4,getOtherMin(B5129,C5129,INDIRECT(J$2),INDIRECT(I5129),test),getMin(B5129,C5129,INDIRECT(J$2),INDIRECT(I5129),test))</f>
        <v>17.666666666666668</v>
      </c>
      <c r="E5129" s="5">
        <f ca="1">IF(getQuality(B5129)&lt;4,getOtherMax(B5129,C5129,INDIRECT(J$2),INDIRECT(I5129),test),getMax(B5129,C5129,INDIRECT(J$2),INDIRECT(I5129),test))</f>
        <v>25</v>
      </c>
      <c r="F5129" s="1" t="str">
        <f t="shared" si="324"/>
        <v>50</v>
      </c>
      <c r="G5129" s="1" t="str">
        <f t="shared" si="321"/>
        <v/>
      </c>
      <c r="I5129" s="1" t="str">
        <f t="shared" si="323"/>
        <v>威尔新数值1.06.xlsm!suitPower</v>
      </c>
    </row>
    <row r="5130" spans="1:9" x14ac:dyDescent="0.15">
      <c r="A5130" s="1">
        <v>5129</v>
      </c>
      <c r="B5130" s="1">
        <v>303031500</v>
      </c>
      <c r="C5130" s="1">
        <f t="shared" si="322"/>
        <v>16</v>
      </c>
      <c r="D5130" s="5">
        <f ca="1">IF(getQuality(B5130)&lt;4,getOtherMin(B5130,C5130,INDIRECT(J$2),INDIRECT(I5130),test),getMin(B5130,C5130,INDIRECT(J$2),INDIRECT(I5130),test))</f>
        <v>23.222222222222221</v>
      </c>
      <c r="E5130" s="5">
        <f ca="1">IF(getQuality(B5130)&lt;4,getOtherMax(B5130,C5130,INDIRECT(J$2),INDIRECT(I5130),test),getMax(B5130,C5130,INDIRECT(J$2),INDIRECT(I5130),test))</f>
        <v>33.333333333333336</v>
      </c>
      <c r="F5130" s="1" t="str">
        <f t="shared" si="324"/>
        <v>50</v>
      </c>
      <c r="G5130" s="1" t="str">
        <f t="shared" si="321"/>
        <v/>
      </c>
      <c r="I5130" s="1" t="str">
        <f t="shared" si="323"/>
        <v>威尔新数值1.06.xlsm!suitPower</v>
      </c>
    </row>
    <row r="5131" spans="1:9" x14ac:dyDescent="0.15">
      <c r="A5131" s="1">
        <v>5130</v>
      </c>
      <c r="B5131" s="1">
        <v>303031500</v>
      </c>
      <c r="C5131" s="1">
        <f t="shared" si="322"/>
        <v>17</v>
      </c>
      <c r="D5131" s="5">
        <f ca="1">IF(getQuality(B5131)&lt;4,getOtherMin(B5131,C5131,INDIRECT(J$2),INDIRECT(I5131),test),getMin(B5131,C5131,INDIRECT(J$2),INDIRECT(I5131),test))</f>
        <v>23.222222222222221</v>
      </c>
      <c r="E5131" s="5">
        <f ca="1">IF(getQuality(B5131)&lt;4,getOtherMax(B5131,C5131,INDIRECT(J$2),INDIRECT(I5131),test),getMax(B5131,C5131,INDIRECT(J$2),INDIRECT(I5131),test))</f>
        <v>33.333333333333336</v>
      </c>
      <c r="F5131" s="1" t="str">
        <f t="shared" si="324"/>
        <v>50</v>
      </c>
      <c r="G5131" s="1" t="str">
        <f t="shared" si="321"/>
        <v/>
      </c>
      <c r="I5131" s="1" t="str">
        <f t="shared" si="323"/>
        <v>威尔新数值1.06.xlsm!suitPower</v>
      </c>
    </row>
    <row r="5132" spans="1:9" x14ac:dyDescent="0.15">
      <c r="A5132" s="1">
        <v>5131</v>
      </c>
      <c r="B5132" s="1">
        <v>303031500</v>
      </c>
      <c r="C5132" s="1">
        <f t="shared" si="322"/>
        <v>18</v>
      </c>
      <c r="D5132" s="5">
        <f ca="1">IF(getQuality(B5132)&lt;4,getOtherMin(B5132,C5132,INDIRECT(J$2),INDIRECT(I5132),test),getMin(B5132,C5132,INDIRECT(J$2),INDIRECT(I5132),test))</f>
        <v>23.222222222222221</v>
      </c>
      <c r="E5132" s="5">
        <f ca="1">IF(getQuality(B5132)&lt;4,getOtherMax(B5132,C5132,INDIRECT(J$2),INDIRECT(I5132),test),getMax(B5132,C5132,INDIRECT(J$2),INDIRECT(I5132),test))</f>
        <v>33.333333333333336</v>
      </c>
      <c r="F5132" s="1" t="str">
        <f t="shared" si="324"/>
        <v>50</v>
      </c>
      <c r="G5132" s="1" t="str">
        <f t="shared" si="321"/>
        <v/>
      </c>
      <c r="I5132" s="1" t="str">
        <f t="shared" si="323"/>
        <v>威尔新数值1.06.xlsm!suitPower</v>
      </c>
    </row>
    <row r="5133" spans="1:9" x14ac:dyDescent="0.15">
      <c r="A5133" s="1">
        <v>5132</v>
      </c>
      <c r="B5133" s="1">
        <v>303031500</v>
      </c>
      <c r="C5133" s="1">
        <f t="shared" si="322"/>
        <v>19</v>
      </c>
      <c r="D5133" s="5">
        <f ca="1">IF(getQuality(B5133)&lt;4,getOtherMin(B5133,C5133,INDIRECT(J$2),INDIRECT(I5133),test),getMin(B5133,C5133,INDIRECT(J$2),INDIRECT(I5133),test))</f>
        <v>23.222222222222221</v>
      </c>
      <c r="E5133" s="5">
        <f ca="1">IF(getQuality(B5133)&lt;4,getOtherMax(B5133,C5133,INDIRECT(J$2),INDIRECT(I5133),test),getMax(B5133,C5133,INDIRECT(J$2),INDIRECT(I5133),test))</f>
        <v>33.333333333333336</v>
      </c>
      <c r="F5133" s="1" t="str">
        <f t="shared" si="324"/>
        <v>50</v>
      </c>
      <c r="G5133" s="1" t="str">
        <f t="shared" si="321"/>
        <v/>
      </c>
      <c r="I5133" s="1" t="str">
        <f t="shared" si="323"/>
        <v>威尔新数值1.06.xlsm!suitPower</v>
      </c>
    </row>
    <row r="5134" spans="1:9" x14ac:dyDescent="0.15">
      <c r="A5134" s="1">
        <v>5133</v>
      </c>
      <c r="B5134" s="1">
        <v>303031500</v>
      </c>
      <c r="C5134" s="1">
        <f t="shared" si="322"/>
        <v>20</v>
      </c>
      <c r="D5134" s="5">
        <f ca="1">IF(getQuality(B5134)&lt;4,getOtherMin(B5134,C5134,INDIRECT(J$2),INDIRECT(I5134),test),getMin(B5134,C5134,INDIRECT(J$2),INDIRECT(I5134),test))</f>
        <v>23.222222222222221</v>
      </c>
      <c r="E5134" s="5">
        <f ca="1">IF(getQuality(B5134)&lt;4,getOtherMax(B5134,C5134,INDIRECT(J$2),INDIRECT(I5134),test),getMax(B5134,C5134,INDIRECT(J$2),INDIRECT(I5134),test))</f>
        <v>33.333333333333336</v>
      </c>
      <c r="F5134" s="1" t="str">
        <f t="shared" si="324"/>
        <v>50</v>
      </c>
      <c r="G5134" s="1" t="str">
        <f t="shared" si="321"/>
        <v/>
      </c>
      <c r="I5134" s="1" t="str">
        <f t="shared" si="323"/>
        <v>威尔新数值1.06.xlsm!suitPower</v>
      </c>
    </row>
    <row r="5135" spans="1:9" x14ac:dyDescent="0.15">
      <c r="A5135" s="1">
        <v>5134</v>
      </c>
      <c r="B5135" s="1">
        <v>303031500</v>
      </c>
      <c r="C5135" s="1">
        <f t="shared" si="322"/>
        <v>21</v>
      </c>
      <c r="D5135" s="5">
        <f ca="1">IF(getQuality(B5135)&lt;4,getOtherMin(B5135,C5135,INDIRECT(J$2),INDIRECT(I5135),test),getMin(B5135,C5135,INDIRECT(J$2),INDIRECT(I5135),test))</f>
        <v>23.222222222222221</v>
      </c>
      <c r="E5135" s="5">
        <f ca="1">IF(getQuality(B5135)&lt;4,getOtherMax(B5135,C5135,INDIRECT(J$2),INDIRECT(I5135),test),getMax(B5135,C5135,INDIRECT(J$2),INDIRECT(I5135),test))</f>
        <v>33.333333333333336</v>
      </c>
      <c r="F5135" s="1" t="str">
        <f t="shared" si="324"/>
        <v>50</v>
      </c>
      <c r="G5135" s="1" t="str">
        <f t="shared" si="321"/>
        <v/>
      </c>
      <c r="I5135" s="1" t="str">
        <f t="shared" si="323"/>
        <v>威尔新数值1.06.xlsm!suitPower</v>
      </c>
    </row>
    <row r="5136" spans="1:9" x14ac:dyDescent="0.15">
      <c r="A5136" s="1">
        <v>5135</v>
      </c>
      <c r="B5136" s="1">
        <v>303031500</v>
      </c>
      <c r="C5136" s="1">
        <f t="shared" si="322"/>
        <v>22</v>
      </c>
      <c r="D5136" s="5">
        <f ca="1">IF(getQuality(B5136)&lt;4,getOtherMin(B5136,C5136,INDIRECT(J$2),INDIRECT(I5136),test),getMin(B5136,C5136,INDIRECT(J$2),INDIRECT(I5136),test))</f>
        <v>23.222222222222221</v>
      </c>
      <c r="E5136" s="5">
        <f ca="1">IF(getQuality(B5136)&lt;4,getOtherMax(B5136,C5136,INDIRECT(J$2),INDIRECT(I5136),test),getMax(B5136,C5136,INDIRECT(J$2),INDIRECT(I5136),test))</f>
        <v>33.333333333333336</v>
      </c>
      <c r="F5136" s="1" t="str">
        <f t="shared" si="324"/>
        <v>50</v>
      </c>
      <c r="G5136" s="1" t="str">
        <f t="shared" si="321"/>
        <v/>
      </c>
      <c r="I5136" s="1" t="str">
        <f t="shared" si="323"/>
        <v>威尔新数值1.06.xlsm!suitPower</v>
      </c>
    </row>
    <row r="5137" spans="1:9" x14ac:dyDescent="0.15">
      <c r="A5137" s="1">
        <v>5136</v>
      </c>
      <c r="B5137" s="1">
        <v>303031500</v>
      </c>
      <c r="C5137" s="1">
        <f t="shared" si="322"/>
        <v>23</v>
      </c>
      <c r="D5137" s="5">
        <f ca="1">IF(getQuality(B5137)&lt;4,getOtherMin(B5137,C5137,INDIRECT(J$2),INDIRECT(I5137),test),getMin(B5137,C5137,INDIRECT(J$2),INDIRECT(I5137),test))</f>
        <v>23.222222222222221</v>
      </c>
      <c r="E5137" s="5">
        <f ca="1">IF(getQuality(B5137)&lt;4,getOtherMax(B5137,C5137,INDIRECT(J$2),INDIRECT(I5137),test),getMax(B5137,C5137,INDIRECT(J$2),INDIRECT(I5137),test))</f>
        <v>33.333333333333336</v>
      </c>
      <c r="F5137" s="1" t="str">
        <f t="shared" si="324"/>
        <v>50</v>
      </c>
      <c r="G5137" s="1" t="str">
        <f t="shared" si="321"/>
        <v/>
      </c>
      <c r="I5137" s="1" t="str">
        <f t="shared" si="323"/>
        <v>威尔新数值1.06.xlsm!suitPower</v>
      </c>
    </row>
    <row r="5138" spans="1:9" x14ac:dyDescent="0.15">
      <c r="A5138" s="1">
        <v>5137</v>
      </c>
      <c r="B5138" s="1">
        <v>303041500</v>
      </c>
      <c r="C5138" s="1">
        <f t="shared" si="322"/>
        <v>1</v>
      </c>
      <c r="D5138" s="5">
        <f ca="1">IF(getQuality(B5138)&lt;4,getOtherMin(B5138,C5138,INDIRECT(J$2),INDIRECT(I5138),test),getMin(B5138,C5138,INDIRECT(J$2),INDIRECT(I5138),test))</f>
        <v>229.8</v>
      </c>
      <c r="E5138" s="5">
        <f ca="1">IF(getQuality(B5138)&lt;4,getOtherMax(B5138,C5138,INDIRECT(J$2),INDIRECT(I5138),test),getMax(B5138,C5138,INDIRECT(J$2),INDIRECT(I5138),test))</f>
        <v>330.48888888888888</v>
      </c>
      <c r="F5138" s="1" t="str">
        <f t="shared" si="324"/>
        <v>50</v>
      </c>
      <c r="G5138" s="1" t="str">
        <f t="shared" si="321"/>
        <v/>
      </c>
      <c r="I5138" s="1" t="str">
        <f t="shared" si="323"/>
        <v>威尔新数值1.06.xlsm!suitPower</v>
      </c>
    </row>
    <row r="5139" spans="1:9" x14ac:dyDescent="0.15">
      <c r="A5139" s="1">
        <v>5138</v>
      </c>
      <c r="B5139" s="1">
        <v>303041500</v>
      </c>
      <c r="C5139" s="1">
        <f t="shared" si="322"/>
        <v>2</v>
      </c>
      <c r="D5139" s="5">
        <f ca="1">IF(getQuality(B5139)&lt;4,getOtherMin(B5139,C5139,INDIRECT(J$2),INDIRECT(I5139),test),getMin(B5139,C5139,INDIRECT(J$2),INDIRECT(I5139),test))</f>
        <v>23</v>
      </c>
      <c r="E5139" s="5">
        <f ca="1">IF(getQuality(B5139)&lt;4,getOtherMax(B5139,C5139,INDIRECT(J$2),INDIRECT(I5139),test),getMax(B5139,C5139,INDIRECT(J$2),INDIRECT(I5139),test))</f>
        <v>31.777777777777775</v>
      </c>
      <c r="F5139" s="1" t="str">
        <f t="shared" si="324"/>
        <v>50</v>
      </c>
      <c r="G5139" s="1" t="str">
        <f t="shared" si="321"/>
        <v/>
      </c>
      <c r="I5139" s="1" t="str">
        <f t="shared" si="323"/>
        <v>威尔新数值1.06.xlsm!suitPower</v>
      </c>
    </row>
    <row r="5140" spans="1:9" x14ac:dyDescent="0.15">
      <c r="A5140" s="1">
        <v>5139</v>
      </c>
      <c r="B5140" s="1">
        <v>303041500</v>
      </c>
      <c r="C5140" s="1">
        <f t="shared" si="322"/>
        <v>4</v>
      </c>
      <c r="D5140" s="5">
        <f ca="1">IF(getQuality(B5140)&lt;4,getOtherMin(B5140,C5140,INDIRECT(J$2),INDIRECT(I5140),test),getMin(B5140,C5140,INDIRECT(J$2),INDIRECT(I5140),test))</f>
        <v>126</v>
      </c>
      <c r="E5140" s="5">
        <f ca="1">IF(getQuality(B5140)&lt;4,getOtherMax(B5140,C5140,INDIRECT(J$2),INDIRECT(I5140),test),getMax(B5140,C5140,INDIRECT(J$2),INDIRECT(I5140),test))</f>
        <v>166.66666666666666</v>
      </c>
      <c r="F5140" s="1" t="str">
        <f t="shared" si="324"/>
        <v>50</v>
      </c>
      <c r="G5140" s="1" t="str">
        <f t="shared" si="321"/>
        <v>1</v>
      </c>
      <c r="I5140" s="1" t="str">
        <f t="shared" si="323"/>
        <v>威尔新数值1.06.xlsm!suitPower</v>
      </c>
    </row>
    <row r="5141" spans="1:9" x14ac:dyDescent="0.15">
      <c r="A5141" s="1">
        <v>5140</v>
      </c>
      <c r="B5141" s="1">
        <v>303041500</v>
      </c>
      <c r="C5141" s="1">
        <f t="shared" si="322"/>
        <v>6</v>
      </c>
      <c r="D5141" s="5">
        <f ca="1">IF(getQuality(B5141)&lt;4,getOtherMin(B5141,C5141,INDIRECT(J$2),INDIRECT(I5141),test),getMin(B5141,C5141,INDIRECT(J$2),INDIRECT(I5141),test))</f>
        <v>126</v>
      </c>
      <c r="E5141" s="5">
        <f ca="1">IF(getQuality(B5141)&lt;4,getOtherMax(B5141,C5141,INDIRECT(J$2),INDIRECT(I5141),test),getMax(B5141,C5141,INDIRECT(J$2),INDIRECT(I5141),test))</f>
        <v>166.66666666666666</v>
      </c>
      <c r="F5141" s="1" t="str">
        <f t="shared" si="324"/>
        <v>50</v>
      </c>
      <c r="G5141" s="1" t="str">
        <f t="shared" si="321"/>
        <v/>
      </c>
      <c r="I5141" s="1" t="str">
        <f t="shared" si="323"/>
        <v>威尔新数值1.06.xlsm!suitPower</v>
      </c>
    </row>
    <row r="5142" spans="1:9" x14ac:dyDescent="0.15">
      <c r="A5142" s="1">
        <v>5141</v>
      </c>
      <c r="B5142" s="1">
        <v>303041500</v>
      </c>
      <c r="C5142" s="1">
        <f t="shared" si="322"/>
        <v>7</v>
      </c>
      <c r="D5142" s="5">
        <f ca="1">IF(getQuality(B5142)&lt;4,getOtherMin(B5142,C5142,INDIRECT(J$2),INDIRECT(I5142),test),getMin(B5142,C5142,INDIRECT(J$2),INDIRECT(I5142),test))</f>
        <v>12.111111111111082</v>
      </c>
      <c r="E5142" s="5">
        <f ca="1">IF(getQuality(B5142)&lt;4,getOtherMax(B5142,C5142,INDIRECT(J$2),INDIRECT(I5142),test),getMax(B5142,C5142,INDIRECT(J$2),INDIRECT(I5142),test))</f>
        <v>14.814814814814778</v>
      </c>
      <c r="F5142" s="1" t="str">
        <f t="shared" si="324"/>
        <v>50</v>
      </c>
      <c r="G5142" s="1" t="str">
        <f t="shared" si="321"/>
        <v/>
      </c>
      <c r="I5142" s="1" t="str">
        <f t="shared" si="323"/>
        <v>威尔新数值1.06.xlsm!suitPower</v>
      </c>
    </row>
    <row r="5143" spans="1:9" x14ac:dyDescent="0.15">
      <c r="A5143" s="1">
        <v>5142</v>
      </c>
      <c r="B5143" s="1">
        <v>303041500</v>
      </c>
      <c r="C5143" s="1">
        <f t="shared" si="322"/>
        <v>8</v>
      </c>
      <c r="D5143" s="5">
        <f ca="1">IF(getQuality(B5143)&lt;4,getOtherMin(B5143,C5143,INDIRECT(J$2),INDIRECT(I5143),test),getMin(B5143,C5143,INDIRECT(J$2),INDIRECT(I5143),test))</f>
        <v>26</v>
      </c>
      <c r="E5143" s="5">
        <f ca="1">IF(getQuality(B5143)&lt;4,getOtherMax(B5143,C5143,INDIRECT(J$2),INDIRECT(I5143),test),getMax(B5143,C5143,INDIRECT(J$2),INDIRECT(I5143),test))</f>
        <v>33.333333333333336</v>
      </c>
      <c r="F5143" s="1" t="str">
        <f t="shared" si="324"/>
        <v>50</v>
      </c>
      <c r="G5143" s="1" t="str">
        <f t="shared" si="321"/>
        <v/>
      </c>
      <c r="I5143" s="1" t="str">
        <f t="shared" si="323"/>
        <v>威尔新数值1.06.xlsm!suitPower</v>
      </c>
    </row>
    <row r="5144" spans="1:9" x14ac:dyDescent="0.15">
      <c r="A5144" s="1">
        <v>5143</v>
      </c>
      <c r="B5144" s="1">
        <v>303041500</v>
      </c>
      <c r="C5144" s="1">
        <f t="shared" si="322"/>
        <v>16</v>
      </c>
      <c r="D5144" s="5">
        <f ca="1">IF(getQuality(B5144)&lt;4,getOtherMin(B5144,C5144,INDIRECT(J$2),INDIRECT(I5144),test),getMin(B5144,C5144,INDIRECT(J$2),INDIRECT(I5144),test))</f>
        <v>34.333333333333336</v>
      </c>
      <c r="E5144" s="5">
        <f ca="1">IF(getQuality(B5144)&lt;4,getOtherMax(B5144,C5144,INDIRECT(J$2),INDIRECT(I5144),test),getMax(B5144,C5144,INDIRECT(J$2),INDIRECT(I5144),test))</f>
        <v>44.444444444444443</v>
      </c>
      <c r="F5144" s="1" t="str">
        <f t="shared" si="324"/>
        <v>50</v>
      </c>
      <c r="G5144" s="1" t="str">
        <f t="shared" si="321"/>
        <v/>
      </c>
      <c r="I5144" s="1" t="str">
        <f t="shared" si="323"/>
        <v>威尔新数值1.06.xlsm!suitPower</v>
      </c>
    </row>
    <row r="5145" spans="1:9" x14ac:dyDescent="0.15">
      <c r="A5145" s="1">
        <v>5144</v>
      </c>
      <c r="B5145" s="1">
        <v>303041500</v>
      </c>
      <c r="C5145" s="1">
        <f t="shared" si="322"/>
        <v>17</v>
      </c>
      <c r="D5145" s="5">
        <f ca="1">IF(getQuality(B5145)&lt;4,getOtherMin(B5145,C5145,INDIRECT(J$2),INDIRECT(I5145),test),getMin(B5145,C5145,INDIRECT(J$2),INDIRECT(I5145),test))</f>
        <v>34.333333333333336</v>
      </c>
      <c r="E5145" s="5">
        <f ca="1">IF(getQuality(B5145)&lt;4,getOtherMax(B5145,C5145,INDIRECT(J$2),INDIRECT(I5145),test),getMax(B5145,C5145,INDIRECT(J$2),INDIRECT(I5145),test))</f>
        <v>44.444444444444443</v>
      </c>
      <c r="F5145" s="1" t="str">
        <f t="shared" si="324"/>
        <v>50</v>
      </c>
      <c r="G5145" s="1" t="str">
        <f t="shared" ref="G5145:G5208" si="325">getMust(B5145,C5145)</f>
        <v/>
      </c>
      <c r="I5145" s="1" t="str">
        <f t="shared" si="323"/>
        <v>威尔新数值1.06.xlsm!suitPower</v>
      </c>
    </row>
    <row r="5146" spans="1:9" x14ac:dyDescent="0.15">
      <c r="A5146" s="1">
        <v>5145</v>
      </c>
      <c r="B5146" s="1">
        <v>303041500</v>
      </c>
      <c r="C5146" s="1">
        <f t="shared" si="322"/>
        <v>18</v>
      </c>
      <c r="D5146" s="5">
        <f ca="1">IF(getQuality(B5146)&lt;4,getOtherMin(B5146,C5146,INDIRECT(J$2),INDIRECT(I5146),test),getMin(B5146,C5146,INDIRECT(J$2),INDIRECT(I5146),test))</f>
        <v>34.333333333333336</v>
      </c>
      <c r="E5146" s="5">
        <f ca="1">IF(getQuality(B5146)&lt;4,getOtherMax(B5146,C5146,INDIRECT(J$2),INDIRECT(I5146),test),getMax(B5146,C5146,INDIRECT(J$2),INDIRECT(I5146),test))</f>
        <v>44.444444444444443</v>
      </c>
      <c r="F5146" s="1" t="str">
        <f t="shared" si="324"/>
        <v>50</v>
      </c>
      <c r="G5146" s="1" t="str">
        <f t="shared" si="325"/>
        <v/>
      </c>
      <c r="I5146" s="1" t="str">
        <f t="shared" si="323"/>
        <v>威尔新数值1.06.xlsm!suitPower</v>
      </c>
    </row>
    <row r="5147" spans="1:9" x14ac:dyDescent="0.15">
      <c r="A5147" s="1">
        <v>5146</v>
      </c>
      <c r="B5147" s="1">
        <v>303041500</v>
      </c>
      <c r="C5147" s="1">
        <f t="shared" si="322"/>
        <v>19</v>
      </c>
      <c r="D5147" s="5">
        <f ca="1">IF(getQuality(B5147)&lt;4,getOtherMin(B5147,C5147,INDIRECT(J$2),INDIRECT(I5147),test),getMin(B5147,C5147,INDIRECT(J$2),INDIRECT(I5147),test))</f>
        <v>34.333333333333336</v>
      </c>
      <c r="E5147" s="5">
        <f ca="1">IF(getQuality(B5147)&lt;4,getOtherMax(B5147,C5147,INDIRECT(J$2),INDIRECT(I5147),test),getMax(B5147,C5147,INDIRECT(J$2),INDIRECT(I5147),test))</f>
        <v>44.444444444444443</v>
      </c>
      <c r="F5147" s="1" t="str">
        <f t="shared" si="324"/>
        <v>50</v>
      </c>
      <c r="G5147" s="1" t="str">
        <f t="shared" si="325"/>
        <v/>
      </c>
      <c r="I5147" s="1" t="str">
        <f t="shared" si="323"/>
        <v>威尔新数值1.06.xlsm!suitPower</v>
      </c>
    </row>
    <row r="5148" spans="1:9" x14ac:dyDescent="0.15">
      <c r="A5148" s="1">
        <v>5147</v>
      </c>
      <c r="B5148" s="1">
        <v>303041500</v>
      </c>
      <c r="C5148" s="1">
        <f t="shared" si="322"/>
        <v>20</v>
      </c>
      <c r="D5148" s="5">
        <f ca="1">IF(getQuality(B5148)&lt;4,getOtherMin(B5148,C5148,INDIRECT(J$2),INDIRECT(I5148),test),getMin(B5148,C5148,INDIRECT(J$2),INDIRECT(I5148),test))</f>
        <v>34.333333333333336</v>
      </c>
      <c r="E5148" s="5">
        <f ca="1">IF(getQuality(B5148)&lt;4,getOtherMax(B5148,C5148,INDIRECT(J$2),INDIRECT(I5148),test),getMax(B5148,C5148,INDIRECT(J$2),INDIRECT(I5148),test))</f>
        <v>44.444444444444443</v>
      </c>
      <c r="F5148" s="1" t="str">
        <f t="shared" si="324"/>
        <v>50</v>
      </c>
      <c r="G5148" s="1" t="str">
        <f t="shared" si="325"/>
        <v/>
      </c>
      <c r="I5148" s="1" t="str">
        <f t="shared" si="323"/>
        <v>威尔新数值1.06.xlsm!suitPower</v>
      </c>
    </row>
    <row r="5149" spans="1:9" x14ac:dyDescent="0.15">
      <c r="A5149" s="1">
        <v>5148</v>
      </c>
      <c r="B5149" s="1">
        <v>303041500</v>
      </c>
      <c r="C5149" s="1">
        <f t="shared" si="322"/>
        <v>21</v>
      </c>
      <c r="D5149" s="5">
        <f ca="1">IF(getQuality(B5149)&lt;4,getOtherMin(B5149,C5149,INDIRECT(J$2),INDIRECT(I5149),test),getMin(B5149,C5149,INDIRECT(J$2),INDIRECT(I5149),test))</f>
        <v>34.333333333333336</v>
      </c>
      <c r="E5149" s="5">
        <f ca="1">IF(getQuality(B5149)&lt;4,getOtherMax(B5149,C5149,INDIRECT(J$2),INDIRECT(I5149),test),getMax(B5149,C5149,INDIRECT(J$2),INDIRECT(I5149),test))</f>
        <v>44.444444444444443</v>
      </c>
      <c r="F5149" s="1" t="str">
        <f t="shared" si="324"/>
        <v>50</v>
      </c>
      <c r="G5149" s="1" t="str">
        <f t="shared" si="325"/>
        <v/>
      </c>
      <c r="I5149" s="1" t="str">
        <f t="shared" si="323"/>
        <v>威尔新数值1.06.xlsm!suitPower</v>
      </c>
    </row>
    <row r="5150" spans="1:9" x14ac:dyDescent="0.15">
      <c r="A5150" s="1">
        <v>5149</v>
      </c>
      <c r="B5150" s="1">
        <v>303041500</v>
      </c>
      <c r="C5150" s="1">
        <f t="shared" si="322"/>
        <v>22</v>
      </c>
      <c r="D5150" s="5">
        <f ca="1">IF(getQuality(B5150)&lt;4,getOtherMin(B5150,C5150,INDIRECT(J$2),INDIRECT(I5150),test),getMin(B5150,C5150,INDIRECT(J$2),INDIRECT(I5150),test))</f>
        <v>34.333333333333336</v>
      </c>
      <c r="E5150" s="5">
        <f ca="1">IF(getQuality(B5150)&lt;4,getOtherMax(B5150,C5150,INDIRECT(J$2),INDIRECT(I5150),test),getMax(B5150,C5150,INDIRECT(J$2),INDIRECT(I5150),test))</f>
        <v>44.444444444444443</v>
      </c>
      <c r="F5150" s="1" t="str">
        <f t="shared" si="324"/>
        <v>50</v>
      </c>
      <c r="G5150" s="1" t="str">
        <f t="shared" si="325"/>
        <v/>
      </c>
      <c r="I5150" s="1" t="str">
        <f t="shared" si="323"/>
        <v>威尔新数值1.06.xlsm!suitPower</v>
      </c>
    </row>
    <row r="5151" spans="1:9" x14ac:dyDescent="0.15">
      <c r="A5151" s="1">
        <v>5150</v>
      </c>
      <c r="B5151" s="1">
        <v>303041500</v>
      </c>
      <c r="C5151" s="1">
        <f t="shared" si="322"/>
        <v>23</v>
      </c>
      <c r="D5151" s="5">
        <f ca="1">IF(getQuality(B5151)&lt;4,getOtherMin(B5151,C5151,INDIRECT(J$2),INDIRECT(I5151),test),getMin(B5151,C5151,INDIRECT(J$2),INDIRECT(I5151),test))</f>
        <v>34.333333333333336</v>
      </c>
      <c r="E5151" s="5">
        <f ca="1">IF(getQuality(B5151)&lt;4,getOtherMax(B5151,C5151,INDIRECT(J$2),INDIRECT(I5151),test),getMax(B5151,C5151,INDIRECT(J$2),INDIRECT(I5151),test))</f>
        <v>44.444444444444443</v>
      </c>
      <c r="F5151" s="1" t="str">
        <f t="shared" si="324"/>
        <v>50</v>
      </c>
      <c r="G5151" s="1" t="str">
        <f t="shared" si="325"/>
        <v/>
      </c>
      <c r="I5151" s="1" t="str">
        <f t="shared" si="323"/>
        <v>威尔新数值1.06.xlsm!suitPower</v>
      </c>
    </row>
    <row r="5152" spans="1:9" x14ac:dyDescent="0.15">
      <c r="A5152" s="1">
        <v>5151</v>
      </c>
      <c r="B5152" s="1">
        <v>303051500</v>
      </c>
      <c r="C5152" s="1">
        <f t="shared" si="322"/>
        <v>1</v>
      </c>
      <c r="D5152" s="5">
        <f ca="1">IF(getQuality(B5152)&lt;4,getOtherMin(B5152,C5152,INDIRECT(J$2),INDIRECT(I5152),test),getMin(B5152,C5152,INDIRECT(J$2),INDIRECT(I5152),test))</f>
        <v>331.48888888888888</v>
      </c>
      <c r="E5152" s="5">
        <f ca="1">IF(getQuality(B5152)&lt;4,getOtherMax(B5152,C5152,INDIRECT(J$2),INDIRECT(I5152),test),getMax(B5152,C5152,INDIRECT(J$2),INDIRECT(I5152),test))</f>
        <v>447.77777777777783</v>
      </c>
      <c r="F5152" s="1" t="str">
        <f t="shared" si="324"/>
        <v>50</v>
      </c>
      <c r="G5152" s="1" t="str">
        <f t="shared" si="325"/>
        <v/>
      </c>
      <c r="I5152" s="1" t="str">
        <f t="shared" si="323"/>
        <v>威尔新数值1.06.xlsm!suitPower</v>
      </c>
    </row>
    <row r="5153" spans="1:9" x14ac:dyDescent="0.15">
      <c r="A5153" s="1">
        <v>5152</v>
      </c>
      <c r="B5153" s="1">
        <v>303051500</v>
      </c>
      <c r="C5153" s="1">
        <f t="shared" si="322"/>
        <v>2</v>
      </c>
      <c r="D5153" s="5">
        <f ca="1">IF(getQuality(B5153)&lt;4,getOtherMin(B5153,C5153,INDIRECT(J$2),INDIRECT(I5153),test),getMin(B5153,C5153,INDIRECT(J$2),INDIRECT(I5153),test))</f>
        <v>32.777777777777779</v>
      </c>
      <c r="E5153" s="5">
        <f ca="1">IF(getQuality(B5153)&lt;4,getOtherMax(B5153,C5153,INDIRECT(J$2),INDIRECT(I5153),test),getMax(B5153,C5153,INDIRECT(J$2),INDIRECT(I5153),test))</f>
        <v>43.055555555555557</v>
      </c>
      <c r="F5153" s="1" t="str">
        <f t="shared" si="324"/>
        <v>50</v>
      </c>
      <c r="G5153" s="1" t="str">
        <f t="shared" si="325"/>
        <v/>
      </c>
      <c r="I5153" s="1" t="str">
        <f t="shared" si="323"/>
        <v>威尔新数值1.06.xlsm!suitPower</v>
      </c>
    </row>
    <row r="5154" spans="1:9" x14ac:dyDescent="0.15">
      <c r="A5154" s="1">
        <v>5153</v>
      </c>
      <c r="B5154" s="1">
        <v>303051500</v>
      </c>
      <c r="C5154" s="1">
        <f t="shared" si="322"/>
        <v>4</v>
      </c>
      <c r="D5154" s="5">
        <f ca="1">IF(getQuality(B5154)&lt;4,getOtherMin(B5154,C5154,INDIRECT(J$2),INDIRECT(I5154),test),getMin(B5154,C5154,INDIRECT(J$2),INDIRECT(I5154),test))</f>
        <v>167.66666666666666</v>
      </c>
      <c r="E5154" s="5">
        <f ca="1">IF(getQuality(B5154)&lt;4,getOtherMax(B5154,C5154,INDIRECT(J$2),INDIRECT(I5154),test),getMax(B5154,C5154,INDIRECT(J$2),INDIRECT(I5154),test))</f>
        <v>208.33333333333334</v>
      </c>
      <c r="F5154" s="1" t="str">
        <f t="shared" si="324"/>
        <v>50</v>
      </c>
      <c r="G5154" s="1" t="str">
        <f t="shared" si="325"/>
        <v>1</v>
      </c>
      <c r="I5154" s="1" t="str">
        <f t="shared" si="323"/>
        <v>威尔新数值1.06.xlsm!suitPower</v>
      </c>
    </row>
    <row r="5155" spans="1:9" x14ac:dyDescent="0.15">
      <c r="A5155" s="1">
        <v>5154</v>
      </c>
      <c r="B5155" s="1">
        <v>303051500</v>
      </c>
      <c r="C5155" s="1">
        <f t="shared" si="322"/>
        <v>6</v>
      </c>
      <c r="D5155" s="5">
        <f ca="1">IF(getQuality(B5155)&lt;4,getOtherMin(B5155,C5155,INDIRECT(J$2),INDIRECT(I5155),test),getMin(B5155,C5155,INDIRECT(J$2),INDIRECT(I5155),test))</f>
        <v>167.66666666666666</v>
      </c>
      <c r="E5155" s="5">
        <f ca="1">IF(getQuality(B5155)&lt;4,getOtherMax(B5155,C5155,INDIRECT(J$2),INDIRECT(I5155),test),getMax(B5155,C5155,INDIRECT(J$2),INDIRECT(I5155),test))</f>
        <v>208.33333333333334</v>
      </c>
      <c r="F5155" s="1" t="str">
        <f t="shared" si="324"/>
        <v>50</v>
      </c>
      <c r="G5155" s="1" t="str">
        <f t="shared" si="325"/>
        <v/>
      </c>
      <c r="I5155" s="1" t="str">
        <f t="shared" si="323"/>
        <v>威尔新数值1.06.xlsm!suitPower</v>
      </c>
    </row>
    <row r="5156" spans="1:9" x14ac:dyDescent="0.15">
      <c r="A5156" s="1">
        <v>5155</v>
      </c>
      <c r="B5156" s="1">
        <v>303051500</v>
      </c>
      <c r="C5156" s="1">
        <f t="shared" si="322"/>
        <v>7</v>
      </c>
      <c r="D5156" s="5">
        <f ca="1">IF(getQuality(B5156)&lt;4,getOtherMin(B5156,C5156,INDIRECT(J$2),INDIRECT(I5156),test),getMin(B5156,C5156,INDIRECT(J$2),INDIRECT(I5156),test))</f>
        <v>15.814814814814778</v>
      </c>
      <c r="E5156" s="5">
        <f ca="1">IF(getQuality(B5156)&lt;4,getOtherMax(B5156,C5156,INDIRECT(J$2),INDIRECT(I5156),test),getMax(B5156,C5156,INDIRECT(J$2),INDIRECT(I5156),test))</f>
        <v>18.518518518518473</v>
      </c>
      <c r="F5156" s="1" t="str">
        <f t="shared" si="324"/>
        <v>50</v>
      </c>
      <c r="G5156" s="1" t="str">
        <f t="shared" si="325"/>
        <v/>
      </c>
      <c r="I5156" s="1" t="str">
        <f t="shared" si="323"/>
        <v>威尔新数值1.06.xlsm!suitPower</v>
      </c>
    </row>
    <row r="5157" spans="1:9" x14ac:dyDescent="0.15">
      <c r="A5157" s="1">
        <v>5156</v>
      </c>
      <c r="B5157" s="1">
        <v>303051500</v>
      </c>
      <c r="C5157" s="1">
        <f t="shared" si="322"/>
        <v>8</v>
      </c>
      <c r="D5157" s="5">
        <f ca="1">IF(getQuality(B5157)&lt;4,getOtherMin(B5157,C5157,INDIRECT(J$2),INDIRECT(I5157),test),getMin(B5157,C5157,INDIRECT(J$2),INDIRECT(I5157),test))</f>
        <v>34.333333333333336</v>
      </c>
      <c r="E5157" s="5">
        <f ca="1">IF(getQuality(B5157)&lt;4,getOtherMax(B5157,C5157,INDIRECT(J$2),INDIRECT(I5157),test),getMax(B5157,C5157,INDIRECT(J$2),INDIRECT(I5157),test))</f>
        <v>41.666666666666664</v>
      </c>
      <c r="F5157" s="1" t="str">
        <f t="shared" si="324"/>
        <v>50</v>
      </c>
      <c r="G5157" s="1" t="str">
        <f t="shared" si="325"/>
        <v/>
      </c>
      <c r="I5157" s="1" t="str">
        <f t="shared" si="323"/>
        <v>威尔新数值1.06.xlsm!suitPower</v>
      </c>
    </row>
    <row r="5158" spans="1:9" x14ac:dyDescent="0.15">
      <c r="A5158" s="1">
        <v>5157</v>
      </c>
      <c r="B5158" s="1">
        <v>303051500</v>
      </c>
      <c r="C5158" s="1">
        <f t="shared" si="322"/>
        <v>16</v>
      </c>
      <c r="D5158" s="5">
        <f ca="1">IF(getQuality(B5158)&lt;4,getOtherMin(B5158,C5158,INDIRECT(J$2),INDIRECT(I5158),test),getMin(B5158,C5158,INDIRECT(J$2),INDIRECT(I5158),test))</f>
        <v>45.444444444444443</v>
      </c>
      <c r="E5158" s="5">
        <f ca="1">IF(getQuality(B5158)&lt;4,getOtherMax(B5158,C5158,INDIRECT(J$2),INDIRECT(I5158),test),getMax(B5158,C5158,INDIRECT(J$2),INDIRECT(I5158),test))</f>
        <v>55.555555555555557</v>
      </c>
      <c r="F5158" s="1" t="str">
        <f t="shared" si="324"/>
        <v>50</v>
      </c>
      <c r="G5158" s="1" t="str">
        <f t="shared" si="325"/>
        <v/>
      </c>
      <c r="I5158" s="1" t="str">
        <f t="shared" si="323"/>
        <v>威尔新数值1.06.xlsm!suitPower</v>
      </c>
    </row>
    <row r="5159" spans="1:9" x14ac:dyDescent="0.15">
      <c r="A5159" s="1">
        <v>5158</v>
      </c>
      <c r="B5159" s="1">
        <v>303051500</v>
      </c>
      <c r="C5159" s="1">
        <f t="shared" si="322"/>
        <v>17</v>
      </c>
      <c r="D5159" s="5">
        <f ca="1">IF(getQuality(B5159)&lt;4,getOtherMin(B5159,C5159,INDIRECT(J$2),INDIRECT(I5159),test),getMin(B5159,C5159,INDIRECT(J$2),INDIRECT(I5159),test))</f>
        <v>45.444444444444443</v>
      </c>
      <c r="E5159" s="5">
        <f ca="1">IF(getQuality(B5159)&lt;4,getOtherMax(B5159,C5159,INDIRECT(J$2),INDIRECT(I5159),test),getMax(B5159,C5159,INDIRECT(J$2),INDIRECT(I5159),test))</f>
        <v>55.555555555555557</v>
      </c>
      <c r="F5159" s="1" t="str">
        <f t="shared" si="324"/>
        <v>50</v>
      </c>
      <c r="G5159" s="1" t="str">
        <f t="shared" si="325"/>
        <v/>
      </c>
      <c r="I5159" s="1" t="str">
        <f t="shared" si="323"/>
        <v>威尔新数值1.06.xlsm!suitPower</v>
      </c>
    </row>
    <row r="5160" spans="1:9" x14ac:dyDescent="0.15">
      <c r="A5160" s="1">
        <v>5159</v>
      </c>
      <c r="B5160" s="1">
        <v>303051500</v>
      </c>
      <c r="C5160" s="1">
        <f t="shared" si="322"/>
        <v>18</v>
      </c>
      <c r="D5160" s="5">
        <f ca="1">IF(getQuality(B5160)&lt;4,getOtherMin(B5160,C5160,INDIRECT(J$2),INDIRECT(I5160),test),getMin(B5160,C5160,INDIRECT(J$2),INDIRECT(I5160),test))</f>
        <v>45.444444444444443</v>
      </c>
      <c r="E5160" s="5">
        <f ca="1">IF(getQuality(B5160)&lt;4,getOtherMax(B5160,C5160,INDIRECT(J$2),INDIRECT(I5160),test),getMax(B5160,C5160,INDIRECT(J$2),INDIRECT(I5160),test))</f>
        <v>55.555555555555557</v>
      </c>
      <c r="F5160" s="1" t="str">
        <f t="shared" si="324"/>
        <v>50</v>
      </c>
      <c r="G5160" s="1" t="str">
        <f t="shared" si="325"/>
        <v/>
      </c>
      <c r="I5160" s="1" t="str">
        <f t="shared" si="323"/>
        <v>威尔新数值1.06.xlsm!suitPower</v>
      </c>
    </row>
    <row r="5161" spans="1:9" x14ac:dyDescent="0.15">
      <c r="A5161" s="1">
        <v>5160</v>
      </c>
      <c r="B5161" s="1">
        <v>303051500</v>
      </c>
      <c r="C5161" s="1">
        <f t="shared" si="322"/>
        <v>19</v>
      </c>
      <c r="D5161" s="5">
        <f ca="1">IF(getQuality(B5161)&lt;4,getOtherMin(B5161,C5161,INDIRECT(J$2),INDIRECT(I5161),test),getMin(B5161,C5161,INDIRECT(J$2),INDIRECT(I5161),test))</f>
        <v>45.444444444444443</v>
      </c>
      <c r="E5161" s="5">
        <f ca="1">IF(getQuality(B5161)&lt;4,getOtherMax(B5161,C5161,INDIRECT(J$2),INDIRECT(I5161),test),getMax(B5161,C5161,INDIRECT(J$2),INDIRECT(I5161),test))</f>
        <v>55.555555555555557</v>
      </c>
      <c r="F5161" s="1" t="str">
        <f t="shared" si="324"/>
        <v>50</v>
      </c>
      <c r="G5161" s="1" t="str">
        <f t="shared" si="325"/>
        <v/>
      </c>
      <c r="I5161" s="1" t="str">
        <f t="shared" si="323"/>
        <v>威尔新数值1.06.xlsm!suitPower</v>
      </c>
    </row>
    <row r="5162" spans="1:9" x14ac:dyDescent="0.15">
      <c r="A5162" s="1">
        <v>5161</v>
      </c>
      <c r="B5162" s="1">
        <v>303051500</v>
      </c>
      <c r="C5162" s="1">
        <f t="shared" si="322"/>
        <v>20</v>
      </c>
      <c r="D5162" s="5">
        <f ca="1">IF(getQuality(B5162)&lt;4,getOtherMin(B5162,C5162,INDIRECT(J$2),INDIRECT(I5162),test),getMin(B5162,C5162,INDIRECT(J$2),INDIRECT(I5162),test))</f>
        <v>45.444444444444443</v>
      </c>
      <c r="E5162" s="5">
        <f ca="1">IF(getQuality(B5162)&lt;4,getOtherMax(B5162,C5162,INDIRECT(J$2),INDIRECT(I5162),test),getMax(B5162,C5162,INDIRECT(J$2),INDIRECT(I5162),test))</f>
        <v>55.555555555555557</v>
      </c>
      <c r="F5162" s="1" t="str">
        <f t="shared" si="324"/>
        <v>50</v>
      </c>
      <c r="G5162" s="1" t="str">
        <f t="shared" si="325"/>
        <v/>
      </c>
      <c r="I5162" s="1" t="str">
        <f t="shared" si="323"/>
        <v>威尔新数值1.06.xlsm!suitPower</v>
      </c>
    </row>
    <row r="5163" spans="1:9" x14ac:dyDescent="0.15">
      <c r="A5163" s="1">
        <v>5162</v>
      </c>
      <c r="B5163" s="1">
        <v>303051500</v>
      </c>
      <c r="C5163" s="1">
        <f t="shared" si="322"/>
        <v>21</v>
      </c>
      <c r="D5163" s="5">
        <f ca="1">IF(getQuality(B5163)&lt;4,getOtherMin(B5163,C5163,INDIRECT(J$2),INDIRECT(I5163),test),getMin(B5163,C5163,INDIRECT(J$2),INDIRECT(I5163),test))</f>
        <v>45.444444444444443</v>
      </c>
      <c r="E5163" s="5">
        <f ca="1">IF(getQuality(B5163)&lt;4,getOtherMax(B5163,C5163,INDIRECT(J$2),INDIRECT(I5163),test),getMax(B5163,C5163,INDIRECT(J$2),INDIRECT(I5163),test))</f>
        <v>55.555555555555557</v>
      </c>
      <c r="F5163" s="1" t="str">
        <f t="shared" si="324"/>
        <v>50</v>
      </c>
      <c r="G5163" s="1" t="str">
        <f t="shared" si="325"/>
        <v/>
      </c>
      <c r="I5163" s="1" t="str">
        <f t="shared" si="323"/>
        <v>威尔新数值1.06.xlsm!suitPower</v>
      </c>
    </row>
    <row r="5164" spans="1:9" x14ac:dyDescent="0.15">
      <c r="A5164" s="1">
        <v>5163</v>
      </c>
      <c r="B5164" s="1">
        <v>303051500</v>
      </c>
      <c r="C5164" s="1">
        <f t="shared" si="322"/>
        <v>22</v>
      </c>
      <c r="D5164" s="5">
        <f ca="1">IF(getQuality(B5164)&lt;4,getOtherMin(B5164,C5164,INDIRECT(J$2),INDIRECT(I5164),test),getMin(B5164,C5164,INDIRECT(J$2),INDIRECT(I5164),test))</f>
        <v>45.444444444444443</v>
      </c>
      <c r="E5164" s="5">
        <f ca="1">IF(getQuality(B5164)&lt;4,getOtherMax(B5164,C5164,INDIRECT(J$2),INDIRECT(I5164),test),getMax(B5164,C5164,INDIRECT(J$2),INDIRECT(I5164),test))</f>
        <v>55.555555555555557</v>
      </c>
      <c r="F5164" s="1" t="str">
        <f t="shared" si="324"/>
        <v>50</v>
      </c>
      <c r="G5164" s="1" t="str">
        <f t="shared" si="325"/>
        <v/>
      </c>
      <c r="I5164" s="1" t="str">
        <f t="shared" si="323"/>
        <v>威尔新数值1.06.xlsm!suitPower</v>
      </c>
    </row>
    <row r="5165" spans="1:9" x14ac:dyDescent="0.15">
      <c r="A5165" s="1">
        <v>5164</v>
      </c>
      <c r="B5165" s="1">
        <v>303051500</v>
      </c>
      <c r="C5165" s="1">
        <f t="shared" si="322"/>
        <v>23</v>
      </c>
      <c r="D5165" s="5">
        <f ca="1">IF(getQuality(B5165)&lt;4,getOtherMin(B5165,C5165,INDIRECT(J$2),INDIRECT(I5165),test),getMin(B5165,C5165,INDIRECT(J$2),INDIRECT(I5165),test))</f>
        <v>45.444444444444443</v>
      </c>
      <c r="E5165" s="5">
        <f ca="1">IF(getQuality(B5165)&lt;4,getOtherMax(B5165,C5165,INDIRECT(J$2),INDIRECT(I5165),test),getMax(B5165,C5165,INDIRECT(J$2),INDIRECT(I5165),test))</f>
        <v>55.555555555555557</v>
      </c>
      <c r="F5165" s="1" t="str">
        <f t="shared" si="324"/>
        <v>50</v>
      </c>
      <c r="G5165" s="1" t="str">
        <f t="shared" si="325"/>
        <v/>
      </c>
      <c r="I5165" s="1" t="str">
        <f t="shared" si="323"/>
        <v>威尔新数值1.06.xlsm!suitPower</v>
      </c>
    </row>
    <row r="5166" spans="1:9" x14ac:dyDescent="0.15">
      <c r="A5166" s="1">
        <v>5165</v>
      </c>
      <c r="B5166" s="1">
        <v>303061500</v>
      </c>
      <c r="C5166" s="1">
        <f t="shared" si="322"/>
        <v>1</v>
      </c>
      <c r="D5166" s="5">
        <f ca="1">IF(getQuality(B5166)&lt;4,getOtherMin(B5166,C5166,INDIRECT(J$2),INDIRECT(I5166),test),getMin(B5166,C5166,INDIRECT(J$2),INDIRECT(I5166),test))</f>
        <v>448.77777777777783</v>
      </c>
      <c r="E5166" s="5">
        <f ca="1">IF(getQuality(B5166)&lt;4,getOtherMax(B5166,C5166,INDIRECT(J$2),INDIRECT(I5166),test),getMax(B5166,C5166,INDIRECT(J$2),INDIRECT(I5166),test))</f>
        <v>575.4666666666667</v>
      </c>
      <c r="F5166" s="1" t="str">
        <f t="shared" si="324"/>
        <v>50</v>
      </c>
      <c r="G5166" s="1" t="str">
        <f t="shared" si="325"/>
        <v/>
      </c>
      <c r="I5166" s="1" t="str">
        <f t="shared" si="323"/>
        <v>威尔新数值1.06.xlsm!suitPower</v>
      </c>
    </row>
    <row r="5167" spans="1:9" x14ac:dyDescent="0.15">
      <c r="A5167" s="1">
        <v>5166</v>
      </c>
      <c r="B5167" s="1">
        <v>303061500</v>
      </c>
      <c r="C5167" s="1">
        <f t="shared" si="322"/>
        <v>2</v>
      </c>
      <c r="D5167" s="5">
        <f ca="1">IF(getQuality(B5167)&lt;4,getOtherMin(B5167,C5167,INDIRECT(J$2),INDIRECT(I5167),test),getMin(B5167,C5167,INDIRECT(J$2),INDIRECT(I5167),test))</f>
        <v>44.055555555555557</v>
      </c>
      <c r="E5167" s="5">
        <f ca="1">IF(getQuality(B5167)&lt;4,getOtherMax(B5167,C5167,INDIRECT(J$2),INDIRECT(I5167),test),getMax(B5167,C5167,INDIRECT(J$2),INDIRECT(I5167),test))</f>
        <v>55.333333333333329</v>
      </c>
      <c r="F5167" s="1" t="str">
        <f t="shared" si="324"/>
        <v>50</v>
      </c>
      <c r="G5167" s="1" t="str">
        <f t="shared" si="325"/>
        <v/>
      </c>
      <c r="I5167" s="1" t="str">
        <f t="shared" si="323"/>
        <v>威尔新数值1.06.xlsm!suitPower</v>
      </c>
    </row>
    <row r="5168" spans="1:9" x14ac:dyDescent="0.15">
      <c r="A5168" s="1">
        <v>5167</v>
      </c>
      <c r="B5168" s="1">
        <v>303061500</v>
      </c>
      <c r="C5168" s="1">
        <f t="shared" si="322"/>
        <v>4</v>
      </c>
      <c r="D5168" s="5">
        <f ca="1">IF(getQuality(B5168)&lt;4,getOtherMin(B5168,C5168,INDIRECT(J$2),INDIRECT(I5168),test),getMin(B5168,C5168,INDIRECT(J$2),INDIRECT(I5168),test))</f>
        <v>209.33333333333334</v>
      </c>
      <c r="E5168" s="5">
        <f ca="1">IF(getQuality(B5168)&lt;4,getOtherMax(B5168,C5168,INDIRECT(J$2),INDIRECT(I5168),test),getMax(B5168,C5168,INDIRECT(J$2),INDIRECT(I5168),test))</f>
        <v>250</v>
      </c>
      <c r="F5168" s="1" t="str">
        <f t="shared" si="324"/>
        <v>50</v>
      </c>
      <c r="G5168" s="1" t="str">
        <f t="shared" si="325"/>
        <v>1</v>
      </c>
      <c r="I5168" s="1" t="str">
        <f t="shared" si="323"/>
        <v>威尔新数值1.06.xlsm!suitPower</v>
      </c>
    </row>
    <row r="5169" spans="1:9" x14ac:dyDescent="0.15">
      <c r="A5169" s="1">
        <v>5168</v>
      </c>
      <c r="B5169" s="1">
        <v>303061500</v>
      </c>
      <c r="C5169" s="1">
        <f t="shared" si="322"/>
        <v>6</v>
      </c>
      <c r="D5169" s="5">
        <f ca="1">IF(getQuality(B5169)&lt;4,getOtherMin(B5169,C5169,INDIRECT(J$2),INDIRECT(I5169),test),getMin(B5169,C5169,INDIRECT(J$2),INDIRECT(I5169),test))</f>
        <v>209.33333333333334</v>
      </c>
      <c r="E5169" s="5">
        <f ca="1">IF(getQuality(B5169)&lt;4,getOtherMax(B5169,C5169,INDIRECT(J$2),INDIRECT(I5169),test),getMax(B5169,C5169,INDIRECT(J$2),INDIRECT(I5169),test))</f>
        <v>250</v>
      </c>
      <c r="F5169" s="1" t="str">
        <f t="shared" si="324"/>
        <v>50</v>
      </c>
      <c r="G5169" s="1" t="str">
        <f t="shared" si="325"/>
        <v/>
      </c>
      <c r="I5169" s="1" t="str">
        <f t="shared" si="323"/>
        <v>威尔新数值1.06.xlsm!suitPower</v>
      </c>
    </row>
    <row r="5170" spans="1:9" x14ac:dyDescent="0.15">
      <c r="A5170" s="1">
        <v>5169</v>
      </c>
      <c r="B5170" s="1">
        <v>303061500</v>
      </c>
      <c r="C5170" s="1">
        <f t="shared" si="322"/>
        <v>7</v>
      </c>
      <c r="D5170" s="5">
        <f ca="1">IF(getQuality(B5170)&lt;4,getOtherMin(B5170,C5170,INDIRECT(J$2),INDIRECT(I5170),test),getMin(B5170,C5170,INDIRECT(J$2),INDIRECT(I5170),test))</f>
        <v>19.518518518518473</v>
      </c>
      <c r="E5170" s="5">
        <f ca="1">IF(getQuality(B5170)&lt;4,getOtherMax(B5170,C5170,INDIRECT(J$2),INDIRECT(I5170),test),getMax(B5170,C5170,INDIRECT(J$2),INDIRECT(I5170),test))</f>
        <v>22.222222222222165</v>
      </c>
      <c r="F5170" s="1" t="str">
        <f t="shared" si="324"/>
        <v>50</v>
      </c>
      <c r="G5170" s="1" t="str">
        <f t="shared" si="325"/>
        <v/>
      </c>
      <c r="I5170" s="1" t="str">
        <f t="shared" si="323"/>
        <v>威尔新数值1.06.xlsm!suitPower</v>
      </c>
    </row>
    <row r="5171" spans="1:9" x14ac:dyDescent="0.15">
      <c r="A5171" s="1">
        <v>5170</v>
      </c>
      <c r="B5171" s="1">
        <v>303061500</v>
      </c>
      <c r="C5171" s="1">
        <f t="shared" si="322"/>
        <v>8</v>
      </c>
      <c r="D5171" s="5">
        <f ca="1">IF(getQuality(B5171)&lt;4,getOtherMin(B5171,C5171,INDIRECT(J$2),INDIRECT(I5171),test),getMin(B5171,C5171,INDIRECT(J$2),INDIRECT(I5171),test))</f>
        <v>42.666666666666664</v>
      </c>
      <c r="E5171" s="5">
        <f ca="1">IF(getQuality(B5171)&lt;4,getOtherMax(B5171,C5171,INDIRECT(J$2),INDIRECT(I5171),test),getMax(B5171,C5171,INDIRECT(J$2),INDIRECT(I5171),test))</f>
        <v>50</v>
      </c>
      <c r="F5171" s="1" t="str">
        <f t="shared" si="324"/>
        <v>50</v>
      </c>
      <c r="G5171" s="1" t="str">
        <f t="shared" si="325"/>
        <v/>
      </c>
      <c r="I5171" s="1" t="str">
        <f t="shared" si="323"/>
        <v>威尔新数值1.06.xlsm!suitPower</v>
      </c>
    </row>
    <row r="5172" spans="1:9" x14ac:dyDescent="0.15">
      <c r="A5172" s="1">
        <v>5171</v>
      </c>
      <c r="B5172" s="1">
        <v>303061500</v>
      </c>
      <c r="C5172" s="1">
        <f t="shared" si="322"/>
        <v>16</v>
      </c>
      <c r="D5172" s="5">
        <f ca="1">IF(getQuality(B5172)&lt;4,getOtherMin(B5172,C5172,INDIRECT(J$2),INDIRECT(I5172),test),getMin(B5172,C5172,INDIRECT(J$2),INDIRECT(I5172),test))</f>
        <v>56.555555555555557</v>
      </c>
      <c r="E5172" s="5">
        <f ca="1">IF(getQuality(B5172)&lt;4,getOtherMax(B5172,C5172,INDIRECT(J$2),INDIRECT(I5172),test),getMax(B5172,C5172,INDIRECT(J$2),INDIRECT(I5172),test))</f>
        <v>66.666666666666671</v>
      </c>
      <c r="F5172" s="1" t="str">
        <f t="shared" si="324"/>
        <v>50</v>
      </c>
      <c r="G5172" s="1" t="str">
        <f t="shared" si="325"/>
        <v/>
      </c>
      <c r="I5172" s="1" t="str">
        <f t="shared" si="323"/>
        <v>威尔新数值1.06.xlsm!suitPower</v>
      </c>
    </row>
    <row r="5173" spans="1:9" x14ac:dyDescent="0.15">
      <c r="A5173" s="1">
        <v>5172</v>
      </c>
      <c r="B5173" s="1">
        <v>303061500</v>
      </c>
      <c r="C5173" s="1">
        <f t="shared" si="322"/>
        <v>17</v>
      </c>
      <c r="D5173" s="5">
        <f ca="1">IF(getQuality(B5173)&lt;4,getOtherMin(B5173,C5173,INDIRECT(J$2),INDIRECT(I5173),test),getMin(B5173,C5173,INDIRECT(J$2),INDIRECT(I5173),test))</f>
        <v>56.555555555555557</v>
      </c>
      <c r="E5173" s="5">
        <f ca="1">IF(getQuality(B5173)&lt;4,getOtherMax(B5173,C5173,INDIRECT(J$2),INDIRECT(I5173),test),getMax(B5173,C5173,INDIRECT(J$2),INDIRECT(I5173),test))</f>
        <v>66.666666666666671</v>
      </c>
      <c r="F5173" s="1" t="str">
        <f t="shared" si="324"/>
        <v>50</v>
      </c>
      <c r="G5173" s="1" t="str">
        <f t="shared" si="325"/>
        <v/>
      </c>
      <c r="I5173" s="1" t="str">
        <f t="shared" si="323"/>
        <v>威尔新数值1.06.xlsm!suitPower</v>
      </c>
    </row>
    <row r="5174" spans="1:9" x14ac:dyDescent="0.15">
      <c r="A5174" s="1">
        <v>5173</v>
      </c>
      <c r="B5174" s="1">
        <v>303061500</v>
      </c>
      <c r="C5174" s="1">
        <f t="shared" si="322"/>
        <v>18</v>
      </c>
      <c r="D5174" s="5">
        <f ca="1">IF(getQuality(B5174)&lt;4,getOtherMin(B5174,C5174,INDIRECT(J$2),INDIRECT(I5174),test),getMin(B5174,C5174,INDIRECT(J$2),INDIRECT(I5174),test))</f>
        <v>56.555555555555557</v>
      </c>
      <c r="E5174" s="5">
        <f ca="1">IF(getQuality(B5174)&lt;4,getOtherMax(B5174,C5174,INDIRECT(J$2),INDIRECT(I5174),test),getMax(B5174,C5174,INDIRECT(J$2),INDIRECT(I5174),test))</f>
        <v>66.666666666666671</v>
      </c>
      <c r="F5174" s="1" t="str">
        <f t="shared" si="324"/>
        <v>50</v>
      </c>
      <c r="G5174" s="1" t="str">
        <f t="shared" si="325"/>
        <v/>
      </c>
      <c r="I5174" s="1" t="str">
        <f t="shared" si="323"/>
        <v>威尔新数值1.06.xlsm!suitPower</v>
      </c>
    </row>
    <row r="5175" spans="1:9" x14ac:dyDescent="0.15">
      <c r="A5175" s="1">
        <v>5174</v>
      </c>
      <c r="B5175" s="1">
        <v>303061500</v>
      </c>
      <c r="C5175" s="1">
        <f t="shared" si="322"/>
        <v>19</v>
      </c>
      <c r="D5175" s="5">
        <f ca="1">IF(getQuality(B5175)&lt;4,getOtherMin(B5175,C5175,INDIRECT(J$2),INDIRECT(I5175),test),getMin(B5175,C5175,INDIRECT(J$2),INDIRECT(I5175),test))</f>
        <v>56.555555555555557</v>
      </c>
      <c r="E5175" s="5">
        <f ca="1">IF(getQuality(B5175)&lt;4,getOtherMax(B5175,C5175,INDIRECT(J$2),INDIRECT(I5175),test),getMax(B5175,C5175,INDIRECT(J$2),INDIRECT(I5175),test))</f>
        <v>66.666666666666671</v>
      </c>
      <c r="F5175" s="1" t="str">
        <f t="shared" si="324"/>
        <v>50</v>
      </c>
      <c r="G5175" s="1" t="str">
        <f t="shared" si="325"/>
        <v/>
      </c>
      <c r="I5175" s="1" t="str">
        <f t="shared" si="323"/>
        <v>威尔新数值1.06.xlsm!suitPower</v>
      </c>
    </row>
    <row r="5176" spans="1:9" x14ac:dyDescent="0.15">
      <c r="A5176" s="1">
        <v>5175</v>
      </c>
      <c r="B5176" s="1">
        <v>303061500</v>
      </c>
      <c r="C5176" s="1">
        <f t="shared" si="322"/>
        <v>20</v>
      </c>
      <c r="D5176" s="5">
        <f ca="1">IF(getQuality(B5176)&lt;4,getOtherMin(B5176,C5176,INDIRECT(J$2),INDIRECT(I5176),test),getMin(B5176,C5176,INDIRECT(J$2),INDIRECT(I5176),test))</f>
        <v>56.555555555555557</v>
      </c>
      <c r="E5176" s="5">
        <f ca="1">IF(getQuality(B5176)&lt;4,getOtherMax(B5176,C5176,INDIRECT(J$2),INDIRECT(I5176),test),getMax(B5176,C5176,INDIRECT(J$2),INDIRECT(I5176),test))</f>
        <v>66.666666666666671</v>
      </c>
      <c r="F5176" s="1" t="str">
        <f t="shared" si="324"/>
        <v>50</v>
      </c>
      <c r="G5176" s="1" t="str">
        <f t="shared" si="325"/>
        <v/>
      </c>
      <c r="I5176" s="1" t="str">
        <f t="shared" si="323"/>
        <v>威尔新数值1.06.xlsm!suitPower</v>
      </c>
    </row>
    <row r="5177" spans="1:9" x14ac:dyDescent="0.15">
      <c r="A5177" s="1">
        <v>5176</v>
      </c>
      <c r="B5177" s="1">
        <v>303061500</v>
      </c>
      <c r="C5177" s="1">
        <f t="shared" si="322"/>
        <v>21</v>
      </c>
      <c r="D5177" s="5">
        <f ca="1">IF(getQuality(B5177)&lt;4,getOtherMin(B5177,C5177,INDIRECT(J$2),INDIRECT(I5177),test),getMin(B5177,C5177,INDIRECT(J$2),INDIRECT(I5177),test))</f>
        <v>56.555555555555557</v>
      </c>
      <c r="E5177" s="5">
        <f ca="1">IF(getQuality(B5177)&lt;4,getOtherMax(B5177,C5177,INDIRECT(J$2),INDIRECT(I5177),test),getMax(B5177,C5177,INDIRECT(J$2),INDIRECT(I5177),test))</f>
        <v>66.666666666666671</v>
      </c>
      <c r="F5177" s="1" t="str">
        <f t="shared" si="324"/>
        <v>50</v>
      </c>
      <c r="G5177" s="1" t="str">
        <f t="shared" si="325"/>
        <v/>
      </c>
      <c r="I5177" s="1" t="str">
        <f t="shared" si="323"/>
        <v>威尔新数值1.06.xlsm!suitPower</v>
      </c>
    </row>
    <row r="5178" spans="1:9" x14ac:dyDescent="0.15">
      <c r="A5178" s="1">
        <v>5177</v>
      </c>
      <c r="B5178" s="1">
        <v>303061500</v>
      </c>
      <c r="C5178" s="1">
        <f t="shared" si="322"/>
        <v>22</v>
      </c>
      <c r="D5178" s="5">
        <f ca="1">IF(getQuality(B5178)&lt;4,getOtherMin(B5178,C5178,INDIRECT(J$2),INDIRECT(I5178),test),getMin(B5178,C5178,INDIRECT(J$2),INDIRECT(I5178),test))</f>
        <v>56.555555555555557</v>
      </c>
      <c r="E5178" s="5">
        <f ca="1">IF(getQuality(B5178)&lt;4,getOtherMax(B5178,C5178,INDIRECT(J$2),INDIRECT(I5178),test),getMax(B5178,C5178,INDIRECT(J$2),INDIRECT(I5178),test))</f>
        <v>66.666666666666671</v>
      </c>
      <c r="F5178" s="1" t="str">
        <f t="shared" si="324"/>
        <v>50</v>
      </c>
      <c r="G5178" s="1" t="str">
        <f t="shared" si="325"/>
        <v/>
      </c>
      <c r="I5178" s="1" t="str">
        <f t="shared" si="323"/>
        <v>威尔新数值1.06.xlsm!suitPower</v>
      </c>
    </row>
    <row r="5179" spans="1:9" x14ac:dyDescent="0.15">
      <c r="A5179" s="1">
        <v>5178</v>
      </c>
      <c r="B5179" s="1">
        <v>303061500</v>
      </c>
      <c r="C5179" s="1">
        <f t="shared" si="322"/>
        <v>23</v>
      </c>
      <c r="D5179" s="5">
        <f ca="1">IF(getQuality(B5179)&lt;4,getOtherMin(B5179,C5179,INDIRECT(J$2),INDIRECT(I5179),test),getMin(B5179,C5179,INDIRECT(J$2),INDIRECT(I5179),test))</f>
        <v>56.555555555555557</v>
      </c>
      <c r="E5179" s="5">
        <f ca="1">IF(getQuality(B5179)&lt;4,getOtherMax(B5179,C5179,INDIRECT(J$2),INDIRECT(I5179),test),getMax(B5179,C5179,INDIRECT(J$2),INDIRECT(I5179),test))</f>
        <v>66.666666666666671</v>
      </c>
      <c r="F5179" s="1" t="str">
        <f t="shared" si="324"/>
        <v>50</v>
      </c>
      <c r="G5179" s="1" t="str">
        <f t="shared" si="325"/>
        <v/>
      </c>
      <c r="I5179" s="1" t="str">
        <f t="shared" si="323"/>
        <v>威尔新数值1.06.xlsm!suitPower</v>
      </c>
    </row>
    <row r="5180" spans="1:9" x14ac:dyDescent="0.15">
      <c r="A5180" s="1">
        <v>5179</v>
      </c>
      <c r="B5180" s="1">
        <v>303071500</v>
      </c>
      <c r="C5180" s="1">
        <f t="shared" ref="C5180:C5221" si="326">C2705</f>
        <v>1</v>
      </c>
      <c r="D5180" s="5">
        <f ca="1">IF(getQuality(B5180)&lt;4,getOtherMin(B5180,C5180,INDIRECT(J$2),INDIRECT(I5180),test),getMin(B5180,C5180,INDIRECT(J$2),INDIRECT(I5180),test))</f>
        <v>576.4666666666667</v>
      </c>
      <c r="E5180" s="5">
        <f ca="1">IF(getQuality(B5180)&lt;4,getOtherMax(B5180,C5180,INDIRECT(J$2),INDIRECT(I5180),test),getMax(B5180,C5180,INDIRECT(J$2),INDIRECT(I5180),test))</f>
        <v>715.86666666666667</v>
      </c>
      <c r="F5180" s="1" t="str">
        <f t="shared" si="324"/>
        <v>50</v>
      </c>
      <c r="G5180" s="1" t="str">
        <f t="shared" si="325"/>
        <v/>
      </c>
      <c r="I5180" s="1" t="str">
        <f t="shared" si="323"/>
        <v>威尔新数值1.06.xlsm!suitPower</v>
      </c>
    </row>
    <row r="5181" spans="1:9" x14ac:dyDescent="0.15">
      <c r="A5181" s="1">
        <v>5180</v>
      </c>
      <c r="B5181" s="1">
        <v>303071500</v>
      </c>
      <c r="C5181" s="1">
        <f t="shared" si="326"/>
        <v>2</v>
      </c>
      <c r="D5181" s="5">
        <f ca="1">IF(getQuality(B5181)&lt;4,getOtherMin(B5181,C5181,INDIRECT(J$2),INDIRECT(I5181),test),getMin(B5181,C5181,INDIRECT(J$2),INDIRECT(I5181),test))</f>
        <v>56.333333333333329</v>
      </c>
      <c r="E5181" s="5">
        <f ca="1">IF(getQuality(B5181)&lt;4,getOtherMax(B5181,C5181,INDIRECT(J$2),INDIRECT(I5181),test),getMax(B5181,C5181,INDIRECT(J$2),INDIRECT(I5181),test))</f>
        <v>68.833333333333329</v>
      </c>
      <c r="F5181" s="1" t="str">
        <f t="shared" si="324"/>
        <v>50</v>
      </c>
      <c r="G5181" s="1" t="str">
        <f t="shared" si="325"/>
        <v/>
      </c>
      <c r="I5181" s="1" t="str">
        <f t="shared" si="323"/>
        <v>威尔新数值1.06.xlsm!suitPower</v>
      </c>
    </row>
    <row r="5182" spans="1:9" x14ac:dyDescent="0.15">
      <c r="A5182" s="1">
        <v>5181</v>
      </c>
      <c r="B5182" s="1">
        <v>303071500</v>
      </c>
      <c r="C5182" s="1">
        <f t="shared" si="326"/>
        <v>4</v>
      </c>
      <c r="D5182" s="5">
        <f ca="1">IF(getQuality(B5182)&lt;4,getOtherMin(B5182,C5182,INDIRECT(J$2),INDIRECT(I5182),test),getMin(B5182,C5182,INDIRECT(J$2),INDIRECT(I5182),test))</f>
        <v>251</v>
      </c>
      <c r="E5182" s="5">
        <f ca="1">IF(getQuality(B5182)&lt;4,getOtherMax(B5182,C5182,INDIRECT(J$2),INDIRECT(I5182),test),getMax(B5182,C5182,INDIRECT(J$2),INDIRECT(I5182),test))</f>
        <v>291.66666666666669</v>
      </c>
      <c r="F5182" s="1" t="str">
        <f t="shared" si="324"/>
        <v>50</v>
      </c>
      <c r="G5182" s="1" t="str">
        <f t="shared" si="325"/>
        <v>1</v>
      </c>
      <c r="I5182" s="1" t="str">
        <f t="shared" si="323"/>
        <v>威尔新数值1.06.xlsm!suitPower</v>
      </c>
    </row>
    <row r="5183" spans="1:9" x14ac:dyDescent="0.15">
      <c r="A5183" s="1">
        <v>5182</v>
      </c>
      <c r="B5183" s="1">
        <v>303071500</v>
      </c>
      <c r="C5183" s="1">
        <f t="shared" si="326"/>
        <v>6</v>
      </c>
      <c r="D5183" s="5">
        <f ca="1">IF(getQuality(B5183)&lt;4,getOtherMin(B5183,C5183,INDIRECT(J$2),INDIRECT(I5183),test),getMin(B5183,C5183,INDIRECT(J$2),INDIRECT(I5183),test))</f>
        <v>251</v>
      </c>
      <c r="E5183" s="5">
        <f ca="1">IF(getQuality(B5183)&lt;4,getOtherMax(B5183,C5183,INDIRECT(J$2),INDIRECT(I5183),test),getMax(B5183,C5183,INDIRECT(J$2),INDIRECT(I5183),test))</f>
        <v>291.66666666666669</v>
      </c>
      <c r="F5183" s="1" t="str">
        <f t="shared" si="324"/>
        <v>50</v>
      </c>
      <c r="G5183" s="1" t="str">
        <f t="shared" si="325"/>
        <v/>
      </c>
      <c r="I5183" s="1" t="str">
        <f t="shared" si="323"/>
        <v>威尔新数值1.06.xlsm!suitPower</v>
      </c>
    </row>
    <row r="5184" spans="1:9" x14ac:dyDescent="0.15">
      <c r="A5184" s="1">
        <v>5183</v>
      </c>
      <c r="B5184" s="1">
        <v>303071500</v>
      </c>
      <c r="C5184" s="1">
        <f t="shared" si="326"/>
        <v>7</v>
      </c>
      <c r="D5184" s="5">
        <f ca="1">IF(getQuality(B5184)&lt;4,getOtherMin(B5184,C5184,INDIRECT(J$2),INDIRECT(I5184),test),getMin(B5184,C5184,INDIRECT(J$2),INDIRECT(I5184),test))</f>
        <v>23.222222222222165</v>
      </c>
      <c r="E5184" s="5">
        <f ca="1">IF(getQuality(B5184)&lt;4,getOtherMax(B5184,C5184,INDIRECT(J$2),INDIRECT(I5184),test),getMax(B5184,C5184,INDIRECT(J$2),INDIRECT(I5184),test))</f>
        <v>25.92592592592586</v>
      </c>
      <c r="F5184" s="1" t="str">
        <f t="shared" si="324"/>
        <v>50</v>
      </c>
      <c r="G5184" s="1" t="str">
        <f t="shared" si="325"/>
        <v/>
      </c>
      <c r="I5184" s="1" t="str">
        <f t="shared" si="323"/>
        <v>威尔新数值1.06.xlsm!suitPower</v>
      </c>
    </row>
    <row r="5185" spans="1:9" x14ac:dyDescent="0.15">
      <c r="A5185" s="1">
        <v>5184</v>
      </c>
      <c r="B5185" s="1">
        <v>303071500</v>
      </c>
      <c r="C5185" s="1">
        <f t="shared" si="326"/>
        <v>8</v>
      </c>
      <c r="D5185" s="5">
        <f ca="1">IF(getQuality(B5185)&lt;4,getOtherMin(B5185,C5185,INDIRECT(J$2),INDIRECT(I5185),test),getMin(B5185,C5185,INDIRECT(J$2),INDIRECT(I5185),test))</f>
        <v>51</v>
      </c>
      <c r="E5185" s="5">
        <f ca="1">IF(getQuality(B5185)&lt;4,getOtherMax(B5185,C5185,INDIRECT(J$2),INDIRECT(I5185),test),getMax(B5185,C5185,INDIRECT(J$2),INDIRECT(I5185),test))</f>
        <v>58.333333333333336</v>
      </c>
      <c r="F5185" s="1" t="str">
        <f t="shared" si="324"/>
        <v>50</v>
      </c>
      <c r="G5185" s="1" t="str">
        <f t="shared" si="325"/>
        <v/>
      </c>
      <c r="I5185" s="1" t="str">
        <f t="shared" si="323"/>
        <v>威尔新数值1.06.xlsm!suitPower</v>
      </c>
    </row>
    <row r="5186" spans="1:9" x14ac:dyDescent="0.15">
      <c r="A5186" s="1">
        <v>5185</v>
      </c>
      <c r="B5186" s="1">
        <v>303071500</v>
      </c>
      <c r="C5186" s="1">
        <f t="shared" si="326"/>
        <v>16</v>
      </c>
      <c r="D5186" s="5">
        <f ca="1">IF(getQuality(B5186)&lt;4,getOtherMin(B5186,C5186,INDIRECT(J$2),INDIRECT(I5186),test),getMin(B5186,C5186,INDIRECT(J$2),INDIRECT(I5186),test))</f>
        <v>67.666666666666671</v>
      </c>
      <c r="E5186" s="5">
        <f ca="1">IF(getQuality(B5186)&lt;4,getOtherMax(B5186,C5186,INDIRECT(J$2),INDIRECT(I5186),test),getMax(B5186,C5186,INDIRECT(J$2),INDIRECT(I5186),test))</f>
        <v>77.777777777777771</v>
      </c>
      <c r="F5186" s="1" t="str">
        <f t="shared" si="324"/>
        <v>50</v>
      </c>
      <c r="G5186" s="1" t="str">
        <f t="shared" si="325"/>
        <v/>
      </c>
      <c r="I5186" s="1" t="str">
        <f t="shared" ref="I5186:I5249" si="327">IF(C5186&lt;100,VLOOKUP(C5186,test,3,FALSE),VLOOKUP(C5186,test1,3,FALSE))</f>
        <v>威尔新数值1.06.xlsm!suitPower</v>
      </c>
    </row>
    <row r="5187" spans="1:9" x14ac:dyDescent="0.15">
      <c r="A5187" s="1">
        <v>5186</v>
      </c>
      <c r="B5187" s="1">
        <v>303071500</v>
      </c>
      <c r="C5187" s="1">
        <f t="shared" si="326"/>
        <v>17</v>
      </c>
      <c r="D5187" s="5">
        <f ca="1">IF(getQuality(B5187)&lt;4,getOtherMin(B5187,C5187,INDIRECT(J$2),INDIRECT(I5187),test),getMin(B5187,C5187,INDIRECT(J$2),INDIRECT(I5187),test))</f>
        <v>67.666666666666671</v>
      </c>
      <c r="E5187" s="5">
        <f ca="1">IF(getQuality(B5187)&lt;4,getOtherMax(B5187,C5187,INDIRECT(J$2),INDIRECT(I5187),test),getMax(B5187,C5187,INDIRECT(J$2),INDIRECT(I5187),test))</f>
        <v>77.777777777777771</v>
      </c>
      <c r="F5187" s="1" t="str">
        <f t="shared" ref="F5187:F5250" si="328">getper(B5187,C5187)</f>
        <v>50</v>
      </c>
      <c r="G5187" s="1" t="str">
        <f t="shared" si="325"/>
        <v/>
      </c>
      <c r="I5187" s="1" t="str">
        <f t="shared" si="327"/>
        <v>威尔新数值1.06.xlsm!suitPower</v>
      </c>
    </row>
    <row r="5188" spans="1:9" x14ac:dyDescent="0.15">
      <c r="A5188" s="1">
        <v>5187</v>
      </c>
      <c r="B5188" s="1">
        <v>303071500</v>
      </c>
      <c r="C5188" s="1">
        <f t="shared" si="326"/>
        <v>18</v>
      </c>
      <c r="D5188" s="5">
        <f ca="1">IF(getQuality(B5188)&lt;4,getOtherMin(B5188,C5188,INDIRECT(J$2),INDIRECT(I5188),test),getMin(B5188,C5188,INDIRECT(J$2),INDIRECT(I5188),test))</f>
        <v>67.666666666666671</v>
      </c>
      <c r="E5188" s="5">
        <f ca="1">IF(getQuality(B5188)&lt;4,getOtherMax(B5188,C5188,INDIRECT(J$2),INDIRECT(I5188),test),getMax(B5188,C5188,INDIRECT(J$2),INDIRECT(I5188),test))</f>
        <v>77.777777777777771</v>
      </c>
      <c r="F5188" s="1" t="str">
        <f t="shared" si="328"/>
        <v>50</v>
      </c>
      <c r="G5188" s="1" t="str">
        <f t="shared" si="325"/>
        <v/>
      </c>
      <c r="I5188" s="1" t="str">
        <f t="shared" si="327"/>
        <v>威尔新数值1.06.xlsm!suitPower</v>
      </c>
    </row>
    <row r="5189" spans="1:9" x14ac:dyDescent="0.15">
      <c r="A5189" s="1">
        <v>5188</v>
      </c>
      <c r="B5189" s="1">
        <v>303071500</v>
      </c>
      <c r="C5189" s="1">
        <f t="shared" si="326"/>
        <v>19</v>
      </c>
      <c r="D5189" s="5">
        <f ca="1">IF(getQuality(B5189)&lt;4,getOtherMin(B5189,C5189,INDIRECT(J$2),INDIRECT(I5189),test),getMin(B5189,C5189,INDIRECT(J$2),INDIRECT(I5189),test))</f>
        <v>67.666666666666671</v>
      </c>
      <c r="E5189" s="5">
        <f ca="1">IF(getQuality(B5189)&lt;4,getOtherMax(B5189,C5189,INDIRECT(J$2),INDIRECT(I5189),test),getMax(B5189,C5189,INDIRECT(J$2),INDIRECT(I5189),test))</f>
        <v>77.777777777777771</v>
      </c>
      <c r="F5189" s="1" t="str">
        <f t="shared" si="328"/>
        <v>50</v>
      </c>
      <c r="G5189" s="1" t="str">
        <f t="shared" si="325"/>
        <v/>
      </c>
      <c r="I5189" s="1" t="str">
        <f t="shared" si="327"/>
        <v>威尔新数值1.06.xlsm!suitPower</v>
      </c>
    </row>
    <row r="5190" spans="1:9" x14ac:dyDescent="0.15">
      <c r="A5190" s="1">
        <v>5189</v>
      </c>
      <c r="B5190" s="1">
        <v>303071500</v>
      </c>
      <c r="C5190" s="1">
        <f t="shared" si="326"/>
        <v>20</v>
      </c>
      <c r="D5190" s="5">
        <f ca="1">IF(getQuality(B5190)&lt;4,getOtherMin(B5190,C5190,INDIRECT(J$2),INDIRECT(I5190),test),getMin(B5190,C5190,INDIRECT(J$2),INDIRECT(I5190),test))</f>
        <v>67.666666666666671</v>
      </c>
      <c r="E5190" s="5">
        <f ca="1">IF(getQuality(B5190)&lt;4,getOtherMax(B5190,C5190,INDIRECT(J$2),INDIRECT(I5190),test),getMax(B5190,C5190,INDIRECT(J$2),INDIRECT(I5190),test))</f>
        <v>77.777777777777771</v>
      </c>
      <c r="F5190" s="1" t="str">
        <f t="shared" si="328"/>
        <v>50</v>
      </c>
      <c r="G5190" s="1" t="str">
        <f t="shared" si="325"/>
        <v/>
      </c>
      <c r="I5190" s="1" t="str">
        <f t="shared" si="327"/>
        <v>威尔新数值1.06.xlsm!suitPower</v>
      </c>
    </row>
    <row r="5191" spans="1:9" x14ac:dyDescent="0.15">
      <c r="A5191" s="1">
        <v>5190</v>
      </c>
      <c r="B5191" s="1">
        <v>303071500</v>
      </c>
      <c r="C5191" s="1">
        <f t="shared" si="326"/>
        <v>21</v>
      </c>
      <c r="D5191" s="5">
        <f ca="1">IF(getQuality(B5191)&lt;4,getOtherMin(B5191,C5191,INDIRECT(J$2),INDIRECT(I5191),test),getMin(B5191,C5191,INDIRECT(J$2),INDIRECT(I5191),test))</f>
        <v>67.666666666666671</v>
      </c>
      <c r="E5191" s="5">
        <f ca="1">IF(getQuality(B5191)&lt;4,getOtherMax(B5191,C5191,INDIRECT(J$2),INDIRECT(I5191),test),getMax(B5191,C5191,INDIRECT(J$2),INDIRECT(I5191),test))</f>
        <v>77.777777777777771</v>
      </c>
      <c r="F5191" s="1" t="str">
        <f t="shared" si="328"/>
        <v>50</v>
      </c>
      <c r="G5191" s="1" t="str">
        <f t="shared" si="325"/>
        <v/>
      </c>
      <c r="I5191" s="1" t="str">
        <f t="shared" si="327"/>
        <v>威尔新数值1.06.xlsm!suitPower</v>
      </c>
    </row>
    <row r="5192" spans="1:9" x14ac:dyDescent="0.15">
      <c r="A5192" s="1">
        <v>5191</v>
      </c>
      <c r="B5192" s="1">
        <v>303071500</v>
      </c>
      <c r="C5192" s="1">
        <f t="shared" si="326"/>
        <v>22</v>
      </c>
      <c r="D5192" s="5">
        <f ca="1">IF(getQuality(B5192)&lt;4,getOtherMin(B5192,C5192,INDIRECT(J$2),INDIRECT(I5192),test),getMin(B5192,C5192,INDIRECT(J$2),INDIRECT(I5192),test))</f>
        <v>67.666666666666671</v>
      </c>
      <c r="E5192" s="5">
        <f ca="1">IF(getQuality(B5192)&lt;4,getOtherMax(B5192,C5192,INDIRECT(J$2),INDIRECT(I5192),test),getMax(B5192,C5192,INDIRECT(J$2),INDIRECT(I5192),test))</f>
        <v>77.777777777777771</v>
      </c>
      <c r="F5192" s="1" t="str">
        <f t="shared" si="328"/>
        <v>50</v>
      </c>
      <c r="G5192" s="1" t="str">
        <f t="shared" si="325"/>
        <v/>
      </c>
      <c r="I5192" s="1" t="str">
        <f t="shared" si="327"/>
        <v>威尔新数值1.06.xlsm!suitPower</v>
      </c>
    </row>
    <row r="5193" spans="1:9" x14ac:dyDescent="0.15">
      <c r="A5193" s="1">
        <v>5192</v>
      </c>
      <c r="B5193" s="1">
        <v>303071500</v>
      </c>
      <c r="C5193" s="1">
        <f t="shared" si="326"/>
        <v>23</v>
      </c>
      <c r="D5193" s="5">
        <f ca="1">IF(getQuality(B5193)&lt;4,getOtherMin(B5193,C5193,INDIRECT(J$2),INDIRECT(I5193),test),getMin(B5193,C5193,INDIRECT(J$2),INDIRECT(I5193),test))</f>
        <v>67.666666666666671</v>
      </c>
      <c r="E5193" s="5">
        <f ca="1">IF(getQuality(B5193)&lt;4,getOtherMax(B5193,C5193,INDIRECT(J$2),INDIRECT(I5193),test),getMax(B5193,C5193,INDIRECT(J$2),INDIRECT(I5193),test))</f>
        <v>77.777777777777771</v>
      </c>
      <c r="F5193" s="1" t="str">
        <f t="shared" si="328"/>
        <v>50</v>
      </c>
      <c r="G5193" s="1" t="str">
        <f t="shared" si="325"/>
        <v/>
      </c>
      <c r="I5193" s="1" t="str">
        <f t="shared" si="327"/>
        <v>威尔新数值1.06.xlsm!suitPower</v>
      </c>
    </row>
    <row r="5194" spans="1:9" x14ac:dyDescent="0.15">
      <c r="A5194" s="1">
        <v>5193</v>
      </c>
      <c r="B5194" s="1">
        <v>303081500</v>
      </c>
      <c r="C5194" s="1">
        <f t="shared" si="326"/>
        <v>1</v>
      </c>
      <c r="D5194" s="5">
        <f ca="1">IF(getQuality(B5194)&lt;4,getOtherMin(B5194,C5194,INDIRECT(J$2),INDIRECT(I5194),test),getMin(B5194,C5194,INDIRECT(J$2),INDIRECT(I5194),test))</f>
        <v>716.86666666666667</v>
      </c>
      <c r="E5194" s="5">
        <f ca="1">IF(getQuality(B5194)&lt;4,getOtherMax(B5194,C5194,INDIRECT(J$2),INDIRECT(I5194),test),getMax(B5194,C5194,INDIRECT(J$2),INDIRECT(I5194),test))</f>
        <v>868.97777777777776</v>
      </c>
      <c r="F5194" s="1" t="str">
        <f t="shared" si="328"/>
        <v>50</v>
      </c>
      <c r="G5194" s="1" t="str">
        <f t="shared" si="325"/>
        <v/>
      </c>
      <c r="I5194" s="1" t="str">
        <f t="shared" si="327"/>
        <v>威尔新数值1.06.xlsm!suitPower</v>
      </c>
    </row>
    <row r="5195" spans="1:9" x14ac:dyDescent="0.15">
      <c r="A5195" s="1">
        <v>5194</v>
      </c>
      <c r="B5195" s="1">
        <v>303081500</v>
      </c>
      <c r="C5195" s="1">
        <f t="shared" si="326"/>
        <v>2</v>
      </c>
      <c r="D5195" s="5">
        <f ca="1">IF(getQuality(B5195)&lt;4,getOtherMin(B5195,C5195,INDIRECT(J$2),INDIRECT(I5195),test),getMin(B5195,C5195,INDIRECT(J$2),INDIRECT(I5195),test))</f>
        <v>69.833333333333329</v>
      </c>
      <c r="E5195" s="5">
        <f ca="1">IF(getQuality(B5195)&lt;4,getOtherMax(B5195,C5195,INDIRECT(J$2),INDIRECT(I5195),test),getMax(B5195,C5195,INDIRECT(J$2),INDIRECT(I5195),test))</f>
        <v>83.555555555555557</v>
      </c>
      <c r="F5195" s="1" t="str">
        <f t="shared" si="328"/>
        <v>50</v>
      </c>
      <c r="G5195" s="1" t="str">
        <f t="shared" si="325"/>
        <v/>
      </c>
      <c r="I5195" s="1" t="str">
        <f t="shared" si="327"/>
        <v>威尔新数值1.06.xlsm!suitPower</v>
      </c>
    </row>
    <row r="5196" spans="1:9" x14ac:dyDescent="0.15">
      <c r="A5196" s="1">
        <v>5195</v>
      </c>
      <c r="B5196" s="1">
        <v>303081500</v>
      </c>
      <c r="C5196" s="1">
        <f t="shared" si="326"/>
        <v>4</v>
      </c>
      <c r="D5196" s="5">
        <f ca="1">IF(getQuality(B5196)&lt;4,getOtherMin(B5196,C5196,INDIRECT(J$2),INDIRECT(I5196),test),getMin(B5196,C5196,INDIRECT(J$2),INDIRECT(I5196),test))</f>
        <v>292.66666666666669</v>
      </c>
      <c r="E5196" s="5">
        <f ca="1">IF(getQuality(B5196)&lt;4,getOtherMax(B5196,C5196,INDIRECT(J$2),INDIRECT(I5196),test),getMax(B5196,C5196,INDIRECT(J$2),INDIRECT(I5196),test))</f>
        <v>333.33333333333331</v>
      </c>
      <c r="F5196" s="1" t="str">
        <f t="shared" si="328"/>
        <v>50</v>
      </c>
      <c r="G5196" s="1" t="str">
        <f t="shared" si="325"/>
        <v>1</v>
      </c>
      <c r="I5196" s="1" t="str">
        <f t="shared" si="327"/>
        <v>威尔新数值1.06.xlsm!suitPower</v>
      </c>
    </row>
    <row r="5197" spans="1:9" x14ac:dyDescent="0.15">
      <c r="A5197" s="1">
        <v>5196</v>
      </c>
      <c r="B5197" s="1">
        <v>303081500</v>
      </c>
      <c r="C5197" s="1">
        <f t="shared" si="326"/>
        <v>6</v>
      </c>
      <c r="D5197" s="5">
        <f ca="1">IF(getQuality(B5197)&lt;4,getOtherMin(B5197,C5197,INDIRECT(J$2),INDIRECT(I5197),test),getMin(B5197,C5197,INDIRECT(J$2),INDIRECT(I5197),test))</f>
        <v>292.66666666666669</v>
      </c>
      <c r="E5197" s="5">
        <f ca="1">IF(getQuality(B5197)&lt;4,getOtherMax(B5197,C5197,INDIRECT(J$2),INDIRECT(I5197),test),getMax(B5197,C5197,INDIRECT(J$2),INDIRECT(I5197),test))</f>
        <v>333.33333333333331</v>
      </c>
      <c r="F5197" s="1" t="str">
        <f t="shared" si="328"/>
        <v>50</v>
      </c>
      <c r="G5197" s="1" t="str">
        <f t="shared" si="325"/>
        <v/>
      </c>
      <c r="I5197" s="1" t="str">
        <f t="shared" si="327"/>
        <v>威尔新数值1.06.xlsm!suitPower</v>
      </c>
    </row>
    <row r="5198" spans="1:9" x14ac:dyDescent="0.15">
      <c r="A5198" s="1">
        <v>5197</v>
      </c>
      <c r="B5198" s="1">
        <v>303081500</v>
      </c>
      <c r="C5198" s="1">
        <f t="shared" si="326"/>
        <v>7</v>
      </c>
      <c r="D5198" s="5">
        <f ca="1">IF(getQuality(B5198)&lt;4,getOtherMin(B5198,C5198,INDIRECT(J$2),INDIRECT(I5198),test),getMin(B5198,C5198,INDIRECT(J$2),INDIRECT(I5198),test))</f>
        <v>26.92592592592586</v>
      </c>
      <c r="E5198" s="5">
        <f ca="1">IF(getQuality(B5198)&lt;4,getOtherMax(B5198,C5198,INDIRECT(J$2),INDIRECT(I5198),test),getMax(B5198,C5198,INDIRECT(J$2),INDIRECT(I5198),test))</f>
        <v>29.629629629629555</v>
      </c>
      <c r="F5198" s="1" t="str">
        <f t="shared" si="328"/>
        <v>50</v>
      </c>
      <c r="G5198" s="1" t="str">
        <f t="shared" si="325"/>
        <v/>
      </c>
      <c r="I5198" s="1" t="str">
        <f t="shared" si="327"/>
        <v>威尔新数值1.06.xlsm!suitPower</v>
      </c>
    </row>
    <row r="5199" spans="1:9" x14ac:dyDescent="0.15">
      <c r="A5199" s="1">
        <v>5198</v>
      </c>
      <c r="B5199" s="1">
        <v>303081500</v>
      </c>
      <c r="C5199" s="1">
        <f t="shared" si="326"/>
        <v>8</v>
      </c>
      <c r="D5199" s="5">
        <f ca="1">IF(getQuality(B5199)&lt;4,getOtherMin(B5199,C5199,INDIRECT(J$2),INDIRECT(I5199),test),getMin(B5199,C5199,INDIRECT(J$2),INDIRECT(I5199),test))</f>
        <v>59.333333333333336</v>
      </c>
      <c r="E5199" s="5">
        <f ca="1">IF(getQuality(B5199)&lt;4,getOtherMax(B5199,C5199,INDIRECT(J$2),INDIRECT(I5199),test),getMax(B5199,C5199,INDIRECT(J$2),INDIRECT(I5199),test))</f>
        <v>66.666666666666671</v>
      </c>
      <c r="F5199" s="1" t="str">
        <f t="shared" si="328"/>
        <v>50</v>
      </c>
      <c r="G5199" s="1" t="str">
        <f t="shared" si="325"/>
        <v/>
      </c>
      <c r="I5199" s="1" t="str">
        <f t="shared" si="327"/>
        <v>威尔新数值1.06.xlsm!suitPower</v>
      </c>
    </row>
    <row r="5200" spans="1:9" x14ac:dyDescent="0.15">
      <c r="A5200" s="1">
        <v>5199</v>
      </c>
      <c r="B5200" s="1">
        <v>303081500</v>
      </c>
      <c r="C5200" s="1">
        <f t="shared" si="326"/>
        <v>16</v>
      </c>
      <c r="D5200" s="5">
        <f ca="1">IF(getQuality(B5200)&lt;4,getOtherMin(B5200,C5200,INDIRECT(J$2),INDIRECT(I5200),test),getMin(B5200,C5200,INDIRECT(J$2),INDIRECT(I5200),test))</f>
        <v>78.777777777777771</v>
      </c>
      <c r="E5200" s="5">
        <f ca="1">IF(getQuality(B5200)&lt;4,getOtherMax(B5200,C5200,INDIRECT(J$2),INDIRECT(I5200),test),getMax(B5200,C5200,INDIRECT(J$2),INDIRECT(I5200),test))</f>
        <v>88.888888888888886</v>
      </c>
      <c r="F5200" s="1" t="str">
        <f t="shared" si="328"/>
        <v>50</v>
      </c>
      <c r="G5200" s="1" t="str">
        <f t="shared" si="325"/>
        <v/>
      </c>
      <c r="I5200" s="1" t="str">
        <f t="shared" si="327"/>
        <v>威尔新数值1.06.xlsm!suitPower</v>
      </c>
    </row>
    <row r="5201" spans="1:9" x14ac:dyDescent="0.15">
      <c r="A5201" s="1">
        <v>5200</v>
      </c>
      <c r="B5201" s="1">
        <v>303081500</v>
      </c>
      <c r="C5201" s="1">
        <f t="shared" si="326"/>
        <v>17</v>
      </c>
      <c r="D5201" s="5">
        <f ca="1">IF(getQuality(B5201)&lt;4,getOtherMin(B5201,C5201,INDIRECT(J$2),INDIRECT(I5201),test),getMin(B5201,C5201,INDIRECT(J$2),INDIRECT(I5201),test))</f>
        <v>78.777777777777771</v>
      </c>
      <c r="E5201" s="5">
        <f ca="1">IF(getQuality(B5201)&lt;4,getOtherMax(B5201,C5201,INDIRECT(J$2),INDIRECT(I5201),test),getMax(B5201,C5201,INDIRECT(J$2),INDIRECT(I5201),test))</f>
        <v>88.888888888888886</v>
      </c>
      <c r="F5201" s="1" t="str">
        <f t="shared" si="328"/>
        <v>50</v>
      </c>
      <c r="G5201" s="1" t="str">
        <f t="shared" si="325"/>
        <v/>
      </c>
      <c r="I5201" s="1" t="str">
        <f t="shared" si="327"/>
        <v>威尔新数值1.06.xlsm!suitPower</v>
      </c>
    </row>
    <row r="5202" spans="1:9" x14ac:dyDescent="0.15">
      <c r="A5202" s="1">
        <v>5201</v>
      </c>
      <c r="B5202" s="1">
        <v>303081500</v>
      </c>
      <c r="C5202" s="1">
        <f t="shared" si="326"/>
        <v>18</v>
      </c>
      <c r="D5202" s="5">
        <f ca="1">IF(getQuality(B5202)&lt;4,getOtherMin(B5202,C5202,INDIRECT(J$2),INDIRECT(I5202),test),getMin(B5202,C5202,INDIRECT(J$2),INDIRECT(I5202),test))</f>
        <v>78.777777777777771</v>
      </c>
      <c r="E5202" s="5">
        <f ca="1">IF(getQuality(B5202)&lt;4,getOtherMax(B5202,C5202,INDIRECT(J$2),INDIRECT(I5202),test),getMax(B5202,C5202,INDIRECT(J$2),INDIRECT(I5202),test))</f>
        <v>88.888888888888886</v>
      </c>
      <c r="F5202" s="1" t="str">
        <f t="shared" si="328"/>
        <v>50</v>
      </c>
      <c r="G5202" s="1" t="str">
        <f t="shared" si="325"/>
        <v/>
      </c>
      <c r="I5202" s="1" t="str">
        <f t="shared" si="327"/>
        <v>威尔新数值1.06.xlsm!suitPower</v>
      </c>
    </row>
    <row r="5203" spans="1:9" x14ac:dyDescent="0.15">
      <c r="A5203" s="1">
        <v>5202</v>
      </c>
      <c r="B5203" s="1">
        <v>303081500</v>
      </c>
      <c r="C5203" s="1">
        <f t="shared" si="326"/>
        <v>19</v>
      </c>
      <c r="D5203" s="5">
        <f ca="1">IF(getQuality(B5203)&lt;4,getOtherMin(B5203,C5203,INDIRECT(J$2),INDIRECT(I5203),test),getMin(B5203,C5203,INDIRECT(J$2),INDIRECT(I5203),test))</f>
        <v>78.777777777777771</v>
      </c>
      <c r="E5203" s="5">
        <f ca="1">IF(getQuality(B5203)&lt;4,getOtherMax(B5203,C5203,INDIRECT(J$2),INDIRECT(I5203),test),getMax(B5203,C5203,INDIRECT(J$2),INDIRECT(I5203),test))</f>
        <v>88.888888888888886</v>
      </c>
      <c r="F5203" s="1" t="str">
        <f t="shared" si="328"/>
        <v>50</v>
      </c>
      <c r="G5203" s="1" t="str">
        <f t="shared" si="325"/>
        <v/>
      </c>
      <c r="I5203" s="1" t="str">
        <f t="shared" si="327"/>
        <v>威尔新数值1.06.xlsm!suitPower</v>
      </c>
    </row>
    <row r="5204" spans="1:9" x14ac:dyDescent="0.15">
      <c r="A5204" s="1">
        <v>5203</v>
      </c>
      <c r="B5204" s="1">
        <v>303081500</v>
      </c>
      <c r="C5204" s="1">
        <f t="shared" si="326"/>
        <v>20</v>
      </c>
      <c r="D5204" s="5">
        <f ca="1">IF(getQuality(B5204)&lt;4,getOtherMin(B5204,C5204,INDIRECT(J$2),INDIRECT(I5204),test),getMin(B5204,C5204,INDIRECT(J$2),INDIRECT(I5204),test))</f>
        <v>78.777777777777771</v>
      </c>
      <c r="E5204" s="5">
        <f ca="1">IF(getQuality(B5204)&lt;4,getOtherMax(B5204,C5204,INDIRECT(J$2),INDIRECT(I5204),test),getMax(B5204,C5204,INDIRECT(J$2),INDIRECT(I5204),test))</f>
        <v>88.888888888888886</v>
      </c>
      <c r="F5204" s="1" t="str">
        <f t="shared" si="328"/>
        <v>50</v>
      </c>
      <c r="G5204" s="1" t="str">
        <f t="shared" si="325"/>
        <v/>
      </c>
      <c r="I5204" s="1" t="str">
        <f t="shared" si="327"/>
        <v>威尔新数值1.06.xlsm!suitPower</v>
      </c>
    </row>
    <row r="5205" spans="1:9" x14ac:dyDescent="0.15">
      <c r="A5205" s="1">
        <v>5204</v>
      </c>
      <c r="B5205" s="1">
        <v>303081500</v>
      </c>
      <c r="C5205" s="1">
        <f t="shared" si="326"/>
        <v>21</v>
      </c>
      <c r="D5205" s="5">
        <f ca="1">IF(getQuality(B5205)&lt;4,getOtherMin(B5205,C5205,INDIRECT(J$2),INDIRECT(I5205),test),getMin(B5205,C5205,INDIRECT(J$2),INDIRECT(I5205),test))</f>
        <v>78.777777777777771</v>
      </c>
      <c r="E5205" s="5">
        <f ca="1">IF(getQuality(B5205)&lt;4,getOtherMax(B5205,C5205,INDIRECT(J$2),INDIRECT(I5205),test),getMax(B5205,C5205,INDIRECT(J$2),INDIRECT(I5205),test))</f>
        <v>88.888888888888886</v>
      </c>
      <c r="F5205" s="1" t="str">
        <f t="shared" si="328"/>
        <v>50</v>
      </c>
      <c r="G5205" s="1" t="str">
        <f t="shared" si="325"/>
        <v/>
      </c>
      <c r="I5205" s="1" t="str">
        <f t="shared" si="327"/>
        <v>威尔新数值1.06.xlsm!suitPower</v>
      </c>
    </row>
    <row r="5206" spans="1:9" x14ac:dyDescent="0.15">
      <c r="A5206" s="1">
        <v>5205</v>
      </c>
      <c r="B5206" s="1">
        <v>303081500</v>
      </c>
      <c r="C5206" s="1">
        <f t="shared" si="326"/>
        <v>22</v>
      </c>
      <c r="D5206" s="5">
        <f ca="1">IF(getQuality(B5206)&lt;4,getOtherMin(B5206,C5206,INDIRECT(J$2),INDIRECT(I5206),test),getMin(B5206,C5206,INDIRECT(J$2),INDIRECT(I5206),test))</f>
        <v>78.777777777777771</v>
      </c>
      <c r="E5206" s="5">
        <f ca="1">IF(getQuality(B5206)&lt;4,getOtherMax(B5206,C5206,INDIRECT(J$2),INDIRECT(I5206),test),getMax(B5206,C5206,INDIRECT(J$2),INDIRECT(I5206),test))</f>
        <v>88.888888888888886</v>
      </c>
      <c r="F5206" s="1" t="str">
        <f t="shared" si="328"/>
        <v>50</v>
      </c>
      <c r="G5206" s="1" t="str">
        <f t="shared" si="325"/>
        <v/>
      </c>
      <c r="I5206" s="1" t="str">
        <f t="shared" si="327"/>
        <v>威尔新数值1.06.xlsm!suitPower</v>
      </c>
    </row>
    <row r="5207" spans="1:9" x14ac:dyDescent="0.15">
      <c r="A5207" s="1">
        <v>5206</v>
      </c>
      <c r="B5207" s="1">
        <v>303081500</v>
      </c>
      <c r="C5207" s="1">
        <f t="shared" si="326"/>
        <v>23</v>
      </c>
      <c r="D5207" s="5">
        <f ca="1">IF(getQuality(B5207)&lt;4,getOtherMin(B5207,C5207,INDIRECT(J$2),INDIRECT(I5207),test),getMin(B5207,C5207,INDIRECT(J$2),INDIRECT(I5207),test))</f>
        <v>78.777777777777771</v>
      </c>
      <c r="E5207" s="5">
        <f ca="1">IF(getQuality(B5207)&lt;4,getOtherMax(B5207,C5207,INDIRECT(J$2),INDIRECT(I5207),test),getMax(B5207,C5207,INDIRECT(J$2),INDIRECT(I5207),test))</f>
        <v>88.888888888888886</v>
      </c>
      <c r="F5207" s="1" t="str">
        <f t="shared" si="328"/>
        <v>50</v>
      </c>
      <c r="G5207" s="1" t="str">
        <f t="shared" si="325"/>
        <v/>
      </c>
      <c r="I5207" s="1" t="str">
        <f t="shared" si="327"/>
        <v>威尔新数值1.06.xlsm!suitPower</v>
      </c>
    </row>
    <row r="5208" spans="1:9" x14ac:dyDescent="0.15">
      <c r="A5208" s="1">
        <v>5207</v>
      </c>
      <c r="B5208" s="1">
        <v>303091500</v>
      </c>
      <c r="C5208" s="1">
        <f t="shared" si="326"/>
        <v>1</v>
      </c>
      <c r="D5208" s="5">
        <f ca="1">IF(getQuality(B5208)&lt;4,getOtherMin(B5208,C5208,INDIRECT(J$2),INDIRECT(I5208),test),getMin(B5208,C5208,INDIRECT(J$2),INDIRECT(I5208),test))</f>
        <v>869.97777777777776</v>
      </c>
      <c r="E5208" s="5">
        <f ca="1">IF(getQuality(B5208)&lt;4,getOtherMax(B5208,C5208,INDIRECT(J$2),INDIRECT(I5208),test),getMax(B5208,C5208,INDIRECT(J$2),INDIRECT(I5208),test))</f>
        <v>1034.8</v>
      </c>
      <c r="F5208" s="1" t="str">
        <f t="shared" si="328"/>
        <v>50</v>
      </c>
      <c r="G5208" s="1" t="str">
        <f t="shared" si="325"/>
        <v/>
      </c>
      <c r="I5208" s="1" t="str">
        <f t="shared" si="327"/>
        <v>威尔新数值1.06.xlsm!suitPower</v>
      </c>
    </row>
    <row r="5209" spans="1:9" x14ac:dyDescent="0.15">
      <c r="A5209" s="1">
        <v>5208</v>
      </c>
      <c r="B5209" s="1">
        <v>303091500</v>
      </c>
      <c r="C5209" s="1">
        <f t="shared" si="326"/>
        <v>2</v>
      </c>
      <c r="D5209" s="5">
        <f ca="1">IF(getQuality(B5209)&lt;4,getOtherMin(B5209,C5209,INDIRECT(J$2),INDIRECT(I5209),test),getMin(B5209,C5209,INDIRECT(J$2),INDIRECT(I5209),test))</f>
        <v>84.555555555555557</v>
      </c>
      <c r="E5209" s="5">
        <f ca="1">IF(getQuality(B5209)&lt;4,getOtherMax(B5209,C5209,INDIRECT(J$2),INDIRECT(I5209),test),getMax(B5209,C5209,INDIRECT(J$2),INDIRECT(I5209),test))</f>
        <v>99.5</v>
      </c>
      <c r="F5209" s="1" t="str">
        <f t="shared" si="328"/>
        <v>50</v>
      </c>
      <c r="G5209" s="1" t="str">
        <f t="shared" ref="G5209:G5221" si="329">getMust(B5209,C5209)</f>
        <v/>
      </c>
      <c r="I5209" s="1" t="str">
        <f t="shared" si="327"/>
        <v>威尔新数值1.06.xlsm!suitPower</v>
      </c>
    </row>
    <row r="5210" spans="1:9" x14ac:dyDescent="0.15">
      <c r="A5210" s="1">
        <v>5209</v>
      </c>
      <c r="B5210" s="1">
        <v>303091500</v>
      </c>
      <c r="C5210" s="1">
        <f t="shared" si="326"/>
        <v>4</v>
      </c>
      <c r="D5210" s="5">
        <f ca="1">IF(getQuality(B5210)&lt;4,getOtherMin(B5210,C5210,INDIRECT(J$2),INDIRECT(I5210),test),getMin(B5210,C5210,INDIRECT(J$2),INDIRECT(I5210),test))</f>
        <v>334.33333333333331</v>
      </c>
      <c r="E5210" s="5">
        <f ca="1">IF(getQuality(B5210)&lt;4,getOtherMax(B5210,C5210,INDIRECT(J$2),INDIRECT(I5210),test),getMax(B5210,C5210,INDIRECT(J$2),INDIRECT(I5210),test))</f>
        <v>375</v>
      </c>
      <c r="F5210" s="1" t="str">
        <f t="shared" si="328"/>
        <v>50</v>
      </c>
      <c r="G5210" s="1" t="str">
        <f t="shared" si="329"/>
        <v>1</v>
      </c>
      <c r="I5210" s="1" t="str">
        <f t="shared" si="327"/>
        <v>威尔新数值1.06.xlsm!suitPower</v>
      </c>
    </row>
    <row r="5211" spans="1:9" x14ac:dyDescent="0.15">
      <c r="A5211" s="1">
        <v>5210</v>
      </c>
      <c r="B5211" s="1">
        <v>303091500</v>
      </c>
      <c r="C5211" s="1">
        <f t="shared" si="326"/>
        <v>6</v>
      </c>
      <c r="D5211" s="5">
        <f ca="1">IF(getQuality(B5211)&lt;4,getOtherMin(B5211,C5211,INDIRECT(J$2),INDIRECT(I5211),test),getMin(B5211,C5211,INDIRECT(J$2),INDIRECT(I5211),test))</f>
        <v>334.33333333333331</v>
      </c>
      <c r="E5211" s="5">
        <f ca="1">IF(getQuality(B5211)&lt;4,getOtherMax(B5211,C5211,INDIRECT(J$2),INDIRECT(I5211),test),getMax(B5211,C5211,INDIRECT(J$2),INDIRECT(I5211),test))</f>
        <v>375</v>
      </c>
      <c r="F5211" s="1" t="str">
        <f t="shared" si="328"/>
        <v>50</v>
      </c>
      <c r="G5211" s="1" t="str">
        <f t="shared" si="329"/>
        <v/>
      </c>
      <c r="I5211" s="1" t="str">
        <f t="shared" si="327"/>
        <v>威尔新数值1.06.xlsm!suitPower</v>
      </c>
    </row>
    <row r="5212" spans="1:9" x14ac:dyDescent="0.15">
      <c r="A5212" s="1">
        <v>5211</v>
      </c>
      <c r="B5212" s="1">
        <v>303091500</v>
      </c>
      <c r="C5212" s="1">
        <f t="shared" si="326"/>
        <v>7</v>
      </c>
      <c r="D5212" s="5">
        <f ca="1">IF(getQuality(B5212)&lt;4,getOtherMin(B5212,C5212,INDIRECT(J$2),INDIRECT(I5212),test),getMin(B5212,C5212,INDIRECT(J$2),INDIRECT(I5212),test))</f>
        <v>30.629629629629555</v>
      </c>
      <c r="E5212" s="5">
        <f ca="1">IF(getQuality(B5212)&lt;4,getOtherMax(B5212,C5212,INDIRECT(J$2),INDIRECT(I5212),test),getMax(B5212,C5212,INDIRECT(J$2),INDIRECT(I5212),test))</f>
        <v>33.33333333333325</v>
      </c>
      <c r="F5212" s="1" t="str">
        <f t="shared" si="328"/>
        <v>50</v>
      </c>
      <c r="G5212" s="1" t="str">
        <f t="shared" si="329"/>
        <v/>
      </c>
      <c r="I5212" s="1" t="str">
        <f t="shared" si="327"/>
        <v>威尔新数值1.06.xlsm!suitPower</v>
      </c>
    </row>
    <row r="5213" spans="1:9" x14ac:dyDescent="0.15">
      <c r="A5213" s="1">
        <v>5212</v>
      </c>
      <c r="B5213" s="1">
        <v>303091500</v>
      </c>
      <c r="C5213" s="1">
        <f t="shared" si="326"/>
        <v>8</v>
      </c>
      <c r="D5213" s="5">
        <f ca="1">IF(getQuality(B5213)&lt;4,getOtherMin(B5213,C5213,INDIRECT(J$2),INDIRECT(I5213),test),getMin(B5213,C5213,INDIRECT(J$2),INDIRECT(I5213),test))</f>
        <v>67.666666666666671</v>
      </c>
      <c r="E5213" s="5">
        <f ca="1">IF(getQuality(B5213)&lt;4,getOtherMax(B5213,C5213,INDIRECT(J$2),INDIRECT(I5213),test),getMax(B5213,C5213,INDIRECT(J$2),INDIRECT(I5213),test))</f>
        <v>75</v>
      </c>
      <c r="F5213" s="1" t="str">
        <f t="shared" si="328"/>
        <v>50</v>
      </c>
      <c r="G5213" s="1" t="str">
        <f t="shared" si="329"/>
        <v/>
      </c>
      <c r="I5213" s="1" t="str">
        <f t="shared" si="327"/>
        <v>威尔新数值1.06.xlsm!suitPower</v>
      </c>
    </row>
    <row r="5214" spans="1:9" x14ac:dyDescent="0.15">
      <c r="A5214" s="1">
        <v>5213</v>
      </c>
      <c r="B5214" s="1">
        <v>303091500</v>
      </c>
      <c r="C5214" s="1">
        <f t="shared" si="326"/>
        <v>16</v>
      </c>
      <c r="D5214" s="5">
        <f ca="1">IF(getQuality(B5214)&lt;4,getOtherMin(B5214,C5214,INDIRECT(J$2),INDIRECT(I5214),test),getMin(B5214,C5214,INDIRECT(J$2),INDIRECT(I5214),test))</f>
        <v>89.888888888888886</v>
      </c>
      <c r="E5214" s="5">
        <f ca="1">IF(getQuality(B5214)&lt;4,getOtherMax(B5214,C5214,INDIRECT(J$2),INDIRECT(I5214),test),getMax(B5214,C5214,INDIRECT(J$2),INDIRECT(I5214),test))</f>
        <v>100</v>
      </c>
      <c r="F5214" s="1" t="str">
        <f t="shared" si="328"/>
        <v>50</v>
      </c>
      <c r="G5214" s="1" t="str">
        <f t="shared" si="329"/>
        <v/>
      </c>
      <c r="I5214" s="1" t="str">
        <f t="shared" si="327"/>
        <v>威尔新数值1.06.xlsm!suitPower</v>
      </c>
    </row>
    <row r="5215" spans="1:9" x14ac:dyDescent="0.15">
      <c r="A5215" s="1">
        <v>5214</v>
      </c>
      <c r="B5215" s="1">
        <v>303091500</v>
      </c>
      <c r="C5215" s="1">
        <f t="shared" si="326"/>
        <v>17</v>
      </c>
      <c r="D5215" s="5">
        <f ca="1">IF(getQuality(B5215)&lt;4,getOtherMin(B5215,C5215,INDIRECT(J$2),INDIRECT(I5215),test),getMin(B5215,C5215,INDIRECT(J$2),INDIRECT(I5215),test))</f>
        <v>89.888888888888886</v>
      </c>
      <c r="E5215" s="5">
        <f ca="1">IF(getQuality(B5215)&lt;4,getOtherMax(B5215,C5215,INDIRECT(J$2),INDIRECT(I5215),test),getMax(B5215,C5215,INDIRECT(J$2),INDIRECT(I5215),test))</f>
        <v>100</v>
      </c>
      <c r="F5215" s="1" t="str">
        <f t="shared" si="328"/>
        <v>50</v>
      </c>
      <c r="G5215" s="1" t="str">
        <f t="shared" si="329"/>
        <v/>
      </c>
      <c r="I5215" s="1" t="str">
        <f t="shared" si="327"/>
        <v>威尔新数值1.06.xlsm!suitPower</v>
      </c>
    </row>
    <row r="5216" spans="1:9" x14ac:dyDescent="0.15">
      <c r="A5216" s="1">
        <v>5215</v>
      </c>
      <c r="B5216" s="1">
        <v>303091500</v>
      </c>
      <c r="C5216" s="1">
        <f t="shared" si="326"/>
        <v>18</v>
      </c>
      <c r="D5216" s="5">
        <f ca="1">IF(getQuality(B5216)&lt;4,getOtherMin(B5216,C5216,INDIRECT(J$2),INDIRECT(I5216),test),getMin(B5216,C5216,INDIRECT(J$2),INDIRECT(I5216),test))</f>
        <v>89.888888888888886</v>
      </c>
      <c r="E5216" s="5">
        <f ca="1">IF(getQuality(B5216)&lt;4,getOtherMax(B5216,C5216,INDIRECT(J$2),INDIRECT(I5216),test),getMax(B5216,C5216,INDIRECT(J$2),INDIRECT(I5216),test))</f>
        <v>100</v>
      </c>
      <c r="F5216" s="1" t="str">
        <f t="shared" si="328"/>
        <v>50</v>
      </c>
      <c r="G5216" s="1" t="str">
        <f t="shared" si="329"/>
        <v/>
      </c>
      <c r="I5216" s="1" t="str">
        <f t="shared" si="327"/>
        <v>威尔新数值1.06.xlsm!suitPower</v>
      </c>
    </row>
    <row r="5217" spans="1:9" x14ac:dyDescent="0.15">
      <c r="A5217" s="1">
        <v>5216</v>
      </c>
      <c r="B5217" s="1">
        <v>303091500</v>
      </c>
      <c r="C5217" s="1">
        <f t="shared" si="326"/>
        <v>19</v>
      </c>
      <c r="D5217" s="5">
        <f ca="1">IF(getQuality(B5217)&lt;4,getOtherMin(B5217,C5217,INDIRECT(J$2),INDIRECT(I5217),test),getMin(B5217,C5217,INDIRECT(J$2),INDIRECT(I5217),test))</f>
        <v>89.888888888888886</v>
      </c>
      <c r="E5217" s="5">
        <f ca="1">IF(getQuality(B5217)&lt;4,getOtherMax(B5217,C5217,INDIRECT(J$2),INDIRECT(I5217),test),getMax(B5217,C5217,INDIRECT(J$2),INDIRECT(I5217),test))</f>
        <v>100</v>
      </c>
      <c r="F5217" s="1" t="str">
        <f t="shared" si="328"/>
        <v>50</v>
      </c>
      <c r="G5217" s="1" t="str">
        <f t="shared" si="329"/>
        <v/>
      </c>
      <c r="I5217" s="1" t="str">
        <f t="shared" si="327"/>
        <v>威尔新数值1.06.xlsm!suitPower</v>
      </c>
    </row>
    <row r="5218" spans="1:9" x14ac:dyDescent="0.15">
      <c r="A5218" s="1">
        <v>5217</v>
      </c>
      <c r="B5218" s="1">
        <v>303091500</v>
      </c>
      <c r="C5218" s="1">
        <f t="shared" si="326"/>
        <v>20</v>
      </c>
      <c r="D5218" s="5">
        <f ca="1">IF(getQuality(B5218)&lt;4,getOtherMin(B5218,C5218,INDIRECT(J$2),INDIRECT(I5218),test),getMin(B5218,C5218,INDIRECT(J$2),INDIRECT(I5218),test))</f>
        <v>89.888888888888886</v>
      </c>
      <c r="E5218" s="5">
        <f ca="1">IF(getQuality(B5218)&lt;4,getOtherMax(B5218,C5218,INDIRECT(J$2),INDIRECT(I5218),test),getMax(B5218,C5218,INDIRECT(J$2),INDIRECT(I5218),test))</f>
        <v>100</v>
      </c>
      <c r="F5218" s="1" t="str">
        <f t="shared" si="328"/>
        <v>50</v>
      </c>
      <c r="G5218" s="1" t="str">
        <f t="shared" si="329"/>
        <v/>
      </c>
      <c r="I5218" s="1" t="str">
        <f t="shared" si="327"/>
        <v>威尔新数值1.06.xlsm!suitPower</v>
      </c>
    </row>
    <row r="5219" spans="1:9" x14ac:dyDescent="0.15">
      <c r="A5219" s="1">
        <v>5218</v>
      </c>
      <c r="B5219" s="1">
        <v>303091500</v>
      </c>
      <c r="C5219" s="1">
        <f t="shared" si="326"/>
        <v>21</v>
      </c>
      <c r="D5219" s="5">
        <f ca="1">IF(getQuality(B5219)&lt;4,getOtherMin(B5219,C5219,INDIRECT(J$2),INDIRECT(I5219),test),getMin(B5219,C5219,INDIRECT(J$2),INDIRECT(I5219),test))</f>
        <v>89.888888888888886</v>
      </c>
      <c r="E5219" s="5">
        <f ca="1">IF(getQuality(B5219)&lt;4,getOtherMax(B5219,C5219,INDIRECT(J$2),INDIRECT(I5219),test),getMax(B5219,C5219,INDIRECT(J$2),INDIRECT(I5219),test))</f>
        <v>100</v>
      </c>
      <c r="F5219" s="1" t="str">
        <f t="shared" si="328"/>
        <v>50</v>
      </c>
      <c r="G5219" s="1" t="str">
        <f t="shared" si="329"/>
        <v/>
      </c>
      <c r="I5219" s="1" t="str">
        <f t="shared" si="327"/>
        <v>威尔新数值1.06.xlsm!suitPower</v>
      </c>
    </row>
    <row r="5220" spans="1:9" x14ac:dyDescent="0.15">
      <c r="A5220" s="1">
        <v>5219</v>
      </c>
      <c r="B5220" s="1">
        <v>303091500</v>
      </c>
      <c r="C5220" s="1">
        <f t="shared" si="326"/>
        <v>22</v>
      </c>
      <c r="D5220" s="5">
        <f ca="1">IF(getQuality(B5220)&lt;4,getOtherMin(B5220,C5220,INDIRECT(J$2),INDIRECT(I5220),test),getMin(B5220,C5220,INDIRECT(J$2),INDIRECT(I5220),test))</f>
        <v>89.888888888888886</v>
      </c>
      <c r="E5220" s="5">
        <f ca="1">IF(getQuality(B5220)&lt;4,getOtherMax(B5220,C5220,INDIRECT(J$2),INDIRECT(I5220),test),getMax(B5220,C5220,INDIRECT(J$2),INDIRECT(I5220),test))</f>
        <v>100</v>
      </c>
      <c r="F5220" s="1" t="str">
        <f t="shared" si="328"/>
        <v>50</v>
      </c>
      <c r="G5220" s="1" t="str">
        <f t="shared" si="329"/>
        <v/>
      </c>
      <c r="I5220" s="1" t="str">
        <f t="shared" si="327"/>
        <v>威尔新数值1.06.xlsm!suitPower</v>
      </c>
    </row>
    <row r="5221" spans="1:9" x14ac:dyDescent="0.15">
      <c r="A5221" s="1">
        <v>5220</v>
      </c>
      <c r="B5221" s="1">
        <v>303091500</v>
      </c>
      <c r="C5221" s="1">
        <f t="shared" si="326"/>
        <v>23</v>
      </c>
      <c r="D5221" s="5">
        <f ca="1">IF(getQuality(B5221)&lt;4,getOtherMin(B5221,C5221,INDIRECT(J$2),INDIRECT(I5221),test),getMin(B5221,C5221,INDIRECT(J$2),INDIRECT(I5221),test))</f>
        <v>89.888888888888886</v>
      </c>
      <c r="E5221" s="5">
        <f ca="1">IF(getQuality(B5221)&lt;4,getOtherMax(B5221,C5221,INDIRECT(J$2),INDIRECT(I5221),test),getMax(B5221,C5221,INDIRECT(J$2),INDIRECT(I5221),test))</f>
        <v>100</v>
      </c>
      <c r="F5221" s="1" t="str">
        <f t="shared" si="328"/>
        <v>50</v>
      </c>
      <c r="G5221" s="1" t="str">
        <f t="shared" si="329"/>
        <v/>
      </c>
      <c r="I5221" s="1" t="str">
        <f t="shared" si="327"/>
        <v>威尔新数值1.06.xlsm!suitPower</v>
      </c>
    </row>
    <row r="5222" spans="1:9" x14ac:dyDescent="0.15">
      <c r="A5222" s="1">
        <v>5221</v>
      </c>
      <c r="B5222" s="1">
        <v>104090101</v>
      </c>
      <c r="C5222" s="3">
        <v>3</v>
      </c>
      <c r="D5222" s="5">
        <f ca="1">IF(getQuality(B5222)&lt;4,getOtherMin(B5222,C5222,INDIRECT(J$2),INDIRECT(I5222),test),getMin(B5222,C5222,INDIRECT(J$2),INDIRECT(I5222),test))</f>
        <v>270.50844444444442</v>
      </c>
      <c r="E5222" s="5">
        <f ca="1">IF(getQuality(B5222)&lt;4,getOtherMax(B5222,C5222,INDIRECT(J$2),INDIRECT(I5222),test),getMax(B5222,C5222,INDIRECT(J$2),INDIRECT(I5222),test))</f>
        <v>320.93725000000001</v>
      </c>
      <c r="F5222" s="1" t="str">
        <f t="shared" si="328"/>
        <v>50</v>
      </c>
      <c r="G5222" s="1" t="str">
        <f ca="1">getMust(B5222,C5222)</f>
        <v>1</v>
      </c>
      <c r="I5222" s="1" t="str">
        <f t="shared" si="327"/>
        <v>威尔新数值1.06.xlsm!suitPower</v>
      </c>
    </row>
    <row r="5223" spans="1:9" x14ac:dyDescent="0.15">
      <c r="A5223" s="1">
        <v>5222</v>
      </c>
      <c r="B5223" s="1">
        <v>104090101</v>
      </c>
      <c r="C5223" s="3">
        <v>5</v>
      </c>
      <c r="D5223" s="5">
        <f ca="1">IF(getQuality(B5223)&lt;4,getOtherMin(B5223,C5223,INDIRECT(J$2),INDIRECT(I5223),test),getMin(B5223,C5223,INDIRECT(J$2),INDIRECT(I5223),test))</f>
        <v>270.50844444444442</v>
      </c>
      <c r="E5223" s="5">
        <f ca="1">IF(getQuality(B5223)&lt;4,getOtherMax(B5223,C5223,INDIRECT(J$2),INDIRECT(I5223),test),getMax(B5223,C5223,INDIRECT(J$2),INDIRECT(I5223),test))</f>
        <v>320.93725000000001</v>
      </c>
      <c r="F5223" s="1" t="str">
        <f t="shared" si="328"/>
        <v>50</v>
      </c>
      <c r="G5223" s="1" t="str">
        <f t="shared" ref="G5223:G5286" ca="1" si="330">getMust(B5223,C5223)</f>
        <v/>
      </c>
      <c r="I5223" s="1" t="str">
        <f t="shared" si="327"/>
        <v>威尔新数值1.06.xlsm!suitPower</v>
      </c>
    </row>
    <row r="5224" spans="1:9" x14ac:dyDescent="0.15">
      <c r="A5224" s="1">
        <v>5223</v>
      </c>
      <c r="B5224" s="1">
        <v>104090101</v>
      </c>
      <c r="C5224" s="3">
        <v>7</v>
      </c>
      <c r="D5224" s="5">
        <f ca="1">IF(getQuality(B5224)&lt;4,getOtherMin(B5224,C5224,INDIRECT(J$2),INDIRECT(I5224),test),getMin(B5224,C5224,INDIRECT(J$2),INDIRECT(I5224),test))</f>
        <v>30.629629629629644</v>
      </c>
      <c r="E5224" s="5">
        <f ca="1">IF(getQuality(B5224)&lt;4,getOtherMax(B5224,C5224,INDIRECT(J$2),INDIRECT(I5224),test),getMax(B5224,C5224,INDIRECT(J$2),INDIRECT(I5224),test))</f>
        <v>33.33333333333335</v>
      </c>
      <c r="F5224" s="1" t="str">
        <f t="shared" si="328"/>
        <v>50</v>
      </c>
      <c r="G5224" s="1" t="str">
        <f t="shared" ca="1" si="330"/>
        <v/>
      </c>
      <c r="I5224" s="1" t="str">
        <f t="shared" si="327"/>
        <v>威尔新数值1.06.xlsm!suitPower</v>
      </c>
    </row>
    <row r="5225" spans="1:9" x14ac:dyDescent="0.15">
      <c r="A5225" s="1">
        <v>5224</v>
      </c>
      <c r="B5225" s="1">
        <v>104090101</v>
      </c>
      <c r="C5225" s="3">
        <v>8</v>
      </c>
      <c r="D5225" s="5">
        <f ca="1">IF(getQuality(B5225)&lt;4,getOtherMin(B5225,C5225,INDIRECT(J$2),INDIRECT(I5225),test),getMin(B5225,C5225,INDIRECT(J$2),INDIRECT(I5225),test))</f>
        <v>134.33333333333334</v>
      </c>
      <c r="E5225" s="5">
        <f ca="1">IF(getQuality(B5225)&lt;4,getOtherMax(B5225,C5225,INDIRECT(J$2),INDIRECT(I5225),test),getMax(B5225,C5225,INDIRECT(J$2),INDIRECT(I5225),test))</f>
        <v>150</v>
      </c>
      <c r="F5225" s="1" t="str">
        <f t="shared" si="328"/>
        <v>50</v>
      </c>
      <c r="G5225" s="1" t="str">
        <f t="shared" ca="1" si="330"/>
        <v/>
      </c>
      <c r="I5225" s="1" t="str">
        <f t="shared" si="327"/>
        <v>威尔新数值1.06.xlsm!suitPower</v>
      </c>
    </row>
    <row r="5226" spans="1:9" x14ac:dyDescent="0.15">
      <c r="A5226" s="1">
        <v>5225</v>
      </c>
      <c r="B5226" s="1">
        <v>104090101</v>
      </c>
      <c r="C5226" s="3">
        <v>9</v>
      </c>
      <c r="D5226" s="5">
        <f ca="1">IF(getQuality(B5226)&lt;4,getOtherMin(B5226,C5226,INDIRECT(J$2),INDIRECT(I5226),test),getMin(B5226,C5226,INDIRECT(J$2),INDIRECT(I5226),test))</f>
        <v>270.50844444444442</v>
      </c>
      <c r="E5226" s="5">
        <f ca="1">IF(getQuality(B5226)&lt;4,getOtherMax(B5226,C5226,INDIRECT(J$2),INDIRECT(I5226),test),getMax(B5226,C5226,INDIRECT(J$2),INDIRECT(I5226),test))</f>
        <v>320.93725000000001</v>
      </c>
      <c r="F5226" s="1" t="str">
        <f t="shared" si="328"/>
        <v>50</v>
      </c>
      <c r="G5226" s="1" t="str">
        <f t="shared" ca="1" si="330"/>
        <v/>
      </c>
      <c r="I5226" s="1" t="str">
        <f t="shared" si="327"/>
        <v>威尔新数值1.06.xlsm!suitPower</v>
      </c>
    </row>
    <row r="5227" spans="1:9" x14ac:dyDescent="0.15">
      <c r="A5227" s="1">
        <v>5226</v>
      </c>
      <c r="B5227" s="1">
        <v>104090101</v>
      </c>
      <c r="C5227" s="3">
        <v>10</v>
      </c>
      <c r="D5227" s="5">
        <f ca="1">IF(getQuality(B5227)&lt;4,getOtherMin(B5227,C5227,INDIRECT(J$2),INDIRECT(I5227),test),getMin(B5227,C5227,INDIRECT(J$2),INDIRECT(I5227),test))</f>
        <v>270.50844444444442</v>
      </c>
      <c r="E5227" s="5">
        <f ca="1">IF(getQuality(B5227)&lt;4,getOtherMax(B5227,C5227,INDIRECT(J$2),INDIRECT(I5227),test),getMax(B5227,C5227,INDIRECT(J$2),INDIRECT(I5227),test))</f>
        <v>320.93725000000001</v>
      </c>
      <c r="F5227" s="1" t="str">
        <f t="shared" si="328"/>
        <v>50</v>
      </c>
      <c r="G5227" s="1" t="str">
        <f t="shared" ca="1" si="330"/>
        <v/>
      </c>
      <c r="I5227" s="1" t="str">
        <f t="shared" si="327"/>
        <v>威尔新数值1.06.xlsm!suitPower</v>
      </c>
    </row>
    <row r="5228" spans="1:9" x14ac:dyDescent="0.15">
      <c r="A5228" s="1">
        <v>5227</v>
      </c>
      <c r="B5228" s="1">
        <v>104090101</v>
      </c>
      <c r="C5228" s="3">
        <v>11</v>
      </c>
      <c r="D5228" s="5">
        <f ca="1">IF(getQuality(B5228)&lt;4,getOtherMin(B5228,C5228,INDIRECT(J$2),INDIRECT(I5228),test),getMin(B5228,C5228,INDIRECT(J$2),INDIRECT(I5228),test))</f>
        <v>270.50844444444442</v>
      </c>
      <c r="E5228" s="5">
        <f ca="1">IF(getQuality(B5228)&lt;4,getOtherMax(B5228,C5228,INDIRECT(J$2),INDIRECT(I5228),test),getMax(B5228,C5228,INDIRECT(J$2),INDIRECT(I5228),test))</f>
        <v>320.93725000000001</v>
      </c>
      <c r="F5228" s="1" t="str">
        <f t="shared" si="328"/>
        <v>50</v>
      </c>
      <c r="G5228" s="1" t="str">
        <f t="shared" ca="1" si="330"/>
        <v/>
      </c>
      <c r="I5228" s="1" t="str">
        <f t="shared" si="327"/>
        <v>威尔新数值1.06.xlsm!suitPower</v>
      </c>
    </row>
    <row r="5229" spans="1:9" x14ac:dyDescent="0.15">
      <c r="A5229" s="1">
        <v>5228</v>
      </c>
      <c r="B5229" s="1">
        <v>104090101</v>
      </c>
      <c r="C5229" s="3">
        <v>12</v>
      </c>
      <c r="D5229" s="5">
        <f ca="1">IF(getQuality(B5229)&lt;4,getOtherMin(B5229,C5229,INDIRECT(J$2),INDIRECT(I5229),test),getMin(B5229,C5229,INDIRECT(J$2),INDIRECT(I5229),test))</f>
        <v>270.50844444444442</v>
      </c>
      <c r="E5229" s="5">
        <f ca="1">IF(getQuality(B5229)&lt;4,getOtherMax(B5229,C5229,INDIRECT(J$2),INDIRECT(I5229),test),getMax(B5229,C5229,INDIRECT(J$2),INDIRECT(I5229),test))</f>
        <v>320.93725000000001</v>
      </c>
      <c r="F5229" s="1" t="str">
        <f t="shared" si="328"/>
        <v>50</v>
      </c>
      <c r="G5229" s="1" t="str">
        <f t="shared" ca="1" si="330"/>
        <v/>
      </c>
      <c r="I5229" s="1" t="str">
        <f t="shared" si="327"/>
        <v>威尔新数值1.06.xlsm!suitPower</v>
      </c>
    </row>
    <row r="5230" spans="1:9" x14ac:dyDescent="0.15">
      <c r="A5230" s="1">
        <v>5229</v>
      </c>
      <c r="B5230" s="1">
        <v>104090101</v>
      </c>
      <c r="C5230" s="3">
        <v>13</v>
      </c>
      <c r="D5230" s="5">
        <f ca="1">IF(getQuality(B5230)&lt;4,getOtherMin(B5230,C5230,INDIRECT(J$2),INDIRECT(I5230),test),getMin(B5230,C5230,INDIRECT(J$2),INDIRECT(I5230),test))</f>
        <v>324.41013333333331</v>
      </c>
      <c r="E5230" s="5">
        <f ca="1">IF(getQuality(B5230)&lt;4,getOtherMax(B5230,C5230,INDIRECT(J$2),INDIRECT(I5230),test),getMax(B5230,C5230,INDIRECT(J$2),INDIRECT(I5230),test))</f>
        <v>385.12470000000002</v>
      </c>
      <c r="F5230" s="1" t="str">
        <f t="shared" si="328"/>
        <v>50</v>
      </c>
      <c r="G5230" s="1" t="str">
        <f t="shared" ca="1" si="330"/>
        <v/>
      </c>
      <c r="I5230" s="1" t="str">
        <f t="shared" si="327"/>
        <v>威尔新数值1.06.xlsm!suitPower</v>
      </c>
    </row>
    <row r="5231" spans="1:9" x14ac:dyDescent="0.15">
      <c r="A5231" s="1">
        <v>5230</v>
      </c>
      <c r="B5231" s="1">
        <v>104090101</v>
      </c>
      <c r="C5231" s="3">
        <v>14</v>
      </c>
      <c r="D5231" s="5">
        <f ca="1">IF(getQuality(B5231)&lt;4,getOtherMin(B5231,C5231,INDIRECT(J$2),INDIRECT(I5231),test),getMin(B5231,C5231,INDIRECT(J$2),INDIRECT(I5231),test))</f>
        <v>270.50844444444442</v>
      </c>
      <c r="E5231" s="5">
        <f ca="1">IF(getQuality(B5231)&lt;4,getOtherMax(B5231,C5231,INDIRECT(J$2),INDIRECT(I5231),test),getMax(B5231,C5231,INDIRECT(J$2),INDIRECT(I5231),test))</f>
        <v>320.93725000000001</v>
      </c>
      <c r="F5231" s="1" t="str">
        <f t="shared" si="328"/>
        <v>50</v>
      </c>
      <c r="G5231" s="1" t="str">
        <f t="shared" ca="1" si="330"/>
        <v/>
      </c>
      <c r="I5231" s="1" t="str">
        <f t="shared" si="327"/>
        <v>威尔新数值1.06.xlsm!suitPower</v>
      </c>
    </row>
    <row r="5232" spans="1:9" x14ac:dyDescent="0.15">
      <c r="A5232" s="1">
        <v>5231</v>
      </c>
      <c r="B5232" s="1">
        <v>104090101</v>
      </c>
      <c r="C5232" s="3">
        <v>15</v>
      </c>
      <c r="D5232" s="5">
        <f ca="1">IF(getQuality(B5232)&lt;4,getOtherMin(B5232,C5232,INDIRECT(J$2),INDIRECT(I5232),test),getMin(B5232,C5232,INDIRECT(J$2),INDIRECT(I5232),test))</f>
        <v>270.50844444444442</v>
      </c>
      <c r="E5232" s="5">
        <f ca="1">IF(getQuality(B5232)&lt;4,getOtherMax(B5232,C5232,INDIRECT(J$2),INDIRECT(I5232),test),getMax(B5232,C5232,INDIRECT(J$2),INDIRECT(I5232),test))</f>
        <v>320.93725000000001</v>
      </c>
      <c r="F5232" s="1" t="str">
        <f t="shared" si="328"/>
        <v>50</v>
      </c>
      <c r="G5232" s="1" t="str">
        <f t="shared" ca="1" si="330"/>
        <v/>
      </c>
      <c r="I5232" s="1" t="str">
        <f t="shared" si="327"/>
        <v>威尔新数值1.06.xlsm!suitPower</v>
      </c>
    </row>
    <row r="5233" spans="1:9" x14ac:dyDescent="0.15">
      <c r="A5233" s="1">
        <v>5232</v>
      </c>
      <c r="B5233" s="1">
        <v>104090101</v>
      </c>
      <c r="C5233" s="3">
        <v>101</v>
      </c>
      <c r="D5233" s="5">
        <f ca="1">IF(getQuality(B5233)&lt;4,getOtherMin(B5233,C5233,INDIRECT(J$2),INDIRECT(I5233),test),getMin(B5233,C5233,INDIRECT(J$2),INDIRECT(I5233),test))</f>
        <v>0.16</v>
      </c>
      <c r="E5233" s="5">
        <f ca="1">IF(getQuality(B5233)&lt;4,getOtherMax(B5233,C5233,INDIRECT(J$2),INDIRECT(I5233),test),getMax(B5233,C5233,INDIRECT(J$2),INDIRECT(I5233),test))</f>
        <v>0.19</v>
      </c>
      <c r="F5233" s="1" t="str">
        <f t="shared" si="328"/>
        <v>50</v>
      </c>
      <c r="G5233" s="1" t="str">
        <f t="shared" ca="1" si="330"/>
        <v/>
      </c>
      <c r="I5233" s="1" t="str">
        <f t="shared" si="327"/>
        <v>威尔新数值1.06.xlsm!circlePer</v>
      </c>
    </row>
    <row r="5234" spans="1:9" x14ac:dyDescent="0.15">
      <c r="A5234" s="1">
        <v>5233</v>
      </c>
      <c r="B5234" s="1">
        <v>104090101</v>
      </c>
      <c r="C5234" s="3">
        <v>102</v>
      </c>
      <c r="D5234" s="5">
        <f ca="1">IF(getQuality(B5234)&lt;4,getOtherMin(B5234,C5234,INDIRECT(J$2),INDIRECT(I5234),test),getMin(B5234,C5234,INDIRECT(J$2),INDIRECT(I5234),test))</f>
        <v>1.4</v>
      </c>
      <c r="E5234" s="5">
        <f ca="1">IF(getQuality(B5234)&lt;4,getOtherMax(B5234,C5234,INDIRECT(J$2),INDIRECT(I5234),test),getMax(B5234,C5234,INDIRECT(J$2),INDIRECT(I5234),test))</f>
        <v>1.8</v>
      </c>
      <c r="F5234" s="1" t="str">
        <f t="shared" si="328"/>
        <v>50</v>
      </c>
      <c r="G5234" s="1" t="str">
        <f t="shared" ca="1" si="330"/>
        <v/>
      </c>
      <c r="I5234" s="1" t="str">
        <f t="shared" si="327"/>
        <v>威尔新数值1.06.xlsm!circleValue</v>
      </c>
    </row>
    <row r="5235" spans="1:9" x14ac:dyDescent="0.15">
      <c r="A5235" s="1">
        <v>5234</v>
      </c>
      <c r="B5235" s="1">
        <v>104090101</v>
      </c>
      <c r="C5235" s="3">
        <v>103</v>
      </c>
      <c r="D5235" s="5">
        <f ca="1">IF(getQuality(B5235)&lt;4,getOtherMin(B5235,C5235,INDIRECT(J$2),INDIRECT(I5235),test),getMin(B5235,C5235,INDIRECT(J$2),INDIRECT(I5235),test))</f>
        <v>0.16</v>
      </c>
      <c r="E5235" s="5">
        <f ca="1">IF(getQuality(B5235)&lt;4,getOtherMax(B5235,C5235,INDIRECT(J$2),INDIRECT(I5235),test),getMax(B5235,C5235,INDIRECT(J$2),INDIRECT(I5235),test))</f>
        <v>0.19</v>
      </c>
      <c r="F5235" s="1" t="str">
        <f t="shared" si="328"/>
        <v>50</v>
      </c>
      <c r="G5235" s="1" t="str">
        <f t="shared" ca="1" si="330"/>
        <v/>
      </c>
      <c r="I5235" s="1" t="str">
        <f t="shared" si="327"/>
        <v>威尔新数值1.06.xlsm!otherDamage</v>
      </c>
    </row>
    <row r="5236" spans="1:9" x14ac:dyDescent="0.15">
      <c r="A5236" s="1">
        <v>5235</v>
      </c>
      <c r="B5236" s="1">
        <v>104090101</v>
      </c>
      <c r="C5236" s="3">
        <v>104</v>
      </c>
      <c r="D5236" s="5">
        <f ca="1">IF(getQuality(B5236)&lt;4,getOtherMin(B5236,C5236,INDIRECT(J$2),INDIRECT(I5236),test),getMin(B5236,C5236,INDIRECT(J$2),INDIRECT(I5236),test))</f>
        <v>0.15</v>
      </c>
      <c r="E5236" s="5">
        <f ca="1">IF(getQuality(B5236)&lt;4,getOtherMax(B5236,C5236,INDIRECT(J$2),INDIRECT(I5236),test),getMax(B5236,C5236,INDIRECT(J$2),INDIRECT(I5236),test))</f>
        <v>0.3</v>
      </c>
      <c r="F5236" s="1" t="str">
        <f t="shared" si="328"/>
        <v>50</v>
      </c>
      <c r="G5236" s="1" t="str">
        <f t="shared" ca="1" si="330"/>
        <v/>
      </c>
      <c r="I5236" s="1" t="str">
        <f t="shared" si="327"/>
        <v>威尔新数值1.06.xlsm!monsterDamage</v>
      </c>
    </row>
    <row r="5237" spans="1:9" x14ac:dyDescent="0.15">
      <c r="A5237" s="1">
        <v>5236</v>
      </c>
      <c r="B5237" s="1">
        <v>104090101</v>
      </c>
      <c r="C5237" s="3">
        <v>105</v>
      </c>
      <c r="D5237" s="5">
        <f ca="1">IF(getQuality(B5237)&lt;4,getOtherMin(B5237,C5237,INDIRECT(J$2),INDIRECT(I5237),test),getMin(B5237,C5237,INDIRECT(J$2),INDIRECT(I5237),test))</f>
        <v>0.15</v>
      </c>
      <c r="E5237" s="5">
        <f ca="1">IF(getQuality(B5237)&lt;4,getOtherMax(B5237,C5237,INDIRECT(J$2),INDIRECT(I5237),test),getMax(B5237,C5237,INDIRECT(J$2),INDIRECT(I5237),test))</f>
        <v>0.3</v>
      </c>
      <c r="F5237" s="1" t="str">
        <f t="shared" si="328"/>
        <v>50</v>
      </c>
      <c r="G5237" s="1" t="str">
        <f t="shared" ca="1" si="330"/>
        <v/>
      </c>
      <c r="I5237" s="1" t="str">
        <f t="shared" si="327"/>
        <v>威尔新数值1.06.xlsm!monsterDamage</v>
      </c>
    </row>
    <row r="5238" spans="1:9" x14ac:dyDescent="0.15">
      <c r="A5238" s="1">
        <v>5237</v>
      </c>
      <c r="B5238" s="1">
        <v>104090101</v>
      </c>
      <c r="C5238" s="3">
        <v>106</v>
      </c>
      <c r="D5238" s="5">
        <f ca="1">IF(getQuality(B5238)&lt;4,getOtherMin(B5238,C5238,INDIRECT(J$2),INDIRECT(I5238),test),getMin(B5238,C5238,INDIRECT(J$2),INDIRECT(I5238),test))</f>
        <v>0.15</v>
      </c>
      <c r="E5238" s="5">
        <f ca="1">IF(getQuality(B5238)&lt;4,getOtherMax(B5238,C5238,INDIRECT(J$2),INDIRECT(I5238),test),getMax(B5238,C5238,INDIRECT(J$2),INDIRECT(I5238),test))</f>
        <v>0.3</v>
      </c>
      <c r="F5238" s="1" t="str">
        <f t="shared" si="328"/>
        <v>50</v>
      </c>
      <c r="G5238" s="1" t="str">
        <f t="shared" ca="1" si="330"/>
        <v/>
      </c>
      <c r="I5238" s="1" t="str">
        <f t="shared" si="327"/>
        <v>威尔新数值1.06.xlsm!monsterDamage</v>
      </c>
    </row>
    <row r="5239" spans="1:9" x14ac:dyDescent="0.15">
      <c r="A5239" s="1">
        <v>5238</v>
      </c>
      <c r="B5239" s="1">
        <v>104090101</v>
      </c>
      <c r="C5239" s="3">
        <v>107</v>
      </c>
      <c r="D5239" s="5">
        <f ca="1">IF(getQuality(B5239)&lt;4,getOtherMin(B5239,C5239,INDIRECT(J$2),INDIRECT(I5239),test),getMin(B5239,C5239,INDIRECT(J$2),INDIRECT(I5239),test))</f>
        <v>0.15</v>
      </c>
      <c r="E5239" s="5">
        <f ca="1">IF(getQuality(B5239)&lt;4,getOtherMax(B5239,C5239,INDIRECT(J$2),INDIRECT(I5239),test),getMax(B5239,C5239,INDIRECT(J$2),INDIRECT(I5239),test))</f>
        <v>0.3</v>
      </c>
      <c r="F5239" s="1" t="str">
        <f t="shared" si="328"/>
        <v>50</v>
      </c>
      <c r="G5239" s="1" t="str">
        <f t="shared" ca="1" si="330"/>
        <v/>
      </c>
      <c r="I5239" s="1" t="str">
        <f t="shared" si="327"/>
        <v>威尔新数值1.06.xlsm!monsterDamage</v>
      </c>
    </row>
    <row r="5240" spans="1:9" x14ac:dyDescent="0.15">
      <c r="A5240" s="1">
        <v>5239</v>
      </c>
      <c r="B5240" s="1">
        <v>104090101</v>
      </c>
      <c r="C5240" s="3">
        <v>108</v>
      </c>
      <c r="D5240" s="5">
        <f ca="1">IF(getQuality(B5240)&lt;4,getOtherMin(B5240,C5240,INDIRECT(J$2),INDIRECT(I5240),test),getMin(B5240,C5240,INDIRECT(J$2),INDIRECT(I5240),test))</f>
        <v>0.15</v>
      </c>
      <c r="E5240" s="5">
        <f ca="1">IF(getQuality(B5240)&lt;4,getOtherMax(B5240,C5240,INDIRECT(J$2),INDIRECT(I5240),test),getMax(B5240,C5240,INDIRECT(J$2),INDIRECT(I5240),test))</f>
        <v>0.3</v>
      </c>
      <c r="F5240" s="1" t="str">
        <f t="shared" si="328"/>
        <v>50</v>
      </c>
      <c r="G5240" s="1" t="str">
        <f t="shared" ca="1" si="330"/>
        <v/>
      </c>
      <c r="I5240" s="1" t="str">
        <f t="shared" si="327"/>
        <v>威尔新数值1.06.xlsm!monsterDamage</v>
      </c>
    </row>
    <row r="5241" spans="1:9" x14ac:dyDescent="0.15">
      <c r="A5241" s="1">
        <v>5240</v>
      </c>
      <c r="B5241" s="1">
        <v>204091401</v>
      </c>
      <c r="C5241" s="3">
        <v>1</v>
      </c>
      <c r="D5241" s="5">
        <f ca="1">IF(getQuality(B5241)&lt;4,getOtherMin(B5241,C5241,INDIRECT(J$2),INDIRECT(I5241),test),getMin(B5241,C5241,INDIRECT(J$2),INDIRECT(I5241),test))</f>
        <v>869.97777777777776</v>
      </c>
      <c r="E5241" s="5">
        <f ca="1">IF(getQuality(B5241)&lt;4,getOtherMax(B5241,C5241,INDIRECT(J$2),INDIRECT(I5241),test),getMax(B5241,C5241,INDIRECT(J$2),INDIRECT(I5241),test))</f>
        <v>1034.8</v>
      </c>
      <c r="F5241" s="1" t="str">
        <f t="shared" si="328"/>
        <v>50</v>
      </c>
      <c r="G5241" s="1" t="str">
        <f t="shared" ca="1" si="330"/>
        <v/>
      </c>
      <c r="I5241" s="1" t="str">
        <f t="shared" si="327"/>
        <v>威尔新数值1.06.xlsm!suitPower</v>
      </c>
    </row>
    <row r="5242" spans="1:9" x14ac:dyDescent="0.15">
      <c r="A5242" s="1">
        <v>5241</v>
      </c>
      <c r="B5242" s="1">
        <v>204091401</v>
      </c>
      <c r="C5242" s="3">
        <v>2</v>
      </c>
      <c r="D5242" s="5">
        <f ca="1">IF(getQuality(B5242)&lt;4,getOtherMin(B5242,C5242,INDIRECT(J$2),INDIRECT(I5242),test),getMin(B5242,C5242,INDIRECT(J$2),INDIRECT(I5242),test))</f>
        <v>42.777777777777779</v>
      </c>
      <c r="E5242" s="5">
        <f ca="1">IF(getQuality(B5242)&lt;4,getOtherMax(B5242,C5242,INDIRECT(J$2),INDIRECT(I5242),test),getMax(B5242,C5242,INDIRECT(J$2),INDIRECT(I5242),test))</f>
        <v>49.75</v>
      </c>
      <c r="F5242" s="1" t="str">
        <f t="shared" si="328"/>
        <v>50</v>
      </c>
      <c r="G5242" s="1" t="str">
        <f t="shared" ca="1" si="330"/>
        <v/>
      </c>
      <c r="I5242" s="1" t="str">
        <f t="shared" si="327"/>
        <v>威尔新数值1.06.xlsm!suitPower</v>
      </c>
    </row>
    <row r="5243" spans="1:9" x14ac:dyDescent="0.15">
      <c r="A5243" s="1">
        <v>5242</v>
      </c>
      <c r="B5243" s="1">
        <v>204091401</v>
      </c>
      <c r="C5243" s="3">
        <v>4</v>
      </c>
      <c r="D5243" s="5">
        <f ca="1">IF(getQuality(B5243)&lt;4,getOtherMin(B5243,C5243,INDIRECT(J$2),INDIRECT(I5243),test),getMin(B5243,C5243,INDIRECT(J$2),INDIRECT(I5243),test))</f>
        <v>334.33333333333331</v>
      </c>
      <c r="E5243" s="5">
        <f ca="1">IF(getQuality(B5243)&lt;4,getOtherMax(B5243,C5243,INDIRECT(J$2),INDIRECT(I5243),test),getMax(B5243,C5243,INDIRECT(J$2),INDIRECT(I5243),test))</f>
        <v>375</v>
      </c>
      <c r="F5243" s="1" t="str">
        <f t="shared" si="328"/>
        <v>50</v>
      </c>
      <c r="G5243" s="1" t="str">
        <f t="shared" ca="1" si="330"/>
        <v>1</v>
      </c>
      <c r="I5243" s="1" t="str">
        <f t="shared" si="327"/>
        <v>威尔新数值1.06.xlsm!suitPower</v>
      </c>
    </row>
    <row r="5244" spans="1:9" x14ac:dyDescent="0.15">
      <c r="A5244" s="1">
        <v>5243</v>
      </c>
      <c r="B5244" s="1">
        <v>204091401</v>
      </c>
      <c r="C5244" s="3">
        <v>6</v>
      </c>
      <c r="D5244" s="5">
        <f ca="1">IF(getQuality(B5244)&lt;4,getOtherMin(B5244,C5244,INDIRECT(J$2),INDIRECT(I5244),test),getMin(B5244,C5244,INDIRECT(J$2),INDIRECT(I5244),test))</f>
        <v>334.33333333333331</v>
      </c>
      <c r="E5244" s="5">
        <f ca="1">IF(getQuality(B5244)&lt;4,getOtherMax(B5244,C5244,INDIRECT(J$2),INDIRECT(I5244),test),getMax(B5244,C5244,INDIRECT(J$2),INDIRECT(I5244),test))</f>
        <v>375</v>
      </c>
      <c r="F5244" s="1" t="str">
        <f t="shared" si="328"/>
        <v>50</v>
      </c>
      <c r="G5244" s="1" t="str">
        <f t="shared" ca="1" si="330"/>
        <v/>
      </c>
      <c r="I5244" s="1" t="str">
        <f t="shared" si="327"/>
        <v>威尔新数值1.06.xlsm!suitPower</v>
      </c>
    </row>
    <row r="5245" spans="1:9" x14ac:dyDescent="0.15">
      <c r="A5245" s="1">
        <v>5244</v>
      </c>
      <c r="B5245" s="1">
        <v>204091401</v>
      </c>
      <c r="C5245" s="3">
        <v>7</v>
      </c>
      <c r="D5245" s="5">
        <f ca="1">IF(getQuality(B5245)&lt;4,getOtherMin(B5245,C5245,INDIRECT(J$2),INDIRECT(I5245),test),getMin(B5245,C5245,INDIRECT(J$2),INDIRECT(I5245),test))</f>
        <v>15.814814814814822</v>
      </c>
      <c r="E5245" s="5">
        <f ca="1">IF(getQuality(B5245)&lt;4,getOtherMax(B5245,C5245,INDIRECT(J$2),INDIRECT(I5245),test),getMax(B5245,C5245,INDIRECT(J$2),INDIRECT(I5245),test))</f>
        <v>16.666666666666675</v>
      </c>
      <c r="F5245" s="1" t="str">
        <f t="shared" si="328"/>
        <v>50</v>
      </c>
      <c r="G5245" s="1" t="str">
        <f t="shared" ca="1" si="330"/>
        <v/>
      </c>
      <c r="I5245" s="1" t="str">
        <f t="shared" si="327"/>
        <v>威尔新数值1.06.xlsm!suitPower</v>
      </c>
    </row>
    <row r="5246" spans="1:9" x14ac:dyDescent="0.15">
      <c r="A5246" s="1">
        <v>5245</v>
      </c>
      <c r="B5246" s="1">
        <v>204091401</v>
      </c>
      <c r="C5246" s="3">
        <v>8</v>
      </c>
      <c r="D5246" s="5">
        <f ca="1">IF(getQuality(B5246)&lt;4,getOtherMin(B5246,C5246,INDIRECT(J$2),INDIRECT(I5246),test),getMin(B5246,C5246,INDIRECT(J$2),INDIRECT(I5246),test))</f>
        <v>67.666666666666671</v>
      </c>
      <c r="E5246" s="5">
        <f ca="1">IF(getQuality(B5246)&lt;4,getOtherMax(B5246,C5246,INDIRECT(J$2),INDIRECT(I5246),test),getMax(B5246,C5246,INDIRECT(J$2),INDIRECT(I5246),test))</f>
        <v>75</v>
      </c>
      <c r="F5246" s="1" t="str">
        <f t="shared" si="328"/>
        <v>50</v>
      </c>
      <c r="G5246" s="1" t="str">
        <f t="shared" ca="1" si="330"/>
        <v/>
      </c>
      <c r="I5246" s="1" t="str">
        <f t="shared" si="327"/>
        <v>威尔新数值1.06.xlsm!suitPower</v>
      </c>
    </row>
    <row r="5247" spans="1:9" x14ac:dyDescent="0.15">
      <c r="A5247" s="1">
        <v>5246</v>
      </c>
      <c r="B5247" s="1">
        <v>204091401</v>
      </c>
      <c r="C5247" s="3">
        <v>16</v>
      </c>
      <c r="D5247" s="5">
        <f ca="1">IF(getQuality(B5247)&lt;4,getOtherMin(B5247,C5247,INDIRECT(J$2),INDIRECT(I5247),test),getMin(B5247,C5247,INDIRECT(J$2),INDIRECT(I5247),test))</f>
        <v>89.888888888888886</v>
      </c>
      <c r="E5247" s="5">
        <f ca="1">IF(getQuality(B5247)&lt;4,getOtherMax(B5247,C5247,INDIRECT(J$2),INDIRECT(I5247),test),getMax(B5247,C5247,INDIRECT(J$2),INDIRECT(I5247),test))</f>
        <v>100</v>
      </c>
      <c r="F5247" s="1" t="str">
        <f t="shared" si="328"/>
        <v>50</v>
      </c>
      <c r="G5247" s="1" t="str">
        <f t="shared" ca="1" si="330"/>
        <v/>
      </c>
      <c r="I5247" s="1" t="str">
        <f t="shared" si="327"/>
        <v>威尔新数值1.06.xlsm!suitPower</v>
      </c>
    </row>
    <row r="5248" spans="1:9" x14ac:dyDescent="0.15">
      <c r="A5248" s="1">
        <v>5247</v>
      </c>
      <c r="B5248" s="1">
        <v>204091401</v>
      </c>
      <c r="C5248" s="3">
        <v>17</v>
      </c>
      <c r="D5248" s="5">
        <f ca="1">IF(getQuality(B5248)&lt;4,getOtherMin(B5248,C5248,INDIRECT(J$2),INDIRECT(I5248),test),getMin(B5248,C5248,INDIRECT(J$2),INDIRECT(I5248),test))</f>
        <v>89.888888888888886</v>
      </c>
      <c r="E5248" s="5">
        <f ca="1">IF(getQuality(B5248)&lt;4,getOtherMax(B5248,C5248,INDIRECT(J$2),INDIRECT(I5248),test),getMax(B5248,C5248,INDIRECT(J$2),INDIRECT(I5248),test))</f>
        <v>100</v>
      </c>
      <c r="F5248" s="1" t="str">
        <f t="shared" si="328"/>
        <v>50</v>
      </c>
      <c r="G5248" s="1" t="str">
        <f t="shared" ca="1" si="330"/>
        <v/>
      </c>
      <c r="I5248" s="1" t="str">
        <f t="shared" si="327"/>
        <v>威尔新数值1.06.xlsm!suitPower</v>
      </c>
    </row>
    <row r="5249" spans="1:9" x14ac:dyDescent="0.15">
      <c r="A5249" s="1">
        <v>5248</v>
      </c>
      <c r="B5249" s="1">
        <v>204091401</v>
      </c>
      <c r="C5249" s="3">
        <v>18</v>
      </c>
      <c r="D5249" s="5">
        <f ca="1">IF(getQuality(B5249)&lt;4,getOtherMin(B5249,C5249,INDIRECT(J$2),INDIRECT(I5249),test),getMin(B5249,C5249,INDIRECT(J$2),INDIRECT(I5249),test))</f>
        <v>89.888888888888886</v>
      </c>
      <c r="E5249" s="5">
        <f ca="1">IF(getQuality(B5249)&lt;4,getOtherMax(B5249,C5249,INDIRECT(J$2),INDIRECT(I5249),test),getMax(B5249,C5249,INDIRECT(J$2),INDIRECT(I5249),test))</f>
        <v>100</v>
      </c>
      <c r="F5249" s="1" t="str">
        <f t="shared" si="328"/>
        <v>50</v>
      </c>
      <c r="G5249" s="1" t="str">
        <f t="shared" ca="1" si="330"/>
        <v/>
      </c>
      <c r="I5249" s="1" t="str">
        <f t="shared" si="327"/>
        <v>威尔新数值1.06.xlsm!suitPower</v>
      </c>
    </row>
    <row r="5250" spans="1:9" x14ac:dyDescent="0.15">
      <c r="A5250" s="1">
        <v>5249</v>
      </c>
      <c r="B5250" s="1">
        <v>204091401</v>
      </c>
      <c r="C5250" s="3">
        <v>19</v>
      </c>
      <c r="D5250" s="5">
        <f ca="1">IF(getQuality(B5250)&lt;4,getOtherMin(B5250,C5250,INDIRECT(J$2),INDIRECT(I5250),test),getMin(B5250,C5250,INDIRECT(J$2),INDIRECT(I5250),test))</f>
        <v>89.888888888888886</v>
      </c>
      <c r="E5250" s="5">
        <f ca="1">IF(getQuality(B5250)&lt;4,getOtherMax(B5250,C5250,INDIRECT(J$2),INDIRECT(I5250),test),getMax(B5250,C5250,INDIRECT(J$2),INDIRECT(I5250),test))</f>
        <v>100</v>
      </c>
      <c r="F5250" s="1" t="str">
        <f t="shared" si="328"/>
        <v>50</v>
      </c>
      <c r="G5250" s="1" t="str">
        <f t="shared" ca="1" si="330"/>
        <v/>
      </c>
      <c r="I5250" s="1" t="str">
        <f t="shared" ref="I5250:I5313" si="331">IF(C5250&lt;100,VLOOKUP(C5250,test,3,FALSE),VLOOKUP(C5250,test1,3,FALSE))</f>
        <v>威尔新数值1.06.xlsm!suitPower</v>
      </c>
    </row>
    <row r="5251" spans="1:9" x14ac:dyDescent="0.15">
      <c r="A5251" s="1">
        <v>5250</v>
      </c>
      <c r="B5251" s="1">
        <v>204091401</v>
      </c>
      <c r="C5251" s="3">
        <v>20</v>
      </c>
      <c r="D5251" s="5">
        <f ca="1">IF(getQuality(B5251)&lt;4,getOtherMin(B5251,C5251,INDIRECT(J$2),INDIRECT(I5251),test),getMin(B5251,C5251,INDIRECT(J$2),INDIRECT(I5251),test))</f>
        <v>89.888888888888886</v>
      </c>
      <c r="E5251" s="5">
        <f ca="1">IF(getQuality(B5251)&lt;4,getOtherMax(B5251,C5251,INDIRECT(J$2),INDIRECT(I5251),test),getMax(B5251,C5251,INDIRECT(J$2),INDIRECT(I5251),test))</f>
        <v>100</v>
      </c>
      <c r="F5251" s="1" t="str">
        <f t="shared" ref="F5251:F5314" si="332">getper(B5251,C5251)</f>
        <v>50</v>
      </c>
      <c r="G5251" s="1" t="str">
        <f t="shared" ca="1" si="330"/>
        <v/>
      </c>
      <c r="I5251" s="1" t="str">
        <f t="shared" si="331"/>
        <v>威尔新数值1.06.xlsm!suitPower</v>
      </c>
    </row>
    <row r="5252" spans="1:9" x14ac:dyDescent="0.15">
      <c r="A5252" s="1">
        <v>5251</v>
      </c>
      <c r="B5252" s="1">
        <v>204091401</v>
      </c>
      <c r="C5252" s="3">
        <v>21</v>
      </c>
      <c r="D5252" s="5">
        <f ca="1">IF(getQuality(B5252)&lt;4,getOtherMin(B5252,C5252,INDIRECT(J$2),INDIRECT(I5252),test),getMin(B5252,C5252,INDIRECT(J$2),INDIRECT(I5252),test))</f>
        <v>134.33333333333334</v>
      </c>
      <c r="E5252" s="5">
        <f ca="1">IF(getQuality(B5252)&lt;4,getOtherMax(B5252,C5252,INDIRECT(J$2),INDIRECT(I5252),test),getMax(B5252,C5252,INDIRECT(J$2),INDIRECT(I5252),test))</f>
        <v>150</v>
      </c>
      <c r="F5252" s="1" t="str">
        <f t="shared" si="332"/>
        <v>50</v>
      </c>
      <c r="G5252" s="1" t="str">
        <f t="shared" ca="1" si="330"/>
        <v/>
      </c>
      <c r="I5252" s="1" t="str">
        <f t="shared" si="331"/>
        <v>威尔新数值1.06.xlsm!suitPower</v>
      </c>
    </row>
    <row r="5253" spans="1:9" x14ac:dyDescent="0.15">
      <c r="A5253" s="1">
        <v>5252</v>
      </c>
      <c r="B5253" s="1">
        <v>204091401</v>
      </c>
      <c r="C5253" s="3">
        <v>22</v>
      </c>
      <c r="D5253" s="5">
        <f ca="1">IF(getQuality(B5253)&lt;4,getOtherMin(B5253,C5253,INDIRECT(J$2),INDIRECT(I5253),test),getMin(B5253,C5253,INDIRECT(J$2),INDIRECT(I5253),test))</f>
        <v>89.888888888888886</v>
      </c>
      <c r="E5253" s="5">
        <f ca="1">IF(getQuality(B5253)&lt;4,getOtherMax(B5253,C5253,INDIRECT(J$2),INDIRECT(I5253),test),getMax(B5253,C5253,INDIRECT(J$2),INDIRECT(I5253),test))</f>
        <v>100</v>
      </c>
      <c r="F5253" s="1" t="str">
        <f t="shared" si="332"/>
        <v>50</v>
      </c>
      <c r="G5253" s="1" t="str">
        <f t="shared" ca="1" si="330"/>
        <v/>
      </c>
      <c r="I5253" s="1" t="str">
        <f t="shared" si="331"/>
        <v>威尔新数值1.06.xlsm!suitPower</v>
      </c>
    </row>
    <row r="5254" spans="1:9" x14ac:dyDescent="0.15">
      <c r="A5254" s="1">
        <v>5253</v>
      </c>
      <c r="B5254" s="1">
        <v>204091401</v>
      </c>
      <c r="C5254" s="3">
        <v>23</v>
      </c>
      <c r="D5254" s="5">
        <f ca="1">IF(getQuality(B5254)&lt;4,getOtherMin(B5254,C5254,INDIRECT(J$2),INDIRECT(I5254),test),getMin(B5254,C5254,INDIRECT(J$2),INDIRECT(I5254),test))</f>
        <v>89.888888888888886</v>
      </c>
      <c r="E5254" s="5">
        <f ca="1">IF(getQuality(B5254)&lt;4,getOtherMax(B5254,C5254,INDIRECT(J$2),INDIRECT(I5254),test),getMax(B5254,C5254,INDIRECT(J$2),INDIRECT(I5254),test))</f>
        <v>100</v>
      </c>
      <c r="F5254" s="1" t="str">
        <f t="shared" si="332"/>
        <v>50</v>
      </c>
      <c r="G5254" s="1" t="str">
        <f t="shared" ca="1" si="330"/>
        <v/>
      </c>
      <c r="I5254" s="1" t="str">
        <f t="shared" si="331"/>
        <v>威尔新数值1.06.xlsm!suitPower</v>
      </c>
    </row>
    <row r="5255" spans="1:9" x14ac:dyDescent="0.15">
      <c r="A5255" s="1">
        <v>5254</v>
      </c>
      <c r="B5255" s="1">
        <v>304091501</v>
      </c>
      <c r="C5255" s="3">
        <v>1</v>
      </c>
      <c r="D5255" s="5">
        <f ca="1">IF(getQuality(B5255)&lt;4,getOtherMin(B5255,C5255,INDIRECT(J$2),INDIRECT(I5255),test),getMin(B5255,C5255,INDIRECT(J$2),INDIRECT(I5255),test))</f>
        <v>869.97777777777776</v>
      </c>
      <c r="E5255" s="5">
        <f ca="1">IF(getQuality(B5255)&lt;4,getOtherMax(B5255,C5255,INDIRECT(J$2),INDIRECT(I5255),test),getMax(B5255,C5255,INDIRECT(J$2),INDIRECT(I5255),test))</f>
        <v>1034.8</v>
      </c>
      <c r="F5255" s="1" t="str">
        <f t="shared" si="332"/>
        <v>50</v>
      </c>
      <c r="G5255" s="1" t="str">
        <f t="shared" ca="1" si="330"/>
        <v/>
      </c>
      <c r="I5255" s="1" t="str">
        <f t="shared" si="331"/>
        <v>威尔新数值1.06.xlsm!suitPower</v>
      </c>
    </row>
    <row r="5256" spans="1:9" x14ac:dyDescent="0.15">
      <c r="A5256" s="1">
        <v>5255</v>
      </c>
      <c r="B5256" s="1">
        <v>304091501</v>
      </c>
      <c r="C5256" s="3">
        <v>2</v>
      </c>
      <c r="D5256" s="5">
        <f ca="1">IF(getQuality(B5256)&lt;4,getOtherMin(B5256,C5256,INDIRECT(J$2),INDIRECT(I5256),test),getMin(B5256,C5256,INDIRECT(J$2),INDIRECT(I5256),test))</f>
        <v>42.777777777777779</v>
      </c>
      <c r="E5256" s="5">
        <f ca="1">IF(getQuality(B5256)&lt;4,getOtherMax(B5256,C5256,INDIRECT(J$2),INDIRECT(I5256),test),getMax(B5256,C5256,INDIRECT(J$2),INDIRECT(I5256),test))</f>
        <v>49.75</v>
      </c>
      <c r="F5256" s="1" t="str">
        <f t="shared" si="332"/>
        <v>50</v>
      </c>
      <c r="G5256" s="1" t="str">
        <f t="shared" ca="1" si="330"/>
        <v/>
      </c>
      <c r="I5256" s="1" t="str">
        <f t="shared" si="331"/>
        <v>威尔新数值1.06.xlsm!suitPower</v>
      </c>
    </row>
    <row r="5257" spans="1:9" x14ac:dyDescent="0.15">
      <c r="A5257" s="1">
        <v>5256</v>
      </c>
      <c r="B5257" s="1">
        <v>304091501</v>
      </c>
      <c r="C5257" s="3">
        <v>4</v>
      </c>
      <c r="D5257" s="5">
        <f ca="1">IF(getQuality(B5257)&lt;4,getOtherMin(B5257,C5257,INDIRECT(J$2),INDIRECT(I5257),test),getMin(B5257,C5257,INDIRECT(J$2),INDIRECT(I5257),test))</f>
        <v>334.33333333333331</v>
      </c>
      <c r="E5257" s="5">
        <f ca="1">IF(getQuality(B5257)&lt;4,getOtherMax(B5257,C5257,INDIRECT(J$2),INDIRECT(I5257),test),getMax(B5257,C5257,INDIRECT(J$2),INDIRECT(I5257),test))</f>
        <v>375</v>
      </c>
      <c r="F5257" s="1" t="str">
        <f t="shared" si="332"/>
        <v>50</v>
      </c>
      <c r="G5257" s="1" t="str">
        <f t="shared" ca="1" si="330"/>
        <v>1</v>
      </c>
      <c r="I5257" s="1" t="str">
        <f t="shared" si="331"/>
        <v>威尔新数值1.06.xlsm!suitPower</v>
      </c>
    </row>
    <row r="5258" spans="1:9" x14ac:dyDescent="0.15">
      <c r="A5258" s="1">
        <v>5257</v>
      </c>
      <c r="B5258" s="1">
        <v>304091501</v>
      </c>
      <c r="C5258" s="3">
        <v>6</v>
      </c>
      <c r="D5258" s="5">
        <f ca="1">IF(getQuality(B5258)&lt;4,getOtherMin(B5258,C5258,INDIRECT(J$2),INDIRECT(I5258),test),getMin(B5258,C5258,INDIRECT(J$2),INDIRECT(I5258),test))</f>
        <v>334.33333333333331</v>
      </c>
      <c r="E5258" s="5">
        <f ca="1">IF(getQuality(B5258)&lt;4,getOtherMax(B5258,C5258,INDIRECT(J$2),INDIRECT(I5258),test),getMax(B5258,C5258,INDIRECT(J$2),INDIRECT(I5258),test))</f>
        <v>375</v>
      </c>
      <c r="F5258" s="1" t="str">
        <f t="shared" si="332"/>
        <v>50</v>
      </c>
      <c r="G5258" s="1" t="str">
        <f t="shared" ca="1" si="330"/>
        <v/>
      </c>
      <c r="I5258" s="1" t="str">
        <f t="shared" si="331"/>
        <v>威尔新数值1.06.xlsm!suitPower</v>
      </c>
    </row>
    <row r="5259" spans="1:9" x14ac:dyDescent="0.15">
      <c r="A5259" s="1">
        <v>5258</v>
      </c>
      <c r="B5259" s="1">
        <v>304091501</v>
      </c>
      <c r="C5259" s="3">
        <v>7</v>
      </c>
      <c r="D5259" s="5">
        <f ca="1">IF(getQuality(B5259)&lt;4,getOtherMin(B5259,C5259,INDIRECT(J$2),INDIRECT(I5259),test),getMin(B5259,C5259,INDIRECT(J$2),INDIRECT(I5259),test))</f>
        <v>15.814814814814822</v>
      </c>
      <c r="E5259" s="5">
        <f ca="1">IF(getQuality(B5259)&lt;4,getOtherMax(B5259,C5259,INDIRECT(J$2),INDIRECT(I5259),test),getMax(B5259,C5259,INDIRECT(J$2),INDIRECT(I5259),test))</f>
        <v>16.666666666666675</v>
      </c>
      <c r="F5259" s="1" t="str">
        <f t="shared" si="332"/>
        <v>50</v>
      </c>
      <c r="G5259" s="1" t="str">
        <f t="shared" ca="1" si="330"/>
        <v/>
      </c>
      <c r="I5259" s="1" t="str">
        <f t="shared" si="331"/>
        <v>威尔新数值1.06.xlsm!suitPower</v>
      </c>
    </row>
    <row r="5260" spans="1:9" x14ac:dyDescent="0.15">
      <c r="A5260" s="1">
        <v>5259</v>
      </c>
      <c r="B5260" s="1">
        <v>304091501</v>
      </c>
      <c r="C5260" s="3">
        <v>8</v>
      </c>
      <c r="D5260" s="5">
        <f ca="1">IF(getQuality(B5260)&lt;4,getOtherMin(B5260,C5260,INDIRECT(J$2),INDIRECT(I5260),test),getMin(B5260,C5260,INDIRECT(J$2),INDIRECT(I5260),test))</f>
        <v>67.666666666666671</v>
      </c>
      <c r="E5260" s="5">
        <f ca="1">IF(getQuality(B5260)&lt;4,getOtherMax(B5260,C5260,INDIRECT(J$2),INDIRECT(I5260),test),getMax(B5260,C5260,INDIRECT(J$2),INDIRECT(I5260),test))</f>
        <v>75</v>
      </c>
      <c r="F5260" s="1" t="str">
        <f t="shared" si="332"/>
        <v>50</v>
      </c>
      <c r="G5260" s="1" t="str">
        <f t="shared" ca="1" si="330"/>
        <v/>
      </c>
      <c r="I5260" s="1" t="str">
        <f t="shared" si="331"/>
        <v>威尔新数值1.06.xlsm!suitPower</v>
      </c>
    </row>
    <row r="5261" spans="1:9" x14ac:dyDescent="0.15">
      <c r="A5261" s="1">
        <v>5260</v>
      </c>
      <c r="B5261" s="1">
        <v>304091501</v>
      </c>
      <c r="C5261" s="3">
        <v>16</v>
      </c>
      <c r="D5261" s="5">
        <f ca="1">IF(getQuality(B5261)&lt;4,getOtherMin(B5261,C5261,INDIRECT(J$2),INDIRECT(I5261),test),getMin(B5261,C5261,INDIRECT(J$2),INDIRECT(I5261),test))</f>
        <v>89.888888888888886</v>
      </c>
      <c r="E5261" s="5">
        <f ca="1">IF(getQuality(B5261)&lt;4,getOtherMax(B5261,C5261,INDIRECT(J$2),INDIRECT(I5261),test),getMax(B5261,C5261,INDIRECT(J$2),INDIRECT(I5261),test))</f>
        <v>100</v>
      </c>
      <c r="F5261" s="1" t="str">
        <f t="shared" si="332"/>
        <v>50</v>
      </c>
      <c r="G5261" s="1" t="str">
        <f t="shared" ca="1" si="330"/>
        <v/>
      </c>
      <c r="I5261" s="1" t="str">
        <f t="shared" si="331"/>
        <v>威尔新数值1.06.xlsm!suitPower</v>
      </c>
    </row>
    <row r="5262" spans="1:9" x14ac:dyDescent="0.15">
      <c r="A5262" s="1">
        <v>5261</v>
      </c>
      <c r="B5262" s="1">
        <v>304091501</v>
      </c>
      <c r="C5262" s="3">
        <v>17</v>
      </c>
      <c r="D5262" s="5">
        <f ca="1">IF(getQuality(B5262)&lt;4,getOtherMin(B5262,C5262,INDIRECT(J$2),INDIRECT(I5262),test),getMin(B5262,C5262,INDIRECT(J$2),INDIRECT(I5262),test))</f>
        <v>89.888888888888886</v>
      </c>
      <c r="E5262" s="5">
        <f ca="1">IF(getQuality(B5262)&lt;4,getOtherMax(B5262,C5262,INDIRECT(J$2),INDIRECT(I5262),test),getMax(B5262,C5262,INDIRECT(J$2),INDIRECT(I5262),test))</f>
        <v>100</v>
      </c>
      <c r="F5262" s="1" t="str">
        <f t="shared" si="332"/>
        <v>50</v>
      </c>
      <c r="G5262" s="1" t="str">
        <f t="shared" ca="1" si="330"/>
        <v/>
      </c>
      <c r="I5262" s="1" t="str">
        <f t="shared" si="331"/>
        <v>威尔新数值1.06.xlsm!suitPower</v>
      </c>
    </row>
    <row r="5263" spans="1:9" x14ac:dyDescent="0.15">
      <c r="A5263" s="1">
        <v>5262</v>
      </c>
      <c r="B5263" s="1">
        <v>304091501</v>
      </c>
      <c r="C5263" s="3">
        <v>18</v>
      </c>
      <c r="D5263" s="5">
        <f ca="1">IF(getQuality(B5263)&lt;4,getOtherMin(B5263,C5263,INDIRECT(J$2),INDIRECT(I5263),test),getMin(B5263,C5263,INDIRECT(J$2),INDIRECT(I5263),test))</f>
        <v>89.888888888888886</v>
      </c>
      <c r="E5263" s="5">
        <f ca="1">IF(getQuality(B5263)&lt;4,getOtherMax(B5263,C5263,INDIRECT(J$2),INDIRECT(I5263),test),getMax(B5263,C5263,INDIRECT(J$2),INDIRECT(I5263),test))</f>
        <v>100</v>
      </c>
      <c r="F5263" s="1" t="str">
        <f t="shared" si="332"/>
        <v>50</v>
      </c>
      <c r="G5263" s="1" t="str">
        <f t="shared" ca="1" si="330"/>
        <v/>
      </c>
      <c r="I5263" s="1" t="str">
        <f t="shared" si="331"/>
        <v>威尔新数值1.06.xlsm!suitPower</v>
      </c>
    </row>
    <row r="5264" spans="1:9" x14ac:dyDescent="0.15">
      <c r="A5264" s="1">
        <v>5263</v>
      </c>
      <c r="B5264" s="1">
        <v>304091501</v>
      </c>
      <c r="C5264" s="3">
        <v>19</v>
      </c>
      <c r="D5264" s="5">
        <f ca="1">IF(getQuality(B5264)&lt;4,getOtherMin(B5264,C5264,INDIRECT(J$2),INDIRECT(I5264),test),getMin(B5264,C5264,INDIRECT(J$2),INDIRECT(I5264),test))</f>
        <v>89.888888888888886</v>
      </c>
      <c r="E5264" s="5">
        <f ca="1">IF(getQuality(B5264)&lt;4,getOtherMax(B5264,C5264,INDIRECT(J$2),INDIRECT(I5264),test),getMax(B5264,C5264,INDIRECT(J$2),INDIRECT(I5264),test))</f>
        <v>100</v>
      </c>
      <c r="F5264" s="1" t="str">
        <f t="shared" si="332"/>
        <v>50</v>
      </c>
      <c r="G5264" s="1" t="str">
        <f t="shared" ca="1" si="330"/>
        <v/>
      </c>
      <c r="I5264" s="1" t="str">
        <f t="shared" si="331"/>
        <v>威尔新数值1.06.xlsm!suitPower</v>
      </c>
    </row>
    <row r="5265" spans="1:9" x14ac:dyDescent="0.15">
      <c r="A5265" s="1">
        <v>5264</v>
      </c>
      <c r="B5265" s="1">
        <v>304091501</v>
      </c>
      <c r="C5265" s="3">
        <v>20</v>
      </c>
      <c r="D5265" s="5">
        <f ca="1">IF(getQuality(B5265)&lt;4,getOtherMin(B5265,C5265,INDIRECT(J$2),INDIRECT(I5265),test),getMin(B5265,C5265,INDIRECT(J$2),INDIRECT(I5265),test))</f>
        <v>89.888888888888886</v>
      </c>
      <c r="E5265" s="5">
        <f ca="1">IF(getQuality(B5265)&lt;4,getOtherMax(B5265,C5265,INDIRECT(J$2),INDIRECT(I5265),test),getMax(B5265,C5265,INDIRECT(J$2),INDIRECT(I5265),test))</f>
        <v>100</v>
      </c>
      <c r="F5265" s="1" t="str">
        <f t="shared" si="332"/>
        <v>50</v>
      </c>
      <c r="G5265" s="1" t="str">
        <f t="shared" ca="1" si="330"/>
        <v/>
      </c>
      <c r="I5265" s="1" t="str">
        <f t="shared" si="331"/>
        <v>威尔新数值1.06.xlsm!suitPower</v>
      </c>
    </row>
    <row r="5266" spans="1:9" x14ac:dyDescent="0.15">
      <c r="A5266" s="1">
        <v>5265</v>
      </c>
      <c r="B5266" s="1">
        <v>304091501</v>
      </c>
      <c r="C5266" s="3">
        <v>21</v>
      </c>
      <c r="D5266" s="5">
        <f ca="1">IF(getQuality(B5266)&lt;4,getOtherMin(B5266,C5266,INDIRECT(J$2),INDIRECT(I5266),test),getMin(B5266,C5266,INDIRECT(J$2),INDIRECT(I5266),test))</f>
        <v>134.33333333333334</v>
      </c>
      <c r="E5266" s="5">
        <f ca="1">IF(getQuality(B5266)&lt;4,getOtherMax(B5266,C5266,INDIRECT(J$2),INDIRECT(I5266),test),getMax(B5266,C5266,INDIRECT(J$2),INDIRECT(I5266),test))</f>
        <v>150</v>
      </c>
      <c r="F5266" s="1" t="str">
        <f t="shared" si="332"/>
        <v>50</v>
      </c>
      <c r="G5266" s="1" t="str">
        <f t="shared" ca="1" si="330"/>
        <v/>
      </c>
      <c r="I5266" s="1" t="str">
        <f t="shared" si="331"/>
        <v>威尔新数值1.06.xlsm!suitPower</v>
      </c>
    </row>
    <row r="5267" spans="1:9" x14ac:dyDescent="0.15">
      <c r="A5267" s="1">
        <v>5266</v>
      </c>
      <c r="B5267" s="1">
        <v>304091501</v>
      </c>
      <c r="C5267" s="3">
        <v>22</v>
      </c>
      <c r="D5267" s="5">
        <f ca="1">IF(getQuality(B5267)&lt;4,getOtherMin(B5267,C5267,INDIRECT(J$2),INDIRECT(I5267),test),getMin(B5267,C5267,INDIRECT(J$2),INDIRECT(I5267),test))</f>
        <v>89.888888888888886</v>
      </c>
      <c r="E5267" s="5">
        <f ca="1">IF(getQuality(B5267)&lt;4,getOtherMax(B5267,C5267,INDIRECT(J$2),INDIRECT(I5267),test),getMax(B5267,C5267,INDIRECT(J$2),INDIRECT(I5267),test))</f>
        <v>100</v>
      </c>
      <c r="F5267" s="1" t="str">
        <f t="shared" si="332"/>
        <v>50</v>
      </c>
      <c r="G5267" s="1" t="str">
        <f t="shared" ca="1" si="330"/>
        <v/>
      </c>
      <c r="I5267" s="1" t="str">
        <f t="shared" si="331"/>
        <v>威尔新数值1.06.xlsm!suitPower</v>
      </c>
    </row>
    <row r="5268" spans="1:9" x14ac:dyDescent="0.15">
      <c r="A5268" s="1">
        <v>5267</v>
      </c>
      <c r="B5268" s="1">
        <v>304091501</v>
      </c>
      <c r="C5268" s="3">
        <v>23</v>
      </c>
      <c r="D5268" s="5">
        <f ca="1">IF(getQuality(B5268)&lt;4,getOtherMin(B5268,C5268,INDIRECT(J$2),INDIRECT(I5268),test),getMin(B5268,C5268,INDIRECT(J$2),INDIRECT(I5268),test))</f>
        <v>89.888888888888886</v>
      </c>
      <c r="E5268" s="5">
        <f ca="1">IF(getQuality(B5268)&lt;4,getOtherMax(B5268,C5268,INDIRECT(J$2),INDIRECT(I5268),test),getMax(B5268,C5268,INDIRECT(J$2),INDIRECT(I5268),test))</f>
        <v>100</v>
      </c>
      <c r="F5268" s="1" t="str">
        <f t="shared" si="332"/>
        <v>50</v>
      </c>
      <c r="G5268" s="1" t="str">
        <f t="shared" ca="1" si="330"/>
        <v/>
      </c>
      <c r="I5268" s="1" t="str">
        <f t="shared" si="331"/>
        <v>威尔新数值1.06.xlsm!suitPower</v>
      </c>
    </row>
    <row r="5269" spans="1:9" x14ac:dyDescent="0.15">
      <c r="A5269" s="1">
        <v>5268</v>
      </c>
      <c r="B5269" s="1">
        <v>104090202</v>
      </c>
      <c r="C5269" s="1">
        <f>C5222</f>
        <v>3</v>
      </c>
      <c r="D5269" s="5">
        <f ca="1">IF(getQuality(B5269)&lt;4,getOtherMin(B5269,C5269,INDIRECT(J$2),INDIRECT(I5269),test),getMin(B5269,C5269,INDIRECT(J$2),INDIRECT(I5269),test))</f>
        <v>329.28048273180752</v>
      </c>
      <c r="E5269" s="5">
        <f ca="1">IF(getQuality(B5269)&lt;4,getOtherMax(B5269,C5269,INDIRECT(J$2),INDIRECT(I5269),test),getMax(B5269,C5269,INDIRECT(J$2),INDIRECT(I5269),test))</f>
        <v>390.92443123182665</v>
      </c>
      <c r="F5269" s="1" t="str">
        <f t="shared" si="332"/>
        <v>50</v>
      </c>
      <c r="G5269" s="1" t="str">
        <f t="shared" ca="1" si="330"/>
        <v>1</v>
      </c>
      <c r="I5269" s="1" t="str">
        <f t="shared" si="331"/>
        <v>威尔新数值1.06.xlsm!suitPower</v>
      </c>
    </row>
    <row r="5270" spans="1:9" x14ac:dyDescent="0.15">
      <c r="A5270" s="1">
        <v>5269</v>
      </c>
      <c r="B5270" s="1">
        <v>104090202</v>
      </c>
      <c r="C5270" s="1">
        <f t="shared" ref="C5270:C5333" si="333">C5223</f>
        <v>5</v>
      </c>
      <c r="D5270" s="5">
        <f ca="1">IF(getQuality(B5270)&lt;4,getOtherMin(B5270,C5270,INDIRECT(J$2),INDIRECT(I5270),test),getMin(B5270,C5270,INDIRECT(J$2),INDIRECT(I5270),test))</f>
        <v>152.904</v>
      </c>
      <c r="E5270" s="5">
        <f ca="1">IF(getQuality(B5270)&lt;4,getOtherMax(B5270,C5270,INDIRECT(J$2),INDIRECT(I5270),test),getMax(B5270,C5270,INDIRECT(J$2),INDIRECT(I5270),test))</f>
        <v>180.89099999999999</v>
      </c>
      <c r="F5270" s="1" t="str">
        <f t="shared" si="332"/>
        <v>50</v>
      </c>
      <c r="G5270" s="1" t="str">
        <f t="shared" ca="1" si="330"/>
        <v/>
      </c>
      <c r="I5270" s="1" t="str">
        <f t="shared" si="331"/>
        <v>威尔新数值1.06.xlsm!suitPower</v>
      </c>
    </row>
    <row r="5271" spans="1:9" x14ac:dyDescent="0.15">
      <c r="A5271" s="1">
        <v>5270</v>
      </c>
      <c r="B5271" s="1">
        <v>104090202</v>
      </c>
      <c r="C5271" s="1">
        <f t="shared" si="333"/>
        <v>7</v>
      </c>
      <c r="D5271" s="5">
        <f ca="1">IF(getQuality(B5271)&lt;4,getOtherMin(B5271,C5271,INDIRECT(J$2),INDIRECT(I5271),test),getMin(B5271,C5271,INDIRECT(J$2),INDIRECT(I5271),test))</f>
        <v>45.444444444444443</v>
      </c>
      <c r="E5271" s="5">
        <f ca="1">IF(getQuality(B5271)&lt;4,getOtherMax(B5271,C5271,INDIRECT(J$2),INDIRECT(I5271),test),getMax(B5271,C5271,INDIRECT(J$2),INDIRECT(I5271),test))</f>
        <v>50</v>
      </c>
      <c r="F5271" s="1" t="str">
        <f t="shared" si="332"/>
        <v>50</v>
      </c>
      <c r="G5271" s="1" t="str">
        <f t="shared" ca="1" si="330"/>
        <v/>
      </c>
      <c r="I5271" s="1" t="str">
        <f t="shared" si="331"/>
        <v>威尔新数值1.06.xlsm!suitPower</v>
      </c>
    </row>
    <row r="5272" spans="1:9" x14ac:dyDescent="0.15">
      <c r="A5272" s="1">
        <v>5271</v>
      </c>
      <c r="B5272" s="1">
        <v>104090202</v>
      </c>
      <c r="C5272" s="1">
        <f t="shared" si="333"/>
        <v>8</v>
      </c>
      <c r="D5272" s="5">
        <f ca="1">IF(getQuality(B5272)&lt;4,getOtherMin(B5272,C5272,INDIRECT(J$2),INDIRECT(I5272),test),getMin(B5272,C5272,INDIRECT(J$2),INDIRECT(I5272),test))</f>
        <v>134.33333333333334</v>
      </c>
      <c r="E5272" s="5">
        <f ca="1">IF(getQuality(B5272)&lt;4,getOtherMax(B5272,C5272,INDIRECT(J$2),INDIRECT(I5272),test),getMax(B5272,C5272,INDIRECT(J$2),INDIRECT(I5272),test))</f>
        <v>150</v>
      </c>
      <c r="F5272" s="1" t="str">
        <f t="shared" si="332"/>
        <v>50</v>
      </c>
      <c r="G5272" s="1" t="str">
        <f t="shared" ca="1" si="330"/>
        <v/>
      </c>
      <c r="I5272" s="1" t="str">
        <f t="shared" si="331"/>
        <v>威尔新数值1.06.xlsm!suitPower</v>
      </c>
    </row>
    <row r="5273" spans="1:9" x14ac:dyDescent="0.15">
      <c r="A5273" s="1">
        <v>5272</v>
      </c>
      <c r="B5273" s="1">
        <v>104090202</v>
      </c>
      <c r="C5273" s="1">
        <f t="shared" si="333"/>
        <v>9</v>
      </c>
      <c r="D5273" s="5">
        <f ca="1">IF(getQuality(B5273)&lt;4,getOtherMin(B5273,C5273,INDIRECT(J$2),INDIRECT(I5273),test),getMin(B5273,C5273,INDIRECT(J$2),INDIRECT(I5273),test))</f>
        <v>241.09224136590373</v>
      </c>
      <c r="E5273" s="5">
        <f ca="1">IF(getQuality(B5273)&lt;4,getOtherMax(B5273,C5273,INDIRECT(J$2),INDIRECT(I5273),test),getMax(B5273,C5273,INDIRECT(J$2),INDIRECT(I5273),test))</f>
        <v>285.90771561591328</v>
      </c>
      <c r="F5273" s="1" t="str">
        <f t="shared" si="332"/>
        <v>50</v>
      </c>
      <c r="G5273" s="1" t="str">
        <f t="shared" ca="1" si="330"/>
        <v/>
      </c>
      <c r="I5273" s="1" t="str">
        <f t="shared" si="331"/>
        <v>威尔新数值1.06.xlsm!suitPower</v>
      </c>
    </row>
    <row r="5274" spans="1:9" x14ac:dyDescent="0.15">
      <c r="A5274" s="1">
        <v>5273</v>
      </c>
      <c r="B5274" s="1">
        <v>104090202</v>
      </c>
      <c r="C5274" s="1">
        <f t="shared" si="333"/>
        <v>10</v>
      </c>
      <c r="D5274" s="5">
        <f ca="1">IF(getQuality(B5274)&lt;4,getOtherMin(B5274,C5274,INDIRECT(J$2),INDIRECT(I5274),test),getMin(B5274,C5274,INDIRECT(J$2),INDIRECT(I5274),test))</f>
        <v>289.11068963908485</v>
      </c>
      <c r="E5274" s="5">
        <f ca="1">IF(getQuality(B5274)&lt;4,getOtherMax(B5274,C5274,INDIRECT(J$2),INDIRECT(I5274),test),getMax(B5274,C5274,INDIRECT(J$2),INDIRECT(I5274),test))</f>
        <v>343.08925873909641</v>
      </c>
      <c r="F5274" s="1" t="str">
        <f t="shared" si="332"/>
        <v>50</v>
      </c>
      <c r="G5274" s="1" t="str">
        <f t="shared" ca="1" si="330"/>
        <v/>
      </c>
      <c r="I5274" s="1" t="str">
        <f t="shared" si="331"/>
        <v>威尔新数值1.06.xlsm!suitPower</v>
      </c>
    </row>
    <row r="5275" spans="1:9" x14ac:dyDescent="0.15">
      <c r="A5275" s="1">
        <v>5274</v>
      </c>
      <c r="B5275" s="1">
        <v>104090202</v>
      </c>
      <c r="C5275" s="1">
        <f t="shared" si="333"/>
        <v>11</v>
      </c>
      <c r="D5275" s="5">
        <f ca="1">IF(getQuality(B5275)&lt;4,getOtherMin(B5275,C5275,INDIRECT(J$2),INDIRECT(I5275),test),getMin(B5275,C5275,INDIRECT(J$2),INDIRECT(I5275),test))</f>
        <v>241.09224136590373</v>
      </c>
      <c r="E5275" s="5">
        <f ca="1">IF(getQuality(B5275)&lt;4,getOtherMax(B5275,C5275,INDIRECT(J$2),INDIRECT(I5275),test),getMax(B5275,C5275,INDIRECT(J$2),INDIRECT(I5275),test))</f>
        <v>285.90771561591328</v>
      </c>
      <c r="F5275" s="1" t="str">
        <f t="shared" si="332"/>
        <v>50</v>
      </c>
      <c r="G5275" s="1" t="str">
        <f t="shared" ca="1" si="330"/>
        <v/>
      </c>
      <c r="I5275" s="1" t="str">
        <f t="shared" si="331"/>
        <v>威尔新数值1.06.xlsm!suitPower</v>
      </c>
    </row>
    <row r="5276" spans="1:9" x14ac:dyDescent="0.15">
      <c r="A5276" s="1">
        <v>5275</v>
      </c>
      <c r="B5276" s="1">
        <v>104090202</v>
      </c>
      <c r="C5276" s="1">
        <f t="shared" si="333"/>
        <v>12</v>
      </c>
      <c r="D5276" s="5">
        <f ca="1">IF(getQuality(B5276)&lt;4,getOtherMin(B5276,C5276,INDIRECT(J$2),INDIRECT(I5276),test),getMin(B5276,C5276,INDIRECT(J$2),INDIRECT(I5276),test))</f>
        <v>241.09224136590373</v>
      </c>
      <c r="E5276" s="5">
        <f ca="1">IF(getQuality(B5276)&lt;4,getOtherMax(B5276,C5276,INDIRECT(J$2),INDIRECT(I5276),test),getMax(B5276,C5276,INDIRECT(J$2),INDIRECT(I5276),test))</f>
        <v>285.90771561591328</v>
      </c>
      <c r="F5276" s="1" t="str">
        <f t="shared" si="332"/>
        <v>50</v>
      </c>
      <c r="G5276" s="1" t="str">
        <f t="shared" ca="1" si="330"/>
        <v/>
      </c>
      <c r="I5276" s="1" t="str">
        <f t="shared" si="331"/>
        <v>威尔新数值1.06.xlsm!suitPower</v>
      </c>
    </row>
    <row r="5277" spans="1:9" x14ac:dyDescent="0.15">
      <c r="A5277" s="1">
        <v>5276</v>
      </c>
      <c r="B5277" s="1">
        <v>104090202</v>
      </c>
      <c r="C5277" s="1">
        <f t="shared" si="333"/>
        <v>13</v>
      </c>
      <c r="D5277" s="5">
        <f ca="1">IF(getQuality(B5277)&lt;4,getOtherMin(B5277,C5277,INDIRECT(J$2),INDIRECT(I5277),test),getMin(B5277,C5277,INDIRECT(J$2),INDIRECT(I5277),test))</f>
        <v>241.09224136590373</v>
      </c>
      <c r="E5277" s="5">
        <f ca="1">IF(getQuality(B5277)&lt;4,getOtherMax(B5277,C5277,INDIRECT(J$2),INDIRECT(I5277),test),getMax(B5277,C5277,INDIRECT(J$2),INDIRECT(I5277),test))</f>
        <v>285.90771561591328</v>
      </c>
      <c r="F5277" s="1" t="str">
        <f t="shared" si="332"/>
        <v>50</v>
      </c>
      <c r="G5277" s="1" t="str">
        <f t="shared" ca="1" si="330"/>
        <v/>
      </c>
      <c r="I5277" s="1" t="str">
        <f t="shared" si="331"/>
        <v>威尔新数值1.06.xlsm!suitPower</v>
      </c>
    </row>
    <row r="5278" spans="1:9" x14ac:dyDescent="0.15">
      <c r="A5278" s="1">
        <v>5277</v>
      </c>
      <c r="B5278" s="1">
        <v>104090202</v>
      </c>
      <c r="C5278" s="1">
        <f t="shared" si="333"/>
        <v>14</v>
      </c>
      <c r="D5278" s="5">
        <f ca="1">IF(getQuality(B5278)&lt;4,getOtherMin(B5278,C5278,INDIRECT(J$2),INDIRECT(I5278),test),getMin(B5278,C5278,INDIRECT(J$2),INDIRECT(I5278),test))</f>
        <v>241.09224136590373</v>
      </c>
      <c r="E5278" s="5">
        <f ca="1">IF(getQuality(B5278)&lt;4,getOtherMax(B5278,C5278,INDIRECT(J$2),INDIRECT(I5278),test),getMax(B5278,C5278,INDIRECT(J$2),INDIRECT(I5278),test))</f>
        <v>285.90771561591328</v>
      </c>
      <c r="F5278" s="1" t="str">
        <f t="shared" si="332"/>
        <v>50</v>
      </c>
      <c r="G5278" s="1" t="str">
        <f t="shared" ca="1" si="330"/>
        <v/>
      </c>
      <c r="I5278" s="1" t="str">
        <f t="shared" si="331"/>
        <v>威尔新数值1.06.xlsm!suitPower</v>
      </c>
    </row>
    <row r="5279" spans="1:9" x14ac:dyDescent="0.15">
      <c r="A5279" s="1">
        <v>5278</v>
      </c>
      <c r="B5279" s="1">
        <v>104090202</v>
      </c>
      <c r="C5279" s="1">
        <f t="shared" si="333"/>
        <v>15</v>
      </c>
      <c r="D5279" s="5">
        <f ca="1">IF(getQuality(B5279)&lt;4,getOtherMin(B5279,C5279,INDIRECT(J$2),INDIRECT(I5279),test),getMin(B5279,C5279,INDIRECT(J$2),INDIRECT(I5279),test))</f>
        <v>241.09224136590373</v>
      </c>
      <c r="E5279" s="5">
        <f ca="1">IF(getQuality(B5279)&lt;4,getOtherMax(B5279,C5279,INDIRECT(J$2),INDIRECT(I5279),test),getMax(B5279,C5279,INDIRECT(J$2),INDIRECT(I5279),test))</f>
        <v>285.90771561591328</v>
      </c>
      <c r="F5279" s="1" t="str">
        <f t="shared" si="332"/>
        <v>50</v>
      </c>
      <c r="G5279" s="1" t="str">
        <f t="shared" ca="1" si="330"/>
        <v/>
      </c>
      <c r="I5279" s="1" t="str">
        <f t="shared" si="331"/>
        <v>威尔新数值1.06.xlsm!suitPower</v>
      </c>
    </row>
    <row r="5280" spans="1:9" x14ac:dyDescent="0.15">
      <c r="A5280" s="1">
        <v>5279</v>
      </c>
      <c r="B5280" s="1">
        <v>104090202</v>
      </c>
      <c r="C5280" s="1">
        <f t="shared" si="333"/>
        <v>101</v>
      </c>
      <c r="D5280" s="5">
        <f ca="1">IF(getQuality(B5280)&lt;4,getOtherMin(B5280,C5280,INDIRECT(J$2),INDIRECT(I5280),test),getMin(B5280,C5280,INDIRECT(J$2),INDIRECT(I5280),test))</f>
        <v>0.16</v>
      </c>
      <c r="E5280" s="5">
        <f ca="1">IF(getQuality(B5280)&lt;4,getOtherMax(B5280,C5280,INDIRECT(J$2),INDIRECT(I5280),test),getMax(B5280,C5280,INDIRECT(J$2),INDIRECT(I5280),test))</f>
        <v>0.19</v>
      </c>
      <c r="F5280" s="1" t="str">
        <f t="shared" si="332"/>
        <v>50</v>
      </c>
      <c r="G5280" s="1" t="str">
        <f t="shared" ca="1" si="330"/>
        <v/>
      </c>
      <c r="I5280" s="1" t="str">
        <f t="shared" si="331"/>
        <v>威尔新数值1.06.xlsm!circlePer</v>
      </c>
    </row>
    <row r="5281" spans="1:9" x14ac:dyDescent="0.15">
      <c r="A5281" s="1">
        <v>5280</v>
      </c>
      <c r="B5281" s="1">
        <v>104090202</v>
      </c>
      <c r="C5281" s="1">
        <f t="shared" si="333"/>
        <v>102</v>
      </c>
      <c r="D5281" s="5">
        <f ca="1">IF(getQuality(B5281)&lt;4,getOtherMin(B5281,C5281,INDIRECT(J$2),INDIRECT(I5281),test),getMin(B5281,C5281,INDIRECT(J$2),INDIRECT(I5281),test))</f>
        <v>1.4</v>
      </c>
      <c r="E5281" s="5">
        <f ca="1">IF(getQuality(B5281)&lt;4,getOtherMax(B5281,C5281,INDIRECT(J$2),INDIRECT(I5281),test),getMax(B5281,C5281,INDIRECT(J$2),INDIRECT(I5281),test))</f>
        <v>1.8</v>
      </c>
      <c r="F5281" s="1" t="str">
        <f t="shared" si="332"/>
        <v>50</v>
      </c>
      <c r="G5281" s="1" t="str">
        <f t="shared" ca="1" si="330"/>
        <v/>
      </c>
      <c r="I5281" s="1" t="str">
        <f t="shared" si="331"/>
        <v>威尔新数值1.06.xlsm!circleValue</v>
      </c>
    </row>
    <row r="5282" spans="1:9" x14ac:dyDescent="0.15">
      <c r="A5282" s="1">
        <v>5281</v>
      </c>
      <c r="B5282" s="1">
        <v>104090202</v>
      </c>
      <c r="C5282" s="1">
        <f t="shared" si="333"/>
        <v>103</v>
      </c>
      <c r="D5282" s="5">
        <f ca="1">IF(getQuality(B5282)&lt;4,getOtherMin(B5282,C5282,INDIRECT(J$2),INDIRECT(I5282),test),getMin(B5282,C5282,INDIRECT(J$2),INDIRECT(I5282),test))</f>
        <v>0.16</v>
      </c>
      <c r="E5282" s="5">
        <f ca="1">IF(getQuality(B5282)&lt;4,getOtherMax(B5282,C5282,INDIRECT(J$2),INDIRECT(I5282),test),getMax(B5282,C5282,INDIRECT(J$2),INDIRECT(I5282),test))</f>
        <v>0.19</v>
      </c>
      <c r="F5282" s="1" t="str">
        <f t="shared" si="332"/>
        <v>50</v>
      </c>
      <c r="G5282" s="1" t="str">
        <f t="shared" ca="1" si="330"/>
        <v/>
      </c>
      <c r="I5282" s="1" t="str">
        <f t="shared" si="331"/>
        <v>威尔新数值1.06.xlsm!otherDamage</v>
      </c>
    </row>
    <row r="5283" spans="1:9" x14ac:dyDescent="0.15">
      <c r="A5283" s="1">
        <v>5282</v>
      </c>
      <c r="B5283" s="1">
        <v>104090202</v>
      </c>
      <c r="C5283" s="1">
        <f t="shared" si="333"/>
        <v>104</v>
      </c>
      <c r="D5283" s="5">
        <f ca="1">IF(getQuality(B5283)&lt;4,getOtherMin(B5283,C5283,INDIRECT(J$2),INDIRECT(I5283),test),getMin(B5283,C5283,INDIRECT(J$2),INDIRECT(I5283),test))</f>
        <v>0.15</v>
      </c>
      <c r="E5283" s="5">
        <f ca="1">IF(getQuality(B5283)&lt;4,getOtherMax(B5283,C5283,INDIRECT(J$2),INDIRECT(I5283),test),getMax(B5283,C5283,INDIRECT(J$2),INDIRECT(I5283),test))</f>
        <v>0.3</v>
      </c>
      <c r="F5283" s="1" t="str">
        <f t="shared" si="332"/>
        <v>50</v>
      </c>
      <c r="G5283" s="1" t="str">
        <f t="shared" ca="1" si="330"/>
        <v/>
      </c>
      <c r="I5283" s="1" t="str">
        <f t="shared" si="331"/>
        <v>威尔新数值1.06.xlsm!monsterDamage</v>
      </c>
    </row>
    <row r="5284" spans="1:9" x14ac:dyDescent="0.15">
      <c r="A5284" s="1">
        <v>5283</v>
      </c>
      <c r="B5284" s="1">
        <v>104090202</v>
      </c>
      <c r="C5284" s="1">
        <f t="shared" si="333"/>
        <v>105</v>
      </c>
      <c r="D5284" s="5">
        <f ca="1">IF(getQuality(B5284)&lt;4,getOtherMin(B5284,C5284,INDIRECT(J$2),INDIRECT(I5284),test),getMin(B5284,C5284,INDIRECT(J$2),INDIRECT(I5284),test))</f>
        <v>0.15</v>
      </c>
      <c r="E5284" s="5">
        <f ca="1">IF(getQuality(B5284)&lt;4,getOtherMax(B5284,C5284,INDIRECT(J$2),INDIRECT(I5284),test),getMax(B5284,C5284,INDIRECT(J$2),INDIRECT(I5284),test))</f>
        <v>0.3</v>
      </c>
      <c r="F5284" s="1" t="str">
        <f t="shared" si="332"/>
        <v>50</v>
      </c>
      <c r="G5284" s="1" t="str">
        <f t="shared" ca="1" si="330"/>
        <v/>
      </c>
      <c r="I5284" s="1" t="str">
        <f t="shared" si="331"/>
        <v>威尔新数值1.06.xlsm!monsterDamage</v>
      </c>
    </row>
    <row r="5285" spans="1:9" x14ac:dyDescent="0.15">
      <c r="A5285" s="1">
        <v>5284</v>
      </c>
      <c r="B5285" s="1">
        <v>104090202</v>
      </c>
      <c r="C5285" s="1">
        <f t="shared" si="333"/>
        <v>106</v>
      </c>
      <c r="D5285" s="5">
        <f ca="1">IF(getQuality(B5285)&lt;4,getOtherMin(B5285,C5285,INDIRECT(J$2),INDIRECT(I5285),test),getMin(B5285,C5285,INDIRECT(J$2),INDIRECT(I5285),test))</f>
        <v>0.15</v>
      </c>
      <c r="E5285" s="5">
        <f ca="1">IF(getQuality(B5285)&lt;4,getOtherMax(B5285,C5285,INDIRECT(J$2),INDIRECT(I5285),test),getMax(B5285,C5285,INDIRECT(J$2),INDIRECT(I5285),test))</f>
        <v>0.3</v>
      </c>
      <c r="F5285" s="1" t="str">
        <f t="shared" si="332"/>
        <v>50</v>
      </c>
      <c r="G5285" s="1" t="str">
        <f t="shared" ca="1" si="330"/>
        <v/>
      </c>
      <c r="I5285" s="1" t="str">
        <f t="shared" si="331"/>
        <v>威尔新数值1.06.xlsm!monsterDamage</v>
      </c>
    </row>
    <row r="5286" spans="1:9" x14ac:dyDescent="0.15">
      <c r="A5286" s="1">
        <v>5285</v>
      </c>
      <c r="B5286" s="1">
        <v>104090202</v>
      </c>
      <c r="C5286" s="1">
        <f t="shared" si="333"/>
        <v>107</v>
      </c>
      <c r="D5286" s="5">
        <f ca="1">IF(getQuality(B5286)&lt;4,getOtherMin(B5286,C5286,INDIRECT(J$2),INDIRECT(I5286),test),getMin(B5286,C5286,INDIRECT(J$2),INDIRECT(I5286),test))</f>
        <v>0.15</v>
      </c>
      <c r="E5286" s="5">
        <f ca="1">IF(getQuality(B5286)&lt;4,getOtherMax(B5286,C5286,INDIRECT(J$2),INDIRECT(I5286),test),getMax(B5286,C5286,INDIRECT(J$2),INDIRECT(I5286),test))</f>
        <v>0.3</v>
      </c>
      <c r="F5286" s="1" t="str">
        <f t="shared" si="332"/>
        <v>50</v>
      </c>
      <c r="G5286" s="1" t="str">
        <f t="shared" ca="1" si="330"/>
        <v/>
      </c>
      <c r="I5286" s="1" t="str">
        <f t="shared" si="331"/>
        <v>威尔新数值1.06.xlsm!monsterDamage</v>
      </c>
    </row>
    <row r="5287" spans="1:9" x14ac:dyDescent="0.15">
      <c r="A5287" s="1">
        <v>5286</v>
      </c>
      <c r="B5287" s="1">
        <v>104090202</v>
      </c>
      <c r="C5287" s="1">
        <f t="shared" si="333"/>
        <v>108</v>
      </c>
      <c r="D5287" s="5">
        <f ca="1">IF(getQuality(B5287)&lt;4,getOtherMin(B5287,C5287,INDIRECT(J$2),INDIRECT(I5287),test),getMin(B5287,C5287,INDIRECT(J$2),INDIRECT(I5287),test))</f>
        <v>0.15</v>
      </c>
      <c r="E5287" s="5">
        <f ca="1">IF(getQuality(B5287)&lt;4,getOtherMax(B5287,C5287,INDIRECT(J$2),INDIRECT(I5287),test),getMax(B5287,C5287,INDIRECT(J$2),INDIRECT(I5287),test))</f>
        <v>0.3</v>
      </c>
      <c r="F5287" s="1" t="str">
        <f t="shared" si="332"/>
        <v>50</v>
      </c>
      <c r="G5287" s="1" t="str">
        <f t="shared" ref="G5287:G5350" ca="1" si="334">getMust(B5287,C5287)</f>
        <v/>
      </c>
      <c r="I5287" s="1" t="str">
        <f t="shared" si="331"/>
        <v>威尔新数值1.06.xlsm!monsterDamage</v>
      </c>
    </row>
    <row r="5288" spans="1:9" x14ac:dyDescent="0.15">
      <c r="A5288" s="1">
        <v>5287</v>
      </c>
      <c r="B5288" s="1">
        <v>204091402</v>
      </c>
      <c r="C5288" s="1">
        <f t="shared" si="333"/>
        <v>1</v>
      </c>
      <c r="D5288" s="5">
        <f ca="1">IF(getQuality(B5288)&lt;4,getOtherMin(B5288,C5288,INDIRECT(J$2),INDIRECT(I5288),test),getMin(B5288,C5288,INDIRECT(J$2),INDIRECT(I5288),test))</f>
        <v>782.24444444444441</v>
      </c>
      <c r="E5288" s="5">
        <f ca="1">IF(getQuality(B5288)&lt;4,getOtherMax(B5288,C5288,INDIRECT(J$2),INDIRECT(I5288),test),getMax(B5288,C5288,INDIRECT(J$2),INDIRECT(I5288),test))</f>
        <v>930.32499999999993</v>
      </c>
      <c r="F5288" s="1" t="str">
        <f t="shared" si="332"/>
        <v>50</v>
      </c>
      <c r="G5288" s="1" t="str">
        <f t="shared" ca="1" si="334"/>
        <v/>
      </c>
      <c r="I5288" s="1" t="str">
        <f t="shared" si="331"/>
        <v>威尔新数值1.06.xlsm!suitPower</v>
      </c>
    </row>
    <row r="5289" spans="1:9" x14ac:dyDescent="0.15">
      <c r="A5289" s="1">
        <v>5288</v>
      </c>
      <c r="B5289" s="1">
        <v>204091402</v>
      </c>
      <c r="C5289" s="1">
        <f t="shared" si="333"/>
        <v>2</v>
      </c>
      <c r="D5289" s="5">
        <f ca="1">IF(getQuality(B5289)&lt;4,getOtherMin(B5289,C5289,INDIRECT(J$2),INDIRECT(I5289),test),getMin(B5289,C5289,INDIRECT(J$2),INDIRECT(I5289),test))</f>
        <v>42.777777777777779</v>
      </c>
      <c r="E5289" s="5">
        <f ca="1">IF(getQuality(B5289)&lt;4,getOtherMax(B5289,C5289,INDIRECT(J$2),INDIRECT(I5289),test),getMax(B5289,C5289,INDIRECT(J$2),INDIRECT(I5289),test))</f>
        <v>49.75</v>
      </c>
      <c r="F5289" s="1" t="str">
        <f t="shared" si="332"/>
        <v>50</v>
      </c>
      <c r="G5289" s="1" t="str">
        <f t="shared" ca="1" si="334"/>
        <v/>
      </c>
      <c r="I5289" s="1" t="str">
        <f t="shared" si="331"/>
        <v>威尔新数值1.06.xlsm!suitPower</v>
      </c>
    </row>
    <row r="5290" spans="1:9" x14ac:dyDescent="0.15">
      <c r="A5290" s="1">
        <v>5289</v>
      </c>
      <c r="B5290" s="1">
        <v>204091402</v>
      </c>
      <c r="C5290" s="1">
        <f t="shared" si="333"/>
        <v>4</v>
      </c>
      <c r="D5290" s="5">
        <f ca="1">IF(getQuality(B5290)&lt;4,getOtherMin(B5290,C5290,INDIRECT(J$2),INDIRECT(I5290),test),getMin(B5290,C5290,INDIRECT(J$2),INDIRECT(I5290),test))</f>
        <v>334.33333333333331</v>
      </c>
      <c r="E5290" s="5">
        <f ca="1">IF(getQuality(B5290)&lt;4,getOtherMax(B5290,C5290,INDIRECT(J$2),INDIRECT(I5290),test),getMax(B5290,C5290,INDIRECT(J$2),INDIRECT(I5290),test))</f>
        <v>375</v>
      </c>
      <c r="F5290" s="1" t="str">
        <f t="shared" si="332"/>
        <v>50</v>
      </c>
      <c r="G5290" s="1" t="str">
        <f t="shared" ca="1" si="334"/>
        <v>1</v>
      </c>
      <c r="I5290" s="1" t="str">
        <f t="shared" si="331"/>
        <v>威尔新数值1.06.xlsm!suitPower</v>
      </c>
    </row>
    <row r="5291" spans="1:9" x14ac:dyDescent="0.15">
      <c r="A5291" s="1">
        <v>5290</v>
      </c>
      <c r="B5291" s="1">
        <v>204091402</v>
      </c>
      <c r="C5291" s="1">
        <f t="shared" si="333"/>
        <v>6</v>
      </c>
      <c r="D5291" s="5">
        <f ca="1">IF(getQuality(B5291)&lt;4,getOtherMin(B5291,C5291,INDIRECT(J$2),INDIRECT(I5291),test),getMin(B5291,C5291,INDIRECT(J$2),INDIRECT(I5291),test))</f>
        <v>301</v>
      </c>
      <c r="E5291" s="5">
        <f ca="1">IF(getQuality(B5291)&lt;4,getOtherMax(B5291,C5291,INDIRECT(J$2),INDIRECT(I5291),test),getMax(B5291,C5291,INDIRECT(J$2),INDIRECT(I5291),test))</f>
        <v>337.5</v>
      </c>
      <c r="F5291" s="1" t="str">
        <f t="shared" si="332"/>
        <v>50</v>
      </c>
      <c r="G5291" s="1" t="str">
        <f t="shared" ca="1" si="334"/>
        <v/>
      </c>
      <c r="I5291" s="1" t="str">
        <f t="shared" si="331"/>
        <v>威尔新数值1.06.xlsm!suitPower</v>
      </c>
    </row>
    <row r="5292" spans="1:9" x14ac:dyDescent="0.15">
      <c r="A5292" s="1">
        <v>5291</v>
      </c>
      <c r="B5292" s="1">
        <v>204091402</v>
      </c>
      <c r="C5292" s="1">
        <f t="shared" si="333"/>
        <v>7</v>
      </c>
      <c r="D5292" s="5">
        <f ca="1">IF(getQuality(B5292)&lt;4,getOtherMin(B5292,C5292,INDIRECT(J$2),INDIRECT(I5292),test),getMin(B5292,C5292,INDIRECT(J$2),INDIRECT(I5292),test))</f>
        <v>23.222222222222221</v>
      </c>
      <c r="E5292" s="5">
        <f ca="1">IF(getQuality(B5292)&lt;4,getOtherMax(B5292,C5292,INDIRECT(J$2),INDIRECT(I5292),test),getMax(B5292,C5292,INDIRECT(J$2),INDIRECT(I5292),test))</f>
        <v>25</v>
      </c>
      <c r="F5292" s="1" t="str">
        <f t="shared" si="332"/>
        <v>50</v>
      </c>
      <c r="G5292" s="1" t="str">
        <f t="shared" ca="1" si="334"/>
        <v/>
      </c>
      <c r="I5292" s="1" t="str">
        <f t="shared" si="331"/>
        <v>威尔新数值1.06.xlsm!suitPower</v>
      </c>
    </row>
    <row r="5293" spans="1:9" x14ac:dyDescent="0.15">
      <c r="A5293" s="1">
        <v>5292</v>
      </c>
      <c r="B5293" s="1">
        <v>204091402</v>
      </c>
      <c r="C5293" s="1">
        <f t="shared" si="333"/>
        <v>8</v>
      </c>
      <c r="D5293" s="5">
        <f ca="1">IF(getQuality(B5293)&lt;4,getOtherMin(B5293,C5293,INDIRECT(J$2),INDIRECT(I5293),test),getMin(B5293,C5293,INDIRECT(J$2),INDIRECT(I5293),test))</f>
        <v>67.666666666666671</v>
      </c>
      <c r="E5293" s="5">
        <f ca="1">IF(getQuality(B5293)&lt;4,getOtherMax(B5293,C5293,INDIRECT(J$2),INDIRECT(I5293),test),getMax(B5293,C5293,INDIRECT(J$2),INDIRECT(I5293),test))</f>
        <v>75</v>
      </c>
      <c r="F5293" s="1" t="str">
        <f t="shared" si="332"/>
        <v>50</v>
      </c>
      <c r="G5293" s="1" t="str">
        <f t="shared" ca="1" si="334"/>
        <v/>
      </c>
      <c r="I5293" s="1" t="str">
        <f t="shared" si="331"/>
        <v>威尔新数值1.06.xlsm!suitPower</v>
      </c>
    </row>
    <row r="5294" spans="1:9" x14ac:dyDescent="0.15">
      <c r="A5294" s="1">
        <v>5293</v>
      </c>
      <c r="B5294" s="1">
        <v>204091402</v>
      </c>
      <c r="C5294" s="1">
        <f t="shared" si="333"/>
        <v>16</v>
      </c>
      <c r="D5294" s="5">
        <f ca="1">IF(getQuality(B5294)&lt;4,getOtherMin(B5294,C5294,INDIRECT(J$2),INDIRECT(I5294),test),getMin(B5294,C5294,INDIRECT(J$2),INDIRECT(I5294),test))</f>
        <v>81</v>
      </c>
      <c r="E5294" s="5">
        <f ca="1">IF(getQuality(B5294)&lt;4,getOtherMax(B5294,C5294,INDIRECT(J$2),INDIRECT(I5294),test),getMax(B5294,C5294,INDIRECT(J$2),INDIRECT(I5294),test))</f>
        <v>90</v>
      </c>
      <c r="F5294" s="1" t="str">
        <f t="shared" si="332"/>
        <v>50</v>
      </c>
      <c r="G5294" s="1" t="str">
        <f t="shared" ca="1" si="334"/>
        <v/>
      </c>
      <c r="I5294" s="1" t="str">
        <f t="shared" si="331"/>
        <v>威尔新数值1.06.xlsm!suitPower</v>
      </c>
    </row>
    <row r="5295" spans="1:9" x14ac:dyDescent="0.15">
      <c r="A5295" s="1">
        <v>5294</v>
      </c>
      <c r="B5295" s="1">
        <v>204091402</v>
      </c>
      <c r="C5295" s="1">
        <f t="shared" si="333"/>
        <v>17</v>
      </c>
      <c r="D5295" s="5">
        <f ca="1">IF(getQuality(B5295)&lt;4,getOtherMin(B5295,C5295,INDIRECT(J$2),INDIRECT(I5295),test),getMin(B5295,C5295,INDIRECT(J$2),INDIRECT(I5295),test))</f>
        <v>81</v>
      </c>
      <c r="E5295" s="5">
        <f ca="1">IF(getQuality(B5295)&lt;4,getOtherMax(B5295,C5295,INDIRECT(J$2),INDIRECT(I5295),test),getMax(B5295,C5295,INDIRECT(J$2),INDIRECT(I5295),test))</f>
        <v>90</v>
      </c>
      <c r="F5295" s="1" t="str">
        <f t="shared" si="332"/>
        <v>50</v>
      </c>
      <c r="G5295" s="1" t="str">
        <f t="shared" ca="1" si="334"/>
        <v/>
      </c>
      <c r="I5295" s="1" t="str">
        <f t="shared" si="331"/>
        <v>威尔新数值1.06.xlsm!suitPower</v>
      </c>
    </row>
    <row r="5296" spans="1:9" x14ac:dyDescent="0.15">
      <c r="A5296" s="1">
        <v>5295</v>
      </c>
      <c r="B5296" s="1">
        <v>204091402</v>
      </c>
      <c r="C5296" s="1">
        <f t="shared" si="333"/>
        <v>18</v>
      </c>
      <c r="D5296" s="5">
        <f ca="1">IF(getQuality(B5296)&lt;4,getOtherMin(B5296,C5296,INDIRECT(J$2),INDIRECT(I5296),test),getMin(B5296,C5296,INDIRECT(J$2),INDIRECT(I5296),test))</f>
        <v>121.00000000000001</v>
      </c>
      <c r="E5296" s="5">
        <f ca="1">IF(getQuality(B5296)&lt;4,getOtherMax(B5296,C5296,INDIRECT(J$2),INDIRECT(I5296),test),getMax(B5296,C5296,INDIRECT(J$2),INDIRECT(I5296),test))</f>
        <v>135</v>
      </c>
      <c r="F5296" s="1" t="str">
        <f t="shared" si="332"/>
        <v>50</v>
      </c>
      <c r="G5296" s="1" t="str">
        <f t="shared" ca="1" si="334"/>
        <v/>
      </c>
      <c r="I5296" s="1" t="str">
        <f t="shared" si="331"/>
        <v>威尔新数值1.06.xlsm!suitPower</v>
      </c>
    </row>
    <row r="5297" spans="1:9" x14ac:dyDescent="0.15">
      <c r="A5297" s="1">
        <v>5296</v>
      </c>
      <c r="B5297" s="1">
        <v>204091402</v>
      </c>
      <c r="C5297" s="1">
        <f t="shared" si="333"/>
        <v>19</v>
      </c>
      <c r="D5297" s="5">
        <f ca="1">IF(getQuality(B5297)&lt;4,getOtherMin(B5297,C5297,INDIRECT(J$2),INDIRECT(I5297),test),getMin(B5297,C5297,INDIRECT(J$2),INDIRECT(I5297),test))</f>
        <v>81</v>
      </c>
      <c r="E5297" s="5">
        <f ca="1">IF(getQuality(B5297)&lt;4,getOtherMax(B5297,C5297,INDIRECT(J$2),INDIRECT(I5297),test),getMax(B5297,C5297,INDIRECT(J$2),INDIRECT(I5297),test))</f>
        <v>90</v>
      </c>
      <c r="F5297" s="1" t="str">
        <f t="shared" si="332"/>
        <v>50</v>
      </c>
      <c r="G5297" s="1" t="str">
        <f t="shared" ca="1" si="334"/>
        <v/>
      </c>
      <c r="I5297" s="1" t="str">
        <f t="shared" si="331"/>
        <v>威尔新数值1.06.xlsm!suitPower</v>
      </c>
    </row>
    <row r="5298" spans="1:9" x14ac:dyDescent="0.15">
      <c r="A5298" s="1">
        <v>5297</v>
      </c>
      <c r="B5298" s="1">
        <v>204091402</v>
      </c>
      <c r="C5298" s="1">
        <f t="shared" si="333"/>
        <v>20</v>
      </c>
      <c r="D5298" s="5">
        <f ca="1">IF(getQuality(B5298)&lt;4,getOtherMin(B5298,C5298,INDIRECT(J$2),INDIRECT(I5298),test),getMin(B5298,C5298,INDIRECT(J$2),INDIRECT(I5298),test))</f>
        <v>81</v>
      </c>
      <c r="E5298" s="5">
        <f ca="1">IF(getQuality(B5298)&lt;4,getOtherMax(B5298,C5298,INDIRECT(J$2),INDIRECT(I5298),test),getMax(B5298,C5298,INDIRECT(J$2),INDIRECT(I5298),test))</f>
        <v>90</v>
      </c>
      <c r="F5298" s="1" t="str">
        <f t="shared" si="332"/>
        <v>50</v>
      </c>
      <c r="G5298" s="1" t="str">
        <f t="shared" ca="1" si="334"/>
        <v/>
      </c>
      <c r="I5298" s="1" t="str">
        <f t="shared" si="331"/>
        <v>威尔新数值1.06.xlsm!suitPower</v>
      </c>
    </row>
    <row r="5299" spans="1:9" x14ac:dyDescent="0.15">
      <c r="A5299" s="1">
        <v>5298</v>
      </c>
      <c r="B5299" s="1">
        <v>204091402</v>
      </c>
      <c r="C5299" s="1">
        <f t="shared" si="333"/>
        <v>21</v>
      </c>
      <c r="D5299" s="5">
        <f ca="1">IF(getQuality(B5299)&lt;4,getOtherMin(B5299,C5299,INDIRECT(J$2),INDIRECT(I5299),test),getMin(B5299,C5299,INDIRECT(J$2),INDIRECT(I5299),test))</f>
        <v>81</v>
      </c>
      <c r="E5299" s="5">
        <f ca="1">IF(getQuality(B5299)&lt;4,getOtherMax(B5299,C5299,INDIRECT(J$2),INDIRECT(I5299),test),getMax(B5299,C5299,INDIRECT(J$2),INDIRECT(I5299),test))</f>
        <v>90</v>
      </c>
      <c r="F5299" s="1" t="str">
        <f t="shared" si="332"/>
        <v>50</v>
      </c>
      <c r="G5299" s="1" t="str">
        <f t="shared" ca="1" si="334"/>
        <v/>
      </c>
      <c r="I5299" s="1" t="str">
        <f t="shared" si="331"/>
        <v>威尔新数值1.06.xlsm!suitPower</v>
      </c>
    </row>
    <row r="5300" spans="1:9" x14ac:dyDescent="0.15">
      <c r="A5300" s="1">
        <v>5299</v>
      </c>
      <c r="B5300" s="1">
        <v>204091402</v>
      </c>
      <c r="C5300" s="1">
        <f t="shared" si="333"/>
        <v>22</v>
      </c>
      <c r="D5300" s="5">
        <f ca="1">IF(getQuality(B5300)&lt;4,getOtherMin(B5300,C5300,INDIRECT(J$2),INDIRECT(I5300),test),getMin(B5300,C5300,INDIRECT(J$2),INDIRECT(I5300),test))</f>
        <v>81</v>
      </c>
      <c r="E5300" s="5">
        <f ca="1">IF(getQuality(B5300)&lt;4,getOtherMax(B5300,C5300,INDIRECT(J$2),INDIRECT(I5300),test),getMax(B5300,C5300,INDIRECT(J$2),INDIRECT(I5300),test))</f>
        <v>90</v>
      </c>
      <c r="F5300" s="1" t="str">
        <f t="shared" si="332"/>
        <v>50</v>
      </c>
      <c r="G5300" s="1" t="str">
        <f t="shared" ca="1" si="334"/>
        <v/>
      </c>
      <c r="I5300" s="1" t="str">
        <f t="shared" si="331"/>
        <v>威尔新数值1.06.xlsm!suitPower</v>
      </c>
    </row>
    <row r="5301" spans="1:9" x14ac:dyDescent="0.15">
      <c r="A5301" s="1">
        <v>5300</v>
      </c>
      <c r="B5301" s="1">
        <v>204091402</v>
      </c>
      <c r="C5301" s="1">
        <f t="shared" si="333"/>
        <v>23</v>
      </c>
      <c r="D5301" s="5">
        <f ca="1">IF(getQuality(B5301)&lt;4,getOtherMin(B5301,C5301,INDIRECT(J$2),INDIRECT(I5301),test),getMin(B5301,C5301,INDIRECT(J$2),INDIRECT(I5301),test))</f>
        <v>81</v>
      </c>
      <c r="E5301" s="5">
        <f ca="1">IF(getQuality(B5301)&lt;4,getOtherMax(B5301,C5301,INDIRECT(J$2),INDIRECT(I5301),test),getMax(B5301,C5301,INDIRECT(J$2),INDIRECT(I5301),test))</f>
        <v>90</v>
      </c>
      <c r="F5301" s="1" t="str">
        <f t="shared" si="332"/>
        <v>50</v>
      </c>
      <c r="G5301" s="1" t="str">
        <f t="shared" ca="1" si="334"/>
        <v/>
      </c>
      <c r="I5301" s="1" t="str">
        <f t="shared" si="331"/>
        <v>威尔新数值1.06.xlsm!suitPower</v>
      </c>
    </row>
    <row r="5302" spans="1:9" x14ac:dyDescent="0.15">
      <c r="A5302" s="1">
        <v>5301</v>
      </c>
      <c r="B5302" s="1">
        <v>304091502</v>
      </c>
      <c r="C5302" s="1">
        <f t="shared" si="333"/>
        <v>1</v>
      </c>
      <c r="D5302" s="5">
        <f ca="1">IF(getQuality(B5302)&lt;4,getOtherMin(B5302,C5302,INDIRECT(J$2),INDIRECT(I5302),test),getMin(B5302,C5302,INDIRECT(J$2),INDIRECT(I5302),test))</f>
        <v>782.24444444444441</v>
      </c>
      <c r="E5302" s="5">
        <f ca="1">IF(getQuality(B5302)&lt;4,getOtherMax(B5302,C5302,INDIRECT(J$2),INDIRECT(I5302),test),getMax(B5302,C5302,INDIRECT(J$2),INDIRECT(I5302),test))</f>
        <v>930.32499999999993</v>
      </c>
      <c r="F5302" s="1" t="str">
        <f t="shared" si="332"/>
        <v>50</v>
      </c>
      <c r="G5302" s="1" t="str">
        <f t="shared" ca="1" si="334"/>
        <v/>
      </c>
      <c r="I5302" s="1" t="str">
        <f t="shared" si="331"/>
        <v>威尔新数值1.06.xlsm!suitPower</v>
      </c>
    </row>
    <row r="5303" spans="1:9" x14ac:dyDescent="0.15">
      <c r="A5303" s="1">
        <v>5302</v>
      </c>
      <c r="B5303" s="1">
        <v>304091502</v>
      </c>
      <c r="C5303" s="1">
        <f t="shared" si="333"/>
        <v>2</v>
      </c>
      <c r="D5303" s="5">
        <f ca="1">IF(getQuality(B5303)&lt;4,getOtherMin(B5303,C5303,INDIRECT(J$2),INDIRECT(I5303),test),getMin(B5303,C5303,INDIRECT(J$2),INDIRECT(I5303),test))</f>
        <v>42.777777777777779</v>
      </c>
      <c r="E5303" s="5">
        <f ca="1">IF(getQuality(B5303)&lt;4,getOtherMax(B5303,C5303,INDIRECT(J$2),INDIRECT(I5303),test),getMax(B5303,C5303,INDIRECT(J$2),INDIRECT(I5303),test))</f>
        <v>49.75</v>
      </c>
      <c r="F5303" s="1" t="str">
        <f t="shared" si="332"/>
        <v>50</v>
      </c>
      <c r="G5303" s="1" t="str">
        <f t="shared" ca="1" si="334"/>
        <v/>
      </c>
      <c r="I5303" s="1" t="str">
        <f t="shared" si="331"/>
        <v>威尔新数值1.06.xlsm!suitPower</v>
      </c>
    </row>
    <row r="5304" spans="1:9" x14ac:dyDescent="0.15">
      <c r="A5304" s="1">
        <v>5303</v>
      </c>
      <c r="B5304" s="1">
        <v>304091502</v>
      </c>
      <c r="C5304" s="1">
        <f t="shared" si="333"/>
        <v>4</v>
      </c>
      <c r="D5304" s="5">
        <f ca="1">IF(getQuality(B5304)&lt;4,getOtherMin(B5304,C5304,INDIRECT(J$2),INDIRECT(I5304),test),getMin(B5304,C5304,INDIRECT(J$2),INDIRECT(I5304),test))</f>
        <v>334.33333333333331</v>
      </c>
      <c r="E5304" s="5">
        <f ca="1">IF(getQuality(B5304)&lt;4,getOtherMax(B5304,C5304,INDIRECT(J$2),INDIRECT(I5304),test),getMax(B5304,C5304,INDIRECT(J$2),INDIRECT(I5304),test))</f>
        <v>375</v>
      </c>
      <c r="F5304" s="1" t="str">
        <f t="shared" si="332"/>
        <v>50</v>
      </c>
      <c r="G5304" s="1" t="str">
        <f t="shared" ca="1" si="334"/>
        <v>1</v>
      </c>
      <c r="I5304" s="1" t="str">
        <f t="shared" si="331"/>
        <v>威尔新数值1.06.xlsm!suitPower</v>
      </c>
    </row>
    <row r="5305" spans="1:9" x14ac:dyDescent="0.15">
      <c r="A5305" s="1">
        <v>5304</v>
      </c>
      <c r="B5305" s="1">
        <v>304091502</v>
      </c>
      <c r="C5305" s="1">
        <f t="shared" si="333"/>
        <v>6</v>
      </c>
      <c r="D5305" s="5">
        <f ca="1">IF(getQuality(B5305)&lt;4,getOtherMin(B5305,C5305,INDIRECT(J$2),INDIRECT(I5305),test),getMin(B5305,C5305,INDIRECT(J$2),INDIRECT(I5305),test))</f>
        <v>301</v>
      </c>
      <c r="E5305" s="5">
        <f ca="1">IF(getQuality(B5305)&lt;4,getOtherMax(B5305,C5305,INDIRECT(J$2),INDIRECT(I5305),test),getMax(B5305,C5305,INDIRECT(J$2),INDIRECT(I5305),test))</f>
        <v>337.5</v>
      </c>
      <c r="F5305" s="1" t="str">
        <f t="shared" si="332"/>
        <v>50</v>
      </c>
      <c r="G5305" s="1" t="str">
        <f t="shared" ca="1" si="334"/>
        <v/>
      </c>
      <c r="I5305" s="1" t="str">
        <f t="shared" si="331"/>
        <v>威尔新数值1.06.xlsm!suitPower</v>
      </c>
    </row>
    <row r="5306" spans="1:9" x14ac:dyDescent="0.15">
      <c r="A5306" s="1">
        <v>5305</v>
      </c>
      <c r="B5306" s="1">
        <v>304091502</v>
      </c>
      <c r="C5306" s="1">
        <f t="shared" si="333"/>
        <v>7</v>
      </c>
      <c r="D5306" s="5">
        <f ca="1">IF(getQuality(B5306)&lt;4,getOtherMin(B5306,C5306,INDIRECT(J$2),INDIRECT(I5306),test),getMin(B5306,C5306,INDIRECT(J$2),INDIRECT(I5306),test))</f>
        <v>23.222222222222221</v>
      </c>
      <c r="E5306" s="5">
        <f ca="1">IF(getQuality(B5306)&lt;4,getOtherMax(B5306,C5306,INDIRECT(J$2),INDIRECT(I5306),test),getMax(B5306,C5306,INDIRECT(J$2),INDIRECT(I5306),test))</f>
        <v>25</v>
      </c>
      <c r="F5306" s="1" t="str">
        <f t="shared" si="332"/>
        <v>50</v>
      </c>
      <c r="G5306" s="1" t="str">
        <f t="shared" ca="1" si="334"/>
        <v/>
      </c>
      <c r="I5306" s="1" t="str">
        <f t="shared" si="331"/>
        <v>威尔新数值1.06.xlsm!suitPower</v>
      </c>
    </row>
    <row r="5307" spans="1:9" x14ac:dyDescent="0.15">
      <c r="A5307" s="1">
        <v>5306</v>
      </c>
      <c r="B5307" s="1">
        <v>304091502</v>
      </c>
      <c r="C5307" s="1">
        <f t="shared" si="333"/>
        <v>8</v>
      </c>
      <c r="D5307" s="5">
        <f ca="1">IF(getQuality(B5307)&lt;4,getOtherMin(B5307,C5307,INDIRECT(J$2),INDIRECT(I5307),test),getMin(B5307,C5307,INDIRECT(J$2),INDIRECT(I5307),test))</f>
        <v>67.666666666666671</v>
      </c>
      <c r="E5307" s="5">
        <f ca="1">IF(getQuality(B5307)&lt;4,getOtherMax(B5307,C5307,INDIRECT(J$2),INDIRECT(I5307),test),getMax(B5307,C5307,INDIRECT(J$2),INDIRECT(I5307),test))</f>
        <v>75</v>
      </c>
      <c r="F5307" s="1" t="str">
        <f t="shared" si="332"/>
        <v>50</v>
      </c>
      <c r="G5307" s="1" t="str">
        <f t="shared" ca="1" si="334"/>
        <v/>
      </c>
      <c r="I5307" s="1" t="str">
        <f t="shared" si="331"/>
        <v>威尔新数值1.06.xlsm!suitPower</v>
      </c>
    </row>
    <row r="5308" spans="1:9" x14ac:dyDescent="0.15">
      <c r="A5308" s="1">
        <v>5307</v>
      </c>
      <c r="B5308" s="1">
        <v>304091502</v>
      </c>
      <c r="C5308" s="1">
        <f t="shared" si="333"/>
        <v>16</v>
      </c>
      <c r="D5308" s="5">
        <f ca="1">IF(getQuality(B5308)&lt;4,getOtherMin(B5308,C5308,INDIRECT(J$2),INDIRECT(I5308),test),getMin(B5308,C5308,INDIRECT(J$2),INDIRECT(I5308),test))</f>
        <v>81</v>
      </c>
      <c r="E5308" s="5">
        <f ca="1">IF(getQuality(B5308)&lt;4,getOtherMax(B5308,C5308,INDIRECT(J$2),INDIRECT(I5308),test),getMax(B5308,C5308,INDIRECT(J$2),INDIRECT(I5308),test))</f>
        <v>90</v>
      </c>
      <c r="F5308" s="1" t="str">
        <f t="shared" si="332"/>
        <v>50</v>
      </c>
      <c r="G5308" s="1" t="str">
        <f t="shared" ca="1" si="334"/>
        <v/>
      </c>
      <c r="I5308" s="1" t="str">
        <f t="shared" si="331"/>
        <v>威尔新数值1.06.xlsm!suitPower</v>
      </c>
    </row>
    <row r="5309" spans="1:9" x14ac:dyDescent="0.15">
      <c r="A5309" s="1">
        <v>5308</v>
      </c>
      <c r="B5309" s="1">
        <v>304091502</v>
      </c>
      <c r="C5309" s="1">
        <f t="shared" si="333"/>
        <v>17</v>
      </c>
      <c r="D5309" s="5">
        <f ca="1">IF(getQuality(B5309)&lt;4,getOtherMin(B5309,C5309,INDIRECT(J$2),INDIRECT(I5309),test),getMin(B5309,C5309,INDIRECT(J$2),INDIRECT(I5309),test))</f>
        <v>81</v>
      </c>
      <c r="E5309" s="5">
        <f ca="1">IF(getQuality(B5309)&lt;4,getOtherMax(B5309,C5309,INDIRECT(J$2),INDIRECT(I5309),test),getMax(B5309,C5309,INDIRECT(J$2),INDIRECT(I5309),test))</f>
        <v>90</v>
      </c>
      <c r="F5309" s="1" t="str">
        <f t="shared" si="332"/>
        <v>50</v>
      </c>
      <c r="G5309" s="1" t="str">
        <f t="shared" ca="1" si="334"/>
        <v/>
      </c>
      <c r="I5309" s="1" t="str">
        <f t="shared" si="331"/>
        <v>威尔新数值1.06.xlsm!suitPower</v>
      </c>
    </row>
    <row r="5310" spans="1:9" x14ac:dyDescent="0.15">
      <c r="A5310" s="1">
        <v>5309</v>
      </c>
      <c r="B5310" s="1">
        <v>304091502</v>
      </c>
      <c r="C5310" s="1">
        <f t="shared" si="333"/>
        <v>18</v>
      </c>
      <c r="D5310" s="5">
        <f ca="1">IF(getQuality(B5310)&lt;4,getOtherMin(B5310,C5310,INDIRECT(J$2),INDIRECT(I5310),test),getMin(B5310,C5310,INDIRECT(J$2),INDIRECT(I5310),test))</f>
        <v>121.00000000000001</v>
      </c>
      <c r="E5310" s="5">
        <f ca="1">IF(getQuality(B5310)&lt;4,getOtherMax(B5310,C5310,INDIRECT(J$2),INDIRECT(I5310),test),getMax(B5310,C5310,INDIRECT(J$2),INDIRECT(I5310),test))</f>
        <v>135</v>
      </c>
      <c r="F5310" s="1" t="str">
        <f t="shared" si="332"/>
        <v>50</v>
      </c>
      <c r="G5310" s="1" t="str">
        <f t="shared" ca="1" si="334"/>
        <v/>
      </c>
      <c r="I5310" s="1" t="str">
        <f t="shared" si="331"/>
        <v>威尔新数值1.06.xlsm!suitPower</v>
      </c>
    </row>
    <row r="5311" spans="1:9" x14ac:dyDescent="0.15">
      <c r="A5311" s="1">
        <v>5310</v>
      </c>
      <c r="B5311" s="1">
        <v>304091502</v>
      </c>
      <c r="C5311" s="1">
        <f t="shared" si="333"/>
        <v>19</v>
      </c>
      <c r="D5311" s="5">
        <f ca="1">IF(getQuality(B5311)&lt;4,getOtherMin(B5311,C5311,INDIRECT(J$2),INDIRECT(I5311),test),getMin(B5311,C5311,INDIRECT(J$2),INDIRECT(I5311),test))</f>
        <v>81</v>
      </c>
      <c r="E5311" s="5">
        <f ca="1">IF(getQuality(B5311)&lt;4,getOtherMax(B5311,C5311,INDIRECT(J$2),INDIRECT(I5311),test),getMax(B5311,C5311,INDIRECT(J$2),INDIRECT(I5311),test))</f>
        <v>90</v>
      </c>
      <c r="F5311" s="1" t="str">
        <f t="shared" si="332"/>
        <v>50</v>
      </c>
      <c r="G5311" s="1" t="str">
        <f t="shared" ca="1" si="334"/>
        <v/>
      </c>
      <c r="I5311" s="1" t="str">
        <f t="shared" si="331"/>
        <v>威尔新数值1.06.xlsm!suitPower</v>
      </c>
    </row>
    <row r="5312" spans="1:9" x14ac:dyDescent="0.15">
      <c r="A5312" s="1">
        <v>5311</v>
      </c>
      <c r="B5312" s="1">
        <v>304091502</v>
      </c>
      <c r="C5312" s="1">
        <f t="shared" si="333"/>
        <v>20</v>
      </c>
      <c r="D5312" s="5">
        <f ca="1">IF(getQuality(B5312)&lt;4,getOtherMin(B5312,C5312,INDIRECT(J$2),INDIRECT(I5312),test),getMin(B5312,C5312,INDIRECT(J$2),INDIRECT(I5312),test))</f>
        <v>81</v>
      </c>
      <c r="E5312" s="5">
        <f ca="1">IF(getQuality(B5312)&lt;4,getOtherMax(B5312,C5312,INDIRECT(J$2),INDIRECT(I5312),test),getMax(B5312,C5312,INDIRECT(J$2),INDIRECT(I5312),test))</f>
        <v>90</v>
      </c>
      <c r="F5312" s="1" t="str">
        <f t="shared" si="332"/>
        <v>50</v>
      </c>
      <c r="G5312" s="1" t="str">
        <f t="shared" ca="1" si="334"/>
        <v/>
      </c>
      <c r="I5312" s="1" t="str">
        <f t="shared" si="331"/>
        <v>威尔新数值1.06.xlsm!suitPower</v>
      </c>
    </row>
    <row r="5313" spans="1:9" x14ac:dyDescent="0.15">
      <c r="A5313" s="1">
        <v>5312</v>
      </c>
      <c r="B5313" s="1">
        <v>304091502</v>
      </c>
      <c r="C5313" s="1">
        <f t="shared" si="333"/>
        <v>21</v>
      </c>
      <c r="D5313" s="5">
        <f ca="1">IF(getQuality(B5313)&lt;4,getOtherMin(B5313,C5313,INDIRECT(J$2),INDIRECT(I5313),test),getMin(B5313,C5313,INDIRECT(J$2),INDIRECT(I5313),test))</f>
        <v>81</v>
      </c>
      <c r="E5313" s="5">
        <f ca="1">IF(getQuality(B5313)&lt;4,getOtherMax(B5313,C5313,INDIRECT(J$2),INDIRECT(I5313),test),getMax(B5313,C5313,INDIRECT(J$2),INDIRECT(I5313),test))</f>
        <v>90</v>
      </c>
      <c r="F5313" s="1" t="str">
        <f t="shared" si="332"/>
        <v>50</v>
      </c>
      <c r="G5313" s="1" t="str">
        <f t="shared" ca="1" si="334"/>
        <v/>
      </c>
      <c r="I5313" s="1" t="str">
        <f t="shared" si="331"/>
        <v>威尔新数值1.06.xlsm!suitPower</v>
      </c>
    </row>
    <row r="5314" spans="1:9" x14ac:dyDescent="0.15">
      <c r="A5314" s="1">
        <v>5313</v>
      </c>
      <c r="B5314" s="1">
        <v>304091502</v>
      </c>
      <c r="C5314" s="1">
        <f t="shared" si="333"/>
        <v>22</v>
      </c>
      <c r="D5314" s="5">
        <f ca="1">IF(getQuality(B5314)&lt;4,getOtherMin(B5314,C5314,INDIRECT(J$2),INDIRECT(I5314),test),getMin(B5314,C5314,INDIRECT(J$2),INDIRECT(I5314),test))</f>
        <v>81</v>
      </c>
      <c r="E5314" s="5">
        <f ca="1">IF(getQuality(B5314)&lt;4,getOtherMax(B5314,C5314,INDIRECT(J$2),INDIRECT(I5314),test),getMax(B5314,C5314,INDIRECT(J$2),INDIRECT(I5314),test))</f>
        <v>90</v>
      </c>
      <c r="F5314" s="1" t="str">
        <f t="shared" si="332"/>
        <v>50</v>
      </c>
      <c r="G5314" s="1" t="str">
        <f t="shared" ca="1" si="334"/>
        <v/>
      </c>
      <c r="I5314" s="1" t="str">
        <f t="shared" ref="I5314:I5377" si="335">IF(C5314&lt;100,VLOOKUP(C5314,test,3,FALSE),VLOOKUP(C5314,test1,3,FALSE))</f>
        <v>威尔新数值1.06.xlsm!suitPower</v>
      </c>
    </row>
    <row r="5315" spans="1:9" x14ac:dyDescent="0.15">
      <c r="A5315" s="1">
        <v>5314</v>
      </c>
      <c r="B5315" s="1">
        <v>304091502</v>
      </c>
      <c r="C5315" s="1">
        <f t="shared" si="333"/>
        <v>23</v>
      </c>
      <c r="D5315" s="5">
        <f ca="1">IF(getQuality(B5315)&lt;4,getOtherMin(B5315,C5315,INDIRECT(J$2),INDIRECT(I5315),test),getMin(B5315,C5315,INDIRECT(J$2),INDIRECT(I5315),test))</f>
        <v>81</v>
      </c>
      <c r="E5315" s="5">
        <f ca="1">IF(getQuality(B5315)&lt;4,getOtherMax(B5315,C5315,INDIRECT(J$2),INDIRECT(I5315),test),getMax(B5315,C5315,INDIRECT(J$2),INDIRECT(I5315),test))</f>
        <v>90</v>
      </c>
      <c r="F5315" s="1" t="str">
        <f t="shared" ref="F5315:F5378" si="336">getper(B5315,C5315)</f>
        <v>50</v>
      </c>
      <c r="G5315" s="1" t="str">
        <f t="shared" ca="1" si="334"/>
        <v/>
      </c>
      <c r="I5315" s="1" t="str">
        <f t="shared" si="335"/>
        <v>威尔新数值1.06.xlsm!suitPower</v>
      </c>
    </row>
    <row r="5316" spans="1:9" x14ac:dyDescent="0.15">
      <c r="A5316" s="1">
        <v>5315</v>
      </c>
      <c r="B5316" s="1">
        <v>104090303</v>
      </c>
      <c r="C5316" s="1">
        <f t="shared" si="333"/>
        <v>3</v>
      </c>
      <c r="D5316" s="5">
        <f ca="1">IF(getQuality(B5316)&lt;4,getOtherMin(B5316,C5316,INDIRECT(J$2),INDIRECT(I5316),test),getMin(B5316,C5316,INDIRECT(J$2),INDIRECT(I5316),test))</f>
        <v>329.28048273180752</v>
      </c>
      <c r="E5316" s="5">
        <f ca="1">IF(getQuality(B5316)&lt;4,getOtherMax(B5316,C5316,INDIRECT(J$2),INDIRECT(I5316),test),getMax(B5316,C5316,INDIRECT(J$2),INDIRECT(I5316),test))</f>
        <v>390.92443123182665</v>
      </c>
      <c r="F5316" s="1" t="str">
        <f t="shared" si="336"/>
        <v>50</v>
      </c>
      <c r="G5316" s="1" t="str">
        <f t="shared" ca="1" si="334"/>
        <v>1</v>
      </c>
      <c r="I5316" s="1" t="str">
        <f t="shared" si="335"/>
        <v>威尔新数值1.06.xlsm!suitPower</v>
      </c>
    </row>
    <row r="5317" spans="1:9" x14ac:dyDescent="0.15">
      <c r="A5317" s="1">
        <v>5316</v>
      </c>
      <c r="B5317" s="1">
        <v>104090303</v>
      </c>
      <c r="C5317" s="1">
        <f t="shared" si="333"/>
        <v>5</v>
      </c>
      <c r="D5317" s="5">
        <f ca="1">IF(getQuality(B5317)&lt;4,getOtherMin(B5317,C5317,INDIRECT(J$2),INDIRECT(I5317),test),getMin(B5317,C5317,INDIRECT(J$2),INDIRECT(I5317),test))</f>
        <v>58.619911111111108</v>
      </c>
      <c r="E5317" s="5">
        <f ca="1">IF(getQuality(B5317)&lt;4,getOtherMax(B5317,C5317,INDIRECT(J$2),INDIRECT(I5317),test),getMax(B5317,C5317,INDIRECT(J$2),INDIRECT(I5317),test))</f>
        <v>68.615200000000002</v>
      </c>
      <c r="F5317" s="1" t="str">
        <f t="shared" si="336"/>
        <v>50</v>
      </c>
      <c r="G5317" s="1" t="str">
        <f t="shared" ca="1" si="334"/>
        <v/>
      </c>
      <c r="I5317" s="1" t="str">
        <f t="shared" si="335"/>
        <v>威尔新数值1.06.xlsm!suitPower</v>
      </c>
    </row>
    <row r="5318" spans="1:9" x14ac:dyDescent="0.15">
      <c r="A5318" s="1">
        <v>5317</v>
      </c>
      <c r="B5318" s="1">
        <v>104090303</v>
      </c>
      <c r="C5318" s="1">
        <f t="shared" si="333"/>
        <v>7</v>
      </c>
      <c r="D5318" s="5">
        <f ca="1">IF(getQuality(B5318)&lt;4,getOtherMin(B5318,C5318,INDIRECT(J$2),INDIRECT(I5318),test),getMin(B5318,C5318,INDIRECT(J$2),INDIRECT(I5318),test))</f>
        <v>60.25925925925911</v>
      </c>
      <c r="E5318" s="5">
        <f ca="1">IF(getQuality(B5318)&lt;4,getOtherMax(B5318,C5318,INDIRECT(J$2),INDIRECT(I5318),test),getMax(B5318,C5318,INDIRECT(J$2),INDIRECT(I5318),test))</f>
        <v>66.666666666666501</v>
      </c>
      <c r="F5318" s="1" t="str">
        <f t="shared" si="336"/>
        <v>50</v>
      </c>
      <c r="G5318" s="1" t="str">
        <f t="shared" ca="1" si="334"/>
        <v/>
      </c>
      <c r="I5318" s="1" t="str">
        <f t="shared" si="335"/>
        <v>威尔新数值1.06.xlsm!suitPower</v>
      </c>
    </row>
    <row r="5319" spans="1:9" x14ac:dyDescent="0.15">
      <c r="A5319" s="1">
        <v>5318</v>
      </c>
      <c r="B5319" s="1">
        <v>104090303</v>
      </c>
      <c r="C5319" s="1">
        <f t="shared" si="333"/>
        <v>8</v>
      </c>
      <c r="D5319" s="5">
        <f ca="1">IF(getQuality(B5319)&lt;4,getOtherMin(B5319,C5319,INDIRECT(J$2),INDIRECT(I5319),test),getMin(B5319,C5319,INDIRECT(J$2),INDIRECT(I5319),test))</f>
        <v>134.33333333333334</v>
      </c>
      <c r="E5319" s="5">
        <f ca="1">IF(getQuality(B5319)&lt;4,getOtherMax(B5319,C5319,INDIRECT(J$2),INDIRECT(I5319),test),getMax(B5319,C5319,INDIRECT(J$2),INDIRECT(I5319),test))</f>
        <v>150</v>
      </c>
      <c r="F5319" s="1" t="str">
        <f t="shared" si="336"/>
        <v>50</v>
      </c>
      <c r="G5319" s="1" t="str">
        <f t="shared" ca="1" si="334"/>
        <v/>
      </c>
      <c r="I5319" s="1" t="str">
        <f t="shared" si="335"/>
        <v>威尔新数值1.06.xlsm!suitPower</v>
      </c>
    </row>
    <row r="5320" spans="1:9" x14ac:dyDescent="0.15">
      <c r="A5320" s="1">
        <v>5319</v>
      </c>
      <c r="B5320" s="1">
        <v>104090303</v>
      </c>
      <c r="C5320" s="1">
        <f t="shared" si="333"/>
        <v>9</v>
      </c>
      <c r="D5320" s="5">
        <f ca="1">IF(getQuality(B5320)&lt;4,getOtherMin(B5320,C5320,INDIRECT(J$2),INDIRECT(I5320),test),getMin(B5320,C5320,INDIRECT(J$2),INDIRECT(I5320),test))</f>
        <v>193.95019692145928</v>
      </c>
      <c r="E5320" s="5">
        <f ca="1">IF(getQuality(B5320)&lt;4,getOtherMax(B5320,C5320,INDIRECT(J$2),INDIRECT(I5320),test),getMax(B5320,C5320,INDIRECT(J$2),INDIRECT(I5320),test))</f>
        <v>229.7698156159133</v>
      </c>
      <c r="F5320" s="1" t="str">
        <f t="shared" si="336"/>
        <v>50</v>
      </c>
      <c r="G5320" s="1" t="str">
        <f t="shared" ca="1" si="334"/>
        <v/>
      </c>
      <c r="I5320" s="1" t="str">
        <f t="shared" si="335"/>
        <v>威尔新数值1.06.xlsm!suitPower</v>
      </c>
    </row>
    <row r="5321" spans="1:9" x14ac:dyDescent="0.15">
      <c r="A5321" s="1">
        <v>5320</v>
      </c>
      <c r="B5321" s="1">
        <v>104090303</v>
      </c>
      <c r="C5321" s="1">
        <f t="shared" si="333"/>
        <v>10</v>
      </c>
      <c r="D5321" s="5">
        <f ca="1">IF(getQuality(B5321)&lt;4,getOtherMin(B5321,C5321,INDIRECT(J$2),INDIRECT(I5321),test),getMin(B5321,C5321,INDIRECT(J$2),INDIRECT(I5321),test))</f>
        <v>193.95019692145928</v>
      </c>
      <c r="E5321" s="5">
        <f ca="1">IF(getQuality(B5321)&lt;4,getOtherMax(B5321,C5321,INDIRECT(J$2),INDIRECT(I5321),test),getMax(B5321,C5321,INDIRECT(J$2),INDIRECT(I5321),test))</f>
        <v>229.7698156159133</v>
      </c>
      <c r="F5321" s="1" t="str">
        <f t="shared" si="336"/>
        <v>50</v>
      </c>
      <c r="G5321" s="1" t="str">
        <f t="shared" ca="1" si="334"/>
        <v/>
      </c>
      <c r="I5321" s="1" t="str">
        <f t="shared" si="335"/>
        <v>威尔新数值1.06.xlsm!suitPower</v>
      </c>
    </row>
    <row r="5322" spans="1:9" x14ac:dyDescent="0.15">
      <c r="A5322" s="1">
        <v>5321</v>
      </c>
      <c r="B5322" s="1">
        <v>104090303</v>
      </c>
      <c r="C5322" s="1">
        <f t="shared" si="333"/>
        <v>11</v>
      </c>
      <c r="D5322" s="5">
        <f ca="1">IF(getQuality(B5322)&lt;4,getOtherMin(B5322,C5322,INDIRECT(J$2),INDIRECT(I5322),test),getMin(B5322,C5322,INDIRECT(J$2),INDIRECT(I5322),test))</f>
        <v>193.95019692145928</v>
      </c>
      <c r="E5322" s="5">
        <f ca="1">IF(getQuality(B5322)&lt;4,getOtherMax(B5322,C5322,INDIRECT(J$2),INDIRECT(I5322),test),getMax(B5322,C5322,INDIRECT(J$2),INDIRECT(I5322),test))</f>
        <v>229.7698156159133</v>
      </c>
      <c r="F5322" s="1" t="str">
        <f t="shared" si="336"/>
        <v>50</v>
      </c>
      <c r="G5322" s="1" t="str">
        <f t="shared" ca="1" si="334"/>
        <v/>
      </c>
      <c r="I5322" s="1" t="str">
        <f t="shared" si="335"/>
        <v>威尔新数值1.06.xlsm!suitPower</v>
      </c>
    </row>
    <row r="5323" spans="1:9" x14ac:dyDescent="0.15">
      <c r="A5323" s="1">
        <v>5322</v>
      </c>
      <c r="B5323" s="1">
        <v>104090303</v>
      </c>
      <c r="C5323" s="1">
        <f t="shared" si="333"/>
        <v>12</v>
      </c>
      <c r="D5323" s="5">
        <f ca="1">IF(getQuality(B5323)&lt;4,getOtherMin(B5323,C5323,INDIRECT(J$2),INDIRECT(I5323),test),getMin(B5323,C5323,INDIRECT(J$2),INDIRECT(I5323),test))</f>
        <v>193.95019692145928</v>
      </c>
      <c r="E5323" s="5">
        <f ca="1">IF(getQuality(B5323)&lt;4,getOtherMax(B5323,C5323,INDIRECT(J$2),INDIRECT(I5323),test),getMax(B5323,C5323,INDIRECT(J$2),INDIRECT(I5323),test))</f>
        <v>229.7698156159133</v>
      </c>
      <c r="F5323" s="1" t="str">
        <f t="shared" si="336"/>
        <v>50</v>
      </c>
      <c r="G5323" s="1" t="str">
        <f t="shared" ca="1" si="334"/>
        <v/>
      </c>
      <c r="I5323" s="1" t="str">
        <f t="shared" si="335"/>
        <v>威尔新数值1.06.xlsm!suitPower</v>
      </c>
    </row>
    <row r="5324" spans="1:9" x14ac:dyDescent="0.15">
      <c r="A5324" s="1">
        <v>5323</v>
      </c>
      <c r="B5324" s="1">
        <v>104090303</v>
      </c>
      <c r="C5324" s="1">
        <f t="shared" si="333"/>
        <v>13</v>
      </c>
      <c r="D5324" s="5">
        <f ca="1">IF(getQuality(B5324)&lt;4,getOtherMin(B5324,C5324,INDIRECT(J$2),INDIRECT(I5324),test),getMin(B5324,C5324,INDIRECT(J$2),INDIRECT(I5324),test))</f>
        <v>232.54023630575148</v>
      </c>
      <c r="E5324" s="5">
        <f ca="1">IF(getQuality(B5324)&lt;4,getOtherMax(B5324,C5324,INDIRECT(J$2),INDIRECT(I5324),test),getMax(B5324,C5324,INDIRECT(J$2),INDIRECT(I5324),test))</f>
        <v>275.72377873909636</v>
      </c>
      <c r="F5324" s="1" t="str">
        <f t="shared" si="336"/>
        <v>50</v>
      </c>
      <c r="G5324" s="1" t="str">
        <f t="shared" ca="1" si="334"/>
        <v/>
      </c>
      <c r="I5324" s="1" t="str">
        <f t="shared" si="335"/>
        <v>威尔新数值1.06.xlsm!suitPower</v>
      </c>
    </row>
    <row r="5325" spans="1:9" x14ac:dyDescent="0.15">
      <c r="A5325" s="1">
        <v>5324</v>
      </c>
      <c r="B5325" s="1">
        <v>104090303</v>
      </c>
      <c r="C5325" s="1">
        <f t="shared" si="333"/>
        <v>14</v>
      </c>
      <c r="D5325" s="5">
        <f ca="1">IF(getQuality(B5325)&lt;4,getOtherMin(B5325,C5325,INDIRECT(J$2),INDIRECT(I5325),test),getMin(B5325,C5325,INDIRECT(J$2),INDIRECT(I5325),test))</f>
        <v>193.95019692145928</v>
      </c>
      <c r="E5325" s="5">
        <f ca="1">IF(getQuality(B5325)&lt;4,getOtherMax(B5325,C5325,INDIRECT(J$2),INDIRECT(I5325),test),getMax(B5325,C5325,INDIRECT(J$2),INDIRECT(I5325),test))</f>
        <v>229.7698156159133</v>
      </c>
      <c r="F5325" s="1" t="str">
        <f t="shared" si="336"/>
        <v>50</v>
      </c>
      <c r="G5325" s="1" t="str">
        <f t="shared" ca="1" si="334"/>
        <v/>
      </c>
      <c r="I5325" s="1" t="str">
        <f t="shared" si="335"/>
        <v>威尔新数值1.06.xlsm!suitPower</v>
      </c>
    </row>
    <row r="5326" spans="1:9" x14ac:dyDescent="0.15">
      <c r="A5326" s="1">
        <v>5325</v>
      </c>
      <c r="B5326" s="1">
        <v>104090303</v>
      </c>
      <c r="C5326" s="1">
        <f t="shared" si="333"/>
        <v>15</v>
      </c>
      <c r="D5326" s="5">
        <f ca="1">IF(getQuality(B5326)&lt;4,getOtherMin(B5326,C5326,INDIRECT(J$2),INDIRECT(I5326),test),getMin(B5326,C5326,INDIRECT(J$2),INDIRECT(I5326),test))</f>
        <v>193.95019692145928</v>
      </c>
      <c r="E5326" s="5">
        <f ca="1">IF(getQuality(B5326)&lt;4,getOtherMax(B5326,C5326,INDIRECT(J$2),INDIRECT(I5326),test),getMax(B5326,C5326,INDIRECT(J$2),INDIRECT(I5326),test))</f>
        <v>229.7698156159133</v>
      </c>
      <c r="F5326" s="1" t="str">
        <f t="shared" si="336"/>
        <v>50</v>
      </c>
      <c r="G5326" s="1" t="str">
        <f t="shared" ca="1" si="334"/>
        <v/>
      </c>
      <c r="I5326" s="1" t="str">
        <f t="shared" si="335"/>
        <v>威尔新数值1.06.xlsm!suitPower</v>
      </c>
    </row>
    <row r="5327" spans="1:9" x14ac:dyDescent="0.15">
      <c r="A5327" s="1">
        <v>5326</v>
      </c>
      <c r="B5327" s="1">
        <v>104090303</v>
      </c>
      <c r="C5327" s="1">
        <f t="shared" si="333"/>
        <v>101</v>
      </c>
      <c r="D5327" s="5">
        <f ca="1">IF(getQuality(B5327)&lt;4,getOtherMin(B5327,C5327,INDIRECT(J$2),INDIRECT(I5327),test),getMin(B5327,C5327,INDIRECT(J$2),INDIRECT(I5327),test))</f>
        <v>0.16</v>
      </c>
      <c r="E5327" s="5">
        <f ca="1">IF(getQuality(B5327)&lt;4,getOtherMax(B5327,C5327,INDIRECT(J$2),INDIRECT(I5327),test),getMax(B5327,C5327,INDIRECT(J$2),INDIRECT(I5327),test))</f>
        <v>0.19</v>
      </c>
      <c r="F5327" s="1" t="str">
        <f t="shared" si="336"/>
        <v>50</v>
      </c>
      <c r="G5327" s="1" t="str">
        <f t="shared" ca="1" si="334"/>
        <v/>
      </c>
      <c r="I5327" s="1" t="str">
        <f t="shared" si="335"/>
        <v>威尔新数值1.06.xlsm!circlePer</v>
      </c>
    </row>
    <row r="5328" spans="1:9" x14ac:dyDescent="0.15">
      <c r="A5328" s="1">
        <v>5327</v>
      </c>
      <c r="B5328" s="1">
        <v>104090303</v>
      </c>
      <c r="C5328" s="1">
        <f t="shared" si="333"/>
        <v>102</v>
      </c>
      <c r="D5328" s="5">
        <f ca="1">IF(getQuality(B5328)&lt;4,getOtherMin(B5328,C5328,INDIRECT(J$2),INDIRECT(I5328),test),getMin(B5328,C5328,INDIRECT(J$2),INDIRECT(I5328),test))</f>
        <v>1.4</v>
      </c>
      <c r="E5328" s="5">
        <f ca="1">IF(getQuality(B5328)&lt;4,getOtherMax(B5328,C5328,INDIRECT(J$2),INDIRECT(I5328),test),getMax(B5328,C5328,INDIRECT(J$2),INDIRECT(I5328),test))</f>
        <v>1.8</v>
      </c>
      <c r="F5328" s="1" t="str">
        <f t="shared" si="336"/>
        <v>50</v>
      </c>
      <c r="G5328" s="1" t="str">
        <f t="shared" ca="1" si="334"/>
        <v/>
      </c>
      <c r="I5328" s="1" t="str">
        <f t="shared" si="335"/>
        <v>威尔新数值1.06.xlsm!circleValue</v>
      </c>
    </row>
    <row r="5329" spans="1:9" x14ac:dyDescent="0.15">
      <c r="A5329" s="1">
        <v>5328</v>
      </c>
      <c r="B5329" s="1">
        <v>104090303</v>
      </c>
      <c r="C5329" s="1">
        <f t="shared" si="333"/>
        <v>103</v>
      </c>
      <c r="D5329" s="5">
        <f ca="1">IF(getQuality(B5329)&lt;4,getOtherMin(B5329,C5329,INDIRECT(J$2),INDIRECT(I5329),test),getMin(B5329,C5329,INDIRECT(J$2),INDIRECT(I5329),test))</f>
        <v>0.16</v>
      </c>
      <c r="E5329" s="5">
        <f ca="1">IF(getQuality(B5329)&lt;4,getOtherMax(B5329,C5329,INDIRECT(J$2),INDIRECT(I5329),test),getMax(B5329,C5329,INDIRECT(J$2),INDIRECT(I5329),test))</f>
        <v>0.19</v>
      </c>
      <c r="F5329" s="1" t="str">
        <f t="shared" si="336"/>
        <v>50</v>
      </c>
      <c r="G5329" s="1" t="str">
        <f t="shared" ca="1" si="334"/>
        <v/>
      </c>
      <c r="I5329" s="1" t="str">
        <f t="shared" si="335"/>
        <v>威尔新数值1.06.xlsm!otherDamage</v>
      </c>
    </row>
    <row r="5330" spans="1:9" x14ac:dyDescent="0.15">
      <c r="A5330" s="1">
        <v>5329</v>
      </c>
      <c r="B5330" s="1">
        <v>104090303</v>
      </c>
      <c r="C5330" s="1">
        <f t="shared" si="333"/>
        <v>104</v>
      </c>
      <c r="D5330" s="5">
        <f ca="1">IF(getQuality(B5330)&lt;4,getOtherMin(B5330,C5330,INDIRECT(J$2),INDIRECT(I5330),test),getMin(B5330,C5330,INDIRECT(J$2),INDIRECT(I5330),test))</f>
        <v>0.15</v>
      </c>
      <c r="E5330" s="5">
        <f ca="1">IF(getQuality(B5330)&lt;4,getOtherMax(B5330,C5330,INDIRECT(J$2),INDIRECT(I5330),test),getMax(B5330,C5330,INDIRECT(J$2),INDIRECT(I5330),test))</f>
        <v>0.3</v>
      </c>
      <c r="F5330" s="1" t="str">
        <f t="shared" si="336"/>
        <v>50</v>
      </c>
      <c r="G5330" s="1" t="str">
        <f t="shared" ca="1" si="334"/>
        <v/>
      </c>
      <c r="I5330" s="1" t="str">
        <f t="shared" si="335"/>
        <v>威尔新数值1.06.xlsm!monsterDamage</v>
      </c>
    </row>
    <row r="5331" spans="1:9" x14ac:dyDescent="0.15">
      <c r="A5331" s="1">
        <v>5330</v>
      </c>
      <c r="B5331" s="1">
        <v>104090303</v>
      </c>
      <c r="C5331" s="1">
        <f t="shared" si="333"/>
        <v>105</v>
      </c>
      <c r="D5331" s="5">
        <f ca="1">IF(getQuality(B5331)&lt;4,getOtherMin(B5331,C5331,INDIRECT(J$2),INDIRECT(I5331),test),getMin(B5331,C5331,INDIRECT(J$2),INDIRECT(I5331),test))</f>
        <v>0.15</v>
      </c>
      <c r="E5331" s="5">
        <f ca="1">IF(getQuality(B5331)&lt;4,getOtherMax(B5331,C5331,INDIRECT(J$2),INDIRECT(I5331),test),getMax(B5331,C5331,INDIRECT(J$2),INDIRECT(I5331),test))</f>
        <v>0.3</v>
      </c>
      <c r="F5331" s="1" t="str">
        <f t="shared" si="336"/>
        <v>50</v>
      </c>
      <c r="G5331" s="1" t="str">
        <f t="shared" ca="1" si="334"/>
        <v/>
      </c>
      <c r="I5331" s="1" t="str">
        <f t="shared" si="335"/>
        <v>威尔新数值1.06.xlsm!monsterDamage</v>
      </c>
    </row>
    <row r="5332" spans="1:9" x14ac:dyDescent="0.15">
      <c r="A5332" s="1">
        <v>5331</v>
      </c>
      <c r="B5332" s="1">
        <v>104090303</v>
      </c>
      <c r="C5332" s="1">
        <f t="shared" si="333"/>
        <v>106</v>
      </c>
      <c r="D5332" s="5">
        <f ca="1">IF(getQuality(B5332)&lt;4,getOtherMin(B5332,C5332,INDIRECT(J$2),INDIRECT(I5332),test),getMin(B5332,C5332,INDIRECT(J$2),INDIRECT(I5332),test))</f>
        <v>0.15</v>
      </c>
      <c r="E5332" s="5">
        <f ca="1">IF(getQuality(B5332)&lt;4,getOtherMax(B5332,C5332,INDIRECT(J$2),INDIRECT(I5332),test),getMax(B5332,C5332,INDIRECT(J$2),INDIRECT(I5332),test))</f>
        <v>0.3</v>
      </c>
      <c r="F5332" s="1" t="str">
        <f t="shared" si="336"/>
        <v>50</v>
      </c>
      <c r="G5332" s="1" t="str">
        <f t="shared" ca="1" si="334"/>
        <v/>
      </c>
      <c r="I5332" s="1" t="str">
        <f t="shared" si="335"/>
        <v>威尔新数值1.06.xlsm!monsterDamage</v>
      </c>
    </row>
    <row r="5333" spans="1:9" x14ac:dyDescent="0.15">
      <c r="A5333" s="1">
        <v>5332</v>
      </c>
      <c r="B5333" s="1">
        <v>104090303</v>
      </c>
      <c r="C5333" s="1">
        <f t="shared" si="333"/>
        <v>107</v>
      </c>
      <c r="D5333" s="5">
        <f ca="1">IF(getQuality(B5333)&lt;4,getOtherMin(B5333,C5333,INDIRECT(J$2),INDIRECT(I5333),test),getMin(B5333,C5333,INDIRECT(J$2),INDIRECT(I5333),test))</f>
        <v>0.15</v>
      </c>
      <c r="E5333" s="5">
        <f ca="1">IF(getQuality(B5333)&lt;4,getOtherMax(B5333,C5333,INDIRECT(J$2),INDIRECT(I5333),test),getMax(B5333,C5333,INDIRECT(J$2),INDIRECT(I5333),test))</f>
        <v>0.3</v>
      </c>
      <c r="F5333" s="1" t="str">
        <f t="shared" si="336"/>
        <v>50</v>
      </c>
      <c r="G5333" s="1" t="str">
        <f t="shared" ca="1" si="334"/>
        <v/>
      </c>
      <c r="I5333" s="1" t="str">
        <f t="shared" si="335"/>
        <v>威尔新数值1.06.xlsm!monsterDamage</v>
      </c>
    </row>
    <row r="5334" spans="1:9" x14ac:dyDescent="0.15">
      <c r="A5334" s="1">
        <v>5333</v>
      </c>
      <c r="B5334" s="1">
        <v>104090303</v>
      </c>
      <c r="C5334" s="1">
        <f t="shared" ref="C5334:C5397" si="337">C5287</f>
        <v>108</v>
      </c>
      <c r="D5334" s="5">
        <f ca="1">IF(getQuality(B5334)&lt;4,getOtherMin(B5334,C5334,INDIRECT(J$2),INDIRECT(I5334),test),getMin(B5334,C5334,INDIRECT(J$2),INDIRECT(I5334),test))</f>
        <v>0.15</v>
      </c>
      <c r="E5334" s="5">
        <f ca="1">IF(getQuality(B5334)&lt;4,getOtherMax(B5334,C5334,INDIRECT(J$2),INDIRECT(I5334),test),getMax(B5334,C5334,INDIRECT(J$2),INDIRECT(I5334),test))</f>
        <v>0.3</v>
      </c>
      <c r="F5334" s="1" t="str">
        <f t="shared" si="336"/>
        <v>50</v>
      </c>
      <c r="G5334" s="1" t="str">
        <f t="shared" ca="1" si="334"/>
        <v/>
      </c>
      <c r="I5334" s="1" t="str">
        <f t="shared" si="335"/>
        <v>威尔新数值1.06.xlsm!monsterDamage</v>
      </c>
    </row>
    <row r="5335" spans="1:9" x14ac:dyDescent="0.15">
      <c r="A5335" s="1">
        <v>5334</v>
      </c>
      <c r="B5335" s="1">
        <v>204091403</v>
      </c>
      <c r="C5335" s="1">
        <f t="shared" si="337"/>
        <v>1</v>
      </c>
      <c r="D5335" s="5">
        <f ca="1">IF(getQuality(B5335)&lt;4,getOtherMin(B5335,C5335,INDIRECT(J$2),INDIRECT(I5335),test),getMin(B5335,C5335,INDIRECT(J$2),INDIRECT(I5335),test))</f>
        <v>869.97777777777776</v>
      </c>
      <c r="E5335" s="5">
        <f ca="1">IF(getQuality(B5335)&lt;4,getOtherMax(B5335,C5335,INDIRECT(J$2),INDIRECT(I5335),test),getMax(B5335,C5335,INDIRECT(J$2),INDIRECT(I5335),test))</f>
        <v>1034.8</v>
      </c>
      <c r="F5335" s="1" t="str">
        <f t="shared" si="336"/>
        <v>50</v>
      </c>
      <c r="G5335" s="1" t="str">
        <f t="shared" ca="1" si="334"/>
        <v/>
      </c>
      <c r="I5335" s="1" t="str">
        <f t="shared" si="335"/>
        <v>威尔新数值1.06.xlsm!suitPower</v>
      </c>
    </row>
    <row r="5336" spans="1:9" x14ac:dyDescent="0.15">
      <c r="A5336" s="1">
        <v>5335</v>
      </c>
      <c r="B5336" s="1">
        <v>204091403</v>
      </c>
      <c r="C5336" s="1">
        <f t="shared" si="337"/>
        <v>2</v>
      </c>
      <c r="D5336" s="5">
        <f ca="1">IF(getQuality(B5336)&lt;4,getOtherMin(B5336,C5336,INDIRECT(J$2),INDIRECT(I5336),test),getMin(B5336,C5336,INDIRECT(J$2),INDIRECT(I5336),test))</f>
        <v>42.777777777777779</v>
      </c>
      <c r="E5336" s="5">
        <f ca="1">IF(getQuality(B5336)&lt;4,getOtherMax(B5336,C5336,INDIRECT(J$2),INDIRECT(I5336),test),getMax(B5336,C5336,INDIRECT(J$2),INDIRECT(I5336),test))</f>
        <v>49.75</v>
      </c>
      <c r="F5336" s="1" t="str">
        <f t="shared" si="336"/>
        <v>50</v>
      </c>
      <c r="G5336" s="1" t="str">
        <f t="shared" ca="1" si="334"/>
        <v/>
      </c>
      <c r="I5336" s="1" t="str">
        <f t="shared" si="335"/>
        <v>威尔新数值1.06.xlsm!suitPower</v>
      </c>
    </row>
    <row r="5337" spans="1:9" x14ac:dyDescent="0.15">
      <c r="A5337" s="1">
        <v>5336</v>
      </c>
      <c r="B5337" s="1">
        <v>204091403</v>
      </c>
      <c r="C5337" s="1">
        <f t="shared" si="337"/>
        <v>4</v>
      </c>
      <c r="D5337" s="5">
        <f ca="1">IF(getQuality(B5337)&lt;4,getOtherMin(B5337,C5337,INDIRECT(J$2),INDIRECT(I5337),test),getMin(B5337,C5337,INDIRECT(J$2),INDIRECT(I5337),test))</f>
        <v>334.33333333333331</v>
      </c>
      <c r="E5337" s="5">
        <f ca="1">IF(getQuality(B5337)&lt;4,getOtherMax(B5337,C5337,INDIRECT(J$2),INDIRECT(I5337),test),getMax(B5337,C5337,INDIRECT(J$2),INDIRECT(I5337),test))</f>
        <v>375</v>
      </c>
      <c r="F5337" s="1" t="str">
        <f t="shared" si="336"/>
        <v>50</v>
      </c>
      <c r="G5337" s="1" t="str">
        <f t="shared" ca="1" si="334"/>
        <v>1</v>
      </c>
      <c r="I5337" s="1" t="str">
        <f t="shared" si="335"/>
        <v>威尔新数值1.06.xlsm!suitPower</v>
      </c>
    </row>
    <row r="5338" spans="1:9" x14ac:dyDescent="0.15">
      <c r="A5338" s="1">
        <v>5337</v>
      </c>
      <c r="B5338" s="1">
        <v>204091403</v>
      </c>
      <c r="C5338" s="1">
        <f t="shared" si="337"/>
        <v>6</v>
      </c>
      <c r="D5338" s="5">
        <f ca="1">IF(getQuality(B5338)&lt;4,getOtherMin(B5338,C5338,INDIRECT(J$2),INDIRECT(I5338),test),getMin(B5338,C5338,INDIRECT(J$2),INDIRECT(I5338),test))</f>
        <v>334.33333333333331</v>
      </c>
      <c r="E5338" s="5">
        <f ca="1">IF(getQuality(B5338)&lt;4,getOtherMax(B5338,C5338,INDIRECT(J$2),INDIRECT(I5338),test),getMax(B5338,C5338,INDIRECT(J$2),INDIRECT(I5338),test))</f>
        <v>375</v>
      </c>
      <c r="F5338" s="1" t="str">
        <f t="shared" si="336"/>
        <v>50</v>
      </c>
      <c r="G5338" s="1" t="str">
        <f t="shared" ca="1" si="334"/>
        <v/>
      </c>
      <c r="I5338" s="1" t="str">
        <f t="shared" si="335"/>
        <v>威尔新数值1.06.xlsm!suitPower</v>
      </c>
    </row>
    <row r="5339" spans="1:9" x14ac:dyDescent="0.15">
      <c r="A5339" s="1">
        <v>5338</v>
      </c>
      <c r="B5339" s="1">
        <v>204091403</v>
      </c>
      <c r="C5339" s="1">
        <f t="shared" si="337"/>
        <v>7</v>
      </c>
      <c r="D5339" s="5">
        <f ca="1">IF(getQuality(B5339)&lt;4,getOtherMin(B5339,C5339,INDIRECT(J$2),INDIRECT(I5339),test),getMin(B5339,C5339,INDIRECT(J$2),INDIRECT(I5339),test))</f>
        <v>30.629629629629555</v>
      </c>
      <c r="E5339" s="5">
        <f ca="1">IF(getQuality(B5339)&lt;4,getOtherMax(B5339,C5339,INDIRECT(J$2),INDIRECT(I5339),test),getMax(B5339,C5339,INDIRECT(J$2),INDIRECT(I5339),test))</f>
        <v>33.33333333333325</v>
      </c>
      <c r="F5339" s="1" t="str">
        <f t="shared" si="336"/>
        <v>50</v>
      </c>
      <c r="G5339" s="1" t="str">
        <f t="shared" ca="1" si="334"/>
        <v/>
      </c>
      <c r="I5339" s="1" t="str">
        <f t="shared" si="335"/>
        <v>威尔新数值1.06.xlsm!suitPower</v>
      </c>
    </row>
    <row r="5340" spans="1:9" x14ac:dyDescent="0.15">
      <c r="A5340" s="1">
        <v>5339</v>
      </c>
      <c r="B5340" s="1">
        <v>204091403</v>
      </c>
      <c r="C5340" s="1">
        <f t="shared" si="337"/>
        <v>8</v>
      </c>
      <c r="D5340" s="5">
        <f ca="1">IF(getQuality(B5340)&lt;4,getOtherMin(B5340,C5340,INDIRECT(J$2),INDIRECT(I5340),test),getMin(B5340,C5340,INDIRECT(J$2),INDIRECT(I5340),test))</f>
        <v>67.666666666666671</v>
      </c>
      <c r="E5340" s="5">
        <f ca="1">IF(getQuality(B5340)&lt;4,getOtherMax(B5340,C5340,INDIRECT(J$2),INDIRECT(I5340),test),getMax(B5340,C5340,INDIRECT(J$2),INDIRECT(I5340),test))</f>
        <v>75</v>
      </c>
      <c r="F5340" s="1" t="str">
        <f t="shared" si="336"/>
        <v>50</v>
      </c>
      <c r="G5340" s="1" t="str">
        <f t="shared" ca="1" si="334"/>
        <v/>
      </c>
      <c r="I5340" s="1" t="str">
        <f t="shared" si="335"/>
        <v>威尔新数值1.06.xlsm!suitPower</v>
      </c>
    </row>
    <row r="5341" spans="1:9" x14ac:dyDescent="0.15">
      <c r="A5341" s="1">
        <v>5340</v>
      </c>
      <c r="B5341" s="1">
        <v>204091403</v>
      </c>
      <c r="C5341" s="1">
        <f t="shared" si="337"/>
        <v>16</v>
      </c>
      <c r="D5341" s="5">
        <f ca="1">IF(getQuality(B5341)&lt;4,getOtherMin(B5341,C5341,INDIRECT(J$2),INDIRECT(I5341),test),getMin(B5341,C5341,INDIRECT(J$2),INDIRECT(I5341),test))</f>
        <v>72.111111111111114</v>
      </c>
      <c r="E5341" s="5">
        <f ca="1">IF(getQuality(B5341)&lt;4,getOtherMax(B5341,C5341,INDIRECT(J$2),INDIRECT(I5341),test),getMax(B5341,C5341,INDIRECT(J$2),INDIRECT(I5341),test))</f>
        <v>80</v>
      </c>
      <c r="F5341" s="1" t="str">
        <f t="shared" si="336"/>
        <v>50</v>
      </c>
      <c r="G5341" s="1" t="str">
        <f t="shared" ca="1" si="334"/>
        <v/>
      </c>
      <c r="I5341" s="1" t="str">
        <f t="shared" si="335"/>
        <v>威尔新数值1.06.xlsm!suitPower</v>
      </c>
    </row>
    <row r="5342" spans="1:9" x14ac:dyDescent="0.15">
      <c r="A5342" s="1">
        <v>5341</v>
      </c>
      <c r="B5342" s="1">
        <v>204091403</v>
      </c>
      <c r="C5342" s="1">
        <f t="shared" si="337"/>
        <v>17</v>
      </c>
      <c r="D5342" s="5">
        <f ca="1">IF(getQuality(B5342)&lt;4,getOtherMin(B5342,C5342,INDIRECT(J$2),INDIRECT(I5342),test),getMin(B5342,C5342,INDIRECT(J$2),INDIRECT(I5342),test))</f>
        <v>72.111111111111114</v>
      </c>
      <c r="E5342" s="5">
        <f ca="1">IF(getQuality(B5342)&lt;4,getOtherMax(B5342,C5342,INDIRECT(J$2),INDIRECT(I5342),test),getMax(B5342,C5342,INDIRECT(J$2),INDIRECT(I5342),test))</f>
        <v>80</v>
      </c>
      <c r="F5342" s="1" t="str">
        <f t="shared" si="336"/>
        <v>50</v>
      </c>
      <c r="G5342" s="1" t="str">
        <f t="shared" ca="1" si="334"/>
        <v/>
      </c>
      <c r="I5342" s="1" t="str">
        <f t="shared" si="335"/>
        <v>威尔新数值1.06.xlsm!suitPower</v>
      </c>
    </row>
    <row r="5343" spans="1:9" x14ac:dyDescent="0.15">
      <c r="A5343" s="1">
        <v>5342</v>
      </c>
      <c r="B5343" s="1">
        <v>204091403</v>
      </c>
      <c r="C5343" s="1">
        <f t="shared" si="337"/>
        <v>18</v>
      </c>
      <c r="D5343" s="5">
        <f ca="1">IF(getQuality(B5343)&lt;4,getOtherMin(B5343,C5343,INDIRECT(J$2),INDIRECT(I5343),test),getMin(B5343,C5343,INDIRECT(J$2),INDIRECT(I5343),test))</f>
        <v>72.111111111111114</v>
      </c>
      <c r="E5343" s="5">
        <f ca="1">IF(getQuality(B5343)&lt;4,getOtherMax(B5343,C5343,INDIRECT(J$2),INDIRECT(I5343),test),getMax(B5343,C5343,INDIRECT(J$2),INDIRECT(I5343),test))</f>
        <v>80</v>
      </c>
      <c r="F5343" s="1" t="str">
        <f t="shared" si="336"/>
        <v>50</v>
      </c>
      <c r="G5343" s="1" t="str">
        <f t="shared" ca="1" si="334"/>
        <v/>
      </c>
      <c r="I5343" s="1" t="str">
        <f t="shared" si="335"/>
        <v>威尔新数值1.06.xlsm!suitPower</v>
      </c>
    </row>
    <row r="5344" spans="1:9" x14ac:dyDescent="0.15">
      <c r="A5344" s="1">
        <v>5343</v>
      </c>
      <c r="B5344" s="1">
        <v>204091403</v>
      </c>
      <c r="C5344" s="1">
        <f t="shared" si="337"/>
        <v>19</v>
      </c>
      <c r="D5344" s="5">
        <f ca="1">IF(getQuality(B5344)&lt;4,getOtherMin(B5344,C5344,INDIRECT(J$2),INDIRECT(I5344),test),getMin(B5344,C5344,INDIRECT(J$2),INDIRECT(I5344),test))</f>
        <v>72.111111111111114</v>
      </c>
      <c r="E5344" s="5">
        <f ca="1">IF(getQuality(B5344)&lt;4,getOtherMax(B5344,C5344,INDIRECT(J$2),INDIRECT(I5344),test),getMax(B5344,C5344,INDIRECT(J$2),INDIRECT(I5344),test))</f>
        <v>80</v>
      </c>
      <c r="F5344" s="1" t="str">
        <f t="shared" si="336"/>
        <v>50</v>
      </c>
      <c r="G5344" s="1" t="str">
        <f t="shared" ca="1" si="334"/>
        <v/>
      </c>
      <c r="I5344" s="1" t="str">
        <f t="shared" si="335"/>
        <v>威尔新数值1.06.xlsm!suitPower</v>
      </c>
    </row>
    <row r="5345" spans="1:9" x14ac:dyDescent="0.15">
      <c r="A5345" s="1">
        <v>5344</v>
      </c>
      <c r="B5345" s="1">
        <v>204091403</v>
      </c>
      <c r="C5345" s="1">
        <f t="shared" si="337"/>
        <v>20</v>
      </c>
      <c r="D5345" s="5">
        <f ca="1">IF(getQuality(B5345)&lt;4,getOtherMin(B5345,C5345,INDIRECT(J$2),INDIRECT(I5345),test),getMin(B5345,C5345,INDIRECT(J$2),INDIRECT(I5345),test))</f>
        <v>72.111111111111114</v>
      </c>
      <c r="E5345" s="5">
        <f ca="1">IF(getQuality(B5345)&lt;4,getOtherMax(B5345,C5345,INDIRECT(J$2),INDIRECT(I5345),test),getMax(B5345,C5345,INDIRECT(J$2),INDIRECT(I5345),test))</f>
        <v>80</v>
      </c>
      <c r="F5345" s="1" t="str">
        <f t="shared" si="336"/>
        <v>50</v>
      </c>
      <c r="G5345" s="1" t="str">
        <f t="shared" ca="1" si="334"/>
        <v/>
      </c>
      <c r="I5345" s="1" t="str">
        <f t="shared" si="335"/>
        <v>威尔新数值1.06.xlsm!suitPower</v>
      </c>
    </row>
    <row r="5346" spans="1:9" x14ac:dyDescent="0.15">
      <c r="A5346" s="1">
        <v>5345</v>
      </c>
      <c r="B5346" s="1">
        <v>204091403</v>
      </c>
      <c r="C5346" s="1">
        <f t="shared" si="337"/>
        <v>21</v>
      </c>
      <c r="D5346" s="5">
        <f ca="1">IF(getQuality(B5346)&lt;4,getOtherMin(B5346,C5346,INDIRECT(J$2),INDIRECT(I5346),test),getMin(B5346,C5346,INDIRECT(J$2),INDIRECT(I5346),test))</f>
        <v>107.66666666666666</v>
      </c>
      <c r="E5346" s="5">
        <f ca="1">IF(getQuality(B5346)&lt;4,getOtherMax(B5346,C5346,INDIRECT(J$2),INDIRECT(I5346),test),getMax(B5346,C5346,INDIRECT(J$2),INDIRECT(I5346),test))</f>
        <v>120</v>
      </c>
      <c r="F5346" s="1" t="str">
        <f t="shared" si="336"/>
        <v>50</v>
      </c>
      <c r="G5346" s="1" t="str">
        <f t="shared" ca="1" si="334"/>
        <v/>
      </c>
      <c r="I5346" s="1" t="str">
        <f t="shared" si="335"/>
        <v>威尔新数值1.06.xlsm!suitPower</v>
      </c>
    </row>
    <row r="5347" spans="1:9" x14ac:dyDescent="0.15">
      <c r="A5347" s="1">
        <v>5346</v>
      </c>
      <c r="B5347" s="1">
        <v>204091403</v>
      </c>
      <c r="C5347" s="1">
        <f t="shared" si="337"/>
        <v>22</v>
      </c>
      <c r="D5347" s="5">
        <f ca="1">IF(getQuality(B5347)&lt;4,getOtherMin(B5347,C5347,INDIRECT(J$2),INDIRECT(I5347),test),getMin(B5347,C5347,INDIRECT(J$2),INDIRECT(I5347),test))</f>
        <v>72.111111111111114</v>
      </c>
      <c r="E5347" s="5">
        <f ca="1">IF(getQuality(B5347)&lt;4,getOtherMax(B5347,C5347,INDIRECT(J$2),INDIRECT(I5347),test),getMax(B5347,C5347,INDIRECT(J$2),INDIRECT(I5347),test))</f>
        <v>80</v>
      </c>
      <c r="F5347" s="1" t="str">
        <f t="shared" si="336"/>
        <v>50</v>
      </c>
      <c r="G5347" s="1" t="str">
        <f t="shared" ca="1" si="334"/>
        <v/>
      </c>
      <c r="I5347" s="1" t="str">
        <f t="shared" si="335"/>
        <v>威尔新数值1.06.xlsm!suitPower</v>
      </c>
    </row>
    <row r="5348" spans="1:9" x14ac:dyDescent="0.15">
      <c r="A5348" s="1">
        <v>5347</v>
      </c>
      <c r="B5348" s="1">
        <v>204091403</v>
      </c>
      <c r="C5348" s="1">
        <f t="shared" si="337"/>
        <v>23</v>
      </c>
      <c r="D5348" s="5">
        <f ca="1">IF(getQuality(B5348)&lt;4,getOtherMin(B5348,C5348,INDIRECT(J$2),INDIRECT(I5348),test),getMin(B5348,C5348,INDIRECT(J$2),INDIRECT(I5348),test))</f>
        <v>72.111111111111114</v>
      </c>
      <c r="E5348" s="5">
        <f ca="1">IF(getQuality(B5348)&lt;4,getOtherMax(B5348,C5348,INDIRECT(J$2),INDIRECT(I5348),test),getMax(B5348,C5348,INDIRECT(J$2),INDIRECT(I5348),test))</f>
        <v>80</v>
      </c>
      <c r="F5348" s="1" t="str">
        <f t="shared" si="336"/>
        <v>50</v>
      </c>
      <c r="G5348" s="1" t="str">
        <f t="shared" ca="1" si="334"/>
        <v/>
      </c>
      <c r="I5348" s="1" t="str">
        <f t="shared" si="335"/>
        <v>威尔新数值1.06.xlsm!suitPower</v>
      </c>
    </row>
    <row r="5349" spans="1:9" x14ac:dyDescent="0.15">
      <c r="A5349" s="1">
        <v>5348</v>
      </c>
      <c r="B5349" s="1">
        <v>304091503</v>
      </c>
      <c r="C5349" s="1">
        <f t="shared" si="337"/>
        <v>1</v>
      </c>
      <c r="D5349" s="5">
        <f ca="1">IF(getQuality(B5349)&lt;4,getOtherMin(B5349,C5349,INDIRECT(J$2),INDIRECT(I5349),test),getMin(B5349,C5349,INDIRECT(J$2),INDIRECT(I5349),test))</f>
        <v>869.97777777777776</v>
      </c>
      <c r="E5349" s="5">
        <f ca="1">IF(getQuality(B5349)&lt;4,getOtherMax(B5349,C5349,INDIRECT(J$2),INDIRECT(I5349),test),getMax(B5349,C5349,INDIRECT(J$2),INDIRECT(I5349),test))</f>
        <v>1034.8</v>
      </c>
      <c r="F5349" s="1" t="str">
        <f t="shared" si="336"/>
        <v>50</v>
      </c>
      <c r="G5349" s="1" t="str">
        <f t="shared" ca="1" si="334"/>
        <v/>
      </c>
      <c r="I5349" s="1" t="str">
        <f t="shared" si="335"/>
        <v>威尔新数值1.06.xlsm!suitPower</v>
      </c>
    </row>
    <row r="5350" spans="1:9" x14ac:dyDescent="0.15">
      <c r="A5350" s="1">
        <v>5349</v>
      </c>
      <c r="B5350" s="1">
        <v>304091503</v>
      </c>
      <c r="C5350" s="1">
        <f t="shared" si="337"/>
        <v>2</v>
      </c>
      <c r="D5350" s="5">
        <f ca="1">IF(getQuality(B5350)&lt;4,getOtherMin(B5350,C5350,INDIRECT(J$2),INDIRECT(I5350),test),getMin(B5350,C5350,INDIRECT(J$2),INDIRECT(I5350),test))</f>
        <v>42.777777777777779</v>
      </c>
      <c r="E5350" s="5">
        <f ca="1">IF(getQuality(B5350)&lt;4,getOtherMax(B5350,C5350,INDIRECT(J$2),INDIRECT(I5350),test),getMax(B5350,C5350,INDIRECT(J$2),INDIRECT(I5350),test))</f>
        <v>49.75</v>
      </c>
      <c r="F5350" s="1" t="str">
        <f t="shared" si="336"/>
        <v>50</v>
      </c>
      <c r="G5350" s="1" t="str">
        <f t="shared" ca="1" si="334"/>
        <v/>
      </c>
      <c r="I5350" s="1" t="str">
        <f t="shared" si="335"/>
        <v>威尔新数值1.06.xlsm!suitPower</v>
      </c>
    </row>
    <row r="5351" spans="1:9" x14ac:dyDescent="0.15">
      <c r="A5351" s="1">
        <v>5350</v>
      </c>
      <c r="B5351" s="1">
        <v>304091503</v>
      </c>
      <c r="C5351" s="1">
        <f t="shared" si="337"/>
        <v>4</v>
      </c>
      <c r="D5351" s="5">
        <f ca="1">IF(getQuality(B5351)&lt;4,getOtherMin(B5351,C5351,INDIRECT(J$2),INDIRECT(I5351),test),getMin(B5351,C5351,INDIRECT(J$2),INDIRECT(I5351),test))</f>
        <v>334.33333333333331</v>
      </c>
      <c r="E5351" s="5">
        <f ca="1">IF(getQuality(B5351)&lt;4,getOtherMax(B5351,C5351,INDIRECT(J$2),INDIRECT(I5351),test),getMax(B5351,C5351,INDIRECT(J$2),INDIRECT(I5351),test))</f>
        <v>375</v>
      </c>
      <c r="F5351" s="1" t="str">
        <f t="shared" si="336"/>
        <v>50</v>
      </c>
      <c r="G5351" s="1" t="str">
        <f t="shared" ref="G5351:G5414" ca="1" si="338">getMust(B5351,C5351)</f>
        <v>1</v>
      </c>
      <c r="I5351" s="1" t="str">
        <f t="shared" si="335"/>
        <v>威尔新数值1.06.xlsm!suitPower</v>
      </c>
    </row>
    <row r="5352" spans="1:9" x14ac:dyDescent="0.15">
      <c r="A5352" s="1">
        <v>5351</v>
      </c>
      <c r="B5352" s="1">
        <v>304091503</v>
      </c>
      <c r="C5352" s="1">
        <f t="shared" si="337"/>
        <v>6</v>
      </c>
      <c r="D5352" s="5">
        <f ca="1">IF(getQuality(B5352)&lt;4,getOtherMin(B5352,C5352,INDIRECT(J$2),INDIRECT(I5352),test),getMin(B5352,C5352,INDIRECT(J$2),INDIRECT(I5352),test))</f>
        <v>334.33333333333331</v>
      </c>
      <c r="E5352" s="5">
        <f ca="1">IF(getQuality(B5352)&lt;4,getOtherMax(B5352,C5352,INDIRECT(J$2),INDIRECT(I5352),test),getMax(B5352,C5352,INDIRECT(J$2),INDIRECT(I5352),test))</f>
        <v>375</v>
      </c>
      <c r="F5352" s="1" t="str">
        <f t="shared" si="336"/>
        <v>50</v>
      </c>
      <c r="G5352" s="1" t="str">
        <f t="shared" ca="1" si="338"/>
        <v/>
      </c>
      <c r="I5352" s="1" t="str">
        <f t="shared" si="335"/>
        <v>威尔新数值1.06.xlsm!suitPower</v>
      </c>
    </row>
    <row r="5353" spans="1:9" x14ac:dyDescent="0.15">
      <c r="A5353" s="1">
        <v>5352</v>
      </c>
      <c r="B5353" s="1">
        <v>304091503</v>
      </c>
      <c r="C5353" s="1">
        <f t="shared" si="337"/>
        <v>7</v>
      </c>
      <c r="D5353" s="5">
        <f ca="1">IF(getQuality(B5353)&lt;4,getOtherMin(B5353,C5353,INDIRECT(J$2),INDIRECT(I5353),test),getMin(B5353,C5353,INDIRECT(J$2),INDIRECT(I5353),test))</f>
        <v>30.629629629629555</v>
      </c>
      <c r="E5353" s="5">
        <f ca="1">IF(getQuality(B5353)&lt;4,getOtherMax(B5353,C5353,INDIRECT(J$2),INDIRECT(I5353),test),getMax(B5353,C5353,INDIRECT(J$2),INDIRECT(I5353),test))</f>
        <v>33.33333333333325</v>
      </c>
      <c r="F5353" s="1" t="str">
        <f t="shared" si="336"/>
        <v>50</v>
      </c>
      <c r="G5353" s="1" t="str">
        <f t="shared" ca="1" si="338"/>
        <v/>
      </c>
      <c r="I5353" s="1" t="str">
        <f t="shared" si="335"/>
        <v>威尔新数值1.06.xlsm!suitPower</v>
      </c>
    </row>
    <row r="5354" spans="1:9" x14ac:dyDescent="0.15">
      <c r="A5354" s="1">
        <v>5353</v>
      </c>
      <c r="B5354" s="1">
        <v>304091503</v>
      </c>
      <c r="C5354" s="1">
        <f t="shared" si="337"/>
        <v>8</v>
      </c>
      <c r="D5354" s="5">
        <f ca="1">IF(getQuality(B5354)&lt;4,getOtherMin(B5354,C5354,INDIRECT(J$2),INDIRECT(I5354),test),getMin(B5354,C5354,INDIRECT(J$2),INDIRECT(I5354),test))</f>
        <v>67.666666666666671</v>
      </c>
      <c r="E5354" s="5">
        <f ca="1">IF(getQuality(B5354)&lt;4,getOtherMax(B5354,C5354,INDIRECT(J$2),INDIRECT(I5354),test),getMax(B5354,C5354,INDIRECT(J$2),INDIRECT(I5354),test))</f>
        <v>75</v>
      </c>
      <c r="F5354" s="1" t="str">
        <f t="shared" si="336"/>
        <v>50</v>
      </c>
      <c r="G5354" s="1" t="str">
        <f t="shared" ca="1" si="338"/>
        <v/>
      </c>
      <c r="I5354" s="1" t="str">
        <f t="shared" si="335"/>
        <v>威尔新数值1.06.xlsm!suitPower</v>
      </c>
    </row>
    <row r="5355" spans="1:9" x14ac:dyDescent="0.15">
      <c r="A5355" s="1">
        <v>5354</v>
      </c>
      <c r="B5355" s="1">
        <v>304091503</v>
      </c>
      <c r="C5355" s="1">
        <f t="shared" si="337"/>
        <v>16</v>
      </c>
      <c r="D5355" s="5">
        <f ca="1">IF(getQuality(B5355)&lt;4,getOtherMin(B5355,C5355,INDIRECT(J$2),INDIRECT(I5355),test),getMin(B5355,C5355,INDIRECT(J$2),INDIRECT(I5355),test))</f>
        <v>72.111111111111114</v>
      </c>
      <c r="E5355" s="5">
        <f ca="1">IF(getQuality(B5355)&lt;4,getOtherMax(B5355,C5355,INDIRECT(J$2),INDIRECT(I5355),test),getMax(B5355,C5355,INDIRECT(J$2),INDIRECT(I5355),test))</f>
        <v>80</v>
      </c>
      <c r="F5355" s="1" t="str">
        <f t="shared" si="336"/>
        <v>50</v>
      </c>
      <c r="G5355" s="1" t="str">
        <f t="shared" ca="1" si="338"/>
        <v/>
      </c>
      <c r="I5355" s="1" t="str">
        <f t="shared" si="335"/>
        <v>威尔新数值1.06.xlsm!suitPower</v>
      </c>
    </row>
    <row r="5356" spans="1:9" x14ac:dyDescent="0.15">
      <c r="A5356" s="1">
        <v>5355</v>
      </c>
      <c r="B5356" s="1">
        <v>304091503</v>
      </c>
      <c r="C5356" s="1">
        <f t="shared" si="337"/>
        <v>17</v>
      </c>
      <c r="D5356" s="5">
        <f ca="1">IF(getQuality(B5356)&lt;4,getOtherMin(B5356,C5356,INDIRECT(J$2),INDIRECT(I5356),test),getMin(B5356,C5356,INDIRECT(J$2),INDIRECT(I5356),test))</f>
        <v>72.111111111111114</v>
      </c>
      <c r="E5356" s="5">
        <f ca="1">IF(getQuality(B5356)&lt;4,getOtherMax(B5356,C5356,INDIRECT(J$2),INDIRECT(I5356),test),getMax(B5356,C5356,INDIRECT(J$2),INDIRECT(I5356),test))</f>
        <v>80</v>
      </c>
      <c r="F5356" s="1" t="str">
        <f t="shared" si="336"/>
        <v>50</v>
      </c>
      <c r="G5356" s="1" t="str">
        <f t="shared" ca="1" si="338"/>
        <v/>
      </c>
      <c r="I5356" s="1" t="str">
        <f t="shared" si="335"/>
        <v>威尔新数值1.06.xlsm!suitPower</v>
      </c>
    </row>
    <row r="5357" spans="1:9" x14ac:dyDescent="0.15">
      <c r="A5357" s="1">
        <v>5356</v>
      </c>
      <c r="B5357" s="1">
        <v>304091503</v>
      </c>
      <c r="C5357" s="1">
        <f t="shared" si="337"/>
        <v>18</v>
      </c>
      <c r="D5357" s="5">
        <f ca="1">IF(getQuality(B5357)&lt;4,getOtherMin(B5357,C5357,INDIRECT(J$2),INDIRECT(I5357),test),getMin(B5357,C5357,INDIRECT(J$2),INDIRECT(I5357),test))</f>
        <v>72.111111111111114</v>
      </c>
      <c r="E5357" s="5">
        <f ca="1">IF(getQuality(B5357)&lt;4,getOtherMax(B5357,C5357,INDIRECT(J$2),INDIRECT(I5357),test),getMax(B5357,C5357,INDIRECT(J$2),INDIRECT(I5357),test))</f>
        <v>80</v>
      </c>
      <c r="F5357" s="1" t="str">
        <f t="shared" si="336"/>
        <v>50</v>
      </c>
      <c r="G5357" s="1" t="str">
        <f t="shared" ca="1" si="338"/>
        <v/>
      </c>
      <c r="I5357" s="1" t="str">
        <f t="shared" si="335"/>
        <v>威尔新数值1.06.xlsm!suitPower</v>
      </c>
    </row>
    <row r="5358" spans="1:9" x14ac:dyDescent="0.15">
      <c r="A5358" s="1">
        <v>5357</v>
      </c>
      <c r="B5358" s="1">
        <v>304091503</v>
      </c>
      <c r="C5358" s="1">
        <f t="shared" si="337"/>
        <v>19</v>
      </c>
      <c r="D5358" s="5">
        <f ca="1">IF(getQuality(B5358)&lt;4,getOtherMin(B5358,C5358,INDIRECT(J$2),INDIRECT(I5358),test),getMin(B5358,C5358,INDIRECT(J$2),INDIRECT(I5358),test))</f>
        <v>72.111111111111114</v>
      </c>
      <c r="E5358" s="5">
        <f ca="1">IF(getQuality(B5358)&lt;4,getOtherMax(B5358,C5358,INDIRECT(J$2),INDIRECT(I5358),test),getMax(B5358,C5358,INDIRECT(J$2),INDIRECT(I5358),test))</f>
        <v>80</v>
      </c>
      <c r="F5358" s="1" t="str">
        <f t="shared" si="336"/>
        <v>50</v>
      </c>
      <c r="G5358" s="1" t="str">
        <f t="shared" ca="1" si="338"/>
        <v/>
      </c>
      <c r="I5358" s="1" t="str">
        <f t="shared" si="335"/>
        <v>威尔新数值1.06.xlsm!suitPower</v>
      </c>
    </row>
    <row r="5359" spans="1:9" x14ac:dyDescent="0.15">
      <c r="A5359" s="1">
        <v>5358</v>
      </c>
      <c r="B5359" s="1">
        <v>304091503</v>
      </c>
      <c r="C5359" s="1">
        <f t="shared" si="337"/>
        <v>20</v>
      </c>
      <c r="D5359" s="5">
        <f ca="1">IF(getQuality(B5359)&lt;4,getOtherMin(B5359,C5359,INDIRECT(J$2),INDIRECT(I5359),test),getMin(B5359,C5359,INDIRECT(J$2),INDIRECT(I5359),test))</f>
        <v>72.111111111111114</v>
      </c>
      <c r="E5359" s="5">
        <f ca="1">IF(getQuality(B5359)&lt;4,getOtherMax(B5359,C5359,INDIRECT(J$2),INDIRECT(I5359),test),getMax(B5359,C5359,INDIRECT(J$2),INDIRECT(I5359),test))</f>
        <v>80</v>
      </c>
      <c r="F5359" s="1" t="str">
        <f t="shared" si="336"/>
        <v>50</v>
      </c>
      <c r="G5359" s="1" t="str">
        <f t="shared" ca="1" si="338"/>
        <v/>
      </c>
      <c r="I5359" s="1" t="str">
        <f t="shared" si="335"/>
        <v>威尔新数值1.06.xlsm!suitPower</v>
      </c>
    </row>
    <row r="5360" spans="1:9" x14ac:dyDescent="0.15">
      <c r="A5360" s="1">
        <v>5359</v>
      </c>
      <c r="B5360" s="1">
        <v>304091503</v>
      </c>
      <c r="C5360" s="1">
        <f t="shared" si="337"/>
        <v>21</v>
      </c>
      <c r="D5360" s="5">
        <f ca="1">IF(getQuality(B5360)&lt;4,getOtherMin(B5360,C5360,INDIRECT(J$2),INDIRECT(I5360),test),getMin(B5360,C5360,INDIRECT(J$2),INDIRECT(I5360),test))</f>
        <v>107.66666666666666</v>
      </c>
      <c r="E5360" s="5">
        <f ca="1">IF(getQuality(B5360)&lt;4,getOtherMax(B5360,C5360,INDIRECT(J$2),INDIRECT(I5360),test),getMax(B5360,C5360,INDIRECT(J$2),INDIRECT(I5360),test))</f>
        <v>120</v>
      </c>
      <c r="F5360" s="1" t="str">
        <f t="shared" si="336"/>
        <v>50</v>
      </c>
      <c r="G5360" s="1" t="str">
        <f t="shared" ca="1" si="338"/>
        <v/>
      </c>
      <c r="I5360" s="1" t="str">
        <f t="shared" si="335"/>
        <v>威尔新数值1.06.xlsm!suitPower</v>
      </c>
    </row>
    <row r="5361" spans="1:9" x14ac:dyDescent="0.15">
      <c r="A5361" s="1">
        <v>5360</v>
      </c>
      <c r="B5361" s="1">
        <v>304091503</v>
      </c>
      <c r="C5361" s="1">
        <f t="shared" si="337"/>
        <v>22</v>
      </c>
      <c r="D5361" s="5">
        <f ca="1">IF(getQuality(B5361)&lt;4,getOtherMin(B5361,C5361,INDIRECT(J$2),INDIRECT(I5361),test),getMin(B5361,C5361,INDIRECT(J$2),INDIRECT(I5361),test))</f>
        <v>72.111111111111114</v>
      </c>
      <c r="E5361" s="5">
        <f ca="1">IF(getQuality(B5361)&lt;4,getOtherMax(B5361,C5361,INDIRECT(J$2),INDIRECT(I5361),test),getMax(B5361,C5361,INDIRECT(J$2),INDIRECT(I5361),test))</f>
        <v>80</v>
      </c>
      <c r="F5361" s="1" t="str">
        <f t="shared" si="336"/>
        <v>50</v>
      </c>
      <c r="G5361" s="1" t="str">
        <f t="shared" ca="1" si="338"/>
        <v/>
      </c>
      <c r="I5361" s="1" t="str">
        <f t="shared" si="335"/>
        <v>威尔新数值1.06.xlsm!suitPower</v>
      </c>
    </row>
    <row r="5362" spans="1:9" x14ac:dyDescent="0.15">
      <c r="A5362" s="1">
        <v>5361</v>
      </c>
      <c r="B5362" s="1">
        <v>304091503</v>
      </c>
      <c r="C5362" s="1">
        <f t="shared" si="337"/>
        <v>23</v>
      </c>
      <c r="D5362" s="5">
        <f ca="1">IF(getQuality(B5362)&lt;4,getOtherMin(B5362,C5362,INDIRECT(J$2),INDIRECT(I5362),test),getMin(B5362,C5362,INDIRECT(J$2),INDIRECT(I5362),test))</f>
        <v>72.111111111111114</v>
      </c>
      <c r="E5362" s="5">
        <f ca="1">IF(getQuality(B5362)&lt;4,getOtherMax(B5362,C5362,INDIRECT(J$2),INDIRECT(I5362),test),getMax(B5362,C5362,INDIRECT(J$2),INDIRECT(I5362),test))</f>
        <v>80</v>
      </c>
      <c r="F5362" s="1" t="str">
        <f t="shared" si="336"/>
        <v>50</v>
      </c>
      <c r="G5362" s="1" t="str">
        <f t="shared" ca="1" si="338"/>
        <v/>
      </c>
      <c r="I5362" s="1" t="str">
        <f t="shared" si="335"/>
        <v>威尔新数值1.06.xlsm!suitPower</v>
      </c>
    </row>
    <row r="5363" spans="1:9" x14ac:dyDescent="0.15">
      <c r="A5363" s="1">
        <v>5362</v>
      </c>
      <c r="B5363" s="1">
        <v>104090404</v>
      </c>
      <c r="C5363" s="1">
        <f t="shared" si="337"/>
        <v>3</v>
      </c>
      <c r="D5363" s="5">
        <f ca="1">IF(getQuality(B5363)&lt;4,getOtherMin(B5363,C5363,INDIRECT(J$2),INDIRECT(I5363),test),getMin(B5363,C5363,INDIRECT(J$2),INDIRECT(I5363),test))</f>
        <v>258.08373333333333</v>
      </c>
      <c r="E5363" s="5">
        <f ca="1">IF(getQuality(B5363)&lt;4,getOtherMax(B5363,C5363,INDIRECT(J$2),INDIRECT(I5363),test),getMax(B5363,C5363,INDIRECT(J$2),INDIRECT(I5363),test))</f>
        <v>306.14159999999998</v>
      </c>
      <c r="F5363" s="1" t="str">
        <f t="shared" si="336"/>
        <v>50</v>
      </c>
      <c r="G5363" s="1" t="str">
        <f t="shared" ca="1" si="338"/>
        <v/>
      </c>
      <c r="I5363" s="1" t="str">
        <f t="shared" si="335"/>
        <v>威尔新数值1.06.xlsm!suitPower</v>
      </c>
    </row>
    <row r="5364" spans="1:9" x14ac:dyDescent="0.15">
      <c r="A5364" s="1">
        <v>5363</v>
      </c>
      <c r="B5364" s="1">
        <v>104090404</v>
      </c>
      <c r="C5364" s="1">
        <f t="shared" si="337"/>
        <v>5</v>
      </c>
      <c r="D5364" s="5">
        <f ca="1">IF(getQuality(B5364)&lt;4,getOtherMin(B5364,C5364,INDIRECT(J$2),INDIRECT(I5364),test),getMin(B5364,C5364,INDIRECT(J$2),INDIRECT(I5364),test))</f>
        <v>329.28048273180752</v>
      </c>
      <c r="E5364" s="5">
        <f ca="1">IF(getQuality(B5364)&lt;4,getOtherMax(B5364,C5364,INDIRECT(J$2),INDIRECT(I5364),test),getMax(B5364,C5364,INDIRECT(J$2),INDIRECT(I5364),test))</f>
        <v>390.92443123182665</v>
      </c>
      <c r="F5364" s="1" t="str">
        <f t="shared" si="336"/>
        <v>50</v>
      </c>
      <c r="G5364" s="1" t="str">
        <f t="shared" ca="1" si="338"/>
        <v>1</v>
      </c>
      <c r="I5364" s="1" t="str">
        <f t="shared" si="335"/>
        <v>威尔新数值1.06.xlsm!suitPower</v>
      </c>
    </row>
    <row r="5365" spans="1:9" x14ac:dyDescent="0.15">
      <c r="A5365" s="1">
        <v>5364</v>
      </c>
      <c r="B5365" s="1">
        <v>104090404</v>
      </c>
      <c r="C5365" s="1">
        <f t="shared" si="337"/>
        <v>7</v>
      </c>
      <c r="D5365" s="5">
        <f ca="1">IF(getQuality(B5365)&lt;4,getOtherMin(B5365,C5365,INDIRECT(J$2),INDIRECT(I5365),test),getMin(B5365,C5365,INDIRECT(J$2),INDIRECT(I5365),test))</f>
        <v>54.333333333333329</v>
      </c>
      <c r="E5365" s="5">
        <f ca="1">IF(getQuality(B5365)&lt;4,getOtherMax(B5365,C5365,INDIRECT(J$2),INDIRECT(I5365),test),getMax(B5365,C5365,INDIRECT(J$2),INDIRECT(I5365),test))</f>
        <v>60</v>
      </c>
      <c r="F5365" s="1" t="str">
        <f t="shared" si="336"/>
        <v>50</v>
      </c>
      <c r="G5365" s="1" t="str">
        <f t="shared" ca="1" si="338"/>
        <v/>
      </c>
      <c r="I5365" s="1" t="str">
        <f t="shared" si="335"/>
        <v>威尔新数值1.06.xlsm!suitPower</v>
      </c>
    </row>
    <row r="5366" spans="1:9" x14ac:dyDescent="0.15">
      <c r="A5366" s="1">
        <v>5365</v>
      </c>
      <c r="B5366" s="1">
        <v>104090404</v>
      </c>
      <c r="C5366" s="1">
        <f t="shared" si="337"/>
        <v>8</v>
      </c>
      <c r="D5366" s="5">
        <f ca="1">IF(getQuality(B5366)&lt;4,getOtherMin(B5366,C5366,INDIRECT(J$2),INDIRECT(I5366),test),getMin(B5366,C5366,INDIRECT(J$2),INDIRECT(I5366),test))</f>
        <v>134.33333333333334</v>
      </c>
      <c r="E5366" s="5">
        <f ca="1">IF(getQuality(B5366)&lt;4,getOtherMax(B5366,C5366,INDIRECT(J$2),INDIRECT(I5366),test),getMax(B5366,C5366,INDIRECT(J$2),INDIRECT(I5366),test))</f>
        <v>150</v>
      </c>
      <c r="F5366" s="1" t="str">
        <f t="shared" si="336"/>
        <v>50</v>
      </c>
      <c r="G5366" s="1" t="str">
        <f t="shared" ca="1" si="338"/>
        <v/>
      </c>
      <c r="I5366" s="1" t="str">
        <f t="shared" si="335"/>
        <v>威尔新数值1.06.xlsm!suitPower</v>
      </c>
    </row>
    <row r="5367" spans="1:9" x14ac:dyDescent="0.15">
      <c r="A5367" s="1">
        <v>5366</v>
      </c>
      <c r="B5367" s="1">
        <v>104090404</v>
      </c>
      <c r="C5367" s="1">
        <f t="shared" si="337"/>
        <v>9</v>
      </c>
      <c r="D5367" s="5">
        <f ca="1">IF(getQuality(B5367)&lt;4,getOtherMin(B5367,C5367,INDIRECT(J$2),INDIRECT(I5367),test),getMin(B5367,C5367,INDIRECT(J$2),INDIRECT(I5367),test))</f>
        <v>293.6821080325704</v>
      </c>
      <c r="E5367" s="5">
        <f ca="1">IF(getQuality(B5367)&lt;4,getOtherMax(B5367,C5367,INDIRECT(J$2),INDIRECT(I5367),test),getMax(B5367,C5367,INDIRECT(J$2),INDIRECT(I5367),test))</f>
        <v>348.53301561591331</v>
      </c>
      <c r="F5367" s="1" t="str">
        <f t="shared" si="336"/>
        <v>50</v>
      </c>
      <c r="G5367" s="1" t="str">
        <f t="shared" ca="1" si="338"/>
        <v/>
      </c>
      <c r="I5367" s="1" t="str">
        <f t="shared" si="335"/>
        <v>威尔新数值1.06.xlsm!suitPower</v>
      </c>
    </row>
    <row r="5368" spans="1:9" x14ac:dyDescent="0.15">
      <c r="A5368" s="1">
        <v>5367</v>
      </c>
      <c r="B5368" s="1">
        <v>104090404</v>
      </c>
      <c r="C5368" s="1">
        <f t="shared" si="337"/>
        <v>10</v>
      </c>
      <c r="D5368" s="5">
        <f ca="1">IF(getQuality(B5368)&lt;4,getOtherMin(B5368,C5368,INDIRECT(J$2),INDIRECT(I5368),test),getMin(B5368,C5368,INDIRECT(J$2),INDIRECT(I5368),test))</f>
        <v>293.6821080325704</v>
      </c>
      <c r="E5368" s="5">
        <f ca="1">IF(getQuality(B5368)&lt;4,getOtherMax(B5368,C5368,INDIRECT(J$2),INDIRECT(I5368),test),getMax(B5368,C5368,INDIRECT(J$2),INDIRECT(I5368),test))</f>
        <v>348.53301561591331</v>
      </c>
      <c r="F5368" s="1" t="str">
        <f t="shared" si="336"/>
        <v>50</v>
      </c>
      <c r="G5368" s="1" t="str">
        <f t="shared" ca="1" si="338"/>
        <v/>
      </c>
      <c r="I5368" s="1" t="str">
        <f t="shared" si="335"/>
        <v>威尔新数值1.06.xlsm!suitPower</v>
      </c>
    </row>
    <row r="5369" spans="1:9" x14ac:dyDescent="0.15">
      <c r="A5369" s="1">
        <v>5368</v>
      </c>
      <c r="B5369" s="1">
        <v>104090404</v>
      </c>
      <c r="C5369" s="1">
        <f t="shared" si="337"/>
        <v>11</v>
      </c>
      <c r="D5369" s="5">
        <f ca="1">IF(getQuality(B5369)&lt;4,getOtherMin(B5369,C5369,INDIRECT(J$2),INDIRECT(I5369),test),getMin(B5369,C5369,INDIRECT(J$2),INDIRECT(I5369),test))</f>
        <v>293.6821080325704</v>
      </c>
      <c r="E5369" s="5">
        <f ca="1">IF(getQuality(B5369)&lt;4,getOtherMax(B5369,C5369,INDIRECT(J$2),INDIRECT(I5369),test),getMax(B5369,C5369,INDIRECT(J$2),INDIRECT(I5369),test))</f>
        <v>348.53301561591331</v>
      </c>
      <c r="F5369" s="1" t="str">
        <f t="shared" si="336"/>
        <v>50</v>
      </c>
      <c r="G5369" s="1" t="str">
        <f t="shared" ca="1" si="338"/>
        <v/>
      </c>
      <c r="I5369" s="1" t="str">
        <f t="shared" si="335"/>
        <v>威尔新数值1.06.xlsm!suitPower</v>
      </c>
    </row>
    <row r="5370" spans="1:9" x14ac:dyDescent="0.15">
      <c r="A5370" s="1">
        <v>5369</v>
      </c>
      <c r="B5370" s="1">
        <v>104090404</v>
      </c>
      <c r="C5370" s="1">
        <f t="shared" si="337"/>
        <v>12</v>
      </c>
      <c r="D5370" s="5">
        <f ca="1">IF(getQuality(B5370)&lt;4,getOtherMin(B5370,C5370,INDIRECT(J$2),INDIRECT(I5370),test),getMin(B5370,C5370,INDIRECT(J$2),INDIRECT(I5370),test))</f>
        <v>293.6821080325704</v>
      </c>
      <c r="E5370" s="5">
        <f ca="1">IF(getQuality(B5370)&lt;4,getOtherMax(B5370,C5370,INDIRECT(J$2),INDIRECT(I5370),test),getMax(B5370,C5370,INDIRECT(J$2),INDIRECT(I5370),test))</f>
        <v>348.53301561591331</v>
      </c>
      <c r="F5370" s="1" t="str">
        <f t="shared" si="336"/>
        <v>50</v>
      </c>
      <c r="G5370" s="1" t="str">
        <f t="shared" ca="1" si="338"/>
        <v/>
      </c>
      <c r="I5370" s="1" t="str">
        <f t="shared" si="335"/>
        <v>威尔新数值1.06.xlsm!suitPower</v>
      </c>
    </row>
    <row r="5371" spans="1:9" x14ac:dyDescent="0.15">
      <c r="A5371" s="1">
        <v>5370</v>
      </c>
      <c r="B5371" s="1">
        <v>104090404</v>
      </c>
      <c r="C5371" s="1">
        <f t="shared" si="337"/>
        <v>13</v>
      </c>
      <c r="D5371" s="5">
        <f ca="1">IF(getQuality(B5371)&lt;4,getOtherMin(B5371,C5371,INDIRECT(J$2),INDIRECT(I5371),test),getMin(B5371,C5371,INDIRECT(J$2),INDIRECT(I5371),test))</f>
        <v>293.6821080325704</v>
      </c>
      <c r="E5371" s="5">
        <f ca="1">IF(getQuality(B5371)&lt;4,getOtherMax(B5371,C5371,INDIRECT(J$2),INDIRECT(I5371),test),getMax(B5371,C5371,INDIRECT(J$2),INDIRECT(I5371),test))</f>
        <v>348.53301561591331</v>
      </c>
      <c r="F5371" s="1" t="str">
        <f t="shared" si="336"/>
        <v>50</v>
      </c>
      <c r="G5371" s="1" t="str">
        <f t="shared" ca="1" si="338"/>
        <v/>
      </c>
      <c r="I5371" s="1" t="str">
        <f t="shared" si="335"/>
        <v>威尔新数值1.06.xlsm!suitPower</v>
      </c>
    </row>
    <row r="5372" spans="1:9" x14ac:dyDescent="0.15">
      <c r="A5372" s="1">
        <v>5371</v>
      </c>
      <c r="B5372" s="1">
        <v>104090404</v>
      </c>
      <c r="C5372" s="1">
        <f t="shared" si="337"/>
        <v>14</v>
      </c>
      <c r="D5372" s="5">
        <f ca="1">IF(getQuality(B5372)&lt;4,getOtherMin(B5372,C5372,INDIRECT(J$2),INDIRECT(I5372),test),getMin(B5372,C5372,INDIRECT(J$2),INDIRECT(I5372),test))</f>
        <v>293.6821080325704</v>
      </c>
      <c r="E5372" s="5">
        <f ca="1">IF(getQuality(B5372)&lt;4,getOtherMax(B5372,C5372,INDIRECT(J$2),INDIRECT(I5372),test),getMax(B5372,C5372,INDIRECT(J$2),INDIRECT(I5372),test))</f>
        <v>348.53301561591331</v>
      </c>
      <c r="F5372" s="1" t="str">
        <f t="shared" si="336"/>
        <v>50</v>
      </c>
      <c r="G5372" s="1" t="str">
        <f t="shared" ca="1" si="338"/>
        <v/>
      </c>
      <c r="I5372" s="1" t="str">
        <f t="shared" si="335"/>
        <v>威尔新数值1.06.xlsm!suitPower</v>
      </c>
    </row>
    <row r="5373" spans="1:9" x14ac:dyDescent="0.15">
      <c r="A5373" s="1">
        <v>5372</v>
      </c>
      <c r="B5373" s="1">
        <v>104090404</v>
      </c>
      <c r="C5373" s="1">
        <f t="shared" si="337"/>
        <v>15</v>
      </c>
      <c r="D5373" s="5">
        <f ca="1">IF(getQuality(B5373)&lt;4,getOtherMin(B5373,C5373,INDIRECT(J$2),INDIRECT(I5373),test),getMin(B5373,C5373,INDIRECT(J$2),INDIRECT(I5373),test))</f>
        <v>352.21852963908481</v>
      </c>
      <c r="E5373" s="5">
        <f ca="1">IF(getQuality(B5373)&lt;4,getOtherMax(B5373,C5373,INDIRECT(J$2),INDIRECT(I5373),test),getMax(B5373,C5373,INDIRECT(J$2),INDIRECT(I5373),test))</f>
        <v>418.23961873909639</v>
      </c>
      <c r="F5373" s="1" t="str">
        <f t="shared" si="336"/>
        <v>50</v>
      </c>
      <c r="G5373" s="1" t="str">
        <f t="shared" ca="1" si="338"/>
        <v/>
      </c>
      <c r="I5373" s="1" t="str">
        <f t="shared" si="335"/>
        <v>威尔新数值1.06.xlsm!suitPower</v>
      </c>
    </row>
    <row r="5374" spans="1:9" x14ac:dyDescent="0.15">
      <c r="A5374" s="1">
        <v>5373</v>
      </c>
      <c r="B5374" s="1">
        <v>104090404</v>
      </c>
      <c r="C5374" s="1">
        <f t="shared" si="337"/>
        <v>101</v>
      </c>
      <c r="D5374" s="5">
        <f ca="1">IF(getQuality(B5374)&lt;4,getOtherMin(B5374,C5374,INDIRECT(J$2),INDIRECT(I5374),test),getMin(B5374,C5374,INDIRECT(J$2),INDIRECT(I5374),test))</f>
        <v>0.16</v>
      </c>
      <c r="E5374" s="5">
        <f ca="1">IF(getQuality(B5374)&lt;4,getOtherMax(B5374,C5374,INDIRECT(J$2),INDIRECT(I5374),test),getMax(B5374,C5374,INDIRECT(J$2),INDIRECT(I5374),test))</f>
        <v>0.19</v>
      </c>
      <c r="F5374" s="1" t="str">
        <f t="shared" si="336"/>
        <v>50</v>
      </c>
      <c r="G5374" s="1" t="str">
        <f t="shared" ca="1" si="338"/>
        <v/>
      </c>
      <c r="I5374" s="1" t="str">
        <f t="shared" si="335"/>
        <v>威尔新数值1.06.xlsm!circlePer</v>
      </c>
    </row>
    <row r="5375" spans="1:9" x14ac:dyDescent="0.15">
      <c r="A5375" s="1">
        <v>5374</v>
      </c>
      <c r="B5375" s="1">
        <v>104090404</v>
      </c>
      <c r="C5375" s="1">
        <f t="shared" si="337"/>
        <v>102</v>
      </c>
      <c r="D5375" s="5">
        <f ca="1">IF(getQuality(B5375)&lt;4,getOtherMin(B5375,C5375,INDIRECT(J$2),INDIRECT(I5375),test),getMin(B5375,C5375,INDIRECT(J$2),INDIRECT(I5375),test))</f>
        <v>1.4</v>
      </c>
      <c r="E5375" s="5">
        <f ca="1">IF(getQuality(B5375)&lt;4,getOtherMax(B5375,C5375,INDIRECT(J$2),INDIRECT(I5375),test),getMax(B5375,C5375,INDIRECT(J$2),INDIRECT(I5375),test))</f>
        <v>1.8</v>
      </c>
      <c r="F5375" s="1" t="str">
        <f t="shared" si="336"/>
        <v>50</v>
      </c>
      <c r="G5375" s="1" t="str">
        <f t="shared" ca="1" si="338"/>
        <v/>
      </c>
      <c r="I5375" s="1" t="str">
        <f t="shared" si="335"/>
        <v>威尔新数值1.06.xlsm!circleValue</v>
      </c>
    </row>
    <row r="5376" spans="1:9" x14ac:dyDescent="0.15">
      <c r="A5376" s="1">
        <v>5375</v>
      </c>
      <c r="B5376" s="1">
        <v>104090404</v>
      </c>
      <c r="C5376" s="1">
        <f t="shared" si="337"/>
        <v>103</v>
      </c>
      <c r="D5376" s="5">
        <f ca="1">IF(getQuality(B5376)&lt;4,getOtherMin(B5376,C5376,INDIRECT(J$2),INDIRECT(I5376),test),getMin(B5376,C5376,INDIRECT(J$2),INDIRECT(I5376),test))</f>
        <v>0.16</v>
      </c>
      <c r="E5376" s="5">
        <f ca="1">IF(getQuality(B5376)&lt;4,getOtherMax(B5376,C5376,INDIRECT(J$2),INDIRECT(I5376),test),getMax(B5376,C5376,INDIRECT(J$2),INDIRECT(I5376),test))</f>
        <v>0.19</v>
      </c>
      <c r="F5376" s="1" t="str">
        <f t="shared" si="336"/>
        <v>50</v>
      </c>
      <c r="G5376" s="1" t="str">
        <f t="shared" ca="1" si="338"/>
        <v/>
      </c>
      <c r="I5376" s="1" t="str">
        <f t="shared" si="335"/>
        <v>威尔新数值1.06.xlsm!otherDamage</v>
      </c>
    </row>
    <row r="5377" spans="1:9" x14ac:dyDescent="0.15">
      <c r="A5377" s="1">
        <v>5376</v>
      </c>
      <c r="B5377" s="1">
        <v>104090404</v>
      </c>
      <c r="C5377" s="1">
        <f t="shared" si="337"/>
        <v>104</v>
      </c>
      <c r="D5377" s="5">
        <f ca="1">IF(getQuality(B5377)&lt;4,getOtherMin(B5377,C5377,INDIRECT(J$2),INDIRECT(I5377),test),getMin(B5377,C5377,INDIRECT(J$2),INDIRECT(I5377),test))</f>
        <v>0.15</v>
      </c>
      <c r="E5377" s="5">
        <f ca="1">IF(getQuality(B5377)&lt;4,getOtherMax(B5377,C5377,INDIRECT(J$2),INDIRECT(I5377),test),getMax(B5377,C5377,INDIRECT(J$2),INDIRECT(I5377),test))</f>
        <v>0.3</v>
      </c>
      <c r="F5377" s="1" t="str">
        <f t="shared" si="336"/>
        <v>50</v>
      </c>
      <c r="G5377" s="1" t="str">
        <f t="shared" ca="1" si="338"/>
        <v/>
      </c>
      <c r="I5377" s="1" t="str">
        <f t="shared" si="335"/>
        <v>威尔新数值1.06.xlsm!monsterDamage</v>
      </c>
    </row>
    <row r="5378" spans="1:9" x14ac:dyDescent="0.15">
      <c r="A5378" s="1">
        <v>5377</v>
      </c>
      <c r="B5378" s="1">
        <v>104090404</v>
      </c>
      <c r="C5378" s="1">
        <f t="shared" si="337"/>
        <v>105</v>
      </c>
      <c r="D5378" s="5">
        <f ca="1">IF(getQuality(B5378)&lt;4,getOtherMin(B5378,C5378,INDIRECT(J$2),INDIRECT(I5378),test),getMin(B5378,C5378,INDIRECT(J$2),INDIRECT(I5378),test))</f>
        <v>0.15</v>
      </c>
      <c r="E5378" s="5">
        <f ca="1">IF(getQuality(B5378)&lt;4,getOtherMax(B5378,C5378,INDIRECT(J$2),INDIRECT(I5378),test),getMax(B5378,C5378,INDIRECT(J$2),INDIRECT(I5378),test))</f>
        <v>0.3</v>
      </c>
      <c r="F5378" s="1" t="str">
        <f t="shared" si="336"/>
        <v>50</v>
      </c>
      <c r="G5378" s="1" t="str">
        <f t="shared" ca="1" si="338"/>
        <v/>
      </c>
      <c r="I5378" s="1" t="str">
        <f t="shared" ref="I5378:I5441" si="339">IF(C5378&lt;100,VLOOKUP(C5378,test,3,FALSE),VLOOKUP(C5378,test1,3,FALSE))</f>
        <v>威尔新数值1.06.xlsm!monsterDamage</v>
      </c>
    </row>
    <row r="5379" spans="1:9" x14ac:dyDescent="0.15">
      <c r="A5379" s="1">
        <v>5378</v>
      </c>
      <c r="B5379" s="1">
        <v>104090404</v>
      </c>
      <c r="C5379" s="1">
        <f t="shared" si="337"/>
        <v>106</v>
      </c>
      <c r="D5379" s="5">
        <f ca="1">IF(getQuality(B5379)&lt;4,getOtherMin(B5379,C5379,INDIRECT(J$2),INDIRECT(I5379),test),getMin(B5379,C5379,INDIRECT(J$2),INDIRECT(I5379),test))</f>
        <v>0.15</v>
      </c>
      <c r="E5379" s="5">
        <f ca="1">IF(getQuality(B5379)&lt;4,getOtherMax(B5379,C5379,INDIRECT(J$2),INDIRECT(I5379),test),getMax(B5379,C5379,INDIRECT(J$2),INDIRECT(I5379),test))</f>
        <v>0.3</v>
      </c>
      <c r="F5379" s="1" t="str">
        <f t="shared" ref="F5379:F5442" si="340">getper(B5379,C5379)</f>
        <v>50</v>
      </c>
      <c r="G5379" s="1" t="str">
        <f t="shared" ca="1" si="338"/>
        <v/>
      </c>
      <c r="I5379" s="1" t="str">
        <f t="shared" si="339"/>
        <v>威尔新数值1.06.xlsm!monsterDamage</v>
      </c>
    </row>
    <row r="5380" spans="1:9" x14ac:dyDescent="0.15">
      <c r="A5380" s="1">
        <v>5379</v>
      </c>
      <c r="B5380" s="1">
        <v>104090404</v>
      </c>
      <c r="C5380" s="1">
        <f t="shared" si="337"/>
        <v>107</v>
      </c>
      <c r="D5380" s="5">
        <f ca="1">IF(getQuality(B5380)&lt;4,getOtherMin(B5380,C5380,INDIRECT(J$2),INDIRECT(I5380),test),getMin(B5380,C5380,INDIRECT(J$2),INDIRECT(I5380),test))</f>
        <v>0.15</v>
      </c>
      <c r="E5380" s="5">
        <f ca="1">IF(getQuality(B5380)&lt;4,getOtherMax(B5380,C5380,INDIRECT(J$2),INDIRECT(I5380),test),getMax(B5380,C5380,INDIRECT(J$2),INDIRECT(I5380),test))</f>
        <v>0.3</v>
      </c>
      <c r="F5380" s="1" t="str">
        <f t="shared" si="340"/>
        <v>50</v>
      </c>
      <c r="G5380" s="1" t="str">
        <f t="shared" ca="1" si="338"/>
        <v/>
      </c>
      <c r="I5380" s="1" t="str">
        <f t="shared" si="339"/>
        <v>威尔新数值1.06.xlsm!monsterDamage</v>
      </c>
    </row>
    <row r="5381" spans="1:9" x14ac:dyDescent="0.15">
      <c r="A5381" s="1">
        <v>5380</v>
      </c>
      <c r="B5381" s="1">
        <v>104090404</v>
      </c>
      <c r="C5381" s="1">
        <f t="shared" si="337"/>
        <v>108</v>
      </c>
      <c r="D5381" s="5">
        <f ca="1">IF(getQuality(B5381)&lt;4,getOtherMin(B5381,C5381,INDIRECT(J$2),INDIRECT(I5381),test),getMin(B5381,C5381,INDIRECT(J$2),INDIRECT(I5381),test))</f>
        <v>0.15</v>
      </c>
      <c r="E5381" s="5">
        <f ca="1">IF(getQuality(B5381)&lt;4,getOtherMax(B5381,C5381,INDIRECT(J$2),INDIRECT(I5381),test),getMax(B5381,C5381,INDIRECT(J$2),INDIRECT(I5381),test))</f>
        <v>0.3</v>
      </c>
      <c r="F5381" s="1" t="str">
        <f t="shared" si="340"/>
        <v>50</v>
      </c>
      <c r="G5381" s="1" t="str">
        <f t="shared" ca="1" si="338"/>
        <v/>
      </c>
      <c r="I5381" s="1" t="str">
        <f t="shared" si="339"/>
        <v>威尔新数值1.06.xlsm!monsterDamage</v>
      </c>
    </row>
    <row r="5382" spans="1:9" x14ac:dyDescent="0.15">
      <c r="A5382" s="1">
        <v>5381</v>
      </c>
      <c r="B5382" s="1">
        <v>204091404</v>
      </c>
      <c r="C5382" s="1">
        <f t="shared" si="337"/>
        <v>1</v>
      </c>
      <c r="D5382" s="5">
        <f ca="1">IF(getQuality(B5382)&lt;4,getOtherMin(B5382,C5382,INDIRECT(J$2),INDIRECT(I5382),test),getMin(B5382,C5382,INDIRECT(J$2),INDIRECT(I5382),test))</f>
        <v>869.97777777777776</v>
      </c>
      <c r="E5382" s="5">
        <f ca="1">IF(getQuality(B5382)&lt;4,getOtherMax(B5382,C5382,INDIRECT(J$2),INDIRECT(I5382),test),getMax(B5382,C5382,INDIRECT(J$2),INDIRECT(I5382),test))</f>
        <v>1034.8</v>
      </c>
      <c r="F5382" s="1" t="str">
        <f t="shared" si="340"/>
        <v>50</v>
      </c>
      <c r="G5382" s="1" t="str">
        <f t="shared" ca="1" si="338"/>
        <v/>
      </c>
      <c r="I5382" s="1" t="str">
        <f t="shared" si="339"/>
        <v>威尔新数值1.06.xlsm!suitPower</v>
      </c>
    </row>
    <row r="5383" spans="1:9" x14ac:dyDescent="0.15">
      <c r="A5383" s="1">
        <v>5382</v>
      </c>
      <c r="B5383" s="1">
        <v>204091404</v>
      </c>
      <c r="C5383" s="1">
        <f t="shared" si="337"/>
        <v>2</v>
      </c>
      <c r="D5383" s="5">
        <f ca="1">IF(getQuality(B5383)&lt;4,getOtherMin(B5383,C5383,INDIRECT(J$2),INDIRECT(I5383),test),getMin(B5383,C5383,INDIRECT(J$2),INDIRECT(I5383),test))</f>
        <v>42.777777777777779</v>
      </c>
      <c r="E5383" s="5">
        <f ca="1">IF(getQuality(B5383)&lt;4,getOtherMax(B5383,C5383,INDIRECT(J$2),INDIRECT(I5383),test),getMax(B5383,C5383,INDIRECT(J$2),INDIRECT(I5383),test))</f>
        <v>49.75</v>
      </c>
      <c r="F5383" s="1" t="str">
        <f t="shared" si="340"/>
        <v>50</v>
      </c>
      <c r="G5383" s="1" t="str">
        <f t="shared" ca="1" si="338"/>
        <v/>
      </c>
      <c r="I5383" s="1" t="str">
        <f t="shared" si="339"/>
        <v>威尔新数值1.06.xlsm!suitPower</v>
      </c>
    </row>
    <row r="5384" spans="1:9" x14ac:dyDescent="0.15">
      <c r="A5384" s="1">
        <v>5383</v>
      </c>
      <c r="B5384" s="1">
        <v>204091404</v>
      </c>
      <c r="C5384" s="1">
        <f t="shared" si="337"/>
        <v>4</v>
      </c>
      <c r="D5384" s="5">
        <f ca="1">IF(getQuality(B5384)&lt;4,getOtherMin(B5384,C5384,INDIRECT(J$2),INDIRECT(I5384),test),getMin(B5384,C5384,INDIRECT(J$2),INDIRECT(I5384),test))</f>
        <v>267.66666666666669</v>
      </c>
      <c r="E5384" s="5">
        <f ca="1">IF(getQuality(B5384)&lt;4,getOtherMax(B5384,C5384,INDIRECT(J$2),INDIRECT(I5384),test),getMax(B5384,C5384,INDIRECT(J$2),INDIRECT(I5384),test))</f>
        <v>300</v>
      </c>
      <c r="F5384" s="1" t="str">
        <f t="shared" si="340"/>
        <v>50</v>
      </c>
      <c r="G5384" s="1" t="str">
        <f t="shared" ca="1" si="338"/>
        <v/>
      </c>
      <c r="I5384" s="1" t="str">
        <f t="shared" si="339"/>
        <v>威尔新数值1.06.xlsm!suitPower</v>
      </c>
    </row>
    <row r="5385" spans="1:9" x14ac:dyDescent="0.15">
      <c r="A5385" s="1">
        <v>5384</v>
      </c>
      <c r="B5385" s="1">
        <v>204091404</v>
      </c>
      <c r="C5385" s="1">
        <f t="shared" si="337"/>
        <v>6</v>
      </c>
      <c r="D5385" s="5">
        <f ca="1">IF(getQuality(B5385)&lt;4,getOtherMin(B5385,C5385,INDIRECT(J$2),INDIRECT(I5385),test),getMin(B5385,C5385,INDIRECT(J$2),INDIRECT(I5385),test))</f>
        <v>334.33333333333331</v>
      </c>
      <c r="E5385" s="5">
        <f ca="1">IF(getQuality(B5385)&lt;4,getOtherMax(B5385,C5385,INDIRECT(J$2),INDIRECT(I5385),test),getMax(B5385,C5385,INDIRECT(J$2),INDIRECT(I5385),test))</f>
        <v>375</v>
      </c>
      <c r="F5385" s="1" t="str">
        <f t="shared" si="340"/>
        <v>50</v>
      </c>
      <c r="G5385" s="1" t="str">
        <f t="shared" ca="1" si="338"/>
        <v>1</v>
      </c>
      <c r="I5385" s="1" t="str">
        <f t="shared" si="339"/>
        <v>威尔新数值1.06.xlsm!suitPower</v>
      </c>
    </row>
    <row r="5386" spans="1:9" x14ac:dyDescent="0.15">
      <c r="A5386" s="1">
        <v>5385</v>
      </c>
      <c r="B5386" s="1">
        <v>204091404</v>
      </c>
      <c r="C5386" s="1">
        <f t="shared" si="337"/>
        <v>7</v>
      </c>
      <c r="D5386" s="5">
        <f ca="1">IF(getQuality(B5386)&lt;4,getOtherMin(B5386,C5386,INDIRECT(J$2),INDIRECT(I5386),test),getMin(B5386,C5386,INDIRECT(J$2),INDIRECT(I5386),test))</f>
        <v>27.666666666666664</v>
      </c>
      <c r="E5386" s="5">
        <f ca="1">IF(getQuality(B5386)&lt;4,getOtherMax(B5386,C5386,INDIRECT(J$2),INDIRECT(I5386),test),getMax(B5386,C5386,INDIRECT(J$2),INDIRECT(I5386),test))</f>
        <v>30</v>
      </c>
      <c r="F5386" s="1" t="str">
        <f t="shared" si="340"/>
        <v>50</v>
      </c>
      <c r="G5386" s="1" t="str">
        <f t="shared" ca="1" si="338"/>
        <v/>
      </c>
      <c r="I5386" s="1" t="str">
        <f t="shared" si="339"/>
        <v>威尔新数值1.06.xlsm!suitPower</v>
      </c>
    </row>
    <row r="5387" spans="1:9" x14ac:dyDescent="0.15">
      <c r="A5387" s="1">
        <v>5386</v>
      </c>
      <c r="B5387" s="1">
        <v>204091404</v>
      </c>
      <c r="C5387" s="1">
        <f t="shared" si="337"/>
        <v>8</v>
      </c>
      <c r="D5387" s="5">
        <f ca="1">IF(getQuality(B5387)&lt;4,getOtherMin(B5387,C5387,INDIRECT(J$2),INDIRECT(I5387),test),getMin(B5387,C5387,INDIRECT(J$2),INDIRECT(I5387),test))</f>
        <v>67.666666666666671</v>
      </c>
      <c r="E5387" s="5">
        <f ca="1">IF(getQuality(B5387)&lt;4,getOtherMax(B5387,C5387,INDIRECT(J$2),INDIRECT(I5387),test),getMax(B5387,C5387,INDIRECT(J$2),INDIRECT(I5387),test))</f>
        <v>75</v>
      </c>
      <c r="F5387" s="1" t="str">
        <f t="shared" si="340"/>
        <v>50</v>
      </c>
      <c r="G5387" s="1" t="str">
        <f t="shared" ca="1" si="338"/>
        <v/>
      </c>
      <c r="I5387" s="1" t="str">
        <f t="shared" si="339"/>
        <v>威尔新数值1.06.xlsm!suitPower</v>
      </c>
    </row>
    <row r="5388" spans="1:9" x14ac:dyDescent="0.15">
      <c r="A5388" s="1">
        <v>5387</v>
      </c>
      <c r="B5388" s="1">
        <v>204091404</v>
      </c>
      <c r="C5388" s="1">
        <f t="shared" si="337"/>
        <v>16</v>
      </c>
      <c r="D5388" s="5">
        <f ca="1">IF(getQuality(B5388)&lt;4,getOtherMin(B5388,C5388,INDIRECT(J$2),INDIRECT(I5388),test),getMin(B5388,C5388,INDIRECT(J$2),INDIRECT(I5388),test))</f>
        <v>89.888888888888886</v>
      </c>
      <c r="E5388" s="5">
        <f ca="1">IF(getQuality(B5388)&lt;4,getOtherMax(B5388,C5388,INDIRECT(J$2),INDIRECT(I5388),test),getMax(B5388,C5388,INDIRECT(J$2),INDIRECT(I5388),test))</f>
        <v>100</v>
      </c>
      <c r="F5388" s="1" t="str">
        <f t="shared" si="340"/>
        <v>50</v>
      </c>
      <c r="G5388" s="1" t="str">
        <f t="shared" ca="1" si="338"/>
        <v/>
      </c>
      <c r="I5388" s="1" t="str">
        <f t="shared" si="339"/>
        <v>威尔新数值1.06.xlsm!suitPower</v>
      </c>
    </row>
    <row r="5389" spans="1:9" x14ac:dyDescent="0.15">
      <c r="A5389" s="1">
        <v>5388</v>
      </c>
      <c r="B5389" s="1">
        <v>204091404</v>
      </c>
      <c r="C5389" s="1">
        <f t="shared" si="337"/>
        <v>17</v>
      </c>
      <c r="D5389" s="5">
        <f ca="1">IF(getQuality(B5389)&lt;4,getOtherMin(B5389,C5389,INDIRECT(J$2),INDIRECT(I5389),test),getMin(B5389,C5389,INDIRECT(J$2),INDIRECT(I5389),test))</f>
        <v>89.888888888888886</v>
      </c>
      <c r="E5389" s="5">
        <f ca="1">IF(getQuality(B5389)&lt;4,getOtherMax(B5389,C5389,INDIRECT(J$2),INDIRECT(I5389),test),getMax(B5389,C5389,INDIRECT(J$2),INDIRECT(I5389),test))</f>
        <v>100</v>
      </c>
      <c r="F5389" s="1" t="str">
        <f t="shared" si="340"/>
        <v>50</v>
      </c>
      <c r="G5389" s="1" t="str">
        <f t="shared" ca="1" si="338"/>
        <v/>
      </c>
      <c r="I5389" s="1" t="str">
        <f t="shared" si="339"/>
        <v>威尔新数值1.06.xlsm!suitPower</v>
      </c>
    </row>
    <row r="5390" spans="1:9" x14ac:dyDescent="0.15">
      <c r="A5390" s="1">
        <v>5389</v>
      </c>
      <c r="B5390" s="1">
        <v>204091404</v>
      </c>
      <c r="C5390" s="1">
        <f t="shared" si="337"/>
        <v>18</v>
      </c>
      <c r="D5390" s="5">
        <f ca="1">IF(getQuality(B5390)&lt;4,getOtherMin(B5390,C5390,INDIRECT(J$2),INDIRECT(I5390),test),getMin(B5390,C5390,INDIRECT(J$2),INDIRECT(I5390),test))</f>
        <v>89.888888888888886</v>
      </c>
      <c r="E5390" s="5">
        <f ca="1">IF(getQuality(B5390)&lt;4,getOtherMax(B5390,C5390,INDIRECT(J$2),INDIRECT(I5390),test),getMax(B5390,C5390,INDIRECT(J$2),INDIRECT(I5390),test))</f>
        <v>100</v>
      </c>
      <c r="F5390" s="1" t="str">
        <f t="shared" si="340"/>
        <v>50</v>
      </c>
      <c r="G5390" s="1" t="str">
        <f t="shared" ca="1" si="338"/>
        <v/>
      </c>
      <c r="I5390" s="1" t="str">
        <f t="shared" si="339"/>
        <v>威尔新数值1.06.xlsm!suitPower</v>
      </c>
    </row>
    <row r="5391" spans="1:9" x14ac:dyDescent="0.15">
      <c r="A5391" s="1">
        <v>5390</v>
      </c>
      <c r="B5391" s="1">
        <v>204091404</v>
      </c>
      <c r="C5391" s="1">
        <f t="shared" si="337"/>
        <v>19</v>
      </c>
      <c r="D5391" s="5">
        <f ca="1">IF(getQuality(B5391)&lt;4,getOtherMin(B5391,C5391,INDIRECT(J$2),INDIRECT(I5391),test),getMin(B5391,C5391,INDIRECT(J$2),INDIRECT(I5391),test))</f>
        <v>89.888888888888886</v>
      </c>
      <c r="E5391" s="5">
        <f ca="1">IF(getQuality(B5391)&lt;4,getOtherMax(B5391,C5391,INDIRECT(J$2),INDIRECT(I5391),test),getMax(B5391,C5391,INDIRECT(J$2),INDIRECT(I5391),test))</f>
        <v>100</v>
      </c>
      <c r="F5391" s="1" t="str">
        <f t="shared" si="340"/>
        <v>50</v>
      </c>
      <c r="G5391" s="1" t="str">
        <f t="shared" ca="1" si="338"/>
        <v/>
      </c>
      <c r="I5391" s="1" t="str">
        <f t="shared" si="339"/>
        <v>威尔新数值1.06.xlsm!suitPower</v>
      </c>
    </row>
    <row r="5392" spans="1:9" x14ac:dyDescent="0.15">
      <c r="A5392" s="1">
        <v>5391</v>
      </c>
      <c r="B5392" s="1">
        <v>204091404</v>
      </c>
      <c r="C5392" s="1">
        <f t="shared" si="337"/>
        <v>20</v>
      </c>
      <c r="D5392" s="5">
        <f ca="1">IF(getQuality(B5392)&lt;4,getOtherMin(B5392,C5392,INDIRECT(J$2),INDIRECT(I5392),test),getMin(B5392,C5392,INDIRECT(J$2),INDIRECT(I5392),test))</f>
        <v>89.888888888888886</v>
      </c>
      <c r="E5392" s="5">
        <f ca="1">IF(getQuality(B5392)&lt;4,getOtherMax(B5392,C5392,INDIRECT(J$2),INDIRECT(I5392),test),getMax(B5392,C5392,INDIRECT(J$2),INDIRECT(I5392),test))</f>
        <v>100</v>
      </c>
      <c r="F5392" s="1" t="str">
        <f t="shared" si="340"/>
        <v>50</v>
      </c>
      <c r="G5392" s="1" t="str">
        <f t="shared" ca="1" si="338"/>
        <v/>
      </c>
      <c r="I5392" s="1" t="str">
        <f t="shared" si="339"/>
        <v>威尔新数值1.06.xlsm!suitPower</v>
      </c>
    </row>
    <row r="5393" spans="1:9" x14ac:dyDescent="0.15">
      <c r="A5393" s="1">
        <v>5392</v>
      </c>
      <c r="B5393" s="1">
        <v>204091404</v>
      </c>
      <c r="C5393" s="1">
        <f t="shared" si="337"/>
        <v>21</v>
      </c>
      <c r="D5393" s="5">
        <f ca="1">IF(getQuality(B5393)&lt;4,getOtherMin(B5393,C5393,INDIRECT(J$2),INDIRECT(I5393),test),getMin(B5393,C5393,INDIRECT(J$2),INDIRECT(I5393),test))</f>
        <v>89.888888888888886</v>
      </c>
      <c r="E5393" s="5">
        <f ca="1">IF(getQuality(B5393)&lt;4,getOtherMax(B5393,C5393,INDIRECT(J$2),INDIRECT(I5393),test),getMax(B5393,C5393,INDIRECT(J$2),INDIRECT(I5393),test))</f>
        <v>100</v>
      </c>
      <c r="F5393" s="1" t="str">
        <f t="shared" si="340"/>
        <v>50</v>
      </c>
      <c r="G5393" s="1" t="str">
        <f t="shared" ca="1" si="338"/>
        <v/>
      </c>
      <c r="I5393" s="1" t="str">
        <f t="shared" si="339"/>
        <v>威尔新数值1.06.xlsm!suitPower</v>
      </c>
    </row>
    <row r="5394" spans="1:9" x14ac:dyDescent="0.15">
      <c r="A5394" s="1">
        <v>5393</v>
      </c>
      <c r="B5394" s="1">
        <v>204091404</v>
      </c>
      <c r="C5394" s="1">
        <f t="shared" si="337"/>
        <v>22</v>
      </c>
      <c r="D5394" s="5">
        <f ca="1">IF(getQuality(B5394)&lt;4,getOtherMin(B5394,C5394,INDIRECT(J$2),INDIRECT(I5394),test),getMin(B5394,C5394,INDIRECT(J$2),INDIRECT(I5394),test))</f>
        <v>89.888888888888886</v>
      </c>
      <c r="E5394" s="5">
        <f ca="1">IF(getQuality(B5394)&lt;4,getOtherMax(B5394,C5394,INDIRECT(J$2),INDIRECT(I5394),test),getMax(B5394,C5394,INDIRECT(J$2),INDIRECT(I5394),test))</f>
        <v>100</v>
      </c>
      <c r="F5394" s="1" t="str">
        <f t="shared" si="340"/>
        <v>50</v>
      </c>
      <c r="G5394" s="1" t="str">
        <f t="shared" ca="1" si="338"/>
        <v/>
      </c>
      <c r="I5394" s="1" t="str">
        <f t="shared" si="339"/>
        <v>威尔新数值1.06.xlsm!suitPower</v>
      </c>
    </row>
    <row r="5395" spans="1:9" x14ac:dyDescent="0.15">
      <c r="A5395" s="1">
        <v>5394</v>
      </c>
      <c r="B5395" s="1">
        <v>204091404</v>
      </c>
      <c r="C5395" s="1">
        <f t="shared" si="337"/>
        <v>23</v>
      </c>
      <c r="D5395" s="5">
        <f ca="1">IF(getQuality(B5395)&lt;4,getOtherMin(B5395,C5395,INDIRECT(J$2),INDIRECT(I5395),test),getMin(B5395,C5395,INDIRECT(J$2),INDIRECT(I5395),test))</f>
        <v>134.33333333333334</v>
      </c>
      <c r="E5395" s="5">
        <f ca="1">IF(getQuality(B5395)&lt;4,getOtherMax(B5395,C5395,INDIRECT(J$2),INDIRECT(I5395),test),getMax(B5395,C5395,INDIRECT(J$2),INDIRECT(I5395),test))</f>
        <v>150</v>
      </c>
      <c r="F5395" s="1" t="str">
        <f t="shared" si="340"/>
        <v>50</v>
      </c>
      <c r="G5395" s="1" t="str">
        <f t="shared" ca="1" si="338"/>
        <v/>
      </c>
      <c r="I5395" s="1" t="str">
        <f t="shared" si="339"/>
        <v>威尔新数值1.06.xlsm!suitPower</v>
      </c>
    </row>
    <row r="5396" spans="1:9" x14ac:dyDescent="0.15">
      <c r="A5396" s="1">
        <v>5395</v>
      </c>
      <c r="B5396" s="1">
        <v>304091504</v>
      </c>
      <c r="C5396" s="1">
        <f t="shared" si="337"/>
        <v>1</v>
      </c>
      <c r="D5396" s="5">
        <f ca="1">IF(getQuality(B5396)&lt;4,getOtherMin(B5396,C5396,INDIRECT(J$2),INDIRECT(I5396),test),getMin(B5396,C5396,INDIRECT(J$2),INDIRECT(I5396),test))</f>
        <v>869.97777777777776</v>
      </c>
      <c r="E5396" s="5">
        <f ca="1">IF(getQuality(B5396)&lt;4,getOtherMax(B5396,C5396,INDIRECT(J$2),INDIRECT(I5396),test),getMax(B5396,C5396,INDIRECT(J$2),INDIRECT(I5396),test))</f>
        <v>1034.8</v>
      </c>
      <c r="F5396" s="1" t="str">
        <f t="shared" si="340"/>
        <v>50</v>
      </c>
      <c r="G5396" s="1" t="str">
        <f t="shared" ca="1" si="338"/>
        <v/>
      </c>
      <c r="I5396" s="1" t="str">
        <f t="shared" si="339"/>
        <v>威尔新数值1.06.xlsm!suitPower</v>
      </c>
    </row>
    <row r="5397" spans="1:9" x14ac:dyDescent="0.15">
      <c r="A5397" s="1">
        <v>5396</v>
      </c>
      <c r="B5397" s="1">
        <v>304091504</v>
      </c>
      <c r="C5397" s="1">
        <f t="shared" si="337"/>
        <v>2</v>
      </c>
      <c r="D5397" s="5">
        <f ca="1">IF(getQuality(B5397)&lt;4,getOtherMin(B5397,C5397,INDIRECT(J$2),INDIRECT(I5397),test),getMin(B5397,C5397,INDIRECT(J$2),INDIRECT(I5397),test))</f>
        <v>42.777777777777779</v>
      </c>
      <c r="E5397" s="5">
        <f ca="1">IF(getQuality(B5397)&lt;4,getOtherMax(B5397,C5397,INDIRECT(J$2),INDIRECT(I5397),test),getMax(B5397,C5397,INDIRECT(J$2),INDIRECT(I5397),test))</f>
        <v>49.75</v>
      </c>
      <c r="F5397" s="1" t="str">
        <f t="shared" si="340"/>
        <v>50</v>
      </c>
      <c r="G5397" s="1" t="str">
        <f t="shared" ca="1" si="338"/>
        <v/>
      </c>
      <c r="I5397" s="1" t="str">
        <f t="shared" si="339"/>
        <v>威尔新数值1.06.xlsm!suitPower</v>
      </c>
    </row>
    <row r="5398" spans="1:9" x14ac:dyDescent="0.15">
      <c r="A5398" s="1">
        <v>5397</v>
      </c>
      <c r="B5398" s="1">
        <v>304091504</v>
      </c>
      <c r="C5398" s="1">
        <f t="shared" ref="C5398:C5461" si="341">C5351</f>
        <v>4</v>
      </c>
      <c r="D5398" s="5">
        <f ca="1">IF(getQuality(B5398)&lt;4,getOtherMin(B5398,C5398,INDIRECT(J$2),INDIRECT(I5398),test),getMin(B5398,C5398,INDIRECT(J$2),INDIRECT(I5398),test))</f>
        <v>267.66666666666669</v>
      </c>
      <c r="E5398" s="5">
        <f ca="1">IF(getQuality(B5398)&lt;4,getOtherMax(B5398,C5398,INDIRECT(J$2),INDIRECT(I5398),test),getMax(B5398,C5398,INDIRECT(J$2),INDIRECT(I5398),test))</f>
        <v>300</v>
      </c>
      <c r="F5398" s="1" t="str">
        <f t="shared" si="340"/>
        <v>50</v>
      </c>
      <c r="G5398" s="1" t="str">
        <f t="shared" ca="1" si="338"/>
        <v/>
      </c>
      <c r="I5398" s="1" t="str">
        <f t="shared" si="339"/>
        <v>威尔新数值1.06.xlsm!suitPower</v>
      </c>
    </row>
    <row r="5399" spans="1:9" x14ac:dyDescent="0.15">
      <c r="A5399" s="1">
        <v>5398</v>
      </c>
      <c r="B5399" s="1">
        <v>304091504</v>
      </c>
      <c r="C5399" s="1">
        <f t="shared" si="341"/>
        <v>6</v>
      </c>
      <c r="D5399" s="5">
        <f ca="1">IF(getQuality(B5399)&lt;4,getOtherMin(B5399,C5399,INDIRECT(J$2),INDIRECT(I5399),test),getMin(B5399,C5399,INDIRECT(J$2),INDIRECT(I5399),test))</f>
        <v>334.33333333333331</v>
      </c>
      <c r="E5399" s="5">
        <f ca="1">IF(getQuality(B5399)&lt;4,getOtherMax(B5399,C5399,INDIRECT(J$2),INDIRECT(I5399),test),getMax(B5399,C5399,INDIRECT(J$2),INDIRECT(I5399),test))</f>
        <v>375</v>
      </c>
      <c r="F5399" s="1" t="str">
        <f t="shared" si="340"/>
        <v>50</v>
      </c>
      <c r="G5399" s="1" t="str">
        <f t="shared" ca="1" si="338"/>
        <v>1</v>
      </c>
      <c r="I5399" s="1" t="str">
        <f t="shared" si="339"/>
        <v>威尔新数值1.06.xlsm!suitPower</v>
      </c>
    </row>
    <row r="5400" spans="1:9" x14ac:dyDescent="0.15">
      <c r="A5400" s="1">
        <v>5399</v>
      </c>
      <c r="B5400" s="1">
        <v>304091504</v>
      </c>
      <c r="C5400" s="1">
        <f t="shared" si="341"/>
        <v>7</v>
      </c>
      <c r="D5400" s="5">
        <f ca="1">IF(getQuality(B5400)&lt;4,getOtherMin(B5400,C5400,INDIRECT(J$2),INDIRECT(I5400),test),getMin(B5400,C5400,INDIRECT(J$2),INDIRECT(I5400),test))</f>
        <v>27.666666666666664</v>
      </c>
      <c r="E5400" s="5">
        <f ca="1">IF(getQuality(B5400)&lt;4,getOtherMax(B5400,C5400,INDIRECT(J$2),INDIRECT(I5400),test),getMax(B5400,C5400,INDIRECT(J$2),INDIRECT(I5400),test))</f>
        <v>30</v>
      </c>
      <c r="F5400" s="1" t="str">
        <f t="shared" si="340"/>
        <v>50</v>
      </c>
      <c r="G5400" s="1" t="str">
        <f t="shared" ca="1" si="338"/>
        <v/>
      </c>
      <c r="I5400" s="1" t="str">
        <f t="shared" si="339"/>
        <v>威尔新数值1.06.xlsm!suitPower</v>
      </c>
    </row>
    <row r="5401" spans="1:9" x14ac:dyDescent="0.15">
      <c r="A5401" s="1">
        <v>5400</v>
      </c>
      <c r="B5401" s="1">
        <v>304091504</v>
      </c>
      <c r="C5401" s="1">
        <f t="shared" si="341"/>
        <v>8</v>
      </c>
      <c r="D5401" s="5">
        <f ca="1">IF(getQuality(B5401)&lt;4,getOtherMin(B5401,C5401,INDIRECT(J$2),INDIRECT(I5401),test),getMin(B5401,C5401,INDIRECT(J$2),INDIRECT(I5401),test))</f>
        <v>67.666666666666671</v>
      </c>
      <c r="E5401" s="5">
        <f ca="1">IF(getQuality(B5401)&lt;4,getOtherMax(B5401,C5401,INDIRECT(J$2),INDIRECT(I5401),test),getMax(B5401,C5401,INDIRECT(J$2),INDIRECT(I5401),test))</f>
        <v>75</v>
      </c>
      <c r="F5401" s="1" t="str">
        <f t="shared" si="340"/>
        <v>50</v>
      </c>
      <c r="G5401" s="1" t="str">
        <f t="shared" ca="1" si="338"/>
        <v/>
      </c>
      <c r="I5401" s="1" t="str">
        <f t="shared" si="339"/>
        <v>威尔新数值1.06.xlsm!suitPower</v>
      </c>
    </row>
    <row r="5402" spans="1:9" x14ac:dyDescent="0.15">
      <c r="A5402" s="1">
        <v>5401</v>
      </c>
      <c r="B5402" s="1">
        <v>304091504</v>
      </c>
      <c r="C5402" s="1">
        <f t="shared" si="341"/>
        <v>16</v>
      </c>
      <c r="D5402" s="5">
        <f ca="1">IF(getQuality(B5402)&lt;4,getOtherMin(B5402,C5402,INDIRECT(J$2),INDIRECT(I5402),test),getMin(B5402,C5402,INDIRECT(J$2),INDIRECT(I5402),test))</f>
        <v>89.888888888888886</v>
      </c>
      <c r="E5402" s="5">
        <f ca="1">IF(getQuality(B5402)&lt;4,getOtherMax(B5402,C5402,INDIRECT(J$2),INDIRECT(I5402),test),getMax(B5402,C5402,INDIRECT(J$2),INDIRECT(I5402),test))</f>
        <v>100</v>
      </c>
      <c r="F5402" s="1" t="str">
        <f t="shared" si="340"/>
        <v>50</v>
      </c>
      <c r="G5402" s="1" t="str">
        <f t="shared" ca="1" si="338"/>
        <v/>
      </c>
      <c r="I5402" s="1" t="str">
        <f t="shared" si="339"/>
        <v>威尔新数值1.06.xlsm!suitPower</v>
      </c>
    </row>
    <row r="5403" spans="1:9" x14ac:dyDescent="0.15">
      <c r="A5403" s="1">
        <v>5402</v>
      </c>
      <c r="B5403" s="1">
        <v>304091504</v>
      </c>
      <c r="C5403" s="1">
        <f t="shared" si="341"/>
        <v>17</v>
      </c>
      <c r="D5403" s="5">
        <f ca="1">IF(getQuality(B5403)&lt;4,getOtherMin(B5403,C5403,INDIRECT(J$2),INDIRECT(I5403),test),getMin(B5403,C5403,INDIRECT(J$2),INDIRECT(I5403),test))</f>
        <v>89.888888888888886</v>
      </c>
      <c r="E5403" s="5">
        <f ca="1">IF(getQuality(B5403)&lt;4,getOtherMax(B5403,C5403,INDIRECT(J$2),INDIRECT(I5403),test),getMax(B5403,C5403,INDIRECT(J$2),INDIRECT(I5403),test))</f>
        <v>100</v>
      </c>
      <c r="F5403" s="1" t="str">
        <f t="shared" si="340"/>
        <v>50</v>
      </c>
      <c r="G5403" s="1" t="str">
        <f t="shared" ca="1" si="338"/>
        <v/>
      </c>
      <c r="I5403" s="1" t="str">
        <f t="shared" si="339"/>
        <v>威尔新数值1.06.xlsm!suitPower</v>
      </c>
    </row>
    <row r="5404" spans="1:9" x14ac:dyDescent="0.15">
      <c r="A5404" s="1">
        <v>5403</v>
      </c>
      <c r="B5404" s="1">
        <v>304091504</v>
      </c>
      <c r="C5404" s="1">
        <f t="shared" si="341"/>
        <v>18</v>
      </c>
      <c r="D5404" s="5">
        <f ca="1">IF(getQuality(B5404)&lt;4,getOtherMin(B5404,C5404,INDIRECT(J$2),INDIRECT(I5404),test),getMin(B5404,C5404,INDIRECT(J$2),INDIRECT(I5404),test))</f>
        <v>89.888888888888886</v>
      </c>
      <c r="E5404" s="5">
        <f ca="1">IF(getQuality(B5404)&lt;4,getOtherMax(B5404,C5404,INDIRECT(J$2),INDIRECT(I5404),test),getMax(B5404,C5404,INDIRECT(J$2),INDIRECT(I5404),test))</f>
        <v>100</v>
      </c>
      <c r="F5404" s="1" t="str">
        <f t="shared" si="340"/>
        <v>50</v>
      </c>
      <c r="G5404" s="1" t="str">
        <f t="shared" ca="1" si="338"/>
        <v/>
      </c>
      <c r="I5404" s="1" t="str">
        <f t="shared" si="339"/>
        <v>威尔新数值1.06.xlsm!suitPower</v>
      </c>
    </row>
    <row r="5405" spans="1:9" x14ac:dyDescent="0.15">
      <c r="A5405" s="1">
        <v>5404</v>
      </c>
      <c r="B5405" s="1">
        <v>304091504</v>
      </c>
      <c r="C5405" s="1">
        <f t="shared" si="341"/>
        <v>19</v>
      </c>
      <c r="D5405" s="5">
        <f ca="1">IF(getQuality(B5405)&lt;4,getOtherMin(B5405,C5405,INDIRECT(J$2),INDIRECT(I5405),test),getMin(B5405,C5405,INDIRECT(J$2),INDIRECT(I5405),test))</f>
        <v>89.888888888888886</v>
      </c>
      <c r="E5405" s="5">
        <f ca="1">IF(getQuality(B5405)&lt;4,getOtherMax(B5405,C5405,INDIRECT(J$2),INDIRECT(I5405),test),getMax(B5405,C5405,INDIRECT(J$2),INDIRECT(I5405),test))</f>
        <v>100</v>
      </c>
      <c r="F5405" s="1" t="str">
        <f t="shared" si="340"/>
        <v>50</v>
      </c>
      <c r="G5405" s="1" t="str">
        <f t="shared" ca="1" si="338"/>
        <v/>
      </c>
      <c r="I5405" s="1" t="str">
        <f t="shared" si="339"/>
        <v>威尔新数值1.06.xlsm!suitPower</v>
      </c>
    </row>
    <row r="5406" spans="1:9" x14ac:dyDescent="0.15">
      <c r="A5406" s="1">
        <v>5405</v>
      </c>
      <c r="B5406" s="1">
        <v>304091504</v>
      </c>
      <c r="C5406" s="1">
        <f t="shared" si="341"/>
        <v>20</v>
      </c>
      <c r="D5406" s="5">
        <f ca="1">IF(getQuality(B5406)&lt;4,getOtherMin(B5406,C5406,INDIRECT(J$2),INDIRECT(I5406),test),getMin(B5406,C5406,INDIRECT(J$2),INDIRECT(I5406),test))</f>
        <v>89.888888888888886</v>
      </c>
      <c r="E5406" s="5">
        <f ca="1">IF(getQuality(B5406)&lt;4,getOtherMax(B5406,C5406,INDIRECT(J$2),INDIRECT(I5406),test),getMax(B5406,C5406,INDIRECT(J$2),INDIRECT(I5406),test))</f>
        <v>100</v>
      </c>
      <c r="F5406" s="1" t="str">
        <f t="shared" si="340"/>
        <v>50</v>
      </c>
      <c r="G5406" s="1" t="str">
        <f t="shared" ca="1" si="338"/>
        <v/>
      </c>
      <c r="I5406" s="1" t="str">
        <f t="shared" si="339"/>
        <v>威尔新数值1.06.xlsm!suitPower</v>
      </c>
    </row>
    <row r="5407" spans="1:9" x14ac:dyDescent="0.15">
      <c r="A5407" s="1">
        <v>5406</v>
      </c>
      <c r="B5407" s="1">
        <v>304091504</v>
      </c>
      <c r="C5407" s="1">
        <f t="shared" si="341"/>
        <v>21</v>
      </c>
      <c r="D5407" s="5">
        <f ca="1">IF(getQuality(B5407)&lt;4,getOtherMin(B5407,C5407,INDIRECT(J$2),INDIRECT(I5407),test),getMin(B5407,C5407,INDIRECT(J$2),INDIRECT(I5407),test))</f>
        <v>89.888888888888886</v>
      </c>
      <c r="E5407" s="5">
        <f ca="1">IF(getQuality(B5407)&lt;4,getOtherMax(B5407,C5407,INDIRECT(J$2),INDIRECT(I5407),test),getMax(B5407,C5407,INDIRECT(J$2),INDIRECT(I5407),test))</f>
        <v>100</v>
      </c>
      <c r="F5407" s="1" t="str">
        <f t="shared" si="340"/>
        <v>50</v>
      </c>
      <c r="G5407" s="1" t="str">
        <f t="shared" ca="1" si="338"/>
        <v/>
      </c>
      <c r="I5407" s="1" t="str">
        <f t="shared" si="339"/>
        <v>威尔新数值1.06.xlsm!suitPower</v>
      </c>
    </row>
    <row r="5408" spans="1:9" x14ac:dyDescent="0.15">
      <c r="A5408" s="1">
        <v>5407</v>
      </c>
      <c r="B5408" s="1">
        <v>304091504</v>
      </c>
      <c r="C5408" s="1">
        <f t="shared" si="341"/>
        <v>22</v>
      </c>
      <c r="D5408" s="5">
        <f ca="1">IF(getQuality(B5408)&lt;4,getOtherMin(B5408,C5408,INDIRECT(J$2),INDIRECT(I5408),test),getMin(B5408,C5408,INDIRECT(J$2),INDIRECT(I5408),test))</f>
        <v>89.888888888888886</v>
      </c>
      <c r="E5408" s="5">
        <f ca="1">IF(getQuality(B5408)&lt;4,getOtherMax(B5408,C5408,INDIRECT(J$2),INDIRECT(I5408),test),getMax(B5408,C5408,INDIRECT(J$2),INDIRECT(I5408),test))</f>
        <v>100</v>
      </c>
      <c r="F5408" s="1" t="str">
        <f t="shared" si="340"/>
        <v>50</v>
      </c>
      <c r="G5408" s="1" t="str">
        <f t="shared" ca="1" si="338"/>
        <v/>
      </c>
      <c r="I5408" s="1" t="str">
        <f t="shared" si="339"/>
        <v>威尔新数值1.06.xlsm!suitPower</v>
      </c>
    </row>
    <row r="5409" spans="1:9" x14ac:dyDescent="0.15">
      <c r="A5409" s="1">
        <v>5408</v>
      </c>
      <c r="B5409" s="1">
        <v>304091504</v>
      </c>
      <c r="C5409" s="1">
        <f t="shared" si="341"/>
        <v>23</v>
      </c>
      <c r="D5409" s="5">
        <f ca="1">IF(getQuality(B5409)&lt;4,getOtherMin(B5409,C5409,INDIRECT(J$2),INDIRECT(I5409),test),getMin(B5409,C5409,INDIRECT(J$2),INDIRECT(I5409),test))</f>
        <v>134.33333333333334</v>
      </c>
      <c r="E5409" s="5">
        <f ca="1">IF(getQuality(B5409)&lt;4,getOtherMax(B5409,C5409,INDIRECT(J$2),INDIRECT(I5409),test),getMax(B5409,C5409,INDIRECT(J$2),INDIRECT(I5409),test))</f>
        <v>150</v>
      </c>
      <c r="F5409" s="1" t="str">
        <f t="shared" si="340"/>
        <v>50</v>
      </c>
      <c r="G5409" s="1" t="str">
        <f t="shared" ca="1" si="338"/>
        <v/>
      </c>
      <c r="I5409" s="1" t="str">
        <f t="shared" si="339"/>
        <v>威尔新数值1.06.xlsm!suitPower</v>
      </c>
    </row>
    <row r="5410" spans="1:9" x14ac:dyDescent="0.15">
      <c r="A5410" s="1">
        <v>5409</v>
      </c>
      <c r="B5410" s="1">
        <v>104090505</v>
      </c>
      <c r="C5410" s="1">
        <f t="shared" si="341"/>
        <v>3</v>
      </c>
      <c r="D5410" s="5">
        <f ca="1">IF(getQuality(B5410)&lt;4,getOtherMin(B5410,C5410,INDIRECT(J$2),INDIRECT(I5410),test),getMin(B5410,C5410,INDIRECT(J$2),INDIRECT(I5410),test))</f>
        <v>329.28048273180752</v>
      </c>
      <c r="E5410" s="5">
        <f ca="1">IF(getQuality(B5410)&lt;4,getOtherMax(B5410,C5410,INDIRECT(J$2),INDIRECT(I5410),test),getMax(B5410,C5410,INDIRECT(J$2),INDIRECT(I5410),test))</f>
        <v>390.92443123182665</v>
      </c>
      <c r="F5410" s="1" t="str">
        <f t="shared" si="340"/>
        <v>50</v>
      </c>
      <c r="G5410" s="1" t="str">
        <f t="shared" ca="1" si="338"/>
        <v>1</v>
      </c>
      <c r="I5410" s="1" t="str">
        <f t="shared" si="339"/>
        <v>威尔新数值1.06.xlsm!suitPower</v>
      </c>
    </row>
    <row r="5411" spans="1:9" x14ac:dyDescent="0.15">
      <c r="A5411" s="1">
        <v>5410</v>
      </c>
      <c r="B5411" s="1">
        <v>104090505</v>
      </c>
      <c r="C5411" s="1">
        <f t="shared" si="341"/>
        <v>5</v>
      </c>
      <c r="D5411" s="5">
        <f ca="1">IF(getQuality(B5411)&lt;4,getOtherMin(B5411,C5411,INDIRECT(J$2),INDIRECT(I5411),test),getMin(B5411,C5411,INDIRECT(J$2),INDIRECT(I5411),test))</f>
        <v>218.95466666666664</v>
      </c>
      <c r="E5411" s="5">
        <f ca="1">IF(getQuality(B5411)&lt;4,getOtherMax(B5411,C5411,INDIRECT(J$2),INDIRECT(I5411),test),getMax(B5411,C5411,INDIRECT(J$2),INDIRECT(I5411),test))</f>
        <v>259.54575</v>
      </c>
      <c r="F5411" s="1" t="str">
        <f t="shared" si="340"/>
        <v>50</v>
      </c>
      <c r="G5411" s="1" t="str">
        <f t="shared" ca="1" si="338"/>
        <v/>
      </c>
      <c r="I5411" s="1" t="str">
        <f t="shared" si="339"/>
        <v>威尔新数值1.06.xlsm!suitPower</v>
      </c>
    </row>
    <row r="5412" spans="1:9" x14ac:dyDescent="0.15">
      <c r="A5412" s="1">
        <v>5411</v>
      </c>
      <c r="B5412" s="1">
        <v>104090505</v>
      </c>
      <c r="C5412" s="1">
        <f t="shared" si="341"/>
        <v>7</v>
      </c>
      <c r="D5412" s="5">
        <f ca="1">IF(getQuality(B5412)&lt;4,getOtherMin(B5412,C5412,INDIRECT(J$2),INDIRECT(I5412),test),getMin(B5412,C5412,INDIRECT(J$2),INDIRECT(I5412),test))</f>
        <v>60.25925925925911</v>
      </c>
      <c r="E5412" s="5">
        <f ca="1">IF(getQuality(B5412)&lt;4,getOtherMax(B5412,C5412,INDIRECT(J$2),INDIRECT(I5412),test),getMax(B5412,C5412,INDIRECT(J$2),INDIRECT(I5412),test))</f>
        <v>66.666666666666501</v>
      </c>
      <c r="F5412" s="1" t="str">
        <f t="shared" si="340"/>
        <v>50</v>
      </c>
      <c r="G5412" s="1" t="str">
        <f t="shared" ca="1" si="338"/>
        <v/>
      </c>
      <c r="I5412" s="1" t="str">
        <f t="shared" si="339"/>
        <v>威尔新数值1.06.xlsm!suitPower</v>
      </c>
    </row>
    <row r="5413" spans="1:9" x14ac:dyDescent="0.15">
      <c r="A5413" s="1">
        <v>5412</v>
      </c>
      <c r="B5413" s="1">
        <v>104090505</v>
      </c>
      <c r="C5413" s="1">
        <f t="shared" si="341"/>
        <v>8</v>
      </c>
      <c r="D5413" s="5">
        <f ca="1">IF(getQuality(B5413)&lt;4,getOtherMin(B5413,C5413,INDIRECT(J$2),INDIRECT(I5413),test),getMin(B5413,C5413,INDIRECT(J$2),INDIRECT(I5413),test))</f>
        <v>134.33333333333334</v>
      </c>
      <c r="E5413" s="5">
        <f ca="1">IF(getQuality(B5413)&lt;4,getOtherMax(B5413,C5413,INDIRECT(J$2),INDIRECT(I5413),test),getMax(B5413,C5413,INDIRECT(J$2),INDIRECT(I5413),test))</f>
        <v>150</v>
      </c>
      <c r="F5413" s="1" t="str">
        <f t="shared" si="340"/>
        <v>50</v>
      </c>
      <c r="G5413" s="1" t="str">
        <f t="shared" ca="1" si="338"/>
        <v/>
      </c>
      <c r="I5413" s="1" t="str">
        <f t="shared" si="339"/>
        <v>威尔新数值1.06.xlsm!suitPower</v>
      </c>
    </row>
    <row r="5414" spans="1:9" x14ac:dyDescent="0.15">
      <c r="A5414" s="1">
        <v>5413</v>
      </c>
      <c r="B5414" s="1">
        <v>104090505</v>
      </c>
      <c r="C5414" s="1">
        <f t="shared" si="341"/>
        <v>9</v>
      </c>
      <c r="D5414" s="5">
        <f ca="1">IF(getQuality(B5414)&lt;4,getOtherMin(B5414,C5414,INDIRECT(J$2),INDIRECT(I5414),test),getMin(B5414,C5414,INDIRECT(J$2),INDIRECT(I5414),test))</f>
        <v>274.11757469923703</v>
      </c>
      <c r="E5414" s="5">
        <f ca="1">IF(getQuality(B5414)&lt;4,getOtherMax(B5414,C5414,INDIRECT(J$2),INDIRECT(I5414),test),getMax(B5414,C5414,INDIRECT(J$2),INDIRECT(I5414),test))</f>
        <v>325.23509061591329</v>
      </c>
      <c r="F5414" s="1" t="str">
        <f t="shared" si="340"/>
        <v>50</v>
      </c>
      <c r="G5414" s="1" t="str">
        <f t="shared" ca="1" si="338"/>
        <v/>
      </c>
      <c r="I5414" s="1" t="str">
        <f t="shared" si="339"/>
        <v>威尔新数值1.06.xlsm!suitPower</v>
      </c>
    </row>
    <row r="5415" spans="1:9" x14ac:dyDescent="0.15">
      <c r="A5415" s="1">
        <v>5414</v>
      </c>
      <c r="B5415" s="1">
        <v>104090505</v>
      </c>
      <c r="C5415" s="1">
        <f t="shared" si="341"/>
        <v>10</v>
      </c>
      <c r="D5415" s="5">
        <f ca="1">IF(getQuality(B5415)&lt;4,getOtherMin(B5415,C5415,INDIRECT(J$2),INDIRECT(I5415),test),getMin(B5415,C5415,INDIRECT(J$2),INDIRECT(I5415),test))</f>
        <v>274.11757469923703</v>
      </c>
      <c r="E5415" s="5">
        <f ca="1">IF(getQuality(B5415)&lt;4,getOtherMax(B5415,C5415,INDIRECT(J$2),INDIRECT(I5415),test),getMax(B5415,C5415,INDIRECT(J$2),INDIRECT(I5415),test))</f>
        <v>325.23509061591329</v>
      </c>
      <c r="F5415" s="1" t="str">
        <f t="shared" si="340"/>
        <v>50</v>
      </c>
      <c r="G5415" s="1" t="str">
        <f t="shared" ref="G5415:G5478" ca="1" si="342">getMust(B5415,C5415)</f>
        <v/>
      </c>
      <c r="I5415" s="1" t="str">
        <f t="shared" si="339"/>
        <v>威尔新数值1.06.xlsm!suitPower</v>
      </c>
    </row>
    <row r="5416" spans="1:9" x14ac:dyDescent="0.15">
      <c r="A5416" s="1">
        <v>5415</v>
      </c>
      <c r="B5416" s="1">
        <v>104090505</v>
      </c>
      <c r="C5416" s="1">
        <f t="shared" si="341"/>
        <v>11</v>
      </c>
      <c r="D5416" s="5">
        <f ca="1">IF(getQuality(B5416)&lt;4,getOtherMin(B5416,C5416,INDIRECT(J$2),INDIRECT(I5416),test),getMin(B5416,C5416,INDIRECT(J$2),INDIRECT(I5416),test))</f>
        <v>274.11757469923703</v>
      </c>
      <c r="E5416" s="5">
        <f ca="1">IF(getQuality(B5416)&lt;4,getOtherMax(B5416,C5416,INDIRECT(J$2),INDIRECT(I5416),test),getMax(B5416,C5416,INDIRECT(J$2),INDIRECT(I5416),test))</f>
        <v>325.23509061591329</v>
      </c>
      <c r="F5416" s="1" t="str">
        <f t="shared" si="340"/>
        <v>50</v>
      </c>
      <c r="G5416" s="1" t="str">
        <f t="shared" ca="1" si="342"/>
        <v/>
      </c>
      <c r="I5416" s="1" t="str">
        <f t="shared" si="339"/>
        <v>威尔新数值1.06.xlsm!suitPower</v>
      </c>
    </row>
    <row r="5417" spans="1:9" x14ac:dyDescent="0.15">
      <c r="A5417" s="1">
        <v>5416</v>
      </c>
      <c r="B5417" s="1">
        <v>104090505</v>
      </c>
      <c r="C5417" s="1">
        <f t="shared" si="341"/>
        <v>12</v>
      </c>
      <c r="D5417" s="5">
        <f ca="1">IF(getQuality(B5417)&lt;4,getOtherMin(B5417,C5417,INDIRECT(J$2),INDIRECT(I5417),test),getMin(B5417,C5417,INDIRECT(J$2),INDIRECT(I5417),test))</f>
        <v>274.11757469923703</v>
      </c>
      <c r="E5417" s="5">
        <f ca="1">IF(getQuality(B5417)&lt;4,getOtherMax(B5417,C5417,INDIRECT(J$2),INDIRECT(I5417),test),getMax(B5417,C5417,INDIRECT(J$2),INDIRECT(I5417),test))</f>
        <v>325.23509061591329</v>
      </c>
      <c r="F5417" s="1" t="str">
        <f t="shared" si="340"/>
        <v>50</v>
      </c>
      <c r="G5417" s="1" t="str">
        <f t="shared" ca="1" si="342"/>
        <v/>
      </c>
      <c r="I5417" s="1" t="str">
        <f t="shared" si="339"/>
        <v>威尔新数值1.06.xlsm!suitPower</v>
      </c>
    </row>
    <row r="5418" spans="1:9" x14ac:dyDescent="0.15">
      <c r="A5418" s="1">
        <v>5417</v>
      </c>
      <c r="B5418" s="1">
        <v>104090505</v>
      </c>
      <c r="C5418" s="1">
        <f t="shared" si="341"/>
        <v>13</v>
      </c>
      <c r="D5418" s="5">
        <f ca="1">IF(getQuality(B5418)&lt;4,getOtherMin(B5418,C5418,INDIRECT(J$2),INDIRECT(I5418),test),getMin(B5418,C5418,INDIRECT(J$2),INDIRECT(I5418),test))</f>
        <v>274.11757469923703</v>
      </c>
      <c r="E5418" s="5">
        <f ca="1">IF(getQuality(B5418)&lt;4,getOtherMax(B5418,C5418,INDIRECT(J$2),INDIRECT(I5418),test),getMax(B5418,C5418,INDIRECT(J$2),INDIRECT(I5418),test))</f>
        <v>325.23509061591329</v>
      </c>
      <c r="F5418" s="1" t="str">
        <f t="shared" si="340"/>
        <v>50</v>
      </c>
      <c r="G5418" s="1" t="str">
        <f t="shared" ca="1" si="342"/>
        <v/>
      </c>
      <c r="I5418" s="1" t="str">
        <f t="shared" si="339"/>
        <v>威尔新数值1.06.xlsm!suitPower</v>
      </c>
    </row>
    <row r="5419" spans="1:9" x14ac:dyDescent="0.15">
      <c r="A5419" s="1">
        <v>5418</v>
      </c>
      <c r="B5419" s="1">
        <v>104090505</v>
      </c>
      <c r="C5419" s="1">
        <f t="shared" si="341"/>
        <v>14</v>
      </c>
      <c r="D5419" s="5">
        <f ca="1">IF(getQuality(B5419)&lt;4,getOtherMin(B5419,C5419,INDIRECT(J$2),INDIRECT(I5419),test),getMin(B5419,C5419,INDIRECT(J$2),INDIRECT(I5419),test))</f>
        <v>328.74108963908481</v>
      </c>
      <c r="E5419" s="5">
        <f ca="1">IF(getQuality(B5419)&lt;4,getOtherMax(B5419,C5419,INDIRECT(J$2),INDIRECT(I5419),test),getMax(B5419,C5419,INDIRECT(J$2),INDIRECT(I5419),test))</f>
        <v>390.28210873909637</v>
      </c>
      <c r="F5419" s="1" t="str">
        <f t="shared" si="340"/>
        <v>50</v>
      </c>
      <c r="G5419" s="1" t="str">
        <f t="shared" ca="1" si="342"/>
        <v/>
      </c>
      <c r="I5419" s="1" t="str">
        <f t="shared" si="339"/>
        <v>威尔新数值1.06.xlsm!suitPower</v>
      </c>
    </row>
    <row r="5420" spans="1:9" x14ac:dyDescent="0.15">
      <c r="A5420" s="1">
        <v>5419</v>
      </c>
      <c r="B5420" s="1">
        <v>104090505</v>
      </c>
      <c r="C5420" s="1">
        <f t="shared" si="341"/>
        <v>15</v>
      </c>
      <c r="D5420" s="5">
        <f ca="1">IF(getQuality(B5420)&lt;4,getOtherMin(B5420,C5420,INDIRECT(J$2),INDIRECT(I5420),test),getMin(B5420,C5420,INDIRECT(J$2),INDIRECT(I5420),test))</f>
        <v>274.11757469923703</v>
      </c>
      <c r="E5420" s="5">
        <f ca="1">IF(getQuality(B5420)&lt;4,getOtherMax(B5420,C5420,INDIRECT(J$2),INDIRECT(I5420),test),getMax(B5420,C5420,INDIRECT(J$2),INDIRECT(I5420),test))</f>
        <v>325.23509061591329</v>
      </c>
      <c r="F5420" s="1" t="str">
        <f t="shared" si="340"/>
        <v>50</v>
      </c>
      <c r="G5420" s="1" t="str">
        <f t="shared" ca="1" si="342"/>
        <v/>
      </c>
      <c r="I5420" s="1" t="str">
        <f t="shared" si="339"/>
        <v>威尔新数值1.06.xlsm!suitPower</v>
      </c>
    </row>
    <row r="5421" spans="1:9" x14ac:dyDescent="0.15">
      <c r="A5421" s="1">
        <v>5420</v>
      </c>
      <c r="B5421" s="1">
        <v>104090505</v>
      </c>
      <c r="C5421" s="1">
        <f t="shared" si="341"/>
        <v>101</v>
      </c>
      <c r="D5421" s="5">
        <f ca="1">IF(getQuality(B5421)&lt;4,getOtherMin(B5421,C5421,INDIRECT(J$2),INDIRECT(I5421),test),getMin(B5421,C5421,INDIRECT(J$2),INDIRECT(I5421),test))</f>
        <v>0.16</v>
      </c>
      <c r="E5421" s="5">
        <f ca="1">IF(getQuality(B5421)&lt;4,getOtherMax(B5421,C5421,INDIRECT(J$2),INDIRECT(I5421),test),getMax(B5421,C5421,INDIRECT(J$2),INDIRECT(I5421),test))</f>
        <v>0.19</v>
      </c>
      <c r="F5421" s="1" t="str">
        <f t="shared" si="340"/>
        <v>50</v>
      </c>
      <c r="G5421" s="1" t="str">
        <f t="shared" ca="1" si="342"/>
        <v/>
      </c>
      <c r="I5421" s="1" t="str">
        <f t="shared" si="339"/>
        <v>威尔新数值1.06.xlsm!circlePer</v>
      </c>
    </row>
    <row r="5422" spans="1:9" x14ac:dyDescent="0.15">
      <c r="A5422" s="1">
        <v>5421</v>
      </c>
      <c r="B5422" s="1">
        <v>104090505</v>
      </c>
      <c r="C5422" s="1">
        <f t="shared" si="341"/>
        <v>102</v>
      </c>
      <c r="D5422" s="5">
        <f ca="1">IF(getQuality(B5422)&lt;4,getOtherMin(B5422,C5422,INDIRECT(J$2),INDIRECT(I5422),test),getMin(B5422,C5422,INDIRECT(J$2),INDIRECT(I5422),test))</f>
        <v>1.4</v>
      </c>
      <c r="E5422" s="5">
        <f ca="1">IF(getQuality(B5422)&lt;4,getOtherMax(B5422,C5422,INDIRECT(J$2),INDIRECT(I5422),test),getMax(B5422,C5422,INDIRECT(J$2),INDIRECT(I5422),test))</f>
        <v>1.8</v>
      </c>
      <c r="F5422" s="1" t="str">
        <f t="shared" si="340"/>
        <v>50</v>
      </c>
      <c r="G5422" s="1" t="str">
        <f t="shared" ca="1" si="342"/>
        <v/>
      </c>
      <c r="I5422" s="1" t="str">
        <f t="shared" si="339"/>
        <v>威尔新数值1.06.xlsm!circleValue</v>
      </c>
    </row>
    <row r="5423" spans="1:9" x14ac:dyDescent="0.15">
      <c r="A5423" s="1">
        <v>5422</v>
      </c>
      <c r="B5423" s="1">
        <v>104090505</v>
      </c>
      <c r="C5423" s="1">
        <f t="shared" si="341"/>
        <v>103</v>
      </c>
      <c r="D5423" s="5">
        <f ca="1">IF(getQuality(B5423)&lt;4,getOtherMin(B5423,C5423,INDIRECT(J$2),INDIRECT(I5423),test),getMin(B5423,C5423,INDIRECT(J$2),INDIRECT(I5423),test))</f>
        <v>0.16</v>
      </c>
      <c r="E5423" s="5">
        <f ca="1">IF(getQuality(B5423)&lt;4,getOtherMax(B5423,C5423,INDIRECT(J$2),INDIRECT(I5423),test),getMax(B5423,C5423,INDIRECT(J$2),INDIRECT(I5423),test))</f>
        <v>0.19</v>
      </c>
      <c r="F5423" s="1" t="str">
        <f t="shared" si="340"/>
        <v>50</v>
      </c>
      <c r="G5423" s="1" t="str">
        <f t="shared" ca="1" si="342"/>
        <v/>
      </c>
      <c r="I5423" s="1" t="str">
        <f t="shared" si="339"/>
        <v>威尔新数值1.06.xlsm!otherDamage</v>
      </c>
    </row>
    <row r="5424" spans="1:9" x14ac:dyDescent="0.15">
      <c r="A5424" s="1">
        <v>5423</v>
      </c>
      <c r="B5424" s="1">
        <v>104090505</v>
      </c>
      <c r="C5424" s="1">
        <f t="shared" si="341"/>
        <v>104</v>
      </c>
      <c r="D5424" s="5">
        <f ca="1">IF(getQuality(B5424)&lt;4,getOtherMin(B5424,C5424,INDIRECT(J$2),INDIRECT(I5424),test),getMin(B5424,C5424,INDIRECT(J$2),INDIRECT(I5424),test))</f>
        <v>0.15</v>
      </c>
      <c r="E5424" s="5">
        <f ca="1">IF(getQuality(B5424)&lt;4,getOtherMax(B5424,C5424,INDIRECT(J$2),INDIRECT(I5424),test),getMax(B5424,C5424,INDIRECT(J$2),INDIRECT(I5424),test))</f>
        <v>0.3</v>
      </c>
      <c r="F5424" s="1" t="str">
        <f t="shared" si="340"/>
        <v>50</v>
      </c>
      <c r="G5424" s="1" t="str">
        <f t="shared" ca="1" si="342"/>
        <v/>
      </c>
      <c r="I5424" s="1" t="str">
        <f t="shared" si="339"/>
        <v>威尔新数值1.06.xlsm!monsterDamage</v>
      </c>
    </row>
    <row r="5425" spans="1:9" x14ac:dyDescent="0.15">
      <c r="A5425" s="1">
        <v>5424</v>
      </c>
      <c r="B5425" s="1">
        <v>104090505</v>
      </c>
      <c r="C5425" s="1">
        <f t="shared" si="341"/>
        <v>105</v>
      </c>
      <c r="D5425" s="5">
        <f ca="1">IF(getQuality(B5425)&lt;4,getOtherMin(B5425,C5425,INDIRECT(J$2),INDIRECT(I5425),test),getMin(B5425,C5425,INDIRECT(J$2),INDIRECT(I5425),test))</f>
        <v>0.15</v>
      </c>
      <c r="E5425" s="5">
        <f ca="1">IF(getQuality(B5425)&lt;4,getOtherMax(B5425,C5425,INDIRECT(J$2),INDIRECT(I5425),test),getMax(B5425,C5425,INDIRECT(J$2),INDIRECT(I5425),test))</f>
        <v>0.3</v>
      </c>
      <c r="F5425" s="1" t="str">
        <f t="shared" si="340"/>
        <v>50</v>
      </c>
      <c r="G5425" s="1" t="str">
        <f t="shared" ca="1" si="342"/>
        <v/>
      </c>
      <c r="I5425" s="1" t="str">
        <f t="shared" si="339"/>
        <v>威尔新数值1.06.xlsm!monsterDamage</v>
      </c>
    </row>
    <row r="5426" spans="1:9" x14ac:dyDescent="0.15">
      <c r="A5426" s="1">
        <v>5425</v>
      </c>
      <c r="B5426" s="1">
        <v>104090505</v>
      </c>
      <c r="C5426" s="1">
        <f t="shared" si="341"/>
        <v>106</v>
      </c>
      <c r="D5426" s="5">
        <f ca="1">IF(getQuality(B5426)&lt;4,getOtherMin(B5426,C5426,INDIRECT(J$2),INDIRECT(I5426),test),getMin(B5426,C5426,INDIRECT(J$2),INDIRECT(I5426),test))</f>
        <v>0.15</v>
      </c>
      <c r="E5426" s="5">
        <f ca="1">IF(getQuality(B5426)&lt;4,getOtherMax(B5426,C5426,INDIRECT(J$2),INDIRECT(I5426),test),getMax(B5426,C5426,INDIRECT(J$2),INDIRECT(I5426),test))</f>
        <v>0.3</v>
      </c>
      <c r="F5426" s="1" t="str">
        <f t="shared" si="340"/>
        <v>50</v>
      </c>
      <c r="G5426" s="1" t="str">
        <f t="shared" ca="1" si="342"/>
        <v/>
      </c>
      <c r="I5426" s="1" t="str">
        <f t="shared" si="339"/>
        <v>威尔新数值1.06.xlsm!monsterDamage</v>
      </c>
    </row>
    <row r="5427" spans="1:9" x14ac:dyDescent="0.15">
      <c r="A5427" s="1">
        <v>5426</v>
      </c>
      <c r="B5427" s="1">
        <v>104090505</v>
      </c>
      <c r="C5427" s="1">
        <f t="shared" si="341"/>
        <v>107</v>
      </c>
      <c r="D5427" s="5">
        <f ca="1">IF(getQuality(B5427)&lt;4,getOtherMin(B5427,C5427,INDIRECT(J$2),INDIRECT(I5427),test),getMin(B5427,C5427,INDIRECT(J$2),INDIRECT(I5427),test))</f>
        <v>0.15</v>
      </c>
      <c r="E5427" s="5">
        <f ca="1">IF(getQuality(B5427)&lt;4,getOtherMax(B5427,C5427,INDIRECT(J$2),INDIRECT(I5427),test),getMax(B5427,C5427,INDIRECT(J$2),INDIRECT(I5427),test))</f>
        <v>0.3</v>
      </c>
      <c r="F5427" s="1" t="str">
        <f t="shared" si="340"/>
        <v>50</v>
      </c>
      <c r="G5427" s="1" t="str">
        <f t="shared" ca="1" si="342"/>
        <v/>
      </c>
      <c r="I5427" s="1" t="str">
        <f t="shared" si="339"/>
        <v>威尔新数值1.06.xlsm!monsterDamage</v>
      </c>
    </row>
    <row r="5428" spans="1:9" x14ac:dyDescent="0.15">
      <c r="A5428" s="1">
        <v>5427</v>
      </c>
      <c r="B5428" s="1">
        <v>104090505</v>
      </c>
      <c r="C5428" s="1">
        <f t="shared" si="341"/>
        <v>108</v>
      </c>
      <c r="D5428" s="5">
        <f ca="1">IF(getQuality(B5428)&lt;4,getOtherMin(B5428,C5428,INDIRECT(J$2),INDIRECT(I5428),test),getMin(B5428,C5428,INDIRECT(J$2),INDIRECT(I5428),test))</f>
        <v>0.15</v>
      </c>
      <c r="E5428" s="5">
        <f ca="1">IF(getQuality(B5428)&lt;4,getOtherMax(B5428,C5428,INDIRECT(J$2),INDIRECT(I5428),test),getMax(B5428,C5428,INDIRECT(J$2),INDIRECT(I5428),test))</f>
        <v>0.3</v>
      </c>
      <c r="F5428" s="1" t="str">
        <f t="shared" si="340"/>
        <v>50</v>
      </c>
      <c r="G5428" s="1" t="str">
        <f t="shared" ca="1" si="342"/>
        <v/>
      </c>
      <c r="I5428" s="1" t="str">
        <f t="shared" si="339"/>
        <v>威尔新数值1.06.xlsm!monsterDamage</v>
      </c>
    </row>
    <row r="5429" spans="1:9" x14ac:dyDescent="0.15">
      <c r="A5429" s="1">
        <v>5428</v>
      </c>
      <c r="B5429" s="1">
        <v>204091405</v>
      </c>
      <c r="C5429" s="1">
        <f t="shared" si="341"/>
        <v>1</v>
      </c>
      <c r="D5429" s="5">
        <f ca="1">IF(getQuality(B5429)&lt;4,getOtherMin(B5429,C5429,INDIRECT(J$2),INDIRECT(I5429),test),getMin(B5429,C5429,INDIRECT(J$2),INDIRECT(I5429),test))</f>
        <v>692.83999999999992</v>
      </c>
      <c r="E5429" s="5">
        <f ca="1">IF(getQuality(B5429)&lt;4,getOtherMax(B5429,C5429,INDIRECT(J$2),INDIRECT(I5429),test),getMax(B5429,C5429,INDIRECT(J$2),INDIRECT(I5429),test))</f>
        <v>823.8599999999999</v>
      </c>
      <c r="F5429" s="1" t="str">
        <f t="shared" si="340"/>
        <v>50</v>
      </c>
      <c r="G5429" s="1" t="str">
        <f t="shared" ca="1" si="342"/>
        <v/>
      </c>
      <c r="I5429" s="1" t="str">
        <f t="shared" si="339"/>
        <v>威尔新数值1.06.xlsm!suitPower</v>
      </c>
    </row>
    <row r="5430" spans="1:9" x14ac:dyDescent="0.15">
      <c r="A5430" s="1">
        <v>5429</v>
      </c>
      <c r="B5430" s="1">
        <v>204091405</v>
      </c>
      <c r="C5430" s="1">
        <f t="shared" si="341"/>
        <v>2</v>
      </c>
      <c r="D5430" s="5">
        <f ca="1">IF(getQuality(B5430)&lt;4,getOtherMin(B5430,C5430,INDIRECT(J$2),INDIRECT(I5430),test),getMin(B5430,C5430,INDIRECT(J$2),INDIRECT(I5430),test))</f>
        <v>42.777777777777779</v>
      </c>
      <c r="E5430" s="5">
        <f ca="1">IF(getQuality(B5430)&lt;4,getOtherMax(B5430,C5430,INDIRECT(J$2),INDIRECT(I5430),test),getMax(B5430,C5430,INDIRECT(J$2),INDIRECT(I5430),test))</f>
        <v>49.75</v>
      </c>
      <c r="F5430" s="1" t="str">
        <f t="shared" si="340"/>
        <v>50</v>
      </c>
      <c r="G5430" s="1" t="str">
        <f t="shared" ca="1" si="342"/>
        <v/>
      </c>
      <c r="I5430" s="1" t="str">
        <f t="shared" si="339"/>
        <v>威尔新数值1.06.xlsm!suitPower</v>
      </c>
    </row>
    <row r="5431" spans="1:9" x14ac:dyDescent="0.15">
      <c r="A5431" s="1">
        <v>5430</v>
      </c>
      <c r="B5431" s="1">
        <v>204091405</v>
      </c>
      <c r="C5431" s="1">
        <f t="shared" si="341"/>
        <v>4</v>
      </c>
      <c r="D5431" s="5">
        <f ca="1">IF(getQuality(B5431)&lt;4,getOtherMin(B5431,C5431,INDIRECT(J$2),INDIRECT(I5431),test),getMin(B5431,C5431,INDIRECT(J$2),INDIRECT(I5431),test))</f>
        <v>334.33333333333331</v>
      </c>
      <c r="E5431" s="5">
        <f ca="1">IF(getQuality(B5431)&lt;4,getOtherMax(B5431,C5431,INDIRECT(J$2),INDIRECT(I5431),test),getMax(B5431,C5431,INDIRECT(J$2),INDIRECT(I5431),test))</f>
        <v>375</v>
      </c>
      <c r="F5431" s="1" t="str">
        <f t="shared" si="340"/>
        <v>50</v>
      </c>
      <c r="G5431" s="1" t="str">
        <f t="shared" ca="1" si="342"/>
        <v>1</v>
      </c>
      <c r="I5431" s="1" t="str">
        <f t="shared" si="339"/>
        <v>威尔新数值1.06.xlsm!suitPower</v>
      </c>
    </row>
    <row r="5432" spans="1:9" x14ac:dyDescent="0.15">
      <c r="A5432" s="1">
        <v>5431</v>
      </c>
      <c r="B5432" s="1">
        <v>204091405</v>
      </c>
      <c r="C5432" s="1">
        <f t="shared" si="341"/>
        <v>6</v>
      </c>
      <c r="D5432" s="5">
        <f ca="1">IF(getQuality(B5432)&lt;4,getOtherMin(B5432,C5432,INDIRECT(J$2),INDIRECT(I5432),test),getMin(B5432,C5432,INDIRECT(J$2),INDIRECT(I5432),test))</f>
        <v>334.33333333333331</v>
      </c>
      <c r="E5432" s="5">
        <f ca="1">IF(getQuality(B5432)&lt;4,getOtherMax(B5432,C5432,INDIRECT(J$2),INDIRECT(I5432),test),getMax(B5432,C5432,INDIRECT(J$2),INDIRECT(I5432),test))</f>
        <v>375</v>
      </c>
      <c r="F5432" s="1" t="str">
        <f t="shared" si="340"/>
        <v>50</v>
      </c>
      <c r="G5432" s="1" t="str">
        <f t="shared" ca="1" si="342"/>
        <v/>
      </c>
      <c r="I5432" s="1" t="str">
        <f t="shared" si="339"/>
        <v>威尔新数值1.06.xlsm!suitPower</v>
      </c>
    </row>
    <row r="5433" spans="1:9" x14ac:dyDescent="0.15">
      <c r="A5433" s="1">
        <v>5432</v>
      </c>
      <c r="B5433" s="1">
        <v>204091405</v>
      </c>
      <c r="C5433" s="1">
        <f t="shared" si="341"/>
        <v>7</v>
      </c>
      <c r="D5433" s="5">
        <f ca="1">IF(getQuality(B5433)&lt;4,getOtherMin(B5433,C5433,INDIRECT(J$2),INDIRECT(I5433),test),getMin(B5433,C5433,INDIRECT(J$2),INDIRECT(I5433),test))</f>
        <v>30.629629629629555</v>
      </c>
      <c r="E5433" s="5">
        <f ca="1">IF(getQuality(B5433)&lt;4,getOtherMax(B5433,C5433,INDIRECT(J$2),INDIRECT(I5433),test),getMax(B5433,C5433,INDIRECT(J$2),INDIRECT(I5433),test))</f>
        <v>33.33333333333325</v>
      </c>
      <c r="F5433" s="1" t="str">
        <f t="shared" si="340"/>
        <v>50</v>
      </c>
      <c r="G5433" s="1" t="str">
        <f t="shared" ca="1" si="342"/>
        <v/>
      </c>
      <c r="I5433" s="1" t="str">
        <f t="shared" si="339"/>
        <v>威尔新数值1.06.xlsm!suitPower</v>
      </c>
    </row>
    <row r="5434" spans="1:9" x14ac:dyDescent="0.15">
      <c r="A5434" s="1">
        <v>5433</v>
      </c>
      <c r="B5434" s="1">
        <v>204091405</v>
      </c>
      <c r="C5434" s="1">
        <f t="shared" si="341"/>
        <v>8</v>
      </c>
      <c r="D5434" s="5">
        <f ca="1">IF(getQuality(B5434)&lt;4,getOtherMin(B5434,C5434,INDIRECT(J$2),INDIRECT(I5434),test),getMin(B5434,C5434,INDIRECT(J$2),INDIRECT(I5434),test))</f>
        <v>67.666666666666671</v>
      </c>
      <c r="E5434" s="5">
        <f ca="1">IF(getQuality(B5434)&lt;4,getOtherMax(B5434,C5434,INDIRECT(J$2),INDIRECT(I5434),test),getMax(B5434,C5434,INDIRECT(J$2),INDIRECT(I5434),test))</f>
        <v>75</v>
      </c>
      <c r="F5434" s="1" t="str">
        <f t="shared" si="340"/>
        <v>50</v>
      </c>
      <c r="G5434" s="1" t="str">
        <f t="shared" ca="1" si="342"/>
        <v/>
      </c>
      <c r="I5434" s="1" t="str">
        <f t="shared" si="339"/>
        <v>威尔新数值1.06.xlsm!suitPower</v>
      </c>
    </row>
    <row r="5435" spans="1:9" x14ac:dyDescent="0.15">
      <c r="A5435" s="1">
        <v>5434</v>
      </c>
      <c r="B5435" s="1">
        <v>204091405</v>
      </c>
      <c r="C5435" s="1">
        <f t="shared" si="341"/>
        <v>16</v>
      </c>
      <c r="D5435" s="5">
        <f ca="1">IF(getQuality(B5435)&lt;4,getOtherMin(B5435,C5435,INDIRECT(J$2),INDIRECT(I5435),test),getMin(B5435,C5435,INDIRECT(J$2),INDIRECT(I5435),test))</f>
        <v>81</v>
      </c>
      <c r="E5435" s="5">
        <f ca="1">IF(getQuality(B5435)&lt;4,getOtherMax(B5435,C5435,INDIRECT(J$2),INDIRECT(I5435),test),getMax(B5435,C5435,INDIRECT(J$2),INDIRECT(I5435),test))</f>
        <v>90</v>
      </c>
      <c r="F5435" s="1" t="str">
        <f t="shared" si="340"/>
        <v>50</v>
      </c>
      <c r="G5435" s="1" t="str">
        <f t="shared" ca="1" si="342"/>
        <v/>
      </c>
      <c r="I5435" s="1" t="str">
        <f t="shared" si="339"/>
        <v>威尔新数值1.06.xlsm!suitPower</v>
      </c>
    </row>
    <row r="5436" spans="1:9" x14ac:dyDescent="0.15">
      <c r="A5436" s="1">
        <v>5435</v>
      </c>
      <c r="B5436" s="1">
        <v>204091405</v>
      </c>
      <c r="C5436" s="1">
        <f t="shared" si="341"/>
        <v>17</v>
      </c>
      <c r="D5436" s="5">
        <f ca="1">IF(getQuality(B5436)&lt;4,getOtherMin(B5436,C5436,INDIRECT(J$2),INDIRECT(I5436),test),getMin(B5436,C5436,INDIRECT(J$2),INDIRECT(I5436),test))</f>
        <v>81</v>
      </c>
      <c r="E5436" s="5">
        <f ca="1">IF(getQuality(B5436)&lt;4,getOtherMax(B5436,C5436,INDIRECT(J$2),INDIRECT(I5436),test),getMax(B5436,C5436,INDIRECT(J$2),INDIRECT(I5436),test))</f>
        <v>90</v>
      </c>
      <c r="F5436" s="1" t="str">
        <f t="shared" si="340"/>
        <v>50</v>
      </c>
      <c r="G5436" s="1" t="str">
        <f t="shared" ca="1" si="342"/>
        <v/>
      </c>
      <c r="I5436" s="1" t="str">
        <f t="shared" si="339"/>
        <v>威尔新数值1.06.xlsm!suitPower</v>
      </c>
    </row>
    <row r="5437" spans="1:9" x14ac:dyDescent="0.15">
      <c r="A5437" s="1">
        <v>5436</v>
      </c>
      <c r="B5437" s="1">
        <v>204091405</v>
      </c>
      <c r="C5437" s="1">
        <f t="shared" si="341"/>
        <v>18</v>
      </c>
      <c r="D5437" s="5">
        <f ca="1">IF(getQuality(B5437)&lt;4,getOtherMin(B5437,C5437,INDIRECT(J$2),INDIRECT(I5437),test),getMin(B5437,C5437,INDIRECT(J$2),INDIRECT(I5437),test))</f>
        <v>81</v>
      </c>
      <c r="E5437" s="5">
        <f ca="1">IF(getQuality(B5437)&lt;4,getOtherMax(B5437,C5437,INDIRECT(J$2),INDIRECT(I5437),test),getMax(B5437,C5437,INDIRECT(J$2),INDIRECT(I5437),test))</f>
        <v>90</v>
      </c>
      <c r="F5437" s="1" t="str">
        <f t="shared" si="340"/>
        <v>50</v>
      </c>
      <c r="G5437" s="1" t="str">
        <f t="shared" ca="1" si="342"/>
        <v/>
      </c>
      <c r="I5437" s="1" t="str">
        <f t="shared" si="339"/>
        <v>威尔新数值1.06.xlsm!suitPower</v>
      </c>
    </row>
    <row r="5438" spans="1:9" x14ac:dyDescent="0.15">
      <c r="A5438" s="1">
        <v>5437</v>
      </c>
      <c r="B5438" s="1">
        <v>204091405</v>
      </c>
      <c r="C5438" s="1">
        <f t="shared" si="341"/>
        <v>19</v>
      </c>
      <c r="D5438" s="5">
        <f ca="1">IF(getQuality(B5438)&lt;4,getOtherMin(B5438,C5438,INDIRECT(J$2),INDIRECT(I5438),test),getMin(B5438,C5438,INDIRECT(J$2),INDIRECT(I5438),test))</f>
        <v>81</v>
      </c>
      <c r="E5438" s="5">
        <f ca="1">IF(getQuality(B5438)&lt;4,getOtherMax(B5438,C5438,INDIRECT(J$2),INDIRECT(I5438),test),getMax(B5438,C5438,INDIRECT(J$2),INDIRECT(I5438),test))</f>
        <v>90</v>
      </c>
      <c r="F5438" s="1" t="str">
        <f t="shared" si="340"/>
        <v>50</v>
      </c>
      <c r="G5438" s="1" t="str">
        <f t="shared" ca="1" si="342"/>
        <v/>
      </c>
      <c r="I5438" s="1" t="str">
        <f t="shared" si="339"/>
        <v>威尔新数值1.06.xlsm!suitPower</v>
      </c>
    </row>
    <row r="5439" spans="1:9" x14ac:dyDescent="0.15">
      <c r="A5439" s="1">
        <v>5438</v>
      </c>
      <c r="B5439" s="1">
        <v>204091405</v>
      </c>
      <c r="C5439" s="1">
        <f t="shared" si="341"/>
        <v>20</v>
      </c>
      <c r="D5439" s="5">
        <f ca="1">IF(getQuality(B5439)&lt;4,getOtherMin(B5439,C5439,INDIRECT(J$2),INDIRECT(I5439),test),getMin(B5439,C5439,INDIRECT(J$2),INDIRECT(I5439),test))</f>
        <v>81</v>
      </c>
      <c r="E5439" s="5">
        <f ca="1">IF(getQuality(B5439)&lt;4,getOtherMax(B5439,C5439,INDIRECT(J$2),INDIRECT(I5439),test),getMax(B5439,C5439,INDIRECT(J$2),INDIRECT(I5439),test))</f>
        <v>90</v>
      </c>
      <c r="F5439" s="1" t="str">
        <f t="shared" si="340"/>
        <v>50</v>
      </c>
      <c r="G5439" s="1" t="str">
        <f t="shared" ca="1" si="342"/>
        <v/>
      </c>
      <c r="I5439" s="1" t="str">
        <f t="shared" si="339"/>
        <v>威尔新数值1.06.xlsm!suitPower</v>
      </c>
    </row>
    <row r="5440" spans="1:9" x14ac:dyDescent="0.15">
      <c r="A5440" s="1">
        <v>5439</v>
      </c>
      <c r="B5440" s="1">
        <v>204091405</v>
      </c>
      <c r="C5440" s="1">
        <f t="shared" si="341"/>
        <v>21</v>
      </c>
      <c r="D5440" s="5">
        <f ca="1">IF(getQuality(B5440)&lt;4,getOtherMin(B5440,C5440,INDIRECT(J$2),INDIRECT(I5440),test),getMin(B5440,C5440,INDIRECT(J$2),INDIRECT(I5440),test))</f>
        <v>81</v>
      </c>
      <c r="E5440" s="5">
        <f ca="1">IF(getQuality(B5440)&lt;4,getOtherMax(B5440,C5440,INDIRECT(J$2),INDIRECT(I5440),test),getMax(B5440,C5440,INDIRECT(J$2),INDIRECT(I5440),test))</f>
        <v>90</v>
      </c>
      <c r="F5440" s="1" t="str">
        <f t="shared" si="340"/>
        <v>50</v>
      </c>
      <c r="G5440" s="1" t="str">
        <f t="shared" ca="1" si="342"/>
        <v/>
      </c>
      <c r="I5440" s="1" t="str">
        <f t="shared" si="339"/>
        <v>威尔新数值1.06.xlsm!suitPower</v>
      </c>
    </row>
    <row r="5441" spans="1:9" x14ac:dyDescent="0.15">
      <c r="A5441" s="1">
        <v>5440</v>
      </c>
      <c r="B5441" s="1">
        <v>204091405</v>
      </c>
      <c r="C5441" s="1">
        <f t="shared" si="341"/>
        <v>22</v>
      </c>
      <c r="D5441" s="5">
        <f ca="1">IF(getQuality(B5441)&lt;4,getOtherMin(B5441,C5441,INDIRECT(J$2),INDIRECT(I5441),test),getMin(B5441,C5441,INDIRECT(J$2),INDIRECT(I5441),test))</f>
        <v>121.00000000000001</v>
      </c>
      <c r="E5441" s="5">
        <f ca="1">IF(getQuality(B5441)&lt;4,getOtherMax(B5441,C5441,INDIRECT(J$2),INDIRECT(I5441),test),getMax(B5441,C5441,INDIRECT(J$2),INDIRECT(I5441),test))</f>
        <v>135</v>
      </c>
      <c r="F5441" s="1" t="str">
        <f t="shared" si="340"/>
        <v>50</v>
      </c>
      <c r="G5441" s="1" t="str">
        <f t="shared" ca="1" si="342"/>
        <v/>
      </c>
      <c r="I5441" s="1" t="str">
        <f t="shared" si="339"/>
        <v>威尔新数值1.06.xlsm!suitPower</v>
      </c>
    </row>
    <row r="5442" spans="1:9" x14ac:dyDescent="0.15">
      <c r="A5442" s="1">
        <v>5441</v>
      </c>
      <c r="B5442" s="1">
        <v>204091405</v>
      </c>
      <c r="C5442" s="1">
        <f t="shared" si="341"/>
        <v>23</v>
      </c>
      <c r="D5442" s="5">
        <f ca="1">IF(getQuality(B5442)&lt;4,getOtherMin(B5442,C5442,INDIRECT(J$2),INDIRECT(I5442),test),getMin(B5442,C5442,INDIRECT(J$2),INDIRECT(I5442),test))</f>
        <v>81</v>
      </c>
      <c r="E5442" s="5">
        <f ca="1">IF(getQuality(B5442)&lt;4,getOtherMax(B5442,C5442,INDIRECT(J$2),INDIRECT(I5442),test),getMax(B5442,C5442,INDIRECT(J$2),INDIRECT(I5442),test))</f>
        <v>90</v>
      </c>
      <c r="F5442" s="1" t="str">
        <f t="shared" si="340"/>
        <v>50</v>
      </c>
      <c r="G5442" s="1" t="str">
        <f t="shared" ca="1" si="342"/>
        <v/>
      </c>
      <c r="I5442" s="1" t="str">
        <f t="shared" ref="I5442:I5505" si="343">IF(C5442&lt;100,VLOOKUP(C5442,test,3,FALSE),VLOOKUP(C5442,test1,3,FALSE))</f>
        <v>威尔新数值1.06.xlsm!suitPower</v>
      </c>
    </row>
    <row r="5443" spans="1:9" x14ac:dyDescent="0.15">
      <c r="A5443" s="1">
        <v>5442</v>
      </c>
      <c r="B5443" s="1">
        <v>304091505</v>
      </c>
      <c r="C5443" s="1">
        <f t="shared" si="341"/>
        <v>1</v>
      </c>
      <c r="D5443" s="5">
        <f ca="1">IF(getQuality(B5443)&lt;4,getOtherMin(B5443,C5443,INDIRECT(J$2),INDIRECT(I5443),test),getMin(B5443,C5443,INDIRECT(J$2),INDIRECT(I5443),test))</f>
        <v>692.83999999999992</v>
      </c>
      <c r="E5443" s="5">
        <f ca="1">IF(getQuality(B5443)&lt;4,getOtherMax(B5443,C5443,INDIRECT(J$2),INDIRECT(I5443),test),getMax(B5443,C5443,INDIRECT(J$2),INDIRECT(I5443),test))</f>
        <v>823.8599999999999</v>
      </c>
      <c r="F5443" s="1" t="str">
        <f t="shared" ref="F5443:F5506" si="344">getper(B5443,C5443)</f>
        <v>50</v>
      </c>
      <c r="G5443" s="1" t="str">
        <f t="shared" ca="1" si="342"/>
        <v/>
      </c>
      <c r="I5443" s="1" t="str">
        <f t="shared" si="343"/>
        <v>威尔新数值1.06.xlsm!suitPower</v>
      </c>
    </row>
    <row r="5444" spans="1:9" x14ac:dyDescent="0.15">
      <c r="A5444" s="1">
        <v>5443</v>
      </c>
      <c r="B5444" s="1">
        <v>304091505</v>
      </c>
      <c r="C5444" s="1">
        <f t="shared" si="341"/>
        <v>2</v>
      </c>
      <c r="D5444" s="5">
        <f ca="1">IF(getQuality(B5444)&lt;4,getOtherMin(B5444,C5444,INDIRECT(J$2),INDIRECT(I5444),test),getMin(B5444,C5444,INDIRECT(J$2),INDIRECT(I5444),test))</f>
        <v>42.777777777777779</v>
      </c>
      <c r="E5444" s="5">
        <f ca="1">IF(getQuality(B5444)&lt;4,getOtherMax(B5444,C5444,INDIRECT(J$2),INDIRECT(I5444),test),getMax(B5444,C5444,INDIRECT(J$2),INDIRECT(I5444),test))</f>
        <v>49.75</v>
      </c>
      <c r="F5444" s="1" t="str">
        <f t="shared" si="344"/>
        <v>50</v>
      </c>
      <c r="G5444" s="1" t="str">
        <f t="shared" ca="1" si="342"/>
        <v/>
      </c>
      <c r="I5444" s="1" t="str">
        <f t="shared" si="343"/>
        <v>威尔新数值1.06.xlsm!suitPower</v>
      </c>
    </row>
    <row r="5445" spans="1:9" x14ac:dyDescent="0.15">
      <c r="A5445" s="1">
        <v>5444</v>
      </c>
      <c r="B5445" s="1">
        <v>304091505</v>
      </c>
      <c r="C5445" s="1">
        <f t="shared" si="341"/>
        <v>4</v>
      </c>
      <c r="D5445" s="5">
        <f ca="1">IF(getQuality(B5445)&lt;4,getOtherMin(B5445,C5445,INDIRECT(J$2),INDIRECT(I5445),test),getMin(B5445,C5445,INDIRECT(J$2),INDIRECT(I5445),test))</f>
        <v>334.33333333333331</v>
      </c>
      <c r="E5445" s="5">
        <f ca="1">IF(getQuality(B5445)&lt;4,getOtherMax(B5445,C5445,INDIRECT(J$2),INDIRECT(I5445),test),getMax(B5445,C5445,INDIRECT(J$2),INDIRECT(I5445),test))</f>
        <v>375</v>
      </c>
      <c r="F5445" s="1" t="str">
        <f t="shared" si="344"/>
        <v>50</v>
      </c>
      <c r="G5445" s="1" t="str">
        <f t="shared" ca="1" si="342"/>
        <v>1</v>
      </c>
      <c r="I5445" s="1" t="str">
        <f t="shared" si="343"/>
        <v>威尔新数值1.06.xlsm!suitPower</v>
      </c>
    </row>
    <row r="5446" spans="1:9" x14ac:dyDescent="0.15">
      <c r="A5446" s="1">
        <v>5445</v>
      </c>
      <c r="B5446" s="1">
        <v>304091505</v>
      </c>
      <c r="C5446" s="1">
        <f t="shared" si="341"/>
        <v>6</v>
      </c>
      <c r="D5446" s="5">
        <f ca="1">IF(getQuality(B5446)&lt;4,getOtherMin(B5446,C5446,INDIRECT(J$2),INDIRECT(I5446),test),getMin(B5446,C5446,INDIRECT(J$2),INDIRECT(I5446),test))</f>
        <v>334.33333333333331</v>
      </c>
      <c r="E5446" s="5">
        <f ca="1">IF(getQuality(B5446)&lt;4,getOtherMax(B5446,C5446,INDIRECT(J$2),INDIRECT(I5446),test),getMax(B5446,C5446,INDIRECT(J$2),INDIRECT(I5446),test))</f>
        <v>375</v>
      </c>
      <c r="F5446" s="1" t="str">
        <f t="shared" si="344"/>
        <v>50</v>
      </c>
      <c r="G5446" s="1" t="str">
        <f t="shared" ca="1" si="342"/>
        <v/>
      </c>
      <c r="I5446" s="1" t="str">
        <f t="shared" si="343"/>
        <v>威尔新数值1.06.xlsm!suitPower</v>
      </c>
    </row>
    <row r="5447" spans="1:9" x14ac:dyDescent="0.15">
      <c r="A5447" s="1">
        <v>5446</v>
      </c>
      <c r="B5447" s="1">
        <v>304091505</v>
      </c>
      <c r="C5447" s="1">
        <f t="shared" si="341"/>
        <v>7</v>
      </c>
      <c r="D5447" s="5">
        <f ca="1">IF(getQuality(B5447)&lt;4,getOtherMin(B5447,C5447,INDIRECT(J$2),INDIRECT(I5447),test),getMin(B5447,C5447,INDIRECT(J$2),INDIRECT(I5447),test))</f>
        <v>30.629629629629555</v>
      </c>
      <c r="E5447" s="5">
        <f ca="1">IF(getQuality(B5447)&lt;4,getOtherMax(B5447,C5447,INDIRECT(J$2),INDIRECT(I5447),test),getMax(B5447,C5447,INDIRECT(J$2),INDIRECT(I5447),test))</f>
        <v>33.33333333333325</v>
      </c>
      <c r="F5447" s="1" t="str">
        <f t="shared" si="344"/>
        <v>50</v>
      </c>
      <c r="G5447" s="1" t="str">
        <f t="shared" ca="1" si="342"/>
        <v/>
      </c>
      <c r="I5447" s="1" t="str">
        <f t="shared" si="343"/>
        <v>威尔新数值1.06.xlsm!suitPower</v>
      </c>
    </row>
    <row r="5448" spans="1:9" x14ac:dyDescent="0.15">
      <c r="A5448" s="1">
        <v>5447</v>
      </c>
      <c r="B5448" s="1">
        <v>304091505</v>
      </c>
      <c r="C5448" s="1">
        <f t="shared" si="341"/>
        <v>8</v>
      </c>
      <c r="D5448" s="5">
        <f ca="1">IF(getQuality(B5448)&lt;4,getOtherMin(B5448,C5448,INDIRECT(J$2),INDIRECT(I5448),test),getMin(B5448,C5448,INDIRECT(J$2),INDIRECT(I5448),test))</f>
        <v>67.666666666666671</v>
      </c>
      <c r="E5448" s="5">
        <f ca="1">IF(getQuality(B5448)&lt;4,getOtherMax(B5448,C5448,INDIRECT(J$2),INDIRECT(I5448),test),getMax(B5448,C5448,INDIRECT(J$2),INDIRECT(I5448),test))</f>
        <v>75</v>
      </c>
      <c r="F5448" s="1" t="str">
        <f t="shared" si="344"/>
        <v>50</v>
      </c>
      <c r="G5448" s="1" t="str">
        <f t="shared" ca="1" si="342"/>
        <v/>
      </c>
      <c r="I5448" s="1" t="str">
        <f t="shared" si="343"/>
        <v>威尔新数值1.06.xlsm!suitPower</v>
      </c>
    </row>
    <row r="5449" spans="1:9" x14ac:dyDescent="0.15">
      <c r="A5449" s="1">
        <v>5448</v>
      </c>
      <c r="B5449" s="1">
        <v>304091505</v>
      </c>
      <c r="C5449" s="1">
        <f t="shared" si="341"/>
        <v>16</v>
      </c>
      <c r="D5449" s="5">
        <f ca="1">IF(getQuality(B5449)&lt;4,getOtherMin(B5449,C5449,INDIRECT(J$2),INDIRECT(I5449),test),getMin(B5449,C5449,INDIRECT(J$2),INDIRECT(I5449),test))</f>
        <v>81</v>
      </c>
      <c r="E5449" s="5">
        <f ca="1">IF(getQuality(B5449)&lt;4,getOtherMax(B5449,C5449,INDIRECT(J$2),INDIRECT(I5449),test),getMax(B5449,C5449,INDIRECT(J$2),INDIRECT(I5449),test))</f>
        <v>90</v>
      </c>
      <c r="F5449" s="1" t="str">
        <f t="shared" si="344"/>
        <v>50</v>
      </c>
      <c r="G5449" s="1" t="str">
        <f t="shared" ca="1" si="342"/>
        <v/>
      </c>
      <c r="I5449" s="1" t="str">
        <f t="shared" si="343"/>
        <v>威尔新数值1.06.xlsm!suitPower</v>
      </c>
    </row>
    <row r="5450" spans="1:9" x14ac:dyDescent="0.15">
      <c r="A5450" s="1">
        <v>5449</v>
      </c>
      <c r="B5450" s="1">
        <v>304091505</v>
      </c>
      <c r="C5450" s="1">
        <f t="shared" si="341"/>
        <v>17</v>
      </c>
      <c r="D5450" s="5">
        <f ca="1">IF(getQuality(B5450)&lt;4,getOtherMin(B5450,C5450,INDIRECT(J$2),INDIRECT(I5450),test),getMin(B5450,C5450,INDIRECT(J$2),INDIRECT(I5450),test))</f>
        <v>81</v>
      </c>
      <c r="E5450" s="5">
        <f ca="1">IF(getQuality(B5450)&lt;4,getOtherMax(B5450,C5450,INDIRECT(J$2),INDIRECT(I5450),test),getMax(B5450,C5450,INDIRECT(J$2),INDIRECT(I5450),test))</f>
        <v>90</v>
      </c>
      <c r="F5450" s="1" t="str">
        <f t="shared" si="344"/>
        <v>50</v>
      </c>
      <c r="G5450" s="1" t="str">
        <f t="shared" ca="1" si="342"/>
        <v/>
      </c>
      <c r="I5450" s="1" t="str">
        <f t="shared" si="343"/>
        <v>威尔新数值1.06.xlsm!suitPower</v>
      </c>
    </row>
    <row r="5451" spans="1:9" x14ac:dyDescent="0.15">
      <c r="A5451" s="1">
        <v>5450</v>
      </c>
      <c r="B5451" s="1">
        <v>304091505</v>
      </c>
      <c r="C5451" s="1">
        <f t="shared" si="341"/>
        <v>18</v>
      </c>
      <c r="D5451" s="5">
        <f ca="1">IF(getQuality(B5451)&lt;4,getOtherMin(B5451,C5451,INDIRECT(J$2),INDIRECT(I5451),test),getMin(B5451,C5451,INDIRECT(J$2),INDIRECT(I5451),test))</f>
        <v>81</v>
      </c>
      <c r="E5451" s="5">
        <f ca="1">IF(getQuality(B5451)&lt;4,getOtherMax(B5451,C5451,INDIRECT(J$2),INDIRECT(I5451),test),getMax(B5451,C5451,INDIRECT(J$2),INDIRECT(I5451),test))</f>
        <v>90</v>
      </c>
      <c r="F5451" s="1" t="str">
        <f t="shared" si="344"/>
        <v>50</v>
      </c>
      <c r="G5451" s="1" t="str">
        <f t="shared" ca="1" si="342"/>
        <v/>
      </c>
      <c r="I5451" s="1" t="str">
        <f t="shared" si="343"/>
        <v>威尔新数值1.06.xlsm!suitPower</v>
      </c>
    </row>
    <row r="5452" spans="1:9" x14ac:dyDescent="0.15">
      <c r="A5452" s="1">
        <v>5451</v>
      </c>
      <c r="B5452" s="1">
        <v>304091505</v>
      </c>
      <c r="C5452" s="1">
        <f t="shared" si="341"/>
        <v>19</v>
      </c>
      <c r="D5452" s="5">
        <f ca="1">IF(getQuality(B5452)&lt;4,getOtherMin(B5452,C5452,INDIRECT(J$2),INDIRECT(I5452),test),getMin(B5452,C5452,INDIRECT(J$2),INDIRECT(I5452),test))</f>
        <v>81</v>
      </c>
      <c r="E5452" s="5">
        <f ca="1">IF(getQuality(B5452)&lt;4,getOtherMax(B5452,C5452,INDIRECT(J$2),INDIRECT(I5452),test),getMax(B5452,C5452,INDIRECT(J$2),INDIRECT(I5452),test))</f>
        <v>90</v>
      </c>
      <c r="F5452" s="1" t="str">
        <f t="shared" si="344"/>
        <v>50</v>
      </c>
      <c r="G5452" s="1" t="str">
        <f t="shared" ca="1" si="342"/>
        <v/>
      </c>
      <c r="I5452" s="1" t="str">
        <f t="shared" si="343"/>
        <v>威尔新数值1.06.xlsm!suitPower</v>
      </c>
    </row>
    <row r="5453" spans="1:9" x14ac:dyDescent="0.15">
      <c r="A5453" s="1">
        <v>5452</v>
      </c>
      <c r="B5453" s="1">
        <v>304091505</v>
      </c>
      <c r="C5453" s="1">
        <f t="shared" si="341"/>
        <v>20</v>
      </c>
      <c r="D5453" s="5">
        <f ca="1">IF(getQuality(B5453)&lt;4,getOtherMin(B5453,C5453,INDIRECT(J$2),INDIRECT(I5453),test),getMin(B5453,C5453,INDIRECT(J$2),INDIRECT(I5453),test))</f>
        <v>81</v>
      </c>
      <c r="E5453" s="5">
        <f ca="1">IF(getQuality(B5453)&lt;4,getOtherMax(B5453,C5453,INDIRECT(J$2),INDIRECT(I5453),test),getMax(B5453,C5453,INDIRECT(J$2),INDIRECT(I5453),test))</f>
        <v>90</v>
      </c>
      <c r="F5453" s="1" t="str">
        <f t="shared" si="344"/>
        <v>50</v>
      </c>
      <c r="G5453" s="1" t="str">
        <f t="shared" ca="1" si="342"/>
        <v/>
      </c>
      <c r="I5453" s="1" t="str">
        <f t="shared" si="343"/>
        <v>威尔新数值1.06.xlsm!suitPower</v>
      </c>
    </row>
    <row r="5454" spans="1:9" x14ac:dyDescent="0.15">
      <c r="A5454" s="1">
        <v>5453</v>
      </c>
      <c r="B5454" s="1">
        <v>304091505</v>
      </c>
      <c r="C5454" s="1">
        <f t="shared" si="341"/>
        <v>21</v>
      </c>
      <c r="D5454" s="5">
        <f ca="1">IF(getQuality(B5454)&lt;4,getOtherMin(B5454,C5454,INDIRECT(J$2),INDIRECT(I5454),test),getMin(B5454,C5454,INDIRECT(J$2),INDIRECT(I5454),test))</f>
        <v>81</v>
      </c>
      <c r="E5454" s="5">
        <f ca="1">IF(getQuality(B5454)&lt;4,getOtherMax(B5454,C5454,INDIRECT(J$2),INDIRECT(I5454),test),getMax(B5454,C5454,INDIRECT(J$2),INDIRECT(I5454),test))</f>
        <v>90</v>
      </c>
      <c r="F5454" s="1" t="str">
        <f t="shared" si="344"/>
        <v>50</v>
      </c>
      <c r="G5454" s="1" t="str">
        <f t="shared" ca="1" si="342"/>
        <v/>
      </c>
      <c r="I5454" s="1" t="str">
        <f t="shared" si="343"/>
        <v>威尔新数值1.06.xlsm!suitPower</v>
      </c>
    </row>
    <row r="5455" spans="1:9" x14ac:dyDescent="0.15">
      <c r="A5455" s="1">
        <v>5454</v>
      </c>
      <c r="B5455" s="1">
        <v>304091505</v>
      </c>
      <c r="C5455" s="1">
        <f t="shared" si="341"/>
        <v>22</v>
      </c>
      <c r="D5455" s="5">
        <f ca="1">IF(getQuality(B5455)&lt;4,getOtherMin(B5455,C5455,INDIRECT(J$2),INDIRECT(I5455),test),getMin(B5455,C5455,INDIRECT(J$2),INDIRECT(I5455),test))</f>
        <v>121.00000000000001</v>
      </c>
      <c r="E5455" s="5">
        <f ca="1">IF(getQuality(B5455)&lt;4,getOtherMax(B5455,C5455,INDIRECT(J$2),INDIRECT(I5455),test),getMax(B5455,C5455,INDIRECT(J$2),INDIRECT(I5455),test))</f>
        <v>135</v>
      </c>
      <c r="F5455" s="1" t="str">
        <f t="shared" si="344"/>
        <v>50</v>
      </c>
      <c r="G5455" s="1" t="str">
        <f t="shared" ca="1" si="342"/>
        <v/>
      </c>
      <c r="I5455" s="1" t="str">
        <f t="shared" si="343"/>
        <v>威尔新数值1.06.xlsm!suitPower</v>
      </c>
    </row>
    <row r="5456" spans="1:9" x14ac:dyDescent="0.15">
      <c r="A5456" s="1">
        <v>5455</v>
      </c>
      <c r="B5456" s="1">
        <v>304091505</v>
      </c>
      <c r="C5456" s="1">
        <f t="shared" si="341"/>
        <v>23</v>
      </c>
      <c r="D5456" s="5">
        <f ca="1">IF(getQuality(B5456)&lt;4,getOtherMin(B5456,C5456,INDIRECT(J$2),INDIRECT(I5456),test),getMin(B5456,C5456,INDIRECT(J$2),INDIRECT(I5456),test))</f>
        <v>81</v>
      </c>
      <c r="E5456" s="5">
        <f ca="1">IF(getQuality(B5456)&lt;4,getOtherMax(B5456,C5456,INDIRECT(J$2),INDIRECT(I5456),test),getMax(B5456,C5456,INDIRECT(J$2),INDIRECT(I5456),test))</f>
        <v>90</v>
      </c>
      <c r="F5456" s="1" t="str">
        <f t="shared" si="344"/>
        <v>50</v>
      </c>
      <c r="G5456" s="1" t="str">
        <f t="shared" ca="1" si="342"/>
        <v/>
      </c>
      <c r="I5456" s="1" t="str">
        <f t="shared" si="343"/>
        <v>威尔新数值1.06.xlsm!suitPower</v>
      </c>
    </row>
    <row r="5457" spans="1:9" x14ac:dyDescent="0.15">
      <c r="A5457" s="1">
        <v>5456</v>
      </c>
      <c r="B5457" s="1">
        <v>104090606</v>
      </c>
      <c r="C5457" s="1">
        <f t="shared" si="341"/>
        <v>3</v>
      </c>
      <c r="D5457" s="5">
        <f ca="1">IF(getQuality(B5457)&lt;4,getOtherMin(B5457,C5457,INDIRECT(J$2),INDIRECT(I5457),test),getMin(B5457,C5457,INDIRECT(J$2),INDIRECT(I5457),test))</f>
        <v>134.6888888888889</v>
      </c>
      <c r="E5457" s="5">
        <f ca="1">IF(getQuality(B5457)&lt;4,getOtherMax(B5457,C5457,INDIRECT(J$2),INDIRECT(I5457),test),getMax(B5457,C5457,INDIRECT(J$2),INDIRECT(I5457),test))</f>
        <v>159.20000000000002</v>
      </c>
      <c r="F5457" s="1" t="str">
        <f t="shared" si="344"/>
        <v>50</v>
      </c>
      <c r="G5457" s="1" t="str">
        <f t="shared" ca="1" si="342"/>
        <v/>
      </c>
      <c r="I5457" s="1" t="str">
        <f t="shared" si="343"/>
        <v>威尔新数值1.06.xlsm!suitPower</v>
      </c>
    </row>
    <row r="5458" spans="1:9" x14ac:dyDescent="0.15">
      <c r="A5458" s="1">
        <v>5457</v>
      </c>
      <c r="B5458" s="1">
        <v>104090606</v>
      </c>
      <c r="C5458" s="1">
        <f t="shared" si="341"/>
        <v>5</v>
      </c>
      <c r="D5458" s="5">
        <f ca="1">IF(getQuality(B5458)&lt;4,getOtherMin(B5458,C5458,INDIRECT(J$2),INDIRECT(I5458),test),getMin(B5458,C5458,INDIRECT(J$2),INDIRECT(I5458),test))</f>
        <v>329.28048273180752</v>
      </c>
      <c r="E5458" s="5">
        <f ca="1">IF(getQuality(B5458)&lt;4,getOtherMax(B5458,C5458,INDIRECT(J$2),INDIRECT(I5458),test),getMax(B5458,C5458,INDIRECT(J$2),INDIRECT(I5458),test))</f>
        <v>390.92443123182665</v>
      </c>
      <c r="F5458" s="1" t="str">
        <f t="shared" si="344"/>
        <v>50</v>
      </c>
      <c r="G5458" s="1" t="str">
        <f t="shared" ca="1" si="342"/>
        <v>1</v>
      </c>
      <c r="I5458" s="1" t="str">
        <f t="shared" si="343"/>
        <v>威尔新数值1.06.xlsm!suitPower</v>
      </c>
    </row>
    <row r="5459" spans="1:9" x14ac:dyDescent="0.15">
      <c r="A5459" s="1">
        <v>5458</v>
      </c>
      <c r="B5459" s="1">
        <v>104090606</v>
      </c>
      <c r="C5459" s="1">
        <f t="shared" si="341"/>
        <v>7</v>
      </c>
      <c r="D5459" s="5">
        <f ca="1">IF(getQuality(B5459)&lt;4,getOtherMin(B5459,C5459,INDIRECT(J$2),INDIRECT(I5459),test),getMin(B5459,C5459,INDIRECT(J$2),INDIRECT(I5459),test))</f>
        <v>36.555555555555557</v>
      </c>
      <c r="E5459" s="5">
        <f ca="1">IF(getQuality(B5459)&lt;4,getOtherMax(B5459,C5459,INDIRECT(J$2),INDIRECT(I5459),test),getMax(B5459,C5459,INDIRECT(J$2),INDIRECT(I5459),test))</f>
        <v>40</v>
      </c>
      <c r="F5459" s="1" t="str">
        <f t="shared" si="344"/>
        <v>50</v>
      </c>
      <c r="G5459" s="1" t="str">
        <f t="shared" ca="1" si="342"/>
        <v/>
      </c>
      <c r="I5459" s="1" t="str">
        <f t="shared" si="343"/>
        <v>威尔新数值1.06.xlsm!suitPower</v>
      </c>
    </row>
    <row r="5460" spans="1:9" x14ac:dyDescent="0.15">
      <c r="A5460" s="1">
        <v>5459</v>
      </c>
      <c r="B5460" s="1">
        <v>104090606</v>
      </c>
      <c r="C5460" s="1">
        <f t="shared" si="341"/>
        <v>8</v>
      </c>
      <c r="D5460" s="5">
        <f ca="1">IF(getQuality(B5460)&lt;4,getOtherMin(B5460,C5460,INDIRECT(J$2),INDIRECT(I5460),test),getMin(B5460,C5460,INDIRECT(J$2),INDIRECT(I5460),test))</f>
        <v>134.33333333333334</v>
      </c>
      <c r="E5460" s="5">
        <f ca="1">IF(getQuality(B5460)&lt;4,getOtherMax(B5460,C5460,INDIRECT(J$2),INDIRECT(I5460),test),getMax(B5460,C5460,INDIRECT(J$2),INDIRECT(I5460),test))</f>
        <v>150</v>
      </c>
      <c r="F5460" s="1" t="str">
        <f t="shared" si="344"/>
        <v>50</v>
      </c>
      <c r="G5460" s="1" t="str">
        <f t="shared" ca="1" si="342"/>
        <v/>
      </c>
      <c r="I5460" s="1" t="str">
        <f t="shared" si="343"/>
        <v>威尔新数值1.06.xlsm!suitPower</v>
      </c>
    </row>
    <row r="5461" spans="1:9" x14ac:dyDescent="0.15">
      <c r="A5461" s="1">
        <v>5460</v>
      </c>
      <c r="B5461" s="1">
        <v>104090606</v>
      </c>
      <c r="C5461" s="1">
        <f t="shared" si="341"/>
        <v>9</v>
      </c>
      <c r="D5461" s="5">
        <f ca="1">IF(getQuality(B5461)&lt;4,getOtherMin(B5461,C5461,INDIRECT(J$2),INDIRECT(I5461),test),getMin(B5461,C5461,INDIRECT(J$2),INDIRECT(I5461),test))</f>
        <v>231.98468581034817</v>
      </c>
      <c r="E5461" s="5">
        <f ca="1">IF(getQuality(B5461)&lt;4,getOtherMax(B5461,C5461,INDIRECT(J$2),INDIRECT(I5461),test),getMax(B5461,C5461,INDIRECT(J$2),INDIRECT(I5461),test))</f>
        <v>275.06221561591332</v>
      </c>
      <c r="F5461" s="1" t="str">
        <f t="shared" si="344"/>
        <v>50</v>
      </c>
      <c r="G5461" s="1" t="str">
        <f t="shared" ca="1" si="342"/>
        <v/>
      </c>
      <c r="I5461" s="1" t="str">
        <f t="shared" si="343"/>
        <v>威尔新数值1.06.xlsm!suitPower</v>
      </c>
    </row>
    <row r="5462" spans="1:9" x14ac:dyDescent="0.15">
      <c r="A5462" s="1">
        <v>5461</v>
      </c>
      <c r="B5462" s="1">
        <v>104090606</v>
      </c>
      <c r="C5462" s="1">
        <f t="shared" ref="C5462:C5525" si="345">C5415</f>
        <v>10</v>
      </c>
      <c r="D5462" s="5">
        <f ca="1">IF(getQuality(B5462)&lt;4,getOtherMin(B5462,C5462,INDIRECT(J$2),INDIRECT(I5462),test),getMin(B5462,C5462,INDIRECT(J$2),INDIRECT(I5462),test))</f>
        <v>231.98468581034817</v>
      </c>
      <c r="E5462" s="5">
        <f ca="1">IF(getQuality(B5462)&lt;4,getOtherMax(B5462,C5462,INDIRECT(J$2),INDIRECT(I5462),test),getMax(B5462,C5462,INDIRECT(J$2),INDIRECT(I5462),test))</f>
        <v>275.06221561591332</v>
      </c>
      <c r="F5462" s="1" t="str">
        <f t="shared" si="344"/>
        <v>50</v>
      </c>
      <c r="G5462" s="1" t="str">
        <f t="shared" ca="1" si="342"/>
        <v/>
      </c>
      <c r="I5462" s="1" t="str">
        <f t="shared" si="343"/>
        <v>威尔新数值1.06.xlsm!suitPower</v>
      </c>
    </row>
    <row r="5463" spans="1:9" x14ac:dyDescent="0.15">
      <c r="A5463" s="1">
        <v>5462</v>
      </c>
      <c r="B5463" s="1">
        <v>104090606</v>
      </c>
      <c r="C5463" s="1">
        <f t="shared" si="345"/>
        <v>11</v>
      </c>
      <c r="D5463" s="5">
        <f ca="1">IF(getQuality(B5463)&lt;4,getOtherMin(B5463,C5463,INDIRECT(J$2),INDIRECT(I5463),test),getMin(B5463,C5463,INDIRECT(J$2),INDIRECT(I5463),test))</f>
        <v>231.98468581034817</v>
      </c>
      <c r="E5463" s="5">
        <f ca="1">IF(getQuality(B5463)&lt;4,getOtherMax(B5463,C5463,INDIRECT(J$2),INDIRECT(I5463),test),getMax(B5463,C5463,INDIRECT(J$2),INDIRECT(I5463),test))</f>
        <v>275.06221561591332</v>
      </c>
      <c r="F5463" s="1" t="str">
        <f t="shared" si="344"/>
        <v>50</v>
      </c>
      <c r="G5463" s="1" t="str">
        <f t="shared" ca="1" si="342"/>
        <v/>
      </c>
      <c r="I5463" s="1" t="str">
        <f t="shared" si="343"/>
        <v>威尔新数值1.06.xlsm!suitPower</v>
      </c>
    </row>
    <row r="5464" spans="1:9" x14ac:dyDescent="0.15">
      <c r="A5464" s="1">
        <v>5463</v>
      </c>
      <c r="B5464" s="1">
        <v>104090606</v>
      </c>
      <c r="C5464" s="1">
        <f t="shared" si="345"/>
        <v>12</v>
      </c>
      <c r="D5464" s="5">
        <f ca="1">IF(getQuality(B5464)&lt;4,getOtherMin(B5464,C5464,INDIRECT(J$2),INDIRECT(I5464),test),getMin(B5464,C5464,INDIRECT(J$2),INDIRECT(I5464),test))</f>
        <v>231.98468581034817</v>
      </c>
      <c r="E5464" s="5">
        <f ca="1">IF(getQuality(B5464)&lt;4,getOtherMax(B5464,C5464,INDIRECT(J$2),INDIRECT(I5464),test),getMax(B5464,C5464,INDIRECT(J$2),INDIRECT(I5464),test))</f>
        <v>275.06221561591332</v>
      </c>
      <c r="F5464" s="1" t="str">
        <f t="shared" si="344"/>
        <v>50</v>
      </c>
      <c r="G5464" s="1" t="str">
        <f t="shared" ca="1" si="342"/>
        <v/>
      </c>
      <c r="I5464" s="1" t="str">
        <f t="shared" si="343"/>
        <v>威尔新数值1.06.xlsm!suitPower</v>
      </c>
    </row>
    <row r="5465" spans="1:9" x14ac:dyDescent="0.15">
      <c r="A5465" s="1">
        <v>5464</v>
      </c>
      <c r="B5465" s="1">
        <v>104090606</v>
      </c>
      <c r="C5465" s="1">
        <f t="shared" si="345"/>
        <v>13</v>
      </c>
      <c r="D5465" s="5">
        <f ca="1">IF(getQuality(B5465)&lt;4,getOtherMin(B5465,C5465,INDIRECT(J$2),INDIRECT(I5465),test),getMin(B5465,C5465,INDIRECT(J$2),INDIRECT(I5465),test))</f>
        <v>231.98468581034817</v>
      </c>
      <c r="E5465" s="5">
        <f ca="1">IF(getQuality(B5465)&lt;4,getOtherMax(B5465,C5465,INDIRECT(J$2),INDIRECT(I5465),test),getMax(B5465,C5465,INDIRECT(J$2),INDIRECT(I5465),test))</f>
        <v>275.06221561591332</v>
      </c>
      <c r="F5465" s="1" t="str">
        <f t="shared" si="344"/>
        <v>50</v>
      </c>
      <c r="G5465" s="1" t="str">
        <f t="shared" ca="1" si="342"/>
        <v/>
      </c>
      <c r="I5465" s="1" t="str">
        <f t="shared" si="343"/>
        <v>威尔新数值1.06.xlsm!suitPower</v>
      </c>
    </row>
    <row r="5466" spans="1:9" x14ac:dyDescent="0.15">
      <c r="A5466" s="1">
        <v>5465</v>
      </c>
      <c r="B5466" s="1">
        <v>104090606</v>
      </c>
      <c r="C5466" s="1">
        <f t="shared" si="345"/>
        <v>14</v>
      </c>
      <c r="D5466" s="5">
        <f ca="1">IF(getQuality(B5466)&lt;4,getOtherMin(B5466,C5466,INDIRECT(J$2),INDIRECT(I5466),test),getMin(B5466,C5466,INDIRECT(J$2),INDIRECT(I5466),test))</f>
        <v>231.98468581034817</v>
      </c>
      <c r="E5466" s="5">
        <f ca="1">IF(getQuality(B5466)&lt;4,getOtherMax(B5466,C5466,INDIRECT(J$2),INDIRECT(I5466),test),getMax(B5466,C5466,INDIRECT(J$2),INDIRECT(I5466),test))</f>
        <v>275.06221561591332</v>
      </c>
      <c r="F5466" s="1" t="str">
        <f t="shared" si="344"/>
        <v>50</v>
      </c>
      <c r="G5466" s="1" t="str">
        <f t="shared" ca="1" si="342"/>
        <v/>
      </c>
      <c r="I5466" s="1" t="str">
        <f t="shared" si="343"/>
        <v>威尔新数值1.06.xlsm!suitPower</v>
      </c>
    </row>
    <row r="5467" spans="1:9" x14ac:dyDescent="0.15">
      <c r="A5467" s="1">
        <v>5466</v>
      </c>
      <c r="B5467" s="1">
        <v>104090606</v>
      </c>
      <c r="C5467" s="1">
        <f t="shared" si="345"/>
        <v>15</v>
      </c>
      <c r="D5467" s="5">
        <f ca="1">IF(getQuality(B5467)&lt;4,getOtherMin(B5467,C5467,INDIRECT(J$2),INDIRECT(I5467),test),getMin(B5467,C5467,INDIRECT(J$2),INDIRECT(I5467),test))</f>
        <v>278.18162297241815</v>
      </c>
      <c r="E5467" s="5">
        <f ca="1">IF(getQuality(B5467)&lt;4,getOtherMax(B5467,C5467,INDIRECT(J$2),INDIRECT(I5467),test),getMax(B5467,C5467,INDIRECT(J$2),INDIRECT(I5467),test))</f>
        <v>330.07465873909638</v>
      </c>
      <c r="F5467" s="1" t="str">
        <f t="shared" si="344"/>
        <v>50</v>
      </c>
      <c r="G5467" s="1" t="str">
        <f t="shared" ca="1" si="342"/>
        <v/>
      </c>
      <c r="I5467" s="1" t="str">
        <f t="shared" si="343"/>
        <v>威尔新数值1.06.xlsm!suitPower</v>
      </c>
    </row>
    <row r="5468" spans="1:9" x14ac:dyDescent="0.15">
      <c r="A5468" s="1">
        <v>5467</v>
      </c>
      <c r="B5468" s="1">
        <v>104090606</v>
      </c>
      <c r="C5468" s="1">
        <f t="shared" si="345"/>
        <v>101</v>
      </c>
      <c r="D5468" s="5">
        <f ca="1">IF(getQuality(B5468)&lt;4,getOtherMin(B5468,C5468,INDIRECT(J$2),INDIRECT(I5468),test),getMin(B5468,C5468,INDIRECT(J$2),INDIRECT(I5468),test))</f>
        <v>0.16</v>
      </c>
      <c r="E5468" s="5">
        <f ca="1">IF(getQuality(B5468)&lt;4,getOtherMax(B5468,C5468,INDIRECT(J$2),INDIRECT(I5468),test),getMax(B5468,C5468,INDIRECT(J$2),INDIRECT(I5468),test))</f>
        <v>0.19</v>
      </c>
      <c r="F5468" s="1" t="str">
        <f t="shared" si="344"/>
        <v>50</v>
      </c>
      <c r="G5468" s="1" t="str">
        <f t="shared" ca="1" si="342"/>
        <v/>
      </c>
      <c r="I5468" s="1" t="str">
        <f t="shared" si="343"/>
        <v>威尔新数值1.06.xlsm!circlePer</v>
      </c>
    </row>
    <row r="5469" spans="1:9" x14ac:dyDescent="0.15">
      <c r="A5469" s="1">
        <v>5468</v>
      </c>
      <c r="B5469" s="1">
        <v>104090606</v>
      </c>
      <c r="C5469" s="1">
        <f t="shared" si="345"/>
        <v>102</v>
      </c>
      <c r="D5469" s="5">
        <f ca="1">IF(getQuality(B5469)&lt;4,getOtherMin(B5469,C5469,INDIRECT(J$2),INDIRECT(I5469),test),getMin(B5469,C5469,INDIRECT(J$2),INDIRECT(I5469),test))</f>
        <v>1.4</v>
      </c>
      <c r="E5469" s="5">
        <f ca="1">IF(getQuality(B5469)&lt;4,getOtherMax(B5469,C5469,INDIRECT(J$2),INDIRECT(I5469),test),getMax(B5469,C5469,INDIRECT(J$2),INDIRECT(I5469),test))</f>
        <v>1.8</v>
      </c>
      <c r="F5469" s="1" t="str">
        <f t="shared" si="344"/>
        <v>50</v>
      </c>
      <c r="G5469" s="1" t="str">
        <f t="shared" ca="1" si="342"/>
        <v/>
      </c>
      <c r="I5469" s="1" t="str">
        <f t="shared" si="343"/>
        <v>威尔新数值1.06.xlsm!circleValue</v>
      </c>
    </row>
    <row r="5470" spans="1:9" x14ac:dyDescent="0.15">
      <c r="A5470" s="1">
        <v>5469</v>
      </c>
      <c r="B5470" s="1">
        <v>104090606</v>
      </c>
      <c r="C5470" s="1">
        <f t="shared" si="345"/>
        <v>103</v>
      </c>
      <c r="D5470" s="5">
        <f ca="1">IF(getQuality(B5470)&lt;4,getOtherMin(B5470,C5470,INDIRECT(J$2),INDIRECT(I5470),test),getMin(B5470,C5470,INDIRECT(J$2),INDIRECT(I5470),test))</f>
        <v>0.16</v>
      </c>
      <c r="E5470" s="5">
        <f ca="1">IF(getQuality(B5470)&lt;4,getOtherMax(B5470,C5470,INDIRECT(J$2),INDIRECT(I5470),test),getMax(B5470,C5470,INDIRECT(J$2),INDIRECT(I5470),test))</f>
        <v>0.19</v>
      </c>
      <c r="F5470" s="1" t="str">
        <f t="shared" si="344"/>
        <v>50</v>
      </c>
      <c r="G5470" s="1" t="str">
        <f t="shared" ca="1" si="342"/>
        <v/>
      </c>
      <c r="I5470" s="1" t="str">
        <f t="shared" si="343"/>
        <v>威尔新数值1.06.xlsm!otherDamage</v>
      </c>
    </row>
    <row r="5471" spans="1:9" x14ac:dyDescent="0.15">
      <c r="A5471" s="1">
        <v>5470</v>
      </c>
      <c r="B5471" s="1">
        <v>104090606</v>
      </c>
      <c r="C5471" s="1">
        <f t="shared" si="345"/>
        <v>104</v>
      </c>
      <c r="D5471" s="5">
        <f ca="1">IF(getQuality(B5471)&lt;4,getOtherMin(B5471,C5471,INDIRECT(J$2),INDIRECT(I5471),test),getMin(B5471,C5471,INDIRECT(J$2),INDIRECT(I5471),test))</f>
        <v>0.15</v>
      </c>
      <c r="E5471" s="5">
        <f ca="1">IF(getQuality(B5471)&lt;4,getOtherMax(B5471,C5471,INDIRECT(J$2),INDIRECT(I5471),test),getMax(B5471,C5471,INDIRECT(J$2),INDIRECT(I5471),test))</f>
        <v>0.3</v>
      </c>
      <c r="F5471" s="1" t="str">
        <f t="shared" si="344"/>
        <v>50</v>
      </c>
      <c r="G5471" s="1" t="str">
        <f t="shared" ca="1" si="342"/>
        <v/>
      </c>
      <c r="I5471" s="1" t="str">
        <f t="shared" si="343"/>
        <v>威尔新数值1.06.xlsm!monsterDamage</v>
      </c>
    </row>
    <row r="5472" spans="1:9" x14ac:dyDescent="0.15">
      <c r="A5472" s="1">
        <v>5471</v>
      </c>
      <c r="B5472" s="1">
        <v>104090606</v>
      </c>
      <c r="C5472" s="1">
        <f t="shared" si="345"/>
        <v>105</v>
      </c>
      <c r="D5472" s="5">
        <f ca="1">IF(getQuality(B5472)&lt;4,getOtherMin(B5472,C5472,INDIRECT(J$2),INDIRECT(I5472),test),getMin(B5472,C5472,INDIRECT(J$2),INDIRECT(I5472),test))</f>
        <v>0.15</v>
      </c>
      <c r="E5472" s="5">
        <f ca="1">IF(getQuality(B5472)&lt;4,getOtherMax(B5472,C5472,INDIRECT(J$2),INDIRECT(I5472),test),getMax(B5472,C5472,INDIRECT(J$2),INDIRECT(I5472),test))</f>
        <v>0.3</v>
      </c>
      <c r="F5472" s="1" t="str">
        <f t="shared" si="344"/>
        <v>50</v>
      </c>
      <c r="G5472" s="1" t="str">
        <f t="shared" ca="1" si="342"/>
        <v/>
      </c>
      <c r="I5472" s="1" t="str">
        <f t="shared" si="343"/>
        <v>威尔新数值1.06.xlsm!monsterDamage</v>
      </c>
    </row>
    <row r="5473" spans="1:9" x14ac:dyDescent="0.15">
      <c r="A5473" s="1">
        <v>5472</v>
      </c>
      <c r="B5473" s="1">
        <v>104090606</v>
      </c>
      <c r="C5473" s="1">
        <f t="shared" si="345"/>
        <v>106</v>
      </c>
      <c r="D5473" s="5">
        <f ca="1">IF(getQuality(B5473)&lt;4,getOtherMin(B5473,C5473,INDIRECT(J$2),INDIRECT(I5473),test),getMin(B5473,C5473,INDIRECT(J$2),INDIRECT(I5473),test))</f>
        <v>0.15</v>
      </c>
      <c r="E5473" s="5">
        <f ca="1">IF(getQuality(B5473)&lt;4,getOtherMax(B5473,C5473,INDIRECT(J$2),INDIRECT(I5473),test),getMax(B5473,C5473,INDIRECT(J$2),INDIRECT(I5473),test))</f>
        <v>0.3</v>
      </c>
      <c r="F5473" s="1" t="str">
        <f t="shared" si="344"/>
        <v>50</v>
      </c>
      <c r="G5473" s="1" t="str">
        <f t="shared" ca="1" si="342"/>
        <v/>
      </c>
      <c r="I5473" s="1" t="str">
        <f t="shared" si="343"/>
        <v>威尔新数值1.06.xlsm!monsterDamage</v>
      </c>
    </row>
    <row r="5474" spans="1:9" x14ac:dyDescent="0.15">
      <c r="A5474" s="1">
        <v>5473</v>
      </c>
      <c r="B5474" s="1">
        <v>104090606</v>
      </c>
      <c r="C5474" s="1">
        <f t="shared" si="345"/>
        <v>107</v>
      </c>
      <c r="D5474" s="5">
        <f ca="1">IF(getQuality(B5474)&lt;4,getOtherMin(B5474,C5474,INDIRECT(J$2),INDIRECT(I5474),test),getMin(B5474,C5474,INDIRECT(J$2),INDIRECT(I5474),test))</f>
        <v>0.15</v>
      </c>
      <c r="E5474" s="5">
        <f ca="1">IF(getQuality(B5474)&lt;4,getOtherMax(B5474,C5474,INDIRECT(J$2),INDIRECT(I5474),test),getMax(B5474,C5474,INDIRECT(J$2),INDIRECT(I5474),test))</f>
        <v>0.3</v>
      </c>
      <c r="F5474" s="1" t="str">
        <f t="shared" si="344"/>
        <v>50</v>
      </c>
      <c r="G5474" s="1" t="str">
        <f t="shared" ca="1" si="342"/>
        <v/>
      </c>
      <c r="I5474" s="1" t="str">
        <f t="shared" si="343"/>
        <v>威尔新数值1.06.xlsm!monsterDamage</v>
      </c>
    </row>
    <row r="5475" spans="1:9" x14ac:dyDescent="0.15">
      <c r="A5475" s="1">
        <v>5474</v>
      </c>
      <c r="B5475" s="1">
        <v>104090606</v>
      </c>
      <c r="C5475" s="1">
        <f t="shared" si="345"/>
        <v>108</v>
      </c>
      <c r="D5475" s="5">
        <f ca="1">IF(getQuality(B5475)&lt;4,getOtherMin(B5475,C5475,INDIRECT(J$2),INDIRECT(I5475),test),getMin(B5475,C5475,INDIRECT(J$2),INDIRECT(I5475),test))</f>
        <v>0.15</v>
      </c>
      <c r="E5475" s="5">
        <f ca="1">IF(getQuality(B5475)&lt;4,getOtherMax(B5475,C5475,INDIRECT(J$2),INDIRECT(I5475),test),getMax(B5475,C5475,INDIRECT(J$2),INDIRECT(I5475),test))</f>
        <v>0.3</v>
      </c>
      <c r="F5475" s="1" t="str">
        <f t="shared" si="344"/>
        <v>50</v>
      </c>
      <c r="G5475" s="1" t="str">
        <f t="shared" ca="1" si="342"/>
        <v/>
      </c>
      <c r="I5475" s="1" t="str">
        <f t="shared" si="343"/>
        <v>威尔新数值1.06.xlsm!monsterDamage</v>
      </c>
    </row>
    <row r="5476" spans="1:9" x14ac:dyDescent="0.15">
      <c r="A5476" s="1">
        <v>5475</v>
      </c>
      <c r="B5476" s="1">
        <v>204091406</v>
      </c>
      <c r="C5476" s="1">
        <f t="shared" si="345"/>
        <v>1</v>
      </c>
      <c r="D5476" s="5">
        <f ca="1">IF(getQuality(B5476)&lt;4,getOtherMin(B5476,C5476,INDIRECT(J$2),INDIRECT(I5476),test),getMin(B5476,C5476,INDIRECT(J$2),INDIRECT(I5476),test))</f>
        <v>869.97777777777776</v>
      </c>
      <c r="E5476" s="5">
        <f ca="1">IF(getQuality(B5476)&lt;4,getOtherMax(B5476,C5476,INDIRECT(J$2),INDIRECT(I5476),test),getMax(B5476,C5476,INDIRECT(J$2),INDIRECT(I5476),test))</f>
        <v>1034.8</v>
      </c>
      <c r="F5476" s="1" t="str">
        <f t="shared" si="344"/>
        <v>50</v>
      </c>
      <c r="G5476" s="1" t="str">
        <f t="shared" ca="1" si="342"/>
        <v/>
      </c>
      <c r="I5476" s="1" t="str">
        <f t="shared" si="343"/>
        <v>威尔新数值1.06.xlsm!suitPower</v>
      </c>
    </row>
    <row r="5477" spans="1:9" x14ac:dyDescent="0.15">
      <c r="A5477" s="1">
        <v>5476</v>
      </c>
      <c r="B5477" s="1">
        <v>204091406</v>
      </c>
      <c r="C5477" s="1">
        <f t="shared" si="345"/>
        <v>2</v>
      </c>
      <c r="D5477" s="5">
        <f ca="1">IF(getQuality(B5477)&lt;4,getOtherMin(B5477,C5477,INDIRECT(J$2),INDIRECT(I5477),test),getMin(B5477,C5477,INDIRECT(J$2),INDIRECT(I5477),test))</f>
        <v>209.88888888888889</v>
      </c>
      <c r="E5477" s="5">
        <f ca="1">IF(getQuality(B5477)&lt;4,getOtherMax(B5477,C5477,INDIRECT(J$2),INDIRECT(I5477),test),getMax(B5477,C5477,INDIRECT(J$2),INDIRECT(I5477),test))</f>
        <v>248.75</v>
      </c>
      <c r="F5477" s="1" t="str">
        <f t="shared" si="344"/>
        <v>50</v>
      </c>
      <c r="G5477" s="1" t="str">
        <f t="shared" ca="1" si="342"/>
        <v/>
      </c>
      <c r="I5477" s="1" t="str">
        <f t="shared" si="343"/>
        <v>威尔新数值1.06.xlsm!suitPower</v>
      </c>
    </row>
    <row r="5478" spans="1:9" x14ac:dyDescent="0.15">
      <c r="A5478" s="1">
        <v>5477</v>
      </c>
      <c r="B5478" s="1">
        <v>204091406</v>
      </c>
      <c r="C5478" s="1">
        <f t="shared" si="345"/>
        <v>4</v>
      </c>
      <c r="D5478" s="5">
        <f ca="1">IF(getQuality(B5478)&lt;4,getOtherMin(B5478,C5478,INDIRECT(J$2),INDIRECT(I5478),test),getMin(B5478,C5478,INDIRECT(J$2),INDIRECT(I5478),test))</f>
        <v>234.33333333333334</v>
      </c>
      <c r="E5478" s="5">
        <f ca="1">IF(getQuality(B5478)&lt;4,getOtherMax(B5478,C5478,INDIRECT(J$2),INDIRECT(I5478),test),getMax(B5478,C5478,INDIRECT(J$2),INDIRECT(I5478),test))</f>
        <v>262.5</v>
      </c>
      <c r="F5478" s="1" t="str">
        <f t="shared" si="344"/>
        <v>50</v>
      </c>
      <c r="G5478" s="1" t="str">
        <f t="shared" ca="1" si="342"/>
        <v/>
      </c>
      <c r="I5478" s="1" t="str">
        <f t="shared" si="343"/>
        <v>威尔新数值1.06.xlsm!suitPower</v>
      </c>
    </row>
    <row r="5479" spans="1:9" x14ac:dyDescent="0.15">
      <c r="A5479" s="1">
        <v>5478</v>
      </c>
      <c r="B5479" s="1">
        <v>204091406</v>
      </c>
      <c r="C5479" s="1">
        <f t="shared" si="345"/>
        <v>6</v>
      </c>
      <c r="D5479" s="5">
        <f ca="1">IF(getQuality(B5479)&lt;4,getOtherMin(B5479,C5479,INDIRECT(J$2),INDIRECT(I5479),test),getMin(B5479,C5479,INDIRECT(J$2),INDIRECT(I5479),test))</f>
        <v>301</v>
      </c>
      <c r="E5479" s="5">
        <f ca="1">IF(getQuality(B5479)&lt;4,getOtherMax(B5479,C5479,INDIRECT(J$2),INDIRECT(I5479),test),getMax(B5479,C5479,INDIRECT(J$2),INDIRECT(I5479),test))</f>
        <v>337.5</v>
      </c>
      <c r="F5479" s="1" t="str">
        <f t="shared" si="344"/>
        <v>50</v>
      </c>
      <c r="G5479" s="1" t="str">
        <f t="shared" ref="G5479:G5542" ca="1" si="346">getMust(B5479,C5479)</f>
        <v>1</v>
      </c>
      <c r="I5479" s="1" t="str">
        <f t="shared" si="343"/>
        <v>威尔新数值1.06.xlsm!suitPower</v>
      </c>
    </row>
    <row r="5480" spans="1:9" x14ac:dyDescent="0.15">
      <c r="A5480" s="1">
        <v>5479</v>
      </c>
      <c r="B5480" s="1">
        <v>204091406</v>
      </c>
      <c r="C5480" s="1">
        <f t="shared" si="345"/>
        <v>7</v>
      </c>
      <c r="D5480" s="5">
        <f ca="1">IF(getQuality(B5480)&lt;4,getOtherMin(B5480,C5480,INDIRECT(J$2),INDIRECT(I5480),test),getMin(B5480,C5480,INDIRECT(J$2),INDIRECT(I5480),test))</f>
        <v>18.777777777777779</v>
      </c>
      <c r="E5480" s="5">
        <f ca="1">IF(getQuality(B5480)&lt;4,getOtherMax(B5480,C5480,INDIRECT(J$2),INDIRECT(I5480),test),getMax(B5480,C5480,INDIRECT(J$2),INDIRECT(I5480),test))</f>
        <v>20</v>
      </c>
      <c r="F5480" s="1" t="str">
        <f t="shared" si="344"/>
        <v>50</v>
      </c>
      <c r="G5480" s="1" t="str">
        <f t="shared" ca="1" si="346"/>
        <v/>
      </c>
      <c r="I5480" s="1" t="str">
        <f t="shared" si="343"/>
        <v>威尔新数值1.06.xlsm!suitPower</v>
      </c>
    </row>
    <row r="5481" spans="1:9" x14ac:dyDescent="0.15">
      <c r="A5481" s="1">
        <v>5480</v>
      </c>
      <c r="B5481" s="1">
        <v>204091406</v>
      </c>
      <c r="C5481" s="1">
        <f t="shared" si="345"/>
        <v>8</v>
      </c>
      <c r="D5481" s="5">
        <f ca="1">IF(getQuality(B5481)&lt;4,getOtherMin(B5481,C5481,INDIRECT(J$2),INDIRECT(I5481),test),getMin(B5481,C5481,INDIRECT(J$2),INDIRECT(I5481),test))</f>
        <v>67.666666666666671</v>
      </c>
      <c r="E5481" s="5">
        <f ca="1">IF(getQuality(B5481)&lt;4,getOtherMax(B5481,C5481,INDIRECT(J$2),INDIRECT(I5481),test),getMax(B5481,C5481,INDIRECT(J$2),INDIRECT(I5481),test))</f>
        <v>75</v>
      </c>
      <c r="F5481" s="1" t="str">
        <f t="shared" si="344"/>
        <v>50</v>
      </c>
      <c r="G5481" s="1" t="str">
        <f t="shared" ca="1" si="346"/>
        <v/>
      </c>
      <c r="I5481" s="1" t="str">
        <f t="shared" si="343"/>
        <v>威尔新数值1.06.xlsm!suitPower</v>
      </c>
    </row>
    <row r="5482" spans="1:9" x14ac:dyDescent="0.15">
      <c r="A5482" s="1">
        <v>5481</v>
      </c>
      <c r="B5482" s="1">
        <v>204091406</v>
      </c>
      <c r="C5482" s="1">
        <f t="shared" si="345"/>
        <v>16</v>
      </c>
      <c r="D5482" s="5">
        <f ca="1">IF(getQuality(B5482)&lt;4,getOtherMin(B5482,C5482,INDIRECT(J$2),INDIRECT(I5482),test),getMin(B5482,C5482,INDIRECT(J$2),INDIRECT(I5482),test))</f>
        <v>89.888888888888886</v>
      </c>
      <c r="E5482" s="5">
        <f ca="1">IF(getQuality(B5482)&lt;4,getOtherMax(B5482,C5482,INDIRECT(J$2),INDIRECT(I5482),test),getMax(B5482,C5482,INDIRECT(J$2),INDIRECT(I5482),test))</f>
        <v>100</v>
      </c>
      <c r="F5482" s="1" t="str">
        <f t="shared" si="344"/>
        <v>50</v>
      </c>
      <c r="G5482" s="1" t="str">
        <f t="shared" ca="1" si="346"/>
        <v/>
      </c>
      <c r="I5482" s="1" t="str">
        <f t="shared" si="343"/>
        <v>威尔新数值1.06.xlsm!suitPower</v>
      </c>
    </row>
    <row r="5483" spans="1:9" x14ac:dyDescent="0.15">
      <c r="A5483" s="1">
        <v>5482</v>
      </c>
      <c r="B5483" s="1">
        <v>204091406</v>
      </c>
      <c r="C5483" s="1">
        <f t="shared" si="345"/>
        <v>17</v>
      </c>
      <c r="D5483" s="5">
        <f ca="1">IF(getQuality(B5483)&lt;4,getOtherMin(B5483,C5483,INDIRECT(J$2),INDIRECT(I5483),test),getMin(B5483,C5483,INDIRECT(J$2),INDIRECT(I5483),test))</f>
        <v>89.888888888888886</v>
      </c>
      <c r="E5483" s="5">
        <f ca="1">IF(getQuality(B5483)&lt;4,getOtherMax(B5483,C5483,INDIRECT(J$2),INDIRECT(I5483),test),getMax(B5483,C5483,INDIRECT(J$2),INDIRECT(I5483),test))</f>
        <v>100</v>
      </c>
      <c r="F5483" s="1" t="str">
        <f t="shared" si="344"/>
        <v>50</v>
      </c>
      <c r="G5483" s="1" t="str">
        <f t="shared" ca="1" si="346"/>
        <v/>
      </c>
      <c r="I5483" s="1" t="str">
        <f t="shared" si="343"/>
        <v>威尔新数值1.06.xlsm!suitPower</v>
      </c>
    </row>
    <row r="5484" spans="1:9" x14ac:dyDescent="0.15">
      <c r="A5484" s="1">
        <v>5483</v>
      </c>
      <c r="B5484" s="1">
        <v>204091406</v>
      </c>
      <c r="C5484" s="1">
        <f t="shared" si="345"/>
        <v>18</v>
      </c>
      <c r="D5484" s="5">
        <f ca="1">IF(getQuality(B5484)&lt;4,getOtherMin(B5484,C5484,INDIRECT(J$2),INDIRECT(I5484),test),getMin(B5484,C5484,INDIRECT(J$2),INDIRECT(I5484),test))</f>
        <v>89.888888888888886</v>
      </c>
      <c r="E5484" s="5">
        <f ca="1">IF(getQuality(B5484)&lt;4,getOtherMax(B5484,C5484,INDIRECT(J$2),INDIRECT(I5484),test),getMax(B5484,C5484,INDIRECT(J$2),INDIRECT(I5484),test))</f>
        <v>100</v>
      </c>
      <c r="F5484" s="1" t="str">
        <f t="shared" si="344"/>
        <v>50</v>
      </c>
      <c r="G5484" s="1" t="str">
        <f t="shared" ca="1" si="346"/>
        <v/>
      </c>
      <c r="I5484" s="1" t="str">
        <f t="shared" si="343"/>
        <v>威尔新数值1.06.xlsm!suitPower</v>
      </c>
    </row>
    <row r="5485" spans="1:9" x14ac:dyDescent="0.15">
      <c r="A5485" s="1">
        <v>5484</v>
      </c>
      <c r="B5485" s="1">
        <v>204091406</v>
      </c>
      <c r="C5485" s="1">
        <f t="shared" si="345"/>
        <v>19</v>
      </c>
      <c r="D5485" s="5">
        <f ca="1">IF(getQuality(B5485)&lt;4,getOtherMin(B5485,C5485,INDIRECT(J$2),INDIRECT(I5485),test),getMin(B5485,C5485,INDIRECT(J$2),INDIRECT(I5485),test))</f>
        <v>89.888888888888886</v>
      </c>
      <c r="E5485" s="5">
        <f ca="1">IF(getQuality(B5485)&lt;4,getOtherMax(B5485,C5485,INDIRECT(J$2),INDIRECT(I5485),test),getMax(B5485,C5485,INDIRECT(J$2),INDIRECT(I5485),test))</f>
        <v>100</v>
      </c>
      <c r="F5485" s="1" t="str">
        <f t="shared" si="344"/>
        <v>50</v>
      </c>
      <c r="G5485" s="1" t="str">
        <f t="shared" ca="1" si="346"/>
        <v/>
      </c>
      <c r="I5485" s="1" t="str">
        <f t="shared" si="343"/>
        <v>威尔新数值1.06.xlsm!suitPower</v>
      </c>
    </row>
    <row r="5486" spans="1:9" x14ac:dyDescent="0.15">
      <c r="A5486" s="1">
        <v>5485</v>
      </c>
      <c r="B5486" s="1">
        <v>204091406</v>
      </c>
      <c r="C5486" s="1">
        <f t="shared" si="345"/>
        <v>20</v>
      </c>
      <c r="D5486" s="5">
        <f ca="1">IF(getQuality(B5486)&lt;4,getOtherMin(B5486,C5486,INDIRECT(J$2),INDIRECT(I5486),test),getMin(B5486,C5486,INDIRECT(J$2),INDIRECT(I5486),test))</f>
        <v>89.888888888888886</v>
      </c>
      <c r="E5486" s="5">
        <f ca="1">IF(getQuality(B5486)&lt;4,getOtherMax(B5486,C5486,INDIRECT(J$2),INDIRECT(I5486),test),getMax(B5486,C5486,INDIRECT(J$2),INDIRECT(I5486),test))</f>
        <v>100</v>
      </c>
      <c r="F5486" s="1" t="str">
        <f t="shared" si="344"/>
        <v>50</v>
      </c>
      <c r="G5486" s="1" t="str">
        <f t="shared" ca="1" si="346"/>
        <v/>
      </c>
      <c r="I5486" s="1" t="str">
        <f t="shared" si="343"/>
        <v>威尔新数值1.06.xlsm!suitPower</v>
      </c>
    </row>
    <row r="5487" spans="1:9" x14ac:dyDescent="0.15">
      <c r="A5487" s="1">
        <v>5486</v>
      </c>
      <c r="B5487" s="1">
        <v>204091406</v>
      </c>
      <c r="C5487" s="1">
        <f t="shared" si="345"/>
        <v>21</v>
      </c>
      <c r="D5487" s="5">
        <f ca="1">IF(getQuality(B5487)&lt;4,getOtherMin(B5487,C5487,INDIRECT(J$2),INDIRECT(I5487),test),getMin(B5487,C5487,INDIRECT(J$2),INDIRECT(I5487),test))</f>
        <v>89.888888888888886</v>
      </c>
      <c r="E5487" s="5">
        <f ca="1">IF(getQuality(B5487)&lt;4,getOtherMax(B5487,C5487,INDIRECT(J$2),INDIRECT(I5487),test),getMax(B5487,C5487,INDIRECT(J$2),INDIRECT(I5487),test))</f>
        <v>100</v>
      </c>
      <c r="F5487" s="1" t="str">
        <f t="shared" si="344"/>
        <v>50</v>
      </c>
      <c r="G5487" s="1" t="str">
        <f t="shared" ca="1" si="346"/>
        <v/>
      </c>
      <c r="I5487" s="1" t="str">
        <f t="shared" si="343"/>
        <v>威尔新数值1.06.xlsm!suitPower</v>
      </c>
    </row>
    <row r="5488" spans="1:9" x14ac:dyDescent="0.15">
      <c r="A5488" s="1">
        <v>5487</v>
      </c>
      <c r="B5488" s="1">
        <v>204091406</v>
      </c>
      <c r="C5488" s="1">
        <f t="shared" si="345"/>
        <v>22</v>
      </c>
      <c r="D5488" s="5">
        <f ca="1">IF(getQuality(B5488)&lt;4,getOtherMin(B5488,C5488,INDIRECT(J$2),INDIRECT(I5488),test),getMin(B5488,C5488,INDIRECT(J$2),INDIRECT(I5488),test))</f>
        <v>89.888888888888886</v>
      </c>
      <c r="E5488" s="5">
        <f ca="1">IF(getQuality(B5488)&lt;4,getOtherMax(B5488,C5488,INDIRECT(J$2),INDIRECT(I5488),test),getMax(B5488,C5488,INDIRECT(J$2),INDIRECT(I5488),test))</f>
        <v>100</v>
      </c>
      <c r="F5488" s="1" t="str">
        <f t="shared" si="344"/>
        <v>50</v>
      </c>
      <c r="G5488" s="1" t="str">
        <f t="shared" ca="1" si="346"/>
        <v/>
      </c>
      <c r="I5488" s="1" t="str">
        <f t="shared" si="343"/>
        <v>威尔新数值1.06.xlsm!suitPower</v>
      </c>
    </row>
    <row r="5489" spans="1:9" x14ac:dyDescent="0.15">
      <c r="A5489" s="1">
        <v>5488</v>
      </c>
      <c r="B5489" s="1">
        <v>204091406</v>
      </c>
      <c r="C5489" s="1">
        <f t="shared" si="345"/>
        <v>23</v>
      </c>
      <c r="D5489" s="5">
        <f ca="1">IF(getQuality(B5489)&lt;4,getOtherMin(B5489,C5489,INDIRECT(J$2),INDIRECT(I5489),test),getMin(B5489,C5489,INDIRECT(J$2),INDIRECT(I5489),test))</f>
        <v>134.33333333333334</v>
      </c>
      <c r="E5489" s="5">
        <f ca="1">IF(getQuality(B5489)&lt;4,getOtherMax(B5489,C5489,INDIRECT(J$2),INDIRECT(I5489),test),getMax(B5489,C5489,INDIRECT(J$2),INDIRECT(I5489),test))</f>
        <v>150</v>
      </c>
      <c r="F5489" s="1" t="str">
        <f t="shared" si="344"/>
        <v>50</v>
      </c>
      <c r="G5489" s="1" t="str">
        <f t="shared" ca="1" si="346"/>
        <v/>
      </c>
      <c r="I5489" s="1" t="str">
        <f t="shared" si="343"/>
        <v>威尔新数值1.06.xlsm!suitPower</v>
      </c>
    </row>
    <row r="5490" spans="1:9" x14ac:dyDescent="0.15">
      <c r="A5490" s="1">
        <v>5489</v>
      </c>
      <c r="B5490" s="1">
        <v>304091506</v>
      </c>
      <c r="C5490" s="1">
        <f t="shared" si="345"/>
        <v>1</v>
      </c>
      <c r="D5490" s="5">
        <f ca="1">IF(getQuality(B5490)&lt;4,getOtherMin(B5490,C5490,INDIRECT(J$2),INDIRECT(I5490),test),getMin(B5490,C5490,INDIRECT(J$2),INDIRECT(I5490),test))</f>
        <v>869.97777777777776</v>
      </c>
      <c r="E5490" s="5">
        <f ca="1">IF(getQuality(B5490)&lt;4,getOtherMax(B5490,C5490,INDIRECT(J$2),INDIRECT(I5490),test),getMax(B5490,C5490,INDIRECT(J$2),INDIRECT(I5490),test))</f>
        <v>1034.8</v>
      </c>
      <c r="F5490" s="1" t="str">
        <f t="shared" si="344"/>
        <v>50</v>
      </c>
      <c r="G5490" s="1" t="str">
        <f t="shared" ca="1" si="346"/>
        <v/>
      </c>
      <c r="I5490" s="1" t="str">
        <f t="shared" si="343"/>
        <v>威尔新数值1.06.xlsm!suitPower</v>
      </c>
    </row>
    <row r="5491" spans="1:9" x14ac:dyDescent="0.15">
      <c r="A5491" s="1">
        <v>5490</v>
      </c>
      <c r="B5491" s="1">
        <v>304091506</v>
      </c>
      <c r="C5491" s="1">
        <f t="shared" si="345"/>
        <v>2</v>
      </c>
      <c r="D5491" s="5">
        <f ca="1">IF(getQuality(B5491)&lt;4,getOtherMin(B5491,C5491,INDIRECT(J$2),INDIRECT(I5491),test),getMin(B5491,C5491,INDIRECT(J$2),INDIRECT(I5491),test))</f>
        <v>209.88888888888889</v>
      </c>
      <c r="E5491" s="5">
        <f ca="1">IF(getQuality(B5491)&lt;4,getOtherMax(B5491,C5491,INDIRECT(J$2),INDIRECT(I5491),test),getMax(B5491,C5491,INDIRECT(J$2),INDIRECT(I5491),test))</f>
        <v>248.75</v>
      </c>
      <c r="F5491" s="1" t="str">
        <f t="shared" si="344"/>
        <v>50</v>
      </c>
      <c r="G5491" s="1" t="str">
        <f t="shared" ca="1" si="346"/>
        <v/>
      </c>
      <c r="I5491" s="1" t="str">
        <f t="shared" si="343"/>
        <v>威尔新数值1.06.xlsm!suitPower</v>
      </c>
    </row>
    <row r="5492" spans="1:9" x14ac:dyDescent="0.15">
      <c r="A5492" s="1">
        <v>5491</v>
      </c>
      <c r="B5492" s="1">
        <v>304091506</v>
      </c>
      <c r="C5492" s="1">
        <f t="shared" si="345"/>
        <v>4</v>
      </c>
      <c r="D5492" s="5">
        <f ca="1">IF(getQuality(B5492)&lt;4,getOtherMin(B5492,C5492,INDIRECT(J$2),INDIRECT(I5492),test),getMin(B5492,C5492,INDIRECT(J$2),INDIRECT(I5492),test))</f>
        <v>234.33333333333334</v>
      </c>
      <c r="E5492" s="5">
        <f ca="1">IF(getQuality(B5492)&lt;4,getOtherMax(B5492,C5492,INDIRECT(J$2),INDIRECT(I5492),test),getMax(B5492,C5492,INDIRECT(J$2),INDIRECT(I5492),test))</f>
        <v>262.5</v>
      </c>
      <c r="F5492" s="1" t="str">
        <f t="shared" si="344"/>
        <v>50</v>
      </c>
      <c r="G5492" s="1" t="str">
        <f t="shared" ca="1" si="346"/>
        <v/>
      </c>
      <c r="I5492" s="1" t="str">
        <f t="shared" si="343"/>
        <v>威尔新数值1.06.xlsm!suitPower</v>
      </c>
    </row>
    <row r="5493" spans="1:9" x14ac:dyDescent="0.15">
      <c r="A5493" s="1">
        <v>5492</v>
      </c>
      <c r="B5493" s="1">
        <v>304091506</v>
      </c>
      <c r="C5493" s="1">
        <f t="shared" si="345"/>
        <v>6</v>
      </c>
      <c r="D5493" s="5">
        <f ca="1">IF(getQuality(B5493)&lt;4,getOtherMin(B5493,C5493,INDIRECT(J$2),INDIRECT(I5493),test),getMin(B5493,C5493,INDIRECT(J$2),INDIRECT(I5493),test))</f>
        <v>301</v>
      </c>
      <c r="E5493" s="5">
        <f ca="1">IF(getQuality(B5493)&lt;4,getOtherMax(B5493,C5493,INDIRECT(J$2),INDIRECT(I5493),test),getMax(B5493,C5493,INDIRECT(J$2),INDIRECT(I5493),test))</f>
        <v>337.5</v>
      </c>
      <c r="F5493" s="1" t="str">
        <f t="shared" si="344"/>
        <v>50</v>
      </c>
      <c r="G5493" s="1" t="str">
        <f t="shared" ca="1" si="346"/>
        <v>1</v>
      </c>
      <c r="I5493" s="1" t="str">
        <f t="shared" si="343"/>
        <v>威尔新数值1.06.xlsm!suitPower</v>
      </c>
    </row>
    <row r="5494" spans="1:9" x14ac:dyDescent="0.15">
      <c r="A5494" s="1">
        <v>5493</v>
      </c>
      <c r="B5494" s="1">
        <v>304091506</v>
      </c>
      <c r="C5494" s="1">
        <f t="shared" si="345"/>
        <v>7</v>
      </c>
      <c r="D5494" s="5">
        <f ca="1">IF(getQuality(B5494)&lt;4,getOtherMin(B5494,C5494,INDIRECT(J$2),INDIRECT(I5494),test),getMin(B5494,C5494,INDIRECT(J$2),INDIRECT(I5494),test))</f>
        <v>18.777777777777779</v>
      </c>
      <c r="E5494" s="5">
        <f ca="1">IF(getQuality(B5494)&lt;4,getOtherMax(B5494,C5494,INDIRECT(J$2),INDIRECT(I5494),test),getMax(B5494,C5494,INDIRECT(J$2),INDIRECT(I5494),test))</f>
        <v>20</v>
      </c>
      <c r="F5494" s="1" t="str">
        <f t="shared" si="344"/>
        <v>50</v>
      </c>
      <c r="G5494" s="1" t="str">
        <f t="shared" ca="1" si="346"/>
        <v/>
      </c>
      <c r="I5494" s="1" t="str">
        <f t="shared" si="343"/>
        <v>威尔新数值1.06.xlsm!suitPower</v>
      </c>
    </row>
    <row r="5495" spans="1:9" x14ac:dyDescent="0.15">
      <c r="A5495" s="1">
        <v>5494</v>
      </c>
      <c r="B5495" s="1">
        <v>304091506</v>
      </c>
      <c r="C5495" s="1">
        <f t="shared" si="345"/>
        <v>8</v>
      </c>
      <c r="D5495" s="5">
        <f ca="1">IF(getQuality(B5495)&lt;4,getOtherMin(B5495,C5495,INDIRECT(J$2),INDIRECT(I5495),test),getMin(B5495,C5495,INDIRECT(J$2),INDIRECT(I5495),test))</f>
        <v>67.666666666666671</v>
      </c>
      <c r="E5495" s="5">
        <f ca="1">IF(getQuality(B5495)&lt;4,getOtherMax(B5495,C5495,INDIRECT(J$2),INDIRECT(I5495),test),getMax(B5495,C5495,INDIRECT(J$2),INDIRECT(I5495),test))</f>
        <v>75</v>
      </c>
      <c r="F5495" s="1" t="str">
        <f t="shared" si="344"/>
        <v>50</v>
      </c>
      <c r="G5495" s="1" t="str">
        <f t="shared" ca="1" si="346"/>
        <v/>
      </c>
      <c r="I5495" s="1" t="str">
        <f t="shared" si="343"/>
        <v>威尔新数值1.06.xlsm!suitPower</v>
      </c>
    </row>
    <row r="5496" spans="1:9" x14ac:dyDescent="0.15">
      <c r="A5496" s="1">
        <v>5495</v>
      </c>
      <c r="B5496" s="1">
        <v>304091506</v>
      </c>
      <c r="C5496" s="1">
        <f t="shared" si="345"/>
        <v>16</v>
      </c>
      <c r="D5496" s="5">
        <f ca="1">IF(getQuality(B5496)&lt;4,getOtherMin(B5496,C5496,INDIRECT(J$2),INDIRECT(I5496),test),getMin(B5496,C5496,INDIRECT(J$2),INDIRECT(I5496),test))</f>
        <v>89.888888888888886</v>
      </c>
      <c r="E5496" s="5">
        <f ca="1">IF(getQuality(B5496)&lt;4,getOtherMax(B5496,C5496,INDIRECT(J$2),INDIRECT(I5496),test),getMax(B5496,C5496,INDIRECT(J$2),INDIRECT(I5496),test))</f>
        <v>100</v>
      </c>
      <c r="F5496" s="1" t="str">
        <f t="shared" si="344"/>
        <v>50</v>
      </c>
      <c r="G5496" s="1" t="str">
        <f t="shared" ca="1" si="346"/>
        <v/>
      </c>
      <c r="I5496" s="1" t="str">
        <f t="shared" si="343"/>
        <v>威尔新数值1.06.xlsm!suitPower</v>
      </c>
    </row>
    <row r="5497" spans="1:9" x14ac:dyDescent="0.15">
      <c r="A5497" s="1">
        <v>5496</v>
      </c>
      <c r="B5497" s="1">
        <v>304091506</v>
      </c>
      <c r="C5497" s="1">
        <f t="shared" si="345"/>
        <v>17</v>
      </c>
      <c r="D5497" s="5">
        <f ca="1">IF(getQuality(B5497)&lt;4,getOtherMin(B5497,C5497,INDIRECT(J$2),INDIRECT(I5497),test),getMin(B5497,C5497,INDIRECT(J$2),INDIRECT(I5497),test))</f>
        <v>89.888888888888886</v>
      </c>
      <c r="E5497" s="5">
        <f ca="1">IF(getQuality(B5497)&lt;4,getOtherMax(B5497,C5497,INDIRECT(J$2),INDIRECT(I5497),test),getMax(B5497,C5497,INDIRECT(J$2),INDIRECT(I5497),test))</f>
        <v>100</v>
      </c>
      <c r="F5497" s="1" t="str">
        <f t="shared" si="344"/>
        <v>50</v>
      </c>
      <c r="G5497" s="1" t="str">
        <f t="shared" ca="1" si="346"/>
        <v/>
      </c>
      <c r="I5497" s="1" t="str">
        <f t="shared" si="343"/>
        <v>威尔新数值1.06.xlsm!suitPower</v>
      </c>
    </row>
    <row r="5498" spans="1:9" x14ac:dyDescent="0.15">
      <c r="A5498" s="1">
        <v>5497</v>
      </c>
      <c r="B5498" s="1">
        <v>304091506</v>
      </c>
      <c r="C5498" s="1">
        <f t="shared" si="345"/>
        <v>18</v>
      </c>
      <c r="D5498" s="5">
        <f ca="1">IF(getQuality(B5498)&lt;4,getOtherMin(B5498,C5498,INDIRECT(J$2),INDIRECT(I5498),test),getMin(B5498,C5498,INDIRECT(J$2),INDIRECT(I5498),test))</f>
        <v>89.888888888888886</v>
      </c>
      <c r="E5498" s="5">
        <f ca="1">IF(getQuality(B5498)&lt;4,getOtherMax(B5498,C5498,INDIRECT(J$2),INDIRECT(I5498),test),getMax(B5498,C5498,INDIRECT(J$2),INDIRECT(I5498),test))</f>
        <v>100</v>
      </c>
      <c r="F5498" s="1" t="str">
        <f t="shared" si="344"/>
        <v>50</v>
      </c>
      <c r="G5498" s="1" t="str">
        <f t="shared" ca="1" si="346"/>
        <v/>
      </c>
      <c r="I5498" s="1" t="str">
        <f t="shared" si="343"/>
        <v>威尔新数值1.06.xlsm!suitPower</v>
      </c>
    </row>
    <row r="5499" spans="1:9" x14ac:dyDescent="0.15">
      <c r="A5499" s="1">
        <v>5498</v>
      </c>
      <c r="B5499" s="1">
        <v>304091506</v>
      </c>
      <c r="C5499" s="1">
        <f t="shared" si="345"/>
        <v>19</v>
      </c>
      <c r="D5499" s="5">
        <f ca="1">IF(getQuality(B5499)&lt;4,getOtherMin(B5499,C5499,INDIRECT(J$2),INDIRECT(I5499),test),getMin(B5499,C5499,INDIRECT(J$2),INDIRECT(I5499),test))</f>
        <v>89.888888888888886</v>
      </c>
      <c r="E5499" s="5">
        <f ca="1">IF(getQuality(B5499)&lt;4,getOtherMax(B5499,C5499,INDIRECT(J$2),INDIRECT(I5499),test),getMax(B5499,C5499,INDIRECT(J$2),INDIRECT(I5499),test))</f>
        <v>100</v>
      </c>
      <c r="F5499" s="1" t="str">
        <f t="shared" si="344"/>
        <v>50</v>
      </c>
      <c r="G5499" s="1" t="str">
        <f t="shared" ca="1" si="346"/>
        <v/>
      </c>
      <c r="I5499" s="1" t="str">
        <f t="shared" si="343"/>
        <v>威尔新数值1.06.xlsm!suitPower</v>
      </c>
    </row>
    <row r="5500" spans="1:9" x14ac:dyDescent="0.15">
      <c r="A5500" s="1">
        <v>5499</v>
      </c>
      <c r="B5500" s="1">
        <v>304091506</v>
      </c>
      <c r="C5500" s="1">
        <f t="shared" si="345"/>
        <v>20</v>
      </c>
      <c r="D5500" s="5">
        <f ca="1">IF(getQuality(B5500)&lt;4,getOtherMin(B5500,C5500,INDIRECT(J$2),INDIRECT(I5500),test),getMin(B5500,C5500,INDIRECT(J$2),INDIRECT(I5500),test))</f>
        <v>89.888888888888886</v>
      </c>
      <c r="E5500" s="5">
        <f ca="1">IF(getQuality(B5500)&lt;4,getOtherMax(B5500,C5500,INDIRECT(J$2),INDIRECT(I5500),test),getMax(B5500,C5500,INDIRECT(J$2),INDIRECT(I5500),test))</f>
        <v>100</v>
      </c>
      <c r="F5500" s="1" t="str">
        <f t="shared" si="344"/>
        <v>50</v>
      </c>
      <c r="G5500" s="1" t="str">
        <f t="shared" ca="1" si="346"/>
        <v/>
      </c>
      <c r="I5500" s="1" t="str">
        <f t="shared" si="343"/>
        <v>威尔新数值1.06.xlsm!suitPower</v>
      </c>
    </row>
    <row r="5501" spans="1:9" x14ac:dyDescent="0.15">
      <c r="A5501" s="1">
        <v>5500</v>
      </c>
      <c r="B5501" s="1">
        <v>304091506</v>
      </c>
      <c r="C5501" s="1">
        <f t="shared" si="345"/>
        <v>21</v>
      </c>
      <c r="D5501" s="5">
        <f ca="1">IF(getQuality(B5501)&lt;4,getOtherMin(B5501,C5501,INDIRECT(J$2),INDIRECT(I5501),test),getMin(B5501,C5501,INDIRECT(J$2),INDIRECT(I5501),test))</f>
        <v>89.888888888888886</v>
      </c>
      <c r="E5501" s="5">
        <f ca="1">IF(getQuality(B5501)&lt;4,getOtherMax(B5501,C5501,INDIRECT(J$2),INDIRECT(I5501),test),getMax(B5501,C5501,INDIRECT(J$2),INDIRECT(I5501),test))</f>
        <v>100</v>
      </c>
      <c r="F5501" s="1" t="str">
        <f t="shared" si="344"/>
        <v>50</v>
      </c>
      <c r="G5501" s="1" t="str">
        <f t="shared" ca="1" si="346"/>
        <v/>
      </c>
      <c r="I5501" s="1" t="str">
        <f t="shared" si="343"/>
        <v>威尔新数值1.06.xlsm!suitPower</v>
      </c>
    </row>
    <row r="5502" spans="1:9" x14ac:dyDescent="0.15">
      <c r="A5502" s="1">
        <v>5501</v>
      </c>
      <c r="B5502" s="1">
        <v>304091506</v>
      </c>
      <c r="C5502" s="1">
        <f t="shared" si="345"/>
        <v>22</v>
      </c>
      <c r="D5502" s="5">
        <f ca="1">IF(getQuality(B5502)&lt;4,getOtherMin(B5502,C5502,INDIRECT(J$2),INDIRECT(I5502),test),getMin(B5502,C5502,INDIRECT(J$2),INDIRECT(I5502),test))</f>
        <v>89.888888888888886</v>
      </c>
      <c r="E5502" s="5">
        <f ca="1">IF(getQuality(B5502)&lt;4,getOtherMax(B5502,C5502,INDIRECT(J$2),INDIRECT(I5502),test),getMax(B5502,C5502,INDIRECT(J$2),INDIRECT(I5502),test))</f>
        <v>100</v>
      </c>
      <c r="F5502" s="1" t="str">
        <f t="shared" si="344"/>
        <v>50</v>
      </c>
      <c r="G5502" s="1" t="str">
        <f t="shared" ca="1" si="346"/>
        <v/>
      </c>
      <c r="I5502" s="1" t="str">
        <f t="shared" si="343"/>
        <v>威尔新数值1.06.xlsm!suitPower</v>
      </c>
    </row>
    <row r="5503" spans="1:9" x14ac:dyDescent="0.15">
      <c r="A5503" s="1">
        <v>5502</v>
      </c>
      <c r="B5503" s="1">
        <v>304091506</v>
      </c>
      <c r="C5503" s="1">
        <f t="shared" si="345"/>
        <v>23</v>
      </c>
      <c r="D5503" s="5">
        <f ca="1">IF(getQuality(B5503)&lt;4,getOtherMin(B5503,C5503,INDIRECT(J$2),INDIRECT(I5503),test),getMin(B5503,C5503,INDIRECT(J$2),INDIRECT(I5503),test))</f>
        <v>134.33333333333334</v>
      </c>
      <c r="E5503" s="5">
        <f ca="1">IF(getQuality(B5503)&lt;4,getOtherMax(B5503,C5503,INDIRECT(J$2),INDIRECT(I5503),test),getMax(B5503,C5503,INDIRECT(J$2),INDIRECT(I5503),test))</f>
        <v>150</v>
      </c>
      <c r="F5503" s="1" t="str">
        <f t="shared" si="344"/>
        <v>50</v>
      </c>
      <c r="G5503" s="1" t="str">
        <f t="shared" ca="1" si="346"/>
        <v/>
      </c>
      <c r="I5503" s="1" t="str">
        <f t="shared" si="343"/>
        <v>威尔新数值1.06.xlsm!suitPower</v>
      </c>
    </row>
    <row r="5504" spans="1:9" x14ac:dyDescent="0.15">
      <c r="A5504" s="1">
        <v>5503</v>
      </c>
      <c r="B5504" s="1">
        <v>104090707</v>
      </c>
      <c r="C5504" s="1">
        <f t="shared" si="345"/>
        <v>3</v>
      </c>
      <c r="D5504" s="5">
        <f ca="1">IF(getQuality(B5504)&lt;4,getOtherMin(B5504,C5504,INDIRECT(J$2),INDIRECT(I5504),test),getMin(B5504,C5504,INDIRECT(J$2),INDIRECT(I5504),test))</f>
        <v>329.28048273180752</v>
      </c>
      <c r="E5504" s="5">
        <f ca="1">IF(getQuality(B5504)&lt;4,getOtherMax(B5504,C5504,INDIRECT(J$2),INDIRECT(I5504),test),getMax(B5504,C5504,INDIRECT(J$2),INDIRECT(I5504),test))</f>
        <v>390.92443123182665</v>
      </c>
      <c r="F5504" s="1" t="str">
        <f t="shared" si="344"/>
        <v>50</v>
      </c>
      <c r="G5504" s="1" t="str">
        <f t="shared" ca="1" si="346"/>
        <v>1</v>
      </c>
      <c r="I5504" s="1" t="str">
        <f t="shared" si="343"/>
        <v>威尔新数值1.06.xlsm!suitPower</v>
      </c>
    </row>
    <row r="5505" spans="1:9" x14ac:dyDescent="0.15">
      <c r="A5505" s="1">
        <v>5504</v>
      </c>
      <c r="B5505" s="1">
        <v>104090707</v>
      </c>
      <c r="C5505" s="1">
        <f t="shared" si="345"/>
        <v>5</v>
      </c>
      <c r="D5505" s="5">
        <f ca="1">IF(getQuality(B5505)&lt;4,getOtherMin(B5505,C5505,INDIRECT(J$2),INDIRECT(I5505),test),getMin(B5505,C5505,INDIRECT(J$2),INDIRECT(I5505),test))</f>
        <v>84.555555555555557</v>
      </c>
      <c r="E5505" s="5">
        <f ca="1">IF(getQuality(B5505)&lt;4,getOtherMax(B5505,C5505,INDIRECT(J$2),INDIRECT(I5505),test),getMax(B5505,C5505,INDIRECT(J$2),INDIRECT(I5505),test))</f>
        <v>99.5</v>
      </c>
      <c r="F5505" s="1" t="str">
        <f t="shared" si="344"/>
        <v>50</v>
      </c>
      <c r="G5505" s="1" t="str">
        <f t="shared" ca="1" si="346"/>
        <v/>
      </c>
      <c r="I5505" s="1" t="str">
        <f t="shared" si="343"/>
        <v>威尔新数值1.06.xlsm!suitPower</v>
      </c>
    </row>
    <row r="5506" spans="1:9" x14ac:dyDescent="0.15">
      <c r="A5506" s="1">
        <v>5505</v>
      </c>
      <c r="B5506" s="1">
        <v>104090707</v>
      </c>
      <c r="C5506" s="1">
        <f t="shared" si="345"/>
        <v>7</v>
      </c>
      <c r="D5506" s="5">
        <f ca="1">IF(getQuality(B5506)&lt;4,getOtherMin(B5506,C5506,INDIRECT(J$2),INDIRECT(I5506),test),getMin(B5506,C5506,INDIRECT(J$2),INDIRECT(I5506),test))</f>
        <v>45.444444444444443</v>
      </c>
      <c r="E5506" s="5">
        <f ca="1">IF(getQuality(B5506)&lt;4,getOtherMax(B5506,C5506,INDIRECT(J$2),INDIRECT(I5506),test),getMax(B5506,C5506,INDIRECT(J$2),INDIRECT(I5506),test))</f>
        <v>50</v>
      </c>
      <c r="F5506" s="1" t="str">
        <f t="shared" si="344"/>
        <v>50</v>
      </c>
      <c r="G5506" s="1" t="str">
        <f t="shared" ca="1" si="346"/>
        <v/>
      </c>
      <c r="I5506" s="1" t="str">
        <f t="shared" ref="I5506:I5522" si="347">IF(C5506&lt;100,VLOOKUP(C5506,test,3,FALSE),VLOOKUP(C5506,test1,3,FALSE))</f>
        <v>威尔新数值1.06.xlsm!suitPower</v>
      </c>
    </row>
    <row r="5507" spans="1:9" x14ac:dyDescent="0.15">
      <c r="A5507" s="1">
        <v>5506</v>
      </c>
      <c r="B5507" s="1">
        <v>104090707</v>
      </c>
      <c r="C5507" s="1">
        <f t="shared" si="345"/>
        <v>8</v>
      </c>
      <c r="D5507" s="5">
        <f ca="1">IF(getQuality(B5507)&lt;4,getOtherMin(B5507,C5507,INDIRECT(J$2),INDIRECT(I5507),test),getMin(B5507,C5507,INDIRECT(J$2),INDIRECT(I5507),test))</f>
        <v>134.33333333333334</v>
      </c>
      <c r="E5507" s="5">
        <f ca="1">IF(getQuality(B5507)&lt;4,getOtherMax(B5507,C5507,INDIRECT(J$2),INDIRECT(I5507),test),getMax(B5507,C5507,INDIRECT(J$2),INDIRECT(I5507),test))</f>
        <v>150</v>
      </c>
      <c r="F5507" s="1" t="str">
        <f t="shared" ref="F5507:F5522" si="348">getper(B5507,C5507)</f>
        <v>50</v>
      </c>
      <c r="G5507" s="1" t="str">
        <f t="shared" ca="1" si="346"/>
        <v/>
      </c>
      <c r="I5507" s="1" t="str">
        <f t="shared" si="347"/>
        <v>威尔新数值1.06.xlsm!suitPower</v>
      </c>
    </row>
    <row r="5508" spans="1:9" x14ac:dyDescent="0.15">
      <c r="A5508" s="1">
        <v>5507</v>
      </c>
      <c r="B5508" s="1">
        <v>104090707</v>
      </c>
      <c r="C5508" s="1">
        <f t="shared" si="345"/>
        <v>9</v>
      </c>
      <c r="D5508" s="5">
        <f ca="1">IF(getQuality(B5508)&lt;4,getOtherMin(B5508,C5508,INDIRECT(J$2),INDIRECT(I5508),test),getMin(B5508,C5508,INDIRECT(J$2),INDIRECT(I5508),test))</f>
        <v>206.91801914368153</v>
      </c>
      <c r="E5508" s="5">
        <f ca="1">IF(getQuality(B5508)&lt;4,getOtherMax(B5508,C5508,INDIRECT(J$2),INDIRECT(I5508),test),getMax(B5508,C5508,INDIRECT(J$2),INDIRECT(I5508),test))</f>
        <v>245.21221561591332</v>
      </c>
      <c r="F5508" s="1" t="str">
        <f t="shared" si="348"/>
        <v>50</v>
      </c>
      <c r="G5508" s="1" t="str">
        <f t="shared" ca="1" si="346"/>
        <v/>
      </c>
      <c r="I5508" s="1" t="str">
        <f t="shared" si="347"/>
        <v>威尔新数值1.06.xlsm!suitPower</v>
      </c>
    </row>
    <row r="5509" spans="1:9" x14ac:dyDescent="0.15">
      <c r="A5509" s="1">
        <v>5508</v>
      </c>
      <c r="B5509" s="1">
        <v>104090707</v>
      </c>
      <c r="C5509" s="1">
        <f t="shared" si="345"/>
        <v>10</v>
      </c>
      <c r="D5509" s="5">
        <f ca="1">IF(getQuality(B5509)&lt;4,getOtherMin(B5509,C5509,INDIRECT(J$2),INDIRECT(I5509),test),getMin(B5509,C5509,INDIRECT(J$2),INDIRECT(I5509),test))</f>
        <v>248.10162297241817</v>
      </c>
      <c r="E5509" s="5">
        <f ca="1">IF(getQuality(B5509)&lt;4,getOtherMax(B5509,C5509,INDIRECT(J$2),INDIRECT(I5509),test),getMax(B5509,C5509,INDIRECT(J$2),INDIRECT(I5509),test))</f>
        <v>294.25465873909639</v>
      </c>
      <c r="F5509" s="1" t="str">
        <f t="shared" si="348"/>
        <v>50</v>
      </c>
      <c r="G5509" s="1" t="str">
        <f t="shared" ca="1" si="346"/>
        <v/>
      </c>
      <c r="I5509" s="1" t="str">
        <f t="shared" si="347"/>
        <v>威尔新数值1.06.xlsm!suitPower</v>
      </c>
    </row>
    <row r="5510" spans="1:9" x14ac:dyDescent="0.15">
      <c r="A5510" s="1">
        <v>5509</v>
      </c>
      <c r="B5510" s="1">
        <v>104090707</v>
      </c>
      <c r="C5510" s="1">
        <f t="shared" si="345"/>
        <v>11</v>
      </c>
      <c r="D5510" s="5">
        <f ca="1">IF(getQuality(B5510)&lt;4,getOtherMin(B5510,C5510,INDIRECT(J$2),INDIRECT(I5510),test),getMin(B5510,C5510,INDIRECT(J$2),INDIRECT(I5510),test))</f>
        <v>206.91801914368153</v>
      </c>
      <c r="E5510" s="5">
        <f ca="1">IF(getQuality(B5510)&lt;4,getOtherMax(B5510,C5510,INDIRECT(J$2),INDIRECT(I5510),test),getMax(B5510,C5510,INDIRECT(J$2),INDIRECT(I5510),test))</f>
        <v>245.21221561591332</v>
      </c>
      <c r="F5510" s="1" t="str">
        <f t="shared" si="348"/>
        <v>50</v>
      </c>
      <c r="G5510" s="1" t="str">
        <f t="shared" ca="1" si="346"/>
        <v/>
      </c>
      <c r="I5510" s="1" t="str">
        <f t="shared" si="347"/>
        <v>威尔新数值1.06.xlsm!suitPower</v>
      </c>
    </row>
    <row r="5511" spans="1:9" x14ac:dyDescent="0.15">
      <c r="A5511" s="1">
        <v>5510</v>
      </c>
      <c r="B5511" s="1">
        <v>104090707</v>
      </c>
      <c r="C5511" s="1">
        <f t="shared" si="345"/>
        <v>12</v>
      </c>
      <c r="D5511" s="5">
        <f ca="1">IF(getQuality(B5511)&lt;4,getOtherMin(B5511,C5511,INDIRECT(J$2),INDIRECT(I5511),test),getMin(B5511,C5511,INDIRECT(J$2),INDIRECT(I5511),test))</f>
        <v>206.91801914368153</v>
      </c>
      <c r="E5511" s="5">
        <f ca="1">IF(getQuality(B5511)&lt;4,getOtherMax(B5511,C5511,INDIRECT(J$2),INDIRECT(I5511),test),getMax(B5511,C5511,INDIRECT(J$2),INDIRECT(I5511),test))</f>
        <v>245.21221561591332</v>
      </c>
      <c r="F5511" s="1" t="str">
        <f t="shared" si="348"/>
        <v>50</v>
      </c>
      <c r="G5511" s="1" t="str">
        <f t="shared" ca="1" si="346"/>
        <v/>
      </c>
      <c r="I5511" s="1" t="str">
        <f t="shared" si="347"/>
        <v>威尔新数值1.06.xlsm!suitPower</v>
      </c>
    </row>
    <row r="5512" spans="1:9" x14ac:dyDescent="0.15">
      <c r="A5512" s="1">
        <v>5511</v>
      </c>
      <c r="B5512" s="1">
        <v>104090707</v>
      </c>
      <c r="C5512" s="1">
        <f t="shared" si="345"/>
        <v>13</v>
      </c>
      <c r="D5512" s="5">
        <f ca="1">IF(getQuality(B5512)&lt;4,getOtherMin(B5512,C5512,INDIRECT(J$2),INDIRECT(I5512),test),getMin(B5512,C5512,INDIRECT(J$2),INDIRECT(I5512),test))</f>
        <v>206.91801914368153</v>
      </c>
      <c r="E5512" s="5">
        <f ca="1">IF(getQuality(B5512)&lt;4,getOtherMax(B5512,C5512,INDIRECT(J$2),INDIRECT(I5512),test),getMax(B5512,C5512,INDIRECT(J$2),INDIRECT(I5512),test))</f>
        <v>245.21221561591332</v>
      </c>
      <c r="F5512" s="1" t="str">
        <f t="shared" si="348"/>
        <v>50</v>
      </c>
      <c r="G5512" s="1" t="str">
        <f t="shared" ca="1" si="346"/>
        <v/>
      </c>
      <c r="I5512" s="1" t="str">
        <f t="shared" si="347"/>
        <v>威尔新数值1.06.xlsm!suitPower</v>
      </c>
    </row>
    <row r="5513" spans="1:9" x14ac:dyDescent="0.15">
      <c r="A5513" s="1">
        <v>5512</v>
      </c>
      <c r="B5513" s="1">
        <v>104090707</v>
      </c>
      <c r="C5513" s="1">
        <f t="shared" si="345"/>
        <v>14</v>
      </c>
      <c r="D5513" s="5">
        <f ca="1">IF(getQuality(B5513)&lt;4,getOtherMin(B5513,C5513,INDIRECT(J$2),INDIRECT(I5513),test),getMin(B5513,C5513,INDIRECT(J$2),INDIRECT(I5513),test))</f>
        <v>206.91801914368153</v>
      </c>
      <c r="E5513" s="5">
        <f ca="1">IF(getQuality(B5513)&lt;4,getOtherMax(B5513,C5513,INDIRECT(J$2),INDIRECT(I5513),test),getMax(B5513,C5513,INDIRECT(J$2),INDIRECT(I5513),test))</f>
        <v>245.21221561591332</v>
      </c>
      <c r="F5513" s="1" t="str">
        <f t="shared" si="348"/>
        <v>50</v>
      </c>
      <c r="G5513" s="1" t="str">
        <f t="shared" ca="1" si="346"/>
        <v/>
      </c>
      <c r="I5513" s="1" t="str">
        <f t="shared" si="347"/>
        <v>威尔新数值1.06.xlsm!suitPower</v>
      </c>
    </row>
    <row r="5514" spans="1:9" x14ac:dyDescent="0.15">
      <c r="A5514" s="1">
        <v>5513</v>
      </c>
      <c r="B5514" s="1">
        <v>104090707</v>
      </c>
      <c r="C5514" s="1">
        <f t="shared" si="345"/>
        <v>15</v>
      </c>
      <c r="D5514" s="5">
        <f ca="1">IF(getQuality(B5514)&lt;4,getOtherMin(B5514,C5514,INDIRECT(J$2),INDIRECT(I5514),test),getMin(B5514,C5514,INDIRECT(J$2),INDIRECT(I5514),test))</f>
        <v>206.91801914368153</v>
      </c>
      <c r="E5514" s="5">
        <f ca="1">IF(getQuality(B5514)&lt;4,getOtherMax(B5514,C5514,INDIRECT(J$2),INDIRECT(I5514),test),getMax(B5514,C5514,INDIRECT(J$2),INDIRECT(I5514),test))</f>
        <v>245.21221561591332</v>
      </c>
      <c r="F5514" s="1" t="str">
        <f t="shared" si="348"/>
        <v>50</v>
      </c>
      <c r="G5514" s="1" t="str">
        <f t="shared" ca="1" si="346"/>
        <v/>
      </c>
      <c r="I5514" s="1" t="str">
        <f t="shared" si="347"/>
        <v>威尔新数值1.06.xlsm!suitPower</v>
      </c>
    </row>
    <row r="5515" spans="1:9" x14ac:dyDescent="0.15">
      <c r="A5515" s="1">
        <v>5514</v>
      </c>
      <c r="B5515" s="1">
        <v>104090707</v>
      </c>
      <c r="C5515" s="1">
        <f t="shared" si="345"/>
        <v>101</v>
      </c>
      <c r="D5515" s="5">
        <f ca="1">IF(getQuality(B5515)&lt;4,getOtherMin(B5515,C5515,INDIRECT(J$2),INDIRECT(I5515),test),getMin(B5515,C5515,INDIRECT(J$2),INDIRECT(I5515),test))</f>
        <v>0.16</v>
      </c>
      <c r="E5515" s="5">
        <f ca="1">IF(getQuality(B5515)&lt;4,getOtherMax(B5515,C5515,INDIRECT(J$2),INDIRECT(I5515),test),getMax(B5515,C5515,INDIRECT(J$2),INDIRECT(I5515),test))</f>
        <v>0.19</v>
      </c>
      <c r="F5515" s="1" t="str">
        <f t="shared" si="348"/>
        <v>50</v>
      </c>
      <c r="G5515" s="1" t="str">
        <f t="shared" ca="1" si="346"/>
        <v/>
      </c>
      <c r="I5515" s="1" t="str">
        <f t="shared" si="347"/>
        <v>威尔新数值1.06.xlsm!circlePer</v>
      </c>
    </row>
    <row r="5516" spans="1:9" x14ac:dyDescent="0.15">
      <c r="A5516" s="1">
        <v>5515</v>
      </c>
      <c r="B5516" s="1">
        <v>104090707</v>
      </c>
      <c r="C5516" s="1">
        <f t="shared" si="345"/>
        <v>102</v>
      </c>
      <c r="D5516" s="5">
        <f ca="1">IF(getQuality(B5516)&lt;4,getOtherMin(B5516,C5516,INDIRECT(J$2),INDIRECT(I5516),test),getMin(B5516,C5516,INDIRECT(J$2),INDIRECT(I5516),test))</f>
        <v>1.4</v>
      </c>
      <c r="E5516" s="5">
        <f ca="1">IF(getQuality(B5516)&lt;4,getOtherMax(B5516,C5516,INDIRECT(J$2),INDIRECT(I5516),test),getMax(B5516,C5516,INDIRECT(J$2),INDIRECT(I5516),test))</f>
        <v>1.8</v>
      </c>
      <c r="F5516" s="1" t="str">
        <f t="shared" si="348"/>
        <v>50</v>
      </c>
      <c r="G5516" s="1" t="str">
        <f t="shared" ca="1" si="346"/>
        <v/>
      </c>
      <c r="I5516" s="1" t="str">
        <f t="shared" si="347"/>
        <v>威尔新数值1.06.xlsm!circleValue</v>
      </c>
    </row>
    <row r="5517" spans="1:9" x14ac:dyDescent="0.15">
      <c r="A5517" s="1">
        <v>5516</v>
      </c>
      <c r="B5517" s="1">
        <v>104090707</v>
      </c>
      <c r="C5517" s="1">
        <f t="shared" si="345"/>
        <v>103</v>
      </c>
      <c r="D5517" s="5">
        <f ca="1">IF(getQuality(B5517)&lt;4,getOtherMin(B5517,C5517,INDIRECT(J$2),INDIRECT(I5517),test),getMin(B5517,C5517,INDIRECT(J$2),INDIRECT(I5517),test))</f>
        <v>0.16</v>
      </c>
      <c r="E5517" s="5">
        <f ca="1">IF(getQuality(B5517)&lt;4,getOtherMax(B5517,C5517,INDIRECT(J$2),INDIRECT(I5517),test),getMax(B5517,C5517,INDIRECT(J$2),INDIRECT(I5517),test))</f>
        <v>0.19</v>
      </c>
      <c r="F5517" s="1" t="str">
        <f t="shared" si="348"/>
        <v>50</v>
      </c>
      <c r="G5517" s="1" t="str">
        <f t="shared" ca="1" si="346"/>
        <v/>
      </c>
      <c r="I5517" s="1" t="str">
        <f t="shared" si="347"/>
        <v>威尔新数值1.06.xlsm!otherDamage</v>
      </c>
    </row>
    <row r="5518" spans="1:9" x14ac:dyDescent="0.15">
      <c r="A5518" s="1">
        <v>5517</v>
      </c>
      <c r="B5518" s="1">
        <v>104090707</v>
      </c>
      <c r="C5518" s="1">
        <f t="shared" si="345"/>
        <v>104</v>
      </c>
      <c r="D5518" s="5">
        <f ca="1">IF(getQuality(B5518)&lt;4,getOtherMin(B5518,C5518,INDIRECT(J$2),INDIRECT(I5518),test),getMin(B5518,C5518,INDIRECT(J$2),INDIRECT(I5518),test))</f>
        <v>0.15</v>
      </c>
      <c r="E5518" s="5">
        <f ca="1">IF(getQuality(B5518)&lt;4,getOtherMax(B5518,C5518,INDIRECT(J$2),INDIRECT(I5518),test),getMax(B5518,C5518,INDIRECT(J$2),INDIRECT(I5518),test))</f>
        <v>0.3</v>
      </c>
      <c r="F5518" s="1" t="str">
        <f t="shared" si="348"/>
        <v>50</v>
      </c>
      <c r="G5518" s="1" t="str">
        <f t="shared" ca="1" si="346"/>
        <v/>
      </c>
      <c r="I5518" s="1" t="str">
        <f t="shared" si="347"/>
        <v>威尔新数值1.06.xlsm!monsterDamage</v>
      </c>
    </row>
    <row r="5519" spans="1:9" x14ac:dyDescent="0.15">
      <c r="A5519" s="1">
        <v>5518</v>
      </c>
      <c r="B5519" s="1">
        <v>104090707</v>
      </c>
      <c r="C5519" s="1">
        <f t="shared" si="345"/>
        <v>105</v>
      </c>
      <c r="D5519" s="5">
        <f ca="1">IF(getQuality(B5519)&lt;4,getOtherMin(B5519,C5519,INDIRECT(J$2),INDIRECT(I5519),test),getMin(B5519,C5519,INDIRECT(J$2),INDIRECT(I5519),test))</f>
        <v>0.15</v>
      </c>
      <c r="E5519" s="5">
        <f ca="1">IF(getQuality(B5519)&lt;4,getOtherMax(B5519,C5519,INDIRECT(J$2),INDIRECT(I5519),test),getMax(B5519,C5519,INDIRECT(J$2),INDIRECT(I5519),test))</f>
        <v>0.3</v>
      </c>
      <c r="F5519" s="1" t="str">
        <f t="shared" si="348"/>
        <v>50</v>
      </c>
      <c r="G5519" s="1" t="str">
        <f t="shared" ca="1" si="346"/>
        <v/>
      </c>
      <c r="I5519" s="1" t="str">
        <f t="shared" si="347"/>
        <v>威尔新数值1.06.xlsm!monsterDamage</v>
      </c>
    </row>
    <row r="5520" spans="1:9" x14ac:dyDescent="0.15">
      <c r="A5520" s="1">
        <v>5519</v>
      </c>
      <c r="B5520" s="1">
        <v>104090707</v>
      </c>
      <c r="C5520" s="1">
        <f t="shared" si="345"/>
        <v>106</v>
      </c>
      <c r="D5520" s="5">
        <f ca="1">IF(getQuality(B5520)&lt;4,getOtherMin(B5520,C5520,INDIRECT(J$2),INDIRECT(I5520),test),getMin(B5520,C5520,INDIRECT(J$2),INDIRECT(I5520),test))</f>
        <v>0.15</v>
      </c>
      <c r="E5520" s="5">
        <f ca="1">IF(getQuality(B5520)&lt;4,getOtherMax(B5520,C5520,INDIRECT(J$2),INDIRECT(I5520),test),getMax(B5520,C5520,INDIRECT(J$2),INDIRECT(I5520),test))</f>
        <v>0.3</v>
      </c>
      <c r="F5520" s="1" t="str">
        <f t="shared" si="348"/>
        <v>50</v>
      </c>
      <c r="G5520" s="1" t="str">
        <f t="shared" ca="1" si="346"/>
        <v/>
      </c>
      <c r="I5520" s="1" t="str">
        <f t="shared" si="347"/>
        <v>威尔新数值1.06.xlsm!monsterDamage</v>
      </c>
    </row>
    <row r="5521" spans="1:9" x14ac:dyDescent="0.15">
      <c r="A5521" s="1">
        <v>5520</v>
      </c>
      <c r="B5521" s="1">
        <v>104090707</v>
      </c>
      <c r="C5521" s="1">
        <f t="shared" si="345"/>
        <v>107</v>
      </c>
      <c r="D5521" s="5">
        <f ca="1">IF(getQuality(B5521)&lt;4,getOtherMin(B5521,C5521,INDIRECT(J$2),INDIRECT(I5521),test),getMin(B5521,C5521,INDIRECT(J$2),INDIRECT(I5521),test))</f>
        <v>0.15</v>
      </c>
      <c r="E5521" s="5">
        <f ca="1">IF(getQuality(B5521)&lt;4,getOtherMax(B5521,C5521,INDIRECT(J$2),INDIRECT(I5521),test),getMax(B5521,C5521,INDIRECT(J$2),INDIRECT(I5521),test))</f>
        <v>0.3</v>
      </c>
      <c r="F5521" s="1" t="str">
        <f t="shared" si="348"/>
        <v>50</v>
      </c>
      <c r="G5521" s="1" t="str">
        <f t="shared" ca="1" si="346"/>
        <v/>
      </c>
      <c r="I5521" s="1" t="str">
        <f t="shared" si="347"/>
        <v>威尔新数值1.06.xlsm!monsterDamage</v>
      </c>
    </row>
    <row r="5522" spans="1:9" x14ac:dyDescent="0.15">
      <c r="A5522" s="1">
        <v>5521</v>
      </c>
      <c r="B5522" s="1">
        <v>104090707</v>
      </c>
      <c r="C5522" s="1">
        <f t="shared" si="345"/>
        <v>108</v>
      </c>
      <c r="D5522" s="5">
        <f ca="1">IF(getQuality(B5522)&lt;4,getOtherMin(B5522,C5522,INDIRECT(J$2),INDIRECT(I5522),test),getMin(B5522,C5522,INDIRECT(J$2),INDIRECT(I5522),test))</f>
        <v>0.15</v>
      </c>
      <c r="E5522" s="5">
        <f ca="1">IF(getQuality(B5522)&lt;4,getOtherMax(B5522,C5522,INDIRECT(J$2),INDIRECT(I5522),test),getMax(B5522,C5522,INDIRECT(J$2),INDIRECT(I5522),test))</f>
        <v>0.3</v>
      </c>
      <c r="F5522" s="1" t="str">
        <f t="shared" si="348"/>
        <v>50</v>
      </c>
      <c r="G5522" s="1" t="str">
        <f t="shared" ca="1" si="346"/>
        <v/>
      </c>
      <c r="I5522" s="1" t="str">
        <f t="shared" si="347"/>
        <v>威尔新数值1.06.xlsm!monsterDamage</v>
      </c>
    </row>
    <row r="5523" spans="1:9" x14ac:dyDescent="0.15">
      <c r="A5523" s="1">
        <v>5522</v>
      </c>
      <c r="B5523" s="1">
        <v>204091407</v>
      </c>
      <c r="C5523" s="1">
        <f t="shared" si="345"/>
        <v>1</v>
      </c>
      <c r="D5523" s="5">
        <f ca="1">IF(getQuality(B5523)&lt;4,getOtherMin(B5523,C5523,INDIRECT(J$2),INDIRECT(I5523),test),getMin(B5523,C5523,INDIRECT(J$2),INDIRECT(I5523),test))</f>
        <v>711.22222222222217</v>
      </c>
      <c r="E5523" s="5">
        <f ca="1">IF(getQuality(B5523)&lt;4,getOtherMax(B5523,C5523,INDIRECT(J$2),INDIRECT(I5523),test),getMax(B5523,C5523,INDIRECT(J$2),INDIRECT(I5523),test))</f>
        <v>845.75</v>
      </c>
      <c r="F5523" s="1" t="str">
        <f t="shared" ref="F5523:F5586" si="349">getper(B5523,C5523)</f>
        <v>50</v>
      </c>
      <c r="G5523" s="1" t="str">
        <f t="shared" ca="1" si="346"/>
        <v/>
      </c>
      <c r="I5523" s="1" t="str">
        <f t="shared" ref="I5523:I5586" si="350">IF(C5523&lt;100,VLOOKUP(C5523,test,3,FALSE),VLOOKUP(C5523,test1,3,FALSE))</f>
        <v>威尔新数值1.06.xlsm!suitPower</v>
      </c>
    </row>
    <row r="5524" spans="1:9" x14ac:dyDescent="0.15">
      <c r="A5524" s="1">
        <v>5523</v>
      </c>
      <c r="B5524" s="1">
        <v>204091407</v>
      </c>
      <c r="C5524" s="1">
        <f t="shared" si="345"/>
        <v>2</v>
      </c>
      <c r="D5524" s="5">
        <f ca="1">IF(getQuality(B5524)&lt;4,getOtherMin(B5524,C5524,INDIRECT(J$2),INDIRECT(I5524),test),getMin(B5524,C5524,INDIRECT(J$2),INDIRECT(I5524),test))</f>
        <v>42.777777777777779</v>
      </c>
      <c r="E5524" s="5">
        <f ca="1">IF(getQuality(B5524)&lt;4,getOtherMax(B5524,C5524,INDIRECT(J$2),INDIRECT(I5524),test),getMax(B5524,C5524,INDIRECT(J$2),INDIRECT(I5524),test))</f>
        <v>49.75</v>
      </c>
      <c r="F5524" s="1" t="str">
        <f t="shared" si="349"/>
        <v>50</v>
      </c>
      <c r="G5524" s="1" t="str">
        <f t="shared" ca="1" si="346"/>
        <v/>
      </c>
      <c r="I5524" s="1" t="str">
        <f t="shared" si="350"/>
        <v>威尔新数值1.06.xlsm!suitPower</v>
      </c>
    </row>
    <row r="5525" spans="1:9" x14ac:dyDescent="0.15">
      <c r="A5525" s="1">
        <v>5524</v>
      </c>
      <c r="B5525" s="1">
        <v>204091407</v>
      </c>
      <c r="C5525" s="1">
        <f t="shared" si="345"/>
        <v>4</v>
      </c>
      <c r="D5525" s="5">
        <f ca="1">IF(getQuality(B5525)&lt;4,getOtherMin(B5525,C5525,INDIRECT(J$2),INDIRECT(I5525),test),getMin(B5525,C5525,INDIRECT(J$2),INDIRECT(I5525),test))</f>
        <v>334.33333333333331</v>
      </c>
      <c r="E5525" s="5">
        <f ca="1">IF(getQuality(B5525)&lt;4,getOtherMax(B5525,C5525,INDIRECT(J$2),INDIRECT(I5525),test),getMax(B5525,C5525,INDIRECT(J$2),INDIRECT(I5525),test))</f>
        <v>375</v>
      </c>
      <c r="F5525" s="1" t="str">
        <f t="shared" si="349"/>
        <v>50</v>
      </c>
      <c r="G5525" s="1" t="str">
        <f t="shared" ca="1" si="346"/>
        <v>1</v>
      </c>
      <c r="I5525" s="1" t="str">
        <f t="shared" si="350"/>
        <v>威尔新数值1.06.xlsm!suitPower</v>
      </c>
    </row>
    <row r="5526" spans="1:9" x14ac:dyDescent="0.15">
      <c r="A5526" s="1">
        <v>5525</v>
      </c>
      <c r="B5526" s="1">
        <v>204091407</v>
      </c>
      <c r="C5526" s="1">
        <f t="shared" ref="C5526:C5589" si="351">C5479</f>
        <v>6</v>
      </c>
      <c r="D5526" s="5">
        <f ca="1">IF(getQuality(B5526)&lt;4,getOtherMin(B5526,C5526,INDIRECT(J$2),INDIRECT(I5526),test),getMin(B5526,C5526,INDIRECT(J$2),INDIRECT(I5526),test))</f>
        <v>334.33333333333331</v>
      </c>
      <c r="E5526" s="5">
        <f ca="1">IF(getQuality(B5526)&lt;4,getOtherMax(B5526,C5526,INDIRECT(J$2),INDIRECT(I5526),test),getMax(B5526,C5526,INDIRECT(J$2),INDIRECT(I5526),test))</f>
        <v>375</v>
      </c>
      <c r="F5526" s="1" t="str">
        <f t="shared" si="349"/>
        <v>50</v>
      </c>
      <c r="G5526" s="1" t="str">
        <f t="shared" ca="1" si="346"/>
        <v/>
      </c>
      <c r="I5526" s="1" t="str">
        <f t="shared" si="350"/>
        <v>威尔新数值1.06.xlsm!suitPower</v>
      </c>
    </row>
    <row r="5527" spans="1:9" x14ac:dyDescent="0.15">
      <c r="A5527" s="1">
        <v>5526</v>
      </c>
      <c r="B5527" s="1">
        <v>204091407</v>
      </c>
      <c r="C5527" s="1">
        <f t="shared" si="351"/>
        <v>7</v>
      </c>
      <c r="D5527" s="5">
        <f ca="1">IF(getQuality(B5527)&lt;4,getOtherMin(B5527,C5527,INDIRECT(J$2),INDIRECT(I5527),test),getMin(B5527,C5527,INDIRECT(J$2),INDIRECT(I5527),test))</f>
        <v>23.222222222222221</v>
      </c>
      <c r="E5527" s="5">
        <f ca="1">IF(getQuality(B5527)&lt;4,getOtherMax(B5527,C5527,INDIRECT(J$2),INDIRECT(I5527),test),getMax(B5527,C5527,INDIRECT(J$2),INDIRECT(I5527),test))</f>
        <v>25</v>
      </c>
      <c r="F5527" s="1" t="str">
        <f t="shared" si="349"/>
        <v>50</v>
      </c>
      <c r="G5527" s="1" t="str">
        <f t="shared" ca="1" si="346"/>
        <v/>
      </c>
      <c r="I5527" s="1" t="str">
        <f t="shared" si="350"/>
        <v>威尔新数值1.06.xlsm!suitPower</v>
      </c>
    </row>
    <row r="5528" spans="1:9" x14ac:dyDescent="0.15">
      <c r="A5528" s="1">
        <v>5527</v>
      </c>
      <c r="B5528" s="1">
        <v>204091407</v>
      </c>
      <c r="C5528" s="1">
        <f t="shared" si="351"/>
        <v>8</v>
      </c>
      <c r="D5528" s="5">
        <f ca="1">IF(getQuality(B5528)&lt;4,getOtherMin(B5528,C5528,INDIRECT(J$2),INDIRECT(I5528),test),getMin(B5528,C5528,INDIRECT(J$2),INDIRECT(I5528),test))</f>
        <v>67.666666666666671</v>
      </c>
      <c r="E5528" s="5">
        <f ca="1">IF(getQuality(B5528)&lt;4,getOtherMax(B5528,C5528,INDIRECT(J$2),INDIRECT(I5528),test),getMax(B5528,C5528,INDIRECT(J$2),INDIRECT(I5528),test))</f>
        <v>75</v>
      </c>
      <c r="F5528" s="1" t="str">
        <f t="shared" si="349"/>
        <v>50</v>
      </c>
      <c r="G5528" s="1" t="str">
        <f t="shared" ca="1" si="346"/>
        <v/>
      </c>
      <c r="I5528" s="1" t="str">
        <f t="shared" si="350"/>
        <v>威尔新数值1.06.xlsm!suitPower</v>
      </c>
    </row>
    <row r="5529" spans="1:9" x14ac:dyDescent="0.15">
      <c r="A5529" s="1">
        <v>5528</v>
      </c>
      <c r="B5529" s="1">
        <v>204091407</v>
      </c>
      <c r="C5529" s="1">
        <f t="shared" si="351"/>
        <v>16</v>
      </c>
      <c r="D5529" s="5">
        <f ca="1">IF(getQuality(B5529)&lt;4,getOtherMin(B5529,C5529,INDIRECT(J$2),INDIRECT(I5529),test),getMin(B5529,C5529,INDIRECT(J$2),INDIRECT(I5529),test))</f>
        <v>63.222222222222221</v>
      </c>
      <c r="E5529" s="5">
        <f ca="1">IF(getQuality(B5529)&lt;4,getOtherMax(B5529,C5529,INDIRECT(J$2),INDIRECT(I5529),test),getMax(B5529,C5529,INDIRECT(J$2),INDIRECT(I5529),test))</f>
        <v>70</v>
      </c>
      <c r="F5529" s="1" t="str">
        <f t="shared" si="349"/>
        <v>50</v>
      </c>
      <c r="G5529" s="1" t="str">
        <f t="shared" ca="1" si="346"/>
        <v/>
      </c>
      <c r="I5529" s="1" t="str">
        <f t="shared" si="350"/>
        <v>威尔新数值1.06.xlsm!suitPower</v>
      </c>
    </row>
    <row r="5530" spans="1:9" x14ac:dyDescent="0.15">
      <c r="A5530" s="1">
        <v>5529</v>
      </c>
      <c r="B5530" s="1">
        <v>204091407</v>
      </c>
      <c r="C5530" s="1">
        <f t="shared" si="351"/>
        <v>17</v>
      </c>
      <c r="D5530" s="5">
        <f ca="1">IF(getQuality(B5530)&lt;4,getOtherMin(B5530,C5530,INDIRECT(J$2),INDIRECT(I5530),test),getMin(B5530,C5530,INDIRECT(J$2),INDIRECT(I5530),test))</f>
        <v>63.222222222222221</v>
      </c>
      <c r="E5530" s="5">
        <f ca="1">IF(getQuality(B5530)&lt;4,getOtherMax(B5530,C5530,INDIRECT(J$2),INDIRECT(I5530),test),getMax(B5530,C5530,INDIRECT(J$2),INDIRECT(I5530),test))</f>
        <v>70</v>
      </c>
      <c r="F5530" s="1" t="str">
        <f t="shared" si="349"/>
        <v>50</v>
      </c>
      <c r="G5530" s="1" t="str">
        <f t="shared" ca="1" si="346"/>
        <v/>
      </c>
      <c r="I5530" s="1" t="str">
        <f t="shared" si="350"/>
        <v>威尔新数值1.06.xlsm!suitPower</v>
      </c>
    </row>
    <row r="5531" spans="1:9" x14ac:dyDescent="0.15">
      <c r="A5531" s="1">
        <v>5530</v>
      </c>
      <c r="B5531" s="1">
        <v>204091407</v>
      </c>
      <c r="C5531" s="1">
        <f t="shared" si="351"/>
        <v>18</v>
      </c>
      <c r="D5531" s="5">
        <f ca="1">IF(getQuality(B5531)&lt;4,getOtherMin(B5531,C5531,INDIRECT(J$2),INDIRECT(I5531),test),getMin(B5531,C5531,INDIRECT(J$2),INDIRECT(I5531),test))</f>
        <v>94.333333333333343</v>
      </c>
      <c r="E5531" s="5">
        <f ca="1">IF(getQuality(B5531)&lt;4,getOtherMax(B5531,C5531,INDIRECT(J$2),INDIRECT(I5531),test),getMax(B5531,C5531,INDIRECT(J$2),INDIRECT(I5531),test))</f>
        <v>105</v>
      </c>
      <c r="F5531" s="1" t="str">
        <f t="shared" si="349"/>
        <v>50</v>
      </c>
      <c r="G5531" s="1" t="str">
        <f t="shared" ca="1" si="346"/>
        <v/>
      </c>
      <c r="I5531" s="1" t="str">
        <f t="shared" si="350"/>
        <v>威尔新数值1.06.xlsm!suitPower</v>
      </c>
    </row>
    <row r="5532" spans="1:9" x14ac:dyDescent="0.15">
      <c r="A5532" s="1">
        <v>5531</v>
      </c>
      <c r="B5532" s="1">
        <v>204091407</v>
      </c>
      <c r="C5532" s="1">
        <f t="shared" si="351"/>
        <v>19</v>
      </c>
      <c r="D5532" s="5">
        <f ca="1">IF(getQuality(B5532)&lt;4,getOtherMin(B5532,C5532,INDIRECT(J$2),INDIRECT(I5532),test),getMin(B5532,C5532,INDIRECT(J$2),INDIRECT(I5532),test))</f>
        <v>63.222222222222221</v>
      </c>
      <c r="E5532" s="5">
        <f ca="1">IF(getQuality(B5532)&lt;4,getOtherMax(B5532,C5532,INDIRECT(J$2),INDIRECT(I5532),test),getMax(B5532,C5532,INDIRECT(J$2),INDIRECT(I5532),test))</f>
        <v>70</v>
      </c>
      <c r="F5532" s="1" t="str">
        <f t="shared" si="349"/>
        <v>50</v>
      </c>
      <c r="G5532" s="1" t="str">
        <f t="shared" ca="1" si="346"/>
        <v/>
      </c>
      <c r="I5532" s="1" t="str">
        <f t="shared" si="350"/>
        <v>威尔新数值1.06.xlsm!suitPower</v>
      </c>
    </row>
    <row r="5533" spans="1:9" x14ac:dyDescent="0.15">
      <c r="A5533" s="1">
        <v>5532</v>
      </c>
      <c r="B5533" s="1">
        <v>204091407</v>
      </c>
      <c r="C5533" s="1">
        <f t="shared" si="351"/>
        <v>20</v>
      </c>
      <c r="D5533" s="5">
        <f ca="1">IF(getQuality(B5533)&lt;4,getOtherMin(B5533,C5533,INDIRECT(J$2),INDIRECT(I5533),test),getMin(B5533,C5533,INDIRECT(J$2),INDIRECT(I5533),test))</f>
        <v>63.222222222222221</v>
      </c>
      <c r="E5533" s="5">
        <f ca="1">IF(getQuality(B5533)&lt;4,getOtherMax(B5533,C5533,INDIRECT(J$2),INDIRECT(I5533),test),getMax(B5533,C5533,INDIRECT(J$2),INDIRECT(I5533),test))</f>
        <v>70</v>
      </c>
      <c r="F5533" s="1" t="str">
        <f t="shared" si="349"/>
        <v>50</v>
      </c>
      <c r="G5533" s="1" t="str">
        <f t="shared" ca="1" si="346"/>
        <v/>
      </c>
      <c r="I5533" s="1" t="str">
        <f t="shared" si="350"/>
        <v>威尔新数值1.06.xlsm!suitPower</v>
      </c>
    </row>
    <row r="5534" spans="1:9" x14ac:dyDescent="0.15">
      <c r="A5534" s="1">
        <v>5533</v>
      </c>
      <c r="B5534" s="1">
        <v>204091407</v>
      </c>
      <c r="C5534" s="1">
        <f t="shared" si="351"/>
        <v>21</v>
      </c>
      <c r="D5534" s="5">
        <f ca="1">IF(getQuality(B5534)&lt;4,getOtherMin(B5534,C5534,INDIRECT(J$2),INDIRECT(I5534),test),getMin(B5534,C5534,INDIRECT(J$2),INDIRECT(I5534),test))</f>
        <v>63.222222222222221</v>
      </c>
      <c r="E5534" s="5">
        <f ca="1">IF(getQuality(B5534)&lt;4,getOtherMax(B5534,C5534,INDIRECT(J$2),INDIRECT(I5534),test),getMax(B5534,C5534,INDIRECT(J$2),INDIRECT(I5534),test))</f>
        <v>70</v>
      </c>
      <c r="F5534" s="1" t="str">
        <f t="shared" si="349"/>
        <v>50</v>
      </c>
      <c r="G5534" s="1" t="str">
        <f t="shared" ca="1" si="346"/>
        <v/>
      </c>
      <c r="I5534" s="1" t="str">
        <f t="shared" si="350"/>
        <v>威尔新数值1.06.xlsm!suitPower</v>
      </c>
    </row>
    <row r="5535" spans="1:9" x14ac:dyDescent="0.15">
      <c r="A5535" s="1">
        <v>5534</v>
      </c>
      <c r="B5535" s="1">
        <v>204091407</v>
      </c>
      <c r="C5535" s="1">
        <f t="shared" si="351"/>
        <v>22</v>
      </c>
      <c r="D5535" s="5">
        <f ca="1">IF(getQuality(B5535)&lt;4,getOtherMin(B5535,C5535,INDIRECT(J$2),INDIRECT(I5535),test),getMin(B5535,C5535,INDIRECT(J$2),INDIRECT(I5535),test))</f>
        <v>63.222222222222221</v>
      </c>
      <c r="E5535" s="5">
        <f ca="1">IF(getQuality(B5535)&lt;4,getOtherMax(B5535,C5535,INDIRECT(J$2),INDIRECT(I5535),test),getMax(B5535,C5535,INDIRECT(J$2),INDIRECT(I5535),test))</f>
        <v>70</v>
      </c>
      <c r="F5535" s="1" t="str">
        <f t="shared" si="349"/>
        <v>50</v>
      </c>
      <c r="G5535" s="1" t="str">
        <f t="shared" ca="1" si="346"/>
        <v/>
      </c>
      <c r="I5535" s="1" t="str">
        <f t="shared" si="350"/>
        <v>威尔新数值1.06.xlsm!suitPower</v>
      </c>
    </row>
    <row r="5536" spans="1:9" x14ac:dyDescent="0.15">
      <c r="A5536" s="1">
        <v>5535</v>
      </c>
      <c r="B5536" s="1">
        <v>204091407</v>
      </c>
      <c r="C5536" s="1">
        <f t="shared" si="351"/>
        <v>23</v>
      </c>
      <c r="D5536" s="5">
        <f ca="1">IF(getQuality(B5536)&lt;4,getOtherMin(B5536,C5536,INDIRECT(J$2),INDIRECT(I5536),test),getMin(B5536,C5536,INDIRECT(J$2),INDIRECT(I5536),test))</f>
        <v>63.222222222222221</v>
      </c>
      <c r="E5536" s="5">
        <f ca="1">IF(getQuality(B5536)&lt;4,getOtherMax(B5536,C5536,INDIRECT(J$2),INDIRECT(I5536),test),getMax(B5536,C5536,INDIRECT(J$2),INDIRECT(I5536),test))</f>
        <v>70</v>
      </c>
      <c r="F5536" s="1" t="str">
        <f t="shared" si="349"/>
        <v>50</v>
      </c>
      <c r="G5536" s="1" t="str">
        <f t="shared" ca="1" si="346"/>
        <v/>
      </c>
      <c r="I5536" s="1" t="str">
        <f t="shared" si="350"/>
        <v>威尔新数值1.06.xlsm!suitPower</v>
      </c>
    </row>
    <row r="5537" spans="1:9" x14ac:dyDescent="0.15">
      <c r="A5537" s="1">
        <v>5536</v>
      </c>
      <c r="B5537" s="1">
        <v>304091507</v>
      </c>
      <c r="C5537" s="1">
        <f t="shared" si="351"/>
        <v>1</v>
      </c>
      <c r="D5537" s="5">
        <f ca="1">IF(getQuality(B5537)&lt;4,getOtherMin(B5537,C5537,INDIRECT(J$2),INDIRECT(I5537),test),getMin(B5537,C5537,INDIRECT(J$2),INDIRECT(I5537),test))</f>
        <v>711.22222222222217</v>
      </c>
      <c r="E5537" s="5">
        <f ca="1">IF(getQuality(B5537)&lt;4,getOtherMax(B5537,C5537,INDIRECT(J$2),INDIRECT(I5537),test),getMax(B5537,C5537,INDIRECT(J$2),INDIRECT(I5537),test))</f>
        <v>845.75</v>
      </c>
      <c r="F5537" s="1" t="str">
        <f t="shared" si="349"/>
        <v>50</v>
      </c>
      <c r="G5537" s="1" t="str">
        <f t="shared" ca="1" si="346"/>
        <v/>
      </c>
      <c r="I5537" s="1" t="str">
        <f t="shared" si="350"/>
        <v>威尔新数值1.06.xlsm!suitPower</v>
      </c>
    </row>
    <row r="5538" spans="1:9" x14ac:dyDescent="0.15">
      <c r="A5538" s="1">
        <v>5537</v>
      </c>
      <c r="B5538" s="1">
        <v>304091507</v>
      </c>
      <c r="C5538" s="1">
        <f t="shared" si="351"/>
        <v>2</v>
      </c>
      <c r="D5538" s="5">
        <f ca="1">IF(getQuality(B5538)&lt;4,getOtherMin(B5538,C5538,INDIRECT(J$2),INDIRECT(I5538),test),getMin(B5538,C5538,INDIRECT(J$2),INDIRECT(I5538),test))</f>
        <v>42.777777777777779</v>
      </c>
      <c r="E5538" s="5">
        <f ca="1">IF(getQuality(B5538)&lt;4,getOtherMax(B5538,C5538,INDIRECT(J$2),INDIRECT(I5538),test),getMax(B5538,C5538,INDIRECT(J$2),INDIRECT(I5538),test))</f>
        <v>49.75</v>
      </c>
      <c r="F5538" s="1" t="str">
        <f t="shared" si="349"/>
        <v>50</v>
      </c>
      <c r="G5538" s="1" t="str">
        <f t="shared" ca="1" si="346"/>
        <v/>
      </c>
      <c r="I5538" s="1" t="str">
        <f t="shared" si="350"/>
        <v>威尔新数值1.06.xlsm!suitPower</v>
      </c>
    </row>
    <row r="5539" spans="1:9" x14ac:dyDescent="0.15">
      <c r="A5539" s="1">
        <v>5538</v>
      </c>
      <c r="B5539" s="1">
        <v>304091507</v>
      </c>
      <c r="C5539" s="1">
        <f t="shared" si="351"/>
        <v>4</v>
      </c>
      <c r="D5539" s="5">
        <f ca="1">IF(getQuality(B5539)&lt;4,getOtherMin(B5539,C5539,INDIRECT(J$2),INDIRECT(I5539),test),getMin(B5539,C5539,INDIRECT(J$2),INDIRECT(I5539),test))</f>
        <v>334.33333333333331</v>
      </c>
      <c r="E5539" s="5">
        <f ca="1">IF(getQuality(B5539)&lt;4,getOtherMax(B5539,C5539,INDIRECT(J$2),INDIRECT(I5539),test),getMax(B5539,C5539,INDIRECT(J$2),INDIRECT(I5539),test))</f>
        <v>375</v>
      </c>
      <c r="F5539" s="1" t="str">
        <f t="shared" si="349"/>
        <v>50</v>
      </c>
      <c r="G5539" s="1" t="str">
        <f t="shared" ca="1" si="346"/>
        <v>1</v>
      </c>
      <c r="I5539" s="1" t="str">
        <f t="shared" si="350"/>
        <v>威尔新数值1.06.xlsm!suitPower</v>
      </c>
    </row>
    <row r="5540" spans="1:9" x14ac:dyDescent="0.15">
      <c r="A5540" s="1">
        <v>5539</v>
      </c>
      <c r="B5540" s="1">
        <v>304091507</v>
      </c>
      <c r="C5540" s="1">
        <f t="shared" si="351"/>
        <v>6</v>
      </c>
      <c r="D5540" s="5">
        <f ca="1">IF(getQuality(B5540)&lt;4,getOtherMin(B5540,C5540,INDIRECT(J$2),INDIRECT(I5540),test),getMin(B5540,C5540,INDIRECT(J$2),INDIRECT(I5540),test))</f>
        <v>334.33333333333331</v>
      </c>
      <c r="E5540" s="5">
        <f ca="1">IF(getQuality(B5540)&lt;4,getOtherMax(B5540,C5540,INDIRECT(J$2),INDIRECT(I5540),test),getMax(B5540,C5540,INDIRECT(J$2),INDIRECT(I5540),test))</f>
        <v>375</v>
      </c>
      <c r="F5540" s="1" t="str">
        <f t="shared" si="349"/>
        <v>50</v>
      </c>
      <c r="G5540" s="1" t="str">
        <f t="shared" ca="1" si="346"/>
        <v/>
      </c>
      <c r="I5540" s="1" t="str">
        <f t="shared" si="350"/>
        <v>威尔新数值1.06.xlsm!suitPower</v>
      </c>
    </row>
    <row r="5541" spans="1:9" x14ac:dyDescent="0.15">
      <c r="A5541" s="1">
        <v>5540</v>
      </c>
      <c r="B5541" s="1">
        <v>304091507</v>
      </c>
      <c r="C5541" s="1">
        <f t="shared" si="351"/>
        <v>7</v>
      </c>
      <c r="D5541" s="5">
        <f ca="1">IF(getQuality(B5541)&lt;4,getOtherMin(B5541,C5541,INDIRECT(J$2),INDIRECT(I5541),test),getMin(B5541,C5541,INDIRECT(J$2),INDIRECT(I5541),test))</f>
        <v>23.222222222222221</v>
      </c>
      <c r="E5541" s="5">
        <f ca="1">IF(getQuality(B5541)&lt;4,getOtherMax(B5541,C5541,INDIRECT(J$2),INDIRECT(I5541),test),getMax(B5541,C5541,INDIRECT(J$2),INDIRECT(I5541),test))</f>
        <v>25</v>
      </c>
      <c r="F5541" s="1" t="str">
        <f t="shared" si="349"/>
        <v>50</v>
      </c>
      <c r="G5541" s="1" t="str">
        <f t="shared" ca="1" si="346"/>
        <v/>
      </c>
      <c r="I5541" s="1" t="str">
        <f t="shared" si="350"/>
        <v>威尔新数值1.06.xlsm!suitPower</v>
      </c>
    </row>
    <row r="5542" spans="1:9" x14ac:dyDescent="0.15">
      <c r="A5542" s="1">
        <v>5541</v>
      </c>
      <c r="B5542" s="1">
        <v>304091507</v>
      </c>
      <c r="C5542" s="1">
        <f t="shared" si="351"/>
        <v>8</v>
      </c>
      <c r="D5542" s="5">
        <f ca="1">IF(getQuality(B5542)&lt;4,getOtherMin(B5542,C5542,INDIRECT(J$2),INDIRECT(I5542),test),getMin(B5542,C5542,INDIRECT(J$2),INDIRECT(I5542),test))</f>
        <v>67.666666666666671</v>
      </c>
      <c r="E5542" s="5">
        <f ca="1">IF(getQuality(B5542)&lt;4,getOtherMax(B5542,C5542,INDIRECT(J$2),INDIRECT(I5542),test),getMax(B5542,C5542,INDIRECT(J$2),INDIRECT(I5542),test))</f>
        <v>75</v>
      </c>
      <c r="F5542" s="1" t="str">
        <f t="shared" si="349"/>
        <v>50</v>
      </c>
      <c r="G5542" s="1" t="str">
        <f t="shared" ca="1" si="346"/>
        <v/>
      </c>
      <c r="I5542" s="1" t="str">
        <f t="shared" si="350"/>
        <v>威尔新数值1.06.xlsm!suitPower</v>
      </c>
    </row>
    <row r="5543" spans="1:9" x14ac:dyDescent="0.15">
      <c r="A5543" s="1">
        <v>5542</v>
      </c>
      <c r="B5543" s="1">
        <v>304091507</v>
      </c>
      <c r="C5543" s="1">
        <f t="shared" si="351"/>
        <v>16</v>
      </c>
      <c r="D5543" s="5">
        <f ca="1">IF(getQuality(B5543)&lt;4,getOtherMin(B5543,C5543,INDIRECT(J$2),INDIRECT(I5543),test),getMin(B5543,C5543,INDIRECT(J$2),INDIRECT(I5543),test))</f>
        <v>63.222222222222221</v>
      </c>
      <c r="E5543" s="5">
        <f ca="1">IF(getQuality(B5543)&lt;4,getOtherMax(B5543,C5543,INDIRECT(J$2),INDIRECT(I5543),test),getMax(B5543,C5543,INDIRECT(J$2),INDIRECT(I5543),test))</f>
        <v>70</v>
      </c>
      <c r="F5543" s="1" t="str">
        <f t="shared" si="349"/>
        <v>50</v>
      </c>
      <c r="G5543" s="1" t="str">
        <f t="shared" ref="G5543:G5606" ca="1" si="352">getMust(B5543,C5543)</f>
        <v/>
      </c>
      <c r="I5543" s="1" t="str">
        <f t="shared" si="350"/>
        <v>威尔新数值1.06.xlsm!suitPower</v>
      </c>
    </row>
    <row r="5544" spans="1:9" x14ac:dyDescent="0.15">
      <c r="A5544" s="1">
        <v>5543</v>
      </c>
      <c r="B5544" s="1">
        <v>304091507</v>
      </c>
      <c r="C5544" s="1">
        <f t="shared" si="351"/>
        <v>17</v>
      </c>
      <c r="D5544" s="5">
        <f ca="1">IF(getQuality(B5544)&lt;4,getOtherMin(B5544,C5544,INDIRECT(J$2),INDIRECT(I5544),test),getMin(B5544,C5544,INDIRECT(J$2),INDIRECT(I5544),test))</f>
        <v>63.222222222222221</v>
      </c>
      <c r="E5544" s="5">
        <f ca="1">IF(getQuality(B5544)&lt;4,getOtherMax(B5544,C5544,INDIRECT(J$2),INDIRECT(I5544),test),getMax(B5544,C5544,INDIRECT(J$2),INDIRECT(I5544),test))</f>
        <v>70</v>
      </c>
      <c r="F5544" s="1" t="str">
        <f t="shared" si="349"/>
        <v>50</v>
      </c>
      <c r="G5544" s="1" t="str">
        <f t="shared" ca="1" si="352"/>
        <v/>
      </c>
      <c r="I5544" s="1" t="str">
        <f t="shared" si="350"/>
        <v>威尔新数值1.06.xlsm!suitPower</v>
      </c>
    </row>
    <row r="5545" spans="1:9" x14ac:dyDescent="0.15">
      <c r="A5545" s="1">
        <v>5544</v>
      </c>
      <c r="B5545" s="1">
        <v>304091507</v>
      </c>
      <c r="C5545" s="1">
        <f t="shared" si="351"/>
        <v>18</v>
      </c>
      <c r="D5545" s="5">
        <f ca="1">IF(getQuality(B5545)&lt;4,getOtherMin(B5545,C5545,INDIRECT(J$2),INDIRECT(I5545),test),getMin(B5545,C5545,INDIRECT(J$2),INDIRECT(I5545),test))</f>
        <v>94.333333333333343</v>
      </c>
      <c r="E5545" s="5">
        <f ca="1">IF(getQuality(B5545)&lt;4,getOtherMax(B5545,C5545,INDIRECT(J$2),INDIRECT(I5545),test),getMax(B5545,C5545,INDIRECT(J$2),INDIRECT(I5545),test))</f>
        <v>105</v>
      </c>
      <c r="F5545" s="1" t="str">
        <f t="shared" si="349"/>
        <v>50</v>
      </c>
      <c r="G5545" s="1" t="str">
        <f t="shared" ca="1" si="352"/>
        <v/>
      </c>
      <c r="I5545" s="1" t="str">
        <f t="shared" si="350"/>
        <v>威尔新数值1.06.xlsm!suitPower</v>
      </c>
    </row>
    <row r="5546" spans="1:9" x14ac:dyDescent="0.15">
      <c r="A5546" s="1">
        <v>5545</v>
      </c>
      <c r="B5546" s="1">
        <v>304091507</v>
      </c>
      <c r="C5546" s="1">
        <f t="shared" si="351"/>
        <v>19</v>
      </c>
      <c r="D5546" s="5">
        <f ca="1">IF(getQuality(B5546)&lt;4,getOtherMin(B5546,C5546,INDIRECT(J$2),INDIRECT(I5546),test),getMin(B5546,C5546,INDIRECT(J$2),INDIRECT(I5546),test))</f>
        <v>63.222222222222221</v>
      </c>
      <c r="E5546" s="5">
        <f ca="1">IF(getQuality(B5546)&lt;4,getOtherMax(B5546,C5546,INDIRECT(J$2),INDIRECT(I5546),test),getMax(B5546,C5546,INDIRECT(J$2),INDIRECT(I5546),test))</f>
        <v>70</v>
      </c>
      <c r="F5546" s="1" t="str">
        <f t="shared" si="349"/>
        <v>50</v>
      </c>
      <c r="G5546" s="1" t="str">
        <f t="shared" ca="1" si="352"/>
        <v/>
      </c>
      <c r="I5546" s="1" t="str">
        <f t="shared" si="350"/>
        <v>威尔新数值1.06.xlsm!suitPower</v>
      </c>
    </row>
    <row r="5547" spans="1:9" x14ac:dyDescent="0.15">
      <c r="A5547" s="1">
        <v>5546</v>
      </c>
      <c r="B5547" s="1">
        <v>304091507</v>
      </c>
      <c r="C5547" s="1">
        <f t="shared" si="351"/>
        <v>20</v>
      </c>
      <c r="D5547" s="5">
        <f ca="1">IF(getQuality(B5547)&lt;4,getOtherMin(B5547,C5547,INDIRECT(J$2),INDIRECT(I5547),test),getMin(B5547,C5547,INDIRECT(J$2),INDIRECT(I5547),test))</f>
        <v>63.222222222222221</v>
      </c>
      <c r="E5547" s="5">
        <f ca="1">IF(getQuality(B5547)&lt;4,getOtherMax(B5547,C5547,INDIRECT(J$2),INDIRECT(I5547),test),getMax(B5547,C5547,INDIRECT(J$2),INDIRECT(I5547),test))</f>
        <v>70</v>
      </c>
      <c r="F5547" s="1" t="str">
        <f t="shared" si="349"/>
        <v>50</v>
      </c>
      <c r="G5547" s="1" t="str">
        <f t="shared" ca="1" si="352"/>
        <v/>
      </c>
      <c r="I5547" s="1" t="str">
        <f t="shared" si="350"/>
        <v>威尔新数值1.06.xlsm!suitPower</v>
      </c>
    </row>
    <row r="5548" spans="1:9" x14ac:dyDescent="0.15">
      <c r="A5548" s="1">
        <v>5547</v>
      </c>
      <c r="B5548" s="1">
        <v>304091507</v>
      </c>
      <c r="C5548" s="1">
        <f t="shared" si="351"/>
        <v>21</v>
      </c>
      <c r="D5548" s="5">
        <f ca="1">IF(getQuality(B5548)&lt;4,getOtherMin(B5548,C5548,INDIRECT(J$2),INDIRECT(I5548),test),getMin(B5548,C5548,INDIRECT(J$2),INDIRECT(I5548),test))</f>
        <v>63.222222222222221</v>
      </c>
      <c r="E5548" s="5">
        <f ca="1">IF(getQuality(B5548)&lt;4,getOtherMax(B5548,C5548,INDIRECT(J$2),INDIRECT(I5548),test),getMax(B5548,C5548,INDIRECT(J$2),INDIRECT(I5548),test))</f>
        <v>70</v>
      </c>
      <c r="F5548" s="1" t="str">
        <f t="shared" si="349"/>
        <v>50</v>
      </c>
      <c r="G5548" s="1" t="str">
        <f t="shared" ca="1" si="352"/>
        <v/>
      </c>
      <c r="I5548" s="1" t="str">
        <f t="shared" si="350"/>
        <v>威尔新数值1.06.xlsm!suitPower</v>
      </c>
    </row>
    <row r="5549" spans="1:9" x14ac:dyDescent="0.15">
      <c r="A5549" s="1">
        <v>5548</v>
      </c>
      <c r="B5549" s="1">
        <v>304091507</v>
      </c>
      <c r="C5549" s="1">
        <f t="shared" si="351"/>
        <v>22</v>
      </c>
      <c r="D5549" s="5">
        <f ca="1">IF(getQuality(B5549)&lt;4,getOtherMin(B5549,C5549,INDIRECT(J$2),INDIRECT(I5549),test),getMin(B5549,C5549,INDIRECT(J$2),INDIRECT(I5549),test))</f>
        <v>63.222222222222221</v>
      </c>
      <c r="E5549" s="5">
        <f ca="1">IF(getQuality(B5549)&lt;4,getOtherMax(B5549,C5549,INDIRECT(J$2),INDIRECT(I5549),test),getMax(B5549,C5549,INDIRECT(J$2),INDIRECT(I5549),test))</f>
        <v>70</v>
      </c>
      <c r="F5549" s="1" t="str">
        <f t="shared" si="349"/>
        <v>50</v>
      </c>
      <c r="G5549" s="1" t="str">
        <f t="shared" ca="1" si="352"/>
        <v/>
      </c>
      <c r="I5549" s="1" t="str">
        <f t="shared" si="350"/>
        <v>威尔新数值1.06.xlsm!suitPower</v>
      </c>
    </row>
    <row r="5550" spans="1:9" x14ac:dyDescent="0.15">
      <c r="A5550" s="1">
        <v>5549</v>
      </c>
      <c r="B5550" s="1">
        <v>304091507</v>
      </c>
      <c r="C5550" s="1">
        <f t="shared" si="351"/>
        <v>23</v>
      </c>
      <c r="D5550" s="5">
        <f ca="1">IF(getQuality(B5550)&lt;4,getOtherMin(B5550,C5550,INDIRECT(J$2),INDIRECT(I5550),test),getMin(B5550,C5550,INDIRECT(J$2),INDIRECT(I5550),test))</f>
        <v>63.222222222222221</v>
      </c>
      <c r="E5550" s="5">
        <f ca="1">IF(getQuality(B5550)&lt;4,getOtherMax(B5550,C5550,INDIRECT(J$2),INDIRECT(I5550),test),getMax(B5550,C5550,INDIRECT(J$2),INDIRECT(I5550),test))</f>
        <v>70</v>
      </c>
      <c r="F5550" s="1" t="str">
        <f t="shared" si="349"/>
        <v>50</v>
      </c>
      <c r="G5550" s="1" t="str">
        <f t="shared" ca="1" si="352"/>
        <v/>
      </c>
      <c r="I5550" s="1" t="str">
        <f t="shared" si="350"/>
        <v>威尔新数值1.06.xlsm!suitPower</v>
      </c>
    </row>
    <row r="5551" spans="1:9" x14ac:dyDescent="0.15">
      <c r="A5551" s="1">
        <v>5550</v>
      </c>
      <c r="B5551" s="1">
        <v>104090808</v>
      </c>
      <c r="C5551" s="1">
        <f t="shared" si="351"/>
        <v>3</v>
      </c>
      <c r="D5551" s="5">
        <f ca="1">IF(getQuality(B5551)&lt;4,getOtherMin(B5551,C5551,INDIRECT(J$2),INDIRECT(I5551),test),getMin(B5551,C5551,INDIRECT(J$2),INDIRECT(I5551),test))</f>
        <v>105.44444444444444</v>
      </c>
      <c r="E5551" s="5">
        <f ca="1">IF(getQuality(B5551)&lt;4,getOtherMax(B5551,C5551,INDIRECT(J$2),INDIRECT(I5551),test),getMax(B5551,C5551,INDIRECT(J$2),INDIRECT(I5551),test))</f>
        <v>124.375</v>
      </c>
      <c r="F5551" s="1" t="str">
        <f t="shared" si="349"/>
        <v>50</v>
      </c>
      <c r="G5551" s="1" t="str">
        <f t="shared" ca="1" si="352"/>
        <v/>
      </c>
      <c r="I5551" s="1" t="str">
        <f t="shared" si="350"/>
        <v>威尔新数值1.06.xlsm!suitPower</v>
      </c>
    </row>
    <row r="5552" spans="1:9" x14ac:dyDescent="0.15">
      <c r="A5552" s="1">
        <v>5551</v>
      </c>
      <c r="B5552" s="1">
        <v>104090808</v>
      </c>
      <c r="C5552" s="1">
        <f t="shared" si="351"/>
        <v>5</v>
      </c>
      <c r="D5552" s="5">
        <f ca="1">IF(getQuality(B5552)&lt;4,getOtherMin(B5552,C5552,INDIRECT(J$2),INDIRECT(I5552),test),getMin(B5552,C5552,INDIRECT(J$2),INDIRECT(I5552),test))</f>
        <v>329.28048273180752</v>
      </c>
      <c r="E5552" s="5">
        <f ca="1">IF(getQuality(B5552)&lt;4,getOtherMax(B5552,C5552,INDIRECT(J$2),INDIRECT(I5552),test),getMax(B5552,C5552,INDIRECT(J$2),INDIRECT(I5552),test))</f>
        <v>390.92443123182665</v>
      </c>
      <c r="F5552" s="1" t="str">
        <f t="shared" si="349"/>
        <v>50</v>
      </c>
      <c r="G5552" s="1" t="str">
        <f t="shared" ca="1" si="352"/>
        <v>1</v>
      </c>
      <c r="I5552" s="1" t="str">
        <f t="shared" si="350"/>
        <v>威尔新数值1.06.xlsm!suitPower</v>
      </c>
    </row>
    <row r="5553" spans="1:9" x14ac:dyDescent="0.15">
      <c r="A5553" s="1">
        <v>5552</v>
      </c>
      <c r="B5553" s="1">
        <v>104090808</v>
      </c>
      <c r="C5553" s="1">
        <f t="shared" si="351"/>
        <v>7</v>
      </c>
      <c r="D5553" s="5">
        <f ca="1">IF(getQuality(B5553)&lt;4,getOtherMin(B5553,C5553,INDIRECT(J$2),INDIRECT(I5553),test),getMin(B5553,C5553,INDIRECT(J$2),INDIRECT(I5553),test))</f>
        <v>60.25925925925911</v>
      </c>
      <c r="E5553" s="5">
        <f ca="1">IF(getQuality(B5553)&lt;4,getOtherMax(B5553,C5553,INDIRECT(J$2),INDIRECT(I5553),test),getMax(B5553,C5553,INDIRECT(J$2),INDIRECT(I5553),test))</f>
        <v>66.666666666666501</v>
      </c>
      <c r="F5553" s="1" t="str">
        <f t="shared" si="349"/>
        <v>50</v>
      </c>
      <c r="G5553" s="1" t="str">
        <f t="shared" ca="1" si="352"/>
        <v/>
      </c>
      <c r="I5553" s="1" t="str">
        <f t="shared" si="350"/>
        <v>威尔新数值1.06.xlsm!suitPower</v>
      </c>
    </row>
    <row r="5554" spans="1:9" x14ac:dyDescent="0.15">
      <c r="A5554" s="1">
        <v>5553</v>
      </c>
      <c r="B5554" s="1">
        <v>104090808</v>
      </c>
      <c r="C5554" s="1">
        <f t="shared" si="351"/>
        <v>8</v>
      </c>
      <c r="D5554" s="5">
        <f ca="1">IF(getQuality(B5554)&lt;4,getOtherMin(B5554,C5554,INDIRECT(J$2),INDIRECT(I5554),test),getMin(B5554,C5554,INDIRECT(J$2),INDIRECT(I5554),test))</f>
        <v>134.33333333333334</v>
      </c>
      <c r="E5554" s="5">
        <f ca="1">IF(getQuality(B5554)&lt;4,getOtherMax(B5554,C5554,INDIRECT(J$2),INDIRECT(I5554),test),getMax(B5554,C5554,INDIRECT(J$2),INDIRECT(I5554),test))</f>
        <v>150</v>
      </c>
      <c r="F5554" s="1" t="str">
        <f t="shared" si="349"/>
        <v>50</v>
      </c>
      <c r="G5554" s="1" t="str">
        <f t="shared" ca="1" si="352"/>
        <v/>
      </c>
      <c r="I5554" s="1" t="str">
        <f t="shared" si="350"/>
        <v>威尔新数值1.06.xlsm!suitPower</v>
      </c>
    </row>
    <row r="5555" spans="1:9" x14ac:dyDescent="0.15">
      <c r="A5555" s="1">
        <v>5554</v>
      </c>
      <c r="B5555" s="1">
        <v>104090808</v>
      </c>
      <c r="C5555" s="1">
        <f t="shared" si="351"/>
        <v>9</v>
      </c>
      <c r="D5555" s="5">
        <f ca="1">IF(getQuality(B5555)&lt;4,getOtherMin(B5555,C5555,INDIRECT(J$2),INDIRECT(I5555),test),getMin(B5555,C5555,INDIRECT(J$2),INDIRECT(I5555),test))</f>
        <v>260.63495630575147</v>
      </c>
      <c r="E5555" s="5">
        <f ca="1">IF(getQuality(B5555)&lt;4,getOtherMax(B5555,C5555,INDIRECT(J$2),INDIRECT(I5555),test),getMax(B5555,C5555,INDIRECT(J$2),INDIRECT(I5555),test))</f>
        <v>309.17965873909634</v>
      </c>
      <c r="F5555" s="1" t="str">
        <f t="shared" si="349"/>
        <v>50</v>
      </c>
      <c r="G5555" s="1" t="str">
        <f t="shared" ca="1" si="352"/>
        <v/>
      </c>
      <c r="I5555" s="1" t="str">
        <f t="shared" si="350"/>
        <v>威尔新数值1.06.xlsm!suitPower</v>
      </c>
    </row>
    <row r="5556" spans="1:9" x14ac:dyDescent="0.15">
      <c r="A5556" s="1">
        <v>5555</v>
      </c>
      <c r="B5556" s="1">
        <v>104090808</v>
      </c>
      <c r="C5556" s="1">
        <f t="shared" si="351"/>
        <v>10</v>
      </c>
      <c r="D5556" s="5">
        <f ca="1">IF(getQuality(B5556)&lt;4,getOtherMin(B5556,C5556,INDIRECT(J$2),INDIRECT(I5556),test),getMin(B5556,C5556,INDIRECT(J$2),INDIRECT(I5556),test))</f>
        <v>217.36246358812596</v>
      </c>
      <c r="E5556" s="5">
        <f ca="1">IF(getQuality(B5556)&lt;4,getOtherMax(B5556,C5556,INDIRECT(J$2),INDIRECT(I5556),test),getMax(B5556,C5556,INDIRECT(J$2),INDIRECT(I5556),test))</f>
        <v>257.64971561591329</v>
      </c>
      <c r="F5556" s="1" t="str">
        <f t="shared" si="349"/>
        <v>50</v>
      </c>
      <c r="G5556" s="1" t="str">
        <f t="shared" ca="1" si="352"/>
        <v/>
      </c>
      <c r="I5556" s="1" t="str">
        <f t="shared" si="350"/>
        <v>威尔新数值1.06.xlsm!suitPower</v>
      </c>
    </row>
    <row r="5557" spans="1:9" x14ac:dyDescent="0.15">
      <c r="A5557" s="1">
        <v>5556</v>
      </c>
      <c r="B5557" s="1">
        <v>104090808</v>
      </c>
      <c r="C5557" s="1">
        <f t="shared" si="351"/>
        <v>11</v>
      </c>
      <c r="D5557" s="5">
        <f ca="1">IF(getQuality(B5557)&lt;4,getOtherMin(B5557,C5557,INDIRECT(J$2),INDIRECT(I5557),test),getMin(B5557,C5557,INDIRECT(J$2),INDIRECT(I5557),test))</f>
        <v>217.36246358812596</v>
      </c>
      <c r="E5557" s="5">
        <f ca="1">IF(getQuality(B5557)&lt;4,getOtherMax(B5557,C5557,INDIRECT(J$2),INDIRECT(I5557),test),getMax(B5557,C5557,INDIRECT(J$2),INDIRECT(I5557),test))</f>
        <v>257.64971561591329</v>
      </c>
      <c r="F5557" s="1" t="str">
        <f t="shared" si="349"/>
        <v>50</v>
      </c>
      <c r="G5557" s="1" t="str">
        <f t="shared" ca="1" si="352"/>
        <v/>
      </c>
      <c r="I5557" s="1" t="str">
        <f t="shared" si="350"/>
        <v>威尔新数值1.06.xlsm!suitPower</v>
      </c>
    </row>
    <row r="5558" spans="1:9" x14ac:dyDescent="0.15">
      <c r="A5558" s="1">
        <v>5557</v>
      </c>
      <c r="B5558" s="1">
        <v>104090808</v>
      </c>
      <c r="C5558" s="1">
        <f t="shared" si="351"/>
        <v>12</v>
      </c>
      <c r="D5558" s="5">
        <f ca="1">IF(getQuality(B5558)&lt;4,getOtherMin(B5558,C5558,INDIRECT(J$2),INDIRECT(I5558),test),getMin(B5558,C5558,INDIRECT(J$2),INDIRECT(I5558),test))</f>
        <v>217.36246358812596</v>
      </c>
      <c r="E5558" s="5">
        <f ca="1">IF(getQuality(B5558)&lt;4,getOtherMax(B5558,C5558,INDIRECT(J$2),INDIRECT(I5558),test),getMax(B5558,C5558,INDIRECT(J$2),INDIRECT(I5558),test))</f>
        <v>257.64971561591329</v>
      </c>
      <c r="F5558" s="1" t="str">
        <f t="shared" si="349"/>
        <v>50</v>
      </c>
      <c r="G5558" s="1" t="str">
        <f t="shared" ca="1" si="352"/>
        <v/>
      </c>
      <c r="I5558" s="1" t="str">
        <f t="shared" si="350"/>
        <v>威尔新数值1.06.xlsm!suitPower</v>
      </c>
    </row>
    <row r="5559" spans="1:9" x14ac:dyDescent="0.15">
      <c r="A5559" s="1">
        <v>5558</v>
      </c>
      <c r="B5559" s="1">
        <v>104090808</v>
      </c>
      <c r="C5559" s="1">
        <f t="shared" si="351"/>
        <v>13</v>
      </c>
      <c r="D5559" s="5">
        <f ca="1">IF(getQuality(B5559)&lt;4,getOtherMin(B5559,C5559,INDIRECT(J$2),INDIRECT(I5559),test),getMin(B5559,C5559,INDIRECT(J$2),INDIRECT(I5559),test))</f>
        <v>217.36246358812596</v>
      </c>
      <c r="E5559" s="5">
        <f ca="1">IF(getQuality(B5559)&lt;4,getOtherMax(B5559,C5559,INDIRECT(J$2),INDIRECT(I5559),test),getMax(B5559,C5559,INDIRECT(J$2),INDIRECT(I5559),test))</f>
        <v>257.64971561591329</v>
      </c>
      <c r="F5559" s="1" t="str">
        <f t="shared" si="349"/>
        <v>50</v>
      </c>
      <c r="G5559" s="1" t="str">
        <f t="shared" ca="1" si="352"/>
        <v/>
      </c>
      <c r="I5559" s="1" t="str">
        <f t="shared" si="350"/>
        <v>威尔新数值1.06.xlsm!suitPower</v>
      </c>
    </row>
    <row r="5560" spans="1:9" x14ac:dyDescent="0.15">
      <c r="A5560" s="1">
        <v>5559</v>
      </c>
      <c r="B5560" s="1">
        <v>104090808</v>
      </c>
      <c r="C5560" s="1">
        <f t="shared" si="351"/>
        <v>14</v>
      </c>
      <c r="D5560" s="5">
        <f ca="1">IF(getQuality(B5560)&lt;4,getOtherMin(B5560,C5560,INDIRECT(J$2),INDIRECT(I5560),test),getMin(B5560,C5560,INDIRECT(J$2),INDIRECT(I5560),test))</f>
        <v>217.36246358812596</v>
      </c>
      <c r="E5560" s="5">
        <f ca="1">IF(getQuality(B5560)&lt;4,getOtherMax(B5560,C5560,INDIRECT(J$2),INDIRECT(I5560),test),getMax(B5560,C5560,INDIRECT(J$2),INDIRECT(I5560),test))</f>
        <v>257.64971561591329</v>
      </c>
      <c r="F5560" s="1" t="str">
        <f t="shared" si="349"/>
        <v>50</v>
      </c>
      <c r="G5560" s="1" t="str">
        <f t="shared" ca="1" si="352"/>
        <v/>
      </c>
      <c r="I5560" s="1" t="str">
        <f t="shared" si="350"/>
        <v>威尔新数值1.06.xlsm!suitPower</v>
      </c>
    </row>
    <row r="5561" spans="1:9" x14ac:dyDescent="0.15">
      <c r="A5561" s="1">
        <v>5560</v>
      </c>
      <c r="B5561" s="1">
        <v>104090808</v>
      </c>
      <c r="C5561" s="1">
        <f t="shared" si="351"/>
        <v>15</v>
      </c>
      <c r="D5561" s="5">
        <f ca="1">IF(getQuality(B5561)&lt;4,getOtherMin(B5561,C5561,INDIRECT(J$2),INDIRECT(I5561),test),getMin(B5561,C5561,INDIRECT(J$2),INDIRECT(I5561),test))</f>
        <v>217.36246358812596</v>
      </c>
      <c r="E5561" s="5">
        <f ca="1">IF(getQuality(B5561)&lt;4,getOtherMax(B5561,C5561,INDIRECT(J$2),INDIRECT(I5561),test),getMax(B5561,C5561,INDIRECT(J$2),INDIRECT(I5561),test))</f>
        <v>257.64971561591329</v>
      </c>
      <c r="F5561" s="1" t="str">
        <f t="shared" si="349"/>
        <v>50</v>
      </c>
      <c r="G5561" s="1" t="str">
        <f t="shared" ca="1" si="352"/>
        <v/>
      </c>
      <c r="I5561" s="1" t="str">
        <f t="shared" si="350"/>
        <v>威尔新数值1.06.xlsm!suitPower</v>
      </c>
    </row>
    <row r="5562" spans="1:9" x14ac:dyDescent="0.15">
      <c r="A5562" s="1">
        <v>5561</v>
      </c>
      <c r="B5562" s="1">
        <v>104090808</v>
      </c>
      <c r="C5562" s="1">
        <f t="shared" si="351"/>
        <v>101</v>
      </c>
      <c r="D5562" s="5">
        <f ca="1">IF(getQuality(B5562)&lt;4,getOtherMin(B5562,C5562,INDIRECT(J$2),INDIRECT(I5562),test),getMin(B5562,C5562,INDIRECT(J$2),INDIRECT(I5562),test))</f>
        <v>0.16</v>
      </c>
      <c r="E5562" s="5">
        <f ca="1">IF(getQuality(B5562)&lt;4,getOtherMax(B5562,C5562,INDIRECT(J$2),INDIRECT(I5562),test),getMax(B5562,C5562,INDIRECT(J$2),INDIRECT(I5562),test))</f>
        <v>0.19</v>
      </c>
      <c r="F5562" s="1" t="str">
        <f t="shared" si="349"/>
        <v>50</v>
      </c>
      <c r="G5562" s="1" t="str">
        <f t="shared" ca="1" si="352"/>
        <v/>
      </c>
      <c r="I5562" s="1" t="str">
        <f t="shared" si="350"/>
        <v>威尔新数值1.06.xlsm!circlePer</v>
      </c>
    </row>
    <row r="5563" spans="1:9" x14ac:dyDescent="0.15">
      <c r="A5563" s="1">
        <v>5562</v>
      </c>
      <c r="B5563" s="1">
        <v>104090808</v>
      </c>
      <c r="C5563" s="1">
        <f t="shared" si="351"/>
        <v>102</v>
      </c>
      <c r="D5563" s="5">
        <f ca="1">IF(getQuality(B5563)&lt;4,getOtherMin(B5563,C5563,INDIRECT(J$2),INDIRECT(I5563),test),getMin(B5563,C5563,INDIRECT(J$2),INDIRECT(I5563),test))</f>
        <v>1.4</v>
      </c>
      <c r="E5563" s="5">
        <f ca="1">IF(getQuality(B5563)&lt;4,getOtherMax(B5563,C5563,INDIRECT(J$2),INDIRECT(I5563),test),getMax(B5563,C5563,INDIRECT(J$2),INDIRECT(I5563),test))</f>
        <v>1.8</v>
      </c>
      <c r="F5563" s="1" t="str">
        <f t="shared" si="349"/>
        <v>50</v>
      </c>
      <c r="G5563" s="1" t="str">
        <f t="shared" ca="1" si="352"/>
        <v/>
      </c>
      <c r="I5563" s="1" t="str">
        <f t="shared" si="350"/>
        <v>威尔新数值1.06.xlsm!circleValue</v>
      </c>
    </row>
    <row r="5564" spans="1:9" x14ac:dyDescent="0.15">
      <c r="A5564" s="1">
        <v>5563</v>
      </c>
      <c r="B5564" s="1">
        <v>104090808</v>
      </c>
      <c r="C5564" s="1">
        <f t="shared" si="351"/>
        <v>103</v>
      </c>
      <c r="D5564" s="5">
        <f ca="1">IF(getQuality(B5564)&lt;4,getOtherMin(B5564,C5564,INDIRECT(J$2),INDIRECT(I5564),test),getMin(B5564,C5564,INDIRECT(J$2),INDIRECT(I5564),test))</f>
        <v>0.16</v>
      </c>
      <c r="E5564" s="5">
        <f ca="1">IF(getQuality(B5564)&lt;4,getOtherMax(B5564,C5564,INDIRECT(J$2),INDIRECT(I5564),test),getMax(B5564,C5564,INDIRECT(J$2),INDIRECT(I5564),test))</f>
        <v>0.19</v>
      </c>
      <c r="F5564" s="1" t="str">
        <f t="shared" si="349"/>
        <v>50</v>
      </c>
      <c r="G5564" s="1" t="str">
        <f t="shared" ca="1" si="352"/>
        <v/>
      </c>
      <c r="I5564" s="1" t="str">
        <f t="shared" si="350"/>
        <v>威尔新数值1.06.xlsm!otherDamage</v>
      </c>
    </row>
    <row r="5565" spans="1:9" x14ac:dyDescent="0.15">
      <c r="A5565" s="1">
        <v>5564</v>
      </c>
      <c r="B5565" s="1">
        <v>104090808</v>
      </c>
      <c r="C5565" s="1">
        <f t="shared" si="351"/>
        <v>104</v>
      </c>
      <c r="D5565" s="5">
        <f ca="1">IF(getQuality(B5565)&lt;4,getOtherMin(B5565,C5565,INDIRECT(J$2),INDIRECT(I5565),test),getMin(B5565,C5565,INDIRECT(J$2),INDIRECT(I5565),test))</f>
        <v>0.15</v>
      </c>
      <c r="E5565" s="5">
        <f ca="1">IF(getQuality(B5565)&lt;4,getOtherMax(B5565,C5565,INDIRECT(J$2),INDIRECT(I5565),test),getMax(B5565,C5565,INDIRECT(J$2),INDIRECT(I5565),test))</f>
        <v>0.3</v>
      </c>
      <c r="F5565" s="1" t="str">
        <f t="shared" si="349"/>
        <v>50</v>
      </c>
      <c r="G5565" s="1" t="str">
        <f t="shared" ca="1" si="352"/>
        <v/>
      </c>
      <c r="I5565" s="1" t="str">
        <f t="shared" si="350"/>
        <v>威尔新数值1.06.xlsm!monsterDamage</v>
      </c>
    </row>
    <row r="5566" spans="1:9" x14ac:dyDescent="0.15">
      <c r="A5566" s="1">
        <v>5565</v>
      </c>
      <c r="B5566" s="1">
        <v>104090808</v>
      </c>
      <c r="C5566" s="1">
        <f t="shared" si="351"/>
        <v>105</v>
      </c>
      <c r="D5566" s="5">
        <f ca="1">IF(getQuality(B5566)&lt;4,getOtherMin(B5566,C5566,INDIRECT(J$2),INDIRECT(I5566),test),getMin(B5566,C5566,INDIRECT(J$2),INDIRECT(I5566),test))</f>
        <v>0.15</v>
      </c>
      <c r="E5566" s="5">
        <f ca="1">IF(getQuality(B5566)&lt;4,getOtherMax(B5566,C5566,INDIRECT(J$2),INDIRECT(I5566),test),getMax(B5566,C5566,INDIRECT(J$2),INDIRECT(I5566),test))</f>
        <v>0.3</v>
      </c>
      <c r="F5566" s="1" t="str">
        <f t="shared" si="349"/>
        <v>50</v>
      </c>
      <c r="G5566" s="1" t="str">
        <f t="shared" ca="1" si="352"/>
        <v/>
      </c>
      <c r="I5566" s="1" t="str">
        <f t="shared" si="350"/>
        <v>威尔新数值1.06.xlsm!monsterDamage</v>
      </c>
    </row>
    <row r="5567" spans="1:9" x14ac:dyDescent="0.15">
      <c r="A5567" s="1">
        <v>5566</v>
      </c>
      <c r="B5567" s="1">
        <v>104090808</v>
      </c>
      <c r="C5567" s="1">
        <f t="shared" si="351"/>
        <v>106</v>
      </c>
      <c r="D5567" s="5">
        <f ca="1">IF(getQuality(B5567)&lt;4,getOtherMin(B5567,C5567,INDIRECT(J$2),INDIRECT(I5567),test),getMin(B5567,C5567,INDIRECT(J$2),INDIRECT(I5567),test))</f>
        <v>0.15</v>
      </c>
      <c r="E5567" s="5">
        <f ca="1">IF(getQuality(B5567)&lt;4,getOtherMax(B5567,C5567,INDIRECT(J$2),INDIRECT(I5567),test),getMax(B5567,C5567,INDIRECT(J$2),INDIRECT(I5567),test))</f>
        <v>0.3</v>
      </c>
      <c r="F5567" s="1" t="str">
        <f t="shared" si="349"/>
        <v>50</v>
      </c>
      <c r="G5567" s="1" t="str">
        <f t="shared" ca="1" si="352"/>
        <v/>
      </c>
      <c r="I5567" s="1" t="str">
        <f t="shared" si="350"/>
        <v>威尔新数值1.06.xlsm!monsterDamage</v>
      </c>
    </row>
    <row r="5568" spans="1:9" x14ac:dyDescent="0.15">
      <c r="A5568" s="1">
        <v>5567</v>
      </c>
      <c r="B5568" s="1">
        <v>104090808</v>
      </c>
      <c r="C5568" s="1">
        <f t="shared" si="351"/>
        <v>107</v>
      </c>
      <c r="D5568" s="5">
        <f ca="1">IF(getQuality(B5568)&lt;4,getOtherMin(B5568,C5568,INDIRECT(J$2),INDIRECT(I5568),test),getMin(B5568,C5568,INDIRECT(J$2),INDIRECT(I5568),test))</f>
        <v>0.15</v>
      </c>
      <c r="E5568" s="5">
        <f ca="1">IF(getQuality(B5568)&lt;4,getOtherMax(B5568,C5568,INDIRECT(J$2),INDIRECT(I5568),test),getMax(B5568,C5568,INDIRECT(J$2),INDIRECT(I5568),test))</f>
        <v>0.3</v>
      </c>
      <c r="F5568" s="1" t="str">
        <f t="shared" si="349"/>
        <v>50</v>
      </c>
      <c r="G5568" s="1" t="str">
        <f t="shared" ca="1" si="352"/>
        <v/>
      </c>
      <c r="I5568" s="1" t="str">
        <f t="shared" si="350"/>
        <v>威尔新数值1.06.xlsm!monsterDamage</v>
      </c>
    </row>
    <row r="5569" spans="1:9" x14ac:dyDescent="0.15">
      <c r="A5569" s="1">
        <v>5568</v>
      </c>
      <c r="B5569" s="1">
        <v>104090808</v>
      </c>
      <c r="C5569" s="1">
        <f t="shared" si="351"/>
        <v>108</v>
      </c>
      <c r="D5569" s="5">
        <f ca="1">IF(getQuality(B5569)&lt;4,getOtherMin(B5569,C5569,INDIRECT(J$2),INDIRECT(I5569),test),getMin(B5569,C5569,INDIRECT(J$2),INDIRECT(I5569),test))</f>
        <v>0.15</v>
      </c>
      <c r="E5569" s="5">
        <f ca="1">IF(getQuality(B5569)&lt;4,getOtherMax(B5569,C5569,INDIRECT(J$2),INDIRECT(I5569),test),getMax(B5569,C5569,INDIRECT(J$2),INDIRECT(I5569),test))</f>
        <v>0.3</v>
      </c>
      <c r="F5569" s="1" t="str">
        <f t="shared" si="349"/>
        <v>50</v>
      </c>
      <c r="G5569" s="1" t="str">
        <f t="shared" ca="1" si="352"/>
        <v/>
      </c>
      <c r="I5569" s="1" t="str">
        <f t="shared" si="350"/>
        <v>威尔新数值1.06.xlsm!monsterDamage</v>
      </c>
    </row>
    <row r="5570" spans="1:9" x14ac:dyDescent="0.15">
      <c r="A5570" s="1">
        <v>5569</v>
      </c>
      <c r="B5570" s="1">
        <v>204091408</v>
      </c>
      <c r="C5570" s="1">
        <f t="shared" si="351"/>
        <v>1</v>
      </c>
      <c r="D5570" s="5">
        <f ca="1">IF(getQuality(B5570)&lt;4,getOtherMin(B5570,C5570,INDIRECT(J$2),INDIRECT(I5570),test),getMin(B5570,C5570,INDIRECT(J$2),INDIRECT(I5570),test))</f>
        <v>869.97777777777776</v>
      </c>
      <c r="E5570" s="5">
        <f ca="1">IF(getQuality(B5570)&lt;4,getOtherMax(B5570,C5570,INDIRECT(J$2),INDIRECT(I5570),test),getMax(B5570,C5570,INDIRECT(J$2),INDIRECT(I5570),test))</f>
        <v>1034.8</v>
      </c>
      <c r="F5570" s="1" t="str">
        <f t="shared" si="349"/>
        <v>50</v>
      </c>
      <c r="G5570" s="1" t="str">
        <f t="shared" ca="1" si="352"/>
        <v/>
      </c>
      <c r="I5570" s="1" t="str">
        <f t="shared" si="350"/>
        <v>威尔新数值1.06.xlsm!suitPower</v>
      </c>
    </row>
    <row r="5571" spans="1:9" x14ac:dyDescent="0.15">
      <c r="A5571" s="1">
        <v>5570</v>
      </c>
      <c r="B5571" s="1">
        <v>204091408</v>
      </c>
      <c r="C5571" s="1">
        <f t="shared" si="351"/>
        <v>2</v>
      </c>
      <c r="D5571" s="5">
        <f ca="1">IF(getQuality(B5571)&lt;4,getOtherMin(B5571,C5571,INDIRECT(J$2),INDIRECT(I5571),test),getMin(B5571,C5571,INDIRECT(J$2),INDIRECT(I5571),test))</f>
        <v>42.777777777777779</v>
      </c>
      <c r="E5571" s="5">
        <f ca="1">IF(getQuality(B5571)&lt;4,getOtherMax(B5571,C5571,INDIRECT(J$2),INDIRECT(I5571),test),getMax(B5571,C5571,INDIRECT(J$2),INDIRECT(I5571),test))</f>
        <v>49.75</v>
      </c>
      <c r="F5571" s="1" t="str">
        <f t="shared" si="349"/>
        <v>50</v>
      </c>
      <c r="G5571" s="1" t="str">
        <f t="shared" ca="1" si="352"/>
        <v/>
      </c>
      <c r="I5571" s="1" t="str">
        <f t="shared" si="350"/>
        <v>威尔新数值1.06.xlsm!suitPower</v>
      </c>
    </row>
    <row r="5572" spans="1:9" x14ac:dyDescent="0.15">
      <c r="A5572" s="1">
        <v>5571</v>
      </c>
      <c r="B5572" s="1">
        <v>204091408</v>
      </c>
      <c r="C5572" s="1">
        <f t="shared" si="351"/>
        <v>4</v>
      </c>
      <c r="D5572" s="5">
        <f ca="1">IF(getQuality(B5572)&lt;4,getOtherMin(B5572,C5572,INDIRECT(J$2),INDIRECT(I5572),test),getMin(B5572,C5572,INDIRECT(J$2),INDIRECT(I5572),test))</f>
        <v>334.33333333333331</v>
      </c>
      <c r="E5572" s="5">
        <f ca="1">IF(getQuality(B5572)&lt;4,getOtherMax(B5572,C5572,INDIRECT(J$2),INDIRECT(I5572),test),getMax(B5572,C5572,INDIRECT(J$2),INDIRECT(I5572),test))</f>
        <v>375</v>
      </c>
      <c r="F5572" s="1" t="str">
        <f t="shared" si="349"/>
        <v>50</v>
      </c>
      <c r="G5572" s="1" t="str">
        <f t="shared" ca="1" si="352"/>
        <v>1</v>
      </c>
      <c r="I5572" s="1" t="str">
        <f t="shared" si="350"/>
        <v>威尔新数值1.06.xlsm!suitPower</v>
      </c>
    </row>
    <row r="5573" spans="1:9" x14ac:dyDescent="0.15">
      <c r="A5573" s="1">
        <v>5572</v>
      </c>
      <c r="B5573" s="1">
        <v>204091408</v>
      </c>
      <c r="C5573" s="1">
        <f t="shared" si="351"/>
        <v>6</v>
      </c>
      <c r="D5573" s="5">
        <f ca="1">IF(getQuality(B5573)&lt;4,getOtherMin(B5573,C5573,INDIRECT(J$2),INDIRECT(I5573),test),getMin(B5573,C5573,INDIRECT(J$2),INDIRECT(I5573),test))</f>
        <v>334.33333333333331</v>
      </c>
      <c r="E5573" s="5">
        <f ca="1">IF(getQuality(B5573)&lt;4,getOtherMax(B5573,C5573,INDIRECT(J$2),INDIRECT(I5573),test),getMax(B5573,C5573,INDIRECT(J$2),INDIRECT(I5573),test))</f>
        <v>375</v>
      </c>
      <c r="F5573" s="1" t="str">
        <f t="shared" si="349"/>
        <v>50</v>
      </c>
      <c r="G5573" s="1" t="str">
        <f t="shared" ca="1" si="352"/>
        <v/>
      </c>
      <c r="I5573" s="1" t="str">
        <f t="shared" si="350"/>
        <v>威尔新数值1.06.xlsm!suitPower</v>
      </c>
    </row>
    <row r="5574" spans="1:9" x14ac:dyDescent="0.15">
      <c r="A5574" s="1">
        <v>5573</v>
      </c>
      <c r="B5574" s="1">
        <v>204091408</v>
      </c>
      <c r="C5574" s="1">
        <f t="shared" si="351"/>
        <v>7</v>
      </c>
      <c r="D5574" s="5">
        <f ca="1">IF(getQuality(B5574)&lt;4,getOtherMin(B5574,C5574,INDIRECT(J$2),INDIRECT(I5574),test),getMin(B5574,C5574,INDIRECT(J$2),INDIRECT(I5574),test))</f>
        <v>30.629629629629555</v>
      </c>
      <c r="E5574" s="5">
        <f ca="1">IF(getQuality(B5574)&lt;4,getOtherMax(B5574,C5574,INDIRECT(J$2),INDIRECT(I5574),test),getMax(B5574,C5574,INDIRECT(J$2),INDIRECT(I5574),test))</f>
        <v>33.33333333333325</v>
      </c>
      <c r="F5574" s="1" t="str">
        <f t="shared" si="349"/>
        <v>50</v>
      </c>
      <c r="G5574" s="1" t="str">
        <f t="shared" ca="1" si="352"/>
        <v/>
      </c>
      <c r="I5574" s="1" t="str">
        <f t="shared" si="350"/>
        <v>威尔新数值1.06.xlsm!suitPower</v>
      </c>
    </row>
    <row r="5575" spans="1:9" x14ac:dyDescent="0.15">
      <c r="A5575" s="1">
        <v>5574</v>
      </c>
      <c r="B5575" s="1">
        <v>204091408</v>
      </c>
      <c r="C5575" s="1">
        <f t="shared" si="351"/>
        <v>8</v>
      </c>
      <c r="D5575" s="5">
        <f ca="1">IF(getQuality(B5575)&lt;4,getOtherMin(B5575,C5575,INDIRECT(J$2),INDIRECT(I5575),test),getMin(B5575,C5575,INDIRECT(J$2),INDIRECT(I5575),test))</f>
        <v>67.666666666666671</v>
      </c>
      <c r="E5575" s="5">
        <f ca="1">IF(getQuality(B5575)&lt;4,getOtherMax(B5575,C5575,INDIRECT(J$2),INDIRECT(I5575),test),getMax(B5575,C5575,INDIRECT(J$2),INDIRECT(I5575),test))</f>
        <v>75</v>
      </c>
      <c r="F5575" s="1" t="str">
        <f t="shared" si="349"/>
        <v>50</v>
      </c>
      <c r="G5575" s="1" t="str">
        <f t="shared" ca="1" si="352"/>
        <v/>
      </c>
      <c r="I5575" s="1" t="str">
        <f t="shared" si="350"/>
        <v>威尔新数值1.06.xlsm!suitPower</v>
      </c>
    </row>
    <row r="5576" spans="1:9" x14ac:dyDescent="0.15">
      <c r="A5576" s="1">
        <v>5575</v>
      </c>
      <c r="B5576" s="1">
        <v>204091408</v>
      </c>
      <c r="C5576" s="1">
        <f t="shared" si="351"/>
        <v>16</v>
      </c>
      <c r="D5576" s="5">
        <f ca="1">IF(getQuality(B5576)&lt;4,getOtherMin(B5576,C5576,INDIRECT(J$2),INDIRECT(I5576),test),getMin(B5576,C5576,INDIRECT(J$2),INDIRECT(I5576),test))</f>
        <v>54.333333333333329</v>
      </c>
      <c r="E5576" s="5">
        <f ca="1">IF(getQuality(B5576)&lt;4,getOtherMax(B5576,C5576,INDIRECT(J$2),INDIRECT(I5576),test),getMax(B5576,C5576,INDIRECT(J$2),INDIRECT(I5576),test))</f>
        <v>60</v>
      </c>
      <c r="F5576" s="1" t="str">
        <f t="shared" si="349"/>
        <v>50</v>
      </c>
      <c r="G5576" s="1" t="str">
        <f t="shared" ca="1" si="352"/>
        <v/>
      </c>
      <c r="I5576" s="1" t="str">
        <f t="shared" si="350"/>
        <v>威尔新数值1.06.xlsm!suitPower</v>
      </c>
    </row>
    <row r="5577" spans="1:9" x14ac:dyDescent="0.15">
      <c r="A5577" s="1">
        <v>5576</v>
      </c>
      <c r="B5577" s="1">
        <v>204091408</v>
      </c>
      <c r="C5577" s="1">
        <f t="shared" si="351"/>
        <v>17</v>
      </c>
      <c r="D5577" s="5">
        <f ca="1">IF(getQuality(B5577)&lt;4,getOtherMin(B5577,C5577,INDIRECT(J$2),INDIRECT(I5577),test),getMin(B5577,C5577,INDIRECT(J$2),INDIRECT(I5577),test))</f>
        <v>81</v>
      </c>
      <c r="E5577" s="5">
        <f ca="1">IF(getQuality(B5577)&lt;4,getOtherMax(B5577,C5577,INDIRECT(J$2),INDIRECT(I5577),test),getMax(B5577,C5577,INDIRECT(J$2),INDIRECT(I5577),test))</f>
        <v>90</v>
      </c>
      <c r="F5577" s="1" t="str">
        <f t="shared" si="349"/>
        <v>50</v>
      </c>
      <c r="G5577" s="1" t="str">
        <f t="shared" ca="1" si="352"/>
        <v/>
      </c>
      <c r="I5577" s="1" t="str">
        <f t="shared" si="350"/>
        <v>威尔新数值1.06.xlsm!suitPower</v>
      </c>
    </row>
    <row r="5578" spans="1:9" x14ac:dyDescent="0.15">
      <c r="A5578" s="1">
        <v>5577</v>
      </c>
      <c r="B5578" s="1">
        <v>204091408</v>
      </c>
      <c r="C5578" s="1">
        <f t="shared" si="351"/>
        <v>18</v>
      </c>
      <c r="D5578" s="5">
        <f ca="1">IF(getQuality(B5578)&lt;4,getOtherMin(B5578,C5578,INDIRECT(J$2),INDIRECT(I5578),test),getMin(B5578,C5578,INDIRECT(J$2),INDIRECT(I5578),test))</f>
        <v>54.333333333333329</v>
      </c>
      <c r="E5578" s="5">
        <f ca="1">IF(getQuality(B5578)&lt;4,getOtherMax(B5578,C5578,INDIRECT(J$2),INDIRECT(I5578),test),getMax(B5578,C5578,INDIRECT(J$2),INDIRECT(I5578),test))</f>
        <v>60</v>
      </c>
      <c r="F5578" s="1" t="str">
        <f t="shared" si="349"/>
        <v>50</v>
      </c>
      <c r="G5578" s="1" t="str">
        <f t="shared" ca="1" si="352"/>
        <v/>
      </c>
      <c r="I5578" s="1" t="str">
        <f t="shared" si="350"/>
        <v>威尔新数值1.06.xlsm!suitPower</v>
      </c>
    </row>
    <row r="5579" spans="1:9" x14ac:dyDescent="0.15">
      <c r="A5579" s="1">
        <v>5578</v>
      </c>
      <c r="B5579" s="1">
        <v>204091408</v>
      </c>
      <c r="C5579" s="1">
        <f t="shared" si="351"/>
        <v>19</v>
      </c>
      <c r="D5579" s="5">
        <f ca="1">IF(getQuality(B5579)&lt;4,getOtherMin(B5579,C5579,INDIRECT(J$2),INDIRECT(I5579),test),getMin(B5579,C5579,INDIRECT(J$2),INDIRECT(I5579),test))</f>
        <v>54.333333333333329</v>
      </c>
      <c r="E5579" s="5">
        <f ca="1">IF(getQuality(B5579)&lt;4,getOtherMax(B5579,C5579,INDIRECT(J$2),INDIRECT(I5579),test),getMax(B5579,C5579,INDIRECT(J$2),INDIRECT(I5579),test))</f>
        <v>60</v>
      </c>
      <c r="F5579" s="1" t="str">
        <f t="shared" si="349"/>
        <v>50</v>
      </c>
      <c r="G5579" s="1" t="str">
        <f t="shared" ca="1" si="352"/>
        <v/>
      </c>
      <c r="I5579" s="1" t="str">
        <f t="shared" si="350"/>
        <v>威尔新数值1.06.xlsm!suitPower</v>
      </c>
    </row>
    <row r="5580" spans="1:9" x14ac:dyDescent="0.15">
      <c r="A5580" s="1">
        <v>5579</v>
      </c>
      <c r="B5580" s="1">
        <v>204091408</v>
      </c>
      <c r="C5580" s="1">
        <f t="shared" si="351"/>
        <v>20</v>
      </c>
      <c r="D5580" s="5">
        <f ca="1">IF(getQuality(B5580)&lt;4,getOtherMin(B5580,C5580,INDIRECT(J$2),INDIRECT(I5580),test),getMin(B5580,C5580,INDIRECT(J$2),INDIRECT(I5580),test))</f>
        <v>54.333333333333329</v>
      </c>
      <c r="E5580" s="5">
        <f ca="1">IF(getQuality(B5580)&lt;4,getOtherMax(B5580,C5580,INDIRECT(J$2),INDIRECT(I5580),test),getMax(B5580,C5580,INDIRECT(J$2),INDIRECT(I5580),test))</f>
        <v>60</v>
      </c>
      <c r="F5580" s="1" t="str">
        <f t="shared" si="349"/>
        <v>50</v>
      </c>
      <c r="G5580" s="1" t="str">
        <f t="shared" ca="1" si="352"/>
        <v/>
      </c>
      <c r="I5580" s="1" t="str">
        <f t="shared" si="350"/>
        <v>威尔新数值1.06.xlsm!suitPower</v>
      </c>
    </row>
    <row r="5581" spans="1:9" x14ac:dyDescent="0.15">
      <c r="A5581" s="1">
        <v>5580</v>
      </c>
      <c r="B5581" s="1">
        <v>204091408</v>
      </c>
      <c r="C5581" s="1">
        <f t="shared" si="351"/>
        <v>21</v>
      </c>
      <c r="D5581" s="5">
        <f ca="1">IF(getQuality(B5581)&lt;4,getOtherMin(B5581,C5581,INDIRECT(J$2),INDIRECT(I5581),test),getMin(B5581,C5581,INDIRECT(J$2),INDIRECT(I5581),test))</f>
        <v>54.333333333333329</v>
      </c>
      <c r="E5581" s="5">
        <f ca="1">IF(getQuality(B5581)&lt;4,getOtherMax(B5581,C5581,INDIRECT(J$2),INDIRECT(I5581),test),getMax(B5581,C5581,INDIRECT(J$2),INDIRECT(I5581),test))</f>
        <v>60</v>
      </c>
      <c r="F5581" s="1" t="str">
        <f t="shared" si="349"/>
        <v>50</v>
      </c>
      <c r="G5581" s="1" t="str">
        <f t="shared" ca="1" si="352"/>
        <v/>
      </c>
      <c r="I5581" s="1" t="str">
        <f t="shared" si="350"/>
        <v>威尔新数值1.06.xlsm!suitPower</v>
      </c>
    </row>
    <row r="5582" spans="1:9" x14ac:dyDescent="0.15">
      <c r="A5582" s="1">
        <v>5581</v>
      </c>
      <c r="B5582" s="1">
        <v>204091408</v>
      </c>
      <c r="C5582" s="1">
        <f t="shared" si="351"/>
        <v>22</v>
      </c>
      <c r="D5582" s="5">
        <f ca="1">IF(getQuality(B5582)&lt;4,getOtherMin(B5582,C5582,INDIRECT(J$2),INDIRECT(I5582),test),getMin(B5582,C5582,INDIRECT(J$2),INDIRECT(I5582),test))</f>
        <v>54.333333333333329</v>
      </c>
      <c r="E5582" s="5">
        <f ca="1">IF(getQuality(B5582)&lt;4,getOtherMax(B5582,C5582,INDIRECT(J$2),INDIRECT(I5582),test),getMax(B5582,C5582,INDIRECT(J$2),INDIRECT(I5582),test))</f>
        <v>60</v>
      </c>
      <c r="F5582" s="1" t="str">
        <f t="shared" si="349"/>
        <v>50</v>
      </c>
      <c r="G5582" s="1" t="str">
        <f t="shared" ca="1" si="352"/>
        <v/>
      </c>
      <c r="I5582" s="1" t="str">
        <f t="shared" si="350"/>
        <v>威尔新数值1.06.xlsm!suitPower</v>
      </c>
    </row>
    <row r="5583" spans="1:9" x14ac:dyDescent="0.15">
      <c r="A5583" s="1">
        <v>5582</v>
      </c>
      <c r="B5583" s="1">
        <v>204091408</v>
      </c>
      <c r="C5583" s="1">
        <f t="shared" si="351"/>
        <v>23</v>
      </c>
      <c r="D5583" s="5">
        <f ca="1">IF(getQuality(B5583)&lt;4,getOtherMin(B5583,C5583,INDIRECT(J$2),INDIRECT(I5583),test),getMin(B5583,C5583,INDIRECT(J$2),INDIRECT(I5583),test))</f>
        <v>54.333333333333329</v>
      </c>
      <c r="E5583" s="5">
        <f ca="1">IF(getQuality(B5583)&lt;4,getOtherMax(B5583,C5583,INDIRECT(J$2),INDIRECT(I5583),test),getMax(B5583,C5583,INDIRECT(J$2),INDIRECT(I5583),test))</f>
        <v>60</v>
      </c>
      <c r="F5583" s="1" t="str">
        <f t="shared" si="349"/>
        <v>50</v>
      </c>
      <c r="G5583" s="1" t="str">
        <f t="shared" ca="1" si="352"/>
        <v/>
      </c>
      <c r="I5583" s="1" t="str">
        <f t="shared" si="350"/>
        <v>威尔新数值1.06.xlsm!suitPower</v>
      </c>
    </row>
    <row r="5584" spans="1:9" x14ac:dyDescent="0.15">
      <c r="A5584" s="1">
        <v>5583</v>
      </c>
      <c r="B5584" s="1">
        <v>304091508</v>
      </c>
      <c r="C5584" s="1">
        <f t="shared" si="351"/>
        <v>1</v>
      </c>
      <c r="D5584" s="5">
        <f ca="1">IF(getQuality(B5584)&lt;4,getOtherMin(B5584,C5584,INDIRECT(J$2),INDIRECT(I5584),test),getMin(B5584,C5584,INDIRECT(J$2),INDIRECT(I5584),test))</f>
        <v>869.97777777777776</v>
      </c>
      <c r="E5584" s="5">
        <f ca="1">IF(getQuality(B5584)&lt;4,getOtherMax(B5584,C5584,INDIRECT(J$2),INDIRECT(I5584),test),getMax(B5584,C5584,INDIRECT(J$2),INDIRECT(I5584),test))</f>
        <v>1034.8</v>
      </c>
      <c r="F5584" s="1" t="str">
        <f t="shared" si="349"/>
        <v>50</v>
      </c>
      <c r="G5584" s="1" t="str">
        <f t="shared" ca="1" si="352"/>
        <v/>
      </c>
      <c r="I5584" s="1" t="str">
        <f t="shared" si="350"/>
        <v>威尔新数值1.06.xlsm!suitPower</v>
      </c>
    </row>
    <row r="5585" spans="1:9" x14ac:dyDescent="0.15">
      <c r="A5585" s="1">
        <v>5584</v>
      </c>
      <c r="B5585" s="1">
        <v>304091508</v>
      </c>
      <c r="C5585" s="1">
        <f t="shared" si="351"/>
        <v>2</v>
      </c>
      <c r="D5585" s="5">
        <f ca="1">IF(getQuality(B5585)&lt;4,getOtherMin(B5585,C5585,INDIRECT(J$2),INDIRECT(I5585),test),getMin(B5585,C5585,INDIRECT(J$2),INDIRECT(I5585),test))</f>
        <v>42.777777777777779</v>
      </c>
      <c r="E5585" s="5">
        <f ca="1">IF(getQuality(B5585)&lt;4,getOtherMax(B5585,C5585,INDIRECT(J$2),INDIRECT(I5585),test),getMax(B5585,C5585,INDIRECT(J$2),INDIRECT(I5585),test))</f>
        <v>49.75</v>
      </c>
      <c r="F5585" s="1" t="str">
        <f t="shared" si="349"/>
        <v>50</v>
      </c>
      <c r="G5585" s="1" t="str">
        <f t="shared" ca="1" si="352"/>
        <v/>
      </c>
      <c r="I5585" s="1" t="str">
        <f t="shared" si="350"/>
        <v>威尔新数值1.06.xlsm!suitPower</v>
      </c>
    </row>
    <row r="5586" spans="1:9" x14ac:dyDescent="0.15">
      <c r="A5586" s="1">
        <v>5585</v>
      </c>
      <c r="B5586" s="1">
        <v>304091508</v>
      </c>
      <c r="C5586" s="1">
        <f t="shared" si="351"/>
        <v>4</v>
      </c>
      <c r="D5586" s="5">
        <f ca="1">IF(getQuality(B5586)&lt;4,getOtherMin(B5586,C5586,INDIRECT(J$2),INDIRECT(I5586),test),getMin(B5586,C5586,INDIRECT(J$2),INDIRECT(I5586),test))</f>
        <v>334.33333333333331</v>
      </c>
      <c r="E5586" s="5">
        <f ca="1">IF(getQuality(B5586)&lt;4,getOtherMax(B5586,C5586,INDIRECT(J$2),INDIRECT(I5586),test),getMax(B5586,C5586,INDIRECT(J$2),INDIRECT(I5586),test))</f>
        <v>375</v>
      </c>
      <c r="F5586" s="1" t="str">
        <f t="shared" si="349"/>
        <v>50</v>
      </c>
      <c r="G5586" s="1" t="str">
        <f t="shared" ca="1" si="352"/>
        <v>1</v>
      </c>
      <c r="I5586" s="1" t="str">
        <f t="shared" si="350"/>
        <v>威尔新数值1.06.xlsm!suitPower</v>
      </c>
    </row>
    <row r="5587" spans="1:9" x14ac:dyDescent="0.15">
      <c r="A5587" s="1">
        <v>5586</v>
      </c>
      <c r="B5587" s="1">
        <v>304091508</v>
      </c>
      <c r="C5587" s="1">
        <f t="shared" si="351"/>
        <v>6</v>
      </c>
      <c r="D5587" s="5">
        <f ca="1">IF(getQuality(B5587)&lt;4,getOtherMin(B5587,C5587,INDIRECT(J$2),INDIRECT(I5587),test),getMin(B5587,C5587,INDIRECT(J$2),INDIRECT(I5587),test))</f>
        <v>334.33333333333331</v>
      </c>
      <c r="E5587" s="5">
        <f ca="1">IF(getQuality(B5587)&lt;4,getOtherMax(B5587,C5587,INDIRECT(J$2),INDIRECT(I5587),test),getMax(B5587,C5587,INDIRECT(J$2),INDIRECT(I5587),test))</f>
        <v>375</v>
      </c>
      <c r="F5587" s="1" t="str">
        <f t="shared" ref="F5587:F5650" si="353">getper(B5587,C5587)</f>
        <v>50</v>
      </c>
      <c r="G5587" s="1" t="str">
        <f t="shared" ca="1" si="352"/>
        <v/>
      </c>
      <c r="I5587" s="1" t="str">
        <f t="shared" ref="I5587:I5650" si="354">IF(C5587&lt;100,VLOOKUP(C5587,test,3,FALSE),VLOOKUP(C5587,test1,3,FALSE))</f>
        <v>威尔新数值1.06.xlsm!suitPower</v>
      </c>
    </row>
    <row r="5588" spans="1:9" x14ac:dyDescent="0.15">
      <c r="A5588" s="1">
        <v>5587</v>
      </c>
      <c r="B5588" s="1">
        <v>304091508</v>
      </c>
      <c r="C5588" s="1">
        <f t="shared" si="351"/>
        <v>7</v>
      </c>
      <c r="D5588" s="5">
        <f ca="1">IF(getQuality(B5588)&lt;4,getOtherMin(B5588,C5588,INDIRECT(J$2),INDIRECT(I5588),test),getMin(B5588,C5588,INDIRECT(J$2),INDIRECT(I5588),test))</f>
        <v>30.629629629629555</v>
      </c>
      <c r="E5588" s="5">
        <f ca="1">IF(getQuality(B5588)&lt;4,getOtherMax(B5588,C5588,INDIRECT(J$2),INDIRECT(I5588),test),getMax(B5588,C5588,INDIRECT(J$2),INDIRECT(I5588),test))</f>
        <v>33.33333333333325</v>
      </c>
      <c r="F5588" s="1" t="str">
        <f t="shared" si="353"/>
        <v>50</v>
      </c>
      <c r="G5588" s="1" t="str">
        <f t="shared" ca="1" si="352"/>
        <v/>
      </c>
      <c r="I5588" s="1" t="str">
        <f t="shared" si="354"/>
        <v>威尔新数值1.06.xlsm!suitPower</v>
      </c>
    </row>
    <row r="5589" spans="1:9" x14ac:dyDescent="0.15">
      <c r="A5589" s="1">
        <v>5588</v>
      </c>
      <c r="B5589" s="1">
        <v>304091508</v>
      </c>
      <c r="C5589" s="1">
        <f t="shared" si="351"/>
        <v>8</v>
      </c>
      <c r="D5589" s="5">
        <f ca="1">IF(getQuality(B5589)&lt;4,getOtherMin(B5589,C5589,INDIRECT(J$2),INDIRECT(I5589),test),getMin(B5589,C5589,INDIRECT(J$2),INDIRECT(I5589),test))</f>
        <v>67.666666666666671</v>
      </c>
      <c r="E5589" s="5">
        <f ca="1">IF(getQuality(B5589)&lt;4,getOtherMax(B5589,C5589,INDIRECT(J$2),INDIRECT(I5589),test),getMax(B5589,C5589,INDIRECT(J$2),INDIRECT(I5589),test))</f>
        <v>75</v>
      </c>
      <c r="F5589" s="1" t="str">
        <f t="shared" si="353"/>
        <v>50</v>
      </c>
      <c r="G5589" s="1" t="str">
        <f t="shared" ca="1" si="352"/>
        <v/>
      </c>
      <c r="I5589" s="1" t="str">
        <f t="shared" si="354"/>
        <v>威尔新数值1.06.xlsm!suitPower</v>
      </c>
    </row>
    <row r="5590" spans="1:9" x14ac:dyDescent="0.15">
      <c r="A5590" s="1">
        <v>5589</v>
      </c>
      <c r="B5590" s="1">
        <v>304091508</v>
      </c>
      <c r="C5590" s="1">
        <f t="shared" ref="C5590:C5653" si="355">C5543</f>
        <v>16</v>
      </c>
      <c r="D5590" s="5">
        <f ca="1">IF(getQuality(B5590)&lt;4,getOtherMin(B5590,C5590,INDIRECT(J$2),INDIRECT(I5590),test),getMin(B5590,C5590,INDIRECT(J$2),INDIRECT(I5590),test))</f>
        <v>54.333333333333329</v>
      </c>
      <c r="E5590" s="5">
        <f ca="1">IF(getQuality(B5590)&lt;4,getOtherMax(B5590,C5590,INDIRECT(J$2),INDIRECT(I5590),test),getMax(B5590,C5590,INDIRECT(J$2),INDIRECT(I5590),test))</f>
        <v>60</v>
      </c>
      <c r="F5590" s="1" t="str">
        <f t="shared" si="353"/>
        <v>50</v>
      </c>
      <c r="G5590" s="1" t="str">
        <f t="shared" ca="1" si="352"/>
        <v/>
      </c>
      <c r="I5590" s="1" t="str">
        <f t="shared" si="354"/>
        <v>威尔新数值1.06.xlsm!suitPower</v>
      </c>
    </row>
    <row r="5591" spans="1:9" x14ac:dyDescent="0.15">
      <c r="A5591" s="1">
        <v>5590</v>
      </c>
      <c r="B5591" s="1">
        <v>304091508</v>
      </c>
      <c r="C5591" s="1">
        <f t="shared" si="355"/>
        <v>17</v>
      </c>
      <c r="D5591" s="5">
        <f ca="1">IF(getQuality(B5591)&lt;4,getOtherMin(B5591,C5591,INDIRECT(J$2),INDIRECT(I5591),test),getMin(B5591,C5591,INDIRECT(J$2),INDIRECT(I5591),test))</f>
        <v>81</v>
      </c>
      <c r="E5591" s="5">
        <f ca="1">IF(getQuality(B5591)&lt;4,getOtherMax(B5591,C5591,INDIRECT(J$2),INDIRECT(I5591),test),getMax(B5591,C5591,INDIRECT(J$2),INDIRECT(I5591),test))</f>
        <v>90</v>
      </c>
      <c r="F5591" s="1" t="str">
        <f t="shared" si="353"/>
        <v>50</v>
      </c>
      <c r="G5591" s="1" t="str">
        <f t="shared" ca="1" si="352"/>
        <v/>
      </c>
      <c r="I5591" s="1" t="str">
        <f t="shared" si="354"/>
        <v>威尔新数值1.06.xlsm!suitPower</v>
      </c>
    </row>
    <row r="5592" spans="1:9" x14ac:dyDescent="0.15">
      <c r="A5592" s="1">
        <v>5591</v>
      </c>
      <c r="B5592" s="1">
        <v>304091508</v>
      </c>
      <c r="C5592" s="1">
        <f t="shared" si="355"/>
        <v>18</v>
      </c>
      <c r="D5592" s="5">
        <f ca="1">IF(getQuality(B5592)&lt;4,getOtherMin(B5592,C5592,INDIRECT(J$2),INDIRECT(I5592),test),getMin(B5592,C5592,INDIRECT(J$2),INDIRECT(I5592),test))</f>
        <v>54.333333333333329</v>
      </c>
      <c r="E5592" s="5">
        <f ca="1">IF(getQuality(B5592)&lt;4,getOtherMax(B5592,C5592,INDIRECT(J$2),INDIRECT(I5592),test),getMax(B5592,C5592,INDIRECT(J$2),INDIRECT(I5592),test))</f>
        <v>60</v>
      </c>
      <c r="F5592" s="1" t="str">
        <f t="shared" si="353"/>
        <v>50</v>
      </c>
      <c r="G5592" s="1" t="str">
        <f t="shared" ca="1" si="352"/>
        <v/>
      </c>
      <c r="I5592" s="1" t="str">
        <f t="shared" si="354"/>
        <v>威尔新数值1.06.xlsm!suitPower</v>
      </c>
    </row>
    <row r="5593" spans="1:9" x14ac:dyDescent="0.15">
      <c r="A5593" s="1">
        <v>5592</v>
      </c>
      <c r="B5593" s="1">
        <v>304091508</v>
      </c>
      <c r="C5593" s="1">
        <f t="shared" si="355"/>
        <v>19</v>
      </c>
      <c r="D5593" s="5">
        <f ca="1">IF(getQuality(B5593)&lt;4,getOtherMin(B5593,C5593,INDIRECT(J$2),INDIRECT(I5593),test),getMin(B5593,C5593,INDIRECT(J$2),INDIRECT(I5593),test))</f>
        <v>54.333333333333329</v>
      </c>
      <c r="E5593" s="5">
        <f ca="1">IF(getQuality(B5593)&lt;4,getOtherMax(B5593,C5593,INDIRECT(J$2),INDIRECT(I5593),test),getMax(B5593,C5593,INDIRECT(J$2),INDIRECT(I5593),test))</f>
        <v>60</v>
      </c>
      <c r="F5593" s="1" t="str">
        <f t="shared" si="353"/>
        <v>50</v>
      </c>
      <c r="G5593" s="1" t="str">
        <f t="shared" ca="1" si="352"/>
        <v/>
      </c>
      <c r="I5593" s="1" t="str">
        <f t="shared" si="354"/>
        <v>威尔新数值1.06.xlsm!suitPower</v>
      </c>
    </row>
    <row r="5594" spans="1:9" x14ac:dyDescent="0.15">
      <c r="A5594" s="1">
        <v>5593</v>
      </c>
      <c r="B5594" s="1">
        <v>304091508</v>
      </c>
      <c r="C5594" s="1">
        <f t="shared" si="355"/>
        <v>20</v>
      </c>
      <c r="D5594" s="5">
        <f ca="1">IF(getQuality(B5594)&lt;4,getOtherMin(B5594,C5594,INDIRECT(J$2),INDIRECT(I5594),test),getMin(B5594,C5594,INDIRECT(J$2),INDIRECT(I5594),test))</f>
        <v>54.333333333333329</v>
      </c>
      <c r="E5594" s="5">
        <f ca="1">IF(getQuality(B5594)&lt;4,getOtherMax(B5594,C5594,INDIRECT(J$2),INDIRECT(I5594),test),getMax(B5594,C5594,INDIRECT(J$2),INDIRECT(I5594),test))</f>
        <v>60</v>
      </c>
      <c r="F5594" s="1" t="str">
        <f t="shared" si="353"/>
        <v>50</v>
      </c>
      <c r="G5594" s="1" t="str">
        <f t="shared" ca="1" si="352"/>
        <v/>
      </c>
      <c r="I5594" s="1" t="str">
        <f t="shared" si="354"/>
        <v>威尔新数值1.06.xlsm!suitPower</v>
      </c>
    </row>
    <row r="5595" spans="1:9" x14ac:dyDescent="0.15">
      <c r="A5595" s="1">
        <v>5594</v>
      </c>
      <c r="B5595" s="1">
        <v>304091508</v>
      </c>
      <c r="C5595" s="1">
        <f t="shared" si="355"/>
        <v>21</v>
      </c>
      <c r="D5595" s="5">
        <f ca="1">IF(getQuality(B5595)&lt;4,getOtherMin(B5595,C5595,INDIRECT(J$2),INDIRECT(I5595),test),getMin(B5595,C5595,INDIRECT(J$2),INDIRECT(I5595),test))</f>
        <v>54.333333333333329</v>
      </c>
      <c r="E5595" s="5">
        <f ca="1">IF(getQuality(B5595)&lt;4,getOtherMax(B5595,C5595,INDIRECT(J$2),INDIRECT(I5595),test),getMax(B5595,C5595,INDIRECT(J$2),INDIRECT(I5595),test))</f>
        <v>60</v>
      </c>
      <c r="F5595" s="1" t="str">
        <f t="shared" si="353"/>
        <v>50</v>
      </c>
      <c r="G5595" s="1" t="str">
        <f t="shared" ca="1" si="352"/>
        <v/>
      </c>
      <c r="I5595" s="1" t="str">
        <f t="shared" si="354"/>
        <v>威尔新数值1.06.xlsm!suitPower</v>
      </c>
    </row>
    <row r="5596" spans="1:9" x14ac:dyDescent="0.15">
      <c r="A5596" s="1">
        <v>5595</v>
      </c>
      <c r="B5596" s="1">
        <v>304091508</v>
      </c>
      <c r="C5596" s="1">
        <f t="shared" si="355"/>
        <v>22</v>
      </c>
      <c r="D5596" s="5">
        <f ca="1">IF(getQuality(B5596)&lt;4,getOtherMin(B5596,C5596,INDIRECT(J$2),INDIRECT(I5596),test),getMin(B5596,C5596,INDIRECT(J$2),INDIRECT(I5596),test))</f>
        <v>54.333333333333329</v>
      </c>
      <c r="E5596" s="5">
        <f ca="1">IF(getQuality(B5596)&lt;4,getOtherMax(B5596,C5596,INDIRECT(J$2),INDIRECT(I5596),test),getMax(B5596,C5596,INDIRECT(J$2),INDIRECT(I5596),test))</f>
        <v>60</v>
      </c>
      <c r="F5596" s="1" t="str">
        <f t="shared" si="353"/>
        <v>50</v>
      </c>
      <c r="G5596" s="1" t="str">
        <f t="shared" ca="1" si="352"/>
        <v/>
      </c>
      <c r="I5596" s="1" t="str">
        <f t="shared" si="354"/>
        <v>威尔新数值1.06.xlsm!suitPower</v>
      </c>
    </row>
    <row r="5597" spans="1:9" x14ac:dyDescent="0.15">
      <c r="A5597" s="1">
        <v>5596</v>
      </c>
      <c r="B5597" s="1">
        <v>304091508</v>
      </c>
      <c r="C5597" s="1">
        <f t="shared" si="355"/>
        <v>23</v>
      </c>
      <c r="D5597" s="5">
        <f ca="1">IF(getQuality(B5597)&lt;4,getOtherMin(B5597,C5597,INDIRECT(J$2),INDIRECT(I5597),test),getMin(B5597,C5597,INDIRECT(J$2),INDIRECT(I5597),test))</f>
        <v>54.333333333333329</v>
      </c>
      <c r="E5597" s="5">
        <f ca="1">IF(getQuality(B5597)&lt;4,getOtherMax(B5597,C5597,INDIRECT(J$2),INDIRECT(I5597),test),getMax(B5597,C5597,INDIRECT(J$2),INDIRECT(I5597),test))</f>
        <v>60</v>
      </c>
      <c r="F5597" s="1" t="str">
        <f t="shared" si="353"/>
        <v>50</v>
      </c>
      <c r="G5597" s="1" t="str">
        <f t="shared" ca="1" si="352"/>
        <v/>
      </c>
      <c r="I5597" s="1" t="str">
        <f t="shared" si="354"/>
        <v>威尔新数值1.06.xlsm!suitPower</v>
      </c>
    </row>
    <row r="5598" spans="1:9" x14ac:dyDescent="0.15">
      <c r="A5598" s="1">
        <v>5597</v>
      </c>
      <c r="B5598" s="1">
        <v>104090909</v>
      </c>
      <c r="C5598" s="1">
        <f t="shared" si="355"/>
        <v>3</v>
      </c>
      <c r="D5598" s="5">
        <f ca="1">IF(getQuality(B5598)&lt;4,getOtherMin(B5598,C5598,INDIRECT(J$2),INDIRECT(I5598),test),getMin(B5598,C5598,INDIRECT(J$2),INDIRECT(I5598),test))</f>
        <v>248.55840000000001</v>
      </c>
      <c r="E5598" s="5">
        <f ca="1">IF(getQuality(B5598)&lt;4,getOtherMax(B5598,C5598,INDIRECT(J$2),INDIRECT(I5598),test),getMax(B5598,C5598,INDIRECT(J$2),INDIRECT(I5598),test))</f>
        <v>294.79860000000002</v>
      </c>
      <c r="F5598" s="1" t="str">
        <f t="shared" si="353"/>
        <v>50</v>
      </c>
      <c r="G5598" s="1" t="str">
        <f t="shared" ca="1" si="352"/>
        <v/>
      </c>
      <c r="I5598" s="1" t="str">
        <f t="shared" si="354"/>
        <v>威尔新数值1.06.xlsm!suitPower</v>
      </c>
    </row>
    <row r="5599" spans="1:9" x14ac:dyDescent="0.15">
      <c r="A5599" s="1">
        <v>5598</v>
      </c>
      <c r="B5599" s="1">
        <v>104090909</v>
      </c>
      <c r="C5599" s="1">
        <f t="shared" si="355"/>
        <v>5</v>
      </c>
      <c r="D5599" s="5">
        <f ca="1">IF(getQuality(B5599)&lt;4,getOtherMin(B5599,C5599,INDIRECT(J$2),INDIRECT(I5599),test),getMin(B5599,C5599,INDIRECT(J$2),INDIRECT(I5599),test))</f>
        <v>329.28048273180752</v>
      </c>
      <c r="E5599" s="5">
        <f ca="1">IF(getQuality(B5599)&lt;4,getOtherMax(B5599,C5599,INDIRECT(J$2),INDIRECT(I5599),test),getMax(B5599,C5599,INDIRECT(J$2),INDIRECT(I5599),test))</f>
        <v>390.92443123182665</v>
      </c>
      <c r="F5599" s="1" t="str">
        <f t="shared" si="353"/>
        <v>50</v>
      </c>
      <c r="G5599" s="1" t="str">
        <f t="shared" ca="1" si="352"/>
        <v>1</v>
      </c>
      <c r="I5599" s="1" t="str">
        <f t="shared" si="354"/>
        <v>威尔新数值1.06.xlsm!suitPower</v>
      </c>
    </row>
    <row r="5600" spans="1:9" x14ac:dyDescent="0.15">
      <c r="A5600" s="1">
        <v>5599</v>
      </c>
      <c r="B5600" s="1">
        <v>104090909</v>
      </c>
      <c r="C5600" s="1">
        <f t="shared" si="355"/>
        <v>7</v>
      </c>
      <c r="D5600" s="5">
        <f ca="1">IF(getQuality(B5600)&lt;4,getOtherMin(B5600,C5600,INDIRECT(J$2),INDIRECT(I5600),test),getMin(B5600,C5600,INDIRECT(J$2),INDIRECT(I5600),test))</f>
        <v>60.25925925925911</v>
      </c>
      <c r="E5600" s="5">
        <f ca="1">IF(getQuality(B5600)&lt;4,getOtherMax(B5600,C5600,INDIRECT(J$2),INDIRECT(I5600),test),getMax(B5600,C5600,INDIRECT(J$2),INDIRECT(I5600),test))</f>
        <v>66.666666666666501</v>
      </c>
      <c r="F5600" s="1" t="str">
        <f t="shared" si="353"/>
        <v>50</v>
      </c>
      <c r="G5600" s="1" t="str">
        <f t="shared" ca="1" si="352"/>
        <v/>
      </c>
      <c r="I5600" s="1" t="str">
        <f t="shared" si="354"/>
        <v>威尔新数值1.06.xlsm!suitPower</v>
      </c>
    </row>
    <row r="5601" spans="1:9" x14ac:dyDescent="0.15">
      <c r="A5601" s="1">
        <v>5600</v>
      </c>
      <c r="B5601" s="1">
        <v>104090909</v>
      </c>
      <c r="C5601" s="1">
        <f t="shared" si="355"/>
        <v>8</v>
      </c>
      <c r="D5601" s="5">
        <f ca="1">IF(getQuality(B5601)&lt;4,getOtherMin(B5601,C5601,INDIRECT(J$2),INDIRECT(I5601),test),getMin(B5601,C5601,INDIRECT(J$2),INDIRECT(I5601),test))</f>
        <v>134.33333333333334</v>
      </c>
      <c r="E5601" s="5">
        <f ca="1">IF(getQuality(B5601)&lt;4,getOtherMax(B5601,C5601,INDIRECT(J$2),INDIRECT(I5601),test),getMax(B5601,C5601,INDIRECT(J$2),INDIRECT(I5601),test))</f>
        <v>150</v>
      </c>
      <c r="F5601" s="1" t="str">
        <f t="shared" si="353"/>
        <v>50</v>
      </c>
      <c r="G5601" s="1" t="str">
        <f t="shared" ca="1" si="352"/>
        <v/>
      </c>
      <c r="I5601" s="1" t="str">
        <f t="shared" si="354"/>
        <v>威尔新数值1.06.xlsm!suitPower</v>
      </c>
    </row>
    <row r="5602" spans="1:9" x14ac:dyDescent="0.15">
      <c r="A5602" s="1">
        <v>5601</v>
      </c>
      <c r="B5602" s="1">
        <v>104090909</v>
      </c>
      <c r="C5602" s="1">
        <f t="shared" si="355"/>
        <v>9</v>
      </c>
      <c r="D5602" s="5">
        <f ca="1">IF(getQuality(B5602)&lt;4,getOtherMin(B5602,C5602,INDIRECT(J$2),INDIRECT(I5602),test),getMin(B5602,C5602,INDIRECT(J$2),INDIRECT(I5602),test))</f>
        <v>288.91944136590371</v>
      </c>
      <c r="E5602" s="5">
        <f ca="1">IF(getQuality(B5602)&lt;4,getOtherMax(B5602,C5602,INDIRECT(J$2),INDIRECT(I5602),test),getMax(B5602,C5602,INDIRECT(J$2),INDIRECT(I5602),test))</f>
        <v>342.86151561591328</v>
      </c>
      <c r="F5602" s="1" t="str">
        <f t="shared" si="353"/>
        <v>50</v>
      </c>
      <c r="G5602" s="1" t="str">
        <f t="shared" ca="1" si="352"/>
        <v/>
      </c>
      <c r="I5602" s="1" t="str">
        <f t="shared" si="354"/>
        <v>威尔新数值1.06.xlsm!suitPower</v>
      </c>
    </row>
    <row r="5603" spans="1:9" x14ac:dyDescent="0.15">
      <c r="A5603" s="1">
        <v>5602</v>
      </c>
      <c r="B5603" s="1">
        <v>104090909</v>
      </c>
      <c r="C5603" s="1">
        <f t="shared" si="355"/>
        <v>10</v>
      </c>
      <c r="D5603" s="5">
        <f ca="1">IF(getQuality(B5603)&lt;4,getOtherMin(B5603,C5603,INDIRECT(J$2),INDIRECT(I5603),test),getMin(B5603,C5603,INDIRECT(J$2),INDIRECT(I5603),test))</f>
        <v>288.91944136590371</v>
      </c>
      <c r="E5603" s="5">
        <f ca="1">IF(getQuality(B5603)&lt;4,getOtherMax(B5603,C5603,INDIRECT(J$2),INDIRECT(I5603),test),getMax(B5603,C5603,INDIRECT(J$2),INDIRECT(I5603),test))</f>
        <v>342.86151561591328</v>
      </c>
      <c r="F5603" s="1" t="str">
        <f t="shared" si="353"/>
        <v>50</v>
      </c>
      <c r="G5603" s="1" t="str">
        <f t="shared" ca="1" si="352"/>
        <v/>
      </c>
      <c r="I5603" s="1" t="str">
        <f t="shared" si="354"/>
        <v>威尔新数值1.06.xlsm!suitPower</v>
      </c>
    </row>
    <row r="5604" spans="1:9" x14ac:dyDescent="0.15">
      <c r="A5604" s="1">
        <v>5603</v>
      </c>
      <c r="B5604" s="1">
        <v>104090909</v>
      </c>
      <c r="C5604" s="1">
        <f t="shared" si="355"/>
        <v>11</v>
      </c>
      <c r="D5604" s="5">
        <f ca="1">IF(getQuality(B5604)&lt;4,getOtherMin(B5604,C5604,INDIRECT(J$2),INDIRECT(I5604),test),getMin(B5604,C5604,INDIRECT(J$2),INDIRECT(I5604),test))</f>
        <v>288.91944136590371</v>
      </c>
      <c r="E5604" s="5">
        <f ca="1">IF(getQuality(B5604)&lt;4,getOtherMax(B5604,C5604,INDIRECT(J$2),INDIRECT(I5604),test),getMax(B5604,C5604,INDIRECT(J$2),INDIRECT(I5604),test))</f>
        <v>342.86151561591328</v>
      </c>
      <c r="F5604" s="1" t="str">
        <f t="shared" si="353"/>
        <v>50</v>
      </c>
      <c r="G5604" s="1" t="str">
        <f t="shared" ca="1" si="352"/>
        <v/>
      </c>
      <c r="I5604" s="1" t="str">
        <f t="shared" si="354"/>
        <v>威尔新数值1.06.xlsm!suitPower</v>
      </c>
    </row>
    <row r="5605" spans="1:9" x14ac:dyDescent="0.15">
      <c r="A5605" s="1">
        <v>5604</v>
      </c>
      <c r="B5605" s="1">
        <v>104090909</v>
      </c>
      <c r="C5605" s="1">
        <f t="shared" si="355"/>
        <v>12</v>
      </c>
      <c r="D5605" s="5">
        <f ca="1">IF(getQuality(B5605)&lt;4,getOtherMin(B5605,C5605,INDIRECT(J$2),INDIRECT(I5605),test),getMin(B5605,C5605,INDIRECT(J$2),INDIRECT(I5605),test))</f>
        <v>346.50332963908477</v>
      </c>
      <c r="E5605" s="5">
        <f ca="1">IF(getQuality(B5605)&lt;4,getOtherMax(B5605,C5605,INDIRECT(J$2),INDIRECT(I5605),test),getMax(B5605,C5605,INDIRECT(J$2),INDIRECT(I5605),test))</f>
        <v>411.43381873909635</v>
      </c>
      <c r="F5605" s="1" t="str">
        <f t="shared" si="353"/>
        <v>50</v>
      </c>
      <c r="G5605" s="1" t="str">
        <f t="shared" ca="1" si="352"/>
        <v/>
      </c>
      <c r="I5605" s="1" t="str">
        <f t="shared" si="354"/>
        <v>威尔新数值1.06.xlsm!suitPower</v>
      </c>
    </row>
    <row r="5606" spans="1:9" x14ac:dyDescent="0.15">
      <c r="A5606" s="1">
        <v>5605</v>
      </c>
      <c r="B5606" s="1">
        <v>104090909</v>
      </c>
      <c r="C5606" s="1">
        <f t="shared" si="355"/>
        <v>13</v>
      </c>
      <c r="D5606" s="5">
        <f ca="1">IF(getQuality(B5606)&lt;4,getOtherMin(B5606,C5606,INDIRECT(J$2),INDIRECT(I5606),test),getMin(B5606,C5606,INDIRECT(J$2),INDIRECT(I5606),test))</f>
        <v>288.91944136590371</v>
      </c>
      <c r="E5606" s="5">
        <f ca="1">IF(getQuality(B5606)&lt;4,getOtherMax(B5606,C5606,INDIRECT(J$2),INDIRECT(I5606),test),getMax(B5606,C5606,INDIRECT(J$2),INDIRECT(I5606),test))</f>
        <v>342.86151561591328</v>
      </c>
      <c r="F5606" s="1" t="str">
        <f t="shared" si="353"/>
        <v>50</v>
      </c>
      <c r="G5606" s="1" t="str">
        <f t="shared" ca="1" si="352"/>
        <v/>
      </c>
      <c r="I5606" s="1" t="str">
        <f t="shared" si="354"/>
        <v>威尔新数值1.06.xlsm!suitPower</v>
      </c>
    </row>
    <row r="5607" spans="1:9" x14ac:dyDescent="0.15">
      <c r="A5607" s="1">
        <v>5606</v>
      </c>
      <c r="B5607" s="1">
        <v>104090909</v>
      </c>
      <c r="C5607" s="1">
        <f t="shared" si="355"/>
        <v>14</v>
      </c>
      <c r="D5607" s="5">
        <f ca="1">IF(getQuality(B5607)&lt;4,getOtherMin(B5607,C5607,INDIRECT(J$2),INDIRECT(I5607),test),getMin(B5607,C5607,INDIRECT(J$2),INDIRECT(I5607),test))</f>
        <v>288.91944136590371</v>
      </c>
      <c r="E5607" s="5">
        <f ca="1">IF(getQuality(B5607)&lt;4,getOtherMax(B5607,C5607,INDIRECT(J$2),INDIRECT(I5607),test),getMax(B5607,C5607,INDIRECT(J$2),INDIRECT(I5607),test))</f>
        <v>342.86151561591328</v>
      </c>
      <c r="F5607" s="1" t="str">
        <f t="shared" si="353"/>
        <v>50</v>
      </c>
      <c r="G5607" s="1" t="str">
        <f t="shared" ref="G5607:G5670" ca="1" si="356">getMust(B5607,C5607)</f>
        <v/>
      </c>
      <c r="I5607" s="1" t="str">
        <f t="shared" si="354"/>
        <v>威尔新数值1.06.xlsm!suitPower</v>
      </c>
    </row>
    <row r="5608" spans="1:9" x14ac:dyDescent="0.15">
      <c r="A5608" s="1">
        <v>5607</v>
      </c>
      <c r="B5608" s="1">
        <v>104090909</v>
      </c>
      <c r="C5608" s="1">
        <f t="shared" si="355"/>
        <v>15</v>
      </c>
      <c r="D5608" s="5">
        <f ca="1">IF(getQuality(B5608)&lt;4,getOtherMin(B5608,C5608,INDIRECT(J$2),INDIRECT(I5608),test),getMin(B5608,C5608,INDIRECT(J$2),INDIRECT(I5608),test))</f>
        <v>288.91944136590371</v>
      </c>
      <c r="E5608" s="5">
        <f ca="1">IF(getQuality(B5608)&lt;4,getOtherMax(B5608,C5608,INDIRECT(J$2),INDIRECT(I5608),test),getMax(B5608,C5608,INDIRECT(J$2),INDIRECT(I5608),test))</f>
        <v>342.86151561591328</v>
      </c>
      <c r="F5608" s="1" t="str">
        <f t="shared" si="353"/>
        <v>50</v>
      </c>
      <c r="G5608" s="1" t="str">
        <f t="shared" ca="1" si="356"/>
        <v/>
      </c>
      <c r="I5608" s="1" t="str">
        <f t="shared" si="354"/>
        <v>威尔新数值1.06.xlsm!suitPower</v>
      </c>
    </row>
    <row r="5609" spans="1:9" x14ac:dyDescent="0.15">
      <c r="A5609" s="1">
        <v>5608</v>
      </c>
      <c r="B5609" s="1">
        <v>104090909</v>
      </c>
      <c r="C5609" s="1">
        <f t="shared" si="355"/>
        <v>101</v>
      </c>
      <c r="D5609" s="5">
        <f ca="1">IF(getQuality(B5609)&lt;4,getOtherMin(B5609,C5609,INDIRECT(J$2),INDIRECT(I5609),test),getMin(B5609,C5609,INDIRECT(J$2),INDIRECT(I5609),test))</f>
        <v>0.16</v>
      </c>
      <c r="E5609" s="5">
        <f ca="1">IF(getQuality(B5609)&lt;4,getOtherMax(B5609,C5609,INDIRECT(J$2),INDIRECT(I5609),test),getMax(B5609,C5609,INDIRECT(J$2),INDIRECT(I5609),test))</f>
        <v>0.19</v>
      </c>
      <c r="F5609" s="1" t="str">
        <f t="shared" si="353"/>
        <v>50</v>
      </c>
      <c r="G5609" s="1" t="str">
        <f t="shared" ca="1" si="356"/>
        <v/>
      </c>
      <c r="I5609" s="1" t="str">
        <f t="shared" si="354"/>
        <v>威尔新数值1.06.xlsm!circlePer</v>
      </c>
    </row>
    <row r="5610" spans="1:9" x14ac:dyDescent="0.15">
      <c r="A5610" s="1">
        <v>5609</v>
      </c>
      <c r="B5610" s="1">
        <v>104090909</v>
      </c>
      <c r="C5610" s="1">
        <f t="shared" si="355"/>
        <v>102</v>
      </c>
      <c r="D5610" s="5">
        <f ca="1">IF(getQuality(B5610)&lt;4,getOtherMin(B5610,C5610,INDIRECT(J$2),INDIRECT(I5610),test),getMin(B5610,C5610,INDIRECT(J$2),INDIRECT(I5610),test))</f>
        <v>1.4</v>
      </c>
      <c r="E5610" s="5">
        <f ca="1">IF(getQuality(B5610)&lt;4,getOtherMax(B5610,C5610,INDIRECT(J$2),INDIRECT(I5610),test),getMax(B5610,C5610,INDIRECT(J$2),INDIRECT(I5610),test))</f>
        <v>1.8</v>
      </c>
      <c r="F5610" s="1" t="str">
        <f t="shared" si="353"/>
        <v>50</v>
      </c>
      <c r="G5610" s="1" t="str">
        <f t="shared" ca="1" si="356"/>
        <v/>
      </c>
      <c r="I5610" s="1" t="str">
        <f t="shared" si="354"/>
        <v>威尔新数值1.06.xlsm!circleValue</v>
      </c>
    </row>
    <row r="5611" spans="1:9" x14ac:dyDescent="0.15">
      <c r="A5611" s="1">
        <v>5610</v>
      </c>
      <c r="B5611" s="1">
        <v>104090909</v>
      </c>
      <c r="C5611" s="1">
        <f t="shared" si="355"/>
        <v>103</v>
      </c>
      <c r="D5611" s="5">
        <f ca="1">IF(getQuality(B5611)&lt;4,getOtherMin(B5611,C5611,INDIRECT(J$2),INDIRECT(I5611),test),getMin(B5611,C5611,INDIRECT(J$2),INDIRECT(I5611),test))</f>
        <v>0.16</v>
      </c>
      <c r="E5611" s="5">
        <f ca="1">IF(getQuality(B5611)&lt;4,getOtherMax(B5611,C5611,INDIRECT(J$2),INDIRECT(I5611),test),getMax(B5611,C5611,INDIRECT(J$2),INDIRECT(I5611),test))</f>
        <v>0.19</v>
      </c>
      <c r="F5611" s="1" t="str">
        <f t="shared" si="353"/>
        <v>50</v>
      </c>
      <c r="G5611" s="1" t="str">
        <f t="shared" ca="1" si="356"/>
        <v/>
      </c>
      <c r="I5611" s="1" t="str">
        <f t="shared" si="354"/>
        <v>威尔新数值1.06.xlsm!otherDamage</v>
      </c>
    </row>
    <row r="5612" spans="1:9" x14ac:dyDescent="0.15">
      <c r="A5612" s="1">
        <v>5611</v>
      </c>
      <c r="B5612" s="1">
        <v>104090909</v>
      </c>
      <c r="C5612" s="1">
        <f t="shared" si="355"/>
        <v>104</v>
      </c>
      <c r="D5612" s="5">
        <f ca="1">IF(getQuality(B5612)&lt;4,getOtherMin(B5612,C5612,INDIRECT(J$2),INDIRECT(I5612),test),getMin(B5612,C5612,INDIRECT(J$2),INDIRECT(I5612),test))</f>
        <v>0.15</v>
      </c>
      <c r="E5612" s="5">
        <f ca="1">IF(getQuality(B5612)&lt;4,getOtherMax(B5612,C5612,INDIRECT(J$2),INDIRECT(I5612),test),getMax(B5612,C5612,INDIRECT(J$2),INDIRECT(I5612),test))</f>
        <v>0.3</v>
      </c>
      <c r="F5612" s="1" t="str">
        <f t="shared" si="353"/>
        <v>50</v>
      </c>
      <c r="G5612" s="1" t="str">
        <f t="shared" ca="1" si="356"/>
        <v/>
      </c>
      <c r="I5612" s="1" t="str">
        <f t="shared" si="354"/>
        <v>威尔新数值1.06.xlsm!monsterDamage</v>
      </c>
    </row>
    <row r="5613" spans="1:9" x14ac:dyDescent="0.15">
      <c r="A5613" s="1">
        <v>5612</v>
      </c>
      <c r="B5613" s="1">
        <v>104090909</v>
      </c>
      <c r="C5613" s="1">
        <f t="shared" si="355"/>
        <v>105</v>
      </c>
      <c r="D5613" s="5">
        <f ca="1">IF(getQuality(B5613)&lt;4,getOtherMin(B5613,C5613,INDIRECT(J$2),INDIRECT(I5613),test),getMin(B5613,C5613,INDIRECT(J$2),INDIRECT(I5613),test))</f>
        <v>0.15</v>
      </c>
      <c r="E5613" s="5">
        <f ca="1">IF(getQuality(B5613)&lt;4,getOtherMax(B5613,C5613,INDIRECT(J$2),INDIRECT(I5613),test),getMax(B5613,C5613,INDIRECT(J$2),INDIRECT(I5613),test))</f>
        <v>0.3</v>
      </c>
      <c r="F5613" s="1" t="str">
        <f t="shared" si="353"/>
        <v>50</v>
      </c>
      <c r="G5613" s="1" t="str">
        <f t="shared" ca="1" si="356"/>
        <v/>
      </c>
      <c r="I5613" s="1" t="str">
        <f t="shared" si="354"/>
        <v>威尔新数值1.06.xlsm!monsterDamage</v>
      </c>
    </row>
    <row r="5614" spans="1:9" x14ac:dyDescent="0.15">
      <c r="A5614" s="1">
        <v>5613</v>
      </c>
      <c r="B5614" s="1">
        <v>104090909</v>
      </c>
      <c r="C5614" s="1">
        <f t="shared" si="355"/>
        <v>106</v>
      </c>
      <c r="D5614" s="5">
        <f ca="1">IF(getQuality(B5614)&lt;4,getOtherMin(B5614,C5614,INDIRECT(J$2),INDIRECT(I5614),test),getMin(B5614,C5614,INDIRECT(J$2),INDIRECT(I5614),test))</f>
        <v>0.15</v>
      </c>
      <c r="E5614" s="5">
        <f ca="1">IF(getQuality(B5614)&lt;4,getOtherMax(B5614,C5614,INDIRECT(J$2),INDIRECT(I5614),test),getMax(B5614,C5614,INDIRECT(J$2),INDIRECT(I5614),test))</f>
        <v>0.3</v>
      </c>
      <c r="F5614" s="1" t="str">
        <f t="shared" si="353"/>
        <v>50</v>
      </c>
      <c r="G5614" s="1" t="str">
        <f t="shared" ca="1" si="356"/>
        <v/>
      </c>
      <c r="I5614" s="1" t="str">
        <f t="shared" si="354"/>
        <v>威尔新数值1.06.xlsm!monsterDamage</v>
      </c>
    </row>
    <row r="5615" spans="1:9" x14ac:dyDescent="0.15">
      <c r="A5615" s="1">
        <v>5614</v>
      </c>
      <c r="B5615" s="1">
        <v>104090909</v>
      </c>
      <c r="C5615" s="1">
        <f t="shared" si="355"/>
        <v>107</v>
      </c>
      <c r="D5615" s="5">
        <f ca="1">IF(getQuality(B5615)&lt;4,getOtherMin(B5615,C5615,INDIRECT(J$2),INDIRECT(I5615),test),getMin(B5615,C5615,INDIRECT(J$2),INDIRECT(I5615),test))</f>
        <v>0.15</v>
      </c>
      <c r="E5615" s="5">
        <f ca="1">IF(getQuality(B5615)&lt;4,getOtherMax(B5615,C5615,INDIRECT(J$2),INDIRECT(I5615),test),getMax(B5615,C5615,INDIRECT(J$2),INDIRECT(I5615),test))</f>
        <v>0.3</v>
      </c>
      <c r="F5615" s="1" t="str">
        <f t="shared" si="353"/>
        <v>50</v>
      </c>
      <c r="G5615" s="1" t="str">
        <f t="shared" ca="1" si="356"/>
        <v/>
      </c>
      <c r="I5615" s="1" t="str">
        <f t="shared" si="354"/>
        <v>威尔新数值1.06.xlsm!monsterDamage</v>
      </c>
    </row>
    <row r="5616" spans="1:9" x14ac:dyDescent="0.15">
      <c r="A5616" s="1">
        <v>5615</v>
      </c>
      <c r="B5616" s="1">
        <v>104090909</v>
      </c>
      <c r="C5616" s="1">
        <f t="shared" si="355"/>
        <v>108</v>
      </c>
      <c r="D5616" s="5">
        <f ca="1">IF(getQuality(B5616)&lt;4,getOtherMin(B5616,C5616,INDIRECT(J$2),INDIRECT(I5616),test),getMin(B5616,C5616,INDIRECT(J$2),INDIRECT(I5616),test))</f>
        <v>0.15</v>
      </c>
      <c r="E5616" s="5">
        <f ca="1">IF(getQuality(B5616)&lt;4,getOtherMax(B5616,C5616,INDIRECT(J$2),INDIRECT(I5616),test),getMax(B5616,C5616,INDIRECT(J$2),INDIRECT(I5616),test))</f>
        <v>0.3</v>
      </c>
      <c r="F5616" s="1" t="str">
        <f t="shared" si="353"/>
        <v>50</v>
      </c>
      <c r="G5616" s="1" t="str">
        <f t="shared" ca="1" si="356"/>
        <v/>
      </c>
      <c r="I5616" s="1" t="str">
        <f t="shared" si="354"/>
        <v>威尔新数值1.06.xlsm!monsterDamage</v>
      </c>
    </row>
    <row r="5617" spans="1:9" x14ac:dyDescent="0.15">
      <c r="A5617" s="1">
        <v>5616</v>
      </c>
      <c r="B5617" s="1">
        <v>204091409</v>
      </c>
      <c r="C5617" s="1">
        <f t="shared" si="355"/>
        <v>1</v>
      </c>
      <c r="D5617" s="5">
        <f ca="1">IF(getQuality(B5617)&lt;4,getOtherMin(B5617,C5617,INDIRECT(J$2),INDIRECT(I5617),test),getMin(B5617,C5617,INDIRECT(J$2),INDIRECT(I5617),test))</f>
        <v>813.16</v>
      </c>
      <c r="E5617" s="5">
        <f ca="1">IF(getQuality(B5617)&lt;4,getOtherMax(B5617,C5617,INDIRECT(J$2),INDIRECT(I5617),test),getMax(B5617,C5617,INDIRECT(J$2),INDIRECT(I5617),test))</f>
        <v>967.1400000000001</v>
      </c>
      <c r="F5617" s="1" t="str">
        <f t="shared" si="353"/>
        <v>50</v>
      </c>
      <c r="G5617" s="1" t="str">
        <f t="shared" ca="1" si="356"/>
        <v/>
      </c>
      <c r="I5617" s="1" t="str">
        <f t="shared" si="354"/>
        <v>威尔新数值1.06.xlsm!suitPower</v>
      </c>
    </row>
    <row r="5618" spans="1:9" x14ac:dyDescent="0.15">
      <c r="A5618" s="1">
        <v>5617</v>
      </c>
      <c r="B5618" s="1">
        <v>204091409</v>
      </c>
      <c r="C5618" s="1">
        <f t="shared" si="355"/>
        <v>2</v>
      </c>
      <c r="D5618" s="5">
        <f ca="1">IF(getQuality(B5618)&lt;4,getOtherMin(B5618,C5618,INDIRECT(J$2),INDIRECT(I5618),test),getMin(B5618,C5618,INDIRECT(J$2),INDIRECT(I5618),test))</f>
        <v>42.777777777777779</v>
      </c>
      <c r="E5618" s="5">
        <f ca="1">IF(getQuality(B5618)&lt;4,getOtherMax(B5618,C5618,INDIRECT(J$2),INDIRECT(I5618),test),getMax(B5618,C5618,INDIRECT(J$2),INDIRECT(I5618),test))</f>
        <v>49.75</v>
      </c>
      <c r="F5618" s="1" t="str">
        <f t="shared" si="353"/>
        <v>50</v>
      </c>
      <c r="G5618" s="1" t="str">
        <f t="shared" ca="1" si="356"/>
        <v/>
      </c>
      <c r="I5618" s="1" t="str">
        <f t="shared" si="354"/>
        <v>威尔新数值1.06.xlsm!suitPower</v>
      </c>
    </row>
    <row r="5619" spans="1:9" x14ac:dyDescent="0.15">
      <c r="A5619" s="1">
        <v>5618</v>
      </c>
      <c r="B5619" s="1">
        <v>204091409</v>
      </c>
      <c r="C5619" s="1">
        <f t="shared" si="355"/>
        <v>4</v>
      </c>
      <c r="D5619" s="5">
        <f ca="1">IF(getQuality(B5619)&lt;4,getOtherMin(B5619,C5619,INDIRECT(J$2),INDIRECT(I5619),test),getMin(B5619,C5619,INDIRECT(J$2),INDIRECT(I5619),test))</f>
        <v>267.66666666666669</v>
      </c>
      <c r="E5619" s="5">
        <f ca="1">IF(getQuality(B5619)&lt;4,getOtherMax(B5619,C5619,INDIRECT(J$2),INDIRECT(I5619),test),getMax(B5619,C5619,INDIRECT(J$2),INDIRECT(I5619),test))</f>
        <v>300</v>
      </c>
      <c r="F5619" s="1" t="str">
        <f t="shared" si="353"/>
        <v>50</v>
      </c>
      <c r="G5619" s="1" t="str">
        <f t="shared" ca="1" si="356"/>
        <v/>
      </c>
      <c r="I5619" s="1" t="str">
        <f t="shared" si="354"/>
        <v>威尔新数值1.06.xlsm!suitPower</v>
      </c>
    </row>
    <row r="5620" spans="1:9" x14ac:dyDescent="0.15">
      <c r="A5620" s="1">
        <v>5619</v>
      </c>
      <c r="B5620" s="1">
        <v>204091409</v>
      </c>
      <c r="C5620" s="1">
        <f t="shared" si="355"/>
        <v>6</v>
      </c>
      <c r="D5620" s="5">
        <f ca="1">IF(getQuality(B5620)&lt;4,getOtherMin(B5620,C5620,INDIRECT(J$2),INDIRECT(I5620),test),getMin(B5620,C5620,INDIRECT(J$2),INDIRECT(I5620),test))</f>
        <v>334.33333333333331</v>
      </c>
      <c r="E5620" s="5">
        <f ca="1">IF(getQuality(B5620)&lt;4,getOtherMax(B5620,C5620,INDIRECT(J$2),INDIRECT(I5620),test),getMax(B5620,C5620,INDIRECT(J$2),INDIRECT(I5620),test))</f>
        <v>375</v>
      </c>
      <c r="F5620" s="1" t="str">
        <f t="shared" si="353"/>
        <v>50</v>
      </c>
      <c r="G5620" s="1" t="str">
        <f t="shared" ca="1" si="356"/>
        <v>1</v>
      </c>
      <c r="I5620" s="1" t="str">
        <f t="shared" si="354"/>
        <v>威尔新数值1.06.xlsm!suitPower</v>
      </c>
    </row>
    <row r="5621" spans="1:9" x14ac:dyDescent="0.15">
      <c r="A5621" s="1">
        <v>5620</v>
      </c>
      <c r="B5621" s="1">
        <v>204091409</v>
      </c>
      <c r="C5621" s="1">
        <f t="shared" si="355"/>
        <v>7</v>
      </c>
      <c r="D5621" s="5">
        <f ca="1">IF(getQuality(B5621)&lt;4,getOtherMin(B5621,C5621,INDIRECT(J$2),INDIRECT(I5621),test),getMin(B5621,C5621,INDIRECT(J$2),INDIRECT(I5621),test))</f>
        <v>30.629629629629555</v>
      </c>
      <c r="E5621" s="5">
        <f ca="1">IF(getQuality(B5621)&lt;4,getOtherMax(B5621,C5621,INDIRECT(J$2),INDIRECT(I5621),test),getMax(B5621,C5621,INDIRECT(J$2),INDIRECT(I5621),test))</f>
        <v>33.33333333333325</v>
      </c>
      <c r="F5621" s="1" t="str">
        <f t="shared" si="353"/>
        <v>50</v>
      </c>
      <c r="G5621" s="1" t="str">
        <f t="shared" ca="1" si="356"/>
        <v/>
      </c>
      <c r="I5621" s="1" t="str">
        <f t="shared" si="354"/>
        <v>威尔新数值1.06.xlsm!suitPower</v>
      </c>
    </row>
    <row r="5622" spans="1:9" x14ac:dyDescent="0.15">
      <c r="A5622" s="1">
        <v>5621</v>
      </c>
      <c r="B5622" s="1">
        <v>204091409</v>
      </c>
      <c r="C5622" s="1">
        <f t="shared" si="355"/>
        <v>8</v>
      </c>
      <c r="D5622" s="5">
        <f ca="1">IF(getQuality(B5622)&lt;4,getOtherMin(B5622,C5622,INDIRECT(J$2),INDIRECT(I5622),test),getMin(B5622,C5622,INDIRECT(J$2),INDIRECT(I5622),test))</f>
        <v>67.666666666666671</v>
      </c>
      <c r="E5622" s="5">
        <f ca="1">IF(getQuality(B5622)&lt;4,getOtherMax(B5622,C5622,INDIRECT(J$2),INDIRECT(I5622),test),getMax(B5622,C5622,INDIRECT(J$2),INDIRECT(I5622),test))</f>
        <v>75</v>
      </c>
      <c r="F5622" s="1" t="str">
        <f t="shared" si="353"/>
        <v>50</v>
      </c>
      <c r="G5622" s="1" t="str">
        <f t="shared" ca="1" si="356"/>
        <v/>
      </c>
      <c r="I5622" s="1" t="str">
        <f t="shared" si="354"/>
        <v>威尔新数值1.06.xlsm!suitPower</v>
      </c>
    </row>
    <row r="5623" spans="1:9" x14ac:dyDescent="0.15">
      <c r="A5623" s="1">
        <v>5622</v>
      </c>
      <c r="B5623" s="1">
        <v>204091409</v>
      </c>
      <c r="C5623" s="1">
        <f t="shared" si="355"/>
        <v>16</v>
      </c>
      <c r="D5623" s="5">
        <f ca="1">IF(getQuality(B5623)&lt;4,getOtherMin(B5623,C5623,INDIRECT(J$2),INDIRECT(I5623),test),getMin(B5623,C5623,INDIRECT(J$2),INDIRECT(I5623),test))</f>
        <v>89.888888888888886</v>
      </c>
      <c r="E5623" s="5">
        <f ca="1">IF(getQuality(B5623)&lt;4,getOtherMax(B5623,C5623,INDIRECT(J$2),INDIRECT(I5623),test),getMax(B5623,C5623,INDIRECT(J$2),INDIRECT(I5623),test))</f>
        <v>100</v>
      </c>
      <c r="F5623" s="1" t="str">
        <f t="shared" si="353"/>
        <v>50</v>
      </c>
      <c r="G5623" s="1" t="str">
        <f t="shared" ca="1" si="356"/>
        <v/>
      </c>
      <c r="I5623" s="1" t="str">
        <f t="shared" si="354"/>
        <v>威尔新数值1.06.xlsm!suitPower</v>
      </c>
    </row>
    <row r="5624" spans="1:9" x14ac:dyDescent="0.15">
      <c r="A5624" s="1">
        <v>5623</v>
      </c>
      <c r="B5624" s="1">
        <v>204091409</v>
      </c>
      <c r="C5624" s="1">
        <f t="shared" si="355"/>
        <v>17</v>
      </c>
      <c r="D5624" s="5">
        <f ca="1">IF(getQuality(B5624)&lt;4,getOtherMin(B5624,C5624,INDIRECT(J$2),INDIRECT(I5624),test),getMin(B5624,C5624,INDIRECT(J$2),INDIRECT(I5624),test))</f>
        <v>89.888888888888886</v>
      </c>
      <c r="E5624" s="5">
        <f ca="1">IF(getQuality(B5624)&lt;4,getOtherMax(B5624,C5624,INDIRECT(J$2),INDIRECT(I5624),test),getMax(B5624,C5624,INDIRECT(J$2),INDIRECT(I5624),test))</f>
        <v>100</v>
      </c>
      <c r="F5624" s="1" t="str">
        <f t="shared" si="353"/>
        <v>50</v>
      </c>
      <c r="G5624" s="1" t="str">
        <f t="shared" ca="1" si="356"/>
        <v/>
      </c>
      <c r="I5624" s="1" t="str">
        <f t="shared" si="354"/>
        <v>威尔新数值1.06.xlsm!suitPower</v>
      </c>
    </row>
    <row r="5625" spans="1:9" x14ac:dyDescent="0.15">
      <c r="A5625" s="1">
        <v>5624</v>
      </c>
      <c r="B5625" s="1">
        <v>204091409</v>
      </c>
      <c r="C5625" s="1">
        <f t="shared" si="355"/>
        <v>18</v>
      </c>
      <c r="D5625" s="5">
        <f ca="1">IF(getQuality(B5625)&lt;4,getOtherMin(B5625,C5625,INDIRECT(J$2),INDIRECT(I5625),test),getMin(B5625,C5625,INDIRECT(J$2),INDIRECT(I5625),test))</f>
        <v>89.888888888888886</v>
      </c>
      <c r="E5625" s="5">
        <f ca="1">IF(getQuality(B5625)&lt;4,getOtherMax(B5625,C5625,INDIRECT(J$2),INDIRECT(I5625),test),getMax(B5625,C5625,INDIRECT(J$2),INDIRECT(I5625),test))</f>
        <v>100</v>
      </c>
      <c r="F5625" s="1" t="str">
        <f t="shared" si="353"/>
        <v>50</v>
      </c>
      <c r="G5625" s="1" t="str">
        <f t="shared" ca="1" si="356"/>
        <v/>
      </c>
      <c r="I5625" s="1" t="str">
        <f t="shared" si="354"/>
        <v>威尔新数值1.06.xlsm!suitPower</v>
      </c>
    </row>
    <row r="5626" spans="1:9" x14ac:dyDescent="0.15">
      <c r="A5626" s="1">
        <v>5625</v>
      </c>
      <c r="B5626" s="1">
        <v>204091409</v>
      </c>
      <c r="C5626" s="1">
        <f t="shared" si="355"/>
        <v>19</v>
      </c>
      <c r="D5626" s="5">
        <f ca="1">IF(getQuality(B5626)&lt;4,getOtherMin(B5626,C5626,INDIRECT(J$2),INDIRECT(I5626),test),getMin(B5626,C5626,INDIRECT(J$2),INDIRECT(I5626),test))</f>
        <v>89.888888888888886</v>
      </c>
      <c r="E5626" s="5">
        <f ca="1">IF(getQuality(B5626)&lt;4,getOtherMax(B5626,C5626,INDIRECT(J$2),INDIRECT(I5626),test),getMax(B5626,C5626,INDIRECT(J$2),INDIRECT(I5626),test))</f>
        <v>100</v>
      </c>
      <c r="F5626" s="1" t="str">
        <f t="shared" si="353"/>
        <v>50</v>
      </c>
      <c r="G5626" s="1" t="str">
        <f t="shared" ca="1" si="356"/>
        <v/>
      </c>
      <c r="I5626" s="1" t="str">
        <f t="shared" si="354"/>
        <v>威尔新数值1.06.xlsm!suitPower</v>
      </c>
    </row>
    <row r="5627" spans="1:9" x14ac:dyDescent="0.15">
      <c r="A5627" s="1">
        <v>5626</v>
      </c>
      <c r="B5627" s="1">
        <v>204091409</v>
      </c>
      <c r="C5627" s="1">
        <f t="shared" si="355"/>
        <v>20</v>
      </c>
      <c r="D5627" s="5">
        <f ca="1">IF(getQuality(B5627)&lt;4,getOtherMin(B5627,C5627,INDIRECT(J$2),INDIRECT(I5627),test),getMin(B5627,C5627,INDIRECT(J$2),INDIRECT(I5627),test))</f>
        <v>134.33333333333334</v>
      </c>
      <c r="E5627" s="5">
        <f ca="1">IF(getQuality(B5627)&lt;4,getOtherMax(B5627,C5627,INDIRECT(J$2),INDIRECT(I5627),test),getMax(B5627,C5627,INDIRECT(J$2),INDIRECT(I5627),test))</f>
        <v>150</v>
      </c>
      <c r="F5627" s="1" t="str">
        <f t="shared" si="353"/>
        <v>50</v>
      </c>
      <c r="G5627" s="1" t="str">
        <f t="shared" ca="1" si="356"/>
        <v/>
      </c>
      <c r="I5627" s="1" t="str">
        <f t="shared" si="354"/>
        <v>威尔新数值1.06.xlsm!suitPower</v>
      </c>
    </row>
    <row r="5628" spans="1:9" x14ac:dyDescent="0.15">
      <c r="A5628" s="1">
        <v>5627</v>
      </c>
      <c r="B5628" s="1">
        <v>204091409</v>
      </c>
      <c r="C5628" s="1">
        <f t="shared" si="355"/>
        <v>21</v>
      </c>
      <c r="D5628" s="5">
        <f ca="1">IF(getQuality(B5628)&lt;4,getOtherMin(B5628,C5628,INDIRECT(J$2),INDIRECT(I5628),test),getMin(B5628,C5628,INDIRECT(J$2),INDIRECT(I5628),test))</f>
        <v>89.888888888888886</v>
      </c>
      <c r="E5628" s="5">
        <f ca="1">IF(getQuality(B5628)&lt;4,getOtherMax(B5628,C5628,INDIRECT(J$2),INDIRECT(I5628),test),getMax(B5628,C5628,INDIRECT(J$2),INDIRECT(I5628),test))</f>
        <v>100</v>
      </c>
      <c r="F5628" s="1" t="str">
        <f t="shared" si="353"/>
        <v>50</v>
      </c>
      <c r="G5628" s="1" t="str">
        <f t="shared" ca="1" si="356"/>
        <v/>
      </c>
      <c r="I5628" s="1" t="str">
        <f t="shared" si="354"/>
        <v>威尔新数值1.06.xlsm!suitPower</v>
      </c>
    </row>
    <row r="5629" spans="1:9" x14ac:dyDescent="0.15">
      <c r="A5629" s="1">
        <v>5628</v>
      </c>
      <c r="B5629" s="1">
        <v>204091409</v>
      </c>
      <c r="C5629" s="1">
        <f t="shared" si="355"/>
        <v>22</v>
      </c>
      <c r="D5629" s="5">
        <f ca="1">IF(getQuality(B5629)&lt;4,getOtherMin(B5629,C5629,INDIRECT(J$2),INDIRECT(I5629),test),getMin(B5629,C5629,INDIRECT(J$2),INDIRECT(I5629),test))</f>
        <v>89.888888888888886</v>
      </c>
      <c r="E5629" s="5">
        <f ca="1">IF(getQuality(B5629)&lt;4,getOtherMax(B5629,C5629,INDIRECT(J$2),INDIRECT(I5629),test),getMax(B5629,C5629,INDIRECT(J$2),INDIRECT(I5629),test))</f>
        <v>100</v>
      </c>
      <c r="F5629" s="1" t="str">
        <f t="shared" si="353"/>
        <v>50</v>
      </c>
      <c r="G5629" s="1" t="str">
        <f t="shared" ca="1" si="356"/>
        <v/>
      </c>
      <c r="I5629" s="1" t="str">
        <f t="shared" si="354"/>
        <v>威尔新数值1.06.xlsm!suitPower</v>
      </c>
    </row>
    <row r="5630" spans="1:9" x14ac:dyDescent="0.15">
      <c r="A5630" s="1">
        <v>5629</v>
      </c>
      <c r="B5630" s="1">
        <v>204091409</v>
      </c>
      <c r="C5630" s="1">
        <f t="shared" si="355"/>
        <v>23</v>
      </c>
      <c r="D5630" s="5">
        <f ca="1">IF(getQuality(B5630)&lt;4,getOtherMin(B5630,C5630,INDIRECT(J$2),INDIRECT(I5630),test),getMin(B5630,C5630,INDIRECT(J$2),INDIRECT(I5630),test))</f>
        <v>89.888888888888886</v>
      </c>
      <c r="E5630" s="5">
        <f ca="1">IF(getQuality(B5630)&lt;4,getOtherMax(B5630,C5630,INDIRECT(J$2),INDIRECT(I5630),test),getMax(B5630,C5630,INDIRECT(J$2),INDIRECT(I5630),test))</f>
        <v>100</v>
      </c>
      <c r="F5630" s="1" t="str">
        <f t="shared" si="353"/>
        <v>50</v>
      </c>
      <c r="G5630" s="1" t="str">
        <f t="shared" ca="1" si="356"/>
        <v/>
      </c>
      <c r="I5630" s="1" t="str">
        <f t="shared" si="354"/>
        <v>威尔新数值1.06.xlsm!suitPower</v>
      </c>
    </row>
    <row r="5631" spans="1:9" x14ac:dyDescent="0.15">
      <c r="A5631" s="1">
        <v>5630</v>
      </c>
      <c r="B5631" s="1">
        <v>304091509</v>
      </c>
      <c r="C5631" s="1">
        <f t="shared" si="355"/>
        <v>1</v>
      </c>
      <c r="D5631" s="5">
        <f ca="1">IF(getQuality(B5631)&lt;4,getOtherMin(B5631,C5631,INDIRECT(J$2),INDIRECT(I5631),test),getMin(B5631,C5631,INDIRECT(J$2),INDIRECT(I5631),test))</f>
        <v>813.16</v>
      </c>
      <c r="E5631" s="5">
        <f ca="1">IF(getQuality(B5631)&lt;4,getOtherMax(B5631,C5631,INDIRECT(J$2),INDIRECT(I5631),test),getMax(B5631,C5631,INDIRECT(J$2),INDIRECT(I5631),test))</f>
        <v>967.1400000000001</v>
      </c>
      <c r="F5631" s="1" t="str">
        <f t="shared" si="353"/>
        <v>50</v>
      </c>
      <c r="G5631" s="1" t="str">
        <f t="shared" ca="1" si="356"/>
        <v/>
      </c>
      <c r="I5631" s="1" t="str">
        <f t="shared" si="354"/>
        <v>威尔新数值1.06.xlsm!suitPower</v>
      </c>
    </row>
    <row r="5632" spans="1:9" x14ac:dyDescent="0.15">
      <c r="A5632" s="1">
        <v>5631</v>
      </c>
      <c r="B5632" s="1">
        <v>304091509</v>
      </c>
      <c r="C5632" s="1">
        <f t="shared" si="355"/>
        <v>2</v>
      </c>
      <c r="D5632" s="5">
        <f ca="1">IF(getQuality(B5632)&lt;4,getOtherMin(B5632,C5632,INDIRECT(J$2),INDIRECT(I5632),test),getMin(B5632,C5632,INDIRECT(J$2),INDIRECT(I5632),test))</f>
        <v>42.777777777777779</v>
      </c>
      <c r="E5632" s="5">
        <f ca="1">IF(getQuality(B5632)&lt;4,getOtherMax(B5632,C5632,INDIRECT(J$2),INDIRECT(I5632),test),getMax(B5632,C5632,INDIRECT(J$2),INDIRECT(I5632),test))</f>
        <v>49.75</v>
      </c>
      <c r="F5632" s="1" t="str">
        <f t="shared" si="353"/>
        <v>50</v>
      </c>
      <c r="G5632" s="1" t="str">
        <f t="shared" ca="1" si="356"/>
        <v/>
      </c>
      <c r="I5632" s="1" t="str">
        <f t="shared" si="354"/>
        <v>威尔新数值1.06.xlsm!suitPower</v>
      </c>
    </row>
    <row r="5633" spans="1:9" x14ac:dyDescent="0.15">
      <c r="A5633" s="1">
        <v>5632</v>
      </c>
      <c r="B5633" s="1">
        <v>304091509</v>
      </c>
      <c r="C5633" s="1">
        <f t="shared" si="355"/>
        <v>4</v>
      </c>
      <c r="D5633" s="5">
        <f ca="1">IF(getQuality(B5633)&lt;4,getOtherMin(B5633,C5633,INDIRECT(J$2),INDIRECT(I5633),test),getMin(B5633,C5633,INDIRECT(J$2),INDIRECT(I5633),test))</f>
        <v>267.66666666666669</v>
      </c>
      <c r="E5633" s="5">
        <f ca="1">IF(getQuality(B5633)&lt;4,getOtherMax(B5633,C5633,INDIRECT(J$2),INDIRECT(I5633),test),getMax(B5633,C5633,INDIRECT(J$2),INDIRECT(I5633),test))</f>
        <v>300</v>
      </c>
      <c r="F5633" s="1" t="str">
        <f t="shared" si="353"/>
        <v>50</v>
      </c>
      <c r="G5633" s="1" t="str">
        <f t="shared" ca="1" si="356"/>
        <v/>
      </c>
      <c r="I5633" s="1" t="str">
        <f t="shared" si="354"/>
        <v>威尔新数值1.06.xlsm!suitPower</v>
      </c>
    </row>
    <row r="5634" spans="1:9" x14ac:dyDescent="0.15">
      <c r="A5634" s="1">
        <v>5633</v>
      </c>
      <c r="B5634" s="1">
        <v>304091509</v>
      </c>
      <c r="C5634" s="1">
        <f t="shared" si="355"/>
        <v>6</v>
      </c>
      <c r="D5634" s="5">
        <f ca="1">IF(getQuality(B5634)&lt;4,getOtherMin(B5634,C5634,INDIRECT(J$2),INDIRECT(I5634),test),getMin(B5634,C5634,INDIRECT(J$2),INDIRECT(I5634),test))</f>
        <v>334.33333333333331</v>
      </c>
      <c r="E5634" s="5">
        <f ca="1">IF(getQuality(B5634)&lt;4,getOtherMax(B5634,C5634,INDIRECT(J$2),INDIRECT(I5634),test),getMax(B5634,C5634,INDIRECT(J$2),INDIRECT(I5634),test))</f>
        <v>375</v>
      </c>
      <c r="F5634" s="1" t="str">
        <f t="shared" si="353"/>
        <v>50</v>
      </c>
      <c r="G5634" s="1" t="str">
        <f t="shared" ca="1" si="356"/>
        <v>1</v>
      </c>
      <c r="I5634" s="1" t="str">
        <f t="shared" si="354"/>
        <v>威尔新数值1.06.xlsm!suitPower</v>
      </c>
    </row>
    <row r="5635" spans="1:9" x14ac:dyDescent="0.15">
      <c r="A5635" s="1">
        <v>5634</v>
      </c>
      <c r="B5635" s="1">
        <v>304091509</v>
      </c>
      <c r="C5635" s="1">
        <f t="shared" si="355"/>
        <v>7</v>
      </c>
      <c r="D5635" s="5">
        <f ca="1">IF(getQuality(B5635)&lt;4,getOtherMin(B5635,C5635,INDIRECT(J$2),INDIRECT(I5635),test),getMin(B5635,C5635,INDIRECT(J$2),INDIRECT(I5635),test))</f>
        <v>30.629629629629555</v>
      </c>
      <c r="E5635" s="5">
        <f ca="1">IF(getQuality(B5635)&lt;4,getOtherMax(B5635,C5635,INDIRECT(J$2),INDIRECT(I5635),test),getMax(B5635,C5635,INDIRECT(J$2),INDIRECT(I5635),test))</f>
        <v>33.33333333333325</v>
      </c>
      <c r="F5635" s="1" t="str">
        <f t="shared" si="353"/>
        <v>50</v>
      </c>
      <c r="G5635" s="1" t="str">
        <f t="shared" ca="1" si="356"/>
        <v/>
      </c>
      <c r="I5635" s="1" t="str">
        <f t="shared" si="354"/>
        <v>威尔新数值1.06.xlsm!suitPower</v>
      </c>
    </row>
    <row r="5636" spans="1:9" x14ac:dyDescent="0.15">
      <c r="A5636" s="1">
        <v>5635</v>
      </c>
      <c r="B5636" s="1">
        <v>304091509</v>
      </c>
      <c r="C5636" s="1">
        <f t="shared" si="355"/>
        <v>8</v>
      </c>
      <c r="D5636" s="5">
        <f ca="1">IF(getQuality(B5636)&lt;4,getOtherMin(B5636,C5636,INDIRECT(J$2),INDIRECT(I5636),test),getMin(B5636,C5636,INDIRECT(J$2),INDIRECT(I5636),test))</f>
        <v>67.666666666666671</v>
      </c>
      <c r="E5636" s="5">
        <f ca="1">IF(getQuality(B5636)&lt;4,getOtherMax(B5636,C5636,INDIRECT(J$2),INDIRECT(I5636),test),getMax(B5636,C5636,INDIRECT(J$2),INDIRECT(I5636),test))</f>
        <v>75</v>
      </c>
      <c r="F5636" s="1" t="str">
        <f t="shared" si="353"/>
        <v>50</v>
      </c>
      <c r="G5636" s="1" t="str">
        <f t="shared" ca="1" si="356"/>
        <v/>
      </c>
      <c r="I5636" s="1" t="str">
        <f t="shared" si="354"/>
        <v>威尔新数值1.06.xlsm!suitPower</v>
      </c>
    </row>
    <row r="5637" spans="1:9" x14ac:dyDescent="0.15">
      <c r="A5637" s="1">
        <v>5636</v>
      </c>
      <c r="B5637" s="1">
        <v>304091509</v>
      </c>
      <c r="C5637" s="1">
        <f t="shared" si="355"/>
        <v>16</v>
      </c>
      <c r="D5637" s="5">
        <f ca="1">IF(getQuality(B5637)&lt;4,getOtherMin(B5637,C5637,INDIRECT(J$2),INDIRECT(I5637),test),getMin(B5637,C5637,INDIRECT(J$2),INDIRECT(I5637),test))</f>
        <v>89.888888888888886</v>
      </c>
      <c r="E5637" s="5">
        <f ca="1">IF(getQuality(B5637)&lt;4,getOtherMax(B5637,C5637,INDIRECT(J$2),INDIRECT(I5637),test),getMax(B5637,C5637,INDIRECT(J$2),INDIRECT(I5637),test))</f>
        <v>100</v>
      </c>
      <c r="F5637" s="1" t="str">
        <f t="shared" si="353"/>
        <v>50</v>
      </c>
      <c r="G5637" s="1" t="str">
        <f t="shared" ca="1" si="356"/>
        <v/>
      </c>
      <c r="I5637" s="1" t="str">
        <f t="shared" si="354"/>
        <v>威尔新数值1.06.xlsm!suitPower</v>
      </c>
    </row>
    <row r="5638" spans="1:9" x14ac:dyDescent="0.15">
      <c r="A5638" s="1">
        <v>5637</v>
      </c>
      <c r="B5638" s="1">
        <v>304091509</v>
      </c>
      <c r="C5638" s="1">
        <f t="shared" si="355"/>
        <v>17</v>
      </c>
      <c r="D5638" s="5">
        <f ca="1">IF(getQuality(B5638)&lt;4,getOtherMin(B5638,C5638,INDIRECT(J$2),INDIRECT(I5638),test),getMin(B5638,C5638,INDIRECT(J$2),INDIRECT(I5638),test))</f>
        <v>89.888888888888886</v>
      </c>
      <c r="E5638" s="5">
        <f ca="1">IF(getQuality(B5638)&lt;4,getOtherMax(B5638,C5638,INDIRECT(J$2),INDIRECT(I5638),test),getMax(B5638,C5638,INDIRECT(J$2),INDIRECT(I5638),test))</f>
        <v>100</v>
      </c>
      <c r="F5638" s="1" t="str">
        <f t="shared" si="353"/>
        <v>50</v>
      </c>
      <c r="G5638" s="1" t="str">
        <f t="shared" ca="1" si="356"/>
        <v/>
      </c>
      <c r="I5638" s="1" t="str">
        <f t="shared" si="354"/>
        <v>威尔新数值1.06.xlsm!suitPower</v>
      </c>
    </row>
    <row r="5639" spans="1:9" x14ac:dyDescent="0.15">
      <c r="A5639" s="1">
        <v>5638</v>
      </c>
      <c r="B5639" s="1">
        <v>304091509</v>
      </c>
      <c r="C5639" s="1">
        <f t="shared" si="355"/>
        <v>18</v>
      </c>
      <c r="D5639" s="5">
        <f ca="1">IF(getQuality(B5639)&lt;4,getOtherMin(B5639,C5639,INDIRECT(J$2),INDIRECT(I5639),test),getMin(B5639,C5639,INDIRECT(J$2),INDIRECT(I5639),test))</f>
        <v>89.888888888888886</v>
      </c>
      <c r="E5639" s="5">
        <f ca="1">IF(getQuality(B5639)&lt;4,getOtherMax(B5639,C5639,INDIRECT(J$2),INDIRECT(I5639),test),getMax(B5639,C5639,INDIRECT(J$2),INDIRECT(I5639),test))</f>
        <v>100</v>
      </c>
      <c r="F5639" s="1" t="str">
        <f t="shared" si="353"/>
        <v>50</v>
      </c>
      <c r="G5639" s="1" t="str">
        <f t="shared" ca="1" si="356"/>
        <v/>
      </c>
      <c r="I5639" s="1" t="str">
        <f t="shared" si="354"/>
        <v>威尔新数值1.06.xlsm!suitPower</v>
      </c>
    </row>
    <row r="5640" spans="1:9" x14ac:dyDescent="0.15">
      <c r="A5640" s="1">
        <v>5639</v>
      </c>
      <c r="B5640" s="1">
        <v>304091509</v>
      </c>
      <c r="C5640" s="1">
        <f t="shared" si="355"/>
        <v>19</v>
      </c>
      <c r="D5640" s="5">
        <f ca="1">IF(getQuality(B5640)&lt;4,getOtherMin(B5640,C5640,INDIRECT(J$2),INDIRECT(I5640),test),getMin(B5640,C5640,INDIRECT(J$2),INDIRECT(I5640),test))</f>
        <v>89.888888888888886</v>
      </c>
      <c r="E5640" s="5">
        <f ca="1">IF(getQuality(B5640)&lt;4,getOtherMax(B5640,C5640,INDIRECT(J$2),INDIRECT(I5640),test),getMax(B5640,C5640,INDIRECT(J$2),INDIRECT(I5640),test))</f>
        <v>100</v>
      </c>
      <c r="F5640" s="1" t="str">
        <f t="shared" si="353"/>
        <v>50</v>
      </c>
      <c r="G5640" s="1" t="str">
        <f t="shared" ca="1" si="356"/>
        <v/>
      </c>
      <c r="I5640" s="1" t="str">
        <f t="shared" si="354"/>
        <v>威尔新数值1.06.xlsm!suitPower</v>
      </c>
    </row>
    <row r="5641" spans="1:9" x14ac:dyDescent="0.15">
      <c r="A5641" s="1">
        <v>5640</v>
      </c>
      <c r="B5641" s="1">
        <v>304091509</v>
      </c>
      <c r="C5641" s="1">
        <f t="shared" si="355"/>
        <v>20</v>
      </c>
      <c r="D5641" s="5">
        <f ca="1">IF(getQuality(B5641)&lt;4,getOtherMin(B5641,C5641,INDIRECT(J$2),INDIRECT(I5641),test),getMin(B5641,C5641,INDIRECT(J$2),INDIRECT(I5641),test))</f>
        <v>134.33333333333334</v>
      </c>
      <c r="E5641" s="5">
        <f ca="1">IF(getQuality(B5641)&lt;4,getOtherMax(B5641,C5641,INDIRECT(J$2),INDIRECT(I5641),test),getMax(B5641,C5641,INDIRECT(J$2),INDIRECT(I5641),test))</f>
        <v>150</v>
      </c>
      <c r="F5641" s="1" t="str">
        <f t="shared" si="353"/>
        <v>50</v>
      </c>
      <c r="G5641" s="1" t="str">
        <f t="shared" ca="1" si="356"/>
        <v/>
      </c>
      <c r="I5641" s="1" t="str">
        <f t="shared" si="354"/>
        <v>威尔新数值1.06.xlsm!suitPower</v>
      </c>
    </row>
    <row r="5642" spans="1:9" x14ac:dyDescent="0.15">
      <c r="A5642" s="1">
        <v>5641</v>
      </c>
      <c r="B5642" s="1">
        <v>304091509</v>
      </c>
      <c r="C5642" s="1">
        <f t="shared" si="355"/>
        <v>21</v>
      </c>
      <c r="D5642" s="5">
        <f ca="1">IF(getQuality(B5642)&lt;4,getOtherMin(B5642,C5642,INDIRECT(J$2),INDIRECT(I5642),test),getMin(B5642,C5642,INDIRECT(J$2),INDIRECT(I5642),test))</f>
        <v>89.888888888888886</v>
      </c>
      <c r="E5642" s="5">
        <f ca="1">IF(getQuality(B5642)&lt;4,getOtherMax(B5642,C5642,INDIRECT(J$2),INDIRECT(I5642),test),getMax(B5642,C5642,INDIRECT(J$2),INDIRECT(I5642),test))</f>
        <v>100</v>
      </c>
      <c r="F5642" s="1" t="str">
        <f t="shared" si="353"/>
        <v>50</v>
      </c>
      <c r="G5642" s="1" t="str">
        <f t="shared" ca="1" si="356"/>
        <v/>
      </c>
      <c r="I5642" s="1" t="str">
        <f t="shared" si="354"/>
        <v>威尔新数值1.06.xlsm!suitPower</v>
      </c>
    </row>
    <row r="5643" spans="1:9" x14ac:dyDescent="0.15">
      <c r="A5643" s="1">
        <v>5642</v>
      </c>
      <c r="B5643" s="1">
        <v>304091509</v>
      </c>
      <c r="C5643" s="1">
        <f t="shared" si="355"/>
        <v>22</v>
      </c>
      <c r="D5643" s="5">
        <f ca="1">IF(getQuality(B5643)&lt;4,getOtherMin(B5643,C5643,INDIRECT(J$2),INDIRECT(I5643),test),getMin(B5643,C5643,INDIRECT(J$2),INDIRECT(I5643),test))</f>
        <v>89.888888888888886</v>
      </c>
      <c r="E5643" s="5">
        <f ca="1">IF(getQuality(B5643)&lt;4,getOtherMax(B5643,C5643,INDIRECT(J$2),INDIRECT(I5643),test),getMax(B5643,C5643,INDIRECT(J$2),INDIRECT(I5643),test))</f>
        <v>100</v>
      </c>
      <c r="F5643" s="1" t="str">
        <f t="shared" si="353"/>
        <v>50</v>
      </c>
      <c r="G5643" s="1" t="str">
        <f t="shared" ca="1" si="356"/>
        <v/>
      </c>
      <c r="I5643" s="1" t="str">
        <f t="shared" si="354"/>
        <v>威尔新数值1.06.xlsm!suitPower</v>
      </c>
    </row>
    <row r="5644" spans="1:9" x14ac:dyDescent="0.15">
      <c r="A5644" s="1">
        <v>5643</v>
      </c>
      <c r="B5644" s="1">
        <v>304091509</v>
      </c>
      <c r="C5644" s="1">
        <f t="shared" si="355"/>
        <v>23</v>
      </c>
      <c r="D5644" s="5">
        <f ca="1">IF(getQuality(B5644)&lt;4,getOtherMin(B5644,C5644,INDIRECT(J$2),INDIRECT(I5644),test),getMin(B5644,C5644,INDIRECT(J$2),INDIRECT(I5644),test))</f>
        <v>89.888888888888886</v>
      </c>
      <c r="E5644" s="5">
        <f ca="1">IF(getQuality(B5644)&lt;4,getOtherMax(B5644,C5644,INDIRECT(J$2),INDIRECT(I5644),test),getMax(B5644,C5644,INDIRECT(J$2),INDIRECT(I5644),test))</f>
        <v>100</v>
      </c>
      <c r="F5644" s="1" t="str">
        <f t="shared" si="353"/>
        <v>50</v>
      </c>
      <c r="G5644" s="1" t="str">
        <f t="shared" ca="1" si="356"/>
        <v/>
      </c>
      <c r="I5644" s="1" t="str">
        <f t="shared" si="354"/>
        <v>威尔新数值1.06.xlsm!suitPower</v>
      </c>
    </row>
    <row r="5645" spans="1:9" x14ac:dyDescent="0.15">
      <c r="A5645" s="1">
        <v>5644</v>
      </c>
      <c r="B5645" s="1">
        <v>104091010</v>
      </c>
      <c r="C5645" s="1">
        <f t="shared" si="355"/>
        <v>3</v>
      </c>
      <c r="D5645" s="5">
        <f ca="1">IF(getQuality(B5645)&lt;4,getOtherMin(B5645,C5645,INDIRECT(J$2),INDIRECT(I5645),test),getMin(B5645,C5645,INDIRECT(J$2),INDIRECT(I5645),test))</f>
        <v>329.28048273180752</v>
      </c>
      <c r="E5645" s="5">
        <f ca="1">IF(getQuality(B5645)&lt;4,getOtherMax(B5645,C5645,INDIRECT(J$2),INDIRECT(I5645),test),getMax(B5645,C5645,INDIRECT(J$2),INDIRECT(I5645),test))</f>
        <v>390.92443123182665</v>
      </c>
      <c r="F5645" s="1" t="str">
        <f t="shared" si="353"/>
        <v>50</v>
      </c>
      <c r="G5645" s="1" t="str">
        <f t="shared" ca="1" si="356"/>
        <v>1</v>
      </c>
      <c r="I5645" s="1" t="str">
        <f t="shared" si="354"/>
        <v>威尔新数值1.06.xlsm!suitPower</v>
      </c>
    </row>
    <row r="5646" spans="1:9" x14ac:dyDescent="0.15">
      <c r="A5646" s="1">
        <v>5645</v>
      </c>
      <c r="B5646" s="1">
        <v>104091010</v>
      </c>
      <c r="C5646" s="1">
        <f t="shared" si="355"/>
        <v>5</v>
      </c>
      <c r="D5646" s="5">
        <f ca="1">IF(getQuality(B5646)&lt;4,getOtherMin(B5646,C5646,INDIRECT(J$2),INDIRECT(I5646),test),getMin(B5646,C5646,INDIRECT(J$2),INDIRECT(I5646),test))</f>
        <v>70.626844444444444</v>
      </c>
      <c r="E5646" s="5">
        <f ca="1">IF(getQuality(B5646)&lt;4,getOtherMax(B5646,C5646,INDIRECT(J$2),INDIRECT(I5646),test),getMax(B5646,C5646,INDIRECT(J$2),INDIRECT(I5646),test))</f>
        <v>82.913350000000008</v>
      </c>
      <c r="F5646" s="1" t="str">
        <f t="shared" si="353"/>
        <v>50</v>
      </c>
      <c r="G5646" s="1" t="str">
        <f t="shared" ca="1" si="356"/>
        <v/>
      </c>
      <c r="I5646" s="1" t="str">
        <f t="shared" si="354"/>
        <v>威尔新数值1.06.xlsm!suitPower</v>
      </c>
    </row>
    <row r="5647" spans="1:9" x14ac:dyDescent="0.15">
      <c r="A5647" s="1">
        <v>5646</v>
      </c>
      <c r="B5647" s="1">
        <v>104091010</v>
      </c>
      <c r="C5647" s="1">
        <f t="shared" si="355"/>
        <v>7</v>
      </c>
      <c r="D5647" s="5">
        <f ca="1">IF(getQuality(B5647)&lt;4,getOtherMin(B5647,C5647,INDIRECT(J$2),INDIRECT(I5647),test),getMin(B5647,C5647,INDIRECT(J$2),INDIRECT(I5647),test))</f>
        <v>30.629629629629644</v>
      </c>
      <c r="E5647" s="5">
        <f ca="1">IF(getQuality(B5647)&lt;4,getOtherMax(B5647,C5647,INDIRECT(J$2),INDIRECT(I5647),test),getMax(B5647,C5647,INDIRECT(J$2),INDIRECT(I5647),test))</f>
        <v>33.33333333333335</v>
      </c>
      <c r="F5647" s="1" t="str">
        <f t="shared" si="353"/>
        <v>50</v>
      </c>
      <c r="G5647" s="1" t="str">
        <f t="shared" ca="1" si="356"/>
        <v/>
      </c>
      <c r="I5647" s="1" t="str">
        <f t="shared" si="354"/>
        <v>威尔新数值1.06.xlsm!suitPower</v>
      </c>
    </row>
    <row r="5648" spans="1:9" x14ac:dyDescent="0.15">
      <c r="A5648" s="1">
        <v>5647</v>
      </c>
      <c r="B5648" s="1">
        <v>104091010</v>
      </c>
      <c r="C5648" s="1">
        <f t="shared" si="355"/>
        <v>8</v>
      </c>
      <c r="D5648" s="5">
        <f ca="1">IF(getQuality(B5648)&lt;4,getOtherMin(B5648,C5648,INDIRECT(J$2),INDIRECT(I5648),test),getMin(B5648,C5648,INDIRECT(J$2),INDIRECT(I5648),test))</f>
        <v>134.33333333333334</v>
      </c>
      <c r="E5648" s="5">
        <f ca="1">IF(getQuality(B5648)&lt;4,getOtherMax(B5648,C5648,INDIRECT(J$2),INDIRECT(I5648),test),getMax(B5648,C5648,INDIRECT(J$2),INDIRECT(I5648),test))</f>
        <v>150</v>
      </c>
      <c r="F5648" s="1" t="str">
        <f t="shared" si="353"/>
        <v>50</v>
      </c>
      <c r="G5648" s="1" t="str">
        <f t="shared" ca="1" si="356"/>
        <v/>
      </c>
      <c r="I5648" s="1" t="str">
        <f t="shared" si="354"/>
        <v>威尔新数值1.06.xlsm!suitPower</v>
      </c>
    </row>
    <row r="5649" spans="1:9" x14ac:dyDescent="0.15">
      <c r="A5649" s="1">
        <v>5648</v>
      </c>
      <c r="B5649" s="1">
        <v>104091010</v>
      </c>
      <c r="C5649" s="1">
        <f t="shared" si="355"/>
        <v>9</v>
      </c>
      <c r="D5649" s="5">
        <f ca="1">IF(getQuality(B5649)&lt;4,getOtherMin(B5649,C5649,INDIRECT(J$2),INDIRECT(I5649),test),getMin(B5649,C5649,INDIRECT(J$2),INDIRECT(I5649),test))</f>
        <v>199.95366358812595</v>
      </c>
      <c r="E5649" s="5">
        <f ca="1">IF(getQuality(B5649)&lt;4,getOtherMax(B5649,C5649,INDIRECT(J$2),INDIRECT(I5649),test),getMax(B5649,C5649,INDIRECT(J$2),INDIRECT(I5649),test))</f>
        <v>236.91889061591328</v>
      </c>
      <c r="F5649" s="1" t="str">
        <f t="shared" si="353"/>
        <v>50</v>
      </c>
      <c r="G5649" s="1" t="str">
        <f t="shared" ca="1" si="356"/>
        <v/>
      </c>
      <c r="I5649" s="1" t="str">
        <f t="shared" si="354"/>
        <v>威尔新数值1.06.xlsm!suitPower</v>
      </c>
    </row>
    <row r="5650" spans="1:9" x14ac:dyDescent="0.15">
      <c r="A5650" s="1">
        <v>5649</v>
      </c>
      <c r="B5650" s="1">
        <v>104091010</v>
      </c>
      <c r="C5650" s="1">
        <f t="shared" si="355"/>
        <v>10</v>
      </c>
      <c r="D5650" s="5">
        <f ca="1">IF(getQuality(B5650)&lt;4,getOtherMin(B5650,C5650,INDIRECT(J$2),INDIRECT(I5650),test),getMin(B5650,C5650,INDIRECT(J$2),INDIRECT(I5650),test))</f>
        <v>199.95366358812595</v>
      </c>
      <c r="E5650" s="5">
        <f ca="1">IF(getQuality(B5650)&lt;4,getOtherMax(B5650,C5650,INDIRECT(J$2),INDIRECT(I5650),test),getMax(B5650,C5650,INDIRECT(J$2),INDIRECT(I5650),test))</f>
        <v>236.91889061591328</v>
      </c>
      <c r="F5650" s="1" t="str">
        <f t="shared" si="353"/>
        <v>50</v>
      </c>
      <c r="G5650" s="1" t="str">
        <f t="shared" ca="1" si="356"/>
        <v/>
      </c>
      <c r="I5650" s="1" t="str">
        <f t="shared" si="354"/>
        <v>威尔新数值1.06.xlsm!suitPower</v>
      </c>
    </row>
    <row r="5651" spans="1:9" x14ac:dyDescent="0.15">
      <c r="A5651" s="1">
        <v>5650</v>
      </c>
      <c r="B5651" s="1">
        <v>104091010</v>
      </c>
      <c r="C5651" s="1">
        <f t="shared" si="355"/>
        <v>11</v>
      </c>
      <c r="D5651" s="5">
        <f ca="1">IF(getQuality(B5651)&lt;4,getOtherMin(B5651,C5651,INDIRECT(J$2),INDIRECT(I5651),test),getMin(B5651,C5651,INDIRECT(J$2),INDIRECT(I5651),test))</f>
        <v>199.95366358812595</v>
      </c>
      <c r="E5651" s="5">
        <f ca="1">IF(getQuality(B5651)&lt;4,getOtherMax(B5651,C5651,INDIRECT(J$2),INDIRECT(I5651),test),getMax(B5651,C5651,INDIRECT(J$2),INDIRECT(I5651),test))</f>
        <v>236.91889061591328</v>
      </c>
      <c r="F5651" s="1" t="str">
        <f t="shared" ref="F5651:F5714" si="357">getper(B5651,C5651)</f>
        <v>50</v>
      </c>
      <c r="G5651" s="1" t="str">
        <f t="shared" ca="1" si="356"/>
        <v/>
      </c>
      <c r="I5651" s="1" t="str">
        <f t="shared" ref="I5651:I5714" si="358">IF(C5651&lt;100,VLOOKUP(C5651,test,3,FALSE),VLOOKUP(C5651,test1,3,FALSE))</f>
        <v>威尔新数值1.06.xlsm!suitPower</v>
      </c>
    </row>
    <row r="5652" spans="1:9" x14ac:dyDescent="0.15">
      <c r="A5652" s="1">
        <v>5651</v>
      </c>
      <c r="B5652" s="1">
        <v>104091010</v>
      </c>
      <c r="C5652" s="1">
        <f t="shared" si="355"/>
        <v>12</v>
      </c>
      <c r="D5652" s="5">
        <f ca="1">IF(getQuality(B5652)&lt;4,getOtherMin(B5652,C5652,INDIRECT(J$2),INDIRECT(I5652),test),getMin(B5652,C5652,INDIRECT(J$2),INDIRECT(I5652),test))</f>
        <v>199.95366358812595</v>
      </c>
      <c r="E5652" s="5">
        <f ca="1">IF(getQuality(B5652)&lt;4,getOtherMax(B5652,C5652,INDIRECT(J$2),INDIRECT(I5652),test),getMax(B5652,C5652,INDIRECT(J$2),INDIRECT(I5652),test))</f>
        <v>236.91889061591328</v>
      </c>
      <c r="F5652" s="1" t="str">
        <f t="shared" si="357"/>
        <v>50</v>
      </c>
      <c r="G5652" s="1" t="str">
        <f t="shared" ca="1" si="356"/>
        <v/>
      </c>
      <c r="I5652" s="1" t="str">
        <f t="shared" si="358"/>
        <v>威尔新数值1.06.xlsm!suitPower</v>
      </c>
    </row>
    <row r="5653" spans="1:9" x14ac:dyDescent="0.15">
      <c r="A5653" s="1">
        <v>5652</v>
      </c>
      <c r="B5653" s="1">
        <v>104091010</v>
      </c>
      <c r="C5653" s="1">
        <f t="shared" si="355"/>
        <v>13</v>
      </c>
      <c r="D5653" s="5">
        <f ca="1">IF(getQuality(B5653)&lt;4,getOtherMin(B5653,C5653,INDIRECT(J$2),INDIRECT(I5653),test),getMin(B5653,C5653,INDIRECT(J$2),INDIRECT(I5653),test))</f>
        <v>199.95366358812595</v>
      </c>
      <c r="E5653" s="5">
        <f ca="1">IF(getQuality(B5653)&lt;4,getOtherMax(B5653,C5653,INDIRECT(J$2),INDIRECT(I5653),test),getMax(B5653,C5653,INDIRECT(J$2),INDIRECT(I5653),test))</f>
        <v>236.91889061591328</v>
      </c>
      <c r="F5653" s="1" t="str">
        <f t="shared" si="357"/>
        <v>50</v>
      </c>
      <c r="G5653" s="1" t="str">
        <f t="shared" ca="1" si="356"/>
        <v/>
      </c>
      <c r="I5653" s="1" t="str">
        <f t="shared" si="358"/>
        <v>威尔新数值1.06.xlsm!suitPower</v>
      </c>
    </row>
    <row r="5654" spans="1:9" x14ac:dyDescent="0.15">
      <c r="A5654" s="1">
        <v>5653</v>
      </c>
      <c r="B5654" s="1">
        <v>104091010</v>
      </c>
      <c r="C5654" s="1">
        <f t="shared" ref="C5654:C5717" si="359">C5607</f>
        <v>14</v>
      </c>
      <c r="D5654" s="5">
        <f ca="1">IF(getQuality(B5654)&lt;4,getOtherMin(B5654,C5654,INDIRECT(J$2),INDIRECT(I5654),test),getMin(B5654,C5654,INDIRECT(J$2),INDIRECT(I5654),test))</f>
        <v>239.74439630575148</v>
      </c>
      <c r="E5654" s="5">
        <f ca="1">IF(getQuality(B5654)&lt;4,getOtherMax(B5654,C5654,INDIRECT(J$2),INDIRECT(I5654),test),getMax(B5654,C5654,INDIRECT(J$2),INDIRECT(I5654),test))</f>
        <v>284.30266873909636</v>
      </c>
      <c r="F5654" s="1" t="str">
        <f t="shared" si="357"/>
        <v>50</v>
      </c>
      <c r="G5654" s="1" t="str">
        <f t="shared" ca="1" si="356"/>
        <v/>
      </c>
      <c r="I5654" s="1" t="str">
        <f t="shared" si="358"/>
        <v>威尔新数值1.06.xlsm!suitPower</v>
      </c>
    </row>
    <row r="5655" spans="1:9" x14ac:dyDescent="0.15">
      <c r="A5655" s="1">
        <v>5654</v>
      </c>
      <c r="B5655" s="1">
        <v>104091010</v>
      </c>
      <c r="C5655" s="1">
        <f t="shared" si="359"/>
        <v>15</v>
      </c>
      <c r="D5655" s="5">
        <f ca="1">IF(getQuality(B5655)&lt;4,getOtherMin(B5655,C5655,INDIRECT(J$2),INDIRECT(I5655),test),getMin(B5655,C5655,INDIRECT(J$2),INDIRECT(I5655),test))</f>
        <v>199.95366358812595</v>
      </c>
      <c r="E5655" s="5">
        <f ca="1">IF(getQuality(B5655)&lt;4,getOtherMax(B5655,C5655,INDIRECT(J$2),INDIRECT(I5655),test),getMax(B5655,C5655,INDIRECT(J$2),INDIRECT(I5655),test))</f>
        <v>236.91889061591328</v>
      </c>
      <c r="F5655" s="1" t="str">
        <f t="shared" si="357"/>
        <v>50</v>
      </c>
      <c r="G5655" s="1" t="str">
        <f t="shared" ca="1" si="356"/>
        <v/>
      </c>
      <c r="I5655" s="1" t="str">
        <f t="shared" si="358"/>
        <v>威尔新数值1.06.xlsm!suitPower</v>
      </c>
    </row>
    <row r="5656" spans="1:9" x14ac:dyDescent="0.15">
      <c r="A5656" s="1">
        <v>5655</v>
      </c>
      <c r="B5656" s="1">
        <v>104091010</v>
      </c>
      <c r="C5656" s="1">
        <f t="shared" si="359"/>
        <v>101</v>
      </c>
      <c r="D5656" s="5">
        <f ca="1">IF(getQuality(B5656)&lt;4,getOtherMin(B5656,C5656,INDIRECT(J$2),INDIRECT(I5656),test),getMin(B5656,C5656,INDIRECT(J$2),INDIRECT(I5656),test))</f>
        <v>0.16</v>
      </c>
      <c r="E5656" s="5">
        <f ca="1">IF(getQuality(B5656)&lt;4,getOtherMax(B5656,C5656,INDIRECT(J$2),INDIRECT(I5656),test),getMax(B5656,C5656,INDIRECT(J$2),INDIRECT(I5656),test))</f>
        <v>0.19</v>
      </c>
      <c r="F5656" s="1" t="str">
        <f t="shared" si="357"/>
        <v>50</v>
      </c>
      <c r="G5656" s="1" t="str">
        <f t="shared" ca="1" si="356"/>
        <v/>
      </c>
      <c r="I5656" s="1" t="str">
        <f t="shared" si="358"/>
        <v>威尔新数值1.06.xlsm!circlePer</v>
      </c>
    </row>
    <row r="5657" spans="1:9" x14ac:dyDescent="0.15">
      <c r="A5657" s="1">
        <v>5656</v>
      </c>
      <c r="B5657" s="1">
        <v>104091010</v>
      </c>
      <c r="C5657" s="1">
        <f t="shared" si="359"/>
        <v>102</v>
      </c>
      <c r="D5657" s="5">
        <f ca="1">IF(getQuality(B5657)&lt;4,getOtherMin(B5657,C5657,INDIRECT(J$2),INDIRECT(I5657),test),getMin(B5657,C5657,INDIRECT(J$2),INDIRECT(I5657),test))</f>
        <v>1.4</v>
      </c>
      <c r="E5657" s="5">
        <f ca="1">IF(getQuality(B5657)&lt;4,getOtherMax(B5657,C5657,INDIRECT(J$2),INDIRECT(I5657),test),getMax(B5657,C5657,INDIRECT(J$2),INDIRECT(I5657),test))</f>
        <v>1.8</v>
      </c>
      <c r="F5657" s="1" t="str">
        <f t="shared" si="357"/>
        <v>50</v>
      </c>
      <c r="G5657" s="1" t="str">
        <f t="shared" ca="1" si="356"/>
        <v/>
      </c>
      <c r="I5657" s="1" t="str">
        <f t="shared" si="358"/>
        <v>威尔新数值1.06.xlsm!circleValue</v>
      </c>
    </row>
    <row r="5658" spans="1:9" x14ac:dyDescent="0.15">
      <c r="A5658" s="1">
        <v>5657</v>
      </c>
      <c r="B5658" s="1">
        <v>104091010</v>
      </c>
      <c r="C5658" s="1">
        <f t="shared" si="359"/>
        <v>103</v>
      </c>
      <c r="D5658" s="5">
        <f ca="1">IF(getQuality(B5658)&lt;4,getOtherMin(B5658,C5658,INDIRECT(J$2),INDIRECT(I5658),test),getMin(B5658,C5658,INDIRECT(J$2),INDIRECT(I5658),test))</f>
        <v>0.16</v>
      </c>
      <c r="E5658" s="5">
        <f ca="1">IF(getQuality(B5658)&lt;4,getOtherMax(B5658,C5658,INDIRECT(J$2),INDIRECT(I5658),test),getMax(B5658,C5658,INDIRECT(J$2),INDIRECT(I5658),test))</f>
        <v>0.19</v>
      </c>
      <c r="F5658" s="1" t="str">
        <f t="shared" si="357"/>
        <v>50</v>
      </c>
      <c r="G5658" s="1" t="str">
        <f t="shared" ca="1" si="356"/>
        <v/>
      </c>
      <c r="I5658" s="1" t="str">
        <f t="shared" si="358"/>
        <v>威尔新数值1.06.xlsm!otherDamage</v>
      </c>
    </row>
    <row r="5659" spans="1:9" x14ac:dyDescent="0.15">
      <c r="A5659" s="1">
        <v>5658</v>
      </c>
      <c r="B5659" s="1">
        <v>104091010</v>
      </c>
      <c r="C5659" s="1">
        <f t="shared" si="359"/>
        <v>104</v>
      </c>
      <c r="D5659" s="5">
        <f ca="1">IF(getQuality(B5659)&lt;4,getOtherMin(B5659,C5659,INDIRECT(J$2),INDIRECT(I5659),test),getMin(B5659,C5659,INDIRECT(J$2),INDIRECT(I5659),test))</f>
        <v>0.15</v>
      </c>
      <c r="E5659" s="5">
        <f ca="1">IF(getQuality(B5659)&lt;4,getOtherMax(B5659,C5659,INDIRECT(J$2),INDIRECT(I5659),test),getMax(B5659,C5659,INDIRECT(J$2),INDIRECT(I5659),test))</f>
        <v>0.3</v>
      </c>
      <c r="F5659" s="1" t="str">
        <f t="shared" si="357"/>
        <v>50</v>
      </c>
      <c r="G5659" s="1" t="str">
        <f t="shared" ca="1" si="356"/>
        <v/>
      </c>
      <c r="I5659" s="1" t="str">
        <f t="shared" si="358"/>
        <v>威尔新数值1.06.xlsm!monsterDamage</v>
      </c>
    </row>
    <row r="5660" spans="1:9" x14ac:dyDescent="0.15">
      <c r="A5660" s="1">
        <v>5659</v>
      </c>
      <c r="B5660" s="1">
        <v>104091010</v>
      </c>
      <c r="C5660" s="1">
        <f t="shared" si="359"/>
        <v>105</v>
      </c>
      <c r="D5660" s="5">
        <f ca="1">IF(getQuality(B5660)&lt;4,getOtherMin(B5660,C5660,INDIRECT(J$2),INDIRECT(I5660),test),getMin(B5660,C5660,INDIRECT(J$2),INDIRECT(I5660),test))</f>
        <v>0.15</v>
      </c>
      <c r="E5660" s="5">
        <f ca="1">IF(getQuality(B5660)&lt;4,getOtherMax(B5660,C5660,INDIRECT(J$2),INDIRECT(I5660),test),getMax(B5660,C5660,INDIRECT(J$2),INDIRECT(I5660),test))</f>
        <v>0.3</v>
      </c>
      <c r="F5660" s="1" t="str">
        <f t="shared" si="357"/>
        <v>50</v>
      </c>
      <c r="G5660" s="1" t="str">
        <f t="shared" ca="1" si="356"/>
        <v/>
      </c>
      <c r="I5660" s="1" t="str">
        <f t="shared" si="358"/>
        <v>威尔新数值1.06.xlsm!monsterDamage</v>
      </c>
    </row>
    <row r="5661" spans="1:9" x14ac:dyDescent="0.15">
      <c r="A5661" s="1">
        <v>5660</v>
      </c>
      <c r="B5661" s="1">
        <v>104091010</v>
      </c>
      <c r="C5661" s="1">
        <f t="shared" si="359"/>
        <v>106</v>
      </c>
      <c r="D5661" s="5">
        <f ca="1">IF(getQuality(B5661)&lt;4,getOtherMin(B5661,C5661,INDIRECT(J$2),INDIRECT(I5661),test),getMin(B5661,C5661,INDIRECT(J$2),INDIRECT(I5661),test))</f>
        <v>0.15</v>
      </c>
      <c r="E5661" s="5">
        <f ca="1">IF(getQuality(B5661)&lt;4,getOtherMax(B5661,C5661,INDIRECT(J$2),INDIRECT(I5661),test),getMax(B5661,C5661,INDIRECT(J$2),INDIRECT(I5661),test))</f>
        <v>0.3</v>
      </c>
      <c r="F5661" s="1" t="str">
        <f t="shared" si="357"/>
        <v>50</v>
      </c>
      <c r="G5661" s="1" t="str">
        <f t="shared" ca="1" si="356"/>
        <v/>
      </c>
      <c r="I5661" s="1" t="str">
        <f t="shared" si="358"/>
        <v>威尔新数值1.06.xlsm!monsterDamage</v>
      </c>
    </row>
    <row r="5662" spans="1:9" x14ac:dyDescent="0.15">
      <c r="A5662" s="1">
        <v>5661</v>
      </c>
      <c r="B5662" s="1">
        <v>104091010</v>
      </c>
      <c r="C5662" s="1">
        <f t="shared" si="359"/>
        <v>107</v>
      </c>
      <c r="D5662" s="5">
        <f ca="1">IF(getQuality(B5662)&lt;4,getOtherMin(B5662,C5662,INDIRECT(J$2),INDIRECT(I5662),test),getMin(B5662,C5662,INDIRECT(J$2),INDIRECT(I5662),test))</f>
        <v>0.15</v>
      </c>
      <c r="E5662" s="5">
        <f ca="1">IF(getQuality(B5662)&lt;4,getOtherMax(B5662,C5662,INDIRECT(J$2),INDIRECT(I5662),test),getMax(B5662,C5662,INDIRECT(J$2),INDIRECT(I5662),test))</f>
        <v>0.3</v>
      </c>
      <c r="F5662" s="1" t="str">
        <f t="shared" si="357"/>
        <v>50</v>
      </c>
      <c r="G5662" s="1" t="str">
        <f t="shared" ca="1" si="356"/>
        <v/>
      </c>
      <c r="I5662" s="1" t="str">
        <f t="shared" si="358"/>
        <v>威尔新数值1.06.xlsm!monsterDamage</v>
      </c>
    </row>
    <row r="5663" spans="1:9" x14ac:dyDescent="0.15">
      <c r="A5663" s="1">
        <v>5662</v>
      </c>
      <c r="B5663" s="1">
        <v>104091010</v>
      </c>
      <c r="C5663" s="1">
        <f t="shared" si="359"/>
        <v>108</v>
      </c>
      <c r="D5663" s="5">
        <f ca="1">IF(getQuality(B5663)&lt;4,getOtherMin(B5663,C5663,INDIRECT(J$2),INDIRECT(I5663),test),getMin(B5663,C5663,INDIRECT(J$2),INDIRECT(I5663),test))</f>
        <v>0.15</v>
      </c>
      <c r="E5663" s="5">
        <f ca="1">IF(getQuality(B5663)&lt;4,getOtherMax(B5663,C5663,INDIRECT(J$2),INDIRECT(I5663),test),getMax(B5663,C5663,INDIRECT(J$2),INDIRECT(I5663),test))</f>
        <v>0.3</v>
      </c>
      <c r="F5663" s="1" t="str">
        <f t="shared" si="357"/>
        <v>50</v>
      </c>
      <c r="G5663" s="1" t="str">
        <f t="shared" ca="1" si="356"/>
        <v/>
      </c>
      <c r="I5663" s="1" t="str">
        <f t="shared" si="358"/>
        <v>威尔新数值1.06.xlsm!monsterDamage</v>
      </c>
    </row>
    <row r="5664" spans="1:9" x14ac:dyDescent="0.15">
      <c r="A5664" s="1">
        <v>5663</v>
      </c>
      <c r="B5664" s="1">
        <v>204091410</v>
      </c>
      <c r="C5664" s="1">
        <f t="shared" si="359"/>
        <v>1</v>
      </c>
      <c r="D5664" s="5">
        <f ca="1">IF(getQuality(B5664)&lt;4,getOtherMin(B5664,C5664,INDIRECT(J$2),INDIRECT(I5664),test),getMin(B5664,C5664,INDIRECT(J$2),INDIRECT(I5664),test))</f>
        <v>869.97777777777776</v>
      </c>
      <c r="E5664" s="5">
        <f ca="1">IF(getQuality(B5664)&lt;4,getOtherMax(B5664,C5664,INDIRECT(J$2),INDIRECT(I5664),test),getMax(B5664,C5664,INDIRECT(J$2),INDIRECT(I5664),test))</f>
        <v>1034.8</v>
      </c>
      <c r="F5664" s="1" t="str">
        <f t="shared" si="357"/>
        <v>50</v>
      </c>
      <c r="G5664" s="1" t="str">
        <f t="shared" ca="1" si="356"/>
        <v/>
      </c>
      <c r="I5664" s="1" t="str">
        <f t="shared" si="358"/>
        <v>威尔新数值1.06.xlsm!suitPower</v>
      </c>
    </row>
    <row r="5665" spans="1:9" x14ac:dyDescent="0.15">
      <c r="A5665" s="1">
        <v>5664</v>
      </c>
      <c r="B5665" s="1">
        <v>204091410</v>
      </c>
      <c r="C5665" s="1">
        <f t="shared" si="359"/>
        <v>2</v>
      </c>
      <c r="D5665" s="5">
        <f ca="1">IF(getQuality(B5665)&lt;4,getOtherMin(B5665,C5665,INDIRECT(J$2),INDIRECT(I5665),test),getMin(B5665,C5665,INDIRECT(J$2),INDIRECT(I5665),test))</f>
        <v>42.777777777777779</v>
      </c>
      <c r="E5665" s="5">
        <f ca="1">IF(getQuality(B5665)&lt;4,getOtherMax(B5665,C5665,INDIRECT(J$2),INDIRECT(I5665),test),getMax(B5665,C5665,INDIRECT(J$2),INDIRECT(I5665),test))</f>
        <v>49.75</v>
      </c>
      <c r="F5665" s="1" t="str">
        <f t="shared" si="357"/>
        <v>50</v>
      </c>
      <c r="G5665" s="1" t="str">
        <f t="shared" ca="1" si="356"/>
        <v/>
      </c>
      <c r="I5665" s="1" t="str">
        <f t="shared" si="358"/>
        <v>威尔新数值1.06.xlsm!suitPower</v>
      </c>
    </row>
    <row r="5666" spans="1:9" x14ac:dyDescent="0.15">
      <c r="A5666" s="1">
        <v>5665</v>
      </c>
      <c r="B5666" s="1">
        <v>204091410</v>
      </c>
      <c r="C5666" s="1">
        <f t="shared" si="359"/>
        <v>4</v>
      </c>
      <c r="D5666" s="5">
        <f ca="1">IF(getQuality(B5666)&lt;4,getOtherMin(B5666,C5666,INDIRECT(J$2),INDIRECT(I5666),test),getMin(B5666,C5666,INDIRECT(J$2),INDIRECT(I5666),test))</f>
        <v>334.33333333333331</v>
      </c>
      <c r="E5666" s="5">
        <f ca="1">IF(getQuality(B5666)&lt;4,getOtherMax(B5666,C5666,INDIRECT(J$2),INDIRECT(I5666),test),getMax(B5666,C5666,INDIRECT(J$2),INDIRECT(I5666),test))</f>
        <v>375</v>
      </c>
      <c r="F5666" s="1" t="str">
        <f t="shared" si="357"/>
        <v>50</v>
      </c>
      <c r="G5666" s="1" t="str">
        <f t="shared" ca="1" si="356"/>
        <v>1</v>
      </c>
      <c r="I5666" s="1" t="str">
        <f t="shared" si="358"/>
        <v>威尔新数值1.06.xlsm!suitPower</v>
      </c>
    </row>
    <row r="5667" spans="1:9" x14ac:dyDescent="0.15">
      <c r="A5667" s="1">
        <v>5666</v>
      </c>
      <c r="B5667" s="1">
        <v>204091410</v>
      </c>
      <c r="C5667" s="1">
        <f t="shared" si="359"/>
        <v>6</v>
      </c>
      <c r="D5667" s="5">
        <f ca="1">IF(getQuality(B5667)&lt;4,getOtherMin(B5667,C5667,INDIRECT(J$2),INDIRECT(I5667),test),getMin(B5667,C5667,INDIRECT(J$2),INDIRECT(I5667),test))</f>
        <v>334.33333333333331</v>
      </c>
      <c r="E5667" s="5">
        <f ca="1">IF(getQuality(B5667)&lt;4,getOtherMax(B5667,C5667,INDIRECT(J$2),INDIRECT(I5667),test),getMax(B5667,C5667,INDIRECT(J$2),INDIRECT(I5667),test))</f>
        <v>375</v>
      </c>
      <c r="F5667" s="1" t="str">
        <f t="shared" si="357"/>
        <v>50</v>
      </c>
      <c r="G5667" s="1" t="str">
        <f t="shared" ca="1" si="356"/>
        <v/>
      </c>
      <c r="I5667" s="1" t="str">
        <f t="shared" si="358"/>
        <v>威尔新数值1.06.xlsm!suitPower</v>
      </c>
    </row>
    <row r="5668" spans="1:9" x14ac:dyDescent="0.15">
      <c r="A5668" s="1">
        <v>5667</v>
      </c>
      <c r="B5668" s="1">
        <v>204091410</v>
      </c>
      <c r="C5668" s="1">
        <f t="shared" si="359"/>
        <v>7</v>
      </c>
      <c r="D5668" s="5">
        <f ca="1">IF(getQuality(B5668)&lt;4,getOtherMin(B5668,C5668,INDIRECT(J$2),INDIRECT(I5668),test),getMin(B5668,C5668,INDIRECT(J$2),INDIRECT(I5668),test))</f>
        <v>15.814814814814822</v>
      </c>
      <c r="E5668" s="5">
        <f ca="1">IF(getQuality(B5668)&lt;4,getOtherMax(B5668,C5668,INDIRECT(J$2),INDIRECT(I5668),test),getMax(B5668,C5668,INDIRECT(J$2),INDIRECT(I5668),test))</f>
        <v>16.666666666666675</v>
      </c>
      <c r="F5668" s="1" t="str">
        <f t="shared" si="357"/>
        <v>50</v>
      </c>
      <c r="G5668" s="1" t="str">
        <f t="shared" ca="1" si="356"/>
        <v/>
      </c>
      <c r="I5668" s="1" t="str">
        <f t="shared" si="358"/>
        <v>威尔新数值1.06.xlsm!suitPower</v>
      </c>
    </row>
    <row r="5669" spans="1:9" x14ac:dyDescent="0.15">
      <c r="A5669" s="1">
        <v>5668</v>
      </c>
      <c r="B5669" s="1">
        <v>204091410</v>
      </c>
      <c r="C5669" s="1">
        <f t="shared" si="359"/>
        <v>8</v>
      </c>
      <c r="D5669" s="5">
        <f ca="1">IF(getQuality(B5669)&lt;4,getOtherMin(B5669,C5669,INDIRECT(J$2),INDIRECT(I5669),test),getMin(B5669,C5669,INDIRECT(J$2),INDIRECT(I5669),test))</f>
        <v>67.666666666666671</v>
      </c>
      <c r="E5669" s="5">
        <f ca="1">IF(getQuality(B5669)&lt;4,getOtherMax(B5669,C5669,INDIRECT(J$2),INDIRECT(I5669),test),getMax(B5669,C5669,INDIRECT(J$2),INDIRECT(I5669),test))</f>
        <v>75</v>
      </c>
      <c r="F5669" s="1" t="str">
        <f t="shared" si="357"/>
        <v>50</v>
      </c>
      <c r="G5669" s="1" t="str">
        <f t="shared" ca="1" si="356"/>
        <v/>
      </c>
      <c r="I5669" s="1" t="str">
        <f t="shared" si="358"/>
        <v>威尔新数值1.06.xlsm!suitPower</v>
      </c>
    </row>
    <row r="5670" spans="1:9" x14ac:dyDescent="0.15">
      <c r="A5670" s="1">
        <v>5669</v>
      </c>
      <c r="B5670" s="1">
        <v>204091410</v>
      </c>
      <c r="C5670" s="1">
        <f t="shared" si="359"/>
        <v>16</v>
      </c>
      <c r="D5670" s="5">
        <f ca="1">IF(getQuality(B5670)&lt;4,getOtherMin(B5670,C5670,INDIRECT(J$2),INDIRECT(I5670),test),getMin(B5670,C5670,INDIRECT(J$2),INDIRECT(I5670),test))</f>
        <v>72.111111111111114</v>
      </c>
      <c r="E5670" s="5">
        <f ca="1">IF(getQuality(B5670)&lt;4,getOtherMax(B5670,C5670,INDIRECT(J$2),INDIRECT(I5670),test),getMax(B5670,C5670,INDIRECT(J$2),INDIRECT(I5670),test))</f>
        <v>80</v>
      </c>
      <c r="F5670" s="1" t="str">
        <f t="shared" si="357"/>
        <v>50</v>
      </c>
      <c r="G5670" s="1" t="str">
        <f t="shared" ca="1" si="356"/>
        <v/>
      </c>
      <c r="I5670" s="1" t="str">
        <f t="shared" si="358"/>
        <v>威尔新数值1.06.xlsm!suitPower</v>
      </c>
    </row>
    <row r="5671" spans="1:9" x14ac:dyDescent="0.15">
      <c r="A5671" s="1">
        <v>5670</v>
      </c>
      <c r="B5671" s="1">
        <v>204091410</v>
      </c>
      <c r="C5671" s="1">
        <f t="shared" si="359"/>
        <v>17</v>
      </c>
      <c r="D5671" s="5">
        <f ca="1">IF(getQuality(B5671)&lt;4,getOtherMin(B5671,C5671,INDIRECT(J$2),INDIRECT(I5671),test),getMin(B5671,C5671,INDIRECT(J$2),INDIRECT(I5671),test))</f>
        <v>72.111111111111114</v>
      </c>
      <c r="E5671" s="5">
        <f ca="1">IF(getQuality(B5671)&lt;4,getOtherMax(B5671,C5671,INDIRECT(J$2),INDIRECT(I5671),test),getMax(B5671,C5671,INDIRECT(J$2),INDIRECT(I5671),test))</f>
        <v>80</v>
      </c>
      <c r="F5671" s="1" t="str">
        <f t="shared" si="357"/>
        <v>50</v>
      </c>
      <c r="G5671" s="1" t="str">
        <f t="shared" ref="G5671:G5734" ca="1" si="360">getMust(B5671,C5671)</f>
        <v/>
      </c>
      <c r="I5671" s="1" t="str">
        <f t="shared" si="358"/>
        <v>威尔新数值1.06.xlsm!suitPower</v>
      </c>
    </row>
    <row r="5672" spans="1:9" x14ac:dyDescent="0.15">
      <c r="A5672" s="1">
        <v>5671</v>
      </c>
      <c r="B5672" s="1">
        <v>204091410</v>
      </c>
      <c r="C5672" s="1">
        <f t="shared" si="359"/>
        <v>18</v>
      </c>
      <c r="D5672" s="5">
        <f ca="1">IF(getQuality(B5672)&lt;4,getOtherMin(B5672,C5672,INDIRECT(J$2),INDIRECT(I5672),test),getMin(B5672,C5672,INDIRECT(J$2),INDIRECT(I5672),test))</f>
        <v>72.111111111111114</v>
      </c>
      <c r="E5672" s="5">
        <f ca="1">IF(getQuality(B5672)&lt;4,getOtherMax(B5672,C5672,INDIRECT(J$2),INDIRECT(I5672),test),getMax(B5672,C5672,INDIRECT(J$2),INDIRECT(I5672),test))</f>
        <v>80</v>
      </c>
      <c r="F5672" s="1" t="str">
        <f t="shared" si="357"/>
        <v>50</v>
      </c>
      <c r="G5672" s="1" t="str">
        <f t="shared" ca="1" si="360"/>
        <v/>
      </c>
      <c r="I5672" s="1" t="str">
        <f t="shared" si="358"/>
        <v>威尔新数值1.06.xlsm!suitPower</v>
      </c>
    </row>
    <row r="5673" spans="1:9" x14ac:dyDescent="0.15">
      <c r="A5673" s="1">
        <v>5672</v>
      </c>
      <c r="B5673" s="1">
        <v>204091410</v>
      </c>
      <c r="C5673" s="1">
        <f t="shared" si="359"/>
        <v>19</v>
      </c>
      <c r="D5673" s="5">
        <f ca="1">IF(getQuality(B5673)&lt;4,getOtherMin(B5673,C5673,INDIRECT(J$2),INDIRECT(I5673),test),getMin(B5673,C5673,INDIRECT(J$2),INDIRECT(I5673),test))</f>
        <v>72.111111111111114</v>
      </c>
      <c r="E5673" s="5">
        <f ca="1">IF(getQuality(B5673)&lt;4,getOtherMax(B5673,C5673,INDIRECT(J$2),INDIRECT(I5673),test),getMax(B5673,C5673,INDIRECT(J$2),INDIRECT(I5673),test))</f>
        <v>80</v>
      </c>
      <c r="F5673" s="1" t="str">
        <f t="shared" si="357"/>
        <v>50</v>
      </c>
      <c r="G5673" s="1" t="str">
        <f t="shared" ca="1" si="360"/>
        <v/>
      </c>
      <c r="I5673" s="1" t="str">
        <f t="shared" si="358"/>
        <v>威尔新数值1.06.xlsm!suitPower</v>
      </c>
    </row>
    <row r="5674" spans="1:9" x14ac:dyDescent="0.15">
      <c r="A5674" s="1">
        <v>5673</v>
      </c>
      <c r="B5674" s="1">
        <v>204091410</v>
      </c>
      <c r="C5674" s="1">
        <f t="shared" si="359"/>
        <v>20</v>
      </c>
      <c r="D5674" s="5">
        <f ca="1">IF(getQuality(B5674)&lt;4,getOtherMin(B5674,C5674,INDIRECT(J$2),INDIRECT(I5674),test),getMin(B5674,C5674,INDIRECT(J$2),INDIRECT(I5674),test))</f>
        <v>72.111111111111114</v>
      </c>
      <c r="E5674" s="5">
        <f ca="1">IF(getQuality(B5674)&lt;4,getOtherMax(B5674,C5674,INDIRECT(J$2),INDIRECT(I5674),test),getMax(B5674,C5674,INDIRECT(J$2),INDIRECT(I5674),test))</f>
        <v>80</v>
      </c>
      <c r="F5674" s="1" t="str">
        <f t="shared" si="357"/>
        <v>50</v>
      </c>
      <c r="G5674" s="1" t="str">
        <f t="shared" ca="1" si="360"/>
        <v/>
      </c>
      <c r="I5674" s="1" t="str">
        <f t="shared" si="358"/>
        <v>威尔新数值1.06.xlsm!suitPower</v>
      </c>
    </row>
    <row r="5675" spans="1:9" x14ac:dyDescent="0.15">
      <c r="A5675" s="1">
        <v>5674</v>
      </c>
      <c r="B5675" s="1">
        <v>204091410</v>
      </c>
      <c r="C5675" s="1">
        <f t="shared" si="359"/>
        <v>21</v>
      </c>
      <c r="D5675" s="5">
        <f ca="1">IF(getQuality(B5675)&lt;4,getOtherMin(B5675,C5675,INDIRECT(J$2),INDIRECT(I5675),test),getMin(B5675,C5675,INDIRECT(J$2),INDIRECT(I5675),test))</f>
        <v>72.111111111111114</v>
      </c>
      <c r="E5675" s="5">
        <f ca="1">IF(getQuality(B5675)&lt;4,getOtherMax(B5675,C5675,INDIRECT(J$2),INDIRECT(I5675),test),getMax(B5675,C5675,INDIRECT(J$2),INDIRECT(I5675),test))</f>
        <v>80</v>
      </c>
      <c r="F5675" s="1" t="str">
        <f t="shared" si="357"/>
        <v>50</v>
      </c>
      <c r="G5675" s="1" t="str">
        <f t="shared" ca="1" si="360"/>
        <v/>
      </c>
      <c r="I5675" s="1" t="str">
        <f t="shared" si="358"/>
        <v>威尔新数值1.06.xlsm!suitPower</v>
      </c>
    </row>
    <row r="5676" spans="1:9" x14ac:dyDescent="0.15">
      <c r="A5676" s="1">
        <v>5675</v>
      </c>
      <c r="B5676" s="1">
        <v>204091410</v>
      </c>
      <c r="C5676" s="1">
        <f t="shared" si="359"/>
        <v>22</v>
      </c>
      <c r="D5676" s="5">
        <f ca="1">IF(getQuality(B5676)&lt;4,getOtherMin(B5676,C5676,INDIRECT(J$2),INDIRECT(I5676),test),getMin(B5676,C5676,INDIRECT(J$2),INDIRECT(I5676),test))</f>
        <v>107.66666666666666</v>
      </c>
      <c r="E5676" s="5">
        <f ca="1">IF(getQuality(B5676)&lt;4,getOtherMax(B5676,C5676,INDIRECT(J$2),INDIRECT(I5676),test),getMax(B5676,C5676,INDIRECT(J$2),INDIRECT(I5676),test))</f>
        <v>120</v>
      </c>
      <c r="F5676" s="1" t="str">
        <f t="shared" si="357"/>
        <v>50</v>
      </c>
      <c r="G5676" s="1" t="str">
        <f t="shared" ca="1" si="360"/>
        <v/>
      </c>
      <c r="I5676" s="1" t="str">
        <f t="shared" si="358"/>
        <v>威尔新数值1.06.xlsm!suitPower</v>
      </c>
    </row>
    <row r="5677" spans="1:9" x14ac:dyDescent="0.15">
      <c r="A5677" s="1">
        <v>5676</v>
      </c>
      <c r="B5677" s="1">
        <v>204091410</v>
      </c>
      <c r="C5677" s="1">
        <f t="shared" si="359"/>
        <v>23</v>
      </c>
      <c r="D5677" s="5">
        <f ca="1">IF(getQuality(B5677)&lt;4,getOtherMin(B5677,C5677,INDIRECT(J$2),INDIRECT(I5677),test),getMin(B5677,C5677,INDIRECT(J$2),INDIRECT(I5677),test))</f>
        <v>72.111111111111114</v>
      </c>
      <c r="E5677" s="5">
        <f ca="1">IF(getQuality(B5677)&lt;4,getOtherMax(B5677,C5677,INDIRECT(J$2),INDIRECT(I5677),test),getMax(B5677,C5677,INDIRECT(J$2),INDIRECT(I5677),test))</f>
        <v>80</v>
      </c>
      <c r="F5677" s="1" t="str">
        <f t="shared" si="357"/>
        <v>50</v>
      </c>
      <c r="G5677" s="1" t="str">
        <f t="shared" ca="1" si="360"/>
        <v/>
      </c>
      <c r="I5677" s="1" t="str">
        <f t="shared" si="358"/>
        <v>威尔新数值1.06.xlsm!suitPower</v>
      </c>
    </row>
    <row r="5678" spans="1:9" x14ac:dyDescent="0.15">
      <c r="A5678" s="1">
        <v>5677</v>
      </c>
      <c r="B5678" s="1">
        <v>304091510</v>
      </c>
      <c r="C5678" s="1">
        <f t="shared" si="359"/>
        <v>1</v>
      </c>
      <c r="D5678" s="5">
        <f ca="1">IF(getQuality(B5678)&lt;4,getOtherMin(B5678,C5678,INDIRECT(J$2),INDIRECT(I5678),test),getMin(B5678,C5678,INDIRECT(J$2),INDIRECT(I5678),test))</f>
        <v>869.97777777777776</v>
      </c>
      <c r="E5678" s="5">
        <f ca="1">IF(getQuality(B5678)&lt;4,getOtherMax(B5678,C5678,INDIRECT(J$2),INDIRECT(I5678),test),getMax(B5678,C5678,INDIRECT(J$2),INDIRECT(I5678),test))</f>
        <v>1034.8</v>
      </c>
      <c r="F5678" s="1" t="str">
        <f t="shared" si="357"/>
        <v>50</v>
      </c>
      <c r="G5678" s="1" t="str">
        <f t="shared" ca="1" si="360"/>
        <v/>
      </c>
      <c r="I5678" s="1" t="str">
        <f t="shared" si="358"/>
        <v>威尔新数值1.06.xlsm!suitPower</v>
      </c>
    </row>
    <row r="5679" spans="1:9" x14ac:dyDescent="0.15">
      <c r="A5679" s="1">
        <v>5678</v>
      </c>
      <c r="B5679" s="1">
        <v>304091510</v>
      </c>
      <c r="C5679" s="1">
        <f t="shared" si="359"/>
        <v>2</v>
      </c>
      <c r="D5679" s="5">
        <f ca="1">IF(getQuality(B5679)&lt;4,getOtherMin(B5679,C5679,INDIRECT(J$2),INDIRECT(I5679),test),getMin(B5679,C5679,INDIRECT(J$2),INDIRECT(I5679),test))</f>
        <v>42.777777777777779</v>
      </c>
      <c r="E5679" s="5">
        <f ca="1">IF(getQuality(B5679)&lt;4,getOtherMax(B5679,C5679,INDIRECT(J$2),INDIRECT(I5679),test),getMax(B5679,C5679,INDIRECT(J$2),INDIRECT(I5679),test))</f>
        <v>49.75</v>
      </c>
      <c r="F5679" s="1" t="str">
        <f t="shared" si="357"/>
        <v>50</v>
      </c>
      <c r="G5679" s="1" t="str">
        <f t="shared" ca="1" si="360"/>
        <v/>
      </c>
      <c r="I5679" s="1" t="str">
        <f t="shared" si="358"/>
        <v>威尔新数值1.06.xlsm!suitPower</v>
      </c>
    </row>
    <row r="5680" spans="1:9" x14ac:dyDescent="0.15">
      <c r="A5680" s="1">
        <v>5679</v>
      </c>
      <c r="B5680" s="1">
        <v>304091510</v>
      </c>
      <c r="C5680" s="1">
        <f t="shared" si="359"/>
        <v>4</v>
      </c>
      <c r="D5680" s="5">
        <f ca="1">IF(getQuality(B5680)&lt;4,getOtherMin(B5680,C5680,INDIRECT(J$2),INDIRECT(I5680),test),getMin(B5680,C5680,INDIRECT(J$2),INDIRECT(I5680),test))</f>
        <v>334.33333333333331</v>
      </c>
      <c r="E5680" s="5">
        <f ca="1">IF(getQuality(B5680)&lt;4,getOtherMax(B5680,C5680,INDIRECT(J$2),INDIRECT(I5680),test),getMax(B5680,C5680,INDIRECT(J$2),INDIRECT(I5680),test))</f>
        <v>375</v>
      </c>
      <c r="F5680" s="1" t="str">
        <f t="shared" si="357"/>
        <v>50</v>
      </c>
      <c r="G5680" s="1" t="str">
        <f t="shared" ca="1" si="360"/>
        <v>1</v>
      </c>
      <c r="I5680" s="1" t="str">
        <f t="shared" si="358"/>
        <v>威尔新数值1.06.xlsm!suitPower</v>
      </c>
    </row>
    <row r="5681" spans="1:9" x14ac:dyDescent="0.15">
      <c r="A5681" s="1">
        <v>5680</v>
      </c>
      <c r="B5681" s="1">
        <v>304091510</v>
      </c>
      <c r="C5681" s="1">
        <f t="shared" si="359"/>
        <v>6</v>
      </c>
      <c r="D5681" s="5">
        <f ca="1">IF(getQuality(B5681)&lt;4,getOtherMin(B5681,C5681,INDIRECT(J$2),INDIRECT(I5681),test),getMin(B5681,C5681,INDIRECT(J$2),INDIRECT(I5681),test))</f>
        <v>334.33333333333331</v>
      </c>
      <c r="E5681" s="5">
        <f ca="1">IF(getQuality(B5681)&lt;4,getOtherMax(B5681,C5681,INDIRECT(J$2),INDIRECT(I5681),test),getMax(B5681,C5681,INDIRECT(J$2),INDIRECT(I5681),test))</f>
        <v>375</v>
      </c>
      <c r="F5681" s="1" t="str">
        <f t="shared" si="357"/>
        <v>50</v>
      </c>
      <c r="G5681" s="1" t="str">
        <f t="shared" ca="1" si="360"/>
        <v/>
      </c>
      <c r="I5681" s="1" t="str">
        <f t="shared" si="358"/>
        <v>威尔新数值1.06.xlsm!suitPower</v>
      </c>
    </row>
    <row r="5682" spans="1:9" x14ac:dyDescent="0.15">
      <c r="A5682" s="1">
        <v>5681</v>
      </c>
      <c r="B5682" s="1">
        <v>304091510</v>
      </c>
      <c r="C5682" s="1">
        <f t="shared" si="359"/>
        <v>7</v>
      </c>
      <c r="D5682" s="5">
        <f ca="1">IF(getQuality(B5682)&lt;4,getOtherMin(B5682,C5682,INDIRECT(J$2),INDIRECT(I5682),test),getMin(B5682,C5682,INDIRECT(J$2),INDIRECT(I5682),test))</f>
        <v>15.814814814814822</v>
      </c>
      <c r="E5682" s="5">
        <f ca="1">IF(getQuality(B5682)&lt;4,getOtherMax(B5682,C5682,INDIRECT(J$2),INDIRECT(I5682),test),getMax(B5682,C5682,INDIRECT(J$2),INDIRECT(I5682),test))</f>
        <v>16.666666666666675</v>
      </c>
      <c r="F5682" s="1" t="str">
        <f t="shared" si="357"/>
        <v>50</v>
      </c>
      <c r="G5682" s="1" t="str">
        <f t="shared" ca="1" si="360"/>
        <v/>
      </c>
      <c r="I5682" s="1" t="str">
        <f t="shared" si="358"/>
        <v>威尔新数值1.06.xlsm!suitPower</v>
      </c>
    </row>
    <row r="5683" spans="1:9" x14ac:dyDescent="0.15">
      <c r="A5683" s="1">
        <v>5682</v>
      </c>
      <c r="B5683" s="1">
        <v>304091510</v>
      </c>
      <c r="C5683" s="1">
        <f t="shared" si="359"/>
        <v>8</v>
      </c>
      <c r="D5683" s="5">
        <f ca="1">IF(getQuality(B5683)&lt;4,getOtherMin(B5683,C5683,INDIRECT(J$2),INDIRECT(I5683),test),getMin(B5683,C5683,INDIRECT(J$2),INDIRECT(I5683),test))</f>
        <v>67.666666666666671</v>
      </c>
      <c r="E5683" s="5">
        <f ca="1">IF(getQuality(B5683)&lt;4,getOtherMax(B5683,C5683,INDIRECT(J$2),INDIRECT(I5683),test),getMax(B5683,C5683,INDIRECT(J$2),INDIRECT(I5683),test))</f>
        <v>75</v>
      </c>
      <c r="F5683" s="1" t="str">
        <f t="shared" si="357"/>
        <v>50</v>
      </c>
      <c r="G5683" s="1" t="str">
        <f t="shared" ca="1" si="360"/>
        <v/>
      </c>
      <c r="I5683" s="1" t="str">
        <f t="shared" si="358"/>
        <v>威尔新数值1.06.xlsm!suitPower</v>
      </c>
    </row>
    <row r="5684" spans="1:9" x14ac:dyDescent="0.15">
      <c r="A5684" s="1">
        <v>5683</v>
      </c>
      <c r="B5684" s="1">
        <v>304091510</v>
      </c>
      <c r="C5684" s="1">
        <f t="shared" si="359"/>
        <v>16</v>
      </c>
      <c r="D5684" s="5">
        <f ca="1">IF(getQuality(B5684)&lt;4,getOtherMin(B5684,C5684,INDIRECT(J$2),INDIRECT(I5684),test),getMin(B5684,C5684,INDIRECT(J$2),INDIRECT(I5684),test))</f>
        <v>72.111111111111114</v>
      </c>
      <c r="E5684" s="5">
        <f ca="1">IF(getQuality(B5684)&lt;4,getOtherMax(B5684,C5684,INDIRECT(J$2),INDIRECT(I5684),test),getMax(B5684,C5684,INDIRECT(J$2),INDIRECT(I5684),test))</f>
        <v>80</v>
      </c>
      <c r="F5684" s="1" t="str">
        <f t="shared" si="357"/>
        <v>50</v>
      </c>
      <c r="G5684" s="1" t="str">
        <f t="shared" ca="1" si="360"/>
        <v/>
      </c>
      <c r="I5684" s="1" t="str">
        <f t="shared" si="358"/>
        <v>威尔新数值1.06.xlsm!suitPower</v>
      </c>
    </row>
    <row r="5685" spans="1:9" x14ac:dyDescent="0.15">
      <c r="A5685" s="1">
        <v>5684</v>
      </c>
      <c r="B5685" s="1">
        <v>304091510</v>
      </c>
      <c r="C5685" s="1">
        <f t="shared" si="359"/>
        <v>17</v>
      </c>
      <c r="D5685" s="5">
        <f ca="1">IF(getQuality(B5685)&lt;4,getOtherMin(B5685,C5685,INDIRECT(J$2),INDIRECT(I5685),test),getMin(B5685,C5685,INDIRECT(J$2),INDIRECT(I5685),test))</f>
        <v>72.111111111111114</v>
      </c>
      <c r="E5685" s="5">
        <f ca="1">IF(getQuality(B5685)&lt;4,getOtherMax(B5685,C5685,INDIRECT(J$2),INDIRECT(I5685),test),getMax(B5685,C5685,INDIRECT(J$2),INDIRECT(I5685),test))</f>
        <v>80</v>
      </c>
      <c r="F5685" s="1" t="str">
        <f t="shared" si="357"/>
        <v>50</v>
      </c>
      <c r="G5685" s="1" t="str">
        <f t="shared" ca="1" si="360"/>
        <v/>
      </c>
      <c r="I5685" s="1" t="str">
        <f t="shared" si="358"/>
        <v>威尔新数值1.06.xlsm!suitPower</v>
      </c>
    </row>
    <row r="5686" spans="1:9" x14ac:dyDescent="0.15">
      <c r="A5686" s="1">
        <v>5685</v>
      </c>
      <c r="B5686" s="1">
        <v>304091510</v>
      </c>
      <c r="C5686" s="1">
        <f t="shared" si="359"/>
        <v>18</v>
      </c>
      <c r="D5686" s="5">
        <f ca="1">IF(getQuality(B5686)&lt;4,getOtherMin(B5686,C5686,INDIRECT(J$2),INDIRECT(I5686),test),getMin(B5686,C5686,INDIRECT(J$2),INDIRECT(I5686),test))</f>
        <v>72.111111111111114</v>
      </c>
      <c r="E5686" s="5">
        <f ca="1">IF(getQuality(B5686)&lt;4,getOtherMax(B5686,C5686,INDIRECT(J$2),INDIRECT(I5686),test),getMax(B5686,C5686,INDIRECT(J$2),INDIRECT(I5686),test))</f>
        <v>80</v>
      </c>
      <c r="F5686" s="1" t="str">
        <f t="shared" si="357"/>
        <v>50</v>
      </c>
      <c r="G5686" s="1" t="str">
        <f t="shared" ca="1" si="360"/>
        <v/>
      </c>
      <c r="I5686" s="1" t="str">
        <f t="shared" si="358"/>
        <v>威尔新数值1.06.xlsm!suitPower</v>
      </c>
    </row>
    <row r="5687" spans="1:9" x14ac:dyDescent="0.15">
      <c r="A5687" s="1">
        <v>5686</v>
      </c>
      <c r="B5687" s="1">
        <v>304091510</v>
      </c>
      <c r="C5687" s="1">
        <f t="shared" si="359"/>
        <v>19</v>
      </c>
      <c r="D5687" s="5">
        <f ca="1">IF(getQuality(B5687)&lt;4,getOtherMin(B5687,C5687,INDIRECT(J$2),INDIRECT(I5687),test),getMin(B5687,C5687,INDIRECT(J$2),INDIRECT(I5687),test))</f>
        <v>72.111111111111114</v>
      </c>
      <c r="E5687" s="5">
        <f ca="1">IF(getQuality(B5687)&lt;4,getOtherMax(B5687,C5687,INDIRECT(J$2),INDIRECT(I5687),test),getMax(B5687,C5687,INDIRECT(J$2),INDIRECT(I5687),test))</f>
        <v>80</v>
      </c>
      <c r="F5687" s="1" t="str">
        <f t="shared" si="357"/>
        <v>50</v>
      </c>
      <c r="G5687" s="1" t="str">
        <f t="shared" ca="1" si="360"/>
        <v/>
      </c>
      <c r="I5687" s="1" t="str">
        <f t="shared" si="358"/>
        <v>威尔新数值1.06.xlsm!suitPower</v>
      </c>
    </row>
    <row r="5688" spans="1:9" x14ac:dyDescent="0.15">
      <c r="A5688" s="1">
        <v>5687</v>
      </c>
      <c r="B5688" s="1">
        <v>304091510</v>
      </c>
      <c r="C5688" s="1">
        <f t="shared" si="359"/>
        <v>20</v>
      </c>
      <c r="D5688" s="5">
        <f ca="1">IF(getQuality(B5688)&lt;4,getOtherMin(B5688,C5688,INDIRECT(J$2),INDIRECT(I5688),test),getMin(B5688,C5688,INDIRECT(J$2),INDIRECT(I5688),test))</f>
        <v>72.111111111111114</v>
      </c>
      <c r="E5688" s="5">
        <f ca="1">IF(getQuality(B5688)&lt;4,getOtherMax(B5688,C5688,INDIRECT(J$2),INDIRECT(I5688),test),getMax(B5688,C5688,INDIRECT(J$2),INDIRECT(I5688),test))</f>
        <v>80</v>
      </c>
      <c r="F5688" s="1" t="str">
        <f t="shared" si="357"/>
        <v>50</v>
      </c>
      <c r="G5688" s="1" t="str">
        <f t="shared" ca="1" si="360"/>
        <v/>
      </c>
      <c r="I5688" s="1" t="str">
        <f t="shared" si="358"/>
        <v>威尔新数值1.06.xlsm!suitPower</v>
      </c>
    </row>
    <row r="5689" spans="1:9" x14ac:dyDescent="0.15">
      <c r="A5689" s="1">
        <v>5688</v>
      </c>
      <c r="B5689" s="1">
        <v>304091510</v>
      </c>
      <c r="C5689" s="1">
        <f t="shared" si="359"/>
        <v>21</v>
      </c>
      <c r="D5689" s="5">
        <f ca="1">IF(getQuality(B5689)&lt;4,getOtherMin(B5689,C5689,INDIRECT(J$2),INDIRECT(I5689),test),getMin(B5689,C5689,INDIRECT(J$2),INDIRECT(I5689),test))</f>
        <v>72.111111111111114</v>
      </c>
      <c r="E5689" s="5">
        <f ca="1">IF(getQuality(B5689)&lt;4,getOtherMax(B5689,C5689,INDIRECT(J$2),INDIRECT(I5689),test),getMax(B5689,C5689,INDIRECT(J$2),INDIRECT(I5689),test))</f>
        <v>80</v>
      </c>
      <c r="F5689" s="1" t="str">
        <f t="shared" si="357"/>
        <v>50</v>
      </c>
      <c r="G5689" s="1" t="str">
        <f t="shared" ca="1" si="360"/>
        <v/>
      </c>
      <c r="I5689" s="1" t="str">
        <f t="shared" si="358"/>
        <v>威尔新数值1.06.xlsm!suitPower</v>
      </c>
    </row>
    <row r="5690" spans="1:9" x14ac:dyDescent="0.15">
      <c r="A5690" s="1">
        <v>5689</v>
      </c>
      <c r="B5690" s="1">
        <v>304091510</v>
      </c>
      <c r="C5690" s="1">
        <f t="shared" si="359"/>
        <v>22</v>
      </c>
      <c r="D5690" s="5">
        <f ca="1">IF(getQuality(B5690)&lt;4,getOtherMin(B5690,C5690,INDIRECT(J$2),INDIRECT(I5690),test),getMin(B5690,C5690,INDIRECT(J$2),INDIRECT(I5690),test))</f>
        <v>107.66666666666666</v>
      </c>
      <c r="E5690" s="5">
        <f ca="1">IF(getQuality(B5690)&lt;4,getOtherMax(B5690,C5690,INDIRECT(J$2),INDIRECT(I5690),test),getMax(B5690,C5690,INDIRECT(J$2),INDIRECT(I5690),test))</f>
        <v>120</v>
      </c>
      <c r="F5690" s="1" t="str">
        <f t="shared" si="357"/>
        <v>50</v>
      </c>
      <c r="G5690" s="1" t="str">
        <f t="shared" ca="1" si="360"/>
        <v/>
      </c>
      <c r="I5690" s="1" t="str">
        <f t="shared" si="358"/>
        <v>威尔新数值1.06.xlsm!suitPower</v>
      </c>
    </row>
    <row r="5691" spans="1:9" x14ac:dyDescent="0.15">
      <c r="A5691" s="1">
        <v>5690</v>
      </c>
      <c r="B5691" s="1">
        <v>304091510</v>
      </c>
      <c r="C5691" s="1">
        <f t="shared" si="359"/>
        <v>23</v>
      </c>
      <c r="D5691" s="5">
        <f ca="1">IF(getQuality(B5691)&lt;4,getOtherMin(B5691,C5691,INDIRECT(J$2),INDIRECT(I5691),test),getMin(B5691,C5691,INDIRECT(J$2),INDIRECT(I5691),test))</f>
        <v>72.111111111111114</v>
      </c>
      <c r="E5691" s="5">
        <f ca="1">IF(getQuality(B5691)&lt;4,getOtherMax(B5691,C5691,INDIRECT(J$2),INDIRECT(I5691),test),getMax(B5691,C5691,INDIRECT(J$2),INDIRECT(I5691),test))</f>
        <v>80</v>
      </c>
      <c r="F5691" s="1" t="str">
        <f t="shared" si="357"/>
        <v>50</v>
      </c>
      <c r="G5691" s="1" t="str">
        <f t="shared" ca="1" si="360"/>
        <v/>
      </c>
      <c r="I5691" s="1" t="str">
        <f t="shared" si="358"/>
        <v>威尔新数值1.06.xlsm!suitPower</v>
      </c>
    </row>
    <row r="5692" spans="1:9" x14ac:dyDescent="0.15">
      <c r="A5692" s="1">
        <v>5691</v>
      </c>
      <c r="B5692" s="1">
        <v>104091111</v>
      </c>
      <c r="C5692" s="1">
        <f t="shared" si="359"/>
        <v>3</v>
      </c>
      <c r="D5692" s="5">
        <f ca="1">IF(getQuality(B5692)&lt;4,getOtherMin(B5692,C5692,INDIRECT(J$2),INDIRECT(I5692),test),getMin(B5692,C5692,INDIRECT(J$2),INDIRECT(I5692),test))</f>
        <v>80.569955555555552</v>
      </c>
      <c r="E5692" s="5">
        <f ca="1">IF(getQuality(B5692)&lt;4,getOtherMax(B5692,C5692,INDIRECT(J$2),INDIRECT(I5692),test),getMax(B5692,C5692,INDIRECT(J$2),INDIRECT(I5692),test))</f>
        <v>94.75385</v>
      </c>
      <c r="F5692" s="1" t="str">
        <f t="shared" si="357"/>
        <v>50</v>
      </c>
      <c r="G5692" s="1" t="str">
        <f t="shared" ca="1" si="360"/>
        <v/>
      </c>
      <c r="I5692" s="1" t="str">
        <f t="shared" si="358"/>
        <v>威尔新数值1.06.xlsm!suitPower</v>
      </c>
    </row>
    <row r="5693" spans="1:9" x14ac:dyDescent="0.15">
      <c r="A5693" s="1">
        <v>5692</v>
      </c>
      <c r="B5693" s="1">
        <v>104091111</v>
      </c>
      <c r="C5693" s="1">
        <f t="shared" si="359"/>
        <v>5</v>
      </c>
      <c r="D5693" s="5">
        <f ca="1">IF(getQuality(B5693)&lt;4,getOtherMin(B5693,C5693,INDIRECT(J$2),INDIRECT(I5693),test),getMin(B5693,C5693,INDIRECT(J$2),INDIRECT(I5693),test))</f>
        <v>329.28048273180752</v>
      </c>
      <c r="E5693" s="5">
        <f ca="1">IF(getQuality(B5693)&lt;4,getOtherMax(B5693,C5693,INDIRECT(J$2),INDIRECT(I5693),test),getMax(B5693,C5693,INDIRECT(J$2),INDIRECT(I5693),test))</f>
        <v>390.92443123182665</v>
      </c>
      <c r="F5693" s="1" t="str">
        <f t="shared" si="357"/>
        <v>50</v>
      </c>
      <c r="G5693" s="1" t="str">
        <f t="shared" ca="1" si="360"/>
        <v>1</v>
      </c>
      <c r="I5693" s="1" t="str">
        <f t="shared" si="358"/>
        <v>威尔新数值1.06.xlsm!suitPower</v>
      </c>
    </row>
    <row r="5694" spans="1:9" x14ac:dyDescent="0.15">
      <c r="A5694" s="1">
        <v>5693</v>
      </c>
      <c r="B5694" s="1">
        <v>104091111</v>
      </c>
      <c r="C5694" s="1">
        <f t="shared" si="359"/>
        <v>7</v>
      </c>
      <c r="D5694" s="5">
        <f ca="1">IF(getQuality(B5694)&lt;4,getOtherMin(B5694,C5694,INDIRECT(J$2),INDIRECT(I5694),test),getMin(B5694,C5694,INDIRECT(J$2),INDIRECT(I5694),test))</f>
        <v>33.592592592592574</v>
      </c>
      <c r="E5694" s="5">
        <f ca="1">IF(getQuality(B5694)&lt;4,getOtherMax(B5694,C5694,INDIRECT(J$2),INDIRECT(I5694),test),getMax(B5694,C5694,INDIRECT(J$2),INDIRECT(I5694),test))</f>
        <v>36.66666666666665</v>
      </c>
      <c r="F5694" s="1" t="str">
        <f t="shared" si="357"/>
        <v>50</v>
      </c>
      <c r="G5694" s="1" t="str">
        <f t="shared" ca="1" si="360"/>
        <v/>
      </c>
      <c r="I5694" s="1" t="str">
        <f t="shared" si="358"/>
        <v>威尔新数值1.06.xlsm!suitPower</v>
      </c>
    </row>
    <row r="5695" spans="1:9" x14ac:dyDescent="0.15">
      <c r="A5695" s="1">
        <v>5694</v>
      </c>
      <c r="B5695" s="1">
        <v>104091111</v>
      </c>
      <c r="C5695" s="1">
        <f t="shared" si="359"/>
        <v>8</v>
      </c>
      <c r="D5695" s="5">
        <f ca="1">IF(getQuality(B5695)&lt;4,getOtherMin(B5695,C5695,INDIRECT(J$2),INDIRECT(I5695),test),getMin(B5695,C5695,INDIRECT(J$2),INDIRECT(I5695),test))</f>
        <v>134.33333333333334</v>
      </c>
      <c r="E5695" s="5">
        <f ca="1">IF(getQuality(B5695)&lt;4,getOtherMax(B5695,C5695,INDIRECT(J$2),INDIRECT(I5695),test),getMax(B5695,C5695,INDIRECT(J$2),INDIRECT(I5695),test))</f>
        <v>150</v>
      </c>
      <c r="F5695" s="1" t="str">
        <f t="shared" si="357"/>
        <v>50</v>
      </c>
      <c r="G5695" s="1" t="str">
        <f t="shared" ca="1" si="360"/>
        <v/>
      </c>
      <c r="I5695" s="1" t="str">
        <f t="shared" si="358"/>
        <v>威尔新数值1.06.xlsm!suitPower</v>
      </c>
    </row>
    <row r="5696" spans="1:9" x14ac:dyDescent="0.15">
      <c r="A5696" s="1">
        <v>5695</v>
      </c>
      <c r="B5696" s="1">
        <v>104091111</v>
      </c>
      <c r="C5696" s="1">
        <f t="shared" si="359"/>
        <v>9</v>
      </c>
      <c r="D5696" s="5">
        <f ca="1">IF(getQuality(B5696)&lt;4,getOtherMin(B5696,C5696,INDIRECT(J$2),INDIRECT(I5696),test),getMin(B5696,C5696,INDIRECT(J$2),INDIRECT(I5696),test))</f>
        <v>204.92521914368155</v>
      </c>
      <c r="E5696" s="5">
        <f ca="1">IF(getQuality(B5696)&lt;4,getOtherMax(B5696,C5696,INDIRECT(J$2),INDIRECT(I5696),test),getMax(B5696,C5696,INDIRECT(J$2),INDIRECT(I5696),test))</f>
        <v>242.83914061591332</v>
      </c>
      <c r="F5696" s="1" t="str">
        <f t="shared" si="357"/>
        <v>50</v>
      </c>
      <c r="G5696" s="1" t="str">
        <f t="shared" ca="1" si="360"/>
        <v/>
      </c>
      <c r="I5696" s="1" t="str">
        <f t="shared" si="358"/>
        <v>威尔新数值1.06.xlsm!suitPower</v>
      </c>
    </row>
    <row r="5697" spans="1:9" x14ac:dyDescent="0.15">
      <c r="A5697" s="1">
        <v>5696</v>
      </c>
      <c r="B5697" s="1">
        <v>104091111</v>
      </c>
      <c r="C5697" s="1">
        <f t="shared" si="359"/>
        <v>10</v>
      </c>
      <c r="D5697" s="5">
        <f ca="1">IF(getQuality(B5697)&lt;4,getOtherMin(B5697,C5697,INDIRECT(J$2),INDIRECT(I5697),test),getMin(B5697,C5697,INDIRECT(J$2),INDIRECT(I5697),test))</f>
        <v>204.92521914368155</v>
      </c>
      <c r="E5697" s="5">
        <f ca="1">IF(getQuality(B5697)&lt;4,getOtherMax(B5697,C5697,INDIRECT(J$2),INDIRECT(I5697),test),getMax(B5697,C5697,INDIRECT(J$2),INDIRECT(I5697),test))</f>
        <v>242.83914061591332</v>
      </c>
      <c r="F5697" s="1" t="str">
        <f t="shared" si="357"/>
        <v>50</v>
      </c>
      <c r="G5697" s="1" t="str">
        <f t="shared" ca="1" si="360"/>
        <v/>
      </c>
      <c r="I5697" s="1" t="str">
        <f t="shared" si="358"/>
        <v>威尔新数值1.06.xlsm!suitPower</v>
      </c>
    </row>
    <row r="5698" spans="1:9" x14ac:dyDescent="0.15">
      <c r="A5698" s="1">
        <v>5697</v>
      </c>
      <c r="B5698" s="1">
        <v>104091111</v>
      </c>
      <c r="C5698" s="1">
        <f t="shared" si="359"/>
        <v>11</v>
      </c>
      <c r="D5698" s="5">
        <f ca="1">IF(getQuality(B5698)&lt;4,getOtherMin(B5698,C5698,INDIRECT(J$2),INDIRECT(I5698),test),getMin(B5698,C5698,INDIRECT(J$2),INDIRECT(I5698),test))</f>
        <v>204.92521914368155</v>
      </c>
      <c r="E5698" s="5">
        <f ca="1">IF(getQuality(B5698)&lt;4,getOtherMax(B5698,C5698,INDIRECT(J$2),INDIRECT(I5698),test),getMax(B5698,C5698,INDIRECT(J$2),INDIRECT(I5698),test))</f>
        <v>242.83914061591332</v>
      </c>
      <c r="F5698" s="1" t="str">
        <f t="shared" si="357"/>
        <v>50</v>
      </c>
      <c r="G5698" s="1" t="str">
        <f t="shared" ca="1" si="360"/>
        <v/>
      </c>
      <c r="I5698" s="1" t="str">
        <f t="shared" si="358"/>
        <v>威尔新数值1.06.xlsm!suitPower</v>
      </c>
    </row>
    <row r="5699" spans="1:9" x14ac:dyDescent="0.15">
      <c r="A5699" s="1">
        <v>5698</v>
      </c>
      <c r="B5699" s="1">
        <v>104091111</v>
      </c>
      <c r="C5699" s="1">
        <f t="shared" si="359"/>
        <v>12</v>
      </c>
      <c r="D5699" s="5">
        <f ca="1">IF(getQuality(B5699)&lt;4,getOtherMin(B5699,C5699,INDIRECT(J$2),INDIRECT(I5699),test),getMin(B5699,C5699,INDIRECT(J$2),INDIRECT(I5699),test))</f>
        <v>204.92521914368155</v>
      </c>
      <c r="E5699" s="5">
        <f ca="1">IF(getQuality(B5699)&lt;4,getOtherMax(B5699,C5699,INDIRECT(J$2),INDIRECT(I5699),test),getMax(B5699,C5699,INDIRECT(J$2),INDIRECT(I5699),test))</f>
        <v>242.83914061591332</v>
      </c>
      <c r="F5699" s="1" t="str">
        <f t="shared" si="357"/>
        <v>50</v>
      </c>
      <c r="G5699" s="1" t="str">
        <f t="shared" ca="1" si="360"/>
        <v/>
      </c>
      <c r="I5699" s="1" t="str">
        <f t="shared" si="358"/>
        <v>威尔新数值1.06.xlsm!suitPower</v>
      </c>
    </row>
    <row r="5700" spans="1:9" x14ac:dyDescent="0.15">
      <c r="A5700" s="1">
        <v>5699</v>
      </c>
      <c r="B5700" s="1">
        <v>104091111</v>
      </c>
      <c r="C5700" s="1">
        <f t="shared" si="359"/>
        <v>13</v>
      </c>
      <c r="D5700" s="5">
        <f ca="1">IF(getQuality(B5700)&lt;4,getOtherMin(B5700,C5700,INDIRECT(J$2),INDIRECT(I5700),test),getMin(B5700,C5700,INDIRECT(J$2),INDIRECT(I5700),test))</f>
        <v>204.92521914368155</v>
      </c>
      <c r="E5700" s="5">
        <f ca="1">IF(getQuality(B5700)&lt;4,getOtherMax(B5700,C5700,INDIRECT(J$2),INDIRECT(I5700),test),getMax(B5700,C5700,INDIRECT(J$2),INDIRECT(I5700),test))</f>
        <v>242.83914061591332</v>
      </c>
      <c r="F5700" s="1" t="str">
        <f t="shared" si="357"/>
        <v>50</v>
      </c>
      <c r="G5700" s="1" t="str">
        <f t="shared" ca="1" si="360"/>
        <v/>
      </c>
      <c r="I5700" s="1" t="str">
        <f t="shared" si="358"/>
        <v>威尔新数值1.06.xlsm!suitPower</v>
      </c>
    </row>
    <row r="5701" spans="1:9" x14ac:dyDescent="0.15">
      <c r="A5701" s="1">
        <v>5700</v>
      </c>
      <c r="B5701" s="1">
        <v>104091111</v>
      </c>
      <c r="C5701" s="1">
        <f t="shared" si="359"/>
        <v>14</v>
      </c>
      <c r="D5701" s="5">
        <f ca="1">IF(getQuality(B5701)&lt;4,getOtherMin(B5701,C5701,INDIRECT(J$2),INDIRECT(I5701),test),getMin(B5701,C5701,INDIRECT(J$2),INDIRECT(I5701),test))</f>
        <v>204.92521914368155</v>
      </c>
      <c r="E5701" s="5">
        <f ca="1">IF(getQuality(B5701)&lt;4,getOtherMax(B5701,C5701,INDIRECT(J$2),INDIRECT(I5701),test),getMax(B5701,C5701,INDIRECT(J$2),INDIRECT(I5701),test))</f>
        <v>242.83914061591332</v>
      </c>
      <c r="F5701" s="1" t="str">
        <f t="shared" si="357"/>
        <v>50</v>
      </c>
      <c r="G5701" s="1" t="str">
        <f t="shared" ca="1" si="360"/>
        <v/>
      </c>
      <c r="I5701" s="1" t="str">
        <f t="shared" si="358"/>
        <v>威尔新数值1.06.xlsm!suitPower</v>
      </c>
    </row>
    <row r="5702" spans="1:9" x14ac:dyDescent="0.15">
      <c r="A5702" s="1">
        <v>5701</v>
      </c>
      <c r="B5702" s="1">
        <v>104091111</v>
      </c>
      <c r="C5702" s="1">
        <f t="shared" si="359"/>
        <v>15</v>
      </c>
      <c r="D5702" s="5">
        <f ca="1">IF(getQuality(B5702)&lt;4,getOtherMin(B5702,C5702,INDIRECT(J$2),INDIRECT(I5702),test),getMin(B5702,C5702,INDIRECT(J$2),INDIRECT(I5702),test))</f>
        <v>245.71026297241815</v>
      </c>
      <c r="E5702" s="5">
        <f ca="1">IF(getQuality(B5702)&lt;4,getOtherMax(B5702,C5702,INDIRECT(J$2),INDIRECT(I5702),test),getMax(B5702,C5702,INDIRECT(J$2),INDIRECT(I5702),test))</f>
        <v>291.40696873909638</v>
      </c>
      <c r="F5702" s="1" t="str">
        <f t="shared" si="357"/>
        <v>50</v>
      </c>
      <c r="G5702" s="1" t="str">
        <f t="shared" ca="1" si="360"/>
        <v/>
      </c>
      <c r="I5702" s="1" t="str">
        <f t="shared" si="358"/>
        <v>威尔新数值1.06.xlsm!suitPower</v>
      </c>
    </row>
    <row r="5703" spans="1:9" x14ac:dyDescent="0.15">
      <c r="A5703" s="1">
        <v>5702</v>
      </c>
      <c r="B5703" s="1">
        <v>104091111</v>
      </c>
      <c r="C5703" s="1">
        <f t="shared" si="359"/>
        <v>101</v>
      </c>
      <c r="D5703" s="5">
        <f ca="1">IF(getQuality(B5703)&lt;4,getOtherMin(B5703,C5703,INDIRECT(J$2),INDIRECT(I5703),test),getMin(B5703,C5703,INDIRECT(J$2),INDIRECT(I5703),test))</f>
        <v>0.16</v>
      </c>
      <c r="E5703" s="5">
        <f ca="1">IF(getQuality(B5703)&lt;4,getOtherMax(B5703,C5703,INDIRECT(J$2),INDIRECT(I5703),test),getMax(B5703,C5703,INDIRECT(J$2),INDIRECT(I5703),test))</f>
        <v>0.19</v>
      </c>
      <c r="F5703" s="1" t="str">
        <f t="shared" si="357"/>
        <v>50</v>
      </c>
      <c r="G5703" s="1" t="str">
        <f t="shared" ca="1" si="360"/>
        <v/>
      </c>
      <c r="I5703" s="1" t="str">
        <f t="shared" si="358"/>
        <v>威尔新数值1.06.xlsm!circlePer</v>
      </c>
    </row>
    <row r="5704" spans="1:9" x14ac:dyDescent="0.15">
      <c r="A5704" s="1">
        <v>5703</v>
      </c>
      <c r="B5704" s="1">
        <v>104091111</v>
      </c>
      <c r="C5704" s="1">
        <f t="shared" si="359"/>
        <v>102</v>
      </c>
      <c r="D5704" s="5">
        <f ca="1">IF(getQuality(B5704)&lt;4,getOtherMin(B5704,C5704,INDIRECT(J$2),INDIRECT(I5704),test),getMin(B5704,C5704,INDIRECT(J$2),INDIRECT(I5704),test))</f>
        <v>1.4</v>
      </c>
      <c r="E5704" s="5">
        <f ca="1">IF(getQuality(B5704)&lt;4,getOtherMax(B5704,C5704,INDIRECT(J$2),INDIRECT(I5704),test),getMax(B5704,C5704,INDIRECT(J$2),INDIRECT(I5704),test))</f>
        <v>1.8</v>
      </c>
      <c r="F5704" s="1" t="str">
        <f t="shared" si="357"/>
        <v>50</v>
      </c>
      <c r="G5704" s="1" t="str">
        <f t="shared" ca="1" si="360"/>
        <v/>
      </c>
      <c r="I5704" s="1" t="str">
        <f t="shared" si="358"/>
        <v>威尔新数值1.06.xlsm!circleValue</v>
      </c>
    </row>
    <row r="5705" spans="1:9" x14ac:dyDescent="0.15">
      <c r="A5705" s="1">
        <v>5704</v>
      </c>
      <c r="B5705" s="1">
        <v>104091111</v>
      </c>
      <c r="C5705" s="1">
        <f t="shared" si="359"/>
        <v>103</v>
      </c>
      <c r="D5705" s="5">
        <f ca="1">IF(getQuality(B5705)&lt;4,getOtherMin(B5705,C5705,INDIRECT(J$2),INDIRECT(I5705),test),getMin(B5705,C5705,INDIRECT(J$2),INDIRECT(I5705),test))</f>
        <v>0.16</v>
      </c>
      <c r="E5705" s="5">
        <f ca="1">IF(getQuality(B5705)&lt;4,getOtherMax(B5705,C5705,INDIRECT(J$2),INDIRECT(I5705),test),getMax(B5705,C5705,INDIRECT(J$2),INDIRECT(I5705),test))</f>
        <v>0.19</v>
      </c>
      <c r="F5705" s="1" t="str">
        <f t="shared" si="357"/>
        <v>50</v>
      </c>
      <c r="G5705" s="1" t="str">
        <f t="shared" ca="1" si="360"/>
        <v/>
      </c>
      <c r="I5705" s="1" t="str">
        <f t="shared" si="358"/>
        <v>威尔新数值1.06.xlsm!otherDamage</v>
      </c>
    </row>
    <row r="5706" spans="1:9" x14ac:dyDescent="0.15">
      <c r="A5706" s="1">
        <v>5705</v>
      </c>
      <c r="B5706" s="1">
        <v>104091111</v>
      </c>
      <c r="C5706" s="1">
        <f t="shared" si="359"/>
        <v>104</v>
      </c>
      <c r="D5706" s="5">
        <f ca="1">IF(getQuality(B5706)&lt;4,getOtherMin(B5706,C5706,INDIRECT(J$2),INDIRECT(I5706),test),getMin(B5706,C5706,INDIRECT(J$2),INDIRECT(I5706),test))</f>
        <v>0.15</v>
      </c>
      <c r="E5706" s="5">
        <f ca="1">IF(getQuality(B5706)&lt;4,getOtherMax(B5706,C5706,INDIRECT(J$2),INDIRECT(I5706),test),getMax(B5706,C5706,INDIRECT(J$2),INDIRECT(I5706),test))</f>
        <v>0.3</v>
      </c>
      <c r="F5706" s="1" t="str">
        <f t="shared" si="357"/>
        <v>50</v>
      </c>
      <c r="G5706" s="1" t="str">
        <f t="shared" ca="1" si="360"/>
        <v/>
      </c>
      <c r="I5706" s="1" t="str">
        <f t="shared" si="358"/>
        <v>威尔新数值1.06.xlsm!monsterDamage</v>
      </c>
    </row>
    <row r="5707" spans="1:9" x14ac:dyDescent="0.15">
      <c r="A5707" s="1">
        <v>5706</v>
      </c>
      <c r="B5707" s="1">
        <v>104091111</v>
      </c>
      <c r="C5707" s="1">
        <f t="shared" si="359"/>
        <v>105</v>
      </c>
      <c r="D5707" s="5">
        <f ca="1">IF(getQuality(B5707)&lt;4,getOtherMin(B5707,C5707,INDIRECT(J$2),INDIRECT(I5707),test),getMin(B5707,C5707,INDIRECT(J$2),INDIRECT(I5707),test))</f>
        <v>0.15</v>
      </c>
      <c r="E5707" s="5">
        <f ca="1">IF(getQuality(B5707)&lt;4,getOtherMax(B5707,C5707,INDIRECT(J$2),INDIRECT(I5707),test),getMax(B5707,C5707,INDIRECT(J$2),INDIRECT(I5707),test))</f>
        <v>0.3</v>
      </c>
      <c r="F5707" s="1" t="str">
        <f t="shared" si="357"/>
        <v>50</v>
      </c>
      <c r="G5707" s="1" t="str">
        <f t="shared" ca="1" si="360"/>
        <v/>
      </c>
      <c r="I5707" s="1" t="str">
        <f t="shared" si="358"/>
        <v>威尔新数值1.06.xlsm!monsterDamage</v>
      </c>
    </row>
    <row r="5708" spans="1:9" x14ac:dyDescent="0.15">
      <c r="A5708" s="1">
        <v>5707</v>
      </c>
      <c r="B5708" s="1">
        <v>104091111</v>
      </c>
      <c r="C5708" s="1">
        <f t="shared" si="359"/>
        <v>106</v>
      </c>
      <c r="D5708" s="5">
        <f ca="1">IF(getQuality(B5708)&lt;4,getOtherMin(B5708,C5708,INDIRECT(J$2),INDIRECT(I5708),test),getMin(B5708,C5708,INDIRECT(J$2),INDIRECT(I5708),test))</f>
        <v>0.15</v>
      </c>
      <c r="E5708" s="5">
        <f ca="1">IF(getQuality(B5708)&lt;4,getOtherMax(B5708,C5708,INDIRECT(J$2),INDIRECT(I5708),test),getMax(B5708,C5708,INDIRECT(J$2),INDIRECT(I5708),test))</f>
        <v>0.3</v>
      </c>
      <c r="F5708" s="1" t="str">
        <f t="shared" si="357"/>
        <v>50</v>
      </c>
      <c r="G5708" s="1" t="str">
        <f t="shared" ca="1" si="360"/>
        <v/>
      </c>
      <c r="I5708" s="1" t="str">
        <f t="shared" si="358"/>
        <v>威尔新数值1.06.xlsm!monsterDamage</v>
      </c>
    </row>
    <row r="5709" spans="1:9" x14ac:dyDescent="0.15">
      <c r="A5709" s="1">
        <v>5708</v>
      </c>
      <c r="B5709" s="1">
        <v>104091111</v>
      </c>
      <c r="C5709" s="1">
        <f t="shared" si="359"/>
        <v>107</v>
      </c>
      <c r="D5709" s="5">
        <f ca="1">IF(getQuality(B5709)&lt;4,getOtherMin(B5709,C5709,INDIRECT(J$2),INDIRECT(I5709),test),getMin(B5709,C5709,INDIRECT(J$2),INDIRECT(I5709),test))</f>
        <v>0.15</v>
      </c>
      <c r="E5709" s="5">
        <f ca="1">IF(getQuality(B5709)&lt;4,getOtherMax(B5709,C5709,INDIRECT(J$2),INDIRECT(I5709),test),getMax(B5709,C5709,INDIRECT(J$2),INDIRECT(I5709),test))</f>
        <v>0.3</v>
      </c>
      <c r="F5709" s="1" t="str">
        <f t="shared" si="357"/>
        <v>50</v>
      </c>
      <c r="G5709" s="1" t="str">
        <f t="shared" ca="1" si="360"/>
        <v/>
      </c>
      <c r="I5709" s="1" t="str">
        <f t="shared" si="358"/>
        <v>威尔新数值1.06.xlsm!monsterDamage</v>
      </c>
    </row>
    <row r="5710" spans="1:9" x14ac:dyDescent="0.15">
      <c r="A5710" s="1">
        <v>5709</v>
      </c>
      <c r="B5710" s="1">
        <v>104091111</v>
      </c>
      <c r="C5710" s="1">
        <f t="shared" si="359"/>
        <v>108</v>
      </c>
      <c r="D5710" s="5">
        <f ca="1">IF(getQuality(B5710)&lt;4,getOtherMin(B5710,C5710,INDIRECT(J$2),INDIRECT(I5710),test),getMin(B5710,C5710,INDIRECT(J$2),INDIRECT(I5710),test))</f>
        <v>0.15</v>
      </c>
      <c r="E5710" s="5">
        <f ca="1">IF(getQuality(B5710)&lt;4,getOtherMax(B5710,C5710,INDIRECT(J$2),INDIRECT(I5710),test),getMax(B5710,C5710,INDIRECT(J$2),INDIRECT(I5710),test))</f>
        <v>0.3</v>
      </c>
      <c r="F5710" s="1" t="str">
        <f t="shared" si="357"/>
        <v>50</v>
      </c>
      <c r="G5710" s="1" t="str">
        <f t="shared" ca="1" si="360"/>
        <v/>
      </c>
      <c r="I5710" s="1" t="str">
        <f t="shared" si="358"/>
        <v>威尔新数值1.06.xlsm!monsterDamage</v>
      </c>
    </row>
    <row r="5711" spans="1:9" x14ac:dyDescent="0.15">
      <c r="A5711" s="1">
        <v>5710</v>
      </c>
      <c r="B5711" s="1">
        <v>204091411</v>
      </c>
      <c r="C5711" s="1">
        <f t="shared" si="359"/>
        <v>1</v>
      </c>
      <c r="D5711" s="5">
        <f ca="1">IF(getQuality(B5711)&lt;4,getOtherMin(B5711,C5711,INDIRECT(J$2),INDIRECT(I5711),test),getMin(B5711,C5711,INDIRECT(J$2),INDIRECT(I5711),test))</f>
        <v>781.82666666666671</v>
      </c>
      <c r="E5711" s="5">
        <f ca="1">IF(getQuality(B5711)&lt;4,getOtherMax(B5711,C5711,INDIRECT(J$2),INDIRECT(I5711),test),getMax(B5711,C5711,INDIRECT(J$2),INDIRECT(I5711),test))</f>
        <v>929.8275000000001</v>
      </c>
      <c r="F5711" s="1" t="str">
        <f t="shared" si="357"/>
        <v>50</v>
      </c>
      <c r="G5711" s="1" t="str">
        <f t="shared" ca="1" si="360"/>
        <v/>
      </c>
      <c r="I5711" s="1" t="str">
        <f t="shared" si="358"/>
        <v>威尔新数值1.06.xlsm!suitPower</v>
      </c>
    </row>
    <row r="5712" spans="1:9" x14ac:dyDescent="0.15">
      <c r="A5712" s="1">
        <v>5711</v>
      </c>
      <c r="B5712" s="1">
        <v>204091411</v>
      </c>
      <c r="C5712" s="1">
        <f t="shared" si="359"/>
        <v>2</v>
      </c>
      <c r="D5712" s="5">
        <f ca="1">IF(getQuality(B5712)&lt;4,getOtherMin(B5712,C5712,INDIRECT(J$2),INDIRECT(I5712),test),getMin(B5712,C5712,INDIRECT(J$2),INDIRECT(I5712),test))</f>
        <v>209.88888888888889</v>
      </c>
      <c r="E5712" s="5">
        <f ca="1">IF(getQuality(B5712)&lt;4,getOtherMax(B5712,C5712,INDIRECT(J$2),INDIRECT(I5712),test),getMax(B5712,C5712,INDIRECT(J$2),INDIRECT(I5712),test))</f>
        <v>248.75</v>
      </c>
      <c r="F5712" s="1" t="str">
        <f t="shared" si="357"/>
        <v>50</v>
      </c>
      <c r="G5712" s="1" t="str">
        <f t="shared" ca="1" si="360"/>
        <v/>
      </c>
      <c r="I5712" s="1" t="str">
        <f t="shared" si="358"/>
        <v>威尔新数值1.06.xlsm!suitPower</v>
      </c>
    </row>
    <row r="5713" spans="1:9" x14ac:dyDescent="0.15">
      <c r="A5713" s="1">
        <v>5712</v>
      </c>
      <c r="B5713" s="1">
        <v>204091411</v>
      </c>
      <c r="C5713" s="1">
        <f t="shared" si="359"/>
        <v>4</v>
      </c>
      <c r="D5713" s="5">
        <f ca="1">IF(getQuality(B5713)&lt;4,getOtherMin(B5713,C5713,INDIRECT(J$2),INDIRECT(I5713),test),getMin(B5713,C5713,INDIRECT(J$2),INDIRECT(I5713),test))</f>
        <v>201</v>
      </c>
      <c r="E5713" s="5">
        <f ca="1">IF(getQuality(B5713)&lt;4,getOtherMax(B5713,C5713,INDIRECT(J$2),INDIRECT(I5713),test),getMax(B5713,C5713,INDIRECT(J$2),INDIRECT(I5713),test))</f>
        <v>225</v>
      </c>
      <c r="F5713" s="1" t="str">
        <f t="shared" si="357"/>
        <v>50</v>
      </c>
      <c r="G5713" s="1" t="str">
        <f t="shared" ca="1" si="360"/>
        <v/>
      </c>
      <c r="I5713" s="1" t="str">
        <f t="shared" si="358"/>
        <v>威尔新数值1.06.xlsm!suitPower</v>
      </c>
    </row>
    <row r="5714" spans="1:9" x14ac:dyDescent="0.15">
      <c r="A5714" s="1">
        <v>5713</v>
      </c>
      <c r="B5714" s="1">
        <v>204091411</v>
      </c>
      <c r="C5714" s="1">
        <f t="shared" si="359"/>
        <v>6</v>
      </c>
      <c r="D5714" s="5">
        <f ca="1">IF(getQuality(B5714)&lt;4,getOtherMin(B5714,C5714,INDIRECT(J$2),INDIRECT(I5714),test),getMin(B5714,C5714,INDIRECT(J$2),INDIRECT(I5714),test))</f>
        <v>334.33333333333331</v>
      </c>
      <c r="E5714" s="5">
        <f ca="1">IF(getQuality(B5714)&lt;4,getOtherMax(B5714,C5714,INDIRECT(J$2),INDIRECT(I5714),test),getMax(B5714,C5714,INDIRECT(J$2),INDIRECT(I5714),test))</f>
        <v>375</v>
      </c>
      <c r="F5714" s="1" t="str">
        <f t="shared" si="357"/>
        <v>50</v>
      </c>
      <c r="G5714" s="1" t="str">
        <f t="shared" ca="1" si="360"/>
        <v>1</v>
      </c>
      <c r="I5714" s="1" t="str">
        <f t="shared" si="358"/>
        <v>威尔新数值1.06.xlsm!suitPower</v>
      </c>
    </row>
    <row r="5715" spans="1:9" x14ac:dyDescent="0.15">
      <c r="A5715" s="1">
        <v>5714</v>
      </c>
      <c r="B5715" s="1">
        <v>204091411</v>
      </c>
      <c r="C5715" s="1">
        <f t="shared" si="359"/>
        <v>7</v>
      </c>
      <c r="D5715" s="5">
        <f ca="1">IF(getQuality(B5715)&lt;4,getOtherMin(B5715,C5715,INDIRECT(J$2),INDIRECT(I5715),test),getMin(B5715,C5715,INDIRECT(J$2),INDIRECT(I5715),test))</f>
        <v>17.296296296296287</v>
      </c>
      <c r="E5715" s="5">
        <f ca="1">IF(getQuality(B5715)&lt;4,getOtherMax(B5715,C5715,INDIRECT(J$2),INDIRECT(I5715),test),getMax(B5715,C5715,INDIRECT(J$2),INDIRECT(I5715),test))</f>
        <v>18.333333333333325</v>
      </c>
      <c r="F5715" s="1" t="str">
        <f t="shared" ref="F5715:F5778" si="361">getper(B5715,C5715)</f>
        <v>50</v>
      </c>
      <c r="G5715" s="1" t="str">
        <f t="shared" ca="1" si="360"/>
        <v/>
      </c>
      <c r="I5715" s="1" t="str">
        <f t="shared" ref="I5715:I5778" si="362">IF(C5715&lt;100,VLOOKUP(C5715,test,3,FALSE),VLOOKUP(C5715,test1,3,FALSE))</f>
        <v>威尔新数值1.06.xlsm!suitPower</v>
      </c>
    </row>
    <row r="5716" spans="1:9" x14ac:dyDescent="0.15">
      <c r="A5716" s="1">
        <v>5715</v>
      </c>
      <c r="B5716" s="1">
        <v>204091411</v>
      </c>
      <c r="C5716" s="1">
        <f t="shared" si="359"/>
        <v>8</v>
      </c>
      <c r="D5716" s="5">
        <f ca="1">IF(getQuality(B5716)&lt;4,getOtherMin(B5716,C5716,INDIRECT(J$2),INDIRECT(I5716),test),getMin(B5716,C5716,INDIRECT(J$2),INDIRECT(I5716),test))</f>
        <v>67.666666666666671</v>
      </c>
      <c r="E5716" s="5">
        <f ca="1">IF(getQuality(B5716)&lt;4,getOtherMax(B5716,C5716,INDIRECT(J$2),INDIRECT(I5716),test),getMax(B5716,C5716,INDIRECT(J$2),INDIRECT(I5716),test))</f>
        <v>75</v>
      </c>
      <c r="F5716" s="1" t="str">
        <f t="shared" si="361"/>
        <v>50</v>
      </c>
      <c r="G5716" s="1" t="str">
        <f t="shared" ca="1" si="360"/>
        <v/>
      </c>
      <c r="I5716" s="1" t="str">
        <f t="shared" si="362"/>
        <v>威尔新数值1.06.xlsm!suitPower</v>
      </c>
    </row>
    <row r="5717" spans="1:9" x14ac:dyDescent="0.15">
      <c r="A5717" s="1">
        <v>5716</v>
      </c>
      <c r="B5717" s="1">
        <v>204091411</v>
      </c>
      <c r="C5717" s="1">
        <f t="shared" si="359"/>
        <v>16</v>
      </c>
      <c r="D5717" s="5">
        <f ca="1">IF(getQuality(B5717)&lt;4,getOtherMin(B5717,C5717,INDIRECT(J$2),INDIRECT(I5717),test),getMin(B5717,C5717,INDIRECT(J$2),INDIRECT(I5717),test))</f>
        <v>89.888888888888886</v>
      </c>
      <c r="E5717" s="5">
        <f ca="1">IF(getQuality(B5717)&lt;4,getOtherMax(B5717,C5717,INDIRECT(J$2),INDIRECT(I5717),test),getMax(B5717,C5717,INDIRECT(J$2),INDIRECT(I5717),test))</f>
        <v>100</v>
      </c>
      <c r="F5717" s="1" t="str">
        <f t="shared" si="361"/>
        <v>50</v>
      </c>
      <c r="G5717" s="1" t="str">
        <f t="shared" ca="1" si="360"/>
        <v/>
      </c>
      <c r="I5717" s="1" t="str">
        <f t="shared" si="362"/>
        <v>威尔新数值1.06.xlsm!suitPower</v>
      </c>
    </row>
    <row r="5718" spans="1:9" x14ac:dyDescent="0.15">
      <c r="A5718" s="1">
        <v>5717</v>
      </c>
      <c r="B5718" s="1">
        <v>204091411</v>
      </c>
      <c r="C5718" s="1">
        <f t="shared" ref="C5718:C5781" si="363">C5671</f>
        <v>17</v>
      </c>
      <c r="D5718" s="5">
        <f ca="1">IF(getQuality(B5718)&lt;4,getOtherMin(B5718,C5718,INDIRECT(J$2),INDIRECT(I5718),test),getMin(B5718,C5718,INDIRECT(J$2),INDIRECT(I5718),test))</f>
        <v>89.888888888888886</v>
      </c>
      <c r="E5718" s="5">
        <f ca="1">IF(getQuality(B5718)&lt;4,getOtherMax(B5718,C5718,INDIRECT(J$2),INDIRECT(I5718),test),getMax(B5718,C5718,INDIRECT(J$2),INDIRECT(I5718),test))</f>
        <v>100</v>
      </c>
      <c r="F5718" s="1" t="str">
        <f t="shared" si="361"/>
        <v>50</v>
      </c>
      <c r="G5718" s="1" t="str">
        <f t="shared" ca="1" si="360"/>
        <v/>
      </c>
      <c r="I5718" s="1" t="str">
        <f t="shared" si="362"/>
        <v>威尔新数值1.06.xlsm!suitPower</v>
      </c>
    </row>
    <row r="5719" spans="1:9" x14ac:dyDescent="0.15">
      <c r="A5719" s="1">
        <v>5718</v>
      </c>
      <c r="B5719" s="1">
        <v>204091411</v>
      </c>
      <c r="C5719" s="1">
        <f t="shared" si="363"/>
        <v>18</v>
      </c>
      <c r="D5719" s="5">
        <f ca="1">IF(getQuality(B5719)&lt;4,getOtherMin(B5719,C5719,INDIRECT(J$2),INDIRECT(I5719),test),getMin(B5719,C5719,INDIRECT(J$2),INDIRECT(I5719),test))</f>
        <v>89.888888888888886</v>
      </c>
      <c r="E5719" s="5">
        <f ca="1">IF(getQuality(B5719)&lt;4,getOtherMax(B5719,C5719,INDIRECT(J$2),INDIRECT(I5719),test),getMax(B5719,C5719,INDIRECT(J$2),INDIRECT(I5719),test))</f>
        <v>100</v>
      </c>
      <c r="F5719" s="1" t="str">
        <f t="shared" si="361"/>
        <v>50</v>
      </c>
      <c r="G5719" s="1" t="str">
        <f t="shared" ca="1" si="360"/>
        <v/>
      </c>
      <c r="I5719" s="1" t="str">
        <f t="shared" si="362"/>
        <v>威尔新数值1.06.xlsm!suitPower</v>
      </c>
    </row>
    <row r="5720" spans="1:9" x14ac:dyDescent="0.15">
      <c r="A5720" s="1">
        <v>5719</v>
      </c>
      <c r="B5720" s="1">
        <v>204091411</v>
      </c>
      <c r="C5720" s="1">
        <f t="shared" si="363"/>
        <v>19</v>
      </c>
      <c r="D5720" s="5">
        <f ca="1">IF(getQuality(B5720)&lt;4,getOtherMin(B5720,C5720,INDIRECT(J$2),INDIRECT(I5720),test),getMin(B5720,C5720,INDIRECT(J$2),INDIRECT(I5720),test))</f>
        <v>89.888888888888886</v>
      </c>
      <c r="E5720" s="5">
        <f ca="1">IF(getQuality(B5720)&lt;4,getOtherMax(B5720,C5720,INDIRECT(J$2),INDIRECT(I5720),test),getMax(B5720,C5720,INDIRECT(J$2),INDIRECT(I5720),test))</f>
        <v>100</v>
      </c>
      <c r="F5720" s="1" t="str">
        <f t="shared" si="361"/>
        <v>50</v>
      </c>
      <c r="G5720" s="1" t="str">
        <f t="shared" ca="1" si="360"/>
        <v/>
      </c>
      <c r="I5720" s="1" t="str">
        <f t="shared" si="362"/>
        <v>威尔新数值1.06.xlsm!suitPower</v>
      </c>
    </row>
    <row r="5721" spans="1:9" x14ac:dyDescent="0.15">
      <c r="A5721" s="1">
        <v>5720</v>
      </c>
      <c r="B5721" s="1">
        <v>204091411</v>
      </c>
      <c r="C5721" s="1">
        <f t="shared" si="363"/>
        <v>20</v>
      </c>
      <c r="D5721" s="5">
        <f ca="1">IF(getQuality(B5721)&lt;4,getOtherMin(B5721,C5721,INDIRECT(J$2),INDIRECT(I5721),test),getMin(B5721,C5721,INDIRECT(J$2),INDIRECT(I5721),test))</f>
        <v>89.888888888888886</v>
      </c>
      <c r="E5721" s="5">
        <f ca="1">IF(getQuality(B5721)&lt;4,getOtherMax(B5721,C5721,INDIRECT(J$2),INDIRECT(I5721),test),getMax(B5721,C5721,INDIRECT(J$2),INDIRECT(I5721),test))</f>
        <v>100</v>
      </c>
      <c r="F5721" s="1" t="str">
        <f t="shared" si="361"/>
        <v>50</v>
      </c>
      <c r="G5721" s="1" t="str">
        <f t="shared" ca="1" si="360"/>
        <v/>
      </c>
      <c r="I5721" s="1" t="str">
        <f t="shared" si="362"/>
        <v>威尔新数值1.06.xlsm!suitPower</v>
      </c>
    </row>
    <row r="5722" spans="1:9" x14ac:dyDescent="0.15">
      <c r="A5722" s="1">
        <v>5721</v>
      </c>
      <c r="B5722" s="1">
        <v>204091411</v>
      </c>
      <c r="C5722" s="1">
        <f t="shared" si="363"/>
        <v>21</v>
      </c>
      <c r="D5722" s="5">
        <f ca="1">IF(getQuality(B5722)&lt;4,getOtherMin(B5722,C5722,INDIRECT(J$2),INDIRECT(I5722),test),getMin(B5722,C5722,INDIRECT(J$2),INDIRECT(I5722),test))</f>
        <v>89.888888888888886</v>
      </c>
      <c r="E5722" s="5">
        <f ca="1">IF(getQuality(B5722)&lt;4,getOtherMax(B5722,C5722,INDIRECT(J$2),INDIRECT(I5722),test),getMax(B5722,C5722,INDIRECT(J$2),INDIRECT(I5722),test))</f>
        <v>100</v>
      </c>
      <c r="F5722" s="1" t="str">
        <f t="shared" si="361"/>
        <v>50</v>
      </c>
      <c r="G5722" s="1" t="str">
        <f t="shared" ca="1" si="360"/>
        <v/>
      </c>
      <c r="I5722" s="1" t="str">
        <f t="shared" si="362"/>
        <v>威尔新数值1.06.xlsm!suitPower</v>
      </c>
    </row>
    <row r="5723" spans="1:9" x14ac:dyDescent="0.15">
      <c r="A5723" s="1">
        <v>5722</v>
      </c>
      <c r="B5723" s="1">
        <v>204091411</v>
      </c>
      <c r="C5723" s="1">
        <f t="shared" si="363"/>
        <v>22</v>
      </c>
      <c r="D5723" s="5">
        <f ca="1">IF(getQuality(B5723)&lt;4,getOtherMin(B5723,C5723,INDIRECT(J$2),INDIRECT(I5723),test),getMin(B5723,C5723,INDIRECT(J$2),INDIRECT(I5723),test))</f>
        <v>89.888888888888886</v>
      </c>
      <c r="E5723" s="5">
        <f ca="1">IF(getQuality(B5723)&lt;4,getOtherMax(B5723,C5723,INDIRECT(J$2),INDIRECT(I5723),test),getMax(B5723,C5723,INDIRECT(J$2),INDIRECT(I5723),test))</f>
        <v>100</v>
      </c>
      <c r="F5723" s="1" t="str">
        <f t="shared" si="361"/>
        <v>50</v>
      </c>
      <c r="G5723" s="1" t="str">
        <f t="shared" ca="1" si="360"/>
        <v/>
      </c>
      <c r="I5723" s="1" t="str">
        <f t="shared" si="362"/>
        <v>威尔新数值1.06.xlsm!suitPower</v>
      </c>
    </row>
    <row r="5724" spans="1:9" x14ac:dyDescent="0.15">
      <c r="A5724" s="1">
        <v>5723</v>
      </c>
      <c r="B5724" s="1">
        <v>204091411</v>
      </c>
      <c r="C5724" s="1">
        <f t="shared" si="363"/>
        <v>23</v>
      </c>
      <c r="D5724" s="5">
        <f ca="1">IF(getQuality(B5724)&lt;4,getOtherMin(B5724,C5724,INDIRECT(J$2),INDIRECT(I5724),test),getMin(B5724,C5724,INDIRECT(J$2),INDIRECT(I5724),test))</f>
        <v>134.33333333333334</v>
      </c>
      <c r="E5724" s="5">
        <f ca="1">IF(getQuality(B5724)&lt;4,getOtherMax(B5724,C5724,INDIRECT(J$2),INDIRECT(I5724),test),getMax(B5724,C5724,INDIRECT(J$2),INDIRECT(I5724),test))</f>
        <v>150</v>
      </c>
      <c r="F5724" s="1" t="str">
        <f t="shared" si="361"/>
        <v>50</v>
      </c>
      <c r="G5724" s="1" t="str">
        <f t="shared" ca="1" si="360"/>
        <v/>
      </c>
      <c r="I5724" s="1" t="str">
        <f t="shared" si="362"/>
        <v>威尔新数值1.06.xlsm!suitPower</v>
      </c>
    </row>
    <row r="5725" spans="1:9" x14ac:dyDescent="0.15">
      <c r="A5725" s="1">
        <v>5724</v>
      </c>
      <c r="B5725" s="1">
        <v>304091511</v>
      </c>
      <c r="C5725" s="1">
        <f t="shared" si="363"/>
        <v>1</v>
      </c>
      <c r="D5725" s="5">
        <f ca="1">IF(getQuality(B5725)&lt;4,getOtherMin(B5725,C5725,INDIRECT(J$2),INDIRECT(I5725),test),getMin(B5725,C5725,INDIRECT(J$2),INDIRECT(I5725),test))</f>
        <v>781.82666666666671</v>
      </c>
      <c r="E5725" s="5">
        <f ca="1">IF(getQuality(B5725)&lt;4,getOtherMax(B5725,C5725,INDIRECT(J$2),INDIRECT(I5725),test),getMax(B5725,C5725,INDIRECT(J$2),INDIRECT(I5725),test))</f>
        <v>929.8275000000001</v>
      </c>
      <c r="F5725" s="1" t="str">
        <f t="shared" si="361"/>
        <v>50</v>
      </c>
      <c r="G5725" s="1" t="str">
        <f t="shared" ca="1" si="360"/>
        <v/>
      </c>
      <c r="I5725" s="1" t="str">
        <f t="shared" si="362"/>
        <v>威尔新数值1.06.xlsm!suitPower</v>
      </c>
    </row>
    <row r="5726" spans="1:9" x14ac:dyDescent="0.15">
      <c r="A5726" s="1">
        <v>5725</v>
      </c>
      <c r="B5726" s="1">
        <v>304091511</v>
      </c>
      <c r="C5726" s="1">
        <f t="shared" si="363"/>
        <v>2</v>
      </c>
      <c r="D5726" s="5">
        <f ca="1">IF(getQuality(B5726)&lt;4,getOtherMin(B5726,C5726,INDIRECT(J$2),INDIRECT(I5726),test),getMin(B5726,C5726,INDIRECT(J$2),INDIRECT(I5726),test))</f>
        <v>209.88888888888889</v>
      </c>
      <c r="E5726" s="5">
        <f ca="1">IF(getQuality(B5726)&lt;4,getOtherMax(B5726,C5726,INDIRECT(J$2),INDIRECT(I5726),test),getMax(B5726,C5726,INDIRECT(J$2),INDIRECT(I5726),test))</f>
        <v>248.75</v>
      </c>
      <c r="F5726" s="1" t="str">
        <f t="shared" si="361"/>
        <v>50</v>
      </c>
      <c r="G5726" s="1" t="str">
        <f t="shared" ca="1" si="360"/>
        <v/>
      </c>
      <c r="I5726" s="1" t="str">
        <f t="shared" si="362"/>
        <v>威尔新数值1.06.xlsm!suitPower</v>
      </c>
    </row>
    <row r="5727" spans="1:9" x14ac:dyDescent="0.15">
      <c r="A5727" s="1">
        <v>5726</v>
      </c>
      <c r="B5727" s="1">
        <v>304091511</v>
      </c>
      <c r="C5727" s="1">
        <f t="shared" si="363"/>
        <v>4</v>
      </c>
      <c r="D5727" s="5">
        <f ca="1">IF(getQuality(B5727)&lt;4,getOtherMin(B5727,C5727,INDIRECT(J$2),INDIRECT(I5727),test),getMin(B5727,C5727,INDIRECT(J$2),INDIRECT(I5727),test))</f>
        <v>201</v>
      </c>
      <c r="E5727" s="5">
        <f ca="1">IF(getQuality(B5727)&lt;4,getOtherMax(B5727,C5727,INDIRECT(J$2),INDIRECT(I5727),test),getMax(B5727,C5727,INDIRECT(J$2),INDIRECT(I5727),test))</f>
        <v>225</v>
      </c>
      <c r="F5727" s="1" t="str">
        <f t="shared" si="361"/>
        <v>50</v>
      </c>
      <c r="G5727" s="1" t="str">
        <f t="shared" ca="1" si="360"/>
        <v/>
      </c>
      <c r="I5727" s="1" t="str">
        <f t="shared" si="362"/>
        <v>威尔新数值1.06.xlsm!suitPower</v>
      </c>
    </row>
    <row r="5728" spans="1:9" x14ac:dyDescent="0.15">
      <c r="A5728" s="1">
        <v>5727</v>
      </c>
      <c r="B5728" s="1">
        <v>304091511</v>
      </c>
      <c r="C5728" s="1">
        <f t="shared" si="363"/>
        <v>6</v>
      </c>
      <c r="D5728" s="5">
        <f ca="1">IF(getQuality(B5728)&lt;4,getOtherMin(B5728,C5728,INDIRECT(J$2),INDIRECT(I5728),test),getMin(B5728,C5728,INDIRECT(J$2),INDIRECT(I5728),test))</f>
        <v>334.33333333333331</v>
      </c>
      <c r="E5728" s="5">
        <f ca="1">IF(getQuality(B5728)&lt;4,getOtherMax(B5728,C5728,INDIRECT(J$2),INDIRECT(I5728),test),getMax(B5728,C5728,INDIRECT(J$2),INDIRECT(I5728),test))</f>
        <v>375</v>
      </c>
      <c r="F5728" s="1" t="str">
        <f t="shared" si="361"/>
        <v>50</v>
      </c>
      <c r="G5728" s="1" t="str">
        <f t="shared" ca="1" si="360"/>
        <v>1</v>
      </c>
      <c r="I5728" s="1" t="str">
        <f t="shared" si="362"/>
        <v>威尔新数值1.06.xlsm!suitPower</v>
      </c>
    </row>
    <row r="5729" spans="1:9" x14ac:dyDescent="0.15">
      <c r="A5729" s="1">
        <v>5728</v>
      </c>
      <c r="B5729" s="1">
        <v>304091511</v>
      </c>
      <c r="C5729" s="1">
        <f t="shared" si="363"/>
        <v>7</v>
      </c>
      <c r="D5729" s="5">
        <f ca="1">IF(getQuality(B5729)&lt;4,getOtherMin(B5729,C5729,INDIRECT(J$2),INDIRECT(I5729),test),getMin(B5729,C5729,INDIRECT(J$2),INDIRECT(I5729),test))</f>
        <v>17.296296296296287</v>
      </c>
      <c r="E5729" s="5">
        <f ca="1">IF(getQuality(B5729)&lt;4,getOtherMax(B5729,C5729,INDIRECT(J$2),INDIRECT(I5729),test),getMax(B5729,C5729,INDIRECT(J$2),INDIRECT(I5729),test))</f>
        <v>18.333333333333325</v>
      </c>
      <c r="F5729" s="1" t="str">
        <f t="shared" si="361"/>
        <v>50</v>
      </c>
      <c r="G5729" s="1" t="str">
        <f t="shared" ca="1" si="360"/>
        <v/>
      </c>
      <c r="I5729" s="1" t="str">
        <f t="shared" si="362"/>
        <v>威尔新数值1.06.xlsm!suitPower</v>
      </c>
    </row>
    <row r="5730" spans="1:9" x14ac:dyDescent="0.15">
      <c r="A5730" s="1">
        <v>5729</v>
      </c>
      <c r="B5730" s="1">
        <v>304091511</v>
      </c>
      <c r="C5730" s="1">
        <f t="shared" si="363"/>
        <v>8</v>
      </c>
      <c r="D5730" s="5">
        <f ca="1">IF(getQuality(B5730)&lt;4,getOtherMin(B5730,C5730,INDIRECT(J$2),INDIRECT(I5730),test),getMin(B5730,C5730,INDIRECT(J$2),INDIRECT(I5730),test))</f>
        <v>67.666666666666671</v>
      </c>
      <c r="E5730" s="5">
        <f ca="1">IF(getQuality(B5730)&lt;4,getOtherMax(B5730,C5730,INDIRECT(J$2),INDIRECT(I5730),test),getMax(B5730,C5730,INDIRECT(J$2),INDIRECT(I5730),test))</f>
        <v>75</v>
      </c>
      <c r="F5730" s="1" t="str">
        <f t="shared" si="361"/>
        <v>50</v>
      </c>
      <c r="G5730" s="1" t="str">
        <f t="shared" ca="1" si="360"/>
        <v/>
      </c>
      <c r="I5730" s="1" t="str">
        <f t="shared" si="362"/>
        <v>威尔新数值1.06.xlsm!suitPower</v>
      </c>
    </row>
    <row r="5731" spans="1:9" x14ac:dyDescent="0.15">
      <c r="A5731" s="1">
        <v>5730</v>
      </c>
      <c r="B5731" s="1">
        <v>304091511</v>
      </c>
      <c r="C5731" s="1">
        <f t="shared" si="363"/>
        <v>16</v>
      </c>
      <c r="D5731" s="5">
        <f ca="1">IF(getQuality(B5731)&lt;4,getOtherMin(B5731,C5731,INDIRECT(J$2),INDIRECT(I5731),test),getMin(B5731,C5731,INDIRECT(J$2),INDIRECT(I5731),test))</f>
        <v>89.888888888888886</v>
      </c>
      <c r="E5731" s="5">
        <f ca="1">IF(getQuality(B5731)&lt;4,getOtherMax(B5731,C5731,INDIRECT(J$2),INDIRECT(I5731),test),getMax(B5731,C5731,INDIRECT(J$2),INDIRECT(I5731),test))</f>
        <v>100</v>
      </c>
      <c r="F5731" s="1" t="str">
        <f t="shared" si="361"/>
        <v>50</v>
      </c>
      <c r="G5731" s="1" t="str">
        <f t="shared" ca="1" si="360"/>
        <v/>
      </c>
      <c r="I5731" s="1" t="str">
        <f t="shared" si="362"/>
        <v>威尔新数值1.06.xlsm!suitPower</v>
      </c>
    </row>
    <row r="5732" spans="1:9" x14ac:dyDescent="0.15">
      <c r="A5732" s="1">
        <v>5731</v>
      </c>
      <c r="B5732" s="1">
        <v>304091511</v>
      </c>
      <c r="C5732" s="1">
        <f t="shared" si="363"/>
        <v>17</v>
      </c>
      <c r="D5732" s="5">
        <f ca="1">IF(getQuality(B5732)&lt;4,getOtherMin(B5732,C5732,INDIRECT(J$2),INDIRECT(I5732),test),getMin(B5732,C5732,INDIRECT(J$2),INDIRECT(I5732),test))</f>
        <v>89.888888888888886</v>
      </c>
      <c r="E5732" s="5">
        <f ca="1">IF(getQuality(B5732)&lt;4,getOtherMax(B5732,C5732,INDIRECT(J$2),INDIRECT(I5732),test),getMax(B5732,C5732,INDIRECT(J$2),INDIRECT(I5732),test))</f>
        <v>100</v>
      </c>
      <c r="F5732" s="1" t="str">
        <f t="shared" si="361"/>
        <v>50</v>
      </c>
      <c r="G5732" s="1" t="str">
        <f t="shared" ca="1" si="360"/>
        <v/>
      </c>
      <c r="I5732" s="1" t="str">
        <f t="shared" si="362"/>
        <v>威尔新数值1.06.xlsm!suitPower</v>
      </c>
    </row>
    <row r="5733" spans="1:9" x14ac:dyDescent="0.15">
      <c r="A5733" s="1">
        <v>5732</v>
      </c>
      <c r="B5733" s="1">
        <v>304091511</v>
      </c>
      <c r="C5733" s="1">
        <f t="shared" si="363"/>
        <v>18</v>
      </c>
      <c r="D5733" s="5">
        <f ca="1">IF(getQuality(B5733)&lt;4,getOtherMin(B5733,C5733,INDIRECT(J$2),INDIRECT(I5733),test),getMin(B5733,C5733,INDIRECT(J$2),INDIRECT(I5733),test))</f>
        <v>89.888888888888886</v>
      </c>
      <c r="E5733" s="5">
        <f ca="1">IF(getQuality(B5733)&lt;4,getOtherMax(B5733,C5733,INDIRECT(J$2),INDIRECT(I5733),test),getMax(B5733,C5733,INDIRECT(J$2),INDIRECT(I5733),test))</f>
        <v>100</v>
      </c>
      <c r="F5733" s="1" t="str">
        <f t="shared" si="361"/>
        <v>50</v>
      </c>
      <c r="G5733" s="1" t="str">
        <f t="shared" ca="1" si="360"/>
        <v/>
      </c>
      <c r="I5733" s="1" t="str">
        <f t="shared" si="362"/>
        <v>威尔新数值1.06.xlsm!suitPower</v>
      </c>
    </row>
    <row r="5734" spans="1:9" x14ac:dyDescent="0.15">
      <c r="A5734" s="1">
        <v>5733</v>
      </c>
      <c r="B5734" s="1">
        <v>304091511</v>
      </c>
      <c r="C5734" s="1">
        <f t="shared" si="363"/>
        <v>19</v>
      </c>
      <c r="D5734" s="5">
        <f ca="1">IF(getQuality(B5734)&lt;4,getOtherMin(B5734,C5734,INDIRECT(J$2),INDIRECT(I5734),test),getMin(B5734,C5734,INDIRECT(J$2),INDIRECT(I5734),test))</f>
        <v>89.888888888888886</v>
      </c>
      <c r="E5734" s="5">
        <f ca="1">IF(getQuality(B5734)&lt;4,getOtherMax(B5734,C5734,INDIRECT(J$2),INDIRECT(I5734),test),getMax(B5734,C5734,INDIRECT(J$2),INDIRECT(I5734),test))</f>
        <v>100</v>
      </c>
      <c r="F5734" s="1" t="str">
        <f t="shared" si="361"/>
        <v>50</v>
      </c>
      <c r="G5734" s="1" t="str">
        <f t="shared" ca="1" si="360"/>
        <v/>
      </c>
      <c r="I5734" s="1" t="str">
        <f t="shared" si="362"/>
        <v>威尔新数值1.06.xlsm!suitPower</v>
      </c>
    </row>
    <row r="5735" spans="1:9" x14ac:dyDescent="0.15">
      <c r="A5735" s="1">
        <v>5734</v>
      </c>
      <c r="B5735" s="1">
        <v>304091511</v>
      </c>
      <c r="C5735" s="1">
        <f t="shared" si="363"/>
        <v>20</v>
      </c>
      <c r="D5735" s="5">
        <f ca="1">IF(getQuality(B5735)&lt;4,getOtherMin(B5735,C5735,INDIRECT(J$2),INDIRECT(I5735),test),getMin(B5735,C5735,INDIRECT(J$2),INDIRECT(I5735),test))</f>
        <v>89.888888888888886</v>
      </c>
      <c r="E5735" s="5">
        <f ca="1">IF(getQuality(B5735)&lt;4,getOtherMax(B5735,C5735,INDIRECT(J$2),INDIRECT(I5735),test),getMax(B5735,C5735,INDIRECT(J$2),INDIRECT(I5735),test))</f>
        <v>100</v>
      </c>
      <c r="F5735" s="1" t="str">
        <f t="shared" si="361"/>
        <v>50</v>
      </c>
      <c r="G5735" s="1" t="str">
        <f t="shared" ref="G5735:G5798" ca="1" si="364">getMust(B5735,C5735)</f>
        <v/>
      </c>
      <c r="I5735" s="1" t="str">
        <f t="shared" si="362"/>
        <v>威尔新数值1.06.xlsm!suitPower</v>
      </c>
    </row>
    <row r="5736" spans="1:9" x14ac:dyDescent="0.15">
      <c r="A5736" s="1">
        <v>5735</v>
      </c>
      <c r="B5736" s="1">
        <v>304091511</v>
      </c>
      <c r="C5736" s="1">
        <f t="shared" si="363"/>
        <v>21</v>
      </c>
      <c r="D5736" s="5">
        <f ca="1">IF(getQuality(B5736)&lt;4,getOtherMin(B5736,C5736,INDIRECT(J$2),INDIRECT(I5736),test),getMin(B5736,C5736,INDIRECT(J$2),INDIRECT(I5736),test))</f>
        <v>89.888888888888886</v>
      </c>
      <c r="E5736" s="5">
        <f ca="1">IF(getQuality(B5736)&lt;4,getOtherMax(B5736,C5736,INDIRECT(J$2),INDIRECT(I5736),test),getMax(B5736,C5736,INDIRECT(J$2),INDIRECT(I5736),test))</f>
        <v>100</v>
      </c>
      <c r="F5736" s="1" t="str">
        <f t="shared" si="361"/>
        <v>50</v>
      </c>
      <c r="G5736" s="1" t="str">
        <f t="shared" ca="1" si="364"/>
        <v/>
      </c>
      <c r="I5736" s="1" t="str">
        <f t="shared" si="362"/>
        <v>威尔新数值1.06.xlsm!suitPower</v>
      </c>
    </row>
    <row r="5737" spans="1:9" x14ac:dyDescent="0.15">
      <c r="A5737" s="1">
        <v>5736</v>
      </c>
      <c r="B5737" s="1">
        <v>304091511</v>
      </c>
      <c r="C5737" s="1">
        <f t="shared" si="363"/>
        <v>22</v>
      </c>
      <c r="D5737" s="5">
        <f ca="1">IF(getQuality(B5737)&lt;4,getOtherMin(B5737,C5737,INDIRECT(J$2),INDIRECT(I5737),test),getMin(B5737,C5737,INDIRECT(J$2),INDIRECT(I5737),test))</f>
        <v>89.888888888888886</v>
      </c>
      <c r="E5737" s="5">
        <f ca="1">IF(getQuality(B5737)&lt;4,getOtherMax(B5737,C5737,INDIRECT(J$2),INDIRECT(I5737),test),getMax(B5737,C5737,INDIRECT(J$2),INDIRECT(I5737),test))</f>
        <v>100</v>
      </c>
      <c r="F5737" s="1" t="str">
        <f t="shared" si="361"/>
        <v>50</v>
      </c>
      <c r="G5737" s="1" t="str">
        <f t="shared" ca="1" si="364"/>
        <v/>
      </c>
      <c r="I5737" s="1" t="str">
        <f t="shared" si="362"/>
        <v>威尔新数值1.06.xlsm!suitPower</v>
      </c>
    </row>
    <row r="5738" spans="1:9" x14ac:dyDescent="0.15">
      <c r="A5738" s="1">
        <v>5737</v>
      </c>
      <c r="B5738" s="1">
        <v>304091511</v>
      </c>
      <c r="C5738" s="1">
        <f t="shared" si="363"/>
        <v>23</v>
      </c>
      <c r="D5738" s="5">
        <f ca="1">IF(getQuality(B5738)&lt;4,getOtherMin(B5738,C5738,INDIRECT(J$2),INDIRECT(I5738),test),getMin(B5738,C5738,INDIRECT(J$2),INDIRECT(I5738),test))</f>
        <v>134.33333333333334</v>
      </c>
      <c r="E5738" s="5">
        <f ca="1">IF(getQuality(B5738)&lt;4,getOtherMax(B5738,C5738,INDIRECT(J$2),INDIRECT(I5738),test),getMax(B5738,C5738,INDIRECT(J$2),INDIRECT(I5738),test))</f>
        <v>150</v>
      </c>
      <c r="F5738" s="1" t="str">
        <f t="shared" si="361"/>
        <v>50</v>
      </c>
      <c r="G5738" s="1" t="str">
        <f t="shared" ca="1" si="364"/>
        <v/>
      </c>
      <c r="I5738" s="1" t="str">
        <f t="shared" si="362"/>
        <v>威尔新数值1.06.xlsm!suitPower</v>
      </c>
    </row>
    <row r="5739" spans="1:9" x14ac:dyDescent="0.15">
      <c r="A5739" s="1">
        <v>5738</v>
      </c>
      <c r="B5739" s="1">
        <v>104091212</v>
      </c>
      <c r="C5739" s="1">
        <f t="shared" si="363"/>
        <v>3</v>
      </c>
      <c r="D5739" s="5">
        <f ca="1">IF(getQuality(B5739)&lt;4,getOtherMin(B5739,C5739,INDIRECT(J$2),INDIRECT(I5739),test),getMin(B5739,C5739,INDIRECT(J$2),INDIRECT(I5739),test))</f>
        <v>329.28048273180752</v>
      </c>
      <c r="E5739" s="5">
        <f ca="1">IF(getQuality(B5739)&lt;4,getOtherMax(B5739,C5739,INDIRECT(J$2),INDIRECT(I5739),test),getMax(B5739,C5739,INDIRECT(J$2),INDIRECT(I5739),test))</f>
        <v>390.92443123182665</v>
      </c>
      <c r="F5739" s="1" t="str">
        <f t="shared" si="361"/>
        <v>50</v>
      </c>
      <c r="G5739" s="1" t="str">
        <f t="shared" ca="1" si="364"/>
        <v>1</v>
      </c>
      <c r="I5739" s="1" t="str">
        <f t="shared" si="362"/>
        <v>威尔新数值1.06.xlsm!suitPower</v>
      </c>
    </row>
    <row r="5740" spans="1:9" x14ac:dyDescent="0.15">
      <c r="A5740" s="1">
        <v>5739</v>
      </c>
      <c r="B5740" s="1">
        <v>104091212</v>
      </c>
      <c r="C5740" s="1">
        <f t="shared" si="363"/>
        <v>5</v>
      </c>
      <c r="D5740" s="5">
        <f ca="1">IF(getQuality(B5740)&lt;4,getOtherMin(B5740,C5740,INDIRECT(J$2),INDIRECT(I5740),test),getMin(B5740,C5740,INDIRECT(J$2),INDIRECT(I5740),test))</f>
        <v>120.35075555555554</v>
      </c>
      <c r="E5740" s="5">
        <f ca="1">IF(getQuality(B5740)&lt;4,getOtherMax(B5740,C5740,INDIRECT(J$2),INDIRECT(I5740),test),getMax(B5740,C5740,INDIRECT(J$2),INDIRECT(I5740),test))</f>
        <v>142.1258</v>
      </c>
      <c r="F5740" s="1" t="str">
        <f t="shared" si="361"/>
        <v>50</v>
      </c>
      <c r="G5740" s="1" t="str">
        <f t="shared" ca="1" si="364"/>
        <v/>
      </c>
      <c r="I5740" s="1" t="str">
        <f t="shared" si="362"/>
        <v>威尔新数值1.06.xlsm!suitPower</v>
      </c>
    </row>
    <row r="5741" spans="1:9" x14ac:dyDescent="0.15">
      <c r="A5741" s="1">
        <v>5740</v>
      </c>
      <c r="B5741" s="1">
        <v>104091212</v>
      </c>
      <c r="C5741" s="1">
        <f t="shared" si="363"/>
        <v>7</v>
      </c>
      <c r="D5741" s="5">
        <f ca="1">IF(getQuality(B5741)&lt;4,getOtherMin(B5741,C5741,INDIRECT(J$2),INDIRECT(I5741),test),getMin(B5741,C5741,INDIRECT(J$2),INDIRECT(I5741),test))</f>
        <v>60.25925925925911</v>
      </c>
      <c r="E5741" s="5">
        <f ca="1">IF(getQuality(B5741)&lt;4,getOtherMax(B5741,C5741,INDIRECT(J$2),INDIRECT(I5741),test),getMax(B5741,C5741,INDIRECT(J$2),INDIRECT(I5741),test))</f>
        <v>66.666666666666501</v>
      </c>
      <c r="F5741" s="1" t="str">
        <f t="shared" si="361"/>
        <v>50</v>
      </c>
      <c r="G5741" s="1" t="str">
        <f t="shared" ca="1" si="364"/>
        <v/>
      </c>
      <c r="I5741" s="1" t="str">
        <f t="shared" si="362"/>
        <v>威尔新数值1.06.xlsm!suitPower</v>
      </c>
    </row>
    <row r="5742" spans="1:9" x14ac:dyDescent="0.15">
      <c r="A5742" s="1">
        <v>5741</v>
      </c>
      <c r="B5742" s="1">
        <v>104091212</v>
      </c>
      <c r="C5742" s="1">
        <f t="shared" si="363"/>
        <v>8</v>
      </c>
      <c r="D5742" s="5">
        <f ca="1">IF(getQuality(B5742)&lt;4,getOtherMin(B5742,C5742,INDIRECT(J$2),INDIRECT(I5742),test),getMin(B5742,C5742,INDIRECT(J$2),INDIRECT(I5742),test))</f>
        <v>134.33333333333334</v>
      </c>
      <c r="E5742" s="5">
        <f ca="1">IF(getQuality(B5742)&lt;4,getOtherMax(B5742,C5742,INDIRECT(J$2),INDIRECT(I5742),test),getMax(B5742,C5742,INDIRECT(J$2),INDIRECT(I5742),test))</f>
        <v>150</v>
      </c>
      <c r="F5742" s="1" t="str">
        <f t="shared" si="361"/>
        <v>50</v>
      </c>
      <c r="G5742" s="1" t="str">
        <f t="shared" ca="1" si="364"/>
        <v/>
      </c>
      <c r="I5742" s="1" t="str">
        <f t="shared" si="362"/>
        <v>威尔新数值1.06.xlsm!suitPower</v>
      </c>
    </row>
    <row r="5743" spans="1:9" x14ac:dyDescent="0.15">
      <c r="A5743" s="1">
        <v>5742</v>
      </c>
      <c r="B5743" s="1">
        <v>104091212</v>
      </c>
      <c r="C5743" s="1">
        <f t="shared" si="363"/>
        <v>9</v>
      </c>
      <c r="D5743" s="5">
        <f ca="1">IF(getQuality(B5743)&lt;4,getOtherMin(B5743,C5743,INDIRECT(J$2),INDIRECT(I5743),test),getMin(B5743,C5743,INDIRECT(J$2),INDIRECT(I5743),test))</f>
        <v>224.81561914368152</v>
      </c>
      <c r="E5743" s="5">
        <f ca="1">IF(getQuality(B5743)&lt;4,getOtherMax(B5743,C5743,INDIRECT(J$2),INDIRECT(I5743),test),getMax(B5743,C5743,INDIRECT(J$2),INDIRECT(I5743),test))</f>
        <v>266.52511561591331</v>
      </c>
      <c r="F5743" s="1" t="str">
        <f t="shared" si="361"/>
        <v>50</v>
      </c>
      <c r="G5743" s="1" t="str">
        <f t="shared" ca="1" si="364"/>
        <v/>
      </c>
      <c r="I5743" s="1" t="str">
        <f t="shared" si="362"/>
        <v>威尔新数值1.06.xlsm!suitPower</v>
      </c>
    </row>
    <row r="5744" spans="1:9" x14ac:dyDescent="0.15">
      <c r="A5744" s="1">
        <v>5743</v>
      </c>
      <c r="B5744" s="1">
        <v>104091212</v>
      </c>
      <c r="C5744" s="1">
        <f t="shared" si="363"/>
        <v>10</v>
      </c>
      <c r="D5744" s="5">
        <f ca="1">IF(getQuality(B5744)&lt;4,getOtherMin(B5744,C5744,INDIRECT(J$2),INDIRECT(I5744),test),getMin(B5744,C5744,INDIRECT(J$2),INDIRECT(I5744),test))</f>
        <v>224.81561914368152</v>
      </c>
      <c r="E5744" s="5">
        <f ca="1">IF(getQuality(B5744)&lt;4,getOtherMax(B5744,C5744,INDIRECT(J$2),INDIRECT(I5744),test),getMax(B5744,C5744,INDIRECT(J$2),INDIRECT(I5744),test))</f>
        <v>266.52511561591331</v>
      </c>
      <c r="F5744" s="1" t="str">
        <f t="shared" si="361"/>
        <v>50</v>
      </c>
      <c r="G5744" s="1" t="str">
        <f t="shared" ca="1" si="364"/>
        <v/>
      </c>
      <c r="I5744" s="1" t="str">
        <f t="shared" si="362"/>
        <v>威尔新数值1.06.xlsm!suitPower</v>
      </c>
    </row>
    <row r="5745" spans="1:9" x14ac:dyDescent="0.15">
      <c r="A5745" s="1">
        <v>5744</v>
      </c>
      <c r="B5745" s="1">
        <v>104091212</v>
      </c>
      <c r="C5745" s="1">
        <f t="shared" si="363"/>
        <v>11</v>
      </c>
      <c r="D5745" s="5">
        <f ca="1">IF(getQuality(B5745)&lt;4,getOtherMin(B5745,C5745,INDIRECT(J$2),INDIRECT(I5745),test),getMin(B5745,C5745,INDIRECT(J$2),INDIRECT(I5745),test))</f>
        <v>269.57874297241813</v>
      </c>
      <c r="E5745" s="5">
        <f ca="1">IF(getQuality(B5745)&lt;4,getOtherMax(B5745,C5745,INDIRECT(J$2),INDIRECT(I5745),test),getMax(B5745,C5745,INDIRECT(J$2),INDIRECT(I5745),test))</f>
        <v>319.83013873909636</v>
      </c>
      <c r="F5745" s="1" t="str">
        <f t="shared" si="361"/>
        <v>50</v>
      </c>
      <c r="G5745" s="1" t="str">
        <f t="shared" ca="1" si="364"/>
        <v/>
      </c>
      <c r="I5745" s="1" t="str">
        <f t="shared" si="362"/>
        <v>威尔新数值1.06.xlsm!suitPower</v>
      </c>
    </row>
    <row r="5746" spans="1:9" x14ac:dyDescent="0.15">
      <c r="A5746" s="1">
        <v>5745</v>
      </c>
      <c r="B5746" s="1">
        <v>104091212</v>
      </c>
      <c r="C5746" s="1">
        <f t="shared" si="363"/>
        <v>12</v>
      </c>
      <c r="D5746" s="5">
        <f ca="1">IF(getQuality(B5746)&lt;4,getOtherMin(B5746,C5746,INDIRECT(J$2),INDIRECT(I5746),test),getMin(B5746,C5746,INDIRECT(J$2),INDIRECT(I5746),test))</f>
        <v>224.81561914368152</v>
      </c>
      <c r="E5746" s="5">
        <f ca="1">IF(getQuality(B5746)&lt;4,getOtherMax(B5746,C5746,INDIRECT(J$2),INDIRECT(I5746),test),getMax(B5746,C5746,INDIRECT(J$2),INDIRECT(I5746),test))</f>
        <v>266.52511561591331</v>
      </c>
      <c r="F5746" s="1" t="str">
        <f t="shared" si="361"/>
        <v>50</v>
      </c>
      <c r="G5746" s="1" t="str">
        <f t="shared" ca="1" si="364"/>
        <v/>
      </c>
      <c r="I5746" s="1" t="str">
        <f t="shared" si="362"/>
        <v>威尔新数值1.06.xlsm!suitPower</v>
      </c>
    </row>
    <row r="5747" spans="1:9" x14ac:dyDescent="0.15">
      <c r="A5747" s="1">
        <v>5746</v>
      </c>
      <c r="B5747" s="1">
        <v>104091212</v>
      </c>
      <c r="C5747" s="1">
        <f t="shared" si="363"/>
        <v>13</v>
      </c>
      <c r="D5747" s="5">
        <f ca="1">IF(getQuality(B5747)&lt;4,getOtherMin(B5747,C5747,INDIRECT(J$2),INDIRECT(I5747),test),getMin(B5747,C5747,INDIRECT(J$2),INDIRECT(I5747),test))</f>
        <v>224.81561914368152</v>
      </c>
      <c r="E5747" s="5">
        <f ca="1">IF(getQuality(B5747)&lt;4,getOtherMax(B5747,C5747,INDIRECT(J$2),INDIRECT(I5747),test),getMax(B5747,C5747,INDIRECT(J$2),INDIRECT(I5747),test))</f>
        <v>266.52511561591331</v>
      </c>
      <c r="F5747" s="1" t="str">
        <f t="shared" si="361"/>
        <v>50</v>
      </c>
      <c r="G5747" s="1" t="str">
        <f t="shared" ca="1" si="364"/>
        <v/>
      </c>
      <c r="I5747" s="1" t="str">
        <f t="shared" si="362"/>
        <v>威尔新数值1.06.xlsm!suitPower</v>
      </c>
    </row>
    <row r="5748" spans="1:9" x14ac:dyDescent="0.15">
      <c r="A5748" s="1">
        <v>5747</v>
      </c>
      <c r="B5748" s="1">
        <v>104091212</v>
      </c>
      <c r="C5748" s="1">
        <f t="shared" si="363"/>
        <v>14</v>
      </c>
      <c r="D5748" s="5">
        <f ca="1">IF(getQuality(B5748)&lt;4,getOtherMin(B5748,C5748,INDIRECT(J$2),INDIRECT(I5748),test),getMin(B5748,C5748,INDIRECT(J$2),INDIRECT(I5748),test))</f>
        <v>224.81561914368152</v>
      </c>
      <c r="E5748" s="5">
        <f ca="1">IF(getQuality(B5748)&lt;4,getOtherMax(B5748,C5748,INDIRECT(J$2),INDIRECT(I5748),test),getMax(B5748,C5748,INDIRECT(J$2),INDIRECT(I5748),test))</f>
        <v>266.52511561591331</v>
      </c>
      <c r="F5748" s="1" t="str">
        <f t="shared" si="361"/>
        <v>50</v>
      </c>
      <c r="G5748" s="1" t="str">
        <f t="shared" ca="1" si="364"/>
        <v/>
      </c>
      <c r="I5748" s="1" t="str">
        <f t="shared" si="362"/>
        <v>威尔新数值1.06.xlsm!suitPower</v>
      </c>
    </row>
    <row r="5749" spans="1:9" x14ac:dyDescent="0.15">
      <c r="A5749" s="1">
        <v>5748</v>
      </c>
      <c r="B5749" s="1">
        <v>104091212</v>
      </c>
      <c r="C5749" s="1">
        <f t="shared" si="363"/>
        <v>15</v>
      </c>
      <c r="D5749" s="5">
        <f ca="1">IF(getQuality(B5749)&lt;4,getOtherMin(B5749,C5749,INDIRECT(J$2),INDIRECT(I5749),test),getMin(B5749,C5749,INDIRECT(J$2),INDIRECT(I5749),test))</f>
        <v>224.81561914368152</v>
      </c>
      <c r="E5749" s="5">
        <f ca="1">IF(getQuality(B5749)&lt;4,getOtherMax(B5749,C5749,INDIRECT(J$2),INDIRECT(I5749),test),getMax(B5749,C5749,INDIRECT(J$2),INDIRECT(I5749),test))</f>
        <v>266.52511561591331</v>
      </c>
      <c r="F5749" s="1" t="str">
        <f t="shared" si="361"/>
        <v>50</v>
      </c>
      <c r="G5749" s="1" t="str">
        <f t="shared" ca="1" si="364"/>
        <v/>
      </c>
      <c r="I5749" s="1" t="str">
        <f t="shared" si="362"/>
        <v>威尔新数值1.06.xlsm!suitPower</v>
      </c>
    </row>
    <row r="5750" spans="1:9" x14ac:dyDescent="0.15">
      <c r="A5750" s="1">
        <v>5749</v>
      </c>
      <c r="B5750" s="1">
        <v>104091212</v>
      </c>
      <c r="C5750" s="1">
        <f t="shared" si="363"/>
        <v>101</v>
      </c>
      <c r="D5750" s="5">
        <f ca="1">IF(getQuality(B5750)&lt;4,getOtherMin(B5750,C5750,INDIRECT(J$2),INDIRECT(I5750),test),getMin(B5750,C5750,INDIRECT(J$2),INDIRECT(I5750),test))</f>
        <v>0.16</v>
      </c>
      <c r="E5750" s="5">
        <f ca="1">IF(getQuality(B5750)&lt;4,getOtherMax(B5750,C5750,INDIRECT(J$2),INDIRECT(I5750),test),getMax(B5750,C5750,INDIRECT(J$2),INDIRECT(I5750),test))</f>
        <v>0.19</v>
      </c>
      <c r="F5750" s="1" t="str">
        <f t="shared" si="361"/>
        <v>50</v>
      </c>
      <c r="G5750" s="1" t="str">
        <f t="shared" ca="1" si="364"/>
        <v/>
      </c>
      <c r="I5750" s="1" t="str">
        <f t="shared" si="362"/>
        <v>威尔新数值1.06.xlsm!circlePer</v>
      </c>
    </row>
    <row r="5751" spans="1:9" x14ac:dyDescent="0.15">
      <c r="A5751" s="1">
        <v>5750</v>
      </c>
      <c r="B5751" s="1">
        <v>104091212</v>
      </c>
      <c r="C5751" s="1">
        <f t="shared" si="363"/>
        <v>102</v>
      </c>
      <c r="D5751" s="5">
        <f ca="1">IF(getQuality(B5751)&lt;4,getOtherMin(B5751,C5751,INDIRECT(J$2),INDIRECT(I5751),test),getMin(B5751,C5751,INDIRECT(J$2),INDIRECT(I5751),test))</f>
        <v>1.4</v>
      </c>
      <c r="E5751" s="5">
        <f ca="1">IF(getQuality(B5751)&lt;4,getOtherMax(B5751,C5751,INDIRECT(J$2),INDIRECT(I5751),test),getMax(B5751,C5751,INDIRECT(J$2),INDIRECT(I5751),test))</f>
        <v>1.8</v>
      </c>
      <c r="F5751" s="1" t="str">
        <f t="shared" si="361"/>
        <v>50</v>
      </c>
      <c r="G5751" s="1" t="str">
        <f t="shared" ca="1" si="364"/>
        <v/>
      </c>
      <c r="I5751" s="1" t="str">
        <f t="shared" si="362"/>
        <v>威尔新数值1.06.xlsm!circleValue</v>
      </c>
    </row>
    <row r="5752" spans="1:9" x14ac:dyDescent="0.15">
      <c r="A5752" s="1">
        <v>5751</v>
      </c>
      <c r="B5752" s="1">
        <v>104091212</v>
      </c>
      <c r="C5752" s="1">
        <f t="shared" si="363"/>
        <v>103</v>
      </c>
      <c r="D5752" s="5">
        <f ca="1">IF(getQuality(B5752)&lt;4,getOtherMin(B5752,C5752,INDIRECT(J$2),INDIRECT(I5752),test),getMin(B5752,C5752,INDIRECT(J$2),INDIRECT(I5752),test))</f>
        <v>0.16</v>
      </c>
      <c r="E5752" s="5">
        <f ca="1">IF(getQuality(B5752)&lt;4,getOtherMax(B5752,C5752,INDIRECT(J$2),INDIRECT(I5752),test),getMax(B5752,C5752,INDIRECT(J$2),INDIRECT(I5752),test))</f>
        <v>0.19</v>
      </c>
      <c r="F5752" s="1" t="str">
        <f t="shared" si="361"/>
        <v>50</v>
      </c>
      <c r="G5752" s="1" t="str">
        <f t="shared" ca="1" si="364"/>
        <v/>
      </c>
      <c r="I5752" s="1" t="str">
        <f t="shared" si="362"/>
        <v>威尔新数值1.06.xlsm!otherDamage</v>
      </c>
    </row>
    <row r="5753" spans="1:9" x14ac:dyDescent="0.15">
      <c r="A5753" s="1">
        <v>5752</v>
      </c>
      <c r="B5753" s="1">
        <v>104091212</v>
      </c>
      <c r="C5753" s="1">
        <f t="shared" si="363"/>
        <v>104</v>
      </c>
      <c r="D5753" s="5">
        <f ca="1">IF(getQuality(B5753)&lt;4,getOtherMin(B5753,C5753,INDIRECT(J$2),INDIRECT(I5753),test),getMin(B5753,C5753,INDIRECT(J$2),INDIRECT(I5753),test))</f>
        <v>0.15</v>
      </c>
      <c r="E5753" s="5">
        <f ca="1">IF(getQuality(B5753)&lt;4,getOtherMax(B5753,C5753,INDIRECT(J$2),INDIRECT(I5753),test),getMax(B5753,C5753,INDIRECT(J$2),INDIRECT(I5753),test))</f>
        <v>0.3</v>
      </c>
      <c r="F5753" s="1" t="str">
        <f t="shared" si="361"/>
        <v>50</v>
      </c>
      <c r="G5753" s="1" t="str">
        <f t="shared" ca="1" si="364"/>
        <v/>
      </c>
      <c r="I5753" s="1" t="str">
        <f t="shared" si="362"/>
        <v>威尔新数值1.06.xlsm!monsterDamage</v>
      </c>
    </row>
    <row r="5754" spans="1:9" x14ac:dyDescent="0.15">
      <c r="A5754" s="1">
        <v>5753</v>
      </c>
      <c r="B5754" s="1">
        <v>104091212</v>
      </c>
      <c r="C5754" s="1">
        <f t="shared" si="363"/>
        <v>105</v>
      </c>
      <c r="D5754" s="5">
        <f ca="1">IF(getQuality(B5754)&lt;4,getOtherMin(B5754,C5754,INDIRECT(J$2),INDIRECT(I5754),test),getMin(B5754,C5754,INDIRECT(J$2),INDIRECT(I5754),test))</f>
        <v>0.15</v>
      </c>
      <c r="E5754" s="5">
        <f ca="1">IF(getQuality(B5754)&lt;4,getOtherMax(B5754,C5754,INDIRECT(J$2),INDIRECT(I5754),test),getMax(B5754,C5754,INDIRECT(J$2),INDIRECT(I5754),test))</f>
        <v>0.3</v>
      </c>
      <c r="F5754" s="1" t="str">
        <f t="shared" si="361"/>
        <v>50</v>
      </c>
      <c r="G5754" s="1" t="str">
        <f t="shared" ca="1" si="364"/>
        <v/>
      </c>
      <c r="I5754" s="1" t="str">
        <f t="shared" si="362"/>
        <v>威尔新数值1.06.xlsm!monsterDamage</v>
      </c>
    </row>
    <row r="5755" spans="1:9" x14ac:dyDescent="0.15">
      <c r="A5755" s="1">
        <v>5754</v>
      </c>
      <c r="B5755" s="1">
        <v>104091212</v>
      </c>
      <c r="C5755" s="1">
        <f t="shared" si="363"/>
        <v>106</v>
      </c>
      <c r="D5755" s="5">
        <f ca="1">IF(getQuality(B5755)&lt;4,getOtherMin(B5755,C5755,INDIRECT(J$2),INDIRECT(I5755),test),getMin(B5755,C5755,INDIRECT(J$2),INDIRECT(I5755),test))</f>
        <v>0.15</v>
      </c>
      <c r="E5755" s="5">
        <f ca="1">IF(getQuality(B5755)&lt;4,getOtherMax(B5755,C5755,INDIRECT(J$2),INDIRECT(I5755),test),getMax(B5755,C5755,INDIRECT(J$2),INDIRECT(I5755),test))</f>
        <v>0.3</v>
      </c>
      <c r="F5755" s="1" t="str">
        <f t="shared" si="361"/>
        <v>50</v>
      </c>
      <c r="G5755" s="1" t="str">
        <f t="shared" ca="1" si="364"/>
        <v/>
      </c>
      <c r="I5755" s="1" t="str">
        <f t="shared" si="362"/>
        <v>威尔新数值1.06.xlsm!monsterDamage</v>
      </c>
    </row>
    <row r="5756" spans="1:9" x14ac:dyDescent="0.15">
      <c r="A5756" s="1">
        <v>5755</v>
      </c>
      <c r="B5756" s="1">
        <v>104091212</v>
      </c>
      <c r="C5756" s="1">
        <f t="shared" si="363"/>
        <v>107</v>
      </c>
      <c r="D5756" s="5">
        <f ca="1">IF(getQuality(B5756)&lt;4,getOtherMin(B5756,C5756,INDIRECT(J$2),INDIRECT(I5756),test),getMin(B5756,C5756,INDIRECT(J$2),INDIRECT(I5756),test))</f>
        <v>0.15</v>
      </c>
      <c r="E5756" s="5">
        <f ca="1">IF(getQuality(B5756)&lt;4,getOtherMax(B5756,C5756,INDIRECT(J$2),INDIRECT(I5756),test),getMax(B5756,C5756,INDIRECT(J$2),INDIRECT(I5756),test))</f>
        <v>0.3</v>
      </c>
      <c r="F5756" s="1" t="str">
        <f t="shared" si="361"/>
        <v>50</v>
      </c>
      <c r="G5756" s="1" t="str">
        <f t="shared" ca="1" si="364"/>
        <v/>
      </c>
      <c r="I5756" s="1" t="str">
        <f t="shared" si="362"/>
        <v>威尔新数值1.06.xlsm!monsterDamage</v>
      </c>
    </row>
    <row r="5757" spans="1:9" x14ac:dyDescent="0.15">
      <c r="A5757" s="1">
        <v>5756</v>
      </c>
      <c r="B5757" s="1">
        <v>104091212</v>
      </c>
      <c r="C5757" s="1">
        <f t="shared" si="363"/>
        <v>108</v>
      </c>
      <c r="D5757" s="5">
        <f ca="1">IF(getQuality(B5757)&lt;4,getOtherMin(B5757,C5757,INDIRECT(J$2),INDIRECT(I5757),test),getMin(B5757,C5757,INDIRECT(J$2),INDIRECT(I5757),test))</f>
        <v>0.15</v>
      </c>
      <c r="E5757" s="5">
        <f ca="1">IF(getQuality(B5757)&lt;4,getOtherMax(B5757,C5757,INDIRECT(J$2),INDIRECT(I5757),test),getMax(B5757,C5757,INDIRECT(J$2),INDIRECT(I5757),test))</f>
        <v>0.3</v>
      </c>
      <c r="F5757" s="1" t="str">
        <f t="shared" si="361"/>
        <v>50</v>
      </c>
      <c r="G5757" s="1" t="str">
        <f t="shared" ca="1" si="364"/>
        <v/>
      </c>
      <c r="I5757" s="1" t="str">
        <f t="shared" si="362"/>
        <v>威尔新数值1.06.xlsm!monsterDamage</v>
      </c>
    </row>
    <row r="5758" spans="1:9" x14ac:dyDescent="0.15">
      <c r="A5758" s="1">
        <v>5757</v>
      </c>
      <c r="B5758" s="1">
        <v>204091412</v>
      </c>
      <c r="C5758" s="1">
        <f t="shared" si="363"/>
        <v>1</v>
      </c>
      <c r="D5758" s="5">
        <f ca="1">IF(getQuality(B5758)&lt;4,getOtherMin(B5758,C5758,INDIRECT(J$2),INDIRECT(I5758),test),getMin(B5758,C5758,INDIRECT(J$2),INDIRECT(I5758),test))</f>
        <v>808.14666666666665</v>
      </c>
      <c r="E5758" s="5">
        <f ca="1">IF(getQuality(B5758)&lt;4,getOtherMax(B5758,C5758,INDIRECT(J$2),INDIRECT(I5758),test),getMax(B5758,C5758,INDIRECT(J$2),INDIRECT(I5758),test))</f>
        <v>961.17</v>
      </c>
      <c r="F5758" s="1" t="str">
        <f t="shared" si="361"/>
        <v>50</v>
      </c>
      <c r="G5758" s="1" t="str">
        <f t="shared" ca="1" si="364"/>
        <v/>
      </c>
      <c r="I5758" s="1" t="str">
        <f t="shared" si="362"/>
        <v>威尔新数值1.06.xlsm!suitPower</v>
      </c>
    </row>
    <row r="5759" spans="1:9" x14ac:dyDescent="0.15">
      <c r="A5759" s="1">
        <v>5758</v>
      </c>
      <c r="B5759" s="1">
        <v>204091412</v>
      </c>
      <c r="C5759" s="1">
        <f t="shared" si="363"/>
        <v>2</v>
      </c>
      <c r="D5759" s="5">
        <f ca="1">IF(getQuality(B5759)&lt;4,getOtherMin(B5759,C5759,INDIRECT(J$2),INDIRECT(I5759),test),getMin(B5759,C5759,INDIRECT(J$2),INDIRECT(I5759),test))</f>
        <v>42.777777777777779</v>
      </c>
      <c r="E5759" s="5">
        <f ca="1">IF(getQuality(B5759)&lt;4,getOtherMax(B5759,C5759,INDIRECT(J$2),INDIRECT(I5759),test),getMax(B5759,C5759,INDIRECT(J$2),INDIRECT(I5759),test))</f>
        <v>49.75</v>
      </c>
      <c r="F5759" s="1" t="str">
        <f t="shared" si="361"/>
        <v>50</v>
      </c>
      <c r="G5759" s="1" t="str">
        <f t="shared" ca="1" si="364"/>
        <v/>
      </c>
      <c r="I5759" s="1" t="str">
        <f t="shared" si="362"/>
        <v>威尔新数值1.06.xlsm!suitPower</v>
      </c>
    </row>
    <row r="5760" spans="1:9" x14ac:dyDescent="0.15">
      <c r="A5760" s="1">
        <v>5759</v>
      </c>
      <c r="B5760" s="1">
        <v>204091412</v>
      </c>
      <c r="C5760" s="1">
        <f t="shared" si="363"/>
        <v>4</v>
      </c>
      <c r="D5760" s="5">
        <f ca="1">IF(getQuality(B5760)&lt;4,getOtherMin(B5760,C5760,INDIRECT(J$2),INDIRECT(I5760),test),getMin(B5760,C5760,INDIRECT(J$2),INDIRECT(I5760),test))</f>
        <v>334.33333333333331</v>
      </c>
      <c r="E5760" s="5">
        <f ca="1">IF(getQuality(B5760)&lt;4,getOtherMax(B5760,C5760,INDIRECT(J$2),INDIRECT(I5760),test),getMax(B5760,C5760,INDIRECT(J$2),INDIRECT(I5760),test))</f>
        <v>375</v>
      </c>
      <c r="F5760" s="1" t="str">
        <f t="shared" si="361"/>
        <v>50</v>
      </c>
      <c r="G5760" s="1" t="str">
        <f t="shared" ca="1" si="364"/>
        <v>1</v>
      </c>
      <c r="I5760" s="1" t="str">
        <f t="shared" si="362"/>
        <v>威尔新数值1.06.xlsm!suitPower</v>
      </c>
    </row>
    <row r="5761" spans="1:9" x14ac:dyDescent="0.15">
      <c r="A5761" s="1">
        <v>5760</v>
      </c>
      <c r="B5761" s="1">
        <v>204091412</v>
      </c>
      <c r="C5761" s="1">
        <f t="shared" si="363"/>
        <v>6</v>
      </c>
      <c r="D5761" s="5">
        <f ca="1">IF(getQuality(B5761)&lt;4,getOtherMin(B5761,C5761,INDIRECT(J$2),INDIRECT(I5761),test),getMin(B5761,C5761,INDIRECT(J$2),INDIRECT(I5761),test))</f>
        <v>334.33333333333331</v>
      </c>
      <c r="E5761" s="5">
        <f ca="1">IF(getQuality(B5761)&lt;4,getOtherMax(B5761,C5761,INDIRECT(J$2),INDIRECT(I5761),test),getMax(B5761,C5761,INDIRECT(J$2),INDIRECT(I5761),test))</f>
        <v>375</v>
      </c>
      <c r="F5761" s="1" t="str">
        <f t="shared" si="361"/>
        <v>50</v>
      </c>
      <c r="G5761" s="1" t="str">
        <f t="shared" ca="1" si="364"/>
        <v/>
      </c>
      <c r="I5761" s="1" t="str">
        <f t="shared" si="362"/>
        <v>威尔新数值1.06.xlsm!suitPower</v>
      </c>
    </row>
    <row r="5762" spans="1:9" x14ac:dyDescent="0.15">
      <c r="A5762" s="1">
        <v>5761</v>
      </c>
      <c r="B5762" s="1">
        <v>204091412</v>
      </c>
      <c r="C5762" s="1">
        <f t="shared" si="363"/>
        <v>7</v>
      </c>
      <c r="D5762" s="5">
        <f ca="1">IF(getQuality(B5762)&lt;4,getOtherMin(B5762,C5762,INDIRECT(J$2),INDIRECT(I5762),test),getMin(B5762,C5762,INDIRECT(J$2),INDIRECT(I5762),test))</f>
        <v>30.629629629629555</v>
      </c>
      <c r="E5762" s="5">
        <f ca="1">IF(getQuality(B5762)&lt;4,getOtherMax(B5762,C5762,INDIRECT(J$2),INDIRECT(I5762),test),getMax(B5762,C5762,INDIRECT(J$2),INDIRECT(I5762),test))</f>
        <v>33.33333333333325</v>
      </c>
      <c r="F5762" s="1" t="str">
        <f t="shared" si="361"/>
        <v>50</v>
      </c>
      <c r="G5762" s="1" t="str">
        <f t="shared" ca="1" si="364"/>
        <v/>
      </c>
      <c r="I5762" s="1" t="str">
        <f t="shared" si="362"/>
        <v>威尔新数值1.06.xlsm!suitPower</v>
      </c>
    </row>
    <row r="5763" spans="1:9" x14ac:dyDescent="0.15">
      <c r="A5763" s="1">
        <v>5762</v>
      </c>
      <c r="B5763" s="1">
        <v>204091412</v>
      </c>
      <c r="C5763" s="1">
        <f t="shared" si="363"/>
        <v>8</v>
      </c>
      <c r="D5763" s="5">
        <f ca="1">IF(getQuality(B5763)&lt;4,getOtherMin(B5763,C5763,INDIRECT(J$2),INDIRECT(I5763),test),getMin(B5763,C5763,INDIRECT(J$2),INDIRECT(I5763),test))</f>
        <v>67.666666666666671</v>
      </c>
      <c r="E5763" s="5">
        <f ca="1">IF(getQuality(B5763)&lt;4,getOtherMax(B5763,C5763,INDIRECT(J$2),INDIRECT(I5763),test),getMax(B5763,C5763,INDIRECT(J$2),INDIRECT(I5763),test))</f>
        <v>75</v>
      </c>
      <c r="F5763" s="1" t="str">
        <f t="shared" si="361"/>
        <v>50</v>
      </c>
      <c r="G5763" s="1" t="str">
        <f t="shared" ca="1" si="364"/>
        <v/>
      </c>
      <c r="I5763" s="1" t="str">
        <f t="shared" si="362"/>
        <v>威尔新数值1.06.xlsm!suitPower</v>
      </c>
    </row>
    <row r="5764" spans="1:9" x14ac:dyDescent="0.15">
      <c r="A5764" s="1">
        <v>5763</v>
      </c>
      <c r="B5764" s="1">
        <v>204091412</v>
      </c>
      <c r="C5764" s="1">
        <f t="shared" si="363"/>
        <v>16</v>
      </c>
      <c r="D5764" s="5">
        <f ca="1">IF(getQuality(B5764)&lt;4,getOtherMin(B5764,C5764,INDIRECT(J$2),INDIRECT(I5764),test),getMin(B5764,C5764,INDIRECT(J$2),INDIRECT(I5764),test))</f>
        <v>72.111111111111114</v>
      </c>
      <c r="E5764" s="5">
        <f ca="1">IF(getQuality(B5764)&lt;4,getOtherMax(B5764,C5764,INDIRECT(J$2),INDIRECT(I5764),test),getMax(B5764,C5764,INDIRECT(J$2),INDIRECT(I5764),test))</f>
        <v>80</v>
      </c>
      <c r="F5764" s="1" t="str">
        <f t="shared" si="361"/>
        <v>50</v>
      </c>
      <c r="G5764" s="1" t="str">
        <f t="shared" ca="1" si="364"/>
        <v/>
      </c>
      <c r="I5764" s="1" t="str">
        <f t="shared" si="362"/>
        <v>威尔新数值1.06.xlsm!suitPower</v>
      </c>
    </row>
    <row r="5765" spans="1:9" x14ac:dyDescent="0.15">
      <c r="A5765" s="1">
        <v>5764</v>
      </c>
      <c r="B5765" s="1">
        <v>204091412</v>
      </c>
      <c r="C5765" s="1">
        <f t="shared" si="363"/>
        <v>17</v>
      </c>
      <c r="D5765" s="5">
        <f ca="1">IF(getQuality(B5765)&lt;4,getOtherMin(B5765,C5765,INDIRECT(J$2),INDIRECT(I5765),test),getMin(B5765,C5765,INDIRECT(J$2),INDIRECT(I5765),test))</f>
        <v>72.111111111111114</v>
      </c>
      <c r="E5765" s="5">
        <f ca="1">IF(getQuality(B5765)&lt;4,getOtherMax(B5765,C5765,INDIRECT(J$2),INDIRECT(I5765),test),getMax(B5765,C5765,INDIRECT(J$2),INDIRECT(I5765),test))</f>
        <v>80</v>
      </c>
      <c r="F5765" s="1" t="str">
        <f t="shared" si="361"/>
        <v>50</v>
      </c>
      <c r="G5765" s="1" t="str">
        <f t="shared" ca="1" si="364"/>
        <v/>
      </c>
      <c r="I5765" s="1" t="str">
        <f t="shared" si="362"/>
        <v>威尔新数值1.06.xlsm!suitPower</v>
      </c>
    </row>
    <row r="5766" spans="1:9" x14ac:dyDescent="0.15">
      <c r="A5766" s="1">
        <v>5765</v>
      </c>
      <c r="B5766" s="1">
        <v>204091412</v>
      </c>
      <c r="C5766" s="1">
        <f t="shared" si="363"/>
        <v>18</v>
      </c>
      <c r="D5766" s="5">
        <f ca="1">IF(getQuality(B5766)&lt;4,getOtherMin(B5766,C5766,INDIRECT(J$2),INDIRECT(I5766),test),getMin(B5766,C5766,INDIRECT(J$2),INDIRECT(I5766),test))</f>
        <v>72.111111111111114</v>
      </c>
      <c r="E5766" s="5">
        <f ca="1">IF(getQuality(B5766)&lt;4,getOtherMax(B5766,C5766,INDIRECT(J$2),INDIRECT(I5766),test),getMax(B5766,C5766,INDIRECT(J$2),INDIRECT(I5766),test))</f>
        <v>80</v>
      </c>
      <c r="F5766" s="1" t="str">
        <f t="shared" si="361"/>
        <v>50</v>
      </c>
      <c r="G5766" s="1" t="str">
        <f t="shared" ca="1" si="364"/>
        <v/>
      </c>
      <c r="I5766" s="1" t="str">
        <f t="shared" si="362"/>
        <v>威尔新数值1.06.xlsm!suitPower</v>
      </c>
    </row>
    <row r="5767" spans="1:9" x14ac:dyDescent="0.15">
      <c r="A5767" s="1">
        <v>5766</v>
      </c>
      <c r="B5767" s="1">
        <v>204091412</v>
      </c>
      <c r="C5767" s="1">
        <f t="shared" si="363"/>
        <v>19</v>
      </c>
      <c r="D5767" s="5">
        <f ca="1">IF(getQuality(B5767)&lt;4,getOtherMin(B5767,C5767,INDIRECT(J$2),INDIRECT(I5767),test),getMin(B5767,C5767,INDIRECT(J$2),INDIRECT(I5767),test))</f>
        <v>107.66666666666666</v>
      </c>
      <c r="E5767" s="5">
        <f ca="1">IF(getQuality(B5767)&lt;4,getOtherMax(B5767,C5767,INDIRECT(J$2),INDIRECT(I5767),test),getMax(B5767,C5767,INDIRECT(J$2),INDIRECT(I5767),test))</f>
        <v>120</v>
      </c>
      <c r="F5767" s="1" t="str">
        <f t="shared" si="361"/>
        <v>50</v>
      </c>
      <c r="G5767" s="1" t="str">
        <f t="shared" ca="1" si="364"/>
        <v/>
      </c>
      <c r="I5767" s="1" t="str">
        <f t="shared" si="362"/>
        <v>威尔新数值1.06.xlsm!suitPower</v>
      </c>
    </row>
    <row r="5768" spans="1:9" x14ac:dyDescent="0.15">
      <c r="A5768" s="1">
        <v>5767</v>
      </c>
      <c r="B5768" s="1">
        <v>204091412</v>
      </c>
      <c r="C5768" s="1">
        <f t="shared" si="363"/>
        <v>20</v>
      </c>
      <c r="D5768" s="5">
        <f ca="1">IF(getQuality(B5768)&lt;4,getOtherMin(B5768,C5768,INDIRECT(J$2),INDIRECT(I5768),test),getMin(B5768,C5768,INDIRECT(J$2),INDIRECT(I5768),test))</f>
        <v>72.111111111111114</v>
      </c>
      <c r="E5768" s="5">
        <f ca="1">IF(getQuality(B5768)&lt;4,getOtherMax(B5768,C5768,INDIRECT(J$2),INDIRECT(I5768),test),getMax(B5768,C5768,INDIRECT(J$2),INDIRECT(I5768),test))</f>
        <v>80</v>
      </c>
      <c r="F5768" s="1" t="str">
        <f t="shared" si="361"/>
        <v>50</v>
      </c>
      <c r="G5768" s="1" t="str">
        <f t="shared" ca="1" si="364"/>
        <v/>
      </c>
      <c r="I5768" s="1" t="str">
        <f t="shared" si="362"/>
        <v>威尔新数值1.06.xlsm!suitPower</v>
      </c>
    </row>
    <row r="5769" spans="1:9" x14ac:dyDescent="0.15">
      <c r="A5769" s="1">
        <v>5768</v>
      </c>
      <c r="B5769" s="1">
        <v>204091412</v>
      </c>
      <c r="C5769" s="1">
        <f t="shared" si="363"/>
        <v>21</v>
      </c>
      <c r="D5769" s="5">
        <f ca="1">IF(getQuality(B5769)&lt;4,getOtherMin(B5769,C5769,INDIRECT(J$2),INDIRECT(I5769),test),getMin(B5769,C5769,INDIRECT(J$2),INDIRECT(I5769),test))</f>
        <v>72.111111111111114</v>
      </c>
      <c r="E5769" s="5">
        <f ca="1">IF(getQuality(B5769)&lt;4,getOtherMax(B5769,C5769,INDIRECT(J$2),INDIRECT(I5769),test),getMax(B5769,C5769,INDIRECT(J$2),INDIRECT(I5769),test))</f>
        <v>80</v>
      </c>
      <c r="F5769" s="1" t="str">
        <f t="shared" si="361"/>
        <v>50</v>
      </c>
      <c r="G5769" s="1" t="str">
        <f t="shared" ca="1" si="364"/>
        <v/>
      </c>
      <c r="I5769" s="1" t="str">
        <f t="shared" si="362"/>
        <v>威尔新数值1.06.xlsm!suitPower</v>
      </c>
    </row>
    <row r="5770" spans="1:9" x14ac:dyDescent="0.15">
      <c r="A5770" s="1">
        <v>5769</v>
      </c>
      <c r="B5770" s="1">
        <v>204091412</v>
      </c>
      <c r="C5770" s="1">
        <f t="shared" si="363"/>
        <v>22</v>
      </c>
      <c r="D5770" s="5">
        <f ca="1">IF(getQuality(B5770)&lt;4,getOtherMin(B5770,C5770,INDIRECT(J$2),INDIRECT(I5770),test),getMin(B5770,C5770,INDIRECT(J$2),INDIRECT(I5770),test))</f>
        <v>72.111111111111114</v>
      </c>
      <c r="E5770" s="5">
        <f ca="1">IF(getQuality(B5770)&lt;4,getOtherMax(B5770,C5770,INDIRECT(J$2),INDIRECT(I5770),test),getMax(B5770,C5770,INDIRECT(J$2),INDIRECT(I5770),test))</f>
        <v>80</v>
      </c>
      <c r="F5770" s="1" t="str">
        <f t="shared" si="361"/>
        <v>50</v>
      </c>
      <c r="G5770" s="1" t="str">
        <f t="shared" ca="1" si="364"/>
        <v/>
      </c>
      <c r="I5770" s="1" t="str">
        <f t="shared" si="362"/>
        <v>威尔新数值1.06.xlsm!suitPower</v>
      </c>
    </row>
    <row r="5771" spans="1:9" x14ac:dyDescent="0.15">
      <c r="A5771" s="1">
        <v>5770</v>
      </c>
      <c r="B5771" s="1">
        <v>204091412</v>
      </c>
      <c r="C5771" s="1">
        <f t="shared" si="363"/>
        <v>23</v>
      </c>
      <c r="D5771" s="5">
        <f ca="1">IF(getQuality(B5771)&lt;4,getOtherMin(B5771,C5771,INDIRECT(J$2),INDIRECT(I5771),test),getMin(B5771,C5771,INDIRECT(J$2),INDIRECT(I5771),test))</f>
        <v>72.111111111111114</v>
      </c>
      <c r="E5771" s="5">
        <f ca="1">IF(getQuality(B5771)&lt;4,getOtherMax(B5771,C5771,INDIRECT(J$2),INDIRECT(I5771),test),getMax(B5771,C5771,INDIRECT(J$2),INDIRECT(I5771),test))</f>
        <v>80</v>
      </c>
      <c r="F5771" s="1" t="str">
        <f t="shared" si="361"/>
        <v>50</v>
      </c>
      <c r="G5771" s="1" t="str">
        <f t="shared" ca="1" si="364"/>
        <v/>
      </c>
      <c r="I5771" s="1" t="str">
        <f t="shared" si="362"/>
        <v>威尔新数值1.06.xlsm!suitPower</v>
      </c>
    </row>
    <row r="5772" spans="1:9" x14ac:dyDescent="0.15">
      <c r="A5772" s="1">
        <v>5771</v>
      </c>
      <c r="B5772" s="1">
        <v>304091512</v>
      </c>
      <c r="C5772" s="1">
        <f t="shared" si="363"/>
        <v>1</v>
      </c>
      <c r="D5772" s="5">
        <f ca="1">IF(getQuality(B5772)&lt;4,getOtherMin(B5772,C5772,INDIRECT(J$2),INDIRECT(I5772),test),getMin(B5772,C5772,INDIRECT(J$2),INDIRECT(I5772),test))</f>
        <v>808.14666666666665</v>
      </c>
      <c r="E5772" s="5">
        <f ca="1">IF(getQuality(B5772)&lt;4,getOtherMax(B5772,C5772,INDIRECT(J$2),INDIRECT(I5772),test),getMax(B5772,C5772,INDIRECT(J$2),INDIRECT(I5772),test))</f>
        <v>961.17</v>
      </c>
      <c r="F5772" s="1" t="str">
        <f t="shared" si="361"/>
        <v>50</v>
      </c>
      <c r="G5772" s="1" t="str">
        <f t="shared" ca="1" si="364"/>
        <v/>
      </c>
      <c r="I5772" s="1" t="str">
        <f t="shared" si="362"/>
        <v>威尔新数值1.06.xlsm!suitPower</v>
      </c>
    </row>
    <row r="5773" spans="1:9" x14ac:dyDescent="0.15">
      <c r="A5773" s="1">
        <v>5772</v>
      </c>
      <c r="B5773" s="1">
        <v>304091512</v>
      </c>
      <c r="C5773" s="1">
        <f t="shared" si="363"/>
        <v>2</v>
      </c>
      <c r="D5773" s="5">
        <f ca="1">IF(getQuality(B5773)&lt;4,getOtherMin(B5773,C5773,INDIRECT(J$2),INDIRECT(I5773),test),getMin(B5773,C5773,INDIRECT(J$2),INDIRECT(I5773),test))</f>
        <v>42.777777777777779</v>
      </c>
      <c r="E5773" s="5">
        <f ca="1">IF(getQuality(B5773)&lt;4,getOtherMax(B5773,C5773,INDIRECT(J$2),INDIRECT(I5773),test),getMax(B5773,C5773,INDIRECT(J$2),INDIRECT(I5773),test))</f>
        <v>49.75</v>
      </c>
      <c r="F5773" s="1" t="str">
        <f t="shared" si="361"/>
        <v>50</v>
      </c>
      <c r="G5773" s="1" t="str">
        <f t="shared" ca="1" si="364"/>
        <v/>
      </c>
      <c r="I5773" s="1" t="str">
        <f t="shared" si="362"/>
        <v>威尔新数值1.06.xlsm!suitPower</v>
      </c>
    </row>
    <row r="5774" spans="1:9" x14ac:dyDescent="0.15">
      <c r="A5774" s="1">
        <v>5773</v>
      </c>
      <c r="B5774" s="1">
        <v>304091512</v>
      </c>
      <c r="C5774" s="1">
        <f t="shared" si="363"/>
        <v>4</v>
      </c>
      <c r="D5774" s="5">
        <f ca="1">IF(getQuality(B5774)&lt;4,getOtherMin(B5774,C5774,INDIRECT(J$2),INDIRECT(I5774),test),getMin(B5774,C5774,INDIRECT(J$2),INDIRECT(I5774),test))</f>
        <v>334.33333333333331</v>
      </c>
      <c r="E5774" s="5">
        <f ca="1">IF(getQuality(B5774)&lt;4,getOtherMax(B5774,C5774,INDIRECT(J$2),INDIRECT(I5774),test),getMax(B5774,C5774,INDIRECT(J$2),INDIRECT(I5774),test))</f>
        <v>375</v>
      </c>
      <c r="F5774" s="1" t="str">
        <f t="shared" si="361"/>
        <v>50</v>
      </c>
      <c r="G5774" s="1" t="str">
        <f t="shared" ca="1" si="364"/>
        <v>1</v>
      </c>
      <c r="I5774" s="1" t="str">
        <f t="shared" si="362"/>
        <v>威尔新数值1.06.xlsm!suitPower</v>
      </c>
    </row>
    <row r="5775" spans="1:9" x14ac:dyDescent="0.15">
      <c r="A5775" s="1">
        <v>5774</v>
      </c>
      <c r="B5775" s="1">
        <v>304091512</v>
      </c>
      <c r="C5775" s="1">
        <f t="shared" si="363"/>
        <v>6</v>
      </c>
      <c r="D5775" s="5">
        <f ca="1">IF(getQuality(B5775)&lt;4,getOtherMin(B5775,C5775,INDIRECT(J$2),INDIRECT(I5775),test),getMin(B5775,C5775,INDIRECT(J$2),INDIRECT(I5775),test))</f>
        <v>334.33333333333331</v>
      </c>
      <c r="E5775" s="5">
        <f ca="1">IF(getQuality(B5775)&lt;4,getOtherMax(B5775,C5775,INDIRECT(J$2),INDIRECT(I5775),test),getMax(B5775,C5775,INDIRECT(J$2),INDIRECT(I5775),test))</f>
        <v>375</v>
      </c>
      <c r="F5775" s="1" t="str">
        <f t="shared" si="361"/>
        <v>50</v>
      </c>
      <c r="G5775" s="1" t="str">
        <f t="shared" ca="1" si="364"/>
        <v/>
      </c>
      <c r="I5775" s="1" t="str">
        <f t="shared" si="362"/>
        <v>威尔新数值1.06.xlsm!suitPower</v>
      </c>
    </row>
    <row r="5776" spans="1:9" x14ac:dyDescent="0.15">
      <c r="A5776" s="1">
        <v>5775</v>
      </c>
      <c r="B5776" s="1">
        <v>304091512</v>
      </c>
      <c r="C5776" s="1">
        <f t="shared" si="363"/>
        <v>7</v>
      </c>
      <c r="D5776" s="5">
        <f ca="1">IF(getQuality(B5776)&lt;4,getOtherMin(B5776,C5776,INDIRECT(J$2),INDIRECT(I5776),test),getMin(B5776,C5776,INDIRECT(J$2),INDIRECT(I5776),test))</f>
        <v>30.629629629629555</v>
      </c>
      <c r="E5776" s="5">
        <f ca="1">IF(getQuality(B5776)&lt;4,getOtherMax(B5776,C5776,INDIRECT(J$2),INDIRECT(I5776),test),getMax(B5776,C5776,INDIRECT(J$2),INDIRECT(I5776),test))</f>
        <v>33.33333333333325</v>
      </c>
      <c r="F5776" s="1" t="str">
        <f t="shared" si="361"/>
        <v>50</v>
      </c>
      <c r="G5776" s="1" t="str">
        <f t="shared" ca="1" si="364"/>
        <v/>
      </c>
      <c r="I5776" s="1" t="str">
        <f t="shared" si="362"/>
        <v>威尔新数值1.06.xlsm!suitPower</v>
      </c>
    </row>
    <row r="5777" spans="1:9" x14ac:dyDescent="0.15">
      <c r="A5777" s="1">
        <v>5776</v>
      </c>
      <c r="B5777" s="1">
        <v>304091512</v>
      </c>
      <c r="C5777" s="1">
        <f t="shared" si="363"/>
        <v>8</v>
      </c>
      <c r="D5777" s="5">
        <f ca="1">IF(getQuality(B5777)&lt;4,getOtherMin(B5777,C5777,INDIRECT(J$2),INDIRECT(I5777),test),getMin(B5777,C5777,INDIRECT(J$2),INDIRECT(I5777),test))</f>
        <v>67.666666666666671</v>
      </c>
      <c r="E5777" s="5">
        <f ca="1">IF(getQuality(B5777)&lt;4,getOtherMax(B5777,C5777,INDIRECT(J$2),INDIRECT(I5777),test),getMax(B5777,C5777,INDIRECT(J$2),INDIRECT(I5777),test))</f>
        <v>75</v>
      </c>
      <c r="F5777" s="1" t="str">
        <f t="shared" si="361"/>
        <v>50</v>
      </c>
      <c r="G5777" s="1" t="str">
        <f t="shared" ca="1" si="364"/>
        <v/>
      </c>
      <c r="I5777" s="1" t="str">
        <f t="shared" si="362"/>
        <v>威尔新数值1.06.xlsm!suitPower</v>
      </c>
    </row>
    <row r="5778" spans="1:9" x14ac:dyDescent="0.15">
      <c r="A5778" s="1">
        <v>5777</v>
      </c>
      <c r="B5778" s="1">
        <v>304091512</v>
      </c>
      <c r="C5778" s="1">
        <f t="shared" si="363"/>
        <v>16</v>
      </c>
      <c r="D5778" s="5">
        <f ca="1">IF(getQuality(B5778)&lt;4,getOtherMin(B5778,C5778,INDIRECT(J$2),INDIRECT(I5778),test),getMin(B5778,C5778,INDIRECT(J$2),INDIRECT(I5778),test))</f>
        <v>72.111111111111114</v>
      </c>
      <c r="E5778" s="5">
        <f ca="1">IF(getQuality(B5778)&lt;4,getOtherMax(B5778,C5778,INDIRECT(J$2),INDIRECT(I5778),test),getMax(B5778,C5778,INDIRECT(J$2),INDIRECT(I5778),test))</f>
        <v>80</v>
      </c>
      <c r="F5778" s="1" t="str">
        <f t="shared" si="361"/>
        <v>50</v>
      </c>
      <c r="G5778" s="1" t="str">
        <f t="shared" ca="1" si="364"/>
        <v/>
      </c>
      <c r="I5778" s="1" t="str">
        <f t="shared" si="362"/>
        <v>威尔新数值1.06.xlsm!suitPower</v>
      </c>
    </row>
    <row r="5779" spans="1:9" x14ac:dyDescent="0.15">
      <c r="A5779" s="1">
        <v>5778</v>
      </c>
      <c r="B5779" s="1">
        <v>304091512</v>
      </c>
      <c r="C5779" s="1">
        <f t="shared" si="363"/>
        <v>17</v>
      </c>
      <c r="D5779" s="5">
        <f ca="1">IF(getQuality(B5779)&lt;4,getOtherMin(B5779,C5779,INDIRECT(J$2),INDIRECT(I5779),test),getMin(B5779,C5779,INDIRECT(J$2),INDIRECT(I5779),test))</f>
        <v>72.111111111111114</v>
      </c>
      <c r="E5779" s="5">
        <f ca="1">IF(getQuality(B5779)&lt;4,getOtherMax(B5779,C5779,INDIRECT(J$2),INDIRECT(I5779),test),getMax(B5779,C5779,INDIRECT(J$2),INDIRECT(I5779),test))</f>
        <v>80</v>
      </c>
      <c r="F5779" s="1" t="str">
        <f t="shared" ref="F5779:F5831" si="365">getper(B5779,C5779)</f>
        <v>50</v>
      </c>
      <c r="G5779" s="1" t="str">
        <f t="shared" ca="1" si="364"/>
        <v/>
      </c>
      <c r="I5779" s="1" t="str">
        <f t="shared" ref="I5779:I5831" si="366">IF(C5779&lt;100,VLOOKUP(C5779,test,3,FALSE),VLOOKUP(C5779,test1,3,FALSE))</f>
        <v>威尔新数值1.06.xlsm!suitPower</v>
      </c>
    </row>
    <row r="5780" spans="1:9" x14ac:dyDescent="0.15">
      <c r="A5780" s="1">
        <v>5779</v>
      </c>
      <c r="B5780" s="1">
        <v>304091512</v>
      </c>
      <c r="C5780" s="1">
        <f t="shared" si="363"/>
        <v>18</v>
      </c>
      <c r="D5780" s="5">
        <f ca="1">IF(getQuality(B5780)&lt;4,getOtherMin(B5780,C5780,INDIRECT(J$2),INDIRECT(I5780),test),getMin(B5780,C5780,INDIRECT(J$2),INDIRECT(I5780),test))</f>
        <v>72.111111111111114</v>
      </c>
      <c r="E5780" s="5">
        <f ca="1">IF(getQuality(B5780)&lt;4,getOtherMax(B5780,C5780,INDIRECT(J$2),INDIRECT(I5780),test),getMax(B5780,C5780,INDIRECT(J$2),INDIRECT(I5780),test))</f>
        <v>80</v>
      </c>
      <c r="F5780" s="1" t="str">
        <f t="shared" si="365"/>
        <v>50</v>
      </c>
      <c r="G5780" s="1" t="str">
        <f t="shared" ca="1" si="364"/>
        <v/>
      </c>
      <c r="I5780" s="1" t="str">
        <f t="shared" si="366"/>
        <v>威尔新数值1.06.xlsm!suitPower</v>
      </c>
    </row>
    <row r="5781" spans="1:9" x14ac:dyDescent="0.15">
      <c r="A5781" s="1">
        <v>5780</v>
      </c>
      <c r="B5781" s="1">
        <v>304091512</v>
      </c>
      <c r="C5781" s="1">
        <f t="shared" si="363"/>
        <v>19</v>
      </c>
      <c r="D5781" s="5">
        <f ca="1">IF(getQuality(B5781)&lt;4,getOtherMin(B5781,C5781,INDIRECT(J$2),INDIRECT(I5781),test),getMin(B5781,C5781,INDIRECT(J$2),INDIRECT(I5781),test))</f>
        <v>107.66666666666666</v>
      </c>
      <c r="E5781" s="5">
        <f ca="1">IF(getQuality(B5781)&lt;4,getOtherMax(B5781,C5781,INDIRECT(J$2),INDIRECT(I5781),test),getMax(B5781,C5781,INDIRECT(J$2),INDIRECT(I5781),test))</f>
        <v>120</v>
      </c>
      <c r="F5781" s="1" t="str">
        <f t="shared" si="365"/>
        <v>50</v>
      </c>
      <c r="G5781" s="1" t="str">
        <f t="shared" ca="1" si="364"/>
        <v/>
      </c>
      <c r="I5781" s="1" t="str">
        <f t="shared" si="366"/>
        <v>威尔新数值1.06.xlsm!suitPower</v>
      </c>
    </row>
    <row r="5782" spans="1:9" x14ac:dyDescent="0.15">
      <c r="A5782" s="1">
        <v>5781</v>
      </c>
      <c r="B5782" s="1">
        <v>304091512</v>
      </c>
      <c r="C5782" s="1">
        <f t="shared" ref="C5782:C5832" si="367">C5735</f>
        <v>20</v>
      </c>
      <c r="D5782" s="5">
        <f ca="1">IF(getQuality(B5782)&lt;4,getOtherMin(B5782,C5782,INDIRECT(J$2),INDIRECT(I5782),test),getMin(B5782,C5782,INDIRECT(J$2),INDIRECT(I5782),test))</f>
        <v>72.111111111111114</v>
      </c>
      <c r="E5782" s="5">
        <f ca="1">IF(getQuality(B5782)&lt;4,getOtherMax(B5782,C5782,INDIRECT(J$2),INDIRECT(I5782),test),getMax(B5782,C5782,INDIRECT(J$2),INDIRECT(I5782),test))</f>
        <v>80</v>
      </c>
      <c r="F5782" s="1" t="str">
        <f t="shared" si="365"/>
        <v>50</v>
      </c>
      <c r="G5782" s="1" t="str">
        <f t="shared" ca="1" si="364"/>
        <v/>
      </c>
      <c r="I5782" s="1" t="str">
        <f t="shared" si="366"/>
        <v>威尔新数值1.06.xlsm!suitPower</v>
      </c>
    </row>
    <row r="5783" spans="1:9" x14ac:dyDescent="0.15">
      <c r="A5783" s="1">
        <v>5782</v>
      </c>
      <c r="B5783" s="1">
        <v>304091512</v>
      </c>
      <c r="C5783" s="1">
        <f t="shared" si="367"/>
        <v>21</v>
      </c>
      <c r="D5783" s="5">
        <f ca="1">IF(getQuality(B5783)&lt;4,getOtherMin(B5783,C5783,INDIRECT(J$2),INDIRECT(I5783),test),getMin(B5783,C5783,INDIRECT(J$2),INDIRECT(I5783),test))</f>
        <v>72.111111111111114</v>
      </c>
      <c r="E5783" s="5">
        <f ca="1">IF(getQuality(B5783)&lt;4,getOtherMax(B5783,C5783,INDIRECT(J$2),INDIRECT(I5783),test),getMax(B5783,C5783,INDIRECT(J$2),INDIRECT(I5783),test))</f>
        <v>80</v>
      </c>
      <c r="F5783" s="1" t="str">
        <f t="shared" si="365"/>
        <v>50</v>
      </c>
      <c r="G5783" s="1" t="str">
        <f t="shared" ca="1" si="364"/>
        <v/>
      </c>
      <c r="I5783" s="1" t="str">
        <f t="shared" si="366"/>
        <v>威尔新数值1.06.xlsm!suitPower</v>
      </c>
    </row>
    <row r="5784" spans="1:9" x14ac:dyDescent="0.15">
      <c r="A5784" s="1">
        <v>5783</v>
      </c>
      <c r="B5784" s="1">
        <v>304091512</v>
      </c>
      <c r="C5784" s="1">
        <f t="shared" si="367"/>
        <v>22</v>
      </c>
      <c r="D5784" s="5">
        <f ca="1">IF(getQuality(B5784)&lt;4,getOtherMin(B5784,C5784,INDIRECT(J$2),INDIRECT(I5784),test),getMin(B5784,C5784,INDIRECT(J$2),INDIRECT(I5784),test))</f>
        <v>72.111111111111114</v>
      </c>
      <c r="E5784" s="5">
        <f ca="1">IF(getQuality(B5784)&lt;4,getOtherMax(B5784,C5784,INDIRECT(J$2),INDIRECT(I5784),test),getMax(B5784,C5784,INDIRECT(J$2),INDIRECT(I5784),test))</f>
        <v>80</v>
      </c>
      <c r="F5784" s="1" t="str">
        <f t="shared" si="365"/>
        <v>50</v>
      </c>
      <c r="G5784" s="1" t="str">
        <f t="shared" ca="1" si="364"/>
        <v/>
      </c>
      <c r="I5784" s="1" t="str">
        <f t="shared" si="366"/>
        <v>威尔新数值1.06.xlsm!suitPower</v>
      </c>
    </row>
    <row r="5785" spans="1:9" x14ac:dyDescent="0.15">
      <c r="A5785" s="1">
        <v>5784</v>
      </c>
      <c r="B5785" s="1">
        <v>304091512</v>
      </c>
      <c r="C5785" s="1">
        <f t="shared" si="367"/>
        <v>23</v>
      </c>
      <c r="D5785" s="5">
        <f ca="1">IF(getQuality(B5785)&lt;4,getOtherMin(B5785,C5785,INDIRECT(J$2),INDIRECT(I5785),test),getMin(B5785,C5785,INDIRECT(J$2),INDIRECT(I5785),test))</f>
        <v>72.111111111111114</v>
      </c>
      <c r="E5785" s="5">
        <f ca="1">IF(getQuality(B5785)&lt;4,getOtherMax(B5785,C5785,INDIRECT(J$2),INDIRECT(I5785),test),getMax(B5785,C5785,INDIRECT(J$2),INDIRECT(I5785),test))</f>
        <v>80</v>
      </c>
      <c r="F5785" s="1" t="str">
        <f t="shared" si="365"/>
        <v>50</v>
      </c>
      <c r="G5785" s="1" t="str">
        <f t="shared" ca="1" si="364"/>
        <v/>
      </c>
      <c r="I5785" s="1" t="str">
        <f t="shared" si="366"/>
        <v>威尔新数值1.06.xlsm!suitPower</v>
      </c>
    </row>
    <row r="5786" spans="1:9" x14ac:dyDescent="0.15">
      <c r="A5786" s="1">
        <v>5785</v>
      </c>
      <c r="B5786" s="1">
        <v>104091313</v>
      </c>
      <c r="C5786" s="1">
        <f t="shared" si="367"/>
        <v>3</v>
      </c>
      <c r="D5786" s="5">
        <f ca="1">IF(getQuality(B5786)&lt;4,getOtherMin(B5786,C5786,INDIRECT(J$2),INDIRECT(I5786),test),getMin(B5786,C5786,INDIRECT(J$2),INDIRECT(I5786),test))</f>
        <v>329.28048273180752</v>
      </c>
      <c r="E5786" s="5">
        <f ca="1">IF(getQuality(B5786)&lt;4,getOtherMax(B5786,C5786,INDIRECT(J$2),INDIRECT(I5786),test),getMax(B5786,C5786,INDIRECT(J$2),INDIRECT(I5786),test))</f>
        <v>390.92443123182665</v>
      </c>
      <c r="F5786" s="1" t="str">
        <f t="shared" si="365"/>
        <v>50</v>
      </c>
      <c r="G5786" s="1" t="str">
        <f t="shared" ca="1" si="364"/>
        <v>1</v>
      </c>
      <c r="I5786" s="1" t="str">
        <f t="shared" si="366"/>
        <v>威尔新数值1.06.xlsm!suitPower</v>
      </c>
    </row>
    <row r="5787" spans="1:9" x14ac:dyDescent="0.15">
      <c r="A5787" s="1">
        <v>5786</v>
      </c>
      <c r="B5787" s="1">
        <v>104091313</v>
      </c>
      <c r="C5787" s="1">
        <f t="shared" si="367"/>
        <v>5</v>
      </c>
      <c r="D5787" s="5">
        <f ca="1">IF(getQuality(B5787)&lt;4,getOtherMin(B5787,C5787,INDIRECT(J$2),INDIRECT(I5787),test),getMin(B5787,C5787,INDIRECT(J$2),INDIRECT(I5787),test))</f>
        <v>56.698133333333331</v>
      </c>
      <c r="E5787" s="5">
        <f ca="1">IF(getQuality(B5787)&lt;4,getOtherMax(B5787,C5787,INDIRECT(J$2),INDIRECT(I5787),test),getMax(B5787,C5787,INDIRECT(J$2),INDIRECT(I5787),test))</f>
        <v>66.326700000000002</v>
      </c>
      <c r="F5787" s="1" t="str">
        <f t="shared" si="365"/>
        <v>50</v>
      </c>
      <c r="G5787" s="1" t="str">
        <f t="shared" ca="1" si="364"/>
        <v/>
      </c>
      <c r="I5787" s="1" t="str">
        <f t="shared" si="366"/>
        <v>威尔新数值1.06.xlsm!suitPower</v>
      </c>
    </row>
    <row r="5788" spans="1:9" x14ac:dyDescent="0.15">
      <c r="A5788" s="1">
        <v>5787</v>
      </c>
      <c r="B5788" s="1">
        <v>104091313</v>
      </c>
      <c r="C5788" s="1">
        <f t="shared" si="367"/>
        <v>7</v>
      </c>
      <c r="D5788" s="5">
        <f ca="1">IF(getQuality(B5788)&lt;4,getOtherMin(B5788,C5788,INDIRECT(J$2),INDIRECT(I5788),test),getMin(B5788,C5788,INDIRECT(J$2),INDIRECT(I5788),test))</f>
        <v>45.444444444444443</v>
      </c>
      <c r="E5788" s="5">
        <f ca="1">IF(getQuality(B5788)&lt;4,getOtherMax(B5788,C5788,INDIRECT(J$2),INDIRECT(I5788),test),getMax(B5788,C5788,INDIRECT(J$2),INDIRECT(I5788),test))</f>
        <v>50</v>
      </c>
      <c r="F5788" s="1" t="str">
        <f t="shared" si="365"/>
        <v>50</v>
      </c>
      <c r="G5788" s="1" t="str">
        <f t="shared" ca="1" si="364"/>
        <v/>
      </c>
      <c r="I5788" s="1" t="str">
        <f t="shared" si="366"/>
        <v>威尔新数值1.06.xlsm!suitPower</v>
      </c>
    </row>
    <row r="5789" spans="1:9" x14ac:dyDescent="0.15">
      <c r="A5789" s="1">
        <v>5788</v>
      </c>
      <c r="B5789" s="1">
        <v>104091313</v>
      </c>
      <c r="C5789" s="1">
        <f t="shared" si="367"/>
        <v>8</v>
      </c>
      <c r="D5789" s="5">
        <f ca="1">IF(getQuality(B5789)&lt;4,getOtherMin(B5789,C5789,INDIRECT(J$2),INDIRECT(I5789),test),getMin(B5789,C5789,INDIRECT(J$2),INDIRECT(I5789),test))</f>
        <v>134.33333333333334</v>
      </c>
      <c r="E5789" s="5">
        <f ca="1">IF(getQuality(B5789)&lt;4,getOtherMax(B5789,C5789,INDIRECT(J$2),INDIRECT(I5789),test),getMax(B5789,C5789,INDIRECT(J$2),INDIRECT(I5789),test))</f>
        <v>150</v>
      </c>
      <c r="F5789" s="1" t="str">
        <f t="shared" si="365"/>
        <v>50</v>
      </c>
      <c r="G5789" s="1" t="str">
        <f t="shared" ca="1" si="364"/>
        <v/>
      </c>
      <c r="I5789" s="1" t="str">
        <f t="shared" si="366"/>
        <v>威尔新数值1.06.xlsm!suitPower</v>
      </c>
    </row>
    <row r="5790" spans="1:9" x14ac:dyDescent="0.15">
      <c r="A5790" s="1">
        <v>5789</v>
      </c>
      <c r="B5790" s="1">
        <v>104091313</v>
      </c>
      <c r="C5790" s="1">
        <f t="shared" si="367"/>
        <v>9</v>
      </c>
      <c r="D5790" s="5">
        <f ca="1">IF(getQuality(B5790)&lt;4,getOtherMin(B5790,C5790,INDIRECT(J$2),INDIRECT(I5790),test),getMin(B5790,C5790,INDIRECT(J$2),INDIRECT(I5790),test))</f>
        <v>192.98930803257042</v>
      </c>
      <c r="E5790" s="5">
        <f ca="1">IF(getQuality(B5790)&lt;4,getOtherMax(B5790,C5790,INDIRECT(J$2),INDIRECT(I5790),test),getMax(B5790,C5790,INDIRECT(J$2),INDIRECT(I5790),test))</f>
        <v>228.6255656159133</v>
      </c>
      <c r="F5790" s="1" t="str">
        <f t="shared" si="365"/>
        <v>50</v>
      </c>
      <c r="G5790" s="1" t="str">
        <f t="shared" ca="1" si="364"/>
        <v/>
      </c>
      <c r="I5790" s="1" t="str">
        <f t="shared" si="366"/>
        <v>威尔新数值1.06.xlsm!suitPower</v>
      </c>
    </row>
    <row r="5791" spans="1:9" x14ac:dyDescent="0.15">
      <c r="A5791" s="1">
        <v>5790</v>
      </c>
      <c r="B5791" s="1">
        <v>104091313</v>
      </c>
      <c r="C5791" s="1">
        <f t="shared" si="367"/>
        <v>10</v>
      </c>
      <c r="D5791" s="5">
        <f ca="1">IF(getQuality(B5791)&lt;4,getOtherMin(B5791,C5791,INDIRECT(J$2),INDIRECT(I5791),test),getMin(B5791,C5791,INDIRECT(J$2),INDIRECT(I5791),test))</f>
        <v>231.38716963908482</v>
      </c>
      <c r="E5791" s="5">
        <f ca="1">IF(getQuality(B5791)&lt;4,getOtherMax(B5791,C5791,INDIRECT(J$2),INDIRECT(I5791),test),getMax(B5791,C5791,INDIRECT(J$2),INDIRECT(I5791),test))</f>
        <v>274.3506787390964</v>
      </c>
      <c r="F5791" s="1" t="str">
        <f t="shared" si="365"/>
        <v>50</v>
      </c>
      <c r="G5791" s="1" t="str">
        <f t="shared" ca="1" si="364"/>
        <v/>
      </c>
      <c r="I5791" s="1" t="str">
        <f t="shared" si="366"/>
        <v>威尔新数值1.06.xlsm!suitPower</v>
      </c>
    </row>
    <row r="5792" spans="1:9" x14ac:dyDescent="0.15">
      <c r="A5792" s="1">
        <v>5791</v>
      </c>
      <c r="B5792" s="1">
        <v>104091313</v>
      </c>
      <c r="C5792" s="1">
        <f t="shared" si="367"/>
        <v>11</v>
      </c>
      <c r="D5792" s="5">
        <f ca="1">IF(getQuality(B5792)&lt;4,getOtherMin(B5792,C5792,INDIRECT(J$2),INDIRECT(I5792),test),getMin(B5792,C5792,INDIRECT(J$2),INDIRECT(I5792),test))</f>
        <v>192.98930803257042</v>
      </c>
      <c r="E5792" s="5">
        <f ca="1">IF(getQuality(B5792)&lt;4,getOtherMax(B5792,C5792,INDIRECT(J$2),INDIRECT(I5792),test),getMax(B5792,C5792,INDIRECT(J$2),INDIRECT(I5792),test))</f>
        <v>228.6255656159133</v>
      </c>
      <c r="F5792" s="1" t="str">
        <f t="shared" si="365"/>
        <v>50</v>
      </c>
      <c r="G5792" s="1" t="str">
        <f t="shared" ca="1" si="364"/>
        <v/>
      </c>
      <c r="I5792" s="1" t="str">
        <f t="shared" si="366"/>
        <v>威尔新数值1.06.xlsm!suitPower</v>
      </c>
    </row>
    <row r="5793" spans="1:9" x14ac:dyDescent="0.15">
      <c r="A5793" s="1">
        <v>5792</v>
      </c>
      <c r="B5793" s="1">
        <v>104091313</v>
      </c>
      <c r="C5793" s="1">
        <f t="shared" si="367"/>
        <v>12</v>
      </c>
      <c r="D5793" s="5">
        <f ca="1">IF(getQuality(B5793)&lt;4,getOtherMin(B5793,C5793,INDIRECT(J$2),INDIRECT(I5793),test),getMin(B5793,C5793,INDIRECT(J$2),INDIRECT(I5793),test))</f>
        <v>192.98930803257042</v>
      </c>
      <c r="E5793" s="5">
        <f ca="1">IF(getQuality(B5793)&lt;4,getOtherMax(B5793,C5793,INDIRECT(J$2),INDIRECT(I5793),test),getMax(B5793,C5793,INDIRECT(J$2),INDIRECT(I5793),test))</f>
        <v>228.6255656159133</v>
      </c>
      <c r="F5793" s="1" t="str">
        <f t="shared" si="365"/>
        <v>50</v>
      </c>
      <c r="G5793" s="1" t="str">
        <f t="shared" ca="1" si="364"/>
        <v/>
      </c>
      <c r="I5793" s="1" t="str">
        <f t="shared" si="366"/>
        <v>威尔新数值1.06.xlsm!suitPower</v>
      </c>
    </row>
    <row r="5794" spans="1:9" x14ac:dyDescent="0.15">
      <c r="A5794" s="1">
        <v>5793</v>
      </c>
      <c r="B5794" s="1">
        <v>104091313</v>
      </c>
      <c r="C5794" s="1">
        <f t="shared" si="367"/>
        <v>13</v>
      </c>
      <c r="D5794" s="5">
        <f ca="1">IF(getQuality(B5794)&lt;4,getOtherMin(B5794,C5794,INDIRECT(J$2),INDIRECT(I5794),test),getMin(B5794,C5794,INDIRECT(J$2),INDIRECT(I5794),test))</f>
        <v>192.98930803257042</v>
      </c>
      <c r="E5794" s="5">
        <f ca="1">IF(getQuality(B5794)&lt;4,getOtherMax(B5794,C5794,INDIRECT(J$2),INDIRECT(I5794),test),getMax(B5794,C5794,INDIRECT(J$2),INDIRECT(I5794),test))</f>
        <v>228.6255656159133</v>
      </c>
      <c r="F5794" s="1" t="str">
        <f t="shared" si="365"/>
        <v>50</v>
      </c>
      <c r="G5794" s="1" t="str">
        <f t="shared" ca="1" si="364"/>
        <v/>
      </c>
      <c r="I5794" s="1" t="str">
        <f t="shared" si="366"/>
        <v>威尔新数值1.06.xlsm!suitPower</v>
      </c>
    </row>
    <row r="5795" spans="1:9" x14ac:dyDescent="0.15">
      <c r="A5795" s="1">
        <v>5794</v>
      </c>
      <c r="B5795" s="1">
        <v>104091313</v>
      </c>
      <c r="C5795" s="1">
        <f t="shared" si="367"/>
        <v>14</v>
      </c>
      <c r="D5795" s="5">
        <f ca="1">IF(getQuality(B5795)&lt;4,getOtherMin(B5795,C5795,INDIRECT(J$2),INDIRECT(I5795),test),getMin(B5795,C5795,INDIRECT(J$2),INDIRECT(I5795),test))</f>
        <v>192.98930803257042</v>
      </c>
      <c r="E5795" s="5">
        <f ca="1">IF(getQuality(B5795)&lt;4,getOtherMax(B5795,C5795,INDIRECT(J$2),INDIRECT(I5795),test),getMax(B5795,C5795,INDIRECT(J$2),INDIRECT(I5795),test))</f>
        <v>228.6255656159133</v>
      </c>
      <c r="F5795" s="1" t="str">
        <f t="shared" si="365"/>
        <v>50</v>
      </c>
      <c r="G5795" s="1" t="str">
        <f t="shared" ca="1" si="364"/>
        <v/>
      </c>
      <c r="I5795" s="1" t="str">
        <f t="shared" si="366"/>
        <v>威尔新数值1.06.xlsm!suitPower</v>
      </c>
    </row>
    <row r="5796" spans="1:9" x14ac:dyDescent="0.15">
      <c r="A5796" s="1">
        <v>5795</v>
      </c>
      <c r="B5796" s="1">
        <v>104091313</v>
      </c>
      <c r="C5796" s="1">
        <f t="shared" si="367"/>
        <v>15</v>
      </c>
      <c r="D5796" s="5">
        <f ca="1">IF(getQuality(B5796)&lt;4,getOtherMin(B5796,C5796,INDIRECT(J$2),INDIRECT(I5796),test),getMin(B5796,C5796,INDIRECT(J$2),INDIRECT(I5796),test))</f>
        <v>192.98930803257042</v>
      </c>
      <c r="E5796" s="5">
        <f ca="1">IF(getQuality(B5796)&lt;4,getOtherMax(B5796,C5796,INDIRECT(J$2),INDIRECT(I5796),test),getMax(B5796,C5796,INDIRECT(J$2),INDIRECT(I5796),test))</f>
        <v>228.6255656159133</v>
      </c>
      <c r="F5796" s="1" t="str">
        <f t="shared" si="365"/>
        <v>50</v>
      </c>
      <c r="G5796" s="1" t="str">
        <f t="shared" ca="1" si="364"/>
        <v/>
      </c>
      <c r="I5796" s="1" t="str">
        <f t="shared" si="366"/>
        <v>威尔新数值1.06.xlsm!suitPower</v>
      </c>
    </row>
    <row r="5797" spans="1:9" x14ac:dyDescent="0.15">
      <c r="A5797" s="1">
        <v>5796</v>
      </c>
      <c r="B5797" s="1">
        <v>104091313</v>
      </c>
      <c r="C5797" s="1">
        <f t="shared" si="367"/>
        <v>101</v>
      </c>
      <c r="D5797" s="5">
        <f ca="1">IF(getQuality(B5797)&lt;4,getOtherMin(B5797,C5797,INDIRECT(J$2),INDIRECT(I5797),test),getMin(B5797,C5797,INDIRECT(J$2),INDIRECT(I5797),test))</f>
        <v>0.16</v>
      </c>
      <c r="E5797" s="5">
        <f ca="1">IF(getQuality(B5797)&lt;4,getOtherMax(B5797,C5797,INDIRECT(J$2),INDIRECT(I5797),test),getMax(B5797,C5797,INDIRECT(J$2),INDIRECT(I5797),test))</f>
        <v>0.19</v>
      </c>
      <c r="F5797" s="1" t="str">
        <f t="shared" si="365"/>
        <v>50</v>
      </c>
      <c r="G5797" s="1" t="str">
        <f t="shared" ca="1" si="364"/>
        <v/>
      </c>
      <c r="I5797" s="1" t="str">
        <f t="shared" si="366"/>
        <v>威尔新数值1.06.xlsm!circlePer</v>
      </c>
    </row>
    <row r="5798" spans="1:9" x14ac:dyDescent="0.15">
      <c r="A5798" s="1">
        <v>5797</v>
      </c>
      <c r="B5798" s="1">
        <v>104091313</v>
      </c>
      <c r="C5798" s="1">
        <f t="shared" si="367"/>
        <v>102</v>
      </c>
      <c r="D5798" s="5">
        <f ca="1">IF(getQuality(B5798)&lt;4,getOtherMin(B5798,C5798,INDIRECT(J$2),INDIRECT(I5798),test),getMin(B5798,C5798,INDIRECT(J$2),INDIRECT(I5798),test))</f>
        <v>1.4</v>
      </c>
      <c r="E5798" s="5">
        <f ca="1">IF(getQuality(B5798)&lt;4,getOtherMax(B5798,C5798,INDIRECT(J$2),INDIRECT(I5798),test),getMax(B5798,C5798,INDIRECT(J$2),INDIRECT(I5798),test))</f>
        <v>1.8</v>
      </c>
      <c r="F5798" s="1" t="str">
        <f t="shared" si="365"/>
        <v>50</v>
      </c>
      <c r="G5798" s="1" t="str">
        <f t="shared" ca="1" si="364"/>
        <v/>
      </c>
      <c r="I5798" s="1" t="str">
        <f t="shared" si="366"/>
        <v>威尔新数值1.06.xlsm!circleValue</v>
      </c>
    </row>
    <row r="5799" spans="1:9" x14ac:dyDescent="0.15">
      <c r="A5799" s="1">
        <v>5798</v>
      </c>
      <c r="B5799" s="1">
        <v>104091313</v>
      </c>
      <c r="C5799" s="1">
        <f t="shared" si="367"/>
        <v>103</v>
      </c>
      <c r="D5799" s="5">
        <f ca="1">IF(getQuality(B5799)&lt;4,getOtherMin(B5799,C5799,INDIRECT(J$2),INDIRECT(I5799),test),getMin(B5799,C5799,INDIRECT(J$2),INDIRECT(I5799),test))</f>
        <v>0.16</v>
      </c>
      <c r="E5799" s="5">
        <f ca="1">IF(getQuality(B5799)&lt;4,getOtherMax(B5799,C5799,INDIRECT(J$2),INDIRECT(I5799),test),getMax(B5799,C5799,INDIRECT(J$2),INDIRECT(I5799),test))</f>
        <v>0.19</v>
      </c>
      <c r="F5799" s="1" t="str">
        <f t="shared" si="365"/>
        <v>50</v>
      </c>
      <c r="G5799" s="1" t="str">
        <f t="shared" ref="G5799:G5832" ca="1" si="368">getMust(B5799,C5799)</f>
        <v/>
      </c>
      <c r="I5799" s="1" t="str">
        <f t="shared" si="366"/>
        <v>威尔新数值1.06.xlsm!otherDamage</v>
      </c>
    </row>
    <row r="5800" spans="1:9" x14ac:dyDescent="0.15">
      <c r="A5800" s="1">
        <v>5799</v>
      </c>
      <c r="B5800" s="1">
        <v>104091313</v>
      </c>
      <c r="C5800" s="1">
        <f t="shared" si="367"/>
        <v>104</v>
      </c>
      <c r="D5800" s="5">
        <f ca="1">IF(getQuality(B5800)&lt;4,getOtherMin(B5800,C5800,INDIRECT(J$2),INDIRECT(I5800),test),getMin(B5800,C5800,INDIRECT(J$2),INDIRECT(I5800),test))</f>
        <v>0.15</v>
      </c>
      <c r="E5800" s="5">
        <f ca="1">IF(getQuality(B5800)&lt;4,getOtherMax(B5800,C5800,INDIRECT(J$2),INDIRECT(I5800),test),getMax(B5800,C5800,INDIRECT(J$2),INDIRECT(I5800),test))</f>
        <v>0.3</v>
      </c>
      <c r="F5800" s="1" t="str">
        <f t="shared" si="365"/>
        <v>50</v>
      </c>
      <c r="G5800" s="1" t="str">
        <f t="shared" ca="1" si="368"/>
        <v/>
      </c>
      <c r="I5800" s="1" t="str">
        <f t="shared" si="366"/>
        <v>威尔新数值1.06.xlsm!monsterDamage</v>
      </c>
    </row>
    <row r="5801" spans="1:9" x14ac:dyDescent="0.15">
      <c r="A5801" s="1">
        <v>5800</v>
      </c>
      <c r="B5801" s="1">
        <v>104091313</v>
      </c>
      <c r="C5801" s="1">
        <f t="shared" si="367"/>
        <v>105</v>
      </c>
      <c r="D5801" s="5">
        <f ca="1">IF(getQuality(B5801)&lt;4,getOtherMin(B5801,C5801,INDIRECT(J$2),INDIRECT(I5801),test),getMin(B5801,C5801,INDIRECT(J$2),INDIRECT(I5801),test))</f>
        <v>0.15</v>
      </c>
      <c r="E5801" s="5">
        <f ca="1">IF(getQuality(B5801)&lt;4,getOtherMax(B5801,C5801,INDIRECT(J$2),INDIRECT(I5801),test),getMax(B5801,C5801,INDIRECT(J$2),INDIRECT(I5801),test))</f>
        <v>0.3</v>
      </c>
      <c r="F5801" s="1" t="str">
        <f t="shared" si="365"/>
        <v>50</v>
      </c>
      <c r="G5801" s="1" t="str">
        <f t="shared" ca="1" si="368"/>
        <v/>
      </c>
      <c r="I5801" s="1" t="str">
        <f t="shared" si="366"/>
        <v>威尔新数值1.06.xlsm!monsterDamage</v>
      </c>
    </row>
    <row r="5802" spans="1:9" x14ac:dyDescent="0.15">
      <c r="A5802" s="1">
        <v>5801</v>
      </c>
      <c r="B5802" s="1">
        <v>104091313</v>
      </c>
      <c r="C5802" s="1">
        <f t="shared" si="367"/>
        <v>106</v>
      </c>
      <c r="D5802" s="5">
        <f ca="1">IF(getQuality(B5802)&lt;4,getOtherMin(B5802,C5802,INDIRECT(J$2),INDIRECT(I5802),test),getMin(B5802,C5802,INDIRECT(J$2),INDIRECT(I5802),test))</f>
        <v>0.15</v>
      </c>
      <c r="E5802" s="5">
        <f ca="1">IF(getQuality(B5802)&lt;4,getOtherMax(B5802,C5802,INDIRECT(J$2),INDIRECT(I5802),test),getMax(B5802,C5802,INDIRECT(J$2),INDIRECT(I5802),test))</f>
        <v>0.3</v>
      </c>
      <c r="F5802" s="1" t="str">
        <f t="shared" si="365"/>
        <v>50</v>
      </c>
      <c r="G5802" s="1" t="str">
        <f t="shared" ca="1" si="368"/>
        <v/>
      </c>
      <c r="I5802" s="1" t="str">
        <f t="shared" si="366"/>
        <v>威尔新数值1.06.xlsm!monsterDamage</v>
      </c>
    </row>
    <row r="5803" spans="1:9" x14ac:dyDescent="0.15">
      <c r="A5803" s="1">
        <v>5802</v>
      </c>
      <c r="B5803" s="1">
        <v>104091313</v>
      </c>
      <c r="C5803" s="1">
        <f t="shared" si="367"/>
        <v>107</v>
      </c>
      <c r="D5803" s="5">
        <f ca="1">IF(getQuality(B5803)&lt;4,getOtherMin(B5803,C5803,INDIRECT(J$2),INDIRECT(I5803),test),getMin(B5803,C5803,INDIRECT(J$2),INDIRECT(I5803),test))</f>
        <v>0.15</v>
      </c>
      <c r="E5803" s="5">
        <f ca="1">IF(getQuality(B5803)&lt;4,getOtherMax(B5803,C5803,INDIRECT(J$2),INDIRECT(I5803),test),getMax(B5803,C5803,INDIRECT(J$2),INDIRECT(I5803),test))</f>
        <v>0.3</v>
      </c>
      <c r="F5803" s="1" t="str">
        <f t="shared" si="365"/>
        <v>50</v>
      </c>
      <c r="G5803" s="1" t="str">
        <f t="shared" ca="1" si="368"/>
        <v/>
      </c>
      <c r="I5803" s="1" t="str">
        <f t="shared" si="366"/>
        <v>威尔新数值1.06.xlsm!monsterDamage</v>
      </c>
    </row>
    <row r="5804" spans="1:9" x14ac:dyDescent="0.15">
      <c r="A5804" s="1">
        <v>5803</v>
      </c>
      <c r="B5804" s="1">
        <v>104091313</v>
      </c>
      <c r="C5804" s="1">
        <f t="shared" si="367"/>
        <v>108</v>
      </c>
      <c r="D5804" s="5">
        <f ca="1">IF(getQuality(B5804)&lt;4,getOtherMin(B5804,C5804,INDIRECT(J$2),INDIRECT(I5804),test),getMin(B5804,C5804,INDIRECT(J$2),INDIRECT(I5804),test))</f>
        <v>0.15</v>
      </c>
      <c r="E5804" s="5">
        <f ca="1">IF(getQuality(B5804)&lt;4,getOtherMax(B5804,C5804,INDIRECT(J$2),INDIRECT(I5804),test),getMax(B5804,C5804,INDIRECT(J$2),INDIRECT(I5804),test))</f>
        <v>0.3</v>
      </c>
      <c r="F5804" s="1" t="str">
        <f t="shared" si="365"/>
        <v>50</v>
      </c>
      <c r="G5804" s="1" t="str">
        <f t="shared" ca="1" si="368"/>
        <v/>
      </c>
      <c r="I5804" s="1" t="str">
        <f t="shared" si="366"/>
        <v>威尔新数值1.06.xlsm!monsterDamage</v>
      </c>
    </row>
    <row r="5805" spans="1:9" x14ac:dyDescent="0.15">
      <c r="A5805" s="1">
        <v>5804</v>
      </c>
      <c r="B5805" s="1">
        <v>204091413</v>
      </c>
      <c r="C5805" s="1">
        <f t="shared" si="367"/>
        <v>1</v>
      </c>
      <c r="D5805" s="5">
        <f ca="1">IF(getQuality(B5805)&lt;4,getOtherMin(B5805,C5805,INDIRECT(J$2),INDIRECT(I5805),test),getMin(B5805,C5805,INDIRECT(J$2),INDIRECT(I5805),test))</f>
        <v>869.97777777777776</v>
      </c>
      <c r="E5805" s="5">
        <f ca="1">IF(getQuality(B5805)&lt;4,getOtherMax(B5805,C5805,INDIRECT(J$2),INDIRECT(I5805),test),getMax(B5805,C5805,INDIRECT(J$2),INDIRECT(I5805),test))</f>
        <v>1034.8</v>
      </c>
      <c r="F5805" s="1" t="str">
        <f t="shared" si="365"/>
        <v>50</v>
      </c>
      <c r="G5805" s="1" t="str">
        <f t="shared" ca="1" si="368"/>
        <v/>
      </c>
      <c r="I5805" s="1" t="str">
        <f t="shared" si="366"/>
        <v>威尔新数值1.06.xlsm!suitPower</v>
      </c>
    </row>
    <row r="5806" spans="1:9" x14ac:dyDescent="0.15">
      <c r="A5806" s="1">
        <v>5805</v>
      </c>
      <c r="B5806" s="1">
        <v>204091413</v>
      </c>
      <c r="C5806" s="1">
        <f t="shared" si="367"/>
        <v>2</v>
      </c>
      <c r="D5806" s="5">
        <f ca="1">IF(getQuality(B5806)&lt;4,getOtherMin(B5806,C5806,INDIRECT(J$2),INDIRECT(I5806),test),getMin(B5806,C5806,INDIRECT(J$2),INDIRECT(I5806),test))</f>
        <v>42.777777777777779</v>
      </c>
      <c r="E5806" s="5">
        <f ca="1">IF(getQuality(B5806)&lt;4,getOtherMax(B5806,C5806,INDIRECT(J$2),INDIRECT(I5806),test),getMax(B5806,C5806,INDIRECT(J$2),INDIRECT(I5806),test))</f>
        <v>49.75</v>
      </c>
      <c r="F5806" s="1" t="str">
        <f t="shared" si="365"/>
        <v>50</v>
      </c>
      <c r="G5806" s="1" t="str">
        <f t="shared" ca="1" si="368"/>
        <v/>
      </c>
      <c r="I5806" s="1" t="str">
        <f t="shared" si="366"/>
        <v>威尔新数值1.06.xlsm!suitPower</v>
      </c>
    </row>
    <row r="5807" spans="1:9" x14ac:dyDescent="0.15">
      <c r="A5807" s="1">
        <v>5806</v>
      </c>
      <c r="B5807" s="1">
        <v>204091413</v>
      </c>
      <c r="C5807" s="1">
        <f t="shared" si="367"/>
        <v>4</v>
      </c>
      <c r="D5807" s="5">
        <f ca="1">IF(getQuality(B5807)&lt;4,getOtherMin(B5807,C5807,INDIRECT(J$2),INDIRECT(I5807),test),getMin(B5807,C5807,INDIRECT(J$2),INDIRECT(I5807),test))</f>
        <v>334.33333333333331</v>
      </c>
      <c r="E5807" s="5">
        <f ca="1">IF(getQuality(B5807)&lt;4,getOtherMax(B5807,C5807,INDIRECT(J$2),INDIRECT(I5807),test),getMax(B5807,C5807,INDIRECT(J$2),INDIRECT(I5807),test))</f>
        <v>375</v>
      </c>
      <c r="F5807" s="1" t="str">
        <f t="shared" si="365"/>
        <v>50</v>
      </c>
      <c r="G5807" s="1" t="str">
        <f t="shared" ca="1" si="368"/>
        <v>1</v>
      </c>
      <c r="I5807" s="1" t="str">
        <f t="shared" si="366"/>
        <v>威尔新数值1.06.xlsm!suitPower</v>
      </c>
    </row>
    <row r="5808" spans="1:9" x14ac:dyDescent="0.15">
      <c r="A5808" s="1">
        <v>5807</v>
      </c>
      <c r="B5808" s="1">
        <v>204091413</v>
      </c>
      <c r="C5808" s="1">
        <f t="shared" si="367"/>
        <v>6</v>
      </c>
      <c r="D5808" s="5">
        <f ca="1">IF(getQuality(B5808)&lt;4,getOtherMin(B5808,C5808,INDIRECT(J$2),INDIRECT(I5808),test),getMin(B5808,C5808,INDIRECT(J$2),INDIRECT(I5808),test))</f>
        <v>334.33333333333331</v>
      </c>
      <c r="E5808" s="5">
        <f ca="1">IF(getQuality(B5808)&lt;4,getOtherMax(B5808,C5808,INDIRECT(J$2),INDIRECT(I5808),test),getMax(B5808,C5808,INDIRECT(J$2),INDIRECT(I5808),test))</f>
        <v>375</v>
      </c>
      <c r="F5808" s="1" t="str">
        <f t="shared" si="365"/>
        <v>50</v>
      </c>
      <c r="G5808" s="1" t="str">
        <f t="shared" ca="1" si="368"/>
        <v/>
      </c>
      <c r="I5808" s="1" t="str">
        <f t="shared" si="366"/>
        <v>威尔新数值1.06.xlsm!suitPower</v>
      </c>
    </row>
    <row r="5809" spans="1:9" x14ac:dyDescent="0.15">
      <c r="A5809" s="1">
        <v>5808</v>
      </c>
      <c r="B5809" s="1">
        <v>204091413</v>
      </c>
      <c r="C5809" s="1">
        <f t="shared" si="367"/>
        <v>7</v>
      </c>
      <c r="D5809" s="5">
        <f ca="1">IF(getQuality(B5809)&lt;4,getOtherMin(B5809,C5809,INDIRECT(J$2),INDIRECT(I5809),test),getMin(B5809,C5809,INDIRECT(J$2),INDIRECT(I5809),test))</f>
        <v>23.222222222222221</v>
      </c>
      <c r="E5809" s="5">
        <f ca="1">IF(getQuality(B5809)&lt;4,getOtherMax(B5809,C5809,INDIRECT(J$2),INDIRECT(I5809),test),getMax(B5809,C5809,INDIRECT(J$2),INDIRECT(I5809),test))</f>
        <v>25</v>
      </c>
      <c r="F5809" s="1" t="str">
        <f t="shared" si="365"/>
        <v>50</v>
      </c>
      <c r="G5809" s="1" t="str">
        <f t="shared" ca="1" si="368"/>
        <v/>
      </c>
      <c r="I5809" s="1" t="str">
        <f t="shared" si="366"/>
        <v>威尔新数值1.06.xlsm!suitPower</v>
      </c>
    </row>
    <row r="5810" spans="1:9" x14ac:dyDescent="0.15">
      <c r="A5810" s="1">
        <v>5809</v>
      </c>
      <c r="B5810" s="1">
        <v>204091413</v>
      </c>
      <c r="C5810" s="1">
        <f t="shared" si="367"/>
        <v>8</v>
      </c>
      <c r="D5810" s="5">
        <f ca="1">IF(getQuality(B5810)&lt;4,getOtherMin(B5810,C5810,INDIRECT(J$2),INDIRECT(I5810),test),getMin(B5810,C5810,INDIRECT(J$2),INDIRECT(I5810),test))</f>
        <v>67.666666666666671</v>
      </c>
      <c r="E5810" s="5">
        <f ca="1">IF(getQuality(B5810)&lt;4,getOtherMax(B5810,C5810,INDIRECT(J$2),INDIRECT(I5810),test),getMax(B5810,C5810,INDIRECT(J$2),INDIRECT(I5810),test))</f>
        <v>75</v>
      </c>
      <c r="F5810" s="1" t="str">
        <f t="shared" si="365"/>
        <v>50</v>
      </c>
      <c r="G5810" s="1" t="str">
        <f t="shared" ca="1" si="368"/>
        <v/>
      </c>
      <c r="I5810" s="1" t="str">
        <f t="shared" si="366"/>
        <v>威尔新数值1.06.xlsm!suitPower</v>
      </c>
    </row>
    <row r="5811" spans="1:9" x14ac:dyDescent="0.15">
      <c r="A5811" s="1">
        <v>5810</v>
      </c>
      <c r="B5811" s="1">
        <v>204091413</v>
      </c>
      <c r="C5811" s="1">
        <f t="shared" si="367"/>
        <v>16</v>
      </c>
      <c r="D5811" s="5">
        <f ca="1">IF(getQuality(B5811)&lt;4,getOtherMin(B5811,C5811,INDIRECT(J$2),INDIRECT(I5811),test),getMin(B5811,C5811,INDIRECT(J$2),INDIRECT(I5811),test))</f>
        <v>81</v>
      </c>
      <c r="E5811" s="5">
        <f ca="1">IF(getQuality(B5811)&lt;4,getOtherMax(B5811,C5811,INDIRECT(J$2),INDIRECT(I5811),test),getMax(B5811,C5811,INDIRECT(J$2),INDIRECT(I5811),test))</f>
        <v>90</v>
      </c>
      <c r="F5811" s="1" t="str">
        <f t="shared" si="365"/>
        <v>50</v>
      </c>
      <c r="G5811" s="1" t="str">
        <f t="shared" ca="1" si="368"/>
        <v/>
      </c>
      <c r="I5811" s="1" t="str">
        <f t="shared" si="366"/>
        <v>威尔新数值1.06.xlsm!suitPower</v>
      </c>
    </row>
    <row r="5812" spans="1:9" x14ac:dyDescent="0.15">
      <c r="A5812" s="1">
        <v>5811</v>
      </c>
      <c r="B5812" s="1">
        <v>204091413</v>
      </c>
      <c r="C5812" s="1">
        <f t="shared" si="367"/>
        <v>17</v>
      </c>
      <c r="D5812" s="5">
        <f ca="1">IF(getQuality(B5812)&lt;4,getOtherMin(B5812,C5812,INDIRECT(J$2),INDIRECT(I5812),test),getMin(B5812,C5812,INDIRECT(J$2),INDIRECT(I5812),test))</f>
        <v>81</v>
      </c>
      <c r="E5812" s="5">
        <f ca="1">IF(getQuality(B5812)&lt;4,getOtherMax(B5812,C5812,INDIRECT(J$2),INDIRECT(I5812),test),getMax(B5812,C5812,INDIRECT(J$2),INDIRECT(I5812),test))</f>
        <v>90</v>
      </c>
      <c r="F5812" s="1" t="str">
        <f t="shared" si="365"/>
        <v>50</v>
      </c>
      <c r="G5812" s="1" t="str">
        <f t="shared" ca="1" si="368"/>
        <v/>
      </c>
      <c r="I5812" s="1" t="str">
        <f t="shared" si="366"/>
        <v>威尔新数值1.06.xlsm!suitPower</v>
      </c>
    </row>
    <row r="5813" spans="1:9" x14ac:dyDescent="0.15">
      <c r="A5813" s="1">
        <v>5812</v>
      </c>
      <c r="B5813" s="1">
        <v>204091413</v>
      </c>
      <c r="C5813" s="1">
        <f t="shared" si="367"/>
        <v>18</v>
      </c>
      <c r="D5813" s="5">
        <f ca="1">IF(getQuality(B5813)&lt;4,getOtherMin(B5813,C5813,INDIRECT(J$2),INDIRECT(I5813),test),getMin(B5813,C5813,INDIRECT(J$2),INDIRECT(I5813),test))</f>
        <v>121.00000000000001</v>
      </c>
      <c r="E5813" s="5">
        <f ca="1">IF(getQuality(B5813)&lt;4,getOtherMax(B5813,C5813,INDIRECT(J$2),INDIRECT(I5813),test),getMax(B5813,C5813,INDIRECT(J$2),INDIRECT(I5813),test))</f>
        <v>135</v>
      </c>
      <c r="F5813" s="1" t="str">
        <f t="shared" si="365"/>
        <v>50</v>
      </c>
      <c r="G5813" s="1" t="str">
        <f t="shared" ca="1" si="368"/>
        <v/>
      </c>
      <c r="I5813" s="1" t="str">
        <f t="shared" si="366"/>
        <v>威尔新数值1.06.xlsm!suitPower</v>
      </c>
    </row>
    <row r="5814" spans="1:9" x14ac:dyDescent="0.15">
      <c r="A5814" s="1">
        <v>5813</v>
      </c>
      <c r="B5814" s="1">
        <v>204091413</v>
      </c>
      <c r="C5814" s="1">
        <f t="shared" si="367"/>
        <v>19</v>
      </c>
      <c r="D5814" s="5">
        <f ca="1">IF(getQuality(B5814)&lt;4,getOtherMin(B5814,C5814,INDIRECT(J$2),INDIRECT(I5814),test),getMin(B5814,C5814,INDIRECT(J$2),INDIRECT(I5814),test))</f>
        <v>81</v>
      </c>
      <c r="E5814" s="5">
        <f ca="1">IF(getQuality(B5814)&lt;4,getOtherMax(B5814,C5814,INDIRECT(J$2),INDIRECT(I5814),test),getMax(B5814,C5814,INDIRECT(J$2),INDIRECT(I5814),test))</f>
        <v>90</v>
      </c>
      <c r="F5814" s="1" t="str">
        <f t="shared" si="365"/>
        <v>50</v>
      </c>
      <c r="G5814" s="1" t="str">
        <f t="shared" ca="1" si="368"/>
        <v/>
      </c>
      <c r="I5814" s="1" t="str">
        <f t="shared" si="366"/>
        <v>威尔新数值1.06.xlsm!suitPower</v>
      </c>
    </row>
    <row r="5815" spans="1:9" x14ac:dyDescent="0.15">
      <c r="A5815" s="1">
        <v>5814</v>
      </c>
      <c r="B5815" s="1">
        <v>204091413</v>
      </c>
      <c r="C5815" s="1">
        <f t="shared" si="367"/>
        <v>20</v>
      </c>
      <c r="D5815" s="5">
        <f ca="1">IF(getQuality(B5815)&lt;4,getOtherMin(B5815,C5815,INDIRECT(J$2),INDIRECT(I5815),test),getMin(B5815,C5815,INDIRECT(J$2),INDIRECT(I5815),test))</f>
        <v>81</v>
      </c>
      <c r="E5815" s="5">
        <f ca="1">IF(getQuality(B5815)&lt;4,getOtherMax(B5815,C5815,INDIRECT(J$2),INDIRECT(I5815),test),getMax(B5815,C5815,INDIRECT(J$2),INDIRECT(I5815),test))</f>
        <v>90</v>
      </c>
      <c r="F5815" s="1" t="str">
        <f t="shared" si="365"/>
        <v>50</v>
      </c>
      <c r="G5815" s="1" t="str">
        <f t="shared" ca="1" si="368"/>
        <v/>
      </c>
      <c r="I5815" s="1" t="str">
        <f t="shared" si="366"/>
        <v>威尔新数值1.06.xlsm!suitPower</v>
      </c>
    </row>
    <row r="5816" spans="1:9" x14ac:dyDescent="0.15">
      <c r="A5816" s="1">
        <v>5815</v>
      </c>
      <c r="B5816" s="1">
        <v>204091413</v>
      </c>
      <c r="C5816" s="1">
        <f t="shared" si="367"/>
        <v>21</v>
      </c>
      <c r="D5816" s="5">
        <f ca="1">IF(getQuality(B5816)&lt;4,getOtherMin(B5816,C5816,INDIRECT(J$2),INDIRECT(I5816),test),getMin(B5816,C5816,INDIRECT(J$2),INDIRECT(I5816),test))</f>
        <v>81</v>
      </c>
      <c r="E5816" s="5">
        <f ca="1">IF(getQuality(B5816)&lt;4,getOtherMax(B5816,C5816,INDIRECT(J$2),INDIRECT(I5816),test),getMax(B5816,C5816,INDIRECT(J$2),INDIRECT(I5816),test))</f>
        <v>90</v>
      </c>
      <c r="F5816" s="1" t="str">
        <f t="shared" si="365"/>
        <v>50</v>
      </c>
      <c r="G5816" s="1" t="str">
        <f t="shared" ca="1" si="368"/>
        <v/>
      </c>
      <c r="I5816" s="1" t="str">
        <f t="shared" si="366"/>
        <v>威尔新数值1.06.xlsm!suitPower</v>
      </c>
    </row>
    <row r="5817" spans="1:9" x14ac:dyDescent="0.15">
      <c r="A5817" s="1">
        <v>5816</v>
      </c>
      <c r="B5817" s="1">
        <v>204091413</v>
      </c>
      <c r="C5817" s="1">
        <f t="shared" si="367"/>
        <v>22</v>
      </c>
      <c r="D5817" s="5">
        <f ca="1">IF(getQuality(B5817)&lt;4,getOtherMin(B5817,C5817,INDIRECT(J$2),INDIRECT(I5817),test),getMin(B5817,C5817,INDIRECT(J$2),INDIRECT(I5817),test))</f>
        <v>81</v>
      </c>
      <c r="E5817" s="5">
        <f ca="1">IF(getQuality(B5817)&lt;4,getOtherMax(B5817,C5817,INDIRECT(J$2),INDIRECT(I5817),test),getMax(B5817,C5817,INDIRECT(J$2),INDIRECT(I5817),test))</f>
        <v>90</v>
      </c>
      <c r="F5817" s="1" t="str">
        <f t="shared" si="365"/>
        <v>50</v>
      </c>
      <c r="G5817" s="1" t="str">
        <f t="shared" ca="1" si="368"/>
        <v/>
      </c>
      <c r="I5817" s="1" t="str">
        <f t="shared" si="366"/>
        <v>威尔新数值1.06.xlsm!suitPower</v>
      </c>
    </row>
    <row r="5818" spans="1:9" x14ac:dyDescent="0.15">
      <c r="A5818" s="1">
        <v>5817</v>
      </c>
      <c r="B5818" s="1">
        <v>204091413</v>
      </c>
      <c r="C5818" s="1">
        <f t="shared" si="367"/>
        <v>23</v>
      </c>
      <c r="D5818" s="5">
        <f ca="1">IF(getQuality(B5818)&lt;4,getOtherMin(B5818,C5818,INDIRECT(J$2),INDIRECT(I5818),test),getMin(B5818,C5818,INDIRECT(J$2),INDIRECT(I5818),test))</f>
        <v>81</v>
      </c>
      <c r="E5818" s="5">
        <f ca="1">IF(getQuality(B5818)&lt;4,getOtherMax(B5818,C5818,INDIRECT(J$2),INDIRECT(I5818),test),getMax(B5818,C5818,INDIRECT(J$2),INDIRECT(I5818),test))</f>
        <v>90</v>
      </c>
      <c r="F5818" s="1" t="str">
        <f t="shared" si="365"/>
        <v>50</v>
      </c>
      <c r="G5818" s="1" t="str">
        <f t="shared" ca="1" si="368"/>
        <v/>
      </c>
      <c r="I5818" s="1" t="str">
        <f t="shared" si="366"/>
        <v>威尔新数值1.06.xlsm!suitPower</v>
      </c>
    </row>
    <row r="5819" spans="1:9" x14ac:dyDescent="0.15">
      <c r="A5819" s="1">
        <v>5818</v>
      </c>
      <c r="B5819" s="1">
        <v>304091513</v>
      </c>
      <c r="C5819" s="1">
        <f t="shared" si="367"/>
        <v>1</v>
      </c>
      <c r="D5819" s="5">
        <f ca="1">IF(getQuality(B5819)&lt;4,getOtherMin(B5819,C5819,INDIRECT(J$2),INDIRECT(I5819),test),getMin(B5819,C5819,INDIRECT(J$2),INDIRECT(I5819),test))</f>
        <v>869.97777777777776</v>
      </c>
      <c r="E5819" s="5">
        <f ca="1">IF(getQuality(B5819)&lt;4,getOtherMax(B5819,C5819,INDIRECT(J$2),INDIRECT(I5819),test),getMax(B5819,C5819,INDIRECT(J$2),INDIRECT(I5819),test))</f>
        <v>1034.8</v>
      </c>
      <c r="F5819" s="1" t="str">
        <f t="shared" si="365"/>
        <v>50</v>
      </c>
      <c r="G5819" s="1" t="str">
        <f t="shared" ca="1" si="368"/>
        <v/>
      </c>
      <c r="I5819" s="1" t="str">
        <f t="shared" si="366"/>
        <v>威尔新数值1.06.xlsm!suitPower</v>
      </c>
    </row>
    <row r="5820" spans="1:9" x14ac:dyDescent="0.15">
      <c r="A5820" s="1">
        <v>5819</v>
      </c>
      <c r="B5820" s="1">
        <v>304091513</v>
      </c>
      <c r="C5820" s="1">
        <f t="shared" si="367"/>
        <v>2</v>
      </c>
      <c r="D5820" s="5">
        <f ca="1">IF(getQuality(B5820)&lt;4,getOtherMin(B5820,C5820,INDIRECT(J$2),INDIRECT(I5820),test),getMin(B5820,C5820,INDIRECT(J$2),INDIRECT(I5820),test))</f>
        <v>42.777777777777779</v>
      </c>
      <c r="E5820" s="5">
        <f ca="1">IF(getQuality(B5820)&lt;4,getOtherMax(B5820,C5820,INDIRECT(J$2),INDIRECT(I5820),test),getMax(B5820,C5820,INDIRECT(J$2),INDIRECT(I5820),test))</f>
        <v>49.75</v>
      </c>
      <c r="F5820" s="1" t="str">
        <f t="shared" si="365"/>
        <v>50</v>
      </c>
      <c r="G5820" s="1" t="str">
        <f t="shared" ca="1" si="368"/>
        <v/>
      </c>
      <c r="I5820" s="1" t="str">
        <f t="shared" si="366"/>
        <v>威尔新数值1.06.xlsm!suitPower</v>
      </c>
    </row>
    <row r="5821" spans="1:9" x14ac:dyDescent="0.15">
      <c r="A5821" s="1">
        <v>5820</v>
      </c>
      <c r="B5821" s="1">
        <v>304091513</v>
      </c>
      <c r="C5821" s="1">
        <f t="shared" si="367"/>
        <v>4</v>
      </c>
      <c r="D5821" s="5">
        <f ca="1">IF(getQuality(B5821)&lt;4,getOtherMin(B5821,C5821,INDIRECT(J$2),INDIRECT(I5821),test),getMin(B5821,C5821,INDIRECT(J$2),INDIRECT(I5821),test))</f>
        <v>334.33333333333331</v>
      </c>
      <c r="E5821" s="5">
        <f ca="1">IF(getQuality(B5821)&lt;4,getOtherMax(B5821,C5821,INDIRECT(J$2),INDIRECT(I5821),test),getMax(B5821,C5821,INDIRECT(J$2),INDIRECT(I5821),test))</f>
        <v>375</v>
      </c>
      <c r="F5821" s="1" t="str">
        <f t="shared" si="365"/>
        <v>50</v>
      </c>
      <c r="G5821" s="1" t="str">
        <f t="shared" ca="1" si="368"/>
        <v>1</v>
      </c>
      <c r="I5821" s="1" t="str">
        <f t="shared" si="366"/>
        <v>威尔新数值1.06.xlsm!suitPower</v>
      </c>
    </row>
    <row r="5822" spans="1:9" x14ac:dyDescent="0.15">
      <c r="A5822" s="1">
        <v>5821</v>
      </c>
      <c r="B5822" s="1">
        <v>304091513</v>
      </c>
      <c r="C5822" s="1">
        <f t="shared" si="367"/>
        <v>6</v>
      </c>
      <c r="D5822" s="5">
        <f ca="1">IF(getQuality(B5822)&lt;4,getOtherMin(B5822,C5822,INDIRECT(J$2),INDIRECT(I5822),test),getMin(B5822,C5822,INDIRECT(J$2),INDIRECT(I5822),test))</f>
        <v>334.33333333333331</v>
      </c>
      <c r="E5822" s="5">
        <f ca="1">IF(getQuality(B5822)&lt;4,getOtherMax(B5822,C5822,INDIRECT(J$2),INDIRECT(I5822),test),getMax(B5822,C5822,INDIRECT(J$2),INDIRECT(I5822),test))</f>
        <v>375</v>
      </c>
      <c r="F5822" s="1" t="str">
        <f t="shared" si="365"/>
        <v>50</v>
      </c>
      <c r="G5822" s="1" t="str">
        <f t="shared" ca="1" si="368"/>
        <v/>
      </c>
      <c r="I5822" s="1" t="str">
        <f t="shared" si="366"/>
        <v>威尔新数值1.06.xlsm!suitPower</v>
      </c>
    </row>
    <row r="5823" spans="1:9" x14ac:dyDescent="0.15">
      <c r="A5823" s="1">
        <v>5822</v>
      </c>
      <c r="B5823" s="1">
        <v>304091513</v>
      </c>
      <c r="C5823" s="1">
        <f t="shared" si="367"/>
        <v>7</v>
      </c>
      <c r="D5823" s="5">
        <f ca="1">IF(getQuality(B5823)&lt;4,getOtherMin(B5823,C5823,INDIRECT(J$2),INDIRECT(I5823),test),getMin(B5823,C5823,INDIRECT(J$2),INDIRECT(I5823),test))</f>
        <v>23.222222222222221</v>
      </c>
      <c r="E5823" s="5">
        <f ca="1">IF(getQuality(B5823)&lt;4,getOtherMax(B5823,C5823,INDIRECT(J$2),INDIRECT(I5823),test),getMax(B5823,C5823,INDIRECT(J$2),INDIRECT(I5823),test))</f>
        <v>25</v>
      </c>
      <c r="F5823" s="1" t="str">
        <f t="shared" si="365"/>
        <v>50</v>
      </c>
      <c r="G5823" s="1" t="str">
        <f t="shared" ca="1" si="368"/>
        <v/>
      </c>
      <c r="I5823" s="1" t="str">
        <f t="shared" si="366"/>
        <v>威尔新数值1.06.xlsm!suitPower</v>
      </c>
    </row>
    <row r="5824" spans="1:9" x14ac:dyDescent="0.15">
      <c r="A5824" s="1">
        <v>5823</v>
      </c>
      <c r="B5824" s="1">
        <v>304091513</v>
      </c>
      <c r="C5824" s="1">
        <f t="shared" si="367"/>
        <v>8</v>
      </c>
      <c r="D5824" s="5">
        <f ca="1">IF(getQuality(B5824)&lt;4,getOtherMin(B5824,C5824,INDIRECT(J$2),INDIRECT(I5824),test),getMin(B5824,C5824,INDIRECT(J$2),INDIRECT(I5824),test))</f>
        <v>67.666666666666671</v>
      </c>
      <c r="E5824" s="5">
        <f ca="1">IF(getQuality(B5824)&lt;4,getOtherMax(B5824,C5824,INDIRECT(J$2),INDIRECT(I5824),test),getMax(B5824,C5824,INDIRECT(J$2),INDIRECT(I5824),test))</f>
        <v>75</v>
      </c>
      <c r="F5824" s="1" t="str">
        <f t="shared" si="365"/>
        <v>50</v>
      </c>
      <c r="G5824" s="1" t="str">
        <f t="shared" ca="1" si="368"/>
        <v/>
      </c>
      <c r="I5824" s="1" t="str">
        <f t="shared" si="366"/>
        <v>威尔新数值1.06.xlsm!suitPower</v>
      </c>
    </row>
    <row r="5825" spans="1:9" x14ac:dyDescent="0.15">
      <c r="A5825" s="1">
        <v>5824</v>
      </c>
      <c r="B5825" s="1">
        <v>304091513</v>
      </c>
      <c r="C5825" s="1">
        <f t="shared" si="367"/>
        <v>16</v>
      </c>
      <c r="D5825" s="5">
        <f ca="1">IF(getQuality(B5825)&lt;4,getOtherMin(B5825,C5825,INDIRECT(J$2),INDIRECT(I5825),test),getMin(B5825,C5825,INDIRECT(J$2),INDIRECT(I5825),test))</f>
        <v>81</v>
      </c>
      <c r="E5825" s="5">
        <f ca="1">IF(getQuality(B5825)&lt;4,getOtherMax(B5825,C5825,INDIRECT(J$2),INDIRECT(I5825),test),getMax(B5825,C5825,INDIRECT(J$2),INDIRECT(I5825),test))</f>
        <v>90</v>
      </c>
      <c r="F5825" s="1" t="str">
        <f t="shared" si="365"/>
        <v>50</v>
      </c>
      <c r="G5825" s="1" t="str">
        <f t="shared" ca="1" si="368"/>
        <v/>
      </c>
      <c r="I5825" s="1" t="str">
        <f t="shared" si="366"/>
        <v>威尔新数值1.06.xlsm!suitPower</v>
      </c>
    </row>
    <row r="5826" spans="1:9" x14ac:dyDescent="0.15">
      <c r="A5826" s="1">
        <v>5825</v>
      </c>
      <c r="B5826" s="1">
        <v>304091513</v>
      </c>
      <c r="C5826" s="1">
        <f t="shared" si="367"/>
        <v>17</v>
      </c>
      <c r="D5826" s="5">
        <f ca="1">IF(getQuality(B5826)&lt;4,getOtherMin(B5826,C5826,INDIRECT(J$2),INDIRECT(I5826),test),getMin(B5826,C5826,INDIRECT(J$2),INDIRECT(I5826),test))</f>
        <v>81</v>
      </c>
      <c r="E5826" s="5">
        <f ca="1">IF(getQuality(B5826)&lt;4,getOtherMax(B5826,C5826,INDIRECT(J$2),INDIRECT(I5826),test),getMax(B5826,C5826,INDIRECT(J$2),INDIRECT(I5826),test))</f>
        <v>90</v>
      </c>
      <c r="F5826" s="1" t="str">
        <f t="shared" si="365"/>
        <v>50</v>
      </c>
      <c r="G5826" s="1" t="str">
        <f t="shared" ca="1" si="368"/>
        <v/>
      </c>
      <c r="I5826" s="1" t="str">
        <f t="shared" si="366"/>
        <v>威尔新数值1.06.xlsm!suitPower</v>
      </c>
    </row>
    <row r="5827" spans="1:9" x14ac:dyDescent="0.15">
      <c r="A5827" s="1">
        <v>5826</v>
      </c>
      <c r="B5827" s="1">
        <v>304091513</v>
      </c>
      <c r="C5827" s="1">
        <f t="shared" si="367"/>
        <v>18</v>
      </c>
      <c r="D5827" s="5">
        <f ca="1">IF(getQuality(B5827)&lt;4,getOtherMin(B5827,C5827,INDIRECT(J$2),INDIRECT(I5827),test),getMin(B5827,C5827,INDIRECT(J$2),INDIRECT(I5827),test))</f>
        <v>121.00000000000001</v>
      </c>
      <c r="E5827" s="5">
        <f ca="1">IF(getQuality(B5827)&lt;4,getOtherMax(B5827,C5827,INDIRECT(J$2),INDIRECT(I5827),test),getMax(B5827,C5827,INDIRECT(J$2),INDIRECT(I5827),test))</f>
        <v>135</v>
      </c>
      <c r="F5827" s="1" t="str">
        <f t="shared" si="365"/>
        <v>50</v>
      </c>
      <c r="G5827" s="1" t="str">
        <f t="shared" ca="1" si="368"/>
        <v/>
      </c>
      <c r="I5827" s="1" t="str">
        <f t="shared" si="366"/>
        <v>威尔新数值1.06.xlsm!suitPower</v>
      </c>
    </row>
    <row r="5828" spans="1:9" x14ac:dyDescent="0.15">
      <c r="A5828" s="1">
        <v>5827</v>
      </c>
      <c r="B5828" s="1">
        <v>304091513</v>
      </c>
      <c r="C5828" s="1">
        <f t="shared" si="367"/>
        <v>19</v>
      </c>
      <c r="D5828" s="5">
        <f ca="1">IF(getQuality(B5828)&lt;4,getOtherMin(B5828,C5828,INDIRECT(J$2),INDIRECT(I5828),test),getMin(B5828,C5828,INDIRECT(J$2),INDIRECT(I5828),test))</f>
        <v>81</v>
      </c>
      <c r="E5828" s="5">
        <f ca="1">IF(getQuality(B5828)&lt;4,getOtherMax(B5828,C5828,INDIRECT(J$2),INDIRECT(I5828),test),getMax(B5828,C5828,INDIRECT(J$2),INDIRECT(I5828),test))</f>
        <v>90</v>
      </c>
      <c r="F5828" s="1" t="str">
        <f t="shared" si="365"/>
        <v>50</v>
      </c>
      <c r="G5828" s="1" t="str">
        <f t="shared" ca="1" si="368"/>
        <v/>
      </c>
      <c r="I5828" s="1" t="str">
        <f t="shared" si="366"/>
        <v>威尔新数值1.06.xlsm!suitPower</v>
      </c>
    </row>
    <row r="5829" spans="1:9" x14ac:dyDescent="0.15">
      <c r="A5829" s="1">
        <v>5828</v>
      </c>
      <c r="B5829" s="1">
        <v>304091513</v>
      </c>
      <c r="C5829" s="1">
        <f t="shared" si="367"/>
        <v>20</v>
      </c>
      <c r="D5829" s="5">
        <f ca="1">IF(getQuality(B5829)&lt;4,getOtherMin(B5829,C5829,INDIRECT(J$2),INDIRECT(I5829),test),getMin(B5829,C5829,INDIRECT(J$2),INDIRECT(I5829),test))</f>
        <v>81</v>
      </c>
      <c r="E5829" s="5">
        <f ca="1">IF(getQuality(B5829)&lt;4,getOtherMax(B5829,C5829,INDIRECT(J$2),INDIRECT(I5829),test),getMax(B5829,C5829,INDIRECT(J$2),INDIRECT(I5829),test))</f>
        <v>90</v>
      </c>
      <c r="F5829" s="1" t="str">
        <f t="shared" si="365"/>
        <v>50</v>
      </c>
      <c r="G5829" s="1" t="str">
        <f t="shared" ca="1" si="368"/>
        <v/>
      </c>
      <c r="I5829" s="1" t="str">
        <f t="shared" si="366"/>
        <v>威尔新数值1.06.xlsm!suitPower</v>
      </c>
    </row>
    <row r="5830" spans="1:9" x14ac:dyDescent="0.15">
      <c r="A5830" s="1">
        <v>5829</v>
      </c>
      <c r="B5830" s="1">
        <v>304091513</v>
      </c>
      <c r="C5830" s="1">
        <f t="shared" si="367"/>
        <v>21</v>
      </c>
      <c r="D5830" s="5">
        <f ca="1">IF(getQuality(B5830)&lt;4,getOtherMin(B5830,C5830,INDIRECT(J$2),INDIRECT(I5830),test),getMin(B5830,C5830,INDIRECT(J$2),INDIRECT(I5830),test))</f>
        <v>81</v>
      </c>
      <c r="E5830" s="5">
        <f ca="1">IF(getQuality(B5830)&lt;4,getOtherMax(B5830,C5830,INDIRECT(J$2),INDIRECT(I5830),test),getMax(B5830,C5830,INDIRECT(J$2),INDIRECT(I5830),test))</f>
        <v>90</v>
      </c>
      <c r="F5830" s="1" t="str">
        <f t="shared" si="365"/>
        <v>50</v>
      </c>
      <c r="G5830" s="1" t="str">
        <f t="shared" ca="1" si="368"/>
        <v/>
      </c>
      <c r="I5830" s="1" t="str">
        <f t="shared" si="366"/>
        <v>威尔新数值1.06.xlsm!suitPower</v>
      </c>
    </row>
    <row r="5831" spans="1:9" x14ac:dyDescent="0.15">
      <c r="A5831" s="1">
        <v>5830</v>
      </c>
      <c r="B5831" s="1">
        <v>304091513</v>
      </c>
      <c r="C5831" s="1">
        <f t="shared" si="367"/>
        <v>22</v>
      </c>
      <c r="D5831" s="5">
        <f ca="1">IF(getQuality(B5831)&lt;4,getOtherMin(B5831,C5831,INDIRECT(J$2),INDIRECT(I5831),test),getMin(B5831,C5831,INDIRECT(J$2),INDIRECT(I5831),test))</f>
        <v>81</v>
      </c>
      <c r="E5831" s="5">
        <f ca="1">IF(getQuality(B5831)&lt;4,getOtherMax(B5831,C5831,INDIRECT(J$2),INDIRECT(I5831),test),getMax(B5831,C5831,INDIRECT(J$2),INDIRECT(I5831),test))</f>
        <v>90</v>
      </c>
      <c r="F5831" s="1" t="str">
        <f t="shared" si="365"/>
        <v>50</v>
      </c>
      <c r="G5831" s="1" t="str">
        <f t="shared" ca="1" si="368"/>
        <v/>
      </c>
      <c r="I5831" s="1" t="str">
        <f t="shared" si="366"/>
        <v>威尔新数值1.06.xlsm!suitPower</v>
      </c>
    </row>
    <row r="5832" spans="1:9" x14ac:dyDescent="0.15">
      <c r="A5832" s="1">
        <v>5831</v>
      </c>
      <c r="B5832" s="1">
        <v>304091513</v>
      </c>
      <c r="C5832" s="1">
        <f t="shared" si="367"/>
        <v>23</v>
      </c>
      <c r="D5832" s="5">
        <f ca="1">IF(getQuality(B5832)&lt;4,getOtherMin(B5832,C5832,INDIRECT(J$2),INDIRECT(I5832),test),getMin(B5832,C5832,INDIRECT(J$2),INDIRECT(I5832),test))</f>
        <v>81</v>
      </c>
      <c r="E5832" s="5">
        <f ca="1">IF(getQuality(B5832)&lt;4,getOtherMax(B5832,C5832,INDIRECT(J$2),INDIRECT(I5832),test),getMax(B5832,C5832,INDIRECT(J$2),INDIRECT(I5832),test))</f>
        <v>90</v>
      </c>
      <c r="F5832" s="1" t="str">
        <f t="shared" ref="F5832" si="369">getper(B5832,C5832)</f>
        <v>50</v>
      </c>
      <c r="G5832" s="1" t="str">
        <f t="shared" ca="1" si="368"/>
        <v/>
      </c>
      <c r="I5832" s="1" t="str">
        <f t="shared" ref="I5832" si="370">IF(C5832&lt;100,VLOOKUP(C5832,test,3,FALSE),VLOOKUP(C5832,test1,3,FALSE))</f>
        <v>威尔新数值1.06.xlsm!suitPower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10</xdr:col>
                <xdr:colOff>638175</xdr:colOff>
                <xdr:row>0</xdr:row>
                <xdr:rowOff>114300</xdr:rowOff>
              </from>
              <to>
                <xdr:col>13</xdr:col>
                <xdr:colOff>447675</xdr:colOff>
                <xdr:row>2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item</vt:lpstr>
      <vt:lpstr>element</vt:lpstr>
      <vt:lpstr>test</vt:lpstr>
      <vt:lpstr>test1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2014-07-11T02:11:04Z</dcterms:modified>
</cp:coreProperties>
</file>