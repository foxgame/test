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test\新建文件夹 (2)\"/>
    </mc:Choice>
  </mc:AlternateContent>
  <bookViews>
    <workbookView xWindow="0" yWindow="0" windowWidth="21600" windowHeight="9735" activeTab="3"/>
  </bookViews>
  <sheets>
    <sheet name="公式" sheetId="4" r:id="rId1"/>
    <sheet name="伤害减免" sheetId="10" r:id="rId2"/>
    <sheet name="职业闪避" sheetId="9" r:id="rId3"/>
    <sheet name="平衡" sheetId="6" r:id="rId4"/>
    <sheet name="职业基础" sheetId="14" r:id="rId5"/>
    <sheet name="职业" sheetId="8" r:id="rId6"/>
    <sheet name="装备" sheetId="5" r:id="rId7"/>
    <sheet name="装备名称" sheetId="11" r:id="rId8"/>
    <sheet name="装备明细" sheetId="13" r:id="rId9"/>
    <sheet name="Sheet2" sheetId="12" r:id="rId10"/>
  </sheets>
  <functionGroups builtInGroupCount="18"/>
  <definedNames>
    <definedName name="baseBalance">平衡!$B$2:$E$15</definedName>
    <definedName name="baseBalance2">平衡!$C$2:$E$15</definedName>
    <definedName name="circlePer">装备!$B$49:$F$85</definedName>
    <definedName name="circleValue">装备!$H$49:$L$85</definedName>
    <definedName name="damageLessBase">伤害减免!$B$2:$O$101</definedName>
    <definedName name="equipmentDistribution">平衡!$H$41:$AN$44</definedName>
    <definedName name="equipmentPower">装备!$B$14:$AB$27</definedName>
    <definedName name="equipmentQuality">装备!$B$2:$E$6</definedName>
    <definedName name="monsterDamage">装备!$T$49:$X$85</definedName>
    <definedName name="nameBad">装备名称!$C$15:$R$24</definedName>
    <definedName name="nameLegend">装备名称!$C$29:$R$38</definedName>
    <definedName name="nameMagic">装备名称!$C$2:$R$11</definedName>
    <definedName name="nameSuit">装备名称!$C$42:$H$55</definedName>
    <definedName name="otherDamage">装备!$N$49:$R$85</definedName>
    <definedName name="powerDistribution">平衡!$B$19:$D$125</definedName>
    <definedName name="suitPower">装备!$B$31:$AH$45</definedName>
    <definedName name="weaponCO">平衡!$I$2:$Q$15</definedName>
    <definedName name="weaponM_P">装备!$F$94:$I$106</definedName>
  </definedNames>
  <calcPr calcId="152511" calcMode="manual"/>
</workbook>
</file>

<file path=xl/calcChain.xml><?xml version="1.0" encoding="utf-8"?>
<calcChain xmlns="http://schemas.openxmlformats.org/spreadsheetml/2006/main">
  <c r="D120" i="6" l="1"/>
  <c r="D121" i="6" s="1"/>
  <c r="D122" i="6" s="1"/>
  <c r="D123" i="6" s="1"/>
  <c r="D124" i="6" s="1"/>
  <c r="D125" i="6" s="1"/>
  <c r="D22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I220" i="13"/>
  <c r="I9" i="13"/>
  <c r="I265" i="13"/>
  <c r="I58" i="13"/>
  <c r="I314" i="13"/>
  <c r="I295" i="13"/>
  <c r="I363" i="13"/>
  <c r="I279" i="13"/>
  <c r="I256" i="13"/>
  <c r="I45" i="13"/>
  <c r="I301" i="13"/>
  <c r="I94" i="13"/>
  <c r="I350" i="13"/>
  <c r="I351" i="13"/>
  <c r="I134" i="13"/>
  <c r="I65" i="13"/>
  <c r="I15" i="13"/>
  <c r="I36" i="13"/>
  <c r="I292" i="13"/>
  <c r="I81" i="13"/>
  <c r="I337" i="13"/>
  <c r="I130" i="13"/>
  <c r="I386" i="13"/>
  <c r="I294" i="13"/>
  <c r="I370" i="13"/>
  <c r="I183" i="13"/>
  <c r="I232" i="13"/>
  <c r="I21" i="13"/>
  <c r="I277" i="13"/>
  <c r="I230" i="13"/>
  <c r="I184" i="13"/>
  <c r="I44" i="13"/>
  <c r="I300" i="13"/>
  <c r="I89" i="13"/>
  <c r="I345" i="13"/>
  <c r="I138" i="13"/>
  <c r="I394" i="13"/>
  <c r="I331" i="13"/>
  <c r="I289" i="13"/>
  <c r="I107" i="13"/>
  <c r="I48" i="13"/>
  <c r="I304" i="13"/>
  <c r="I93" i="13"/>
  <c r="I349" i="13"/>
  <c r="I142" i="13"/>
  <c r="I398" i="13"/>
  <c r="I347" i="13"/>
  <c r="I244" i="13"/>
  <c r="I18" i="13"/>
  <c r="I5" i="13"/>
  <c r="I252" i="13"/>
  <c r="I41" i="13"/>
  <c r="I297" i="13"/>
  <c r="I90" i="13"/>
  <c r="I346" i="13"/>
  <c r="I287" i="13"/>
  <c r="I88" i="13"/>
  <c r="I32" i="13"/>
  <c r="I288" i="13"/>
  <c r="I77" i="13"/>
  <c r="I333" i="13"/>
  <c r="I126" i="13"/>
  <c r="I382" i="13"/>
  <c r="I283" i="13"/>
  <c r="I166" i="13"/>
  <c r="I353" i="13"/>
  <c r="I69" i="13"/>
  <c r="I68" i="13"/>
  <c r="I324" i="13"/>
  <c r="I113" i="13"/>
  <c r="I369" i="13"/>
  <c r="I162" i="13"/>
  <c r="I35" i="13"/>
  <c r="I39" i="13"/>
  <c r="I263" i="13"/>
  <c r="I8" i="13"/>
  <c r="I264" i="13"/>
  <c r="I53" i="13"/>
  <c r="I309" i="13"/>
  <c r="I358" i="13"/>
  <c r="I101" i="13"/>
  <c r="I76" i="13"/>
  <c r="I332" i="13"/>
  <c r="I121" i="13"/>
  <c r="I377" i="13"/>
  <c r="I170" i="13"/>
  <c r="I51" i="13"/>
  <c r="I271" i="13"/>
  <c r="I385" i="13"/>
  <c r="I165" i="13"/>
  <c r="I80" i="13"/>
  <c r="I336" i="13"/>
  <c r="I125" i="13"/>
  <c r="I381" i="13"/>
  <c r="I174" i="13"/>
  <c r="I63" i="13"/>
  <c r="I319" i="13"/>
  <c r="I276" i="13"/>
  <c r="I178" i="13"/>
  <c r="I197" i="13"/>
  <c r="I28" i="13"/>
  <c r="I284" i="13"/>
  <c r="I73" i="13"/>
  <c r="I329" i="13"/>
  <c r="I122" i="13"/>
  <c r="I378" i="13"/>
  <c r="I267" i="13"/>
  <c r="I312" i="13"/>
  <c r="I64" i="13"/>
  <c r="I320" i="13"/>
  <c r="I109" i="13"/>
  <c r="I365" i="13"/>
  <c r="I158" i="13"/>
  <c r="I23" i="13"/>
  <c r="I207" i="13"/>
  <c r="I262" i="13"/>
  <c r="I135" i="13"/>
  <c r="I261" i="13"/>
  <c r="I100" i="13"/>
  <c r="I356" i="13"/>
  <c r="I145" i="13"/>
  <c r="I401" i="13"/>
  <c r="I194" i="13"/>
  <c r="I127" i="13"/>
  <c r="I243" i="13"/>
  <c r="I56" i="13"/>
  <c r="I40" i="13"/>
  <c r="I296" i="13"/>
  <c r="I85" i="13"/>
  <c r="I341" i="13"/>
  <c r="I371" i="13"/>
  <c r="I389" i="13"/>
  <c r="I108" i="13"/>
  <c r="I364" i="13"/>
  <c r="I153" i="13"/>
  <c r="I11" i="13"/>
  <c r="I202" i="13"/>
  <c r="I151" i="13"/>
  <c r="I84" i="13"/>
  <c r="I82" i="13"/>
  <c r="I293" i="13"/>
  <c r="I112" i="13"/>
  <c r="I368" i="13"/>
  <c r="I157" i="13"/>
  <c r="I31" i="13"/>
  <c r="I206" i="13"/>
  <c r="I167" i="13"/>
  <c r="I20" i="13"/>
  <c r="I340" i="13"/>
  <c r="I306" i="13"/>
  <c r="I325" i="13"/>
  <c r="I60" i="13"/>
  <c r="I316" i="13"/>
  <c r="I105" i="13"/>
  <c r="I361" i="13"/>
  <c r="I154" i="13"/>
  <c r="I7" i="13"/>
  <c r="I395" i="13"/>
  <c r="I37" i="13"/>
  <c r="I96" i="13"/>
  <c r="I352" i="13"/>
  <c r="I141" i="13"/>
  <c r="I397" i="13"/>
  <c r="I190" i="13"/>
  <c r="I115" i="13"/>
  <c r="I355" i="13"/>
  <c r="I326" i="13"/>
  <c r="I114" i="13"/>
  <c r="I147" i="13"/>
  <c r="I132" i="13"/>
  <c r="I388" i="13"/>
  <c r="I177" i="13"/>
  <c r="I91" i="13"/>
  <c r="I226" i="13"/>
  <c r="I227" i="13"/>
  <c r="I343" i="13"/>
  <c r="I376" i="13"/>
  <c r="I72" i="13"/>
  <c r="I328" i="13"/>
  <c r="I117" i="13"/>
  <c r="I373" i="13"/>
  <c r="I315" i="13"/>
  <c r="I150" i="13"/>
  <c r="I140" i="13"/>
  <c r="I396" i="13"/>
  <c r="I185" i="13"/>
  <c r="I111" i="13"/>
  <c r="I234" i="13"/>
  <c r="I259" i="13"/>
  <c r="I308" i="13"/>
  <c r="I242" i="13"/>
  <c r="I22" i="13"/>
  <c r="I144" i="13"/>
  <c r="I400" i="13"/>
  <c r="I189" i="13"/>
  <c r="I123" i="13"/>
  <c r="I238" i="13"/>
  <c r="I275" i="13"/>
  <c r="I52" i="13"/>
  <c r="I404" i="13"/>
  <c r="I291" i="13"/>
  <c r="I54" i="13"/>
  <c r="I92" i="13"/>
  <c r="I348" i="13"/>
  <c r="I137" i="13"/>
  <c r="I393" i="13"/>
  <c r="I186" i="13"/>
  <c r="I99" i="13"/>
  <c r="I225" i="13"/>
  <c r="I229" i="13"/>
  <c r="I128" i="13"/>
  <c r="I384" i="13"/>
  <c r="I173" i="13"/>
  <c r="I79" i="13"/>
  <c r="I222" i="13"/>
  <c r="I211" i="13"/>
  <c r="I327" i="13"/>
  <c r="I390" i="13"/>
  <c r="I338" i="13"/>
  <c r="I182" i="13"/>
  <c r="I164" i="13"/>
  <c r="I47" i="13"/>
  <c r="I209" i="13"/>
  <c r="I187" i="13"/>
  <c r="I258" i="13"/>
  <c r="I199" i="13"/>
  <c r="I255" i="13"/>
  <c r="I133" i="13"/>
  <c r="I104" i="13"/>
  <c r="I360" i="13"/>
  <c r="I149" i="13"/>
  <c r="I405" i="13"/>
  <c r="I257" i="13"/>
  <c r="I342" i="13"/>
  <c r="I172" i="13"/>
  <c r="I67" i="13"/>
  <c r="I217" i="13"/>
  <c r="I10" i="13"/>
  <c r="I266" i="13"/>
  <c r="I387" i="13"/>
  <c r="I372" i="13"/>
  <c r="I75" i="13"/>
  <c r="I214" i="13"/>
  <c r="I176" i="13"/>
  <c r="I83" i="13"/>
  <c r="I221" i="13"/>
  <c r="I14" i="13"/>
  <c r="I270" i="13"/>
  <c r="I403" i="13"/>
  <c r="I116" i="13"/>
  <c r="I95" i="13"/>
  <c r="I367" i="13"/>
  <c r="I246" i="13"/>
  <c r="I124" i="13"/>
  <c r="I380" i="13"/>
  <c r="I169" i="13"/>
  <c r="I71" i="13"/>
  <c r="I218" i="13"/>
  <c r="I195" i="13"/>
  <c r="I50" i="13"/>
  <c r="I59" i="13"/>
  <c r="I160" i="13"/>
  <c r="I27" i="13"/>
  <c r="I205" i="13"/>
  <c r="I171" i="13"/>
  <c r="I254" i="13"/>
  <c r="I339" i="13"/>
  <c r="I299" i="13"/>
  <c r="I139" i="13"/>
  <c r="I239" i="13"/>
  <c r="I374" i="13"/>
  <c r="I196" i="13"/>
  <c r="I143" i="13"/>
  <c r="I241" i="13"/>
  <c r="I34" i="13"/>
  <c r="I290" i="13"/>
  <c r="I399" i="13"/>
  <c r="I129" i="13"/>
  <c r="I357" i="13"/>
  <c r="I136" i="13"/>
  <c r="I392" i="13"/>
  <c r="I181" i="13"/>
  <c r="I103" i="13"/>
  <c r="I146" i="13"/>
  <c r="I307" i="13"/>
  <c r="I204" i="13"/>
  <c r="I159" i="13"/>
  <c r="I249" i="13"/>
  <c r="I42" i="13"/>
  <c r="I298" i="13"/>
  <c r="I231" i="13"/>
  <c r="I191" i="13"/>
  <c r="I235" i="13"/>
  <c r="I406" i="13"/>
  <c r="I208" i="13"/>
  <c r="I179" i="13"/>
  <c r="I253" i="13"/>
  <c r="I46" i="13"/>
  <c r="I302" i="13"/>
  <c r="I247" i="13"/>
  <c r="I148" i="13"/>
  <c r="I33" i="13"/>
  <c r="I152" i="13"/>
  <c r="I87" i="13"/>
  <c r="I156" i="13"/>
  <c r="I19" i="13"/>
  <c r="I201" i="13"/>
  <c r="I163" i="13"/>
  <c r="I250" i="13"/>
  <c r="I323" i="13"/>
  <c r="I274" i="13"/>
  <c r="I118" i="13"/>
  <c r="I192" i="13"/>
  <c r="I131" i="13"/>
  <c r="I237" i="13"/>
  <c r="I30" i="13"/>
  <c r="I286" i="13"/>
  <c r="I383" i="13"/>
  <c r="I223" i="13"/>
  <c r="I215" i="13"/>
  <c r="I24" i="13"/>
  <c r="I303" i="13"/>
  <c r="I228" i="13"/>
  <c r="I17" i="13"/>
  <c r="I273" i="13"/>
  <c r="I66" i="13"/>
  <c r="I322" i="13"/>
  <c r="I70" i="13"/>
  <c r="I43" i="13"/>
  <c r="I86" i="13"/>
  <c r="I168" i="13"/>
  <c r="I55" i="13"/>
  <c r="I213" i="13"/>
  <c r="I38" i="13"/>
  <c r="I402" i="13"/>
  <c r="I379" i="13"/>
  <c r="I236" i="13"/>
  <c r="I25" i="13"/>
  <c r="I281" i="13"/>
  <c r="I74" i="13"/>
  <c r="I330" i="13"/>
  <c r="I359" i="13"/>
  <c r="I97" i="13"/>
  <c r="I120" i="13"/>
  <c r="I407" i="13"/>
  <c r="I240" i="13"/>
  <c r="I29" i="13"/>
  <c r="I285" i="13"/>
  <c r="I78" i="13"/>
  <c r="I334" i="13"/>
  <c r="I375" i="13"/>
  <c r="I180" i="13"/>
  <c r="I161" i="13"/>
  <c r="I248" i="13"/>
  <c r="I251" i="13"/>
  <c r="I188" i="13"/>
  <c r="I119" i="13"/>
  <c r="I233" i="13"/>
  <c r="I26" i="13"/>
  <c r="I282" i="13"/>
  <c r="I335" i="13"/>
  <c r="I175" i="13"/>
  <c r="I310" i="13"/>
  <c r="I224" i="13"/>
  <c r="I13" i="13"/>
  <c r="I269" i="13"/>
  <c r="I62" i="13"/>
  <c r="I318" i="13"/>
  <c r="I311" i="13"/>
  <c r="I6" i="13"/>
  <c r="I3" i="13"/>
  <c r="I216" i="13"/>
  <c r="I4" i="13"/>
  <c r="I260" i="13"/>
  <c r="I49" i="13"/>
  <c r="I305" i="13"/>
  <c r="I98" i="13"/>
  <c r="I354" i="13"/>
  <c r="I198" i="13"/>
  <c r="I210" i="13"/>
  <c r="I278" i="13"/>
  <c r="I200" i="13"/>
  <c r="I155" i="13"/>
  <c r="I245" i="13"/>
  <c r="I102" i="13"/>
  <c r="I391" i="13"/>
  <c r="I12" i="13"/>
  <c r="I268" i="13"/>
  <c r="I57" i="13"/>
  <c r="I313" i="13"/>
  <c r="I106" i="13"/>
  <c r="I362" i="13"/>
  <c r="I203" i="13"/>
  <c r="I193" i="13"/>
  <c r="I280" i="13"/>
  <c r="I16" i="13"/>
  <c r="I272" i="13"/>
  <c r="I61" i="13"/>
  <c r="I317" i="13"/>
  <c r="I110" i="13"/>
  <c r="I366" i="13"/>
  <c r="I219" i="13"/>
  <c r="I212" i="13"/>
  <c r="I321" i="13"/>
  <c r="I344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3" i="13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A9" i="14" l="1"/>
  <c r="E40" i="14" l="1"/>
  <c r="K40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3" i="14"/>
  <c r="P40" i="8"/>
  <c r="Q40" i="8"/>
  <c r="H40" i="8"/>
  <c r="N40" i="8"/>
  <c r="G40" i="14" l="1"/>
  <c r="I40" i="14"/>
  <c r="J40" i="14"/>
  <c r="V40" i="8"/>
  <c r="R40" i="14" s="1"/>
  <c r="S40" i="8"/>
  <c r="O40" i="14" s="1"/>
  <c r="W40" i="8"/>
  <c r="S40" i="14" s="1"/>
  <c r="Y40" i="8"/>
  <c r="U40" i="14" s="1"/>
  <c r="T40" i="8"/>
  <c r="P40" i="14" s="1"/>
  <c r="X40" i="8"/>
  <c r="T40" i="14" s="1"/>
  <c r="U40" i="8"/>
  <c r="Q40" i="14" s="1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J74" i="11" l="1"/>
  <c r="J65" i="11"/>
  <c r="J66" i="11"/>
  <c r="J67" i="11"/>
  <c r="J68" i="11"/>
  <c r="J69" i="11"/>
  <c r="J70" i="11"/>
  <c r="J71" i="11"/>
  <c r="J72" i="11"/>
  <c r="J73" i="11"/>
  <c r="J64" i="11"/>
  <c r="J55" i="11"/>
  <c r="J56" i="11"/>
  <c r="J57" i="11"/>
  <c r="J58" i="11"/>
  <c r="J59" i="11"/>
  <c r="J60" i="11"/>
  <c r="J61" i="11"/>
  <c r="J62" i="11"/>
  <c r="J63" i="11"/>
  <c r="J54" i="11"/>
  <c r="J45" i="11"/>
  <c r="J46" i="11"/>
  <c r="J47" i="11"/>
  <c r="J48" i="11"/>
  <c r="J49" i="11"/>
  <c r="J50" i="11"/>
  <c r="J51" i="11"/>
  <c r="J52" i="11"/>
  <c r="J53" i="11"/>
  <c r="J44" i="11"/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3" i="10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408" i="13"/>
  <c r="B3" i="13"/>
  <c r="W51" i="5" l="1"/>
  <c r="W59" i="5" s="1"/>
  <c r="W60" i="5" s="1"/>
  <c r="X51" i="5"/>
  <c r="X59" i="5" s="1"/>
  <c r="X60" i="5" s="1"/>
  <c r="O52" i="5"/>
  <c r="U52" i="5" s="1"/>
  <c r="L51" i="5"/>
  <c r="L52" i="5" s="1"/>
  <c r="L53" i="5" s="1"/>
  <c r="L54" i="5" s="1"/>
  <c r="L55" i="5" s="1"/>
  <c r="L56" i="5" s="1"/>
  <c r="L57" i="5" s="1"/>
  <c r="L58" i="5" s="1"/>
  <c r="K51" i="5"/>
  <c r="K59" i="5" s="1"/>
  <c r="K60" i="5" s="1"/>
  <c r="I51" i="5"/>
  <c r="O51" i="5" s="1"/>
  <c r="U51" i="5" s="1"/>
  <c r="J51" i="5"/>
  <c r="P51" i="5" s="1"/>
  <c r="V51" i="5" s="1"/>
  <c r="I52" i="5"/>
  <c r="J52" i="5"/>
  <c r="P52" i="5" s="1"/>
  <c r="V52" i="5" s="1"/>
  <c r="I53" i="5"/>
  <c r="O53" i="5" s="1"/>
  <c r="U53" i="5" s="1"/>
  <c r="J53" i="5"/>
  <c r="P53" i="5" s="1"/>
  <c r="V53" i="5" s="1"/>
  <c r="I54" i="5"/>
  <c r="O54" i="5" s="1"/>
  <c r="U54" i="5" s="1"/>
  <c r="J54" i="5"/>
  <c r="P54" i="5" s="1"/>
  <c r="V54" i="5" s="1"/>
  <c r="I55" i="5"/>
  <c r="O55" i="5" s="1"/>
  <c r="U55" i="5" s="1"/>
  <c r="J55" i="5"/>
  <c r="P55" i="5" s="1"/>
  <c r="V55" i="5" s="1"/>
  <c r="I56" i="5"/>
  <c r="O56" i="5" s="1"/>
  <c r="U56" i="5" s="1"/>
  <c r="J56" i="5"/>
  <c r="P56" i="5" s="1"/>
  <c r="V56" i="5" s="1"/>
  <c r="I57" i="5"/>
  <c r="O57" i="5" s="1"/>
  <c r="U57" i="5" s="1"/>
  <c r="J57" i="5"/>
  <c r="P57" i="5" s="1"/>
  <c r="V57" i="5" s="1"/>
  <c r="I58" i="5"/>
  <c r="O58" i="5" s="1"/>
  <c r="U58" i="5" s="1"/>
  <c r="J58" i="5"/>
  <c r="P58" i="5" s="1"/>
  <c r="V58" i="5" s="1"/>
  <c r="I50" i="5"/>
  <c r="O50" i="5" s="1"/>
  <c r="U50" i="5" s="1"/>
  <c r="J50" i="5"/>
  <c r="P50" i="5" s="1"/>
  <c r="V50" i="5" s="1"/>
  <c r="B51" i="5"/>
  <c r="H51" i="5" s="1"/>
  <c r="N51" i="5" s="1"/>
  <c r="T51" i="5" s="1"/>
  <c r="B52" i="5"/>
  <c r="H52" i="5" s="1"/>
  <c r="N52" i="5" s="1"/>
  <c r="T52" i="5" s="1"/>
  <c r="B53" i="5"/>
  <c r="H53" i="5" s="1"/>
  <c r="N53" i="5" s="1"/>
  <c r="T53" i="5" s="1"/>
  <c r="B54" i="5"/>
  <c r="H54" i="5" s="1"/>
  <c r="N54" i="5" s="1"/>
  <c r="T54" i="5" s="1"/>
  <c r="B55" i="5"/>
  <c r="H55" i="5" s="1"/>
  <c r="N55" i="5" s="1"/>
  <c r="T55" i="5" s="1"/>
  <c r="B56" i="5"/>
  <c r="H56" i="5" s="1"/>
  <c r="N56" i="5" s="1"/>
  <c r="T56" i="5" s="1"/>
  <c r="B57" i="5"/>
  <c r="H57" i="5" s="1"/>
  <c r="N57" i="5" s="1"/>
  <c r="T57" i="5" s="1"/>
  <c r="B58" i="5"/>
  <c r="H58" i="5" s="1"/>
  <c r="N58" i="5" s="1"/>
  <c r="T58" i="5" s="1"/>
  <c r="B50" i="5"/>
  <c r="F51" i="5"/>
  <c r="F59" i="5" s="1"/>
  <c r="E51" i="5"/>
  <c r="E59" i="5" s="1"/>
  <c r="E60" i="5" s="1"/>
  <c r="Q60" i="5" s="1"/>
  <c r="D60" i="5"/>
  <c r="D69" i="5" s="1"/>
  <c r="D61" i="5"/>
  <c r="J61" i="5" s="1"/>
  <c r="P61" i="5" s="1"/>
  <c r="V61" i="5" s="1"/>
  <c r="D62" i="5"/>
  <c r="J62" i="5" s="1"/>
  <c r="P62" i="5" s="1"/>
  <c r="V62" i="5" s="1"/>
  <c r="D63" i="5"/>
  <c r="D72" i="5" s="1"/>
  <c r="D81" i="5" s="1"/>
  <c r="J81" i="5" s="1"/>
  <c r="P81" i="5" s="1"/>
  <c r="V81" i="5" s="1"/>
  <c r="D64" i="5"/>
  <c r="D73" i="5" s="1"/>
  <c r="D82" i="5" s="1"/>
  <c r="J82" i="5" s="1"/>
  <c r="P82" i="5" s="1"/>
  <c r="V82" i="5" s="1"/>
  <c r="D65" i="5"/>
  <c r="D66" i="5"/>
  <c r="J66" i="5" s="1"/>
  <c r="P66" i="5" s="1"/>
  <c r="V66" i="5" s="1"/>
  <c r="D67" i="5"/>
  <c r="D76" i="5" s="1"/>
  <c r="D85" i="5" s="1"/>
  <c r="D71" i="5"/>
  <c r="D80" i="5" s="1"/>
  <c r="J80" i="5" s="1"/>
  <c r="P80" i="5" s="1"/>
  <c r="V80" i="5" s="1"/>
  <c r="D59" i="5"/>
  <c r="D68" i="5" s="1"/>
  <c r="D77" i="5" s="1"/>
  <c r="J77" i="5" s="1"/>
  <c r="P77" i="5" s="1"/>
  <c r="V77" i="5" s="1"/>
  <c r="C60" i="5"/>
  <c r="I60" i="5" s="1"/>
  <c r="O60" i="5" s="1"/>
  <c r="U60" i="5" s="1"/>
  <c r="C61" i="5"/>
  <c r="C70" i="5" s="1"/>
  <c r="C79" i="5" s="1"/>
  <c r="I79" i="5" s="1"/>
  <c r="O79" i="5" s="1"/>
  <c r="U79" i="5" s="1"/>
  <c r="C62" i="5"/>
  <c r="B62" i="5" s="1"/>
  <c r="H62" i="5" s="1"/>
  <c r="N62" i="5" s="1"/>
  <c r="T62" i="5" s="1"/>
  <c r="C63" i="5"/>
  <c r="C72" i="5" s="1"/>
  <c r="C64" i="5"/>
  <c r="I64" i="5" s="1"/>
  <c r="O64" i="5" s="1"/>
  <c r="U64" i="5" s="1"/>
  <c r="C65" i="5"/>
  <c r="I65" i="5" s="1"/>
  <c r="O65" i="5" s="1"/>
  <c r="U65" i="5" s="1"/>
  <c r="C66" i="5"/>
  <c r="I66" i="5" s="1"/>
  <c r="O66" i="5" s="1"/>
  <c r="U66" i="5" s="1"/>
  <c r="C67" i="5"/>
  <c r="C76" i="5" s="1"/>
  <c r="C85" i="5" s="1"/>
  <c r="I85" i="5" s="1"/>
  <c r="O85" i="5" s="1"/>
  <c r="U85" i="5" s="1"/>
  <c r="C69" i="5"/>
  <c r="C78" i="5" s="1"/>
  <c r="C75" i="5"/>
  <c r="C84" i="5" s="1"/>
  <c r="I84" i="5" s="1"/>
  <c r="O84" i="5" s="1"/>
  <c r="U84" i="5" s="1"/>
  <c r="C59" i="5"/>
  <c r="C68" i="5" s="1"/>
  <c r="L34" i="5"/>
  <c r="L35" i="5"/>
  <c r="L36" i="5"/>
  <c r="L37" i="5"/>
  <c r="L38" i="5"/>
  <c r="L39" i="5"/>
  <c r="L40" i="5"/>
  <c r="L41" i="5"/>
  <c r="L42" i="5"/>
  <c r="L43" i="5"/>
  <c r="L44" i="5"/>
  <c r="L45" i="5"/>
  <c r="L33" i="5"/>
  <c r="L32" i="5"/>
  <c r="J67" i="5" l="1"/>
  <c r="P67" i="5" s="1"/>
  <c r="V67" i="5" s="1"/>
  <c r="B66" i="5"/>
  <c r="H66" i="5" s="1"/>
  <c r="N66" i="5" s="1"/>
  <c r="T66" i="5" s="1"/>
  <c r="C71" i="5"/>
  <c r="C80" i="5" s="1"/>
  <c r="I80" i="5" s="1"/>
  <c r="O80" i="5" s="1"/>
  <c r="U80" i="5" s="1"/>
  <c r="I63" i="5"/>
  <c r="O63" i="5" s="1"/>
  <c r="U63" i="5" s="1"/>
  <c r="R51" i="5"/>
  <c r="D75" i="5"/>
  <c r="H50" i="5"/>
  <c r="I76" i="5"/>
  <c r="O76" i="5" s="1"/>
  <c r="U76" i="5" s="1"/>
  <c r="J68" i="5"/>
  <c r="P68" i="5" s="1"/>
  <c r="V68" i="5" s="1"/>
  <c r="I62" i="5"/>
  <c r="O62" i="5" s="1"/>
  <c r="U62" i="5" s="1"/>
  <c r="L59" i="5"/>
  <c r="L60" i="5" s="1"/>
  <c r="Q51" i="5"/>
  <c r="J60" i="5"/>
  <c r="P60" i="5" s="1"/>
  <c r="V60" i="5" s="1"/>
  <c r="B85" i="5"/>
  <c r="H85" i="5" s="1"/>
  <c r="N85" i="5" s="1"/>
  <c r="T85" i="5" s="1"/>
  <c r="J73" i="5"/>
  <c r="P73" i="5" s="1"/>
  <c r="V73" i="5" s="1"/>
  <c r="J64" i="5"/>
  <c r="P64" i="5" s="1"/>
  <c r="V64" i="5" s="1"/>
  <c r="J59" i="5"/>
  <c r="P59" i="5" s="1"/>
  <c r="V59" i="5" s="1"/>
  <c r="Q59" i="5"/>
  <c r="X52" i="5"/>
  <c r="X53" i="5" s="1"/>
  <c r="X54" i="5" s="1"/>
  <c r="X55" i="5" s="1"/>
  <c r="X56" i="5" s="1"/>
  <c r="X57" i="5" s="1"/>
  <c r="X58" i="5" s="1"/>
  <c r="I59" i="5"/>
  <c r="O59" i="5" s="1"/>
  <c r="U59" i="5" s="1"/>
  <c r="X68" i="5"/>
  <c r="X61" i="5"/>
  <c r="X62" i="5" s="1"/>
  <c r="X63" i="5" s="1"/>
  <c r="W68" i="5"/>
  <c r="W61" i="5"/>
  <c r="W62" i="5" s="1"/>
  <c r="W63" i="5" s="1"/>
  <c r="W64" i="5" s="1"/>
  <c r="W65" i="5" s="1"/>
  <c r="W66" i="5" s="1"/>
  <c r="W67" i="5" s="1"/>
  <c r="W52" i="5"/>
  <c r="W53" i="5" s="1"/>
  <c r="W54" i="5" s="1"/>
  <c r="W55" i="5" s="1"/>
  <c r="W56" i="5" s="1"/>
  <c r="W57" i="5" s="1"/>
  <c r="W58" i="5" s="1"/>
  <c r="K68" i="5"/>
  <c r="K61" i="5"/>
  <c r="K62" i="5" s="1"/>
  <c r="K63" i="5" s="1"/>
  <c r="K64" i="5" s="1"/>
  <c r="K65" i="5" s="1"/>
  <c r="K66" i="5" s="1"/>
  <c r="K67" i="5" s="1"/>
  <c r="L68" i="5"/>
  <c r="L69" i="5" s="1"/>
  <c r="L61" i="5"/>
  <c r="L62" i="5" s="1"/>
  <c r="L63" i="5" s="1"/>
  <c r="L64" i="5" s="1"/>
  <c r="L65" i="5" s="1"/>
  <c r="L66" i="5" s="1"/>
  <c r="L67" i="5" s="1"/>
  <c r="K52" i="5"/>
  <c r="K53" i="5" s="1"/>
  <c r="K54" i="5" s="1"/>
  <c r="K55" i="5" s="1"/>
  <c r="K56" i="5" s="1"/>
  <c r="K57" i="5" s="1"/>
  <c r="K58" i="5" s="1"/>
  <c r="D74" i="5"/>
  <c r="J65" i="5"/>
  <c r="P65" i="5" s="1"/>
  <c r="V65" i="5" s="1"/>
  <c r="B75" i="5"/>
  <c r="H75" i="5" s="1"/>
  <c r="N75" i="5" s="1"/>
  <c r="T75" i="5" s="1"/>
  <c r="I78" i="5"/>
  <c r="O78" i="5" s="1"/>
  <c r="U78" i="5" s="1"/>
  <c r="I69" i="5"/>
  <c r="O69" i="5" s="1"/>
  <c r="U69" i="5" s="1"/>
  <c r="C77" i="5"/>
  <c r="I68" i="5"/>
  <c r="O68" i="5" s="1"/>
  <c r="U68" i="5" s="1"/>
  <c r="C74" i="5"/>
  <c r="C81" i="5"/>
  <c r="I72" i="5"/>
  <c r="O72" i="5" s="1"/>
  <c r="U72" i="5" s="1"/>
  <c r="D70" i="5"/>
  <c r="B70" i="5" s="1"/>
  <c r="H70" i="5" s="1"/>
  <c r="N70" i="5" s="1"/>
  <c r="T70" i="5" s="1"/>
  <c r="D78" i="5"/>
  <c r="J78" i="5" s="1"/>
  <c r="P78" i="5" s="1"/>
  <c r="V78" i="5" s="1"/>
  <c r="J69" i="5"/>
  <c r="P69" i="5" s="1"/>
  <c r="V69" i="5" s="1"/>
  <c r="B65" i="5"/>
  <c r="H65" i="5" s="1"/>
  <c r="N65" i="5" s="1"/>
  <c r="T65" i="5" s="1"/>
  <c r="B61" i="5"/>
  <c r="H61" i="5" s="1"/>
  <c r="N61" i="5" s="1"/>
  <c r="T61" i="5" s="1"/>
  <c r="J76" i="5"/>
  <c r="P76" i="5" s="1"/>
  <c r="V76" i="5" s="1"/>
  <c r="I75" i="5"/>
  <c r="O75" i="5" s="1"/>
  <c r="U75" i="5" s="1"/>
  <c r="J72" i="5"/>
  <c r="P72" i="5" s="1"/>
  <c r="V72" i="5" s="1"/>
  <c r="I67" i="5"/>
  <c r="O67" i="5" s="1"/>
  <c r="U67" i="5" s="1"/>
  <c r="J63" i="5"/>
  <c r="P63" i="5" s="1"/>
  <c r="V63" i="5" s="1"/>
  <c r="C73" i="5"/>
  <c r="B69" i="5"/>
  <c r="H69" i="5" s="1"/>
  <c r="N69" i="5" s="1"/>
  <c r="T69" i="5" s="1"/>
  <c r="B64" i="5"/>
  <c r="H64" i="5" s="1"/>
  <c r="N64" i="5" s="1"/>
  <c r="T64" i="5" s="1"/>
  <c r="B60" i="5"/>
  <c r="H60" i="5" s="1"/>
  <c r="N60" i="5" s="1"/>
  <c r="T60" i="5" s="1"/>
  <c r="J85" i="5"/>
  <c r="P85" i="5" s="1"/>
  <c r="V85" i="5" s="1"/>
  <c r="I70" i="5"/>
  <c r="O70" i="5" s="1"/>
  <c r="U70" i="5" s="1"/>
  <c r="I61" i="5"/>
  <c r="O61" i="5" s="1"/>
  <c r="U61" i="5" s="1"/>
  <c r="F60" i="5"/>
  <c r="R59" i="5"/>
  <c r="B76" i="5"/>
  <c r="H76" i="5" s="1"/>
  <c r="N76" i="5" s="1"/>
  <c r="T76" i="5" s="1"/>
  <c r="B72" i="5"/>
  <c r="H72" i="5" s="1"/>
  <c r="N72" i="5" s="1"/>
  <c r="T72" i="5" s="1"/>
  <c r="B67" i="5"/>
  <c r="H67" i="5" s="1"/>
  <c r="N67" i="5" s="1"/>
  <c r="T67" i="5" s="1"/>
  <c r="B63" i="5"/>
  <c r="H63" i="5" s="1"/>
  <c r="N63" i="5" s="1"/>
  <c r="T63" i="5" s="1"/>
  <c r="J71" i="5"/>
  <c r="P71" i="5" s="1"/>
  <c r="V71" i="5" s="1"/>
  <c r="B59" i="5"/>
  <c r="B68" i="5"/>
  <c r="H68" i="5" s="1"/>
  <c r="N68" i="5" s="1"/>
  <c r="T68" i="5" s="1"/>
  <c r="E61" i="5"/>
  <c r="E68" i="5"/>
  <c r="E52" i="5"/>
  <c r="F52" i="5"/>
  <c r="M171" i="13"/>
  <c r="M163" i="13"/>
  <c r="M321" i="13"/>
  <c r="M212" i="13"/>
  <c r="M227" i="13"/>
  <c r="M268" i="13"/>
  <c r="M443" i="13"/>
  <c r="M211" i="13"/>
  <c r="M273" i="13"/>
  <c r="M423" i="13"/>
  <c r="M430" i="13"/>
  <c r="M177" i="13"/>
  <c r="M122" i="13"/>
  <c r="M76" i="13"/>
  <c r="M413" i="13"/>
  <c r="M308" i="13"/>
  <c r="M42" i="13"/>
  <c r="M271" i="13"/>
  <c r="M51" i="13"/>
  <c r="M414" i="13"/>
  <c r="M225" i="13"/>
  <c r="M22" i="13"/>
  <c r="M195" i="13"/>
  <c r="M319" i="13"/>
  <c r="M318" i="13"/>
  <c r="M425" i="13"/>
  <c r="M223" i="13"/>
  <c r="M315" i="13"/>
  <c r="M287" i="13"/>
  <c r="M96" i="13"/>
  <c r="M242" i="13"/>
  <c r="M294" i="13"/>
  <c r="M220" i="13"/>
  <c r="M248" i="13"/>
  <c r="M280" i="13"/>
  <c r="M299" i="13"/>
  <c r="M85" i="13"/>
  <c r="M199" i="13"/>
  <c r="M226" i="13"/>
  <c r="M310" i="13"/>
  <c r="M317" i="13"/>
  <c r="M264" i="13"/>
  <c r="M303" i="13"/>
  <c r="M82" i="13"/>
  <c r="M228" i="13"/>
  <c r="M153" i="13"/>
  <c r="M83" i="13"/>
  <c r="M201" i="13"/>
  <c r="M175" i="13"/>
  <c r="M43" i="13"/>
  <c r="M288" i="13"/>
  <c r="M19" i="13"/>
  <c r="M254" i="13"/>
  <c r="M241" i="13"/>
  <c r="M50" i="13"/>
  <c r="M306" i="13"/>
  <c r="M202" i="13"/>
  <c r="M84" i="13"/>
  <c r="M69" i="13"/>
  <c r="M62" i="13"/>
  <c r="M143" i="13"/>
  <c r="M116" i="13"/>
  <c r="M304" i="13"/>
  <c r="M408" i="13"/>
  <c r="M150" i="13"/>
  <c r="M210" i="13"/>
  <c r="M431" i="13"/>
  <c r="M17" i="13"/>
  <c r="M65" i="13"/>
  <c r="M279" i="13"/>
  <c r="M269" i="13"/>
  <c r="K18" i="5"/>
  <c r="M48" i="13"/>
  <c r="M56" i="13"/>
  <c r="M25" i="13"/>
  <c r="M79" i="13"/>
  <c r="M106" i="13"/>
  <c r="M90" i="13"/>
  <c r="M91" i="13"/>
  <c r="M142" i="13"/>
  <c r="M207" i="13"/>
  <c r="M245" i="13"/>
  <c r="M262" i="13"/>
  <c r="M323" i="13"/>
  <c r="M170" i="13"/>
  <c r="M72" i="13"/>
  <c r="M37" i="13"/>
  <c r="M114" i="13"/>
  <c r="K20" i="5"/>
  <c r="M183" i="13"/>
  <c r="M159" i="13"/>
  <c r="M111" i="13"/>
  <c r="M432" i="13"/>
  <c r="M73" i="13"/>
  <c r="M206" i="13"/>
  <c r="M182" i="13"/>
  <c r="M270" i="13"/>
  <c r="M135" i="13"/>
  <c r="M119" i="13"/>
  <c r="M329" i="13"/>
  <c r="M33" i="13"/>
  <c r="I25" i="5"/>
  <c r="M259" i="13"/>
  <c r="M239" i="13"/>
  <c r="M129" i="13"/>
  <c r="M302" i="13"/>
  <c r="M27" i="13"/>
  <c r="M189" i="13"/>
  <c r="M193" i="13"/>
  <c r="M140" i="13"/>
  <c r="M185" i="13"/>
  <c r="M30" i="13"/>
  <c r="M28" i="13"/>
  <c r="M95" i="13"/>
  <c r="M148" i="13"/>
  <c r="M49" i="13"/>
  <c r="M440" i="13"/>
  <c r="M433" i="13"/>
  <c r="M14" i="13"/>
  <c r="M240" i="13"/>
  <c r="M178" i="13"/>
  <c r="M208" i="13"/>
  <c r="M133" i="13"/>
  <c r="M66" i="13"/>
  <c r="M284" i="13"/>
  <c r="M31" i="13"/>
  <c r="K24" i="5"/>
  <c r="M115" i="13"/>
  <c r="M221" i="13"/>
  <c r="M120" i="13"/>
  <c r="M18" i="13"/>
  <c r="M144" i="13"/>
  <c r="M53" i="13"/>
  <c r="M74" i="13"/>
  <c r="M172" i="13"/>
  <c r="K23" i="5"/>
  <c r="M124" i="13"/>
  <c r="K19" i="5"/>
  <c r="K16" i="5"/>
  <c r="M39" i="13"/>
  <c r="M229" i="13"/>
  <c r="M12" i="13"/>
  <c r="M325" i="13"/>
  <c r="K21" i="5"/>
  <c r="M215" i="13"/>
  <c r="M139" i="13"/>
  <c r="I22" i="5"/>
  <c r="M418" i="13"/>
  <c r="M44" i="13"/>
  <c r="M100" i="13"/>
  <c r="M156" i="13"/>
  <c r="M11" i="13"/>
  <c r="I20" i="5"/>
  <c r="M301" i="13"/>
  <c r="M244" i="13"/>
  <c r="M197" i="13"/>
  <c r="M130" i="13"/>
  <c r="M277" i="13"/>
  <c r="M188" i="13"/>
  <c r="M250" i="13"/>
  <c r="M13" i="13"/>
  <c r="M99" i="13"/>
  <c r="M327" i="13"/>
  <c r="M252" i="13"/>
  <c r="M54" i="13"/>
  <c r="M316" i="13"/>
  <c r="M166" i="13"/>
  <c r="M24" i="13"/>
  <c r="M257" i="13"/>
  <c r="M419" i="13"/>
  <c r="M222" i="13"/>
  <c r="M131" i="13"/>
  <c r="M238" i="13"/>
  <c r="M426" i="13"/>
  <c r="M29" i="13"/>
  <c r="M298" i="13"/>
  <c r="M409" i="13"/>
  <c r="M23" i="13"/>
  <c r="M173" i="13"/>
  <c r="M442" i="13"/>
  <c r="M104" i="13"/>
  <c r="M439" i="13"/>
  <c r="M151" i="13"/>
  <c r="M191" i="13"/>
  <c r="M101" i="13"/>
  <c r="M328" i="13"/>
  <c r="M78" i="13"/>
  <c r="M247" i="13"/>
  <c r="I21" i="5"/>
  <c r="M410" i="13"/>
  <c r="M57" i="13"/>
  <c r="M152" i="13"/>
  <c r="M437" i="13"/>
  <c r="M180" i="13"/>
  <c r="M75" i="13"/>
  <c r="M98" i="13"/>
  <c r="M38" i="13"/>
  <c r="M190" i="13"/>
  <c r="M312" i="13"/>
  <c r="M109" i="13"/>
  <c r="M149" i="13"/>
  <c r="K26" i="5"/>
  <c r="M196" i="13"/>
  <c r="M266" i="13"/>
  <c r="M46" i="13"/>
  <c r="M446" i="13"/>
  <c r="M330" i="13"/>
  <c r="M3" i="13"/>
  <c r="M45" i="13"/>
  <c r="M326" i="13"/>
  <c r="M297" i="13"/>
  <c r="K25" i="5"/>
  <c r="M9" i="13"/>
  <c r="M246" i="13"/>
  <c r="M275" i="13"/>
  <c r="M434" i="13"/>
  <c r="M300" i="13"/>
  <c r="I18" i="5"/>
  <c r="M58" i="13"/>
  <c r="M412" i="13"/>
  <c r="M52" i="13"/>
  <c r="I27" i="5"/>
  <c r="M136" i="13"/>
  <c r="M324" i="13"/>
  <c r="K15" i="5"/>
  <c r="M174" i="13"/>
  <c r="M157" i="13"/>
  <c r="M184" i="13"/>
  <c r="I15" i="5"/>
  <c r="M322" i="13"/>
  <c r="K27" i="5"/>
  <c r="M313" i="13"/>
  <c r="M7" i="13"/>
  <c r="M164" i="13"/>
  <c r="M436" i="13"/>
  <c r="M86" i="13"/>
  <c r="M15" i="13"/>
  <c r="I24" i="5"/>
  <c r="M289" i="13"/>
  <c r="M232" i="13"/>
  <c r="M187" i="13"/>
  <c r="M243" i="13"/>
  <c r="M160" i="13"/>
  <c r="M438" i="13"/>
  <c r="M92" i="13"/>
  <c r="M146" i="13"/>
  <c r="M263" i="13"/>
  <c r="M176" i="13"/>
  <c r="M20" i="13"/>
  <c r="M147" i="13"/>
  <c r="K22" i="5"/>
  <c r="M34" i="13"/>
  <c r="M281" i="13"/>
  <c r="M81" i="13"/>
  <c r="M214" i="13"/>
  <c r="M59" i="13"/>
  <c r="M88" i="13"/>
  <c r="M265" i="13"/>
  <c r="M311" i="13"/>
  <c r="M126" i="13"/>
  <c r="M420" i="13"/>
  <c r="M255" i="13"/>
  <c r="M291" i="13"/>
  <c r="M272" i="13"/>
  <c r="M427" i="13"/>
  <c r="M205" i="13"/>
  <c r="M296" i="13"/>
  <c r="M158" i="13"/>
  <c r="M292" i="13"/>
  <c r="M219" i="13"/>
  <c r="I16" i="5"/>
  <c r="M286" i="13"/>
  <c r="M127" i="13"/>
  <c r="I26" i="5"/>
  <c r="M128" i="13"/>
  <c r="M307" i="13"/>
  <c r="M235" i="13"/>
  <c r="M32" i="13"/>
  <c r="M192" i="13"/>
  <c r="M105" i="13"/>
  <c r="M36" i="13"/>
  <c r="M16" i="13"/>
  <c r="M411" i="13"/>
  <c r="M320" i="13"/>
  <c r="M154" i="13"/>
  <c r="M218" i="13"/>
  <c r="M162" i="13"/>
  <c r="M103" i="13"/>
  <c r="M21" i="13"/>
  <c r="M293" i="13"/>
  <c r="M137" i="13"/>
  <c r="M155" i="13"/>
  <c r="M213" i="13"/>
  <c r="M415" i="13"/>
  <c r="M422" i="13"/>
  <c r="M132" i="13"/>
  <c r="M278" i="13"/>
  <c r="M444" i="13"/>
  <c r="M113" i="13"/>
  <c r="M217" i="13"/>
  <c r="M441" i="13"/>
  <c r="M200" i="13"/>
  <c r="M428" i="13"/>
  <c r="M198" i="13"/>
  <c r="M71" i="13"/>
  <c r="M260" i="13"/>
  <c r="M118" i="13"/>
  <c r="M4" i="13"/>
  <c r="M60" i="13"/>
  <c r="M40" i="13"/>
  <c r="M233" i="13"/>
  <c r="I17" i="5"/>
  <c r="M295" i="13"/>
  <c r="M253" i="13"/>
  <c r="M61" i="13"/>
  <c r="M267" i="13"/>
  <c r="M64" i="13"/>
  <c r="M429" i="13"/>
  <c r="M282" i="13"/>
  <c r="M108" i="13"/>
  <c r="M445" i="13"/>
  <c r="M256" i="13"/>
  <c r="M70" i="13"/>
  <c r="M67" i="13"/>
  <c r="M314" i="13"/>
  <c r="M87" i="13"/>
  <c r="M80" i="13"/>
  <c r="M123" i="13"/>
  <c r="M102" i="13"/>
  <c r="M224" i="13"/>
  <c r="M435" i="13"/>
  <c r="M167" i="13"/>
  <c r="M112" i="13"/>
  <c r="M186" i="13"/>
  <c r="M97" i="13"/>
  <c r="M41" i="13"/>
  <c r="M94" i="13"/>
  <c r="M305" i="13"/>
  <c r="M258" i="13"/>
  <c r="M283" i="13"/>
  <c r="M138" i="13"/>
  <c r="M107" i="13"/>
  <c r="M55" i="13"/>
  <c r="M134" i="13"/>
  <c r="M165" i="13"/>
  <c r="M10" i="13"/>
  <c r="M209" i="13"/>
  <c r="I23" i="5"/>
  <c r="M63" i="13"/>
  <c r="M93" i="13"/>
  <c r="M161" i="13"/>
  <c r="M117" i="13"/>
  <c r="M204" i="13"/>
  <c r="M236" i="13"/>
  <c r="M231" i="13"/>
  <c r="M141" i="13"/>
  <c r="M194" i="13"/>
  <c r="M309" i="13"/>
  <c r="M251" i="13"/>
  <c r="M145" i="13"/>
  <c r="I19" i="5"/>
  <c r="M110" i="13"/>
  <c r="M168" i="13"/>
  <c r="M230" i="13"/>
  <c r="M121" i="13"/>
  <c r="M274" i="13"/>
  <c r="M6" i="13"/>
  <c r="M237" i="13"/>
  <c r="M234" i="13"/>
  <c r="M249" i="13"/>
  <c r="M181" i="13"/>
  <c r="M285" i="13"/>
  <c r="M8" i="13"/>
  <c r="M424" i="13"/>
  <c r="M416" i="13"/>
  <c r="M290" i="13"/>
  <c r="M47" i="13"/>
  <c r="M216" i="13"/>
  <c r="M5" i="13"/>
  <c r="M77" i="13"/>
  <c r="M417" i="13"/>
  <c r="K17" i="5"/>
  <c r="M125" i="13"/>
  <c r="M68" i="13"/>
  <c r="M276" i="13"/>
  <c r="M89" i="13"/>
  <c r="M421" i="13"/>
  <c r="M35" i="13"/>
  <c r="M179" i="13"/>
  <c r="M203" i="13"/>
  <c r="M261" i="13"/>
  <c r="M26" i="13"/>
  <c r="M169" i="13"/>
  <c r="B71" i="5" l="1"/>
  <c r="H71" i="5" s="1"/>
  <c r="N71" i="5" s="1"/>
  <c r="T71" i="5" s="1"/>
  <c r="I71" i="5"/>
  <c r="O71" i="5" s="1"/>
  <c r="U71" i="5" s="1"/>
  <c r="B80" i="5"/>
  <c r="H80" i="5" s="1"/>
  <c r="N80" i="5" s="1"/>
  <c r="T80" i="5" s="1"/>
  <c r="H59" i="5"/>
  <c r="D84" i="5"/>
  <c r="J75" i="5"/>
  <c r="P75" i="5" s="1"/>
  <c r="V75" i="5" s="1"/>
  <c r="N50" i="5"/>
  <c r="W77" i="5"/>
  <c r="W69" i="5"/>
  <c r="X77" i="5"/>
  <c r="X69" i="5"/>
  <c r="L77" i="5"/>
  <c r="L78" i="5" s="1"/>
  <c r="L79" i="5" s="1"/>
  <c r="L80" i="5" s="1"/>
  <c r="L81" i="5" s="1"/>
  <c r="L82" i="5" s="1"/>
  <c r="L83" i="5" s="1"/>
  <c r="L84" i="5" s="1"/>
  <c r="L85" i="5" s="1"/>
  <c r="L70" i="5"/>
  <c r="L71" i="5" s="1"/>
  <c r="L72" i="5" s="1"/>
  <c r="L73" i="5" s="1"/>
  <c r="L74" i="5" s="1"/>
  <c r="L75" i="5" s="1"/>
  <c r="L76" i="5" s="1"/>
  <c r="K69" i="5"/>
  <c r="K77" i="5"/>
  <c r="E62" i="5"/>
  <c r="Q61" i="5"/>
  <c r="C83" i="5"/>
  <c r="B74" i="5"/>
  <c r="H74" i="5" s="1"/>
  <c r="N74" i="5" s="1"/>
  <c r="T74" i="5" s="1"/>
  <c r="I74" i="5"/>
  <c r="O74" i="5" s="1"/>
  <c r="U74" i="5" s="1"/>
  <c r="F53" i="5"/>
  <c r="R52" i="5"/>
  <c r="I73" i="5"/>
  <c r="O73" i="5" s="1"/>
  <c r="U73" i="5" s="1"/>
  <c r="C82" i="5"/>
  <c r="B73" i="5"/>
  <c r="D79" i="5"/>
  <c r="J70" i="5"/>
  <c r="P70" i="5" s="1"/>
  <c r="V70" i="5" s="1"/>
  <c r="E53" i="5"/>
  <c r="Q52" i="5"/>
  <c r="F61" i="5"/>
  <c r="R60" i="5"/>
  <c r="F68" i="5"/>
  <c r="B77" i="5"/>
  <c r="H77" i="5" s="1"/>
  <c r="N77" i="5" s="1"/>
  <c r="T77" i="5" s="1"/>
  <c r="I77" i="5"/>
  <c r="O77" i="5" s="1"/>
  <c r="U77" i="5" s="1"/>
  <c r="D83" i="5"/>
  <c r="J83" i="5" s="1"/>
  <c r="P83" i="5" s="1"/>
  <c r="V83" i="5" s="1"/>
  <c r="J74" i="5"/>
  <c r="P74" i="5" s="1"/>
  <c r="V74" i="5" s="1"/>
  <c r="E69" i="5"/>
  <c r="E77" i="5" s="1"/>
  <c r="Q68" i="5"/>
  <c r="I81" i="5"/>
  <c r="O81" i="5" s="1"/>
  <c r="U81" i="5" s="1"/>
  <c r="B81" i="5"/>
  <c r="H81" i="5" s="1"/>
  <c r="N81" i="5" s="1"/>
  <c r="T81" i="5" s="1"/>
  <c r="B78" i="5"/>
  <c r="H78" i="5" s="1"/>
  <c r="N78" i="5" s="1"/>
  <c r="T78" i="5" s="1"/>
  <c r="X64" i="5"/>
  <c r="N59" i="5" l="1"/>
  <c r="T50" i="5"/>
  <c r="Q69" i="5"/>
  <c r="H73" i="5"/>
  <c r="J84" i="5"/>
  <c r="P84" i="5" s="1"/>
  <c r="V84" i="5" s="1"/>
  <c r="B84" i="5"/>
  <c r="H84" i="5" s="1"/>
  <c r="N84" i="5" s="1"/>
  <c r="T84" i="5" s="1"/>
  <c r="X78" i="5"/>
  <c r="X70" i="5"/>
  <c r="W70" i="5"/>
  <c r="W78" i="5"/>
  <c r="K70" i="5"/>
  <c r="K78" i="5"/>
  <c r="F62" i="5"/>
  <c r="R61" i="5"/>
  <c r="J79" i="5"/>
  <c r="P79" i="5" s="1"/>
  <c r="V79" i="5" s="1"/>
  <c r="B79" i="5"/>
  <c r="I83" i="5"/>
  <c r="O83" i="5" s="1"/>
  <c r="U83" i="5" s="1"/>
  <c r="B83" i="5"/>
  <c r="H83" i="5" s="1"/>
  <c r="N83" i="5" s="1"/>
  <c r="T83" i="5" s="1"/>
  <c r="E78" i="5"/>
  <c r="Q77" i="5"/>
  <c r="F54" i="5"/>
  <c r="R53" i="5"/>
  <c r="E70" i="5"/>
  <c r="R68" i="5"/>
  <c r="F69" i="5"/>
  <c r="E54" i="5"/>
  <c r="Q53" i="5"/>
  <c r="B82" i="5"/>
  <c r="H82" i="5" s="1"/>
  <c r="N82" i="5" s="1"/>
  <c r="T82" i="5" s="1"/>
  <c r="I82" i="5"/>
  <c r="O82" i="5" s="1"/>
  <c r="U82" i="5" s="1"/>
  <c r="E63" i="5"/>
  <c r="Q62" i="5"/>
  <c r="X65" i="5"/>
  <c r="T59" i="5" l="1"/>
  <c r="H79" i="5"/>
  <c r="N73" i="5"/>
  <c r="W71" i="5"/>
  <c r="W79" i="5"/>
  <c r="X79" i="5"/>
  <c r="X71" i="5"/>
  <c r="K71" i="5"/>
  <c r="K79" i="5"/>
  <c r="E71" i="5"/>
  <c r="Q70" i="5"/>
  <c r="E79" i="5"/>
  <c r="Q78" i="5"/>
  <c r="E64" i="5"/>
  <c r="Q63" i="5"/>
  <c r="E55" i="5"/>
  <c r="Q54" i="5"/>
  <c r="R69" i="5"/>
  <c r="F77" i="5"/>
  <c r="F70" i="5"/>
  <c r="F55" i="5"/>
  <c r="R54" i="5"/>
  <c r="F63" i="5"/>
  <c r="R62" i="5"/>
  <c r="X66" i="5"/>
  <c r="T73" i="5" l="1"/>
  <c r="N79" i="5"/>
  <c r="X72" i="5"/>
  <c r="X80" i="5"/>
  <c r="W72" i="5"/>
  <c r="W80" i="5"/>
  <c r="K72" i="5"/>
  <c r="K80" i="5"/>
  <c r="F56" i="5"/>
  <c r="R55" i="5"/>
  <c r="F71" i="5"/>
  <c r="R70" i="5"/>
  <c r="E56" i="5"/>
  <c r="Q55" i="5"/>
  <c r="E80" i="5"/>
  <c r="Q79" i="5"/>
  <c r="F64" i="5"/>
  <c r="R63" i="5"/>
  <c r="R77" i="5"/>
  <c r="F78" i="5"/>
  <c r="E65" i="5"/>
  <c r="Q64" i="5"/>
  <c r="E72" i="5"/>
  <c r="Q71" i="5"/>
  <c r="X67" i="5"/>
  <c r="J412" i="13"/>
  <c r="J415" i="13" s="1"/>
  <c r="J418" i="13" s="1"/>
  <c r="J421" i="13" s="1"/>
  <c r="J424" i="13" s="1"/>
  <c r="J427" i="13" s="1"/>
  <c r="J430" i="13" s="1"/>
  <c r="J433" i="13" s="1"/>
  <c r="J436" i="13" s="1"/>
  <c r="J439" i="13" s="1"/>
  <c r="J442" i="13" s="1"/>
  <c r="J445" i="13" s="1"/>
  <c r="J413" i="13"/>
  <c r="J414" i="13"/>
  <c r="J417" i="13" s="1"/>
  <c r="J420" i="13" s="1"/>
  <c r="J423" i="13" s="1"/>
  <c r="J426" i="13" s="1"/>
  <c r="J429" i="13" s="1"/>
  <c r="J432" i="13" s="1"/>
  <c r="J435" i="13" s="1"/>
  <c r="J438" i="13" s="1"/>
  <c r="J441" i="13" s="1"/>
  <c r="J444" i="13" s="1"/>
  <c r="J416" i="13"/>
  <c r="J419" i="13" s="1"/>
  <c r="J422" i="13" s="1"/>
  <c r="J425" i="13" s="1"/>
  <c r="J428" i="13" s="1"/>
  <c r="J431" i="13" s="1"/>
  <c r="J434" i="13" s="1"/>
  <c r="J437" i="13" s="1"/>
  <c r="J440" i="13" s="1"/>
  <c r="J443" i="13" s="1"/>
  <c r="J446" i="13" s="1"/>
  <c r="J411" i="13"/>
  <c r="F414" i="13"/>
  <c r="F412" i="13"/>
  <c r="F413" i="13"/>
  <c r="F411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09" i="13"/>
  <c r="G33" i="13"/>
  <c r="G44" i="13"/>
  <c r="G76" i="13"/>
  <c r="G80" i="13"/>
  <c r="G108" i="13"/>
  <c r="G112" i="13"/>
  <c r="G116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T13" i="13"/>
  <c r="T14" i="13"/>
  <c r="G22" i="13" s="1"/>
  <c r="T15" i="13"/>
  <c r="T16" i="13"/>
  <c r="T17" i="13"/>
  <c r="T18" i="13"/>
  <c r="G65" i="13" s="1"/>
  <c r="T19" i="13"/>
  <c r="G70" i="13" s="1"/>
  <c r="T20" i="13"/>
  <c r="T21" i="13"/>
  <c r="G84" i="13" s="1"/>
  <c r="T22" i="13"/>
  <c r="G100" i="13" s="1"/>
  <c r="T23" i="13"/>
  <c r="G104" i="13" s="1"/>
  <c r="T24" i="13"/>
  <c r="T12" i="13"/>
  <c r="G6" i="13" s="1"/>
  <c r="D34" i="5"/>
  <c r="D35" i="5"/>
  <c r="D36" i="5"/>
  <c r="D37" i="5"/>
  <c r="D38" i="5"/>
  <c r="D39" i="5"/>
  <c r="D40" i="5"/>
  <c r="D41" i="5"/>
  <c r="D42" i="5"/>
  <c r="D43" i="5"/>
  <c r="D44" i="5"/>
  <c r="D45" i="5"/>
  <c r="D33" i="5"/>
  <c r="C34" i="5"/>
  <c r="C35" i="5"/>
  <c r="C36" i="5"/>
  <c r="C37" i="5"/>
  <c r="C38" i="5"/>
  <c r="C39" i="5"/>
  <c r="C40" i="5"/>
  <c r="C41" i="5"/>
  <c r="C42" i="5"/>
  <c r="C43" i="5"/>
  <c r="C44" i="5"/>
  <c r="C45" i="5"/>
  <c r="C33" i="5"/>
  <c r="C420" i="13"/>
  <c r="C442" i="13"/>
  <c r="C410" i="13"/>
  <c r="C417" i="13"/>
  <c r="C445" i="13"/>
  <c r="C431" i="13"/>
  <c r="C435" i="13"/>
  <c r="C426" i="13"/>
  <c r="C444" i="13"/>
  <c r="C416" i="13"/>
  <c r="C409" i="13"/>
  <c r="C412" i="13"/>
  <c r="C424" i="13"/>
  <c r="C427" i="13"/>
  <c r="C418" i="13"/>
  <c r="C422" i="13"/>
  <c r="C432" i="13"/>
  <c r="C443" i="13"/>
  <c r="C430" i="13"/>
  <c r="C411" i="13"/>
  <c r="C436" i="13"/>
  <c r="C408" i="13"/>
  <c r="C428" i="13"/>
  <c r="C440" i="13"/>
  <c r="C433" i="13"/>
  <c r="C419" i="13"/>
  <c r="C423" i="13"/>
  <c r="C429" i="13"/>
  <c r="C439" i="13"/>
  <c r="C441" i="13"/>
  <c r="C413" i="13"/>
  <c r="H3" i="8"/>
  <c r="C446" i="13"/>
  <c r="C434" i="13"/>
  <c r="C425" i="13"/>
  <c r="C421" i="13"/>
  <c r="C438" i="13"/>
  <c r="C437" i="13"/>
  <c r="C415" i="13"/>
  <c r="C414" i="13"/>
  <c r="T79" i="5" l="1"/>
  <c r="Y3" i="8"/>
  <c r="U3" i="14" s="1"/>
  <c r="W73" i="5"/>
  <c r="W81" i="5"/>
  <c r="X73" i="5"/>
  <c r="X81" i="5"/>
  <c r="K73" i="5"/>
  <c r="K81" i="5"/>
  <c r="E66" i="5"/>
  <c r="Q65" i="5"/>
  <c r="F65" i="5"/>
  <c r="R64" i="5"/>
  <c r="E57" i="5"/>
  <c r="Q56" i="5"/>
  <c r="F57" i="5"/>
  <c r="R56" i="5"/>
  <c r="R78" i="5"/>
  <c r="F79" i="5"/>
  <c r="E73" i="5"/>
  <c r="Q72" i="5"/>
  <c r="E81" i="5"/>
  <c r="Q80" i="5"/>
  <c r="F72" i="5"/>
  <c r="R71" i="5"/>
  <c r="F416" i="13"/>
  <c r="F417" i="13"/>
  <c r="F415" i="13"/>
  <c r="G51" i="13"/>
  <c r="G55" i="13"/>
  <c r="G50" i="13"/>
  <c r="G56" i="13"/>
  <c r="G52" i="13"/>
  <c r="G48" i="13"/>
  <c r="G53" i="13"/>
  <c r="G113" i="13"/>
  <c r="G117" i="13"/>
  <c r="G114" i="13"/>
  <c r="G118" i="13"/>
  <c r="G111" i="13"/>
  <c r="G115" i="13"/>
  <c r="G119" i="13"/>
  <c r="G75" i="13"/>
  <c r="G77" i="13"/>
  <c r="G81" i="13"/>
  <c r="G78" i="13"/>
  <c r="G82" i="13"/>
  <c r="G79" i="13"/>
  <c r="G83" i="13"/>
  <c r="G39" i="13"/>
  <c r="G43" i="13"/>
  <c r="G47" i="13"/>
  <c r="G40" i="13"/>
  <c r="G45" i="13"/>
  <c r="G41" i="13"/>
  <c r="G46" i="13"/>
  <c r="G42" i="13"/>
  <c r="G3" i="13"/>
  <c r="G88" i="13"/>
  <c r="G49" i="13"/>
  <c r="G28" i="13"/>
  <c r="G7" i="13"/>
  <c r="G11" i="13"/>
  <c r="G8" i="13"/>
  <c r="G4" i="13"/>
  <c r="G9" i="13"/>
  <c r="G5" i="13"/>
  <c r="G10" i="13"/>
  <c r="G15" i="13"/>
  <c r="G19" i="13"/>
  <c r="G13" i="13"/>
  <c r="G18" i="13"/>
  <c r="G14" i="13"/>
  <c r="G20" i="13"/>
  <c r="G16" i="13"/>
  <c r="G12" i="13"/>
  <c r="G105" i="13"/>
  <c r="G109" i="13"/>
  <c r="G102" i="13"/>
  <c r="G106" i="13"/>
  <c r="G110" i="13"/>
  <c r="G103" i="13"/>
  <c r="G107" i="13"/>
  <c r="G67" i="13"/>
  <c r="G71" i="13"/>
  <c r="G66" i="13"/>
  <c r="G72" i="13"/>
  <c r="G68" i="13"/>
  <c r="G73" i="13"/>
  <c r="G69" i="13"/>
  <c r="G74" i="13"/>
  <c r="G31" i="13"/>
  <c r="G35" i="13"/>
  <c r="G34" i="13"/>
  <c r="G30" i="13"/>
  <c r="G36" i="13"/>
  <c r="G32" i="13"/>
  <c r="G37" i="13"/>
  <c r="G85" i="13"/>
  <c r="G89" i="13"/>
  <c r="G86" i="13"/>
  <c r="G90" i="13"/>
  <c r="G87" i="13"/>
  <c r="G91" i="13"/>
  <c r="G92" i="13"/>
  <c r="G54" i="13"/>
  <c r="G93" i="13"/>
  <c r="G97" i="13"/>
  <c r="G101" i="13"/>
  <c r="G94" i="13"/>
  <c r="G98" i="13"/>
  <c r="G95" i="13"/>
  <c r="G99" i="13"/>
  <c r="G59" i="13"/>
  <c r="G63" i="13"/>
  <c r="G61" i="13"/>
  <c r="G57" i="13"/>
  <c r="G62" i="13"/>
  <c r="G58" i="13"/>
  <c r="G64" i="13"/>
  <c r="G23" i="13"/>
  <c r="G27" i="13"/>
  <c r="G24" i="13"/>
  <c r="G29" i="13"/>
  <c r="G25" i="13"/>
  <c r="G21" i="13"/>
  <c r="G26" i="13"/>
  <c r="G96" i="13"/>
  <c r="G60" i="13"/>
  <c r="G38" i="13"/>
  <c r="G17" i="13"/>
  <c r="W74" i="5" l="1"/>
  <c r="W82" i="5"/>
  <c r="X74" i="5"/>
  <c r="X82" i="5"/>
  <c r="K74" i="5"/>
  <c r="K82" i="5"/>
  <c r="E74" i="5"/>
  <c r="Q73" i="5"/>
  <c r="F66" i="5"/>
  <c r="R65" i="5"/>
  <c r="F80" i="5"/>
  <c r="R79" i="5"/>
  <c r="F73" i="5"/>
  <c r="R72" i="5"/>
  <c r="F58" i="5"/>
  <c r="R58" i="5" s="1"/>
  <c r="R57" i="5"/>
  <c r="E82" i="5"/>
  <c r="Q81" i="5"/>
  <c r="E58" i="5"/>
  <c r="Q58" i="5" s="1"/>
  <c r="Q57" i="5"/>
  <c r="E67" i="5"/>
  <c r="Q66" i="5"/>
  <c r="F418" i="13"/>
  <c r="F420" i="13"/>
  <c r="F419" i="13"/>
  <c r="F139" i="13"/>
  <c r="F274" i="13" s="1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286" i="13" s="1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310" i="13" s="1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326" i="13" s="1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342" i="13" s="1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358" i="13" s="1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374" i="13" s="1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404" i="13" s="1"/>
  <c r="F270" i="13"/>
  <c r="F271" i="13"/>
  <c r="F272" i="13"/>
  <c r="F273" i="13"/>
  <c r="F276" i="13"/>
  <c r="F278" i="13"/>
  <c r="F279" i="13"/>
  <c r="F280" i="13"/>
  <c r="F282" i="13"/>
  <c r="F283" i="13"/>
  <c r="F284" i="13"/>
  <c r="F287" i="13"/>
  <c r="F288" i="13"/>
  <c r="F290" i="13"/>
  <c r="F292" i="13"/>
  <c r="F294" i="13"/>
  <c r="F296" i="13"/>
  <c r="F298" i="13"/>
  <c r="F299" i="13"/>
  <c r="F300" i="13"/>
  <c r="F302" i="13"/>
  <c r="F303" i="13"/>
  <c r="F304" i="13"/>
  <c r="F306" i="13"/>
  <c r="F307" i="13"/>
  <c r="F308" i="13"/>
  <c r="F311" i="13"/>
  <c r="F312" i="13"/>
  <c r="F314" i="13"/>
  <c r="F315" i="13"/>
  <c r="F316" i="13"/>
  <c r="F318" i="13"/>
  <c r="F319" i="13"/>
  <c r="F320" i="13"/>
  <c r="F322" i="13"/>
  <c r="F323" i="13"/>
  <c r="F324" i="13"/>
  <c r="F327" i="13"/>
  <c r="F328" i="13"/>
  <c r="F330" i="13"/>
  <c r="F331" i="13"/>
  <c r="F332" i="13"/>
  <c r="F334" i="13"/>
  <c r="F335" i="13"/>
  <c r="F336" i="13"/>
  <c r="F338" i="13"/>
  <c r="F339" i="13"/>
  <c r="F340" i="13"/>
  <c r="F343" i="13"/>
  <c r="F344" i="13"/>
  <c r="F346" i="13"/>
  <c r="F347" i="13"/>
  <c r="F348" i="13"/>
  <c r="F350" i="13"/>
  <c r="F351" i="13"/>
  <c r="F352" i="13"/>
  <c r="F354" i="13"/>
  <c r="F355" i="13"/>
  <c r="F356" i="13"/>
  <c r="F359" i="13"/>
  <c r="F360" i="13"/>
  <c r="F362" i="13"/>
  <c r="F363" i="13"/>
  <c r="F364" i="13"/>
  <c r="F366" i="13"/>
  <c r="F367" i="13"/>
  <c r="F368" i="13"/>
  <c r="F370" i="13"/>
  <c r="F371" i="13"/>
  <c r="F372" i="13"/>
  <c r="F375" i="13"/>
  <c r="F376" i="13"/>
  <c r="F378" i="13"/>
  <c r="F379" i="13"/>
  <c r="F380" i="13"/>
  <c r="F382" i="13"/>
  <c r="F383" i="13"/>
  <c r="F384" i="13"/>
  <c r="F386" i="13"/>
  <c r="F388" i="13"/>
  <c r="F390" i="13"/>
  <c r="F392" i="13"/>
  <c r="F394" i="13"/>
  <c r="F396" i="13"/>
  <c r="F398" i="13"/>
  <c r="F400" i="13"/>
  <c r="F402" i="13"/>
  <c r="F406" i="13"/>
  <c r="F138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D3" i="11"/>
  <c r="L139" i="13"/>
  <c r="L274" i="13" s="1"/>
  <c r="L140" i="13"/>
  <c r="L275" i="13" s="1"/>
  <c r="L141" i="13"/>
  <c r="L276" i="13" s="1"/>
  <c r="L142" i="13"/>
  <c r="L277" i="13" s="1"/>
  <c r="L143" i="13"/>
  <c r="L278" i="13" s="1"/>
  <c r="L144" i="13"/>
  <c r="L279" i="13" s="1"/>
  <c r="L145" i="13"/>
  <c r="L280" i="13" s="1"/>
  <c r="L146" i="13"/>
  <c r="L281" i="13" s="1"/>
  <c r="L148" i="13"/>
  <c r="L283" i="13" s="1"/>
  <c r="L150" i="13"/>
  <c r="L285" i="13" s="1"/>
  <c r="L152" i="13"/>
  <c r="L287" i="13" s="1"/>
  <c r="L138" i="13"/>
  <c r="L273" i="13" s="1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38" i="13"/>
  <c r="L13" i="13"/>
  <c r="L14" i="13"/>
  <c r="L15" i="13"/>
  <c r="L16" i="13"/>
  <c r="L151" i="13" s="1"/>
  <c r="L286" i="13" s="1"/>
  <c r="L17" i="13"/>
  <c r="L18" i="13"/>
  <c r="L19" i="13"/>
  <c r="L20" i="13"/>
  <c r="L155" i="13" s="1"/>
  <c r="L290" i="13" s="1"/>
  <c r="L22" i="13"/>
  <c r="L24" i="13"/>
  <c r="L159" i="13" s="1"/>
  <c r="L294" i="13" s="1"/>
  <c r="L28" i="13"/>
  <c r="L163" i="13" s="1"/>
  <c r="L298" i="13" s="1"/>
  <c r="L12" i="13"/>
  <c r="AB1" i="13" a="1"/>
  <c r="AB1" i="13" s="1"/>
  <c r="Q67" i="5" l="1"/>
  <c r="X75" i="5"/>
  <c r="X83" i="5"/>
  <c r="W75" i="5"/>
  <c r="W83" i="5"/>
  <c r="K75" i="5"/>
  <c r="K83" i="5"/>
  <c r="E83" i="5"/>
  <c r="Q82" i="5"/>
  <c r="F67" i="5"/>
  <c r="R66" i="5"/>
  <c r="F74" i="5"/>
  <c r="R73" i="5"/>
  <c r="F81" i="5"/>
  <c r="R80" i="5"/>
  <c r="E75" i="5"/>
  <c r="Q74" i="5"/>
  <c r="F423" i="13"/>
  <c r="F422" i="13"/>
  <c r="F421" i="13"/>
  <c r="L23" i="13"/>
  <c r="G182" i="13"/>
  <c r="H317" i="13"/>
  <c r="G317" i="13" s="1"/>
  <c r="G170" i="13"/>
  <c r="H305" i="13"/>
  <c r="G305" i="13" s="1"/>
  <c r="G150" i="13"/>
  <c r="H285" i="13"/>
  <c r="G285" i="13" s="1"/>
  <c r="G189" i="13"/>
  <c r="H324" i="13"/>
  <c r="G324" i="13" s="1"/>
  <c r="G185" i="13"/>
  <c r="H320" i="13"/>
  <c r="G320" i="13" s="1"/>
  <c r="G181" i="13"/>
  <c r="H316" i="13"/>
  <c r="G316" i="13" s="1"/>
  <c r="G177" i="13"/>
  <c r="H312" i="13"/>
  <c r="G312" i="13" s="1"/>
  <c r="G173" i="13"/>
  <c r="H308" i="13"/>
  <c r="G308" i="13" s="1"/>
  <c r="G169" i="13"/>
  <c r="H304" i="13"/>
  <c r="G304" i="13" s="1"/>
  <c r="G165" i="13"/>
  <c r="H300" i="13"/>
  <c r="G300" i="13" s="1"/>
  <c r="G161" i="13"/>
  <c r="H296" i="13"/>
  <c r="G296" i="13" s="1"/>
  <c r="G157" i="13"/>
  <c r="H292" i="13"/>
  <c r="G292" i="13" s="1"/>
  <c r="G153" i="13"/>
  <c r="H288" i="13"/>
  <c r="G288" i="13" s="1"/>
  <c r="G149" i="13"/>
  <c r="H284" i="13"/>
  <c r="G284" i="13" s="1"/>
  <c r="G145" i="13"/>
  <c r="H280" i="13"/>
  <c r="G280" i="13" s="1"/>
  <c r="G141" i="13"/>
  <c r="H276" i="13"/>
  <c r="G276" i="13" s="1"/>
  <c r="L147" i="13"/>
  <c r="L282" i="13" s="1"/>
  <c r="F407" i="13"/>
  <c r="F403" i="13"/>
  <c r="F399" i="13"/>
  <c r="G186" i="13"/>
  <c r="H321" i="13"/>
  <c r="G321" i="13" s="1"/>
  <c r="G174" i="13"/>
  <c r="H309" i="13"/>
  <c r="G309" i="13" s="1"/>
  <c r="G162" i="13"/>
  <c r="H297" i="13"/>
  <c r="G297" i="13" s="1"/>
  <c r="G158" i="13"/>
  <c r="H293" i="13"/>
  <c r="G293" i="13" s="1"/>
  <c r="G146" i="13"/>
  <c r="H281" i="13"/>
  <c r="G281" i="13" s="1"/>
  <c r="G271" i="13"/>
  <c r="H406" i="13"/>
  <c r="L37" i="13"/>
  <c r="L27" i="13"/>
  <c r="L29" i="13"/>
  <c r="L25" i="13"/>
  <c r="G138" i="13"/>
  <c r="H273" i="13"/>
  <c r="G273" i="13" s="1"/>
  <c r="G188" i="13"/>
  <c r="H323" i="13"/>
  <c r="G323" i="13" s="1"/>
  <c r="G184" i="13"/>
  <c r="H319" i="13"/>
  <c r="G319" i="13" s="1"/>
  <c r="G180" i="13"/>
  <c r="H315" i="13"/>
  <c r="G315" i="13" s="1"/>
  <c r="G176" i="13"/>
  <c r="H311" i="13"/>
  <c r="G311" i="13" s="1"/>
  <c r="G172" i="13"/>
  <c r="H307" i="13"/>
  <c r="G307" i="13" s="1"/>
  <c r="G168" i="13"/>
  <c r="H303" i="13"/>
  <c r="G303" i="13" s="1"/>
  <c r="G164" i="13"/>
  <c r="H299" i="13"/>
  <c r="G299" i="13" s="1"/>
  <c r="G160" i="13"/>
  <c r="H295" i="13"/>
  <c r="G295" i="13" s="1"/>
  <c r="G156" i="13"/>
  <c r="H291" i="13"/>
  <c r="G291" i="13" s="1"/>
  <c r="G152" i="13"/>
  <c r="H287" i="13"/>
  <c r="G287" i="13" s="1"/>
  <c r="G148" i="13"/>
  <c r="H283" i="13"/>
  <c r="G283" i="13" s="1"/>
  <c r="G144" i="13"/>
  <c r="H279" i="13"/>
  <c r="G279" i="13" s="1"/>
  <c r="G140" i="13"/>
  <c r="H275" i="13"/>
  <c r="G275" i="13" s="1"/>
  <c r="L154" i="13"/>
  <c r="L289" i="13" s="1"/>
  <c r="G272" i="13"/>
  <c r="H407" i="13"/>
  <c r="G270" i="13"/>
  <c r="H405" i="13"/>
  <c r="G268" i="13"/>
  <c r="H403" i="13"/>
  <c r="G266" i="13"/>
  <c r="H401" i="13"/>
  <c r="G264" i="13"/>
  <c r="H399" i="13"/>
  <c r="G262" i="13"/>
  <c r="H397" i="13"/>
  <c r="G260" i="13"/>
  <c r="H395" i="13"/>
  <c r="G258" i="13"/>
  <c r="H393" i="13"/>
  <c r="G256" i="13"/>
  <c r="H391" i="13"/>
  <c r="G254" i="13"/>
  <c r="H389" i="13"/>
  <c r="G252" i="13"/>
  <c r="H387" i="13"/>
  <c r="G250" i="13"/>
  <c r="H385" i="13"/>
  <c r="G248" i="13"/>
  <c r="H383" i="13"/>
  <c r="G246" i="13"/>
  <c r="H381" i="13"/>
  <c r="G244" i="13"/>
  <c r="H379" i="13"/>
  <c r="G242" i="13"/>
  <c r="H377" i="13"/>
  <c r="G240" i="13"/>
  <c r="H375" i="13"/>
  <c r="G238" i="13"/>
  <c r="H373" i="13"/>
  <c r="G236" i="13"/>
  <c r="H371" i="13"/>
  <c r="G234" i="13"/>
  <c r="H369" i="13"/>
  <c r="G232" i="13"/>
  <c r="H367" i="13"/>
  <c r="G230" i="13"/>
  <c r="H365" i="13"/>
  <c r="G228" i="13"/>
  <c r="H363" i="13"/>
  <c r="G226" i="13"/>
  <c r="H361" i="13"/>
  <c r="G224" i="13"/>
  <c r="H359" i="13"/>
  <c r="G222" i="13"/>
  <c r="H357" i="13"/>
  <c r="G220" i="13"/>
  <c r="H355" i="13"/>
  <c r="G218" i="13"/>
  <c r="H353" i="13"/>
  <c r="G216" i="13"/>
  <c r="H351" i="13"/>
  <c r="G214" i="13"/>
  <c r="H349" i="13"/>
  <c r="G212" i="13"/>
  <c r="H347" i="13"/>
  <c r="G210" i="13"/>
  <c r="H345" i="13"/>
  <c r="G208" i="13"/>
  <c r="H343" i="13"/>
  <c r="G206" i="13"/>
  <c r="H341" i="13"/>
  <c r="G204" i="13"/>
  <c r="H339" i="13"/>
  <c r="G202" i="13"/>
  <c r="H337" i="13"/>
  <c r="G200" i="13"/>
  <c r="H335" i="13"/>
  <c r="G198" i="13"/>
  <c r="H333" i="13"/>
  <c r="G196" i="13"/>
  <c r="H331" i="13"/>
  <c r="G194" i="13"/>
  <c r="H329" i="13"/>
  <c r="G329" i="13" s="1"/>
  <c r="G192" i="13"/>
  <c r="H327" i="13"/>
  <c r="G327" i="13" s="1"/>
  <c r="L26" i="13"/>
  <c r="G191" i="13"/>
  <c r="H326" i="13"/>
  <c r="G326" i="13" s="1"/>
  <c r="G187" i="13"/>
  <c r="H322" i="13"/>
  <c r="G322" i="13" s="1"/>
  <c r="G183" i="13"/>
  <c r="H318" i="13"/>
  <c r="G318" i="13" s="1"/>
  <c r="G179" i="13"/>
  <c r="H314" i="13"/>
  <c r="G314" i="13" s="1"/>
  <c r="G175" i="13"/>
  <c r="H310" i="13"/>
  <c r="G310" i="13" s="1"/>
  <c r="G171" i="13"/>
  <c r="H306" i="13"/>
  <c r="G306" i="13" s="1"/>
  <c r="G167" i="13"/>
  <c r="H302" i="13"/>
  <c r="G302" i="13" s="1"/>
  <c r="G163" i="13"/>
  <c r="H298" i="13"/>
  <c r="G298" i="13" s="1"/>
  <c r="G159" i="13"/>
  <c r="H294" i="13"/>
  <c r="G294" i="13" s="1"/>
  <c r="G155" i="13"/>
  <c r="H290" i="13"/>
  <c r="G290" i="13" s="1"/>
  <c r="G151" i="13"/>
  <c r="H286" i="13"/>
  <c r="G286" i="13" s="1"/>
  <c r="G147" i="13"/>
  <c r="H282" i="13"/>
  <c r="G282" i="13" s="1"/>
  <c r="G143" i="13"/>
  <c r="H278" i="13"/>
  <c r="G278" i="13" s="1"/>
  <c r="G139" i="13"/>
  <c r="H274" i="13"/>
  <c r="G274" i="13" s="1"/>
  <c r="L157" i="13"/>
  <c r="L292" i="13" s="1"/>
  <c r="L153" i="13"/>
  <c r="L288" i="13" s="1"/>
  <c r="L149" i="13"/>
  <c r="L284" i="13" s="1"/>
  <c r="L33" i="13"/>
  <c r="G190" i="13"/>
  <c r="H325" i="13"/>
  <c r="G325" i="13" s="1"/>
  <c r="G178" i="13"/>
  <c r="H313" i="13"/>
  <c r="G313" i="13" s="1"/>
  <c r="G166" i="13"/>
  <c r="H301" i="13"/>
  <c r="G301" i="13" s="1"/>
  <c r="G154" i="13"/>
  <c r="H289" i="13"/>
  <c r="G289" i="13" s="1"/>
  <c r="G142" i="13"/>
  <c r="H277" i="13"/>
  <c r="G277" i="13" s="1"/>
  <c r="G269" i="13"/>
  <c r="H404" i="13"/>
  <c r="G267" i="13"/>
  <c r="H402" i="13"/>
  <c r="G265" i="13"/>
  <c r="H400" i="13"/>
  <c r="G263" i="13"/>
  <c r="H398" i="13"/>
  <c r="G261" i="13"/>
  <c r="H396" i="13"/>
  <c r="G259" i="13"/>
  <c r="H394" i="13"/>
  <c r="G257" i="13"/>
  <c r="H392" i="13"/>
  <c r="G255" i="13"/>
  <c r="H390" i="13"/>
  <c r="G253" i="13"/>
  <c r="H388" i="13"/>
  <c r="G251" i="13"/>
  <c r="H386" i="13"/>
  <c r="G249" i="13"/>
  <c r="H384" i="13"/>
  <c r="G247" i="13"/>
  <c r="H382" i="13"/>
  <c r="G245" i="13"/>
  <c r="H380" i="13"/>
  <c r="G243" i="13"/>
  <c r="H378" i="13"/>
  <c r="G241" i="13"/>
  <c r="H376" i="13"/>
  <c r="G239" i="13"/>
  <c r="H374" i="13"/>
  <c r="G237" i="13"/>
  <c r="H372" i="13"/>
  <c r="G235" i="13"/>
  <c r="H370" i="13"/>
  <c r="G233" i="13"/>
  <c r="H368" i="13"/>
  <c r="G231" i="13"/>
  <c r="H366" i="13"/>
  <c r="G229" i="13"/>
  <c r="H364" i="13"/>
  <c r="G227" i="13"/>
  <c r="H362" i="13"/>
  <c r="G225" i="13"/>
  <c r="H360" i="13"/>
  <c r="G223" i="13"/>
  <c r="H358" i="13"/>
  <c r="G221" i="13"/>
  <c r="H356" i="13"/>
  <c r="G219" i="13"/>
  <c r="H354" i="13"/>
  <c r="G217" i="13"/>
  <c r="H352" i="13"/>
  <c r="G215" i="13"/>
  <c r="H350" i="13"/>
  <c r="G213" i="13"/>
  <c r="H348" i="13"/>
  <c r="G211" i="13"/>
  <c r="H346" i="13"/>
  <c r="G209" i="13"/>
  <c r="H344" i="13"/>
  <c r="G207" i="13"/>
  <c r="H342" i="13"/>
  <c r="G205" i="13"/>
  <c r="H340" i="13"/>
  <c r="G203" i="13"/>
  <c r="H338" i="13"/>
  <c r="G201" i="13"/>
  <c r="H336" i="13"/>
  <c r="G199" i="13"/>
  <c r="H334" i="13"/>
  <c r="G197" i="13"/>
  <c r="H332" i="13"/>
  <c r="G195" i="13"/>
  <c r="H330" i="13"/>
  <c r="G330" i="13" s="1"/>
  <c r="G193" i="13"/>
  <c r="H328" i="13"/>
  <c r="G328" i="13" s="1"/>
  <c r="F405" i="13"/>
  <c r="F401" i="13"/>
  <c r="F397" i="13"/>
  <c r="F393" i="13"/>
  <c r="F389" i="13"/>
  <c r="F385" i="13"/>
  <c r="F381" i="13"/>
  <c r="F377" i="13"/>
  <c r="F373" i="13"/>
  <c r="F369" i="13"/>
  <c r="F365" i="13"/>
  <c r="F361" i="13"/>
  <c r="F357" i="13"/>
  <c r="F353" i="13"/>
  <c r="F349" i="13"/>
  <c r="F345" i="13"/>
  <c r="F341" i="13"/>
  <c r="F337" i="13"/>
  <c r="F333" i="13"/>
  <c r="F329" i="13"/>
  <c r="F325" i="13"/>
  <c r="F321" i="13"/>
  <c r="F317" i="13"/>
  <c r="F313" i="13"/>
  <c r="F309" i="13"/>
  <c r="F305" i="13"/>
  <c r="F301" i="13"/>
  <c r="F297" i="13"/>
  <c r="F293" i="13"/>
  <c r="F289" i="13"/>
  <c r="F285" i="13"/>
  <c r="F281" i="13"/>
  <c r="F277" i="13"/>
  <c r="F395" i="13"/>
  <c r="F391" i="13"/>
  <c r="F387" i="13"/>
  <c r="F295" i="13"/>
  <c r="F291" i="13"/>
  <c r="F275" i="13"/>
  <c r="L32" i="13"/>
  <c r="L31" i="13"/>
  <c r="L21" i="13"/>
  <c r="AB12" i="13"/>
  <c r="AB4" i="13"/>
  <c r="AB8" i="13"/>
  <c r="AB15" i="13"/>
  <c r="AB7" i="13"/>
  <c r="AB11" i="13"/>
  <c r="AB3" i="13"/>
  <c r="AB14" i="13"/>
  <c r="AB10" i="13"/>
  <c r="AB6" i="13"/>
  <c r="AB2" i="13"/>
  <c r="AB13" i="13"/>
  <c r="AB9" i="13"/>
  <c r="AB5" i="13"/>
  <c r="G331" i="13" l="1"/>
  <c r="G335" i="13"/>
  <c r="G339" i="13"/>
  <c r="G343" i="13"/>
  <c r="G347" i="13"/>
  <c r="G351" i="13"/>
  <c r="G355" i="13"/>
  <c r="G359" i="13"/>
  <c r="G363" i="13"/>
  <c r="G367" i="13"/>
  <c r="G371" i="13"/>
  <c r="G375" i="13"/>
  <c r="G379" i="13"/>
  <c r="G383" i="13"/>
  <c r="G387" i="13"/>
  <c r="N387" i="13" s="1"/>
  <c r="G391" i="13"/>
  <c r="N391" i="13" s="1"/>
  <c r="G395" i="13"/>
  <c r="N395" i="13" s="1"/>
  <c r="G399" i="13"/>
  <c r="N399" i="13" s="1"/>
  <c r="G403" i="13"/>
  <c r="N403" i="13" s="1"/>
  <c r="G407" i="13"/>
  <c r="N407" i="13" s="1"/>
  <c r="B395" i="13"/>
  <c r="G334" i="13"/>
  <c r="G338" i="13"/>
  <c r="G342" i="13"/>
  <c r="G346" i="13"/>
  <c r="G350" i="13"/>
  <c r="G354" i="13"/>
  <c r="G358" i="13"/>
  <c r="G362" i="13"/>
  <c r="G366" i="13"/>
  <c r="G370" i="13"/>
  <c r="G374" i="13"/>
  <c r="G378" i="13"/>
  <c r="G382" i="13"/>
  <c r="G386" i="13"/>
  <c r="G390" i="13"/>
  <c r="G394" i="13"/>
  <c r="G398" i="13"/>
  <c r="G402" i="13"/>
  <c r="B407" i="13"/>
  <c r="G333" i="13"/>
  <c r="N333" i="13" s="1"/>
  <c r="G337" i="13"/>
  <c r="N337" i="13" s="1"/>
  <c r="G341" i="13"/>
  <c r="N341" i="13" s="1"/>
  <c r="G345" i="13"/>
  <c r="N345" i="13" s="1"/>
  <c r="G349" i="13"/>
  <c r="N349" i="13" s="1"/>
  <c r="G353" i="13"/>
  <c r="N353" i="13" s="1"/>
  <c r="G357" i="13"/>
  <c r="N357" i="13" s="1"/>
  <c r="G361" i="13"/>
  <c r="N361" i="13" s="1"/>
  <c r="G365" i="13"/>
  <c r="N365" i="13" s="1"/>
  <c r="G369" i="13"/>
  <c r="N369" i="13" s="1"/>
  <c r="G373" i="13"/>
  <c r="N373" i="13" s="1"/>
  <c r="G377" i="13"/>
  <c r="N377" i="13" s="1"/>
  <c r="G381" i="13"/>
  <c r="N381" i="13" s="1"/>
  <c r="G385" i="13"/>
  <c r="N385" i="13" s="1"/>
  <c r="G389" i="13"/>
  <c r="N389" i="13" s="1"/>
  <c r="G393" i="13"/>
  <c r="N393" i="13" s="1"/>
  <c r="G397" i="13"/>
  <c r="N397" i="13" s="1"/>
  <c r="G401" i="13"/>
  <c r="N401" i="13" s="1"/>
  <c r="G405" i="13"/>
  <c r="N405" i="13" s="1"/>
  <c r="B387" i="13"/>
  <c r="B345" i="13"/>
  <c r="B361" i="13"/>
  <c r="B377" i="13"/>
  <c r="B393" i="13"/>
  <c r="G332" i="13"/>
  <c r="G336" i="13"/>
  <c r="G340" i="13"/>
  <c r="G344" i="13"/>
  <c r="G348" i="13"/>
  <c r="G352" i="13"/>
  <c r="G356" i="13"/>
  <c r="G360" i="13"/>
  <c r="G364" i="13"/>
  <c r="G368" i="13"/>
  <c r="G372" i="13"/>
  <c r="G376" i="13"/>
  <c r="G380" i="13"/>
  <c r="G384" i="13"/>
  <c r="G388" i="13"/>
  <c r="G392" i="13"/>
  <c r="G396" i="13"/>
  <c r="G400" i="13"/>
  <c r="G404" i="13"/>
  <c r="G406" i="13"/>
  <c r="B399" i="13"/>
  <c r="R67" i="5"/>
  <c r="W76" i="5"/>
  <c r="W84" i="5"/>
  <c r="X76" i="5"/>
  <c r="X84" i="5"/>
  <c r="K76" i="5"/>
  <c r="K84" i="5"/>
  <c r="F82" i="5"/>
  <c r="R81" i="5"/>
  <c r="E76" i="5"/>
  <c r="Q75" i="5"/>
  <c r="F75" i="5"/>
  <c r="R74" i="5"/>
  <c r="E84" i="5"/>
  <c r="Q83" i="5"/>
  <c r="F425" i="13"/>
  <c r="F424" i="13"/>
  <c r="F426" i="13"/>
  <c r="L156" i="13"/>
  <c r="L46" i="13"/>
  <c r="L172" i="13"/>
  <c r="L38" i="13"/>
  <c r="L164" i="13"/>
  <c r="L166" i="13"/>
  <c r="L42" i="13"/>
  <c r="L168" i="13"/>
  <c r="L35" i="13"/>
  <c r="L161" i="13"/>
  <c r="L36" i="13"/>
  <c r="L162" i="13"/>
  <c r="L158" i="13"/>
  <c r="L167" i="13"/>
  <c r="L34" i="13"/>
  <c r="L160" i="13"/>
  <c r="L30" i="13"/>
  <c r="L40" i="13"/>
  <c r="L41" i="13"/>
  <c r="M349" i="13"/>
  <c r="M354" i="13"/>
  <c r="M20" i="5"/>
  <c r="C164" i="13"/>
  <c r="C278" i="13"/>
  <c r="M404" i="13"/>
  <c r="M333" i="13"/>
  <c r="M335" i="13"/>
  <c r="C155" i="13"/>
  <c r="C285" i="13"/>
  <c r="M21" i="5"/>
  <c r="H6" i="8"/>
  <c r="H21" i="8"/>
  <c r="H20" i="8"/>
  <c r="H26" i="8"/>
  <c r="N23" i="8"/>
  <c r="Q12" i="8"/>
  <c r="N20" i="8"/>
  <c r="H12" i="8"/>
  <c r="N32" i="8"/>
  <c r="N39" i="8"/>
  <c r="Q22" i="8"/>
  <c r="M23" i="5"/>
  <c r="P27" i="8"/>
  <c r="C289" i="13"/>
  <c r="Q21" i="8"/>
  <c r="L24" i="5"/>
  <c r="H5" i="8"/>
  <c r="C157" i="13"/>
  <c r="C290" i="13"/>
  <c r="M339" i="13"/>
  <c r="L20" i="5"/>
  <c r="Q25" i="8"/>
  <c r="H27" i="8"/>
  <c r="C294" i="13"/>
  <c r="N7" i="8"/>
  <c r="N5" i="8"/>
  <c r="N18" i="8"/>
  <c r="H15" i="8"/>
  <c r="M24" i="5"/>
  <c r="P17" i="8"/>
  <c r="H18" i="8"/>
  <c r="M348" i="13"/>
  <c r="M402" i="13"/>
  <c r="Q13" i="8"/>
  <c r="N3" i="8"/>
  <c r="C143" i="13"/>
  <c r="P39" i="8"/>
  <c r="M368" i="13"/>
  <c r="M337" i="13"/>
  <c r="Q37" i="8"/>
  <c r="P11" i="8"/>
  <c r="Q28" i="8"/>
  <c r="P26" i="8"/>
  <c r="Q9" i="8"/>
  <c r="C166" i="13"/>
  <c r="M373" i="13"/>
  <c r="C144" i="13"/>
  <c r="P32" i="8"/>
  <c r="M389" i="13"/>
  <c r="C287" i="13"/>
  <c r="M407" i="13"/>
  <c r="H23" i="8"/>
  <c r="N25" i="8"/>
  <c r="M346" i="13"/>
  <c r="H25" i="8"/>
  <c r="N11" i="8"/>
  <c r="L19" i="5"/>
  <c r="P4" i="8"/>
  <c r="N16" i="8"/>
  <c r="M26" i="5"/>
  <c r="N13" i="8"/>
  <c r="C142" i="13"/>
  <c r="M396" i="13"/>
  <c r="Q10" i="8"/>
  <c r="N24" i="8"/>
  <c r="H38" i="8"/>
  <c r="M400" i="13"/>
  <c r="Q18" i="8"/>
  <c r="M17" i="5"/>
  <c r="M341" i="13"/>
  <c r="N21" i="8"/>
  <c r="H39" i="8"/>
  <c r="C163" i="13"/>
  <c r="N22" i="8"/>
  <c r="N19" i="8"/>
  <c r="P7" i="8"/>
  <c r="M366" i="13"/>
  <c r="H33" i="8"/>
  <c r="C158" i="13"/>
  <c r="L23" i="5"/>
  <c r="N30" i="8"/>
  <c r="Q7" i="8"/>
  <c r="P38" i="8"/>
  <c r="Q15" i="8"/>
  <c r="L18" i="5"/>
  <c r="Q26" i="8"/>
  <c r="M22" i="5"/>
  <c r="M384" i="13"/>
  <c r="Q5" i="8"/>
  <c r="C273" i="13"/>
  <c r="C292" i="13"/>
  <c r="Q36" i="8"/>
  <c r="N4" i="8"/>
  <c r="C156" i="13"/>
  <c r="L27" i="5"/>
  <c r="Q3" i="8"/>
  <c r="M395" i="13"/>
  <c r="L16" i="5"/>
  <c r="H29" i="8"/>
  <c r="Q38" i="8"/>
  <c r="L21" i="5"/>
  <c r="N10" i="8"/>
  <c r="N15" i="8"/>
  <c r="M390" i="13"/>
  <c r="C149" i="13"/>
  <c r="Q20" i="8"/>
  <c r="M353" i="13"/>
  <c r="M371" i="13"/>
  <c r="M343" i="13"/>
  <c r="C152" i="13"/>
  <c r="Q23" i="8"/>
  <c r="P30" i="8"/>
  <c r="P34" i="8"/>
  <c r="M351" i="13"/>
  <c r="M25" i="5"/>
  <c r="P15" i="8"/>
  <c r="H31" i="8"/>
  <c r="M398" i="13"/>
  <c r="C274" i="13"/>
  <c r="H13" i="8"/>
  <c r="C288" i="13"/>
  <c r="M401" i="13"/>
  <c r="M359" i="13"/>
  <c r="M375" i="13"/>
  <c r="F21" i="5"/>
  <c r="M377" i="13"/>
  <c r="L26" i="5"/>
  <c r="L15" i="5"/>
  <c r="N14" i="8"/>
  <c r="P5" i="8"/>
  <c r="N37" i="8"/>
  <c r="M332" i="13"/>
  <c r="M374" i="13"/>
  <c r="C168" i="13"/>
  <c r="Q34" i="8"/>
  <c r="M392" i="13"/>
  <c r="M350" i="13"/>
  <c r="M18" i="5"/>
  <c r="M406" i="13"/>
  <c r="M372" i="13"/>
  <c r="M391" i="13"/>
  <c r="Q31" i="8"/>
  <c r="Q16" i="8"/>
  <c r="N6" i="8"/>
  <c r="C148" i="13"/>
  <c r="Q17" i="8"/>
  <c r="M345" i="13"/>
  <c r="C141" i="13"/>
  <c r="C167" i="13"/>
  <c r="N38" i="8"/>
  <c r="M16" i="5"/>
  <c r="P13" i="8"/>
  <c r="L25" i="5"/>
  <c r="M381" i="13"/>
  <c r="P28" i="8"/>
  <c r="P20" i="8"/>
  <c r="N36" i="8"/>
  <c r="M367" i="13"/>
  <c r="C275" i="13"/>
  <c r="C161" i="13"/>
  <c r="C172" i="13"/>
  <c r="H4" i="8"/>
  <c r="N31" i="8"/>
  <c r="P22" i="8"/>
  <c r="P35" i="8"/>
  <c r="P6" i="8"/>
  <c r="H22" i="8"/>
  <c r="M369" i="13"/>
  <c r="H9" i="8"/>
  <c r="M27" i="5"/>
  <c r="C150" i="13"/>
  <c r="C284" i="13"/>
  <c r="P9" i="8"/>
  <c r="H32" i="8"/>
  <c r="M342" i="13"/>
  <c r="C138" i="13"/>
  <c r="M362" i="13"/>
  <c r="C276" i="13"/>
  <c r="N29" i="8"/>
  <c r="C154" i="13"/>
  <c r="C162" i="13"/>
  <c r="M387" i="13"/>
  <c r="C279" i="13"/>
  <c r="C160" i="13"/>
  <c r="M360" i="13"/>
  <c r="M336" i="13"/>
  <c r="C298" i="13"/>
  <c r="Q4" i="8"/>
  <c r="H35" i="8"/>
  <c r="H11" i="8"/>
  <c r="P10" i="8"/>
  <c r="M19" i="5"/>
  <c r="L22" i="5"/>
  <c r="Q33" i="8"/>
  <c r="M340" i="13"/>
  <c r="M382" i="13"/>
  <c r="N12" i="8"/>
  <c r="H8" i="8"/>
  <c r="Q24" i="8"/>
  <c r="M361" i="13"/>
  <c r="M352" i="13"/>
  <c r="N34" i="8"/>
  <c r="C146" i="13"/>
  <c r="Q11" i="8"/>
  <c r="M379" i="13"/>
  <c r="C280" i="13"/>
  <c r="M355" i="13"/>
  <c r="Q14" i="8"/>
  <c r="C159" i="13"/>
  <c r="P16" i="8"/>
  <c r="M334" i="13"/>
  <c r="M344" i="13"/>
  <c r="H14" i="8"/>
  <c r="M356" i="13"/>
  <c r="N28" i="8"/>
  <c r="Q27" i="8"/>
  <c r="C147" i="13"/>
  <c r="C281" i="13"/>
  <c r="M386" i="13"/>
  <c r="Q8" i="8"/>
  <c r="H19" i="8"/>
  <c r="C140" i="13"/>
  <c r="N26" i="8"/>
  <c r="P25" i="8"/>
  <c r="P23" i="8"/>
  <c r="C151" i="13"/>
  <c r="H7" i="8"/>
  <c r="P33" i="8"/>
  <c r="M376" i="13"/>
  <c r="M357" i="13"/>
  <c r="M394" i="13"/>
  <c r="N27" i="8"/>
  <c r="M15" i="5"/>
  <c r="N9" i="8"/>
  <c r="M370" i="13"/>
  <c r="N35" i="8"/>
  <c r="L17" i="5"/>
  <c r="N33" i="8"/>
  <c r="P19" i="8"/>
  <c r="M365" i="13"/>
  <c r="P3" i="8"/>
  <c r="Q39" i="8"/>
  <c r="Q35" i="8"/>
  <c r="P31" i="8"/>
  <c r="C286" i="13"/>
  <c r="C283" i="13"/>
  <c r="P14" i="8"/>
  <c r="C153" i="13"/>
  <c r="P36" i="8"/>
  <c r="M383" i="13"/>
  <c r="M393" i="13"/>
  <c r="P21" i="8"/>
  <c r="Q6" i="8"/>
  <c r="N8" i="8"/>
  <c r="C277" i="13"/>
  <c r="M358" i="13"/>
  <c r="H30" i="8"/>
  <c r="M378" i="13"/>
  <c r="M388" i="13"/>
  <c r="M403" i="13"/>
  <c r="C282" i="13"/>
  <c r="E21" i="5"/>
  <c r="M397" i="13"/>
  <c r="P37" i="8"/>
  <c r="M363" i="13"/>
  <c r="Q19" i="8"/>
  <c r="N17" i="8"/>
  <c r="M385" i="13"/>
  <c r="H37" i="8"/>
  <c r="H34" i="8"/>
  <c r="H28" i="8"/>
  <c r="H17" i="8"/>
  <c r="H10" i="8"/>
  <c r="H16" i="8"/>
  <c r="H36" i="8"/>
  <c r="M364" i="13"/>
  <c r="C139" i="13"/>
  <c r="M331" i="13"/>
  <c r="Q30" i="8"/>
  <c r="M405" i="13"/>
  <c r="M347" i="13"/>
  <c r="P18" i="8"/>
  <c r="Q29" i="8"/>
  <c r="P12" i="8"/>
  <c r="H24" i="8"/>
  <c r="M399" i="13"/>
  <c r="C145" i="13"/>
  <c r="M380" i="13"/>
  <c r="M338" i="13"/>
  <c r="P24" i="8"/>
  <c r="Q32" i="8"/>
  <c r="P8" i="8"/>
  <c r="P29" i="8"/>
  <c r="G8" i="14" l="1"/>
  <c r="G24" i="14"/>
  <c r="I16" i="14"/>
  <c r="J37" i="14"/>
  <c r="G6" i="14"/>
  <c r="Y25" i="8"/>
  <c r="U25" i="14" s="1"/>
  <c r="I12" i="14"/>
  <c r="G12" i="14"/>
  <c r="I28" i="14"/>
  <c r="G5" i="14"/>
  <c r="I27" i="14"/>
  <c r="J38" i="14"/>
  <c r="J12" i="14"/>
  <c r="I30" i="14"/>
  <c r="J6" i="14"/>
  <c r="G36" i="14"/>
  <c r="G18" i="14"/>
  <c r="G13" i="14"/>
  <c r="I29" i="14"/>
  <c r="Y6" i="8"/>
  <c r="U6" i="14" s="1"/>
  <c r="Y10" i="8"/>
  <c r="U10" i="14" s="1"/>
  <c r="Y30" i="8"/>
  <c r="U30" i="14" s="1"/>
  <c r="Y22" i="8"/>
  <c r="U22" i="14" s="1"/>
  <c r="Y14" i="8"/>
  <c r="U14" i="14" s="1"/>
  <c r="Y13" i="8"/>
  <c r="U13" i="14" s="1"/>
  <c r="J35" i="14"/>
  <c r="I13" i="14"/>
  <c r="Y27" i="8"/>
  <c r="U27" i="14" s="1"/>
  <c r="J29" i="14"/>
  <c r="J25" i="14"/>
  <c r="J39" i="14"/>
  <c r="I24" i="14"/>
  <c r="I5" i="14"/>
  <c r="Y34" i="8"/>
  <c r="U34" i="14" s="1"/>
  <c r="G19" i="14"/>
  <c r="I4" i="14"/>
  <c r="G15" i="14"/>
  <c r="I38" i="14"/>
  <c r="J26" i="14"/>
  <c r="I10" i="14"/>
  <c r="I9" i="14"/>
  <c r="I19" i="14"/>
  <c r="G31" i="14"/>
  <c r="J30" i="14"/>
  <c r="G30" i="14"/>
  <c r="J3" i="14"/>
  <c r="I36" i="14"/>
  <c r="G9" i="14"/>
  <c r="J24" i="14"/>
  <c r="Y18" i="8"/>
  <c r="U18" i="14" s="1"/>
  <c r="J4" i="14"/>
  <c r="G10" i="14"/>
  <c r="G32" i="14"/>
  <c r="J28" i="14"/>
  <c r="Y12" i="8"/>
  <c r="U12" i="14" s="1"/>
  <c r="J17" i="14"/>
  <c r="J33" i="14"/>
  <c r="J10" i="14"/>
  <c r="G4" i="14"/>
  <c r="J9" i="14"/>
  <c r="J36" i="14"/>
  <c r="I37" i="14"/>
  <c r="Y20" i="8"/>
  <c r="U20" i="14" s="1"/>
  <c r="G29" i="14"/>
  <c r="Y19" i="8"/>
  <c r="U19" i="14" s="1"/>
  <c r="G23" i="14"/>
  <c r="J16" i="14"/>
  <c r="J23" i="14"/>
  <c r="Y29" i="8"/>
  <c r="U29" i="14" s="1"/>
  <c r="J27" i="14"/>
  <c r="J13" i="14"/>
  <c r="G28" i="14"/>
  <c r="G7" i="14"/>
  <c r="Y9" i="8"/>
  <c r="U9" i="14" s="1"/>
  <c r="J20" i="14"/>
  <c r="J21" i="14"/>
  <c r="I21" i="14"/>
  <c r="I20" i="14"/>
  <c r="J5" i="14"/>
  <c r="Y31" i="8"/>
  <c r="U31" i="14" s="1"/>
  <c r="I8" i="14"/>
  <c r="I33" i="14"/>
  <c r="I32" i="14"/>
  <c r="Y17" i="8"/>
  <c r="U17" i="14" s="1"/>
  <c r="I6" i="14"/>
  <c r="G26" i="14"/>
  <c r="I35" i="14"/>
  <c r="I18" i="14"/>
  <c r="G17" i="14"/>
  <c r="I3" i="14"/>
  <c r="Y39" i="8"/>
  <c r="U39" i="14" s="1"/>
  <c r="I23" i="14"/>
  <c r="G14" i="14"/>
  <c r="G34" i="14"/>
  <c r="G22" i="14"/>
  <c r="J22" i="14"/>
  <c r="Y11" i="8"/>
  <c r="U11" i="14" s="1"/>
  <c r="G35" i="14"/>
  <c r="Y4" i="8"/>
  <c r="U4" i="14" s="1"/>
  <c r="G33" i="14"/>
  <c r="G3" i="14"/>
  <c r="Y38" i="8"/>
  <c r="U38" i="14" s="1"/>
  <c r="G38" i="14"/>
  <c r="J34" i="14"/>
  <c r="Y24" i="8"/>
  <c r="U24" i="14" s="1"/>
  <c r="Y8" i="8"/>
  <c r="U8" i="14" s="1"/>
  <c r="Y15" i="8"/>
  <c r="U15" i="14" s="1"/>
  <c r="I17" i="14"/>
  <c r="G20" i="14"/>
  <c r="I14" i="14"/>
  <c r="Y33" i="8"/>
  <c r="U33" i="14" s="1"/>
  <c r="I11" i="14"/>
  <c r="G11" i="14"/>
  <c r="J14" i="14"/>
  <c r="Y36" i="8"/>
  <c r="U36" i="14" s="1"/>
  <c r="Y5" i="8"/>
  <c r="U5" i="14" s="1"/>
  <c r="Y21" i="8"/>
  <c r="U21" i="14" s="1"/>
  <c r="Y16" i="8"/>
  <c r="U16" i="14" s="1"/>
  <c r="I31" i="14"/>
  <c r="J31" i="14"/>
  <c r="G25" i="14"/>
  <c r="Y26" i="8"/>
  <c r="U26" i="14" s="1"/>
  <c r="Y23" i="8"/>
  <c r="U23" i="14" s="1"/>
  <c r="G27" i="14"/>
  <c r="Y37" i="8"/>
  <c r="U37" i="14" s="1"/>
  <c r="Y28" i="8"/>
  <c r="U28" i="14" s="1"/>
  <c r="I7" i="14"/>
  <c r="G16" i="14"/>
  <c r="Y7" i="8"/>
  <c r="U7" i="14" s="1"/>
  <c r="Y32" i="8"/>
  <c r="U32" i="14" s="1"/>
  <c r="J32" i="14"/>
  <c r="J11" i="14"/>
  <c r="G37" i="14"/>
  <c r="I15" i="14"/>
  <c r="J19" i="14"/>
  <c r="G21" i="14"/>
  <c r="J7" i="14"/>
  <c r="I26" i="14"/>
  <c r="I22" i="14"/>
  <c r="I39" i="14"/>
  <c r="Y35" i="8"/>
  <c r="U35" i="14" s="1"/>
  <c r="J18" i="14"/>
  <c r="G39" i="14"/>
  <c r="I34" i="14"/>
  <c r="J15" i="14"/>
  <c r="I25" i="14"/>
  <c r="J8" i="14"/>
  <c r="N396" i="13"/>
  <c r="B396" i="13"/>
  <c r="N380" i="13"/>
  <c r="B380" i="13"/>
  <c r="N364" i="13"/>
  <c r="B364" i="13"/>
  <c r="N348" i="13"/>
  <c r="B348" i="13"/>
  <c r="N332" i="13"/>
  <c r="B332" i="13"/>
  <c r="B389" i="13"/>
  <c r="B357" i="13"/>
  <c r="N394" i="13"/>
  <c r="B394" i="13"/>
  <c r="N378" i="13"/>
  <c r="B378" i="13"/>
  <c r="N362" i="13"/>
  <c r="B362" i="13"/>
  <c r="N346" i="13"/>
  <c r="B346" i="13"/>
  <c r="B401" i="13"/>
  <c r="B369" i="13"/>
  <c r="B337" i="13"/>
  <c r="B403" i="13"/>
  <c r="N383" i="13"/>
  <c r="B383" i="13"/>
  <c r="N367" i="13"/>
  <c r="B367" i="13"/>
  <c r="N351" i="13"/>
  <c r="B351" i="13"/>
  <c r="N335" i="13"/>
  <c r="B335" i="13"/>
  <c r="B381" i="13"/>
  <c r="B349" i="13"/>
  <c r="B391" i="13"/>
  <c r="N406" i="13"/>
  <c r="B406" i="13"/>
  <c r="N392" i="13"/>
  <c r="B392" i="13"/>
  <c r="N376" i="13"/>
  <c r="B376" i="13"/>
  <c r="N360" i="13"/>
  <c r="B360" i="13"/>
  <c r="N344" i="13"/>
  <c r="B344" i="13"/>
  <c r="N390" i="13"/>
  <c r="B390" i="13"/>
  <c r="N374" i="13"/>
  <c r="B374" i="13"/>
  <c r="N358" i="13"/>
  <c r="B358" i="13"/>
  <c r="N342" i="13"/>
  <c r="B342" i="13"/>
  <c r="N379" i="13"/>
  <c r="B379" i="13"/>
  <c r="N363" i="13"/>
  <c r="B363" i="13"/>
  <c r="N347" i="13"/>
  <c r="B347" i="13"/>
  <c r="N331" i="13"/>
  <c r="B331" i="13"/>
  <c r="N404" i="13"/>
  <c r="B404" i="13"/>
  <c r="N388" i="13"/>
  <c r="B388" i="13"/>
  <c r="N372" i="13"/>
  <c r="B372" i="13"/>
  <c r="N356" i="13"/>
  <c r="B356" i="13"/>
  <c r="N340" i="13"/>
  <c r="B340" i="13"/>
  <c r="B405" i="13"/>
  <c r="B373" i="13"/>
  <c r="B341" i="13"/>
  <c r="N402" i="13"/>
  <c r="B402" i="13"/>
  <c r="N386" i="13"/>
  <c r="B386" i="13"/>
  <c r="N370" i="13"/>
  <c r="B370" i="13"/>
  <c r="N354" i="13"/>
  <c r="B354" i="13"/>
  <c r="N338" i="13"/>
  <c r="B338" i="13"/>
  <c r="B385" i="13"/>
  <c r="B353" i="13"/>
  <c r="N375" i="13"/>
  <c r="B375" i="13"/>
  <c r="N359" i="13"/>
  <c r="B359" i="13"/>
  <c r="N343" i="13"/>
  <c r="B343" i="13"/>
  <c r="B397" i="13"/>
  <c r="B365" i="13"/>
  <c r="B333" i="13"/>
  <c r="N400" i="13"/>
  <c r="B400" i="13"/>
  <c r="N384" i="13"/>
  <c r="B384" i="13"/>
  <c r="N368" i="13"/>
  <c r="B368" i="13"/>
  <c r="N352" i="13"/>
  <c r="B352" i="13"/>
  <c r="N336" i="13"/>
  <c r="B336" i="13"/>
  <c r="N398" i="13"/>
  <c r="B398" i="13"/>
  <c r="N382" i="13"/>
  <c r="B382" i="13"/>
  <c r="N366" i="13"/>
  <c r="B366" i="13"/>
  <c r="N350" i="13"/>
  <c r="B350" i="13"/>
  <c r="N334" i="13"/>
  <c r="B334" i="13"/>
  <c r="N371" i="13"/>
  <c r="B371" i="13"/>
  <c r="N355" i="13"/>
  <c r="B355" i="13"/>
  <c r="N339" i="13"/>
  <c r="B339" i="13"/>
  <c r="Q76" i="5"/>
  <c r="K85" i="5"/>
  <c r="W85" i="5"/>
  <c r="X85" i="5"/>
  <c r="E85" i="5"/>
  <c r="Q84" i="5"/>
  <c r="F76" i="5"/>
  <c r="R75" i="5"/>
  <c r="F83" i="5"/>
  <c r="R82" i="5"/>
  <c r="F427" i="13"/>
  <c r="F429" i="13"/>
  <c r="F428" i="13"/>
  <c r="L175" i="13"/>
  <c r="L43" i="13"/>
  <c r="L169" i="13"/>
  <c r="L293" i="13"/>
  <c r="L171" i="13"/>
  <c r="L45" i="13"/>
  <c r="L303" i="13"/>
  <c r="L301" i="13"/>
  <c r="L176" i="13"/>
  <c r="L165" i="13"/>
  <c r="L296" i="13"/>
  <c r="L47" i="13"/>
  <c r="L173" i="13"/>
  <c r="L307" i="13"/>
  <c r="L295" i="13"/>
  <c r="L302" i="13"/>
  <c r="L297" i="13"/>
  <c r="L51" i="13"/>
  <c r="L177" i="13"/>
  <c r="L291" i="13"/>
  <c r="L170" i="13"/>
  <c r="L44" i="13"/>
  <c r="L299" i="13"/>
  <c r="L55" i="13"/>
  <c r="L181" i="13"/>
  <c r="L50" i="13"/>
  <c r="L39" i="13"/>
  <c r="L49" i="13"/>
  <c r="C296" i="13"/>
  <c r="C301" i="13"/>
  <c r="C303" i="13"/>
  <c r="C170" i="13"/>
  <c r="C297" i="13"/>
  <c r="C307" i="13"/>
  <c r="C299" i="13"/>
  <c r="C173" i="13"/>
  <c r="C295" i="13"/>
  <c r="C181" i="13"/>
  <c r="C176" i="13"/>
  <c r="C293" i="13"/>
  <c r="C171" i="13"/>
  <c r="C175" i="13"/>
  <c r="C165" i="13"/>
  <c r="C291" i="13"/>
  <c r="C169" i="13"/>
  <c r="C302" i="13"/>
  <c r="C177" i="13"/>
  <c r="Q85" i="5" l="1"/>
  <c r="R76" i="5"/>
  <c r="F84" i="5"/>
  <c r="R83" i="5"/>
  <c r="F432" i="13"/>
  <c r="F431" i="13"/>
  <c r="F430" i="13"/>
  <c r="L174" i="13"/>
  <c r="L185" i="13"/>
  <c r="L316" i="13"/>
  <c r="L60" i="13"/>
  <c r="L186" i="13"/>
  <c r="L311" i="13"/>
  <c r="L184" i="13"/>
  <c r="L179" i="13"/>
  <c r="L53" i="13"/>
  <c r="L308" i="13"/>
  <c r="L52" i="13"/>
  <c r="L178" i="13"/>
  <c r="L64" i="13"/>
  <c r="L190" i="13"/>
  <c r="L305" i="13"/>
  <c r="L312" i="13"/>
  <c r="L300" i="13"/>
  <c r="L180" i="13"/>
  <c r="L54" i="13"/>
  <c r="L310" i="13"/>
  <c r="L56" i="13"/>
  <c r="L182" i="13"/>
  <c r="L306" i="13"/>
  <c r="L304" i="13"/>
  <c r="L48" i="13"/>
  <c r="L58" i="13"/>
  <c r="L59" i="13"/>
  <c r="C316" i="13"/>
  <c r="C174" i="13"/>
  <c r="C178" i="13"/>
  <c r="C312" i="13"/>
  <c r="C310" i="13"/>
  <c r="C190" i="13"/>
  <c r="C304" i="13"/>
  <c r="C185" i="13"/>
  <c r="C305" i="13"/>
  <c r="C186" i="13"/>
  <c r="C306" i="13"/>
  <c r="C180" i="13"/>
  <c r="C182" i="13"/>
  <c r="C184" i="13"/>
  <c r="C179" i="13"/>
  <c r="C311" i="13"/>
  <c r="C308" i="13"/>
  <c r="C300" i="13"/>
  <c r="F85" i="5" l="1"/>
  <c r="R84" i="5"/>
  <c r="F434" i="13"/>
  <c r="F433" i="13"/>
  <c r="F435" i="13"/>
  <c r="L194" i="13"/>
  <c r="L315" i="13"/>
  <c r="L73" i="13"/>
  <c r="L199" i="13"/>
  <c r="L319" i="13"/>
  <c r="L69" i="13"/>
  <c r="L195" i="13"/>
  <c r="L320" i="13"/>
  <c r="L193" i="13"/>
  <c r="L317" i="13"/>
  <c r="L313" i="13"/>
  <c r="L188" i="13"/>
  <c r="L62" i="13"/>
  <c r="L325" i="13"/>
  <c r="L314" i="13"/>
  <c r="L321" i="13"/>
  <c r="L309" i="13"/>
  <c r="L183" i="13"/>
  <c r="L65" i="13"/>
  <c r="L191" i="13"/>
  <c r="L189" i="13"/>
  <c r="L63" i="13"/>
  <c r="L61" i="13"/>
  <c r="L187" i="13"/>
  <c r="L57" i="13"/>
  <c r="L68" i="13"/>
  <c r="L67" i="13"/>
  <c r="C317" i="13"/>
  <c r="C315" i="13"/>
  <c r="C194" i="13"/>
  <c r="C313" i="13"/>
  <c r="C187" i="13"/>
  <c r="C189" i="13"/>
  <c r="C319" i="13"/>
  <c r="C320" i="13"/>
  <c r="C325" i="13"/>
  <c r="C309" i="13"/>
  <c r="C191" i="13"/>
  <c r="C314" i="13"/>
  <c r="C195" i="13"/>
  <c r="C193" i="13"/>
  <c r="C321" i="13"/>
  <c r="C183" i="13"/>
  <c r="C199" i="13"/>
  <c r="C188" i="13"/>
  <c r="R85" i="5" l="1"/>
  <c r="F436" i="13"/>
  <c r="F438" i="13"/>
  <c r="F437" i="13"/>
  <c r="L203" i="13"/>
  <c r="L78" i="13"/>
  <c r="L204" i="13"/>
  <c r="L192" i="13"/>
  <c r="L82" i="13"/>
  <c r="L208" i="13"/>
  <c r="L322" i="13"/>
  <c r="L326" i="13"/>
  <c r="L318" i="13"/>
  <c r="L328" i="13"/>
  <c r="L330" i="13"/>
  <c r="L197" i="13"/>
  <c r="L71" i="13"/>
  <c r="L202" i="13"/>
  <c r="L198" i="13"/>
  <c r="L72" i="13"/>
  <c r="L334" i="13"/>
  <c r="L329" i="13"/>
  <c r="L70" i="13"/>
  <c r="L196" i="13"/>
  <c r="L324" i="13"/>
  <c r="L74" i="13"/>
  <c r="L200" i="13"/>
  <c r="L323" i="13"/>
  <c r="L76" i="13"/>
  <c r="L77" i="13"/>
  <c r="L66" i="13"/>
  <c r="C323" i="13"/>
  <c r="C328" i="13"/>
  <c r="C204" i="13"/>
  <c r="C192" i="13"/>
  <c r="C202" i="13"/>
  <c r="C198" i="13"/>
  <c r="C196" i="13"/>
  <c r="C324" i="13"/>
  <c r="C200" i="13"/>
  <c r="C322" i="13"/>
  <c r="C326" i="13"/>
  <c r="C197" i="13"/>
  <c r="C208" i="13"/>
  <c r="C330" i="13"/>
  <c r="C203" i="13"/>
  <c r="C318" i="13"/>
  <c r="C334" i="13"/>
  <c r="C329" i="13"/>
  <c r="F441" i="13" l="1"/>
  <c r="F440" i="13"/>
  <c r="F439" i="13"/>
  <c r="L211" i="13"/>
  <c r="L335" i="13"/>
  <c r="L333" i="13"/>
  <c r="L332" i="13"/>
  <c r="L331" i="13"/>
  <c r="L343" i="13"/>
  <c r="L327" i="13"/>
  <c r="L87" i="13"/>
  <c r="L213" i="13"/>
  <c r="L212" i="13"/>
  <c r="L83" i="13"/>
  <c r="L209" i="13"/>
  <c r="L337" i="13"/>
  <c r="L338" i="13"/>
  <c r="L201" i="13"/>
  <c r="L79" i="13"/>
  <c r="L205" i="13"/>
  <c r="L207" i="13"/>
  <c r="L81" i="13"/>
  <c r="L206" i="13"/>
  <c r="L80" i="13"/>
  <c r="L91" i="13"/>
  <c r="L217" i="13"/>
  <c r="L339" i="13"/>
  <c r="L75" i="13"/>
  <c r="L86" i="13"/>
  <c r="L85" i="13"/>
  <c r="C201" i="13"/>
  <c r="C217" i="13"/>
  <c r="C335" i="13"/>
  <c r="C211" i="13"/>
  <c r="C338" i="13"/>
  <c r="C332" i="13"/>
  <c r="C333" i="13"/>
  <c r="C206" i="13"/>
  <c r="C209" i="13"/>
  <c r="C339" i="13"/>
  <c r="C343" i="13"/>
  <c r="C331" i="13"/>
  <c r="C205" i="13"/>
  <c r="C212" i="13"/>
  <c r="C337" i="13"/>
  <c r="C207" i="13"/>
  <c r="C327" i="13"/>
  <c r="C213" i="13"/>
  <c r="F443" i="13" l="1"/>
  <c r="F442" i="13"/>
  <c r="F444" i="13"/>
  <c r="L344" i="13"/>
  <c r="L347" i="13"/>
  <c r="L96" i="13"/>
  <c r="L222" i="13"/>
  <c r="L220" i="13"/>
  <c r="L340" i="13"/>
  <c r="L221" i="13"/>
  <c r="L100" i="13"/>
  <c r="L226" i="13"/>
  <c r="L216" i="13"/>
  <c r="L90" i="13"/>
  <c r="L92" i="13"/>
  <c r="L218" i="13"/>
  <c r="L348" i="13"/>
  <c r="L210" i="13"/>
  <c r="L341" i="13"/>
  <c r="L215" i="13"/>
  <c r="L89" i="13"/>
  <c r="L342" i="13"/>
  <c r="L88" i="13"/>
  <c r="L214" i="13"/>
  <c r="L346" i="13"/>
  <c r="L352" i="13"/>
  <c r="L336" i="13"/>
  <c r="L94" i="13"/>
  <c r="L95" i="13"/>
  <c r="L84" i="13"/>
  <c r="C342" i="13"/>
  <c r="C340" i="13"/>
  <c r="C341" i="13"/>
  <c r="C215" i="13"/>
  <c r="C346" i="13"/>
  <c r="C222" i="13"/>
  <c r="C348" i="13"/>
  <c r="C214" i="13"/>
  <c r="C344" i="13"/>
  <c r="C221" i="13"/>
  <c r="C220" i="13"/>
  <c r="C218" i="13"/>
  <c r="C216" i="13"/>
  <c r="C226" i="13"/>
  <c r="C336" i="13"/>
  <c r="C347" i="13"/>
  <c r="C352" i="13"/>
  <c r="C210" i="13"/>
  <c r="F445" i="13" l="1"/>
  <c r="F446" i="13"/>
  <c r="L224" i="13"/>
  <c r="L98" i="13"/>
  <c r="L225" i="13"/>
  <c r="L99" i="13"/>
  <c r="L230" i="13"/>
  <c r="L229" i="13"/>
  <c r="L219" i="13"/>
  <c r="L97" i="13"/>
  <c r="L223" i="13"/>
  <c r="L350" i="13"/>
  <c r="L353" i="13"/>
  <c r="L351" i="13"/>
  <c r="L109" i="13"/>
  <c r="L235" i="13"/>
  <c r="L357" i="13"/>
  <c r="L345" i="13"/>
  <c r="L356" i="13"/>
  <c r="L355" i="13"/>
  <c r="L349" i="13"/>
  <c r="L101" i="13"/>
  <c r="L227" i="13"/>
  <c r="L361" i="13"/>
  <c r="L105" i="13"/>
  <c r="L231" i="13"/>
  <c r="L104" i="13"/>
  <c r="L93" i="13"/>
  <c r="L103" i="13"/>
  <c r="C361" i="13"/>
  <c r="C219" i="13"/>
  <c r="C230" i="13"/>
  <c r="C349" i="13"/>
  <c r="C351" i="13"/>
  <c r="C350" i="13"/>
  <c r="C223" i="13"/>
  <c r="C353" i="13"/>
  <c r="C224" i="13"/>
  <c r="C229" i="13"/>
  <c r="C356" i="13"/>
  <c r="C357" i="13"/>
  <c r="C225" i="13"/>
  <c r="C345" i="13"/>
  <c r="C235" i="13"/>
  <c r="C355" i="13"/>
  <c r="C231" i="13"/>
  <c r="C227" i="13"/>
  <c r="L228" i="13" l="1"/>
  <c r="L366" i="13"/>
  <c r="L239" i="13"/>
  <c r="L362" i="13"/>
  <c r="L118" i="13"/>
  <c r="L244" i="13"/>
  <c r="L358" i="13"/>
  <c r="L365" i="13"/>
  <c r="L238" i="13"/>
  <c r="L114" i="13"/>
  <c r="L240" i="13"/>
  <c r="L370" i="13"/>
  <c r="L106" i="13"/>
  <c r="L232" i="13"/>
  <c r="L364" i="13"/>
  <c r="L234" i="13"/>
  <c r="L108" i="13"/>
  <c r="L233" i="13"/>
  <c r="L107" i="13"/>
  <c r="L360" i="13"/>
  <c r="L359" i="13"/>
  <c r="L110" i="13"/>
  <c r="L236" i="13"/>
  <c r="L354" i="13"/>
  <c r="L113" i="13"/>
  <c r="L112" i="13"/>
  <c r="L102" i="13"/>
  <c r="C244" i="13"/>
  <c r="C359" i="13"/>
  <c r="C232" i="13"/>
  <c r="C370" i="13"/>
  <c r="C239" i="13"/>
  <c r="C228" i="13"/>
  <c r="C362" i="13"/>
  <c r="C233" i="13"/>
  <c r="C238" i="13"/>
  <c r="C234" i="13"/>
  <c r="C365" i="13"/>
  <c r="C358" i="13"/>
  <c r="C364" i="13"/>
  <c r="C366" i="13"/>
  <c r="C354" i="13"/>
  <c r="C236" i="13"/>
  <c r="C360" i="13"/>
  <c r="C240" i="13"/>
  <c r="L119" i="13" l="1"/>
  <c r="L245" i="13"/>
  <c r="L243" i="13"/>
  <c r="L117" i="13"/>
  <c r="L123" i="13"/>
  <c r="L249" i="13"/>
  <c r="L379" i="13"/>
  <c r="L237" i="13"/>
  <c r="L242" i="13"/>
  <c r="L116" i="13"/>
  <c r="L369" i="13"/>
  <c r="L367" i="13"/>
  <c r="L373" i="13"/>
  <c r="L363" i="13"/>
  <c r="L247" i="13"/>
  <c r="L371" i="13"/>
  <c r="L368" i="13"/>
  <c r="L375" i="13"/>
  <c r="L127" i="13"/>
  <c r="L253" i="13"/>
  <c r="L374" i="13"/>
  <c r="L248" i="13"/>
  <c r="L115" i="13"/>
  <c r="L241" i="13"/>
  <c r="L121" i="13"/>
  <c r="L111" i="13"/>
  <c r="L122" i="13"/>
  <c r="C241" i="13"/>
  <c r="C243" i="13"/>
  <c r="C247" i="13"/>
  <c r="C245" i="13"/>
  <c r="C373" i="13"/>
  <c r="C363" i="13"/>
  <c r="C249" i="13"/>
  <c r="C248" i="13"/>
  <c r="C242" i="13"/>
  <c r="C374" i="13"/>
  <c r="C368" i="13"/>
  <c r="C369" i="13"/>
  <c r="C371" i="13"/>
  <c r="C375" i="13"/>
  <c r="C379" i="13"/>
  <c r="C253" i="13"/>
  <c r="C237" i="13"/>
  <c r="C367" i="13"/>
  <c r="L136" i="13" l="1"/>
  <c r="L262" i="13"/>
  <c r="L252" i="13"/>
  <c r="L126" i="13"/>
  <c r="L251" i="13"/>
  <c r="L125" i="13"/>
  <c r="L372" i="13"/>
  <c r="L384" i="13"/>
  <c r="L378" i="13"/>
  <c r="L128" i="13"/>
  <c r="L254" i="13"/>
  <c r="L257" i="13"/>
  <c r="L256" i="13"/>
  <c r="L383" i="13"/>
  <c r="L388" i="13"/>
  <c r="L382" i="13"/>
  <c r="L377" i="13"/>
  <c r="L124" i="13"/>
  <c r="L250" i="13"/>
  <c r="L246" i="13"/>
  <c r="L376" i="13"/>
  <c r="L132" i="13"/>
  <c r="L258" i="13"/>
  <c r="L380" i="13"/>
  <c r="L120" i="13"/>
  <c r="L131" i="13"/>
  <c r="L130" i="13"/>
  <c r="C258" i="13"/>
  <c r="C376" i="13"/>
  <c r="C257" i="13"/>
  <c r="C372" i="13"/>
  <c r="C377" i="13"/>
  <c r="C383" i="13"/>
  <c r="C388" i="13"/>
  <c r="C262" i="13"/>
  <c r="C250" i="13"/>
  <c r="C380" i="13"/>
  <c r="C378" i="13"/>
  <c r="C252" i="13"/>
  <c r="C384" i="13"/>
  <c r="C256" i="13"/>
  <c r="C246" i="13"/>
  <c r="C254" i="13"/>
  <c r="C382" i="13"/>
  <c r="C251" i="13"/>
  <c r="L255" i="13" l="1"/>
  <c r="L260" i="13"/>
  <c r="L134" i="13"/>
  <c r="L385" i="13"/>
  <c r="L267" i="13"/>
  <c r="L381" i="13"/>
  <c r="L392" i="13"/>
  <c r="L137" i="13"/>
  <c r="L263" i="13"/>
  <c r="L386" i="13"/>
  <c r="L261" i="13"/>
  <c r="L135" i="13"/>
  <c r="L397" i="13"/>
  <c r="L133" i="13"/>
  <c r="L259" i="13"/>
  <c r="L387" i="13"/>
  <c r="L265" i="13"/>
  <c r="L266" i="13"/>
  <c r="L393" i="13"/>
  <c r="L391" i="13"/>
  <c r="L389" i="13"/>
  <c r="L271" i="13"/>
  <c r="L129" i="13"/>
  <c r="C387" i="13"/>
  <c r="C397" i="13"/>
  <c r="C260" i="13"/>
  <c r="C263" i="13"/>
  <c r="C393" i="13"/>
  <c r="C271" i="13"/>
  <c r="C389" i="13"/>
  <c r="C386" i="13"/>
  <c r="C265" i="13"/>
  <c r="C381" i="13"/>
  <c r="C261" i="13"/>
  <c r="C385" i="13"/>
  <c r="C259" i="13"/>
  <c r="C266" i="13"/>
  <c r="C267" i="13"/>
  <c r="C391" i="13"/>
  <c r="C392" i="13"/>
  <c r="C255" i="13"/>
  <c r="L396" i="13" l="1"/>
  <c r="L401" i="13"/>
  <c r="L394" i="13"/>
  <c r="L398" i="13"/>
  <c r="L402" i="13"/>
  <c r="L269" i="13"/>
  <c r="L390" i="13"/>
  <c r="L264" i="13"/>
  <c r="L406" i="13"/>
  <c r="L400" i="13"/>
  <c r="L268" i="13"/>
  <c r="L270" i="13"/>
  <c r="L272" i="13"/>
  <c r="L395" i="13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N12" i="5"/>
  <c r="M12" i="5"/>
  <c r="K12" i="5"/>
  <c r="I12" i="5"/>
  <c r="N11" i="5"/>
  <c r="M11" i="5"/>
  <c r="K11" i="5"/>
  <c r="I11" i="5"/>
  <c r="N10" i="5"/>
  <c r="K32" i="5" s="1"/>
  <c r="M10" i="5"/>
  <c r="N9" i="5"/>
  <c r="G9" i="5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O36" i="6"/>
  <c r="M36" i="6"/>
  <c r="O35" i="6"/>
  <c r="M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N35" i="6" s="1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O37" i="6" s="1"/>
  <c r="N28" i="6"/>
  <c r="N36" i="6" s="1"/>
  <c r="M28" i="6"/>
  <c r="M37" i="6" s="1"/>
  <c r="L28" i="6"/>
  <c r="K28" i="6"/>
  <c r="P27" i="6"/>
  <c r="P26" i="6"/>
  <c r="P25" i="6"/>
  <c r="P24" i="6"/>
  <c r="P23" i="6"/>
  <c r="P22" i="6"/>
  <c r="P21" i="6"/>
  <c r="P20" i="6"/>
  <c r="P19" i="6"/>
  <c r="P18" i="6"/>
  <c r="K15" i="6"/>
  <c r="K14" i="6"/>
  <c r="K13" i="6"/>
  <c r="K12" i="6"/>
  <c r="K11" i="6"/>
  <c r="K10" i="6"/>
  <c r="K9" i="6"/>
  <c r="K8" i="6"/>
  <c r="K7" i="6"/>
  <c r="K6" i="6"/>
  <c r="K5" i="6"/>
  <c r="K4" i="6"/>
  <c r="D4" i="6"/>
  <c r="D5" i="6" s="1"/>
  <c r="K3" i="6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O32" i="9"/>
  <c r="O42" i="9" s="1"/>
  <c r="O52" i="9" s="1"/>
  <c r="O62" i="9" s="1"/>
  <c r="O72" i="9" s="1"/>
  <c r="O82" i="9" s="1"/>
  <c r="O92" i="9" s="1"/>
  <c r="P31" i="9"/>
  <c r="O31" i="9"/>
  <c r="O41" i="9" s="1"/>
  <c r="O51" i="9" s="1"/>
  <c r="O61" i="9" s="1"/>
  <c r="O71" i="9" s="1"/>
  <c r="O81" i="9" s="1"/>
  <c r="O91" i="9" s="1"/>
  <c r="O101" i="9" s="1"/>
  <c r="C31" i="9"/>
  <c r="C41" i="9" s="1"/>
  <c r="C51" i="9" s="1"/>
  <c r="C61" i="9" s="1"/>
  <c r="C71" i="9" s="1"/>
  <c r="C81" i="9" s="1"/>
  <c r="C91" i="9" s="1"/>
  <c r="C101" i="9" s="1"/>
  <c r="P30" i="9"/>
  <c r="P29" i="9"/>
  <c r="P28" i="9"/>
  <c r="O28" i="9"/>
  <c r="O38" i="9" s="1"/>
  <c r="O48" i="9" s="1"/>
  <c r="O58" i="9" s="1"/>
  <c r="O68" i="9" s="1"/>
  <c r="O78" i="9" s="1"/>
  <c r="O88" i="9" s="1"/>
  <c r="O98" i="9" s="1"/>
  <c r="P27" i="9"/>
  <c r="C27" i="9"/>
  <c r="C37" i="9" s="1"/>
  <c r="C47" i="9" s="1"/>
  <c r="C57" i="9" s="1"/>
  <c r="C67" i="9" s="1"/>
  <c r="C77" i="9" s="1"/>
  <c r="C87" i="9" s="1"/>
  <c r="C97" i="9" s="1"/>
  <c r="P26" i="9"/>
  <c r="P25" i="9"/>
  <c r="P24" i="9"/>
  <c r="O24" i="9"/>
  <c r="O34" i="9" s="1"/>
  <c r="O44" i="9" s="1"/>
  <c r="O54" i="9" s="1"/>
  <c r="O64" i="9" s="1"/>
  <c r="O74" i="9" s="1"/>
  <c r="O84" i="9" s="1"/>
  <c r="O94" i="9" s="1"/>
  <c r="P23" i="9"/>
  <c r="O23" i="9"/>
  <c r="O33" i="9" s="1"/>
  <c r="O43" i="9" s="1"/>
  <c r="O53" i="9" s="1"/>
  <c r="O63" i="9" s="1"/>
  <c r="O73" i="9" s="1"/>
  <c r="O83" i="9" s="1"/>
  <c r="O93" i="9" s="1"/>
  <c r="C23" i="9"/>
  <c r="C33" i="9" s="1"/>
  <c r="C43" i="9" s="1"/>
  <c r="C53" i="9" s="1"/>
  <c r="C63" i="9" s="1"/>
  <c r="C73" i="9" s="1"/>
  <c r="C83" i="9" s="1"/>
  <c r="C93" i="9" s="1"/>
  <c r="P22" i="9"/>
  <c r="O22" i="9"/>
  <c r="C22" i="9"/>
  <c r="C32" i="9" s="1"/>
  <c r="C42" i="9" s="1"/>
  <c r="C52" i="9" s="1"/>
  <c r="C62" i="9" s="1"/>
  <c r="C72" i="9" s="1"/>
  <c r="C82" i="9" s="1"/>
  <c r="C92" i="9" s="1"/>
  <c r="P21" i="9"/>
  <c r="O21" i="9"/>
  <c r="C21" i="9"/>
  <c r="P20" i="9"/>
  <c r="O20" i="9"/>
  <c r="O30" i="9" s="1"/>
  <c r="O40" i="9" s="1"/>
  <c r="O50" i="9" s="1"/>
  <c r="O60" i="9" s="1"/>
  <c r="O70" i="9" s="1"/>
  <c r="O80" i="9" s="1"/>
  <c r="O90" i="9" s="1"/>
  <c r="O100" i="9" s="1"/>
  <c r="C20" i="9"/>
  <c r="C30" i="9" s="1"/>
  <c r="C40" i="9" s="1"/>
  <c r="C50" i="9" s="1"/>
  <c r="C60" i="9" s="1"/>
  <c r="C70" i="9" s="1"/>
  <c r="C80" i="9" s="1"/>
  <c r="C90" i="9" s="1"/>
  <c r="C100" i="9" s="1"/>
  <c r="P19" i="9"/>
  <c r="O19" i="9"/>
  <c r="O29" i="9" s="1"/>
  <c r="O39" i="9" s="1"/>
  <c r="O49" i="9" s="1"/>
  <c r="O59" i="9" s="1"/>
  <c r="O69" i="9" s="1"/>
  <c r="O79" i="9" s="1"/>
  <c r="O89" i="9" s="1"/>
  <c r="O99" i="9" s="1"/>
  <c r="C19" i="9"/>
  <c r="C29" i="9" s="1"/>
  <c r="C39" i="9" s="1"/>
  <c r="C49" i="9" s="1"/>
  <c r="C59" i="9" s="1"/>
  <c r="C69" i="9" s="1"/>
  <c r="C79" i="9" s="1"/>
  <c r="C89" i="9" s="1"/>
  <c r="C99" i="9" s="1"/>
  <c r="P18" i="9"/>
  <c r="O18" i="9"/>
  <c r="C18" i="9"/>
  <c r="C28" i="9" s="1"/>
  <c r="C38" i="9" s="1"/>
  <c r="C48" i="9" s="1"/>
  <c r="C58" i="9" s="1"/>
  <c r="C68" i="9" s="1"/>
  <c r="C78" i="9" s="1"/>
  <c r="C88" i="9" s="1"/>
  <c r="C98" i="9" s="1"/>
  <c r="P17" i="9"/>
  <c r="O17" i="9"/>
  <c r="O27" i="9" s="1"/>
  <c r="O37" i="9" s="1"/>
  <c r="O47" i="9" s="1"/>
  <c r="O57" i="9" s="1"/>
  <c r="O67" i="9" s="1"/>
  <c r="O77" i="9" s="1"/>
  <c r="O87" i="9" s="1"/>
  <c r="O97" i="9" s="1"/>
  <c r="C17" i="9"/>
  <c r="P16" i="9"/>
  <c r="O16" i="9"/>
  <c r="O26" i="9" s="1"/>
  <c r="O36" i="9" s="1"/>
  <c r="O46" i="9" s="1"/>
  <c r="O56" i="9" s="1"/>
  <c r="O66" i="9" s="1"/>
  <c r="O76" i="9" s="1"/>
  <c r="O86" i="9" s="1"/>
  <c r="O96" i="9" s="1"/>
  <c r="C16" i="9"/>
  <c r="C26" i="9" s="1"/>
  <c r="C36" i="9" s="1"/>
  <c r="C46" i="9" s="1"/>
  <c r="C56" i="9" s="1"/>
  <c r="C66" i="9" s="1"/>
  <c r="C76" i="9" s="1"/>
  <c r="C86" i="9" s="1"/>
  <c r="C96" i="9" s="1"/>
  <c r="P15" i="9"/>
  <c r="O15" i="9"/>
  <c r="O25" i="9" s="1"/>
  <c r="O35" i="9" s="1"/>
  <c r="O45" i="9" s="1"/>
  <c r="O55" i="9" s="1"/>
  <c r="O65" i="9" s="1"/>
  <c r="O75" i="9" s="1"/>
  <c r="O85" i="9" s="1"/>
  <c r="O95" i="9" s="1"/>
  <c r="C15" i="9"/>
  <c r="C25" i="9" s="1"/>
  <c r="C35" i="9" s="1"/>
  <c r="C45" i="9" s="1"/>
  <c r="C55" i="9" s="1"/>
  <c r="C65" i="9" s="1"/>
  <c r="C75" i="9" s="1"/>
  <c r="C85" i="9" s="1"/>
  <c r="C95" i="9" s="1"/>
  <c r="P14" i="9"/>
  <c r="O14" i="9"/>
  <c r="C14" i="9"/>
  <c r="C24" i="9" s="1"/>
  <c r="C34" i="9" s="1"/>
  <c r="C44" i="9" s="1"/>
  <c r="C54" i="9" s="1"/>
  <c r="C64" i="9" s="1"/>
  <c r="C74" i="9" s="1"/>
  <c r="C84" i="9" s="1"/>
  <c r="C94" i="9" s="1"/>
  <c r="P13" i="9"/>
  <c r="O13" i="9"/>
  <c r="C13" i="9"/>
  <c r="P12" i="9"/>
  <c r="P11" i="9"/>
  <c r="P10" i="9"/>
  <c r="P9" i="9"/>
  <c r="P8" i="9"/>
  <c r="P7" i="9"/>
  <c r="P6" i="9"/>
  <c r="P5" i="9"/>
  <c r="I5" i="9"/>
  <c r="T4" i="9"/>
  <c r="S4" i="9"/>
  <c r="U4" i="9" s="1"/>
  <c r="P4" i="9"/>
  <c r="I4" i="9"/>
  <c r="D4" i="9"/>
  <c r="D5" i="9" s="1"/>
  <c r="D6" i="9" s="1"/>
  <c r="U3" i="9"/>
  <c r="T3" i="9"/>
  <c r="R3" i="9"/>
  <c r="P3" i="9"/>
  <c r="I3" i="9"/>
  <c r="H3" i="9" s="1"/>
  <c r="E3" i="9"/>
  <c r="C22" i="10"/>
  <c r="C32" i="10" s="1"/>
  <c r="C42" i="10" s="1"/>
  <c r="C52" i="10" s="1"/>
  <c r="C62" i="10" s="1"/>
  <c r="C72" i="10" s="1"/>
  <c r="C82" i="10" s="1"/>
  <c r="C92" i="10" s="1"/>
  <c r="C21" i="10"/>
  <c r="C31" i="10" s="1"/>
  <c r="C41" i="10" s="1"/>
  <c r="C51" i="10" s="1"/>
  <c r="C61" i="10" s="1"/>
  <c r="C71" i="10" s="1"/>
  <c r="C81" i="10" s="1"/>
  <c r="C91" i="10" s="1"/>
  <c r="C101" i="10" s="1"/>
  <c r="C20" i="10"/>
  <c r="C30" i="10" s="1"/>
  <c r="C40" i="10" s="1"/>
  <c r="C50" i="10" s="1"/>
  <c r="C60" i="10" s="1"/>
  <c r="C70" i="10" s="1"/>
  <c r="C80" i="10" s="1"/>
  <c r="C90" i="10" s="1"/>
  <c r="C100" i="10" s="1"/>
  <c r="C19" i="10"/>
  <c r="C29" i="10" s="1"/>
  <c r="C39" i="10" s="1"/>
  <c r="C49" i="10" s="1"/>
  <c r="C59" i="10" s="1"/>
  <c r="C69" i="10" s="1"/>
  <c r="C79" i="10" s="1"/>
  <c r="C89" i="10" s="1"/>
  <c r="C99" i="10" s="1"/>
  <c r="C18" i="10"/>
  <c r="C28" i="10" s="1"/>
  <c r="C38" i="10" s="1"/>
  <c r="C48" i="10" s="1"/>
  <c r="C58" i="10" s="1"/>
  <c r="C68" i="10" s="1"/>
  <c r="C78" i="10" s="1"/>
  <c r="C88" i="10" s="1"/>
  <c r="C98" i="10" s="1"/>
  <c r="C17" i="10"/>
  <c r="C27" i="10" s="1"/>
  <c r="C37" i="10" s="1"/>
  <c r="C47" i="10" s="1"/>
  <c r="C57" i="10" s="1"/>
  <c r="C67" i="10" s="1"/>
  <c r="C77" i="10" s="1"/>
  <c r="C87" i="10" s="1"/>
  <c r="C97" i="10" s="1"/>
  <c r="C16" i="10"/>
  <c r="C26" i="10" s="1"/>
  <c r="C36" i="10" s="1"/>
  <c r="C46" i="10" s="1"/>
  <c r="C56" i="10" s="1"/>
  <c r="C66" i="10" s="1"/>
  <c r="C76" i="10" s="1"/>
  <c r="C86" i="10" s="1"/>
  <c r="C96" i="10" s="1"/>
  <c r="C15" i="10"/>
  <c r="C25" i="10" s="1"/>
  <c r="C35" i="10" s="1"/>
  <c r="C45" i="10" s="1"/>
  <c r="C55" i="10" s="1"/>
  <c r="C65" i="10" s="1"/>
  <c r="C75" i="10" s="1"/>
  <c r="C85" i="10" s="1"/>
  <c r="C95" i="10" s="1"/>
  <c r="C14" i="10"/>
  <c r="C24" i="10" s="1"/>
  <c r="C34" i="10" s="1"/>
  <c r="C44" i="10" s="1"/>
  <c r="C54" i="10" s="1"/>
  <c r="C64" i="10" s="1"/>
  <c r="C74" i="10" s="1"/>
  <c r="C84" i="10" s="1"/>
  <c r="C94" i="10" s="1"/>
  <c r="C13" i="10"/>
  <c r="C23" i="10" s="1"/>
  <c r="C33" i="10" s="1"/>
  <c r="C43" i="10" s="1"/>
  <c r="C53" i="10" s="1"/>
  <c r="C63" i="10" s="1"/>
  <c r="C73" i="10" s="1"/>
  <c r="C83" i="10" s="1"/>
  <c r="C93" i="10" s="1"/>
  <c r="G9" i="10"/>
  <c r="M9" i="10" s="1"/>
  <c r="N9" i="10" s="1"/>
  <c r="D4" i="10"/>
  <c r="K3" i="10"/>
  <c r="J3" i="10" s="1"/>
  <c r="F1" i="10"/>
  <c r="G55" i="10" s="1"/>
  <c r="C78" i="13"/>
  <c r="C57" i="13"/>
  <c r="C112" i="13"/>
  <c r="C134" i="13"/>
  <c r="C121" i="13"/>
  <c r="I12" i="8"/>
  <c r="C27" i="13"/>
  <c r="I21" i="8"/>
  <c r="C113" i="13"/>
  <c r="E25" i="5"/>
  <c r="C89" i="13"/>
  <c r="I31" i="8"/>
  <c r="C59" i="13"/>
  <c r="C269" i="13"/>
  <c r="C77" i="13"/>
  <c r="C63" i="13"/>
  <c r="C105" i="13"/>
  <c r="C55" i="13"/>
  <c r="C116" i="13"/>
  <c r="C96" i="13"/>
  <c r="C29" i="13"/>
  <c r="C126" i="13"/>
  <c r="C264" i="13"/>
  <c r="C135" i="13"/>
  <c r="C79" i="13"/>
  <c r="C137" i="13"/>
  <c r="C120" i="13"/>
  <c r="C124" i="13"/>
  <c r="C115" i="13"/>
  <c r="C24" i="13"/>
  <c r="C125" i="13"/>
  <c r="C98" i="13"/>
  <c r="C402" i="13"/>
  <c r="C94" i="13"/>
  <c r="C35" i="13"/>
  <c r="C268" i="13"/>
  <c r="C70" i="13"/>
  <c r="C6" i="13"/>
  <c r="C43" i="13"/>
  <c r="I10" i="8"/>
  <c r="C119" i="13"/>
  <c r="C103" i="13"/>
  <c r="C14" i="13"/>
  <c r="C406" i="13"/>
  <c r="C65" i="13"/>
  <c r="C131" i="13"/>
  <c r="C32" i="13"/>
  <c r="C19" i="13"/>
  <c r="C97" i="13"/>
  <c r="C8" i="13"/>
  <c r="C86" i="13"/>
  <c r="C9" i="13"/>
  <c r="C56" i="13"/>
  <c r="C127" i="13"/>
  <c r="C33" i="13"/>
  <c r="C111" i="13"/>
  <c r="C401" i="13"/>
  <c r="C28" i="13"/>
  <c r="C38" i="13"/>
  <c r="C7" i="13"/>
  <c r="C99" i="13"/>
  <c r="C48" i="13"/>
  <c r="C46" i="13"/>
  <c r="C123" i="13"/>
  <c r="C72" i="13"/>
  <c r="C60" i="13"/>
  <c r="C90" i="13"/>
  <c r="C110" i="13"/>
  <c r="I11" i="8"/>
  <c r="C30" i="13"/>
  <c r="C42" i="13"/>
  <c r="C395" i="13"/>
  <c r="C130" i="13"/>
  <c r="C54" i="13"/>
  <c r="C129" i="13"/>
  <c r="C58" i="13"/>
  <c r="C75" i="13"/>
  <c r="C61" i="13"/>
  <c r="C91" i="13"/>
  <c r="C22" i="13"/>
  <c r="I15" i="8"/>
  <c r="C117" i="13"/>
  <c r="C82" i="13"/>
  <c r="C41" i="13"/>
  <c r="C45" i="13"/>
  <c r="C50" i="13"/>
  <c r="C20" i="13"/>
  <c r="C21" i="13"/>
  <c r="C73" i="13"/>
  <c r="C3" i="13"/>
  <c r="I6" i="8"/>
  <c r="J12" i="8"/>
  <c r="C26" i="13"/>
  <c r="C23" i="13"/>
  <c r="C40" i="13"/>
  <c r="I5" i="8"/>
  <c r="C11" i="13"/>
  <c r="C64" i="13"/>
  <c r="C39" i="13"/>
  <c r="C15" i="13"/>
  <c r="C49" i="13"/>
  <c r="C81" i="13"/>
  <c r="J15" i="8"/>
  <c r="C104" i="13"/>
  <c r="C13" i="13"/>
  <c r="C37" i="13"/>
  <c r="C36" i="13"/>
  <c r="C69" i="13"/>
  <c r="C85" i="13"/>
  <c r="C67" i="13"/>
  <c r="C93" i="13"/>
  <c r="C107" i="13"/>
  <c r="C92" i="13"/>
  <c r="C53" i="13"/>
  <c r="C88" i="13"/>
  <c r="C80" i="13"/>
  <c r="C136" i="13"/>
  <c r="C270" i="13"/>
  <c r="C51" i="13"/>
  <c r="I37" i="8"/>
  <c r="C394" i="13"/>
  <c r="C398" i="13"/>
  <c r="C44" i="13"/>
  <c r="C100" i="13"/>
  <c r="C71" i="13"/>
  <c r="C68" i="13"/>
  <c r="C31" i="13"/>
  <c r="E16" i="5"/>
  <c r="C5" i="13"/>
  <c r="C4" i="13"/>
  <c r="C87" i="13"/>
  <c r="C114" i="13"/>
  <c r="C52" i="13"/>
  <c r="C95" i="13"/>
  <c r="C133" i="13"/>
  <c r="C47" i="13"/>
  <c r="C16" i="13"/>
  <c r="C109" i="13"/>
  <c r="C18" i="13"/>
  <c r="C106" i="13"/>
  <c r="C108" i="13"/>
  <c r="I34" i="8"/>
  <c r="C102" i="13"/>
  <c r="C66" i="13"/>
  <c r="C83" i="13"/>
  <c r="C128" i="13"/>
  <c r="C74" i="13"/>
  <c r="C84" i="13"/>
  <c r="C10" i="13"/>
  <c r="C12" i="13"/>
  <c r="C118" i="13"/>
  <c r="C25" i="13"/>
  <c r="C132" i="13"/>
  <c r="C390" i="13"/>
  <c r="C272" i="13"/>
  <c r="C62" i="13"/>
  <c r="C34" i="13"/>
  <c r="C76" i="13"/>
  <c r="C400" i="13"/>
  <c r="J6" i="8"/>
  <c r="C122" i="13"/>
  <c r="C17" i="13"/>
  <c r="C101" i="13"/>
  <c r="C396" i="13"/>
  <c r="K35" i="6" l="1"/>
  <c r="M55" i="10"/>
  <c r="N55" i="10" s="1"/>
  <c r="P55" i="10"/>
  <c r="L36" i="6"/>
  <c r="P29" i="6"/>
  <c r="P30" i="6"/>
  <c r="P33" i="6"/>
  <c r="P28" i="6"/>
  <c r="N37" i="6"/>
  <c r="L35" i="6"/>
  <c r="P32" i="6"/>
  <c r="D6" i="6"/>
  <c r="P34" i="6"/>
  <c r="E4" i="6"/>
  <c r="L405" i="13"/>
  <c r="L399" i="13"/>
  <c r="L404" i="13"/>
  <c r="L407" i="13"/>
  <c r="L403" i="13"/>
  <c r="X16" i="8"/>
  <c r="T16" i="14" s="1"/>
  <c r="T16" i="8"/>
  <c r="P16" i="14" s="1"/>
  <c r="V16" i="8"/>
  <c r="R16" i="14" s="1"/>
  <c r="U16" i="8"/>
  <c r="Q16" i="14" s="1"/>
  <c r="S16" i="8"/>
  <c r="O16" i="14" s="1"/>
  <c r="W16" i="8"/>
  <c r="S16" i="14" s="1"/>
  <c r="X17" i="8"/>
  <c r="T17" i="14" s="1"/>
  <c r="T17" i="8"/>
  <c r="P17" i="14" s="1"/>
  <c r="V17" i="8"/>
  <c r="R17" i="14" s="1"/>
  <c r="U17" i="8"/>
  <c r="Q17" i="14" s="1"/>
  <c r="S17" i="8"/>
  <c r="O17" i="14" s="1"/>
  <c r="W17" i="8"/>
  <c r="S17" i="14" s="1"/>
  <c r="X18" i="8"/>
  <c r="T18" i="14" s="1"/>
  <c r="T18" i="8"/>
  <c r="P18" i="14" s="1"/>
  <c r="V18" i="8"/>
  <c r="R18" i="14" s="1"/>
  <c r="U18" i="8"/>
  <c r="Q18" i="14" s="1"/>
  <c r="S18" i="8"/>
  <c r="O18" i="14" s="1"/>
  <c r="W18" i="8"/>
  <c r="S18" i="14" s="1"/>
  <c r="X19" i="8"/>
  <c r="T19" i="14" s="1"/>
  <c r="T19" i="8"/>
  <c r="P19" i="14" s="1"/>
  <c r="V19" i="8"/>
  <c r="R19" i="14" s="1"/>
  <c r="U19" i="8"/>
  <c r="Q19" i="14" s="1"/>
  <c r="S19" i="8"/>
  <c r="O19" i="14" s="1"/>
  <c r="W19" i="8"/>
  <c r="S19" i="14" s="1"/>
  <c r="X20" i="8"/>
  <c r="T20" i="14" s="1"/>
  <c r="T20" i="8"/>
  <c r="P20" i="14" s="1"/>
  <c r="V20" i="8"/>
  <c r="R20" i="14" s="1"/>
  <c r="W20" i="8"/>
  <c r="S20" i="14" s="1"/>
  <c r="U20" i="8"/>
  <c r="Q20" i="14" s="1"/>
  <c r="S20" i="8"/>
  <c r="O20" i="14" s="1"/>
  <c r="V3" i="8"/>
  <c r="R3" i="14" s="1"/>
  <c r="U3" i="8"/>
  <c r="Q3" i="14" s="1"/>
  <c r="X3" i="8"/>
  <c r="T3" i="14" s="1"/>
  <c r="T3" i="8"/>
  <c r="P3" i="14" s="1"/>
  <c r="W3" i="8"/>
  <c r="S3" i="14" s="1"/>
  <c r="S3" i="8"/>
  <c r="O3" i="14" s="1"/>
  <c r="V4" i="8"/>
  <c r="R4" i="14" s="1"/>
  <c r="U4" i="8"/>
  <c r="Q4" i="14" s="1"/>
  <c r="X4" i="8"/>
  <c r="T4" i="14" s="1"/>
  <c r="T4" i="8"/>
  <c r="P4" i="14" s="1"/>
  <c r="W4" i="8"/>
  <c r="S4" i="14" s="1"/>
  <c r="S4" i="8"/>
  <c r="O4" i="14" s="1"/>
  <c r="V5" i="8"/>
  <c r="R5" i="14" s="1"/>
  <c r="U5" i="8"/>
  <c r="Q5" i="14" s="1"/>
  <c r="X5" i="8"/>
  <c r="T5" i="14" s="1"/>
  <c r="T5" i="8"/>
  <c r="P5" i="14" s="1"/>
  <c r="W5" i="8"/>
  <c r="S5" i="14" s="1"/>
  <c r="S5" i="8"/>
  <c r="O5" i="14" s="1"/>
  <c r="V6" i="8"/>
  <c r="R6" i="14" s="1"/>
  <c r="U6" i="8"/>
  <c r="Q6" i="14" s="1"/>
  <c r="X6" i="8"/>
  <c r="T6" i="14" s="1"/>
  <c r="T6" i="8"/>
  <c r="P6" i="14" s="1"/>
  <c r="W6" i="8"/>
  <c r="S6" i="14" s="1"/>
  <c r="S6" i="8"/>
  <c r="O6" i="14" s="1"/>
  <c r="V7" i="8"/>
  <c r="R7" i="14" s="1"/>
  <c r="U7" i="8"/>
  <c r="Q7" i="14" s="1"/>
  <c r="X7" i="8"/>
  <c r="T7" i="14" s="1"/>
  <c r="T7" i="8"/>
  <c r="P7" i="14" s="1"/>
  <c r="W7" i="8"/>
  <c r="S7" i="14" s="1"/>
  <c r="S7" i="8"/>
  <c r="O7" i="14" s="1"/>
  <c r="V8" i="8"/>
  <c r="R8" i="14" s="1"/>
  <c r="U8" i="8"/>
  <c r="Q8" i="14" s="1"/>
  <c r="X8" i="8"/>
  <c r="T8" i="14" s="1"/>
  <c r="T8" i="8"/>
  <c r="P8" i="14" s="1"/>
  <c r="W8" i="8"/>
  <c r="S8" i="14" s="1"/>
  <c r="S8" i="8"/>
  <c r="O8" i="14" s="1"/>
  <c r="V9" i="8"/>
  <c r="R9" i="14" s="1"/>
  <c r="U9" i="8"/>
  <c r="Q9" i="14" s="1"/>
  <c r="X9" i="8"/>
  <c r="T9" i="14" s="1"/>
  <c r="T9" i="8"/>
  <c r="P9" i="14" s="1"/>
  <c r="W9" i="8"/>
  <c r="S9" i="14" s="1"/>
  <c r="S9" i="8"/>
  <c r="O9" i="14" s="1"/>
  <c r="V10" i="8"/>
  <c r="R10" i="14" s="1"/>
  <c r="U10" i="8"/>
  <c r="Q10" i="14" s="1"/>
  <c r="X10" i="8"/>
  <c r="T10" i="14" s="1"/>
  <c r="T10" i="8"/>
  <c r="P10" i="14" s="1"/>
  <c r="W10" i="8"/>
  <c r="S10" i="14" s="1"/>
  <c r="S10" i="8"/>
  <c r="O10" i="14" s="1"/>
  <c r="V11" i="8"/>
  <c r="R11" i="14" s="1"/>
  <c r="U11" i="8"/>
  <c r="Q11" i="14" s="1"/>
  <c r="X11" i="8"/>
  <c r="T11" i="14" s="1"/>
  <c r="T11" i="8"/>
  <c r="P11" i="14" s="1"/>
  <c r="W11" i="8"/>
  <c r="S11" i="14" s="1"/>
  <c r="S11" i="8"/>
  <c r="O11" i="14" s="1"/>
  <c r="V12" i="8"/>
  <c r="R12" i="14" s="1"/>
  <c r="U12" i="8"/>
  <c r="Q12" i="14" s="1"/>
  <c r="X12" i="8"/>
  <c r="T12" i="14" s="1"/>
  <c r="T12" i="8"/>
  <c r="P12" i="14" s="1"/>
  <c r="W12" i="8"/>
  <c r="S12" i="14" s="1"/>
  <c r="S12" i="8"/>
  <c r="O12" i="14" s="1"/>
  <c r="V13" i="8"/>
  <c r="R13" i="14" s="1"/>
  <c r="U13" i="8"/>
  <c r="Q13" i="14" s="1"/>
  <c r="X13" i="8"/>
  <c r="T13" i="14" s="1"/>
  <c r="T13" i="8"/>
  <c r="P13" i="14" s="1"/>
  <c r="W13" i="8"/>
  <c r="S13" i="14" s="1"/>
  <c r="S13" i="8"/>
  <c r="O13" i="14" s="1"/>
  <c r="V14" i="8"/>
  <c r="R14" i="14" s="1"/>
  <c r="U14" i="8"/>
  <c r="Q14" i="14" s="1"/>
  <c r="X14" i="8"/>
  <c r="T14" i="14" s="1"/>
  <c r="T14" i="8"/>
  <c r="P14" i="14" s="1"/>
  <c r="W14" i="8"/>
  <c r="S14" i="14" s="1"/>
  <c r="S14" i="8"/>
  <c r="O14" i="14" s="1"/>
  <c r="X15" i="8"/>
  <c r="T15" i="14" s="1"/>
  <c r="V15" i="8"/>
  <c r="R15" i="14" s="1"/>
  <c r="U15" i="8"/>
  <c r="Q15" i="14" s="1"/>
  <c r="T15" i="8"/>
  <c r="P15" i="14" s="1"/>
  <c r="W15" i="8"/>
  <c r="S15" i="14" s="1"/>
  <c r="S15" i="8"/>
  <c r="O15" i="14" s="1"/>
  <c r="T15" i="5"/>
  <c r="T16" i="5"/>
  <c r="T17" i="5"/>
  <c r="T18" i="5"/>
  <c r="T19" i="5"/>
  <c r="T20" i="5"/>
  <c r="T21" i="5"/>
  <c r="T22" i="5"/>
  <c r="T23" i="5"/>
  <c r="T24" i="5"/>
  <c r="T25" i="5"/>
  <c r="X21" i="8"/>
  <c r="T21" i="14" s="1"/>
  <c r="T21" i="8"/>
  <c r="P21" i="14" s="1"/>
  <c r="V21" i="8"/>
  <c r="R21" i="14" s="1"/>
  <c r="W21" i="8"/>
  <c r="S21" i="14" s="1"/>
  <c r="U21" i="8"/>
  <c r="Q21" i="14" s="1"/>
  <c r="S21" i="8"/>
  <c r="O21" i="14" s="1"/>
  <c r="X22" i="8"/>
  <c r="T22" i="14" s="1"/>
  <c r="T22" i="8"/>
  <c r="P22" i="14" s="1"/>
  <c r="V22" i="8"/>
  <c r="R22" i="14" s="1"/>
  <c r="W22" i="8"/>
  <c r="S22" i="14" s="1"/>
  <c r="U22" i="8"/>
  <c r="Q22" i="14" s="1"/>
  <c r="S22" i="8"/>
  <c r="O22" i="14" s="1"/>
  <c r="X23" i="8"/>
  <c r="T23" i="14" s="1"/>
  <c r="T23" i="8"/>
  <c r="P23" i="14" s="1"/>
  <c r="V23" i="8"/>
  <c r="R23" i="14" s="1"/>
  <c r="W23" i="8"/>
  <c r="S23" i="14" s="1"/>
  <c r="U23" i="8"/>
  <c r="Q23" i="14" s="1"/>
  <c r="S23" i="8"/>
  <c r="O23" i="14" s="1"/>
  <c r="X24" i="8"/>
  <c r="T24" i="14" s="1"/>
  <c r="T24" i="8"/>
  <c r="P24" i="14" s="1"/>
  <c r="V24" i="8"/>
  <c r="R24" i="14" s="1"/>
  <c r="W24" i="8"/>
  <c r="S24" i="14" s="1"/>
  <c r="U24" i="8"/>
  <c r="Q24" i="14" s="1"/>
  <c r="S24" i="8"/>
  <c r="O24" i="14" s="1"/>
  <c r="X25" i="8"/>
  <c r="T25" i="14" s="1"/>
  <c r="T25" i="8"/>
  <c r="P25" i="14" s="1"/>
  <c r="V25" i="8"/>
  <c r="R25" i="14" s="1"/>
  <c r="W25" i="8"/>
  <c r="S25" i="14" s="1"/>
  <c r="U25" i="8"/>
  <c r="Q25" i="14" s="1"/>
  <c r="S25" i="8"/>
  <c r="O25" i="14" s="1"/>
  <c r="X26" i="8"/>
  <c r="T26" i="14" s="1"/>
  <c r="T26" i="8"/>
  <c r="P26" i="14" s="1"/>
  <c r="W26" i="8"/>
  <c r="S26" i="14" s="1"/>
  <c r="S26" i="8"/>
  <c r="O26" i="14" s="1"/>
  <c r="V26" i="8"/>
  <c r="R26" i="14" s="1"/>
  <c r="U26" i="8"/>
  <c r="Q26" i="14" s="1"/>
  <c r="X27" i="8"/>
  <c r="T27" i="14" s="1"/>
  <c r="T27" i="8"/>
  <c r="P27" i="14" s="1"/>
  <c r="W27" i="8"/>
  <c r="S27" i="14" s="1"/>
  <c r="S27" i="8"/>
  <c r="O27" i="14" s="1"/>
  <c r="V27" i="8"/>
  <c r="R27" i="14" s="1"/>
  <c r="U27" i="8"/>
  <c r="Q27" i="14" s="1"/>
  <c r="X28" i="8"/>
  <c r="T28" i="14" s="1"/>
  <c r="T28" i="8"/>
  <c r="P28" i="14" s="1"/>
  <c r="W28" i="8"/>
  <c r="S28" i="14" s="1"/>
  <c r="S28" i="8"/>
  <c r="O28" i="14" s="1"/>
  <c r="V28" i="8"/>
  <c r="R28" i="14" s="1"/>
  <c r="U28" i="8"/>
  <c r="Q28" i="14" s="1"/>
  <c r="X29" i="8"/>
  <c r="T29" i="14" s="1"/>
  <c r="T29" i="8"/>
  <c r="P29" i="14" s="1"/>
  <c r="W29" i="8"/>
  <c r="S29" i="14" s="1"/>
  <c r="S29" i="8"/>
  <c r="O29" i="14" s="1"/>
  <c r="V29" i="8"/>
  <c r="R29" i="14" s="1"/>
  <c r="U29" i="8"/>
  <c r="Q29" i="14" s="1"/>
  <c r="X30" i="8"/>
  <c r="T30" i="14" s="1"/>
  <c r="T30" i="8"/>
  <c r="P30" i="14" s="1"/>
  <c r="W30" i="8"/>
  <c r="S30" i="14" s="1"/>
  <c r="S30" i="8"/>
  <c r="O30" i="14" s="1"/>
  <c r="V30" i="8"/>
  <c r="R30" i="14" s="1"/>
  <c r="U30" i="8"/>
  <c r="Q30" i="14" s="1"/>
  <c r="X31" i="8"/>
  <c r="T31" i="14" s="1"/>
  <c r="T31" i="8"/>
  <c r="P31" i="14" s="1"/>
  <c r="W31" i="8"/>
  <c r="S31" i="14" s="1"/>
  <c r="S31" i="8"/>
  <c r="O31" i="14" s="1"/>
  <c r="V31" i="8"/>
  <c r="R31" i="14" s="1"/>
  <c r="U31" i="8"/>
  <c r="Q31" i="14" s="1"/>
  <c r="X32" i="8"/>
  <c r="T32" i="14" s="1"/>
  <c r="T32" i="8"/>
  <c r="P32" i="14" s="1"/>
  <c r="W32" i="8"/>
  <c r="S32" i="14" s="1"/>
  <c r="S32" i="8"/>
  <c r="O32" i="14" s="1"/>
  <c r="V32" i="8"/>
  <c r="R32" i="14" s="1"/>
  <c r="U32" i="8"/>
  <c r="Q32" i="14" s="1"/>
  <c r="X33" i="8"/>
  <c r="T33" i="14" s="1"/>
  <c r="T33" i="8"/>
  <c r="P33" i="14" s="1"/>
  <c r="W33" i="8"/>
  <c r="S33" i="14" s="1"/>
  <c r="S33" i="8"/>
  <c r="O33" i="14" s="1"/>
  <c r="V33" i="8"/>
  <c r="R33" i="14" s="1"/>
  <c r="U33" i="8"/>
  <c r="Q33" i="14" s="1"/>
  <c r="X34" i="8"/>
  <c r="T34" i="14" s="1"/>
  <c r="T34" i="8"/>
  <c r="P34" i="14" s="1"/>
  <c r="W34" i="8"/>
  <c r="S34" i="14" s="1"/>
  <c r="S34" i="8"/>
  <c r="O34" i="14" s="1"/>
  <c r="V34" i="8"/>
  <c r="R34" i="14" s="1"/>
  <c r="U34" i="8"/>
  <c r="Q34" i="14" s="1"/>
  <c r="X35" i="8"/>
  <c r="T35" i="14" s="1"/>
  <c r="T35" i="8"/>
  <c r="P35" i="14" s="1"/>
  <c r="W35" i="8"/>
  <c r="S35" i="14" s="1"/>
  <c r="S35" i="8"/>
  <c r="O35" i="14" s="1"/>
  <c r="V35" i="8"/>
  <c r="R35" i="14" s="1"/>
  <c r="U35" i="8"/>
  <c r="Q35" i="14" s="1"/>
  <c r="X36" i="8"/>
  <c r="T36" i="14" s="1"/>
  <c r="T36" i="8"/>
  <c r="P36" i="14" s="1"/>
  <c r="W36" i="8"/>
  <c r="S36" i="14" s="1"/>
  <c r="S36" i="8"/>
  <c r="O36" i="14" s="1"/>
  <c r="V36" i="8"/>
  <c r="R36" i="14" s="1"/>
  <c r="U36" i="8"/>
  <c r="Q36" i="14" s="1"/>
  <c r="X37" i="8"/>
  <c r="T37" i="14" s="1"/>
  <c r="T37" i="8"/>
  <c r="P37" i="14" s="1"/>
  <c r="W37" i="8"/>
  <c r="S37" i="14" s="1"/>
  <c r="S37" i="8"/>
  <c r="O37" i="14" s="1"/>
  <c r="V37" i="8"/>
  <c r="R37" i="14" s="1"/>
  <c r="U37" i="8"/>
  <c r="Q37" i="14" s="1"/>
  <c r="X38" i="8"/>
  <c r="T38" i="14" s="1"/>
  <c r="T38" i="8"/>
  <c r="P38" i="14" s="1"/>
  <c r="W38" i="8"/>
  <c r="S38" i="14" s="1"/>
  <c r="S38" i="8"/>
  <c r="O38" i="14" s="1"/>
  <c r="V38" i="8"/>
  <c r="R38" i="14" s="1"/>
  <c r="U38" i="8"/>
  <c r="Q38" i="14" s="1"/>
  <c r="X39" i="8"/>
  <c r="T39" i="14" s="1"/>
  <c r="T39" i="8"/>
  <c r="P39" i="14" s="1"/>
  <c r="W39" i="8"/>
  <c r="S39" i="14" s="1"/>
  <c r="S39" i="8"/>
  <c r="O39" i="14" s="1"/>
  <c r="V39" i="8"/>
  <c r="R39" i="14" s="1"/>
  <c r="U39" i="8"/>
  <c r="Q39" i="14" s="1"/>
  <c r="Q15" i="5"/>
  <c r="U15" i="5"/>
  <c r="Q16" i="5"/>
  <c r="U16" i="5"/>
  <c r="Q17" i="5"/>
  <c r="U17" i="5"/>
  <c r="Q18" i="5"/>
  <c r="U18" i="5"/>
  <c r="Q19" i="5"/>
  <c r="U19" i="5"/>
  <c r="Q20" i="5"/>
  <c r="U20" i="5"/>
  <c r="Q21" i="5"/>
  <c r="U21" i="5"/>
  <c r="Q22" i="5"/>
  <c r="U22" i="5"/>
  <c r="Q23" i="5"/>
  <c r="T26" i="5"/>
  <c r="S15" i="5"/>
  <c r="S16" i="5"/>
  <c r="S17" i="5"/>
  <c r="S18" i="5"/>
  <c r="S19" i="5"/>
  <c r="S20" i="5"/>
  <c r="S21" i="5"/>
  <c r="S22" i="5"/>
  <c r="S23" i="5"/>
  <c r="S24" i="5"/>
  <c r="S25" i="5"/>
  <c r="T27" i="5"/>
  <c r="U23" i="5"/>
  <c r="Q24" i="5"/>
  <c r="U24" i="5"/>
  <c r="Q25" i="5"/>
  <c r="U25" i="5"/>
  <c r="Q26" i="5"/>
  <c r="U26" i="5"/>
  <c r="Q27" i="5"/>
  <c r="U27" i="5"/>
  <c r="S26" i="5"/>
  <c r="S27" i="5"/>
  <c r="G17" i="10"/>
  <c r="M17" i="10" s="1"/>
  <c r="N17" i="10" s="1"/>
  <c r="G21" i="10"/>
  <c r="M21" i="10" s="1"/>
  <c r="N21" i="10" s="1"/>
  <c r="G48" i="10"/>
  <c r="G8" i="10"/>
  <c r="M8" i="10" s="1"/>
  <c r="N8" i="10" s="1"/>
  <c r="G22" i="10"/>
  <c r="M22" i="10" s="1"/>
  <c r="N22" i="10" s="1"/>
  <c r="G24" i="10"/>
  <c r="G26" i="10"/>
  <c r="G28" i="10"/>
  <c r="G30" i="10"/>
  <c r="G31" i="10"/>
  <c r="G33" i="10"/>
  <c r="G35" i="10"/>
  <c r="G36" i="10"/>
  <c r="G38" i="10"/>
  <c r="G39" i="10"/>
  <c r="G40" i="10"/>
  <c r="I6" i="9"/>
  <c r="D7" i="9"/>
  <c r="E6" i="9"/>
  <c r="D5" i="10"/>
  <c r="K4" i="10"/>
  <c r="J4" i="10" s="1"/>
  <c r="G5" i="10"/>
  <c r="M5" i="10" s="1"/>
  <c r="N5" i="10" s="1"/>
  <c r="G15" i="10"/>
  <c r="M15" i="10" s="1"/>
  <c r="N15" i="10" s="1"/>
  <c r="G19" i="10"/>
  <c r="M19" i="10" s="1"/>
  <c r="N19" i="10" s="1"/>
  <c r="G43" i="10"/>
  <c r="G45" i="10"/>
  <c r="G47" i="10"/>
  <c r="G49" i="10"/>
  <c r="G51" i="10"/>
  <c r="G53" i="10"/>
  <c r="G11" i="10"/>
  <c r="M11" i="10" s="1"/>
  <c r="N11" i="10" s="1"/>
  <c r="G3" i="10"/>
  <c r="M3" i="10" s="1"/>
  <c r="N3" i="10" s="1"/>
  <c r="O3" i="10" s="1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7" i="10"/>
  <c r="G10" i="10"/>
  <c r="M10" i="10" s="1"/>
  <c r="N10" i="10" s="1"/>
  <c r="G6" i="10"/>
  <c r="M6" i="10" s="1"/>
  <c r="N6" i="10" s="1"/>
  <c r="G7" i="10"/>
  <c r="M7" i="10" s="1"/>
  <c r="N7" i="10" s="1"/>
  <c r="G58" i="10"/>
  <c r="G4" i="10"/>
  <c r="M4" i="10" s="1"/>
  <c r="N4" i="10" s="1"/>
  <c r="O4" i="10" s="1"/>
  <c r="G12" i="10"/>
  <c r="M12" i="10" s="1"/>
  <c r="N12" i="10" s="1"/>
  <c r="G16" i="10"/>
  <c r="M16" i="10" s="1"/>
  <c r="N16" i="10" s="1"/>
  <c r="G20" i="10"/>
  <c r="M20" i="10" s="1"/>
  <c r="N20" i="10" s="1"/>
  <c r="G42" i="10"/>
  <c r="G46" i="10"/>
  <c r="G50" i="10"/>
  <c r="G52" i="10"/>
  <c r="G54" i="10"/>
  <c r="G56" i="10"/>
  <c r="G13" i="10"/>
  <c r="M13" i="10" s="1"/>
  <c r="N13" i="10" s="1"/>
  <c r="G44" i="10"/>
  <c r="G14" i="10"/>
  <c r="M14" i="10" s="1"/>
  <c r="N14" i="10" s="1"/>
  <c r="G18" i="10"/>
  <c r="M18" i="10" s="1"/>
  <c r="N18" i="10" s="1"/>
  <c r="G23" i="10"/>
  <c r="G25" i="10"/>
  <c r="G27" i="10"/>
  <c r="G29" i="10"/>
  <c r="G32" i="10"/>
  <c r="G34" i="10"/>
  <c r="G37" i="10"/>
  <c r="G41" i="10"/>
  <c r="E4" i="9"/>
  <c r="H4" i="9" s="1"/>
  <c r="R4" i="9"/>
  <c r="E5" i="9"/>
  <c r="H5" i="9" s="1"/>
  <c r="P35" i="6"/>
  <c r="S5" i="9"/>
  <c r="E5" i="6"/>
  <c r="K37" i="6"/>
  <c r="D7" i="6"/>
  <c r="P31" i="6"/>
  <c r="L37" i="6"/>
  <c r="K36" i="6"/>
  <c r="P36" i="6" s="1"/>
  <c r="K12" i="8"/>
  <c r="C403" i="13"/>
  <c r="E19" i="5"/>
  <c r="M15" i="8"/>
  <c r="C404" i="13"/>
  <c r="F25" i="5"/>
  <c r="O6" i="8"/>
  <c r="G25" i="5"/>
  <c r="I36" i="8"/>
  <c r="K5" i="8"/>
  <c r="I14" i="8"/>
  <c r="K15" i="8"/>
  <c r="O12" i="8"/>
  <c r="I20" i="8"/>
  <c r="K21" i="8"/>
  <c r="H21" i="5"/>
  <c r="J34" i="8"/>
  <c r="E24" i="5"/>
  <c r="J11" i="8"/>
  <c r="J10" i="8"/>
  <c r="K6" i="8"/>
  <c r="M6" i="8"/>
  <c r="C399" i="13"/>
  <c r="J21" i="5"/>
  <c r="K11" i="8"/>
  <c r="K34" i="8"/>
  <c r="K10" i="8"/>
  <c r="M12" i="8"/>
  <c r="K37" i="8"/>
  <c r="K31" i="8"/>
  <c r="I38" i="8"/>
  <c r="G16" i="5"/>
  <c r="C407" i="13"/>
  <c r="J31" i="8"/>
  <c r="J37" i="8"/>
  <c r="O15" i="8"/>
  <c r="C405" i="13"/>
  <c r="J5" i="8"/>
  <c r="F16" i="5"/>
  <c r="J21" i="8"/>
  <c r="G21" i="5"/>
  <c r="M44" i="10" l="1"/>
  <c r="N44" i="10" s="1"/>
  <c r="P44" i="10"/>
  <c r="M74" i="10"/>
  <c r="N74" i="10" s="1"/>
  <c r="P74" i="10"/>
  <c r="M49" i="10"/>
  <c r="N49" i="10" s="1"/>
  <c r="P49" i="10"/>
  <c r="M34" i="10"/>
  <c r="N34" i="10" s="1"/>
  <c r="P34" i="10"/>
  <c r="M58" i="10"/>
  <c r="N58" i="10" s="1"/>
  <c r="P58" i="10"/>
  <c r="M70" i="10"/>
  <c r="N70" i="10" s="1"/>
  <c r="P70" i="10"/>
  <c r="M86" i="10"/>
  <c r="N86" i="10" s="1"/>
  <c r="P86" i="10"/>
  <c r="M98" i="10"/>
  <c r="N98" i="10" s="1"/>
  <c r="P98" i="10"/>
  <c r="M35" i="10"/>
  <c r="N35" i="10" s="1"/>
  <c r="P35" i="10"/>
  <c r="M32" i="10"/>
  <c r="N32" i="10" s="1"/>
  <c r="P32" i="10"/>
  <c r="M23" i="10"/>
  <c r="N23" i="10" s="1"/>
  <c r="P23" i="10"/>
  <c r="M50" i="10"/>
  <c r="N50" i="10" s="1"/>
  <c r="P50" i="10"/>
  <c r="M59" i="10"/>
  <c r="N59" i="10" s="1"/>
  <c r="P59" i="10"/>
  <c r="M63" i="10"/>
  <c r="N63" i="10" s="1"/>
  <c r="P63" i="10"/>
  <c r="M67" i="10"/>
  <c r="N67" i="10" s="1"/>
  <c r="P67" i="10"/>
  <c r="M71" i="10"/>
  <c r="N71" i="10" s="1"/>
  <c r="P71" i="10"/>
  <c r="M75" i="10"/>
  <c r="N75" i="10" s="1"/>
  <c r="P75" i="10"/>
  <c r="M79" i="10"/>
  <c r="N79" i="10" s="1"/>
  <c r="P79" i="10"/>
  <c r="M83" i="10"/>
  <c r="N83" i="10" s="1"/>
  <c r="P83" i="10"/>
  <c r="M87" i="10"/>
  <c r="N87" i="10" s="1"/>
  <c r="P87" i="10"/>
  <c r="M91" i="10"/>
  <c r="N91" i="10" s="1"/>
  <c r="P91" i="10"/>
  <c r="M95" i="10"/>
  <c r="N95" i="10" s="1"/>
  <c r="P95" i="10"/>
  <c r="M99" i="10"/>
  <c r="N99" i="10" s="1"/>
  <c r="P99" i="10"/>
  <c r="M47" i="10"/>
  <c r="N47" i="10" s="1"/>
  <c r="P47" i="10"/>
  <c r="M39" i="10"/>
  <c r="N39" i="10" s="1"/>
  <c r="P39" i="10"/>
  <c r="M33" i="10"/>
  <c r="N33" i="10" s="1"/>
  <c r="P33" i="10"/>
  <c r="M26" i="10"/>
  <c r="N26" i="10" s="1"/>
  <c r="P26" i="10"/>
  <c r="M48" i="10"/>
  <c r="N48" i="10" s="1"/>
  <c r="P48" i="10"/>
  <c r="M25" i="10"/>
  <c r="N25" i="10" s="1"/>
  <c r="P25" i="10"/>
  <c r="M57" i="10"/>
  <c r="N57" i="10" s="1"/>
  <c r="P57" i="10"/>
  <c r="M66" i="10"/>
  <c r="N66" i="10" s="1"/>
  <c r="P66" i="10"/>
  <c r="M82" i="10"/>
  <c r="N82" i="10" s="1"/>
  <c r="P82" i="10"/>
  <c r="M94" i="10"/>
  <c r="N94" i="10" s="1"/>
  <c r="P94" i="10"/>
  <c r="M40" i="10"/>
  <c r="N40" i="10" s="1"/>
  <c r="P40" i="10"/>
  <c r="M41" i="10"/>
  <c r="N41" i="10" s="1"/>
  <c r="P41" i="10"/>
  <c r="M29" i="10"/>
  <c r="N29" i="10" s="1"/>
  <c r="P29" i="10"/>
  <c r="M56" i="10"/>
  <c r="N56" i="10" s="1"/>
  <c r="P56" i="10"/>
  <c r="M46" i="10"/>
  <c r="N46" i="10" s="1"/>
  <c r="P46" i="10"/>
  <c r="M60" i="10"/>
  <c r="N60" i="10" s="1"/>
  <c r="P60" i="10"/>
  <c r="M64" i="10"/>
  <c r="N64" i="10" s="1"/>
  <c r="P64" i="10"/>
  <c r="M68" i="10"/>
  <c r="N68" i="10" s="1"/>
  <c r="P68" i="10"/>
  <c r="M72" i="10"/>
  <c r="N72" i="10" s="1"/>
  <c r="P72" i="10"/>
  <c r="M76" i="10"/>
  <c r="N76" i="10" s="1"/>
  <c r="P76" i="10"/>
  <c r="M80" i="10"/>
  <c r="N80" i="10" s="1"/>
  <c r="P80" i="10"/>
  <c r="M84" i="10"/>
  <c r="N84" i="10" s="1"/>
  <c r="P84" i="10"/>
  <c r="M88" i="10"/>
  <c r="N88" i="10" s="1"/>
  <c r="P88" i="10"/>
  <c r="M92" i="10"/>
  <c r="N92" i="10" s="1"/>
  <c r="P92" i="10"/>
  <c r="M96" i="10"/>
  <c r="N96" i="10" s="1"/>
  <c r="P96" i="10"/>
  <c r="M100" i="10"/>
  <c r="N100" i="10" s="1"/>
  <c r="P100" i="10"/>
  <c r="M53" i="10"/>
  <c r="N53" i="10" s="1"/>
  <c r="P53" i="10"/>
  <c r="M45" i="10"/>
  <c r="N45" i="10" s="1"/>
  <c r="P45" i="10"/>
  <c r="M38" i="10"/>
  <c r="N38" i="10" s="1"/>
  <c r="P38" i="10"/>
  <c r="M31" i="10"/>
  <c r="N31" i="10" s="1"/>
  <c r="P31" i="10"/>
  <c r="M24" i="10"/>
  <c r="N24" i="10" s="1"/>
  <c r="P24" i="10"/>
  <c r="M52" i="10"/>
  <c r="N52" i="10" s="1"/>
  <c r="P52" i="10"/>
  <c r="M62" i="10"/>
  <c r="N62" i="10" s="1"/>
  <c r="P62" i="10"/>
  <c r="M78" i="10"/>
  <c r="N78" i="10" s="1"/>
  <c r="P78" i="10"/>
  <c r="M90" i="10"/>
  <c r="N90" i="10" s="1"/>
  <c r="P90" i="10"/>
  <c r="M28" i="10"/>
  <c r="N28" i="10" s="1"/>
  <c r="P28" i="10"/>
  <c r="M37" i="10"/>
  <c r="N37" i="10" s="1"/>
  <c r="P37" i="10"/>
  <c r="M27" i="10"/>
  <c r="N27" i="10" s="1"/>
  <c r="P27" i="10"/>
  <c r="M54" i="10"/>
  <c r="N54" i="10" s="1"/>
  <c r="P54" i="10"/>
  <c r="M42" i="10"/>
  <c r="N42" i="10" s="1"/>
  <c r="P42" i="10"/>
  <c r="M61" i="10"/>
  <c r="N61" i="10" s="1"/>
  <c r="P61" i="10"/>
  <c r="M65" i="10"/>
  <c r="N65" i="10" s="1"/>
  <c r="P65" i="10"/>
  <c r="M69" i="10"/>
  <c r="N69" i="10" s="1"/>
  <c r="P69" i="10"/>
  <c r="M73" i="10"/>
  <c r="N73" i="10" s="1"/>
  <c r="P73" i="10"/>
  <c r="M77" i="10"/>
  <c r="N77" i="10" s="1"/>
  <c r="P77" i="10"/>
  <c r="M81" i="10"/>
  <c r="N81" i="10" s="1"/>
  <c r="P81" i="10"/>
  <c r="M85" i="10"/>
  <c r="N85" i="10" s="1"/>
  <c r="P85" i="10"/>
  <c r="M89" i="10"/>
  <c r="N89" i="10" s="1"/>
  <c r="P89" i="10"/>
  <c r="M93" i="10"/>
  <c r="N93" i="10" s="1"/>
  <c r="P93" i="10"/>
  <c r="M97" i="10"/>
  <c r="N97" i="10" s="1"/>
  <c r="P97" i="10"/>
  <c r="M101" i="10"/>
  <c r="N101" i="10" s="1"/>
  <c r="P101" i="10"/>
  <c r="M51" i="10"/>
  <c r="N51" i="10" s="1"/>
  <c r="P51" i="10"/>
  <c r="M43" i="10"/>
  <c r="N43" i="10" s="1"/>
  <c r="P43" i="10"/>
  <c r="M36" i="10"/>
  <c r="N36" i="10" s="1"/>
  <c r="P36" i="10"/>
  <c r="M30" i="10"/>
  <c r="N30" i="10" s="1"/>
  <c r="P30" i="10"/>
  <c r="H12" i="14"/>
  <c r="H15" i="14"/>
  <c r="H6" i="14"/>
  <c r="D37" i="14"/>
  <c r="F12" i="14"/>
  <c r="D15" i="14"/>
  <c r="F15" i="14"/>
  <c r="D31" i="14"/>
  <c r="D10" i="14"/>
  <c r="F6" i="14"/>
  <c r="D12" i="14"/>
  <c r="D6" i="14"/>
  <c r="D5" i="14"/>
  <c r="D21" i="14"/>
  <c r="D11" i="14"/>
  <c r="D34" i="14"/>
  <c r="AB27" i="5"/>
  <c r="AH45" i="5" s="1"/>
  <c r="K45" i="5"/>
  <c r="AB25" i="5"/>
  <c r="AH43" i="5" s="1"/>
  <c r="K43" i="5"/>
  <c r="AB23" i="5"/>
  <c r="AH41" i="5" s="1"/>
  <c r="K41" i="5"/>
  <c r="Z23" i="5"/>
  <c r="AF41" i="5" s="1"/>
  <c r="J41" i="5"/>
  <c r="Z19" i="5"/>
  <c r="AF37" i="5" s="1"/>
  <c r="J37" i="5"/>
  <c r="Z15" i="5"/>
  <c r="AF33" i="5" s="1"/>
  <c r="J33" i="5"/>
  <c r="X22" i="5"/>
  <c r="AD40" i="5" s="1"/>
  <c r="H40" i="5"/>
  <c r="X20" i="5"/>
  <c r="AD38" i="5" s="1"/>
  <c r="H38" i="5"/>
  <c r="X18" i="5"/>
  <c r="AD36" i="5" s="1"/>
  <c r="H36" i="5"/>
  <c r="X16" i="5"/>
  <c r="AD34" i="5" s="1"/>
  <c r="H34" i="5"/>
  <c r="AA22" i="5"/>
  <c r="AG40" i="5" s="1"/>
  <c r="T40" i="5"/>
  <c r="AA18" i="5"/>
  <c r="AG36" i="5" s="1"/>
  <c r="T36" i="5"/>
  <c r="X27" i="5"/>
  <c r="AD45" i="5" s="1"/>
  <c r="H45" i="5"/>
  <c r="X25" i="5"/>
  <c r="AD43" i="5" s="1"/>
  <c r="H43" i="5"/>
  <c r="AA27" i="5"/>
  <c r="AG45" i="5" s="1"/>
  <c r="T45" i="5"/>
  <c r="Z22" i="5"/>
  <c r="AF40" i="5" s="1"/>
  <c r="J40" i="5"/>
  <c r="Z18" i="5"/>
  <c r="AF36" i="5" s="1"/>
  <c r="J36" i="5"/>
  <c r="AA26" i="5"/>
  <c r="AG44" i="5" s="1"/>
  <c r="T44" i="5"/>
  <c r="AB21" i="5"/>
  <c r="AH39" i="5" s="1"/>
  <c r="K39" i="5"/>
  <c r="AB19" i="5"/>
  <c r="AH37" i="5" s="1"/>
  <c r="K37" i="5"/>
  <c r="AB17" i="5"/>
  <c r="AH35" i="5" s="1"/>
  <c r="K35" i="5"/>
  <c r="AB15" i="5"/>
  <c r="AH33" i="5" s="1"/>
  <c r="K33" i="5"/>
  <c r="AA25" i="5"/>
  <c r="AG43" i="5" s="1"/>
  <c r="T43" i="5"/>
  <c r="AA21" i="5"/>
  <c r="AG39" i="5" s="1"/>
  <c r="T39" i="5"/>
  <c r="AA17" i="5"/>
  <c r="AG35" i="5" s="1"/>
  <c r="T35" i="5"/>
  <c r="Z27" i="5"/>
  <c r="AF45" i="5" s="1"/>
  <c r="J45" i="5"/>
  <c r="AB26" i="5"/>
  <c r="AH44" i="5" s="1"/>
  <c r="K44" i="5"/>
  <c r="AB24" i="5"/>
  <c r="AH42" i="5" s="1"/>
  <c r="K42" i="5"/>
  <c r="Z25" i="5"/>
  <c r="AF43" i="5" s="1"/>
  <c r="J43" i="5"/>
  <c r="Z21" i="5"/>
  <c r="AF39" i="5" s="1"/>
  <c r="J39" i="5"/>
  <c r="Z17" i="5"/>
  <c r="AF35" i="5" s="1"/>
  <c r="J35" i="5"/>
  <c r="X23" i="5"/>
  <c r="AD41" i="5" s="1"/>
  <c r="H41" i="5"/>
  <c r="X21" i="5"/>
  <c r="AD39" i="5" s="1"/>
  <c r="H39" i="5"/>
  <c r="X19" i="5"/>
  <c r="AD37" i="5" s="1"/>
  <c r="H37" i="5"/>
  <c r="X17" i="5"/>
  <c r="AD35" i="5" s="1"/>
  <c r="H35" i="5"/>
  <c r="X15" i="5"/>
  <c r="AD33" i="5" s="1"/>
  <c r="H33" i="5"/>
  <c r="AA24" i="5"/>
  <c r="AG42" i="5" s="1"/>
  <c r="T42" i="5"/>
  <c r="AA20" i="5"/>
  <c r="AG38" i="5" s="1"/>
  <c r="T38" i="5"/>
  <c r="AA16" i="5"/>
  <c r="AG34" i="5" s="1"/>
  <c r="T34" i="5"/>
  <c r="Z26" i="5"/>
  <c r="AF44" i="5" s="1"/>
  <c r="J44" i="5"/>
  <c r="X26" i="5"/>
  <c r="AD44" i="5" s="1"/>
  <c r="H44" i="5"/>
  <c r="X24" i="5"/>
  <c r="AD42" i="5" s="1"/>
  <c r="H42" i="5"/>
  <c r="Z24" i="5"/>
  <c r="AF42" i="5" s="1"/>
  <c r="J42" i="5"/>
  <c r="Z20" i="5"/>
  <c r="AF38" i="5" s="1"/>
  <c r="J38" i="5"/>
  <c r="Z16" i="5"/>
  <c r="AF34" i="5" s="1"/>
  <c r="J34" i="5"/>
  <c r="AB22" i="5"/>
  <c r="AH40" i="5" s="1"/>
  <c r="K40" i="5"/>
  <c r="AB20" i="5"/>
  <c r="AH38" i="5" s="1"/>
  <c r="K38" i="5"/>
  <c r="AB18" i="5"/>
  <c r="AH36" i="5" s="1"/>
  <c r="K36" i="5"/>
  <c r="AB16" i="5"/>
  <c r="AH34" i="5" s="1"/>
  <c r="K34" i="5"/>
  <c r="AA23" i="5"/>
  <c r="AG41" i="5" s="1"/>
  <c r="T41" i="5"/>
  <c r="AA19" i="5"/>
  <c r="AG37" i="5" s="1"/>
  <c r="T37" i="5"/>
  <c r="AA15" i="5"/>
  <c r="AG33" i="5" s="1"/>
  <c r="T33" i="5"/>
  <c r="A21" i="5"/>
  <c r="P37" i="6"/>
  <c r="E6" i="6"/>
  <c r="T5" i="9"/>
  <c r="U5" i="9" s="1"/>
  <c r="S6" i="9"/>
  <c r="R5" i="9"/>
  <c r="H6" i="9"/>
  <c r="E7" i="9"/>
  <c r="D8" i="9"/>
  <c r="I7" i="9"/>
  <c r="D8" i="6"/>
  <c r="D6" i="10"/>
  <c r="K5" i="10"/>
  <c r="J5" i="10" s="1"/>
  <c r="O5" i="10"/>
  <c r="J36" i="8"/>
  <c r="O11" i="8"/>
  <c r="M34" i="8"/>
  <c r="K38" i="8"/>
  <c r="M10" i="8"/>
  <c r="O37" i="8"/>
  <c r="J25" i="5"/>
  <c r="M5" i="8"/>
  <c r="O5" i="8"/>
  <c r="H25" i="5"/>
  <c r="O21" i="8"/>
  <c r="M21" i="8"/>
  <c r="M37" i="8"/>
  <c r="K36" i="8"/>
  <c r="I26" i="8"/>
  <c r="G19" i="5"/>
  <c r="J20" i="8"/>
  <c r="I27" i="8"/>
  <c r="O34" i="8"/>
  <c r="G24" i="5"/>
  <c r="M31" i="8"/>
  <c r="F19" i="5"/>
  <c r="H16" i="5"/>
  <c r="E20" i="5"/>
  <c r="K20" i="8"/>
  <c r="M11" i="8"/>
  <c r="J38" i="8"/>
  <c r="I9" i="8"/>
  <c r="J16" i="5"/>
  <c r="O31" i="8"/>
  <c r="O10" i="8"/>
  <c r="K14" i="8"/>
  <c r="E7" i="6" l="1"/>
  <c r="E8" i="6"/>
  <c r="F37" i="14"/>
  <c r="D14" i="14"/>
  <c r="F10" i="14"/>
  <c r="F34" i="14"/>
  <c r="H34" i="14"/>
  <c r="H37" i="14"/>
  <c r="F5" i="14"/>
  <c r="D36" i="14"/>
  <c r="F11" i="14"/>
  <c r="F21" i="14"/>
  <c r="D20" i="14"/>
  <c r="H11" i="14"/>
  <c r="H10" i="14"/>
  <c r="F31" i="14"/>
  <c r="H5" i="14"/>
  <c r="D38" i="14"/>
  <c r="H21" i="14"/>
  <c r="H31" i="14"/>
  <c r="AA37" i="5"/>
  <c r="AA34" i="5"/>
  <c r="AA35" i="5"/>
  <c r="AA33" i="5"/>
  <c r="AA38" i="5"/>
  <c r="AA36" i="5"/>
  <c r="AA41" i="5"/>
  <c r="AA42" i="5"/>
  <c r="AA43" i="5"/>
  <c r="AA45" i="5"/>
  <c r="AA40" i="5"/>
  <c r="AA39" i="5"/>
  <c r="AA44" i="5"/>
  <c r="Z33" i="5"/>
  <c r="X33" i="5"/>
  <c r="U33" i="5"/>
  <c r="Y33" i="5"/>
  <c r="V33" i="5"/>
  <c r="W33" i="5"/>
  <c r="X41" i="5"/>
  <c r="U41" i="5"/>
  <c r="W41" i="5"/>
  <c r="Y41" i="5"/>
  <c r="Z41" i="5"/>
  <c r="V41" i="5"/>
  <c r="U38" i="5"/>
  <c r="W38" i="5"/>
  <c r="Y38" i="5"/>
  <c r="X38" i="5"/>
  <c r="V38" i="5"/>
  <c r="Z38" i="5"/>
  <c r="X39" i="5"/>
  <c r="U39" i="5"/>
  <c r="W39" i="5"/>
  <c r="Y39" i="5"/>
  <c r="V39" i="5"/>
  <c r="Z39" i="5"/>
  <c r="X44" i="5"/>
  <c r="V44" i="5"/>
  <c r="U44" i="5"/>
  <c r="Z44" i="5"/>
  <c r="Y44" i="5"/>
  <c r="W44" i="5"/>
  <c r="X36" i="5"/>
  <c r="V36" i="5"/>
  <c r="U36" i="5"/>
  <c r="Z36" i="5"/>
  <c r="Y36" i="5"/>
  <c r="W36" i="5"/>
  <c r="X37" i="5"/>
  <c r="U37" i="5"/>
  <c r="W37" i="5"/>
  <c r="Y37" i="5"/>
  <c r="Z37" i="5"/>
  <c r="V37" i="5"/>
  <c r="X34" i="5"/>
  <c r="V34" i="5"/>
  <c r="U34" i="5"/>
  <c r="Z34" i="5"/>
  <c r="Y34" i="5"/>
  <c r="W34" i="5"/>
  <c r="U42" i="5"/>
  <c r="Z42" i="5"/>
  <c r="Y42" i="5"/>
  <c r="X42" i="5"/>
  <c r="W42" i="5"/>
  <c r="V42" i="5"/>
  <c r="W35" i="5"/>
  <c r="V35" i="5"/>
  <c r="X35" i="5"/>
  <c r="Z35" i="5"/>
  <c r="U35" i="5"/>
  <c r="Y35" i="5"/>
  <c r="W43" i="5"/>
  <c r="U43" i="5"/>
  <c r="Y43" i="5"/>
  <c r="Z43" i="5"/>
  <c r="V43" i="5"/>
  <c r="X43" i="5"/>
  <c r="W45" i="5"/>
  <c r="Y45" i="5"/>
  <c r="U45" i="5"/>
  <c r="V45" i="5"/>
  <c r="Z45" i="5"/>
  <c r="X45" i="5"/>
  <c r="U40" i="5"/>
  <c r="Z40" i="5"/>
  <c r="Y40" i="5"/>
  <c r="W40" i="5"/>
  <c r="X40" i="5"/>
  <c r="V40" i="5"/>
  <c r="A25" i="5"/>
  <c r="A16" i="5"/>
  <c r="D7" i="10"/>
  <c r="O6" i="10"/>
  <c r="K6" i="10"/>
  <c r="J6" i="10" s="1"/>
  <c r="S7" i="9"/>
  <c r="T6" i="9"/>
  <c r="R6" i="9"/>
  <c r="U6" i="9"/>
  <c r="D9" i="9"/>
  <c r="E8" i="9"/>
  <c r="I8" i="9"/>
  <c r="D9" i="6"/>
  <c r="H7" i="9"/>
  <c r="G20" i="5"/>
  <c r="M36" i="8"/>
  <c r="J19" i="5"/>
  <c r="J27" i="8"/>
  <c r="I35" i="8"/>
  <c r="I39" i="8"/>
  <c r="M38" i="8"/>
  <c r="E18" i="5"/>
  <c r="O38" i="8"/>
  <c r="F24" i="5"/>
  <c r="K26" i="8"/>
  <c r="F20" i="5"/>
  <c r="K27" i="8"/>
  <c r="K9" i="8"/>
  <c r="I18" i="8"/>
  <c r="I22" i="8"/>
  <c r="I40" i="8"/>
  <c r="I30" i="8"/>
  <c r="H19" i="5"/>
  <c r="O36" i="8"/>
  <c r="M20" i="8"/>
  <c r="J9" i="8"/>
  <c r="J14" i="8"/>
  <c r="J26" i="8"/>
  <c r="O20" i="8"/>
  <c r="H20" i="14" l="1"/>
  <c r="D9" i="14"/>
  <c r="F20" i="14"/>
  <c r="D27" i="14"/>
  <c r="H36" i="14"/>
  <c r="D26" i="14"/>
  <c r="H38" i="14"/>
  <c r="F38" i="14"/>
  <c r="F36" i="14"/>
  <c r="A19" i="5"/>
  <c r="E9" i="6"/>
  <c r="D10" i="6"/>
  <c r="H8" i="9"/>
  <c r="T7" i="9"/>
  <c r="U7" i="9" s="1"/>
  <c r="R7" i="9"/>
  <c r="S8" i="9"/>
  <c r="D10" i="9"/>
  <c r="I9" i="9"/>
  <c r="E9" i="9"/>
  <c r="H9" i="9" s="1"/>
  <c r="O7" i="10"/>
  <c r="D8" i="10"/>
  <c r="K7" i="10"/>
  <c r="J7" i="10" s="1"/>
  <c r="M27" i="8"/>
  <c r="K39" i="8"/>
  <c r="O27" i="8"/>
  <c r="M9" i="8"/>
  <c r="M26" i="8"/>
  <c r="O14" i="8"/>
  <c r="K22" i="8"/>
  <c r="J39" i="8"/>
  <c r="I17" i="8"/>
  <c r="J18" i="8"/>
  <c r="G18" i="5"/>
  <c r="O9" i="8"/>
  <c r="K35" i="8"/>
  <c r="O26" i="8"/>
  <c r="J24" i="5"/>
  <c r="J22" i="8"/>
  <c r="K30" i="8"/>
  <c r="H20" i="5"/>
  <c r="F18" i="5"/>
  <c r="K40" i="8"/>
  <c r="J35" i="8"/>
  <c r="H24" i="5"/>
  <c r="J20" i="5"/>
  <c r="E23" i="5"/>
  <c r="K18" i="8"/>
  <c r="M14" i="8"/>
  <c r="J40" i="8"/>
  <c r="J30" i="8"/>
  <c r="H9" i="14" l="1"/>
  <c r="F26" i="14"/>
  <c r="F27" i="14"/>
  <c r="D40" i="14"/>
  <c r="H26" i="14"/>
  <c r="H27" i="14"/>
  <c r="F14" i="14"/>
  <c r="A20" i="5"/>
  <c r="F9" i="14"/>
  <c r="A24" i="5"/>
  <c r="H14" i="14"/>
  <c r="D35" i="14"/>
  <c r="D22" i="14"/>
  <c r="D39" i="14"/>
  <c r="D30" i="14"/>
  <c r="D18" i="14"/>
  <c r="E10" i="6"/>
  <c r="O8" i="10"/>
  <c r="D9" i="10"/>
  <c r="K8" i="10"/>
  <c r="J8" i="10" s="1"/>
  <c r="I10" i="9"/>
  <c r="D11" i="9"/>
  <c r="E10" i="9"/>
  <c r="H10" i="9" s="1"/>
  <c r="R8" i="9"/>
  <c r="T8" i="9"/>
  <c r="U8" i="9" s="1"/>
  <c r="S9" i="9"/>
  <c r="D11" i="6"/>
  <c r="O30" i="8"/>
  <c r="E26" i="5"/>
  <c r="K17" i="8"/>
  <c r="M30" i="8"/>
  <c r="I23" i="8"/>
  <c r="H18" i="5"/>
  <c r="M35" i="8"/>
  <c r="M18" i="8"/>
  <c r="G23" i="5"/>
  <c r="M40" i="8"/>
  <c r="J17" i="8"/>
  <c r="M39" i="8"/>
  <c r="O40" i="8"/>
  <c r="M22" i="8"/>
  <c r="J18" i="5"/>
  <c r="O39" i="8"/>
  <c r="O18" i="8"/>
  <c r="F23" i="5"/>
  <c r="O35" i="8"/>
  <c r="O22" i="8"/>
  <c r="H40" i="14" l="1"/>
  <c r="F40" i="14"/>
  <c r="F22" i="14"/>
  <c r="H18" i="14"/>
  <c r="F30" i="14"/>
  <c r="F39" i="14"/>
  <c r="F35" i="14"/>
  <c r="F18" i="14"/>
  <c r="H30" i="14"/>
  <c r="H39" i="14"/>
  <c r="H35" i="14"/>
  <c r="D17" i="14"/>
  <c r="H22" i="14"/>
  <c r="A18" i="5"/>
  <c r="E11" i="6"/>
  <c r="E11" i="9"/>
  <c r="H11" i="9" s="1"/>
  <c r="D12" i="9"/>
  <c r="I11" i="9"/>
  <c r="T9" i="9"/>
  <c r="U9" i="9" s="1"/>
  <c r="S10" i="9"/>
  <c r="R9" i="9"/>
  <c r="D12" i="6"/>
  <c r="D10" i="10"/>
  <c r="K9" i="10"/>
  <c r="J9" i="10" s="1"/>
  <c r="O9" i="10"/>
  <c r="G26" i="5"/>
  <c r="M17" i="8"/>
  <c r="J23" i="5"/>
  <c r="K23" i="8"/>
  <c r="H23" i="5"/>
  <c r="J23" i="8"/>
  <c r="I16" i="8"/>
  <c r="O17" i="8"/>
  <c r="F26" i="5"/>
  <c r="E17" i="5"/>
  <c r="H17" i="14" l="1"/>
  <c r="D23" i="14"/>
  <c r="F17" i="14"/>
  <c r="A23" i="5"/>
  <c r="S11" i="9"/>
  <c r="T10" i="9"/>
  <c r="U10" i="9" s="1"/>
  <c r="R10" i="9"/>
  <c r="K10" i="10"/>
  <c r="J10" i="10" s="1"/>
  <c r="D11" i="10"/>
  <c r="O10" i="10"/>
  <c r="D13" i="6"/>
  <c r="E12" i="9"/>
  <c r="I12" i="9"/>
  <c r="D13" i="9"/>
  <c r="E12" i="6"/>
  <c r="E27" i="5"/>
  <c r="F17" i="5"/>
  <c r="J26" i="5"/>
  <c r="I4" i="8"/>
  <c r="K16" i="8"/>
  <c r="I32" i="8"/>
  <c r="M23" i="8"/>
  <c r="J16" i="8"/>
  <c r="H26" i="5"/>
  <c r="I33" i="8"/>
  <c r="G17" i="5"/>
  <c r="O23" i="8"/>
  <c r="F23" i="14" l="1"/>
  <c r="D16" i="14"/>
  <c r="H23" i="14"/>
  <c r="A26" i="5"/>
  <c r="E13" i="6"/>
  <c r="H12" i="9"/>
  <c r="O11" i="10"/>
  <c r="K11" i="10"/>
  <c r="J11" i="10" s="1"/>
  <c r="D12" i="10"/>
  <c r="T11" i="9"/>
  <c r="U11" i="9" s="1"/>
  <c r="R11" i="9"/>
  <c r="S12" i="9"/>
  <c r="D14" i="9"/>
  <c r="I13" i="9"/>
  <c r="E13" i="9"/>
  <c r="H13" i="9" s="1"/>
  <c r="D14" i="6"/>
  <c r="J17" i="5"/>
  <c r="I8" i="8"/>
  <c r="J33" i="8"/>
  <c r="J32" i="8"/>
  <c r="M16" i="8"/>
  <c r="J4" i="8"/>
  <c r="I13" i="8"/>
  <c r="K32" i="8"/>
  <c r="I7" i="8"/>
  <c r="K4" i="8"/>
  <c r="K33" i="8"/>
  <c r="E15" i="5"/>
  <c r="H17" i="5"/>
  <c r="G27" i="5"/>
  <c r="I3" i="8"/>
  <c r="F27" i="5"/>
  <c r="O16" i="8"/>
  <c r="F16" i="14" l="1"/>
  <c r="D4" i="14"/>
  <c r="H16" i="14"/>
  <c r="D32" i="14"/>
  <c r="D33" i="14"/>
  <c r="A17" i="5"/>
  <c r="D15" i="6"/>
  <c r="D15" i="9"/>
  <c r="E14" i="9"/>
  <c r="I14" i="9"/>
  <c r="E14" i="6"/>
  <c r="K12" i="10"/>
  <c r="J12" i="10" s="1"/>
  <c r="O12" i="10"/>
  <c r="D13" i="10"/>
  <c r="S13" i="9"/>
  <c r="R12" i="9"/>
  <c r="T12" i="9"/>
  <c r="U12" i="9" s="1"/>
  <c r="F15" i="5"/>
  <c r="H27" i="5"/>
  <c r="G15" i="5"/>
  <c r="J27" i="5"/>
  <c r="J13" i="8"/>
  <c r="O4" i="8"/>
  <c r="M33" i="8"/>
  <c r="K8" i="8"/>
  <c r="K3" i="8"/>
  <c r="O32" i="8"/>
  <c r="M4" i="8"/>
  <c r="J3" i="8"/>
  <c r="I24" i="8"/>
  <c r="I29" i="8"/>
  <c r="J8" i="8"/>
  <c r="M32" i="8"/>
  <c r="I28" i="8"/>
  <c r="K7" i="8"/>
  <c r="J7" i="8"/>
  <c r="K13" i="8"/>
  <c r="I19" i="8"/>
  <c r="I25" i="8"/>
  <c r="O33" i="8"/>
  <c r="E22" i="5"/>
  <c r="F32" i="14" l="1"/>
  <c r="H4" i="14"/>
  <c r="F4" i="14"/>
  <c r="F33" i="14"/>
  <c r="D8" i="14"/>
  <c r="D13" i="14"/>
  <c r="H32" i="14"/>
  <c r="D7" i="14"/>
  <c r="D3" i="14"/>
  <c r="H33" i="14"/>
  <c r="A27" i="5"/>
  <c r="K13" i="10"/>
  <c r="J13" i="10" s="1"/>
  <c r="O13" i="10"/>
  <c r="D14" i="10"/>
  <c r="E15" i="9"/>
  <c r="H15" i="9" s="1"/>
  <c r="I15" i="9"/>
  <c r="D16" i="9"/>
  <c r="E11" i="5"/>
  <c r="G11" i="5" s="1"/>
  <c r="E12" i="5"/>
  <c r="G12" i="5" s="1"/>
  <c r="E10" i="5"/>
  <c r="E15" i="6"/>
  <c r="T13" i="9"/>
  <c r="R13" i="9"/>
  <c r="S14" i="9"/>
  <c r="U13" i="9"/>
  <c r="H14" i="9"/>
  <c r="O3" i="8"/>
  <c r="M7" i="8"/>
  <c r="G22" i="5"/>
  <c r="M8" i="8"/>
  <c r="M13" i="8"/>
  <c r="K19" i="8"/>
  <c r="J19" i="8"/>
  <c r="J15" i="5"/>
  <c r="O7" i="8"/>
  <c r="H15" i="5"/>
  <c r="K25" i="8"/>
  <c r="K29" i="8"/>
  <c r="K28" i="8"/>
  <c r="J25" i="8"/>
  <c r="O13" i="8"/>
  <c r="J29" i="8"/>
  <c r="J24" i="8"/>
  <c r="O8" i="8"/>
  <c r="K24" i="8"/>
  <c r="J28" i="8"/>
  <c r="M3" i="8"/>
  <c r="F22" i="5"/>
  <c r="G10" i="5" l="1"/>
  <c r="E32" i="5" s="1"/>
  <c r="D25" i="14"/>
  <c r="D24" i="14"/>
  <c r="H13" i="14"/>
  <c r="D19" i="14"/>
  <c r="H8" i="14"/>
  <c r="H3" i="14"/>
  <c r="D28" i="14"/>
  <c r="F13" i="14"/>
  <c r="F7" i="14"/>
  <c r="F8" i="14"/>
  <c r="D29" i="14"/>
  <c r="H7" i="14"/>
  <c r="F3" i="14"/>
  <c r="A15" i="5"/>
  <c r="T14" i="9"/>
  <c r="R14" i="9"/>
  <c r="S15" i="9"/>
  <c r="U14" i="9"/>
  <c r="I16" i="9"/>
  <c r="D17" i="9"/>
  <c r="E16" i="9"/>
  <c r="O14" i="10"/>
  <c r="K14" i="10"/>
  <c r="J14" i="10" s="1"/>
  <c r="D15" i="10"/>
  <c r="F11" i="5"/>
  <c r="F12" i="5"/>
  <c r="F10" i="5"/>
  <c r="O27" i="5"/>
  <c r="O17" i="5"/>
  <c r="O20" i="5"/>
  <c r="O25" i="5"/>
  <c r="O23" i="5"/>
  <c r="O15" i="5"/>
  <c r="O18" i="5"/>
  <c r="O21" i="5"/>
  <c r="O26" i="5"/>
  <c r="O16" i="5"/>
  <c r="O19" i="5"/>
  <c r="O24" i="5"/>
  <c r="J22" i="5"/>
  <c r="M29" i="8"/>
  <c r="M25" i="8"/>
  <c r="O29" i="8"/>
  <c r="O25" i="8"/>
  <c r="O19" i="8"/>
  <c r="O28" i="8"/>
  <c r="M24" i="8"/>
  <c r="M19" i="8"/>
  <c r="H22" i="5"/>
  <c r="M28" i="8"/>
  <c r="O24" i="8"/>
  <c r="O22" i="5" l="1"/>
  <c r="E40" i="5" s="1"/>
  <c r="M1" i="8"/>
  <c r="F25" i="14"/>
  <c r="F19" i="14"/>
  <c r="H24" i="14"/>
  <c r="F28" i="14"/>
  <c r="H19" i="14"/>
  <c r="F29" i="14"/>
  <c r="H28" i="14"/>
  <c r="H29" i="14"/>
  <c r="F24" i="14"/>
  <c r="H25" i="14"/>
  <c r="V15" i="5"/>
  <c r="AB33" i="5" s="1"/>
  <c r="E33" i="5"/>
  <c r="V19" i="5"/>
  <c r="AB37" i="5" s="1"/>
  <c r="E37" i="5"/>
  <c r="V18" i="5"/>
  <c r="AB36" i="5" s="1"/>
  <c r="E36" i="5"/>
  <c r="V20" i="5"/>
  <c r="AB38" i="5" s="1"/>
  <c r="E38" i="5"/>
  <c r="V26" i="5"/>
  <c r="AB44" i="5" s="1"/>
  <c r="E44" i="5"/>
  <c r="V23" i="5"/>
  <c r="AB41" i="5" s="1"/>
  <c r="E41" i="5"/>
  <c r="V27" i="5"/>
  <c r="AB45" i="5" s="1"/>
  <c r="E45" i="5"/>
  <c r="V16" i="5"/>
  <c r="AB34" i="5" s="1"/>
  <c r="E34" i="5"/>
  <c r="V17" i="5"/>
  <c r="AB35" i="5" s="1"/>
  <c r="E35" i="5"/>
  <c r="V24" i="5"/>
  <c r="AB42" i="5" s="1"/>
  <c r="E42" i="5"/>
  <c r="V21" i="5"/>
  <c r="AB39" i="5" s="1"/>
  <c r="E39" i="5"/>
  <c r="V25" i="5"/>
  <c r="AB43" i="5" s="1"/>
  <c r="E43" i="5"/>
  <c r="V22" i="5"/>
  <c r="AB40" i="5" s="1"/>
  <c r="A22" i="5"/>
  <c r="O15" i="10"/>
  <c r="K15" i="10"/>
  <c r="J15" i="10" s="1"/>
  <c r="D16" i="10"/>
  <c r="D18" i="9"/>
  <c r="I17" i="9"/>
  <c r="E17" i="9"/>
  <c r="H17" i="9" s="1"/>
  <c r="J10" i="5"/>
  <c r="I32" i="5" s="1"/>
  <c r="H10" i="5"/>
  <c r="G32" i="5" s="1"/>
  <c r="H12" i="5"/>
  <c r="J12" i="5"/>
  <c r="U15" i="9"/>
  <c r="T15" i="9"/>
  <c r="S16" i="9"/>
  <c r="R15" i="9"/>
  <c r="H11" i="5"/>
  <c r="J11" i="5"/>
  <c r="H16" i="9"/>
  <c r="S32" i="5" l="1"/>
  <c r="R32" i="5"/>
  <c r="N32" i="5"/>
  <c r="Q32" i="5"/>
  <c r="M32" i="5"/>
  <c r="P32" i="5"/>
  <c r="O32" i="5"/>
  <c r="P25" i="5"/>
  <c r="G43" i="5" s="1"/>
  <c r="P24" i="5"/>
  <c r="G42" i="5" s="1"/>
  <c r="P23" i="5"/>
  <c r="G41" i="5" s="1"/>
  <c r="P27" i="5"/>
  <c r="G45" i="5" s="1"/>
  <c r="P20" i="5"/>
  <c r="G38" i="5" s="1"/>
  <c r="P16" i="5"/>
  <c r="G34" i="5" s="1"/>
  <c r="P26" i="5"/>
  <c r="G44" i="5" s="1"/>
  <c r="P21" i="5"/>
  <c r="G39" i="5" s="1"/>
  <c r="P17" i="5"/>
  <c r="G35" i="5" s="1"/>
  <c r="P22" i="5"/>
  <c r="G40" i="5" s="1"/>
  <c r="P18" i="5"/>
  <c r="G36" i="5" s="1"/>
  <c r="P19" i="5"/>
  <c r="G37" i="5" s="1"/>
  <c r="P15" i="5"/>
  <c r="G33" i="5" s="1"/>
  <c r="O16" i="10"/>
  <c r="K16" i="10"/>
  <c r="J16" i="10" s="1"/>
  <c r="D17" i="10"/>
  <c r="S17" i="9"/>
  <c r="R16" i="9"/>
  <c r="U16" i="9"/>
  <c r="T16" i="9"/>
  <c r="R25" i="5"/>
  <c r="I43" i="5" s="1"/>
  <c r="R22" i="5"/>
  <c r="I40" i="5" s="1"/>
  <c r="R18" i="5"/>
  <c r="I36" i="5" s="1"/>
  <c r="R24" i="5"/>
  <c r="I42" i="5" s="1"/>
  <c r="R23" i="5"/>
  <c r="I41" i="5" s="1"/>
  <c r="R19" i="5"/>
  <c r="I37" i="5" s="1"/>
  <c r="R15" i="5"/>
  <c r="I33" i="5" s="1"/>
  <c r="R27" i="5"/>
  <c r="I45" i="5" s="1"/>
  <c r="R20" i="5"/>
  <c r="I38" i="5" s="1"/>
  <c r="R16" i="5"/>
  <c r="I34" i="5" s="1"/>
  <c r="R26" i="5"/>
  <c r="I44" i="5" s="1"/>
  <c r="R21" i="5"/>
  <c r="I39" i="5" s="1"/>
  <c r="R17" i="5"/>
  <c r="I35" i="5" s="1"/>
  <c r="D19" i="9"/>
  <c r="E18" i="9"/>
  <c r="H18" i="9" s="1"/>
  <c r="I18" i="9"/>
  <c r="S40" i="5" l="1"/>
  <c r="S34" i="5"/>
  <c r="S42" i="5"/>
  <c r="S33" i="5"/>
  <c r="S35" i="5"/>
  <c r="S38" i="5"/>
  <c r="S43" i="5"/>
  <c r="S37" i="5"/>
  <c r="S39" i="5"/>
  <c r="S45" i="5"/>
  <c r="S36" i="5"/>
  <c r="S44" i="5"/>
  <c r="S41" i="5"/>
  <c r="O33" i="5"/>
  <c r="M33" i="5"/>
  <c r="Q33" i="5"/>
  <c r="R33" i="5"/>
  <c r="P33" i="5"/>
  <c r="N33" i="5"/>
  <c r="P37" i="5"/>
  <c r="M37" i="5"/>
  <c r="Q37" i="5"/>
  <c r="N37" i="5"/>
  <c r="R37" i="5"/>
  <c r="O37" i="5"/>
  <c r="N36" i="5"/>
  <c r="R36" i="5"/>
  <c r="Q36" i="5"/>
  <c r="O36" i="5"/>
  <c r="M36" i="5"/>
  <c r="P36" i="5"/>
  <c r="N40" i="5"/>
  <c r="R40" i="5"/>
  <c r="Q40" i="5"/>
  <c r="O40" i="5"/>
  <c r="M40" i="5"/>
  <c r="P40" i="5"/>
  <c r="P35" i="5"/>
  <c r="O35" i="5"/>
  <c r="M35" i="5"/>
  <c r="Q35" i="5"/>
  <c r="N35" i="5"/>
  <c r="R35" i="5"/>
  <c r="P39" i="5"/>
  <c r="M39" i="5"/>
  <c r="Q39" i="5"/>
  <c r="N39" i="5"/>
  <c r="R39" i="5"/>
  <c r="O39" i="5"/>
  <c r="N44" i="5"/>
  <c r="R44" i="5"/>
  <c r="Q44" i="5"/>
  <c r="O44" i="5"/>
  <c r="M44" i="5"/>
  <c r="P44" i="5"/>
  <c r="N34" i="5"/>
  <c r="R34" i="5"/>
  <c r="O34" i="5"/>
  <c r="M34" i="5"/>
  <c r="P34" i="5"/>
  <c r="Q34" i="5"/>
  <c r="N38" i="5"/>
  <c r="R38" i="5"/>
  <c r="Q38" i="5"/>
  <c r="O38" i="5"/>
  <c r="M38" i="5"/>
  <c r="P38" i="5"/>
  <c r="P45" i="5"/>
  <c r="M45" i="5"/>
  <c r="Q45" i="5"/>
  <c r="N45" i="5"/>
  <c r="R45" i="5"/>
  <c r="O45" i="5"/>
  <c r="P41" i="5"/>
  <c r="M41" i="5"/>
  <c r="Q41" i="5"/>
  <c r="N41" i="5"/>
  <c r="R41" i="5"/>
  <c r="O41" i="5"/>
  <c r="N42" i="5"/>
  <c r="R42" i="5"/>
  <c r="Q42" i="5"/>
  <c r="O42" i="5"/>
  <c r="M42" i="5"/>
  <c r="P42" i="5"/>
  <c r="P43" i="5"/>
  <c r="M43" i="5"/>
  <c r="Q43" i="5"/>
  <c r="N43" i="5"/>
  <c r="R43" i="5"/>
  <c r="O43" i="5"/>
  <c r="Y17" i="5"/>
  <c r="AE35" i="5" s="1"/>
  <c r="Y20" i="5"/>
  <c r="AE38" i="5" s="1"/>
  <c r="Y23" i="5"/>
  <c r="AE41" i="5" s="1"/>
  <c r="Y25" i="5"/>
  <c r="AE43" i="5" s="1"/>
  <c r="W18" i="5"/>
  <c r="AC36" i="5" s="1"/>
  <c r="W26" i="5"/>
  <c r="AC44" i="5" s="1"/>
  <c r="W23" i="5"/>
  <c r="AC41" i="5" s="1"/>
  <c r="Y21" i="5"/>
  <c r="AE39" i="5" s="1"/>
  <c r="Y27" i="5"/>
  <c r="AE45" i="5" s="1"/>
  <c r="Y24" i="5"/>
  <c r="AE42" i="5" s="1"/>
  <c r="W22" i="5"/>
  <c r="AC40" i="5" s="1"/>
  <c r="W16" i="5"/>
  <c r="AC34" i="5" s="1"/>
  <c r="W24" i="5"/>
  <c r="AC42" i="5" s="1"/>
  <c r="Y26" i="5"/>
  <c r="AE44" i="5" s="1"/>
  <c r="Y15" i="5"/>
  <c r="AE33" i="5" s="1"/>
  <c r="Y18" i="5"/>
  <c r="AE36" i="5" s="1"/>
  <c r="W15" i="5"/>
  <c r="AC33" i="5" s="1"/>
  <c r="W17" i="5"/>
  <c r="AC35" i="5" s="1"/>
  <c r="W20" i="5"/>
  <c r="AC38" i="5" s="1"/>
  <c r="W25" i="5"/>
  <c r="AC43" i="5" s="1"/>
  <c r="Y16" i="5"/>
  <c r="AE34" i="5" s="1"/>
  <c r="Y19" i="5"/>
  <c r="AE37" i="5" s="1"/>
  <c r="Y22" i="5"/>
  <c r="AE40" i="5" s="1"/>
  <c r="W19" i="5"/>
  <c r="AC37" i="5" s="1"/>
  <c r="W21" i="5"/>
  <c r="AC39" i="5" s="1"/>
  <c r="W27" i="5"/>
  <c r="AC45" i="5" s="1"/>
  <c r="E19" i="9"/>
  <c r="I19" i="9"/>
  <c r="D20" i="9"/>
  <c r="T17" i="9"/>
  <c r="R17" i="9"/>
  <c r="S18" i="9"/>
  <c r="U17" i="9"/>
  <c r="K17" i="10"/>
  <c r="J17" i="10" s="1"/>
  <c r="O17" i="10"/>
  <c r="D18" i="10"/>
  <c r="I420" i="13"/>
  <c r="I421" i="13"/>
  <c r="I446" i="13"/>
  <c r="I433" i="13"/>
  <c r="I408" i="13"/>
  <c r="I427" i="13"/>
  <c r="I410" i="13"/>
  <c r="I438" i="13"/>
  <c r="I414" i="13"/>
  <c r="I426" i="13"/>
  <c r="I412" i="13"/>
  <c r="I418" i="13"/>
  <c r="I419" i="13"/>
  <c r="I436" i="13"/>
  <c r="I431" i="13"/>
  <c r="I416" i="13"/>
  <c r="I443" i="13"/>
  <c r="I444" i="13"/>
  <c r="I411" i="13"/>
  <c r="I432" i="13"/>
  <c r="I445" i="13"/>
  <c r="I435" i="13"/>
  <c r="I439" i="13"/>
  <c r="I434" i="13"/>
  <c r="I423" i="13"/>
  <c r="I409" i="13"/>
  <c r="I442" i="13"/>
  <c r="I428" i="13"/>
  <c r="I422" i="13"/>
  <c r="I430" i="13"/>
  <c r="I417" i="13"/>
  <c r="I441" i="13"/>
  <c r="I415" i="13"/>
  <c r="I440" i="13"/>
  <c r="I413" i="13"/>
  <c r="I424" i="13"/>
  <c r="I425" i="13"/>
  <c r="I429" i="13"/>
  <c r="I437" i="13"/>
  <c r="AC25" i="5" l="1"/>
  <c r="AC22" i="5"/>
  <c r="AC23" i="5"/>
  <c r="AC19" i="5"/>
  <c r="AC21" i="5"/>
  <c r="AC16" i="5"/>
  <c r="AC18" i="5"/>
  <c r="AC15" i="5"/>
  <c r="AC26" i="5"/>
  <c r="AC24" i="5"/>
  <c r="AC27" i="5"/>
  <c r="AC17" i="5"/>
  <c r="AC20" i="5"/>
  <c r="K18" i="10"/>
  <c r="J18" i="10" s="1"/>
  <c r="O18" i="10"/>
  <c r="D19" i="10"/>
  <c r="H19" i="9"/>
  <c r="I20" i="9"/>
  <c r="D21" i="9"/>
  <c r="E20" i="9"/>
  <c r="H20" i="9" s="1"/>
  <c r="T18" i="9"/>
  <c r="R18" i="9"/>
  <c r="S19" i="9"/>
  <c r="U18" i="9"/>
  <c r="U19" i="9" l="1"/>
  <c r="T19" i="9"/>
  <c r="S20" i="9"/>
  <c r="R19" i="9"/>
  <c r="K19" i="10"/>
  <c r="J19" i="10" s="1"/>
  <c r="O19" i="10"/>
  <c r="D20" i="10"/>
  <c r="D22" i="9"/>
  <c r="I21" i="9"/>
  <c r="E21" i="9"/>
  <c r="D23" i="9" l="1"/>
  <c r="E22" i="9"/>
  <c r="I22" i="9"/>
  <c r="S21" i="9"/>
  <c r="R20" i="9"/>
  <c r="U20" i="9"/>
  <c r="T20" i="9"/>
  <c r="O20" i="10"/>
  <c r="K20" i="10"/>
  <c r="J20" i="10" s="1"/>
  <c r="D21" i="10"/>
  <c r="H21" i="9"/>
  <c r="T21" i="9" l="1"/>
  <c r="R21" i="9"/>
  <c r="S22" i="9"/>
  <c r="U21" i="9"/>
  <c r="O21" i="10"/>
  <c r="K21" i="10"/>
  <c r="J21" i="10" s="1"/>
  <c r="D22" i="10"/>
  <c r="H22" i="9"/>
  <c r="E23" i="9"/>
  <c r="I23" i="9"/>
  <c r="D24" i="9"/>
  <c r="I24" i="9" l="1"/>
  <c r="E24" i="9"/>
  <c r="H24" i="9" s="1"/>
  <c r="D25" i="9"/>
  <c r="H23" i="9"/>
  <c r="K22" i="10"/>
  <c r="J22" i="10" s="1"/>
  <c r="O22" i="10"/>
  <c r="D23" i="10"/>
  <c r="T22" i="9"/>
  <c r="R22" i="9"/>
  <c r="S23" i="9"/>
  <c r="U22" i="9"/>
  <c r="D26" i="9" l="1"/>
  <c r="I25" i="9"/>
  <c r="E25" i="9"/>
  <c r="H25" i="9" s="1"/>
  <c r="K23" i="10"/>
  <c r="J23" i="10" s="1"/>
  <c r="O23" i="10"/>
  <c r="D24" i="10"/>
  <c r="U23" i="9"/>
  <c r="T23" i="9"/>
  <c r="S24" i="9"/>
  <c r="R23" i="9"/>
  <c r="I26" i="9" l="1"/>
  <c r="D27" i="9"/>
  <c r="E26" i="9"/>
  <c r="O24" i="10"/>
  <c r="K24" i="10"/>
  <c r="J24" i="10" s="1"/>
  <c r="D25" i="10"/>
  <c r="S25" i="9"/>
  <c r="R24" i="9"/>
  <c r="U24" i="9"/>
  <c r="T24" i="9"/>
  <c r="K25" i="10" l="1"/>
  <c r="J25" i="10" s="1"/>
  <c r="O25" i="10"/>
  <c r="D26" i="10"/>
  <c r="E27" i="9"/>
  <c r="I27" i="9"/>
  <c r="D28" i="9"/>
  <c r="U25" i="9"/>
  <c r="S26" i="9"/>
  <c r="T25" i="9"/>
  <c r="R25" i="9"/>
  <c r="H26" i="9"/>
  <c r="H27" i="9" l="1"/>
  <c r="K26" i="10"/>
  <c r="J26" i="10" s="1"/>
  <c r="O26" i="10"/>
  <c r="D27" i="10"/>
  <c r="E28" i="9"/>
  <c r="H28" i="9" s="1"/>
  <c r="D29" i="9"/>
  <c r="I28" i="9"/>
  <c r="T26" i="9"/>
  <c r="S27" i="9"/>
  <c r="U26" i="9"/>
  <c r="R26" i="9"/>
  <c r="U27" i="9" l="1"/>
  <c r="S28" i="9"/>
  <c r="R27" i="9"/>
  <c r="T27" i="9"/>
  <c r="D30" i="9"/>
  <c r="I29" i="9"/>
  <c r="E29" i="9"/>
  <c r="H29" i="9" s="1"/>
  <c r="K27" i="10"/>
  <c r="J27" i="10" s="1"/>
  <c r="O27" i="10"/>
  <c r="D28" i="10"/>
  <c r="D31" i="9" l="1"/>
  <c r="E30" i="9"/>
  <c r="H30" i="9" s="1"/>
  <c r="I30" i="9"/>
  <c r="O28" i="10"/>
  <c r="K28" i="10"/>
  <c r="J28" i="10" s="1"/>
  <c r="D29" i="10"/>
  <c r="S29" i="9"/>
  <c r="R28" i="9"/>
  <c r="U28" i="9"/>
  <c r="T28" i="9"/>
  <c r="R29" i="9" l="1"/>
  <c r="U29" i="9"/>
  <c r="S30" i="9"/>
  <c r="T29" i="9"/>
  <c r="K29" i="10"/>
  <c r="J29" i="10" s="1"/>
  <c r="O29" i="10"/>
  <c r="D30" i="10"/>
  <c r="E31" i="9"/>
  <c r="H31" i="9" s="1"/>
  <c r="I31" i="9"/>
  <c r="D32" i="9"/>
  <c r="K30" i="10" l="1"/>
  <c r="J30" i="10" s="1"/>
  <c r="O30" i="10"/>
  <c r="D31" i="10"/>
  <c r="T30" i="9"/>
  <c r="R30" i="9"/>
  <c r="S31" i="9"/>
  <c r="U30" i="9"/>
  <c r="I32" i="9"/>
  <c r="E32" i="9"/>
  <c r="H32" i="9" s="1"/>
  <c r="D33" i="9"/>
  <c r="O31" i="10" l="1"/>
  <c r="K31" i="10"/>
  <c r="J31" i="10" s="1"/>
  <c r="D32" i="10"/>
  <c r="D34" i="9"/>
  <c r="I33" i="9"/>
  <c r="E33" i="9"/>
  <c r="H33" i="9" s="1"/>
  <c r="U31" i="9"/>
  <c r="T31" i="9"/>
  <c r="S32" i="9"/>
  <c r="R31" i="9"/>
  <c r="S33" i="9" l="1"/>
  <c r="R32" i="9"/>
  <c r="U32" i="9"/>
  <c r="T32" i="9"/>
  <c r="I34" i="9"/>
  <c r="D35" i="9"/>
  <c r="E34" i="9"/>
  <c r="K32" i="10"/>
  <c r="J32" i="10" s="1"/>
  <c r="O32" i="10"/>
  <c r="D33" i="10"/>
  <c r="H34" i="9" l="1"/>
  <c r="K33" i="10"/>
  <c r="J33" i="10" s="1"/>
  <c r="O33" i="10"/>
  <c r="D34" i="10"/>
  <c r="E35" i="9"/>
  <c r="H35" i="9" s="1"/>
  <c r="D36" i="9"/>
  <c r="I35" i="9"/>
  <c r="U33" i="9"/>
  <c r="S34" i="9"/>
  <c r="T33" i="9"/>
  <c r="R33" i="9"/>
  <c r="T34" i="9" l="1"/>
  <c r="U34" i="9"/>
  <c r="S35" i="9"/>
  <c r="R34" i="9"/>
  <c r="K34" i="10"/>
  <c r="J34" i="10" s="1"/>
  <c r="O34" i="10"/>
  <c r="D35" i="10"/>
  <c r="D37" i="9"/>
  <c r="I36" i="9"/>
  <c r="E36" i="9"/>
  <c r="H36" i="9" s="1"/>
  <c r="O35" i="10" l="1"/>
  <c r="K35" i="10"/>
  <c r="J35" i="10" s="1"/>
  <c r="D36" i="10"/>
  <c r="S36" i="9"/>
  <c r="R35" i="9"/>
  <c r="U35" i="9"/>
  <c r="T35" i="9"/>
  <c r="D38" i="9"/>
  <c r="I37" i="9"/>
  <c r="E37" i="9"/>
  <c r="H37" i="9" s="1"/>
  <c r="S37" i="9" l="1"/>
  <c r="R36" i="9"/>
  <c r="T36" i="9"/>
  <c r="U36" i="9"/>
  <c r="E38" i="9"/>
  <c r="H38" i="9" s="1"/>
  <c r="D39" i="9"/>
  <c r="I38" i="9"/>
  <c r="O36" i="10"/>
  <c r="K36" i="10"/>
  <c r="J36" i="10" s="1"/>
  <c r="D37" i="10"/>
  <c r="O37" i="10" l="1"/>
  <c r="K37" i="10"/>
  <c r="J37" i="10" s="1"/>
  <c r="D38" i="10"/>
  <c r="E39" i="9"/>
  <c r="D40" i="9"/>
  <c r="I39" i="9"/>
  <c r="T37" i="9"/>
  <c r="S38" i="9"/>
  <c r="U37" i="9"/>
  <c r="R37" i="9"/>
  <c r="H39" i="9" l="1"/>
  <c r="K38" i="10"/>
  <c r="J38" i="10" s="1"/>
  <c r="O38" i="10"/>
  <c r="D39" i="10"/>
  <c r="U38" i="9"/>
  <c r="T38" i="9"/>
  <c r="R38" i="9"/>
  <c r="S39" i="9"/>
  <c r="D41" i="9"/>
  <c r="I40" i="9"/>
  <c r="E40" i="9"/>
  <c r="H40" i="9" s="1"/>
  <c r="D42" i="9" l="1"/>
  <c r="I41" i="9"/>
  <c r="E41" i="9"/>
  <c r="H41" i="9" s="1"/>
  <c r="K39" i="10"/>
  <c r="J39" i="10" s="1"/>
  <c r="O39" i="10"/>
  <c r="D40" i="10"/>
  <c r="S40" i="9"/>
  <c r="R39" i="9"/>
  <c r="U39" i="9"/>
  <c r="T39" i="9"/>
  <c r="S41" i="9" l="1"/>
  <c r="R40" i="9"/>
  <c r="T40" i="9"/>
  <c r="U40" i="9"/>
  <c r="E42" i="9"/>
  <c r="D43" i="9"/>
  <c r="I42" i="9"/>
  <c r="O40" i="10"/>
  <c r="K40" i="10"/>
  <c r="J40" i="10" s="1"/>
  <c r="D41" i="10"/>
  <c r="O41" i="10" l="1"/>
  <c r="D42" i="10"/>
  <c r="K41" i="10"/>
  <c r="J41" i="10" s="1"/>
  <c r="E43" i="9"/>
  <c r="H43" i="9" s="1"/>
  <c r="D44" i="9"/>
  <c r="I43" i="9"/>
  <c r="H42" i="9"/>
  <c r="T41" i="9"/>
  <c r="S42" i="9"/>
  <c r="U41" i="9"/>
  <c r="R41" i="9"/>
  <c r="D45" i="9" l="1"/>
  <c r="I44" i="9"/>
  <c r="E44" i="9"/>
  <c r="H44" i="9" s="1"/>
  <c r="U42" i="9"/>
  <c r="T42" i="9"/>
  <c r="R42" i="9"/>
  <c r="S43" i="9"/>
  <c r="D43" i="10"/>
  <c r="K42" i="10"/>
  <c r="J42" i="10" s="1"/>
  <c r="O42" i="10"/>
  <c r="S44" i="9" l="1"/>
  <c r="R43" i="9"/>
  <c r="U43" i="9"/>
  <c r="T43" i="9"/>
  <c r="D44" i="10"/>
  <c r="K43" i="10"/>
  <c r="J43" i="10" s="1"/>
  <c r="O43" i="10"/>
  <c r="D46" i="9"/>
  <c r="I45" i="9"/>
  <c r="E45" i="9"/>
  <c r="H45" i="9" s="1"/>
  <c r="O44" i="10" l="1"/>
  <c r="D45" i="10"/>
  <c r="K44" i="10"/>
  <c r="J44" i="10" s="1"/>
  <c r="S45" i="9"/>
  <c r="R44" i="9"/>
  <c r="T44" i="9"/>
  <c r="U44" i="9"/>
  <c r="E46" i="9"/>
  <c r="H46" i="9" s="1"/>
  <c r="D47" i="9"/>
  <c r="I46" i="9"/>
  <c r="E47" i="9" l="1"/>
  <c r="D48" i="9"/>
  <c r="I47" i="9"/>
  <c r="T45" i="9"/>
  <c r="S46" i="9"/>
  <c r="U45" i="9"/>
  <c r="R45" i="9"/>
  <c r="O45" i="10"/>
  <c r="D46" i="10"/>
  <c r="K45" i="10"/>
  <c r="J45" i="10" s="1"/>
  <c r="U46" i="9" l="1"/>
  <c r="T46" i="9"/>
  <c r="R46" i="9"/>
  <c r="S47" i="9"/>
  <c r="D49" i="9"/>
  <c r="I48" i="9"/>
  <c r="E48" i="9"/>
  <c r="H48" i="9" s="1"/>
  <c r="D47" i="10"/>
  <c r="K46" i="10"/>
  <c r="J46" i="10" s="1"/>
  <c r="O46" i="10"/>
  <c r="H47" i="9"/>
  <c r="D50" i="9" l="1"/>
  <c r="I49" i="9"/>
  <c r="E49" i="9"/>
  <c r="D48" i="10"/>
  <c r="K47" i="10"/>
  <c r="J47" i="10" s="1"/>
  <c r="O47" i="10"/>
  <c r="S48" i="9"/>
  <c r="R47" i="9"/>
  <c r="U47" i="9"/>
  <c r="T47" i="9"/>
  <c r="D51" i="9" l="1"/>
  <c r="I50" i="9"/>
  <c r="E50" i="9"/>
  <c r="H50" i="9" s="1"/>
  <c r="O48" i="10"/>
  <c r="D49" i="10"/>
  <c r="K48" i="10"/>
  <c r="J48" i="10" s="1"/>
  <c r="U48" i="9"/>
  <c r="S49" i="9"/>
  <c r="R48" i="9"/>
  <c r="T48" i="9"/>
  <c r="H49" i="9"/>
  <c r="S50" i="9" l="1"/>
  <c r="R49" i="9"/>
  <c r="T49" i="9"/>
  <c r="U49" i="9"/>
  <c r="D50" i="10"/>
  <c r="K49" i="10"/>
  <c r="J49" i="10" s="1"/>
  <c r="O49" i="10"/>
  <c r="E51" i="9"/>
  <c r="I51" i="9"/>
  <c r="D52" i="9"/>
  <c r="D51" i="10" l="1"/>
  <c r="K50" i="10"/>
  <c r="J50" i="10" s="1"/>
  <c r="O50" i="10"/>
  <c r="U50" i="9"/>
  <c r="T50" i="9"/>
  <c r="S51" i="9"/>
  <c r="R50" i="9"/>
  <c r="E52" i="9"/>
  <c r="H52" i="9" s="1"/>
  <c r="D53" i="9"/>
  <c r="I52" i="9"/>
  <c r="H51" i="9"/>
  <c r="D54" i="9" l="1"/>
  <c r="I53" i="9"/>
  <c r="E53" i="9"/>
  <c r="D52" i="10"/>
  <c r="K51" i="10"/>
  <c r="J51" i="10" s="1"/>
  <c r="O51" i="10"/>
  <c r="T51" i="9"/>
  <c r="S52" i="9"/>
  <c r="R51" i="9"/>
  <c r="U51" i="9"/>
  <c r="O52" i="10" l="1"/>
  <c r="D53" i="10"/>
  <c r="K52" i="10"/>
  <c r="J52" i="10" s="1"/>
  <c r="D55" i="9"/>
  <c r="I54" i="9"/>
  <c r="E54" i="9"/>
  <c r="U52" i="9"/>
  <c r="S53" i="9"/>
  <c r="R52" i="9"/>
  <c r="T52" i="9"/>
  <c r="H53" i="9"/>
  <c r="H54" i="9" l="1"/>
  <c r="E55" i="9"/>
  <c r="I55" i="9"/>
  <c r="D56" i="9"/>
  <c r="O53" i="10"/>
  <c r="D54" i="10"/>
  <c r="K53" i="10"/>
  <c r="J53" i="10" s="1"/>
  <c r="S54" i="9"/>
  <c r="R53" i="9"/>
  <c r="T53" i="9"/>
  <c r="U53" i="9"/>
  <c r="U54" i="9" l="1"/>
  <c r="T54" i="9"/>
  <c r="S55" i="9"/>
  <c r="R54" i="9"/>
  <c r="E56" i="9"/>
  <c r="H56" i="9" s="1"/>
  <c r="D57" i="9"/>
  <c r="I56" i="9"/>
  <c r="D55" i="10"/>
  <c r="K54" i="10"/>
  <c r="J54" i="10" s="1"/>
  <c r="O54" i="10"/>
  <c r="H55" i="9"/>
  <c r="D58" i="9" l="1"/>
  <c r="I57" i="9"/>
  <c r="E57" i="9"/>
  <c r="T55" i="9"/>
  <c r="S56" i="9"/>
  <c r="R55" i="9"/>
  <c r="U55" i="9"/>
  <c r="D56" i="10"/>
  <c r="K55" i="10"/>
  <c r="J55" i="10" s="1"/>
  <c r="O55" i="10"/>
  <c r="O56" i="10" l="1"/>
  <c r="D57" i="10"/>
  <c r="K56" i="10"/>
  <c r="J56" i="10" s="1"/>
  <c r="H57" i="9"/>
  <c r="U56" i="9"/>
  <c r="S57" i="9"/>
  <c r="R56" i="9"/>
  <c r="T56" i="9"/>
  <c r="D59" i="9"/>
  <c r="I58" i="9"/>
  <c r="E58" i="9"/>
  <c r="H58" i="9" s="1"/>
  <c r="D60" i="9" l="1"/>
  <c r="I59" i="9"/>
  <c r="E59" i="9"/>
  <c r="O57" i="10"/>
  <c r="D58" i="10"/>
  <c r="K57" i="10"/>
  <c r="J57" i="10" s="1"/>
  <c r="S58" i="9"/>
  <c r="R57" i="9"/>
  <c r="T57" i="9"/>
  <c r="U57" i="9"/>
  <c r="D59" i="10" l="1"/>
  <c r="K58" i="10"/>
  <c r="J58" i="10" s="1"/>
  <c r="O58" i="10"/>
  <c r="E60" i="9"/>
  <c r="D61" i="9"/>
  <c r="I60" i="9"/>
  <c r="S59" i="9"/>
  <c r="U58" i="9"/>
  <c r="T58" i="9"/>
  <c r="R58" i="9"/>
  <c r="H59" i="9"/>
  <c r="E61" i="9" l="1"/>
  <c r="D62" i="9"/>
  <c r="I61" i="9"/>
  <c r="D60" i="10"/>
  <c r="K59" i="10"/>
  <c r="J59" i="10" s="1"/>
  <c r="O59" i="10"/>
  <c r="H60" i="9"/>
  <c r="T59" i="9"/>
  <c r="S60" i="9"/>
  <c r="R59" i="9"/>
  <c r="U59" i="9"/>
  <c r="U60" i="9" l="1"/>
  <c r="T60" i="9"/>
  <c r="S61" i="9"/>
  <c r="R60" i="9"/>
  <c r="O60" i="10"/>
  <c r="D61" i="10"/>
  <c r="K60" i="10"/>
  <c r="J60" i="10" s="1"/>
  <c r="D63" i="9"/>
  <c r="I62" i="9"/>
  <c r="E62" i="9"/>
  <c r="H61" i="9"/>
  <c r="H62" i="9" l="1"/>
  <c r="S62" i="9"/>
  <c r="R61" i="9"/>
  <c r="U61" i="9"/>
  <c r="T61" i="9"/>
  <c r="D64" i="9"/>
  <c r="I63" i="9"/>
  <c r="E63" i="9"/>
  <c r="O61" i="10"/>
  <c r="D62" i="10"/>
  <c r="K61" i="10"/>
  <c r="J61" i="10" s="1"/>
  <c r="D63" i="10" l="1"/>
  <c r="K62" i="10"/>
  <c r="J62" i="10" s="1"/>
  <c r="O62" i="10"/>
  <c r="E64" i="9"/>
  <c r="D65" i="9"/>
  <c r="I64" i="9"/>
  <c r="H63" i="9"/>
  <c r="S63" i="9"/>
  <c r="R62" i="9"/>
  <c r="U62" i="9"/>
  <c r="T62" i="9"/>
  <c r="H64" i="9" l="1"/>
  <c r="T63" i="9"/>
  <c r="S64" i="9"/>
  <c r="R63" i="9"/>
  <c r="U63" i="9"/>
  <c r="E65" i="9"/>
  <c r="D66" i="9"/>
  <c r="I65" i="9"/>
  <c r="D64" i="10"/>
  <c r="K63" i="10"/>
  <c r="J63" i="10" s="1"/>
  <c r="O63" i="10"/>
  <c r="H65" i="9" l="1"/>
  <c r="O64" i="10"/>
  <c r="D65" i="10"/>
  <c r="K64" i="10"/>
  <c r="J64" i="10" s="1"/>
  <c r="U64" i="9"/>
  <c r="T64" i="9"/>
  <c r="S65" i="9"/>
  <c r="R64" i="9"/>
  <c r="D67" i="9"/>
  <c r="I66" i="9"/>
  <c r="E66" i="9"/>
  <c r="H66" i="9" s="1"/>
  <c r="D66" i="10" l="1"/>
  <c r="K65" i="10"/>
  <c r="J65" i="10" s="1"/>
  <c r="O65" i="10"/>
  <c r="D68" i="9"/>
  <c r="I67" i="9"/>
  <c r="E67" i="9"/>
  <c r="S66" i="9"/>
  <c r="R65" i="9"/>
  <c r="U65" i="9"/>
  <c r="T65" i="9"/>
  <c r="S67" i="9" l="1"/>
  <c r="R66" i="9"/>
  <c r="U66" i="9"/>
  <c r="T66" i="9"/>
  <c r="D67" i="10"/>
  <c r="K66" i="10"/>
  <c r="J66" i="10" s="1"/>
  <c r="O66" i="10"/>
  <c r="H67" i="9"/>
  <c r="E68" i="9"/>
  <c r="D69" i="9"/>
  <c r="I68" i="9"/>
  <c r="E69" i="9" l="1"/>
  <c r="D70" i="9"/>
  <c r="I69" i="9"/>
  <c r="H68" i="9"/>
  <c r="O67" i="10"/>
  <c r="D68" i="10"/>
  <c r="K67" i="10"/>
  <c r="J67" i="10" s="1"/>
  <c r="T67" i="9"/>
  <c r="S68" i="9"/>
  <c r="R67" i="9"/>
  <c r="U67" i="9"/>
  <c r="U68" i="9" l="1"/>
  <c r="T68" i="9"/>
  <c r="S69" i="9"/>
  <c r="R68" i="9"/>
  <c r="O68" i="10"/>
  <c r="D69" i="10"/>
  <c r="K68" i="10"/>
  <c r="J68" i="10" s="1"/>
  <c r="D71" i="9"/>
  <c r="I70" i="9"/>
  <c r="E70" i="9"/>
  <c r="H70" i="9" s="1"/>
  <c r="H69" i="9"/>
  <c r="S70" i="9" l="1"/>
  <c r="R69" i="9"/>
  <c r="U69" i="9"/>
  <c r="T69" i="9"/>
  <c r="D72" i="9"/>
  <c r="I71" i="9"/>
  <c r="E71" i="9"/>
  <c r="H71" i="9" s="1"/>
  <c r="D70" i="10"/>
  <c r="K69" i="10"/>
  <c r="J69" i="10" s="1"/>
  <c r="O69" i="10"/>
  <c r="E72" i="9" l="1"/>
  <c r="D73" i="9"/>
  <c r="I72" i="9"/>
  <c r="S71" i="9"/>
  <c r="R70" i="9"/>
  <c r="U70" i="9"/>
  <c r="T70" i="9"/>
  <c r="O70" i="10"/>
  <c r="D71" i="10"/>
  <c r="K70" i="10"/>
  <c r="J70" i="10" s="1"/>
  <c r="T71" i="9" l="1"/>
  <c r="S72" i="9"/>
  <c r="R71" i="9"/>
  <c r="U71" i="9"/>
  <c r="E73" i="9"/>
  <c r="D74" i="9"/>
  <c r="I73" i="9"/>
  <c r="O71" i="10"/>
  <c r="D72" i="10"/>
  <c r="K71" i="10"/>
  <c r="J71" i="10" s="1"/>
  <c r="H72" i="9"/>
  <c r="O72" i="10" l="1"/>
  <c r="D73" i="10"/>
  <c r="K72" i="10"/>
  <c r="J72" i="10" s="1"/>
  <c r="D75" i="9"/>
  <c r="I74" i="9"/>
  <c r="E74" i="9"/>
  <c r="H74" i="9" s="1"/>
  <c r="U72" i="9"/>
  <c r="T72" i="9"/>
  <c r="S73" i="9"/>
  <c r="R72" i="9"/>
  <c r="H73" i="9"/>
  <c r="D76" i="9" l="1"/>
  <c r="I75" i="9"/>
  <c r="E75" i="9"/>
  <c r="H75" i="9" s="1"/>
  <c r="O73" i="10"/>
  <c r="D74" i="10"/>
  <c r="K73" i="10"/>
  <c r="J73" i="10" s="1"/>
  <c r="S74" i="9"/>
  <c r="R73" i="9"/>
  <c r="U73" i="9"/>
  <c r="T73" i="9"/>
  <c r="S75" i="9" l="1"/>
  <c r="R74" i="9"/>
  <c r="U74" i="9"/>
  <c r="T74" i="9"/>
  <c r="O74" i="10"/>
  <c r="D75" i="10"/>
  <c r="K74" i="10"/>
  <c r="J74" i="10" s="1"/>
  <c r="E76" i="9"/>
  <c r="H76" i="9" s="1"/>
  <c r="D77" i="9"/>
  <c r="I76" i="9"/>
  <c r="O75" i="10" l="1"/>
  <c r="D76" i="10"/>
  <c r="K75" i="10"/>
  <c r="J75" i="10" s="1"/>
  <c r="E77" i="9"/>
  <c r="H77" i="9" s="1"/>
  <c r="D78" i="9"/>
  <c r="I77" i="9"/>
  <c r="T75" i="9"/>
  <c r="S76" i="9"/>
  <c r="R75" i="9"/>
  <c r="U75" i="9"/>
  <c r="D79" i="9" l="1"/>
  <c r="I78" i="9"/>
  <c r="E78" i="9"/>
  <c r="H78" i="9" s="1"/>
  <c r="O76" i="10"/>
  <c r="D77" i="10"/>
  <c r="K76" i="10"/>
  <c r="J76" i="10" s="1"/>
  <c r="U76" i="9"/>
  <c r="T76" i="9"/>
  <c r="S77" i="9"/>
  <c r="R76" i="9"/>
  <c r="S78" i="9" l="1"/>
  <c r="R77" i="9"/>
  <c r="U77" i="9"/>
  <c r="T77" i="9"/>
  <c r="O77" i="10"/>
  <c r="D78" i="10"/>
  <c r="K77" i="10"/>
  <c r="J77" i="10" s="1"/>
  <c r="D80" i="9"/>
  <c r="I79" i="9"/>
  <c r="E79" i="9"/>
  <c r="H79" i="9" s="1"/>
  <c r="E80" i="9" l="1"/>
  <c r="D81" i="9"/>
  <c r="I80" i="9"/>
  <c r="O78" i="10"/>
  <c r="D79" i="10"/>
  <c r="K78" i="10"/>
  <c r="J78" i="10" s="1"/>
  <c r="S79" i="9"/>
  <c r="R78" i="9"/>
  <c r="U78" i="9"/>
  <c r="T78" i="9"/>
  <c r="O79" i="10" l="1"/>
  <c r="D80" i="10"/>
  <c r="K79" i="10"/>
  <c r="J79" i="10" s="1"/>
  <c r="E81" i="9"/>
  <c r="H81" i="9" s="1"/>
  <c r="D82" i="9"/>
  <c r="I81" i="9"/>
  <c r="T79" i="9"/>
  <c r="S80" i="9"/>
  <c r="R79" i="9"/>
  <c r="U79" i="9"/>
  <c r="H80" i="9"/>
  <c r="D83" i="9" l="1"/>
  <c r="I82" i="9"/>
  <c r="E82" i="9"/>
  <c r="H82" i="9" s="1"/>
  <c r="O80" i="10"/>
  <c r="D81" i="10"/>
  <c r="K80" i="10"/>
  <c r="J80" i="10" s="1"/>
  <c r="U80" i="9"/>
  <c r="T80" i="9"/>
  <c r="S81" i="9"/>
  <c r="R80" i="9"/>
  <c r="S82" i="9" l="1"/>
  <c r="R81" i="9"/>
  <c r="U81" i="9"/>
  <c r="T81" i="9"/>
  <c r="O81" i="10"/>
  <c r="D82" i="10"/>
  <c r="K81" i="10"/>
  <c r="J81" i="10" s="1"/>
  <c r="D84" i="9"/>
  <c r="I83" i="9"/>
  <c r="E83" i="9"/>
  <c r="H83" i="9" s="1"/>
  <c r="E84" i="9" l="1"/>
  <c r="D85" i="9"/>
  <c r="I84" i="9"/>
  <c r="O82" i="10"/>
  <c r="D83" i="10"/>
  <c r="K82" i="10"/>
  <c r="J82" i="10" s="1"/>
  <c r="S83" i="9"/>
  <c r="R82" i="9"/>
  <c r="U82" i="9"/>
  <c r="T82" i="9"/>
  <c r="T83" i="9" l="1"/>
  <c r="S84" i="9"/>
  <c r="R83" i="9"/>
  <c r="U83" i="9"/>
  <c r="H84" i="9"/>
  <c r="O83" i="10"/>
  <c r="D84" i="10"/>
  <c r="K83" i="10"/>
  <c r="J83" i="10" s="1"/>
  <c r="E85" i="9"/>
  <c r="H85" i="9" s="1"/>
  <c r="D86" i="9"/>
  <c r="I85" i="9"/>
  <c r="D87" i="9" l="1"/>
  <c r="I86" i="9"/>
  <c r="E86" i="9"/>
  <c r="H86" i="9" s="1"/>
  <c r="U84" i="9"/>
  <c r="T84" i="9"/>
  <c r="S85" i="9"/>
  <c r="R84" i="9"/>
  <c r="O84" i="10"/>
  <c r="D85" i="10"/>
  <c r="K84" i="10"/>
  <c r="J84" i="10" s="1"/>
  <c r="S86" i="9" l="1"/>
  <c r="R85" i="9"/>
  <c r="U85" i="9"/>
  <c r="T85" i="9"/>
  <c r="O85" i="10"/>
  <c r="D86" i="10"/>
  <c r="K85" i="10"/>
  <c r="J85" i="10" s="1"/>
  <c r="D88" i="9"/>
  <c r="I87" i="9"/>
  <c r="E87" i="9"/>
  <c r="H87" i="9" s="1"/>
  <c r="O86" i="10" l="1"/>
  <c r="D87" i="10"/>
  <c r="K86" i="10"/>
  <c r="J86" i="10" s="1"/>
  <c r="S87" i="9"/>
  <c r="R86" i="9"/>
  <c r="U86" i="9"/>
  <c r="T86" i="9"/>
  <c r="E88" i="9"/>
  <c r="D89" i="9"/>
  <c r="I88" i="9"/>
  <c r="H88" i="9" l="1"/>
  <c r="T87" i="9"/>
  <c r="S88" i="9"/>
  <c r="R87" i="9"/>
  <c r="U87" i="9"/>
  <c r="O87" i="10"/>
  <c r="D88" i="10"/>
  <c r="K87" i="10"/>
  <c r="J87" i="10" s="1"/>
  <c r="E89" i="9"/>
  <c r="D90" i="9"/>
  <c r="I89" i="9"/>
  <c r="D91" i="9" l="1"/>
  <c r="I90" i="9"/>
  <c r="E90" i="9"/>
  <c r="H90" i="9" s="1"/>
  <c r="O88" i="10"/>
  <c r="D89" i="10"/>
  <c r="K88" i="10"/>
  <c r="J88" i="10" s="1"/>
  <c r="U88" i="9"/>
  <c r="T88" i="9"/>
  <c r="S89" i="9"/>
  <c r="R88" i="9"/>
  <c r="H89" i="9"/>
  <c r="S90" i="9" l="1"/>
  <c r="R89" i="9"/>
  <c r="U89" i="9"/>
  <c r="T89" i="9"/>
  <c r="O89" i="10"/>
  <c r="D90" i="10"/>
  <c r="K89" i="10"/>
  <c r="J89" i="10" s="1"/>
  <c r="D92" i="9"/>
  <c r="I91" i="9"/>
  <c r="E91" i="9"/>
  <c r="H91" i="9" s="1"/>
  <c r="O90" i="10" l="1"/>
  <c r="D91" i="10"/>
  <c r="K90" i="10"/>
  <c r="J90" i="10" s="1"/>
  <c r="S91" i="9"/>
  <c r="R90" i="9"/>
  <c r="U90" i="9"/>
  <c r="T90" i="9"/>
  <c r="E92" i="9"/>
  <c r="H92" i="9" s="1"/>
  <c r="D93" i="9"/>
  <c r="I92" i="9"/>
  <c r="E93" i="9" l="1"/>
  <c r="D94" i="9"/>
  <c r="I93" i="9"/>
  <c r="T91" i="9"/>
  <c r="S92" i="9"/>
  <c r="R91" i="9"/>
  <c r="U91" i="9"/>
  <c r="O91" i="10"/>
  <c r="D92" i="10"/>
  <c r="K91" i="10"/>
  <c r="J91" i="10" s="1"/>
  <c r="O92" i="10" l="1"/>
  <c r="D93" i="10"/>
  <c r="K92" i="10"/>
  <c r="J92" i="10" s="1"/>
  <c r="D95" i="9"/>
  <c r="I94" i="9"/>
  <c r="E94" i="9"/>
  <c r="H94" i="9" s="1"/>
  <c r="U92" i="9"/>
  <c r="T92" i="9"/>
  <c r="S93" i="9"/>
  <c r="R92" i="9"/>
  <c r="H93" i="9"/>
  <c r="O93" i="10" l="1"/>
  <c r="D94" i="10"/>
  <c r="K93" i="10"/>
  <c r="J93" i="10" s="1"/>
  <c r="S94" i="9"/>
  <c r="R93" i="9"/>
  <c r="U93" i="9"/>
  <c r="T93" i="9"/>
  <c r="D96" i="9"/>
  <c r="I95" i="9"/>
  <c r="E95" i="9"/>
  <c r="E96" i="9" l="1"/>
  <c r="H96" i="9" s="1"/>
  <c r="D97" i="9"/>
  <c r="I96" i="9"/>
  <c r="H95" i="9"/>
  <c r="S95" i="9"/>
  <c r="R94" i="9"/>
  <c r="U94" i="9"/>
  <c r="T94" i="9"/>
  <c r="O94" i="10"/>
  <c r="D95" i="10"/>
  <c r="K94" i="10"/>
  <c r="J94" i="10" s="1"/>
  <c r="O95" i="10" l="1"/>
  <c r="D96" i="10"/>
  <c r="K95" i="10"/>
  <c r="J95" i="10" s="1"/>
  <c r="T95" i="9"/>
  <c r="S96" i="9"/>
  <c r="R95" i="9"/>
  <c r="U95" i="9"/>
  <c r="E97" i="9"/>
  <c r="H97" i="9" s="1"/>
  <c r="D98" i="9"/>
  <c r="I97" i="9"/>
  <c r="D99" i="9" l="1"/>
  <c r="I98" i="9"/>
  <c r="E98" i="9"/>
  <c r="H98" i="9" s="1"/>
  <c r="U96" i="9"/>
  <c r="T96" i="9"/>
  <c r="S97" i="9"/>
  <c r="R96" i="9"/>
  <c r="O96" i="10"/>
  <c r="D97" i="10"/>
  <c r="K96" i="10"/>
  <c r="J96" i="10" s="1"/>
  <c r="D100" i="9" l="1"/>
  <c r="I99" i="9"/>
  <c r="E99" i="9"/>
  <c r="H99" i="9" s="1"/>
  <c r="O97" i="10"/>
  <c r="D98" i="10"/>
  <c r="K97" i="10"/>
  <c r="J97" i="10" s="1"/>
  <c r="S98" i="9"/>
  <c r="R97" i="9"/>
  <c r="U97" i="9"/>
  <c r="T97" i="9"/>
  <c r="O98" i="10" l="1"/>
  <c r="D99" i="10"/>
  <c r="K98" i="10"/>
  <c r="J98" i="10" s="1"/>
  <c r="S99" i="9"/>
  <c r="R98" i="9"/>
  <c r="U98" i="9"/>
  <c r="T98" i="9"/>
  <c r="E100" i="9"/>
  <c r="H100" i="9" s="1"/>
  <c r="D101" i="9"/>
  <c r="I100" i="9"/>
  <c r="E101" i="9" l="1"/>
  <c r="I101" i="9"/>
  <c r="T99" i="9"/>
  <c r="S100" i="9"/>
  <c r="R99" i="9"/>
  <c r="U99" i="9"/>
  <c r="O99" i="10"/>
  <c r="D100" i="10"/>
  <c r="K99" i="10"/>
  <c r="J99" i="10" s="1"/>
  <c r="U100" i="9" l="1"/>
  <c r="T100" i="9"/>
  <c r="S101" i="9"/>
  <c r="R100" i="9"/>
  <c r="O100" i="10"/>
  <c r="D101" i="10"/>
  <c r="K100" i="10"/>
  <c r="J100" i="10" s="1"/>
  <c r="H101" i="9"/>
  <c r="R101" i="9" l="1"/>
  <c r="U101" i="9"/>
  <c r="T101" i="9"/>
  <c r="O101" i="10"/>
  <c r="K101" i="10"/>
  <c r="J101" i="10" s="1"/>
</calcChain>
</file>

<file path=xl/sharedStrings.xml><?xml version="1.0" encoding="utf-8"?>
<sst xmlns="http://schemas.openxmlformats.org/spreadsheetml/2006/main" count="2031" uniqueCount="861">
  <si>
    <t>hp</t>
    <phoneticPr fontId="0" type="Hiragana"/>
  </si>
  <si>
    <t>sp</t>
    <phoneticPr fontId="0" type="Hiragana"/>
  </si>
  <si>
    <t>物攻</t>
    <phoneticPr fontId="0" type="Hiragana"/>
  </si>
  <si>
    <t>物防</t>
    <phoneticPr fontId="0" type="Hiragana"/>
  </si>
  <si>
    <t>魔攻</t>
    <phoneticPr fontId="0" type="Hiragana"/>
  </si>
  <si>
    <t>魔防</t>
    <phoneticPr fontId="0" type="Hiragana"/>
  </si>
  <si>
    <t>幸运</t>
    <phoneticPr fontId="0" type="Hiragana"/>
  </si>
  <si>
    <t>威尔</t>
  </si>
  <si>
    <t>炼金术师</t>
    <phoneticPr fontId="0" type="Hiragana"/>
  </si>
  <si>
    <t>月爁</t>
  </si>
  <si>
    <t>战士</t>
    <phoneticPr fontId="0" type="Hiragana"/>
  </si>
  <si>
    <t>艾米莉塔</t>
  </si>
  <si>
    <t>魔法师</t>
    <phoneticPr fontId="0" type="Hiragana"/>
  </si>
  <si>
    <t>塞维尔</t>
  </si>
  <si>
    <t>弓箭手</t>
    <phoneticPr fontId="0" type="Hiragana"/>
  </si>
  <si>
    <t>雷格拉</t>
  </si>
  <si>
    <t>络纱娜</t>
  </si>
  <si>
    <t>神职侍女</t>
  </si>
  <si>
    <t>僧侣</t>
    <phoneticPr fontId="0" type="Hiragana"/>
  </si>
  <si>
    <t>水那</t>
  </si>
  <si>
    <t>火狐</t>
  </si>
  <si>
    <t>战斗大师</t>
    <phoneticPr fontId="0" type="Hiragana"/>
  </si>
  <si>
    <t>克莱尔</t>
  </si>
  <si>
    <t>梅洛蒂亚娜</t>
  </si>
  <si>
    <t>莎露媞</t>
  </si>
  <si>
    <t>克尔安奴</t>
  </si>
  <si>
    <t>幻兽</t>
  </si>
  <si>
    <t>武斗家</t>
    <phoneticPr fontId="0" type="Hiragana"/>
  </si>
  <si>
    <t>狐伯莲</t>
  </si>
  <si>
    <t>舞师</t>
    <phoneticPr fontId="0" type="Hiragana"/>
  </si>
  <si>
    <t>雷龙</t>
  </si>
  <si>
    <t>魔法战士</t>
    <phoneticPr fontId="0" type="Hiragana"/>
  </si>
  <si>
    <t>伊丽莎斯</t>
  </si>
  <si>
    <t>死神</t>
  </si>
  <si>
    <t>魔物猎人</t>
    <phoneticPr fontId="0" type="Hiragana"/>
  </si>
  <si>
    <t>露丝</t>
  </si>
  <si>
    <t>伊琳娜</t>
  </si>
  <si>
    <t>伊夫琳</t>
  </si>
  <si>
    <t>莉莉</t>
  </si>
  <si>
    <t>超级明星</t>
    <phoneticPr fontId="0" type="Hiragana"/>
  </si>
  <si>
    <t>普罗阿</t>
  </si>
  <si>
    <t>滑稽师</t>
    <phoneticPr fontId="0" type="Hiragana"/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</si>
  <si>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</si>
  <si>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</si>
  <si>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</si>
  <si>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</si>
  <si>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</si>
  <si>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</si>
  <si>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</si>
  <si>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东方国将军</t>
    <phoneticPr fontId="0" type="Hiragana"/>
  </si>
  <si>
    <t>死神强化版</t>
    <phoneticPr fontId="0" type="Hiragana"/>
  </si>
  <si>
    <t>柯丽雅</t>
    <phoneticPr fontId="0" type="Hiragana"/>
  </si>
  <si>
    <t>id</t>
    <phoneticPr fontId="0" type="Hiragana"/>
  </si>
  <si>
    <t>物防</t>
    <phoneticPr fontId="0" type="Hiragana"/>
  </si>
  <si>
    <t>物理</t>
  </si>
  <si>
    <t>闪避</t>
    <phoneticPr fontId="0" type="Hiragana"/>
  </si>
  <si>
    <t>命中</t>
    <phoneticPr fontId="0" type="Hiragana"/>
  </si>
  <si>
    <t>物理攻击</t>
    <phoneticPr fontId="0" type="Hiragana"/>
  </si>
  <si>
    <t>魔法攻击</t>
    <phoneticPr fontId="0" type="Hiragana"/>
  </si>
  <si>
    <t>抗性</t>
    <phoneticPr fontId="0" type="Hiragana"/>
  </si>
  <si>
    <t>最终击中率</t>
    <phoneticPr fontId="0" type="Hiragana"/>
  </si>
  <si>
    <t>魔法</t>
    <phoneticPr fontId="0" type="Hiragana"/>
  </si>
  <si>
    <t>id</t>
    <phoneticPr fontId="0" type="Hiragana"/>
  </si>
  <si>
    <t/>
    <phoneticPr fontId="0" type="Hiragana"/>
  </si>
  <si>
    <t>法杖</t>
    <phoneticPr fontId="0" type="Hiragana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</si>
  <si>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</si>
  <si>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</si>
  <si>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</si>
  <si>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</si>
  <si>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</si>
  <si>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</si>
  <si>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</si>
  <si>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0" type="Hiragana"/>
  </si>
  <si>
    <t>刀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</si>
  <si>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</si>
  <si>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</si>
  <si>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</si>
  <si>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</si>
  <si>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</si>
  <si>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</si>
  <si>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</si>
  <si>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</si>
  <si>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</si>
  <si>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</si>
  <si>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武器类型</t>
    <phoneticPr fontId="0" type="Hiragana"/>
  </si>
  <si>
    <t>id</t>
    <phoneticPr fontId="0" type="Hiragana"/>
  </si>
  <si>
    <t>id</t>
    <phoneticPr fontId="0" type="Hiragana"/>
  </si>
  <si>
    <t/>
    <phoneticPr fontId="0" type="Hiragana"/>
  </si>
  <si>
    <t/>
    <phoneticPr fontId="0" type="Hiragana"/>
  </si>
  <si>
    <t/>
    <phoneticPr fontId="0" type="Hiragana"/>
  </si>
  <si>
    <t>主属性</t>
    <phoneticPr fontId="0" type="Hiragana"/>
  </si>
  <si>
    <t>id</t>
    <phoneticPr fontId="0" type="Hiragana"/>
  </si>
  <si>
    <t>戒指</t>
    <phoneticPr fontId="0" type="Hiragana"/>
  </si>
  <si>
    <t>项链</t>
    <phoneticPr fontId="0" type="Hiragana"/>
  </si>
  <si>
    <t>hp</t>
    <phoneticPr fontId="0" type="Hiragana"/>
  </si>
  <si>
    <t>敏捷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</si>
  <si>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</si>
  <si>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</si>
  <si>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</si>
  <si>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</si>
  <si>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</si>
  <si>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</si>
  <si>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sp</t>
    <phoneticPr fontId="0" type="Hiragana"/>
  </si>
  <si>
    <t>人物等级</t>
    <phoneticPr fontId="0" type="Hiragana"/>
  </si>
  <si>
    <t>职业等级</t>
    <phoneticPr fontId="0" type="Hiragana"/>
  </si>
  <si>
    <t>装备幸运</t>
    <phoneticPr fontId="0" type="Hiragana"/>
  </si>
  <si>
    <t>npc幸运</t>
    <phoneticPr fontId="0" type="Hiragana"/>
  </si>
  <si>
    <t>职业总命中</t>
    <phoneticPr fontId="0" type="Hiragana"/>
  </si>
  <si>
    <t>npc命中</t>
    <phoneticPr fontId="0" type="Hiragana"/>
  </si>
  <si>
    <t>最小命中</t>
    <phoneticPr fontId="0" type="Hiragana"/>
  </si>
  <si>
    <t>名字</t>
    <phoneticPr fontId="0" type="Hiragana"/>
  </si>
  <si>
    <t>能力</t>
    <phoneticPr fontId="0" type="Hiragana"/>
  </si>
  <si>
    <t>敏捷</t>
    <phoneticPr fontId="0" type="Hiragana"/>
  </si>
  <si>
    <t>锤子</t>
    <phoneticPr fontId="0" type="Hiragana"/>
  </si>
  <si>
    <t>剑</t>
    <phoneticPr fontId="0" type="Hiragana"/>
  </si>
  <si>
    <t>战士</t>
    <phoneticPr fontId="0" type="Hiragana"/>
  </si>
  <si>
    <t>弓箭手</t>
    <phoneticPr fontId="0" type="Hiragana"/>
  </si>
  <si>
    <t>炼金术师</t>
    <phoneticPr fontId="0" type="Hiragana"/>
  </si>
  <si>
    <t>圣骑士</t>
    <phoneticPr fontId="0" type="Hiragana"/>
  </si>
  <si>
    <t>盗贼</t>
    <phoneticPr fontId="0" type="Hiragana"/>
  </si>
  <si>
    <t>吟游诗人</t>
    <phoneticPr fontId="0" type="Hiragana"/>
  </si>
  <si>
    <t>魔物猎人</t>
    <phoneticPr fontId="0" type="Hiragana"/>
  </si>
  <si>
    <t>魔法战士</t>
    <phoneticPr fontId="0" type="Hiragana"/>
  </si>
  <si>
    <t>海贼</t>
    <phoneticPr fontId="0" type="Hiragana"/>
  </si>
  <si>
    <t>贤者</t>
    <phoneticPr fontId="0" type="Hiragana"/>
  </si>
  <si>
    <t>超级明星</t>
    <phoneticPr fontId="0" type="Hiragana"/>
  </si>
  <si>
    <t>球</t>
    <phoneticPr fontId="0" type="Hiragana"/>
  </si>
  <si>
    <t>弓</t>
    <phoneticPr fontId="0" type="Hiragana"/>
  </si>
  <si>
    <t>球</t>
    <phoneticPr fontId="0" type="Hiragana"/>
  </si>
  <si>
    <t>锤子</t>
    <phoneticPr fontId="0" type="Hiragana"/>
  </si>
  <si>
    <t>牙齿</t>
    <phoneticPr fontId="0" type="Hiragana"/>
  </si>
  <si>
    <t>弓</t>
    <phoneticPr fontId="0" type="Hiragana"/>
  </si>
  <si>
    <t>拳套</t>
    <phoneticPr fontId="0" type="Hiragana"/>
  </si>
  <si>
    <t>扇子</t>
    <phoneticPr fontId="0" type="Hiragana"/>
  </si>
  <si>
    <t>初始职业</t>
    <phoneticPr fontId="0" type="Hiragana"/>
  </si>
  <si>
    <t>初始武器</t>
    <phoneticPr fontId="0" type="Hiragana"/>
  </si>
  <si>
    <t>balance</t>
    <phoneticPr fontId="0" type="Hiragana"/>
  </si>
  <si>
    <t>坚韧</t>
    <phoneticPr fontId="0" type="Hiragana"/>
  </si>
  <si>
    <t>伤害</t>
    <phoneticPr fontId="0" type="Hiragana"/>
  </si>
  <si>
    <t>物理减伤</t>
    <phoneticPr fontId="0" type="Hiragana"/>
  </si>
  <si>
    <t>等级</t>
    <phoneticPr fontId="0" type="Hiragana"/>
  </si>
  <si>
    <t>职业等级</t>
    <phoneticPr fontId="0" type="Hiragana"/>
  </si>
  <si>
    <t>物理伤害=（物理攻击*（1-物防减伤%）*（1-物理抗性%）+附带属性攻击*（1-物防减伤%）*（1-对应属性抗性%））*痛打值*（1+额外伤害%）</t>
    <phoneticPr fontId="0" type="Hiragana"/>
  </si>
  <si>
    <t>魔法伤害=（魔法攻击*（1-魔防减伤%）*（1-技能属性对应抗性%）+附带属性攻击*（1-魔防减伤%）*（1-对应属性抗性%））*痛打值*（1+额外伤害%）*技能伤害系数</t>
    <phoneticPr fontId="0" type="Hiragana"/>
  </si>
  <si>
    <t>总防御减免</t>
    <phoneticPr fontId="0" type="Hiragana"/>
  </si>
  <si>
    <t>装备抗性</t>
    <phoneticPr fontId="0" type="Hiragana"/>
  </si>
  <si>
    <t>总抗性减免</t>
    <phoneticPr fontId="0" type="Hiragana"/>
  </si>
  <si>
    <t>装备护甲</t>
    <phoneticPr fontId="0" type="Hiragana"/>
  </si>
  <si>
    <t>增益护甲</t>
    <phoneticPr fontId="0" type="Hiragana"/>
  </si>
  <si>
    <t>增益抗性</t>
    <phoneticPr fontId="0" type="Hiragana"/>
  </si>
  <si>
    <t/>
    <phoneticPr fontId="0" type="Hiragana"/>
  </si>
  <si>
    <t/>
    <phoneticPr fontId="0" type="Hiragana"/>
  </si>
  <si>
    <t/>
    <phoneticPr fontId="0" type="Hiragana"/>
  </si>
  <si>
    <t>等级</t>
    <phoneticPr fontId="0" type="Hiragana"/>
  </si>
  <si>
    <t>职业等级</t>
    <phoneticPr fontId="0" type="Hiragana"/>
  </si>
  <si>
    <t>装备闪避</t>
    <phoneticPr fontId="0" type="Hiragana"/>
  </si>
  <si>
    <t>总闪避</t>
    <phoneticPr fontId="0" type="Hiragana"/>
  </si>
  <si>
    <t>装备敏捷</t>
    <phoneticPr fontId="0" type="Hiragana"/>
  </si>
  <si>
    <t>每点敏捷增加闪避</t>
    <phoneticPr fontId="0" type="Hiragana"/>
  </si>
  <si>
    <t/>
    <phoneticPr fontId="0" type="Hiragana"/>
  </si>
  <si>
    <t/>
    <phoneticPr fontId="0" type="Hiragana"/>
  </si>
  <si>
    <t>人物属性</t>
    <phoneticPr fontId="0" type="Hiragana"/>
  </si>
  <si>
    <t>魔法减伤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</si>
  <si>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</si>
  <si>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</si>
  <si>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</si>
  <si>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法杖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</si>
  <si>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</si>
  <si>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</si>
  <si>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</si>
  <si>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爪</t>
    <phoneticPr fontId="0" type="Hiragana"/>
  </si>
  <si>
    <t>剑</t>
    <phoneticPr fontId="0" type="Hiragana"/>
  </si>
  <si>
    <t>戒指</t>
    <phoneticPr fontId="0" type="Hiragana"/>
  </si>
  <si>
    <t>项链</t>
    <phoneticPr fontId="0" type="Hiragana"/>
  </si>
  <si>
    <t>学徒级</t>
    <phoneticPr fontId="0" type="Hiragana"/>
  </si>
  <si>
    <t>专家级</t>
    <phoneticPr fontId="0" type="Hiragana"/>
  </si>
  <si>
    <t>大师级</t>
    <phoneticPr fontId="0" type="Hiragana"/>
  </si>
  <si>
    <t>宗师级</t>
    <phoneticPr fontId="0" type="Hiragana"/>
  </si>
  <si>
    <t>显赫级</t>
    <phoneticPr fontId="0" type="Hiragana"/>
  </si>
  <si>
    <t>尊荣级</t>
    <phoneticPr fontId="0" type="Hiragana"/>
  </si>
  <si>
    <t>至尊级</t>
    <phoneticPr fontId="0" type="Hiragana"/>
  </si>
  <si>
    <t>绝旨级</t>
    <phoneticPr fontId="0" type="Hiragana"/>
  </si>
  <si>
    <t>天工级</t>
    <phoneticPr fontId="0" type="Hiragana"/>
  </si>
  <si>
    <t>魔法</t>
    <phoneticPr fontId="0" type="Hiragana"/>
  </si>
  <si>
    <t>传奇</t>
    <phoneticPr fontId="0" type="Hiragana"/>
  </si>
  <si>
    <t>歌德</t>
    <phoneticPr fontId="0" type="Hiragana"/>
  </si>
  <si>
    <t>颓废</t>
    <phoneticPr fontId="0" type="Hiragana"/>
  </si>
  <si>
    <t>刀</t>
    <phoneticPr fontId="0" type="Hiragana"/>
  </si>
  <si>
    <t>玄铁</t>
  </si>
  <si>
    <t>玄铁</t>
    <phoneticPr fontId="0" type="Hiragana"/>
  </si>
  <si>
    <t>水晶</t>
  </si>
  <si>
    <t>水晶</t>
    <phoneticPr fontId="0" type="Hiragana"/>
  </si>
  <si>
    <t>精钢</t>
    <phoneticPr fontId="0" type="Hiragana"/>
  </si>
  <si>
    <t>白银</t>
  </si>
  <si>
    <t>白银</t>
    <phoneticPr fontId="0" type="Hiragana"/>
  </si>
  <si>
    <t>虚幻</t>
    <phoneticPr fontId="0" type="Hiragana"/>
  </si>
  <si>
    <t>空灵</t>
    <phoneticPr fontId="0" type="Hiragana"/>
  </si>
  <si>
    <t>混乱</t>
    <phoneticPr fontId="0" type="Hiragana"/>
  </si>
  <si>
    <t>青铜</t>
  </si>
  <si>
    <t>异灵</t>
  </si>
  <si>
    <t>流星</t>
  </si>
  <si>
    <t>破旧的</t>
    <phoneticPr fontId="0" type="Hiragana"/>
  </si>
  <si>
    <t>普通的</t>
    <phoneticPr fontId="0" type="Hiragana"/>
  </si>
  <si>
    <t>初级的</t>
    <phoneticPr fontId="0" type="Hiragana"/>
  </si>
  <si>
    <t>锤</t>
    <phoneticPr fontId="0" type="Hiragana"/>
  </si>
  <si>
    <t>普通</t>
    <phoneticPr fontId="0" type="Hiragana"/>
  </si>
  <si>
    <t>刀</t>
    <phoneticPr fontId="0" type="Hiragana"/>
  </si>
  <si>
    <t>奥丁之锤</t>
    <phoneticPr fontId="0" type="Hiragana"/>
  </si>
  <si>
    <t>卢卡之锤</t>
    <phoneticPr fontId="0" type="Hiragana"/>
  </si>
  <si>
    <t>奥丁之刀</t>
    <phoneticPr fontId="0" type="Hiragana"/>
  </si>
  <si>
    <t>奥丁拳套</t>
    <phoneticPr fontId="0" type="Hiragana"/>
  </si>
  <si>
    <t>奥丁之枪</t>
    <phoneticPr fontId="0" type="Hiragana"/>
  </si>
  <si>
    <t>奥丁镰刀</t>
    <phoneticPr fontId="0" type="Hiragana"/>
  </si>
  <si>
    <t>奥丁法杖</t>
    <phoneticPr fontId="0" type="Hiragana"/>
  </si>
  <si>
    <t>奥丁之弓</t>
    <phoneticPr fontId="0" type="Hiragana"/>
  </si>
  <si>
    <t>奥丁烟斗</t>
    <phoneticPr fontId="0" type="Hiragana"/>
  </si>
  <si>
    <t>奥丁扇子</t>
    <phoneticPr fontId="0" type="Hiragana"/>
  </si>
  <si>
    <t>奥丁牙齿</t>
    <phoneticPr fontId="0" type="Hiragana"/>
  </si>
  <si>
    <t>奥丁之球</t>
    <phoneticPr fontId="0" type="Hiragana"/>
  </si>
  <si>
    <t>奥丁之爪</t>
    <phoneticPr fontId="0" type="Hiragana"/>
  </si>
  <si>
    <t>奥丁之剑</t>
    <phoneticPr fontId="0" type="Hiragana"/>
  </si>
  <si>
    <t>卢卡之锤</t>
    <phoneticPr fontId="0" type="Hiragana"/>
  </si>
  <si>
    <t>卢卡拳套</t>
    <phoneticPr fontId="0" type="Hiragana"/>
  </si>
  <si>
    <t>卢卡之枪</t>
    <phoneticPr fontId="0" type="Hiragana"/>
  </si>
  <si>
    <t>卢卡镰刀</t>
    <phoneticPr fontId="0" type="Hiragana"/>
  </si>
  <si>
    <t>卢卡法杖</t>
    <phoneticPr fontId="0" type="Hiragana"/>
  </si>
  <si>
    <t>卢卡之弓</t>
    <phoneticPr fontId="0" type="Hiragana"/>
  </si>
  <si>
    <t>卢卡烟斗</t>
    <phoneticPr fontId="0" type="Hiragana"/>
  </si>
  <si>
    <t>卢卡扇子</t>
    <phoneticPr fontId="0" type="Hiragana"/>
  </si>
  <si>
    <t>卢卡牙齿</t>
    <phoneticPr fontId="0" type="Hiragana"/>
  </si>
  <si>
    <t>卢卡之球</t>
    <phoneticPr fontId="0" type="Hiragana"/>
  </si>
  <si>
    <t>卢卡之爪</t>
    <phoneticPr fontId="0" type="Hiragana"/>
  </si>
  <si>
    <t>卢卡之剑</t>
    <phoneticPr fontId="0" type="Hiragana"/>
  </si>
  <si>
    <t>坎珀之锤</t>
    <phoneticPr fontId="0" type="Hiragana"/>
  </si>
  <si>
    <t>坎珀之刃</t>
    <phoneticPr fontId="0" type="Hiragana"/>
  </si>
  <si>
    <t>坎珀拳套</t>
    <phoneticPr fontId="0" type="Hiragana"/>
  </si>
  <si>
    <t>坎珀尖枪</t>
    <phoneticPr fontId="0" type="Hiragana"/>
  </si>
  <si>
    <t>坎珀镰刀</t>
    <phoneticPr fontId="0" type="Hiragana"/>
  </si>
  <si>
    <t>坎珀法杖</t>
    <phoneticPr fontId="0" type="Hiragana"/>
  </si>
  <si>
    <t>坎珀骨弓</t>
    <phoneticPr fontId="0" type="Hiragana"/>
  </si>
  <si>
    <t>坎珀烟斗</t>
    <phoneticPr fontId="0" type="Hiragana"/>
  </si>
  <si>
    <t>坎珀扇子</t>
    <phoneticPr fontId="0" type="Hiragana"/>
  </si>
  <si>
    <t>坎珀牙齿</t>
    <phoneticPr fontId="0" type="Hiragana"/>
  </si>
  <si>
    <t>坎珀之球</t>
    <phoneticPr fontId="0" type="Hiragana"/>
  </si>
  <si>
    <t>坎珀之爪</t>
    <phoneticPr fontId="0" type="Hiragana"/>
  </si>
  <si>
    <t>坎珀之剑</t>
    <phoneticPr fontId="0" type="Hiragana"/>
  </si>
  <si>
    <t>希尔戒指</t>
    <phoneticPr fontId="0" type="Hiragana"/>
  </si>
  <si>
    <t>卡尔斯项链</t>
    <phoneticPr fontId="0" type="Hiragana"/>
  </si>
  <si>
    <t>阿蒙之星</t>
    <phoneticPr fontId="0" type="Hiragana"/>
  </si>
  <si>
    <t>亚马逊人</t>
    <phoneticPr fontId="0" type="Hiragana"/>
  </si>
  <si>
    <t>阿尔泰亚</t>
    <phoneticPr fontId="0" type="Hiragana"/>
  </si>
  <si>
    <t>比奥斯</t>
    <phoneticPr fontId="0" type="Hiragana"/>
  </si>
  <si>
    <t>费恩利刃</t>
    <phoneticPr fontId="0" type="Hiragana"/>
  </si>
  <si>
    <t>费恩魔锤</t>
    <phoneticPr fontId="0" type="Hiragana"/>
  </si>
  <si>
    <t>费恩拳套</t>
    <phoneticPr fontId="0" type="Hiragana"/>
  </si>
  <si>
    <t>费恩尖枪</t>
    <phoneticPr fontId="0" type="Hiragana"/>
  </si>
  <si>
    <t>费恩镰刀</t>
    <phoneticPr fontId="0" type="Hiragana"/>
  </si>
  <si>
    <t>费恩权杖</t>
    <phoneticPr fontId="0" type="Hiragana"/>
  </si>
  <si>
    <t>费恩骨弓</t>
    <phoneticPr fontId="0" type="Hiragana"/>
  </si>
  <si>
    <t>费恩烟斗</t>
    <phoneticPr fontId="0" type="Hiragana"/>
  </si>
  <si>
    <t>费恩扇子</t>
    <phoneticPr fontId="0" type="Hiragana"/>
  </si>
  <si>
    <t>费恩牙齿</t>
    <phoneticPr fontId="0" type="Hiragana"/>
  </si>
  <si>
    <t>费恩之球</t>
    <phoneticPr fontId="0" type="Hiragana"/>
  </si>
  <si>
    <t>费恩之爪</t>
    <phoneticPr fontId="0" type="Hiragana"/>
  </si>
  <si>
    <t>费恩之剑</t>
    <phoneticPr fontId="0" type="Hiragana"/>
  </si>
  <si>
    <t>卡尔卡斯</t>
    <phoneticPr fontId="0" type="Hiragana"/>
  </si>
  <si>
    <t>卢比项链</t>
    <phoneticPr fontId="0" type="Hiragana"/>
  </si>
  <si>
    <t>迪马斯之锤</t>
    <phoneticPr fontId="0" type="Hiragana"/>
  </si>
  <si>
    <t>多隆之眼</t>
    <phoneticPr fontId="0" type="Hiragana"/>
  </si>
  <si>
    <t>欧罗巴项链</t>
    <phoneticPr fontId="0" type="Hiragana"/>
  </si>
  <si>
    <t>海伦之心</t>
    <phoneticPr fontId="0" type="Hiragana"/>
  </si>
  <si>
    <t>女神法杖</t>
    <phoneticPr fontId="0" type="Hiragana"/>
  </si>
  <si>
    <t>海格力斯</t>
    <phoneticPr fontId="0" type="Hiragana"/>
  </si>
  <si>
    <t>迅战戒指</t>
    <phoneticPr fontId="0" type="Hiragana"/>
  </si>
  <si>
    <t>酒神之锤</t>
    <phoneticPr fontId="0" type="Hiragana"/>
  </si>
  <si>
    <t>酒神之刀</t>
    <phoneticPr fontId="0" type="Hiragana"/>
  </si>
  <si>
    <t>酒神拳套</t>
    <phoneticPr fontId="0" type="Hiragana"/>
  </si>
  <si>
    <t>酒神之枪</t>
    <phoneticPr fontId="0" type="Hiragana"/>
  </si>
  <si>
    <t>酒神镰刀</t>
    <phoneticPr fontId="0" type="Hiragana"/>
  </si>
  <si>
    <t>酒神法杖</t>
    <phoneticPr fontId="0" type="Hiragana"/>
  </si>
  <si>
    <t>酒神之弓</t>
    <phoneticPr fontId="0" type="Hiragana"/>
  </si>
  <si>
    <t>酒神烟斗</t>
    <phoneticPr fontId="0" type="Hiragana"/>
  </si>
  <si>
    <t>酒神扇子</t>
    <phoneticPr fontId="0" type="Hiragana"/>
  </si>
  <si>
    <t>酒神牙齿</t>
    <phoneticPr fontId="0" type="Hiragana"/>
  </si>
  <si>
    <t>酒神之球</t>
    <phoneticPr fontId="0" type="Hiragana"/>
  </si>
  <si>
    <t>酒神之爪</t>
    <phoneticPr fontId="0" type="Hiragana"/>
  </si>
  <si>
    <t>酒神之剑</t>
    <phoneticPr fontId="0" type="Hiragana"/>
  </si>
  <si>
    <t>血魔之戒</t>
    <phoneticPr fontId="0" type="Hiragana"/>
  </si>
  <si>
    <t>斯库卡吊坠</t>
    <phoneticPr fontId="0" type="Hiragana"/>
  </si>
  <si>
    <t>萨耳珀冬</t>
    <phoneticPr fontId="0" type="Hiragana"/>
  </si>
  <si>
    <t>西农</t>
    <phoneticPr fontId="0" type="Hiragana"/>
  </si>
  <si>
    <t>乌拉尼亚</t>
    <phoneticPr fontId="0" type="Hiragana"/>
  </si>
  <si>
    <t>拉米亚之戒</t>
    <phoneticPr fontId="0" type="Hiragana"/>
  </si>
  <si>
    <t>迪马斯之刀</t>
    <phoneticPr fontId="0" type="Hiragana"/>
  </si>
  <si>
    <t>迪马斯拳套</t>
    <phoneticPr fontId="0" type="Hiragana"/>
  </si>
  <si>
    <t>迪马斯尖枪</t>
    <phoneticPr fontId="0" type="Hiragana"/>
  </si>
  <si>
    <t>迪马斯镰刀</t>
    <phoneticPr fontId="0" type="Hiragana"/>
  </si>
  <si>
    <t>迪马斯法杖</t>
    <phoneticPr fontId="0" type="Hiragana"/>
  </si>
  <si>
    <t>迪马斯硬弓</t>
    <phoneticPr fontId="0" type="Hiragana"/>
  </si>
  <si>
    <t>迪马斯烟斗</t>
    <phoneticPr fontId="0" type="Hiragana"/>
  </si>
  <si>
    <t>迪马斯扇子</t>
    <phoneticPr fontId="0" type="Hiragana"/>
  </si>
  <si>
    <t>迪马斯牙齿</t>
    <phoneticPr fontId="0" type="Hiragana"/>
  </si>
  <si>
    <t>迪马斯之球</t>
    <phoneticPr fontId="0" type="Hiragana"/>
  </si>
  <si>
    <t>迪马斯之爪</t>
    <phoneticPr fontId="0" type="Hiragana"/>
  </si>
  <si>
    <t>迪马斯之剑</t>
    <phoneticPr fontId="0" type="Hiragana"/>
  </si>
  <si>
    <t>盖亚之锤</t>
    <phoneticPr fontId="0" type="Hiragana"/>
  </si>
  <si>
    <t>潘多拉之锤</t>
    <phoneticPr fontId="0" type="Hiragana"/>
  </si>
  <si>
    <t>潘多拉之刀</t>
    <phoneticPr fontId="0" type="Hiragana"/>
  </si>
  <si>
    <t>潘多拉拳套</t>
    <phoneticPr fontId="0" type="Hiragana"/>
  </si>
  <si>
    <t>潘多拉之枪</t>
    <phoneticPr fontId="0" type="Hiragana"/>
  </si>
  <si>
    <t>潘多拉镰刀</t>
    <phoneticPr fontId="0" type="Hiragana"/>
  </si>
  <si>
    <t>潘多拉法杖</t>
    <phoneticPr fontId="0" type="Hiragana"/>
  </si>
  <si>
    <t>潘多拉玉弓</t>
    <phoneticPr fontId="0" type="Hiragana"/>
  </si>
  <si>
    <t>潘多拉烟斗</t>
    <phoneticPr fontId="0" type="Hiragana"/>
  </si>
  <si>
    <t>潘多拉扇子</t>
    <phoneticPr fontId="0" type="Hiragana"/>
  </si>
  <si>
    <t>潘多拉牙齿</t>
    <phoneticPr fontId="0" type="Hiragana"/>
  </si>
  <si>
    <t>潘多拉之球</t>
    <phoneticPr fontId="0" type="Hiragana"/>
  </si>
  <si>
    <t>潘多拉之爪</t>
    <phoneticPr fontId="0" type="Hiragana"/>
  </si>
  <si>
    <t>潘多拉之剑</t>
    <phoneticPr fontId="0" type="Hiragana"/>
  </si>
  <si>
    <t>宙斯之刃</t>
    <phoneticPr fontId="0" type="Hiragana"/>
  </si>
  <si>
    <t>泰丽儿神弓</t>
    <phoneticPr fontId="0" type="Hiragana"/>
  </si>
  <si>
    <t>赫拉之扇</t>
    <phoneticPr fontId="0" type="Hiragana"/>
  </si>
  <si>
    <t>卡帕纽斯之爪</t>
    <phoneticPr fontId="0" type="Hiragana"/>
  </si>
  <si>
    <t>缪斯之锤</t>
    <phoneticPr fontId="0" type="Hiragana"/>
  </si>
  <si>
    <t>缪斯之刀</t>
    <phoneticPr fontId="0" type="Hiragana"/>
  </si>
  <si>
    <t>缪斯之拳</t>
    <phoneticPr fontId="0" type="Hiragana"/>
  </si>
  <si>
    <t>缪斯之枪</t>
    <phoneticPr fontId="0" type="Hiragana"/>
  </si>
  <si>
    <t>缪斯镰刀</t>
    <phoneticPr fontId="0" type="Hiragana"/>
  </si>
  <si>
    <t>缪斯法杖</t>
    <phoneticPr fontId="0" type="Hiragana"/>
  </si>
  <si>
    <t>缪斯弓</t>
    <phoneticPr fontId="0" type="Hiragana"/>
  </si>
  <si>
    <t>缪斯烟斗</t>
    <phoneticPr fontId="0" type="Hiragana"/>
  </si>
  <si>
    <t>缪斯扇子</t>
    <phoneticPr fontId="0" type="Hiragana"/>
  </si>
  <si>
    <t>缪斯牙齿</t>
    <phoneticPr fontId="0" type="Hiragana"/>
  </si>
  <si>
    <t>缪斯之球</t>
    <phoneticPr fontId="0" type="Hiragana"/>
  </si>
  <si>
    <t>缪斯之爪</t>
    <phoneticPr fontId="0" type="Hiragana"/>
  </si>
  <si>
    <t>缪斯之剑</t>
    <phoneticPr fontId="0" type="Hiragana"/>
  </si>
  <si>
    <t>欧罗巴之球</t>
    <phoneticPr fontId="0" type="Hiragana"/>
  </si>
  <si>
    <t>卡德摩斯拳套</t>
    <phoneticPr fontId="0" type="Hiragana"/>
  </si>
  <si>
    <t>衣卒尔之枪</t>
    <phoneticPr fontId="0" type="Hiragana"/>
  </si>
  <si>
    <t>塔罗斯镰刀</t>
    <phoneticPr fontId="0" type="Hiragana"/>
  </si>
  <si>
    <t>梅西烟斗</t>
    <phoneticPr fontId="0" type="Hiragana"/>
  </si>
  <si>
    <t>涅琉斯牙齿</t>
    <phoneticPr fontId="0" type="Hiragana"/>
  </si>
  <si>
    <t>泰坦的荣耀</t>
    <phoneticPr fontId="0" type="Hiragana"/>
  </si>
  <si>
    <t>泰坦的力量</t>
    <phoneticPr fontId="0" type="Hiragana"/>
  </si>
  <si>
    <t>泰坦的光辉</t>
    <phoneticPr fontId="0" type="Hiragana"/>
  </si>
  <si>
    <t>武器</t>
    <phoneticPr fontId="0" type="Hiragana"/>
  </si>
  <si>
    <t>刀</t>
    <phoneticPr fontId="0" type="Hiragana"/>
  </si>
  <si>
    <t>镰刀</t>
    <phoneticPr fontId="0" type="Hiragana"/>
  </si>
  <si>
    <t>法杖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</si>
  <si>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</si>
  <si>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</si>
  <si>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</si>
  <si>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</si>
  <si>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</si>
  <si>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</si>
  <si>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武器名称</t>
    <phoneticPr fontId="0" type="Hiragana"/>
  </si>
  <si>
    <t>阿波罗的利刃</t>
    <phoneticPr fontId="0" type="Hiragana"/>
  </si>
  <si>
    <t>阿波罗的眼眸</t>
    <phoneticPr fontId="0" type="Hiragana"/>
  </si>
  <si>
    <t>阿波罗的惩戒</t>
    <phoneticPr fontId="0" type="Hiragana"/>
  </si>
  <si>
    <t>雅典娜的惊叹</t>
    <phoneticPr fontId="0" type="Hiragana"/>
  </si>
  <si>
    <t>雅典娜的项链</t>
    <phoneticPr fontId="0" type="Hiragana"/>
  </si>
  <si>
    <t>丘比特之弓</t>
    <phoneticPr fontId="0" type="Hiragana"/>
  </si>
  <si>
    <t>丘比特的爱</t>
    <phoneticPr fontId="0" type="Hiragana"/>
  </si>
  <si>
    <t>丘比特的永恒</t>
    <phoneticPr fontId="0" type="Hiragana"/>
  </si>
  <si>
    <t>阿瑞斯之拳</t>
    <phoneticPr fontId="0" type="Hiragana"/>
  </si>
  <si>
    <t>阿瑞斯之戒</t>
    <phoneticPr fontId="0" type="Hiragana"/>
  </si>
  <si>
    <t>阿瑞斯之魂</t>
    <phoneticPr fontId="0" type="Hiragana"/>
  </si>
  <si>
    <t>赫卡忒的黑暗</t>
    <phoneticPr fontId="0" type="Hiragana"/>
  </si>
  <si>
    <t>赫卡忒的魔能</t>
    <phoneticPr fontId="0" type="Hiragana"/>
  </si>
  <si>
    <t>赫卡忒的项链</t>
    <phoneticPr fontId="0" type="Hiragana"/>
  </si>
  <si>
    <t>阿努比斯的矛</t>
    <phoneticPr fontId="0" type="Hiragana"/>
  </si>
  <si>
    <t>阿努比斯的灵魂</t>
    <phoneticPr fontId="0" type="Hiragana"/>
  </si>
  <si>
    <t>阿努比斯的守护</t>
    <phoneticPr fontId="0" type="Hiragana"/>
  </si>
  <si>
    <t>波塞冬的烟斗</t>
    <phoneticPr fontId="0" type="Hiragana"/>
  </si>
  <si>
    <t>波塞冬的风暴</t>
    <phoneticPr fontId="0" type="Hiragana"/>
  </si>
  <si>
    <t>波塞冬的洪荒</t>
    <phoneticPr fontId="0" type="Hiragana"/>
  </si>
  <si>
    <t>赫柏的扇子</t>
    <phoneticPr fontId="0" type="Hiragana"/>
  </si>
  <si>
    <t>赫柏的青春</t>
    <phoneticPr fontId="0" type="Hiragana"/>
  </si>
  <si>
    <t>赫柏的吊坠</t>
    <phoneticPr fontId="0" type="Hiragana"/>
  </si>
  <si>
    <t>彼列的谎言</t>
    <phoneticPr fontId="0" type="Hiragana"/>
  </si>
  <si>
    <t>彼列的幻象</t>
    <phoneticPr fontId="0" type="Hiragana"/>
  </si>
  <si>
    <t>彼列的面目</t>
    <phoneticPr fontId="0" type="Hiragana"/>
  </si>
  <si>
    <t>勒托之球</t>
    <phoneticPr fontId="0" type="Hiragana"/>
  </si>
  <si>
    <t>勒托之戒</t>
    <phoneticPr fontId="0" type="Hiragana"/>
  </si>
  <si>
    <t>勒托之眼</t>
    <phoneticPr fontId="0" type="Hiragana"/>
  </si>
  <si>
    <t>泰瑞尔之剑</t>
    <phoneticPr fontId="0" type="Hiragana"/>
  </si>
  <si>
    <t>泰瑞尔之力</t>
    <phoneticPr fontId="0" type="Hiragana"/>
  </si>
  <si>
    <t>泰瑞尔之威严</t>
    <phoneticPr fontId="0" type="Hiragana"/>
  </si>
  <si>
    <t>雅典娜的智慧</t>
    <phoneticPr fontId="0" type="Hiragana"/>
  </si>
  <si>
    <t>九尾狐的爪子</t>
    <phoneticPr fontId="0" type="Hiragana"/>
  </si>
  <si>
    <t>九尾狐的指环</t>
    <phoneticPr fontId="0" type="Hiragana"/>
  </si>
  <si>
    <t>九尾狐的颈圈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</si>
  <si>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</si>
  <si>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</si>
  <si>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</si>
  <si>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</si>
  <si>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</si>
  <si>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</si>
  <si>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id</t>
    <phoneticPr fontId="2" type="noConversion"/>
  </si>
  <si>
    <t>品质</t>
    <phoneticPr fontId="2" type="noConversion"/>
  </si>
  <si>
    <t>武器类型</t>
    <phoneticPr fontId="2" type="noConversion"/>
  </si>
  <si>
    <t>套装</t>
    <phoneticPr fontId="2" type="noConversion"/>
  </si>
  <si>
    <t>副属性数量</t>
    <phoneticPr fontId="2" type="noConversion"/>
  </si>
  <si>
    <t>职业等级</t>
    <phoneticPr fontId="2" type="noConversion"/>
  </si>
  <si>
    <t>名称</t>
    <phoneticPr fontId="2" type="noConversion"/>
  </si>
  <si>
    <t>锤</t>
  </si>
  <si>
    <t>锤</t>
    <phoneticPr fontId="0" type="Hiragana"/>
  </si>
  <si>
    <t>拳套</t>
  </si>
  <si>
    <t>弓</t>
  </si>
  <si>
    <t>扇子</t>
  </si>
  <si>
    <t>牙齿</t>
  </si>
  <si>
    <t>球</t>
  </si>
  <si>
    <t>戒指</t>
  </si>
  <si>
    <t>项链</t>
  </si>
  <si>
    <t>颓废</t>
    <phoneticPr fontId="0" type="Hiragana"/>
  </si>
  <si>
    <t>学徒</t>
    <phoneticPr fontId="0" type="Hiragana"/>
  </si>
  <si>
    <t>专家</t>
    <phoneticPr fontId="0" type="Hiragana"/>
  </si>
  <si>
    <t>大师</t>
    <phoneticPr fontId="0" type="Hiragana"/>
  </si>
  <si>
    <t>宗师</t>
    <phoneticPr fontId="0" type="Hiragana"/>
  </si>
  <si>
    <t>显赫</t>
    <phoneticPr fontId="0" type="Hiragana"/>
  </si>
  <si>
    <t>尊荣</t>
    <phoneticPr fontId="0" type="Hiragana"/>
  </si>
  <si>
    <t>至尊</t>
    <phoneticPr fontId="0" type="Hiragana"/>
  </si>
  <si>
    <t>绝旨</t>
    <phoneticPr fontId="0" type="Hiragana"/>
  </si>
  <si>
    <t>天工</t>
    <phoneticPr fontId="0" type="Hiragana"/>
  </si>
  <si>
    <t>引用</t>
    <phoneticPr fontId="2" type="noConversion"/>
  </si>
  <si>
    <t>nameBad</t>
    <phoneticPr fontId="2" type="noConversion"/>
  </si>
  <si>
    <t>nameMagic</t>
    <phoneticPr fontId="2" type="noConversion"/>
  </si>
  <si>
    <t>nameLegend</t>
    <phoneticPr fontId="2" type="noConversion"/>
  </si>
  <si>
    <r>
      <rPr>
        <sz val="10"/>
        <color theme="1"/>
        <rFont val="宋体"/>
        <family val="3"/>
        <charset val="134"/>
      </rPr>
      <t>魔法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</si>
  <si>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</si>
  <si>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</si>
  <si>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</si>
  <si>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</si>
  <si>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t>武器类型</t>
    <phoneticPr fontId="0" type="Hiragana"/>
  </si>
  <si>
    <t>主属性</t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</si>
  <si>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</si>
  <si>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</si>
  <si>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套装物攻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</si>
  <si>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</si>
  <si>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</si>
  <si>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</si>
  <si>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b/>
        <i/>
        <sz val="10"/>
        <color theme="0"/>
        <rFont val="宋体"/>
        <family val="3"/>
        <charset val="134"/>
      </rPr>
      <t>颜色</t>
    </r>
    <phoneticPr fontId="0" type="Hiragana"/>
  </si>
  <si>
    <r>
      <rPr>
        <b/>
        <i/>
        <sz val="10"/>
        <color theme="0"/>
        <rFont val="宋体"/>
        <family val="3"/>
        <charset val="134"/>
      </rPr>
      <t>分类</t>
    </r>
    <phoneticPr fontId="0" type="Hiragana"/>
  </si>
  <si>
    <r>
      <rPr>
        <b/>
        <i/>
        <sz val="10"/>
        <color theme="0"/>
        <rFont val="宋体"/>
        <family val="3"/>
        <charset val="134"/>
      </rPr>
      <t>能力系数</t>
    </r>
    <phoneticPr fontId="0" type="Hiragana"/>
  </si>
  <si>
    <r>
      <rPr>
        <sz val="10"/>
        <color theme="1"/>
        <rFont val="宋体"/>
        <family val="3"/>
        <charset val="134"/>
      </rPr>
      <t>白</t>
    </r>
    <phoneticPr fontId="0" type="Hiragana"/>
  </si>
  <si>
    <r>
      <rPr>
        <sz val="10"/>
        <color theme="1"/>
        <rFont val="宋体"/>
        <family val="3"/>
        <charset val="134"/>
      </rPr>
      <t>普通</t>
    </r>
    <phoneticPr fontId="0" type="Hiragana"/>
  </si>
  <si>
    <r>
      <rPr>
        <sz val="10"/>
        <color theme="1"/>
        <rFont val="宋体"/>
        <family val="3"/>
        <charset val="134"/>
      </rPr>
      <t>蓝</t>
    </r>
    <phoneticPr fontId="0" type="Hiragana"/>
  </si>
  <si>
    <r>
      <rPr>
        <sz val="10"/>
        <color theme="1"/>
        <rFont val="宋体"/>
        <family val="3"/>
        <charset val="134"/>
      </rPr>
      <t>橙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</si>
  <si>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</si>
  <si>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r>
      <rPr>
        <sz val="10"/>
        <color theme="1"/>
        <rFont val="宋体"/>
        <family val="3"/>
        <charset val="134"/>
      </rPr>
      <t>绿</t>
    </r>
    <phoneticPr fontId="0" type="Hiragana"/>
  </si>
  <si>
    <r>
      <rPr>
        <sz val="10"/>
        <color theme="1"/>
        <rFont val="宋体"/>
        <family val="3"/>
        <charset val="134"/>
      </rPr>
      <t>套装</t>
    </r>
    <phoneticPr fontId="0" type="Hiragana"/>
  </si>
  <si>
    <r>
      <rPr>
        <b/>
        <i/>
        <sz val="10"/>
        <color theme="0"/>
        <rFont val="宋体"/>
        <family val="3"/>
        <charset val="134"/>
      </rPr>
      <t>类别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</si>
  <si>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</si>
  <si>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</si>
  <si>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</si>
  <si>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</si>
  <si>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</si>
  <si>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</si>
  <si>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</si>
  <si>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</si>
  <si>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</si>
  <si>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</si>
  <si>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</si>
  <si>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修正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</si>
  <si>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</si>
  <si>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</si>
  <si>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</si>
  <si>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</si>
  <si>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</si>
  <si>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</si>
  <si>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</si>
  <si>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</si>
  <si>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</si>
  <si>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</si>
  <si>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</si>
  <si>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套装敏捷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</si>
  <si>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</si>
  <si>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</si>
  <si>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</si>
  <si>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拳套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</si>
  <si>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</si>
  <si>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</si>
  <si>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</si>
  <si>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镰刀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</si>
  <si>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</si>
  <si>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</si>
  <si>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</si>
  <si>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</si>
  <si>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</si>
  <si>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</si>
  <si>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</si>
  <si>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</si>
  <si>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</si>
  <si>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</si>
  <si>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冷却</t>
    </r>
    <phoneticPr fontId="0" type="Hiragana"/>
  </si>
  <si>
    <r>
      <rPr>
        <sz val="10"/>
        <color theme="1"/>
        <rFont val="宋体"/>
        <family val="3"/>
        <charset val="134"/>
      </rPr>
      <t>剑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</si>
  <si>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</si>
  <si>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</si>
  <si>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</si>
  <si>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</si>
  <si>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</si>
  <si>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</si>
  <si>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全抗</t>
    <phoneticPr fontId="0" type="Hiragana"/>
  </si>
  <si>
    <t>冷却抗性</t>
    <phoneticPr fontId="0" type="Hiragana"/>
  </si>
  <si>
    <r>
      <rPr>
        <sz val="10"/>
        <color theme="1"/>
        <rFont val="宋体"/>
        <family val="3"/>
        <charset val="134"/>
      </rPr>
      <t>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命中率*（1-闪避率）</t>
    </r>
    <phoneticPr fontId="2" type="noConversion"/>
  </si>
  <si>
    <t>all</t>
    <phoneticPr fontId="2" type="noConversion"/>
  </si>
  <si>
    <t>装备类型</t>
    <phoneticPr fontId="2" type="noConversion"/>
  </si>
  <si>
    <t>武器类型</t>
    <phoneticPr fontId="2" type="noConversion"/>
  </si>
  <si>
    <t>锤</t>
    <phoneticPr fontId="2" type="noConversion"/>
  </si>
  <si>
    <t>戒指</t>
    <phoneticPr fontId="2" type="noConversion"/>
  </si>
  <si>
    <t>项链</t>
    <phoneticPr fontId="2" type="noConversion"/>
  </si>
  <si>
    <t>nameSuit</t>
    <phoneticPr fontId="2" type="noConversion"/>
  </si>
  <si>
    <t>锤</t>
    <phoneticPr fontId="2" type="noConversion"/>
  </si>
  <si>
    <t>刀</t>
    <phoneticPr fontId="2" type="noConversion"/>
  </si>
  <si>
    <t>戒指</t>
    <phoneticPr fontId="2" type="noConversion"/>
  </si>
  <si>
    <t>项链</t>
    <phoneticPr fontId="2" type="noConversion"/>
  </si>
  <si>
    <t>拳套</t>
    <phoneticPr fontId="2" type="noConversion"/>
  </si>
  <si>
    <t>项链</t>
    <phoneticPr fontId="2" type="noConversion"/>
  </si>
  <si>
    <t>枪</t>
    <phoneticPr fontId="2" type="noConversion"/>
  </si>
  <si>
    <t>镰刀</t>
    <phoneticPr fontId="2" type="noConversion"/>
  </si>
  <si>
    <t>项链</t>
    <phoneticPr fontId="2" type="noConversion"/>
  </si>
  <si>
    <t>法杖</t>
    <phoneticPr fontId="2" type="noConversion"/>
  </si>
  <si>
    <t>戒指</t>
    <phoneticPr fontId="2" type="noConversion"/>
  </si>
  <si>
    <t>弓</t>
    <phoneticPr fontId="2" type="noConversion"/>
  </si>
  <si>
    <t>戒指</t>
    <phoneticPr fontId="2" type="noConversion"/>
  </si>
  <si>
    <t>项链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</si>
  <si>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</si>
  <si>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</si>
  <si>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</si>
  <si>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</si>
  <si>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</si>
  <si>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</si>
  <si>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职业等级</t>
    <phoneticPr fontId="0" type="Hiragana"/>
  </si>
  <si>
    <t>套装id</t>
    <phoneticPr fontId="0" type="Hiragana"/>
  </si>
  <si>
    <t>敏捷</t>
    <phoneticPr fontId="2" type="noConversion"/>
  </si>
  <si>
    <t>幸运</t>
    <phoneticPr fontId="2" type="noConversion"/>
  </si>
  <si>
    <t>等级</t>
    <phoneticPr fontId="0" type="Hiragana"/>
  </si>
  <si>
    <t>品质</t>
    <phoneticPr fontId="0" type="Hiragana"/>
  </si>
  <si>
    <t>品质</t>
    <phoneticPr fontId="0" type="Hiragana"/>
  </si>
  <si>
    <t>min</t>
    <phoneticPr fontId="0" type="Hiragana"/>
  </si>
  <si>
    <t>max</t>
    <phoneticPr fontId="0" type="Hiragana"/>
  </si>
  <si>
    <t>痛打率</t>
    <phoneticPr fontId="0" type="Hiragana"/>
  </si>
  <si>
    <t>等级</t>
    <phoneticPr fontId="0" type="Hiragana"/>
  </si>
  <si>
    <t>min</t>
    <phoneticPr fontId="0" type="Hiragana"/>
  </si>
  <si>
    <t>痛打伤害</t>
    <phoneticPr fontId="0" type="Hiragana"/>
  </si>
  <si>
    <t>等级</t>
    <phoneticPr fontId="0" type="Hiragana"/>
  </si>
  <si>
    <t>额外伤害</t>
    <phoneticPr fontId="0" type="Hiragana"/>
  </si>
  <si>
    <t>怪物伤害</t>
    <phoneticPr fontId="0" type="Hiragana"/>
  </si>
  <si>
    <t>max</t>
    <phoneticPr fontId="0" type="Hiragana"/>
  </si>
  <si>
    <t>des</t>
    <phoneticPr fontId="2" type="noConversion"/>
  </si>
  <si>
    <t>魔法</t>
  </si>
  <si>
    <t>套装物攻</t>
    <phoneticPr fontId="0" type="Hiragana"/>
  </si>
  <si>
    <t>套装物防</t>
    <phoneticPr fontId="0" type="Hiragana"/>
  </si>
  <si>
    <t>套装魔攻</t>
    <phoneticPr fontId="0" type="Hiragana"/>
  </si>
  <si>
    <t>套装敏捷</t>
    <phoneticPr fontId="0" type="Hiragana"/>
  </si>
  <si>
    <t>套装hp</t>
    <phoneticPr fontId="0" type="Hiragana"/>
  </si>
  <si>
    <t>套装魔防</t>
    <phoneticPr fontId="0" type="Hiragana"/>
  </si>
  <si>
    <t>套装抗性</t>
    <phoneticPr fontId="0" type="Hiragana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</si>
  <si>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</si>
  <si>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</si>
  <si>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</si>
  <si>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</si>
  <si>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</si>
  <si>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</si>
  <si>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</si>
  <si>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</si>
  <si>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</si>
  <si>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</si>
  <si>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</si>
  <si>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IC1836</t>
  </si>
  <si>
    <t>IC1837</t>
  </si>
  <si>
    <t>IC1838</t>
  </si>
  <si>
    <t>IC1839</t>
  </si>
  <si>
    <t>IC1840</t>
  </si>
  <si>
    <t>IC1001</t>
  </si>
  <si>
    <t>IC1240</t>
  </si>
  <si>
    <t>IC1501</t>
  </si>
  <si>
    <t>IC1650</t>
  </si>
  <si>
    <t>IC1710</t>
  </si>
  <si>
    <t>IC1156</t>
  </si>
  <si>
    <t>IC1399</t>
  </si>
  <si>
    <t>IC1835</t>
  </si>
  <si>
    <t>IC1553</t>
  </si>
  <si>
    <t>IC1400</t>
  </si>
  <si>
    <t>IC1754</t>
  </si>
  <si>
    <t>IC1207</t>
  </si>
  <si>
    <t>IC1851</t>
  </si>
  <si>
    <t>IC1880</t>
  </si>
  <si>
    <t>IC1002</t>
  </si>
  <si>
    <t>IC1201</t>
  </si>
  <si>
    <t>IC1504</t>
  </si>
  <si>
    <t>IC1651</t>
  </si>
  <si>
    <t>IC1702</t>
  </si>
  <si>
    <t>IC1199</t>
  </si>
  <si>
    <t>IC1356</t>
  </si>
  <si>
    <t>IC1556</t>
  </si>
  <si>
    <t>IC1408</t>
  </si>
  <si>
    <t>IC1758</t>
  </si>
  <si>
    <t>IC1299</t>
  </si>
  <si>
    <t>IC1853</t>
  </si>
  <si>
    <t>IC1882</t>
  </si>
  <si>
    <t>IC1080</t>
  </si>
  <si>
    <t>IC1239</t>
  </si>
  <si>
    <t>IC1506</t>
  </si>
  <si>
    <t>IC1655</t>
  </si>
  <si>
    <t>IC1708</t>
  </si>
  <si>
    <t>IC1138</t>
  </si>
  <si>
    <t>IC1347</t>
  </si>
  <si>
    <t>IC1554</t>
  </si>
  <si>
    <t>IC1414</t>
  </si>
  <si>
    <t>IC1777</t>
  </si>
  <si>
    <t>IC1857</t>
  </si>
  <si>
    <t>ICe930</t>
  </si>
  <si>
    <t>IC1006</t>
  </si>
  <si>
    <t>IC1204</t>
  </si>
  <si>
    <t>IC1507</t>
  </si>
  <si>
    <t>IC1665</t>
  </si>
  <si>
    <t>IC1703</t>
  </si>
  <si>
    <t>IC1121</t>
  </si>
  <si>
    <t>IC1340</t>
  </si>
  <si>
    <t>IC1565</t>
  </si>
  <si>
    <t>IC1415</t>
  </si>
  <si>
    <t>IC1776</t>
  </si>
  <si>
    <t>IC1209</t>
  </si>
  <si>
    <t>IC1903</t>
  </si>
  <si>
    <t>IC1925</t>
  </si>
  <si>
    <t>IC1670</t>
  </si>
  <si>
    <t>IC1714</t>
  </si>
  <si>
    <t>IC1110</t>
  </si>
  <si>
    <t>IC1342</t>
  </si>
  <si>
    <t>IC1418</t>
  </si>
  <si>
    <t>IC1774</t>
  </si>
  <si>
    <t>IC1225</t>
  </si>
  <si>
    <t>IC1929</t>
  </si>
  <si>
    <t>IC1889</t>
  </si>
  <si>
    <t>IC1775</t>
  </si>
  <si>
    <t>IC1226</t>
  </si>
  <si>
    <t>IC1883</t>
  </si>
  <si>
    <t>IC1143</t>
  </si>
  <si>
    <t>IC1230</t>
  </si>
  <si>
    <t>IC1510</t>
  </si>
  <si>
    <t>IC1107</t>
  </si>
  <si>
    <t>IC1318</t>
  </si>
  <si>
    <t>IC1852</t>
  </si>
  <si>
    <t>IC1280</t>
  </si>
  <si>
    <t>IC1513</t>
  </si>
  <si>
    <t>IC1109</t>
  </si>
  <si>
    <t>IC1854</t>
  </si>
  <si>
    <t>IC1243</t>
  </si>
  <si>
    <t>IC1517</t>
  </si>
  <si>
    <t>IC1855</t>
  </si>
  <si>
    <t>IC1522</t>
  </si>
  <si>
    <t>IC1123</t>
  </si>
  <si>
    <t>IC1341</t>
  </si>
  <si>
    <t>IC1858</t>
  </si>
  <si>
    <t>IC1886</t>
  </si>
  <si>
    <t>IC1213</t>
  </si>
  <si>
    <t>IC1526</t>
  </si>
  <si>
    <t>IC1124</t>
  </si>
  <si>
    <t>IC1537</t>
  </si>
  <si>
    <t>IC1128</t>
  </si>
  <si>
    <t>IC1236</t>
  </si>
  <si>
    <t>IC1901</t>
  </si>
  <si>
    <t>IC1279</t>
  </si>
  <si>
    <t>IC1902</t>
  </si>
  <si>
    <t>IC1943</t>
  </si>
  <si>
    <t>IC1016</t>
  </si>
  <si>
    <t>IC1216</t>
  </si>
  <si>
    <t>IC1654</t>
  </si>
  <si>
    <t>IC1701</t>
  </si>
  <si>
    <t>IC1301</t>
  </si>
  <si>
    <t>IC1551</t>
  </si>
  <si>
    <t>IC1401</t>
  </si>
  <si>
    <t>IC1751</t>
  </si>
  <si>
    <t>IC1743</t>
  </si>
  <si>
    <t>IC1742</t>
  </si>
  <si>
    <t>IC1022</t>
  </si>
  <si>
    <t>IC1220</t>
  </si>
  <si>
    <t>IC1516</t>
  </si>
  <si>
    <t>IC1657</t>
  </si>
  <si>
    <t>IC1715</t>
  </si>
  <si>
    <t>IC1313</t>
  </si>
  <si>
    <t>IC1552</t>
  </si>
  <si>
    <t>IC1407</t>
  </si>
  <si>
    <t>IC1744</t>
  </si>
  <si>
    <t>IC1895</t>
  </si>
  <si>
    <t>IC1028</t>
  </si>
  <si>
    <t>IC1222</t>
  </si>
  <si>
    <t>IC1518</t>
  </si>
  <si>
    <t>IC1660</t>
  </si>
  <si>
    <t>IC1716</t>
  </si>
  <si>
    <t>IC1315</t>
  </si>
  <si>
    <t>IC1558</t>
  </si>
  <si>
    <t>IC1412</t>
  </si>
  <si>
    <t>IC1763</t>
  </si>
  <si>
    <t>IC1745</t>
  </si>
  <si>
    <t>IC1898</t>
  </si>
  <si>
    <t>IC1032</t>
  </si>
  <si>
    <t>IC1228</t>
  </si>
  <si>
    <t>IC1520</t>
  </si>
  <si>
    <t>IC1666</t>
  </si>
  <si>
    <t>IC1717</t>
  </si>
  <si>
    <t>IC1322</t>
  </si>
  <si>
    <t>IC1559</t>
  </si>
  <si>
    <t>IC1413</t>
  </si>
  <si>
    <t>IC1765</t>
  </si>
  <si>
    <t>IC1778</t>
  </si>
  <si>
    <t>IC1900</t>
  </si>
  <si>
    <t>IC1033</t>
  </si>
  <si>
    <t>IC1235</t>
  </si>
  <si>
    <t>IC1521</t>
  </si>
  <si>
    <t>IC1671</t>
  </si>
  <si>
    <t>IC1718</t>
  </si>
  <si>
    <t>IC1325</t>
  </si>
  <si>
    <t>IC1560</t>
  </si>
  <si>
    <t>IC1416</t>
  </si>
  <si>
    <t>IC1767</t>
  </si>
  <si>
    <t>IC1779</t>
  </si>
  <si>
    <t>IC1924</t>
  </si>
  <si>
    <t>IC1034</t>
  </si>
  <si>
    <t>IC1278</t>
  </si>
  <si>
    <t>IC1523</t>
  </si>
  <si>
    <t>IC1672</t>
  </si>
  <si>
    <t>IC1328</t>
  </si>
  <si>
    <t>IC1562</t>
  </si>
  <si>
    <t>IC1417</t>
  </si>
  <si>
    <t>IC1768</t>
  </si>
  <si>
    <t>IC1795</t>
  </si>
  <si>
    <t>IC1524</t>
  </si>
  <si>
    <t>IC1673</t>
  </si>
  <si>
    <t>IC1129</t>
  </si>
  <si>
    <t>IC1344</t>
  </si>
  <si>
    <t>IC1563</t>
  </si>
  <si>
    <t>IC1419</t>
  </si>
  <si>
    <t>IC1770</t>
  </si>
  <si>
    <t>IC1036</t>
  </si>
  <si>
    <t>IC1525</t>
  </si>
  <si>
    <t>IC1134</t>
  </si>
  <si>
    <t>IC1355</t>
  </si>
  <si>
    <t>IC1564</t>
  </si>
  <si>
    <t>IC1771</t>
  </si>
  <si>
    <t>IC1237</t>
  </si>
  <si>
    <t>IC1081</t>
  </si>
  <si>
    <t>IC1527</t>
  </si>
  <si>
    <t>IC1144</t>
  </si>
  <si>
    <t>IC1772</t>
  </si>
  <si>
    <t>IC1238</t>
  </si>
  <si>
    <t>IC1038</t>
  </si>
  <si>
    <t>IC1669</t>
  </si>
  <si>
    <t>IC1114</t>
  </si>
  <si>
    <t>IC1343</t>
  </si>
  <si>
    <t>IC1566</t>
  </si>
  <si>
    <t>IC1431</t>
  </si>
  <si>
    <t>IC1766</t>
  </si>
  <si>
    <t>IC1203</t>
  </si>
  <si>
    <t>IC1936</t>
  </si>
  <si>
    <t>IC1877</t>
  </si>
  <si>
    <t>电击抗性</t>
    <phoneticPr fontId="2" type="noConversion"/>
  </si>
  <si>
    <t>电击抗性</t>
    <phoneticPr fontId="2" type="noConversion"/>
  </si>
  <si>
    <t>电击攻击</t>
    <phoneticPr fontId="0" type="Hiragana"/>
  </si>
  <si>
    <t>电击抗性</t>
    <phoneticPr fontId="0" type="Hiragana"/>
  </si>
  <si>
    <t>抗性减伤=抗性/（抗性+敌人等级*5.6667）</t>
    <phoneticPr fontId="0" type="Hiragana"/>
  </si>
  <si>
    <t>魔法减伤=魔防/(魔防+敌人等级*5.6667）</t>
    <phoneticPr fontId="0" type="Hiragana"/>
  </si>
  <si>
    <t>物理减伤=物防/(物防+敌人等级*5.6667）</t>
    <phoneticPr fontId="0" type="Hiragana"/>
  </si>
  <si>
    <t>命中=自身命中+幸运/（幸运+等级*5）</t>
    <phoneticPr fontId="0" type="Hiragana"/>
  </si>
  <si>
    <t>闪避=敏捷*等级系数+自身闪避</t>
    <phoneticPr fontId="2" type="noConversion"/>
  </si>
  <si>
    <t>速度</t>
    <phoneticPr fontId="2" type="noConversion"/>
  </si>
  <si>
    <t>速度=自身速度+敏捷</t>
    <phoneticPr fontId="2" type="noConversion"/>
  </si>
  <si>
    <t>暴击率</t>
    <phoneticPr fontId="0" type="Hiragana"/>
  </si>
  <si>
    <t>暴击伤害</t>
    <phoneticPr fontId="0" type="Hiragana"/>
  </si>
  <si>
    <t>土精灵</t>
    <phoneticPr fontId="0" type="Hiragana"/>
  </si>
  <si>
    <r>
      <rPr>
        <sz val="10"/>
        <color theme="1"/>
        <rFont val="宋体"/>
        <family val="2"/>
      </rPr>
      <t>土精灵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</si>
  <si>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</si>
  <si>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剑</t>
    </r>
    <phoneticPr fontId="2" type="noConversion"/>
  </si>
  <si>
    <t>IC1359</t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</si>
  <si>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</si>
  <si>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</si>
  <si>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额外伤害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</si>
  <si>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</si>
  <si>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武器类型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</si>
  <si>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</si>
  <si>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</si>
  <si>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</si>
  <si>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武器属性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</si>
  <si>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</si>
  <si>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</si>
  <si>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</si>
  <si>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</si>
  <si>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</si>
  <si>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</si>
  <si>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</si>
  <si>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</si>
  <si>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</si>
  <si>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</si>
  <si>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</si>
  <si>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</si>
  <si>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</si>
  <si>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</si>
  <si>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</si>
  <si>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</si>
  <si>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</si>
  <si>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</si>
  <si>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</si>
  <si>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</si>
  <si>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</si>
  <si>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</si>
  <si>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</si>
  <si>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</si>
  <si>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b/>
        <i/>
        <sz val="10"/>
        <color theme="0"/>
        <rFont val="宋体"/>
        <family val="3"/>
        <charset val="134"/>
      </rPr>
      <t>职业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</si>
  <si>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</si>
  <si>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sz val="10"/>
        <color theme="1"/>
        <rFont val="Arial Unicode MS"/>
        <family val="2"/>
        <charset val="134"/>
      </rPr>
      <t>战士</t>
    </r>
    <phoneticPr fontId="0" type="Hiragana"/>
  </si>
  <si>
    <r>
      <rPr>
        <sz val="10"/>
        <color theme="1"/>
        <rFont val="Arial Unicode MS"/>
        <family val="2"/>
        <charset val="134"/>
      </rPr>
      <t>武斗家</t>
    </r>
    <phoneticPr fontId="0" type="Hiragana"/>
  </si>
  <si>
    <r>
      <rPr>
        <sz val="10"/>
        <color theme="1"/>
        <rFont val="宋体"/>
        <family val="3"/>
        <charset val="134"/>
      </rPr>
      <t>魔法师</t>
    </r>
    <phoneticPr fontId="0" type="Hiragana"/>
  </si>
  <si>
    <r>
      <rPr>
        <sz val="10"/>
        <color theme="1"/>
        <rFont val="Arial Unicode MS"/>
        <family val="2"/>
        <charset val="134"/>
      </rPr>
      <t>僧侣</t>
    </r>
    <phoneticPr fontId="0" type="Hiragana"/>
  </si>
  <si>
    <r>
      <rPr>
        <sz val="10"/>
        <color theme="1"/>
        <rFont val="Arial Unicode MS"/>
        <family val="2"/>
        <charset val="134"/>
      </rPr>
      <t>舞师</t>
    </r>
    <phoneticPr fontId="0" type="Hiragana"/>
  </si>
  <si>
    <r>
      <rPr>
        <sz val="10"/>
        <color theme="1"/>
        <rFont val="Arial Unicode MS"/>
        <family val="2"/>
        <charset val="134"/>
      </rPr>
      <t>盗贼</t>
    </r>
    <phoneticPr fontId="0" type="Hiragana"/>
  </si>
  <si>
    <r>
      <rPr>
        <sz val="10"/>
        <color theme="1"/>
        <rFont val="宋体"/>
        <family val="3"/>
        <charset val="134"/>
      </rPr>
      <t>弓箭手</t>
    </r>
    <phoneticPr fontId="0" type="Hiragana"/>
  </si>
  <si>
    <r>
      <rPr>
        <sz val="10"/>
        <color theme="1"/>
        <rFont val="Arial Unicode MS"/>
        <family val="2"/>
        <charset val="134"/>
      </rPr>
      <t>吟游诗人</t>
    </r>
    <phoneticPr fontId="0" type="Hiragana"/>
  </si>
  <si>
    <r>
      <rPr>
        <sz val="10"/>
        <color theme="1"/>
        <rFont val="Arial Unicode MS"/>
        <family val="2"/>
        <charset val="134"/>
      </rPr>
      <t>滑稽师</t>
    </r>
    <phoneticPr fontId="0" type="Hiragana"/>
  </si>
  <si>
    <r>
      <rPr>
        <sz val="10"/>
        <color theme="1"/>
        <rFont val="宋体"/>
        <family val="3"/>
        <charset val="134"/>
      </rPr>
      <t>炼金术师</t>
    </r>
    <phoneticPr fontId="0" type="Hiragana"/>
  </si>
  <si>
    <r>
      <rPr>
        <sz val="10"/>
        <color theme="1"/>
        <rFont val="Arial Unicode MS"/>
        <family val="2"/>
        <charset val="134"/>
      </rPr>
      <t>战斗大师</t>
    </r>
    <phoneticPr fontId="0" type="Hiragana"/>
  </si>
  <si>
    <r>
      <rPr>
        <sz val="10"/>
        <color theme="1"/>
        <rFont val="Arial Unicode MS"/>
        <family val="2"/>
        <charset val="134"/>
      </rPr>
      <t>魔法战士</t>
    </r>
    <phoneticPr fontId="0" type="Hiragana"/>
  </si>
  <si>
    <r>
      <rPr>
        <sz val="10"/>
        <color theme="1"/>
        <rFont val="Arial Unicode MS"/>
        <family val="2"/>
        <charset val="134"/>
      </rPr>
      <t>圣骑士</t>
    </r>
    <phoneticPr fontId="0" type="Hiragana"/>
  </si>
  <si>
    <r>
      <rPr>
        <sz val="10"/>
        <color theme="1"/>
        <rFont val="Arial Unicode MS"/>
        <family val="2"/>
        <charset val="134"/>
      </rPr>
      <t>贤者</t>
    </r>
    <phoneticPr fontId="0" type="Hiragana"/>
  </si>
  <si>
    <r>
      <rPr>
        <sz val="10"/>
        <color theme="1"/>
        <rFont val="Arial Unicode MS"/>
        <family val="2"/>
        <charset val="134"/>
      </rPr>
      <t>魔物猎人</t>
    </r>
    <phoneticPr fontId="0" type="Hiragana"/>
  </si>
  <si>
    <r>
      <rPr>
        <sz val="10"/>
        <color theme="1"/>
        <rFont val="Arial Unicode MS"/>
        <family val="2"/>
        <charset val="134"/>
      </rPr>
      <t>海贼</t>
    </r>
    <phoneticPr fontId="0" type="Hiragana"/>
  </si>
  <si>
    <r>
      <rPr>
        <sz val="10"/>
        <color theme="1"/>
        <rFont val="Arial Unicode MS"/>
        <family val="2"/>
        <charset val="134"/>
      </rPr>
      <t>超级明星</t>
    </r>
    <phoneticPr fontId="0" type="Hiragana"/>
  </si>
  <si>
    <r>
      <rPr>
        <sz val="10"/>
        <color theme="1"/>
        <rFont val="Arial Unicode MS"/>
        <family val="2"/>
        <charset val="134"/>
      </rPr>
      <t>天地雷鳴士</t>
    </r>
    <phoneticPr fontId="0" type="Hiragana"/>
  </si>
  <si>
    <r>
      <rPr>
        <sz val="10"/>
        <color theme="1"/>
        <rFont val="Arial Unicode MS"/>
        <family val="2"/>
        <charset val="134"/>
      </rPr>
      <t>神之手</t>
    </r>
    <phoneticPr fontId="0" type="Hiragana"/>
  </si>
  <si>
    <r>
      <rPr>
        <sz val="10"/>
        <color theme="1"/>
        <rFont val="Arial Unicode MS"/>
        <family val="2"/>
        <charset val="134"/>
      </rPr>
      <t>勇者</t>
    </r>
    <phoneticPr fontId="0" type="Hiragana"/>
  </si>
  <si>
    <r>
      <rPr>
        <b/>
        <i/>
        <sz val="10"/>
        <color theme="0"/>
        <rFont val="宋体"/>
        <family val="3"/>
        <charset val="134"/>
      </rPr>
      <t>装备部位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</si>
  <si>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</si>
  <si>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</si>
  <si>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</si>
  <si>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</si>
  <si>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痛打率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</si>
  <si>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</si>
  <si>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物理攻击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</si>
  <si>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</si>
  <si>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</si>
  <si>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</si>
  <si>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</si>
  <si>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</si>
  <si>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电击攻击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</si>
  <si>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全抗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</si>
  <si>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物理抗性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</si>
  <si>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</si>
  <si>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</si>
  <si>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</si>
  <si>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</si>
  <si>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电击抗性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</si>
  <si>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飞行系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</si>
  <si>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龙系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</si>
  <si>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僵尸系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</si>
  <si>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土系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</si>
  <si>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金属系</t>
    </r>
    <phoneticPr fontId="0" type="Hiragana"/>
  </si>
  <si>
    <r>
      <rPr>
        <sz val="10"/>
        <color theme="1"/>
        <rFont val="宋体"/>
        <family val="3"/>
        <charset val="134"/>
      </rPr>
      <t>武器</t>
    </r>
    <phoneticPr fontId="0" type="Hiragana"/>
  </si>
  <si>
    <r>
      <rPr>
        <sz val="10"/>
        <color theme="1"/>
        <rFont val="宋体"/>
        <family val="3"/>
        <charset val="134"/>
      </rPr>
      <t>戒指</t>
    </r>
    <phoneticPr fontId="0" type="Hiragana"/>
  </si>
  <si>
    <r>
      <rPr>
        <sz val="10"/>
        <color theme="1"/>
        <rFont val="宋体"/>
        <family val="3"/>
        <charset val="134"/>
      </rPr>
      <t>项链</t>
    </r>
    <phoneticPr fontId="0" type="Hiragana"/>
  </si>
  <si>
    <t>npc</t>
    <phoneticPr fontId="0" type="Hiragana"/>
  </si>
  <si>
    <t>equipment</t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</si>
</sst>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%"/>
  </numFmts>
  <fonts count="12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0" tint="-0.499984740745262"/>
      <name val="宋体"/>
      <family val="3"/>
      <charset val="134"/>
    </font>
    <font>
      <sz val="10"/>
      <color theme="1"/>
      <name val="宋体"/>
      <family val="2"/>
    </font>
    <font>
      <sz val="10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9" fontId="1" fillId="10" borderId="1" xfId="0" applyNumberFormat="1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9"/>
  <sheetViews>
    <sheetView workbookViewId="0">
      <selection activeCell="C1" sqref="C1"/>
    </sheetView>
  </sheetViews>
  <sheetFormatPr defaultRowHeight="13.5" x14ac:dyDescent="0.15"/>
  <cols>
    <col min="2" max="2" width="9" customWidth="1"/>
    <col min="3" max="3" width="124.75" customWidth="1"/>
  </cols>
  <sheetData>
    <row r="1" spans="2:3" x14ac:dyDescent="0.15">
      <c r="B1" s="8" t="s">
        <v>57</v>
      </c>
      <c r="C1" s="21" t="s">
        <v>142</v>
      </c>
    </row>
    <row r="2" spans="2:3" x14ac:dyDescent="0.15">
      <c r="B2" s="8" t="s">
        <v>58</v>
      </c>
      <c r="C2" s="21" t="s">
        <v>143</v>
      </c>
    </row>
    <row r="3" spans="2:3" x14ac:dyDescent="0.15">
      <c r="B3" s="8" t="s">
        <v>139</v>
      </c>
      <c r="C3" s="8" t="s">
        <v>763</v>
      </c>
    </row>
    <row r="4" spans="2:3" x14ac:dyDescent="0.15">
      <c r="B4" s="8" t="s">
        <v>162</v>
      </c>
      <c r="C4" s="8" t="s">
        <v>762</v>
      </c>
    </row>
    <row r="5" spans="2:3" x14ac:dyDescent="0.15">
      <c r="B5" s="8" t="s">
        <v>59</v>
      </c>
      <c r="C5" s="8" t="s">
        <v>761</v>
      </c>
    </row>
    <row r="6" spans="2:3" x14ac:dyDescent="0.15">
      <c r="B6" s="8" t="s">
        <v>56</v>
      </c>
      <c r="C6" s="8" t="s">
        <v>764</v>
      </c>
    </row>
    <row r="7" spans="2:3" x14ac:dyDescent="0.15">
      <c r="B7" s="8" t="s">
        <v>55</v>
      </c>
      <c r="C7" s="8" t="s">
        <v>765</v>
      </c>
    </row>
    <row r="8" spans="2:3" x14ac:dyDescent="0.15">
      <c r="B8" s="8" t="s">
        <v>766</v>
      </c>
      <c r="C8" s="8" t="s">
        <v>767</v>
      </c>
    </row>
    <row r="9" spans="2:3" x14ac:dyDescent="0.15">
      <c r="B9" s="8" t="s">
        <v>60</v>
      </c>
      <c r="C9" s="1" t="s">
        <v>504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102"/>
  <sheetViews>
    <sheetView workbookViewId="0">
      <selection activeCell="G6" sqref="G6"/>
    </sheetView>
  </sheetViews>
  <sheetFormatPr defaultRowHeight="13.5" x14ac:dyDescent="0.15"/>
  <sheetData>
    <row r="1" spans="2:16" x14ac:dyDescent="0.15">
      <c r="F1" s="1">
        <f>(F3-E3*F3)/(B3*E3)</f>
        <v>5.666666666666667</v>
      </c>
    </row>
    <row r="2" spans="2:16" x14ac:dyDescent="0.15">
      <c r="B2" s="16" t="s">
        <v>140</v>
      </c>
      <c r="C2" s="16" t="s">
        <v>141</v>
      </c>
      <c r="D2" s="15" t="s">
        <v>150</v>
      </c>
      <c r="E2" s="15" t="s">
        <v>151</v>
      </c>
      <c r="F2" s="15"/>
      <c r="G2" s="16" t="s">
        <v>147</v>
      </c>
      <c r="H2" s="16" t="s">
        <v>144</v>
      </c>
      <c r="I2" s="15" t="s">
        <v>152</v>
      </c>
      <c r="J2" s="16" t="s">
        <v>145</v>
      </c>
      <c r="K2" s="16" t="s">
        <v>146</v>
      </c>
      <c r="L2" s="15"/>
      <c r="M2" s="16" t="s">
        <v>148</v>
      </c>
      <c r="N2" s="16"/>
      <c r="O2" s="16" t="s">
        <v>149</v>
      </c>
    </row>
    <row r="3" spans="2:16" x14ac:dyDescent="0.15">
      <c r="B3" s="2">
        <v>1</v>
      </c>
      <c r="C3" s="2">
        <v>1</v>
      </c>
      <c r="D3" s="25">
        <v>0.7</v>
      </c>
      <c r="E3" s="25">
        <v>0.15</v>
      </c>
      <c r="F3" s="26">
        <v>1</v>
      </c>
      <c r="G3" s="2">
        <f>ROUND((F3*H3-F3+$F$1*H3*B3)/(1-H3),0)</f>
        <v>8</v>
      </c>
      <c r="H3" s="25">
        <v>0.6</v>
      </c>
      <c r="I3" s="2">
        <v>0.1</v>
      </c>
      <c r="J3" s="2">
        <f>ROUND((I3*K3-I3+$F$1*K3*B3)/(1-K3),0)</f>
        <v>2</v>
      </c>
      <c r="K3" s="27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  <c r="P3">
        <f>G3/B3</f>
        <v>8</v>
      </c>
    </row>
    <row r="4" spans="2:16" x14ac:dyDescent="0.15">
      <c r="B4" s="2">
        <v>2</v>
      </c>
      <c r="C4" s="2">
        <v>1</v>
      </c>
      <c r="D4" s="28">
        <f>D3+0.002</f>
        <v>0.70199999999999996</v>
      </c>
      <c r="E4" s="25">
        <v>0.15</v>
      </c>
      <c r="F4" s="9">
        <v>2</v>
      </c>
      <c r="G4" s="2">
        <f t="shared" ref="G4:G67" si="0">ROUND((F4*H4-F4+$F$1*H4*B4)/(1-H4),0)</f>
        <v>15</v>
      </c>
      <c r="H4" s="25">
        <v>0.6</v>
      </c>
      <c r="I4" s="2">
        <v>0.2</v>
      </c>
      <c r="J4" s="2">
        <f t="shared" ref="J4:J67" si="1">ROUND((I4*K4-I4+$F$1*K4*B4)/(1-K4),0)</f>
        <v>4</v>
      </c>
      <c r="K4" s="27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  <c r="P4">
        <f t="shared" ref="P4:P67" si="6">G4/B4</f>
        <v>7.5</v>
      </c>
    </row>
    <row r="5" spans="2:16" x14ac:dyDescent="0.15">
      <c r="B5" s="2">
        <v>3</v>
      </c>
      <c r="C5" s="2">
        <v>1</v>
      </c>
      <c r="D5" s="28">
        <f t="shared" ref="D5:D68" si="7">D4+0.002</f>
        <v>0.70399999999999996</v>
      </c>
      <c r="E5" s="25">
        <v>0.15</v>
      </c>
      <c r="F5" s="26">
        <v>3</v>
      </c>
      <c r="G5" s="2">
        <f t="shared" si="0"/>
        <v>23</v>
      </c>
      <c r="H5" s="25">
        <v>0.6</v>
      </c>
      <c r="I5" s="2">
        <v>0.3</v>
      </c>
      <c r="J5" s="2">
        <f t="shared" si="1"/>
        <v>6</v>
      </c>
      <c r="K5" s="27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  <c r="P5">
        <f t="shared" si="6"/>
        <v>7.666666666666667</v>
      </c>
    </row>
    <row r="6" spans="2:16" x14ac:dyDescent="0.15">
      <c r="B6" s="2">
        <v>4</v>
      </c>
      <c r="C6" s="2">
        <v>1</v>
      </c>
      <c r="D6" s="28">
        <f t="shared" si="7"/>
        <v>0.70599999999999996</v>
      </c>
      <c r="E6" s="25">
        <v>0.15</v>
      </c>
      <c r="F6" s="9">
        <v>4</v>
      </c>
      <c r="G6" s="2">
        <f t="shared" si="0"/>
        <v>30</v>
      </c>
      <c r="H6" s="25">
        <v>0.6</v>
      </c>
      <c r="I6" s="2">
        <v>0.4</v>
      </c>
      <c r="J6" s="2">
        <f t="shared" si="1"/>
        <v>8</v>
      </c>
      <c r="K6" s="27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  <c r="P6">
        <f t="shared" si="6"/>
        <v>7.5</v>
      </c>
    </row>
    <row r="7" spans="2:16" x14ac:dyDescent="0.15">
      <c r="B7" s="2">
        <v>5</v>
      </c>
      <c r="C7" s="2">
        <v>1</v>
      </c>
      <c r="D7" s="28">
        <f t="shared" si="7"/>
        <v>0.70799999999999996</v>
      </c>
      <c r="E7" s="25">
        <v>0.15</v>
      </c>
      <c r="F7" s="26">
        <v>5</v>
      </c>
      <c r="G7" s="2">
        <f t="shared" si="0"/>
        <v>38</v>
      </c>
      <c r="H7" s="25">
        <v>0.6</v>
      </c>
      <c r="I7" s="2">
        <v>0.5</v>
      </c>
      <c r="J7" s="2">
        <f>ROUND((I7*K7-I7+$F$1*K7*B7)/(1-K7),0)</f>
        <v>10</v>
      </c>
      <c r="K7" s="27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  <c r="P7">
        <f t="shared" si="6"/>
        <v>7.6</v>
      </c>
    </row>
    <row r="8" spans="2:16" x14ac:dyDescent="0.15">
      <c r="B8" s="2">
        <v>6</v>
      </c>
      <c r="C8" s="2">
        <v>1</v>
      </c>
      <c r="D8" s="28">
        <f t="shared" si="7"/>
        <v>0.71</v>
      </c>
      <c r="E8" s="25">
        <v>0.15</v>
      </c>
      <c r="F8" s="9">
        <v>6</v>
      </c>
      <c r="G8" s="2">
        <f t="shared" si="0"/>
        <v>45</v>
      </c>
      <c r="H8" s="25">
        <v>0.6</v>
      </c>
      <c r="I8" s="2">
        <v>0.6</v>
      </c>
      <c r="J8" s="2">
        <f t="shared" si="1"/>
        <v>12</v>
      </c>
      <c r="K8" s="27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  <c r="P8">
        <f t="shared" si="6"/>
        <v>7.5</v>
      </c>
    </row>
    <row r="9" spans="2:16" x14ac:dyDescent="0.15">
      <c r="B9" s="2">
        <v>7</v>
      </c>
      <c r="C9" s="2">
        <v>1</v>
      </c>
      <c r="D9" s="28">
        <f t="shared" si="7"/>
        <v>0.71199999999999997</v>
      </c>
      <c r="E9" s="25">
        <v>0.15</v>
      </c>
      <c r="F9" s="26">
        <v>7</v>
      </c>
      <c r="G9" s="2">
        <f t="shared" si="0"/>
        <v>53</v>
      </c>
      <c r="H9" s="25">
        <v>0.6</v>
      </c>
      <c r="I9" s="2">
        <v>0.7</v>
      </c>
      <c r="J9" s="2">
        <f t="shared" si="1"/>
        <v>15</v>
      </c>
      <c r="K9" s="27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  <c r="P9">
        <f t="shared" si="6"/>
        <v>7.5714285714285712</v>
      </c>
    </row>
    <row r="10" spans="2:16" x14ac:dyDescent="0.15">
      <c r="B10" s="2">
        <v>8</v>
      </c>
      <c r="C10" s="2">
        <v>1</v>
      </c>
      <c r="D10" s="28">
        <f t="shared" si="7"/>
        <v>0.71399999999999997</v>
      </c>
      <c r="E10" s="25">
        <v>0.15</v>
      </c>
      <c r="F10" s="9">
        <v>8</v>
      </c>
      <c r="G10" s="2">
        <f t="shared" si="0"/>
        <v>60</v>
      </c>
      <c r="H10" s="25">
        <v>0.6</v>
      </c>
      <c r="I10" s="2">
        <v>0.8</v>
      </c>
      <c r="J10" s="2">
        <f t="shared" si="1"/>
        <v>17</v>
      </c>
      <c r="K10" s="27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  <c r="P10">
        <f t="shared" si="6"/>
        <v>7.5</v>
      </c>
    </row>
    <row r="11" spans="2:16" x14ac:dyDescent="0.15">
      <c r="B11" s="2">
        <v>9</v>
      </c>
      <c r="C11" s="2">
        <v>1</v>
      </c>
      <c r="D11" s="28">
        <f t="shared" si="7"/>
        <v>0.71599999999999997</v>
      </c>
      <c r="E11" s="25">
        <v>0.15</v>
      </c>
      <c r="F11" s="26">
        <v>9</v>
      </c>
      <c r="G11" s="2">
        <f t="shared" si="0"/>
        <v>68</v>
      </c>
      <c r="H11" s="25">
        <v>0.6</v>
      </c>
      <c r="I11" s="2">
        <v>0.9</v>
      </c>
      <c r="J11" s="2">
        <f t="shared" si="1"/>
        <v>20</v>
      </c>
      <c r="K11" s="27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  <c r="P11">
        <f t="shared" si="6"/>
        <v>7.5555555555555554</v>
      </c>
    </row>
    <row r="12" spans="2:16" x14ac:dyDescent="0.15">
      <c r="B12" s="2">
        <v>10</v>
      </c>
      <c r="C12" s="2">
        <v>1</v>
      </c>
      <c r="D12" s="28">
        <f t="shared" si="7"/>
        <v>0.71799999999999997</v>
      </c>
      <c r="E12" s="25">
        <v>0.15</v>
      </c>
      <c r="F12" s="9">
        <v>10</v>
      </c>
      <c r="G12" s="2">
        <f t="shared" si="0"/>
        <v>75</v>
      </c>
      <c r="H12" s="25">
        <v>0.6</v>
      </c>
      <c r="I12" s="2">
        <v>1</v>
      </c>
      <c r="J12" s="2">
        <f t="shared" si="1"/>
        <v>23</v>
      </c>
      <c r="K12" s="27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  <c r="P12">
        <f t="shared" si="6"/>
        <v>7.5</v>
      </c>
    </row>
    <row r="13" spans="2:16" x14ac:dyDescent="0.15">
      <c r="B13" s="2">
        <v>11</v>
      </c>
      <c r="C13" s="2">
        <f>C3+1</f>
        <v>2</v>
      </c>
      <c r="D13" s="28">
        <f t="shared" si="7"/>
        <v>0.72</v>
      </c>
      <c r="E13" s="25">
        <v>0.15</v>
      </c>
      <c r="F13" s="26">
        <v>11</v>
      </c>
      <c r="G13" s="2">
        <f t="shared" si="0"/>
        <v>83</v>
      </c>
      <c r="H13" s="25">
        <v>0.6</v>
      </c>
      <c r="I13" s="2">
        <v>1.1000000000000001</v>
      </c>
      <c r="J13" s="2">
        <f t="shared" si="1"/>
        <v>26</v>
      </c>
      <c r="K13" s="27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  <c r="P13">
        <f t="shared" si="6"/>
        <v>7.5454545454545459</v>
      </c>
    </row>
    <row r="14" spans="2:16" x14ac:dyDescent="0.15">
      <c r="B14" s="2">
        <v>12</v>
      </c>
      <c r="C14" s="2">
        <f t="shared" ref="C14:C77" si="8">C4+1</f>
        <v>2</v>
      </c>
      <c r="D14" s="28">
        <f t="shared" si="7"/>
        <v>0.72199999999999998</v>
      </c>
      <c r="E14" s="25">
        <v>0.15</v>
      </c>
      <c r="F14" s="9">
        <v>12</v>
      </c>
      <c r="G14" s="2">
        <f t="shared" si="0"/>
        <v>90</v>
      </c>
      <c r="H14" s="25">
        <v>0.6</v>
      </c>
      <c r="I14" s="2">
        <v>1.2</v>
      </c>
      <c r="J14" s="2">
        <f t="shared" si="1"/>
        <v>29</v>
      </c>
      <c r="K14" s="27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  <c r="P14">
        <f t="shared" si="6"/>
        <v>7.5</v>
      </c>
    </row>
    <row r="15" spans="2:16" x14ac:dyDescent="0.15">
      <c r="B15" s="2">
        <v>13</v>
      </c>
      <c r="C15" s="2">
        <f t="shared" si="8"/>
        <v>2</v>
      </c>
      <c r="D15" s="28">
        <f t="shared" si="7"/>
        <v>0.72399999999999998</v>
      </c>
      <c r="E15" s="25">
        <v>0.15</v>
      </c>
      <c r="F15" s="26">
        <v>13</v>
      </c>
      <c r="G15" s="2">
        <f t="shared" si="0"/>
        <v>98</v>
      </c>
      <c r="H15" s="25">
        <v>0.6</v>
      </c>
      <c r="I15" s="2">
        <v>1.3</v>
      </c>
      <c r="J15" s="2">
        <f t="shared" si="1"/>
        <v>32</v>
      </c>
      <c r="K15" s="27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  <c r="P15">
        <f t="shared" si="6"/>
        <v>7.5384615384615383</v>
      </c>
    </row>
    <row r="16" spans="2:16" x14ac:dyDescent="0.15">
      <c r="B16" s="2">
        <v>14</v>
      </c>
      <c r="C16" s="2">
        <f t="shared" si="8"/>
        <v>2</v>
      </c>
      <c r="D16" s="28">
        <f t="shared" si="7"/>
        <v>0.72599999999999998</v>
      </c>
      <c r="E16" s="25">
        <v>0.15</v>
      </c>
      <c r="F16" s="9">
        <v>14</v>
      </c>
      <c r="G16" s="2">
        <f t="shared" si="0"/>
        <v>105</v>
      </c>
      <c r="H16" s="25">
        <v>0.6</v>
      </c>
      <c r="I16" s="2">
        <v>1.4</v>
      </c>
      <c r="J16" s="2">
        <f t="shared" si="1"/>
        <v>35</v>
      </c>
      <c r="K16" s="27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  <c r="P16">
        <f t="shared" si="6"/>
        <v>7.5</v>
      </c>
    </row>
    <row r="17" spans="2:16" x14ac:dyDescent="0.15">
      <c r="B17" s="2">
        <v>15</v>
      </c>
      <c r="C17" s="2">
        <f t="shared" si="8"/>
        <v>2</v>
      </c>
      <c r="D17" s="28">
        <f t="shared" si="7"/>
        <v>0.72799999999999998</v>
      </c>
      <c r="E17" s="25">
        <v>0.15</v>
      </c>
      <c r="F17" s="26">
        <v>15</v>
      </c>
      <c r="G17" s="2">
        <f t="shared" si="0"/>
        <v>113</v>
      </c>
      <c r="H17" s="25">
        <v>0.6</v>
      </c>
      <c r="I17" s="2">
        <v>1.5</v>
      </c>
      <c r="J17" s="2">
        <f t="shared" si="1"/>
        <v>39</v>
      </c>
      <c r="K17" s="27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  <c r="P17">
        <f t="shared" si="6"/>
        <v>7.5333333333333332</v>
      </c>
    </row>
    <row r="18" spans="2:16" x14ac:dyDescent="0.15">
      <c r="B18" s="2">
        <v>16</v>
      </c>
      <c r="C18" s="2">
        <f t="shared" si="8"/>
        <v>2</v>
      </c>
      <c r="D18" s="28">
        <f t="shared" si="7"/>
        <v>0.73</v>
      </c>
      <c r="E18" s="25">
        <v>0.15</v>
      </c>
      <c r="F18" s="9">
        <v>16</v>
      </c>
      <c r="G18" s="2">
        <f t="shared" si="0"/>
        <v>120</v>
      </c>
      <c r="H18" s="25">
        <v>0.6</v>
      </c>
      <c r="I18" s="2">
        <v>1.6</v>
      </c>
      <c r="J18" s="2">
        <f t="shared" si="1"/>
        <v>42</v>
      </c>
      <c r="K18" s="27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  <c r="P18">
        <f t="shared" si="6"/>
        <v>7.5</v>
      </c>
    </row>
    <row r="19" spans="2:16" x14ac:dyDescent="0.15">
      <c r="B19" s="2">
        <v>17</v>
      </c>
      <c r="C19" s="2">
        <f t="shared" si="8"/>
        <v>2</v>
      </c>
      <c r="D19" s="28">
        <f t="shared" si="7"/>
        <v>0.73199999999999998</v>
      </c>
      <c r="E19" s="25">
        <v>0.15</v>
      </c>
      <c r="F19" s="26">
        <v>17</v>
      </c>
      <c r="G19" s="2">
        <f t="shared" si="0"/>
        <v>128</v>
      </c>
      <c r="H19" s="25">
        <v>0.6</v>
      </c>
      <c r="I19" s="2">
        <v>1.7</v>
      </c>
      <c r="J19" s="2">
        <f t="shared" si="1"/>
        <v>46</v>
      </c>
      <c r="K19" s="27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  <c r="P19">
        <f t="shared" si="6"/>
        <v>7.5294117647058822</v>
      </c>
    </row>
    <row r="20" spans="2:16" x14ac:dyDescent="0.15">
      <c r="B20" s="2">
        <v>18</v>
      </c>
      <c r="C20" s="2">
        <f t="shared" si="8"/>
        <v>2</v>
      </c>
      <c r="D20" s="28">
        <f t="shared" si="7"/>
        <v>0.73399999999999999</v>
      </c>
      <c r="E20" s="25">
        <v>0.15</v>
      </c>
      <c r="F20" s="9">
        <v>18</v>
      </c>
      <c r="G20" s="2">
        <f t="shared" si="0"/>
        <v>135</v>
      </c>
      <c r="H20" s="25">
        <v>0.6</v>
      </c>
      <c r="I20" s="2">
        <v>1.8</v>
      </c>
      <c r="J20" s="2">
        <f t="shared" si="1"/>
        <v>50</v>
      </c>
      <c r="K20" s="27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  <c r="P20">
        <f t="shared" si="6"/>
        <v>7.5</v>
      </c>
    </row>
    <row r="21" spans="2:16" x14ac:dyDescent="0.15">
      <c r="B21" s="2">
        <v>19</v>
      </c>
      <c r="C21" s="2">
        <f t="shared" si="8"/>
        <v>2</v>
      </c>
      <c r="D21" s="28">
        <f t="shared" si="7"/>
        <v>0.73599999999999999</v>
      </c>
      <c r="E21" s="25">
        <v>0.15</v>
      </c>
      <c r="F21" s="26">
        <v>19</v>
      </c>
      <c r="G21" s="2">
        <f t="shared" si="0"/>
        <v>143</v>
      </c>
      <c r="H21" s="25">
        <v>0.6</v>
      </c>
      <c r="I21" s="2">
        <v>1.9</v>
      </c>
      <c r="J21" s="2">
        <f t="shared" si="1"/>
        <v>54</v>
      </c>
      <c r="K21" s="27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  <c r="P21">
        <f t="shared" si="6"/>
        <v>7.5263157894736841</v>
      </c>
    </row>
    <row r="22" spans="2:16" x14ac:dyDescent="0.15">
      <c r="B22" s="2">
        <v>20</v>
      </c>
      <c r="C22" s="2">
        <f t="shared" si="8"/>
        <v>2</v>
      </c>
      <c r="D22" s="28">
        <f t="shared" si="7"/>
        <v>0.73799999999999999</v>
      </c>
      <c r="E22" s="25">
        <v>0.15</v>
      </c>
      <c r="F22" s="9">
        <v>20</v>
      </c>
      <c r="G22" s="2">
        <f t="shared" si="0"/>
        <v>150</v>
      </c>
      <c r="H22" s="25">
        <v>0.6</v>
      </c>
      <c r="I22" s="2">
        <v>2</v>
      </c>
      <c r="J22" s="2">
        <f t="shared" si="1"/>
        <v>58</v>
      </c>
      <c r="K22" s="27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  <c r="P22">
        <f t="shared" si="6"/>
        <v>7.5</v>
      </c>
    </row>
    <row r="23" spans="2:16" x14ac:dyDescent="0.15">
      <c r="B23" s="2">
        <v>21</v>
      </c>
      <c r="C23" s="2">
        <f t="shared" si="8"/>
        <v>3</v>
      </c>
      <c r="D23" s="28">
        <f t="shared" si="7"/>
        <v>0.74</v>
      </c>
      <c r="E23" s="25">
        <v>0.15</v>
      </c>
      <c r="F23" s="26">
        <v>21</v>
      </c>
      <c r="G23" s="2">
        <f t="shared" si="0"/>
        <v>158</v>
      </c>
      <c r="H23" s="25">
        <v>0.6</v>
      </c>
      <c r="I23" s="2">
        <v>2.1</v>
      </c>
      <c r="J23" s="2">
        <f t="shared" si="1"/>
        <v>62</v>
      </c>
      <c r="K23" s="27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  <c r="P23">
        <f t="shared" si="6"/>
        <v>7.5238095238095237</v>
      </c>
    </row>
    <row r="24" spans="2:16" x14ac:dyDescent="0.15">
      <c r="B24" s="2">
        <v>22</v>
      </c>
      <c r="C24" s="2">
        <f t="shared" si="8"/>
        <v>3</v>
      </c>
      <c r="D24" s="28">
        <f t="shared" si="7"/>
        <v>0.74199999999999999</v>
      </c>
      <c r="E24" s="25">
        <v>0.15</v>
      </c>
      <c r="F24" s="9">
        <v>22</v>
      </c>
      <c r="G24" s="2">
        <f t="shared" si="0"/>
        <v>165</v>
      </c>
      <c r="H24" s="25">
        <v>0.6</v>
      </c>
      <c r="I24" s="2">
        <v>2.2000000000000002</v>
      </c>
      <c r="J24" s="2">
        <f t="shared" si="1"/>
        <v>66</v>
      </c>
      <c r="K24" s="27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  <c r="P24">
        <f t="shared" si="6"/>
        <v>7.5</v>
      </c>
    </row>
    <row r="25" spans="2:16" x14ac:dyDescent="0.15">
      <c r="B25" s="2">
        <v>23</v>
      </c>
      <c r="C25" s="2">
        <f t="shared" si="8"/>
        <v>3</v>
      </c>
      <c r="D25" s="28">
        <f t="shared" si="7"/>
        <v>0.74399999999999999</v>
      </c>
      <c r="E25" s="25">
        <v>0.15</v>
      </c>
      <c r="F25" s="26">
        <v>23</v>
      </c>
      <c r="G25" s="2">
        <f t="shared" si="0"/>
        <v>173</v>
      </c>
      <c r="H25" s="25">
        <v>0.6</v>
      </c>
      <c r="I25" s="2">
        <v>2.2999999999999998</v>
      </c>
      <c r="J25" s="2">
        <f t="shared" si="1"/>
        <v>71</v>
      </c>
      <c r="K25" s="27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  <c r="P25">
        <f t="shared" si="6"/>
        <v>7.5217391304347823</v>
      </c>
    </row>
    <row r="26" spans="2:16" x14ac:dyDescent="0.15">
      <c r="B26" s="2">
        <v>24</v>
      </c>
      <c r="C26" s="2">
        <f t="shared" si="8"/>
        <v>3</v>
      </c>
      <c r="D26" s="28">
        <f t="shared" si="7"/>
        <v>0.746</v>
      </c>
      <c r="E26" s="25">
        <v>0.15</v>
      </c>
      <c r="F26" s="9">
        <v>24</v>
      </c>
      <c r="G26" s="2">
        <f t="shared" si="0"/>
        <v>180</v>
      </c>
      <c r="H26" s="25">
        <v>0.6</v>
      </c>
      <c r="I26" s="2">
        <v>2.4</v>
      </c>
      <c r="J26" s="2">
        <f t="shared" si="1"/>
        <v>76</v>
      </c>
      <c r="K26" s="27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  <c r="P26">
        <f t="shared" si="6"/>
        <v>7.5</v>
      </c>
    </row>
    <row r="27" spans="2:16" x14ac:dyDescent="0.15">
      <c r="B27" s="2">
        <v>25</v>
      </c>
      <c r="C27" s="2">
        <f t="shared" si="8"/>
        <v>3</v>
      </c>
      <c r="D27" s="28">
        <f t="shared" si="7"/>
        <v>0.748</v>
      </c>
      <c r="E27" s="25">
        <v>0.15</v>
      </c>
      <c r="F27" s="26">
        <v>25</v>
      </c>
      <c r="G27" s="2">
        <f t="shared" si="0"/>
        <v>188</v>
      </c>
      <c r="H27" s="25">
        <v>0.6</v>
      </c>
      <c r="I27" s="2">
        <v>2.5</v>
      </c>
      <c r="J27" s="2">
        <f t="shared" si="1"/>
        <v>81</v>
      </c>
      <c r="K27" s="27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  <c r="P27">
        <f t="shared" si="6"/>
        <v>7.52</v>
      </c>
    </row>
    <row r="28" spans="2:16" x14ac:dyDescent="0.15">
      <c r="B28" s="2">
        <v>26</v>
      </c>
      <c r="C28" s="2">
        <f t="shared" si="8"/>
        <v>3</v>
      </c>
      <c r="D28" s="28">
        <f t="shared" si="7"/>
        <v>0.75</v>
      </c>
      <c r="E28" s="25">
        <v>0.15</v>
      </c>
      <c r="F28" s="9">
        <v>26</v>
      </c>
      <c r="G28" s="2">
        <f t="shared" si="0"/>
        <v>195</v>
      </c>
      <c r="H28" s="25">
        <v>0.6</v>
      </c>
      <c r="I28" s="2">
        <v>2.6</v>
      </c>
      <c r="J28" s="2">
        <f t="shared" si="1"/>
        <v>86</v>
      </c>
      <c r="K28" s="27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  <c r="P28">
        <f t="shared" si="6"/>
        <v>7.5</v>
      </c>
    </row>
    <row r="29" spans="2:16" x14ac:dyDescent="0.15">
      <c r="B29" s="2">
        <v>27</v>
      </c>
      <c r="C29" s="2">
        <f t="shared" si="8"/>
        <v>3</v>
      </c>
      <c r="D29" s="28">
        <f t="shared" si="7"/>
        <v>0.752</v>
      </c>
      <c r="E29" s="25">
        <v>0.15</v>
      </c>
      <c r="F29" s="26">
        <v>27</v>
      </c>
      <c r="G29" s="2">
        <f t="shared" si="0"/>
        <v>203</v>
      </c>
      <c r="H29" s="25">
        <v>0.6</v>
      </c>
      <c r="I29" s="2">
        <v>2.7</v>
      </c>
      <c r="J29" s="2">
        <f t="shared" si="1"/>
        <v>91</v>
      </c>
      <c r="K29" s="27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  <c r="P29">
        <f t="shared" si="6"/>
        <v>7.5185185185185182</v>
      </c>
    </row>
    <row r="30" spans="2:16" x14ac:dyDescent="0.15">
      <c r="B30" s="2">
        <v>28</v>
      </c>
      <c r="C30" s="2">
        <f t="shared" si="8"/>
        <v>3</v>
      </c>
      <c r="D30" s="28">
        <f t="shared" si="7"/>
        <v>0.754</v>
      </c>
      <c r="E30" s="25">
        <v>0.15</v>
      </c>
      <c r="F30" s="9">
        <v>28</v>
      </c>
      <c r="G30" s="2">
        <f t="shared" si="0"/>
        <v>210</v>
      </c>
      <c r="H30" s="25">
        <v>0.6</v>
      </c>
      <c r="I30" s="2">
        <v>2.8</v>
      </c>
      <c r="J30" s="2">
        <f t="shared" si="1"/>
        <v>97</v>
      </c>
      <c r="K30" s="27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  <c r="P30">
        <f t="shared" si="6"/>
        <v>7.5</v>
      </c>
    </row>
    <row r="31" spans="2:16" x14ac:dyDescent="0.15">
      <c r="B31" s="2">
        <v>29</v>
      </c>
      <c r="C31" s="2">
        <f t="shared" si="8"/>
        <v>3</v>
      </c>
      <c r="D31" s="28">
        <f t="shared" si="7"/>
        <v>0.75600000000000001</v>
      </c>
      <c r="E31" s="25">
        <v>0.15</v>
      </c>
      <c r="F31" s="26">
        <v>29</v>
      </c>
      <c r="G31" s="2">
        <f t="shared" si="0"/>
        <v>218</v>
      </c>
      <c r="H31" s="25">
        <v>0.6</v>
      </c>
      <c r="I31" s="2">
        <v>2.9</v>
      </c>
      <c r="J31" s="2">
        <f t="shared" si="1"/>
        <v>102</v>
      </c>
      <c r="K31" s="27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  <c r="P31">
        <f t="shared" si="6"/>
        <v>7.5172413793103452</v>
      </c>
    </row>
    <row r="32" spans="2:16" x14ac:dyDescent="0.15">
      <c r="B32" s="2">
        <v>30</v>
      </c>
      <c r="C32" s="2">
        <f t="shared" si="8"/>
        <v>3</v>
      </c>
      <c r="D32" s="28">
        <f t="shared" si="7"/>
        <v>0.75800000000000001</v>
      </c>
      <c r="E32" s="25">
        <v>0.15</v>
      </c>
      <c r="F32" s="9">
        <v>30</v>
      </c>
      <c r="G32" s="2">
        <f t="shared" si="0"/>
        <v>225</v>
      </c>
      <c r="H32" s="25">
        <v>0.6</v>
      </c>
      <c r="I32" s="2">
        <v>3</v>
      </c>
      <c r="J32" s="2">
        <f t="shared" si="1"/>
        <v>108</v>
      </c>
      <c r="K32" s="27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  <c r="P32">
        <f t="shared" si="6"/>
        <v>7.5</v>
      </c>
    </row>
    <row r="33" spans="2:16" x14ac:dyDescent="0.15">
      <c r="B33" s="2">
        <v>31</v>
      </c>
      <c r="C33" s="2">
        <f t="shared" si="8"/>
        <v>4</v>
      </c>
      <c r="D33" s="28">
        <f t="shared" si="7"/>
        <v>0.76</v>
      </c>
      <c r="E33" s="25">
        <v>0.15</v>
      </c>
      <c r="F33" s="26">
        <v>31</v>
      </c>
      <c r="G33" s="2">
        <f t="shared" si="0"/>
        <v>233</v>
      </c>
      <c r="H33" s="25">
        <v>0.6</v>
      </c>
      <c r="I33" s="2">
        <v>3.1</v>
      </c>
      <c r="J33" s="2">
        <f t="shared" si="1"/>
        <v>114</v>
      </c>
      <c r="K33" s="27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  <c r="P33">
        <f t="shared" si="6"/>
        <v>7.5161290322580649</v>
      </c>
    </row>
    <row r="34" spans="2:16" x14ac:dyDescent="0.15">
      <c r="B34" s="2">
        <v>32</v>
      </c>
      <c r="C34" s="2">
        <f t="shared" si="8"/>
        <v>4</v>
      </c>
      <c r="D34" s="28">
        <f t="shared" si="7"/>
        <v>0.76200000000000001</v>
      </c>
      <c r="E34" s="25">
        <v>0.15</v>
      </c>
      <c r="F34" s="9">
        <v>32</v>
      </c>
      <c r="G34" s="2">
        <f t="shared" si="0"/>
        <v>240</v>
      </c>
      <c r="H34" s="25">
        <v>0.6</v>
      </c>
      <c r="I34" s="2">
        <v>3.2</v>
      </c>
      <c r="J34" s="2">
        <f t="shared" si="1"/>
        <v>120</v>
      </c>
      <c r="K34" s="27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  <c r="P34">
        <f t="shared" si="6"/>
        <v>7.5</v>
      </c>
    </row>
    <row r="35" spans="2:16" x14ac:dyDescent="0.15">
      <c r="B35" s="2">
        <v>33</v>
      </c>
      <c r="C35" s="2">
        <f t="shared" si="8"/>
        <v>4</v>
      </c>
      <c r="D35" s="28">
        <f t="shared" si="7"/>
        <v>0.76400000000000001</v>
      </c>
      <c r="E35" s="25">
        <v>0.15</v>
      </c>
      <c r="F35" s="26">
        <v>33</v>
      </c>
      <c r="G35" s="2">
        <f t="shared" si="0"/>
        <v>248</v>
      </c>
      <c r="H35" s="25">
        <v>0.6</v>
      </c>
      <c r="I35" s="2">
        <v>3.3</v>
      </c>
      <c r="J35" s="2">
        <f t="shared" si="1"/>
        <v>127</v>
      </c>
      <c r="K35" s="27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  <c r="P35">
        <f t="shared" si="6"/>
        <v>7.5151515151515156</v>
      </c>
    </row>
    <row r="36" spans="2:16" x14ac:dyDescent="0.15">
      <c r="B36" s="2">
        <v>34</v>
      </c>
      <c r="C36" s="2">
        <f t="shared" si="8"/>
        <v>4</v>
      </c>
      <c r="D36" s="28">
        <f t="shared" si="7"/>
        <v>0.76600000000000001</v>
      </c>
      <c r="E36" s="25">
        <v>0.15</v>
      </c>
      <c r="F36" s="9">
        <v>34</v>
      </c>
      <c r="G36" s="2">
        <f t="shared" si="0"/>
        <v>255</v>
      </c>
      <c r="H36" s="25">
        <v>0.6</v>
      </c>
      <c r="I36" s="2">
        <v>3.4</v>
      </c>
      <c r="J36" s="2">
        <f t="shared" si="1"/>
        <v>133</v>
      </c>
      <c r="K36" s="27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  <c r="P36">
        <f t="shared" si="6"/>
        <v>7.5</v>
      </c>
    </row>
    <row r="37" spans="2:16" x14ac:dyDescent="0.15">
      <c r="B37" s="2">
        <v>35</v>
      </c>
      <c r="C37" s="2">
        <f t="shared" si="8"/>
        <v>4</v>
      </c>
      <c r="D37" s="28">
        <f t="shared" si="7"/>
        <v>0.76800000000000002</v>
      </c>
      <c r="E37" s="25">
        <v>0.15</v>
      </c>
      <c r="F37" s="26">
        <v>35</v>
      </c>
      <c r="G37" s="2">
        <f t="shared" si="0"/>
        <v>263</v>
      </c>
      <c r="H37" s="25">
        <v>0.6</v>
      </c>
      <c r="I37" s="2">
        <v>3.5</v>
      </c>
      <c r="J37" s="2">
        <f t="shared" si="1"/>
        <v>140</v>
      </c>
      <c r="K37" s="27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  <c r="P37">
        <f t="shared" si="6"/>
        <v>7.5142857142857142</v>
      </c>
    </row>
    <row r="38" spans="2:16" x14ac:dyDescent="0.15">
      <c r="B38" s="2">
        <v>36</v>
      </c>
      <c r="C38" s="2">
        <f t="shared" si="8"/>
        <v>4</v>
      </c>
      <c r="D38" s="28">
        <f t="shared" si="7"/>
        <v>0.77</v>
      </c>
      <c r="E38" s="25">
        <v>0.15</v>
      </c>
      <c r="F38" s="9">
        <v>36</v>
      </c>
      <c r="G38" s="2">
        <f t="shared" si="0"/>
        <v>270</v>
      </c>
      <c r="H38" s="25">
        <v>0.6</v>
      </c>
      <c r="I38" s="2">
        <v>3.6</v>
      </c>
      <c r="J38" s="2">
        <f t="shared" si="1"/>
        <v>147</v>
      </c>
      <c r="K38" s="27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  <c r="P38">
        <f t="shared" si="6"/>
        <v>7.5</v>
      </c>
    </row>
    <row r="39" spans="2:16" x14ac:dyDescent="0.15">
      <c r="B39" s="2">
        <v>37</v>
      </c>
      <c r="C39" s="2">
        <f t="shared" si="8"/>
        <v>4</v>
      </c>
      <c r="D39" s="28">
        <f t="shared" si="7"/>
        <v>0.77200000000000002</v>
      </c>
      <c r="E39" s="25">
        <v>0.15</v>
      </c>
      <c r="F39" s="26">
        <v>37</v>
      </c>
      <c r="G39" s="2">
        <f t="shared" si="0"/>
        <v>278</v>
      </c>
      <c r="H39" s="25">
        <v>0.6</v>
      </c>
      <c r="I39" s="2">
        <v>3.7</v>
      </c>
      <c r="J39" s="2">
        <f t="shared" si="1"/>
        <v>154</v>
      </c>
      <c r="K39" s="27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  <c r="P39">
        <f t="shared" si="6"/>
        <v>7.5135135135135132</v>
      </c>
    </row>
    <row r="40" spans="2:16" x14ac:dyDescent="0.15">
      <c r="B40" s="2">
        <v>38</v>
      </c>
      <c r="C40" s="2">
        <f t="shared" si="8"/>
        <v>4</v>
      </c>
      <c r="D40" s="28">
        <f t="shared" si="7"/>
        <v>0.77400000000000002</v>
      </c>
      <c r="E40" s="25">
        <v>0.15</v>
      </c>
      <c r="F40" s="9">
        <v>38</v>
      </c>
      <c r="G40" s="2">
        <f t="shared" si="0"/>
        <v>285</v>
      </c>
      <c r="H40" s="25">
        <v>0.6</v>
      </c>
      <c r="I40" s="2">
        <v>3.8</v>
      </c>
      <c r="J40" s="2">
        <f t="shared" si="1"/>
        <v>162</v>
      </c>
      <c r="K40" s="27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  <c r="P40">
        <f t="shared" si="6"/>
        <v>7.5</v>
      </c>
    </row>
    <row r="41" spans="2:16" x14ac:dyDescent="0.15">
      <c r="B41" s="2">
        <v>39</v>
      </c>
      <c r="C41" s="2">
        <f t="shared" si="8"/>
        <v>4</v>
      </c>
      <c r="D41" s="28">
        <f t="shared" si="7"/>
        <v>0.77600000000000002</v>
      </c>
      <c r="E41" s="25">
        <v>0.15</v>
      </c>
      <c r="F41" s="26">
        <v>39</v>
      </c>
      <c r="G41" s="2">
        <f t="shared" si="0"/>
        <v>293</v>
      </c>
      <c r="H41" s="25">
        <v>0.6</v>
      </c>
      <c r="I41" s="2">
        <v>3.9</v>
      </c>
      <c r="J41" s="2">
        <f t="shared" si="1"/>
        <v>170</v>
      </c>
      <c r="K41" s="27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  <c r="P41">
        <f t="shared" si="6"/>
        <v>7.5128205128205128</v>
      </c>
    </row>
    <row r="42" spans="2:16" x14ac:dyDescent="0.15">
      <c r="B42" s="2">
        <v>40</v>
      </c>
      <c r="C42" s="2">
        <f t="shared" si="8"/>
        <v>4</v>
      </c>
      <c r="D42" s="28">
        <f t="shared" si="7"/>
        <v>0.77800000000000002</v>
      </c>
      <c r="E42" s="25">
        <v>0.15</v>
      </c>
      <c r="F42" s="9">
        <v>40</v>
      </c>
      <c r="G42" s="2">
        <f t="shared" si="0"/>
        <v>300</v>
      </c>
      <c r="H42" s="25">
        <v>0.6</v>
      </c>
      <c r="I42" s="2">
        <v>4</v>
      </c>
      <c r="J42" s="2">
        <f t="shared" si="1"/>
        <v>178</v>
      </c>
      <c r="K42" s="27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  <c r="P42">
        <f t="shared" si="6"/>
        <v>7.5</v>
      </c>
    </row>
    <row r="43" spans="2:16" x14ac:dyDescent="0.15">
      <c r="B43" s="2">
        <v>41</v>
      </c>
      <c r="C43" s="2">
        <f t="shared" si="8"/>
        <v>5</v>
      </c>
      <c r="D43" s="28">
        <f t="shared" si="7"/>
        <v>0.78</v>
      </c>
      <c r="E43" s="25">
        <v>0.15</v>
      </c>
      <c r="F43" s="26">
        <v>41</v>
      </c>
      <c r="G43" s="2">
        <f t="shared" si="0"/>
        <v>308</v>
      </c>
      <c r="H43" s="25">
        <v>0.6</v>
      </c>
      <c r="I43" s="2">
        <v>4.0999999999999996</v>
      </c>
      <c r="J43" s="2">
        <f t="shared" si="1"/>
        <v>186</v>
      </c>
      <c r="K43" s="27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  <c r="P43">
        <f t="shared" si="6"/>
        <v>7.5121951219512191</v>
      </c>
    </row>
    <row r="44" spans="2:16" x14ac:dyDescent="0.15">
      <c r="B44" s="2">
        <v>42</v>
      </c>
      <c r="C44" s="2">
        <f t="shared" si="8"/>
        <v>5</v>
      </c>
      <c r="D44" s="28">
        <f t="shared" si="7"/>
        <v>0.78200000000000003</v>
      </c>
      <c r="E44" s="25">
        <v>0.15</v>
      </c>
      <c r="F44" s="9">
        <v>42</v>
      </c>
      <c r="G44" s="2">
        <f t="shared" si="0"/>
        <v>315</v>
      </c>
      <c r="H44" s="25">
        <v>0.6</v>
      </c>
      <c r="I44" s="2">
        <v>4.2</v>
      </c>
      <c r="J44" s="2">
        <f t="shared" si="1"/>
        <v>194</v>
      </c>
      <c r="K44" s="27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  <c r="P44">
        <f t="shared" si="6"/>
        <v>7.5</v>
      </c>
    </row>
    <row r="45" spans="2:16" x14ac:dyDescent="0.15">
      <c r="B45" s="2">
        <v>43</v>
      </c>
      <c r="C45" s="2">
        <f t="shared" si="8"/>
        <v>5</v>
      </c>
      <c r="D45" s="28">
        <f t="shared" si="7"/>
        <v>0.78400000000000003</v>
      </c>
      <c r="E45" s="25">
        <v>0.15</v>
      </c>
      <c r="F45" s="26">
        <v>43</v>
      </c>
      <c r="G45" s="2">
        <f t="shared" si="0"/>
        <v>323</v>
      </c>
      <c r="H45" s="25">
        <v>0.6</v>
      </c>
      <c r="I45" s="2">
        <v>4.3</v>
      </c>
      <c r="J45" s="2">
        <f t="shared" si="1"/>
        <v>203</v>
      </c>
      <c r="K45" s="27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  <c r="P45">
        <f t="shared" si="6"/>
        <v>7.5116279069767442</v>
      </c>
    </row>
    <row r="46" spans="2:16" x14ac:dyDescent="0.15">
      <c r="B46" s="2">
        <v>44</v>
      </c>
      <c r="C46" s="2">
        <f t="shared" si="8"/>
        <v>5</v>
      </c>
      <c r="D46" s="28">
        <f t="shared" si="7"/>
        <v>0.78600000000000003</v>
      </c>
      <c r="E46" s="25">
        <v>0.15</v>
      </c>
      <c r="F46" s="9">
        <v>44</v>
      </c>
      <c r="G46" s="2">
        <f t="shared" si="0"/>
        <v>330</v>
      </c>
      <c r="H46" s="25">
        <v>0.6</v>
      </c>
      <c r="I46" s="2">
        <v>4.4000000000000004</v>
      </c>
      <c r="J46" s="2">
        <f t="shared" si="1"/>
        <v>212</v>
      </c>
      <c r="K46" s="27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  <c r="P46">
        <f t="shared" si="6"/>
        <v>7.5</v>
      </c>
    </row>
    <row r="47" spans="2:16" x14ac:dyDescent="0.15">
      <c r="B47" s="2">
        <v>45</v>
      </c>
      <c r="C47" s="2">
        <f t="shared" si="8"/>
        <v>5</v>
      </c>
      <c r="D47" s="28">
        <f t="shared" si="7"/>
        <v>0.78800000000000003</v>
      </c>
      <c r="E47" s="25">
        <v>0.15</v>
      </c>
      <c r="F47" s="26">
        <v>45</v>
      </c>
      <c r="G47" s="2">
        <f t="shared" si="0"/>
        <v>338</v>
      </c>
      <c r="H47" s="25">
        <v>0.6</v>
      </c>
      <c r="I47" s="2">
        <v>4.5</v>
      </c>
      <c r="J47" s="2">
        <f t="shared" si="1"/>
        <v>222</v>
      </c>
      <c r="K47" s="27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  <c r="P47">
        <f t="shared" si="6"/>
        <v>7.5111111111111111</v>
      </c>
    </row>
    <row r="48" spans="2:16" x14ac:dyDescent="0.15">
      <c r="B48" s="2">
        <v>46</v>
      </c>
      <c r="C48" s="2">
        <f t="shared" si="8"/>
        <v>5</v>
      </c>
      <c r="D48" s="28">
        <f t="shared" si="7"/>
        <v>0.79</v>
      </c>
      <c r="E48" s="25">
        <v>0.15</v>
      </c>
      <c r="F48" s="9">
        <v>46</v>
      </c>
      <c r="G48" s="2">
        <f t="shared" si="0"/>
        <v>345</v>
      </c>
      <c r="H48" s="25">
        <v>0.6</v>
      </c>
      <c r="I48" s="2">
        <v>4.5999999999999996</v>
      </c>
      <c r="J48" s="2">
        <f t="shared" si="1"/>
        <v>231</v>
      </c>
      <c r="K48" s="27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  <c r="P48">
        <f t="shared" si="6"/>
        <v>7.5</v>
      </c>
    </row>
    <row r="49" spans="2:16" x14ac:dyDescent="0.15">
      <c r="B49" s="2">
        <v>47</v>
      </c>
      <c r="C49" s="2">
        <f t="shared" si="8"/>
        <v>5</v>
      </c>
      <c r="D49" s="28">
        <f t="shared" si="7"/>
        <v>0.79200000000000004</v>
      </c>
      <c r="E49" s="25">
        <v>0.15</v>
      </c>
      <c r="F49" s="26">
        <v>47</v>
      </c>
      <c r="G49" s="2">
        <f t="shared" si="0"/>
        <v>353</v>
      </c>
      <c r="H49" s="25">
        <v>0.6</v>
      </c>
      <c r="I49" s="2">
        <v>4.7</v>
      </c>
      <c r="J49" s="2">
        <f t="shared" si="1"/>
        <v>241</v>
      </c>
      <c r="K49" s="27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  <c r="P49">
        <f t="shared" si="6"/>
        <v>7.5106382978723403</v>
      </c>
    </row>
    <row r="50" spans="2:16" x14ac:dyDescent="0.15">
      <c r="B50" s="2">
        <v>48</v>
      </c>
      <c r="C50" s="2">
        <f t="shared" si="8"/>
        <v>5</v>
      </c>
      <c r="D50" s="28">
        <f t="shared" si="7"/>
        <v>0.79400000000000004</v>
      </c>
      <c r="E50" s="25">
        <v>0.15</v>
      </c>
      <c r="F50" s="9">
        <v>48</v>
      </c>
      <c r="G50" s="2">
        <f t="shared" si="0"/>
        <v>360</v>
      </c>
      <c r="H50" s="25">
        <v>0.6</v>
      </c>
      <c r="I50" s="2">
        <v>4.8</v>
      </c>
      <c r="J50" s="2">
        <f t="shared" si="1"/>
        <v>251</v>
      </c>
      <c r="K50" s="27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  <c r="P50">
        <f t="shared" si="6"/>
        <v>7.5</v>
      </c>
    </row>
    <row r="51" spans="2:16" x14ac:dyDescent="0.15">
      <c r="B51" s="2">
        <v>49</v>
      </c>
      <c r="C51" s="2">
        <f t="shared" si="8"/>
        <v>5</v>
      </c>
      <c r="D51" s="28">
        <f t="shared" si="7"/>
        <v>0.79600000000000004</v>
      </c>
      <c r="E51" s="25">
        <v>0.15</v>
      </c>
      <c r="F51" s="26">
        <v>49</v>
      </c>
      <c r="G51" s="2">
        <f t="shared" si="0"/>
        <v>368</v>
      </c>
      <c r="H51" s="25">
        <v>0.6</v>
      </c>
      <c r="I51" s="2">
        <v>4.9000000000000004</v>
      </c>
      <c r="J51" s="2">
        <f t="shared" si="1"/>
        <v>262</v>
      </c>
      <c r="K51" s="27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  <c r="P51">
        <f t="shared" si="6"/>
        <v>7.5102040816326534</v>
      </c>
    </row>
    <row r="52" spans="2:16" x14ac:dyDescent="0.15">
      <c r="B52" s="2">
        <v>50</v>
      </c>
      <c r="C52" s="2">
        <f t="shared" si="8"/>
        <v>5</v>
      </c>
      <c r="D52" s="28">
        <f t="shared" si="7"/>
        <v>0.79800000000000004</v>
      </c>
      <c r="E52" s="25">
        <v>0.15</v>
      </c>
      <c r="F52" s="9">
        <v>50</v>
      </c>
      <c r="G52" s="2">
        <f t="shared" si="0"/>
        <v>375</v>
      </c>
      <c r="H52" s="25">
        <v>0.6</v>
      </c>
      <c r="I52" s="2">
        <v>5</v>
      </c>
      <c r="J52" s="2">
        <f t="shared" si="1"/>
        <v>273</v>
      </c>
      <c r="K52" s="27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  <c r="P52">
        <f t="shared" si="6"/>
        <v>7.5</v>
      </c>
    </row>
    <row r="53" spans="2:16" x14ac:dyDescent="0.15">
      <c r="B53" s="2">
        <v>51</v>
      </c>
      <c r="C53" s="2">
        <f t="shared" si="8"/>
        <v>6</v>
      </c>
      <c r="D53" s="28">
        <f t="shared" si="7"/>
        <v>0.8</v>
      </c>
      <c r="E53" s="25">
        <v>0.15</v>
      </c>
      <c r="F53" s="26">
        <v>51</v>
      </c>
      <c r="G53" s="2">
        <f t="shared" si="0"/>
        <v>383</v>
      </c>
      <c r="H53" s="25">
        <v>0.6</v>
      </c>
      <c r="I53" s="2">
        <v>5.0999999999999996</v>
      </c>
      <c r="J53" s="2">
        <f t="shared" si="1"/>
        <v>284</v>
      </c>
      <c r="K53" s="27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  <c r="P53">
        <f t="shared" si="6"/>
        <v>7.5098039215686274</v>
      </c>
    </row>
    <row r="54" spans="2:16" x14ac:dyDescent="0.15">
      <c r="B54" s="2">
        <v>52</v>
      </c>
      <c r="C54" s="2">
        <f t="shared" si="8"/>
        <v>6</v>
      </c>
      <c r="D54" s="28">
        <f t="shared" si="7"/>
        <v>0.80200000000000005</v>
      </c>
      <c r="E54" s="25">
        <v>0.15</v>
      </c>
      <c r="F54" s="9">
        <v>52</v>
      </c>
      <c r="G54" s="2">
        <f t="shared" si="0"/>
        <v>390</v>
      </c>
      <c r="H54" s="25">
        <v>0.6</v>
      </c>
      <c r="I54" s="2">
        <v>5.2</v>
      </c>
      <c r="J54" s="2">
        <f t="shared" si="1"/>
        <v>295</v>
      </c>
      <c r="K54" s="27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  <c r="P54">
        <f t="shared" si="6"/>
        <v>7.5</v>
      </c>
    </row>
    <row r="55" spans="2:16" x14ac:dyDescent="0.15">
      <c r="B55" s="2">
        <v>53</v>
      </c>
      <c r="C55" s="2">
        <f t="shared" si="8"/>
        <v>6</v>
      </c>
      <c r="D55" s="28">
        <f t="shared" si="7"/>
        <v>0.80400000000000005</v>
      </c>
      <c r="E55" s="25">
        <v>0.15</v>
      </c>
      <c r="F55" s="26">
        <v>53</v>
      </c>
      <c r="G55" s="2">
        <f t="shared" si="0"/>
        <v>398</v>
      </c>
      <c r="H55" s="25">
        <v>0.6</v>
      </c>
      <c r="I55" s="2">
        <v>5.3</v>
      </c>
      <c r="J55" s="2">
        <f t="shared" si="1"/>
        <v>307</v>
      </c>
      <c r="K55" s="27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  <c r="P55">
        <f t="shared" si="6"/>
        <v>7.5094339622641506</v>
      </c>
    </row>
    <row r="56" spans="2:16" x14ac:dyDescent="0.15">
      <c r="B56" s="2">
        <v>54</v>
      </c>
      <c r="C56" s="2">
        <f t="shared" si="8"/>
        <v>6</v>
      </c>
      <c r="D56" s="28">
        <f t="shared" si="7"/>
        <v>0.80600000000000005</v>
      </c>
      <c r="E56" s="25">
        <v>0.15</v>
      </c>
      <c r="F56" s="9">
        <v>54</v>
      </c>
      <c r="G56" s="2">
        <f t="shared" si="0"/>
        <v>405</v>
      </c>
      <c r="H56" s="25">
        <v>0.6</v>
      </c>
      <c r="I56" s="2">
        <v>5.4</v>
      </c>
      <c r="J56" s="2">
        <f t="shared" si="1"/>
        <v>320</v>
      </c>
      <c r="K56" s="27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  <c r="P56">
        <f t="shared" si="6"/>
        <v>7.5</v>
      </c>
    </row>
    <row r="57" spans="2:16" x14ac:dyDescent="0.15">
      <c r="B57" s="2">
        <v>55</v>
      </c>
      <c r="C57" s="2">
        <f t="shared" si="8"/>
        <v>6</v>
      </c>
      <c r="D57" s="28">
        <f t="shared" si="7"/>
        <v>0.80800000000000005</v>
      </c>
      <c r="E57" s="25">
        <v>0.15</v>
      </c>
      <c r="F57" s="26">
        <v>55</v>
      </c>
      <c r="G57" s="2">
        <f t="shared" si="0"/>
        <v>413</v>
      </c>
      <c r="H57" s="25">
        <v>0.6</v>
      </c>
      <c r="I57" s="2">
        <v>5.5</v>
      </c>
      <c r="J57" s="2">
        <f t="shared" si="1"/>
        <v>332</v>
      </c>
      <c r="K57" s="27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  <c r="P57">
        <f t="shared" si="6"/>
        <v>7.5090909090909088</v>
      </c>
    </row>
    <row r="58" spans="2:16" x14ac:dyDescent="0.15">
      <c r="B58" s="2">
        <v>56</v>
      </c>
      <c r="C58" s="2">
        <f t="shared" si="8"/>
        <v>6</v>
      </c>
      <c r="D58" s="28">
        <f t="shared" si="7"/>
        <v>0.81</v>
      </c>
      <c r="E58" s="25">
        <v>0.15</v>
      </c>
      <c r="F58" s="9">
        <v>56</v>
      </c>
      <c r="G58" s="2">
        <f t="shared" si="0"/>
        <v>420</v>
      </c>
      <c r="H58" s="25">
        <v>0.6</v>
      </c>
      <c r="I58" s="2">
        <v>5.6</v>
      </c>
      <c r="J58" s="2">
        <f t="shared" si="1"/>
        <v>345</v>
      </c>
      <c r="K58" s="27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  <c r="P58">
        <f t="shared" si="6"/>
        <v>7.5</v>
      </c>
    </row>
    <row r="59" spans="2:16" x14ac:dyDescent="0.15">
      <c r="B59" s="2">
        <v>57</v>
      </c>
      <c r="C59" s="2">
        <f t="shared" si="8"/>
        <v>6</v>
      </c>
      <c r="D59" s="28">
        <f t="shared" si="7"/>
        <v>0.81200000000000006</v>
      </c>
      <c r="E59" s="25">
        <v>0.15</v>
      </c>
      <c r="F59" s="26">
        <v>57</v>
      </c>
      <c r="G59" s="2">
        <f t="shared" si="0"/>
        <v>428</v>
      </c>
      <c r="H59" s="25">
        <v>0.6</v>
      </c>
      <c r="I59" s="2">
        <v>5.7</v>
      </c>
      <c r="J59" s="2">
        <f t="shared" si="1"/>
        <v>359</v>
      </c>
      <c r="K59" s="27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  <c r="P59">
        <f t="shared" si="6"/>
        <v>7.5087719298245617</v>
      </c>
    </row>
    <row r="60" spans="2:16" x14ac:dyDescent="0.15">
      <c r="B60" s="2">
        <v>58</v>
      </c>
      <c r="C60" s="2">
        <f t="shared" si="8"/>
        <v>6</v>
      </c>
      <c r="D60" s="28">
        <f t="shared" si="7"/>
        <v>0.81400000000000006</v>
      </c>
      <c r="E60" s="25">
        <v>0.15</v>
      </c>
      <c r="F60" s="9">
        <v>58</v>
      </c>
      <c r="G60" s="2">
        <f t="shared" si="0"/>
        <v>435</v>
      </c>
      <c r="H60" s="25">
        <v>0.6</v>
      </c>
      <c r="I60" s="2">
        <v>5.8</v>
      </c>
      <c r="J60" s="2">
        <f t="shared" si="1"/>
        <v>372</v>
      </c>
      <c r="K60" s="27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  <c r="P60">
        <f t="shared" si="6"/>
        <v>7.5</v>
      </c>
    </row>
    <row r="61" spans="2:16" x14ac:dyDescent="0.15">
      <c r="B61" s="2">
        <v>59</v>
      </c>
      <c r="C61" s="2">
        <f t="shared" si="8"/>
        <v>6</v>
      </c>
      <c r="D61" s="28">
        <f t="shared" si="7"/>
        <v>0.81600000000000006</v>
      </c>
      <c r="E61" s="25">
        <v>0.15</v>
      </c>
      <c r="F61" s="26">
        <v>59</v>
      </c>
      <c r="G61" s="2">
        <f t="shared" si="0"/>
        <v>443</v>
      </c>
      <c r="H61" s="25">
        <v>0.6</v>
      </c>
      <c r="I61" s="2">
        <v>5.9</v>
      </c>
      <c r="J61" s="2">
        <f t="shared" si="1"/>
        <v>387</v>
      </c>
      <c r="K61" s="27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  <c r="P61">
        <f t="shared" si="6"/>
        <v>7.5084745762711869</v>
      </c>
    </row>
    <row r="62" spans="2:16" x14ac:dyDescent="0.15">
      <c r="B62" s="2">
        <v>60</v>
      </c>
      <c r="C62" s="2">
        <f t="shared" si="8"/>
        <v>6</v>
      </c>
      <c r="D62" s="28">
        <f t="shared" si="7"/>
        <v>0.81800000000000006</v>
      </c>
      <c r="E62" s="25">
        <v>0.15</v>
      </c>
      <c r="F62" s="9">
        <v>60</v>
      </c>
      <c r="G62" s="2">
        <f t="shared" si="0"/>
        <v>450</v>
      </c>
      <c r="H62" s="25">
        <v>0.6</v>
      </c>
      <c r="I62" s="2">
        <v>6</v>
      </c>
      <c r="J62" s="2">
        <f t="shared" si="1"/>
        <v>401</v>
      </c>
      <c r="K62" s="27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  <c r="P62">
        <f t="shared" si="6"/>
        <v>7.5</v>
      </c>
    </row>
    <row r="63" spans="2:16" x14ac:dyDescent="0.15">
      <c r="B63" s="2">
        <v>61</v>
      </c>
      <c r="C63" s="2">
        <f t="shared" si="8"/>
        <v>7</v>
      </c>
      <c r="D63" s="28">
        <f t="shared" si="7"/>
        <v>0.82000000000000006</v>
      </c>
      <c r="E63" s="25">
        <v>0.15</v>
      </c>
      <c r="F63" s="26">
        <v>61</v>
      </c>
      <c r="G63" s="2">
        <f t="shared" si="0"/>
        <v>458</v>
      </c>
      <c r="H63" s="25">
        <v>0.6</v>
      </c>
      <c r="I63" s="2">
        <v>6.1</v>
      </c>
      <c r="J63" s="2">
        <f t="shared" si="1"/>
        <v>416</v>
      </c>
      <c r="K63" s="27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  <c r="P63">
        <f t="shared" si="6"/>
        <v>7.5081967213114753</v>
      </c>
    </row>
    <row r="64" spans="2:16" x14ac:dyDescent="0.15">
      <c r="B64" s="2">
        <v>62</v>
      </c>
      <c r="C64" s="2">
        <f t="shared" si="8"/>
        <v>7</v>
      </c>
      <c r="D64" s="28">
        <f t="shared" si="7"/>
        <v>0.82200000000000006</v>
      </c>
      <c r="E64" s="25">
        <v>0.15</v>
      </c>
      <c r="F64" s="9">
        <v>62</v>
      </c>
      <c r="G64" s="2">
        <f t="shared" si="0"/>
        <v>465</v>
      </c>
      <c r="H64" s="25">
        <v>0.6</v>
      </c>
      <c r="I64" s="2">
        <v>6.2</v>
      </c>
      <c r="J64" s="2">
        <f t="shared" si="1"/>
        <v>432</v>
      </c>
      <c r="K64" s="27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  <c r="P64">
        <f t="shared" si="6"/>
        <v>7.5</v>
      </c>
    </row>
    <row r="65" spans="2:16" x14ac:dyDescent="0.15">
      <c r="B65" s="2">
        <v>63</v>
      </c>
      <c r="C65" s="2">
        <f t="shared" si="8"/>
        <v>7</v>
      </c>
      <c r="D65" s="28">
        <f t="shared" si="7"/>
        <v>0.82400000000000007</v>
      </c>
      <c r="E65" s="25">
        <v>0.15</v>
      </c>
      <c r="F65" s="26">
        <v>63</v>
      </c>
      <c r="G65" s="2">
        <f t="shared" si="0"/>
        <v>473</v>
      </c>
      <c r="H65" s="25">
        <v>0.6</v>
      </c>
      <c r="I65" s="2">
        <v>6.3</v>
      </c>
      <c r="J65" s="2">
        <f t="shared" si="1"/>
        <v>448</v>
      </c>
      <c r="K65" s="27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  <c r="P65">
        <f t="shared" si="6"/>
        <v>7.5079365079365079</v>
      </c>
    </row>
    <row r="66" spans="2:16" x14ac:dyDescent="0.15">
      <c r="B66" s="2">
        <v>64</v>
      </c>
      <c r="C66" s="2">
        <f t="shared" si="8"/>
        <v>7</v>
      </c>
      <c r="D66" s="28">
        <f t="shared" si="7"/>
        <v>0.82600000000000007</v>
      </c>
      <c r="E66" s="25">
        <v>0.15</v>
      </c>
      <c r="F66" s="9">
        <v>64</v>
      </c>
      <c r="G66" s="2">
        <f t="shared" si="0"/>
        <v>480</v>
      </c>
      <c r="H66" s="25">
        <v>0.6</v>
      </c>
      <c r="I66" s="2">
        <v>6.4</v>
      </c>
      <c r="J66" s="2">
        <f t="shared" si="1"/>
        <v>465</v>
      </c>
      <c r="K66" s="27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  <c r="P66">
        <f t="shared" si="6"/>
        <v>7.5</v>
      </c>
    </row>
    <row r="67" spans="2:16" x14ac:dyDescent="0.15">
      <c r="B67" s="2">
        <v>65</v>
      </c>
      <c r="C67" s="2">
        <f t="shared" si="8"/>
        <v>7</v>
      </c>
      <c r="D67" s="28">
        <f t="shared" si="7"/>
        <v>0.82800000000000007</v>
      </c>
      <c r="E67" s="25">
        <v>0.15</v>
      </c>
      <c r="F67" s="26">
        <v>65</v>
      </c>
      <c r="G67" s="2">
        <f t="shared" si="0"/>
        <v>488</v>
      </c>
      <c r="H67" s="25">
        <v>0.6</v>
      </c>
      <c r="I67" s="2">
        <v>6.5</v>
      </c>
      <c r="J67" s="2">
        <f t="shared" si="1"/>
        <v>482</v>
      </c>
      <c r="K67" s="27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  <c r="P67">
        <f t="shared" si="6"/>
        <v>7.5076923076923077</v>
      </c>
    </row>
    <row r="68" spans="2:16" x14ac:dyDescent="0.15">
      <c r="B68" s="2">
        <v>66</v>
      </c>
      <c r="C68" s="2">
        <f t="shared" si="8"/>
        <v>7</v>
      </c>
      <c r="D68" s="28">
        <f t="shared" si="7"/>
        <v>0.83000000000000007</v>
      </c>
      <c r="E68" s="25">
        <v>0.15</v>
      </c>
      <c r="F68" s="9">
        <v>66</v>
      </c>
      <c r="G68" s="2">
        <f t="shared" ref="G68:G101" si="9">ROUND((F68*H68-F68+$F$1*H68*B68)/(1-H68),0)</f>
        <v>495</v>
      </c>
      <c r="H68" s="25">
        <v>0.6</v>
      </c>
      <c r="I68" s="2">
        <v>6.6</v>
      </c>
      <c r="J68" s="2">
        <f t="shared" ref="J68:J101" si="10">ROUND((I68*K68-I68+$F$1*K68*B68)/(1-K68),0)</f>
        <v>499</v>
      </c>
      <c r="K68" s="27">
        <f t="shared" ref="K68:K101" si="11">1-(1-D68)/(1-H68)</f>
        <v>0.57500000000000018</v>
      </c>
      <c r="L68" s="2"/>
      <c r="M68" s="2">
        <f t="shared" ref="M68:M101" si="12">G68*1.2</f>
        <v>594</v>
      </c>
      <c r="N68" s="2">
        <f t="shared" ref="N68:N101" si="13">M68/(M68+B68*$F$1)</f>
        <v>0.61363636363636365</v>
      </c>
      <c r="O68" s="2">
        <f t="shared" ref="O68:O101" si="14">1-(1-D68)/(1-N68)</f>
        <v>0.56000000000000016</v>
      </c>
      <c r="P68">
        <f t="shared" ref="P68:P101" si="15">G68/B68</f>
        <v>7.5</v>
      </c>
    </row>
    <row r="69" spans="2:16" x14ac:dyDescent="0.15">
      <c r="B69" s="2">
        <v>67</v>
      </c>
      <c r="C69" s="2">
        <f t="shared" si="8"/>
        <v>7</v>
      </c>
      <c r="D69" s="28">
        <f t="shared" ref="D69:D101" si="16">D68+0.002</f>
        <v>0.83200000000000007</v>
      </c>
      <c r="E69" s="25">
        <v>0.15</v>
      </c>
      <c r="F69" s="26">
        <v>67</v>
      </c>
      <c r="G69" s="2">
        <f t="shared" si="9"/>
        <v>503</v>
      </c>
      <c r="H69" s="25">
        <v>0.6</v>
      </c>
      <c r="I69" s="2">
        <v>6.7</v>
      </c>
      <c r="J69" s="2">
        <f t="shared" si="10"/>
        <v>518</v>
      </c>
      <c r="K69" s="27">
        <f t="shared" si="11"/>
        <v>0.58000000000000018</v>
      </c>
      <c r="L69" s="2"/>
      <c r="M69" s="2">
        <f t="shared" si="12"/>
        <v>603.6</v>
      </c>
      <c r="N69" s="2">
        <f t="shared" si="13"/>
        <v>0.61387212692385928</v>
      </c>
      <c r="O69" s="2">
        <f t="shared" si="14"/>
        <v>0.56491097453906947</v>
      </c>
      <c r="P69">
        <f t="shared" si="15"/>
        <v>7.5074626865671643</v>
      </c>
    </row>
    <row r="70" spans="2:16" x14ac:dyDescent="0.15">
      <c r="B70" s="2">
        <v>68</v>
      </c>
      <c r="C70" s="2">
        <f t="shared" si="8"/>
        <v>7</v>
      </c>
      <c r="D70" s="28">
        <f t="shared" si="16"/>
        <v>0.83400000000000007</v>
      </c>
      <c r="E70" s="25">
        <v>0.15</v>
      </c>
      <c r="F70" s="9">
        <v>68</v>
      </c>
      <c r="G70" s="2">
        <f t="shared" si="9"/>
        <v>510</v>
      </c>
      <c r="H70" s="25">
        <v>0.6</v>
      </c>
      <c r="I70" s="2">
        <v>6.8</v>
      </c>
      <c r="J70" s="2">
        <f t="shared" si="10"/>
        <v>536</v>
      </c>
      <c r="K70" s="27">
        <f t="shared" si="11"/>
        <v>0.58500000000000019</v>
      </c>
      <c r="L70" s="2"/>
      <c r="M70" s="2">
        <f t="shared" si="12"/>
        <v>612</v>
      </c>
      <c r="N70" s="2">
        <f t="shared" si="13"/>
        <v>0.61363636363636365</v>
      </c>
      <c r="O70" s="2">
        <f t="shared" si="14"/>
        <v>0.57035294117647073</v>
      </c>
      <c r="P70">
        <f t="shared" si="15"/>
        <v>7.5</v>
      </c>
    </row>
    <row r="71" spans="2:16" x14ac:dyDescent="0.15">
      <c r="B71" s="2">
        <v>69</v>
      </c>
      <c r="C71" s="2">
        <f t="shared" si="8"/>
        <v>7</v>
      </c>
      <c r="D71" s="28">
        <f t="shared" si="16"/>
        <v>0.83600000000000008</v>
      </c>
      <c r="E71" s="25">
        <v>0.15</v>
      </c>
      <c r="F71" s="26">
        <v>69</v>
      </c>
      <c r="G71" s="2">
        <f t="shared" si="9"/>
        <v>518</v>
      </c>
      <c r="H71" s="25">
        <v>0.6</v>
      </c>
      <c r="I71" s="2">
        <v>6.9</v>
      </c>
      <c r="J71" s="2">
        <f t="shared" si="10"/>
        <v>556</v>
      </c>
      <c r="K71" s="27">
        <f t="shared" si="11"/>
        <v>0.59000000000000019</v>
      </c>
      <c r="L71" s="2"/>
      <c r="M71" s="2">
        <f t="shared" si="12"/>
        <v>621.6</v>
      </c>
      <c r="N71" s="2">
        <f t="shared" si="13"/>
        <v>0.61386529725459216</v>
      </c>
      <c r="O71" s="2">
        <f t="shared" si="14"/>
        <v>0.57527774936061404</v>
      </c>
      <c r="P71">
        <f t="shared" si="15"/>
        <v>7.5072463768115938</v>
      </c>
    </row>
    <row r="72" spans="2:16" x14ac:dyDescent="0.15">
      <c r="B72" s="2">
        <v>70</v>
      </c>
      <c r="C72" s="2">
        <f t="shared" si="8"/>
        <v>7</v>
      </c>
      <c r="D72" s="28">
        <f t="shared" si="16"/>
        <v>0.83800000000000008</v>
      </c>
      <c r="E72" s="25">
        <v>0.15</v>
      </c>
      <c r="F72" s="9">
        <v>70</v>
      </c>
      <c r="G72" s="2">
        <f t="shared" si="9"/>
        <v>525</v>
      </c>
      <c r="H72" s="25">
        <v>0.6</v>
      </c>
      <c r="I72" s="2">
        <v>7</v>
      </c>
      <c r="J72" s="2">
        <f t="shared" si="10"/>
        <v>576</v>
      </c>
      <c r="K72" s="27">
        <f t="shared" si="11"/>
        <v>0.5950000000000002</v>
      </c>
      <c r="L72" s="2"/>
      <c r="M72" s="2">
        <f t="shared" si="12"/>
        <v>630</v>
      </c>
      <c r="N72" s="2">
        <f t="shared" si="13"/>
        <v>0.61363636363636365</v>
      </c>
      <c r="O72" s="2">
        <f t="shared" si="14"/>
        <v>0.5807058823529414</v>
      </c>
      <c r="P72">
        <f t="shared" si="15"/>
        <v>7.5</v>
      </c>
    </row>
    <row r="73" spans="2:16" x14ac:dyDescent="0.15">
      <c r="B73" s="2">
        <v>71</v>
      </c>
      <c r="C73" s="2">
        <f t="shared" si="8"/>
        <v>8</v>
      </c>
      <c r="D73" s="28">
        <f t="shared" si="16"/>
        <v>0.84000000000000008</v>
      </c>
      <c r="E73" s="25">
        <v>0.15</v>
      </c>
      <c r="F73" s="26">
        <v>71</v>
      </c>
      <c r="G73" s="2">
        <f t="shared" si="9"/>
        <v>533</v>
      </c>
      <c r="H73" s="25">
        <v>0.6</v>
      </c>
      <c r="I73" s="2">
        <v>7.1</v>
      </c>
      <c r="J73" s="2">
        <f t="shared" si="10"/>
        <v>596</v>
      </c>
      <c r="K73" s="27">
        <f t="shared" si="11"/>
        <v>0.6000000000000002</v>
      </c>
      <c r="L73" s="2"/>
      <c r="M73" s="2">
        <f t="shared" si="12"/>
        <v>639.6</v>
      </c>
      <c r="N73" s="2">
        <f t="shared" si="13"/>
        <v>0.61385885213385372</v>
      </c>
      <c r="O73" s="2">
        <f t="shared" si="14"/>
        <v>0.58564374482187265</v>
      </c>
      <c r="P73">
        <f t="shared" si="15"/>
        <v>7.507042253521127</v>
      </c>
    </row>
    <row r="74" spans="2:16" x14ac:dyDescent="0.15">
      <c r="B74" s="2">
        <v>72</v>
      </c>
      <c r="C74" s="2">
        <f t="shared" si="8"/>
        <v>8</v>
      </c>
      <c r="D74" s="28">
        <f t="shared" si="16"/>
        <v>0.84200000000000008</v>
      </c>
      <c r="E74" s="25">
        <v>0.15</v>
      </c>
      <c r="F74" s="9">
        <v>72</v>
      </c>
      <c r="G74" s="2">
        <f t="shared" si="9"/>
        <v>540</v>
      </c>
      <c r="H74" s="25">
        <v>0.6</v>
      </c>
      <c r="I74" s="2">
        <v>7.2</v>
      </c>
      <c r="J74" s="2">
        <f t="shared" si="10"/>
        <v>618</v>
      </c>
      <c r="K74" s="27">
        <f t="shared" si="11"/>
        <v>0.6050000000000002</v>
      </c>
      <c r="L74" s="2"/>
      <c r="M74" s="2">
        <f t="shared" si="12"/>
        <v>648</v>
      </c>
      <c r="N74" s="2">
        <f t="shared" si="13"/>
        <v>0.61363636363636365</v>
      </c>
      <c r="O74" s="2">
        <f t="shared" si="14"/>
        <v>0.59105882352941197</v>
      </c>
      <c r="P74">
        <f t="shared" si="15"/>
        <v>7.5</v>
      </c>
    </row>
    <row r="75" spans="2:16" x14ac:dyDescent="0.15">
      <c r="B75" s="2">
        <v>73</v>
      </c>
      <c r="C75" s="2">
        <f t="shared" si="8"/>
        <v>8</v>
      </c>
      <c r="D75" s="28">
        <f t="shared" si="16"/>
        <v>0.84400000000000008</v>
      </c>
      <c r="E75" s="25">
        <v>0.15</v>
      </c>
      <c r="F75" s="26">
        <v>73</v>
      </c>
      <c r="G75" s="2">
        <f t="shared" si="9"/>
        <v>548</v>
      </c>
      <c r="H75" s="25">
        <v>0.6</v>
      </c>
      <c r="I75" s="2">
        <v>7.3</v>
      </c>
      <c r="J75" s="2">
        <f t="shared" si="10"/>
        <v>640</v>
      </c>
      <c r="K75" s="27">
        <f t="shared" si="11"/>
        <v>0.61000000000000021</v>
      </c>
      <c r="L75" s="2"/>
      <c r="M75" s="2">
        <f t="shared" si="12"/>
        <v>657.6</v>
      </c>
      <c r="N75" s="2">
        <f t="shared" si="13"/>
        <v>0.61385275997261812</v>
      </c>
      <c r="O75" s="2">
        <f t="shared" si="14"/>
        <v>0.59600902497985508</v>
      </c>
      <c r="P75">
        <f t="shared" si="15"/>
        <v>7.506849315068493</v>
      </c>
    </row>
    <row r="76" spans="2:16" x14ac:dyDescent="0.15">
      <c r="B76" s="2">
        <v>74</v>
      </c>
      <c r="C76" s="2">
        <f t="shared" si="8"/>
        <v>8</v>
      </c>
      <c r="D76" s="28">
        <f t="shared" si="16"/>
        <v>0.84600000000000009</v>
      </c>
      <c r="E76" s="25">
        <v>0.15</v>
      </c>
      <c r="F76" s="9">
        <v>74</v>
      </c>
      <c r="G76" s="2">
        <f t="shared" si="9"/>
        <v>555</v>
      </c>
      <c r="H76" s="25">
        <v>0.6</v>
      </c>
      <c r="I76" s="2">
        <v>7.4</v>
      </c>
      <c r="J76" s="2">
        <f t="shared" si="10"/>
        <v>662</v>
      </c>
      <c r="K76" s="27">
        <f t="shared" si="11"/>
        <v>0.61500000000000021</v>
      </c>
      <c r="L76" s="2"/>
      <c r="M76" s="2">
        <f t="shared" si="12"/>
        <v>666</v>
      </c>
      <c r="N76" s="2">
        <f t="shared" si="13"/>
        <v>0.61363636363636354</v>
      </c>
      <c r="O76" s="2">
        <f t="shared" si="14"/>
        <v>0.60141176470588276</v>
      </c>
      <c r="P76">
        <f t="shared" si="15"/>
        <v>7.5</v>
      </c>
    </row>
    <row r="77" spans="2:16" x14ac:dyDescent="0.15">
      <c r="B77" s="2">
        <v>75</v>
      </c>
      <c r="C77" s="2">
        <f t="shared" si="8"/>
        <v>8</v>
      </c>
      <c r="D77" s="28">
        <f t="shared" si="16"/>
        <v>0.84800000000000009</v>
      </c>
      <c r="E77" s="25">
        <v>0.15</v>
      </c>
      <c r="F77" s="26">
        <v>75</v>
      </c>
      <c r="G77" s="2">
        <f t="shared" si="9"/>
        <v>563</v>
      </c>
      <c r="H77" s="25">
        <v>0.6</v>
      </c>
      <c r="I77" s="2">
        <v>7.5</v>
      </c>
      <c r="J77" s="2">
        <f t="shared" si="10"/>
        <v>686</v>
      </c>
      <c r="K77" s="27">
        <f t="shared" si="11"/>
        <v>0.62000000000000022</v>
      </c>
      <c r="L77" s="2"/>
      <c r="M77" s="2">
        <f t="shared" si="12"/>
        <v>675.6</v>
      </c>
      <c r="N77" s="2">
        <f t="shared" si="13"/>
        <v>0.61384699254951847</v>
      </c>
      <c r="O77" s="2">
        <f t="shared" si="14"/>
        <v>0.60637364705882368</v>
      </c>
      <c r="P77">
        <f t="shared" si="15"/>
        <v>7.5066666666666668</v>
      </c>
    </row>
    <row r="78" spans="2:16" x14ac:dyDescent="0.15">
      <c r="B78" s="2">
        <v>76</v>
      </c>
      <c r="C78" s="2">
        <f t="shared" ref="C78:C101" si="17">C68+1</f>
        <v>8</v>
      </c>
      <c r="D78" s="28">
        <f t="shared" si="16"/>
        <v>0.85000000000000009</v>
      </c>
      <c r="E78" s="25">
        <v>0.15</v>
      </c>
      <c r="F78" s="9">
        <v>76</v>
      </c>
      <c r="G78" s="2">
        <f t="shared" si="9"/>
        <v>570</v>
      </c>
      <c r="H78" s="25">
        <v>0.6</v>
      </c>
      <c r="I78" s="2">
        <v>7.6</v>
      </c>
      <c r="J78" s="2">
        <f t="shared" si="10"/>
        <v>710</v>
      </c>
      <c r="K78" s="27">
        <f t="shared" si="11"/>
        <v>0.62500000000000022</v>
      </c>
      <c r="L78" s="2"/>
      <c r="M78" s="2">
        <f t="shared" si="12"/>
        <v>684</v>
      </c>
      <c r="N78" s="2">
        <f t="shared" si="13"/>
        <v>0.61363636363636365</v>
      </c>
      <c r="O78" s="2">
        <f t="shared" si="14"/>
        <v>0.61176470588235321</v>
      </c>
      <c r="P78">
        <f t="shared" si="15"/>
        <v>7.5</v>
      </c>
    </row>
    <row r="79" spans="2:16" x14ac:dyDescent="0.15">
      <c r="B79" s="2">
        <v>77</v>
      </c>
      <c r="C79" s="2">
        <f t="shared" si="17"/>
        <v>8</v>
      </c>
      <c r="D79" s="28">
        <f t="shared" si="16"/>
        <v>0.85200000000000009</v>
      </c>
      <c r="E79" s="25">
        <v>0.15</v>
      </c>
      <c r="F79" s="26">
        <v>77</v>
      </c>
      <c r="G79" s="2">
        <f t="shared" si="9"/>
        <v>578</v>
      </c>
      <c r="H79" s="25">
        <v>0.6</v>
      </c>
      <c r="I79" s="2">
        <v>7.7</v>
      </c>
      <c r="J79" s="2">
        <f t="shared" si="10"/>
        <v>735</v>
      </c>
      <c r="K79" s="27">
        <f t="shared" si="11"/>
        <v>0.63000000000000023</v>
      </c>
      <c r="L79" s="2"/>
      <c r="M79" s="2">
        <f t="shared" si="12"/>
        <v>693.6</v>
      </c>
      <c r="N79" s="2">
        <f t="shared" si="13"/>
        <v>0.6138415245737211</v>
      </c>
      <c r="O79" s="2">
        <f t="shared" si="14"/>
        <v>0.61673766233766258</v>
      </c>
      <c r="P79">
        <f t="shared" si="15"/>
        <v>7.5064935064935066</v>
      </c>
    </row>
    <row r="80" spans="2:16" x14ac:dyDescent="0.15">
      <c r="B80" s="2">
        <v>78</v>
      </c>
      <c r="C80" s="2">
        <f t="shared" si="17"/>
        <v>8</v>
      </c>
      <c r="D80" s="28">
        <f t="shared" si="16"/>
        <v>0.85400000000000009</v>
      </c>
      <c r="E80" s="25">
        <v>0.15</v>
      </c>
      <c r="F80" s="9">
        <v>78</v>
      </c>
      <c r="G80" s="2">
        <f t="shared" si="9"/>
        <v>585</v>
      </c>
      <c r="H80" s="25">
        <v>0.6</v>
      </c>
      <c r="I80" s="2">
        <v>7.8</v>
      </c>
      <c r="J80" s="2">
        <f t="shared" si="10"/>
        <v>761</v>
      </c>
      <c r="K80" s="27">
        <f t="shared" si="11"/>
        <v>0.63500000000000023</v>
      </c>
      <c r="L80" s="2"/>
      <c r="M80" s="2">
        <f t="shared" si="12"/>
        <v>702</v>
      </c>
      <c r="N80" s="2">
        <f t="shared" si="13"/>
        <v>0.61363636363636365</v>
      </c>
      <c r="O80" s="2">
        <f t="shared" si="14"/>
        <v>0.62211764705882378</v>
      </c>
      <c r="P80">
        <f t="shared" si="15"/>
        <v>7.5</v>
      </c>
    </row>
    <row r="81" spans="2:16" x14ac:dyDescent="0.15">
      <c r="B81" s="2">
        <v>79</v>
      </c>
      <c r="C81" s="2">
        <f t="shared" si="17"/>
        <v>8</v>
      </c>
      <c r="D81" s="28">
        <f t="shared" si="16"/>
        <v>0.85600000000000009</v>
      </c>
      <c r="E81" s="25">
        <v>0.15</v>
      </c>
      <c r="F81" s="26">
        <v>79</v>
      </c>
      <c r="G81" s="2">
        <f t="shared" si="9"/>
        <v>593</v>
      </c>
      <c r="H81" s="25">
        <v>0.6</v>
      </c>
      <c r="I81" s="2">
        <v>7.9</v>
      </c>
      <c r="J81" s="2">
        <f t="shared" si="10"/>
        <v>788</v>
      </c>
      <c r="K81" s="27">
        <f t="shared" si="11"/>
        <v>0.64000000000000024</v>
      </c>
      <c r="L81" s="2"/>
      <c r="M81" s="2">
        <f t="shared" si="12"/>
        <v>711.6</v>
      </c>
      <c r="N81" s="2">
        <f t="shared" si="13"/>
        <v>0.61383633331416421</v>
      </c>
      <c r="O81" s="2">
        <f t="shared" si="14"/>
        <v>0.6271011169024574</v>
      </c>
      <c r="P81">
        <f t="shared" si="15"/>
        <v>7.5063291139240507</v>
      </c>
    </row>
    <row r="82" spans="2:16" x14ac:dyDescent="0.15">
      <c r="B82" s="2">
        <v>80</v>
      </c>
      <c r="C82" s="2">
        <f t="shared" si="17"/>
        <v>8</v>
      </c>
      <c r="D82" s="28">
        <f t="shared" si="16"/>
        <v>0.8580000000000001</v>
      </c>
      <c r="E82" s="25">
        <v>0.15</v>
      </c>
      <c r="F82" s="9">
        <v>80</v>
      </c>
      <c r="G82" s="2">
        <f t="shared" si="9"/>
        <v>600</v>
      </c>
      <c r="H82" s="25">
        <v>0.6</v>
      </c>
      <c r="I82" s="2">
        <v>8</v>
      </c>
      <c r="J82" s="2">
        <f t="shared" si="10"/>
        <v>816</v>
      </c>
      <c r="K82" s="27">
        <f t="shared" si="11"/>
        <v>0.64500000000000024</v>
      </c>
      <c r="L82" s="2"/>
      <c r="M82" s="2">
        <f t="shared" si="12"/>
        <v>720</v>
      </c>
      <c r="N82" s="2">
        <f t="shared" si="13"/>
        <v>0.61363636363636354</v>
      </c>
      <c r="O82" s="2">
        <f t="shared" si="14"/>
        <v>0.63247058823529445</v>
      </c>
      <c r="P82">
        <f t="shared" si="15"/>
        <v>7.5</v>
      </c>
    </row>
    <row r="83" spans="2:16" x14ac:dyDescent="0.15">
      <c r="B83" s="2">
        <v>81</v>
      </c>
      <c r="C83" s="2">
        <f t="shared" si="17"/>
        <v>9</v>
      </c>
      <c r="D83" s="28">
        <f t="shared" si="16"/>
        <v>0.8600000000000001</v>
      </c>
      <c r="E83" s="25">
        <v>0.15</v>
      </c>
      <c r="F83" s="26">
        <v>81</v>
      </c>
      <c r="G83" s="2">
        <f t="shared" si="9"/>
        <v>608</v>
      </c>
      <c r="H83" s="25">
        <v>0.6</v>
      </c>
      <c r="I83" s="2">
        <v>8.1</v>
      </c>
      <c r="J83" s="2">
        <f t="shared" si="10"/>
        <v>844</v>
      </c>
      <c r="K83" s="27">
        <f t="shared" si="11"/>
        <v>0.65000000000000024</v>
      </c>
      <c r="L83" s="2"/>
      <c r="M83" s="2">
        <f t="shared" si="12"/>
        <v>729.6</v>
      </c>
      <c r="N83" s="2">
        <f t="shared" si="13"/>
        <v>0.61383139828369515</v>
      </c>
      <c r="O83" s="2">
        <f t="shared" si="14"/>
        <v>0.63746405228758185</v>
      </c>
      <c r="P83">
        <f t="shared" si="15"/>
        <v>7.5061728395061724</v>
      </c>
    </row>
    <row r="84" spans="2:16" x14ac:dyDescent="0.15">
      <c r="B84" s="2">
        <v>82</v>
      </c>
      <c r="C84" s="2">
        <f t="shared" si="17"/>
        <v>9</v>
      </c>
      <c r="D84" s="28">
        <f t="shared" si="16"/>
        <v>0.8620000000000001</v>
      </c>
      <c r="E84" s="25">
        <v>0.15</v>
      </c>
      <c r="F84" s="9">
        <v>82</v>
      </c>
      <c r="G84" s="2">
        <f t="shared" si="9"/>
        <v>615</v>
      </c>
      <c r="H84" s="25">
        <v>0.6</v>
      </c>
      <c r="I84" s="2">
        <v>8.1999999999999993</v>
      </c>
      <c r="J84" s="2">
        <f t="shared" si="10"/>
        <v>874</v>
      </c>
      <c r="K84" s="27">
        <f t="shared" si="11"/>
        <v>0.65500000000000025</v>
      </c>
      <c r="L84" s="2"/>
      <c r="M84" s="2">
        <f t="shared" si="12"/>
        <v>738</v>
      </c>
      <c r="N84" s="2">
        <f t="shared" si="13"/>
        <v>0.61363636363636365</v>
      </c>
      <c r="O84" s="2">
        <f t="shared" si="14"/>
        <v>0.64282352941176502</v>
      </c>
      <c r="P84">
        <f t="shared" si="15"/>
        <v>7.5</v>
      </c>
    </row>
    <row r="85" spans="2:16" x14ac:dyDescent="0.15">
      <c r="B85" s="2">
        <v>83</v>
      </c>
      <c r="C85" s="2">
        <f t="shared" si="17"/>
        <v>9</v>
      </c>
      <c r="D85" s="28">
        <f t="shared" si="16"/>
        <v>0.8640000000000001</v>
      </c>
      <c r="E85" s="25">
        <v>0.15</v>
      </c>
      <c r="F85" s="26">
        <v>83</v>
      </c>
      <c r="G85" s="2">
        <f t="shared" si="9"/>
        <v>623</v>
      </c>
      <c r="H85" s="25">
        <v>0.6</v>
      </c>
      <c r="I85" s="2">
        <v>8.3000000000000007</v>
      </c>
      <c r="J85" s="2">
        <f t="shared" si="10"/>
        <v>905</v>
      </c>
      <c r="K85" s="27">
        <f t="shared" si="11"/>
        <v>0.66000000000000025</v>
      </c>
      <c r="L85" s="2"/>
      <c r="M85" s="2">
        <f t="shared" si="12"/>
        <v>747.6</v>
      </c>
      <c r="N85" s="2">
        <f t="shared" si="13"/>
        <v>0.61382670096885428</v>
      </c>
      <c r="O85" s="2">
        <f t="shared" si="14"/>
        <v>0.64782650602409664</v>
      </c>
      <c r="P85">
        <f t="shared" si="15"/>
        <v>7.5060240963855422</v>
      </c>
    </row>
    <row r="86" spans="2:16" x14ac:dyDescent="0.15">
      <c r="B86" s="2">
        <v>84</v>
      </c>
      <c r="C86" s="2">
        <f t="shared" si="17"/>
        <v>9</v>
      </c>
      <c r="D86" s="28">
        <f t="shared" si="16"/>
        <v>0.8660000000000001</v>
      </c>
      <c r="E86" s="25">
        <v>0.15</v>
      </c>
      <c r="F86" s="9">
        <v>84</v>
      </c>
      <c r="G86" s="2">
        <f t="shared" si="9"/>
        <v>630</v>
      </c>
      <c r="H86" s="25">
        <v>0.6</v>
      </c>
      <c r="I86" s="2">
        <v>8.4</v>
      </c>
      <c r="J86" s="2">
        <f t="shared" si="10"/>
        <v>936</v>
      </c>
      <c r="K86" s="27">
        <f t="shared" si="11"/>
        <v>0.66500000000000026</v>
      </c>
      <c r="L86" s="2"/>
      <c r="M86" s="2">
        <f t="shared" si="12"/>
        <v>756</v>
      </c>
      <c r="N86" s="2">
        <f t="shared" si="13"/>
        <v>0.61363636363636365</v>
      </c>
      <c r="O86" s="2">
        <f t="shared" si="14"/>
        <v>0.65317647058823547</v>
      </c>
      <c r="P86">
        <f t="shared" si="15"/>
        <v>7.5</v>
      </c>
    </row>
    <row r="87" spans="2:16" x14ac:dyDescent="0.15">
      <c r="B87" s="2">
        <v>85</v>
      </c>
      <c r="C87" s="2">
        <f t="shared" si="17"/>
        <v>9</v>
      </c>
      <c r="D87" s="28">
        <f t="shared" si="16"/>
        <v>0.8680000000000001</v>
      </c>
      <c r="E87" s="25">
        <v>0.15</v>
      </c>
      <c r="F87" s="26">
        <v>85</v>
      </c>
      <c r="G87" s="2">
        <f t="shared" si="9"/>
        <v>638</v>
      </c>
      <c r="H87" s="25">
        <v>0.6</v>
      </c>
      <c r="I87" s="2">
        <v>8.5</v>
      </c>
      <c r="J87" s="2">
        <f t="shared" si="10"/>
        <v>969</v>
      </c>
      <c r="K87" s="27">
        <f t="shared" si="11"/>
        <v>0.67000000000000026</v>
      </c>
      <c r="L87" s="2"/>
      <c r="M87" s="2">
        <f t="shared" si="12"/>
        <v>765.6</v>
      </c>
      <c r="N87" s="2">
        <f t="shared" si="13"/>
        <v>0.61382222459778724</v>
      </c>
      <c r="O87" s="2">
        <f t="shared" si="14"/>
        <v>0.65818851211072693</v>
      </c>
      <c r="P87">
        <f t="shared" si="15"/>
        <v>7.5058823529411764</v>
      </c>
    </row>
    <row r="88" spans="2:16" x14ac:dyDescent="0.15">
      <c r="B88" s="2">
        <v>86</v>
      </c>
      <c r="C88" s="2">
        <f t="shared" si="17"/>
        <v>9</v>
      </c>
      <c r="D88" s="28">
        <f t="shared" si="16"/>
        <v>0.87000000000000011</v>
      </c>
      <c r="E88" s="25">
        <v>0.15</v>
      </c>
      <c r="F88" s="9">
        <v>86</v>
      </c>
      <c r="G88" s="2">
        <f t="shared" si="9"/>
        <v>645</v>
      </c>
      <c r="H88" s="25">
        <v>0.6</v>
      </c>
      <c r="I88" s="2">
        <v>8.6</v>
      </c>
      <c r="J88" s="2">
        <f t="shared" si="10"/>
        <v>1004</v>
      </c>
      <c r="K88" s="27">
        <f t="shared" si="11"/>
        <v>0.67500000000000027</v>
      </c>
      <c r="L88" s="2"/>
      <c r="M88" s="2">
        <f t="shared" si="12"/>
        <v>774</v>
      </c>
      <c r="N88" s="2">
        <f t="shared" si="13"/>
        <v>0.61363636363636354</v>
      </c>
      <c r="O88" s="2">
        <f t="shared" si="14"/>
        <v>0.66352941176470626</v>
      </c>
      <c r="P88">
        <f t="shared" si="15"/>
        <v>7.5</v>
      </c>
    </row>
    <row r="89" spans="2:16" x14ac:dyDescent="0.15">
      <c r="B89" s="2">
        <v>87</v>
      </c>
      <c r="C89" s="2">
        <f t="shared" si="17"/>
        <v>9</v>
      </c>
      <c r="D89" s="28">
        <f t="shared" si="16"/>
        <v>0.87200000000000011</v>
      </c>
      <c r="E89" s="25">
        <v>0.15</v>
      </c>
      <c r="F89" s="26">
        <v>87</v>
      </c>
      <c r="G89" s="2">
        <f t="shared" si="9"/>
        <v>653</v>
      </c>
      <c r="H89" s="25">
        <v>0.6</v>
      </c>
      <c r="I89" s="2">
        <v>8.6999999999999993</v>
      </c>
      <c r="J89" s="2">
        <f t="shared" si="10"/>
        <v>1039</v>
      </c>
      <c r="K89" s="27">
        <f t="shared" si="11"/>
        <v>0.68000000000000027</v>
      </c>
      <c r="L89" s="2"/>
      <c r="M89" s="2">
        <f t="shared" si="12"/>
        <v>783.6</v>
      </c>
      <c r="N89" s="2">
        <f t="shared" si="13"/>
        <v>0.61381795394015359</v>
      </c>
      <c r="O89" s="2">
        <f t="shared" si="14"/>
        <v>0.66855010141987847</v>
      </c>
      <c r="P89">
        <f t="shared" si="15"/>
        <v>7.5057471264367814</v>
      </c>
    </row>
    <row r="90" spans="2:16" x14ac:dyDescent="0.15">
      <c r="B90" s="2">
        <v>88</v>
      </c>
      <c r="C90" s="2">
        <f t="shared" si="17"/>
        <v>9</v>
      </c>
      <c r="D90" s="28">
        <f t="shared" si="16"/>
        <v>0.87400000000000011</v>
      </c>
      <c r="E90" s="25">
        <v>0.15</v>
      </c>
      <c r="F90" s="9">
        <v>88</v>
      </c>
      <c r="G90" s="2">
        <f t="shared" si="9"/>
        <v>660</v>
      </c>
      <c r="H90" s="25">
        <v>0.6</v>
      </c>
      <c r="I90" s="2">
        <v>8.8000000000000007</v>
      </c>
      <c r="J90" s="2">
        <f t="shared" si="10"/>
        <v>1076</v>
      </c>
      <c r="K90" s="27">
        <f t="shared" si="11"/>
        <v>0.68500000000000028</v>
      </c>
      <c r="L90" s="2"/>
      <c r="M90" s="2">
        <f t="shared" si="12"/>
        <v>792</v>
      </c>
      <c r="N90" s="2">
        <f t="shared" si="13"/>
        <v>0.61363636363636365</v>
      </c>
      <c r="O90" s="2">
        <f t="shared" si="14"/>
        <v>0.67388235294117682</v>
      </c>
      <c r="P90">
        <f t="shared" si="15"/>
        <v>7.5</v>
      </c>
    </row>
    <row r="91" spans="2:16" x14ac:dyDescent="0.15">
      <c r="B91" s="2">
        <v>89</v>
      </c>
      <c r="C91" s="2">
        <f t="shared" si="17"/>
        <v>9</v>
      </c>
      <c r="D91" s="28">
        <f t="shared" si="16"/>
        <v>0.87600000000000011</v>
      </c>
      <c r="E91" s="25">
        <v>0.15</v>
      </c>
      <c r="F91" s="26">
        <v>89</v>
      </c>
      <c r="G91" s="2">
        <f t="shared" si="9"/>
        <v>668</v>
      </c>
      <c r="H91" s="25">
        <v>0.6</v>
      </c>
      <c r="I91" s="2">
        <v>8.9</v>
      </c>
      <c r="J91" s="2">
        <f t="shared" si="10"/>
        <v>1114</v>
      </c>
      <c r="K91" s="27">
        <f t="shared" si="11"/>
        <v>0.69000000000000028</v>
      </c>
      <c r="L91" s="2"/>
      <c r="M91" s="2">
        <f t="shared" si="12"/>
        <v>801.6</v>
      </c>
      <c r="N91" s="2">
        <f t="shared" si="13"/>
        <v>0.61381387513400376</v>
      </c>
      <c r="O91" s="2">
        <f t="shared" si="14"/>
        <v>0.6789113020489097</v>
      </c>
      <c r="P91">
        <f t="shared" si="15"/>
        <v>7.5056179775280896</v>
      </c>
    </row>
    <row r="92" spans="2:16" x14ac:dyDescent="0.15">
      <c r="B92" s="2">
        <v>90</v>
      </c>
      <c r="C92" s="2">
        <f t="shared" si="17"/>
        <v>9</v>
      </c>
      <c r="D92" s="28">
        <f t="shared" si="16"/>
        <v>0.87800000000000011</v>
      </c>
      <c r="E92" s="25">
        <v>0.15</v>
      </c>
      <c r="F92" s="9">
        <v>90</v>
      </c>
      <c r="G92" s="2">
        <f t="shared" si="9"/>
        <v>675</v>
      </c>
      <c r="H92" s="25">
        <v>0.6</v>
      </c>
      <c r="I92" s="2">
        <v>9</v>
      </c>
      <c r="J92" s="2">
        <f t="shared" si="10"/>
        <v>1153</v>
      </c>
      <c r="K92" s="27">
        <f t="shared" si="11"/>
        <v>0.69500000000000028</v>
      </c>
      <c r="L92" s="2"/>
      <c r="M92" s="2">
        <f t="shared" si="12"/>
        <v>810</v>
      </c>
      <c r="N92" s="2">
        <f t="shared" si="13"/>
        <v>0.61363636363636365</v>
      </c>
      <c r="O92" s="2">
        <f t="shared" si="14"/>
        <v>0.68423529411764727</v>
      </c>
      <c r="P92">
        <f t="shared" si="15"/>
        <v>7.5</v>
      </c>
    </row>
    <row r="93" spans="2:16" x14ac:dyDescent="0.15">
      <c r="B93" s="2">
        <v>91</v>
      </c>
      <c r="C93" s="2">
        <f t="shared" si="17"/>
        <v>10</v>
      </c>
      <c r="D93" s="28">
        <f t="shared" si="16"/>
        <v>0.88000000000000012</v>
      </c>
      <c r="E93" s="25">
        <v>0.15</v>
      </c>
      <c r="F93" s="26">
        <v>91</v>
      </c>
      <c r="G93" s="2">
        <f t="shared" si="9"/>
        <v>683</v>
      </c>
      <c r="H93" s="25">
        <v>0.6</v>
      </c>
      <c r="I93" s="2">
        <v>9.1</v>
      </c>
      <c r="J93" s="2">
        <f t="shared" si="10"/>
        <v>1194</v>
      </c>
      <c r="K93" s="27">
        <f t="shared" si="11"/>
        <v>0.70000000000000029</v>
      </c>
      <c r="L93" s="2"/>
      <c r="M93" s="2">
        <f t="shared" si="12"/>
        <v>819.6</v>
      </c>
      <c r="N93" s="2">
        <f t="shared" si="13"/>
        <v>0.61380997553547345</v>
      </c>
      <c r="O93" s="2">
        <f t="shared" si="14"/>
        <v>0.68927213962508116</v>
      </c>
      <c r="P93">
        <f t="shared" si="15"/>
        <v>7.5054945054945055</v>
      </c>
    </row>
    <row r="94" spans="2:16" x14ac:dyDescent="0.15">
      <c r="B94" s="2">
        <v>92</v>
      </c>
      <c r="C94" s="2">
        <f t="shared" si="17"/>
        <v>10</v>
      </c>
      <c r="D94" s="28">
        <f t="shared" si="16"/>
        <v>0.88200000000000012</v>
      </c>
      <c r="E94" s="25">
        <v>0.15</v>
      </c>
      <c r="F94" s="9">
        <v>92</v>
      </c>
      <c r="G94" s="2">
        <f t="shared" si="9"/>
        <v>690</v>
      </c>
      <c r="H94" s="25">
        <v>0.6</v>
      </c>
      <c r="I94" s="2">
        <v>9.1999999999999993</v>
      </c>
      <c r="J94" s="2">
        <f t="shared" si="10"/>
        <v>1237</v>
      </c>
      <c r="K94" s="27">
        <f t="shared" si="11"/>
        <v>0.70500000000000029</v>
      </c>
      <c r="L94" s="2"/>
      <c r="M94" s="2">
        <f t="shared" si="12"/>
        <v>828</v>
      </c>
      <c r="N94" s="2">
        <f t="shared" si="13"/>
        <v>0.61363636363636354</v>
      </c>
      <c r="O94" s="2">
        <f t="shared" si="14"/>
        <v>0.69458823529411795</v>
      </c>
      <c r="P94">
        <f t="shared" si="15"/>
        <v>7.5</v>
      </c>
    </row>
    <row r="95" spans="2:16" x14ac:dyDescent="0.15">
      <c r="B95" s="2">
        <v>93</v>
      </c>
      <c r="C95" s="2">
        <f t="shared" si="17"/>
        <v>10</v>
      </c>
      <c r="D95" s="28">
        <f t="shared" si="16"/>
        <v>0.88400000000000012</v>
      </c>
      <c r="E95" s="25">
        <v>0.15</v>
      </c>
      <c r="F95" s="26">
        <v>93</v>
      </c>
      <c r="G95" s="2">
        <f t="shared" si="9"/>
        <v>698</v>
      </c>
      <c r="H95" s="25">
        <v>0.6</v>
      </c>
      <c r="I95" s="2">
        <v>9.3000000000000007</v>
      </c>
      <c r="J95" s="2">
        <f t="shared" si="10"/>
        <v>1281</v>
      </c>
      <c r="K95" s="27">
        <f t="shared" si="11"/>
        <v>0.7100000000000003</v>
      </c>
      <c r="L95" s="2"/>
      <c r="M95" s="2">
        <f t="shared" si="12"/>
        <v>837.6</v>
      </c>
      <c r="N95" s="2">
        <f t="shared" si="13"/>
        <v>0.61380624358786462</v>
      </c>
      <c r="O95" s="2">
        <f t="shared" si="14"/>
        <v>0.69963263757115779</v>
      </c>
      <c r="P95">
        <f t="shared" si="15"/>
        <v>7.5053763440860219</v>
      </c>
    </row>
    <row r="96" spans="2:16" x14ac:dyDescent="0.15">
      <c r="B96" s="2">
        <v>94</v>
      </c>
      <c r="C96" s="2">
        <f t="shared" si="17"/>
        <v>10</v>
      </c>
      <c r="D96" s="28">
        <f t="shared" si="16"/>
        <v>0.88600000000000012</v>
      </c>
      <c r="E96" s="25">
        <v>0.15</v>
      </c>
      <c r="F96" s="9">
        <v>94</v>
      </c>
      <c r="G96" s="2">
        <f t="shared" si="9"/>
        <v>705</v>
      </c>
      <c r="H96" s="25">
        <v>0.6</v>
      </c>
      <c r="I96" s="2">
        <v>9.4</v>
      </c>
      <c r="J96" s="2">
        <f t="shared" si="10"/>
        <v>1327</v>
      </c>
      <c r="K96" s="27">
        <f t="shared" si="11"/>
        <v>0.7150000000000003</v>
      </c>
      <c r="L96" s="2"/>
      <c r="M96" s="2">
        <f t="shared" si="12"/>
        <v>846</v>
      </c>
      <c r="N96" s="2">
        <f t="shared" si="13"/>
        <v>0.61363636363636365</v>
      </c>
      <c r="O96" s="2">
        <f t="shared" si="14"/>
        <v>0.70494117647058852</v>
      </c>
      <c r="P96">
        <f t="shared" si="15"/>
        <v>7.5</v>
      </c>
    </row>
    <row r="97" spans="2:16" x14ac:dyDescent="0.15">
      <c r="B97" s="2">
        <v>95</v>
      </c>
      <c r="C97" s="2">
        <f t="shared" si="17"/>
        <v>10</v>
      </c>
      <c r="D97" s="28">
        <f t="shared" si="16"/>
        <v>0.88800000000000012</v>
      </c>
      <c r="E97" s="25">
        <v>0.15</v>
      </c>
      <c r="F97" s="26">
        <v>95</v>
      </c>
      <c r="G97" s="2">
        <f t="shared" si="9"/>
        <v>713</v>
      </c>
      <c r="H97" s="25">
        <v>0.6</v>
      </c>
      <c r="I97" s="2">
        <v>9.5</v>
      </c>
      <c r="J97" s="2">
        <f t="shared" si="10"/>
        <v>1375</v>
      </c>
      <c r="K97" s="27">
        <f t="shared" si="11"/>
        <v>0.72000000000000031</v>
      </c>
      <c r="L97" s="2"/>
      <c r="M97" s="2">
        <f t="shared" si="12"/>
        <v>855.6</v>
      </c>
      <c r="N97" s="2">
        <f t="shared" si="13"/>
        <v>0.61380266870725519</v>
      </c>
      <c r="O97" s="2">
        <f t="shared" si="14"/>
        <v>0.70999281733746167</v>
      </c>
      <c r="P97">
        <f t="shared" si="15"/>
        <v>7.5052631578947366</v>
      </c>
    </row>
    <row r="98" spans="2:16" x14ac:dyDescent="0.15">
      <c r="B98" s="2">
        <v>96</v>
      </c>
      <c r="C98" s="2">
        <f t="shared" si="17"/>
        <v>10</v>
      </c>
      <c r="D98" s="28">
        <f t="shared" si="16"/>
        <v>0.89000000000000012</v>
      </c>
      <c r="E98" s="25">
        <v>0.15</v>
      </c>
      <c r="F98" s="9">
        <v>96</v>
      </c>
      <c r="G98" s="2">
        <f t="shared" si="9"/>
        <v>720</v>
      </c>
      <c r="H98" s="25">
        <v>0.6</v>
      </c>
      <c r="I98" s="2">
        <v>9.6</v>
      </c>
      <c r="J98" s="2">
        <f t="shared" si="10"/>
        <v>1425</v>
      </c>
      <c r="K98" s="27">
        <f t="shared" si="11"/>
        <v>0.72500000000000031</v>
      </c>
      <c r="L98" s="2"/>
      <c r="M98" s="2">
        <f t="shared" si="12"/>
        <v>864</v>
      </c>
      <c r="N98" s="2">
        <f t="shared" si="13"/>
        <v>0.61363636363636365</v>
      </c>
      <c r="O98" s="2">
        <f t="shared" si="14"/>
        <v>0.71529411764705908</v>
      </c>
      <c r="P98">
        <f t="shared" si="15"/>
        <v>7.5</v>
      </c>
    </row>
    <row r="99" spans="2:16" x14ac:dyDescent="0.15">
      <c r="B99" s="2">
        <v>97</v>
      </c>
      <c r="C99" s="2">
        <f t="shared" si="17"/>
        <v>10</v>
      </c>
      <c r="D99" s="28">
        <f t="shared" si="16"/>
        <v>0.89200000000000013</v>
      </c>
      <c r="E99" s="25">
        <v>0.15</v>
      </c>
      <c r="F99" s="26">
        <v>97</v>
      </c>
      <c r="G99" s="2">
        <f t="shared" si="9"/>
        <v>728</v>
      </c>
      <c r="H99" s="25">
        <v>0.6</v>
      </c>
      <c r="I99" s="2">
        <v>9.6999999999999993</v>
      </c>
      <c r="J99" s="2">
        <f t="shared" si="10"/>
        <v>1476</v>
      </c>
      <c r="K99" s="27">
        <f t="shared" si="11"/>
        <v>0.73000000000000032</v>
      </c>
      <c r="L99" s="2"/>
      <c r="M99" s="2">
        <f t="shared" si="12"/>
        <v>873.6</v>
      </c>
      <c r="N99" s="2">
        <f t="shared" si="13"/>
        <v>0.61379924118225671</v>
      </c>
      <c r="O99" s="2">
        <f t="shared" si="14"/>
        <v>0.72035269860521567</v>
      </c>
      <c r="P99">
        <f t="shared" si="15"/>
        <v>7.5051546391752577</v>
      </c>
    </row>
    <row r="100" spans="2:16" x14ac:dyDescent="0.15">
      <c r="B100" s="2">
        <v>98</v>
      </c>
      <c r="C100" s="2">
        <f t="shared" si="17"/>
        <v>10</v>
      </c>
      <c r="D100" s="28">
        <f t="shared" si="16"/>
        <v>0.89400000000000013</v>
      </c>
      <c r="E100" s="25">
        <v>0.15</v>
      </c>
      <c r="F100" s="9">
        <v>98</v>
      </c>
      <c r="G100" s="2">
        <f t="shared" si="9"/>
        <v>735</v>
      </c>
      <c r="H100" s="25">
        <v>0.6</v>
      </c>
      <c r="I100" s="2">
        <v>9.8000000000000007</v>
      </c>
      <c r="J100" s="2">
        <f t="shared" si="10"/>
        <v>1530</v>
      </c>
      <c r="K100" s="27">
        <f t="shared" si="11"/>
        <v>0.73500000000000032</v>
      </c>
      <c r="L100" s="2"/>
      <c r="M100" s="2">
        <f t="shared" si="12"/>
        <v>882</v>
      </c>
      <c r="N100" s="2">
        <f t="shared" si="13"/>
        <v>0.61363636363636354</v>
      </c>
      <c r="O100" s="2">
        <f t="shared" si="14"/>
        <v>0.72564705882352976</v>
      </c>
      <c r="P100">
        <f t="shared" si="15"/>
        <v>7.5</v>
      </c>
    </row>
    <row r="101" spans="2:16" x14ac:dyDescent="0.15">
      <c r="B101" s="2">
        <v>99</v>
      </c>
      <c r="C101" s="2">
        <f t="shared" si="17"/>
        <v>10</v>
      </c>
      <c r="D101" s="28">
        <f t="shared" si="16"/>
        <v>0.89600000000000013</v>
      </c>
      <c r="E101" s="25">
        <v>0.15</v>
      </c>
      <c r="F101" s="26">
        <v>99</v>
      </c>
      <c r="G101" s="2">
        <f t="shared" si="9"/>
        <v>743</v>
      </c>
      <c r="H101" s="25">
        <v>0.6</v>
      </c>
      <c r="I101" s="2">
        <v>9.9</v>
      </c>
      <c r="J101" s="2">
        <f t="shared" si="10"/>
        <v>1587</v>
      </c>
      <c r="K101" s="27">
        <f t="shared" si="11"/>
        <v>0.74000000000000032</v>
      </c>
      <c r="L101" s="2"/>
      <c r="M101" s="2">
        <f t="shared" si="12"/>
        <v>891.6</v>
      </c>
      <c r="N101" s="2">
        <f t="shared" si="13"/>
        <v>0.61379595208591498</v>
      </c>
      <c r="O101" s="2">
        <f t="shared" si="14"/>
        <v>0.73071229946524086</v>
      </c>
      <c r="P101">
        <f t="shared" si="15"/>
        <v>7.5050505050505052</v>
      </c>
    </row>
    <row r="102" spans="2:16" x14ac:dyDescent="0.15">
      <c r="H102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U101"/>
  <sheetViews>
    <sheetView topLeftCell="C1" workbookViewId="0">
      <selection activeCell="L10" sqref="L10"/>
    </sheetView>
  </sheetViews>
  <sheetFormatPr defaultRowHeight="13.5" x14ac:dyDescent="0.15"/>
  <sheetData>
    <row r="2" spans="2:21" x14ac:dyDescent="0.15">
      <c r="B2" s="23" t="s">
        <v>153</v>
      </c>
      <c r="C2" s="23" t="s">
        <v>154</v>
      </c>
      <c r="D2" s="24" t="s">
        <v>159</v>
      </c>
      <c r="E2" s="23" t="s">
        <v>155</v>
      </c>
      <c r="F2" s="23" t="s">
        <v>156</v>
      </c>
      <c r="G2" s="24" t="s">
        <v>160</v>
      </c>
      <c r="H2" s="23" t="s">
        <v>157</v>
      </c>
      <c r="I2" s="23" t="s">
        <v>158</v>
      </c>
      <c r="N2" s="30" t="s">
        <v>103</v>
      </c>
      <c r="O2" s="30" t="s">
        <v>104</v>
      </c>
      <c r="P2" s="30" t="s">
        <v>107</v>
      </c>
      <c r="Q2" s="30" t="s">
        <v>107</v>
      </c>
      <c r="R2" s="30" t="s">
        <v>108</v>
      </c>
      <c r="S2" s="30" t="s">
        <v>106</v>
      </c>
      <c r="T2" s="30" t="s">
        <v>105</v>
      </c>
      <c r="U2" s="31" t="s">
        <v>109</v>
      </c>
    </row>
    <row r="3" spans="2:21" x14ac:dyDescent="0.15">
      <c r="B3" s="33">
        <v>1</v>
      </c>
      <c r="C3" s="33">
        <v>1</v>
      </c>
      <c r="D3" s="34">
        <v>0.1</v>
      </c>
      <c r="E3" s="34">
        <f>F3-D3</f>
        <v>0.19999999999999998</v>
      </c>
      <c r="F3" s="34">
        <v>0.3</v>
      </c>
      <c r="G3" s="33">
        <v>1</v>
      </c>
      <c r="H3" s="33">
        <f>ROUND(E3/I3,0)</f>
        <v>2</v>
      </c>
      <c r="I3" s="33">
        <f>D3/G3</f>
        <v>0.1</v>
      </c>
      <c r="L3" s="11"/>
      <c r="M3" s="11"/>
      <c r="N3" s="9">
        <v>1</v>
      </c>
      <c r="O3" s="9">
        <v>1</v>
      </c>
      <c r="P3" s="25">
        <f>50%+Q3</f>
        <v>0.95</v>
      </c>
      <c r="Q3" s="25">
        <v>0.45</v>
      </c>
      <c r="R3" s="25">
        <f>S3/(S3+N3*5)+50%</f>
        <v>0.66666666666666663</v>
      </c>
      <c r="S3" s="9">
        <v>1</v>
      </c>
      <c r="T3" s="9">
        <f>ROUND((S3*Q3-S3+5*Q3*N3)/(1-Q3),0)</f>
        <v>3</v>
      </c>
      <c r="U3" s="27">
        <f>(S3+T3)/(S3+T3+N3*5)</f>
        <v>0.44444444444444442</v>
      </c>
    </row>
    <row r="4" spans="2:21" x14ac:dyDescent="0.15">
      <c r="B4" s="2">
        <v>2</v>
      </c>
      <c r="C4" s="2">
        <v>1</v>
      </c>
      <c r="D4" s="27">
        <f>D3-0.0005</f>
        <v>9.9500000000000005E-2</v>
      </c>
      <c r="E4" s="25">
        <f t="shared" ref="E4:E67" si="0">F4-D4</f>
        <v>0.20049999999999998</v>
      </c>
      <c r="F4" s="25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11"/>
      <c r="M4" s="11"/>
      <c r="N4" s="9">
        <v>2</v>
      </c>
      <c r="O4" s="9">
        <v>1</v>
      </c>
      <c r="P4" s="25">
        <f t="shared" ref="P4:P67" si="3">50%+Q4</f>
        <v>0.95</v>
      </c>
      <c r="Q4" s="25">
        <v>0.45</v>
      </c>
      <c r="R4" s="25">
        <f t="shared" ref="R4:R67" si="4">S4/(S4+N4*5)+50%</f>
        <v>0.66666666666666663</v>
      </c>
      <c r="S4" s="9">
        <f>S3+1</f>
        <v>2</v>
      </c>
      <c r="T4" s="9">
        <f t="shared" ref="T4:T67" si="5">ROUND((S4*Q4-S4+5*Q4*N4)/(1-Q4),0)</f>
        <v>6</v>
      </c>
      <c r="U4" s="27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27">
        <f t="shared" ref="D5:D68" si="7">D4-0.0005</f>
        <v>9.9000000000000005E-2</v>
      </c>
      <c r="E5" s="25">
        <f t="shared" si="0"/>
        <v>0.20099999999999998</v>
      </c>
      <c r="F5" s="25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11"/>
      <c r="M5" s="11"/>
      <c r="N5" s="9">
        <v>3</v>
      </c>
      <c r="O5" s="9">
        <v>1</v>
      </c>
      <c r="P5" s="25">
        <f t="shared" si="3"/>
        <v>0.95</v>
      </c>
      <c r="Q5" s="25">
        <v>0.45</v>
      </c>
      <c r="R5" s="25">
        <f t="shared" si="4"/>
        <v>0.66666666666666663</v>
      </c>
      <c r="S5" s="9">
        <f t="shared" ref="S5:S68" si="8">S4+1</f>
        <v>3</v>
      </c>
      <c r="T5" s="9">
        <f t="shared" si="5"/>
        <v>9</v>
      </c>
      <c r="U5" s="27">
        <f t="shared" si="6"/>
        <v>0.44444444444444442</v>
      </c>
    </row>
    <row r="6" spans="2:21" x14ac:dyDescent="0.15">
      <c r="B6" s="2">
        <v>4</v>
      </c>
      <c r="C6" s="2">
        <v>1</v>
      </c>
      <c r="D6" s="27">
        <f t="shared" si="7"/>
        <v>9.8500000000000004E-2</v>
      </c>
      <c r="E6" s="25">
        <f t="shared" si="0"/>
        <v>0.20149999999999998</v>
      </c>
      <c r="F6" s="25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11"/>
      <c r="M6" s="11"/>
      <c r="N6" s="9">
        <v>4</v>
      </c>
      <c r="O6" s="9">
        <v>1</v>
      </c>
      <c r="P6" s="25">
        <f t="shared" si="3"/>
        <v>0.95</v>
      </c>
      <c r="Q6" s="25">
        <v>0.45</v>
      </c>
      <c r="R6" s="25">
        <f t="shared" si="4"/>
        <v>0.66666666666666663</v>
      </c>
      <c r="S6" s="9">
        <f t="shared" si="8"/>
        <v>4</v>
      </c>
      <c r="T6" s="9">
        <f t="shared" si="5"/>
        <v>12</v>
      </c>
      <c r="U6" s="27">
        <f t="shared" si="6"/>
        <v>0.44444444444444442</v>
      </c>
    </row>
    <row r="7" spans="2:21" x14ac:dyDescent="0.15">
      <c r="B7" s="2">
        <v>5</v>
      </c>
      <c r="C7" s="2">
        <v>1</v>
      </c>
      <c r="D7" s="27">
        <f t="shared" si="7"/>
        <v>9.8000000000000004E-2</v>
      </c>
      <c r="E7" s="25">
        <f t="shared" si="0"/>
        <v>0.20199999999999999</v>
      </c>
      <c r="F7" s="25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11"/>
      <c r="M7" s="11"/>
      <c r="N7" s="9">
        <v>5</v>
      </c>
      <c r="O7" s="9">
        <v>1</v>
      </c>
      <c r="P7" s="25">
        <f t="shared" si="3"/>
        <v>0.95</v>
      </c>
      <c r="Q7" s="25">
        <v>0.45</v>
      </c>
      <c r="R7" s="25">
        <f t="shared" si="4"/>
        <v>0.66666666666666663</v>
      </c>
      <c r="S7" s="9">
        <f t="shared" si="8"/>
        <v>5</v>
      </c>
      <c r="T7" s="9">
        <f t="shared" si="5"/>
        <v>15</v>
      </c>
      <c r="U7" s="27">
        <f t="shared" si="6"/>
        <v>0.44444444444444442</v>
      </c>
    </row>
    <row r="8" spans="2:21" x14ac:dyDescent="0.15">
      <c r="B8" s="2">
        <v>6</v>
      </c>
      <c r="C8" s="2">
        <v>1</v>
      </c>
      <c r="D8" s="27">
        <f t="shared" si="7"/>
        <v>9.7500000000000003E-2</v>
      </c>
      <c r="E8" s="25">
        <f t="shared" si="0"/>
        <v>0.20249999999999999</v>
      </c>
      <c r="F8" s="25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11"/>
      <c r="M8" s="11"/>
      <c r="N8" s="9">
        <v>6</v>
      </c>
      <c r="O8" s="9">
        <v>1</v>
      </c>
      <c r="P8" s="25">
        <f t="shared" si="3"/>
        <v>0.95</v>
      </c>
      <c r="Q8" s="25">
        <v>0.45</v>
      </c>
      <c r="R8" s="25">
        <f t="shared" si="4"/>
        <v>0.66666666666666663</v>
      </c>
      <c r="S8" s="9">
        <f t="shared" si="8"/>
        <v>6</v>
      </c>
      <c r="T8" s="9">
        <f t="shared" si="5"/>
        <v>19</v>
      </c>
      <c r="U8" s="27">
        <f t="shared" si="6"/>
        <v>0.45454545454545453</v>
      </c>
    </row>
    <row r="9" spans="2:21" x14ac:dyDescent="0.15">
      <c r="B9" s="2">
        <v>7</v>
      </c>
      <c r="C9" s="2">
        <v>1</v>
      </c>
      <c r="D9" s="27">
        <f t="shared" si="7"/>
        <v>9.7000000000000003E-2</v>
      </c>
      <c r="E9" s="25">
        <f t="shared" si="0"/>
        <v>0.20299999999999999</v>
      </c>
      <c r="F9" s="25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11"/>
      <c r="M9" s="11"/>
      <c r="N9" s="9">
        <v>7</v>
      </c>
      <c r="O9" s="9">
        <v>1</v>
      </c>
      <c r="P9" s="25">
        <f t="shared" si="3"/>
        <v>0.95</v>
      </c>
      <c r="Q9" s="25">
        <v>0.45</v>
      </c>
      <c r="R9" s="25">
        <f t="shared" si="4"/>
        <v>0.66666666666666663</v>
      </c>
      <c r="S9" s="9">
        <f t="shared" si="8"/>
        <v>7</v>
      </c>
      <c r="T9" s="9">
        <f t="shared" si="5"/>
        <v>22</v>
      </c>
      <c r="U9" s="27">
        <f t="shared" si="6"/>
        <v>0.453125</v>
      </c>
    </row>
    <row r="10" spans="2:21" x14ac:dyDescent="0.15">
      <c r="B10" s="2">
        <v>8</v>
      </c>
      <c r="C10" s="2">
        <v>1</v>
      </c>
      <c r="D10" s="27">
        <f t="shared" si="7"/>
        <v>9.6500000000000002E-2</v>
      </c>
      <c r="E10" s="25">
        <f t="shared" si="0"/>
        <v>0.20349999999999999</v>
      </c>
      <c r="F10" s="25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11"/>
      <c r="M10" s="11"/>
      <c r="N10" s="9">
        <v>8</v>
      </c>
      <c r="O10" s="9">
        <v>1</v>
      </c>
      <c r="P10" s="25">
        <f t="shared" si="3"/>
        <v>0.95</v>
      </c>
      <c r="Q10" s="25">
        <v>0.45</v>
      </c>
      <c r="R10" s="25">
        <f t="shared" si="4"/>
        <v>0.66666666666666663</v>
      </c>
      <c r="S10" s="9">
        <f t="shared" si="8"/>
        <v>8</v>
      </c>
      <c r="T10" s="9">
        <f t="shared" si="5"/>
        <v>25</v>
      </c>
      <c r="U10" s="27">
        <f t="shared" si="6"/>
        <v>0.45205479452054792</v>
      </c>
    </row>
    <row r="11" spans="2:21" x14ac:dyDescent="0.15">
      <c r="B11" s="2">
        <v>9</v>
      </c>
      <c r="C11" s="2">
        <v>1</v>
      </c>
      <c r="D11" s="27">
        <f t="shared" si="7"/>
        <v>9.6000000000000002E-2</v>
      </c>
      <c r="E11" s="25">
        <f t="shared" si="0"/>
        <v>0.20399999999999999</v>
      </c>
      <c r="F11" s="25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11"/>
      <c r="M11" s="11"/>
      <c r="N11" s="9">
        <v>9</v>
      </c>
      <c r="O11" s="9">
        <v>1</v>
      </c>
      <c r="P11" s="25">
        <f t="shared" si="3"/>
        <v>0.95</v>
      </c>
      <c r="Q11" s="25">
        <v>0.45</v>
      </c>
      <c r="R11" s="25">
        <f t="shared" si="4"/>
        <v>0.66666666666666663</v>
      </c>
      <c r="S11" s="9">
        <f t="shared" si="8"/>
        <v>9</v>
      </c>
      <c r="T11" s="9">
        <f t="shared" si="5"/>
        <v>28</v>
      </c>
      <c r="U11" s="27">
        <f t="shared" si="6"/>
        <v>0.45121951219512196</v>
      </c>
    </row>
    <row r="12" spans="2:21" x14ac:dyDescent="0.15">
      <c r="B12" s="2">
        <v>10</v>
      </c>
      <c r="C12" s="2">
        <v>1</v>
      </c>
      <c r="D12" s="27">
        <f t="shared" si="7"/>
        <v>9.5500000000000002E-2</v>
      </c>
      <c r="E12" s="25">
        <f t="shared" si="0"/>
        <v>0.20449999999999999</v>
      </c>
      <c r="F12" s="25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11"/>
      <c r="M12" s="11"/>
      <c r="N12" s="9">
        <v>10</v>
      </c>
      <c r="O12" s="9">
        <v>1</v>
      </c>
      <c r="P12" s="25">
        <f t="shared" si="3"/>
        <v>0.95</v>
      </c>
      <c r="Q12" s="25">
        <v>0.45</v>
      </c>
      <c r="R12" s="25">
        <f t="shared" si="4"/>
        <v>0.66666666666666663</v>
      </c>
      <c r="S12" s="9">
        <f t="shared" si="8"/>
        <v>10</v>
      </c>
      <c r="T12" s="9">
        <f t="shared" si="5"/>
        <v>31</v>
      </c>
      <c r="U12" s="27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27">
        <f t="shared" si="7"/>
        <v>9.5000000000000001E-2</v>
      </c>
      <c r="E13" s="25">
        <f t="shared" si="0"/>
        <v>0.20499999999999999</v>
      </c>
      <c r="F13" s="25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11"/>
      <c r="M13" s="11"/>
      <c r="N13" s="32">
        <v>11</v>
      </c>
      <c r="O13" s="32">
        <f>O3+1</f>
        <v>2</v>
      </c>
      <c r="P13" s="25">
        <f t="shared" si="3"/>
        <v>0.95</v>
      </c>
      <c r="Q13" s="25">
        <v>0.45</v>
      </c>
      <c r="R13" s="25">
        <f t="shared" si="4"/>
        <v>0.66666666666666663</v>
      </c>
      <c r="S13" s="9">
        <f t="shared" si="8"/>
        <v>11</v>
      </c>
      <c r="T13" s="9">
        <f t="shared" si="5"/>
        <v>34</v>
      </c>
      <c r="U13" s="27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27">
        <f t="shared" si="7"/>
        <v>9.4500000000000001E-2</v>
      </c>
      <c r="E14" s="25">
        <f t="shared" si="0"/>
        <v>0.20549999999999999</v>
      </c>
      <c r="F14" s="25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11"/>
      <c r="M14" s="11"/>
      <c r="N14" s="9">
        <v>12</v>
      </c>
      <c r="O14" s="9">
        <f t="shared" ref="O14:O77" si="10">O4+1</f>
        <v>2</v>
      </c>
      <c r="P14" s="25">
        <f t="shared" si="3"/>
        <v>0.95</v>
      </c>
      <c r="Q14" s="25">
        <v>0.45</v>
      </c>
      <c r="R14" s="25">
        <f t="shared" si="4"/>
        <v>0.66666666666666663</v>
      </c>
      <c r="S14" s="9">
        <f t="shared" si="8"/>
        <v>12</v>
      </c>
      <c r="T14" s="9">
        <f t="shared" si="5"/>
        <v>37</v>
      </c>
      <c r="U14" s="27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27">
        <f t="shared" si="7"/>
        <v>9.4E-2</v>
      </c>
      <c r="E15" s="25">
        <f t="shared" si="0"/>
        <v>0.20599999999999999</v>
      </c>
      <c r="F15" s="25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11"/>
      <c r="M15" s="11"/>
      <c r="N15" s="9">
        <v>13</v>
      </c>
      <c r="O15" s="9">
        <f t="shared" si="10"/>
        <v>2</v>
      </c>
      <c r="P15" s="25">
        <f t="shared" si="3"/>
        <v>0.95</v>
      </c>
      <c r="Q15" s="25">
        <v>0.45</v>
      </c>
      <c r="R15" s="25">
        <f t="shared" si="4"/>
        <v>0.66666666666666663</v>
      </c>
      <c r="S15" s="9">
        <f t="shared" si="8"/>
        <v>13</v>
      </c>
      <c r="T15" s="9">
        <f t="shared" si="5"/>
        <v>40</v>
      </c>
      <c r="U15" s="27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27">
        <f t="shared" si="7"/>
        <v>9.35E-2</v>
      </c>
      <c r="E16" s="25">
        <f t="shared" si="0"/>
        <v>0.20649999999999999</v>
      </c>
      <c r="F16" s="25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11"/>
      <c r="M16" s="11"/>
      <c r="N16" s="9">
        <v>14</v>
      </c>
      <c r="O16" s="9">
        <f t="shared" si="10"/>
        <v>2</v>
      </c>
      <c r="P16" s="25">
        <f t="shared" si="3"/>
        <v>0.95</v>
      </c>
      <c r="Q16" s="25">
        <v>0.45</v>
      </c>
      <c r="R16" s="25">
        <f t="shared" si="4"/>
        <v>0.66666666666666663</v>
      </c>
      <c r="S16" s="9">
        <f t="shared" si="8"/>
        <v>14</v>
      </c>
      <c r="T16" s="9">
        <f t="shared" si="5"/>
        <v>43</v>
      </c>
      <c r="U16" s="27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27">
        <f t="shared" si="7"/>
        <v>9.2999999999999999E-2</v>
      </c>
      <c r="E17" s="25">
        <f t="shared" si="0"/>
        <v>0.20699999999999999</v>
      </c>
      <c r="F17" s="25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11"/>
      <c r="M17" s="11"/>
      <c r="N17" s="9">
        <v>15</v>
      </c>
      <c r="O17" s="9">
        <f t="shared" si="10"/>
        <v>2</v>
      </c>
      <c r="P17" s="25">
        <f t="shared" si="3"/>
        <v>0.95</v>
      </c>
      <c r="Q17" s="25">
        <v>0.45</v>
      </c>
      <c r="R17" s="25">
        <f t="shared" si="4"/>
        <v>0.66666666666666663</v>
      </c>
      <c r="S17" s="9">
        <f t="shared" si="8"/>
        <v>15</v>
      </c>
      <c r="T17" s="9">
        <f t="shared" si="5"/>
        <v>46</v>
      </c>
      <c r="U17" s="27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27">
        <f t="shared" si="7"/>
        <v>9.2499999999999999E-2</v>
      </c>
      <c r="E18" s="25">
        <f t="shared" si="0"/>
        <v>0.20749999999999999</v>
      </c>
      <c r="F18" s="25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11"/>
      <c r="M18" s="11"/>
      <c r="N18" s="9">
        <v>16</v>
      </c>
      <c r="O18" s="9">
        <f t="shared" si="10"/>
        <v>2</v>
      </c>
      <c r="P18" s="25">
        <f t="shared" si="3"/>
        <v>0.95</v>
      </c>
      <c r="Q18" s="25">
        <v>0.45</v>
      </c>
      <c r="R18" s="25">
        <f t="shared" si="4"/>
        <v>0.66666666666666663</v>
      </c>
      <c r="S18" s="9">
        <f t="shared" si="8"/>
        <v>16</v>
      </c>
      <c r="T18" s="9">
        <f t="shared" si="5"/>
        <v>49</v>
      </c>
      <c r="U18" s="27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27">
        <f t="shared" si="7"/>
        <v>9.1999999999999998E-2</v>
      </c>
      <c r="E19" s="25">
        <f t="shared" si="0"/>
        <v>0.20799999999999999</v>
      </c>
      <c r="F19" s="25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11"/>
      <c r="M19" s="11"/>
      <c r="N19" s="9">
        <v>17</v>
      </c>
      <c r="O19" s="9">
        <f t="shared" si="10"/>
        <v>2</v>
      </c>
      <c r="P19" s="25">
        <f t="shared" si="3"/>
        <v>0.95</v>
      </c>
      <c r="Q19" s="25">
        <v>0.45</v>
      </c>
      <c r="R19" s="25">
        <f t="shared" si="4"/>
        <v>0.66666666666666663</v>
      </c>
      <c r="S19" s="9">
        <f t="shared" si="8"/>
        <v>17</v>
      </c>
      <c r="T19" s="9">
        <f t="shared" si="5"/>
        <v>53</v>
      </c>
      <c r="U19" s="27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27">
        <f t="shared" si="7"/>
        <v>9.1499999999999998E-2</v>
      </c>
      <c r="E20" s="25">
        <f t="shared" si="0"/>
        <v>0.20849999999999999</v>
      </c>
      <c r="F20" s="25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11"/>
      <c r="M20" s="11"/>
      <c r="N20" s="9">
        <v>18</v>
      </c>
      <c r="O20" s="9">
        <f t="shared" si="10"/>
        <v>2</v>
      </c>
      <c r="P20" s="25">
        <f t="shared" si="3"/>
        <v>0.95</v>
      </c>
      <c r="Q20" s="25">
        <v>0.45</v>
      </c>
      <c r="R20" s="25">
        <f t="shared" si="4"/>
        <v>0.66666666666666663</v>
      </c>
      <c r="S20" s="9">
        <f t="shared" si="8"/>
        <v>18</v>
      </c>
      <c r="T20" s="9">
        <f t="shared" si="5"/>
        <v>56</v>
      </c>
      <c r="U20" s="27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27">
        <f t="shared" si="7"/>
        <v>9.0999999999999998E-2</v>
      </c>
      <c r="E21" s="25">
        <f t="shared" si="0"/>
        <v>0.20899999999999999</v>
      </c>
      <c r="F21" s="25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11"/>
      <c r="M21" s="11"/>
      <c r="N21" s="9">
        <v>19</v>
      </c>
      <c r="O21" s="9">
        <f t="shared" si="10"/>
        <v>2</v>
      </c>
      <c r="P21" s="25">
        <f t="shared" si="3"/>
        <v>0.95</v>
      </c>
      <c r="Q21" s="25">
        <v>0.45</v>
      </c>
      <c r="R21" s="25">
        <f t="shared" si="4"/>
        <v>0.66666666666666663</v>
      </c>
      <c r="S21" s="9">
        <f t="shared" si="8"/>
        <v>19</v>
      </c>
      <c r="T21" s="9">
        <f t="shared" si="5"/>
        <v>59</v>
      </c>
      <c r="U21" s="27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27">
        <f t="shared" si="7"/>
        <v>9.0499999999999997E-2</v>
      </c>
      <c r="E22" s="25">
        <f t="shared" si="0"/>
        <v>0.20949999999999999</v>
      </c>
      <c r="F22" s="25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11"/>
      <c r="M22" s="11"/>
      <c r="N22" s="9">
        <v>20</v>
      </c>
      <c r="O22" s="9">
        <f t="shared" si="10"/>
        <v>2</v>
      </c>
      <c r="P22" s="25">
        <f t="shared" si="3"/>
        <v>0.95</v>
      </c>
      <c r="Q22" s="25">
        <v>0.45</v>
      </c>
      <c r="R22" s="25">
        <f t="shared" si="4"/>
        <v>0.66666666666666663</v>
      </c>
      <c r="S22" s="9">
        <f t="shared" si="8"/>
        <v>20</v>
      </c>
      <c r="T22" s="9">
        <f t="shared" si="5"/>
        <v>62</v>
      </c>
      <c r="U22" s="27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27">
        <f t="shared" si="7"/>
        <v>0.09</v>
      </c>
      <c r="E23" s="25">
        <f t="shared" si="0"/>
        <v>0.21</v>
      </c>
      <c r="F23" s="25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11"/>
      <c r="M23" s="11"/>
      <c r="N23" s="32">
        <v>21</v>
      </c>
      <c r="O23" s="32">
        <f t="shared" si="10"/>
        <v>3</v>
      </c>
      <c r="P23" s="25">
        <f t="shared" si="3"/>
        <v>0.95</v>
      </c>
      <c r="Q23" s="25">
        <v>0.45</v>
      </c>
      <c r="R23" s="25">
        <f t="shared" si="4"/>
        <v>0.66666666666666663</v>
      </c>
      <c r="S23" s="9">
        <f t="shared" si="8"/>
        <v>21</v>
      </c>
      <c r="T23" s="9">
        <f t="shared" si="5"/>
        <v>65</v>
      </c>
      <c r="U23" s="27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27">
        <f t="shared" si="7"/>
        <v>8.9499999999999996E-2</v>
      </c>
      <c r="E24" s="25">
        <f t="shared" si="0"/>
        <v>0.21049999999999999</v>
      </c>
      <c r="F24" s="25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11"/>
      <c r="M24" s="11"/>
      <c r="N24" s="9">
        <v>22</v>
      </c>
      <c r="O24" s="9">
        <f t="shared" si="10"/>
        <v>3</v>
      </c>
      <c r="P24" s="25">
        <f t="shared" si="3"/>
        <v>0.95</v>
      </c>
      <c r="Q24" s="25">
        <v>0.45</v>
      </c>
      <c r="R24" s="25">
        <f t="shared" si="4"/>
        <v>0.66666666666666663</v>
      </c>
      <c r="S24" s="9">
        <f t="shared" si="8"/>
        <v>22</v>
      </c>
      <c r="T24" s="9">
        <f t="shared" si="5"/>
        <v>68</v>
      </c>
      <c r="U24" s="27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27">
        <f t="shared" si="7"/>
        <v>8.8999999999999996E-2</v>
      </c>
      <c r="E25" s="25">
        <f t="shared" si="0"/>
        <v>0.21099999999999999</v>
      </c>
      <c r="F25" s="25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11"/>
      <c r="M25" s="11"/>
      <c r="N25" s="9">
        <v>23</v>
      </c>
      <c r="O25" s="9">
        <f t="shared" si="10"/>
        <v>3</v>
      </c>
      <c r="P25" s="25">
        <f t="shared" si="3"/>
        <v>0.95</v>
      </c>
      <c r="Q25" s="25">
        <v>0.45</v>
      </c>
      <c r="R25" s="25">
        <f t="shared" si="4"/>
        <v>0.66666666666666663</v>
      </c>
      <c r="S25" s="9">
        <f t="shared" si="8"/>
        <v>23</v>
      </c>
      <c r="T25" s="9">
        <f t="shared" si="5"/>
        <v>71</v>
      </c>
      <c r="U25" s="27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27">
        <f t="shared" si="7"/>
        <v>8.8499999999999995E-2</v>
      </c>
      <c r="E26" s="25">
        <f t="shared" si="0"/>
        <v>0.21149999999999999</v>
      </c>
      <c r="F26" s="25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11"/>
      <c r="M26" s="11"/>
      <c r="N26" s="9">
        <v>24</v>
      </c>
      <c r="O26" s="9">
        <f t="shared" si="10"/>
        <v>3</v>
      </c>
      <c r="P26" s="25">
        <f t="shared" si="3"/>
        <v>0.95</v>
      </c>
      <c r="Q26" s="25">
        <v>0.45</v>
      </c>
      <c r="R26" s="25">
        <f t="shared" si="4"/>
        <v>0.66666666666666663</v>
      </c>
      <c r="S26" s="9">
        <f t="shared" si="8"/>
        <v>24</v>
      </c>
      <c r="T26" s="9">
        <f t="shared" si="5"/>
        <v>74</v>
      </c>
      <c r="U26" s="27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27">
        <f t="shared" si="7"/>
        <v>8.7999999999999995E-2</v>
      </c>
      <c r="E27" s="25">
        <f t="shared" si="0"/>
        <v>0.21199999999999999</v>
      </c>
      <c r="F27" s="25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11"/>
      <c r="M27" s="11"/>
      <c r="N27" s="9">
        <v>25</v>
      </c>
      <c r="O27" s="9">
        <f t="shared" si="10"/>
        <v>3</v>
      </c>
      <c r="P27" s="25">
        <f t="shared" si="3"/>
        <v>0.95</v>
      </c>
      <c r="Q27" s="25">
        <v>0.45</v>
      </c>
      <c r="R27" s="25">
        <f t="shared" si="4"/>
        <v>0.66666666666666663</v>
      </c>
      <c r="S27" s="9">
        <f t="shared" si="8"/>
        <v>25</v>
      </c>
      <c r="T27" s="9">
        <f t="shared" si="5"/>
        <v>77</v>
      </c>
      <c r="U27" s="27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27">
        <f t="shared" si="7"/>
        <v>8.7499999999999994E-2</v>
      </c>
      <c r="E28" s="25">
        <f t="shared" si="0"/>
        <v>0.21249999999999999</v>
      </c>
      <c r="F28" s="25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11"/>
      <c r="M28" s="11"/>
      <c r="N28" s="9">
        <v>26</v>
      </c>
      <c r="O28" s="9">
        <f t="shared" si="10"/>
        <v>3</v>
      </c>
      <c r="P28" s="25">
        <f t="shared" si="3"/>
        <v>0.95</v>
      </c>
      <c r="Q28" s="25">
        <v>0.45</v>
      </c>
      <c r="R28" s="25">
        <f t="shared" si="4"/>
        <v>0.66666666666666663</v>
      </c>
      <c r="S28" s="9">
        <f t="shared" si="8"/>
        <v>26</v>
      </c>
      <c r="T28" s="9">
        <f t="shared" si="5"/>
        <v>80</v>
      </c>
      <c r="U28" s="27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27">
        <f t="shared" si="7"/>
        <v>8.6999999999999994E-2</v>
      </c>
      <c r="E29" s="25">
        <f t="shared" si="0"/>
        <v>0.21299999999999999</v>
      </c>
      <c r="F29" s="25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11"/>
      <c r="M29" s="11"/>
      <c r="N29" s="9">
        <v>27</v>
      </c>
      <c r="O29" s="9">
        <f t="shared" si="10"/>
        <v>3</v>
      </c>
      <c r="P29" s="25">
        <f t="shared" si="3"/>
        <v>0.95</v>
      </c>
      <c r="Q29" s="25">
        <v>0.45</v>
      </c>
      <c r="R29" s="25">
        <f t="shared" si="4"/>
        <v>0.66666666666666663</v>
      </c>
      <c r="S29" s="9">
        <f t="shared" si="8"/>
        <v>27</v>
      </c>
      <c r="T29" s="9">
        <f t="shared" si="5"/>
        <v>83</v>
      </c>
      <c r="U29" s="27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27">
        <f t="shared" si="7"/>
        <v>8.6499999999999994E-2</v>
      </c>
      <c r="E30" s="25">
        <f t="shared" si="0"/>
        <v>0.2135</v>
      </c>
      <c r="F30" s="25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11"/>
      <c r="M30" s="11"/>
      <c r="N30" s="9">
        <v>28</v>
      </c>
      <c r="O30" s="9">
        <f t="shared" si="10"/>
        <v>3</v>
      </c>
      <c r="P30" s="25">
        <f t="shared" si="3"/>
        <v>0.95</v>
      </c>
      <c r="Q30" s="25">
        <v>0.45</v>
      </c>
      <c r="R30" s="25">
        <f t="shared" si="4"/>
        <v>0.66666666666666663</v>
      </c>
      <c r="S30" s="9">
        <f t="shared" si="8"/>
        <v>28</v>
      </c>
      <c r="T30" s="9">
        <f t="shared" si="5"/>
        <v>87</v>
      </c>
      <c r="U30" s="27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27">
        <f t="shared" si="7"/>
        <v>8.5999999999999993E-2</v>
      </c>
      <c r="E31" s="25">
        <f t="shared" si="0"/>
        <v>0.214</v>
      </c>
      <c r="F31" s="25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11"/>
      <c r="M31" s="11"/>
      <c r="N31" s="9">
        <v>29</v>
      </c>
      <c r="O31" s="9">
        <f t="shared" si="10"/>
        <v>3</v>
      </c>
      <c r="P31" s="25">
        <f t="shared" si="3"/>
        <v>0.95</v>
      </c>
      <c r="Q31" s="25">
        <v>0.45</v>
      </c>
      <c r="R31" s="25">
        <f t="shared" si="4"/>
        <v>0.66666666666666663</v>
      </c>
      <c r="S31" s="9">
        <f t="shared" si="8"/>
        <v>29</v>
      </c>
      <c r="T31" s="9">
        <f t="shared" si="5"/>
        <v>90</v>
      </c>
      <c r="U31" s="27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27">
        <f t="shared" si="7"/>
        <v>8.5499999999999993E-2</v>
      </c>
      <c r="E32" s="25">
        <f t="shared" si="0"/>
        <v>0.2145</v>
      </c>
      <c r="F32" s="25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11"/>
      <c r="M32" s="11"/>
      <c r="N32" s="9">
        <v>30</v>
      </c>
      <c r="O32" s="9">
        <f t="shared" si="10"/>
        <v>3</v>
      </c>
      <c r="P32" s="25">
        <f t="shared" si="3"/>
        <v>0.95</v>
      </c>
      <c r="Q32" s="25">
        <v>0.45</v>
      </c>
      <c r="R32" s="25">
        <f t="shared" si="4"/>
        <v>0.66666666666666663</v>
      </c>
      <c r="S32" s="9">
        <f t="shared" si="8"/>
        <v>30</v>
      </c>
      <c r="T32" s="9">
        <f t="shared" si="5"/>
        <v>93</v>
      </c>
      <c r="U32" s="27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27">
        <f t="shared" si="7"/>
        <v>8.4999999999999992E-2</v>
      </c>
      <c r="E33" s="25">
        <f t="shared" si="0"/>
        <v>0.215</v>
      </c>
      <c r="F33" s="25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11"/>
      <c r="M33" s="11"/>
      <c r="N33" s="9">
        <v>31</v>
      </c>
      <c r="O33" s="9">
        <f t="shared" si="10"/>
        <v>4</v>
      </c>
      <c r="P33" s="25">
        <f t="shared" si="3"/>
        <v>0.95</v>
      </c>
      <c r="Q33" s="25">
        <v>0.45</v>
      </c>
      <c r="R33" s="25">
        <f t="shared" si="4"/>
        <v>0.66666666666666663</v>
      </c>
      <c r="S33" s="9">
        <f t="shared" si="8"/>
        <v>31</v>
      </c>
      <c r="T33" s="9">
        <f t="shared" si="5"/>
        <v>96</v>
      </c>
      <c r="U33" s="27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27">
        <f t="shared" si="7"/>
        <v>8.4499999999999992E-2</v>
      </c>
      <c r="E34" s="25">
        <f t="shared" si="0"/>
        <v>0.2155</v>
      </c>
      <c r="F34" s="25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11"/>
      <c r="M34" s="11"/>
      <c r="N34" s="9">
        <v>32</v>
      </c>
      <c r="O34" s="9">
        <f t="shared" si="10"/>
        <v>4</v>
      </c>
      <c r="P34" s="25">
        <f t="shared" si="3"/>
        <v>0.95</v>
      </c>
      <c r="Q34" s="25">
        <v>0.45</v>
      </c>
      <c r="R34" s="25">
        <f t="shared" si="4"/>
        <v>0.66666666666666663</v>
      </c>
      <c r="S34" s="9">
        <f t="shared" si="8"/>
        <v>32</v>
      </c>
      <c r="T34" s="9">
        <f t="shared" si="5"/>
        <v>99</v>
      </c>
      <c r="U34" s="27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27">
        <f t="shared" si="7"/>
        <v>8.3999999999999991E-2</v>
      </c>
      <c r="E35" s="25">
        <f t="shared" si="0"/>
        <v>0.216</v>
      </c>
      <c r="F35" s="25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11"/>
      <c r="M35" s="11"/>
      <c r="N35" s="9">
        <v>33</v>
      </c>
      <c r="O35" s="9">
        <f t="shared" si="10"/>
        <v>4</v>
      </c>
      <c r="P35" s="25">
        <f t="shared" si="3"/>
        <v>0.95</v>
      </c>
      <c r="Q35" s="25">
        <v>0.45</v>
      </c>
      <c r="R35" s="25">
        <f t="shared" si="4"/>
        <v>0.66666666666666663</v>
      </c>
      <c r="S35" s="9">
        <f t="shared" si="8"/>
        <v>33</v>
      </c>
      <c r="T35" s="9">
        <f t="shared" si="5"/>
        <v>102</v>
      </c>
      <c r="U35" s="27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27">
        <f t="shared" si="7"/>
        <v>8.3499999999999991E-2</v>
      </c>
      <c r="E36" s="25">
        <f t="shared" si="0"/>
        <v>0.2165</v>
      </c>
      <c r="F36" s="25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11"/>
      <c r="M36" s="11"/>
      <c r="N36" s="9">
        <v>34</v>
      </c>
      <c r="O36" s="9">
        <f t="shared" si="10"/>
        <v>4</v>
      </c>
      <c r="P36" s="25">
        <f t="shared" si="3"/>
        <v>0.95</v>
      </c>
      <c r="Q36" s="25">
        <v>0.45</v>
      </c>
      <c r="R36" s="25">
        <f t="shared" si="4"/>
        <v>0.66666666666666663</v>
      </c>
      <c r="S36" s="9">
        <f t="shared" si="8"/>
        <v>34</v>
      </c>
      <c r="T36" s="9">
        <f t="shared" si="5"/>
        <v>105</v>
      </c>
      <c r="U36" s="27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27">
        <f t="shared" si="7"/>
        <v>8.299999999999999E-2</v>
      </c>
      <c r="E37" s="25">
        <f t="shared" si="0"/>
        <v>0.217</v>
      </c>
      <c r="F37" s="25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11"/>
      <c r="M37" s="11"/>
      <c r="N37" s="9">
        <v>35</v>
      </c>
      <c r="O37" s="9">
        <f t="shared" si="10"/>
        <v>4</v>
      </c>
      <c r="P37" s="25">
        <f t="shared" si="3"/>
        <v>0.95</v>
      </c>
      <c r="Q37" s="25">
        <v>0.45</v>
      </c>
      <c r="R37" s="25">
        <f t="shared" si="4"/>
        <v>0.66666666666666663</v>
      </c>
      <c r="S37" s="9">
        <f t="shared" si="8"/>
        <v>35</v>
      </c>
      <c r="T37" s="9">
        <f t="shared" si="5"/>
        <v>108</v>
      </c>
      <c r="U37" s="27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27">
        <f t="shared" si="7"/>
        <v>8.249999999999999E-2</v>
      </c>
      <c r="E38" s="25">
        <f t="shared" si="0"/>
        <v>0.2175</v>
      </c>
      <c r="F38" s="25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11"/>
      <c r="M38" s="11"/>
      <c r="N38" s="9">
        <v>36</v>
      </c>
      <c r="O38" s="9">
        <f t="shared" si="10"/>
        <v>4</v>
      </c>
      <c r="P38" s="25">
        <f t="shared" si="3"/>
        <v>0.95</v>
      </c>
      <c r="Q38" s="25">
        <v>0.45</v>
      </c>
      <c r="R38" s="25">
        <f t="shared" si="4"/>
        <v>0.66666666666666663</v>
      </c>
      <c r="S38" s="9">
        <f t="shared" si="8"/>
        <v>36</v>
      </c>
      <c r="T38" s="9">
        <f t="shared" si="5"/>
        <v>111</v>
      </c>
      <c r="U38" s="27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27">
        <f t="shared" si="7"/>
        <v>8.199999999999999E-2</v>
      </c>
      <c r="E39" s="25">
        <f t="shared" si="0"/>
        <v>0.218</v>
      </c>
      <c r="F39" s="25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11"/>
      <c r="M39" s="11"/>
      <c r="N39" s="9">
        <v>37</v>
      </c>
      <c r="O39" s="9">
        <f t="shared" si="10"/>
        <v>4</v>
      </c>
      <c r="P39" s="25">
        <f t="shared" si="3"/>
        <v>0.95</v>
      </c>
      <c r="Q39" s="25">
        <v>0.45</v>
      </c>
      <c r="R39" s="25">
        <f t="shared" si="4"/>
        <v>0.66666666666666663</v>
      </c>
      <c r="S39" s="9">
        <f t="shared" si="8"/>
        <v>37</v>
      </c>
      <c r="T39" s="9">
        <f t="shared" si="5"/>
        <v>114</v>
      </c>
      <c r="U39" s="27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27">
        <f t="shared" si="7"/>
        <v>8.1499999999999989E-2</v>
      </c>
      <c r="E40" s="25">
        <f t="shared" si="0"/>
        <v>0.2185</v>
      </c>
      <c r="F40" s="25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11"/>
      <c r="M40" s="11"/>
      <c r="N40" s="9">
        <v>38</v>
      </c>
      <c r="O40" s="9">
        <f t="shared" si="10"/>
        <v>4</v>
      </c>
      <c r="P40" s="25">
        <f t="shared" si="3"/>
        <v>0.95</v>
      </c>
      <c r="Q40" s="25">
        <v>0.45</v>
      </c>
      <c r="R40" s="25">
        <f t="shared" si="4"/>
        <v>0.66666666666666663</v>
      </c>
      <c r="S40" s="9">
        <f t="shared" si="8"/>
        <v>38</v>
      </c>
      <c r="T40" s="9">
        <f t="shared" si="5"/>
        <v>117</v>
      </c>
      <c r="U40" s="27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27">
        <f t="shared" si="7"/>
        <v>8.0999999999999989E-2</v>
      </c>
      <c r="E41" s="25">
        <f t="shared" si="0"/>
        <v>0.219</v>
      </c>
      <c r="F41" s="25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11"/>
      <c r="M41" s="11"/>
      <c r="N41" s="9">
        <v>39</v>
      </c>
      <c r="O41" s="9">
        <f t="shared" si="10"/>
        <v>4</v>
      </c>
      <c r="P41" s="25">
        <f t="shared" si="3"/>
        <v>0.95</v>
      </c>
      <c r="Q41" s="25">
        <v>0.45</v>
      </c>
      <c r="R41" s="25">
        <f t="shared" si="4"/>
        <v>0.66666666666666663</v>
      </c>
      <c r="S41" s="9">
        <f t="shared" si="8"/>
        <v>39</v>
      </c>
      <c r="T41" s="9">
        <f t="shared" si="5"/>
        <v>121</v>
      </c>
      <c r="U41" s="27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27">
        <f t="shared" si="7"/>
        <v>8.0499999999999988E-2</v>
      </c>
      <c r="E42" s="25">
        <f t="shared" si="0"/>
        <v>0.2195</v>
      </c>
      <c r="F42" s="25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11"/>
      <c r="M42" s="11"/>
      <c r="N42" s="9">
        <v>40</v>
      </c>
      <c r="O42" s="9">
        <f t="shared" si="10"/>
        <v>4</v>
      </c>
      <c r="P42" s="25">
        <f t="shared" si="3"/>
        <v>0.95</v>
      </c>
      <c r="Q42" s="25">
        <v>0.45</v>
      </c>
      <c r="R42" s="25">
        <f t="shared" si="4"/>
        <v>0.66666666666666663</v>
      </c>
      <c r="S42" s="9">
        <f t="shared" si="8"/>
        <v>40</v>
      </c>
      <c r="T42" s="9">
        <f t="shared" si="5"/>
        <v>124</v>
      </c>
      <c r="U42" s="27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27">
        <f t="shared" si="7"/>
        <v>7.9999999999999988E-2</v>
      </c>
      <c r="E43" s="25">
        <f t="shared" si="0"/>
        <v>0.22</v>
      </c>
      <c r="F43" s="25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11"/>
      <c r="M43" s="11"/>
      <c r="N43" s="9">
        <v>41</v>
      </c>
      <c r="O43" s="9">
        <f t="shared" si="10"/>
        <v>5</v>
      </c>
      <c r="P43" s="25">
        <f t="shared" si="3"/>
        <v>0.95</v>
      </c>
      <c r="Q43" s="25">
        <v>0.45</v>
      </c>
      <c r="R43" s="25">
        <f t="shared" si="4"/>
        <v>0.66666666666666663</v>
      </c>
      <c r="S43" s="9">
        <f t="shared" si="8"/>
        <v>41</v>
      </c>
      <c r="T43" s="9">
        <f t="shared" si="5"/>
        <v>127</v>
      </c>
      <c r="U43" s="27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27">
        <f t="shared" si="7"/>
        <v>7.9499999999999987E-2</v>
      </c>
      <c r="E44" s="25">
        <f t="shared" si="0"/>
        <v>0.2205</v>
      </c>
      <c r="F44" s="25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11"/>
      <c r="M44" s="11"/>
      <c r="N44" s="9">
        <v>42</v>
      </c>
      <c r="O44" s="9">
        <f t="shared" si="10"/>
        <v>5</v>
      </c>
      <c r="P44" s="25">
        <f t="shared" si="3"/>
        <v>0.95</v>
      </c>
      <c r="Q44" s="25">
        <v>0.45</v>
      </c>
      <c r="R44" s="25">
        <f t="shared" si="4"/>
        <v>0.66666666666666663</v>
      </c>
      <c r="S44" s="9">
        <f t="shared" si="8"/>
        <v>42</v>
      </c>
      <c r="T44" s="9">
        <f t="shared" si="5"/>
        <v>130</v>
      </c>
      <c r="U44" s="27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27">
        <f t="shared" si="7"/>
        <v>7.8999999999999987E-2</v>
      </c>
      <c r="E45" s="25">
        <f t="shared" si="0"/>
        <v>0.221</v>
      </c>
      <c r="F45" s="25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11"/>
      <c r="M45" s="11"/>
      <c r="N45" s="9">
        <v>43</v>
      </c>
      <c r="O45" s="9">
        <f t="shared" si="10"/>
        <v>5</v>
      </c>
      <c r="P45" s="25">
        <f t="shared" si="3"/>
        <v>0.95</v>
      </c>
      <c r="Q45" s="25">
        <v>0.45</v>
      </c>
      <c r="R45" s="25">
        <f t="shared" si="4"/>
        <v>0.66666666666666663</v>
      </c>
      <c r="S45" s="9">
        <f t="shared" si="8"/>
        <v>43</v>
      </c>
      <c r="T45" s="9">
        <f t="shared" si="5"/>
        <v>133</v>
      </c>
      <c r="U45" s="27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27">
        <f t="shared" si="7"/>
        <v>7.8499999999999986E-2</v>
      </c>
      <c r="E46" s="25">
        <f t="shared" si="0"/>
        <v>0.2215</v>
      </c>
      <c r="F46" s="25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11"/>
      <c r="M46" s="11"/>
      <c r="N46" s="9">
        <v>44</v>
      </c>
      <c r="O46" s="9">
        <f t="shared" si="10"/>
        <v>5</v>
      </c>
      <c r="P46" s="25">
        <f t="shared" si="3"/>
        <v>0.95</v>
      </c>
      <c r="Q46" s="25">
        <v>0.45</v>
      </c>
      <c r="R46" s="25">
        <f t="shared" si="4"/>
        <v>0.66666666666666663</v>
      </c>
      <c r="S46" s="9">
        <f t="shared" si="8"/>
        <v>44</v>
      </c>
      <c r="T46" s="9">
        <f t="shared" si="5"/>
        <v>136</v>
      </c>
      <c r="U46" s="27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27">
        <f t="shared" si="7"/>
        <v>7.7999999999999986E-2</v>
      </c>
      <c r="E47" s="25">
        <f t="shared" si="0"/>
        <v>0.222</v>
      </c>
      <c r="F47" s="25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11"/>
      <c r="M47" s="11"/>
      <c r="N47" s="9">
        <v>45</v>
      </c>
      <c r="O47" s="9">
        <f t="shared" si="10"/>
        <v>5</v>
      </c>
      <c r="P47" s="25">
        <f t="shared" si="3"/>
        <v>0.95</v>
      </c>
      <c r="Q47" s="25">
        <v>0.45</v>
      </c>
      <c r="R47" s="25">
        <f t="shared" si="4"/>
        <v>0.66666666666666663</v>
      </c>
      <c r="S47" s="9">
        <f t="shared" si="8"/>
        <v>45</v>
      </c>
      <c r="T47" s="9">
        <f t="shared" si="5"/>
        <v>139</v>
      </c>
      <c r="U47" s="27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27">
        <f t="shared" si="7"/>
        <v>7.7499999999999986E-2</v>
      </c>
      <c r="E48" s="25">
        <f t="shared" si="0"/>
        <v>0.2225</v>
      </c>
      <c r="F48" s="25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11"/>
      <c r="M48" s="11"/>
      <c r="N48" s="9">
        <v>46</v>
      </c>
      <c r="O48" s="9">
        <f t="shared" si="10"/>
        <v>5</v>
      </c>
      <c r="P48" s="25">
        <f t="shared" si="3"/>
        <v>0.95</v>
      </c>
      <c r="Q48" s="25">
        <v>0.45</v>
      </c>
      <c r="R48" s="25">
        <f t="shared" si="4"/>
        <v>0.66666666666666663</v>
      </c>
      <c r="S48" s="9">
        <f t="shared" si="8"/>
        <v>46</v>
      </c>
      <c r="T48" s="9">
        <f t="shared" si="5"/>
        <v>142</v>
      </c>
      <c r="U48" s="27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27">
        <f t="shared" si="7"/>
        <v>7.6999999999999985E-2</v>
      </c>
      <c r="E49" s="25">
        <f t="shared" si="0"/>
        <v>0.223</v>
      </c>
      <c r="F49" s="25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11"/>
      <c r="M49" s="11"/>
      <c r="N49" s="9">
        <v>47</v>
      </c>
      <c r="O49" s="9">
        <f t="shared" si="10"/>
        <v>5</v>
      </c>
      <c r="P49" s="25">
        <f t="shared" si="3"/>
        <v>0.95</v>
      </c>
      <c r="Q49" s="25">
        <v>0.45</v>
      </c>
      <c r="R49" s="25">
        <f t="shared" si="4"/>
        <v>0.66666666666666663</v>
      </c>
      <c r="S49" s="9">
        <f t="shared" si="8"/>
        <v>47</v>
      </c>
      <c r="T49" s="9">
        <f t="shared" si="5"/>
        <v>145</v>
      </c>
      <c r="U49" s="27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27">
        <f t="shared" si="7"/>
        <v>7.6499999999999985E-2</v>
      </c>
      <c r="E50" s="25">
        <f t="shared" si="0"/>
        <v>0.2235</v>
      </c>
      <c r="F50" s="25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11"/>
      <c r="M50" s="11"/>
      <c r="N50" s="9">
        <v>48</v>
      </c>
      <c r="O50" s="9">
        <f t="shared" si="10"/>
        <v>5</v>
      </c>
      <c r="P50" s="25">
        <f t="shared" si="3"/>
        <v>0.95</v>
      </c>
      <c r="Q50" s="25">
        <v>0.45</v>
      </c>
      <c r="R50" s="25">
        <f t="shared" si="4"/>
        <v>0.66666666666666663</v>
      </c>
      <c r="S50" s="9">
        <f t="shared" si="8"/>
        <v>48</v>
      </c>
      <c r="T50" s="9">
        <f t="shared" si="5"/>
        <v>148</v>
      </c>
      <c r="U50" s="27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27">
        <f t="shared" si="7"/>
        <v>7.5999999999999984E-2</v>
      </c>
      <c r="E51" s="25">
        <f t="shared" si="0"/>
        <v>0.224</v>
      </c>
      <c r="F51" s="25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11"/>
      <c r="M51" s="11"/>
      <c r="N51" s="9">
        <v>49</v>
      </c>
      <c r="O51" s="9">
        <f t="shared" si="10"/>
        <v>5</v>
      </c>
      <c r="P51" s="25">
        <f t="shared" si="3"/>
        <v>0.95</v>
      </c>
      <c r="Q51" s="25">
        <v>0.45</v>
      </c>
      <c r="R51" s="25">
        <f t="shared" si="4"/>
        <v>0.66666666666666663</v>
      </c>
      <c r="S51" s="9">
        <f t="shared" si="8"/>
        <v>49</v>
      </c>
      <c r="T51" s="9">
        <f t="shared" si="5"/>
        <v>151</v>
      </c>
      <c r="U51" s="27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27">
        <f t="shared" si="7"/>
        <v>7.5499999999999984E-2</v>
      </c>
      <c r="E52" s="25">
        <f t="shared" si="0"/>
        <v>0.22450000000000001</v>
      </c>
      <c r="F52" s="25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11"/>
      <c r="M52" s="11"/>
      <c r="N52" s="9">
        <v>50</v>
      </c>
      <c r="O52" s="9">
        <f t="shared" si="10"/>
        <v>5</v>
      </c>
      <c r="P52" s="25">
        <f t="shared" si="3"/>
        <v>0.95</v>
      </c>
      <c r="Q52" s="25">
        <v>0.45</v>
      </c>
      <c r="R52" s="25">
        <f t="shared" si="4"/>
        <v>0.66666666666666663</v>
      </c>
      <c r="S52" s="9">
        <f t="shared" si="8"/>
        <v>50</v>
      </c>
      <c r="T52" s="9">
        <f t="shared" si="5"/>
        <v>155</v>
      </c>
      <c r="U52" s="27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27">
        <f t="shared" si="7"/>
        <v>7.4999999999999983E-2</v>
      </c>
      <c r="E53" s="25">
        <f t="shared" si="0"/>
        <v>0.22500000000000001</v>
      </c>
      <c r="F53" s="25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11"/>
      <c r="M53" s="11"/>
      <c r="N53" s="9">
        <v>51</v>
      </c>
      <c r="O53" s="9">
        <f t="shared" si="10"/>
        <v>6</v>
      </c>
      <c r="P53" s="25">
        <f t="shared" si="3"/>
        <v>0.95</v>
      </c>
      <c r="Q53" s="25">
        <v>0.45</v>
      </c>
      <c r="R53" s="25">
        <f t="shared" si="4"/>
        <v>0.66666666666666663</v>
      </c>
      <c r="S53" s="9">
        <f t="shared" si="8"/>
        <v>51</v>
      </c>
      <c r="T53" s="9">
        <f t="shared" si="5"/>
        <v>158</v>
      </c>
      <c r="U53" s="27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27">
        <f t="shared" si="7"/>
        <v>7.4499999999999983E-2</v>
      </c>
      <c r="E54" s="25">
        <f t="shared" si="0"/>
        <v>0.22550000000000001</v>
      </c>
      <c r="F54" s="25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11"/>
      <c r="M54" s="11"/>
      <c r="N54" s="9">
        <v>52</v>
      </c>
      <c r="O54" s="9">
        <f t="shared" si="10"/>
        <v>6</v>
      </c>
      <c r="P54" s="25">
        <f t="shared" si="3"/>
        <v>0.95</v>
      </c>
      <c r="Q54" s="25">
        <v>0.45</v>
      </c>
      <c r="R54" s="25">
        <f t="shared" si="4"/>
        <v>0.66666666666666663</v>
      </c>
      <c r="S54" s="9">
        <f t="shared" si="8"/>
        <v>52</v>
      </c>
      <c r="T54" s="9">
        <f t="shared" si="5"/>
        <v>161</v>
      </c>
      <c r="U54" s="27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27">
        <f t="shared" si="7"/>
        <v>7.3999999999999982E-2</v>
      </c>
      <c r="E55" s="25">
        <f t="shared" si="0"/>
        <v>0.22600000000000001</v>
      </c>
      <c r="F55" s="25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11"/>
      <c r="M55" s="11"/>
      <c r="N55" s="9">
        <v>53</v>
      </c>
      <c r="O55" s="9">
        <f t="shared" si="10"/>
        <v>6</v>
      </c>
      <c r="P55" s="25">
        <f t="shared" si="3"/>
        <v>0.95</v>
      </c>
      <c r="Q55" s="25">
        <v>0.45</v>
      </c>
      <c r="R55" s="25">
        <f t="shared" si="4"/>
        <v>0.66666666666666663</v>
      </c>
      <c r="S55" s="9">
        <f t="shared" si="8"/>
        <v>53</v>
      </c>
      <c r="T55" s="9">
        <f t="shared" si="5"/>
        <v>164</v>
      </c>
      <c r="U55" s="27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27">
        <f t="shared" si="7"/>
        <v>7.3499999999999982E-2</v>
      </c>
      <c r="E56" s="25">
        <f t="shared" si="0"/>
        <v>0.22650000000000001</v>
      </c>
      <c r="F56" s="25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11"/>
      <c r="M56" s="11"/>
      <c r="N56" s="9">
        <v>54</v>
      </c>
      <c r="O56" s="9">
        <f t="shared" si="10"/>
        <v>6</v>
      </c>
      <c r="P56" s="25">
        <f t="shared" si="3"/>
        <v>0.95</v>
      </c>
      <c r="Q56" s="25">
        <v>0.45</v>
      </c>
      <c r="R56" s="25">
        <f t="shared" si="4"/>
        <v>0.66666666666666663</v>
      </c>
      <c r="S56" s="9">
        <f t="shared" si="8"/>
        <v>54</v>
      </c>
      <c r="T56" s="9">
        <f t="shared" si="5"/>
        <v>167</v>
      </c>
      <c r="U56" s="27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27">
        <f t="shared" si="7"/>
        <v>7.2999999999999982E-2</v>
      </c>
      <c r="E57" s="25">
        <f t="shared" si="0"/>
        <v>0.22700000000000001</v>
      </c>
      <c r="F57" s="25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11"/>
      <c r="M57" s="11"/>
      <c r="N57" s="9">
        <v>55</v>
      </c>
      <c r="O57" s="9">
        <f t="shared" si="10"/>
        <v>6</v>
      </c>
      <c r="P57" s="25">
        <f t="shared" si="3"/>
        <v>0.95</v>
      </c>
      <c r="Q57" s="25">
        <v>0.45</v>
      </c>
      <c r="R57" s="25">
        <f t="shared" si="4"/>
        <v>0.66666666666666663</v>
      </c>
      <c r="S57" s="9">
        <f t="shared" si="8"/>
        <v>55</v>
      </c>
      <c r="T57" s="9">
        <f t="shared" si="5"/>
        <v>170</v>
      </c>
      <c r="U57" s="27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27">
        <f t="shared" si="7"/>
        <v>7.2499999999999981E-2</v>
      </c>
      <c r="E58" s="25">
        <f t="shared" si="0"/>
        <v>0.22750000000000001</v>
      </c>
      <c r="F58" s="25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11"/>
      <c r="M58" s="11"/>
      <c r="N58" s="9">
        <v>56</v>
      </c>
      <c r="O58" s="9">
        <f t="shared" si="10"/>
        <v>6</v>
      </c>
      <c r="P58" s="25">
        <f t="shared" si="3"/>
        <v>0.95</v>
      </c>
      <c r="Q58" s="25">
        <v>0.45</v>
      </c>
      <c r="R58" s="25">
        <f t="shared" si="4"/>
        <v>0.66666666666666663</v>
      </c>
      <c r="S58" s="9">
        <f t="shared" si="8"/>
        <v>56</v>
      </c>
      <c r="T58" s="9">
        <f t="shared" si="5"/>
        <v>173</v>
      </c>
      <c r="U58" s="27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27">
        <f t="shared" si="7"/>
        <v>7.1999999999999981E-2</v>
      </c>
      <c r="E59" s="25">
        <f t="shared" si="0"/>
        <v>0.22800000000000001</v>
      </c>
      <c r="F59" s="25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11"/>
      <c r="M59" s="11"/>
      <c r="N59" s="9">
        <v>57</v>
      </c>
      <c r="O59" s="9">
        <f t="shared" si="10"/>
        <v>6</v>
      </c>
      <c r="P59" s="25">
        <f t="shared" si="3"/>
        <v>0.95</v>
      </c>
      <c r="Q59" s="25">
        <v>0.45</v>
      </c>
      <c r="R59" s="25">
        <f t="shared" si="4"/>
        <v>0.66666666666666663</v>
      </c>
      <c r="S59" s="9">
        <f t="shared" si="8"/>
        <v>57</v>
      </c>
      <c r="T59" s="9">
        <f t="shared" si="5"/>
        <v>176</v>
      </c>
      <c r="U59" s="27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27">
        <f t="shared" si="7"/>
        <v>7.149999999999998E-2</v>
      </c>
      <c r="E60" s="25">
        <f t="shared" si="0"/>
        <v>0.22850000000000001</v>
      </c>
      <c r="F60" s="25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11"/>
      <c r="M60" s="11"/>
      <c r="N60" s="9">
        <v>58</v>
      </c>
      <c r="O60" s="9">
        <f t="shared" si="10"/>
        <v>6</v>
      </c>
      <c r="P60" s="25">
        <f t="shared" si="3"/>
        <v>0.95</v>
      </c>
      <c r="Q60" s="25">
        <v>0.45</v>
      </c>
      <c r="R60" s="25">
        <f t="shared" si="4"/>
        <v>0.66666666666666663</v>
      </c>
      <c r="S60" s="9">
        <f t="shared" si="8"/>
        <v>58</v>
      </c>
      <c r="T60" s="9">
        <f t="shared" si="5"/>
        <v>179</v>
      </c>
      <c r="U60" s="27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27">
        <f t="shared" si="7"/>
        <v>7.099999999999998E-2</v>
      </c>
      <c r="E61" s="25">
        <f t="shared" si="0"/>
        <v>0.22900000000000001</v>
      </c>
      <c r="F61" s="25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11"/>
      <c r="M61" s="11"/>
      <c r="N61" s="9">
        <v>59</v>
      </c>
      <c r="O61" s="9">
        <f t="shared" si="10"/>
        <v>6</v>
      </c>
      <c r="P61" s="25">
        <f t="shared" si="3"/>
        <v>0.95</v>
      </c>
      <c r="Q61" s="25">
        <v>0.45</v>
      </c>
      <c r="R61" s="25">
        <f t="shared" si="4"/>
        <v>0.66666666666666663</v>
      </c>
      <c r="S61" s="9">
        <f t="shared" si="8"/>
        <v>59</v>
      </c>
      <c r="T61" s="9">
        <f t="shared" si="5"/>
        <v>182</v>
      </c>
      <c r="U61" s="27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27">
        <f t="shared" si="7"/>
        <v>7.0499999999999979E-2</v>
      </c>
      <c r="E62" s="25">
        <f t="shared" si="0"/>
        <v>0.22950000000000001</v>
      </c>
      <c r="F62" s="25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11"/>
      <c r="M62" s="11"/>
      <c r="N62" s="9">
        <v>60</v>
      </c>
      <c r="O62" s="9">
        <f t="shared" si="10"/>
        <v>6</v>
      </c>
      <c r="P62" s="25">
        <f t="shared" si="3"/>
        <v>0.95</v>
      </c>
      <c r="Q62" s="25">
        <v>0.45</v>
      </c>
      <c r="R62" s="25">
        <f t="shared" si="4"/>
        <v>0.66666666666666663</v>
      </c>
      <c r="S62" s="9">
        <f t="shared" si="8"/>
        <v>60</v>
      </c>
      <c r="T62" s="9">
        <f t="shared" si="5"/>
        <v>185</v>
      </c>
      <c r="U62" s="27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27">
        <f t="shared" si="7"/>
        <v>6.9999999999999979E-2</v>
      </c>
      <c r="E63" s="25">
        <f t="shared" si="0"/>
        <v>0.23</v>
      </c>
      <c r="F63" s="25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11"/>
      <c r="M63" s="11"/>
      <c r="N63" s="9">
        <v>61</v>
      </c>
      <c r="O63" s="9">
        <f t="shared" si="10"/>
        <v>7</v>
      </c>
      <c r="P63" s="25">
        <f t="shared" si="3"/>
        <v>0.95</v>
      </c>
      <c r="Q63" s="25">
        <v>0.45</v>
      </c>
      <c r="R63" s="25">
        <f t="shared" si="4"/>
        <v>0.66666666666666663</v>
      </c>
      <c r="S63" s="9">
        <f t="shared" si="8"/>
        <v>61</v>
      </c>
      <c r="T63" s="9">
        <f t="shared" si="5"/>
        <v>189</v>
      </c>
      <c r="U63" s="27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27">
        <f t="shared" si="7"/>
        <v>6.9499999999999978E-2</v>
      </c>
      <c r="E64" s="25">
        <f t="shared" si="0"/>
        <v>0.23050000000000001</v>
      </c>
      <c r="F64" s="25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11"/>
      <c r="M64" s="11"/>
      <c r="N64" s="9">
        <v>62</v>
      </c>
      <c r="O64" s="9">
        <f t="shared" si="10"/>
        <v>7</v>
      </c>
      <c r="P64" s="25">
        <f t="shared" si="3"/>
        <v>0.95</v>
      </c>
      <c r="Q64" s="25">
        <v>0.45</v>
      </c>
      <c r="R64" s="25">
        <f t="shared" si="4"/>
        <v>0.66666666666666663</v>
      </c>
      <c r="S64" s="9">
        <f t="shared" si="8"/>
        <v>62</v>
      </c>
      <c r="T64" s="9">
        <f t="shared" si="5"/>
        <v>192</v>
      </c>
      <c r="U64" s="27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27">
        <f t="shared" si="7"/>
        <v>6.8999999999999978E-2</v>
      </c>
      <c r="E65" s="25">
        <f t="shared" si="0"/>
        <v>0.23100000000000001</v>
      </c>
      <c r="F65" s="25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11"/>
      <c r="M65" s="11"/>
      <c r="N65" s="9">
        <v>63</v>
      </c>
      <c r="O65" s="9">
        <f t="shared" si="10"/>
        <v>7</v>
      </c>
      <c r="P65" s="25">
        <f t="shared" si="3"/>
        <v>0.95</v>
      </c>
      <c r="Q65" s="25">
        <v>0.45</v>
      </c>
      <c r="R65" s="25">
        <f t="shared" si="4"/>
        <v>0.66666666666666663</v>
      </c>
      <c r="S65" s="9">
        <f t="shared" si="8"/>
        <v>63</v>
      </c>
      <c r="T65" s="9">
        <f t="shared" si="5"/>
        <v>195</v>
      </c>
      <c r="U65" s="27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27">
        <f t="shared" si="7"/>
        <v>6.8499999999999978E-2</v>
      </c>
      <c r="E66" s="25">
        <f t="shared" si="0"/>
        <v>0.23150000000000001</v>
      </c>
      <c r="F66" s="25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11"/>
      <c r="M66" s="11"/>
      <c r="N66" s="9">
        <v>64</v>
      </c>
      <c r="O66" s="9">
        <f t="shared" si="10"/>
        <v>7</v>
      </c>
      <c r="P66" s="25">
        <f t="shared" si="3"/>
        <v>0.95</v>
      </c>
      <c r="Q66" s="25">
        <v>0.45</v>
      </c>
      <c r="R66" s="25">
        <f t="shared" si="4"/>
        <v>0.66666666666666663</v>
      </c>
      <c r="S66" s="9">
        <f t="shared" si="8"/>
        <v>64</v>
      </c>
      <c r="T66" s="9">
        <f t="shared" si="5"/>
        <v>198</v>
      </c>
      <c r="U66" s="27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27">
        <f t="shared" si="7"/>
        <v>6.7999999999999977E-2</v>
      </c>
      <c r="E67" s="25">
        <f t="shared" si="0"/>
        <v>0.23200000000000001</v>
      </c>
      <c r="F67" s="25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11"/>
      <c r="M67" s="11"/>
      <c r="N67" s="9">
        <v>65</v>
      </c>
      <c r="O67" s="9">
        <f t="shared" si="10"/>
        <v>7</v>
      </c>
      <c r="P67" s="25">
        <f t="shared" si="3"/>
        <v>0.95</v>
      </c>
      <c r="Q67" s="25">
        <v>0.45</v>
      </c>
      <c r="R67" s="25">
        <f t="shared" si="4"/>
        <v>0.66666666666666663</v>
      </c>
      <c r="S67" s="9">
        <f t="shared" si="8"/>
        <v>65</v>
      </c>
      <c r="T67" s="9">
        <f t="shared" si="5"/>
        <v>201</v>
      </c>
      <c r="U67" s="27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27">
        <f t="shared" si="7"/>
        <v>6.7499999999999977E-2</v>
      </c>
      <c r="E68" s="25">
        <f t="shared" ref="E68:E101" si="15">F68-D68</f>
        <v>0.23250000000000001</v>
      </c>
      <c r="F68" s="25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11"/>
      <c r="M68" s="11"/>
      <c r="N68" s="9">
        <v>66</v>
      </c>
      <c r="O68" s="9">
        <f t="shared" si="10"/>
        <v>7</v>
      </c>
      <c r="P68" s="25">
        <f t="shared" ref="P68:P101" si="18">50%+Q68</f>
        <v>0.95</v>
      </c>
      <c r="Q68" s="25">
        <v>0.45</v>
      </c>
      <c r="R68" s="25">
        <f t="shared" ref="R68:R101" si="19">S68/(S68+N68*5)+50%</f>
        <v>0.66666666666666663</v>
      </c>
      <c r="S68" s="9">
        <f t="shared" si="8"/>
        <v>66</v>
      </c>
      <c r="T68" s="9">
        <f t="shared" ref="T68:T101" si="20">ROUND((S68*Q68-S68+5*Q68*N68)/(1-Q68),0)</f>
        <v>204</v>
      </c>
      <c r="U68" s="27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27">
        <f t="shared" ref="D69:D101" si="21">D68-0.0005</f>
        <v>6.6999999999999976E-2</v>
      </c>
      <c r="E69" s="25">
        <f t="shared" si="15"/>
        <v>0.23300000000000001</v>
      </c>
      <c r="F69" s="25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11"/>
      <c r="M69" s="11"/>
      <c r="N69" s="9">
        <v>67</v>
      </c>
      <c r="O69" s="9">
        <f t="shared" si="10"/>
        <v>7</v>
      </c>
      <c r="P69" s="25">
        <f t="shared" si="18"/>
        <v>0.95</v>
      </c>
      <c r="Q69" s="25">
        <v>0.45</v>
      </c>
      <c r="R69" s="25">
        <f t="shared" si="19"/>
        <v>0.66666666666666663</v>
      </c>
      <c r="S69" s="9">
        <f t="shared" ref="S69:S101" si="22">S68+1</f>
        <v>67</v>
      </c>
      <c r="T69" s="9">
        <f t="shared" si="20"/>
        <v>207</v>
      </c>
      <c r="U69" s="27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27">
        <f t="shared" si="21"/>
        <v>6.6499999999999976E-2</v>
      </c>
      <c r="E70" s="25">
        <f t="shared" si="15"/>
        <v>0.23350000000000001</v>
      </c>
      <c r="F70" s="25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11"/>
      <c r="M70" s="11"/>
      <c r="N70" s="9">
        <v>68</v>
      </c>
      <c r="O70" s="9">
        <f t="shared" si="10"/>
        <v>7</v>
      </c>
      <c r="P70" s="25">
        <f t="shared" si="18"/>
        <v>0.95</v>
      </c>
      <c r="Q70" s="25">
        <v>0.45</v>
      </c>
      <c r="R70" s="25">
        <f t="shared" si="19"/>
        <v>0.66666666666666663</v>
      </c>
      <c r="S70" s="9">
        <f t="shared" si="22"/>
        <v>68</v>
      </c>
      <c r="T70" s="9">
        <f t="shared" si="20"/>
        <v>210</v>
      </c>
      <c r="U70" s="27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27">
        <f t="shared" si="21"/>
        <v>6.5999999999999975E-2</v>
      </c>
      <c r="E71" s="25">
        <f t="shared" si="15"/>
        <v>0.23400000000000001</v>
      </c>
      <c r="F71" s="25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11"/>
      <c r="M71" s="11"/>
      <c r="N71" s="9">
        <v>69</v>
      </c>
      <c r="O71" s="9">
        <f t="shared" si="10"/>
        <v>7</v>
      </c>
      <c r="P71" s="25">
        <f t="shared" si="18"/>
        <v>0.95</v>
      </c>
      <c r="Q71" s="25">
        <v>0.45</v>
      </c>
      <c r="R71" s="25">
        <f t="shared" si="19"/>
        <v>0.66666666666666663</v>
      </c>
      <c r="S71" s="9">
        <f t="shared" si="22"/>
        <v>69</v>
      </c>
      <c r="T71" s="9">
        <f t="shared" si="20"/>
        <v>213</v>
      </c>
      <c r="U71" s="27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27">
        <f t="shared" si="21"/>
        <v>6.5499999999999975E-2</v>
      </c>
      <c r="E72" s="25">
        <f t="shared" si="15"/>
        <v>0.23450000000000001</v>
      </c>
      <c r="F72" s="25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11"/>
      <c r="M72" s="11"/>
      <c r="N72" s="9">
        <v>70</v>
      </c>
      <c r="O72" s="9">
        <f t="shared" si="10"/>
        <v>7</v>
      </c>
      <c r="P72" s="25">
        <f t="shared" si="18"/>
        <v>0.95</v>
      </c>
      <c r="Q72" s="25">
        <v>0.45</v>
      </c>
      <c r="R72" s="25">
        <f t="shared" si="19"/>
        <v>0.66666666666666663</v>
      </c>
      <c r="S72" s="9">
        <f t="shared" si="22"/>
        <v>70</v>
      </c>
      <c r="T72" s="9">
        <f t="shared" si="20"/>
        <v>216</v>
      </c>
      <c r="U72" s="27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27">
        <f t="shared" si="21"/>
        <v>6.4999999999999974E-2</v>
      </c>
      <c r="E73" s="25">
        <f t="shared" si="15"/>
        <v>0.23500000000000001</v>
      </c>
      <c r="F73" s="25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11"/>
      <c r="M73" s="11"/>
      <c r="N73" s="9">
        <v>71</v>
      </c>
      <c r="O73" s="9">
        <f t="shared" si="10"/>
        <v>8</v>
      </c>
      <c r="P73" s="25">
        <f t="shared" si="18"/>
        <v>0.95</v>
      </c>
      <c r="Q73" s="25">
        <v>0.45</v>
      </c>
      <c r="R73" s="25">
        <f t="shared" si="19"/>
        <v>0.66666666666666663</v>
      </c>
      <c r="S73" s="9">
        <f t="shared" si="22"/>
        <v>71</v>
      </c>
      <c r="T73" s="9">
        <f t="shared" si="20"/>
        <v>219</v>
      </c>
      <c r="U73" s="27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27">
        <f t="shared" si="21"/>
        <v>6.4499999999999974E-2</v>
      </c>
      <c r="E74" s="25">
        <f t="shared" si="15"/>
        <v>0.23550000000000001</v>
      </c>
      <c r="F74" s="25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11"/>
      <c r="M74" s="11"/>
      <c r="N74" s="9">
        <v>72</v>
      </c>
      <c r="O74" s="9">
        <f t="shared" si="10"/>
        <v>8</v>
      </c>
      <c r="P74" s="25">
        <f t="shared" si="18"/>
        <v>0.95</v>
      </c>
      <c r="Q74" s="25">
        <v>0.45</v>
      </c>
      <c r="R74" s="25">
        <f t="shared" si="19"/>
        <v>0.66666666666666663</v>
      </c>
      <c r="S74" s="9">
        <f t="shared" si="22"/>
        <v>72</v>
      </c>
      <c r="T74" s="9">
        <f t="shared" si="20"/>
        <v>223</v>
      </c>
      <c r="U74" s="27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27">
        <f t="shared" si="21"/>
        <v>6.3999999999999974E-2</v>
      </c>
      <c r="E75" s="25">
        <f t="shared" si="15"/>
        <v>0.23600000000000002</v>
      </c>
      <c r="F75" s="25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11"/>
      <c r="M75" s="11"/>
      <c r="N75" s="9">
        <v>73</v>
      </c>
      <c r="O75" s="9">
        <f t="shared" si="10"/>
        <v>8</v>
      </c>
      <c r="P75" s="25">
        <f t="shared" si="18"/>
        <v>0.95</v>
      </c>
      <c r="Q75" s="25">
        <v>0.45</v>
      </c>
      <c r="R75" s="25">
        <f t="shared" si="19"/>
        <v>0.66666666666666663</v>
      </c>
      <c r="S75" s="9">
        <f t="shared" si="22"/>
        <v>73</v>
      </c>
      <c r="T75" s="9">
        <f t="shared" si="20"/>
        <v>226</v>
      </c>
      <c r="U75" s="27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27">
        <f t="shared" si="21"/>
        <v>6.3499999999999973E-2</v>
      </c>
      <c r="E76" s="25">
        <f t="shared" si="15"/>
        <v>0.23650000000000002</v>
      </c>
      <c r="F76" s="25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11"/>
      <c r="M76" s="11"/>
      <c r="N76" s="9">
        <v>74</v>
      </c>
      <c r="O76" s="9">
        <f t="shared" si="10"/>
        <v>8</v>
      </c>
      <c r="P76" s="25">
        <f t="shared" si="18"/>
        <v>0.95</v>
      </c>
      <c r="Q76" s="25">
        <v>0.45</v>
      </c>
      <c r="R76" s="25">
        <f t="shared" si="19"/>
        <v>0.66666666666666663</v>
      </c>
      <c r="S76" s="9">
        <f t="shared" si="22"/>
        <v>74</v>
      </c>
      <c r="T76" s="9">
        <f t="shared" si="20"/>
        <v>229</v>
      </c>
      <c r="U76" s="27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27">
        <f t="shared" si="21"/>
        <v>6.2999999999999973E-2</v>
      </c>
      <c r="E77" s="25">
        <f t="shared" si="15"/>
        <v>0.23700000000000002</v>
      </c>
      <c r="F77" s="25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11"/>
      <c r="M77" s="11"/>
      <c r="N77" s="9">
        <v>75</v>
      </c>
      <c r="O77" s="9">
        <f t="shared" si="10"/>
        <v>8</v>
      </c>
      <c r="P77" s="25">
        <f t="shared" si="18"/>
        <v>0.95</v>
      </c>
      <c r="Q77" s="25">
        <v>0.45</v>
      </c>
      <c r="R77" s="25">
        <f t="shared" si="19"/>
        <v>0.66666666666666663</v>
      </c>
      <c r="S77" s="9">
        <f t="shared" si="22"/>
        <v>75</v>
      </c>
      <c r="T77" s="9">
        <f t="shared" si="20"/>
        <v>232</v>
      </c>
      <c r="U77" s="27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27">
        <f t="shared" si="21"/>
        <v>6.2499999999999972E-2</v>
      </c>
      <c r="E78" s="25">
        <f t="shared" si="15"/>
        <v>0.23750000000000002</v>
      </c>
      <c r="F78" s="25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11"/>
      <c r="M78" s="11"/>
      <c r="N78" s="9">
        <v>76</v>
      </c>
      <c r="O78" s="9">
        <f t="shared" ref="O78:O101" si="24">O68+1</f>
        <v>8</v>
      </c>
      <c r="P78" s="25">
        <f t="shared" si="18"/>
        <v>0.95</v>
      </c>
      <c r="Q78" s="25">
        <v>0.45</v>
      </c>
      <c r="R78" s="25">
        <f t="shared" si="19"/>
        <v>0.66666666666666663</v>
      </c>
      <c r="S78" s="9">
        <f t="shared" si="22"/>
        <v>76</v>
      </c>
      <c r="T78" s="9">
        <f t="shared" si="20"/>
        <v>235</v>
      </c>
      <c r="U78" s="27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27">
        <f t="shared" si="21"/>
        <v>6.1999999999999972E-2</v>
      </c>
      <c r="E79" s="25">
        <f t="shared" si="15"/>
        <v>0.23800000000000002</v>
      </c>
      <c r="F79" s="25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11"/>
      <c r="M79" s="11"/>
      <c r="N79" s="9">
        <v>77</v>
      </c>
      <c r="O79" s="9">
        <f t="shared" si="24"/>
        <v>8</v>
      </c>
      <c r="P79" s="25">
        <f t="shared" si="18"/>
        <v>0.95</v>
      </c>
      <c r="Q79" s="25">
        <v>0.45</v>
      </c>
      <c r="R79" s="25">
        <f t="shared" si="19"/>
        <v>0.66666666666666663</v>
      </c>
      <c r="S79" s="9">
        <f t="shared" si="22"/>
        <v>77</v>
      </c>
      <c r="T79" s="9">
        <f t="shared" si="20"/>
        <v>238</v>
      </c>
      <c r="U79" s="27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27">
        <f t="shared" si="21"/>
        <v>6.1499999999999971E-2</v>
      </c>
      <c r="E80" s="25">
        <f t="shared" si="15"/>
        <v>0.23850000000000002</v>
      </c>
      <c r="F80" s="25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11"/>
      <c r="M80" s="11"/>
      <c r="N80" s="9">
        <v>78</v>
      </c>
      <c r="O80" s="9">
        <f t="shared" si="24"/>
        <v>8</v>
      </c>
      <c r="P80" s="25">
        <f t="shared" si="18"/>
        <v>0.95</v>
      </c>
      <c r="Q80" s="25">
        <v>0.45</v>
      </c>
      <c r="R80" s="25">
        <f t="shared" si="19"/>
        <v>0.66666666666666663</v>
      </c>
      <c r="S80" s="9">
        <f t="shared" si="22"/>
        <v>78</v>
      </c>
      <c r="T80" s="9">
        <f t="shared" si="20"/>
        <v>241</v>
      </c>
      <c r="U80" s="27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27">
        <f t="shared" si="21"/>
        <v>6.0999999999999971E-2</v>
      </c>
      <c r="E81" s="25">
        <f t="shared" si="15"/>
        <v>0.23900000000000002</v>
      </c>
      <c r="F81" s="25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11"/>
      <c r="M81" s="11"/>
      <c r="N81" s="9">
        <v>79</v>
      </c>
      <c r="O81" s="9">
        <f t="shared" si="24"/>
        <v>8</v>
      </c>
      <c r="P81" s="25">
        <f t="shared" si="18"/>
        <v>0.95</v>
      </c>
      <c r="Q81" s="25">
        <v>0.45</v>
      </c>
      <c r="R81" s="25">
        <f t="shared" si="19"/>
        <v>0.66666666666666663</v>
      </c>
      <c r="S81" s="9">
        <f t="shared" si="22"/>
        <v>79</v>
      </c>
      <c r="T81" s="9">
        <f t="shared" si="20"/>
        <v>244</v>
      </c>
      <c r="U81" s="27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27">
        <f t="shared" si="21"/>
        <v>6.049999999999997E-2</v>
      </c>
      <c r="E82" s="25">
        <f t="shared" si="15"/>
        <v>0.23950000000000002</v>
      </c>
      <c r="F82" s="25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11"/>
      <c r="M82" s="11"/>
      <c r="N82" s="9">
        <v>80</v>
      </c>
      <c r="O82" s="9">
        <f t="shared" si="24"/>
        <v>8</v>
      </c>
      <c r="P82" s="25">
        <f t="shared" si="18"/>
        <v>0.95</v>
      </c>
      <c r="Q82" s="25">
        <v>0.45</v>
      </c>
      <c r="R82" s="25">
        <f t="shared" si="19"/>
        <v>0.66666666666666663</v>
      </c>
      <c r="S82" s="9">
        <f t="shared" si="22"/>
        <v>80</v>
      </c>
      <c r="T82" s="9">
        <f t="shared" si="20"/>
        <v>247</v>
      </c>
      <c r="U82" s="27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27">
        <f t="shared" si="21"/>
        <v>5.999999999999997E-2</v>
      </c>
      <c r="E83" s="25">
        <f t="shared" si="15"/>
        <v>0.24000000000000002</v>
      </c>
      <c r="F83" s="25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11"/>
      <c r="M83" s="11"/>
      <c r="N83" s="9">
        <v>81</v>
      </c>
      <c r="O83" s="9">
        <f t="shared" si="24"/>
        <v>9</v>
      </c>
      <c r="P83" s="25">
        <f t="shared" si="18"/>
        <v>0.95</v>
      </c>
      <c r="Q83" s="25">
        <v>0.45</v>
      </c>
      <c r="R83" s="25">
        <f t="shared" si="19"/>
        <v>0.66666666666666663</v>
      </c>
      <c r="S83" s="9">
        <f t="shared" si="22"/>
        <v>81</v>
      </c>
      <c r="T83" s="9">
        <f t="shared" si="20"/>
        <v>250</v>
      </c>
      <c r="U83" s="27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27">
        <f t="shared" si="21"/>
        <v>5.949999999999997E-2</v>
      </c>
      <c r="E84" s="25">
        <f t="shared" si="15"/>
        <v>0.24050000000000002</v>
      </c>
      <c r="F84" s="25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11"/>
      <c r="M84" s="11"/>
      <c r="N84" s="9">
        <v>82</v>
      </c>
      <c r="O84" s="9">
        <f t="shared" si="24"/>
        <v>9</v>
      </c>
      <c r="P84" s="25">
        <f t="shared" si="18"/>
        <v>0.95</v>
      </c>
      <c r="Q84" s="25">
        <v>0.45</v>
      </c>
      <c r="R84" s="25">
        <f t="shared" si="19"/>
        <v>0.66666666666666663</v>
      </c>
      <c r="S84" s="9">
        <f t="shared" si="22"/>
        <v>82</v>
      </c>
      <c r="T84" s="9">
        <f t="shared" si="20"/>
        <v>253</v>
      </c>
      <c r="U84" s="27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27">
        <f t="shared" si="21"/>
        <v>5.8999999999999969E-2</v>
      </c>
      <c r="E85" s="25">
        <f t="shared" si="15"/>
        <v>0.24100000000000002</v>
      </c>
      <c r="F85" s="25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11"/>
      <c r="M85" s="11"/>
      <c r="N85" s="9">
        <v>83</v>
      </c>
      <c r="O85" s="9">
        <f t="shared" si="24"/>
        <v>9</v>
      </c>
      <c r="P85" s="25">
        <f t="shared" si="18"/>
        <v>0.95</v>
      </c>
      <c r="Q85" s="25">
        <v>0.45</v>
      </c>
      <c r="R85" s="25">
        <f t="shared" si="19"/>
        <v>0.66666666666666663</v>
      </c>
      <c r="S85" s="9">
        <f t="shared" si="22"/>
        <v>83</v>
      </c>
      <c r="T85" s="9">
        <f t="shared" si="20"/>
        <v>257</v>
      </c>
      <c r="U85" s="27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27">
        <f t="shared" si="21"/>
        <v>5.8499999999999969E-2</v>
      </c>
      <c r="E86" s="25">
        <f t="shared" si="15"/>
        <v>0.24150000000000002</v>
      </c>
      <c r="F86" s="25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11"/>
      <c r="M86" s="11"/>
      <c r="N86" s="9">
        <v>84</v>
      </c>
      <c r="O86" s="9">
        <f t="shared" si="24"/>
        <v>9</v>
      </c>
      <c r="P86" s="25">
        <f t="shared" si="18"/>
        <v>0.95</v>
      </c>
      <c r="Q86" s="25">
        <v>0.45</v>
      </c>
      <c r="R86" s="25">
        <f t="shared" si="19"/>
        <v>0.66666666666666663</v>
      </c>
      <c r="S86" s="9">
        <f t="shared" si="22"/>
        <v>84</v>
      </c>
      <c r="T86" s="9">
        <f t="shared" si="20"/>
        <v>260</v>
      </c>
      <c r="U86" s="27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27">
        <f t="shared" si="21"/>
        <v>5.7999999999999968E-2</v>
      </c>
      <c r="E87" s="25">
        <f t="shared" si="15"/>
        <v>0.24200000000000002</v>
      </c>
      <c r="F87" s="25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11"/>
      <c r="M87" s="11"/>
      <c r="N87" s="9">
        <v>85</v>
      </c>
      <c r="O87" s="9">
        <f t="shared" si="24"/>
        <v>9</v>
      </c>
      <c r="P87" s="25">
        <f t="shared" si="18"/>
        <v>0.95</v>
      </c>
      <c r="Q87" s="25">
        <v>0.45</v>
      </c>
      <c r="R87" s="25">
        <f t="shared" si="19"/>
        <v>0.66666666666666663</v>
      </c>
      <c r="S87" s="9">
        <f t="shared" si="22"/>
        <v>85</v>
      </c>
      <c r="T87" s="9">
        <f t="shared" si="20"/>
        <v>263</v>
      </c>
      <c r="U87" s="27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27">
        <f t="shared" si="21"/>
        <v>5.7499999999999968E-2</v>
      </c>
      <c r="E88" s="25">
        <f t="shared" si="15"/>
        <v>0.24250000000000002</v>
      </c>
      <c r="F88" s="25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11"/>
      <c r="M88" s="11"/>
      <c r="N88" s="9">
        <v>86</v>
      </c>
      <c r="O88" s="9">
        <f t="shared" si="24"/>
        <v>9</v>
      </c>
      <c r="P88" s="25">
        <f t="shared" si="18"/>
        <v>0.95</v>
      </c>
      <c r="Q88" s="25">
        <v>0.45</v>
      </c>
      <c r="R88" s="25">
        <f t="shared" si="19"/>
        <v>0.66666666666666663</v>
      </c>
      <c r="S88" s="9">
        <f t="shared" si="22"/>
        <v>86</v>
      </c>
      <c r="T88" s="9">
        <f t="shared" si="20"/>
        <v>266</v>
      </c>
      <c r="U88" s="27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27">
        <f t="shared" si="21"/>
        <v>5.6999999999999967E-2</v>
      </c>
      <c r="E89" s="25">
        <f t="shared" si="15"/>
        <v>0.24300000000000002</v>
      </c>
      <c r="F89" s="25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11"/>
      <c r="M89" s="11"/>
      <c r="N89" s="9">
        <v>87</v>
      </c>
      <c r="O89" s="9">
        <f t="shared" si="24"/>
        <v>9</v>
      </c>
      <c r="P89" s="25">
        <f t="shared" si="18"/>
        <v>0.95</v>
      </c>
      <c r="Q89" s="25">
        <v>0.45</v>
      </c>
      <c r="R89" s="25">
        <f t="shared" si="19"/>
        <v>0.66666666666666663</v>
      </c>
      <c r="S89" s="9">
        <f t="shared" si="22"/>
        <v>87</v>
      </c>
      <c r="T89" s="9">
        <f t="shared" si="20"/>
        <v>269</v>
      </c>
      <c r="U89" s="27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27">
        <f t="shared" si="21"/>
        <v>5.6499999999999967E-2</v>
      </c>
      <c r="E90" s="25">
        <f t="shared" si="15"/>
        <v>0.24350000000000002</v>
      </c>
      <c r="F90" s="25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11"/>
      <c r="M90" s="11"/>
      <c r="N90" s="9">
        <v>88</v>
      </c>
      <c r="O90" s="9">
        <f t="shared" si="24"/>
        <v>9</v>
      </c>
      <c r="P90" s="25">
        <f t="shared" si="18"/>
        <v>0.95</v>
      </c>
      <c r="Q90" s="25">
        <v>0.45</v>
      </c>
      <c r="R90" s="25">
        <f t="shared" si="19"/>
        <v>0.66666666666666663</v>
      </c>
      <c r="S90" s="9">
        <f t="shared" si="22"/>
        <v>88</v>
      </c>
      <c r="T90" s="9">
        <f t="shared" si="20"/>
        <v>272</v>
      </c>
      <c r="U90" s="27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27">
        <f t="shared" si="21"/>
        <v>5.5999999999999966E-2</v>
      </c>
      <c r="E91" s="25">
        <f t="shared" si="15"/>
        <v>0.24400000000000002</v>
      </c>
      <c r="F91" s="25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11"/>
      <c r="M91" s="11"/>
      <c r="N91" s="9">
        <v>89</v>
      </c>
      <c r="O91" s="9">
        <f t="shared" si="24"/>
        <v>9</v>
      </c>
      <c r="P91" s="25">
        <f t="shared" si="18"/>
        <v>0.95</v>
      </c>
      <c r="Q91" s="25">
        <v>0.45</v>
      </c>
      <c r="R91" s="25">
        <f t="shared" si="19"/>
        <v>0.66666666666666663</v>
      </c>
      <c r="S91" s="9">
        <f t="shared" si="22"/>
        <v>89</v>
      </c>
      <c r="T91" s="9">
        <f t="shared" si="20"/>
        <v>275</v>
      </c>
      <c r="U91" s="27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27">
        <f t="shared" si="21"/>
        <v>5.5499999999999966E-2</v>
      </c>
      <c r="E92" s="25">
        <f t="shared" si="15"/>
        <v>0.24450000000000002</v>
      </c>
      <c r="F92" s="25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11"/>
      <c r="M92" s="11"/>
      <c r="N92" s="9">
        <v>90</v>
      </c>
      <c r="O92" s="9">
        <f t="shared" si="24"/>
        <v>9</v>
      </c>
      <c r="P92" s="25">
        <f t="shared" si="18"/>
        <v>0.95</v>
      </c>
      <c r="Q92" s="25">
        <v>0.45</v>
      </c>
      <c r="R92" s="25">
        <f t="shared" si="19"/>
        <v>0.66666666666666663</v>
      </c>
      <c r="S92" s="9">
        <f t="shared" si="22"/>
        <v>90</v>
      </c>
      <c r="T92" s="9">
        <f t="shared" si="20"/>
        <v>278</v>
      </c>
      <c r="U92" s="27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27">
        <f t="shared" si="21"/>
        <v>5.4999999999999966E-2</v>
      </c>
      <c r="E93" s="25">
        <f t="shared" si="15"/>
        <v>0.24500000000000002</v>
      </c>
      <c r="F93" s="25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11"/>
      <c r="M93" s="11"/>
      <c r="N93" s="9">
        <v>91</v>
      </c>
      <c r="O93" s="9">
        <f t="shared" si="24"/>
        <v>10</v>
      </c>
      <c r="P93" s="25">
        <f t="shared" si="18"/>
        <v>0.95</v>
      </c>
      <c r="Q93" s="25">
        <v>0.45</v>
      </c>
      <c r="R93" s="25">
        <f t="shared" si="19"/>
        <v>0.66666666666666663</v>
      </c>
      <c r="S93" s="9">
        <f t="shared" si="22"/>
        <v>91</v>
      </c>
      <c r="T93" s="9">
        <f t="shared" si="20"/>
        <v>281</v>
      </c>
      <c r="U93" s="27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27">
        <f t="shared" si="21"/>
        <v>5.4499999999999965E-2</v>
      </c>
      <c r="E94" s="25">
        <f t="shared" si="15"/>
        <v>0.24550000000000002</v>
      </c>
      <c r="F94" s="25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11"/>
      <c r="M94" s="11"/>
      <c r="N94" s="9">
        <v>92</v>
      </c>
      <c r="O94" s="9">
        <f t="shared" si="24"/>
        <v>10</v>
      </c>
      <c r="P94" s="25">
        <f t="shared" si="18"/>
        <v>0.95</v>
      </c>
      <c r="Q94" s="25">
        <v>0.45</v>
      </c>
      <c r="R94" s="25">
        <f t="shared" si="19"/>
        <v>0.66666666666666663</v>
      </c>
      <c r="S94" s="9">
        <f t="shared" si="22"/>
        <v>92</v>
      </c>
      <c r="T94" s="9">
        <f t="shared" si="20"/>
        <v>284</v>
      </c>
      <c r="U94" s="27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27">
        <f t="shared" si="21"/>
        <v>5.3999999999999965E-2</v>
      </c>
      <c r="E95" s="25">
        <f t="shared" si="15"/>
        <v>0.24600000000000002</v>
      </c>
      <c r="F95" s="25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11"/>
      <c r="M95" s="11"/>
      <c r="N95" s="9">
        <v>93</v>
      </c>
      <c r="O95" s="9">
        <f t="shared" si="24"/>
        <v>10</v>
      </c>
      <c r="P95" s="25">
        <f t="shared" si="18"/>
        <v>0.95</v>
      </c>
      <c r="Q95" s="25">
        <v>0.45</v>
      </c>
      <c r="R95" s="25">
        <f t="shared" si="19"/>
        <v>0.66666666666666663</v>
      </c>
      <c r="S95" s="9">
        <f t="shared" si="22"/>
        <v>93</v>
      </c>
      <c r="T95" s="9">
        <f t="shared" si="20"/>
        <v>287</v>
      </c>
      <c r="U95" s="27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27">
        <f t="shared" si="21"/>
        <v>5.3499999999999964E-2</v>
      </c>
      <c r="E96" s="25">
        <f t="shared" si="15"/>
        <v>0.24650000000000002</v>
      </c>
      <c r="F96" s="25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11"/>
      <c r="M96" s="11"/>
      <c r="N96" s="9">
        <v>94</v>
      </c>
      <c r="O96" s="9">
        <f t="shared" si="24"/>
        <v>10</v>
      </c>
      <c r="P96" s="25">
        <f t="shared" si="18"/>
        <v>0.95</v>
      </c>
      <c r="Q96" s="25">
        <v>0.45</v>
      </c>
      <c r="R96" s="25">
        <f t="shared" si="19"/>
        <v>0.66666666666666663</v>
      </c>
      <c r="S96" s="9">
        <f t="shared" si="22"/>
        <v>94</v>
      </c>
      <c r="T96" s="9">
        <f t="shared" si="20"/>
        <v>291</v>
      </c>
      <c r="U96" s="27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27">
        <f t="shared" si="21"/>
        <v>5.2999999999999964E-2</v>
      </c>
      <c r="E97" s="25">
        <f t="shared" si="15"/>
        <v>0.24700000000000003</v>
      </c>
      <c r="F97" s="25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11"/>
      <c r="M97" s="11"/>
      <c r="N97" s="9">
        <v>95</v>
      </c>
      <c r="O97" s="9">
        <f t="shared" si="24"/>
        <v>10</v>
      </c>
      <c r="P97" s="25">
        <f t="shared" si="18"/>
        <v>0.95</v>
      </c>
      <c r="Q97" s="25">
        <v>0.45</v>
      </c>
      <c r="R97" s="25">
        <f t="shared" si="19"/>
        <v>0.66666666666666663</v>
      </c>
      <c r="S97" s="9">
        <f t="shared" si="22"/>
        <v>95</v>
      </c>
      <c r="T97" s="9">
        <f t="shared" si="20"/>
        <v>294</v>
      </c>
      <c r="U97" s="27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27">
        <f t="shared" si="21"/>
        <v>5.2499999999999963E-2</v>
      </c>
      <c r="E98" s="25">
        <f t="shared" si="15"/>
        <v>0.24750000000000003</v>
      </c>
      <c r="F98" s="25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11"/>
      <c r="M98" s="11"/>
      <c r="N98" s="9">
        <v>96</v>
      </c>
      <c r="O98" s="9">
        <f t="shared" si="24"/>
        <v>10</v>
      </c>
      <c r="P98" s="25">
        <f t="shared" si="18"/>
        <v>0.95</v>
      </c>
      <c r="Q98" s="25">
        <v>0.45</v>
      </c>
      <c r="R98" s="25">
        <f t="shared" si="19"/>
        <v>0.66666666666666663</v>
      </c>
      <c r="S98" s="9">
        <f t="shared" si="22"/>
        <v>96</v>
      </c>
      <c r="T98" s="9">
        <f t="shared" si="20"/>
        <v>297</v>
      </c>
      <c r="U98" s="27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27">
        <f t="shared" si="21"/>
        <v>5.1999999999999963E-2</v>
      </c>
      <c r="E99" s="25">
        <f t="shared" si="15"/>
        <v>0.24800000000000003</v>
      </c>
      <c r="F99" s="25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11"/>
      <c r="M99" s="11"/>
      <c r="N99" s="9">
        <v>97</v>
      </c>
      <c r="O99" s="9">
        <f t="shared" si="24"/>
        <v>10</v>
      </c>
      <c r="P99" s="25">
        <f t="shared" si="18"/>
        <v>0.95</v>
      </c>
      <c r="Q99" s="25">
        <v>0.45</v>
      </c>
      <c r="R99" s="25">
        <f t="shared" si="19"/>
        <v>0.66666666666666663</v>
      </c>
      <c r="S99" s="9">
        <f t="shared" si="22"/>
        <v>97</v>
      </c>
      <c r="T99" s="9">
        <f t="shared" si="20"/>
        <v>300</v>
      </c>
      <c r="U99" s="27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27">
        <f t="shared" si="21"/>
        <v>5.1499999999999962E-2</v>
      </c>
      <c r="E100" s="25">
        <f t="shared" si="15"/>
        <v>0.24850000000000003</v>
      </c>
      <c r="F100" s="25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11"/>
      <c r="M100" s="11"/>
      <c r="N100" s="9">
        <v>98</v>
      </c>
      <c r="O100" s="9">
        <f t="shared" si="24"/>
        <v>10</v>
      </c>
      <c r="P100" s="25">
        <f t="shared" si="18"/>
        <v>0.95</v>
      </c>
      <c r="Q100" s="25">
        <v>0.45</v>
      </c>
      <c r="R100" s="25">
        <f t="shared" si="19"/>
        <v>0.66666666666666663</v>
      </c>
      <c r="S100" s="9">
        <f t="shared" si="22"/>
        <v>98</v>
      </c>
      <c r="T100" s="9">
        <f t="shared" si="20"/>
        <v>303</v>
      </c>
      <c r="U100" s="27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27">
        <f t="shared" si="21"/>
        <v>5.0999999999999962E-2</v>
      </c>
      <c r="E101" s="25">
        <f t="shared" si="15"/>
        <v>0.24900000000000003</v>
      </c>
      <c r="F101" s="25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11"/>
      <c r="M101" s="11"/>
      <c r="N101" s="9">
        <v>99</v>
      </c>
      <c r="O101" s="9">
        <f t="shared" si="24"/>
        <v>10</v>
      </c>
      <c r="P101" s="25">
        <f t="shared" si="18"/>
        <v>0.95</v>
      </c>
      <c r="Q101" s="25">
        <v>0.45</v>
      </c>
      <c r="R101" s="25">
        <f t="shared" si="19"/>
        <v>0.66666666666666663</v>
      </c>
      <c r="S101" s="9">
        <f t="shared" si="22"/>
        <v>99</v>
      </c>
      <c r="T101" s="9">
        <f t="shared" si="20"/>
        <v>306</v>
      </c>
      <c r="U101" s="27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N125"/>
  <sheetViews>
    <sheetView tabSelected="1" topLeftCell="A13" workbookViewId="0">
      <selection activeCell="H31" sqref="H31"/>
    </sheetView>
  </sheetViews>
  <sheetFormatPr defaultRowHeight="12.75" x14ac:dyDescent="0.15"/>
  <cols>
    <col min="1" max="16384" width="9" style="1"/>
  </cols>
  <sheetData>
    <row r="1" spans="2:17" x14ac:dyDescent="0.15">
      <c r="O1" s="18"/>
    </row>
    <row r="2" spans="2:17" x14ac:dyDescent="0.15">
      <c r="B2" s="15" t="s">
        <v>63</v>
      </c>
      <c r="C2" s="15" t="s">
        <v>779</v>
      </c>
      <c r="D2" s="15" t="s">
        <v>780</v>
      </c>
      <c r="E2" s="15" t="s">
        <v>781</v>
      </c>
      <c r="H2" s="15" t="s">
        <v>85</v>
      </c>
      <c r="I2" s="15" t="s">
        <v>782</v>
      </c>
      <c r="J2" s="15" t="s">
        <v>783</v>
      </c>
      <c r="K2" s="15" t="s">
        <v>0</v>
      </c>
      <c r="L2" s="15" t="s">
        <v>784</v>
      </c>
      <c r="M2" s="15" t="s">
        <v>785</v>
      </c>
      <c r="N2" s="15" t="s">
        <v>786</v>
      </c>
      <c r="O2" s="15" t="s">
        <v>787</v>
      </c>
      <c r="P2" s="15" t="s">
        <v>788</v>
      </c>
      <c r="Q2" s="15" t="s">
        <v>789</v>
      </c>
    </row>
    <row r="3" spans="2:17" x14ac:dyDescent="0.15">
      <c r="B3" s="2">
        <v>1</v>
      </c>
      <c r="C3" s="2" t="s">
        <v>790</v>
      </c>
      <c r="D3" s="2">
        <v>10</v>
      </c>
      <c r="E3" s="2">
        <v>10</v>
      </c>
      <c r="F3" s="1">
        <v>1</v>
      </c>
      <c r="H3" s="2">
        <v>0</v>
      </c>
      <c r="I3" s="2" t="s">
        <v>791</v>
      </c>
      <c r="J3" s="2" t="s">
        <v>476</v>
      </c>
      <c r="K3" s="17">
        <f>(1-N3)</f>
        <v>0.9</v>
      </c>
      <c r="L3" s="2">
        <v>0.5</v>
      </c>
      <c r="M3" s="2">
        <v>0.5</v>
      </c>
      <c r="N3" s="29">
        <v>0.1</v>
      </c>
      <c r="O3" s="2">
        <v>1</v>
      </c>
      <c r="P3" s="2">
        <v>1</v>
      </c>
      <c r="Q3" s="2">
        <v>1</v>
      </c>
    </row>
    <row r="4" spans="2:17" x14ac:dyDescent="0.15">
      <c r="B4" s="2">
        <v>2</v>
      </c>
      <c r="C4" s="2" t="s">
        <v>492</v>
      </c>
      <c r="D4" s="2">
        <f>D3+0.5</f>
        <v>10.5</v>
      </c>
      <c r="E4" s="2">
        <f>D3/(D4/E3)</f>
        <v>9.5238095238095237</v>
      </c>
      <c r="F4" s="1">
        <v>2</v>
      </c>
      <c r="H4" s="2">
        <v>1</v>
      </c>
      <c r="I4" s="2" t="s">
        <v>792</v>
      </c>
      <c r="J4" s="2" t="s">
        <v>478</v>
      </c>
      <c r="K4" s="17">
        <f t="shared" ref="K4:K15" si="0">(1-N4)</f>
        <v>0.85</v>
      </c>
      <c r="L4" s="2">
        <v>0.8</v>
      </c>
      <c r="M4" s="2">
        <v>0.2</v>
      </c>
      <c r="N4" s="29">
        <v>0.15</v>
      </c>
      <c r="O4" s="2">
        <v>1.3</v>
      </c>
      <c r="P4" s="2">
        <v>0.9</v>
      </c>
      <c r="Q4" s="2">
        <v>0.9</v>
      </c>
    </row>
    <row r="5" spans="2:17" x14ac:dyDescent="0.15">
      <c r="B5" s="2">
        <v>3</v>
      </c>
      <c r="C5" s="2" t="s">
        <v>792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2">
        <v>2</v>
      </c>
      <c r="I5" s="2" t="s">
        <v>479</v>
      </c>
      <c r="J5" s="2" t="s">
        <v>793</v>
      </c>
      <c r="K5" s="17">
        <f t="shared" si="0"/>
        <v>0.75</v>
      </c>
      <c r="L5" s="2">
        <v>0.9</v>
      </c>
      <c r="M5" s="2">
        <v>0.1</v>
      </c>
      <c r="N5" s="29">
        <v>0.25</v>
      </c>
      <c r="O5" s="2">
        <v>1.4</v>
      </c>
      <c r="P5" s="2">
        <v>1</v>
      </c>
      <c r="Q5" s="2">
        <v>0.8</v>
      </c>
    </row>
    <row r="6" spans="2:17" x14ac:dyDescent="0.15">
      <c r="B6" s="2">
        <v>4</v>
      </c>
      <c r="C6" s="2" t="s">
        <v>483</v>
      </c>
      <c r="D6" s="2">
        <f t="shared" si="1"/>
        <v>11.5</v>
      </c>
      <c r="E6" s="2">
        <f t="shared" si="2"/>
        <v>8.695652173913043</v>
      </c>
      <c r="F6" s="1">
        <v>4</v>
      </c>
      <c r="H6" s="2">
        <v>3</v>
      </c>
      <c r="I6" s="2" t="s">
        <v>481</v>
      </c>
      <c r="J6" s="2" t="s">
        <v>794</v>
      </c>
      <c r="K6" s="17">
        <f t="shared" si="0"/>
        <v>0.82000000000000006</v>
      </c>
      <c r="L6" s="2">
        <v>0.4</v>
      </c>
      <c r="M6" s="2">
        <v>0.6</v>
      </c>
      <c r="N6" s="29">
        <v>0.18</v>
      </c>
      <c r="O6" s="2">
        <v>0.8</v>
      </c>
      <c r="P6" s="2">
        <v>1</v>
      </c>
      <c r="Q6" s="2">
        <v>1.1000000000000001</v>
      </c>
    </row>
    <row r="7" spans="2:17" x14ac:dyDescent="0.15">
      <c r="B7" s="2">
        <v>5</v>
      </c>
      <c r="C7" s="2" t="s">
        <v>491</v>
      </c>
      <c r="D7" s="2">
        <f t="shared" si="1"/>
        <v>12</v>
      </c>
      <c r="E7" s="2">
        <f t="shared" si="2"/>
        <v>8.3333333333333321</v>
      </c>
      <c r="F7" s="1">
        <v>5</v>
      </c>
      <c r="H7" s="2">
        <v>4</v>
      </c>
      <c r="I7" s="2" t="s">
        <v>483</v>
      </c>
      <c r="J7" s="2" t="s">
        <v>795</v>
      </c>
      <c r="K7" s="17">
        <f t="shared" si="0"/>
        <v>0.72</v>
      </c>
      <c r="L7" s="2">
        <v>0.7</v>
      </c>
      <c r="M7" s="2">
        <v>0.3</v>
      </c>
      <c r="N7" s="29">
        <v>0.28000000000000003</v>
      </c>
      <c r="O7" s="2">
        <v>1</v>
      </c>
      <c r="P7" s="2">
        <v>1.2</v>
      </c>
      <c r="Q7" s="2">
        <v>0.9</v>
      </c>
    </row>
    <row r="8" spans="2:17" x14ac:dyDescent="0.15">
      <c r="B8" s="2">
        <v>6</v>
      </c>
      <c r="C8" s="2" t="s">
        <v>796</v>
      </c>
      <c r="D8" s="2">
        <f t="shared" si="1"/>
        <v>12.5</v>
      </c>
      <c r="E8" s="2">
        <f t="shared" si="2"/>
        <v>7.9999999999999991</v>
      </c>
      <c r="F8" s="1">
        <v>6</v>
      </c>
      <c r="H8" s="2">
        <v>5</v>
      </c>
      <c r="I8" s="2" t="s">
        <v>796</v>
      </c>
      <c r="J8" s="2" t="s">
        <v>797</v>
      </c>
      <c r="K8" s="17">
        <f t="shared" si="0"/>
        <v>0.88</v>
      </c>
      <c r="L8" s="2">
        <v>0.2</v>
      </c>
      <c r="M8" s="2">
        <v>0.8</v>
      </c>
      <c r="N8" s="29">
        <v>0.12</v>
      </c>
      <c r="O8" s="2">
        <v>0.7</v>
      </c>
      <c r="P8" s="2">
        <v>0.9</v>
      </c>
      <c r="Q8" s="2">
        <v>1.2</v>
      </c>
    </row>
    <row r="9" spans="2:17" x14ac:dyDescent="0.15">
      <c r="B9" s="2">
        <v>7</v>
      </c>
      <c r="C9" s="2" t="s">
        <v>798</v>
      </c>
      <c r="D9" s="2">
        <f t="shared" si="1"/>
        <v>13</v>
      </c>
      <c r="E9" s="2">
        <f t="shared" si="2"/>
        <v>7.6923076923076916</v>
      </c>
      <c r="F9" s="1">
        <v>7</v>
      </c>
      <c r="H9" s="2">
        <v>6</v>
      </c>
      <c r="I9" s="2" t="s">
        <v>486</v>
      </c>
      <c r="J9" s="2" t="s">
        <v>799</v>
      </c>
      <c r="K9" s="17">
        <f t="shared" si="0"/>
        <v>0.85</v>
      </c>
      <c r="L9" s="2">
        <v>0.9</v>
      </c>
      <c r="M9" s="2">
        <v>0.1</v>
      </c>
      <c r="N9" s="29">
        <v>0.15</v>
      </c>
      <c r="O9" s="2">
        <v>1.2</v>
      </c>
      <c r="P9" s="2">
        <v>1.4</v>
      </c>
      <c r="Q9" s="2">
        <v>0.7</v>
      </c>
    </row>
    <row r="10" spans="2:17" x14ac:dyDescent="0.15">
      <c r="B10" s="2">
        <v>8</v>
      </c>
      <c r="C10" s="2" t="s">
        <v>800</v>
      </c>
      <c r="D10" s="2">
        <f t="shared" si="1"/>
        <v>13.5</v>
      </c>
      <c r="E10" s="2">
        <f t="shared" si="2"/>
        <v>7.4074074074074066</v>
      </c>
      <c r="F10" s="1">
        <v>8</v>
      </c>
      <c r="H10" s="2">
        <v>7</v>
      </c>
      <c r="I10" s="2" t="s">
        <v>801</v>
      </c>
      <c r="J10" s="2" t="s">
        <v>802</v>
      </c>
      <c r="K10" s="17">
        <f t="shared" si="0"/>
        <v>0.7</v>
      </c>
      <c r="L10" s="2">
        <v>0.2</v>
      </c>
      <c r="M10" s="2">
        <v>0.8</v>
      </c>
      <c r="N10" s="29">
        <v>0.3</v>
      </c>
      <c r="O10" s="2">
        <v>1.4</v>
      </c>
      <c r="P10" s="2">
        <v>1.4</v>
      </c>
      <c r="Q10" s="2">
        <v>0.6</v>
      </c>
    </row>
    <row r="11" spans="2:17" x14ac:dyDescent="0.15">
      <c r="B11" s="2">
        <v>9</v>
      </c>
      <c r="C11" s="2" t="s">
        <v>803</v>
      </c>
      <c r="D11" s="2">
        <f t="shared" si="1"/>
        <v>14</v>
      </c>
      <c r="E11" s="2">
        <f t="shared" si="2"/>
        <v>7.1428571428571423</v>
      </c>
      <c r="F11" s="1">
        <v>9</v>
      </c>
      <c r="H11" s="2">
        <v>8</v>
      </c>
      <c r="I11" s="2" t="s">
        <v>800</v>
      </c>
      <c r="J11" s="2" t="s">
        <v>804</v>
      </c>
      <c r="K11" s="17">
        <f t="shared" si="0"/>
        <v>0.72</v>
      </c>
      <c r="L11" s="2">
        <v>0.4</v>
      </c>
      <c r="M11" s="2">
        <v>0.6</v>
      </c>
      <c r="N11" s="29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15">
      <c r="B12" s="2">
        <v>10</v>
      </c>
      <c r="C12" s="2" t="s">
        <v>479</v>
      </c>
      <c r="D12" s="2">
        <f t="shared" si="1"/>
        <v>14.5</v>
      </c>
      <c r="E12" s="2">
        <f t="shared" si="2"/>
        <v>6.8965517241379306</v>
      </c>
      <c r="F12" s="1">
        <v>10</v>
      </c>
      <c r="H12" s="2">
        <v>9</v>
      </c>
      <c r="I12" s="2" t="s">
        <v>805</v>
      </c>
      <c r="J12" s="2" t="s">
        <v>484</v>
      </c>
      <c r="K12" s="17">
        <f t="shared" si="0"/>
        <v>0.9</v>
      </c>
      <c r="L12" s="2">
        <v>0.9</v>
      </c>
      <c r="M12" s="2">
        <v>0.1</v>
      </c>
      <c r="N12" s="29">
        <v>0.1</v>
      </c>
      <c r="O12" s="2">
        <v>1.2</v>
      </c>
      <c r="P12" s="2">
        <v>1.2</v>
      </c>
      <c r="Q12" s="2">
        <v>0.8</v>
      </c>
    </row>
    <row r="13" spans="2:17" x14ac:dyDescent="0.15">
      <c r="B13" s="2">
        <v>11</v>
      </c>
      <c r="C13" s="2" t="s">
        <v>495</v>
      </c>
      <c r="D13" s="2">
        <f t="shared" si="1"/>
        <v>15</v>
      </c>
      <c r="E13" s="2">
        <f t="shared" si="2"/>
        <v>6.6666666666666661</v>
      </c>
      <c r="F13" s="1">
        <v>11</v>
      </c>
      <c r="H13" s="2">
        <v>10</v>
      </c>
      <c r="I13" s="2" t="s">
        <v>806</v>
      </c>
      <c r="J13" s="2" t="s">
        <v>797</v>
      </c>
      <c r="K13" s="17">
        <f t="shared" si="0"/>
        <v>0.89</v>
      </c>
      <c r="L13" s="2">
        <v>0.1</v>
      </c>
      <c r="M13" s="2">
        <v>0.9</v>
      </c>
      <c r="N13" s="29">
        <v>0.11</v>
      </c>
      <c r="O13" s="2">
        <v>0.6</v>
      </c>
      <c r="P13" s="2">
        <v>1</v>
      </c>
      <c r="Q13" s="2">
        <v>1.2</v>
      </c>
    </row>
    <row r="14" spans="2:17" x14ac:dyDescent="0.15">
      <c r="B14" s="2">
        <v>12</v>
      </c>
      <c r="C14" s="2" t="s">
        <v>791</v>
      </c>
      <c r="D14" s="2">
        <f t="shared" si="1"/>
        <v>15.5</v>
      </c>
      <c r="E14" s="2">
        <f t="shared" si="2"/>
        <v>6.4516129032258061</v>
      </c>
      <c r="F14" s="1">
        <v>12</v>
      </c>
      <c r="H14" s="2">
        <v>11</v>
      </c>
      <c r="I14" s="2" t="s">
        <v>775</v>
      </c>
      <c r="J14" s="2" t="s">
        <v>494</v>
      </c>
      <c r="K14" s="17">
        <f t="shared" si="0"/>
        <v>0.69</v>
      </c>
      <c r="L14" s="2">
        <v>0.8</v>
      </c>
      <c r="M14" s="2">
        <v>0.2</v>
      </c>
      <c r="N14" s="29">
        <v>0.31</v>
      </c>
      <c r="O14" s="2">
        <v>1.3</v>
      </c>
      <c r="P14" s="2">
        <v>1.1000000000000001</v>
      </c>
      <c r="Q14" s="2">
        <v>0.8</v>
      </c>
    </row>
    <row r="15" spans="2:17" x14ac:dyDescent="0.15">
      <c r="B15" s="2">
        <v>13</v>
      </c>
      <c r="C15" s="2" t="s">
        <v>807</v>
      </c>
      <c r="D15" s="2">
        <f t="shared" si="1"/>
        <v>16</v>
      </c>
      <c r="E15" s="2">
        <f t="shared" si="2"/>
        <v>6.25</v>
      </c>
      <c r="F15" s="1">
        <v>13</v>
      </c>
      <c r="H15" s="2">
        <v>12</v>
      </c>
      <c r="I15" s="2" t="s">
        <v>495</v>
      </c>
      <c r="J15" s="2" t="s">
        <v>478</v>
      </c>
      <c r="K15" s="17">
        <f t="shared" si="0"/>
        <v>0.85</v>
      </c>
      <c r="L15" s="2">
        <v>0.9</v>
      </c>
      <c r="M15" s="2">
        <v>0.1</v>
      </c>
      <c r="N15" s="29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18"/>
    </row>
    <row r="17" spans="2:16" x14ac:dyDescent="0.15">
      <c r="H17" s="15" t="s">
        <v>52</v>
      </c>
      <c r="I17" s="15" t="s">
        <v>808</v>
      </c>
      <c r="J17" s="15" t="s">
        <v>809</v>
      </c>
      <c r="K17" s="15" t="s">
        <v>0</v>
      </c>
      <c r="L17" s="15" t="s">
        <v>776</v>
      </c>
      <c r="M17" s="15" t="s">
        <v>787</v>
      </c>
      <c r="N17" s="15" t="s">
        <v>785</v>
      </c>
      <c r="O17" s="15" t="s">
        <v>788</v>
      </c>
    </row>
    <row r="18" spans="2:16" ht="15" x14ac:dyDescent="0.15">
      <c r="H18" s="2">
        <v>1</v>
      </c>
      <c r="I18" s="2" t="s">
        <v>810</v>
      </c>
      <c r="J18" s="2">
        <v>1</v>
      </c>
      <c r="K18" s="17">
        <v>1.2</v>
      </c>
      <c r="L18" s="17">
        <v>1.1499999999999999</v>
      </c>
      <c r="M18" s="2">
        <v>1</v>
      </c>
      <c r="N18" s="17">
        <v>0.52</v>
      </c>
      <c r="O18" s="2">
        <v>1</v>
      </c>
      <c r="P18" s="22">
        <f>K18*(L18+N18)/2</f>
        <v>1.002</v>
      </c>
    </row>
    <row r="19" spans="2:16" ht="15" x14ac:dyDescent="0.15">
      <c r="B19" s="16" t="s">
        <v>140</v>
      </c>
      <c r="C19" s="15" t="s">
        <v>859</v>
      </c>
      <c r="D19" s="15" t="s">
        <v>860</v>
      </c>
      <c r="H19" s="2">
        <v>2</v>
      </c>
      <c r="I19" s="2" t="s">
        <v>811</v>
      </c>
      <c r="J19" s="2">
        <v>1</v>
      </c>
      <c r="K19" s="17">
        <v>1.1000000000000001</v>
      </c>
      <c r="L19" s="17">
        <v>1.3</v>
      </c>
      <c r="M19" s="2">
        <v>1.2</v>
      </c>
      <c r="N19" s="17">
        <v>0.5</v>
      </c>
      <c r="O19" s="2">
        <v>0.8</v>
      </c>
      <c r="P19" s="22">
        <f t="shared" ref="P19:P37" si="3">K19*(L19+N19)/2</f>
        <v>0.9900000000000001</v>
      </c>
    </row>
    <row r="20" spans="2:16" x14ac:dyDescent="0.15">
      <c r="B20" s="16">
        <v>0</v>
      </c>
      <c r="C20" s="15">
        <v>0.5</v>
      </c>
      <c r="D20" s="15">
        <v>1</v>
      </c>
      <c r="H20" s="2">
        <v>3</v>
      </c>
      <c r="I20" s="2" t="s">
        <v>812</v>
      </c>
      <c r="J20" s="2">
        <v>1</v>
      </c>
      <c r="K20" s="17">
        <v>0.9</v>
      </c>
      <c r="L20" s="17">
        <v>0.9</v>
      </c>
      <c r="M20" s="2">
        <v>0.8</v>
      </c>
      <c r="N20" s="17">
        <v>1.3</v>
      </c>
      <c r="O20" s="2">
        <v>1.2</v>
      </c>
      <c r="P20" s="22">
        <f t="shared" si="3"/>
        <v>0.9900000000000001</v>
      </c>
    </row>
    <row r="21" spans="2:16" ht="15" x14ac:dyDescent="0.15">
      <c r="B21" s="2">
        <v>1</v>
      </c>
      <c r="C21" s="2">
        <v>0.5</v>
      </c>
      <c r="D21" s="2">
        <v>1</v>
      </c>
      <c r="H21" s="2">
        <v>4</v>
      </c>
      <c r="I21" s="2" t="s">
        <v>813</v>
      </c>
      <c r="J21" s="2">
        <v>1</v>
      </c>
      <c r="K21" s="17">
        <v>1</v>
      </c>
      <c r="L21" s="17">
        <v>0.8</v>
      </c>
      <c r="M21" s="2">
        <v>0.5</v>
      </c>
      <c r="N21" s="17">
        <v>1.2</v>
      </c>
      <c r="O21" s="2">
        <v>1.5</v>
      </c>
      <c r="P21" s="22">
        <f t="shared" si="3"/>
        <v>1</v>
      </c>
    </row>
    <row r="22" spans="2:16" ht="15" x14ac:dyDescent="0.15">
      <c r="B22" s="2">
        <v>2</v>
      </c>
      <c r="C22" s="2">
        <v>0.5</v>
      </c>
      <c r="D22" s="2">
        <f>D21+0.01</f>
        <v>1.01</v>
      </c>
      <c r="H22" s="2">
        <v>5</v>
      </c>
      <c r="I22" s="2" t="s">
        <v>814</v>
      </c>
      <c r="J22" s="2">
        <v>1</v>
      </c>
      <c r="K22" s="17">
        <v>0.9</v>
      </c>
      <c r="L22" s="17">
        <v>1.1000000000000001</v>
      </c>
      <c r="M22" s="2">
        <v>1.1000000000000001</v>
      </c>
      <c r="N22" s="17">
        <v>1.1000000000000001</v>
      </c>
      <c r="O22" s="2">
        <v>0.9</v>
      </c>
      <c r="P22" s="22">
        <f t="shared" si="3"/>
        <v>0.9900000000000001</v>
      </c>
    </row>
    <row r="23" spans="2:16" ht="15" x14ac:dyDescent="0.15">
      <c r="B23" s="2">
        <v>3</v>
      </c>
      <c r="C23" s="2">
        <v>0.5</v>
      </c>
      <c r="D23" s="2">
        <f t="shared" ref="D23:D86" si="4">D22+0.01</f>
        <v>1.02</v>
      </c>
      <c r="H23" s="2">
        <v>6</v>
      </c>
      <c r="I23" s="2" t="s">
        <v>815</v>
      </c>
      <c r="J23" s="2">
        <v>1</v>
      </c>
      <c r="K23" s="17">
        <v>1</v>
      </c>
      <c r="L23" s="17">
        <v>1.3</v>
      </c>
      <c r="M23" s="2">
        <v>1.3</v>
      </c>
      <c r="N23" s="17">
        <v>0.7</v>
      </c>
      <c r="O23" s="2">
        <v>0.8</v>
      </c>
      <c r="P23" s="22">
        <f t="shared" si="3"/>
        <v>1</v>
      </c>
    </row>
    <row r="24" spans="2:16" x14ac:dyDescent="0.15">
      <c r="B24" s="2">
        <v>4</v>
      </c>
      <c r="C24" s="2">
        <v>0.5</v>
      </c>
      <c r="D24" s="2">
        <f t="shared" si="4"/>
        <v>1.03</v>
      </c>
      <c r="H24" s="2">
        <v>7</v>
      </c>
      <c r="I24" s="2" t="s">
        <v>816</v>
      </c>
      <c r="J24" s="2">
        <v>1</v>
      </c>
      <c r="K24" s="17">
        <v>0.8</v>
      </c>
      <c r="L24" s="17">
        <v>1.4</v>
      </c>
      <c r="M24" s="2">
        <v>1.1499999999999999</v>
      </c>
      <c r="N24" s="17">
        <v>1</v>
      </c>
      <c r="O24" s="2">
        <v>0.85</v>
      </c>
      <c r="P24" s="22">
        <f t="shared" si="3"/>
        <v>0.96</v>
      </c>
    </row>
    <row r="25" spans="2:16" ht="15" x14ac:dyDescent="0.15">
      <c r="B25" s="2">
        <v>5</v>
      </c>
      <c r="C25" s="2">
        <v>0.5</v>
      </c>
      <c r="D25" s="2">
        <f t="shared" si="4"/>
        <v>1.04</v>
      </c>
      <c r="H25" s="2">
        <v>8</v>
      </c>
      <c r="I25" s="2" t="s">
        <v>817</v>
      </c>
      <c r="J25" s="2">
        <v>1</v>
      </c>
      <c r="K25" s="17">
        <v>1.1000000000000001</v>
      </c>
      <c r="L25" s="17">
        <v>0.7</v>
      </c>
      <c r="M25" s="2">
        <v>0.8</v>
      </c>
      <c r="N25" s="17">
        <v>1.2</v>
      </c>
      <c r="O25" s="2">
        <v>1.2</v>
      </c>
      <c r="P25" s="22">
        <f t="shared" si="3"/>
        <v>1.0449999999999999</v>
      </c>
    </row>
    <row r="26" spans="2:16" ht="15" x14ac:dyDescent="0.15">
      <c r="B26" s="2">
        <v>6</v>
      </c>
      <c r="C26" s="2">
        <v>0.5</v>
      </c>
      <c r="D26" s="2">
        <f t="shared" si="4"/>
        <v>1.05</v>
      </c>
      <c r="H26" s="2">
        <v>9</v>
      </c>
      <c r="I26" s="2" t="s">
        <v>818</v>
      </c>
      <c r="J26" s="2">
        <v>1</v>
      </c>
      <c r="K26" s="17">
        <v>0.9</v>
      </c>
      <c r="L26" s="17">
        <v>1</v>
      </c>
      <c r="M26" s="2">
        <v>0.9</v>
      </c>
      <c r="N26" s="17">
        <v>1.2</v>
      </c>
      <c r="O26" s="2">
        <v>1.1000000000000001</v>
      </c>
      <c r="P26" s="22">
        <f t="shared" si="3"/>
        <v>0.9900000000000001</v>
      </c>
    </row>
    <row r="27" spans="2:16" x14ac:dyDescent="0.15">
      <c r="B27" s="2">
        <v>7</v>
      </c>
      <c r="C27" s="2">
        <v>0.5</v>
      </c>
      <c r="D27" s="2">
        <f t="shared" si="4"/>
        <v>1.06</v>
      </c>
      <c r="H27" s="2">
        <v>10</v>
      </c>
      <c r="I27" s="2" t="s">
        <v>819</v>
      </c>
      <c r="J27" s="2">
        <v>1</v>
      </c>
      <c r="K27" s="17">
        <v>1.3</v>
      </c>
      <c r="L27" s="17">
        <v>0.8</v>
      </c>
      <c r="M27" s="2">
        <v>0.7</v>
      </c>
      <c r="N27" s="17">
        <v>0.8</v>
      </c>
      <c r="O27" s="2">
        <v>1.3</v>
      </c>
      <c r="P27" s="22">
        <f t="shared" si="3"/>
        <v>1.04</v>
      </c>
    </row>
    <row r="28" spans="2:16" ht="15" x14ac:dyDescent="0.15">
      <c r="B28" s="2">
        <v>8</v>
      </c>
      <c r="C28" s="2">
        <v>0.5</v>
      </c>
      <c r="D28" s="2">
        <f t="shared" si="4"/>
        <v>1.07</v>
      </c>
      <c r="H28" s="2">
        <v>11</v>
      </c>
      <c r="I28" s="2" t="s">
        <v>820</v>
      </c>
      <c r="J28" s="2">
        <v>1.2</v>
      </c>
      <c r="K28" s="17">
        <f>$J28*(K18+K19)/2</f>
        <v>1.38</v>
      </c>
      <c r="L28" s="17">
        <f>$J28*(L18+L19)/2</f>
        <v>1.47</v>
      </c>
      <c r="M28" s="2">
        <f>$J28*(M18+M19)/2</f>
        <v>1.32</v>
      </c>
      <c r="N28" s="17">
        <f>$J28*(N18+N19)/2</f>
        <v>0.61199999999999999</v>
      </c>
      <c r="O28" s="2">
        <f>$J28*(O18+O19)/2</f>
        <v>1.08</v>
      </c>
      <c r="P28" s="1">
        <f>K28*(L28+N28)/2</f>
        <v>1.4365799999999997</v>
      </c>
    </row>
    <row r="29" spans="2:16" ht="15" x14ac:dyDescent="0.15">
      <c r="B29" s="2">
        <v>9</v>
      </c>
      <c r="C29" s="2">
        <v>0.5</v>
      </c>
      <c r="D29" s="2">
        <f t="shared" si="4"/>
        <v>1.08</v>
      </c>
      <c r="H29" s="2">
        <v>12</v>
      </c>
      <c r="I29" s="2" t="s">
        <v>821</v>
      </c>
      <c r="J29" s="2">
        <v>1.2</v>
      </c>
      <c r="K29" s="17">
        <f>$J29*(K18+K20)/2</f>
        <v>1.26</v>
      </c>
      <c r="L29" s="17">
        <f>$J29*(L18+L20)/2</f>
        <v>1.2299999999999998</v>
      </c>
      <c r="M29" s="2">
        <f t="shared" ref="M29:M37" si="5">$J29*(M19+M20)/2</f>
        <v>1.2</v>
      </c>
      <c r="N29" s="17">
        <f>$J29*(N18+N20)/2</f>
        <v>1.0920000000000001</v>
      </c>
      <c r="O29" s="2">
        <f t="shared" ref="O29:O37" si="6">$J29*(O19+O20)/2</f>
        <v>1.2</v>
      </c>
      <c r="P29" s="1">
        <f t="shared" si="3"/>
        <v>1.46286</v>
      </c>
    </row>
    <row r="30" spans="2:16" ht="15" x14ac:dyDescent="0.15">
      <c r="B30" s="2">
        <v>10</v>
      </c>
      <c r="C30" s="2">
        <v>0.5</v>
      </c>
      <c r="D30" s="2">
        <f t="shared" si="4"/>
        <v>1.0900000000000001</v>
      </c>
      <c r="H30" s="2">
        <v>13</v>
      </c>
      <c r="I30" s="2" t="s">
        <v>822</v>
      </c>
      <c r="J30" s="2">
        <v>1.2</v>
      </c>
      <c r="K30" s="17">
        <f>$J$30*(K19+K21)/2</f>
        <v>1.26</v>
      </c>
      <c r="L30" s="17">
        <f>$J$30*(L19+L21)/2</f>
        <v>1.26</v>
      </c>
      <c r="M30" s="2">
        <f t="shared" si="5"/>
        <v>0.78</v>
      </c>
      <c r="N30" s="17">
        <f>$J$30*(N19+N21)/2</f>
        <v>1.02</v>
      </c>
      <c r="O30" s="2">
        <f t="shared" si="6"/>
        <v>1.62</v>
      </c>
      <c r="P30" s="1">
        <f t="shared" si="3"/>
        <v>1.4364000000000001</v>
      </c>
    </row>
    <row r="31" spans="2:16" ht="15" x14ac:dyDescent="0.15">
      <c r="B31" s="2">
        <v>11</v>
      </c>
      <c r="C31" s="2">
        <v>0.5</v>
      </c>
      <c r="D31" s="2">
        <f t="shared" si="4"/>
        <v>1.1000000000000001</v>
      </c>
      <c r="H31" s="2">
        <v>14</v>
      </c>
      <c r="I31" s="2" t="s">
        <v>823</v>
      </c>
      <c r="J31" s="2">
        <v>1.2</v>
      </c>
      <c r="K31" s="17">
        <f>$J31*(K21+K20)/2</f>
        <v>1.1399999999999999</v>
      </c>
      <c r="L31" s="17">
        <f>$J31*(L21+L20)/2</f>
        <v>1.02</v>
      </c>
      <c r="M31" s="2">
        <f t="shared" si="5"/>
        <v>0.96</v>
      </c>
      <c r="N31" s="17">
        <f>$J31*(N21+N20)/2</f>
        <v>1.5</v>
      </c>
      <c r="O31" s="2">
        <f t="shared" si="6"/>
        <v>1.44</v>
      </c>
      <c r="P31" s="1">
        <f t="shared" si="3"/>
        <v>1.4363999999999999</v>
      </c>
    </row>
    <row r="32" spans="2:16" ht="15" x14ac:dyDescent="0.15">
      <c r="B32" s="2">
        <v>12</v>
      </c>
      <c r="C32" s="2">
        <v>0.5</v>
      </c>
      <c r="D32" s="2">
        <f t="shared" si="4"/>
        <v>1.1100000000000001</v>
      </c>
      <c r="H32" s="2">
        <v>15</v>
      </c>
      <c r="I32" s="2" t="s">
        <v>824</v>
      </c>
      <c r="J32" s="2">
        <v>1.2</v>
      </c>
      <c r="K32" s="17">
        <f>$J32*(K24+K23)/2</f>
        <v>1.08</v>
      </c>
      <c r="L32" s="17">
        <f>$J32*(L24+L23)/2</f>
        <v>1.62</v>
      </c>
      <c r="M32" s="2">
        <f t="shared" si="5"/>
        <v>1.4400000000000002</v>
      </c>
      <c r="N32" s="17">
        <f>$J32*(N24+N23)/2</f>
        <v>1.02</v>
      </c>
      <c r="O32" s="2">
        <f t="shared" si="6"/>
        <v>1.02</v>
      </c>
      <c r="P32" s="1">
        <f t="shared" si="3"/>
        <v>1.4256000000000002</v>
      </c>
    </row>
    <row r="33" spans="2:40" ht="15" x14ac:dyDescent="0.15">
      <c r="B33" s="2">
        <v>13</v>
      </c>
      <c r="C33" s="2">
        <v>0.5</v>
      </c>
      <c r="D33" s="2">
        <f t="shared" si="4"/>
        <v>1.1200000000000001</v>
      </c>
      <c r="H33" s="2">
        <v>16</v>
      </c>
      <c r="I33" s="2" t="s">
        <v>825</v>
      </c>
      <c r="J33" s="2">
        <v>1.2</v>
      </c>
      <c r="K33" s="17">
        <f>$J33*(K23+K27)/2</f>
        <v>1.38</v>
      </c>
      <c r="L33" s="17">
        <f>$J33*(L23+L27)/2</f>
        <v>1.26</v>
      </c>
      <c r="M33" s="2">
        <f t="shared" si="5"/>
        <v>1.47</v>
      </c>
      <c r="N33" s="17">
        <f>$J33*(N23+N27)/2</f>
        <v>0.89999999999999991</v>
      </c>
      <c r="O33" s="2">
        <f t="shared" si="6"/>
        <v>0.98999999999999988</v>
      </c>
      <c r="P33" s="1">
        <f t="shared" si="3"/>
        <v>1.4903999999999999</v>
      </c>
    </row>
    <row r="34" spans="2:40" ht="15" x14ac:dyDescent="0.15">
      <c r="B34" s="2">
        <v>14</v>
      </c>
      <c r="C34" s="2">
        <v>0.5</v>
      </c>
      <c r="D34" s="2">
        <f t="shared" si="4"/>
        <v>1.1300000000000001</v>
      </c>
      <c r="H34" s="2">
        <v>17</v>
      </c>
      <c r="I34" s="2" t="s">
        <v>826</v>
      </c>
      <c r="J34" s="2">
        <v>1.2</v>
      </c>
      <c r="K34" s="17">
        <f>$J34*(K22+K25+K26)/3</f>
        <v>1.1599999999999999</v>
      </c>
      <c r="L34" s="17">
        <f>$J34*(L22+L25+L26)/3</f>
        <v>1.1199999999999999</v>
      </c>
      <c r="M34" s="2">
        <f t="shared" si="5"/>
        <v>1.17</v>
      </c>
      <c r="N34" s="17">
        <f>$J34*(N22+N25+N26)/3</f>
        <v>1.4000000000000001</v>
      </c>
      <c r="O34" s="2">
        <f t="shared" si="6"/>
        <v>1.2299999999999998</v>
      </c>
      <c r="P34" s="1">
        <f t="shared" si="3"/>
        <v>1.4616</v>
      </c>
    </row>
    <row r="35" spans="2:40" ht="15" x14ac:dyDescent="0.15">
      <c r="B35" s="2">
        <v>15</v>
      </c>
      <c r="C35" s="2">
        <v>0.5</v>
      </c>
      <c r="D35" s="2">
        <f t="shared" si="4"/>
        <v>1.1400000000000001</v>
      </c>
      <c r="H35" s="2">
        <v>18</v>
      </c>
      <c r="I35" s="2" t="s">
        <v>827</v>
      </c>
      <c r="J35" s="2">
        <v>1.2</v>
      </c>
      <c r="K35" s="17">
        <f>$J35*(K31+K34)/2</f>
        <v>1.38</v>
      </c>
      <c r="L35" s="17">
        <f>$J35*(L31+L34)/2</f>
        <v>1.2839999999999998</v>
      </c>
      <c r="M35" s="2">
        <f t="shared" si="5"/>
        <v>1.02</v>
      </c>
      <c r="N35" s="17">
        <f>$J35*(N31+N34)/2</f>
        <v>1.7400000000000002</v>
      </c>
      <c r="O35" s="2">
        <f t="shared" si="6"/>
        <v>1.38</v>
      </c>
      <c r="P35" s="1">
        <f t="shared" si="3"/>
        <v>2.08656</v>
      </c>
    </row>
    <row r="36" spans="2:40" ht="15" x14ac:dyDescent="0.15">
      <c r="B36" s="2">
        <v>16</v>
      </c>
      <c r="C36" s="2">
        <v>0.5</v>
      </c>
      <c r="D36" s="2">
        <f t="shared" si="4"/>
        <v>1.1500000000000001</v>
      </c>
      <c r="H36" s="2">
        <v>19</v>
      </c>
      <c r="I36" s="2" t="s">
        <v>828</v>
      </c>
      <c r="J36" s="2">
        <v>1.25</v>
      </c>
      <c r="K36" s="17">
        <f>$J36*(K28+K30)/2</f>
        <v>1.65</v>
      </c>
      <c r="L36" s="17">
        <f>$J36*(L28+L30)/2</f>
        <v>1.70625</v>
      </c>
      <c r="M36" s="2">
        <f t="shared" si="5"/>
        <v>1</v>
      </c>
      <c r="N36" s="17">
        <f>$J36*(N28+N30)/2</f>
        <v>1.02</v>
      </c>
      <c r="O36" s="2">
        <f t="shared" si="6"/>
        <v>1.5000000000000002</v>
      </c>
      <c r="P36" s="1">
        <f t="shared" si="3"/>
        <v>2.24915625</v>
      </c>
    </row>
    <row r="37" spans="2:40" ht="15" x14ac:dyDescent="0.15">
      <c r="B37" s="2">
        <v>17</v>
      </c>
      <c r="C37" s="2">
        <v>0.5</v>
      </c>
      <c r="D37" s="2">
        <f t="shared" si="4"/>
        <v>1.1600000000000001</v>
      </c>
      <c r="H37" s="2">
        <v>20</v>
      </c>
      <c r="I37" s="2" t="s">
        <v>829</v>
      </c>
      <c r="J37" s="2">
        <v>1.25</v>
      </c>
      <c r="K37" s="17">
        <f>$J37*(SUM(K28:K34))/7</f>
        <v>1.546428571428571</v>
      </c>
      <c r="L37" s="17">
        <f>$J37*(SUM(L28:L34))/7</f>
        <v>1.6035714285714289</v>
      </c>
      <c r="M37" s="2">
        <f t="shared" si="5"/>
        <v>1.2625</v>
      </c>
      <c r="N37" s="17">
        <f>$J37*(SUM(N28:N34))/7</f>
        <v>1.3471428571428572</v>
      </c>
      <c r="O37" s="2">
        <f t="shared" si="6"/>
        <v>1.4874999999999998</v>
      </c>
      <c r="P37" s="1">
        <f t="shared" si="3"/>
        <v>2.2815344387755099</v>
      </c>
    </row>
    <row r="38" spans="2:40" x14ac:dyDescent="0.15">
      <c r="B38" s="2">
        <v>18</v>
      </c>
      <c r="C38" s="2">
        <v>0.5</v>
      </c>
      <c r="D38" s="2">
        <f t="shared" si="4"/>
        <v>1.1700000000000002</v>
      </c>
    </row>
    <row r="39" spans="2:40" x14ac:dyDescent="0.15">
      <c r="B39" s="2">
        <v>19</v>
      </c>
      <c r="C39" s="2">
        <v>0.5</v>
      </c>
      <c r="D39" s="2">
        <f t="shared" si="4"/>
        <v>1.1800000000000002</v>
      </c>
    </row>
    <row r="40" spans="2:40" x14ac:dyDescent="0.15">
      <c r="B40" s="2">
        <v>20</v>
      </c>
      <c r="C40" s="2">
        <v>0.5</v>
      </c>
      <c r="D40" s="2">
        <f t="shared" si="4"/>
        <v>1.1900000000000002</v>
      </c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2:40" x14ac:dyDescent="0.15">
      <c r="B41" s="2">
        <v>21</v>
      </c>
      <c r="C41" s="2">
        <v>0.5</v>
      </c>
      <c r="D41" s="2">
        <f t="shared" si="4"/>
        <v>1.2000000000000002</v>
      </c>
      <c r="H41" s="15" t="s">
        <v>91</v>
      </c>
      <c r="I41" s="15" t="s">
        <v>830</v>
      </c>
      <c r="J41" s="15" t="s">
        <v>94</v>
      </c>
      <c r="K41" s="15" t="s">
        <v>102</v>
      </c>
      <c r="L41" s="15" t="s">
        <v>776</v>
      </c>
      <c r="M41" s="15" t="s">
        <v>831</v>
      </c>
      <c r="N41" s="15" t="s">
        <v>785</v>
      </c>
      <c r="O41" s="15" t="s">
        <v>832</v>
      </c>
      <c r="P41" s="15" t="s">
        <v>833</v>
      </c>
      <c r="Q41" s="15" t="s">
        <v>834</v>
      </c>
      <c r="R41" s="15" t="s">
        <v>835</v>
      </c>
      <c r="S41" s="15" t="s">
        <v>836</v>
      </c>
      <c r="T41" s="15" t="s">
        <v>837</v>
      </c>
      <c r="U41" s="15" t="s">
        <v>838</v>
      </c>
      <c r="V41" s="15" t="s">
        <v>839</v>
      </c>
      <c r="W41" s="15" t="s">
        <v>840</v>
      </c>
      <c r="X41" s="15" t="s">
        <v>841</v>
      </c>
      <c r="Y41" s="15" t="s">
        <v>842</v>
      </c>
      <c r="Z41" s="15" t="s">
        <v>843</v>
      </c>
      <c r="AA41" s="15" t="s">
        <v>777</v>
      </c>
      <c r="AB41" s="15" t="s">
        <v>844</v>
      </c>
      <c r="AC41" s="15" t="s">
        <v>845</v>
      </c>
      <c r="AD41" s="15" t="s">
        <v>846</v>
      </c>
      <c r="AE41" s="15" t="s">
        <v>847</v>
      </c>
      <c r="AF41" s="15" t="s">
        <v>848</v>
      </c>
      <c r="AG41" s="15" t="s">
        <v>849</v>
      </c>
      <c r="AH41" s="15" t="s">
        <v>778</v>
      </c>
      <c r="AI41" s="15" t="s">
        <v>850</v>
      </c>
      <c r="AJ41" s="15" t="s">
        <v>851</v>
      </c>
      <c r="AK41" s="15" t="s">
        <v>852</v>
      </c>
      <c r="AL41" s="15" t="s">
        <v>853</v>
      </c>
      <c r="AM41" s="15" t="s">
        <v>854</v>
      </c>
      <c r="AN41" s="15" t="s">
        <v>855</v>
      </c>
    </row>
    <row r="42" spans="2:40" x14ac:dyDescent="0.15">
      <c r="B42" s="2">
        <v>22</v>
      </c>
      <c r="C42" s="2">
        <v>0.5</v>
      </c>
      <c r="D42" s="2">
        <f t="shared" si="4"/>
        <v>1.2100000000000002</v>
      </c>
      <c r="H42" s="2">
        <v>1</v>
      </c>
      <c r="I42" s="2" t="s">
        <v>856</v>
      </c>
      <c r="J42" s="2"/>
      <c r="K42" s="2"/>
      <c r="L42" s="2">
        <v>1</v>
      </c>
      <c r="M42" s="2"/>
      <c r="N42" s="2">
        <v>1</v>
      </c>
      <c r="O42" s="2"/>
      <c r="P42" s="2">
        <v>0.5</v>
      </c>
      <c r="Q42" s="2">
        <v>0.5</v>
      </c>
      <c r="R42" s="2">
        <v>0.5</v>
      </c>
      <c r="S42" s="2">
        <v>0.5</v>
      </c>
      <c r="T42" s="2">
        <v>1</v>
      </c>
      <c r="U42" s="2">
        <v>1</v>
      </c>
      <c r="V42" s="2">
        <v>1</v>
      </c>
      <c r="W42" s="2">
        <v>1</v>
      </c>
      <c r="X42" s="2">
        <v>1</v>
      </c>
      <c r="Y42" s="2">
        <v>1</v>
      </c>
      <c r="Z42" s="2">
        <v>1</v>
      </c>
      <c r="AA42" s="2">
        <v>1</v>
      </c>
      <c r="AB42" s="2"/>
      <c r="AC42" s="2"/>
      <c r="AD42" s="2"/>
      <c r="AE42" s="2"/>
      <c r="AF42" s="2"/>
      <c r="AG42" s="2"/>
      <c r="AH42" s="2"/>
      <c r="AI42" s="2"/>
      <c r="AJ42" s="2">
        <v>1</v>
      </c>
      <c r="AK42" s="2">
        <v>1</v>
      </c>
      <c r="AL42" s="2">
        <v>1</v>
      </c>
      <c r="AM42" s="2">
        <v>1</v>
      </c>
      <c r="AN42" s="2">
        <v>1</v>
      </c>
    </row>
    <row r="43" spans="2:40" x14ac:dyDescent="0.15">
      <c r="B43" s="2">
        <v>23</v>
      </c>
      <c r="C43" s="2">
        <v>0.5</v>
      </c>
      <c r="D43" s="2">
        <f t="shared" si="4"/>
        <v>1.2200000000000002</v>
      </c>
      <c r="H43" s="2">
        <v>2</v>
      </c>
      <c r="I43" s="2" t="s">
        <v>857</v>
      </c>
      <c r="J43" s="2">
        <v>0.5</v>
      </c>
      <c r="K43" s="2">
        <v>0.5</v>
      </c>
      <c r="L43" s="2"/>
      <c r="M43" s="2">
        <v>0.5</v>
      </c>
      <c r="N43" s="2"/>
      <c r="O43" s="2">
        <v>0.5</v>
      </c>
      <c r="P43" s="2">
        <v>0.25</v>
      </c>
      <c r="Q43" s="2">
        <v>0.25</v>
      </c>
      <c r="R43" s="2">
        <v>0.25</v>
      </c>
      <c r="S43" s="2">
        <v>0.25</v>
      </c>
      <c r="T43" s="2"/>
      <c r="U43" s="2"/>
      <c r="V43" s="2"/>
      <c r="W43" s="2"/>
      <c r="X43" s="2"/>
      <c r="Y43" s="2"/>
      <c r="Z43" s="2"/>
      <c r="AA43" s="2"/>
      <c r="AB43" s="2">
        <v>0.5</v>
      </c>
      <c r="AC43" s="2">
        <v>0.5</v>
      </c>
      <c r="AD43" s="2">
        <v>0.5</v>
      </c>
      <c r="AE43" s="2">
        <v>0.5</v>
      </c>
      <c r="AF43" s="2">
        <v>0.5</v>
      </c>
      <c r="AG43" s="2">
        <v>0.5</v>
      </c>
      <c r="AH43" s="2">
        <v>0.5</v>
      </c>
      <c r="AI43" s="2">
        <v>0.5</v>
      </c>
      <c r="AJ43" s="2"/>
      <c r="AK43" s="2"/>
      <c r="AL43" s="2"/>
      <c r="AM43" s="2"/>
      <c r="AN43" s="2"/>
    </row>
    <row r="44" spans="2:40" x14ac:dyDescent="0.15">
      <c r="B44" s="2">
        <v>24</v>
      </c>
      <c r="C44" s="2">
        <v>0.5</v>
      </c>
      <c r="D44" s="2">
        <f t="shared" si="4"/>
        <v>1.2300000000000002</v>
      </c>
      <c r="H44" s="2">
        <v>3</v>
      </c>
      <c r="I44" s="2" t="s">
        <v>858</v>
      </c>
      <c r="J44" s="2">
        <v>0.5</v>
      </c>
      <c r="K44" s="2">
        <v>0.5</v>
      </c>
      <c r="L44" s="2"/>
      <c r="M44" s="2">
        <v>0.5</v>
      </c>
      <c r="N44" s="2"/>
      <c r="O44" s="2">
        <v>0.5</v>
      </c>
      <c r="P44" s="2">
        <v>0.25</v>
      </c>
      <c r="Q44" s="2">
        <v>0.25</v>
      </c>
      <c r="R44" s="2">
        <v>0.25</v>
      </c>
      <c r="S44" s="2">
        <v>0.25</v>
      </c>
      <c r="T44" s="2"/>
      <c r="U44" s="2"/>
      <c r="V44" s="2"/>
      <c r="W44" s="2"/>
      <c r="X44" s="2"/>
      <c r="Y44" s="2"/>
      <c r="Z44" s="2"/>
      <c r="AA44" s="2"/>
      <c r="AB44" s="2">
        <v>0.5</v>
      </c>
      <c r="AC44" s="2">
        <v>0.5</v>
      </c>
      <c r="AD44" s="2">
        <v>0.5</v>
      </c>
      <c r="AE44" s="2">
        <v>0.5</v>
      </c>
      <c r="AF44" s="2">
        <v>0.5</v>
      </c>
      <c r="AG44" s="2">
        <v>0.5</v>
      </c>
      <c r="AH44" s="2">
        <v>0.5</v>
      </c>
      <c r="AI44" s="2">
        <v>0.5</v>
      </c>
      <c r="AJ44" s="2"/>
      <c r="AK44" s="2"/>
      <c r="AL44" s="2"/>
      <c r="AM44" s="2"/>
      <c r="AN44" s="2"/>
    </row>
    <row r="45" spans="2:40" x14ac:dyDescent="0.15">
      <c r="B45" s="2">
        <v>25</v>
      </c>
      <c r="C45" s="2">
        <v>0.5</v>
      </c>
      <c r="D45" s="2">
        <f t="shared" si="4"/>
        <v>1.2400000000000002</v>
      </c>
    </row>
    <row r="46" spans="2:40" x14ac:dyDescent="0.15">
      <c r="B46" s="2">
        <v>26</v>
      </c>
      <c r="C46" s="2">
        <v>0.5</v>
      </c>
      <c r="D46" s="2">
        <f t="shared" si="4"/>
        <v>1.2500000000000002</v>
      </c>
    </row>
    <row r="47" spans="2:40" x14ac:dyDescent="0.15">
      <c r="B47" s="2">
        <v>27</v>
      </c>
      <c r="C47" s="2">
        <v>0.5</v>
      </c>
      <c r="D47" s="2">
        <f t="shared" si="4"/>
        <v>1.2600000000000002</v>
      </c>
    </row>
    <row r="48" spans="2:40" x14ac:dyDescent="0.15">
      <c r="B48" s="2">
        <v>28</v>
      </c>
      <c r="C48" s="2">
        <v>0.5</v>
      </c>
      <c r="D48" s="2">
        <f t="shared" si="4"/>
        <v>1.2700000000000002</v>
      </c>
    </row>
    <row r="49" spans="2:4" x14ac:dyDescent="0.15">
      <c r="B49" s="2">
        <v>29</v>
      </c>
      <c r="C49" s="2">
        <v>0.5</v>
      </c>
      <c r="D49" s="2">
        <f t="shared" si="4"/>
        <v>1.2800000000000002</v>
      </c>
    </row>
    <row r="50" spans="2:4" x14ac:dyDescent="0.15">
      <c r="B50" s="2">
        <v>30</v>
      </c>
      <c r="C50" s="2">
        <v>0.5</v>
      </c>
      <c r="D50" s="2">
        <f t="shared" si="4"/>
        <v>1.2900000000000003</v>
      </c>
    </row>
    <row r="51" spans="2:4" x14ac:dyDescent="0.15">
      <c r="B51" s="2">
        <v>31</v>
      </c>
      <c r="C51" s="2">
        <v>0.5</v>
      </c>
      <c r="D51" s="2">
        <f t="shared" si="4"/>
        <v>1.3000000000000003</v>
      </c>
    </row>
    <row r="52" spans="2:4" x14ac:dyDescent="0.15">
      <c r="B52" s="2">
        <v>32</v>
      </c>
      <c r="C52" s="2">
        <v>0.5</v>
      </c>
      <c r="D52" s="2">
        <f t="shared" si="4"/>
        <v>1.3100000000000003</v>
      </c>
    </row>
    <row r="53" spans="2:4" x14ac:dyDescent="0.15">
      <c r="B53" s="2">
        <v>33</v>
      </c>
      <c r="C53" s="2">
        <v>0.5</v>
      </c>
      <c r="D53" s="2">
        <f t="shared" si="4"/>
        <v>1.3200000000000003</v>
      </c>
    </row>
    <row r="54" spans="2:4" x14ac:dyDescent="0.15">
      <c r="B54" s="2">
        <v>34</v>
      </c>
      <c r="C54" s="2">
        <v>0.5</v>
      </c>
      <c r="D54" s="2">
        <f t="shared" si="4"/>
        <v>1.3300000000000003</v>
      </c>
    </row>
    <row r="55" spans="2:4" x14ac:dyDescent="0.15">
      <c r="B55" s="2">
        <v>35</v>
      </c>
      <c r="C55" s="2">
        <v>0.5</v>
      </c>
      <c r="D55" s="2">
        <f t="shared" si="4"/>
        <v>1.3400000000000003</v>
      </c>
    </row>
    <row r="56" spans="2:4" x14ac:dyDescent="0.15">
      <c r="B56" s="2">
        <v>36</v>
      </c>
      <c r="C56" s="2">
        <v>0.5</v>
      </c>
      <c r="D56" s="2">
        <f t="shared" si="4"/>
        <v>1.3500000000000003</v>
      </c>
    </row>
    <row r="57" spans="2:4" x14ac:dyDescent="0.15">
      <c r="B57" s="2">
        <v>37</v>
      </c>
      <c r="C57" s="2">
        <v>0.5</v>
      </c>
      <c r="D57" s="2">
        <f t="shared" si="4"/>
        <v>1.3600000000000003</v>
      </c>
    </row>
    <row r="58" spans="2:4" x14ac:dyDescent="0.15">
      <c r="B58" s="2">
        <v>38</v>
      </c>
      <c r="C58" s="2">
        <v>0.5</v>
      </c>
      <c r="D58" s="2">
        <f t="shared" si="4"/>
        <v>1.3700000000000003</v>
      </c>
    </row>
    <row r="59" spans="2:4" x14ac:dyDescent="0.15">
      <c r="B59" s="2">
        <v>39</v>
      </c>
      <c r="C59" s="2">
        <v>0.5</v>
      </c>
      <c r="D59" s="2">
        <f t="shared" si="4"/>
        <v>1.3800000000000003</v>
      </c>
    </row>
    <row r="60" spans="2:4" x14ac:dyDescent="0.15">
      <c r="B60" s="2">
        <v>40</v>
      </c>
      <c r="C60" s="2">
        <v>0.5</v>
      </c>
      <c r="D60" s="2">
        <f t="shared" si="4"/>
        <v>1.3900000000000003</v>
      </c>
    </row>
    <row r="61" spans="2:4" x14ac:dyDescent="0.15">
      <c r="B61" s="2">
        <v>41</v>
      </c>
      <c r="C61" s="2">
        <v>0.5</v>
      </c>
      <c r="D61" s="2">
        <f t="shared" si="4"/>
        <v>1.4000000000000004</v>
      </c>
    </row>
    <row r="62" spans="2:4" x14ac:dyDescent="0.15">
      <c r="B62" s="2">
        <v>42</v>
      </c>
      <c r="C62" s="2">
        <v>0.5</v>
      </c>
      <c r="D62" s="2">
        <f t="shared" si="4"/>
        <v>1.4100000000000004</v>
      </c>
    </row>
    <row r="63" spans="2:4" x14ac:dyDescent="0.15">
      <c r="B63" s="2">
        <v>43</v>
      </c>
      <c r="C63" s="2">
        <v>0.5</v>
      </c>
      <c r="D63" s="2">
        <f t="shared" si="4"/>
        <v>1.4200000000000004</v>
      </c>
    </row>
    <row r="64" spans="2:4" x14ac:dyDescent="0.15">
      <c r="B64" s="2">
        <v>44</v>
      </c>
      <c r="C64" s="2">
        <v>0.5</v>
      </c>
      <c r="D64" s="2">
        <f t="shared" si="4"/>
        <v>1.4300000000000004</v>
      </c>
    </row>
    <row r="65" spans="2:4" x14ac:dyDescent="0.15">
      <c r="B65" s="2">
        <v>45</v>
      </c>
      <c r="C65" s="2">
        <v>0.5</v>
      </c>
      <c r="D65" s="2">
        <f t="shared" si="4"/>
        <v>1.4400000000000004</v>
      </c>
    </row>
    <row r="66" spans="2:4" x14ac:dyDescent="0.15">
      <c r="B66" s="2">
        <v>46</v>
      </c>
      <c r="C66" s="2">
        <v>0.5</v>
      </c>
      <c r="D66" s="2">
        <f t="shared" si="4"/>
        <v>1.4500000000000004</v>
      </c>
    </row>
    <row r="67" spans="2:4" x14ac:dyDescent="0.15">
      <c r="B67" s="2">
        <v>47</v>
      </c>
      <c r="C67" s="2">
        <v>0.5</v>
      </c>
      <c r="D67" s="2">
        <f t="shared" si="4"/>
        <v>1.4600000000000004</v>
      </c>
    </row>
    <row r="68" spans="2:4" x14ac:dyDescent="0.15">
      <c r="B68" s="2">
        <v>48</v>
      </c>
      <c r="C68" s="2">
        <v>0.5</v>
      </c>
      <c r="D68" s="2">
        <f t="shared" si="4"/>
        <v>1.4700000000000004</v>
      </c>
    </row>
    <row r="69" spans="2:4" x14ac:dyDescent="0.15">
      <c r="B69" s="2">
        <v>49</v>
      </c>
      <c r="C69" s="2">
        <v>0.5</v>
      </c>
      <c r="D69" s="2">
        <f t="shared" si="4"/>
        <v>1.4800000000000004</v>
      </c>
    </row>
    <row r="70" spans="2:4" x14ac:dyDescent="0.15">
      <c r="B70" s="2">
        <v>50</v>
      </c>
      <c r="C70" s="2">
        <v>0.5</v>
      </c>
      <c r="D70" s="2">
        <f t="shared" si="4"/>
        <v>1.4900000000000004</v>
      </c>
    </row>
    <row r="71" spans="2:4" x14ac:dyDescent="0.15">
      <c r="B71" s="2">
        <v>51</v>
      </c>
      <c r="C71" s="2">
        <v>0.5</v>
      </c>
      <c r="D71" s="2">
        <f t="shared" si="4"/>
        <v>1.5000000000000004</v>
      </c>
    </row>
    <row r="72" spans="2:4" x14ac:dyDescent="0.15">
      <c r="B72" s="2">
        <v>52</v>
      </c>
      <c r="C72" s="2">
        <v>0.5</v>
      </c>
      <c r="D72" s="2">
        <f t="shared" si="4"/>
        <v>1.5100000000000005</v>
      </c>
    </row>
    <row r="73" spans="2:4" x14ac:dyDescent="0.15">
      <c r="B73" s="2">
        <v>53</v>
      </c>
      <c r="C73" s="2">
        <v>0.5</v>
      </c>
      <c r="D73" s="2">
        <f t="shared" si="4"/>
        <v>1.5200000000000005</v>
      </c>
    </row>
    <row r="74" spans="2:4" x14ac:dyDescent="0.15">
      <c r="B74" s="2">
        <v>54</v>
      </c>
      <c r="C74" s="2">
        <v>0.5</v>
      </c>
      <c r="D74" s="2">
        <f t="shared" si="4"/>
        <v>1.5300000000000005</v>
      </c>
    </row>
    <row r="75" spans="2:4" x14ac:dyDescent="0.15">
      <c r="B75" s="2">
        <v>55</v>
      </c>
      <c r="C75" s="2">
        <v>0.5</v>
      </c>
      <c r="D75" s="2">
        <f t="shared" si="4"/>
        <v>1.5400000000000005</v>
      </c>
    </row>
    <row r="76" spans="2:4" x14ac:dyDescent="0.15">
      <c r="B76" s="2">
        <v>56</v>
      </c>
      <c r="C76" s="2">
        <v>0.5</v>
      </c>
      <c r="D76" s="2">
        <f t="shared" si="4"/>
        <v>1.5500000000000005</v>
      </c>
    </row>
    <row r="77" spans="2:4" x14ac:dyDescent="0.15">
      <c r="B77" s="2">
        <v>57</v>
      </c>
      <c r="C77" s="2">
        <v>0.5</v>
      </c>
      <c r="D77" s="2">
        <f t="shared" si="4"/>
        <v>1.5600000000000005</v>
      </c>
    </row>
    <row r="78" spans="2:4" x14ac:dyDescent="0.15">
      <c r="B78" s="2">
        <v>58</v>
      </c>
      <c r="C78" s="2">
        <v>0.5</v>
      </c>
      <c r="D78" s="2">
        <f t="shared" si="4"/>
        <v>1.5700000000000005</v>
      </c>
    </row>
    <row r="79" spans="2:4" x14ac:dyDescent="0.15">
      <c r="B79" s="2">
        <v>59</v>
      </c>
      <c r="C79" s="2">
        <v>0.5</v>
      </c>
      <c r="D79" s="2">
        <f t="shared" si="4"/>
        <v>1.5800000000000005</v>
      </c>
    </row>
    <row r="80" spans="2:4" x14ac:dyDescent="0.15">
      <c r="B80" s="2">
        <v>60</v>
      </c>
      <c r="C80" s="2">
        <v>0.5</v>
      </c>
      <c r="D80" s="2">
        <f t="shared" si="4"/>
        <v>1.5900000000000005</v>
      </c>
    </row>
    <row r="81" spans="2:4" x14ac:dyDescent="0.15">
      <c r="B81" s="2">
        <v>61</v>
      </c>
      <c r="C81" s="2">
        <v>0.5</v>
      </c>
      <c r="D81" s="2">
        <f t="shared" si="4"/>
        <v>1.6000000000000005</v>
      </c>
    </row>
    <row r="82" spans="2:4" x14ac:dyDescent="0.15">
      <c r="B82" s="2">
        <v>62</v>
      </c>
      <c r="C82" s="2">
        <v>0.5</v>
      </c>
      <c r="D82" s="2">
        <f t="shared" si="4"/>
        <v>1.6100000000000005</v>
      </c>
    </row>
    <row r="83" spans="2:4" x14ac:dyDescent="0.15">
      <c r="B83" s="2">
        <v>63</v>
      </c>
      <c r="C83" s="2">
        <v>0.5</v>
      </c>
      <c r="D83" s="2">
        <f t="shared" si="4"/>
        <v>1.6200000000000006</v>
      </c>
    </row>
    <row r="84" spans="2:4" x14ac:dyDescent="0.15">
      <c r="B84" s="2">
        <v>64</v>
      </c>
      <c r="C84" s="2">
        <v>0.5</v>
      </c>
      <c r="D84" s="2">
        <f t="shared" si="4"/>
        <v>1.6300000000000006</v>
      </c>
    </row>
    <row r="85" spans="2:4" x14ac:dyDescent="0.15">
      <c r="B85" s="2">
        <v>65</v>
      </c>
      <c r="C85" s="2">
        <v>0.5</v>
      </c>
      <c r="D85" s="2">
        <f t="shared" si="4"/>
        <v>1.6400000000000006</v>
      </c>
    </row>
    <row r="86" spans="2:4" x14ac:dyDescent="0.15">
      <c r="B86" s="2">
        <v>66</v>
      </c>
      <c r="C86" s="2">
        <v>0.5</v>
      </c>
      <c r="D86" s="2">
        <f t="shared" si="4"/>
        <v>1.6500000000000006</v>
      </c>
    </row>
    <row r="87" spans="2:4" x14ac:dyDescent="0.15">
      <c r="B87" s="2">
        <v>67</v>
      </c>
      <c r="C87" s="2">
        <v>0.5</v>
      </c>
      <c r="D87" s="2">
        <f t="shared" ref="D87:D119" si="7">D86+0.01</f>
        <v>1.6600000000000006</v>
      </c>
    </row>
    <row r="88" spans="2:4" x14ac:dyDescent="0.15">
      <c r="B88" s="2">
        <v>68</v>
      </c>
      <c r="C88" s="2">
        <v>0.5</v>
      </c>
      <c r="D88" s="2">
        <f t="shared" si="7"/>
        <v>1.6700000000000006</v>
      </c>
    </row>
    <row r="89" spans="2:4" x14ac:dyDescent="0.15">
      <c r="B89" s="2">
        <v>69</v>
      </c>
      <c r="C89" s="2">
        <v>0.5</v>
      </c>
      <c r="D89" s="2">
        <f t="shared" si="7"/>
        <v>1.6800000000000006</v>
      </c>
    </row>
    <row r="90" spans="2:4" x14ac:dyDescent="0.15">
      <c r="B90" s="2">
        <v>70</v>
      </c>
      <c r="C90" s="2">
        <v>0.5</v>
      </c>
      <c r="D90" s="2">
        <f t="shared" si="7"/>
        <v>1.6900000000000006</v>
      </c>
    </row>
    <row r="91" spans="2:4" x14ac:dyDescent="0.15">
      <c r="B91" s="2">
        <v>71</v>
      </c>
      <c r="C91" s="2">
        <v>0.5</v>
      </c>
      <c r="D91" s="2">
        <f t="shared" si="7"/>
        <v>1.7000000000000006</v>
      </c>
    </row>
    <row r="92" spans="2:4" x14ac:dyDescent="0.15">
      <c r="B92" s="2">
        <v>72</v>
      </c>
      <c r="C92" s="2">
        <v>0.5</v>
      </c>
      <c r="D92" s="2">
        <f t="shared" si="7"/>
        <v>1.7100000000000006</v>
      </c>
    </row>
    <row r="93" spans="2:4" x14ac:dyDescent="0.15">
      <c r="B93" s="2">
        <v>73</v>
      </c>
      <c r="C93" s="2">
        <v>0.5</v>
      </c>
      <c r="D93" s="2">
        <f t="shared" si="7"/>
        <v>1.7200000000000006</v>
      </c>
    </row>
    <row r="94" spans="2:4" x14ac:dyDescent="0.15">
      <c r="B94" s="2">
        <v>74</v>
      </c>
      <c r="C94" s="2">
        <v>0.5</v>
      </c>
      <c r="D94" s="2">
        <f t="shared" si="7"/>
        <v>1.7300000000000006</v>
      </c>
    </row>
    <row r="95" spans="2:4" x14ac:dyDescent="0.15">
      <c r="B95" s="2">
        <v>75</v>
      </c>
      <c r="C95" s="2">
        <v>0.5</v>
      </c>
      <c r="D95" s="2">
        <f t="shared" si="7"/>
        <v>1.7400000000000007</v>
      </c>
    </row>
    <row r="96" spans="2:4" x14ac:dyDescent="0.15">
      <c r="B96" s="2">
        <v>76</v>
      </c>
      <c r="C96" s="2">
        <v>0.5</v>
      </c>
      <c r="D96" s="2">
        <f t="shared" si="7"/>
        <v>1.7500000000000007</v>
      </c>
    </row>
    <row r="97" spans="2:4" x14ac:dyDescent="0.15">
      <c r="B97" s="2">
        <v>77</v>
      </c>
      <c r="C97" s="2">
        <v>0.5</v>
      </c>
      <c r="D97" s="2">
        <f t="shared" si="7"/>
        <v>1.7600000000000007</v>
      </c>
    </row>
    <row r="98" spans="2:4" x14ac:dyDescent="0.15">
      <c r="B98" s="2">
        <v>78</v>
      </c>
      <c r="C98" s="2">
        <v>0.5</v>
      </c>
      <c r="D98" s="2">
        <f t="shared" si="7"/>
        <v>1.7700000000000007</v>
      </c>
    </row>
    <row r="99" spans="2:4" x14ac:dyDescent="0.15">
      <c r="B99" s="2">
        <v>79</v>
      </c>
      <c r="C99" s="2">
        <v>0.5</v>
      </c>
      <c r="D99" s="2">
        <f t="shared" si="7"/>
        <v>1.7800000000000007</v>
      </c>
    </row>
    <row r="100" spans="2:4" x14ac:dyDescent="0.15">
      <c r="B100" s="2">
        <v>80</v>
      </c>
      <c r="C100" s="2">
        <v>0.5</v>
      </c>
      <c r="D100" s="2">
        <f t="shared" si="7"/>
        <v>1.7900000000000007</v>
      </c>
    </row>
    <row r="101" spans="2:4" x14ac:dyDescent="0.15">
      <c r="B101" s="2">
        <v>81</v>
      </c>
      <c r="C101" s="2">
        <v>0.5</v>
      </c>
      <c r="D101" s="2">
        <f t="shared" si="7"/>
        <v>1.8000000000000007</v>
      </c>
    </row>
    <row r="102" spans="2:4" x14ac:dyDescent="0.15">
      <c r="B102" s="2">
        <v>82</v>
      </c>
      <c r="C102" s="2">
        <v>0.5</v>
      </c>
      <c r="D102" s="2">
        <f t="shared" si="7"/>
        <v>1.8100000000000007</v>
      </c>
    </row>
    <row r="103" spans="2:4" x14ac:dyDescent="0.15">
      <c r="B103" s="2">
        <v>83</v>
      </c>
      <c r="C103" s="2">
        <v>0.5</v>
      </c>
      <c r="D103" s="2">
        <f t="shared" si="7"/>
        <v>1.8200000000000007</v>
      </c>
    </row>
    <row r="104" spans="2:4" x14ac:dyDescent="0.15">
      <c r="B104" s="2">
        <v>84</v>
      </c>
      <c r="C104" s="2">
        <v>0.5</v>
      </c>
      <c r="D104" s="2">
        <f t="shared" si="7"/>
        <v>1.8300000000000007</v>
      </c>
    </row>
    <row r="105" spans="2:4" x14ac:dyDescent="0.15">
      <c r="B105" s="2">
        <v>85</v>
      </c>
      <c r="C105" s="2">
        <v>0.5</v>
      </c>
      <c r="D105" s="2">
        <f t="shared" si="7"/>
        <v>1.8400000000000007</v>
      </c>
    </row>
    <row r="106" spans="2:4" x14ac:dyDescent="0.15">
      <c r="B106" s="2">
        <v>86</v>
      </c>
      <c r="C106" s="2">
        <v>0.5</v>
      </c>
      <c r="D106" s="2">
        <f t="shared" si="7"/>
        <v>1.8500000000000008</v>
      </c>
    </row>
    <row r="107" spans="2:4" x14ac:dyDescent="0.15">
      <c r="B107" s="2">
        <v>87</v>
      </c>
      <c r="C107" s="2">
        <v>0.5</v>
      </c>
      <c r="D107" s="2">
        <f t="shared" si="7"/>
        <v>1.8600000000000008</v>
      </c>
    </row>
    <row r="108" spans="2:4" x14ac:dyDescent="0.15">
      <c r="B108" s="2">
        <v>88</v>
      </c>
      <c r="C108" s="2">
        <v>0.5</v>
      </c>
      <c r="D108" s="2">
        <f t="shared" si="7"/>
        <v>1.8700000000000008</v>
      </c>
    </row>
    <row r="109" spans="2:4" x14ac:dyDescent="0.15">
      <c r="B109" s="2">
        <v>89</v>
      </c>
      <c r="C109" s="2">
        <v>0.5</v>
      </c>
      <c r="D109" s="2">
        <f t="shared" si="7"/>
        <v>1.8800000000000008</v>
      </c>
    </row>
    <row r="110" spans="2:4" x14ac:dyDescent="0.15">
      <c r="B110" s="2">
        <v>90</v>
      </c>
      <c r="C110" s="2">
        <v>0.5</v>
      </c>
      <c r="D110" s="2">
        <f t="shared" si="7"/>
        <v>1.8900000000000008</v>
      </c>
    </row>
    <row r="111" spans="2:4" x14ac:dyDescent="0.15">
      <c r="B111" s="2">
        <v>91</v>
      </c>
      <c r="C111" s="2">
        <v>0.5</v>
      </c>
      <c r="D111" s="2">
        <f t="shared" si="7"/>
        <v>1.9000000000000008</v>
      </c>
    </row>
    <row r="112" spans="2:4" x14ac:dyDescent="0.15">
      <c r="B112" s="2">
        <v>92</v>
      </c>
      <c r="C112" s="2">
        <v>0.5</v>
      </c>
      <c r="D112" s="2">
        <f t="shared" si="7"/>
        <v>1.9100000000000008</v>
      </c>
    </row>
    <row r="113" spans="2:4" x14ac:dyDescent="0.15">
      <c r="B113" s="2">
        <v>93</v>
      </c>
      <c r="C113" s="2">
        <v>0.5</v>
      </c>
      <c r="D113" s="2">
        <f t="shared" si="7"/>
        <v>1.9200000000000008</v>
      </c>
    </row>
    <row r="114" spans="2:4" x14ac:dyDescent="0.15">
      <c r="B114" s="2">
        <v>94</v>
      </c>
      <c r="C114" s="2">
        <v>0.5</v>
      </c>
      <c r="D114" s="2">
        <f t="shared" si="7"/>
        <v>1.9300000000000008</v>
      </c>
    </row>
    <row r="115" spans="2:4" x14ac:dyDescent="0.15">
      <c r="B115" s="2">
        <v>95</v>
      </c>
      <c r="C115" s="2">
        <v>0.5</v>
      </c>
      <c r="D115" s="2">
        <f t="shared" si="7"/>
        <v>1.9400000000000008</v>
      </c>
    </row>
    <row r="116" spans="2:4" x14ac:dyDescent="0.15">
      <c r="B116" s="2">
        <v>96</v>
      </c>
      <c r="C116" s="2">
        <v>0.5</v>
      </c>
      <c r="D116" s="2">
        <f t="shared" si="7"/>
        <v>1.9500000000000008</v>
      </c>
    </row>
    <row r="117" spans="2:4" x14ac:dyDescent="0.15">
      <c r="B117" s="2">
        <v>97</v>
      </c>
      <c r="C117" s="2">
        <v>0.5</v>
      </c>
      <c r="D117" s="2">
        <f t="shared" si="7"/>
        <v>1.9600000000000009</v>
      </c>
    </row>
    <row r="118" spans="2:4" x14ac:dyDescent="0.15">
      <c r="B118" s="2">
        <v>98</v>
      </c>
      <c r="C118" s="2">
        <v>0.5</v>
      </c>
      <c r="D118" s="2">
        <f t="shared" si="7"/>
        <v>1.9700000000000009</v>
      </c>
    </row>
    <row r="119" spans="2:4" x14ac:dyDescent="0.15">
      <c r="B119" s="2">
        <v>99</v>
      </c>
      <c r="C119" s="2">
        <v>0.5</v>
      </c>
      <c r="D119" s="2">
        <f t="shared" si="7"/>
        <v>1.9800000000000009</v>
      </c>
    </row>
    <row r="120" spans="2:4" x14ac:dyDescent="0.15">
      <c r="B120" s="2">
        <v>100</v>
      </c>
      <c r="C120" s="2">
        <v>0.5</v>
      </c>
      <c r="D120" s="2">
        <f t="shared" ref="D120:D125" si="8">D119+0.01</f>
        <v>1.9900000000000009</v>
      </c>
    </row>
    <row r="121" spans="2:4" x14ac:dyDescent="0.15">
      <c r="B121" s="2">
        <v>101</v>
      </c>
      <c r="C121" s="2">
        <v>0.5</v>
      </c>
      <c r="D121" s="2">
        <f t="shared" si="8"/>
        <v>2.0000000000000009</v>
      </c>
    </row>
    <row r="122" spans="2:4" x14ac:dyDescent="0.15">
      <c r="B122" s="2">
        <v>102</v>
      </c>
      <c r="C122" s="2">
        <v>0.5</v>
      </c>
      <c r="D122" s="2">
        <f t="shared" si="8"/>
        <v>2.0100000000000007</v>
      </c>
    </row>
    <row r="123" spans="2:4" x14ac:dyDescent="0.15">
      <c r="B123" s="2">
        <v>103</v>
      </c>
      <c r="C123" s="2">
        <v>0.5</v>
      </c>
      <c r="D123" s="2">
        <f t="shared" si="8"/>
        <v>2.0200000000000005</v>
      </c>
    </row>
    <row r="124" spans="2:4" x14ac:dyDescent="0.15">
      <c r="B124" s="2">
        <v>104</v>
      </c>
      <c r="C124" s="2">
        <v>0.5</v>
      </c>
      <c r="D124" s="2">
        <f t="shared" si="8"/>
        <v>2.0300000000000002</v>
      </c>
    </row>
    <row r="125" spans="2:4" x14ac:dyDescent="0.15">
      <c r="B125" s="2">
        <v>105</v>
      </c>
      <c r="C125" s="2">
        <v>0.5</v>
      </c>
      <c r="D125" s="2">
        <f t="shared" si="8"/>
        <v>2.04</v>
      </c>
    </row>
  </sheetData>
  <phoneticPr fontId="0" type="Hiragana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U40"/>
  <sheetViews>
    <sheetView workbookViewId="0">
      <selection activeCell="E23" sqref="E23"/>
    </sheetView>
  </sheetViews>
  <sheetFormatPr defaultRowHeight="12.75" x14ac:dyDescent="0.2"/>
  <cols>
    <col min="1" max="16384" width="9" style="50"/>
  </cols>
  <sheetData>
    <row r="2" spans="1:21" x14ac:dyDescent="0.2">
      <c r="B2" s="12" t="s">
        <v>62</v>
      </c>
      <c r="C2" s="12" t="s">
        <v>110</v>
      </c>
      <c r="D2" s="12" t="s">
        <v>0</v>
      </c>
      <c r="E2" s="12" t="s">
        <v>1</v>
      </c>
      <c r="F2" s="12" t="s">
        <v>2</v>
      </c>
      <c r="G2" s="12" t="s">
        <v>3</v>
      </c>
      <c r="H2" s="12" t="s">
        <v>4</v>
      </c>
      <c r="I2" s="12" t="s">
        <v>5</v>
      </c>
      <c r="J2" s="16" t="s">
        <v>95</v>
      </c>
      <c r="K2" s="16" t="s">
        <v>6</v>
      </c>
      <c r="L2" s="16" t="s">
        <v>56</v>
      </c>
      <c r="M2" s="16" t="s">
        <v>768</v>
      </c>
      <c r="N2" s="16" t="s">
        <v>769</v>
      </c>
      <c r="O2" s="16" t="s">
        <v>96</v>
      </c>
      <c r="P2" s="16" t="s">
        <v>393</v>
      </c>
      <c r="Q2" s="16" t="s">
        <v>98</v>
      </c>
      <c r="R2" s="16" t="s">
        <v>99</v>
      </c>
      <c r="S2" s="16" t="s">
        <v>100</v>
      </c>
      <c r="T2" s="16" t="s">
        <v>101</v>
      </c>
      <c r="U2" s="49" t="s">
        <v>757</v>
      </c>
    </row>
    <row r="3" spans="1:21" ht="13.5" x14ac:dyDescent="0.2">
      <c r="B3" s="2">
        <v>1</v>
      </c>
      <c r="C3" s="4" t="s">
        <v>7</v>
      </c>
      <c r="D3" s="13">
        <f ca="1">ROUND(职业!K3*3,0)</f>
        <v>21</v>
      </c>
      <c r="E3" s="13">
        <f>ROUND(职业!L3*5,0)</f>
        <v>6</v>
      </c>
      <c r="F3" s="13">
        <f ca="1">ROUND(职业!M3*3,0)</f>
        <v>5</v>
      </c>
      <c r="G3" s="13">
        <f ca="1">ROUND(职业!N3*8,0)</f>
        <v>8</v>
      </c>
      <c r="H3" s="13">
        <f ca="1">ROUND(职业!O3*3,0)</f>
        <v>5</v>
      </c>
      <c r="I3" s="13">
        <f ca="1">ROUND(职业!P3*8,0)</f>
        <v>8</v>
      </c>
      <c r="J3" s="13">
        <f ca="1">ROUND(职业!Q3*3,0)</f>
        <v>1</v>
      </c>
      <c r="K3" s="13">
        <f>ROUND(职业!R3*3,0)</f>
        <v>3</v>
      </c>
      <c r="L3" s="13">
        <v>0.5</v>
      </c>
      <c r="M3" s="13">
        <v>0.1</v>
      </c>
      <c r="N3" s="13">
        <v>1.5</v>
      </c>
      <c r="O3" s="13">
        <f ca="1">ROUND(职业!S3*10,0)</f>
        <v>1</v>
      </c>
      <c r="P3" s="13">
        <f ca="1">ROUND(职业!T3*10,0)</f>
        <v>1</v>
      </c>
      <c r="Q3" s="13">
        <f ca="1">ROUND(职业!U3*10,0)</f>
        <v>1</v>
      </c>
      <c r="R3" s="13">
        <f ca="1">ROUND(职业!V3*10,0)</f>
        <v>1</v>
      </c>
      <c r="S3" s="13">
        <f ca="1">ROUND(职业!W3*10,0)</f>
        <v>2</v>
      </c>
      <c r="T3" s="13">
        <f ca="1">ROUND(职业!X3*10,0)</f>
        <v>1</v>
      </c>
      <c r="U3" s="13">
        <f ca="1">ROUND(职业!Y3*10,0)</f>
        <v>1</v>
      </c>
    </row>
    <row r="4" spans="1:21" ht="13.5" x14ac:dyDescent="0.2">
      <c r="B4" s="2">
        <v>2</v>
      </c>
      <c r="C4" s="5" t="s">
        <v>9</v>
      </c>
      <c r="D4" s="13">
        <f ca="1">ROUND(职业!K4*3,0)</f>
        <v>19</v>
      </c>
      <c r="E4" s="13">
        <f>ROUND(职业!L4*5,0)</f>
        <v>6</v>
      </c>
      <c r="F4" s="13">
        <f ca="1">ROUND(职业!M4*3,0)</f>
        <v>9</v>
      </c>
      <c r="G4" s="13">
        <f ca="1">ROUND(职业!N4*8,0)</f>
        <v>9</v>
      </c>
      <c r="H4" s="13">
        <f ca="1">ROUND(职业!O4*3,0)</f>
        <v>1</v>
      </c>
      <c r="I4" s="13">
        <f ca="1">ROUND(职业!P4*8,0)</f>
        <v>9</v>
      </c>
      <c r="J4" s="13">
        <f ca="1">ROUND(职业!Q4*3,0)</f>
        <v>2</v>
      </c>
      <c r="K4" s="13">
        <f>ROUND(职业!R4*3,0)</f>
        <v>3</v>
      </c>
      <c r="L4" s="13">
        <v>0.5</v>
      </c>
      <c r="M4" s="13">
        <v>0.1</v>
      </c>
      <c r="N4" s="13">
        <v>1.5</v>
      </c>
      <c r="O4" s="13">
        <f ca="1">ROUND(职业!S4*10,0)</f>
        <v>1</v>
      </c>
      <c r="P4" s="13">
        <f ca="1">ROUND(职业!T4*10,0)</f>
        <v>2</v>
      </c>
      <c r="Q4" s="13">
        <f ca="1">ROUND(职业!U4*10,0)</f>
        <v>1</v>
      </c>
      <c r="R4" s="13">
        <f ca="1">ROUND(职业!V4*10,0)</f>
        <v>1</v>
      </c>
      <c r="S4" s="13">
        <f ca="1">ROUND(职业!W4*10,0)</f>
        <v>1</v>
      </c>
      <c r="T4" s="13">
        <f ca="1">ROUND(职业!X4*10,0)</f>
        <v>1</v>
      </c>
      <c r="U4" s="13">
        <f ca="1">ROUND(职业!Y4*10,0)</f>
        <v>1</v>
      </c>
    </row>
    <row r="5" spans="1:21" ht="13.5" x14ac:dyDescent="0.2">
      <c r="B5" s="2">
        <v>3</v>
      </c>
      <c r="C5" s="6" t="s">
        <v>11</v>
      </c>
      <c r="D5" s="13">
        <f ca="1">ROUND(职业!K5*3,0)</f>
        <v>14</v>
      </c>
      <c r="E5" s="13">
        <f>ROUND(职业!L5*5,0)</f>
        <v>9</v>
      </c>
      <c r="F5" s="13">
        <f ca="1">ROUND(职业!M5*3,0)</f>
        <v>1</v>
      </c>
      <c r="G5" s="13">
        <f ca="1">ROUND(职业!N5*8,0)</f>
        <v>5</v>
      </c>
      <c r="H5" s="13">
        <f ca="1">ROUND(职业!O5*3,0)</f>
        <v>13</v>
      </c>
      <c r="I5" s="13">
        <f ca="1">ROUND(职业!P5*8,0)</f>
        <v>8</v>
      </c>
      <c r="J5" s="13">
        <f ca="1">ROUND(职业!Q5*3,0)</f>
        <v>1</v>
      </c>
      <c r="K5" s="13">
        <f>ROUND(职业!R5*3,0)</f>
        <v>3</v>
      </c>
      <c r="L5" s="13">
        <v>0.5</v>
      </c>
      <c r="M5" s="13">
        <v>0.1</v>
      </c>
      <c r="N5" s="13">
        <v>1.5</v>
      </c>
      <c r="O5" s="13">
        <f ca="1">ROUND(职业!S5*10,0)</f>
        <v>1</v>
      </c>
      <c r="P5" s="13">
        <f ca="1">ROUND(职业!T5*10,0)</f>
        <v>1</v>
      </c>
      <c r="Q5" s="13">
        <f ca="1">ROUND(职业!U5*10,0)</f>
        <v>1</v>
      </c>
      <c r="R5" s="13">
        <f ca="1">ROUND(职业!V5*10,0)</f>
        <v>1</v>
      </c>
      <c r="S5" s="13">
        <f ca="1">ROUND(职业!W5*10,0)</f>
        <v>1</v>
      </c>
      <c r="T5" s="13">
        <f ca="1">ROUND(职业!X5*10,0)</f>
        <v>1</v>
      </c>
      <c r="U5" s="13">
        <f ca="1">ROUND(职业!Y5*10,0)</f>
        <v>2</v>
      </c>
    </row>
    <row r="6" spans="1:21" ht="13.5" x14ac:dyDescent="0.2">
      <c r="B6" s="2">
        <v>4</v>
      </c>
      <c r="C6" s="5" t="s">
        <v>13</v>
      </c>
      <c r="D6" s="13">
        <f ca="1">ROUND(职业!K6*3,0)</f>
        <v>13</v>
      </c>
      <c r="E6" s="13">
        <f>ROUND(职业!L6*5,0)</f>
        <v>5</v>
      </c>
      <c r="F6" s="13">
        <f ca="1">ROUND(职业!M6*3,0)</f>
        <v>14</v>
      </c>
      <c r="G6" s="13">
        <f ca="1">ROUND(职业!N6*8,0)</f>
        <v>10</v>
      </c>
      <c r="H6" s="13">
        <f ca="1">ROUND(职业!O6*3,0)</f>
        <v>2</v>
      </c>
      <c r="I6" s="13">
        <f ca="1">ROUND(职业!P6*8,0)</f>
        <v>11</v>
      </c>
      <c r="J6" s="13">
        <f ca="1">ROUND(职业!Q6*3,0)</f>
        <v>2</v>
      </c>
      <c r="K6" s="13">
        <f>ROUND(职业!R6*3,0)</f>
        <v>3</v>
      </c>
      <c r="L6" s="13">
        <v>0.5</v>
      </c>
      <c r="M6" s="13">
        <v>0.1</v>
      </c>
      <c r="N6" s="13">
        <v>1.5</v>
      </c>
      <c r="O6" s="13">
        <f ca="1">ROUND(职业!S6*10,0)</f>
        <v>1</v>
      </c>
      <c r="P6" s="13">
        <f ca="1">ROUND(职业!T6*10,0)</f>
        <v>2</v>
      </c>
      <c r="Q6" s="13">
        <f ca="1">ROUND(职业!U6*10,0)</f>
        <v>1</v>
      </c>
      <c r="R6" s="13">
        <f ca="1">ROUND(职业!V6*10,0)</f>
        <v>1</v>
      </c>
      <c r="S6" s="13">
        <f ca="1">ROUND(职业!W6*10,0)</f>
        <v>1</v>
      </c>
      <c r="T6" s="13">
        <f ca="1">ROUND(职业!X6*10,0)</f>
        <v>1</v>
      </c>
      <c r="U6" s="13">
        <f ca="1">ROUND(职业!Y6*10,0)</f>
        <v>1</v>
      </c>
    </row>
    <row r="7" spans="1:21" ht="13.5" x14ac:dyDescent="0.2">
      <c r="B7" s="2">
        <v>5</v>
      </c>
      <c r="C7" s="4" t="s">
        <v>15</v>
      </c>
      <c r="D7" s="13">
        <f ca="1">ROUND(职业!K7*3,0)</f>
        <v>21</v>
      </c>
      <c r="E7" s="13">
        <f>ROUND(职业!L7*5,0)</f>
        <v>6</v>
      </c>
      <c r="F7" s="13">
        <f ca="1">ROUND(职业!M7*3,0)</f>
        <v>5</v>
      </c>
      <c r="G7" s="13">
        <f ca="1">ROUND(职业!N7*8,0)</f>
        <v>8</v>
      </c>
      <c r="H7" s="13">
        <f ca="1">ROUND(职业!O7*3,0)</f>
        <v>5</v>
      </c>
      <c r="I7" s="13">
        <f ca="1">ROUND(职业!P7*8,0)</f>
        <v>8</v>
      </c>
      <c r="J7" s="13">
        <f ca="1">ROUND(职业!Q7*3,0)</f>
        <v>1</v>
      </c>
      <c r="K7" s="13">
        <f>ROUND(职业!R7*3,0)</f>
        <v>3</v>
      </c>
      <c r="L7" s="13">
        <v>0.5</v>
      </c>
      <c r="M7" s="13">
        <v>0.1</v>
      </c>
      <c r="N7" s="13">
        <v>1.5</v>
      </c>
      <c r="O7" s="13">
        <f ca="1">ROUND(职业!S7*10,0)</f>
        <v>1</v>
      </c>
      <c r="P7" s="13">
        <f ca="1">ROUND(职业!T7*10,0)</f>
        <v>1</v>
      </c>
      <c r="Q7" s="13">
        <f ca="1">ROUND(职业!U7*10,0)</f>
        <v>1</v>
      </c>
      <c r="R7" s="13">
        <f ca="1">ROUND(职业!V7*10,0)</f>
        <v>1</v>
      </c>
      <c r="S7" s="13">
        <f ca="1">ROUND(职业!W7*10,0)</f>
        <v>2</v>
      </c>
      <c r="T7" s="13">
        <f ca="1">ROUND(职业!X7*10,0)</f>
        <v>1</v>
      </c>
      <c r="U7" s="13">
        <f ca="1">ROUND(职业!Y7*10,0)</f>
        <v>1</v>
      </c>
    </row>
    <row r="8" spans="1:21" ht="13.5" x14ac:dyDescent="0.2">
      <c r="B8" s="2">
        <v>6</v>
      </c>
      <c r="C8" s="7" t="s">
        <v>16</v>
      </c>
      <c r="D8" s="13">
        <f ca="1">ROUND(职业!K8*3,0)</f>
        <v>21</v>
      </c>
      <c r="E8" s="13">
        <f>ROUND(职业!L8*5,0)</f>
        <v>5</v>
      </c>
      <c r="F8" s="13">
        <f ca="1">ROUND(职业!M8*3,0)</f>
        <v>5</v>
      </c>
      <c r="G8" s="13">
        <f ca="1">ROUND(职业!N8*8,0)</f>
        <v>8</v>
      </c>
      <c r="H8" s="13">
        <f ca="1">ROUND(职业!O8*3,0)</f>
        <v>5</v>
      </c>
      <c r="I8" s="13">
        <f ca="1">ROUND(职业!P8*8,0)</f>
        <v>8</v>
      </c>
      <c r="J8" s="13">
        <f ca="1">ROUND(职业!Q8*3,0)</f>
        <v>1</v>
      </c>
      <c r="K8" s="13">
        <f>ROUND(职业!R8*3,0)</f>
        <v>3</v>
      </c>
      <c r="L8" s="13">
        <v>0.5</v>
      </c>
      <c r="M8" s="13">
        <v>0.1</v>
      </c>
      <c r="N8" s="13">
        <v>1.5</v>
      </c>
      <c r="O8" s="13">
        <f ca="1">ROUND(职业!S8*10,0)</f>
        <v>1</v>
      </c>
      <c r="P8" s="13">
        <f ca="1">ROUND(职业!T8*10,0)</f>
        <v>1</v>
      </c>
      <c r="Q8" s="13">
        <f ca="1">ROUND(职业!U8*10,0)</f>
        <v>1</v>
      </c>
      <c r="R8" s="13">
        <f ca="1">ROUND(职业!V8*10,0)</f>
        <v>1</v>
      </c>
      <c r="S8" s="13">
        <f ca="1">ROUND(职业!W8*10,0)</f>
        <v>2</v>
      </c>
      <c r="T8" s="13">
        <f ca="1">ROUND(职业!X8*10,0)</f>
        <v>1</v>
      </c>
      <c r="U8" s="13">
        <f ca="1">ROUND(职业!Y8*10,0)</f>
        <v>1</v>
      </c>
    </row>
    <row r="9" spans="1:21" ht="13.5" x14ac:dyDescent="0.2">
      <c r="A9" s="50">
        <f>8/(8+5*5.5556)</f>
        <v>0.22360109564536867</v>
      </c>
      <c r="B9" s="2">
        <v>7</v>
      </c>
      <c r="C9" s="7" t="s">
        <v>17</v>
      </c>
      <c r="D9" s="13">
        <f ca="1">ROUND(职业!K9*3,0)</f>
        <v>17</v>
      </c>
      <c r="E9" s="13">
        <f>ROUND(职业!L9*5,0)</f>
        <v>7</v>
      </c>
      <c r="F9" s="13">
        <f ca="1">ROUND(职业!M9*3,0)</f>
        <v>2</v>
      </c>
      <c r="G9" s="13">
        <f ca="1">ROUND(职业!N9*8,0)</f>
        <v>6</v>
      </c>
      <c r="H9" s="13">
        <f ca="1">ROUND(职业!O9*3,0)</f>
        <v>10</v>
      </c>
      <c r="I9" s="13">
        <f ca="1">ROUND(职业!P9*8,0)</f>
        <v>7</v>
      </c>
      <c r="J9" s="13">
        <f ca="1">ROUND(职业!Q9*3,0)</f>
        <v>1</v>
      </c>
      <c r="K9" s="13">
        <f>ROUND(职业!R9*3,0)</f>
        <v>3</v>
      </c>
      <c r="L9" s="13">
        <v>0.5</v>
      </c>
      <c r="M9" s="13">
        <v>0.1</v>
      </c>
      <c r="N9" s="13">
        <v>1.5</v>
      </c>
      <c r="O9" s="13">
        <f ca="1">ROUND(职业!S9*10,0)</f>
        <v>1</v>
      </c>
      <c r="P9" s="13">
        <f ca="1">ROUND(职业!T9*10,0)</f>
        <v>1</v>
      </c>
      <c r="Q9" s="13">
        <f ca="1">ROUND(职业!U9*10,0)</f>
        <v>1</v>
      </c>
      <c r="R9" s="13">
        <f ca="1">ROUND(职业!V9*10,0)</f>
        <v>1</v>
      </c>
      <c r="S9" s="13">
        <f ca="1">ROUND(职业!W9*10,0)</f>
        <v>1</v>
      </c>
      <c r="T9" s="13">
        <f ca="1">ROUND(职业!X9*10,0)</f>
        <v>1</v>
      </c>
      <c r="U9" s="13">
        <f ca="1">ROUND(职业!Y9*10,0)</f>
        <v>2</v>
      </c>
    </row>
    <row r="10" spans="1:21" ht="13.5" x14ac:dyDescent="0.2">
      <c r="B10" s="2">
        <v>8</v>
      </c>
      <c r="C10" s="4" t="s">
        <v>19</v>
      </c>
      <c r="D10" s="13">
        <f ca="1">ROUND(职业!K10*3,0)</f>
        <v>14</v>
      </c>
      <c r="E10" s="13">
        <f>ROUND(职业!L10*5,0)</f>
        <v>9</v>
      </c>
      <c r="F10" s="13">
        <f ca="1">ROUND(职业!M10*3,0)</f>
        <v>1</v>
      </c>
      <c r="G10" s="13">
        <f ca="1">ROUND(职业!N10*8,0)</f>
        <v>5</v>
      </c>
      <c r="H10" s="13">
        <f ca="1">ROUND(职业!O10*3,0)</f>
        <v>13</v>
      </c>
      <c r="I10" s="13">
        <f ca="1">ROUND(职业!P10*8,0)</f>
        <v>8</v>
      </c>
      <c r="J10" s="13">
        <f ca="1">ROUND(职业!Q10*3,0)</f>
        <v>1</v>
      </c>
      <c r="K10" s="13">
        <f>ROUND(职业!R10*3,0)</f>
        <v>3</v>
      </c>
      <c r="L10" s="13">
        <v>0.5</v>
      </c>
      <c r="M10" s="13">
        <v>0.1</v>
      </c>
      <c r="N10" s="13">
        <v>1.5</v>
      </c>
      <c r="O10" s="13">
        <f ca="1">ROUND(职业!S10*10,0)</f>
        <v>1</v>
      </c>
      <c r="P10" s="13">
        <f ca="1">ROUND(职业!T10*10,0)</f>
        <v>1</v>
      </c>
      <c r="Q10" s="13">
        <f ca="1">ROUND(职业!U10*10,0)</f>
        <v>1</v>
      </c>
      <c r="R10" s="13">
        <f ca="1">ROUND(职业!V10*10,0)</f>
        <v>1</v>
      </c>
      <c r="S10" s="13">
        <f ca="1">ROUND(职业!W10*10,0)</f>
        <v>1</v>
      </c>
      <c r="T10" s="13">
        <f ca="1">ROUND(职业!X10*10,0)</f>
        <v>1</v>
      </c>
      <c r="U10" s="13">
        <f ca="1">ROUND(职业!Y10*10,0)</f>
        <v>2</v>
      </c>
    </row>
    <row r="11" spans="1:21" ht="13.5" x14ac:dyDescent="0.2">
      <c r="B11" s="2">
        <v>9</v>
      </c>
      <c r="C11" s="7" t="s">
        <v>20</v>
      </c>
      <c r="D11" s="13">
        <f ca="1">ROUND(职业!K11*3,0)</f>
        <v>14</v>
      </c>
      <c r="E11" s="13">
        <f>ROUND(职业!L11*5,0)</f>
        <v>6</v>
      </c>
      <c r="F11" s="13">
        <f ca="1">ROUND(职业!M11*3,0)</f>
        <v>11</v>
      </c>
      <c r="G11" s="13">
        <f ca="1">ROUND(职业!N11*8,0)</f>
        <v>10</v>
      </c>
      <c r="H11" s="13">
        <f ca="1">ROUND(职业!O11*3,0)</f>
        <v>3</v>
      </c>
      <c r="I11" s="13">
        <f ca="1">ROUND(职业!P11*8,0)</f>
        <v>7</v>
      </c>
      <c r="J11" s="13">
        <f ca="1">ROUND(职业!Q11*3,0)</f>
        <v>2</v>
      </c>
      <c r="K11" s="13">
        <f>ROUND(职业!R11*3,0)</f>
        <v>3</v>
      </c>
      <c r="L11" s="13">
        <v>0.5</v>
      </c>
      <c r="M11" s="13">
        <v>0.1</v>
      </c>
      <c r="N11" s="13">
        <v>1.5</v>
      </c>
      <c r="O11" s="13">
        <f ca="1">ROUND(职业!S11*10,0)</f>
        <v>1</v>
      </c>
      <c r="P11" s="13">
        <f ca="1">ROUND(职业!T11*10,0)</f>
        <v>2</v>
      </c>
      <c r="Q11" s="13">
        <f ca="1">ROUND(职业!U11*10,0)</f>
        <v>1</v>
      </c>
      <c r="R11" s="13">
        <f ca="1">ROUND(职业!V11*10,0)</f>
        <v>1</v>
      </c>
      <c r="S11" s="13">
        <f ca="1">ROUND(职业!W11*10,0)</f>
        <v>1</v>
      </c>
      <c r="T11" s="13">
        <f ca="1">ROUND(职业!X11*10,0)</f>
        <v>1</v>
      </c>
      <c r="U11" s="13">
        <f ca="1">ROUND(职业!Y11*10,0)</f>
        <v>1</v>
      </c>
    </row>
    <row r="12" spans="1:21" ht="13.5" x14ac:dyDescent="0.2">
      <c r="B12" s="2">
        <v>10</v>
      </c>
      <c r="C12" s="4" t="s">
        <v>22</v>
      </c>
      <c r="D12" s="13">
        <f ca="1">ROUND(职业!K12*3,0)</f>
        <v>13</v>
      </c>
      <c r="E12" s="13">
        <f>ROUND(职业!L12*5,0)</f>
        <v>5</v>
      </c>
      <c r="F12" s="13">
        <f ca="1">ROUND(职业!M12*3,0)</f>
        <v>14</v>
      </c>
      <c r="G12" s="13">
        <f ca="1">ROUND(职业!N12*8,0)</f>
        <v>10</v>
      </c>
      <c r="H12" s="13">
        <f ca="1">ROUND(职业!O12*3,0)</f>
        <v>2</v>
      </c>
      <c r="I12" s="13">
        <f ca="1">ROUND(职业!P12*8,0)</f>
        <v>11</v>
      </c>
      <c r="J12" s="13">
        <f ca="1">ROUND(职业!Q12*3,0)</f>
        <v>2</v>
      </c>
      <c r="K12" s="13">
        <f>ROUND(职业!R12*3,0)</f>
        <v>3</v>
      </c>
      <c r="L12" s="13">
        <v>0.5</v>
      </c>
      <c r="M12" s="13">
        <v>0.1</v>
      </c>
      <c r="N12" s="13">
        <v>1.5</v>
      </c>
      <c r="O12" s="13">
        <f ca="1">ROUND(职业!S12*10,0)</f>
        <v>1</v>
      </c>
      <c r="P12" s="13">
        <f ca="1">ROUND(职业!T12*10,0)</f>
        <v>2</v>
      </c>
      <c r="Q12" s="13">
        <f ca="1">ROUND(职业!U12*10,0)</f>
        <v>1</v>
      </c>
      <c r="R12" s="13">
        <f ca="1">ROUND(职业!V12*10,0)</f>
        <v>1</v>
      </c>
      <c r="S12" s="13">
        <f ca="1">ROUND(职业!W12*10,0)</f>
        <v>1</v>
      </c>
      <c r="T12" s="13">
        <f ca="1">ROUND(职业!X12*10,0)</f>
        <v>1</v>
      </c>
      <c r="U12" s="13">
        <f ca="1">ROUND(职业!Y12*10,0)</f>
        <v>1</v>
      </c>
    </row>
    <row r="13" spans="1:21" ht="13.5" x14ac:dyDescent="0.2">
      <c r="B13" s="2">
        <v>11</v>
      </c>
      <c r="C13" s="7" t="s">
        <v>23</v>
      </c>
      <c r="D13" s="13">
        <f ca="1">ROUND(职业!K13*3,0)</f>
        <v>21</v>
      </c>
      <c r="E13" s="13">
        <f>ROUND(职业!L13*5,0)</f>
        <v>7</v>
      </c>
      <c r="F13" s="13">
        <f ca="1">ROUND(职业!M13*3,0)</f>
        <v>5</v>
      </c>
      <c r="G13" s="13">
        <f ca="1">ROUND(职业!N13*8,0)</f>
        <v>8</v>
      </c>
      <c r="H13" s="13">
        <f ca="1">ROUND(职业!O13*3,0)</f>
        <v>5</v>
      </c>
      <c r="I13" s="13">
        <f ca="1">ROUND(职业!P13*8,0)</f>
        <v>8</v>
      </c>
      <c r="J13" s="13">
        <f ca="1">ROUND(职业!Q13*3,0)</f>
        <v>1</v>
      </c>
      <c r="K13" s="13">
        <f>ROUND(职业!R13*3,0)</f>
        <v>3</v>
      </c>
      <c r="L13" s="13">
        <v>0.5</v>
      </c>
      <c r="M13" s="13">
        <v>0.1</v>
      </c>
      <c r="N13" s="13">
        <v>1.5</v>
      </c>
      <c r="O13" s="13">
        <f ca="1">ROUND(职业!S13*10,0)</f>
        <v>1</v>
      </c>
      <c r="P13" s="13">
        <f ca="1">ROUND(职业!T13*10,0)</f>
        <v>1</v>
      </c>
      <c r="Q13" s="13">
        <f ca="1">ROUND(职业!U13*10,0)</f>
        <v>1</v>
      </c>
      <c r="R13" s="13">
        <f ca="1">ROUND(职业!V13*10,0)</f>
        <v>1</v>
      </c>
      <c r="S13" s="13">
        <f ca="1">ROUND(职业!W13*10,0)</f>
        <v>2</v>
      </c>
      <c r="T13" s="13">
        <f ca="1">ROUND(职业!X13*10,0)</f>
        <v>1</v>
      </c>
      <c r="U13" s="13">
        <f ca="1">ROUND(职业!Y13*10,0)</f>
        <v>1</v>
      </c>
    </row>
    <row r="14" spans="1:21" ht="13.5" x14ac:dyDescent="0.2">
      <c r="B14" s="2">
        <v>12</v>
      </c>
      <c r="C14" s="4" t="s">
        <v>24</v>
      </c>
      <c r="D14" s="13">
        <f ca="1">ROUND(职业!K14*3,0)</f>
        <v>16</v>
      </c>
      <c r="E14" s="13">
        <f>ROUND(职业!L14*5,0)</f>
        <v>5</v>
      </c>
      <c r="F14" s="13">
        <f ca="1">ROUND(职业!M14*3,0)</f>
        <v>11</v>
      </c>
      <c r="G14" s="13">
        <f ca="1">ROUND(职业!N14*8,0)</f>
        <v>10</v>
      </c>
      <c r="H14" s="13">
        <f ca="1">ROUND(职业!O14*3,0)</f>
        <v>1</v>
      </c>
      <c r="I14" s="13">
        <f ca="1">ROUND(职业!P14*8,0)</f>
        <v>10</v>
      </c>
      <c r="J14" s="13">
        <f ca="1">ROUND(职业!Q14*3,0)</f>
        <v>1</v>
      </c>
      <c r="K14" s="13">
        <f>ROUND(职业!R14*3,0)</f>
        <v>3</v>
      </c>
      <c r="L14" s="13">
        <v>0.5</v>
      </c>
      <c r="M14" s="13">
        <v>0.1</v>
      </c>
      <c r="N14" s="13">
        <v>1.5</v>
      </c>
      <c r="O14" s="13">
        <f ca="1">ROUND(职业!S14*10,0)</f>
        <v>1</v>
      </c>
      <c r="P14" s="13">
        <f ca="1">ROUND(职业!T14*10,0)</f>
        <v>1</v>
      </c>
      <c r="Q14" s="13">
        <f ca="1">ROUND(职业!U14*10,0)</f>
        <v>1</v>
      </c>
      <c r="R14" s="13">
        <f ca="1">ROUND(职业!V14*10,0)</f>
        <v>1</v>
      </c>
      <c r="S14" s="13">
        <f ca="1">ROUND(职业!W14*10,0)</f>
        <v>1</v>
      </c>
      <c r="T14" s="13">
        <f ca="1">ROUND(职业!X14*10,0)</f>
        <v>2</v>
      </c>
      <c r="U14" s="13">
        <f ca="1">ROUND(职业!Y14*10,0)</f>
        <v>1</v>
      </c>
    </row>
    <row r="15" spans="1:21" ht="13.5" x14ac:dyDescent="0.2">
      <c r="B15" s="2">
        <v>13</v>
      </c>
      <c r="C15" s="7" t="s">
        <v>25</v>
      </c>
      <c r="D15" s="13">
        <f ca="1">ROUND(职业!K15*3,0)</f>
        <v>13</v>
      </c>
      <c r="E15" s="13">
        <f>ROUND(职业!L15*5,0)</f>
        <v>5</v>
      </c>
      <c r="F15" s="13">
        <f ca="1">ROUND(职业!M15*3,0)</f>
        <v>14</v>
      </c>
      <c r="G15" s="13">
        <f ca="1">ROUND(职业!N15*8,0)</f>
        <v>10</v>
      </c>
      <c r="H15" s="13">
        <f ca="1">ROUND(职业!O15*3,0)</f>
        <v>2</v>
      </c>
      <c r="I15" s="13">
        <f ca="1">ROUND(职业!P15*8,0)</f>
        <v>11</v>
      </c>
      <c r="J15" s="13">
        <f ca="1">ROUND(职业!Q15*3,0)</f>
        <v>2</v>
      </c>
      <c r="K15" s="13">
        <f>ROUND(职业!R15*3,0)</f>
        <v>3</v>
      </c>
      <c r="L15" s="13">
        <v>0.5</v>
      </c>
      <c r="M15" s="13">
        <v>0.1</v>
      </c>
      <c r="N15" s="13">
        <v>1.5</v>
      </c>
      <c r="O15" s="13">
        <f ca="1">ROUND(职业!S15*10,0)</f>
        <v>1</v>
      </c>
      <c r="P15" s="13">
        <f ca="1">ROUND(职业!T15*10,0)</f>
        <v>2</v>
      </c>
      <c r="Q15" s="13">
        <f ca="1">ROUND(职业!U15*10,0)</f>
        <v>1</v>
      </c>
      <c r="R15" s="13">
        <f ca="1">ROUND(职业!V15*10,0)</f>
        <v>1</v>
      </c>
      <c r="S15" s="13">
        <f ca="1">ROUND(职业!W15*10,0)</f>
        <v>1</v>
      </c>
      <c r="T15" s="13">
        <f ca="1">ROUND(职业!X15*10,0)</f>
        <v>1</v>
      </c>
      <c r="U15" s="13">
        <f ca="1">ROUND(职业!Y15*10,0)</f>
        <v>1</v>
      </c>
    </row>
    <row r="16" spans="1:21" ht="13.5" x14ac:dyDescent="0.2">
      <c r="B16" s="2">
        <v>14</v>
      </c>
      <c r="C16" s="4" t="s">
        <v>26</v>
      </c>
      <c r="D16" s="13">
        <f ca="1">ROUND(职业!K16*3,0)</f>
        <v>16</v>
      </c>
      <c r="E16" s="13">
        <f>ROUND(职业!L16*5,0)</f>
        <v>6</v>
      </c>
      <c r="F16" s="13">
        <f ca="1">ROUND(职业!M16*3,0)</f>
        <v>9</v>
      </c>
      <c r="G16" s="13">
        <f ca="1">ROUND(职业!N16*8,0)</f>
        <v>11</v>
      </c>
      <c r="H16" s="13">
        <f ca="1">ROUND(职业!O16*3,0)</f>
        <v>1</v>
      </c>
      <c r="I16" s="13">
        <f ca="1">ROUND(职业!P16*8,0)</f>
        <v>8</v>
      </c>
      <c r="J16" s="13">
        <f ca="1">ROUND(职业!Q16*3,0)</f>
        <v>3</v>
      </c>
      <c r="K16" s="13">
        <f>ROUND(职业!R16*3,0)</f>
        <v>3</v>
      </c>
      <c r="L16" s="13">
        <v>0.5</v>
      </c>
      <c r="M16" s="13">
        <v>0.1</v>
      </c>
      <c r="N16" s="13">
        <v>1.5</v>
      </c>
      <c r="O16" s="13">
        <f ca="1">ROUND(职业!S16*10,0)</f>
        <v>1</v>
      </c>
      <c r="P16" s="13">
        <f ca="1">ROUND(职业!T16*10,0)</f>
        <v>1</v>
      </c>
      <c r="Q16" s="13">
        <f ca="1">ROUND(职业!U16*10,0)</f>
        <v>1</v>
      </c>
      <c r="R16" s="13">
        <f ca="1">ROUND(职业!V16*10,0)</f>
        <v>1</v>
      </c>
      <c r="S16" s="13">
        <f ca="1">ROUND(职业!W16*10,0)</f>
        <v>2</v>
      </c>
      <c r="T16" s="13">
        <f ca="1">ROUND(职业!X16*10,0)</f>
        <v>1</v>
      </c>
      <c r="U16" s="13">
        <f ca="1">ROUND(职业!Y16*10,0)</f>
        <v>1</v>
      </c>
    </row>
    <row r="17" spans="2:21" ht="13.5" x14ac:dyDescent="0.2">
      <c r="B17" s="2">
        <v>15</v>
      </c>
      <c r="C17" s="7" t="s">
        <v>28</v>
      </c>
      <c r="D17" s="13">
        <f ca="1">ROUND(职业!K17*3,0)</f>
        <v>15</v>
      </c>
      <c r="E17" s="13">
        <f>ROUND(职业!L17*5,0)</f>
        <v>6</v>
      </c>
      <c r="F17" s="13">
        <f ca="1">ROUND(职业!M17*3,0)</f>
        <v>4</v>
      </c>
      <c r="G17" s="13">
        <f ca="1">ROUND(职业!N17*8,0)</f>
        <v>6</v>
      </c>
      <c r="H17" s="13">
        <f ca="1">ROUND(职业!O17*3,0)</f>
        <v>7</v>
      </c>
      <c r="I17" s="13">
        <f ca="1">ROUND(职业!P17*8,0)</f>
        <v>8</v>
      </c>
      <c r="J17" s="13">
        <f ca="1">ROUND(职业!Q17*3,0)</f>
        <v>3</v>
      </c>
      <c r="K17" s="13">
        <f>ROUND(职业!R17*3,0)</f>
        <v>3</v>
      </c>
      <c r="L17" s="13">
        <v>0.5</v>
      </c>
      <c r="M17" s="13">
        <v>0.1</v>
      </c>
      <c r="N17" s="13">
        <v>1.5</v>
      </c>
      <c r="O17" s="13">
        <f ca="1">ROUND(职业!S17*10,0)</f>
        <v>1</v>
      </c>
      <c r="P17" s="13">
        <f ca="1">ROUND(职业!T17*10,0)</f>
        <v>1</v>
      </c>
      <c r="Q17" s="13">
        <f ca="1">ROUND(职业!U17*10,0)</f>
        <v>1</v>
      </c>
      <c r="R17" s="13">
        <f ca="1">ROUND(职业!V17*10,0)</f>
        <v>2</v>
      </c>
      <c r="S17" s="13">
        <f ca="1">ROUND(职业!W17*10,0)</f>
        <v>1</v>
      </c>
      <c r="T17" s="13">
        <f ca="1">ROUND(职业!X17*10,0)</f>
        <v>1</v>
      </c>
      <c r="U17" s="13">
        <f ca="1">ROUND(职业!Y17*10,0)</f>
        <v>1</v>
      </c>
    </row>
    <row r="18" spans="2:21" ht="13.5" x14ac:dyDescent="0.2">
      <c r="B18" s="2">
        <v>16</v>
      </c>
      <c r="C18" s="4" t="s">
        <v>30</v>
      </c>
      <c r="D18" s="13">
        <f ca="1">ROUND(职业!K18*3,0)</f>
        <v>16</v>
      </c>
      <c r="E18" s="13">
        <f>ROUND(职业!L18*5,0)</f>
        <v>7</v>
      </c>
      <c r="F18" s="13">
        <f ca="1">ROUND(职业!M18*3,0)</f>
        <v>5</v>
      </c>
      <c r="G18" s="13">
        <f ca="1">ROUND(职业!N18*8,0)</f>
        <v>6</v>
      </c>
      <c r="H18" s="13">
        <f ca="1">ROUND(职业!O18*3,0)</f>
        <v>7</v>
      </c>
      <c r="I18" s="13">
        <f ca="1">ROUND(职业!P18*8,0)</f>
        <v>8</v>
      </c>
      <c r="J18" s="13">
        <f ca="1">ROUND(职业!Q18*3,0)</f>
        <v>2</v>
      </c>
      <c r="K18" s="13">
        <f>ROUND(职业!R18*3,0)</f>
        <v>3</v>
      </c>
      <c r="L18" s="13">
        <v>0.5</v>
      </c>
      <c r="M18" s="13">
        <v>0.1</v>
      </c>
      <c r="N18" s="13">
        <v>1.5</v>
      </c>
      <c r="O18" s="13">
        <f ca="1">ROUND(职业!S18*10,0)</f>
        <v>1</v>
      </c>
      <c r="P18" s="13">
        <f ca="1">ROUND(职业!T18*10,0)</f>
        <v>1</v>
      </c>
      <c r="Q18" s="13">
        <f ca="1">ROUND(职业!U18*10,0)</f>
        <v>1</v>
      </c>
      <c r="R18" s="13">
        <f ca="1">ROUND(职业!V18*10,0)</f>
        <v>1</v>
      </c>
      <c r="S18" s="13">
        <f ca="1">ROUND(职业!W18*10,0)</f>
        <v>1</v>
      </c>
      <c r="T18" s="13">
        <f ca="1">ROUND(职业!X18*10,0)</f>
        <v>1</v>
      </c>
      <c r="U18" s="13">
        <f ca="1">ROUND(职业!Y18*10,0)</f>
        <v>2</v>
      </c>
    </row>
    <row r="19" spans="2:21" ht="13.5" x14ac:dyDescent="0.2">
      <c r="B19" s="2">
        <v>17</v>
      </c>
      <c r="C19" s="7" t="s">
        <v>32</v>
      </c>
      <c r="D19" s="13">
        <f ca="1">ROUND(职业!K19*3,0)</f>
        <v>17</v>
      </c>
      <c r="E19" s="13">
        <f>ROUND(职业!L19*5,0)</f>
        <v>7</v>
      </c>
      <c r="F19" s="13">
        <f ca="1">ROUND(职业!M19*3,0)</f>
        <v>2</v>
      </c>
      <c r="G19" s="13">
        <f ca="1">ROUND(职业!N19*8,0)</f>
        <v>11</v>
      </c>
      <c r="H19" s="13">
        <f ca="1">ROUND(职业!O19*3,0)</f>
        <v>8</v>
      </c>
      <c r="I19" s="13">
        <f ca="1">ROUND(职业!P19*8,0)</f>
        <v>11</v>
      </c>
      <c r="J19" s="13">
        <f ca="1">ROUND(职业!Q19*3,0)</f>
        <v>3</v>
      </c>
      <c r="K19" s="13">
        <f>ROUND(职业!R19*3,0)</f>
        <v>3</v>
      </c>
      <c r="L19" s="13">
        <v>0.5</v>
      </c>
      <c r="M19" s="13">
        <v>0.1</v>
      </c>
      <c r="N19" s="13">
        <v>1.5</v>
      </c>
      <c r="O19" s="13">
        <f ca="1">ROUND(职业!S19*10,0)</f>
        <v>2</v>
      </c>
      <c r="P19" s="13">
        <f ca="1">ROUND(职业!T19*10,0)</f>
        <v>1</v>
      </c>
      <c r="Q19" s="13">
        <f ca="1">ROUND(职业!U19*10,0)</f>
        <v>1</v>
      </c>
      <c r="R19" s="13">
        <f ca="1">ROUND(职业!V19*10,0)</f>
        <v>1</v>
      </c>
      <c r="S19" s="13">
        <f ca="1">ROUND(职业!W19*10,0)</f>
        <v>1</v>
      </c>
      <c r="T19" s="13">
        <f ca="1">ROUND(职业!X19*10,0)</f>
        <v>1</v>
      </c>
      <c r="U19" s="13">
        <f ca="1">ROUND(职业!Y19*10,0)</f>
        <v>1</v>
      </c>
    </row>
    <row r="20" spans="2:21" ht="13.5" x14ac:dyDescent="0.2">
      <c r="B20" s="2">
        <v>18</v>
      </c>
      <c r="C20" s="4" t="s">
        <v>33</v>
      </c>
      <c r="D20" s="13">
        <f ca="1">ROUND(职业!K20*3,0)</f>
        <v>12</v>
      </c>
      <c r="E20" s="13">
        <f>ROUND(职业!L20*5,0)</f>
        <v>6</v>
      </c>
      <c r="F20" s="13">
        <f ca="1">ROUND(职业!M20*3,0)</f>
        <v>9</v>
      </c>
      <c r="G20" s="13">
        <f ca="1">ROUND(职业!N20*8,0)</f>
        <v>8</v>
      </c>
      <c r="H20" s="13">
        <f ca="1">ROUND(职业!O20*3,0)</f>
        <v>4</v>
      </c>
      <c r="I20" s="13">
        <f ca="1">ROUND(职业!P20*8,0)</f>
        <v>10</v>
      </c>
      <c r="J20" s="13">
        <f ca="1">ROUND(职业!Q20*3,0)</f>
        <v>3</v>
      </c>
      <c r="K20" s="13">
        <f>ROUND(职业!R20*3,0)</f>
        <v>3</v>
      </c>
      <c r="L20" s="13">
        <v>0.5</v>
      </c>
      <c r="M20" s="13">
        <v>0.1</v>
      </c>
      <c r="N20" s="13">
        <v>1.5</v>
      </c>
      <c r="O20" s="13">
        <f ca="1">ROUND(职业!S20*10,0)</f>
        <v>1</v>
      </c>
      <c r="P20" s="13">
        <f ca="1">ROUND(职业!T20*10,0)</f>
        <v>1</v>
      </c>
      <c r="Q20" s="13">
        <f ca="1">ROUND(职业!U20*10,0)</f>
        <v>1</v>
      </c>
      <c r="R20" s="13">
        <f ca="1">ROUND(职业!V20*10,0)</f>
        <v>1</v>
      </c>
      <c r="S20" s="13">
        <f ca="1">ROUND(职业!W20*10,0)</f>
        <v>1</v>
      </c>
      <c r="T20" s="13">
        <f ca="1">ROUND(职业!X20*10,0)</f>
        <v>2</v>
      </c>
      <c r="U20" s="13">
        <f ca="1">ROUND(职业!Y20*10,0)</f>
        <v>1</v>
      </c>
    </row>
    <row r="21" spans="2:21" ht="13.5" x14ac:dyDescent="0.2">
      <c r="B21" s="2">
        <v>19</v>
      </c>
      <c r="C21" s="7" t="s">
        <v>35</v>
      </c>
      <c r="D21" s="13">
        <f ca="1">ROUND(职业!K21*3,0)</f>
        <v>14</v>
      </c>
      <c r="E21" s="13">
        <f>ROUND(职业!L21*5,0)</f>
        <v>6</v>
      </c>
      <c r="F21" s="13">
        <f ca="1">ROUND(职业!M21*3,0)</f>
        <v>11</v>
      </c>
      <c r="G21" s="13">
        <f ca="1">ROUND(职业!N21*8,0)</f>
        <v>10</v>
      </c>
      <c r="H21" s="13">
        <f ca="1">ROUND(职业!O21*3,0)</f>
        <v>3</v>
      </c>
      <c r="I21" s="13">
        <f ca="1">ROUND(职业!P21*8,0)</f>
        <v>7</v>
      </c>
      <c r="J21" s="13">
        <f ca="1">ROUND(职业!Q21*3,0)</f>
        <v>2</v>
      </c>
      <c r="K21" s="13">
        <f>ROUND(职业!R21*3,0)</f>
        <v>3</v>
      </c>
      <c r="L21" s="13">
        <v>0.5</v>
      </c>
      <c r="M21" s="13">
        <v>0.1</v>
      </c>
      <c r="N21" s="13">
        <v>1.5</v>
      </c>
      <c r="O21" s="13">
        <f ca="1">ROUND(职业!S21*10,0)</f>
        <v>1</v>
      </c>
      <c r="P21" s="13">
        <f ca="1">ROUND(职业!T21*10,0)</f>
        <v>2</v>
      </c>
      <c r="Q21" s="13">
        <f ca="1">ROUND(职业!U21*10,0)</f>
        <v>1</v>
      </c>
      <c r="R21" s="13">
        <f ca="1">ROUND(职业!V21*10,0)</f>
        <v>1</v>
      </c>
      <c r="S21" s="13">
        <f ca="1">ROUND(职业!W21*10,0)</f>
        <v>1</v>
      </c>
      <c r="T21" s="13">
        <f ca="1">ROUND(职业!X21*10,0)</f>
        <v>1</v>
      </c>
      <c r="U21" s="13">
        <f ca="1">ROUND(职业!Y21*10,0)</f>
        <v>1</v>
      </c>
    </row>
    <row r="22" spans="2:21" ht="13.5" x14ac:dyDescent="0.2">
      <c r="B22" s="2">
        <v>20</v>
      </c>
      <c r="C22" s="4" t="s">
        <v>36</v>
      </c>
      <c r="D22" s="13">
        <f ca="1">ROUND(职业!K22*3,0)</f>
        <v>16</v>
      </c>
      <c r="E22" s="13">
        <f>ROUND(职业!L22*5,0)</f>
        <v>7</v>
      </c>
      <c r="F22" s="13">
        <f ca="1">ROUND(职业!M22*3,0)</f>
        <v>5</v>
      </c>
      <c r="G22" s="13">
        <f ca="1">ROUND(职业!N22*8,0)</f>
        <v>6</v>
      </c>
      <c r="H22" s="13">
        <f ca="1">ROUND(职业!O22*3,0)</f>
        <v>7</v>
      </c>
      <c r="I22" s="13">
        <f ca="1">ROUND(职业!P22*8,0)</f>
        <v>8</v>
      </c>
      <c r="J22" s="13">
        <f ca="1">ROUND(职业!Q22*3,0)</f>
        <v>2</v>
      </c>
      <c r="K22" s="13">
        <f>ROUND(职业!R22*3,0)</f>
        <v>3</v>
      </c>
      <c r="L22" s="13">
        <v>0.5</v>
      </c>
      <c r="M22" s="13">
        <v>0.1</v>
      </c>
      <c r="N22" s="13">
        <v>1.5</v>
      </c>
      <c r="O22" s="13">
        <f ca="1">ROUND(职业!S22*10,0)</f>
        <v>1</v>
      </c>
      <c r="P22" s="13">
        <f ca="1">ROUND(职业!T22*10,0)</f>
        <v>1</v>
      </c>
      <c r="Q22" s="13">
        <f ca="1">ROUND(职业!U22*10,0)</f>
        <v>1</v>
      </c>
      <c r="R22" s="13">
        <f ca="1">ROUND(职业!V22*10,0)</f>
        <v>1</v>
      </c>
      <c r="S22" s="13">
        <f ca="1">ROUND(职业!W22*10,0)</f>
        <v>1</v>
      </c>
      <c r="T22" s="13">
        <f ca="1">ROUND(职业!X22*10,0)</f>
        <v>1</v>
      </c>
      <c r="U22" s="13">
        <f ca="1">ROUND(职业!Y22*10,0)</f>
        <v>2</v>
      </c>
    </row>
    <row r="23" spans="2:21" ht="13.5" x14ac:dyDescent="0.2">
      <c r="B23" s="2">
        <v>21</v>
      </c>
      <c r="C23" s="7" t="s">
        <v>37</v>
      </c>
      <c r="D23" s="13">
        <f ca="1">ROUND(职业!K23*3,0)</f>
        <v>14</v>
      </c>
      <c r="E23" s="13">
        <f>ROUND(职业!L23*5,0)</f>
        <v>6</v>
      </c>
      <c r="F23" s="13">
        <f ca="1">ROUND(职业!M23*3,0)</f>
        <v>9</v>
      </c>
      <c r="G23" s="13">
        <f ca="1">ROUND(职业!N23*8,0)</f>
        <v>10</v>
      </c>
      <c r="H23" s="13">
        <f ca="1">ROUND(职业!O23*3,0)</f>
        <v>2</v>
      </c>
      <c r="I23" s="13">
        <f ca="1">ROUND(职业!P23*8,0)</f>
        <v>9</v>
      </c>
      <c r="J23" s="13">
        <f ca="1">ROUND(职业!Q23*3,0)</f>
        <v>3</v>
      </c>
      <c r="K23" s="13">
        <f>ROUND(职业!R23*3,0)</f>
        <v>3</v>
      </c>
      <c r="L23" s="13">
        <v>0.5</v>
      </c>
      <c r="M23" s="13">
        <v>0.1</v>
      </c>
      <c r="N23" s="13">
        <v>1.5</v>
      </c>
      <c r="O23" s="13">
        <f ca="1">ROUND(职业!S23*10,0)</f>
        <v>1</v>
      </c>
      <c r="P23" s="13">
        <f ca="1">ROUND(职业!T23*10,0)</f>
        <v>1</v>
      </c>
      <c r="Q23" s="13">
        <f ca="1">ROUND(职业!U23*10,0)</f>
        <v>2</v>
      </c>
      <c r="R23" s="13">
        <f ca="1">ROUND(职业!V23*10,0)</f>
        <v>1</v>
      </c>
      <c r="S23" s="13">
        <f ca="1">ROUND(职业!W23*10,0)</f>
        <v>1</v>
      </c>
      <c r="T23" s="13">
        <f ca="1">ROUND(职业!X23*10,0)</f>
        <v>1</v>
      </c>
      <c r="U23" s="13">
        <f ca="1">ROUND(职业!Y23*10,0)</f>
        <v>1</v>
      </c>
    </row>
    <row r="24" spans="2:21" ht="13.5" x14ac:dyDescent="0.2">
      <c r="B24" s="2">
        <v>22</v>
      </c>
      <c r="C24" s="4" t="s">
        <v>38</v>
      </c>
      <c r="D24" s="13">
        <f ca="1">ROUND(职业!K24*3,0)</f>
        <v>17</v>
      </c>
      <c r="E24" s="13">
        <f>ROUND(职业!L24*5,0)</f>
        <v>6</v>
      </c>
      <c r="F24" s="13">
        <f ca="1">ROUND(职业!M24*3,0)</f>
        <v>2</v>
      </c>
      <c r="G24" s="13">
        <f ca="1">ROUND(职业!N24*8,0)</f>
        <v>11</v>
      </c>
      <c r="H24" s="13">
        <f ca="1">ROUND(职业!O24*3,0)</f>
        <v>8</v>
      </c>
      <c r="I24" s="13">
        <f ca="1">ROUND(职业!P24*8,0)</f>
        <v>11</v>
      </c>
      <c r="J24" s="13">
        <f ca="1">ROUND(职业!Q24*3,0)</f>
        <v>3</v>
      </c>
      <c r="K24" s="13">
        <f>ROUND(职业!R24*3,0)</f>
        <v>3</v>
      </c>
      <c r="L24" s="13">
        <v>0.5</v>
      </c>
      <c r="M24" s="13">
        <v>0.1</v>
      </c>
      <c r="N24" s="13">
        <v>1.5</v>
      </c>
      <c r="O24" s="13">
        <f ca="1">ROUND(职业!S24*10,0)</f>
        <v>2</v>
      </c>
      <c r="P24" s="13">
        <f ca="1">ROUND(职业!T24*10,0)</f>
        <v>1</v>
      </c>
      <c r="Q24" s="13">
        <f ca="1">ROUND(职业!U24*10,0)</f>
        <v>1</v>
      </c>
      <c r="R24" s="13">
        <f ca="1">ROUND(职业!V24*10,0)</f>
        <v>1</v>
      </c>
      <c r="S24" s="13">
        <f ca="1">ROUND(职业!W24*10,0)</f>
        <v>1</v>
      </c>
      <c r="T24" s="13">
        <f ca="1">ROUND(职业!X24*10,0)</f>
        <v>1</v>
      </c>
      <c r="U24" s="13">
        <f ca="1">ROUND(职业!Y24*10,0)</f>
        <v>1</v>
      </c>
    </row>
    <row r="25" spans="2:21" ht="13.5" x14ac:dyDescent="0.2">
      <c r="B25" s="2">
        <v>23</v>
      </c>
      <c r="C25" s="7" t="s">
        <v>38</v>
      </c>
      <c r="D25" s="13">
        <f ca="1">ROUND(职业!K25*3,0)</f>
        <v>17</v>
      </c>
      <c r="E25" s="13">
        <f>ROUND(职业!L25*5,0)</f>
        <v>6</v>
      </c>
      <c r="F25" s="13">
        <f ca="1">ROUND(职业!M25*3,0)</f>
        <v>2</v>
      </c>
      <c r="G25" s="13">
        <f ca="1">ROUND(职业!N25*8,0)</f>
        <v>11</v>
      </c>
      <c r="H25" s="13">
        <f ca="1">ROUND(职业!O25*3,0)</f>
        <v>8</v>
      </c>
      <c r="I25" s="13">
        <f ca="1">ROUND(职业!P25*8,0)</f>
        <v>11</v>
      </c>
      <c r="J25" s="13">
        <f ca="1">ROUND(职业!Q25*3,0)</f>
        <v>3</v>
      </c>
      <c r="K25" s="13">
        <f>ROUND(职业!R25*3,0)</f>
        <v>3</v>
      </c>
      <c r="L25" s="13">
        <v>0.5</v>
      </c>
      <c r="M25" s="13">
        <v>0.1</v>
      </c>
      <c r="N25" s="13">
        <v>1.5</v>
      </c>
      <c r="O25" s="13">
        <f ca="1">ROUND(职业!S25*10,0)</f>
        <v>2</v>
      </c>
      <c r="P25" s="13">
        <f ca="1">ROUND(职业!T25*10,0)</f>
        <v>1</v>
      </c>
      <c r="Q25" s="13">
        <f ca="1">ROUND(职业!U25*10,0)</f>
        <v>1</v>
      </c>
      <c r="R25" s="13">
        <f ca="1">ROUND(职业!V25*10,0)</f>
        <v>1</v>
      </c>
      <c r="S25" s="13">
        <f ca="1">ROUND(职业!W25*10,0)</f>
        <v>1</v>
      </c>
      <c r="T25" s="13">
        <f ca="1">ROUND(职业!X25*10,0)</f>
        <v>1</v>
      </c>
      <c r="U25" s="13">
        <f ca="1">ROUND(职业!Y25*10,0)</f>
        <v>1</v>
      </c>
    </row>
    <row r="26" spans="2:21" ht="13.5" x14ac:dyDescent="0.2">
      <c r="B26" s="2">
        <v>24</v>
      </c>
      <c r="C26" s="4" t="s">
        <v>40</v>
      </c>
      <c r="D26" s="13">
        <f ca="1">ROUND(职业!K26*3,0)</f>
        <v>17</v>
      </c>
      <c r="E26" s="13">
        <f>ROUND(职业!L26*5,0)</f>
        <v>6</v>
      </c>
      <c r="F26" s="13">
        <f ca="1">ROUND(职业!M26*3,0)</f>
        <v>2</v>
      </c>
      <c r="G26" s="13">
        <f ca="1">ROUND(职业!N26*8,0)</f>
        <v>6</v>
      </c>
      <c r="H26" s="13">
        <f ca="1">ROUND(职业!O26*3,0)</f>
        <v>10</v>
      </c>
      <c r="I26" s="13">
        <f ca="1">ROUND(职业!P26*8,0)</f>
        <v>7</v>
      </c>
      <c r="J26" s="13">
        <f ca="1">ROUND(职业!Q26*3,0)</f>
        <v>1</v>
      </c>
      <c r="K26" s="13">
        <f>ROUND(职业!R26*3,0)</f>
        <v>3</v>
      </c>
      <c r="L26" s="13">
        <v>0.5</v>
      </c>
      <c r="M26" s="13">
        <v>0.1</v>
      </c>
      <c r="N26" s="13">
        <v>1.5</v>
      </c>
      <c r="O26" s="13">
        <f ca="1">ROUND(职业!S26*10,0)</f>
        <v>1</v>
      </c>
      <c r="P26" s="13">
        <f ca="1">ROUND(职业!T26*10,0)</f>
        <v>1</v>
      </c>
      <c r="Q26" s="13">
        <f ca="1">ROUND(职业!U26*10,0)</f>
        <v>1</v>
      </c>
      <c r="R26" s="13">
        <f ca="1">ROUND(职业!V26*10,0)</f>
        <v>1</v>
      </c>
      <c r="S26" s="13">
        <f ca="1">ROUND(职业!W26*10,0)</f>
        <v>1</v>
      </c>
      <c r="T26" s="13">
        <f ca="1">ROUND(职业!X26*10,0)</f>
        <v>1</v>
      </c>
      <c r="U26" s="13">
        <f ca="1">ROUND(职业!Y26*10,0)</f>
        <v>2</v>
      </c>
    </row>
    <row r="27" spans="2:21" ht="13.5" x14ac:dyDescent="0.2">
      <c r="B27" s="2">
        <v>25</v>
      </c>
      <c r="C27" s="7" t="s">
        <v>42</v>
      </c>
      <c r="D27" s="13">
        <f ca="1">ROUND(职业!K27*3,0)</f>
        <v>17</v>
      </c>
      <c r="E27" s="13">
        <f>ROUND(职业!L27*5,0)</f>
        <v>8</v>
      </c>
      <c r="F27" s="13">
        <f ca="1">ROUND(职业!M27*3,0)</f>
        <v>2</v>
      </c>
      <c r="G27" s="13">
        <f ca="1">ROUND(职业!N27*8,0)</f>
        <v>6</v>
      </c>
      <c r="H27" s="13">
        <f ca="1">ROUND(职业!O27*3,0)</f>
        <v>10</v>
      </c>
      <c r="I27" s="13">
        <f ca="1">ROUND(职业!P27*8,0)</f>
        <v>7</v>
      </c>
      <c r="J27" s="13">
        <f ca="1">ROUND(职业!Q27*3,0)</f>
        <v>1</v>
      </c>
      <c r="K27" s="13">
        <f>ROUND(职业!R27*3,0)</f>
        <v>3</v>
      </c>
      <c r="L27" s="13">
        <v>0.5</v>
      </c>
      <c r="M27" s="13">
        <v>0.1</v>
      </c>
      <c r="N27" s="13">
        <v>1.5</v>
      </c>
      <c r="O27" s="13">
        <f ca="1">ROUND(职业!S27*10,0)</f>
        <v>1</v>
      </c>
      <c r="P27" s="13">
        <f ca="1">ROUND(职业!T27*10,0)</f>
        <v>1</v>
      </c>
      <c r="Q27" s="13">
        <f ca="1">ROUND(职业!U27*10,0)</f>
        <v>1</v>
      </c>
      <c r="R27" s="13">
        <f ca="1">ROUND(职业!V27*10,0)</f>
        <v>1</v>
      </c>
      <c r="S27" s="13">
        <f ca="1">ROUND(职业!W27*10,0)</f>
        <v>1</v>
      </c>
      <c r="T27" s="13">
        <f ca="1">ROUND(职业!X27*10,0)</f>
        <v>1</v>
      </c>
      <c r="U27" s="13">
        <f ca="1">ROUND(职业!Y27*10,0)</f>
        <v>2</v>
      </c>
    </row>
    <row r="28" spans="2:21" ht="13.5" x14ac:dyDescent="0.2">
      <c r="B28" s="2">
        <v>26</v>
      </c>
      <c r="C28" s="4" t="s">
        <v>43</v>
      </c>
      <c r="D28" s="13">
        <f ca="1">ROUND(职业!K28*3,0)</f>
        <v>17</v>
      </c>
      <c r="E28" s="13">
        <f>ROUND(职业!L28*5,0)</f>
        <v>6</v>
      </c>
      <c r="F28" s="13">
        <f ca="1">ROUND(职业!M28*3,0)</f>
        <v>2</v>
      </c>
      <c r="G28" s="13">
        <f ca="1">ROUND(职业!N28*8,0)</f>
        <v>11</v>
      </c>
      <c r="H28" s="13">
        <f ca="1">ROUND(职业!O28*3,0)</f>
        <v>8</v>
      </c>
      <c r="I28" s="13">
        <f ca="1">ROUND(职业!P28*8,0)</f>
        <v>11</v>
      </c>
      <c r="J28" s="13">
        <f ca="1">ROUND(职业!Q28*3,0)</f>
        <v>3</v>
      </c>
      <c r="K28" s="13">
        <f>ROUND(职业!R28*3,0)</f>
        <v>3</v>
      </c>
      <c r="L28" s="13">
        <v>0.5</v>
      </c>
      <c r="M28" s="13">
        <v>0.1</v>
      </c>
      <c r="N28" s="13">
        <v>1.5</v>
      </c>
      <c r="O28" s="13">
        <f ca="1">ROUND(职业!S28*10,0)</f>
        <v>2</v>
      </c>
      <c r="P28" s="13">
        <f ca="1">ROUND(职业!T28*10,0)</f>
        <v>1</v>
      </c>
      <c r="Q28" s="13">
        <f ca="1">ROUND(职业!U28*10,0)</f>
        <v>1</v>
      </c>
      <c r="R28" s="13">
        <f ca="1">ROUND(职业!V28*10,0)</f>
        <v>1</v>
      </c>
      <c r="S28" s="13">
        <f ca="1">ROUND(职业!W28*10,0)</f>
        <v>1</v>
      </c>
      <c r="T28" s="13">
        <f ca="1">ROUND(职业!X28*10,0)</f>
        <v>1</v>
      </c>
      <c r="U28" s="13">
        <f ca="1">ROUND(职业!Y28*10,0)</f>
        <v>1</v>
      </c>
    </row>
    <row r="29" spans="2:21" ht="13.5" x14ac:dyDescent="0.2">
      <c r="B29" s="2">
        <v>27</v>
      </c>
      <c r="C29" s="7" t="s">
        <v>44</v>
      </c>
      <c r="D29" s="13">
        <f ca="1">ROUND(职业!K29*3,0)</f>
        <v>17</v>
      </c>
      <c r="E29" s="13">
        <f>ROUND(职业!L29*5,0)</f>
        <v>6</v>
      </c>
      <c r="F29" s="13">
        <f ca="1">ROUND(职业!M29*3,0)</f>
        <v>2</v>
      </c>
      <c r="G29" s="13">
        <f ca="1">ROUND(职业!N29*8,0)</f>
        <v>11</v>
      </c>
      <c r="H29" s="13">
        <f ca="1">ROUND(职业!O29*3,0)</f>
        <v>8</v>
      </c>
      <c r="I29" s="13">
        <f ca="1">ROUND(职业!P29*8,0)</f>
        <v>11</v>
      </c>
      <c r="J29" s="13">
        <f ca="1">ROUND(职业!Q29*3,0)</f>
        <v>3</v>
      </c>
      <c r="K29" s="13">
        <f>ROUND(职业!R29*3,0)</f>
        <v>3</v>
      </c>
      <c r="L29" s="13">
        <v>0.5</v>
      </c>
      <c r="M29" s="13">
        <v>0.1</v>
      </c>
      <c r="N29" s="13">
        <v>1.5</v>
      </c>
      <c r="O29" s="13">
        <f ca="1">ROUND(职业!S29*10,0)</f>
        <v>2</v>
      </c>
      <c r="P29" s="13">
        <f ca="1">ROUND(职业!T29*10,0)</f>
        <v>1</v>
      </c>
      <c r="Q29" s="13">
        <f ca="1">ROUND(职业!U29*10,0)</f>
        <v>1</v>
      </c>
      <c r="R29" s="13">
        <f ca="1">ROUND(职业!V29*10,0)</f>
        <v>1</v>
      </c>
      <c r="S29" s="13">
        <f ca="1">ROUND(职业!W29*10,0)</f>
        <v>1</v>
      </c>
      <c r="T29" s="13">
        <f ca="1">ROUND(职业!X29*10,0)</f>
        <v>1</v>
      </c>
      <c r="U29" s="13">
        <f ca="1">ROUND(职业!Y29*10,0)</f>
        <v>1</v>
      </c>
    </row>
    <row r="30" spans="2:21" ht="13.5" x14ac:dyDescent="0.2">
      <c r="B30" s="2">
        <v>28</v>
      </c>
      <c r="C30" s="4" t="s">
        <v>45</v>
      </c>
      <c r="D30" s="13">
        <f ca="1">ROUND(职业!K30*3,0)</f>
        <v>16</v>
      </c>
      <c r="E30" s="13">
        <f>ROUND(职业!L30*5,0)</f>
        <v>7</v>
      </c>
      <c r="F30" s="13">
        <f ca="1">ROUND(职业!M30*3,0)</f>
        <v>5</v>
      </c>
      <c r="G30" s="13">
        <f ca="1">ROUND(职业!N30*8,0)</f>
        <v>6</v>
      </c>
      <c r="H30" s="13">
        <f ca="1">ROUND(职业!O30*3,0)</f>
        <v>7</v>
      </c>
      <c r="I30" s="13">
        <f ca="1">ROUND(职业!P30*8,0)</f>
        <v>8</v>
      </c>
      <c r="J30" s="13">
        <f ca="1">ROUND(职业!Q30*3,0)</f>
        <v>2</v>
      </c>
      <c r="K30" s="13">
        <f>ROUND(职业!R30*3,0)</f>
        <v>3</v>
      </c>
      <c r="L30" s="13">
        <v>0.5</v>
      </c>
      <c r="M30" s="13">
        <v>0.1</v>
      </c>
      <c r="N30" s="13">
        <v>1.5</v>
      </c>
      <c r="O30" s="13">
        <f ca="1">ROUND(职业!S30*10,0)</f>
        <v>1</v>
      </c>
      <c r="P30" s="13">
        <f ca="1">ROUND(职业!T30*10,0)</f>
        <v>1</v>
      </c>
      <c r="Q30" s="13">
        <f ca="1">ROUND(职业!U30*10,0)</f>
        <v>1</v>
      </c>
      <c r="R30" s="13">
        <f ca="1">ROUND(职业!V30*10,0)</f>
        <v>1</v>
      </c>
      <c r="S30" s="13">
        <f ca="1">ROUND(职业!W30*10,0)</f>
        <v>1</v>
      </c>
      <c r="T30" s="13">
        <f ca="1">ROUND(职业!X30*10,0)</f>
        <v>1</v>
      </c>
      <c r="U30" s="13">
        <f ca="1">ROUND(职业!Y30*10,0)</f>
        <v>2</v>
      </c>
    </row>
    <row r="31" spans="2:21" ht="13.5" x14ac:dyDescent="0.2">
      <c r="B31" s="2">
        <v>29</v>
      </c>
      <c r="C31" s="7" t="s">
        <v>46</v>
      </c>
      <c r="D31" s="13">
        <f ca="1">ROUND(职业!K31*3,0)</f>
        <v>14</v>
      </c>
      <c r="E31" s="13">
        <f>ROUND(职业!L31*5,0)</f>
        <v>6</v>
      </c>
      <c r="F31" s="13">
        <f ca="1">ROUND(职业!M31*3,0)</f>
        <v>11</v>
      </c>
      <c r="G31" s="13">
        <f ca="1">ROUND(职业!N31*8,0)</f>
        <v>10</v>
      </c>
      <c r="H31" s="13">
        <f ca="1">ROUND(职业!O31*3,0)</f>
        <v>3</v>
      </c>
      <c r="I31" s="13">
        <f ca="1">ROUND(职业!P31*8,0)</f>
        <v>7</v>
      </c>
      <c r="J31" s="13">
        <f ca="1">ROUND(职业!Q31*3,0)</f>
        <v>2</v>
      </c>
      <c r="K31" s="13">
        <f>ROUND(职业!R31*3,0)</f>
        <v>3</v>
      </c>
      <c r="L31" s="13">
        <v>0.5</v>
      </c>
      <c r="M31" s="13">
        <v>0.1</v>
      </c>
      <c r="N31" s="13">
        <v>1.5</v>
      </c>
      <c r="O31" s="13">
        <f ca="1">ROUND(职业!S31*10,0)</f>
        <v>1</v>
      </c>
      <c r="P31" s="13">
        <f ca="1">ROUND(职业!T31*10,0)</f>
        <v>2</v>
      </c>
      <c r="Q31" s="13">
        <f ca="1">ROUND(职业!U31*10,0)</f>
        <v>1</v>
      </c>
      <c r="R31" s="13">
        <f ca="1">ROUND(职业!V31*10,0)</f>
        <v>1</v>
      </c>
      <c r="S31" s="13">
        <f ca="1">ROUND(职业!W31*10,0)</f>
        <v>1</v>
      </c>
      <c r="T31" s="13">
        <f ca="1">ROUND(职业!X31*10,0)</f>
        <v>1</v>
      </c>
      <c r="U31" s="13">
        <f ca="1">ROUND(职业!Y31*10,0)</f>
        <v>1</v>
      </c>
    </row>
    <row r="32" spans="2:21" ht="13.5" x14ac:dyDescent="0.2">
      <c r="B32" s="2">
        <v>30</v>
      </c>
      <c r="C32" s="4" t="s">
        <v>47</v>
      </c>
      <c r="D32" s="13">
        <f ca="1">ROUND(职业!K32*3,0)</f>
        <v>19</v>
      </c>
      <c r="E32" s="13">
        <f>ROUND(职业!L32*5,0)</f>
        <v>4</v>
      </c>
      <c r="F32" s="13">
        <f ca="1">ROUND(职业!M32*3,0)</f>
        <v>9</v>
      </c>
      <c r="G32" s="13">
        <f ca="1">ROUND(职业!N32*8,0)</f>
        <v>9</v>
      </c>
      <c r="H32" s="13">
        <f ca="1">ROUND(职业!O32*3,0)</f>
        <v>1</v>
      </c>
      <c r="I32" s="13">
        <f ca="1">ROUND(职业!P32*8,0)</f>
        <v>9</v>
      </c>
      <c r="J32" s="13">
        <f ca="1">ROUND(职业!Q32*3,0)</f>
        <v>2</v>
      </c>
      <c r="K32" s="13">
        <f>ROUND(职业!R32*3,0)</f>
        <v>3</v>
      </c>
      <c r="L32" s="13">
        <v>0.5</v>
      </c>
      <c r="M32" s="13">
        <v>0.1</v>
      </c>
      <c r="N32" s="13">
        <v>1.5</v>
      </c>
      <c r="O32" s="13">
        <f ca="1">ROUND(职业!S32*10,0)</f>
        <v>1</v>
      </c>
      <c r="P32" s="13">
        <f ca="1">ROUND(职业!T32*10,0)</f>
        <v>2</v>
      </c>
      <c r="Q32" s="13">
        <f ca="1">ROUND(职业!U32*10,0)</f>
        <v>1</v>
      </c>
      <c r="R32" s="13">
        <f ca="1">ROUND(职业!V32*10,0)</f>
        <v>1</v>
      </c>
      <c r="S32" s="13">
        <f ca="1">ROUND(职业!W32*10,0)</f>
        <v>1</v>
      </c>
      <c r="T32" s="13">
        <f ca="1">ROUND(职业!X32*10,0)</f>
        <v>1</v>
      </c>
      <c r="U32" s="13">
        <f ca="1">ROUND(职业!Y32*10,0)</f>
        <v>1</v>
      </c>
    </row>
    <row r="33" spans="2:21" ht="13.5" x14ac:dyDescent="0.2">
      <c r="B33" s="2">
        <v>31</v>
      </c>
      <c r="C33" s="7" t="s">
        <v>48</v>
      </c>
      <c r="D33" s="13">
        <f ca="1">ROUND(职业!K33*3,0)</f>
        <v>19</v>
      </c>
      <c r="E33" s="13">
        <f>ROUND(职业!L33*5,0)</f>
        <v>4</v>
      </c>
      <c r="F33" s="13">
        <f ca="1">ROUND(职业!M33*3,0)</f>
        <v>9</v>
      </c>
      <c r="G33" s="13">
        <f ca="1">ROUND(职业!N33*8,0)</f>
        <v>9</v>
      </c>
      <c r="H33" s="13">
        <f ca="1">ROUND(职业!O33*3,0)</f>
        <v>1</v>
      </c>
      <c r="I33" s="13">
        <f ca="1">ROUND(职业!P33*8,0)</f>
        <v>9</v>
      </c>
      <c r="J33" s="13">
        <f ca="1">ROUND(职业!Q33*3,0)</f>
        <v>2</v>
      </c>
      <c r="K33" s="13">
        <f>ROUND(职业!R33*3,0)</f>
        <v>3</v>
      </c>
      <c r="L33" s="13">
        <v>0.5</v>
      </c>
      <c r="M33" s="13">
        <v>0.1</v>
      </c>
      <c r="N33" s="13">
        <v>1.5</v>
      </c>
      <c r="O33" s="13">
        <f ca="1">ROUND(职业!S33*10,0)</f>
        <v>1</v>
      </c>
      <c r="P33" s="13">
        <f ca="1">ROUND(职业!T33*10,0)</f>
        <v>2</v>
      </c>
      <c r="Q33" s="13">
        <f ca="1">ROUND(职业!U33*10,0)</f>
        <v>1</v>
      </c>
      <c r="R33" s="13">
        <f ca="1">ROUND(职业!V33*10,0)</f>
        <v>1</v>
      </c>
      <c r="S33" s="13">
        <f ca="1">ROUND(职业!W33*10,0)</f>
        <v>1</v>
      </c>
      <c r="T33" s="13">
        <f ca="1">ROUND(职业!X33*10,0)</f>
        <v>1</v>
      </c>
      <c r="U33" s="13">
        <f ca="1">ROUND(职业!Y33*10,0)</f>
        <v>1</v>
      </c>
    </row>
    <row r="34" spans="2:21" x14ac:dyDescent="0.2">
      <c r="B34" s="2">
        <v>32</v>
      </c>
      <c r="C34" s="2" t="s">
        <v>9</v>
      </c>
      <c r="D34" s="13">
        <f ca="1">ROUND(职业!K34*3,0)</f>
        <v>21</v>
      </c>
      <c r="E34" s="13">
        <f>ROUND(职业!L34*5,0)</f>
        <v>9</v>
      </c>
      <c r="F34" s="13">
        <f ca="1">ROUND(职业!M34*3,0)</f>
        <v>16</v>
      </c>
      <c r="G34" s="13">
        <f ca="1">ROUND(职业!N34*8,0)</f>
        <v>10</v>
      </c>
      <c r="H34" s="13">
        <f ca="1">ROUND(职业!O34*3,0)</f>
        <v>4</v>
      </c>
      <c r="I34" s="13">
        <f ca="1">ROUND(职业!P34*8,0)</f>
        <v>7</v>
      </c>
      <c r="J34" s="13">
        <f ca="1">ROUND(职业!Q34*3,0)</f>
        <v>2</v>
      </c>
      <c r="K34" s="13">
        <f>ROUND(职业!R34*3,0)</f>
        <v>3</v>
      </c>
      <c r="L34" s="13">
        <v>0.5</v>
      </c>
      <c r="M34" s="13">
        <v>0.1</v>
      </c>
      <c r="N34" s="13">
        <v>1.5</v>
      </c>
      <c r="O34" s="13">
        <f ca="1">ROUND(职业!S34*10,0)</f>
        <v>1</v>
      </c>
      <c r="P34" s="13">
        <f ca="1">ROUND(职业!T34*10,0)</f>
        <v>2</v>
      </c>
      <c r="Q34" s="13">
        <f ca="1">ROUND(职业!U34*10,0)</f>
        <v>1</v>
      </c>
      <c r="R34" s="13">
        <f ca="1">ROUND(职业!V34*10,0)</f>
        <v>1</v>
      </c>
      <c r="S34" s="13">
        <f ca="1">ROUND(职业!W34*10,0)</f>
        <v>1</v>
      </c>
      <c r="T34" s="13">
        <f ca="1">ROUND(职业!X34*10,0)</f>
        <v>1</v>
      </c>
      <c r="U34" s="13">
        <f ca="1">ROUND(职业!Y34*10,0)</f>
        <v>1</v>
      </c>
    </row>
    <row r="35" spans="2:21" x14ac:dyDescent="0.2">
      <c r="B35" s="2">
        <v>33</v>
      </c>
      <c r="C35" s="2" t="s">
        <v>11</v>
      </c>
      <c r="D35" s="13">
        <f ca="1">ROUND(职业!K35*3,0)</f>
        <v>24</v>
      </c>
      <c r="E35" s="13">
        <f>ROUND(职业!L35*5,0)</f>
        <v>13</v>
      </c>
      <c r="F35" s="13">
        <f ca="1">ROUND(职业!M35*3,0)</f>
        <v>7</v>
      </c>
      <c r="G35" s="13">
        <f ca="1">ROUND(职业!N35*8,0)</f>
        <v>6</v>
      </c>
      <c r="H35" s="13">
        <f ca="1">ROUND(职业!O35*3,0)</f>
        <v>10</v>
      </c>
      <c r="I35" s="13">
        <f ca="1">ROUND(职业!P35*8,0)</f>
        <v>8</v>
      </c>
      <c r="J35" s="13">
        <f ca="1">ROUND(职业!Q35*3,0)</f>
        <v>2</v>
      </c>
      <c r="K35" s="13">
        <f>ROUND(职业!R35*3,0)</f>
        <v>3</v>
      </c>
      <c r="L35" s="13">
        <v>0.5</v>
      </c>
      <c r="M35" s="13">
        <v>0.1</v>
      </c>
      <c r="N35" s="13">
        <v>1.5</v>
      </c>
      <c r="O35" s="13">
        <f ca="1">ROUND(职业!S35*10,0)</f>
        <v>1</v>
      </c>
      <c r="P35" s="13">
        <f ca="1">ROUND(职业!T35*10,0)</f>
        <v>1</v>
      </c>
      <c r="Q35" s="13">
        <f ca="1">ROUND(职业!U35*10,0)</f>
        <v>1</v>
      </c>
      <c r="R35" s="13">
        <f ca="1">ROUND(职业!V35*10,0)</f>
        <v>1</v>
      </c>
      <c r="S35" s="13">
        <f ca="1">ROUND(职业!W35*10,0)</f>
        <v>1</v>
      </c>
      <c r="T35" s="13">
        <f ca="1">ROUND(职业!X35*10,0)</f>
        <v>1</v>
      </c>
      <c r="U35" s="13">
        <f ca="1">ROUND(职业!Y35*10,0)</f>
        <v>2</v>
      </c>
    </row>
    <row r="36" spans="2:21" x14ac:dyDescent="0.2">
      <c r="B36" s="2">
        <v>34</v>
      </c>
      <c r="C36" s="2" t="s">
        <v>13</v>
      </c>
      <c r="D36" s="13">
        <f ca="1">ROUND(职业!K36*3,0)</f>
        <v>19</v>
      </c>
      <c r="E36" s="13">
        <f>ROUND(职业!L36*5,0)</f>
        <v>8</v>
      </c>
      <c r="F36" s="13">
        <f ca="1">ROUND(职业!M36*3,0)</f>
        <v>14</v>
      </c>
      <c r="G36" s="13">
        <f ca="1">ROUND(职业!N36*8,0)</f>
        <v>8</v>
      </c>
      <c r="H36" s="13">
        <f ca="1">ROUND(职业!O36*3,0)</f>
        <v>6</v>
      </c>
      <c r="I36" s="13">
        <f ca="1">ROUND(职业!P36*8,0)</f>
        <v>10</v>
      </c>
      <c r="J36" s="13">
        <f ca="1">ROUND(职业!Q36*3,0)</f>
        <v>3</v>
      </c>
      <c r="K36" s="13">
        <f>ROUND(职业!R36*3,0)</f>
        <v>3</v>
      </c>
      <c r="L36" s="13">
        <v>0.5</v>
      </c>
      <c r="M36" s="13">
        <v>0.1</v>
      </c>
      <c r="N36" s="13">
        <v>1.5</v>
      </c>
      <c r="O36" s="13">
        <f ca="1">ROUND(职业!S36*10,0)</f>
        <v>1</v>
      </c>
      <c r="P36" s="13">
        <f ca="1">ROUND(职业!T36*10,0)</f>
        <v>1</v>
      </c>
      <c r="Q36" s="13">
        <f ca="1">ROUND(职业!U36*10,0)</f>
        <v>1</v>
      </c>
      <c r="R36" s="13">
        <f ca="1">ROUND(职业!V36*10,0)</f>
        <v>1</v>
      </c>
      <c r="S36" s="13">
        <f ca="1">ROUND(职业!W36*10,0)</f>
        <v>1</v>
      </c>
      <c r="T36" s="13">
        <f ca="1">ROUND(职业!X36*10,0)</f>
        <v>2</v>
      </c>
      <c r="U36" s="13">
        <f ca="1">ROUND(职业!Y36*10,0)</f>
        <v>1</v>
      </c>
    </row>
    <row r="37" spans="2:21" x14ac:dyDescent="0.2">
      <c r="B37" s="2">
        <v>35</v>
      </c>
      <c r="C37" s="2" t="s">
        <v>49</v>
      </c>
      <c r="D37" s="13">
        <f ca="1">ROUND(职业!K37*3,0)</f>
        <v>21</v>
      </c>
      <c r="E37" s="13">
        <f>ROUND(职业!L37*5,0)</f>
        <v>9</v>
      </c>
      <c r="F37" s="13">
        <f ca="1">ROUND(职业!M37*3,0)</f>
        <v>16</v>
      </c>
      <c r="G37" s="13">
        <f ca="1">ROUND(职业!N37*8,0)</f>
        <v>10</v>
      </c>
      <c r="H37" s="13">
        <f ca="1">ROUND(职业!O37*3,0)</f>
        <v>4</v>
      </c>
      <c r="I37" s="13">
        <f ca="1">ROUND(职业!P37*8,0)</f>
        <v>7</v>
      </c>
      <c r="J37" s="13">
        <f ca="1">ROUND(职业!Q37*3,0)</f>
        <v>2</v>
      </c>
      <c r="K37" s="13">
        <f>ROUND(职业!R37*3,0)</f>
        <v>3</v>
      </c>
      <c r="L37" s="13">
        <v>0.5</v>
      </c>
      <c r="M37" s="13">
        <v>0.1</v>
      </c>
      <c r="N37" s="13">
        <v>1.5</v>
      </c>
      <c r="O37" s="13">
        <f ca="1">ROUND(职业!S37*10,0)</f>
        <v>1</v>
      </c>
      <c r="P37" s="13">
        <f ca="1">ROUND(职业!T37*10,0)</f>
        <v>2</v>
      </c>
      <c r="Q37" s="13">
        <f ca="1">ROUND(职业!U37*10,0)</f>
        <v>1</v>
      </c>
      <c r="R37" s="13">
        <f ca="1">ROUND(职业!V37*10,0)</f>
        <v>1</v>
      </c>
      <c r="S37" s="13">
        <f ca="1">ROUND(职业!W37*10,0)</f>
        <v>1</v>
      </c>
      <c r="T37" s="13">
        <f ca="1">ROUND(职业!X37*10,0)</f>
        <v>1</v>
      </c>
      <c r="U37" s="13">
        <f ca="1">ROUND(职业!Y37*10,0)</f>
        <v>1</v>
      </c>
    </row>
    <row r="38" spans="2:21" x14ac:dyDescent="0.2">
      <c r="B38" s="2">
        <v>36</v>
      </c>
      <c r="C38" s="2" t="s">
        <v>50</v>
      </c>
      <c r="D38" s="13">
        <f ca="1">ROUND(职业!K38*3,0)</f>
        <v>19</v>
      </c>
      <c r="E38" s="13">
        <f>ROUND(职业!L38*5,0)</f>
        <v>9</v>
      </c>
      <c r="F38" s="13">
        <f ca="1">ROUND(职业!M38*3,0)</f>
        <v>14</v>
      </c>
      <c r="G38" s="13">
        <f ca="1">ROUND(职业!N38*8,0)</f>
        <v>8</v>
      </c>
      <c r="H38" s="13">
        <f ca="1">ROUND(职业!O38*3,0)</f>
        <v>6</v>
      </c>
      <c r="I38" s="13">
        <f ca="1">ROUND(职业!P38*8,0)</f>
        <v>10</v>
      </c>
      <c r="J38" s="13">
        <f ca="1">ROUND(职业!Q38*3,0)</f>
        <v>3</v>
      </c>
      <c r="K38" s="13">
        <f>ROUND(职业!R38*3,0)</f>
        <v>3</v>
      </c>
      <c r="L38" s="13">
        <v>0.5</v>
      </c>
      <c r="M38" s="13">
        <v>0.1</v>
      </c>
      <c r="N38" s="13">
        <v>1.5</v>
      </c>
      <c r="O38" s="13">
        <f ca="1">ROUND(职业!S38*10,0)</f>
        <v>1</v>
      </c>
      <c r="P38" s="13">
        <f ca="1">ROUND(职业!T38*10,0)</f>
        <v>1</v>
      </c>
      <c r="Q38" s="13">
        <f ca="1">ROUND(职业!U38*10,0)</f>
        <v>1</v>
      </c>
      <c r="R38" s="13">
        <f ca="1">ROUND(职业!V38*10,0)</f>
        <v>1</v>
      </c>
      <c r="S38" s="13">
        <f ca="1">ROUND(职业!W38*10,0)</f>
        <v>1</v>
      </c>
      <c r="T38" s="13">
        <f ca="1">ROUND(职业!X38*10,0)</f>
        <v>2</v>
      </c>
      <c r="U38" s="13">
        <f ca="1">ROUND(职业!Y38*10,0)</f>
        <v>1</v>
      </c>
    </row>
    <row r="39" spans="2:21" x14ac:dyDescent="0.2">
      <c r="B39" s="2">
        <v>37</v>
      </c>
      <c r="C39" s="2" t="s">
        <v>51</v>
      </c>
      <c r="D39" s="13">
        <f ca="1">ROUND(职业!K39*3,0)</f>
        <v>24</v>
      </c>
      <c r="E39" s="13">
        <f>ROUND(职业!L39*5,0)</f>
        <v>11</v>
      </c>
      <c r="F39" s="13">
        <f ca="1">ROUND(职业!M39*3,0)</f>
        <v>7</v>
      </c>
      <c r="G39" s="13">
        <f ca="1">ROUND(职业!N39*8,0)</f>
        <v>6</v>
      </c>
      <c r="H39" s="13">
        <f ca="1">ROUND(职业!O39*3,0)</f>
        <v>10</v>
      </c>
      <c r="I39" s="13">
        <f ca="1">ROUND(职业!P39*8,0)</f>
        <v>8</v>
      </c>
      <c r="J39" s="13">
        <f ca="1">ROUND(职业!Q39*3,0)</f>
        <v>2</v>
      </c>
      <c r="K39" s="13">
        <f>ROUND(职业!R39*3,0)</f>
        <v>3</v>
      </c>
      <c r="L39" s="13">
        <v>0.5</v>
      </c>
      <c r="M39" s="13">
        <v>0.1</v>
      </c>
      <c r="N39" s="13">
        <v>1.5</v>
      </c>
      <c r="O39" s="13">
        <f ca="1">ROUND(职业!S39*10,0)</f>
        <v>1</v>
      </c>
      <c r="P39" s="13">
        <f ca="1">ROUND(职业!T39*10,0)</f>
        <v>1</v>
      </c>
      <c r="Q39" s="13">
        <f ca="1">ROUND(职业!U39*10,0)</f>
        <v>1</v>
      </c>
      <c r="R39" s="13">
        <f ca="1">ROUND(职业!V39*10,0)</f>
        <v>1</v>
      </c>
      <c r="S39" s="13">
        <f ca="1">ROUND(职业!W39*10,0)</f>
        <v>1</v>
      </c>
      <c r="T39" s="13">
        <f ca="1">ROUND(职业!X39*10,0)</f>
        <v>1</v>
      </c>
      <c r="U39" s="13">
        <f ca="1">ROUND(职业!Y39*10,0)</f>
        <v>2</v>
      </c>
    </row>
    <row r="40" spans="2:21" x14ac:dyDescent="0.2">
      <c r="B40" s="50">
        <v>38</v>
      </c>
      <c r="C40" s="51" t="s">
        <v>770</v>
      </c>
      <c r="D40" s="13">
        <f ca="1">ROUND(职业!K40*3,0)</f>
        <v>20</v>
      </c>
      <c r="E40" s="13">
        <f>ROUND(职业!L40*5,0)</f>
        <v>8</v>
      </c>
      <c r="F40" s="13">
        <f ca="1">ROUND(职业!M40*3,0)</f>
        <v>12</v>
      </c>
      <c r="G40" s="13">
        <f ca="1">ROUND(职业!N40*8,0)</f>
        <v>9</v>
      </c>
      <c r="H40" s="13">
        <f ca="1">ROUND(职业!O40*3,0)</f>
        <v>1</v>
      </c>
      <c r="I40" s="13">
        <f ca="1">ROUND(职业!P40*8,0)</f>
        <v>9</v>
      </c>
      <c r="J40" s="13">
        <f ca="1">ROUND(职业!Q40*3,0)</f>
        <v>2</v>
      </c>
      <c r="K40" s="13">
        <f>ROUND(职业!R40*3,0)</f>
        <v>6</v>
      </c>
      <c r="L40" s="13">
        <v>0.5</v>
      </c>
      <c r="M40" s="13">
        <v>0.1</v>
      </c>
      <c r="N40" s="13">
        <v>1.5</v>
      </c>
      <c r="O40" s="13">
        <f ca="1">ROUND(职业!S40*10,0)</f>
        <v>1</v>
      </c>
      <c r="P40" s="13">
        <f ca="1">ROUND(职业!T40*10,0)</f>
        <v>2</v>
      </c>
      <c r="Q40" s="13">
        <f ca="1">ROUND(职业!U40*10,0)</f>
        <v>1</v>
      </c>
      <c r="R40" s="13">
        <f ca="1">ROUND(职业!V40*10,0)</f>
        <v>1</v>
      </c>
      <c r="S40" s="13">
        <f ca="1">ROUND(职业!W40*10,0)</f>
        <v>1</v>
      </c>
      <c r="T40" s="13">
        <f ca="1">ROUND(职业!X40*10,0)</f>
        <v>1</v>
      </c>
      <c r="U40" s="13">
        <f ca="1">ROUND(职业!Y40*10,0)</f>
        <v>1</v>
      </c>
    </row>
  </sheetData>
  <phoneticPr fontId="0" type="Hiragana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40"/>
  <sheetViews>
    <sheetView workbookViewId="0">
      <selection activeCell="M1" sqref="M1"/>
    </sheetView>
  </sheetViews>
  <sheetFormatPr defaultRowHeight="13.5" x14ac:dyDescent="0.15"/>
  <sheetData>
    <row r="1" spans="2:25" x14ac:dyDescent="0.15">
      <c r="M1">
        <f ca="1">MAX(M3:M40)*1.66*99</f>
        <v>896.39999999999986</v>
      </c>
    </row>
    <row r="2" spans="2:25" x14ac:dyDescent="0.15">
      <c r="B2" s="15" t="s">
        <v>52</v>
      </c>
      <c r="C2" s="16" t="s">
        <v>110</v>
      </c>
      <c r="D2" s="16" t="s">
        <v>134</v>
      </c>
      <c r="E2" s="16" t="s">
        <v>111</v>
      </c>
      <c r="F2" s="16" t="s">
        <v>136</v>
      </c>
      <c r="G2" s="16" t="s">
        <v>135</v>
      </c>
      <c r="H2" s="16" t="s">
        <v>161</v>
      </c>
      <c r="I2" s="19" t="s">
        <v>137</v>
      </c>
      <c r="J2" s="19" t="s">
        <v>138</v>
      </c>
      <c r="K2" s="12" t="s">
        <v>0</v>
      </c>
      <c r="L2" s="12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6" t="s">
        <v>112</v>
      </c>
      <c r="R2" s="16" t="s">
        <v>6</v>
      </c>
      <c r="S2" s="16" t="s">
        <v>392</v>
      </c>
      <c r="T2" s="16" t="s">
        <v>393</v>
      </c>
      <c r="U2" s="16" t="s">
        <v>394</v>
      </c>
      <c r="V2" s="16" t="s">
        <v>395</v>
      </c>
      <c r="W2" s="16" t="s">
        <v>396</v>
      </c>
      <c r="X2" s="16" t="s">
        <v>397</v>
      </c>
      <c r="Y2" s="49" t="s">
        <v>758</v>
      </c>
    </row>
    <row r="3" spans="2:25" x14ac:dyDescent="0.15">
      <c r="B3" s="2">
        <v>1</v>
      </c>
      <c r="C3" s="4" t="s">
        <v>7</v>
      </c>
      <c r="D3" s="4" t="s">
        <v>8</v>
      </c>
      <c r="E3" s="2">
        <v>1</v>
      </c>
      <c r="F3" s="2">
        <f>VLOOKUP(G3,平衡!C$3:F$15,4,FALSE)</f>
        <v>12</v>
      </c>
      <c r="G3" s="14" t="s">
        <v>113</v>
      </c>
      <c r="H3" s="14" t="str">
        <f ca="1">mVlookup(G3,weaponCO,"武器属性",FALSE)&amp;"抗性"</f>
        <v>神圣抗性</v>
      </c>
      <c r="I3" s="20">
        <f t="shared" ref="I3:I40" ca="1" si="0">mVlookup(F3,baseBalance,I$2,FALSE)*E3*VLOOKUP(1,powerDistribution,2,FALSE)</f>
        <v>7.75</v>
      </c>
      <c r="J3" s="20">
        <f t="shared" ref="J3:J40" ca="1" si="1">mVlookup(F3,baseBalance,J$2,FALSE)*E3*VLOOKUP(1,powerDistribution,2,FALSE)</f>
        <v>3.2258064516129048</v>
      </c>
      <c r="K3" s="2">
        <f ca="1">I3*mVlookup(G3,weaponCO,K$2,FALSE)</f>
        <v>6.9750000000000005</v>
      </c>
      <c r="L3" s="2">
        <v>1.2</v>
      </c>
      <c r="M3" s="2">
        <f t="shared" ref="M3:M40" ca="1" si="2">mVlookup(G3,weaponCO,M$2,FALSE)*J3</f>
        <v>1.6129032258064524</v>
      </c>
      <c r="N3" s="2">
        <f t="shared" ref="N3:N40" ca="1" si="3">mVlookup(G3,weaponCO,N$2,FALSE)*1</f>
        <v>1</v>
      </c>
      <c r="O3" s="2">
        <f t="shared" ref="O3:O40" ca="1" si="4">mVlookup(G3,weaponCO,O$2,FALSE)*J3</f>
        <v>1.6129032258064524</v>
      </c>
      <c r="P3" s="2">
        <f t="shared" ref="P3:P40" ca="1" si="5">mVlookup(G3,weaponCO,P$2,FALSE)*1</f>
        <v>1</v>
      </c>
      <c r="Q3" s="2">
        <f t="shared" ref="Q3:Q39" ca="1" si="6">mVlookup(G3,weaponCO,"闪避",FALSE)/0.3</f>
        <v>0.33333333333333337</v>
      </c>
      <c r="R3" s="2">
        <v>1</v>
      </c>
      <c r="S3" s="2">
        <f ca="1">IF($H3=S$2,0.15,0.1)</f>
        <v>0.1</v>
      </c>
      <c r="T3" s="2">
        <f t="shared" ref="T3:Y18" ca="1" si="7">IF($H3=T$2,0.15,0.1)</f>
        <v>0.1</v>
      </c>
      <c r="U3" s="2">
        <f t="shared" ca="1" si="7"/>
        <v>0.1</v>
      </c>
      <c r="V3" s="2">
        <f t="shared" ca="1" si="7"/>
        <v>0.1</v>
      </c>
      <c r="W3" s="2">
        <f t="shared" ca="1" si="7"/>
        <v>0.15</v>
      </c>
      <c r="X3" s="2">
        <f t="shared" ca="1" si="7"/>
        <v>0.1</v>
      </c>
      <c r="Y3" s="2">
        <f t="shared" ca="1" si="7"/>
        <v>0.1</v>
      </c>
    </row>
    <row r="4" spans="2:25" x14ac:dyDescent="0.15">
      <c r="B4" s="2">
        <v>2</v>
      </c>
      <c r="C4" s="5" t="s">
        <v>9</v>
      </c>
      <c r="D4" s="5" t="s">
        <v>115</v>
      </c>
      <c r="E4" s="2">
        <v>1</v>
      </c>
      <c r="F4" s="2">
        <f>VLOOKUP(G4,平衡!C$3:F$15,4,FALSE)</f>
        <v>11</v>
      </c>
      <c r="G4" s="14" t="s">
        <v>114</v>
      </c>
      <c r="H4" s="14" t="str">
        <f t="shared" ref="H4:H40" ca="1" si="8">mVlookup(G4,weaponCO,"武器属性",FALSE)&amp;"抗性"</f>
        <v>地脉抗性</v>
      </c>
      <c r="I4" s="20">
        <f t="shared" ca="1" si="0"/>
        <v>7.5</v>
      </c>
      <c r="J4" s="20">
        <f t="shared" ca="1" si="1"/>
        <v>3.3333333333333348</v>
      </c>
      <c r="K4" s="2">
        <f t="shared" ref="K4:K40" ca="1" si="9">I4*mVlookup(G4,weaponCO,K$2,FALSE)</f>
        <v>6.375</v>
      </c>
      <c r="L4" s="3">
        <v>1.2</v>
      </c>
      <c r="M4" s="2">
        <f t="shared" ca="1" si="2"/>
        <v>3.0000000000000013</v>
      </c>
      <c r="N4" s="2">
        <f t="shared" ca="1" si="3"/>
        <v>1.1000000000000001</v>
      </c>
      <c r="O4" s="2">
        <f t="shared" ca="1" si="4"/>
        <v>0.33333333333333348</v>
      </c>
      <c r="P4" s="2">
        <f t="shared" ca="1" si="5"/>
        <v>1.1000000000000001</v>
      </c>
      <c r="Q4" s="2">
        <f t="shared" ca="1" si="6"/>
        <v>0.5</v>
      </c>
      <c r="R4" s="2">
        <v>1</v>
      </c>
      <c r="S4" s="2">
        <f t="shared" ref="S4:Y40" ca="1" si="10">IF($H4=S$2,0.15,0.1)</f>
        <v>0.1</v>
      </c>
      <c r="T4" s="2">
        <f t="shared" ca="1" si="7"/>
        <v>0.15</v>
      </c>
      <c r="U4" s="2">
        <f t="shared" ca="1" si="7"/>
        <v>0.1</v>
      </c>
      <c r="V4" s="2">
        <f t="shared" ca="1" si="7"/>
        <v>0.1</v>
      </c>
      <c r="W4" s="2">
        <f t="shared" ca="1" si="7"/>
        <v>0.1</v>
      </c>
      <c r="X4" s="2">
        <f t="shared" ca="1" si="7"/>
        <v>0.1</v>
      </c>
      <c r="Y4" s="2">
        <f t="shared" ca="1" si="7"/>
        <v>0.1</v>
      </c>
    </row>
    <row r="5" spans="2:25" x14ac:dyDescent="0.15">
      <c r="B5" s="2">
        <v>3</v>
      </c>
      <c r="C5" s="6" t="s">
        <v>11</v>
      </c>
      <c r="D5" s="6" t="s">
        <v>12</v>
      </c>
      <c r="E5" s="2">
        <v>1</v>
      </c>
      <c r="F5" s="2">
        <f>VLOOKUP(G5,平衡!C$3:F$15,4,FALSE)</f>
        <v>2</v>
      </c>
      <c r="G5" s="14" t="s">
        <v>126</v>
      </c>
      <c r="H5" s="14" t="str">
        <f t="shared" ca="1" si="8"/>
        <v>电击抗性</v>
      </c>
      <c r="I5" s="20">
        <f t="shared" ca="1" si="0"/>
        <v>5.25</v>
      </c>
      <c r="J5" s="20">
        <f t="shared" ca="1" si="1"/>
        <v>4.7619047619047601</v>
      </c>
      <c r="K5" s="2">
        <f t="shared" ca="1" si="9"/>
        <v>4.6725000000000003</v>
      </c>
      <c r="L5" s="3">
        <v>1.7</v>
      </c>
      <c r="M5" s="2">
        <f t="shared" ca="1" si="2"/>
        <v>0.47619047619047605</v>
      </c>
      <c r="N5" s="2">
        <f t="shared" ca="1" si="3"/>
        <v>0.6</v>
      </c>
      <c r="O5" s="2">
        <f t="shared" ca="1" si="4"/>
        <v>4.2857142857142838</v>
      </c>
      <c r="P5" s="2">
        <f t="shared" ca="1" si="5"/>
        <v>1</v>
      </c>
      <c r="Q5" s="2">
        <f t="shared" ca="1" si="6"/>
        <v>0.3666666666666667</v>
      </c>
      <c r="R5" s="2">
        <v>1</v>
      </c>
      <c r="S5" s="2">
        <f t="shared" ca="1" si="10"/>
        <v>0.1</v>
      </c>
      <c r="T5" s="2">
        <f t="shared" ca="1" si="7"/>
        <v>0.1</v>
      </c>
      <c r="U5" s="2">
        <f t="shared" ca="1" si="7"/>
        <v>0.1</v>
      </c>
      <c r="V5" s="2">
        <f t="shared" ca="1" si="7"/>
        <v>0.1</v>
      </c>
      <c r="W5" s="2">
        <f t="shared" ca="1" si="7"/>
        <v>0.1</v>
      </c>
      <c r="X5" s="2">
        <f t="shared" ca="1" si="7"/>
        <v>0.1</v>
      </c>
      <c r="Y5" s="2">
        <f t="shared" ca="1" si="7"/>
        <v>0.15</v>
      </c>
    </row>
    <row r="6" spans="2:25" x14ac:dyDescent="0.15">
      <c r="B6" s="2">
        <v>4</v>
      </c>
      <c r="C6" s="5" t="s">
        <v>13</v>
      </c>
      <c r="D6" s="5" t="s">
        <v>116</v>
      </c>
      <c r="E6" s="2">
        <v>1</v>
      </c>
      <c r="F6" s="2">
        <f>VLOOKUP(G6,平衡!C$3:F$15,4,FALSE)</f>
        <v>1</v>
      </c>
      <c r="G6" s="14" t="s">
        <v>127</v>
      </c>
      <c r="H6" s="14" t="str">
        <f t="shared" ca="1" si="8"/>
        <v>地脉抗性</v>
      </c>
      <c r="I6" s="20">
        <f t="shared" ca="1" si="0"/>
        <v>5</v>
      </c>
      <c r="J6" s="20">
        <f t="shared" ca="1" si="1"/>
        <v>5</v>
      </c>
      <c r="K6" s="2">
        <f t="shared" ca="1" si="9"/>
        <v>4.25</v>
      </c>
      <c r="L6" s="3">
        <v>1</v>
      </c>
      <c r="M6" s="2">
        <f t="shared" ca="1" si="2"/>
        <v>4.5</v>
      </c>
      <c r="N6" s="2">
        <f t="shared" ca="1" si="3"/>
        <v>1.2</v>
      </c>
      <c r="O6" s="2">
        <f t="shared" ca="1" si="4"/>
        <v>0.5</v>
      </c>
      <c r="P6" s="2">
        <f t="shared" ca="1" si="5"/>
        <v>1.4</v>
      </c>
      <c r="Q6" s="2">
        <f t="shared" ca="1" si="6"/>
        <v>0.5</v>
      </c>
      <c r="R6" s="2">
        <v>1</v>
      </c>
      <c r="S6" s="2">
        <f t="shared" ca="1" si="10"/>
        <v>0.1</v>
      </c>
      <c r="T6" s="2">
        <f t="shared" ca="1" si="7"/>
        <v>0.15</v>
      </c>
      <c r="U6" s="2">
        <f t="shared" ca="1" si="7"/>
        <v>0.1</v>
      </c>
      <c r="V6" s="2">
        <f t="shared" ca="1" si="7"/>
        <v>0.1</v>
      </c>
      <c r="W6" s="2">
        <f t="shared" ca="1" si="7"/>
        <v>0.1</v>
      </c>
      <c r="X6" s="2">
        <f t="shared" ca="1" si="7"/>
        <v>0.1</v>
      </c>
      <c r="Y6" s="2">
        <f t="shared" ca="1" si="7"/>
        <v>0.1</v>
      </c>
    </row>
    <row r="7" spans="2:25" x14ac:dyDescent="0.15">
      <c r="B7" s="2">
        <v>5</v>
      </c>
      <c r="C7" s="4" t="s">
        <v>15</v>
      </c>
      <c r="D7" s="4" t="s">
        <v>117</v>
      </c>
      <c r="E7" s="2">
        <v>1</v>
      </c>
      <c r="F7" s="2">
        <f>VLOOKUP(G7,平衡!C$3:F$15,4,FALSE)</f>
        <v>12</v>
      </c>
      <c r="G7" s="14" t="s">
        <v>72</v>
      </c>
      <c r="H7" s="14" t="str">
        <f t="shared" ca="1" si="8"/>
        <v>神圣抗性</v>
      </c>
      <c r="I7" s="20">
        <f t="shared" ca="1" si="0"/>
        <v>7.75</v>
      </c>
      <c r="J7" s="20">
        <f t="shared" ca="1" si="1"/>
        <v>3.2258064516129048</v>
      </c>
      <c r="K7" s="2">
        <f t="shared" ca="1" si="9"/>
        <v>6.9750000000000005</v>
      </c>
      <c r="L7" s="2">
        <v>1.2</v>
      </c>
      <c r="M7" s="2">
        <f t="shared" ca="1" si="2"/>
        <v>1.6129032258064524</v>
      </c>
      <c r="N7" s="2">
        <f t="shared" ca="1" si="3"/>
        <v>1</v>
      </c>
      <c r="O7" s="2">
        <f t="shared" ca="1" si="4"/>
        <v>1.6129032258064524</v>
      </c>
      <c r="P7" s="2">
        <f t="shared" ca="1" si="5"/>
        <v>1</v>
      </c>
      <c r="Q7" s="2">
        <f t="shared" ca="1" si="6"/>
        <v>0.33333333333333337</v>
      </c>
      <c r="R7" s="2">
        <v>1</v>
      </c>
      <c r="S7" s="2">
        <f t="shared" ca="1" si="10"/>
        <v>0.1</v>
      </c>
      <c r="T7" s="2">
        <f t="shared" ca="1" si="7"/>
        <v>0.1</v>
      </c>
      <c r="U7" s="2">
        <f t="shared" ca="1" si="7"/>
        <v>0.1</v>
      </c>
      <c r="V7" s="2">
        <f t="shared" ca="1" si="7"/>
        <v>0.1</v>
      </c>
      <c r="W7" s="2">
        <f t="shared" ca="1" si="7"/>
        <v>0.15</v>
      </c>
      <c r="X7" s="2">
        <f t="shared" ca="1" si="7"/>
        <v>0.1</v>
      </c>
      <c r="Y7" s="2">
        <f t="shared" ca="1" si="7"/>
        <v>0.1</v>
      </c>
    </row>
    <row r="8" spans="2:25" x14ac:dyDescent="0.15">
      <c r="B8" s="2">
        <v>6</v>
      </c>
      <c r="C8" s="7" t="s">
        <v>16</v>
      </c>
      <c r="D8" s="4" t="s">
        <v>8</v>
      </c>
      <c r="E8" s="2">
        <v>1</v>
      </c>
      <c r="F8" s="2">
        <f>VLOOKUP(G8,平衡!C$3:F$15,4,FALSE)</f>
        <v>12</v>
      </c>
      <c r="G8" s="14" t="s">
        <v>72</v>
      </c>
      <c r="H8" s="14" t="str">
        <f t="shared" ca="1" si="8"/>
        <v>神圣抗性</v>
      </c>
      <c r="I8" s="20">
        <f t="shared" ca="1" si="0"/>
        <v>7.75</v>
      </c>
      <c r="J8" s="20">
        <f t="shared" ca="1" si="1"/>
        <v>3.2258064516129048</v>
      </c>
      <c r="K8" s="2">
        <f t="shared" ca="1" si="9"/>
        <v>6.9750000000000005</v>
      </c>
      <c r="L8" s="2">
        <v>1</v>
      </c>
      <c r="M8" s="2">
        <f t="shared" ca="1" si="2"/>
        <v>1.6129032258064524</v>
      </c>
      <c r="N8" s="2">
        <f t="shared" ca="1" si="3"/>
        <v>1</v>
      </c>
      <c r="O8" s="2">
        <f t="shared" ca="1" si="4"/>
        <v>1.6129032258064524</v>
      </c>
      <c r="P8" s="2">
        <f t="shared" ca="1" si="5"/>
        <v>1</v>
      </c>
      <c r="Q8" s="2">
        <f t="shared" ca="1" si="6"/>
        <v>0.33333333333333337</v>
      </c>
      <c r="R8" s="2">
        <v>1</v>
      </c>
      <c r="S8" s="2">
        <f t="shared" ca="1" si="10"/>
        <v>0.1</v>
      </c>
      <c r="T8" s="2">
        <f t="shared" ca="1" si="7"/>
        <v>0.1</v>
      </c>
      <c r="U8" s="2">
        <f t="shared" ca="1" si="7"/>
        <v>0.1</v>
      </c>
      <c r="V8" s="2">
        <f t="shared" ca="1" si="7"/>
        <v>0.1</v>
      </c>
      <c r="W8" s="2">
        <f t="shared" ca="1" si="7"/>
        <v>0.15</v>
      </c>
      <c r="X8" s="2">
        <f t="shared" ca="1" si="7"/>
        <v>0.1</v>
      </c>
      <c r="Y8" s="2">
        <f t="shared" ca="1" si="7"/>
        <v>0.1</v>
      </c>
    </row>
    <row r="9" spans="2:25" x14ac:dyDescent="0.15">
      <c r="B9" s="2">
        <v>7</v>
      </c>
      <c r="C9" s="7" t="s">
        <v>17</v>
      </c>
      <c r="D9" s="7" t="s">
        <v>18</v>
      </c>
      <c r="E9" s="2">
        <v>1</v>
      </c>
      <c r="F9" s="2">
        <f>VLOOKUP(G9,平衡!C$3:F$15,4,FALSE)</f>
        <v>6</v>
      </c>
      <c r="G9" s="14" t="s">
        <v>64</v>
      </c>
      <c r="H9" s="14" t="str">
        <f t="shared" ca="1" si="8"/>
        <v>电击抗性</v>
      </c>
      <c r="I9" s="20">
        <f t="shared" ca="1" si="0"/>
        <v>6.25</v>
      </c>
      <c r="J9" s="20">
        <f t="shared" ca="1" si="1"/>
        <v>4</v>
      </c>
      <c r="K9" s="2">
        <f t="shared" ca="1" si="9"/>
        <v>5.5</v>
      </c>
      <c r="L9" s="2">
        <v>1.4</v>
      </c>
      <c r="M9" s="2">
        <f t="shared" ca="1" si="2"/>
        <v>0.8</v>
      </c>
      <c r="N9" s="2">
        <f t="shared" ca="1" si="3"/>
        <v>0.7</v>
      </c>
      <c r="O9" s="2">
        <f t="shared" ca="1" si="4"/>
        <v>3.2</v>
      </c>
      <c r="P9" s="2">
        <f t="shared" ca="1" si="5"/>
        <v>0.9</v>
      </c>
      <c r="Q9" s="2">
        <f t="shared" ca="1" si="6"/>
        <v>0.4</v>
      </c>
      <c r="R9" s="2">
        <v>1</v>
      </c>
      <c r="S9" s="2">
        <f t="shared" ca="1" si="10"/>
        <v>0.1</v>
      </c>
      <c r="T9" s="2">
        <f t="shared" ca="1" si="7"/>
        <v>0.1</v>
      </c>
      <c r="U9" s="2">
        <f t="shared" ca="1" si="7"/>
        <v>0.1</v>
      </c>
      <c r="V9" s="2">
        <f t="shared" ca="1" si="7"/>
        <v>0.1</v>
      </c>
      <c r="W9" s="2">
        <f t="shared" ca="1" si="7"/>
        <v>0.1</v>
      </c>
      <c r="X9" s="2">
        <f t="shared" ca="1" si="7"/>
        <v>0.1</v>
      </c>
      <c r="Y9" s="2">
        <f t="shared" ca="1" si="7"/>
        <v>0.15</v>
      </c>
    </row>
    <row r="10" spans="2:25" x14ac:dyDescent="0.15">
      <c r="B10" s="2">
        <v>8</v>
      </c>
      <c r="C10" s="4" t="s">
        <v>19</v>
      </c>
      <c r="D10" s="4" t="s">
        <v>12</v>
      </c>
      <c r="E10" s="2">
        <v>1</v>
      </c>
      <c r="F10" s="2">
        <f>VLOOKUP(G10,平衡!C$3:F$15,4,FALSE)</f>
        <v>2</v>
      </c>
      <c r="G10" s="14" t="s">
        <v>128</v>
      </c>
      <c r="H10" s="14" t="str">
        <f t="shared" ca="1" si="8"/>
        <v>电击抗性</v>
      </c>
      <c r="I10" s="20">
        <f t="shared" ca="1" si="0"/>
        <v>5.25</v>
      </c>
      <c r="J10" s="20">
        <f t="shared" ca="1" si="1"/>
        <v>4.7619047619047601</v>
      </c>
      <c r="K10" s="2">
        <f t="shared" ca="1" si="9"/>
        <v>4.6725000000000003</v>
      </c>
      <c r="L10" s="2">
        <v>1.7</v>
      </c>
      <c r="M10" s="2">
        <f t="shared" ca="1" si="2"/>
        <v>0.47619047619047605</v>
      </c>
      <c r="N10" s="2">
        <f t="shared" ca="1" si="3"/>
        <v>0.6</v>
      </c>
      <c r="O10" s="2">
        <f t="shared" ca="1" si="4"/>
        <v>4.2857142857142838</v>
      </c>
      <c r="P10" s="2">
        <f t="shared" ca="1" si="5"/>
        <v>1</v>
      </c>
      <c r="Q10" s="2">
        <f t="shared" ca="1" si="6"/>
        <v>0.3666666666666667</v>
      </c>
      <c r="R10" s="2">
        <v>1</v>
      </c>
      <c r="S10" s="2">
        <f t="shared" ca="1" si="10"/>
        <v>0.1</v>
      </c>
      <c r="T10" s="2">
        <f t="shared" ca="1" si="7"/>
        <v>0.1</v>
      </c>
      <c r="U10" s="2">
        <f t="shared" ca="1" si="7"/>
        <v>0.1</v>
      </c>
      <c r="V10" s="2">
        <f t="shared" ca="1" si="7"/>
        <v>0.1</v>
      </c>
      <c r="W10" s="2">
        <f t="shared" ca="1" si="7"/>
        <v>0.1</v>
      </c>
      <c r="X10" s="2">
        <f t="shared" ca="1" si="7"/>
        <v>0.1</v>
      </c>
      <c r="Y10" s="2">
        <f t="shared" ca="1" si="7"/>
        <v>0.15</v>
      </c>
    </row>
    <row r="11" spans="2:25" x14ac:dyDescent="0.15">
      <c r="B11" s="2">
        <v>9</v>
      </c>
      <c r="C11" s="7" t="s">
        <v>20</v>
      </c>
      <c r="D11" s="7" t="s">
        <v>21</v>
      </c>
      <c r="E11" s="2">
        <v>1</v>
      </c>
      <c r="F11" s="2">
        <f>VLOOKUP(G11,平衡!C$3:F$15,4,FALSE)</f>
        <v>3</v>
      </c>
      <c r="G11" s="14" t="s">
        <v>73</v>
      </c>
      <c r="H11" s="14" t="str">
        <f t="shared" ca="1" si="8"/>
        <v>地脉抗性</v>
      </c>
      <c r="I11" s="20">
        <f t="shared" ca="1" si="0"/>
        <v>5.5</v>
      </c>
      <c r="J11" s="20">
        <f t="shared" ca="1" si="1"/>
        <v>4.545454545454545</v>
      </c>
      <c r="K11" s="2">
        <f t="shared" ca="1" si="9"/>
        <v>4.6749999999999998</v>
      </c>
      <c r="L11" s="2">
        <v>1.2</v>
      </c>
      <c r="M11" s="2">
        <f t="shared" ca="1" si="2"/>
        <v>3.6363636363636362</v>
      </c>
      <c r="N11" s="2">
        <f t="shared" ca="1" si="3"/>
        <v>1.3</v>
      </c>
      <c r="O11" s="2">
        <f t="shared" ca="1" si="4"/>
        <v>0.90909090909090906</v>
      </c>
      <c r="P11" s="2">
        <f t="shared" ca="1" si="5"/>
        <v>0.9</v>
      </c>
      <c r="Q11" s="2">
        <f t="shared" ca="1" si="6"/>
        <v>0.5</v>
      </c>
      <c r="R11" s="2">
        <v>1</v>
      </c>
      <c r="S11" s="2">
        <f t="shared" ca="1" si="10"/>
        <v>0.1</v>
      </c>
      <c r="T11" s="2">
        <f t="shared" ca="1" si="7"/>
        <v>0.15</v>
      </c>
      <c r="U11" s="2">
        <f t="shared" ca="1" si="7"/>
        <v>0.1</v>
      </c>
      <c r="V11" s="2">
        <f t="shared" ca="1" si="7"/>
        <v>0.1</v>
      </c>
      <c r="W11" s="2">
        <f t="shared" ca="1" si="7"/>
        <v>0.1</v>
      </c>
      <c r="X11" s="2">
        <f t="shared" ca="1" si="7"/>
        <v>0.1</v>
      </c>
      <c r="Y11" s="2">
        <f t="shared" ca="1" si="7"/>
        <v>0.1</v>
      </c>
    </row>
    <row r="12" spans="2:25" x14ac:dyDescent="0.15">
      <c r="B12" s="2">
        <v>10</v>
      </c>
      <c r="C12" s="4" t="s">
        <v>22</v>
      </c>
      <c r="D12" s="4" t="s">
        <v>14</v>
      </c>
      <c r="E12" s="2">
        <v>1</v>
      </c>
      <c r="F12" s="2">
        <f>VLOOKUP(G12,平衡!C$3:F$15,4,FALSE)</f>
        <v>1</v>
      </c>
      <c r="G12" s="14" t="s">
        <v>77</v>
      </c>
      <c r="H12" s="14" t="str">
        <f t="shared" ca="1" si="8"/>
        <v>地脉抗性</v>
      </c>
      <c r="I12" s="20">
        <f t="shared" ca="1" si="0"/>
        <v>5</v>
      </c>
      <c r="J12" s="20">
        <f t="shared" ca="1" si="1"/>
        <v>5</v>
      </c>
      <c r="K12" s="2">
        <f t="shared" ca="1" si="9"/>
        <v>4.25</v>
      </c>
      <c r="L12" s="2">
        <v>1</v>
      </c>
      <c r="M12" s="2">
        <f t="shared" ca="1" si="2"/>
        <v>4.5</v>
      </c>
      <c r="N12" s="2">
        <f t="shared" ca="1" si="3"/>
        <v>1.2</v>
      </c>
      <c r="O12" s="2">
        <f t="shared" ca="1" si="4"/>
        <v>0.5</v>
      </c>
      <c r="P12" s="2">
        <f t="shared" ca="1" si="5"/>
        <v>1.4</v>
      </c>
      <c r="Q12" s="2">
        <f t="shared" ca="1" si="6"/>
        <v>0.5</v>
      </c>
      <c r="R12" s="2">
        <v>1</v>
      </c>
      <c r="S12" s="2">
        <f t="shared" ca="1" si="10"/>
        <v>0.1</v>
      </c>
      <c r="T12" s="2">
        <f t="shared" ca="1" si="7"/>
        <v>0.15</v>
      </c>
      <c r="U12" s="2">
        <f t="shared" ca="1" si="7"/>
        <v>0.1</v>
      </c>
      <c r="V12" s="2">
        <f t="shared" ca="1" si="7"/>
        <v>0.1</v>
      </c>
      <c r="W12" s="2">
        <f t="shared" ca="1" si="7"/>
        <v>0.1</v>
      </c>
      <c r="X12" s="2">
        <f t="shared" ca="1" si="7"/>
        <v>0.1</v>
      </c>
      <c r="Y12" s="2">
        <f t="shared" ca="1" si="7"/>
        <v>0.1</v>
      </c>
    </row>
    <row r="13" spans="2:25" x14ac:dyDescent="0.15">
      <c r="B13" s="2">
        <v>11</v>
      </c>
      <c r="C13" s="7" t="s">
        <v>23</v>
      </c>
      <c r="D13" s="7" t="s">
        <v>118</v>
      </c>
      <c r="E13" s="2">
        <v>1</v>
      </c>
      <c r="F13" s="2">
        <f>VLOOKUP(G13,平衡!C$3:F$15,4,FALSE)</f>
        <v>12</v>
      </c>
      <c r="G13" s="14" t="s">
        <v>129</v>
      </c>
      <c r="H13" s="14" t="str">
        <f t="shared" ca="1" si="8"/>
        <v>神圣抗性</v>
      </c>
      <c r="I13" s="20">
        <f t="shared" ca="1" si="0"/>
        <v>7.75</v>
      </c>
      <c r="J13" s="20">
        <f t="shared" ca="1" si="1"/>
        <v>3.2258064516129048</v>
      </c>
      <c r="K13" s="2">
        <f t="shared" ca="1" si="9"/>
        <v>6.9750000000000005</v>
      </c>
      <c r="L13" s="2">
        <v>1.4</v>
      </c>
      <c r="M13" s="2">
        <f t="shared" ca="1" si="2"/>
        <v>1.6129032258064524</v>
      </c>
      <c r="N13" s="2">
        <f t="shared" ca="1" si="3"/>
        <v>1</v>
      </c>
      <c r="O13" s="2">
        <f t="shared" ca="1" si="4"/>
        <v>1.6129032258064524</v>
      </c>
      <c r="P13" s="2">
        <f t="shared" ca="1" si="5"/>
        <v>1</v>
      </c>
      <c r="Q13" s="2">
        <f t="shared" ca="1" si="6"/>
        <v>0.33333333333333337</v>
      </c>
      <c r="R13" s="2">
        <v>1</v>
      </c>
      <c r="S13" s="2">
        <f t="shared" ca="1" si="10"/>
        <v>0.1</v>
      </c>
      <c r="T13" s="2">
        <f t="shared" ca="1" si="7"/>
        <v>0.1</v>
      </c>
      <c r="U13" s="2">
        <f t="shared" ca="1" si="7"/>
        <v>0.1</v>
      </c>
      <c r="V13" s="2">
        <f t="shared" ca="1" si="7"/>
        <v>0.1</v>
      </c>
      <c r="W13" s="2">
        <f t="shared" ca="1" si="7"/>
        <v>0.15</v>
      </c>
      <c r="X13" s="2">
        <f t="shared" ca="1" si="7"/>
        <v>0.1</v>
      </c>
      <c r="Y13" s="2">
        <f t="shared" ca="1" si="7"/>
        <v>0.1</v>
      </c>
    </row>
    <row r="14" spans="2:25" x14ac:dyDescent="0.15">
      <c r="B14" s="2">
        <v>12</v>
      </c>
      <c r="C14" s="4" t="s">
        <v>24</v>
      </c>
      <c r="D14" s="4" t="s">
        <v>119</v>
      </c>
      <c r="E14" s="2">
        <v>1</v>
      </c>
      <c r="F14" s="2">
        <f>VLOOKUP(G14,平衡!C$3:F$15,4,FALSE)</f>
        <v>5</v>
      </c>
      <c r="G14" s="14" t="s">
        <v>130</v>
      </c>
      <c r="H14" s="14" t="str">
        <f t="shared" ca="1" si="8"/>
        <v>黑暗抗性</v>
      </c>
      <c r="I14" s="20">
        <f t="shared" ca="1" si="0"/>
        <v>6</v>
      </c>
      <c r="J14" s="20">
        <f t="shared" ca="1" si="1"/>
        <v>4.1666666666666652</v>
      </c>
      <c r="K14" s="2">
        <f t="shared" ca="1" si="9"/>
        <v>5.4</v>
      </c>
      <c r="L14" s="2">
        <v>1</v>
      </c>
      <c r="M14" s="2">
        <f t="shared" ca="1" si="2"/>
        <v>3.7499999999999987</v>
      </c>
      <c r="N14" s="2">
        <f t="shared" ca="1" si="3"/>
        <v>1.2</v>
      </c>
      <c r="O14" s="2">
        <f t="shared" ca="1" si="4"/>
        <v>0.41666666666666652</v>
      </c>
      <c r="P14" s="2">
        <f t="shared" ca="1" si="5"/>
        <v>1.2</v>
      </c>
      <c r="Q14" s="2">
        <f t="shared" ca="1" si="6"/>
        <v>0.33333333333333337</v>
      </c>
      <c r="R14" s="2">
        <v>1</v>
      </c>
      <c r="S14" s="2">
        <f t="shared" ca="1" si="10"/>
        <v>0.1</v>
      </c>
      <c r="T14" s="2">
        <f t="shared" ca="1" si="7"/>
        <v>0.1</v>
      </c>
      <c r="U14" s="2">
        <f t="shared" ca="1" si="7"/>
        <v>0.1</v>
      </c>
      <c r="V14" s="2">
        <f t="shared" ca="1" si="7"/>
        <v>0.1</v>
      </c>
      <c r="W14" s="2">
        <f t="shared" ca="1" si="7"/>
        <v>0.1</v>
      </c>
      <c r="X14" s="2">
        <f t="shared" ca="1" si="7"/>
        <v>0.15</v>
      </c>
      <c r="Y14" s="2">
        <f t="shared" ca="1" si="7"/>
        <v>0.1</v>
      </c>
    </row>
    <row r="15" spans="2:25" x14ac:dyDescent="0.15">
      <c r="B15" s="2">
        <v>13</v>
      </c>
      <c r="C15" s="7" t="s">
        <v>25</v>
      </c>
      <c r="D15" s="7" t="s">
        <v>14</v>
      </c>
      <c r="E15" s="2">
        <v>1</v>
      </c>
      <c r="F15" s="2">
        <f>VLOOKUP(G15,平衡!C$3:F$15,4,FALSE)</f>
        <v>1</v>
      </c>
      <c r="G15" s="14" t="s">
        <v>131</v>
      </c>
      <c r="H15" s="14" t="str">
        <f t="shared" ca="1" si="8"/>
        <v>地脉抗性</v>
      </c>
      <c r="I15" s="20">
        <f t="shared" ca="1" si="0"/>
        <v>5</v>
      </c>
      <c r="J15" s="20">
        <f t="shared" ca="1" si="1"/>
        <v>5</v>
      </c>
      <c r="K15" s="2">
        <f t="shared" ca="1" si="9"/>
        <v>4.25</v>
      </c>
      <c r="L15" s="2">
        <v>1</v>
      </c>
      <c r="M15" s="2">
        <f t="shared" ca="1" si="2"/>
        <v>4.5</v>
      </c>
      <c r="N15" s="2">
        <f t="shared" ca="1" si="3"/>
        <v>1.2</v>
      </c>
      <c r="O15" s="2">
        <f t="shared" ca="1" si="4"/>
        <v>0.5</v>
      </c>
      <c r="P15" s="2">
        <f t="shared" ca="1" si="5"/>
        <v>1.4</v>
      </c>
      <c r="Q15" s="2">
        <f t="shared" ca="1" si="6"/>
        <v>0.5</v>
      </c>
      <c r="R15" s="2">
        <v>1</v>
      </c>
      <c r="S15" s="2">
        <f t="shared" ca="1" si="10"/>
        <v>0.1</v>
      </c>
      <c r="T15" s="2">
        <f t="shared" ca="1" si="7"/>
        <v>0.15</v>
      </c>
      <c r="U15" s="2">
        <f t="shared" ca="1" si="7"/>
        <v>0.1</v>
      </c>
      <c r="V15" s="2">
        <f t="shared" ca="1" si="7"/>
        <v>0.1</v>
      </c>
      <c r="W15" s="2">
        <f t="shared" ca="1" si="7"/>
        <v>0.1</v>
      </c>
      <c r="X15" s="2">
        <f t="shared" ca="1" si="7"/>
        <v>0.1</v>
      </c>
      <c r="Y15" s="2">
        <f t="shared" ca="1" si="7"/>
        <v>0.1</v>
      </c>
    </row>
    <row r="16" spans="2:25" x14ac:dyDescent="0.15">
      <c r="B16" s="2">
        <v>14</v>
      </c>
      <c r="C16" s="4" t="s">
        <v>26</v>
      </c>
      <c r="D16" s="4" t="s">
        <v>27</v>
      </c>
      <c r="E16" s="2">
        <v>1</v>
      </c>
      <c r="F16" s="2">
        <f>VLOOKUP(G16,平衡!C$3:F$15,4,FALSE)</f>
        <v>10</v>
      </c>
      <c r="G16" s="14" t="s">
        <v>132</v>
      </c>
      <c r="H16" s="14" t="str">
        <f t="shared" ca="1" si="8"/>
        <v>神圣抗性</v>
      </c>
      <c r="I16" s="20">
        <f t="shared" ca="1" si="0"/>
        <v>7.25</v>
      </c>
      <c r="J16" s="20">
        <f t="shared" ca="1" si="1"/>
        <v>3.4482758620689649</v>
      </c>
      <c r="K16" s="2">
        <f t="shared" ca="1" si="9"/>
        <v>5.4375</v>
      </c>
      <c r="L16" s="2">
        <v>1.2</v>
      </c>
      <c r="M16" s="2">
        <f t="shared" ca="1" si="2"/>
        <v>3.1034482758620685</v>
      </c>
      <c r="N16" s="2">
        <f t="shared" ca="1" si="3"/>
        <v>1.4</v>
      </c>
      <c r="O16" s="2">
        <f t="shared" ca="1" si="4"/>
        <v>0.34482758620689652</v>
      </c>
      <c r="P16" s="2">
        <f t="shared" ca="1" si="5"/>
        <v>1</v>
      </c>
      <c r="Q16" s="2">
        <f t="shared" ca="1" si="6"/>
        <v>0.83333333333333337</v>
      </c>
      <c r="R16" s="2">
        <v>1</v>
      </c>
      <c r="S16" s="2">
        <f t="shared" ca="1" si="10"/>
        <v>0.1</v>
      </c>
      <c r="T16" s="2">
        <f t="shared" ca="1" si="7"/>
        <v>0.1</v>
      </c>
      <c r="U16" s="2">
        <f t="shared" ca="1" si="7"/>
        <v>0.1</v>
      </c>
      <c r="V16" s="2">
        <f t="shared" ca="1" si="7"/>
        <v>0.1</v>
      </c>
      <c r="W16" s="2">
        <f t="shared" ca="1" si="7"/>
        <v>0.15</v>
      </c>
      <c r="X16" s="2">
        <f t="shared" ca="1" si="7"/>
        <v>0.1</v>
      </c>
      <c r="Y16" s="2">
        <f t="shared" ca="1" si="7"/>
        <v>0.1</v>
      </c>
    </row>
    <row r="17" spans="2:25" x14ac:dyDescent="0.15">
      <c r="B17" s="2">
        <v>15</v>
      </c>
      <c r="C17" s="7" t="s">
        <v>28</v>
      </c>
      <c r="D17" s="7" t="s">
        <v>29</v>
      </c>
      <c r="E17" s="2">
        <v>1</v>
      </c>
      <c r="F17" s="2">
        <f>VLOOKUP(G17,平衡!C$3:F$15,4,FALSE)</f>
        <v>8</v>
      </c>
      <c r="G17" s="14" t="s">
        <v>133</v>
      </c>
      <c r="H17" s="14" t="str">
        <f t="shared" ca="1" si="8"/>
        <v>火炎抗性</v>
      </c>
      <c r="I17" s="20">
        <f t="shared" ca="1" si="0"/>
        <v>6.75</v>
      </c>
      <c r="J17" s="20">
        <f t="shared" ca="1" si="1"/>
        <v>3.7037037037037051</v>
      </c>
      <c r="K17" s="2">
        <f t="shared" ca="1" si="9"/>
        <v>4.8599999999999994</v>
      </c>
      <c r="L17" s="2">
        <v>1.2</v>
      </c>
      <c r="M17" s="2">
        <f t="shared" ca="1" si="2"/>
        <v>1.4814814814814821</v>
      </c>
      <c r="N17" s="2">
        <f t="shared" ca="1" si="3"/>
        <v>0.8</v>
      </c>
      <c r="O17" s="2">
        <f t="shared" ca="1" si="4"/>
        <v>2.2222222222222228</v>
      </c>
      <c r="P17" s="2">
        <f t="shared" ca="1" si="5"/>
        <v>1</v>
      </c>
      <c r="Q17" s="2">
        <f t="shared" ca="1" si="6"/>
        <v>0.93333333333333346</v>
      </c>
      <c r="R17" s="2">
        <v>1</v>
      </c>
      <c r="S17" s="2">
        <f t="shared" ca="1" si="10"/>
        <v>0.1</v>
      </c>
      <c r="T17" s="2">
        <f t="shared" ca="1" si="7"/>
        <v>0.1</v>
      </c>
      <c r="U17" s="2">
        <f t="shared" ca="1" si="7"/>
        <v>0.1</v>
      </c>
      <c r="V17" s="2">
        <f t="shared" ca="1" si="7"/>
        <v>0.15</v>
      </c>
      <c r="W17" s="2">
        <f t="shared" ca="1" si="7"/>
        <v>0.1</v>
      </c>
      <c r="X17" s="2">
        <f t="shared" ca="1" si="7"/>
        <v>0.1</v>
      </c>
      <c r="Y17" s="2">
        <f t="shared" ca="1" si="7"/>
        <v>0.1</v>
      </c>
    </row>
    <row r="18" spans="2:25" x14ac:dyDescent="0.15">
      <c r="B18" s="2">
        <v>16</v>
      </c>
      <c r="C18" s="4" t="s">
        <v>30</v>
      </c>
      <c r="D18" s="4" t="s">
        <v>31</v>
      </c>
      <c r="E18" s="2">
        <v>1</v>
      </c>
      <c r="F18" s="2">
        <f>VLOOKUP(G18,平衡!C$3:F$15,4,FALSE)</f>
        <v>7</v>
      </c>
      <c r="G18" s="14" t="s">
        <v>75</v>
      </c>
      <c r="H18" s="14" t="str">
        <f t="shared" ca="1" si="8"/>
        <v>电击抗性</v>
      </c>
      <c r="I18" s="20">
        <f t="shared" ca="1" si="0"/>
        <v>6.5</v>
      </c>
      <c r="J18" s="20">
        <f t="shared" ca="1" si="1"/>
        <v>3.8461538461538449</v>
      </c>
      <c r="K18" s="2">
        <f t="shared" ca="1" si="9"/>
        <v>5.33</v>
      </c>
      <c r="L18" s="2">
        <v>1.4</v>
      </c>
      <c r="M18" s="2">
        <f t="shared" ca="1" si="2"/>
        <v>1.5384615384615381</v>
      </c>
      <c r="N18" s="2">
        <f t="shared" ca="1" si="3"/>
        <v>0.8</v>
      </c>
      <c r="O18" s="2">
        <f t="shared" ca="1" si="4"/>
        <v>2.307692307692307</v>
      </c>
      <c r="P18" s="2">
        <f t="shared" ca="1" si="5"/>
        <v>1</v>
      </c>
      <c r="Q18" s="2">
        <f t="shared" ca="1" si="6"/>
        <v>0.6</v>
      </c>
      <c r="R18" s="2">
        <v>1</v>
      </c>
      <c r="S18" s="2">
        <f t="shared" ca="1" si="10"/>
        <v>0.1</v>
      </c>
      <c r="T18" s="2">
        <f t="shared" ca="1" si="7"/>
        <v>0.1</v>
      </c>
      <c r="U18" s="2">
        <f t="shared" ca="1" si="7"/>
        <v>0.1</v>
      </c>
      <c r="V18" s="2">
        <f t="shared" ca="1" si="7"/>
        <v>0.1</v>
      </c>
      <c r="W18" s="2">
        <f t="shared" ca="1" si="7"/>
        <v>0.1</v>
      </c>
      <c r="X18" s="2">
        <f t="shared" ca="1" si="7"/>
        <v>0.1</v>
      </c>
      <c r="Y18" s="2">
        <f t="shared" ca="1" si="7"/>
        <v>0.15</v>
      </c>
    </row>
    <row r="19" spans="2:25" x14ac:dyDescent="0.15">
      <c r="B19" s="2">
        <v>17</v>
      </c>
      <c r="C19" s="7" t="s">
        <v>32</v>
      </c>
      <c r="D19" s="7" t="s">
        <v>120</v>
      </c>
      <c r="E19" s="2">
        <v>1</v>
      </c>
      <c r="F19" s="2">
        <f>VLOOKUP(G19,平衡!C$3:F$15,4,FALSE)</f>
        <v>13</v>
      </c>
      <c r="G19" s="14" t="s">
        <v>78</v>
      </c>
      <c r="H19" s="14" t="str">
        <f t="shared" ca="1" si="8"/>
        <v>物理抗性</v>
      </c>
      <c r="I19" s="20">
        <f t="shared" ca="1" si="0"/>
        <v>8</v>
      </c>
      <c r="J19" s="20">
        <f t="shared" ca="1" si="1"/>
        <v>3.125</v>
      </c>
      <c r="K19" s="2">
        <f t="shared" ca="1" si="9"/>
        <v>5.6</v>
      </c>
      <c r="L19" s="2">
        <v>1.4</v>
      </c>
      <c r="M19" s="2">
        <f t="shared" ca="1" si="2"/>
        <v>0.625</v>
      </c>
      <c r="N19" s="2">
        <f t="shared" ca="1" si="3"/>
        <v>1.4</v>
      </c>
      <c r="O19" s="2">
        <f t="shared" ca="1" si="4"/>
        <v>2.5</v>
      </c>
      <c r="P19" s="2">
        <f t="shared" ca="1" si="5"/>
        <v>1.4</v>
      </c>
      <c r="Q19" s="2">
        <f t="shared" ca="1" si="6"/>
        <v>1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  <c r="Y19" s="2">
        <f t="shared" ca="1" si="10"/>
        <v>0.1</v>
      </c>
    </row>
    <row r="20" spans="2:25" x14ac:dyDescent="0.15">
      <c r="B20" s="2">
        <v>18</v>
      </c>
      <c r="C20" s="4" t="s">
        <v>33</v>
      </c>
      <c r="D20" s="4" t="s">
        <v>121</v>
      </c>
      <c r="E20" s="2">
        <v>1</v>
      </c>
      <c r="F20" s="2">
        <f>VLOOKUP(G20,平衡!C$3:F$15,4,FALSE)</f>
        <v>4</v>
      </c>
      <c r="G20" s="2" t="s">
        <v>70</v>
      </c>
      <c r="H20" s="14" t="str">
        <f t="shared" ca="1" si="8"/>
        <v>黑暗抗性</v>
      </c>
      <c r="I20" s="20">
        <f t="shared" ca="1" si="0"/>
        <v>5.75</v>
      </c>
      <c r="J20" s="20">
        <f t="shared" ca="1" si="1"/>
        <v>4.3478260869565197</v>
      </c>
      <c r="K20" s="2">
        <f t="shared" ca="1" si="9"/>
        <v>4.1399999999999997</v>
      </c>
      <c r="L20" s="2">
        <v>1.2</v>
      </c>
      <c r="M20" s="2">
        <f t="shared" ca="1" si="2"/>
        <v>3.0434782608695636</v>
      </c>
      <c r="N20" s="2">
        <f t="shared" ca="1" si="3"/>
        <v>1</v>
      </c>
      <c r="O20" s="2">
        <f t="shared" ca="1" si="4"/>
        <v>1.3043478260869559</v>
      </c>
      <c r="P20" s="2">
        <f t="shared" ca="1" si="5"/>
        <v>1.2</v>
      </c>
      <c r="Q20" s="2">
        <f t="shared" ca="1" si="6"/>
        <v>0.93333333333333346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  <c r="Y20" s="2">
        <f t="shared" ca="1" si="10"/>
        <v>0.1</v>
      </c>
    </row>
    <row r="21" spans="2:25" x14ac:dyDescent="0.15">
      <c r="B21" s="2">
        <v>19</v>
      </c>
      <c r="C21" s="7" t="s">
        <v>35</v>
      </c>
      <c r="D21" s="7" t="s">
        <v>21</v>
      </c>
      <c r="E21" s="2">
        <v>1</v>
      </c>
      <c r="F21" s="2">
        <f>VLOOKUP(G21,平衡!C$3:F$15,4,FALSE)</f>
        <v>3</v>
      </c>
      <c r="G21" s="2" t="s">
        <v>69</v>
      </c>
      <c r="H21" s="14" t="str">
        <f t="shared" ca="1" si="8"/>
        <v>地脉抗性</v>
      </c>
      <c r="I21" s="20">
        <f t="shared" ca="1" si="0"/>
        <v>5.5</v>
      </c>
      <c r="J21" s="20">
        <f t="shared" ca="1" si="1"/>
        <v>4.545454545454545</v>
      </c>
      <c r="K21" s="2">
        <f t="shared" ca="1" si="9"/>
        <v>4.6749999999999998</v>
      </c>
      <c r="L21" s="2">
        <v>1.2</v>
      </c>
      <c r="M21" s="2">
        <f t="shared" ca="1" si="2"/>
        <v>3.6363636363636362</v>
      </c>
      <c r="N21" s="2">
        <f t="shared" ca="1" si="3"/>
        <v>1.3</v>
      </c>
      <c r="O21" s="2">
        <f t="shared" ca="1" si="4"/>
        <v>0.90909090909090906</v>
      </c>
      <c r="P21" s="2">
        <f t="shared" ca="1" si="5"/>
        <v>0.9</v>
      </c>
      <c r="Q21" s="2">
        <f t="shared" ca="1" si="6"/>
        <v>0.5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  <c r="Y21" s="2">
        <f t="shared" ca="1" si="10"/>
        <v>0.1</v>
      </c>
    </row>
    <row r="22" spans="2:25" x14ac:dyDescent="0.15">
      <c r="B22" s="2">
        <v>20</v>
      </c>
      <c r="C22" s="4" t="s">
        <v>36</v>
      </c>
      <c r="D22" s="4" t="s">
        <v>122</v>
      </c>
      <c r="E22" s="2">
        <v>1</v>
      </c>
      <c r="F22" s="2">
        <f>VLOOKUP(G22,平衡!C$3:F$15,4,FALSE)</f>
        <v>7</v>
      </c>
      <c r="G22" s="2" t="s">
        <v>65</v>
      </c>
      <c r="H22" s="14" t="str">
        <f t="shared" ca="1" si="8"/>
        <v>电击抗性</v>
      </c>
      <c r="I22" s="20">
        <f t="shared" ca="1" si="0"/>
        <v>6.5</v>
      </c>
      <c r="J22" s="20">
        <f t="shared" ca="1" si="1"/>
        <v>3.8461538461538449</v>
      </c>
      <c r="K22" s="2">
        <f t="shared" ca="1" si="9"/>
        <v>5.33</v>
      </c>
      <c r="L22" s="2">
        <v>1.4</v>
      </c>
      <c r="M22" s="2">
        <f t="shared" ca="1" si="2"/>
        <v>1.5384615384615381</v>
      </c>
      <c r="N22" s="2">
        <f t="shared" ca="1" si="3"/>
        <v>0.8</v>
      </c>
      <c r="O22" s="2">
        <f t="shared" ca="1" si="4"/>
        <v>2.307692307692307</v>
      </c>
      <c r="P22" s="2">
        <f t="shared" ca="1" si="5"/>
        <v>1</v>
      </c>
      <c r="Q22" s="2">
        <f t="shared" ca="1" si="6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  <c r="Y22" s="2">
        <f t="shared" ca="1" si="10"/>
        <v>0.15</v>
      </c>
    </row>
    <row r="23" spans="2:25" x14ac:dyDescent="0.15">
      <c r="B23" s="2">
        <v>21</v>
      </c>
      <c r="C23" s="7" t="s">
        <v>37</v>
      </c>
      <c r="D23" s="7" t="s">
        <v>123</v>
      </c>
      <c r="E23" s="2">
        <v>1</v>
      </c>
      <c r="F23" s="2">
        <f>VLOOKUP(G23,平衡!C$3:F$15,4,FALSE)</f>
        <v>9</v>
      </c>
      <c r="G23" s="2" t="s">
        <v>71</v>
      </c>
      <c r="H23" s="14" t="str">
        <f t="shared" ca="1" si="8"/>
        <v>冷却抗性</v>
      </c>
      <c r="I23" s="20">
        <f t="shared" ca="1" si="0"/>
        <v>7</v>
      </c>
      <c r="J23" s="20">
        <f t="shared" ca="1" si="1"/>
        <v>3.5714285714285698</v>
      </c>
      <c r="K23" s="2">
        <f t="shared" ca="1" si="9"/>
        <v>4.83</v>
      </c>
      <c r="L23" s="2">
        <v>1.2</v>
      </c>
      <c r="M23" s="2">
        <f t="shared" ca="1" si="2"/>
        <v>2.8571428571428559</v>
      </c>
      <c r="N23" s="2">
        <f t="shared" ca="1" si="3"/>
        <v>1.3</v>
      </c>
      <c r="O23" s="2">
        <f t="shared" ca="1" si="4"/>
        <v>0.71428571428571397</v>
      </c>
      <c r="P23" s="2">
        <f t="shared" ca="1" si="5"/>
        <v>1.1000000000000001</v>
      </c>
      <c r="Q23" s="2">
        <f t="shared" ca="1" si="6"/>
        <v>1.0333333333333334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  <c r="Y23" s="2">
        <f t="shared" ca="1" si="10"/>
        <v>0.1</v>
      </c>
    </row>
    <row r="24" spans="2:25" x14ac:dyDescent="0.15">
      <c r="B24" s="2">
        <v>22</v>
      </c>
      <c r="C24" s="4" t="s">
        <v>38</v>
      </c>
      <c r="D24" s="4" t="s">
        <v>39</v>
      </c>
      <c r="E24" s="2">
        <v>1</v>
      </c>
      <c r="F24" s="2">
        <f>VLOOKUP(G24,平衡!C$3:F$15,4,FALSE)</f>
        <v>13</v>
      </c>
      <c r="G24" s="2" t="s">
        <v>68</v>
      </c>
      <c r="H24" s="14" t="str">
        <f t="shared" ca="1" si="8"/>
        <v>物理抗性</v>
      </c>
      <c r="I24" s="20">
        <f t="shared" ca="1" si="0"/>
        <v>8</v>
      </c>
      <c r="J24" s="20">
        <f t="shared" ca="1" si="1"/>
        <v>3.125</v>
      </c>
      <c r="K24" s="2">
        <f t="shared" ca="1" si="9"/>
        <v>5.6</v>
      </c>
      <c r="L24" s="2">
        <v>1.2</v>
      </c>
      <c r="M24" s="2">
        <f ca="1">mVlookup(G24,weaponCO,M$2,FALSE)*J24</f>
        <v>0.625</v>
      </c>
      <c r="N24" s="2">
        <f t="shared" ca="1" si="3"/>
        <v>1.4</v>
      </c>
      <c r="O24" s="2">
        <f t="shared" ca="1" si="4"/>
        <v>2.5</v>
      </c>
      <c r="P24" s="2">
        <f t="shared" ca="1" si="5"/>
        <v>1.4</v>
      </c>
      <c r="Q24" s="2">
        <f t="shared" ca="1" si="6"/>
        <v>1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  <c r="Y24" s="2">
        <f t="shared" ca="1" si="10"/>
        <v>0.1</v>
      </c>
    </row>
    <row r="25" spans="2:25" x14ac:dyDescent="0.15">
      <c r="B25" s="2">
        <v>23</v>
      </c>
      <c r="C25" s="7" t="s">
        <v>38</v>
      </c>
      <c r="D25" s="4" t="s">
        <v>39</v>
      </c>
      <c r="E25" s="2">
        <v>1</v>
      </c>
      <c r="F25" s="2">
        <f>VLOOKUP(G25,平衡!C$3:F$15,4,FALSE)</f>
        <v>13</v>
      </c>
      <c r="G25" s="2" t="s">
        <v>68</v>
      </c>
      <c r="H25" s="14" t="str">
        <f t="shared" ca="1" si="8"/>
        <v>物理抗性</v>
      </c>
      <c r="I25" s="20">
        <f t="shared" ca="1" si="0"/>
        <v>8</v>
      </c>
      <c r="J25" s="20">
        <f t="shared" ca="1" si="1"/>
        <v>3.125</v>
      </c>
      <c r="K25" s="2">
        <f t="shared" ca="1" si="9"/>
        <v>5.6</v>
      </c>
      <c r="L25" s="2">
        <v>1.2</v>
      </c>
      <c r="M25" s="2">
        <f t="shared" ca="1" si="2"/>
        <v>0.625</v>
      </c>
      <c r="N25" s="2">
        <f t="shared" ca="1" si="3"/>
        <v>1.4</v>
      </c>
      <c r="O25" s="2">
        <f t="shared" ca="1" si="4"/>
        <v>2.5</v>
      </c>
      <c r="P25" s="2">
        <f t="shared" ca="1" si="5"/>
        <v>1.4</v>
      </c>
      <c r="Q25" s="2">
        <f t="shared" ca="1" si="6"/>
        <v>1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  <c r="Y25" s="2">
        <f t="shared" ca="1" si="10"/>
        <v>0.1</v>
      </c>
    </row>
    <row r="26" spans="2:25" x14ac:dyDescent="0.15">
      <c r="B26" s="2">
        <v>24</v>
      </c>
      <c r="C26" s="4" t="s">
        <v>40</v>
      </c>
      <c r="D26" s="4" t="s">
        <v>41</v>
      </c>
      <c r="E26" s="2">
        <v>1</v>
      </c>
      <c r="F26" s="2">
        <f>VLOOKUP(G26,平衡!C$3:F$15,4,FALSE)</f>
        <v>6</v>
      </c>
      <c r="G26" s="2" t="s">
        <v>67</v>
      </c>
      <c r="H26" s="14" t="str">
        <f t="shared" ca="1" si="8"/>
        <v>电击抗性</v>
      </c>
      <c r="I26" s="20">
        <f t="shared" ca="1" si="0"/>
        <v>6.25</v>
      </c>
      <c r="J26" s="20">
        <f t="shared" ca="1" si="1"/>
        <v>4</v>
      </c>
      <c r="K26" s="2">
        <f t="shared" ca="1" si="9"/>
        <v>5.5</v>
      </c>
      <c r="L26" s="2">
        <v>1.2</v>
      </c>
      <c r="M26" s="2">
        <f t="shared" ca="1" si="2"/>
        <v>0.8</v>
      </c>
      <c r="N26" s="2">
        <f t="shared" ca="1" si="3"/>
        <v>0.7</v>
      </c>
      <c r="O26" s="2">
        <f t="shared" ca="1" si="4"/>
        <v>3.2</v>
      </c>
      <c r="P26" s="2">
        <f t="shared" ca="1" si="5"/>
        <v>0.9</v>
      </c>
      <c r="Q26" s="2">
        <f t="shared" ca="1" si="6"/>
        <v>0.4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  <c r="Y26" s="2">
        <f t="shared" ca="1" si="10"/>
        <v>0.15</v>
      </c>
    </row>
    <row r="27" spans="2:25" x14ac:dyDescent="0.15">
      <c r="B27" s="2">
        <v>25</v>
      </c>
      <c r="C27" s="7" t="s">
        <v>42</v>
      </c>
      <c r="D27" s="7" t="s">
        <v>124</v>
      </c>
      <c r="E27" s="2">
        <v>1</v>
      </c>
      <c r="F27" s="2">
        <f>VLOOKUP(G27,平衡!C$3:F$15,4,FALSE)</f>
        <v>6</v>
      </c>
      <c r="G27" s="2" t="s">
        <v>67</v>
      </c>
      <c r="H27" s="14" t="str">
        <f t="shared" ca="1" si="8"/>
        <v>电击抗性</v>
      </c>
      <c r="I27" s="20">
        <f t="shared" ca="1" si="0"/>
        <v>6.25</v>
      </c>
      <c r="J27" s="20">
        <f t="shared" ca="1" si="1"/>
        <v>4</v>
      </c>
      <c r="K27" s="2">
        <f t="shared" ca="1" si="9"/>
        <v>5.5</v>
      </c>
      <c r="L27" s="2">
        <v>1.5</v>
      </c>
      <c r="M27" s="2">
        <f t="shared" ca="1" si="2"/>
        <v>0.8</v>
      </c>
      <c r="N27" s="2">
        <f t="shared" ca="1" si="3"/>
        <v>0.7</v>
      </c>
      <c r="O27" s="2">
        <f t="shared" ca="1" si="4"/>
        <v>3.2</v>
      </c>
      <c r="P27" s="2">
        <f t="shared" ca="1" si="5"/>
        <v>0.9</v>
      </c>
      <c r="Q27" s="2">
        <f t="shared" ca="1" si="6"/>
        <v>0.4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  <c r="Y27" s="2">
        <f t="shared" ca="1" si="10"/>
        <v>0.15</v>
      </c>
    </row>
    <row r="28" spans="2:25" x14ac:dyDescent="0.15">
      <c r="B28" s="2">
        <v>26</v>
      </c>
      <c r="C28" s="4" t="s">
        <v>43</v>
      </c>
      <c r="D28" s="4" t="s">
        <v>39</v>
      </c>
      <c r="E28" s="2">
        <v>1</v>
      </c>
      <c r="F28" s="2">
        <f>VLOOKUP(G28,平衡!C$3:F$15,4,FALSE)</f>
        <v>13</v>
      </c>
      <c r="G28" s="2" t="s">
        <v>68</v>
      </c>
      <c r="H28" s="14" t="str">
        <f t="shared" ca="1" si="8"/>
        <v>物理抗性</v>
      </c>
      <c r="I28" s="20">
        <f t="shared" ca="1" si="0"/>
        <v>8</v>
      </c>
      <c r="J28" s="20">
        <f t="shared" ca="1" si="1"/>
        <v>3.125</v>
      </c>
      <c r="K28" s="2">
        <f t="shared" ca="1" si="9"/>
        <v>5.6</v>
      </c>
      <c r="L28" s="2">
        <v>1.2</v>
      </c>
      <c r="M28" s="2">
        <f t="shared" ca="1" si="2"/>
        <v>0.625</v>
      </c>
      <c r="N28" s="2">
        <f t="shared" ca="1" si="3"/>
        <v>1.4</v>
      </c>
      <c r="O28" s="2">
        <f t="shared" ca="1" si="4"/>
        <v>2.5</v>
      </c>
      <c r="P28" s="2">
        <f t="shared" ca="1" si="5"/>
        <v>1.4</v>
      </c>
      <c r="Q28" s="2">
        <f t="shared" ca="1" si="6"/>
        <v>1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  <c r="Y28" s="2">
        <f t="shared" ca="1" si="10"/>
        <v>0.1</v>
      </c>
    </row>
    <row r="29" spans="2:25" x14ac:dyDescent="0.15">
      <c r="B29" s="2">
        <v>27</v>
      </c>
      <c r="C29" s="7" t="s">
        <v>44</v>
      </c>
      <c r="D29" s="4" t="s">
        <v>125</v>
      </c>
      <c r="E29" s="2">
        <v>1</v>
      </c>
      <c r="F29" s="2">
        <f>VLOOKUP(G29,平衡!C$3:F$15,4,FALSE)</f>
        <v>13</v>
      </c>
      <c r="G29" s="2" t="s">
        <v>68</v>
      </c>
      <c r="H29" s="14" t="str">
        <f t="shared" ca="1" si="8"/>
        <v>物理抗性</v>
      </c>
      <c r="I29" s="20">
        <f t="shared" ca="1" si="0"/>
        <v>8</v>
      </c>
      <c r="J29" s="20">
        <f t="shared" ca="1" si="1"/>
        <v>3.125</v>
      </c>
      <c r="K29" s="2">
        <f t="shared" ca="1" si="9"/>
        <v>5.6</v>
      </c>
      <c r="L29" s="2">
        <v>1.2</v>
      </c>
      <c r="M29" s="2">
        <f t="shared" ca="1" si="2"/>
        <v>0.625</v>
      </c>
      <c r="N29" s="2">
        <f t="shared" ca="1" si="3"/>
        <v>1.4</v>
      </c>
      <c r="O29" s="2">
        <f t="shared" ca="1" si="4"/>
        <v>2.5</v>
      </c>
      <c r="P29" s="2">
        <f t="shared" ca="1" si="5"/>
        <v>1.4</v>
      </c>
      <c r="Q29" s="2">
        <f t="shared" ca="1" si="6"/>
        <v>1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  <c r="Y29" s="2">
        <f t="shared" ca="1" si="10"/>
        <v>0.1</v>
      </c>
    </row>
    <row r="30" spans="2:25" x14ac:dyDescent="0.15">
      <c r="B30" s="2">
        <v>28</v>
      </c>
      <c r="C30" s="4" t="s">
        <v>45</v>
      </c>
      <c r="D30" s="4" t="s">
        <v>31</v>
      </c>
      <c r="E30" s="2">
        <v>1</v>
      </c>
      <c r="F30" s="2">
        <f>VLOOKUP(G30,平衡!C$3:F$15,4,FALSE)</f>
        <v>7</v>
      </c>
      <c r="G30" s="2" t="s">
        <v>65</v>
      </c>
      <c r="H30" s="14" t="str">
        <f t="shared" ca="1" si="8"/>
        <v>电击抗性</v>
      </c>
      <c r="I30" s="20">
        <f t="shared" ca="1" si="0"/>
        <v>6.5</v>
      </c>
      <c r="J30" s="20">
        <f t="shared" ca="1" si="1"/>
        <v>3.8461538461538449</v>
      </c>
      <c r="K30" s="2">
        <f t="shared" ca="1" si="9"/>
        <v>5.33</v>
      </c>
      <c r="L30" s="2">
        <v>1.4</v>
      </c>
      <c r="M30" s="2">
        <f t="shared" ca="1" si="2"/>
        <v>1.5384615384615381</v>
      </c>
      <c r="N30" s="2">
        <f t="shared" ca="1" si="3"/>
        <v>0.8</v>
      </c>
      <c r="O30" s="2">
        <f t="shared" ca="1" si="4"/>
        <v>2.307692307692307</v>
      </c>
      <c r="P30" s="2">
        <f t="shared" ca="1" si="5"/>
        <v>1</v>
      </c>
      <c r="Q30" s="2">
        <f t="shared" ca="1" si="6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  <c r="Y30" s="2">
        <f t="shared" ca="1" si="10"/>
        <v>0.15</v>
      </c>
    </row>
    <row r="31" spans="2:25" x14ac:dyDescent="0.15">
      <c r="B31" s="2">
        <v>29</v>
      </c>
      <c r="C31" s="7" t="s">
        <v>46</v>
      </c>
      <c r="D31" s="7" t="s">
        <v>21</v>
      </c>
      <c r="E31" s="2">
        <v>1</v>
      </c>
      <c r="F31" s="2">
        <f>VLOOKUP(G31,平衡!C$3:F$15,4,FALSE)</f>
        <v>3</v>
      </c>
      <c r="G31" s="2" t="s">
        <v>69</v>
      </c>
      <c r="H31" s="14" t="str">
        <f t="shared" ca="1" si="8"/>
        <v>地脉抗性</v>
      </c>
      <c r="I31" s="20">
        <f t="shared" ca="1" si="0"/>
        <v>5.5</v>
      </c>
      <c r="J31" s="20">
        <f t="shared" ca="1" si="1"/>
        <v>4.545454545454545</v>
      </c>
      <c r="K31" s="2">
        <f t="shared" ca="1" si="9"/>
        <v>4.6749999999999998</v>
      </c>
      <c r="L31" s="2">
        <v>1.2</v>
      </c>
      <c r="M31" s="2">
        <f t="shared" ca="1" si="2"/>
        <v>3.6363636363636362</v>
      </c>
      <c r="N31" s="2">
        <f t="shared" ca="1" si="3"/>
        <v>1.3</v>
      </c>
      <c r="O31" s="2">
        <f t="shared" ca="1" si="4"/>
        <v>0.90909090909090906</v>
      </c>
      <c r="P31" s="2">
        <f t="shared" ca="1" si="5"/>
        <v>0.9</v>
      </c>
      <c r="Q31" s="2">
        <f t="shared" ca="1" si="6"/>
        <v>0.5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  <c r="Y31" s="2">
        <f t="shared" ca="1" si="10"/>
        <v>0.1</v>
      </c>
    </row>
    <row r="32" spans="2:25" x14ac:dyDescent="0.15">
      <c r="B32" s="2">
        <v>30</v>
      </c>
      <c r="C32" s="4" t="s">
        <v>47</v>
      </c>
      <c r="D32" s="4" t="s">
        <v>115</v>
      </c>
      <c r="E32" s="2">
        <v>1</v>
      </c>
      <c r="F32" s="2">
        <f>VLOOKUP(G32,平衡!C$3:F$15,4,FALSE)</f>
        <v>11</v>
      </c>
      <c r="G32" s="2" t="s">
        <v>66</v>
      </c>
      <c r="H32" s="14" t="str">
        <f t="shared" ca="1" si="8"/>
        <v>地脉抗性</v>
      </c>
      <c r="I32" s="20">
        <f t="shared" ca="1" si="0"/>
        <v>7.5</v>
      </c>
      <c r="J32" s="20">
        <f t="shared" ca="1" si="1"/>
        <v>3.3333333333333348</v>
      </c>
      <c r="K32" s="2">
        <f t="shared" ca="1" si="9"/>
        <v>6.375</v>
      </c>
      <c r="L32" s="2">
        <v>0.84</v>
      </c>
      <c r="M32" s="2">
        <f t="shared" ca="1" si="2"/>
        <v>3.0000000000000013</v>
      </c>
      <c r="N32" s="2">
        <f t="shared" ca="1" si="3"/>
        <v>1.1000000000000001</v>
      </c>
      <c r="O32" s="2">
        <f t="shared" ca="1" si="4"/>
        <v>0.33333333333333348</v>
      </c>
      <c r="P32" s="2">
        <f t="shared" ca="1" si="5"/>
        <v>1.1000000000000001</v>
      </c>
      <c r="Q32" s="2">
        <f t="shared" ca="1" si="6"/>
        <v>0.5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  <c r="Y32" s="2">
        <f t="shared" ca="1" si="10"/>
        <v>0.1</v>
      </c>
    </row>
    <row r="33" spans="2:25" x14ac:dyDescent="0.15">
      <c r="B33" s="2">
        <v>31</v>
      </c>
      <c r="C33" s="7" t="s">
        <v>48</v>
      </c>
      <c r="D33" s="7" t="s">
        <v>10</v>
      </c>
      <c r="E33" s="2">
        <v>1</v>
      </c>
      <c r="F33" s="2">
        <f>VLOOKUP(G33,平衡!C$3:F$15,4,FALSE)</f>
        <v>11</v>
      </c>
      <c r="G33" s="2" t="s">
        <v>66</v>
      </c>
      <c r="H33" s="14" t="str">
        <f t="shared" ca="1" si="8"/>
        <v>地脉抗性</v>
      </c>
      <c r="I33" s="20">
        <f t="shared" ca="1" si="0"/>
        <v>7.5</v>
      </c>
      <c r="J33" s="20">
        <f t="shared" ca="1" si="1"/>
        <v>3.3333333333333348</v>
      </c>
      <c r="K33" s="2">
        <f t="shared" ca="1" si="9"/>
        <v>6.375</v>
      </c>
      <c r="L33" s="2">
        <v>0.84</v>
      </c>
      <c r="M33" s="2">
        <f t="shared" ca="1" si="2"/>
        <v>3.0000000000000013</v>
      </c>
      <c r="N33" s="2">
        <f t="shared" ca="1" si="3"/>
        <v>1.1000000000000001</v>
      </c>
      <c r="O33" s="2">
        <f t="shared" ca="1" si="4"/>
        <v>0.33333333333333348</v>
      </c>
      <c r="P33" s="2">
        <f t="shared" ca="1" si="5"/>
        <v>1.1000000000000001</v>
      </c>
      <c r="Q33" s="2">
        <f t="shared" ca="1" si="6"/>
        <v>0.5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  <c r="Y33" s="2">
        <f t="shared" ca="1" si="10"/>
        <v>0.1</v>
      </c>
    </row>
    <row r="34" spans="2:25" x14ac:dyDescent="0.15">
      <c r="B34" s="2">
        <v>32</v>
      </c>
      <c r="C34" s="2" t="s">
        <v>9</v>
      </c>
      <c r="D34" s="2" t="s">
        <v>21</v>
      </c>
      <c r="E34" s="2">
        <v>1.5</v>
      </c>
      <c r="F34" s="2">
        <f>VLOOKUP(G34,平衡!C$3:F$15,4,FALSE)</f>
        <v>3</v>
      </c>
      <c r="G34" s="2" t="s">
        <v>69</v>
      </c>
      <c r="H34" s="14" t="str">
        <f t="shared" ca="1" si="8"/>
        <v>地脉抗性</v>
      </c>
      <c r="I34" s="20">
        <f t="shared" ca="1" si="0"/>
        <v>8.25</v>
      </c>
      <c r="J34" s="20">
        <f t="shared" ca="1" si="1"/>
        <v>6.8181818181818175</v>
      </c>
      <c r="K34" s="2">
        <f t="shared" ca="1" si="9"/>
        <v>7.0125000000000002</v>
      </c>
      <c r="L34" s="2">
        <v>1.7999999999999998</v>
      </c>
      <c r="M34" s="2">
        <f t="shared" ca="1" si="2"/>
        <v>5.4545454545454541</v>
      </c>
      <c r="N34" s="2">
        <f t="shared" ca="1" si="3"/>
        <v>1.3</v>
      </c>
      <c r="O34" s="2">
        <f t="shared" ca="1" si="4"/>
        <v>1.3636363636363635</v>
      </c>
      <c r="P34" s="2">
        <f t="shared" ca="1" si="5"/>
        <v>0.9</v>
      </c>
      <c r="Q34" s="2">
        <f t="shared" ca="1" si="6"/>
        <v>0.5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  <c r="Y34" s="2">
        <f t="shared" ca="1" si="10"/>
        <v>0.1</v>
      </c>
    </row>
    <row r="35" spans="2:25" x14ac:dyDescent="0.15">
      <c r="B35" s="2">
        <v>33</v>
      </c>
      <c r="C35" s="2" t="s">
        <v>11</v>
      </c>
      <c r="D35" s="2" t="s">
        <v>31</v>
      </c>
      <c r="E35" s="2">
        <v>1.5</v>
      </c>
      <c r="F35" s="2">
        <f>VLOOKUP(G35,平衡!C$3:F$15,4,FALSE)</f>
        <v>7</v>
      </c>
      <c r="G35" s="2" t="s">
        <v>65</v>
      </c>
      <c r="H35" s="14" t="str">
        <f t="shared" ca="1" si="8"/>
        <v>电击抗性</v>
      </c>
      <c r="I35" s="20">
        <f t="shared" ca="1" si="0"/>
        <v>9.75</v>
      </c>
      <c r="J35" s="20">
        <f t="shared" ca="1" si="1"/>
        <v>5.7692307692307674</v>
      </c>
      <c r="K35" s="2">
        <f t="shared" ca="1" si="9"/>
        <v>7.9949999999999992</v>
      </c>
      <c r="L35" s="2">
        <v>2.5499999999999998</v>
      </c>
      <c r="M35" s="2">
        <f t="shared" ca="1" si="2"/>
        <v>2.307692307692307</v>
      </c>
      <c r="N35" s="2">
        <f t="shared" ca="1" si="3"/>
        <v>0.8</v>
      </c>
      <c r="O35" s="2">
        <f t="shared" ca="1" si="4"/>
        <v>3.4615384615384603</v>
      </c>
      <c r="P35" s="2">
        <f t="shared" ca="1" si="5"/>
        <v>1</v>
      </c>
      <c r="Q35" s="2">
        <f t="shared" ca="1" si="6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  <c r="Y35" s="2">
        <f t="shared" ca="1" si="10"/>
        <v>0.15</v>
      </c>
    </row>
    <row r="36" spans="2:25" x14ac:dyDescent="0.15">
      <c r="B36" s="2">
        <v>34</v>
      </c>
      <c r="C36" s="2" t="s">
        <v>13</v>
      </c>
      <c r="D36" s="2" t="s">
        <v>34</v>
      </c>
      <c r="E36" s="2">
        <v>1.5</v>
      </c>
      <c r="F36" s="2">
        <f>VLOOKUP(G36,平衡!C$3:F$15,4,FALSE)</f>
        <v>4</v>
      </c>
      <c r="G36" s="2" t="s">
        <v>70</v>
      </c>
      <c r="H36" s="14" t="str">
        <f t="shared" ca="1" si="8"/>
        <v>黑暗抗性</v>
      </c>
      <c r="I36" s="20">
        <f t="shared" ca="1" si="0"/>
        <v>8.625</v>
      </c>
      <c r="J36" s="20">
        <f t="shared" ca="1" si="1"/>
        <v>6.5217391304347796</v>
      </c>
      <c r="K36" s="2">
        <f t="shared" ca="1" si="9"/>
        <v>6.21</v>
      </c>
      <c r="L36" s="2">
        <v>1.5</v>
      </c>
      <c r="M36" s="2">
        <f t="shared" ca="1" si="2"/>
        <v>4.565217391304345</v>
      </c>
      <c r="N36" s="2">
        <f t="shared" ca="1" si="3"/>
        <v>1</v>
      </c>
      <c r="O36" s="2">
        <f t="shared" ca="1" si="4"/>
        <v>1.9565217391304337</v>
      </c>
      <c r="P36" s="2">
        <f t="shared" ca="1" si="5"/>
        <v>1.2</v>
      </c>
      <c r="Q36" s="2">
        <f t="shared" ca="1" si="6"/>
        <v>0.93333333333333346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  <c r="Y36" s="2">
        <f t="shared" ca="1" si="10"/>
        <v>0.1</v>
      </c>
    </row>
    <row r="37" spans="2:25" x14ac:dyDescent="0.15">
      <c r="B37" s="2">
        <v>35</v>
      </c>
      <c r="C37" s="2" t="s">
        <v>49</v>
      </c>
      <c r="D37" s="2" t="s">
        <v>21</v>
      </c>
      <c r="E37" s="2">
        <v>1.5</v>
      </c>
      <c r="F37" s="2">
        <f>VLOOKUP(G37,平衡!C$3:F$15,4,FALSE)</f>
        <v>3</v>
      </c>
      <c r="G37" s="2" t="s">
        <v>69</v>
      </c>
      <c r="H37" s="14" t="str">
        <f t="shared" ca="1" si="8"/>
        <v>地脉抗性</v>
      </c>
      <c r="I37" s="20">
        <f t="shared" ca="1" si="0"/>
        <v>8.25</v>
      </c>
      <c r="J37" s="20">
        <f t="shared" ca="1" si="1"/>
        <v>6.8181818181818175</v>
      </c>
      <c r="K37" s="2">
        <f t="shared" ca="1" si="9"/>
        <v>7.0125000000000002</v>
      </c>
      <c r="L37" s="2">
        <v>1.7999999999999998</v>
      </c>
      <c r="M37" s="2">
        <f t="shared" ca="1" si="2"/>
        <v>5.4545454545454541</v>
      </c>
      <c r="N37" s="2">
        <f t="shared" ca="1" si="3"/>
        <v>1.3</v>
      </c>
      <c r="O37" s="2">
        <f t="shared" ca="1" si="4"/>
        <v>1.3636363636363635</v>
      </c>
      <c r="P37" s="2">
        <f t="shared" ca="1" si="5"/>
        <v>0.9</v>
      </c>
      <c r="Q37" s="2">
        <f t="shared" ca="1" si="6"/>
        <v>0.5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  <c r="Y37" s="2">
        <f t="shared" ca="1" si="10"/>
        <v>0.1</v>
      </c>
    </row>
    <row r="38" spans="2:25" x14ac:dyDescent="0.15">
      <c r="B38" s="2">
        <v>36</v>
      </c>
      <c r="C38" s="2" t="s">
        <v>50</v>
      </c>
      <c r="D38" s="2" t="s">
        <v>34</v>
      </c>
      <c r="E38" s="2">
        <v>1.5</v>
      </c>
      <c r="F38" s="2">
        <f>VLOOKUP(G38,平衡!C$3:F$15,4,FALSE)</f>
        <v>4</v>
      </c>
      <c r="G38" s="2" t="s">
        <v>70</v>
      </c>
      <c r="H38" s="14" t="str">
        <f t="shared" ca="1" si="8"/>
        <v>黑暗抗性</v>
      </c>
      <c r="I38" s="20">
        <f t="shared" ca="1" si="0"/>
        <v>8.625</v>
      </c>
      <c r="J38" s="20">
        <f t="shared" ca="1" si="1"/>
        <v>6.5217391304347796</v>
      </c>
      <c r="K38" s="2">
        <f t="shared" ca="1" si="9"/>
        <v>6.21</v>
      </c>
      <c r="L38" s="2">
        <v>1.7999999999999998</v>
      </c>
      <c r="M38" s="2">
        <f t="shared" ca="1" si="2"/>
        <v>4.565217391304345</v>
      </c>
      <c r="N38" s="2">
        <f t="shared" ca="1" si="3"/>
        <v>1</v>
      </c>
      <c r="O38" s="2">
        <f t="shared" ca="1" si="4"/>
        <v>1.9565217391304337</v>
      </c>
      <c r="P38" s="2">
        <f t="shared" ca="1" si="5"/>
        <v>1.2</v>
      </c>
      <c r="Q38" s="2">
        <f t="shared" ca="1" si="6"/>
        <v>0.93333333333333346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  <c r="Y38" s="2">
        <f t="shared" ca="1" si="10"/>
        <v>0.1</v>
      </c>
    </row>
    <row r="39" spans="2:25" x14ac:dyDescent="0.15">
      <c r="B39" s="2">
        <v>37</v>
      </c>
      <c r="C39" s="2" t="s">
        <v>51</v>
      </c>
      <c r="D39" s="2" t="s">
        <v>31</v>
      </c>
      <c r="E39" s="2">
        <v>1.5</v>
      </c>
      <c r="F39" s="2">
        <f>VLOOKUP(G39,平衡!C$3:F$15,4,FALSE)</f>
        <v>7</v>
      </c>
      <c r="G39" s="2" t="s">
        <v>65</v>
      </c>
      <c r="H39" s="14" t="str">
        <f t="shared" ca="1" si="8"/>
        <v>电击抗性</v>
      </c>
      <c r="I39" s="20">
        <f t="shared" ca="1" si="0"/>
        <v>9.75</v>
      </c>
      <c r="J39" s="20">
        <f t="shared" ca="1" si="1"/>
        <v>5.7692307692307674</v>
      </c>
      <c r="K39" s="2">
        <f t="shared" ca="1" si="9"/>
        <v>7.9949999999999992</v>
      </c>
      <c r="L39" s="2">
        <v>2.0999999999999996</v>
      </c>
      <c r="M39" s="2">
        <f t="shared" ca="1" si="2"/>
        <v>2.307692307692307</v>
      </c>
      <c r="N39" s="2">
        <f t="shared" ca="1" si="3"/>
        <v>0.8</v>
      </c>
      <c r="O39" s="2">
        <f t="shared" ca="1" si="4"/>
        <v>3.4615384615384603</v>
      </c>
      <c r="P39" s="2">
        <f t="shared" ca="1" si="5"/>
        <v>1</v>
      </c>
      <c r="Q39" s="2">
        <f t="shared" ca="1" si="6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  <c r="Y39" s="2">
        <f t="shared" ca="1" si="10"/>
        <v>0.15</v>
      </c>
    </row>
    <row r="40" spans="2:25" x14ac:dyDescent="0.15">
      <c r="B40" s="52">
        <v>38</v>
      </c>
      <c r="C40" s="52" t="s">
        <v>771</v>
      </c>
      <c r="D40" s="52" t="s">
        <v>772</v>
      </c>
      <c r="E40" s="52">
        <v>1.2</v>
      </c>
      <c r="F40">
        <v>7</v>
      </c>
      <c r="G40" s="52" t="s">
        <v>773</v>
      </c>
      <c r="H40" s="14" t="str">
        <f t="shared" ca="1" si="8"/>
        <v>地脉抗性</v>
      </c>
      <c r="I40" s="20">
        <f t="shared" ca="1" si="0"/>
        <v>7.8</v>
      </c>
      <c r="J40" s="20">
        <f t="shared" ca="1" si="1"/>
        <v>4.6153846153846141</v>
      </c>
      <c r="K40" s="2">
        <f t="shared" ca="1" si="9"/>
        <v>6.63</v>
      </c>
      <c r="L40" s="52">
        <v>1.5</v>
      </c>
      <c r="M40" s="2">
        <f t="shared" ca="1" si="2"/>
        <v>4.1538461538461524</v>
      </c>
      <c r="N40" s="2">
        <f t="shared" ca="1" si="3"/>
        <v>1.1000000000000001</v>
      </c>
      <c r="O40" s="2">
        <f t="shared" ca="1" si="4"/>
        <v>0.46153846153846145</v>
      </c>
      <c r="P40" s="2">
        <f t="shared" ca="1" si="5"/>
        <v>1.1000000000000001</v>
      </c>
      <c r="Q40" s="2">
        <f t="shared" ref="Q40" ca="1" si="11">mVlookup(G40,weaponCO,"闪避",FALSE)/0.3</f>
        <v>0.5</v>
      </c>
      <c r="R40" s="2">
        <v>2</v>
      </c>
      <c r="S40" s="2">
        <f t="shared" ca="1" si="10"/>
        <v>0.1</v>
      </c>
      <c r="T40" s="2">
        <f t="shared" ca="1" si="10"/>
        <v>0.15</v>
      </c>
      <c r="U40" s="2">
        <f t="shared" ca="1" si="10"/>
        <v>0.1</v>
      </c>
      <c r="V40" s="2">
        <f t="shared" ca="1" si="10"/>
        <v>0.1</v>
      </c>
      <c r="W40" s="2">
        <f t="shared" ca="1" si="10"/>
        <v>0.1</v>
      </c>
      <c r="X40" s="2">
        <f t="shared" ca="1" si="10"/>
        <v>0.1</v>
      </c>
      <c r="Y40" s="2">
        <f t="shared" ca="1" si="10"/>
        <v>0.1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H106"/>
  <sheetViews>
    <sheetView topLeftCell="A7" workbookViewId="0">
      <selection activeCell="G21" sqref="G21"/>
    </sheetView>
  </sheetViews>
  <sheetFormatPr defaultRowHeight="12.75" x14ac:dyDescent="0.15"/>
  <cols>
    <col min="1" max="16384" width="9" style="1"/>
  </cols>
  <sheetData>
    <row r="2" spans="1:29" x14ac:dyDescent="0.15">
      <c r="B2" s="15" t="s">
        <v>52</v>
      </c>
      <c r="C2" s="15" t="s">
        <v>441</v>
      </c>
      <c r="D2" s="15" t="s">
        <v>442</v>
      </c>
      <c r="E2" s="15" t="s">
        <v>443</v>
      </c>
    </row>
    <row r="3" spans="1:29" x14ac:dyDescent="0.15">
      <c r="B3" s="2">
        <v>1</v>
      </c>
      <c r="C3" s="2" t="s">
        <v>444</v>
      </c>
      <c r="D3" s="2" t="s">
        <v>445</v>
      </c>
      <c r="E3" s="2">
        <v>0.75</v>
      </c>
    </row>
    <row r="4" spans="1:29" x14ac:dyDescent="0.15">
      <c r="B4" s="2">
        <v>2</v>
      </c>
      <c r="C4" s="2" t="s">
        <v>446</v>
      </c>
      <c r="D4" s="2" t="s">
        <v>428</v>
      </c>
      <c r="E4" s="2">
        <v>0.875</v>
      </c>
    </row>
    <row r="5" spans="1:29" x14ac:dyDescent="0.15">
      <c r="B5" s="2">
        <v>3</v>
      </c>
      <c r="C5" s="2" t="s">
        <v>447</v>
      </c>
      <c r="D5" s="2" t="s">
        <v>448</v>
      </c>
      <c r="E5" s="2">
        <v>1</v>
      </c>
    </row>
    <row r="6" spans="1:29" x14ac:dyDescent="0.15">
      <c r="B6" s="2">
        <v>4</v>
      </c>
      <c r="C6" s="2" t="s">
        <v>449</v>
      </c>
      <c r="D6" s="2" t="s">
        <v>450</v>
      </c>
      <c r="E6" s="2">
        <v>1</v>
      </c>
    </row>
    <row r="8" spans="1:29" x14ac:dyDescent="0.15">
      <c r="B8" s="15" t="s">
        <v>86</v>
      </c>
      <c r="C8" s="15" t="s">
        <v>451</v>
      </c>
      <c r="D8" s="15" t="s">
        <v>452</v>
      </c>
      <c r="E8" s="15" t="s">
        <v>453</v>
      </c>
      <c r="F8" s="15" t="s">
        <v>429</v>
      </c>
      <c r="G8" s="15" t="s">
        <v>0</v>
      </c>
      <c r="H8" s="15" t="s">
        <v>435</v>
      </c>
      <c r="I8" s="15" t="s">
        <v>436</v>
      </c>
      <c r="J8" s="15" t="s">
        <v>454</v>
      </c>
      <c r="K8" s="15" t="s">
        <v>431</v>
      </c>
      <c r="L8" s="15" t="s">
        <v>455</v>
      </c>
      <c r="M8" s="15" t="s">
        <v>456</v>
      </c>
      <c r="N8" s="15" t="s">
        <v>457</v>
      </c>
      <c r="O8" s="15" t="s">
        <v>458</v>
      </c>
    </row>
    <row r="9" spans="1:29" x14ac:dyDescent="0.15">
      <c r="B9" s="2" t="s">
        <v>448</v>
      </c>
      <c r="C9" s="2" t="s">
        <v>432</v>
      </c>
      <c r="D9" s="2" t="s">
        <v>432</v>
      </c>
      <c r="E9" s="2" t="s">
        <v>432</v>
      </c>
      <c r="F9" s="2" t="s">
        <v>448</v>
      </c>
      <c r="G9" s="36">
        <f>1-L9</f>
        <v>0.8</v>
      </c>
      <c r="H9" s="33">
        <v>0.5</v>
      </c>
      <c r="I9" s="33">
        <v>1</v>
      </c>
      <c r="J9" s="33">
        <v>0.5</v>
      </c>
      <c r="K9" s="33">
        <v>1</v>
      </c>
      <c r="L9" s="25">
        <v>0.2</v>
      </c>
      <c r="M9" s="2">
        <v>2</v>
      </c>
      <c r="N9" s="2">
        <f>L9/0.3*2</f>
        <v>1.3333333333333335</v>
      </c>
      <c r="O9" s="2">
        <v>2</v>
      </c>
    </row>
    <row r="10" spans="1:29" x14ac:dyDescent="0.15">
      <c r="B10" s="43">
        <v>1</v>
      </c>
      <c r="C10" s="43" t="s">
        <v>87</v>
      </c>
      <c r="D10" s="43">
        <v>1</v>
      </c>
      <c r="E10" s="43">
        <f>AVERAGE(平衡!D$3:D$15)*$D10</f>
        <v>13</v>
      </c>
      <c r="F10" s="43">
        <f>AVERAGE(平衡!E$3:E$15)*$D10</f>
        <v>7.8577775121975106</v>
      </c>
      <c r="G10" s="43">
        <f t="shared" ref="G10:H12" si="0">E10*G$9</f>
        <v>10.4</v>
      </c>
      <c r="H10" s="43">
        <f t="shared" si="0"/>
        <v>3.9288887560987553</v>
      </c>
      <c r="I10" s="43">
        <v>7.5</v>
      </c>
      <c r="J10" s="43">
        <f>F10*J$9</f>
        <v>3.9288887560987553</v>
      </c>
      <c r="K10" s="43">
        <v>7.5</v>
      </c>
      <c r="L10" s="44">
        <v>0.2</v>
      </c>
      <c r="M10" s="43">
        <f>M$9*D10</f>
        <v>2</v>
      </c>
      <c r="N10" s="43">
        <f>L10/0.3*2</f>
        <v>1.3333333333333335</v>
      </c>
      <c r="O10" s="43">
        <v>2</v>
      </c>
    </row>
    <row r="11" spans="1:29" x14ac:dyDescent="0.15">
      <c r="B11" s="2">
        <v>2</v>
      </c>
      <c r="C11" s="2" t="s">
        <v>88</v>
      </c>
      <c r="D11" s="2">
        <v>1.2</v>
      </c>
      <c r="E11" s="2">
        <f>AVERAGE(平衡!D$3:D$15)*$D11</f>
        <v>15.6</v>
      </c>
      <c r="F11" s="2">
        <f>AVERAGE(平衡!E$3:E$15)*$D11</f>
        <v>9.4293330146370131</v>
      </c>
      <c r="G11" s="2">
        <f t="shared" si="0"/>
        <v>12.48</v>
      </c>
      <c r="H11" s="2">
        <f t="shared" si="0"/>
        <v>4.7146665073185066</v>
      </c>
      <c r="I11" s="2">
        <f>I$9*D11</f>
        <v>1.2</v>
      </c>
      <c r="J11" s="2">
        <f>F11*J$9</f>
        <v>4.7146665073185066</v>
      </c>
      <c r="K11" s="2">
        <f>D11*K$9</f>
        <v>1.2</v>
      </c>
      <c r="L11" s="25">
        <v>0.2</v>
      </c>
      <c r="M11" s="2">
        <f>M$9*D11</f>
        <v>2.4</v>
      </c>
      <c r="N11" s="2">
        <f>L11/0.3*2</f>
        <v>1.3333333333333335</v>
      </c>
      <c r="O11" s="2">
        <v>2</v>
      </c>
    </row>
    <row r="12" spans="1:29" x14ac:dyDescent="0.15">
      <c r="B12" s="2">
        <v>3</v>
      </c>
      <c r="C12" s="2" t="s">
        <v>89</v>
      </c>
      <c r="D12" s="2">
        <v>1.44</v>
      </c>
      <c r="E12" s="2">
        <f>AVERAGE(平衡!D$3:D$15)*$D12</f>
        <v>18.72</v>
      </c>
      <c r="F12" s="2">
        <f>AVERAGE(平衡!E$3:E$15)*$D12</f>
        <v>11.315199617564415</v>
      </c>
      <c r="G12" s="2">
        <f t="shared" si="0"/>
        <v>14.975999999999999</v>
      </c>
      <c r="H12" s="2">
        <f t="shared" si="0"/>
        <v>5.6575998087822077</v>
      </c>
      <c r="I12" s="2">
        <f>I$9*D12</f>
        <v>1.44</v>
      </c>
      <c r="J12" s="2">
        <f>F12*J$9</f>
        <v>5.6575998087822077</v>
      </c>
      <c r="K12" s="2">
        <f>D12*K$9</f>
        <v>1.44</v>
      </c>
      <c r="L12" s="25">
        <v>0.2</v>
      </c>
      <c r="M12" s="2">
        <f>M$9*D12</f>
        <v>2.88</v>
      </c>
      <c r="N12" s="2">
        <f>L12/0.3*2</f>
        <v>1.3333333333333335</v>
      </c>
      <c r="O12" s="2">
        <v>2</v>
      </c>
    </row>
    <row r="14" spans="1:29" x14ac:dyDescent="0.15">
      <c r="B14" s="24" t="s">
        <v>62</v>
      </c>
      <c r="C14" s="24" t="s">
        <v>433</v>
      </c>
      <c r="D14" s="24" t="s">
        <v>434</v>
      </c>
      <c r="E14" s="24" t="s">
        <v>459</v>
      </c>
      <c r="F14" s="24" t="s">
        <v>429</v>
      </c>
      <c r="G14" s="15" t="s">
        <v>0</v>
      </c>
      <c r="H14" s="15" t="s">
        <v>460</v>
      </c>
      <c r="I14" s="15" t="s">
        <v>436</v>
      </c>
      <c r="J14" s="15" t="s">
        <v>430</v>
      </c>
      <c r="K14" s="37" t="s">
        <v>461</v>
      </c>
      <c r="L14" s="37" t="s">
        <v>456</v>
      </c>
      <c r="M14" s="37" t="s">
        <v>457</v>
      </c>
      <c r="N14" s="37" t="s">
        <v>462</v>
      </c>
      <c r="O14" s="37" t="s">
        <v>463</v>
      </c>
      <c r="P14" s="37" t="s">
        <v>464</v>
      </c>
      <c r="Q14" s="37" t="s">
        <v>465</v>
      </c>
      <c r="R14" s="37" t="s">
        <v>466</v>
      </c>
      <c r="S14" s="37" t="s">
        <v>467</v>
      </c>
      <c r="T14" s="37" t="s">
        <v>468</v>
      </c>
      <c r="U14" s="37" t="s">
        <v>469</v>
      </c>
      <c r="V14" s="37" t="s">
        <v>470</v>
      </c>
      <c r="W14" s="37" t="s">
        <v>437</v>
      </c>
      <c r="X14" s="37" t="s">
        <v>471</v>
      </c>
      <c r="Y14" s="37" t="s">
        <v>472</v>
      </c>
      <c r="Z14" s="37" t="s">
        <v>473</v>
      </c>
      <c r="AA14" s="37" t="s">
        <v>474</v>
      </c>
      <c r="AB14" s="37" t="s">
        <v>475</v>
      </c>
    </row>
    <row r="15" spans="1:29" x14ac:dyDescent="0.15">
      <c r="A15" s="1" t="str">
        <f ca="1">IF(H15&gt;=J15,"物理","魔法")</f>
        <v>物理</v>
      </c>
      <c r="B15" s="2">
        <v>1</v>
      </c>
      <c r="C15" s="2" t="s">
        <v>438</v>
      </c>
      <c r="D15" s="35" t="s">
        <v>476</v>
      </c>
      <c r="E15" s="53" t="str">
        <f t="shared" ref="E15:E27" ca="1" si="1">mVlookup(C15,baseBalance2,E$14,FALSE)</f>
        <v>15.5</v>
      </c>
      <c r="F15" s="53" t="str">
        <f t="shared" ref="F15:F27" ca="1" si="2">MID(mVlookup(C15,baseBalance2,F$14,FALSE),1,5)</f>
        <v>6.451</v>
      </c>
      <c r="G15" s="38">
        <f t="shared" ref="G15:G27" ca="1" si="3">mVlookup(C15,weaponCO,G$14,FALSE)*E15</f>
        <v>13.950000000000001</v>
      </c>
      <c r="H15" s="2">
        <f t="shared" ref="H15:H27" ca="1" si="4">mVlookup(C15,weaponCO,H$14,FALSE)*F15</f>
        <v>3.2254999999999998</v>
      </c>
      <c r="I15" s="2">
        <f t="shared" ref="I15:I27" ca="1" si="5">mVlookup(C15,weaponCO,I$14,FALSE)*7.5</f>
        <v>7.5</v>
      </c>
      <c r="J15" s="2">
        <f t="shared" ref="J15:J27" ca="1" si="6">mVlookup(C15,weaponCO,J$14,FALSE)*F15</f>
        <v>3.2254999999999998</v>
      </c>
      <c r="K15" s="35">
        <f t="shared" ref="K15:K27" ca="1" si="7">mVlookup(C15,weaponCO,K$14,FALSE)*7.5</f>
        <v>7.5</v>
      </c>
      <c r="L15" s="35">
        <f t="shared" ref="L15:L27" ca="1" si="8">mVlookup(C15,weaponCO,L$14,FALSE)*2</f>
        <v>2</v>
      </c>
      <c r="M15" s="35">
        <f t="shared" ref="M15:M27" ca="1" si="9">mVlookup(C15,weaponCO,"闪避",FALSE)/0.3*2</f>
        <v>0.66666666666666674</v>
      </c>
      <c r="N15" s="35">
        <v>2</v>
      </c>
      <c r="O15" s="46">
        <f t="shared" ref="O15:O27" ca="1" si="10">IF(G15&gt;=G$10,G$10,G15)</f>
        <v>10.4</v>
      </c>
      <c r="P15" s="46">
        <f t="shared" ref="P15:P27" ca="1" si="11">IF(H15&gt;=H$10,H$10,H15)</f>
        <v>3.2254999999999998</v>
      </c>
      <c r="Q15" s="46">
        <f t="shared" ref="Q15:Q27" ca="1" si="12">IF(I15&gt;=I$10,I$10,I15)</f>
        <v>7.5</v>
      </c>
      <c r="R15" s="46">
        <f t="shared" ref="R15:R27" ca="1" si="13">IF(J15&gt;=J$10,J$10,J15)</f>
        <v>3.2254999999999998</v>
      </c>
      <c r="S15" s="46">
        <f t="shared" ref="S15:S27" ca="1" si="14">IF(K15&gt;=K$10,K$10,K15)</f>
        <v>7.5</v>
      </c>
      <c r="T15" s="46">
        <f t="shared" ref="T15:T27" ca="1" si="15">IF(L15&gt;=M$10,M$10,L15)</f>
        <v>2</v>
      </c>
      <c r="U15" s="46">
        <f t="shared" ref="U15:U27" ca="1" si="16">IF(M15&gt;=N$10,N$10,M15)</f>
        <v>0.66666666666666674</v>
      </c>
      <c r="V15" s="39">
        <f t="shared" ref="V15:V27" ca="1" si="17">IF(G15-O15&lt;=0,"",G15-O15)</f>
        <v>3.5500000000000007</v>
      </c>
      <c r="W15" s="39" t="str">
        <f t="shared" ref="W15:W27" ca="1" si="18">IF(H15-P15&lt;=0,"",H15-P15)</f>
        <v/>
      </c>
      <c r="X15" s="39" t="str">
        <f t="shared" ref="X15:X27" ca="1" si="19">IF(I15-Q15&lt;=0,"",I15-Q15)</f>
        <v/>
      </c>
      <c r="Y15" s="39" t="str">
        <f t="shared" ref="Y15:Y27" ca="1" si="20">IF(J15-R15&lt;=0,"",J15-R15)</f>
        <v/>
      </c>
      <c r="Z15" s="39" t="str">
        <f t="shared" ref="Z15:Z27" ca="1" si="21">IF(K15-S15&lt;=0,"",K15-S15)</f>
        <v/>
      </c>
      <c r="AA15" s="39" t="str">
        <f t="shared" ref="AA15:AA27" ca="1" si="22">IF(L15-T15&lt;=0,"",L15-T15)</f>
        <v/>
      </c>
      <c r="AB15" s="39" t="str">
        <f t="shared" ref="AB15:AB27" ca="1" si="23">IF(M15-U15&lt;=0,"",M15-U15)</f>
        <v/>
      </c>
      <c r="AC15" s="1">
        <f ca="1">COUNTIF(V15:AB15,"&gt;0")</f>
        <v>1</v>
      </c>
    </row>
    <row r="16" spans="1:29" x14ac:dyDescent="0.15">
      <c r="A16" s="1" t="str">
        <f t="shared" ref="A16:A27" ca="1" si="24">IF(H16&gt;=J16,"物理","魔法")</f>
        <v>物理</v>
      </c>
      <c r="B16" s="2">
        <v>2</v>
      </c>
      <c r="C16" s="2" t="s">
        <v>477</v>
      </c>
      <c r="D16" s="35" t="s">
        <v>478</v>
      </c>
      <c r="E16" s="53" t="str">
        <f t="shared" ca="1" si="1"/>
        <v>11</v>
      </c>
      <c r="F16" s="53" t="str">
        <f t="shared" ca="1" si="2"/>
        <v>9.090</v>
      </c>
      <c r="G16" s="38">
        <f t="shared" ca="1" si="3"/>
        <v>9.35</v>
      </c>
      <c r="H16" s="2">
        <f t="shared" ca="1" si="4"/>
        <v>7.2720000000000002</v>
      </c>
      <c r="I16" s="2">
        <f t="shared" ca="1" si="5"/>
        <v>9.75</v>
      </c>
      <c r="J16" s="2">
        <f t="shared" ca="1" si="6"/>
        <v>1.8180000000000001</v>
      </c>
      <c r="K16" s="35">
        <f t="shared" ca="1" si="7"/>
        <v>6.75</v>
      </c>
      <c r="L16" s="35">
        <f t="shared" ca="1" si="8"/>
        <v>1.8</v>
      </c>
      <c r="M16" s="35">
        <f t="shared" ca="1" si="9"/>
        <v>1</v>
      </c>
      <c r="N16" s="35">
        <v>2</v>
      </c>
      <c r="O16" s="46">
        <f t="shared" ca="1" si="10"/>
        <v>9.35</v>
      </c>
      <c r="P16" s="46">
        <f t="shared" ca="1" si="11"/>
        <v>3.9288887560987553</v>
      </c>
      <c r="Q16" s="46">
        <f t="shared" ca="1" si="12"/>
        <v>7.5</v>
      </c>
      <c r="R16" s="46">
        <f t="shared" ca="1" si="13"/>
        <v>1.8180000000000001</v>
      </c>
      <c r="S16" s="46">
        <f t="shared" ca="1" si="14"/>
        <v>6.75</v>
      </c>
      <c r="T16" s="46">
        <f t="shared" ca="1" si="15"/>
        <v>1.8</v>
      </c>
      <c r="U16" s="46">
        <f t="shared" ca="1" si="16"/>
        <v>1</v>
      </c>
      <c r="V16" s="39" t="str">
        <f t="shared" ca="1" si="17"/>
        <v/>
      </c>
      <c r="W16" s="39">
        <f t="shared" ca="1" si="18"/>
        <v>3.3431112439012449</v>
      </c>
      <c r="X16" s="39">
        <f t="shared" ca="1" si="19"/>
        <v>2.25</v>
      </c>
      <c r="Y16" s="39" t="str">
        <f t="shared" ca="1" si="20"/>
        <v/>
      </c>
      <c r="Z16" s="39" t="str">
        <f t="shared" ca="1" si="21"/>
        <v/>
      </c>
      <c r="AA16" s="39" t="str">
        <f t="shared" ca="1" si="22"/>
        <v/>
      </c>
      <c r="AB16" s="39" t="str">
        <f t="shared" ca="1" si="23"/>
        <v/>
      </c>
      <c r="AC16" s="1">
        <f t="shared" ref="AC16:AC27" ca="1" si="25">COUNTIF(V16:AB16,"&gt;0")</f>
        <v>2</v>
      </c>
    </row>
    <row r="17" spans="1:34" x14ac:dyDescent="0.15">
      <c r="A17" s="1" t="str">
        <f t="shared" ca="1" si="24"/>
        <v>物理</v>
      </c>
      <c r="B17" s="2">
        <v>3</v>
      </c>
      <c r="C17" s="2" t="s">
        <v>479</v>
      </c>
      <c r="D17" s="35" t="s">
        <v>480</v>
      </c>
      <c r="E17" s="53" t="str">
        <f t="shared" ca="1" si="1"/>
        <v>14.5</v>
      </c>
      <c r="F17" s="53" t="str">
        <f t="shared" ca="1" si="2"/>
        <v>6.896</v>
      </c>
      <c r="G17" s="38">
        <f t="shared" ca="1" si="3"/>
        <v>10.875</v>
      </c>
      <c r="H17" s="2">
        <f t="shared" ca="1" si="4"/>
        <v>6.2064000000000004</v>
      </c>
      <c r="I17" s="2">
        <f t="shared" ca="1" si="5"/>
        <v>10.5</v>
      </c>
      <c r="J17" s="2">
        <f t="shared" ca="1" si="6"/>
        <v>0.68959999999999999</v>
      </c>
      <c r="K17" s="35">
        <f t="shared" ca="1" si="7"/>
        <v>7.5</v>
      </c>
      <c r="L17" s="35">
        <f t="shared" ca="1" si="8"/>
        <v>1.6</v>
      </c>
      <c r="M17" s="35">
        <f t="shared" ca="1" si="9"/>
        <v>1.6666666666666667</v>
      </c>
      <c r="N17" s="35">
        <v>2</v>
      </c>
      <c r="O17" s="46">
        <f t="shared" ca="1" si="10"/>
        <v>10.4</v>
      </c>
      <c r="P17" s="46">
        <f t="shared" ca="1" si="11"/>
        <v>3.9288887560987553</v>
      </c>
      <c r="Q17" s="46">
        <f t="shared" ca="1" si="12"/>
        <v>7.5</v>
      </c>
      <c r="R17" s="46">
        <f t="shared" ca="1" si="13"/>
        <v>0.68959999999999999</v>
      </c>
      <c r="S17" s="46">
        <f t="shared" ca="1" si="14"/>
        <v>7.5</v>
      </c>
      <c r="T17" s="46">
        <f t="shared" ca="1" si="15"/>
        <v>1.6</v>
      </c>
      <c r="U17" s="46">
        <f t="shared" ca="1" si="16"/>
        <v>1.3333333333333335</v>
      </c>
      <c r="V17" s="39">
        <f t="shared" ca="1" si="17"/>
        <v>0.47499999999999964</v>
      </c>
      <c r="W17" s="39">
        <f t="shared" ca="1" si="18"/>
        <v>2.277511243901245</v>
      </c>
      <c r="X17" s="39">
        <f t="shared" ca="1" si="19"/>
        <v>3</v>
      </c>
      <c r="Y17" s="39" t="str">
        <f t="shared" ca="1" si="20"/>
        <v/>
      </c>
      <c r="Z17" s="39" t="str">
        <f t="shared" ca="1" si="21"/>
        <v/>
      </c>
      <c r="AA17" s="39" t="str">
        <f t="shared" ca="1" si="22"/>
        <v/>
      </c>
      <c r="AB17" s="39">
        <f t="shared" ca="1" si="23"/>
        <v>0.33333333333333326</v>
      </c>
      <c r="AC17" s="1">
        <f t="shared" ca="1" si="25"/>
        <v>4</v>
      </c>
    </row>
    <row r="18" spans="1:34" x14ac:dyDescent="0.15">
      <c r="A18" s="1" t="str">
        <f t="shared" ca="1" si="24"/>
        <v>魔法</v>
      </c>
      <c r="B18" s="2">
        <v>4</v>
      </c>
      <c r="C18" s="2" t="s">
        <v>481</v>
      </c>
      <c r="D18" s="35" t="s">
        <v>482</v>
      </c>
      <c r="E18" s="53" t="str">
        <f t="shared" ca="1" si="1"/>
        <v>13</v>
      </c>
      <c r="F18" s="53" t="str">
        <f t="shared" ca="1" si="2"/>
        <v>7.692</v>
      </c>
      <c r="G18" s="38">
        <f t="shared" ca="1" si="3"/>
        <v>10.66</v>
      </c>
      <c r="H18" s="2">
        <f t="shared" ca="1" si="4"/>
        <v>3.0768000000000004</v>
      </c>
      <c r="I18" s="2">
        <f t="shared" ca="1" si="5"/>
        <v>6</v>
      </c>
      <c r="J18" s="2">
        <f t="shared" ca="1" si="6"/>
        <v>4.6151999999999997</v>
      </c>
      <c r="K18" s="35">
        <f t="shared" ca="1" si="7"/>
        <v>7.5</v>
      </c>
      <c r="L18" s="35">
        <f t="shared" ca="1" si="8"/>
        <v>2.2000000000000002</v>
      </c>
      <c r="M18" s="35">
        <f t="shared" ca="1" si="9"/>
        <v>1.2</v>
      </c>
      <c r="N18" s="35">
        <v>2</v>
      </c>
      <c r="O18" s="46">
        <f t="shared" ca="1" si="10"/>
        <v>10.4</v>
      </c>
      <c r="P18" s="46">
        <f t="shared" ca="1" si="11"/>
        <v>3.0768000000000004</v>
      </c>
      <c r="Q18" s="46">
        <f t="shared" ca="1" si="12"/>
        <v>6</v>
      </c>
      <c r="R18" s="46">
        <f t="shared" ca="1" si="13"/>
        <v>3.9288887560987553</v>
      </c>
      <c r="S18" s="46">
        <f t="shared" ca="1" si="14"/>
        <v>7.5</v>
      </c>
      <c r="T18" s="46">
        <f t="shared" ca="1" si="15"/>
        <v>2</v>
      </c>
      <c r="U18" s="46">
        <f t="shared" ca="1" si="16"/>
        <v>1.2</v>
      </c>
      <c r="V18" s="39">
        <f t="shared" ca="1" si="17"/>
        <v>0.25999999999999979</v>
      </c>
      <c r="W18" s="39" t="str">
        <f t="shared" ca="1" si="18"/>
        <v/>
      </c>
      <c r="X18" s="39" t="str">
        <f t="shared" ca="1" si="19"/>
        <v/>
      </c>
      <c r="Y18" s="39">
        <f t="shared" ca="1" si="20"/>
        <v>0.68631124390124443</v>
      </c>
      <c r="Z18" s="39" t="str">
        <f t="shared" ca="1" si="21"/>
        <v/>
      </c>
      <c r="AA18" s="39">
        <f t="shared" ca="1" si="22"/>
        <v>0.20000000000000018</v>
      </c>
      <c r="AB18" s="39" t="str">
        <f t="shared" ca="1" si="23"/>
        <v/>
      </c>
      <c r="AC18" s="1">
        <f t="shared" ca="1" si="25"/>
        <v>3</v>
      </c>
    </row>
    <row r="19" spans="1:34" x14ac:dyDescent="0.15">
      <c r="A19" s="1" t="str">
        <f t="shared" ca="1" si="24"/>
        <v>物理</v>
      </c>
      <c r="B19" s="2">
        <v>5</v>
      </c>
      <c r="C19" s="2" t="s">
        <v>483</v>
      </c>
      <c r="D19" s="35" t="s">
        <v>484</v>
      </c>
      <c r="E19" s="53" t="str">
        <f t="shared" ca="1" si="1"/>
        <v>11.5</v>
      </c>
      <c r="F19" s="53" t="str">
        <f t="shared" ca="1" si="2"/>
        <v>8.695</v>
      </c>
      <c r="G19" s="38">
        <f t="shared" ca="1" si="3"/>
        <v>8.2799999999999994</v>
      </c>
      <c r="H19" s="2">
        <f t="shared" ca="1" si="4"/>
        <v>6.0865</v>
      </c>
      <c r="I19" s="2">
        <f t="shared" ca="1" si="5"/>
        <v>7.5</v>
      </c>
      <c r="J19" s="2">
        <f t="shared" ca="1" si="6"/>
        <v>2.6084999999999998</v>
      </c>
      <c r="K19" s="35">
        <f t="shared" ca="1" si="7"/>
        <v>9</v>
      </c>
      <c r="L19" s="35">
        <f t="shared" ca="1" si="8"/>
        <v>1.8</v>
      </c>
      <c r="M19" s="35">
        <f t="shared" ca="1" si="9"/>
        <v>1.8666666666666669</v>
      </c>
      <c r="N19" s="35">
        <v>2</v>
      </c>
      <c r="O19" s="46">
        <f t="shared" ca="1" si="10"/>
        <v>8.2799999999999994</v>
      </c>
      <c r="P19" s="46">
        <f t="shared" ca="1" si="11"/>
        <v>3.9288887560987553</v>
      </c>
      <c r="Q19" s="46">
        <f t="shared" ca="1" si="12"/>
        <v>7.5</v>
      </c>
      <c r="R19" s="46">
        <f t="shared" ca="1" si="13"/>
        <v>2.6084999999999998</v>
      </c>
      <c r="S19" s="46">
        <f t="shared" ca="1" si="14"/>
        <v>7.5</v>
      </c>
      <c r="T19" s="46">
        <f t="shared" ca="1" si="15"/>
        <v>1.8</v>
      </c>
      <c r="U19" s="46">
        <f t="shared" ca="1" si="16"/>
        <v>1.3333333333333335</v>
      </c>
      <c r="V19" s="39" t="str">
        <f t="shared" ca="1" si="17"/>
        <v/>
      </c>
      <c r="W19" s="39">
        <f t="shared" ca="1" si="18"/>
        <v>2.1576112439012447</v>
      </c>
      <c r="X19" s="39" t="str">
        <f t="shared" ca="1" si="19"/>
        <v/>
      </c>
      <c r="Y19" s="39" t="str">
        <f t="shared" ca="1" si="20"/>
        <v/>
      </c>
      <c r="Z19" s="39">
        <f t="shared" ca="1" si="21"/>
        <v>1.5</v>
      </c>
      <c r="AA19" s="39" t="str">
        <f t="shared" ca="1" si="22"/>
        <v/>
      </c>
      <c r="AB19" s="39">
        <f t="shared" ca="1" si="23"/>
        <v>0.53333333333333344</v>
      </c>
      <c r="AC19" s="1">
        <f t="shared" ca="1" si="25"/>
        <v>3</v>
      </c>
    </row>
    <row r="20" spans="1:34" x14ac:dyDescent="0.15">
      <c r="A20" s="1" t="str">
        <f t="shared" ca="1" si="24"/>
        <v>魔法</v>
      </c>
      <c r="B20" s="2">
        <v>6</v>
      </c>
      <c r="C20" s="2" t="s">
        <v>485</v>
      </c>
      <c r="D20" s="35" t="s">
        <v>439</v>
      </c>
      <c r="E20" s="53" t="str">
        <f t="shared" ca="1" si="1"/>
        <v>12.5</v>
      </c>
      <c r="F20" s="53" t="str">
        <f t="shared" ca="1" si="2"/>
        <v>8</v>
      </c>
      <c r="G20" s="38">
        <f t="shared" ca="1" si="3"/>
        <v>11</v>
      </c>
      <c r="H20" s="2">
        <f t="shared" ca="1" si="4"/>
        <v>1.6</v>
      </c>
      <c r="I20" s="2">
        <f t="shared" ca="1" si="5"/>
        <v>5.25</v>
      </c>
      <c r="J20" s="2">
        <f t="shared" ca="1" si="6"/>
        <v>6.4</v>
      </c>
      <c r="K20" s="35">
        <f t="shared" ca="1" si="7"/>
        <v>6.75</v>
      </c>
      <c r="L20" s="35">
        <f t="shared" ca="1" si="8"/>
        <v>2.4</v>
      </c>
      <c r="M20" s="35">
        <f t="shared" ca="1" si="9"/>
        <v>0.8</v>
      </c>
      <c r="N20" s="35">
        <v>2</v>
      </c>
      <c r="O20" s="46">
        <f t="shared" ca="1" si="10"/>
        <v>10.4</v>
      </c>
      <c r="P20" s="46">
        <f t="shared" ca="1" si="11"/>
        <v>1.6</v>
      </c>
      <c r="Q20" s="46">
        <f t="shared" ca="1" si="12"/>
        <v>5.25</v>
      </c>
      <c r="R20" s="46">
        <f t="shared" ca="1" si="13"/>
        <v>3.9288887560987553</v>
      </c>
      <c r="S20" s="46">
        <f t="shared" ca="1" si="14"/>
        <v>6.75</v>
      </c>
      <c r="T20" s="46">
        <f t="shared" ca="1" si="15"/>
        <v>2</v>
      </c>
      <c r="U20" s="46">
        <f t="shared" ca="1" si="16"/>
        <v>0.8</v>
      </c>
      <c r="V20" s="39">
        <f t="shared" ca="1" si="17"/>
        <v>0.59999999999999964</v>
      </c>
      <c r="W20" s="39" t="str">
        <f t="shared" ca="1" si="18"/>
        <v/>
      </c>
      <c r="X20" s="39" t="str">
        <f t="shared" ca="1" si="19"/>
        <v/>
      </c>
      <c r="Y20" s="39">
        <f t="shared" ca="1" si="20"/>
        <v>2.471111243901245</v>
      </c>
      <c r="Z20" s="39" t="str">
        <f t="shared" ca="1" si="21"/>
        <v/>
      </c>
      <c r="AA20" s="39">
        <f t="shared" ca="1" si="22"/>
        <v>0.39999999999999991</v>
      </c>
      <c r="AB20" s="39" t="str">
        <f t="shared" ca="1" si="23"/>
        <v/>
      </c>
      <c r="AC20" s="1">
        <f t="shared" ca="1" si="25"/>
        <v>3</v>
      </c>
    </row>
    <row r="21" spans="1:34" x14ac:dyDescent="0.15">
      <c r="A21" s="1" t="str">
        <f t="shared" ca="1" si="24"/>
        <v>物理</v>
      </c>
      <c r="B21" s="2">
        <v>7</v>
      </c>
      <c r="C21" s="2" t="s">
        <v>486</v>
      </c>
      <c r="D21" s="35" t="s">
        <v>440</v>
      </c>
      <c r="E21" s="53" t="str">
        <f t="shared" ca="1" si="1"/>
        <v>10</v>
      </c>
      <c r="F21" s="53" t="str">
        <f t="shared" ca="1" si="2"/>
        <v>10</v>
      </c>
      <c r="G21" s="38">
        <f t="shared" ca="1" si="3"/>
        <v>8.5</v>
      </c>
      <c r="H21" s="2">
        <f t="shared" ca="1" si="4"/>
        <v>9</v>
      </c>
      <c r="I21" s="2">
        <f t="shared" ca="1" si="5"/>
        <v>9</v>
      </c>
      <c r="J21" s="2">
        <f t="shared" ca="1" si="6"/>
        <v>1</v>
      </c>
      <c r="K21" s="35">
        <f t="shared" ca="1" si="7"/>
        <v>10.5</v>
      </c>
      <c r="L21" s="35">
        <f t="shared" ca="1" si="8"/>
        <v>1.4</v>
      </c>
      <c r="M21" s="35">
        <f t="shared" ca="1" si="9"/>
        <v>1</v>
      </c>
      <c r="N21" s="35">
        <v>2</v>
      </c>
      <c r="O21" s="46">
        <f t="shared" ca="1" si="10"/>
        <v>8.5</v>
      </c>
      <c r="P21" s="46">
        <f t="shared" ca="1" si="11"/>
        <v>3.9288887560987553</v>
      </c>
      <c r="Q21" s="46">
        <f t="shared" ca="1" si="12"/>
        <v>7.5</v>
      </c>
      <c r="R21" s="46">
        <f t="shared" ca="1" si="13"/>
        <v>1</v>
      </c>
      <c r="S21" s="46">
        <f t="shared" ca="1" si="14"/>
        <v>7.5</v>
      </c>
      <c r="T21" s="46">
        <f t="shared" ca="1" si="15"/>
        <v>1.4</v>
      </c>
      <c r="U21" s="46">
        <f t="shared" ca="1" si="16"/>
        <v>1</v>
      </c>
      <c r="V21" s="39" t="str">
        <f t="shared" ca="1" si="17"/>
        <v/>
      </c>
      <c r="W21" s="39">
        <f t="shared" ca="1" si="18"/>
        <v>5.0711112439012442</v>
      </c>
      <c r="X21" s="39">
        <f t="shared" ca="1" si="19"/>
        <v>1.5</v>
      </c>
      <c r="Y21" s="39" t="str">
        <f t="shared" ca="1" si="20"/>
        <v/>
      </c>
      <c r="Z21" s="39">
        <f t="shared" ca="1" si="21"/>
        <v>3</v>
      </c>
      <c r="AA21" s="39" t="str">
        <f t="shared" ca="1" si="22"/>
        <v/>
      </c>
      <c r="AB21" s="39" t="str">
        <f t="shared" ca="1" si="23"/>
        <v/>
      </c>
      <c r="AC21" s="1">
        <f t="shared" ca="1" si="25"/>
        <v>3</v>
      </c>
    </row>
    <row r="22" spans="1:34" x14ac:dyDescent="0.15">
      <c r="A22" s="1" t="str">
        <f t="shared" ca="1" si="24"/>
        <v>魔法</v>
      </c>
      <c r="B22" s="2">
        <v>8</v>
      </c>
      <c r="C22" s="2" t="s">
        <v>487</v>
      </c>
      <c r="D22" s="35" t="s">
        <v>488</v>
      </c>
      <c r="E22" s="53" t="str">
        <f t="shared" ca="1" si="1"/>
        <v>16</v>
      </c>
      <c r="F22" s="53" t="str">
        <f t="shared" ca="1" si="2"/>
        <v>6.25</v>
      </c>
      <c r="G22" s="38">
        <f t="shared" ca="1" si="3"/>
        <v>11.2</v>
      </c>
      <c r="H22" s="2">
        <f t="shared" ca="1" si="4"/>
        <v>1.25</v>
      </c>
      <c r="I22" s="2">
        <f t="shared" ca="1" si="5"/>
        <v>10.5</v>
      </c>
      <c r="J22" s="2">
        <f t="shared" ca="1" si="6"/>
        <v>5</v>
      </c>
      <c r="K22" s="35">
        <f t="shared" ca="1" si="7"/>
        <v>10.5</v>
      </c>
      <c r="L22" s="35">
        <f t="shared" ca="1" si="8"/>
        <v>1.2</v>
      </c>
      <c r="M22" s="35">
        <f t="shared" ca="1" si="9"/>
        <v>2</v>
      </c>
      <c r="N22" s="35">
        <v>2</v>
      </c>
      <c r="O22" s="46">
        <f t="shared" ca="1" si="10"/>
        <v>10.4</v>
      </c>
      <c r="P22" s="46">
        <f t="shared" ca="1" si="11"/>
        <v>1.25</v>
      </c>
      <c r="Q22" s="46">
        <f t="shared" ca="1" si="12"/>
        <v>7.5</v>
      </c>
      <c r="R22" s="46">
        <f t="shared" ca="1" si="13"/>
        <v>3.9288887560987553</v>
      </c>
      <c r="S22" s="46">
        <f t="shared" ca="1" si="14"/>
        <v>7.5</v>
      </c>
      <c r="T22" s="46">
        <f t="shared" ca="1" si="15"/>
        <v>1.2</v>
      </c>
      <c r="U22" s="46">
        <f t="shared" ca="1" si="16"/>
        <v>1.3333333333333335</v>
      </c>
      <c r="V22" s="39">
        <f t="shared" ca="1" si="17"/>
        <v>0.79999999999999893</v>
      </c>
      <c r="W22" s="39" t="str">
        <f t="shared" ca="1" si="18"/>
        <v/>
      </c>
      <c r="X22" s="39">
        <f t="shared" ca="1" si="19"/>
        <v>3</v>
      </c>
      <c r="Y22" s="39">
        <f t="shared" ca="1" si="20"/>
        <v>1.0711112439012447</v>
      </c>
      <c r="Z22" s="39">
        <f t="shared" ca="1" si="21"/>
        <v>3</v>
      </c>
      <c r="AA22" s="39" t="str">
        <f t="shared" ca="1" si="22"/>
        <v/>
      </c>
      <c r="AB22" s="39">
        <f t="shared" ca="1" si="23"/>
        <v>0.66666666666666652</v>
      </c>
      <c r="AC22" s="1">
        <f t="shared" ca="1" si="25"/>
        <v>5</v>
      </c>
    </row>
    <row r="23" spans="1:34" x14ac:dyDescent="0.15">
      <c r="A23" s="1" t="str">
        <f t="shared" ca="1" si="24"/>
        <v>魔法</v>
      </c>
      <c r="B23" s="2">
        <v>9</v>
      </c>
      <c r="C23" s="2" t="s">
        <v>489</v>
      </c>
      <c r="D23" s="35" t="s">
        <v>490</v>
      </c>
      <c r="E23" s="53" t="str">
        <f t="shared" ca="1" si="1"/>
        <v>13.5</v>
      </c>
      <c r="F23" s="53" t="str">
        <f t="shared" ca="1" si="2"/>
        <v>7.407</v>
      </c>
      <c r="G23" s="38">
        <f t="shared" ca="1" si="3"/>
        <v>9.7199999999999989</v>
      </c>
      <c r="H23" s="2">
        <f t="shared" ca="1" si="4"/>
        <v>2.9628000000000001</v>
      </c>
      <c r="I23" s="2">
        <f t="shared" ca="1" si="5"/>
        <v>6</v>
      </c>
      <c r="J23" s="2">
        <f t="shared" ca="1" si="6"/>
        <v>4.4441999999999995</v>
      </c>
      <c r="K23" s="35">
        <f t="shared" ca="1" si="7"/>
        <v>7.5</v>
      </c>
      <c r="L23" s="35">
        <f t="shared" ca="1" si="8"/>
        <v>2.2000000000000002</v>
      </c>
      <c r="M23" s="35">
        <f t="shared" ca="1" si="9"/>
        <v>1.8666666666666669</v>
      </c>
      <c r="N23" s="35">
        <v>2</v>
      </c>
      <c r="O23" s="46">
        <f t="shared" ca="1" si="10"/>
        <v>9.7199999999999989</v>
      </c>
      <c r="P23" s="46">
        <f t="shared" ca="1" si="11"/>
        <v>2.9628000000000001</v>
      </c>
      <c r="Q23" s="46">
        <f t="shared" ca="1" si="12"/>
        <v>6</v>
      </c>
      <c r="R23" s="46">
        <f t="shared" ca="1" si="13"/>
        <v>3.9288887560987553</v>
      </c>
      <c r="S23" s="46">
        <f t="shared" ca="1" si="14"/>
        <v>7.5</v>
      </c>
      <c r="T23" s="46">
        <f t="shared" ca="1" si="15"/>
        <v>2</v>
      </c>
      <c r="U23" s="46">
        <f t="shared" ca="1" si="16"/>
        <v>1.3333333333333335</v>
      </c>
      <c r="V23" s="39" t="str">
        <f t="shared" ca="1" si="17"/>
        <v/>
      </c>
      <c r="W23" s="39" t="str">
        <f t="shared" ca="1" si="18"/>
        <v/>
      </c>
      <c r="X23" s="39" t="str">
        <f t="shared" ca="1" si="19"/>
        <v/>
      </c>
      <c r="Y23" s="39">
        <f t="shared" ca="1" si="20"/>
        <v>0.51531124390124416</v>
      </c>
      <c r="Z23" s="39" t="str">
        <f t="shared" ca="1" si="21"/>
        <v/>
      </c>
      <c r="AA23" s="39">
        <f t="shared" ca="1" si="22"/>
        <v>0.20000000000000018</v>
      </c>
      <c r="AB23" s="39">
        <f t="shared" ca="1" si="23"/>
        <v>0.53333333333333344</v>
      </c>
      <c r="AC23" s="1">
        <f t="shared" ca="1" si="25"/>
        <v>3</v>
      </c>
    </row>
    <row r="24" spans="1:34" x14ac:dyDescent="0.15">
      <c r="A24" s="1" t="str">
        <f t="shared" ca="1" si="24"/>
        <v>物理</v>
      </c>
      <c r="B24" s="2">
        <v>10</v>
      </c>
      <c r="C24" s="2" t="s">
        <v>491</v>
      </c>
      <c r="D24" s="35" t="s">
        <v>484</v>
      </c>
      <c r="E24" s="53" t="str">
        <f t="shared" ca="1" si="1"/>
        <v>12</v>
      </c>
      <c r="F24" s="53" t="str">
        <f t="shared" ca="1" si="2"/>
        <v>8.333</v>
      </c>
      <c r="G24" s="38">
        <f t="shared" ca="1" si="3"/>
        <v>10.8</v>
      </c>
      <c r="H24" s="2">
        <f t="shared" ca="1" si="4"/>
        <v>7.4997000000000007</v>
      </c>
      <c r="I24" s="2">
        <f t="shared" ca="1" si="5"/>
        <v>9</v>
      </c>
      <c r="J24" s="2">
        <f t="shared" ca="1" si="6"/>
        <v>0.83330000000000004</v>
      </c>
      <c r="K24" s="35">
        <f t="shared" ca="1" si="7"/>
        <v>9</v>
      </c>
      <c r="L24" s="35">
        <f t="shared" ca="1" si="8"/>
        <v>1.6</v>
      </c>
      <c r="M24" s="35">
        <f t="shared" ca="1" si="9"/>
        <v>0.66666666666666674</v>
      </c>
      <c r="N24" s="35">
        <v>2</v>
      </c>
      <c r="O24" s="46">
        <f t="shared" ca="1" si="10"/>
        <v>10.4</v>
      </c>
      <c r="P24" s="46">
        <f t="shared" ca="1" si="11"/>
        <v>3.9288887560987553</v>
      </c>
      <c r="Q24" s="46">
        <f t="shared" ca="1" si="12"/>
        <v>7.5</v>
      </c>
      <c r="R24" s="46">
        <f t="shared" ca="1" si="13"/>
        <v>0.83330000000000004</v>
      </c>
      <c r="S24" s="46">
        <f t="shared" ca="1" si="14"/>
        <v>7.5</v>
      </c>
      <c r="T24" s="46">
        <f t="shared" ca="1" si="15"/>
        <v>1.6</v>
      </c>
      <c r="U24" s="46">
        <f t="shared" ca="1" si="16"/>
        <v>0.66666666666666674</v>
      </c>
      <c r="V24" s="39">
        <f t="shared" ca="1" si="17"/>
        <v>0.40000000000000036</v>
      </c>
      <c r="W24" s="39">
        <f t="shared" ca="1" si="18"/>
        <v>3.5708112439012454</v>
      </c>
      <c r="X24" s="39">
        <f t="shared" ca="1" si="19"/>
        <v>1.5</v>
      </c>
      <c r="Y24" s="39" t="str">
        <f t="shared" ca="1" si="20"/>
        <v/>
      </c>
      <c r="Z24" s="39">
        <f t="shared" ca="1" si="21"/>
        <v>1.5</v>
      </c>
      <c r="AA24" s="39" t="str">
        <f t="shared" ca="1" si="22"/>
        <v/>
      </c>
      <c r="AB24" s="39" t="str">
        <f t="shared" ca="1" si="23"/>
        <v/>
      </c>
      <c r="AC24" s="1">
        <f t="shared" ca="1" si="25"/>
        <v>4</v>
      </c>
    </row>
    <row r="25" spans="1:34" x14ac:dyDescent="0.15">
      <c r="A25" s="1" t="str">
        <f t="shared" ca="1" si="24"/>
        <v>魔法</v>
      </c>
      <c r="B25" s="2">
        <v>11</v>
      </c>
      <c r="C25" s="2" t="s">
        <v>492</v>
      </c>
      <c r="D25" s="35" t="s">
        <v>482</v>
      </c>
      <c r="E25" s="53" t="str">
        <f t="shared" ca="1" si="1"/>
        <v>10.5</v>
      </c>
      <c r="F25" s="53" t="str">
        <f t="shared" ca="1" si="2"/>
        <v>9.523</v>
      </c>
      <c r="G25" s="38">
        <f t="shared" ca="1" si="3"/>
        <v>9.3450000000000006</v>
      </c>
      <c r="H25" s="2">
        <f t="shared" ca="1" si="4"/>
        <v>0.95230000000000004</v>
      </c>
      <c r="I25" s="2">
        <f t="shared" ca="1" si="5"/>
        <v>4.5</v>
      </c>
      <c r="J25" s="2">
        <f t="shared" ca="1" si="6"/>
        <v>8.5707000000000004</v>
      </c>
      <c r="K25" s="35">
        <f t="shared" ca="1" si="7"/>
        <v>7.5</v>
      </c>
      <c r="L25" s="35">
        <f t="shared" ca="1" si="8"/>
        <v>2.4</v>
      </c>
      <c r="M25" s="35">
        <f t="shared" ca="1" si="9"/>
        <v>0.73333333333333339</v>
      </c>
      <c r="N25" s="35">
        <v>2</v>
      </c>
      <c r="O25" s="46">
        <f t="shared" ca="1" si="10"/>
        <v>9.3450000000000006</v>
      </c>
      <c r="P25" s="46">
        <f t="shared" ca="1" si="11"/>
        <v>0.95230000000000004</v>
      </c>
      <c r="Q25" s="46">
        <f t="shared" ca="1" si="12"/>
        <v>4.5</v>
      </c>
      <c r="R25" s="46">
        <f t="shared" ca="1" si="13"/>
        <v>3.9288887560987553</v>
      </c>
      <c r="S25" s="46">
        <f t="shared" ca="1" si="14"/>
        <v>7.5</v>
      </c>
      <c r="T25" s="46">
        <f t="shared" ca="1" si="15"/>
        <v>2</v>
      </c>
      <c r="U25" s="46">
        <f t="shared" ca="1" si="16"/>
        <v>0.73333333333333339</v>
      </c>
      <c r="V25" s="39" t="str">
        <f t="shared" ca="1" si="17"/>
        <v/>
      </c>
      <c r="W25" s="39" t="str">
        <f t="shared" ca="1" si="18"/>
        <v/>
      </c>
      <c r="X25" s="39" t="str">
        <f t="shared" ca="1" si="19"/>
        <v/>
      </c>
      <c r="Y25" s="39">
        <f t="shared" ca="1" si="20"/>
        <v>4.6418112439012447</v>
      </c>
      <c r="Z25" s="39" t="str">
        <f t="shared" ca="1" si="21"/>
        <v/>
      </c>
      <c r="AA25" s="39">
        <f t="shared" ca="1" si="22"/>
        <v>0.39999999999999991</v>
      </c>
      <c r="AB25" s="39" t="str">
        <f t="shared" ca="1" si="23"/>
        <v/>
      </c>
      <c r="AC25" s="1">
        <f t="shared" ca="1" si="25"/>
        <v>2</v>
      </c>
    </row>
    <row r="26" spans="1:34" x14ac:dyDescent="0.15">
      <c r="A26" s="1" t="str">
        <f t="shared" ca="1" si="24"/>
        <v>物理</v>
      </c>
      <c r="B26" s="2">
        <v>12</v>
      </c>
      <c r="C26" s="2" t="s">
        <v>493</v>
      </c>
      <c r="D26" s="35" t="s">
        <v>494</v>
      </c>
      <c r="E26" s="53" t="str">
        <f t="shared" ca="1" si="1"/>
        <v>14</v>
      </c>
      <c r="F26" s="53" t="str">
        <f t="shared" ca="1" si="2"/>
        <v>7.142</v>
      </c>
      <c r="G26" s="38">
        <f t="shared" ca="1" si="3"/>
        <v>9.66</v>
      </c>
      <c r="H26" s="2">
        <f t="shared" ca="1" si="4"/>
        <v>5.7136000000000005</v>
      </c>
      <c r="I26" s="2">
        <f t="shared" ca="1" si="5"/>
        <v>9.75</v>
      </c>
      <c r="J26" s="2">
        <f t="shared" ca="1" si="6"/>
        <v>1.4284000000000001</v>
      </c>
      <c r="K26" s="35">
        <f t="shared" ca="1" si="7"/>
        <v>8.25</v>
      </c>
      <c r="L26" s="35">
        <f t="shared" ca="1" si="8"/>
        <v>1.6</v>
      </c>
      <c r="M26" s="35">
        <f t="shared" ca="1" si="9"/>
        <v>2.0666666666666669</v>
      </c>
      <c r="N26" s="35">
        <v>2</v>
      </c>
      <c r="O26" s="46">
        <f t="shared" ca="1" si="10"/>
        <v>9.66</v>
      </c>
      <c r="P26" s="46">
        <f t="shared" ca="1" si="11"/>
        <v>3.9288887560987553</v>
      </c>
      <c r="Q26" s="46">
        <f t="shared" ca="1" si="12"/>
        <v>7.5</v>
      </c>
      <c r="R26" s="46">
        <f t="shared" ca="1" si="13"/>
        <v>1.4284000000000001</v>
      </c>
      <c r="S26" s="46">
        <f t="shared" ca="1" si="14"/>
        <v>7.5</v>
      </c>
      <c r="T26" s="46">
        <f t="shared" ca="1" si="15"/>
        <v>1.6</v>
      </c>
      <c r="U26" s="46">
        <f t="shared" ca="1" si="16"/>
        <v>1.3333333333333335</v>
      </c>
      <c r="V26" s="39" t="str">
        <f t="shared" ca="1" si="17"/>
        <v/>
      </c>
      <c r="W26" s="39">
        <f t="shared" ca="1" si="18"/>
        <v>1.7847112439012451</v>
      </c>
      <c r="X26" s="39">
        <f t="shared" ca="1" si="19"/>
        <v>2.25</v>
      </c>
      <c r="Y26" s="39" t="str">
        <f t="shared" ca="1" si="20"/>
        <v/>
      </c>
      <c r="Z26" s="39">
        <f t="shared" ca="1" si="21"/>
        <v>0.75</v>
      </c>
      <c r="AA26" s="39" t="str">
        <f t="shared" ca="1" si="22"/>
        <v/>
      </c>
      <c r="AB26" s="39">
        <f t="shared" ca="1" si="23"/>
        <v>0.73333333333333339</v>
      </c>
      <c r="AC26" s="1">
        <f t="shared" ca="1" si="25"/>
        <v>4</v>
      </c>
    </row>
    <row r="27" spans="1:34" x14ac:dyDescent="0.15">
      <c r="A27" s="1" t="str">
        <f t="shared" ca="1" si="24"/>
        <v>物理</v>
      </c>
      <c r="B27" s="2">
        <v>13</v>
      </c>
      <c r="C27" s="2" t="s">
        <v>495</v>
      </c>
      <c r="D27" s="35" t="s">
        <v>496</v>
      </c>
      <c r="E27" s="53" t="str">
        <f t="shared" ca="1" si="1"/>
        <v>15</v>
      </c>
      <c r="F27" s="53" t="str">
        <f t="shared" ca="1" si="2"/>
        <v>6.666</v>
      </c>
      <c r="G27" s="38">
        <f t="shared" ca="1" si="3"/>
        <v>12.75</v>
      </c>
      <c r="H27" s="2">
        <f t="shared" ca="1" si="4"/>
        <v>5.9994000000000005</v>
      </c>
      <c r="I27" s="2">
        <f t="shared" ca="1" si="5"/>
        <v>8.25</v>
      </c>
      <c r="J27" s="2">
        <f t="shared" ca="1" si="6"/>
        <v>0.66660000000000008</v>
      </c>
      <c r="K27" s="35">
        <f t="shared" ca="1" si="7"/>
        <v>8.25</v>
      </c>
      <c r="L27" s="35">
        <f t="shared" ca="1" si="8"/>
        <v>1.8</v>
      </c>
      <c r="M27" s="35">
        <f t="shared" ca="1" si="9"/>
        <v>1</v>
      </c>
      <c r="N27" s="35">
        <v>2</v>
      </c>
      <c r="O27" s="46">
        <f t="shared" ca="1" si="10"/>
        <v>10.4</v>
      </c>
      <c r="P27" s="46">
        <f t="shared" ca="1" si="11"/>
        <v>3.9288887560987553</v>
      </c>
      <c r="Q27" s="46">
        <f t="shared" ca="1" si="12"/>
        <v>7.5</v>
      </c>
      <c r="R27" s="46">
        <f t="shared" ca="1" si="13"/>
        <v>0.66660000000000008</v>
      </c>
      <c r="S27" s="46">
        <f t="shared" ca="1" si="14"/>
        <v>7.5</v>
      </c>
      <c r="T27" s="46">
        <f t="shared" ca="1" si="15"/>
        <v>1.8</v>
      </c>
      <c r="U27" s="46">
        <f t="shared" ca="1" si="16"/>
        <v>1</v>
      </c>
      <c r="V27" s="39">
        <f t="shared" ca="1" si="17"/>
        <v>2.3499999999999996</v>
      </c>
      <c r="W27" s="39">
        <f t="shared" ca="1" si="18"/>
        <v>2.0705112439012452</v>
      </c>
      <c r="X27" s="39">
        <f t="shared" ca="1" si="19"/>
        <v>0.75</v>
      </c>
      <c r="Y27" s="39" t="str">
        <f t="shared" ca="1" si="20"/>
        <v/>
      </c>
      <c r="Z27" s="39">
        <f t="shared" ca="1" si="21"/>
        <v>0.75</v>
      </c>
      <c r="AA27" s="39" t="str">
        <f t="shared" ca="1" si="22"/>
        <v/>
      </c>
      <c r="AB27" s="39" t="str">
        <f t="shared" ca="1" si="23"/>
        <v/>
      </c>
      <c r="AC27" s="1">
        <f t="shared" ca="1" si="25"/>
        <v>4</v>
      </c>
    </row>
    <row r="31" spans="1:34" x14ac:dyDescent="0.15">
      <c r="B31" s="16" t="s">
        <v>52</v>
      </c>
      <c r="C31" s="16" t="s">
        <v>84</v>
      </c>
      <c r="D31" s="16" t="s">
        <v>90</v>
      </c>
      <c r="E31" s="16" t="s">
        <v>0</v>
      </c>
      <c r="F31" s="16" t="s">
        <v>102</v>
      </c>
      <c r="G31" s="16" t="s">
        <v>2</v>
      </c>
      <c r="H31" s="16" t="s">
        <v>53</v>
      </c>
      <c r="I31" s="16" t="s">
        <v>4</v>
      </c>
      <c r="J31" s="16" t="s">
        <v>5</v>
      </c>
      <c r="K31" s="16" t="s">
        <v>534</v>
      </c>
      <c r="L31" s="16" t="s">
        <v>535</v>
      </c>
      <c r="M31" s="16" t="s">
        <v>57</v>
      </c>
      <c r="N31" s="16" t="s">
        <v>497</v>
      </c>
      <c r="O31" s="16" t="s">
        <v>498</v>
      </c>
      <c r="P31" s="16" t="s">
        <v>499</v>
      </c>
      <c r="Q31" s="16" t="s">
        <v>500</v>
      </c>
      <c r="R31" s="16" t="s">
        <v>501</v>
      </c>
      <c r="S31" s="16" t="s">
        <v>759</v>
      </c>
      <c r="T31" s="16" t="s">
        <v>502</v>
      </c>
      <c r="U31" s="16" t="s">
        <v>96</v>
      </c>
      <c r="V31" s="16" t="s">
        <v>97</v>
      </c>
      <c r="W31" s="16" t="s">
        <v>503</v>
      </c>
      <c r="X31" s="16" t="s">
        <v>99</v>
      </c>
      <c r="Y31" s="16" t="s">
        <v>100</v>
      </c>
      <c r="Z31" s="16" t="s">
        <v>101</v>
      </c>
      <c r="AA31" s="16" t="s">
        <v>760</v>
      </c>
      <c r="AB31" s="16" t="s">
        <v>555</v>
      </c>
      <c r="AC31" s="16" t="s">
        <v>551</v>
      </c>
      <c r="AD31" s="16" t="s">
        <v>552</v>
      </c>
      <c r="AE31" s="16" t="s">
        <v>553</v>
      </c>
      <c r="AF31" s="16" t="s">
        <v>556</v>
      </c>
      <c r="AG31" s="16" t="s">
        <v>557</v>
      </c>
      <c r="AH31" s="16" t="s">
        <v>554</v>
      </c>
    </row>
    <row r="32" spans="1:34" x14ac:dyDescent="0.15">
      <c r="B32" s="40">
        <v>0</v>
      </c>
      <c r="C32" s="40" t="s">
        <v>505</v>
      </c>
      <c r="D32" s="40" t="s">
        <v>505</v>
      </c>
      <c r="E32" s="40">
        <f>G10</f>
        <v>10.4</v>
      </c>
      <c r="F32" s="40">
        <v>1</v>
      </c>
      <c r="G32" s="40">
        <f>H10*0.5</f>
        <v>1.9644443780493777</v>
      </c>
      <c r="H32" s="40">
        <v>7.5</v>
      </c>
      <c r="I32" s="40">
        <f>J10*0.5</f>
        <v>1.9644443780493777</v>
      </c>
      <c r="J32" s="40">
        <v>7.5</v>
      </c>
      <c r="K32" s="40">
        <f>N10</f>
        <v>1.3333333333333335</v>
      </c>
      <c r="L32" s="40">
        <f>O10</f>
        <v>2</v>
      </c>
      <c r="M32" s="40">
        <f t="shared" ref="M32:S32" si="26">($G32+$I32)/2</f>
        <v>1.9644443780493777</v>
      </c>
      <c r="N32" s="40">
        <f t="shared" si="26"/>
        <v>1.9644443780493777</v>
      </c>
      <c r="O32" s="40">
        <f t="shared" si="26"/>
        <v>1.9644443780493777</v>
      </c>
      <c r="P32" s="40">
        <f t="shared" si="26"/>
        <v>1.9644443780493777</v>
      </c>
      <c r="Q32" s="40">
        <f t="shared" si="26"/>
        <v>1.9644443780493777</v>
      </c>
      <c r="R32" s="40">
        <f t="shared" si="26"/>
        <v>1.9644443780493777</v>
      </c>
      <c r="S32" s="40">
        <f t="shared" si="26"/>
        <v>1.9644443780493777</v>
      </c>
      <c r="T32" s="40">
        <v>2</v>
      </c>
      <c r="U32" s="40">
        <v>2</v>
      </c>
      <c r="V32" s="40">
        <v>2</v>
      </c>
      <c r="W32" s="40">
        <v>2</v>
      </c>
      <c r="X32" s="40">
        <v>2</v>
      </c>
      <c r="Y32" s="40">
        <v>2</v>
      </c>
      <c r="Z32" s="40">
        <v>2</v>
      </c>
      <c r="AA32" s="40">
        <v>2</v>
      </c>
    </row>
    <row r="33" spans="2:34" x14ac:dyDescent="0.15">
      <c r="B33" s="2">
        <v>1</v>
      </c>
      <c r="C33" s="2" t="str">
        <f t="shared" ref="C33:D45" si="27">C15</f>
        <v>锤子</v>
      </c>
      <c r="D33" s="2" t="str">
        <f t="shared" si="27"/>
        <v>神圣</v>
      </c>
      <c r="E33" s="2">
        <f ca="1">O15</f>
        <v>10.4</v>
      </c>
      <c r="F33" s="2">
        <v>0.5</v>
      </c>
      <c r="G33" s="2">
        <f ca="1">P15/2</f>
        <v>1.6127499999999999</v>
      </c>
      <c r="H33" s="2">
        <f t="shared" ref="H33:J33" ca="1" si="28">Q15</f>
        <v>7.5</v>
      </c>
      <c r="I33" s="2">
        <f ca="1">R15/2</f>
        <v>1.6127499999999999</v>
      </c>
      <c r="J33" s="2">
        <f t="shared" ca="1" si="28"/>
        <v>7.5</v>
      </c>
      <c r="K33" s="2">
        <f ca="1">U15</f>
        <v>0.66666666666666674</v>
      </c>
      <c r="L33" s="2">
        <f>N15</f>
        <v>2</v>
      </c>
      <c r="M33" s="2">
        <f ca="1">IF(MID(M$31,1,2)=$D33,1.2*($G33+$I33)/2,($G33+$I33)/2)</f>
        <v>1.6127499999999999</v>
      </c>
      <c r="N33" s="2">
        <f t="shared" ref="N33:S45" ca="1" si="29">IF(MID(N$31,1,2)=$D33,1.2*($G33+$I33)/2,($G33+$I33)/2)</f>
        <v>1.6127499999999999</v>
      </c>
      <c r="O33" s="2">
        <f t="shared" ca="1" si="29"/>
        <v>1.6127499999999999</v>
      </c>
      <c r="P33" s="2">
        <f t="shared" ca="1" si="29"/>
        <v>1.6127499999999999</v>
      </c>
      <c r="Q33" s="2">
        <f t="shared" ca="1" si="29"/>
        <v>1.9352999999999998</v>
      </c>
      <c r="R33" s="2">
        <f t="shared" ca="1" si="29"/>
        <v>1.6127499999999999</v>
      </c>
      <c r="S33" s="2">
        <f t="shared" ca="1" si="29"/>
        <v>1.6127499999999999</v>
      </c>
      <c r="T33" s="2">
        <f t="shared" ref="T33:T45" ca="1" si="30">T15</f>
        <v>2</v>
      </c>
      <c r="U33" s="2">
        <f t="shared" ref="U33:AA33" ca="1" si="31">IF(MID(U$31,1,2)=$D33,$T33*1.5,$T33)</f>
        <v>2</v>
      </c>
      <c r="V33" s="2">
        <f t="shared" ca="1" si="31"/>
        <v>2</v>
      </c>
      <c r="W33" s="2">
        <f t="shared" ca="1" si="31"/>
        <v>2</v>
      </c>
      <c r="X33" s="2">
        <f t="shared" ca="1" si="31"/>
        <v>2</v>
      </c>
      <c r="Y33" s="2">
        <f t="shared" ca="1" si="31"/>
        <v>3</v>
      </c>
      <c r="Z33" s="2">
        <f t="shared" ca="1" si="31"/>
        <v>2</v>
      </c>
      <c r="AA33" s="2">
        <f t="shared" ca="1" si="31"/>
        <v>2</v>
      </c>
      <c r="AB33" s="1">
        <f t="shared" ref="AB33:AB45" ca="1" si="32">V15</f>
        <v>3.5500000000000007</v>
      </c>
      <c r="AC33" s="1" t="str">
        <f t="shared" ref="AC33:AC45" ca="1" si="33">W15</f>
        <v/>
      </c>
      <c r="AD33" s="1" t="str">
        <f t="shared" ref="AD33:AD45" ca="1" si="34">X15</f>
        <v/>
      </c>
      <c r="AE33" s="1" t="str">
        <f t="shared" ref="AE33:AE45" ca="1" si="35">Y15</f>
        <v/>
      </c>
      <c r="AF33" s="1" t="str">
        <f t="shared" ref="AF33:AF45" ca="1" si="36">Z15</f>
        <v/>
      </c>
      <c r="AG33" s="1" t="str">
        <f t="shared" ref="AG33:AG45" ca="1" si="37">AA15</f>
        <v/>
      </c>
      <c r="AH33" s="1" t="str">
        <f t="shared" ref="AH33:AH45" ca="1" si="38">AB15</f>
        <v/>
      </c>
    </row>
    <row r="34" spans="2:34" x14ac:dyDescent="0.15">
      <c r="B34" s="2">
        <v>2</v>
      </c>
      <c r="C34" s="2" t="str">
        <f t="shared" si="27"/>
        <v>刀</v>
      </c>
      <c r="D34" s="2" t="str">
        <f t="shared" si="27"/>
        <v>地脉</v>
      </c>
      <c r="E34" s="2">
        <f t="shared" ref="E34:E45" ca="1" si="39">O16</f>
        <v>9.35</v>
      </c>
      <c r="F34" s="2">
        <v>0.5</v>
      </c>
      <c r="G34" s="2">
        <f t="shared" ref="G34:G45" ca="1" si="40">P16/2</f>
        <v>1.9644443780493777</v>
      </c>
      <c r="H34" s="2">
        <f t="shared" ref="H34:H45" ca="1" si="41">Q16</f>
        <v>7.5</v>
      </c>
      <c r="I34" s="2">
        <f t="shared" ref="I34:I45" ca="1" si="42">R16/2</f>
        <v>0.90900000000000003</v>
      </c>
      <c r="J34" s="2">
        <f t="shared" ref="J34:J45" ca="1" si="43">S16</f>
        <v>6.75</v>
      </c>
      <c r="K34" s="2">
        <f t="shared" ref="K34:K45" ca="1" si="44">U16</f>
        <v>1</v>
      </c>
      <c r="L34" s="2">
        <f t="shared" ref="L34:L45" si="45">N16</f>
        <v>2</v>
      </c>
      <c r="M34" s="2">
        <f t="shared" ref="M34:M45" ca="1" si="46">IF(MID(M$31,1,2)=$D34,1.2*($G34+$I34)/2,($G34+$I34)/2)</f>
        <v>1.4367221890246888</v>
      </c>
      <c r="N34" s="2">
        <f t="shared" ca="1" si="29"/>
        <v>1.7240666268296265</v>
      </c>
      <c r="O34" s="2">
        <f t="shared" ca="1" si="29"/>
        <v>1.4367221890246888</v>
      </c>
      <c r="P34" s="2">
        <f t="shared" ca="1" si="29"/>
        <v>1.4367221890246888</v>
      </c>
      <c r="Q34" s="2">
        <f t="shared" ca="1" si="29"/>
        <v>1.4367221890246888</v>
      </c>
      <c r="R34" s="2">
        <f t="shared" ca="1" si="29"/>
        <v>1.4367221890246888</v>
      </c>
      <c r="S34" s="2">
        <f t="shared" ca="1" si="29"/>
        <v>1.4367221890246888</v>
      </c>
      <c r="T34" s="2">
        <f t="shared" ca="1" si="30"/>
        <v>1.8</v>
      </c>
      <c r="U34" s="2">
        <f t="shared" ref="U34:Z45" ca="1" si="47">IF(MID(U$31,1,2)=$D34,$T34*1.5,$T34)</f>
        <v>1.8</v>
      </c>
      <c r="V34" s="2">
        <f t="shared" ca="1" si="47"/>
        <v>2.7</v>
      </c>
      <c r="W34" s="2">
        <f t="shared" ca="1" si="47"/>
        <v>1.8</v>
      </c>
      <c r="X34" s="2">
        <f t="shared" ca="1" si="47"/>
        <v>1.8</v>
      </c>
      <c r="Y34" s="2">
        <f t="shared" ca="1" si="47"/>
        <v>1.8</v>
      </c>
      <c r="Z34" s="2">
        <f t="shared" ca="1" si="47"/>
        <v>1.8</v>
      </c>
      <c r="AA34" s="2">
        <f t="shared" ref="AA34:AA45" ca="1" si="48">IF(MID(AA$31,1,2)=$D34,$T34*1.5,$T34)</f>
        <v>1.8</v>
      </c>
      <c r="AB34" s="1" t="str">
        <f t="shared" ca="1" si="32"/>
        <v/>
      </c>
      <c r="AC34" s="1">
        <f t="shared" ca="1" si="33"/>
        <v>3.3431112439012449</v>
      </c>
      <c r="AD34" s="1">
        <f t="shared" ca="1" si="34"/>
        <v>2.25</v>
      </c>
      <c r="AE34" s="1" t="str">
        <f t="shared" ca="1" si="35"/>
        <v/>
      </c>
      <c r="AF34" s="1" t="str">
        <f t="shared" ca="1" si="36"/>
        <v/>
      </c>
      <c r="AG34" s="1" t="str">
        <f t="shared" ca="1" si="37"/>
        <v/>
      </c>
      <c r="AH34" s="1" t="str">
        <f t="shared" ca="1" si="38"/>
        <v/>
      </c>
    </row>
    <row r="35" spans="2:34" x14ac:dyDescent="0.15">
      <c r="B35" s="2">
        <v>3</v>
      </c>
      <c r="C35" s="2" t="str">
        <f t="shared" si="27"/>
        <v>拳套</v>
      </c>
      <c r="D35" s="2" t="str">
        <f t="shared" si="27"/>
        <v>神圣</v>
      </c>
      <c r="E35" s="2">
        <f t="shared" ca="1" si="39"/>
        <v>10.4</v>
      </c>
      <c r="F35" s="2">
        <v>0.5</v>
      </c>
      <c r="G35" s="2">
        <f t="shared" ca="1" si="40"/>
        <v>1.9644443780493777</v>
      </c>
      <c r="H35" s="2">
        <f t="shared" ca="1" si="41"/>
        <v>7.5</v>
      </c>
      <c r="I35" s="2">
        <f t="shared" ca="1" si="42"/>
        <v>0.3448</v>
      </c>
      <c r="J35" s="2">
        <f t="shared" ca="1" si="43"/>
        <v>7.5</v>
      </c>
      <c r="K35" s="2">
        <f t="shared" ca="1" si="44"/>
        <v>1.3333333333333335</v>
      </c>
      <c r="L35" s="2">
        <f t="shared" si="45"/>
        <v>2</v>
      </c>
      <c r="M35" s="2">
        <f t="shared" ca="1" si="46"/>
        <v>1.1546221890246888</v>
      </c>
      <c r="N35" s="2">
        <f t="shared" ca="1" si="29"/>
        <v>1.1546221890246888</v>
      </c>
      <c r="O35" s="2">
        <f t="shared" ca="1" si="29"/>
        <v>1.1546221890246888</v>
      </c>
      <c r="P35" s="2">
        <f t="shared" ca="1" si="29"/>
        <v>1.1546221890246888</v>
      </c>
      <c r="Q35" s="2">
        <f t="shared" ca="1" si="29"/>
        <v>1.3855466268296266</v>
      </c>
      <c r="R35" s="2">
        <f t="shared" ca="1" si="29"/>
        <v>1.1546221890246888</v>
      </c>
      <c r="S35" s="2">
        <f t="shared" ca="1" si="29"/>
        <v>1.1546221890246888</v>
      </c>
      <c r="T35" s="2">
        <f t="shared" ca="1" si="30"/>
        <v>1.6</v>
      </c>
      <c r="U35" s="2">
        <f t="shared" ca="1" si="47"/>
        <v>1.6</v>
      </c>
      <c r="V35" s="2">
        <f t="shared" ca="1" si="47"/>
        <v>1.6</v>
      </c>
      <c r="W35" s="2">
        <f t="shared" ca="1" si="47"/>
        <v>1.6</v>
      </c>
      <c r="X35" s="2">
        <f t="shared" ca="1" si="47"/>
        <v>1.6</v>
      </c>
      <c r="Y35" s="2">
        <f t="shared" ca="1" si="47"/>
        <v>2.4000000000000004</v>
      </c>
      <c r="Z35" s="2">
        <f t="shared" ca="1" si="47"/>
        <v>1.6</v>
      </c>
      <c r="AA35" s="2">
        <f t="shared" ca="1" si="48"/>
        <v>1.6</v>
      </c>
      <c r="AB35" s="1">
        <f t="shared" ca="1" si="32"/>
        <v>0.47499999999999964</v>
      </c>
      <c r="AC35" s="1">
        <f t="shared" ca="1" si="33"/>
        <v>2.277511243901245</v>
      </c>
      <c r="AD35" s="1">
        <f t="shared" ca="1" si="34"/>
        <v>3</v>
      </c>
      <c r="AE35" s="1" t="str">
        <f t="shared" ca="1" si="35"/>
        <v/>
      </c>
      <c r="AF35" s="1" t="str">
        <f t="shared" ca="1" si="36"/>
        <v/>
      </c>
      <c r="AG35" s="1" t="str">
        <f t="shared" ca="1" si="37"/>
        <v/>
      </c>
      <c r="AH35" s="1">
        <f t="shared" ca="1" si="38"/>
        <v>0.33333333333333326</v>
      </c>
    </row>
    <row r="36" spans="2:34" x14ac:dyDescent="0.15">
      <c r="B36" s="2">
        <v>4</v>
      </c>
      <c r="C36" s="2" t="str">
        <f t="shared" si="27"/>
        <v>枪</v>
      </c>
      <c r="D36" s="2" t="str">
        <f t="shared" si="27"/>
        <v>电击</v>
      </c>
      <c r="E36" s="2">
        <f t="shared" ca="1" si="39"/>
        <v>10.4</v>
      </c>
      <c r="F36" s="2">
        <v>0.5</v>
      </c>
      <c r="G36" s="2">
        <f t="shared" ca="1" si="40"/>
        <v>1.5384000000000002</v>
      </c>
      <c r="H36" s="2">
        <f t="shared" ca="1" si="41"/>
        <v>6</v>
      </c>
      <c r="I36" s="2">
        <f t="shared" ca="1" si="42"/>
        <v>1.9644443780493777</v>
      </c>
      <c r="J36" s="2">
        <f t="shared" ca="1" si="43"/>
        <v>7.5</v>
      </c>
      <c r="K36" s="2">
        <f t="shared" ca="1" si="44"/>
        <v>1.2</v>
      </c>
      <c r="L36" s="2">
        <f t="shared" si="45"/>
        <v>2</v>
      </c>
      <c r="M36" s="2">
        <f t="shared" ca="1" si="46"/>
        <v>1.751422189024689</v>
      </c>
      <c r="N36" s="2">
        <f t="shared" ca="1" si="29"/>
        <v>1.751422189024689</v>
      </c>
      <c r="O36" s="2">
        <f t="shared" ca="1" si="29"/>
        <v>1.751422189024689</v>
      </c>
      <c r="P36" s="2">
        <f t="shared" ca="1" si="29"/>
        <v>1.751422189024689</v>
      </c>
      <c r="Q36" s="2">
        <f t="shared" ca="1" si="29"/>
        <v>1.751422189024689</v>
      </c>
      <c r="R36" s="2">
        <f t="shared" ca="1" si="29"/>
        <v>1.751422189024689</v>
      </c>
      <c r="S36" s="2">
        <f t="shared" ca="1" si="29"/>
        <v>2.1017066268296269</v>
      </c>
      <c r="T36" s="2">
        <f t="shared" ca="1" si="30"/>
        <v>2</v>
      </c>
      <c r="U36" s="2">
        <f t="shared" ca="1" si="47"/>
        <v>2</v>
      </c>
      <c r="V36" s="2">
        <f t="shared" ca="1" si="47"/>
        <v>2</v>
      </c>
      <c r="W36" s="2">
        <f t="shared" ca="1" si="47"/>
        <v>2</v>
      </c>
      <c r="X36" s="2">
        <f t="shared" ca="1" si="47"/>
        <v>2</v>
      </c>
      <c r="Y36" s="2">
        <f t="shared" ca="1" si="47"/>
        <v>2</v>
      </c>
      <c r="Z36" s="2">
        <f t="shared" ca="1" si="47"/>
        <v>2</v>
      </c>
      <c r="AA36" s="2">
        <f t="shared" ca="1" si="48"/>
        <v>3</v>
      </c>
      <c r="AB36" s="1">
        <f t="shared" ca="1" si="32"/>
        <v>0.25999999999999979</v>
      </c>
      <c r="AC36" s="1" t="str">
        <f t="shared" ca="1" si="33"/>
        <v/>
      </c>
      <c r="AD36" s="1" t="str">
        <f t="shared" ca="1" si="34"/>
        <v/>
      </c>
      <c r="AE36" s="1">
        <f t="shared" ca="1" si="35"/>
        <v>0.68631124390124443</v>
      </c>
      <c r="AF36" s="1" t="str">
        <f t="shared" ca="1" si="36"/>
        <v/>
      </c>
      <c r="AG36" s="1">
        <f t="shared" ca="1" si="37"/>
        <v>0.20000000000000018</v>
      </c>
      <c r="AH36" s="1" t="str">
        <f t="shared" ca="1" si="38"/>
        <v/>
      </c>
    </row>
    <row r="37" spans="2:34" x14ac:dyDescent="0.15">
      <c r="B37" s="2">
        <v>5</v>
      </c>
      <c r="C37" s="2" t="str">
        <f t="shared" si="27"/>
        <v>镰刀</v>
      </c>
      <c r="D37" s="2" t="str">
        <f t="shared" si="27"/>
        <v>黑暗</v>
      </c>
      <c r="E37" s="2">
        <f t="shared" ca="1" si="39"/>
        <v>8.2799999999999994</v>
      </c>
      <c r="F37" s="2">
        <v>0.5</v>
      </c>
      <c r="G37" s="2">
        <f t="shared" ca="1" si="40"/>
        <v>1.9644443780493777</v>
      </c>
      <c r="H37" s="2">
        <f t="shared" ca="1" si="41"/>
        <v>7.5</v>
      </c>
      <c r="I37" s="2">
        <f t="shared" ca="1" si="42"/>
        <v>1.3042499999999999</v>
      </c>
      <c r="J37" s="2">
        <f t="shared" ca="1" si="43"/>
        <v>7.5</v>
      </c>
      <c r="K37" s="2">
        <f t="shared" ca="1" si="44"/>
        <v>1.3333333333333335</v>
      </c>
      <c r="L37" s="2">
        <f t="shared" si="45"/>
        <v>2</v>
      </c>
      <c r="M37" s="2">
        <f t="shared" ca="1" si="46"/>
        <v>1.6343471890246888</v>
      </c>
      <c r="N37" s="2">
        <f t="shared" ca="1" si="29"/>
        <v>1.6343471890246888</v>
      </c>
      <c r="O37" s="2">
        <f t="shared" ca="1" si="29"/>
        <v>1.6343471890246888</v>
      </c>
      <c r="P37" s="2">
        <f t="shared" ca="1" si="29"/>
        <v>1.6343471890246888</v>
      </c>
      <c r="Q37" s="2">
        <f t="shared" ca="1" si="29"/>
        <v>1.6343471890246888</v>
      </c>
      <c r="R37" s="2">
        <f t="shared" ca="1" si="29"/>
        <v>1.9612166268296265</v>
      </c>
      <c r="S37" s="2">
        <f t="shared" ca="1" si="29"/>
        <v>1.6343471890246888</v>
      </c>
      <c r="T37" s="2">
        <f t="shared" ca="1" si="30"/>
        <v>1.8</v>
      </c>
      <c r="U37" s="2">
        <f t="shared" ca="1" si="47"/>
        <v>1.8</v>
      </c>
      <c r="V37" s="2">
        <f t="shared" ca="1" si="47"/>
        <v>1.8</v>
      </c>
      <c r="W37" s="2">
        <f t="shared" ca="1" si="47"/>
        <v>1.8</v>
      </c>
      <c r="X37" s="2">
        <f t="shared" ca="1" si="47"/>
        <v>1.8</v>
      </c>
      <c r="Y37" s="2">
        <f t="shared" ca="1" si="47"/>
        <v>1.8</v>
      </c>
      <c r="Z37" s="2">
        <f t="shared" ca="1" si="47"/>
        <v>2.7</v>
      </c>
      <c r="AA37" s="2">
        <f t="shared" ca="1" si="48"/>
        <v>1.8</v>
      </c>
      <c r="AB37" s="1" t="str">
        <f t="shared" ca="1" si="32"/>
        <v/>
      </c>
      <c r="AC37" s="1">
        <f t="shared" ca="1" si="33"/>
        <v>2.1576112439012447</v>
      </c>
      <c r="AD37" s="1" t="str">
        <f t="shared" ca="1" si="34"/>
        <v/>
      </c>
      <c r="AE37" s="1" t="str">
        <f t="shared" ca="1" si="35"/>
        <v/>
      </c>
      <c r="AF37" s="1">
        <f t="shared" ca="1" si="36"/>
        <v>1.5</v>
      </c>
      <c r="AG37" s="1" t="str">
        <f t="shared" ca="1" si="37"/>
        <v/>
      </c>
      <c r="AH37" s="1">
        <f t="shared" ca="1" si="38"/>
        <v>0.53333333333333344</v>
      </c>
    </row>
    <row r="38" spans="2:34" x14ac:dyDescent="0.15">
      <c r="B38" s="2">
        <v>6</v>
      </c>
      <c r="C38" s="2" t="str">
        <f t="shared" si="27"/>
        <v>法杖</v>
      </c>
      <c r="D38" s="2" t="str">
        <f t="shared" si="27"/>
        <v>电击</v>
      </c>
      <c r="E38" s="2">
        <f t="shared" ca="1" si="39"/>
        <v>10.4</v>
      </c>
      <c r="F38" s="2">
        <v>2.5</v>
      </c>
      <c r="G38" s="2">
        <f t="shared" ca="1" si="40"/>
        <v>0.8</v>
      </c>
      <c r="H38" s="2">
        <f t="shared" ca="1" si="41"/>
        <v>5.25</v>
      </c>
      <c r="I38" s="2">
        <f t="shared" ca="1" si="42"/>
        <v>1.9644443780493777</v>
      </c>
      <c r="J38" s="2">
        <f t="shared" ca="1" si="43"/>
        <v>6.75</v>
      </c>
      <c r="K38" s="2">
        <f t="shared" ca="1" si="44"/>
        <v>0.8</v>
      </c>
      <c r="L38" s="2">
        <f t="shared" si="45"/>
        <v>2</v>
      </c>
      <c r="M38" s="2">
        <f t="shared" ca="1" si="46"/>
        <v>1.3822221890246889</v>
      </c>
      <c r="N38" s="2">
        <f t="shared" ca="1" si="29"/>
        <v>1.3822221890246889</v>
      </c>
      <c r="O38" s="2">
        <f t="shared" ca="1" si="29"/>
        <v>1.3822221890246889</v>
      </c>
      <c r="P38" s="2">
        <f t="shared" ca="1" si="29"/>
        <v>1.3822221890246889</v>
      </c>
      <c r="Q38" s="2">
        <f t="shared" ca="1" si="29"/>
        <v>1.3822221890246889</v>
      </c>
      <c r="R38" s="2">
        <f t="shared" ca="1" si="29"/>
        <v>1.3822221890246889</v>
      </c>
      <c r="S38" s="2">
        <f t="shared" ca="1" si="29"/>
        <v>1.6586666268296266</v>
      </c>
      <c r="T38" s="2">
        <f t="shared" ca="1" si="30"/>
        <v>2</v>
      </c>
      <c r="U38" s="2">
        <f t="shared" ca="1" si="47"/>
        <v>2</v>
      </c>
      <c r="V38" s="2">
        <f t="shared" ca="1" si="47"/>
        <v>2</v>
      </c>
      <c r="W38" s="2">
        <f t="shared" ca="1" si="47"/>
        <v>2</v>
      </c>
      <c r="X38" s="2">
        <f t="shared" ca="1" si="47"/>
        <v>2</v>
      </c>
      <c r="Y38" s="2">
        <f t="shared" ca="1" si="47"/>
        <v>2</v>
      </c>
      <c r="Z38" s="2">
        <f t="shared" ca="1" si="47"/>
        <v>2</v>
      </c>
      <c r="AA38" s="2">
        <f t="shared" ca="1" si="48"/>
        <v>3</v>
      </c>
      <c r="AB38" s="1">
        <f t="shared" ca="1" si="32"/>
        <v>0.59999999999999964</v>
      </c>
      <c r="AC38" s="1" t="str">
        <f t="shared" ca="1" si="33"/>
        <v/>
      </c>
      <c r="AD38" s="1" t="str">
        <f t="shared" ca="1" si="34"/>
        <v/>
      </c>
      <c r="AE38" s="1">
        <f t="shared" ca="1" si="35"/>
        <v>2.471111243901245</v>
      </c>
      <c r="AF38" s="1" t="str">
        <f t="shared" ca="1" si="36"/>
        <v/>
      </c>
      <c r="AG38" s="1">
        <f t="shared" ca="1" si="37"/>
        <v>0.39999999999999991</v>
      </c>
      <c r="AH38" s="1" t="str">
        <f t="shared" ca="1" si="38"/>
        <v/>
      </c>
    </row>
    <row r="39" spans="2:34" x14ac:dyDescent="0.15">
      <c r="B39" s="2">
        <v>7</v>
      </c>
      <c r="C39" s="2" t="str">
        <f t="shared" si="27"/>
        <v>弓</v>
      </c>
      <c r="D39" s="2" t="str">
        <f t="shared" si="27"/>
        <v>地脉</v>
      </c>
      <c r="E39" s="2">
        <f t="shared" ca="1" si="39"/>
        <v>8.5</v>
      </c>
      <c r="F39" s="2">
        <v>0.5</v>
      </c>
      <c r="G39" s="2">
        <f t="shared" ca="1" si="40"/>
        <v>1.9644443780493777</v>
      </c>
      <c r="H39" s="2">
        <f t="shared" ca="1" si="41"/>
        <v>7.5</v>
      </c>
      <c r="I39" s="2">
        <f t="shared" ca="1" si="42"/>
        <v>0.5</v>
      </c>
      <c r="J39" s="2">
        <f t="shared" ca="1" si="43"/>
        <v>7.5</v>
      </c>
      <c r="K39" s="2">
        <f t="shared" ca="1" si="44"/>
        <v>1</v>
      </c>
      <c r="L39" s="2">
        <f t="shared" si="45"/>
        <v>2</v>
      </c>
      <c r="M39" s="2">
        <f t="shared" ca="1" si="46"/>
        <v>1.2322221890246889</v>
      </c>
      <c r="N39" s="2">
        <f t="shared" ca="1" si="29"/>
        <v>1.4786666268296267</v>
      </c>
      <c r="O39" s="2">
        <f t="shared" ca="1" si="29"/>
        <v>1.2322221890246889</v>
      </c>
      <c r="P39" s="2">
        <f t="shared" ca="1" si="29"/>
        <v>1.2322221890246889</v>
      </c>
      <c r="Q39" s="2">
        <f t="shared" ca="1" si="29"/>
        <v>1.2322221890246889</v>
      </c>
      <c r="R39" s="2">
        <f t="shared" ca="1" si="29"/>
        <v>1.2322221890246889</v>
      </c>
      <c r="S39" s="2">
        <f t="shared" ca="1" si="29"/>
        <v>1.2322221890246889</v>
      </c>
      <c r="T39" s="2">
        <f t="shared" ca="1" si="30"/>
        <v>1.4</v>
      </c>
      <c r="U39" s="2">
        <f t="shared" ca="1" si="47"/>
        <v>1.4</v>
      </c>
      <c r="V39" s="2">
        <f t="shared" ca="1" si="47"/>
        <v>2.0999999999999996</v>
      </c>
      <c r="W39" s="2">
        <f t="shared" ca="1" si="47"/>
        <v>1.4</v>
      </c>
      <c r="X39" s="2">
        <f t="shared" ca="1" si="47"/>
        <v>1.4</v>
      </c>
      <c r="Y39" s="2">
        <f t="shared" ca="1" si="47"/>
        <v>1.4</v>
      </c>
      <c r="Z39" s="2">
        <f t="shared" ca="1" si="47"/>
        <v>1.4</v>
      </c>
      <c r="AA39" s="2">
        <f t="shared" ca="1" si="48"/>
        <v>1.4</v>
      </c>
      <c r="AB39" s="1" t="str">
        <f t="shared" ca="1" si="32"/>
        <v/>
      </c>
      <c r="AC39" s="1">
        <f t="shared" ca="1" si="33"/>
        <v>5.0711112439012442</v>
      </c>
      <c r="AD39" s="1">
        <f t="shared" ca="1" si="34"/>
        <v>1.5</v>
      </c>
      <c r="AE39" s="1" t="str">
        <f t="shared" ca="1" si="35"/>
        <v/>
      </c>
      <c r="AF39" s="1">
        <f t="shared" ca="1" si="36"/>
        <v>3</v>
      </c>
      <c r="AG39" s="1" t="str">
        <f t="shared" ca="1" si="37"/>
        <v/>
      </c>
      <c r="AH39" s="1" t="str">
        <f t="shared" ca="1" si="38"/>
        <v/>
      </c>
    </row>
    <row r="40" spans="2:34" x14ac:dyDescent="0.15">
      <c r="B40" s="2">
        <v>8</v>
      </c>
      <c r="C40" s="2" t="str">
        <f t="shared" si="27"/>
        <v>烟斗</v>
      </c>
      <c r="D40" s="2" t="str">
        <f t="shared" si="27"/>
        <v>物理</v>
      </c>
      <c r="E40" s="2">
        <f t="shared" ca="1" si="39"/>
        <v>10.4</v>
      </c>
      <c r="F40" s="2">
        <v>0.5</v>
      </c>
      <c r="G40" s="2">
        <f t="shared" ca="1" si="40"/>
        <v>0.625</v>
      </c>
      <c r="H40" s="2">
        <f t="shared" ca="1" si="41"/>
        <v>7.5</v>
      </c>
      <c r="I40" s="2">
        <f t="shared" ca="1" si="42"/>
        <v>1.9644443780493777</v>
      </c>
      <c r="J40" s="2">
        <f t="shared" ca="1" si="43"/>
        <v>7.5</v>
      </c>
      <c r="K40" s="2">
        <f t="shared" ca="1" si="44"/>
        <v>1.3333333333333335</v>
      </c>
      <c r="L40" s="2">
        <f t="shared" si="45"/>
        <v>2</v>
      </c>
      <c r="M40" s="2">
        <f t="shared" ca="1" si="46"/>
        <v>1.5536666268296266</v>
      </c>
      <c r="N40" s="2">
        <f t="shared" ca="1" si="29"/>
        <v>1.2947221890246889</v>
      </c>
      <c r="O40" s="2">
        <f t="shared" ca="1" si="29"/>
        <v>1.2947221890246889</v>
      </c>
      <c r="P40" s="2">
        <f t="shared" ca="1" si="29"/>
        <v>1.2947221890246889</v>
      </c>
      <c r="Q40" s="2">
        <f t="shared" ca="1" si="29"/>
        <v>1.2947221890246889</v>
      </c>
      <c r="R40" s="2">
        <f t="shared" ca="1" si="29"/>
        <v>1.2947221890246889</v>
      </c>
      <c r="S40" s="2">
        <f t="shared" ca="1" si="29"/>
        <v>1.2947221890246889</v>
      </c>
      <c r="T40" s="2">
        <f t="shared" ca="1" si="30"/>
        <v>1.2</v>
      </c>
      <c r="U40" s="2">
        <f t="shared" ca="1" si="47"/>
        <v>1.7999999999999998</v>
      </c>
      <c r="V40" s="2">
        <f t="shared" ca="1" si="47"/>
        <v>1.2</v>
      </c>
      <c r="W40" s="2">
        <f t="shared" ca="1" si="47"/>
        <v>1.2</v>
      </c>
      <c r="X40" s="2">
        <f t="shared" ca="1" si="47"/>
        <v>1.2</v>
      </c>
      <c r="Y40" s="2">
        <f t="shared" ca="1" si="47"/>
        <v>1.2</v>
      </c>
      <c r="Z40" s="2">
        <f t="shared" ca="1" si="47"/>
        <v>1.2</v>
      </c>
      <c r="AA40" s="2">
        <f t="shared" ca="1" si="48"/>
        <v>1.2</v>
      </c>
      <c r="AB40" s="1">
        <f t="shared" ca="1" si="32"/>
        <v>0.79999999999999893</v>
      </c>
      <c r="AC40" s="1" t="str">
        <f t="shared" ca="1" si="33"/>
        <v/>
      </c>
      <c r="AD40" s="1">
        <f t="shared" ca="1" si="34"/>
        <v>3</v>
      </c>
      <c r="AE40" s="1">
        <f t="shared" ca="1" si="35"/>
        <v>1.0711112439012447</v>
      </c>
      <c r="AF40" s="1">
        <f t="shared" ca="1" si="36"/>
        <v>3</v>
      </c>
      <c r="AG40" s="1" t="str">
        <f t="shared" ca="1" si="37"/>
        <v/>
      </c>
      <c r="AH40" s="1">
        <f t="shared" ca="1" si="38"/>
        <v>0.66666666666666652</v>
      </c>
    </row>
    <row r="41" spans="2:34" x14ac:dyDescent="0.15">
      <c r="B41" s="2">
        <v>9</v>
      </c>
      <c r="C41" s="2" t="str">
        <f t="shared" si="27"/>
        <v>扇子</v>
      </c>
      <c r="D41" s="2" t="str">
        <f t="shared" si="27"/>
        <v>火炎</v>
      </c>
      <c r="E41" s="2">
        <f t="shared" ca="1" si="39"/>
        <v>9.7199999999999989</v>
      </c>
      <c r="F41" s="2">
        <v>0.5</v>
      </c>
      <c r="G41" s="2">
        <f t="shared" ca="1" si="40"/>
        <v>1.4814000000000001</v>
      </c>
      <c r="H41" s="2">
        <f t="shared" ca="1" si="41"/>
        <v>6</v>
      </c>
      <c r="I41" s="2">
        <f t="shared" ca="1" si="42"/>
        <v>1.9644443780493777</v>
      </c>
      <c r="J41" s="2">
        <f t="shared" ca="1" si="43"/>
        <v>7.5</v>
      </c>
      <c r="K41" s="2">
        <f t="shared" ca="1" si="44"/>
        <v>1.3333333333333335</v>
      </c>
      <c r="L41" s="2">
        <f t="shared" si="45"/>
        <v>2</v>
      </c>
      <c r="M41" s="2">
        <f t="shared" ca="1" si="46"/>
        <v>1.7229221890246889</v>
      </c>
      <c r="N41" s="2">
        <f t="shared" ca="1" si="29"/>
        <v>1.7229221890246889</v>
      </c>
      <c r="O41" s="2">
        <f t="shared" ca="1" si="29"/>
        <v>1.7229221890246889</v>
      </c>
      <c r="P41" s="2">
        <f t="shared" ca="1" si="29"/>
        <v>2.0675066268296267</v>
      </c>
      <c r="Q41" s="2">
        <f t="shared" ca="1" si="29"/>
        <v>1.7229221890246889</v>
      </c>
      <c r="R41" s="2">
        <f t="shared" ca="1" si="29"/>
        <v>1.7229221890246889</v>
      </c>
      <c r="S41" s="2">
        <f t="shared" ca="1" si="29"/>
        <v>1.7229221890246889</v>
      </c>
      <c r="T41" s="2">
        <f t="shared" ca="1" si="30"/>
        <v>2</v>
      </c>
      <c r="U41" s="2">
        <f t="shared" ca="1" si="47"/>
        <v>2</v>
      </c>
      <c r="V41" s="2">
        <f t="shared" ca="1" si="47"/>
        <v>2</v>
      </c>
      <c r="W41" s="2">
        <f t="shared" ca="1" si="47"/>
        <v>2</v>
      </c>
      <c r="X41" s="2">
        <f t="shared" ca="1" si="47"/>
        <v>3</v>
      </c>
      <c r="Y41" s="2">
        <f t="shared" ca="1" si="47"/>
        <v>2</v>
      </c>
      <c r="Z41" s="2">
        <f t="shared" ca="1" si="47"/>
        <v>2</v>
      </c>
      <c r="AA41" s="2">
        <f t="shared" ca="1" si="48"/>
        <v>2</v>
      </c>
      <c r="AB41" s="1" t="str">
        <f t="shared" ca="1" si="32"/>
        <v/>
      </c>
      <c r="AC41" s="1" t="str">
        <f t="shared" ca="1" si="33"/>
        <v/>
      </c>
      <c r="AD41" s="1" t="str">
        <f t="shared" ca="1" si="34"/>
        <v/>
      </c>
      <c r="AE41" s="1">
        <f t="shared" ca="1" si="35"/>
        <v>0.51531124390124416</v>
      </c>
      <c r="AF41" s="1" t="str">
        <f t="shared" ca="1" si="36"/>
        <v/>
      </c>
      <c r="AG41" s="1">
        <f t="shared" ca="1" si="37"/>
        <v>0.20000000000000018</v>
      </c>
      <c r="AH41" s="1">
        <f t="shared" ca="1" si="38"/>
        <v>0.53333333333333344</v>
      </c>
    </row>
    <row r="42" spans="2:34" x14ac:dyDescent="0.15">
      <c r="B42" s="2">
        <v>10</v>
      </c>
      <c r="C42" s="2" t="str">
        <f t="shared" si="27"/>
        <v>牙齿</v>
      </c>
      <c r="D42" s="2" t="str">
        <f t="shared" si="27"/>
        <v>黑暗</v>
      </c>
      <c r="E42" s="2">
        <f t="shared" ca="1" si="39"/>
        <v>10.4</v>
      </c>
      <c r="F42" s="2">
        <v>0.5</v>
      </c>
      <c r="G42" s="2">
        <f t="shared" ca="1" si="40"/>
        <v>1.9644443780493777</v>
      </c>
      <c r="H42" s="2">
        <f t="shared" ca="1" si="41"/>
        <v>7.5</v>
      </c>
      <c r="I42" s="2">
        <f t="shared" ca="1" si="42"/>
        <v>0.41665000000000002</v>
      </c>
      <c r="J42" s="2">
        <f t="shared" ca="1" si="43"/>
        <v>7.5</v>
      </c>
      <c r="K42" s="2">
        <f t="shared" ca="1" si="44"/>
        <v>0.66666666666666674</v>
      </c>
      <c r="L42" s="2">
        <f t="shared" si="45"/>
        <v>2</v>
      </c>
      <c r="M42" s="2">
        <f t="shared" ca="1" si="46"/>
        <v>1.1905471890246888</v>
      </c>
      <c r="N42" s="2">
        <f t="shared" ca="1" si="29"/>
        <v>1.1905471890246888</v>
      </c>
      <c r="O42" s="2">
        <f t="shared" ca="1" si="29"/>
        <v>1.1905471890246888</v>
      </c>
      <c r="P42" s="2">
        <f t="shared" ca="1" si="29"/>
        <v>1.1905471890246888</v>
      </c>
      <c r="Q42" s="2">
        <f t="shared" ca="1" si="29"/>
        <v>1.1905471890246888</v>
      </c>
      <c r="R42" s="2">
        <f t="shared" ca="1" si="29"/>
        <v>1.4286566268296266</v>
      </c>
      <c r="S42" s="2">
        <f t="shared" ca="1" si="29"/>
        <v>1.1905471890246888</v>
      </c>
      <c r="T42" s="2">
        <f t="shared" ca="1" si="30"/>
        <v>1.6</v>
      </c>
      <c r="U42" s="2">
        <f t="shared" ca="1" si="47"/>
        <v>1.6</v>
      </c>
      <c r="V42" s="2">
        <f t="shared" ca="1" si="47"/>
        <v>1.6</v>
      </c>
      <c r="W42" s="2">
        <f t="shared" ca="1" si="47"/>
        <v>1.6</v>
      </c>
      <c r="X42" s="2">
        <f t="shared" ca="1" si="47"/>
        <v>1.6</v>
      </c>
      <c r="Y42" s="2">
        <f t="shared" ca="1" si="47"/>
        <v>1.6</v>
      </c>
      <c r="Z42" s="2">
        <f t="shared" ca="1" si="47"/>
        <v>2.4000000000000004</v>
      </c>
      <c r="AA42" s="2">
        <f t="shared" ca="1" si="48"/>
        <v>1.6</v>
      </c>
      <c r="AB42" s="1">
        <f t="shared" ca="1" si="32"/>
        <v>0.40000000000000036</v>
      </c>
      <c r="AC42" s="1">
        <f t="shared" ca="1" si="33"/>
        <v>3.5708112439012454</v>
      </c>
      <c r="AD42" s="1">
        <f t="shared" ca="1" si="34"/>
        <v>1.5</v>
      </c>
      <c r="AE42" s="1" t="str">
        <f t="shared" ca="1" si="35"/>
        <v/>
      </c>
      <c r="AF42" s="1">
        <f t="shared" ca="1" si="36"/>
        <v>1.5</v>
      </c>
      <c r="AG42" s="1" t="str">
        <f t="shared" ca="1" si="37"/>
        <v/>
      </c>
      <c r="AH42" s="1" t="str">
        <f t="shared" ca="1" si="38"/>
        <v/>
      </c>
    </row>
    <row r="43" spans="2:34" x14ac:dyDescent="0.15">
      <c r="B43" s="2">
        <v>11</v>
      </c>
      <c r="C43" s="2" t="str">
        <f t="shared" si="27"/>
        <v>球</v>
      </c>
      <c r="D43" s="2" t="str">
        <f t="shared" si="27"/>
        <v>电击</v>
      </c>
      <c r="E43" s="2">
        <f t="shared" ca="1" si="39"/>
        <v>9.3450000000000006</v>
      </c>
      <c r="F43" s="2">
        <v>2.5</v>
      </c>
      <c r="G43" s="2">
        <f t="shared" ca="1" si="40"/>
        <v>0.47615000000000002</v>
      </c>
      <c r="H43" s="2">
        <f t="shared" ca="1" si="41"/>
        <v>4.5</v>
      </c>
      <c r="I43" s="2">
        <f t="shared" ca="1" si="42"/>
        <v>1.9644443780493777</v>
      </c>
      <c r="J43" s="2">
        <f t="shared" ca="1" si="43"/>
        <v>7.5</v>
      </c>
      <c r="K43" s="2">
        <f t="shared" ca="1" si="44"/>
        <v>0.73333333333333339</v>
      </c>
      <c r="L43" s="2">
        <f t="shared" si="45"/>
        <v>2</v>
      </c>
      <c r="M43" s="2">
        <f t="shared" ca="1" si="46"/>
        <v>1.2202971890246888</v>
      </c>
      <c r="N43" s="2">
        <f t="shared" ca="1" si="29"/>
        <v>1.2202971890246888</v>
      </c>
      <c r="O43" s="2">
        <f t="shared" ca="1" si="29"/>
        <v>1.2202971890246888</v>
      </c>
      <c r="P43" s="2">
        <f t="shared" ca="1" si="29"/>
        <v>1.2202971890246888</v>
      </c>
      <c r="Q43" s="2">
        <f t="shared" ca="1" si="29"/>
        <v>1.2202971890246888</v>
      </c>
      <c r="R43" s="2">
        <f t="shared" ca="1" si="29"/>
        <v>1.2202971890246888</v>
      </c>
      <c r="S43" s="2">
        <f t="shared" ca="1" si="29"/>
        <v>1.4643566268296264</v>
      </c>
      <c r="T43" s="2">
        <f t="shared" ca="1" si="30"/>
        <v>2</v>
      </c>
      <c r="U43" s="2">
        <f t="shared" ca="1" si="47"/>
        <v>2</v>
      </c>
      <c r="V43" s="2">
        <f t="shared" ca="1" si="47"/>
        <v>2</v>
      </c>
      <c r="W43" s="2">
        <f t="shared" ca="1" si="47"/>
        <v>2</v>
      </c>
      <c r="X43" s="2">
        <f t="shared" ca="1" si="47"/>
        <v>2</v>
      </c>
      <c r="Y43" s="2">
        <f t="shared" ca="1" si="47"/>
        <v>2</v>
      </c>
      <c r="Z43" s="2">
        <f t="shared" ca="1" si="47"/>
        <v>2</v>
      </c>
      <c r="AA43" s="2">
        <f t="shared" ca="1" si="48"/>
        <v>3</v>
      </c>
      <c r="AB43" s="1" t="str">
        <f t="shared" ca="1" si="32"/>
        <v/>
      </c>
      <c r="AC43" s="1" t="str">
        <f t="shared" ca="1" si="33"/>
        <v/>
      </c>
      <c r="AD43" s="1" t="str">
        <f t="shared" ca="1" si="34"/>
        <v/>
      </c>
      <c r="AE43" s="1">
        <f t="shared" ca="1" si="35"/>
        <v>4.6418112439012447</v>
      </c>
      <c r="AF43" s="1" t="str">
        <f t="shared" ca="1" si="36"/>
        <v/>
      </c>
      <c r="AG43" s="1">
        <f t="shared" ca="1" si="37"/>
        <v>0.39999999999999991</v>
      </c>
      <c r="AH43" s="1" t="str">
        <f t="shared" ca="1" si="38"/>
        <v/>
      </c>
    </row>
    <row r="44" spans="2:34" x14ac:dyDescent="0.15">
      <c r="B44" s="2">
        <v>12</v>
      </c>
      <c r="C44" s="2" t="str">
        <f t="shared" si="27"/>
        <v>爪</v>
      </c>
      <c r="D44" s="2" t="str">
        <f t="shared" si="27"/>
        <v>冷却</v>
      </c>
      <c r="E44" s="2">
        <f t="shared" ca="1" si="39"/>
        <v>9.66</v>
      </c>
      <c r="F44" s="2">
        <v>0.5</v>
      </c>
      <c r="G44" s="2">
        <f t="shared" ca="1" si="40"/>
        <v>1.9644443780493777</v>
      </c>
      <c r="H44" s="2">
        <f t="shared" ca="1" si="41"/>
        <v>7.5</v>
      </c>
      <c r="I44" s="2">
        <f t="shared" ca="1" si="42"/>
        <v>0.71420000000000006</v>
      </c>
      <c r="J44" s="2">
        <f t="shared" ca="1" si="43"/>
        <v>7.5</v>
      </c>
      <c r="K44" s="2">
        <f t="shared" ca="1" si="44"/>
        <v>1.3333333333333335</v>
      </c>
      <c r="L44" s="2">
        <f t="shared" si="45"/>
        <v>2</v>
      </c>
      <c r="M44" s="2">
        <f t="shared" ca="1" si="46"/>
        <v>1.3393221890246889</v>
      </c>
      <c r="N44" s="2">
        <f t="shared" ca="1" si="29"/>
        <v>1.3393221890246889</v>
      </c>
      <c r="O44" s="2">
        <f t="shared" ca="1" si="29"/>
        <v>1.6071866268296267</v>
      </c>
      <c r="P44" s="2">
        <f t="shared" ca="1" si="29"/>
        <v>1.3393221890246889</v>
      </c>
      <c r="Q44" s="2">
        <f t="shared" ca="1" si="29"/>
        <v>1.3393221890246889</v>
      </c>
      <c r="R44" s="2">
        <f t="shared" ca="1" si="29"/>
        <v>1.3393221890246889</v>
      </c>
      <c r="S44" s="2">
        <f t="shared" ca="1" si="29"/>
        <v>1.3393221890246889</v>
      </c>
      <c r="T44" s="2">
        <f t="shared" ca="1" si="30"/>
        <v>1.6</v>
      </c>
      <c r="U44" s="2">
        <f t="shared" ca="1" si="47"/>
        <v>1.6</v>
      </c>
      <c r="V44" s="2">
        <f t="shared" ca="1" si="47"/>
        <v>1.6</v>
      </c>
      <c r="W44" s="2">
        <f t="shared" ca="1" si="47"/>
        <v>2.4000000000000004</v>
      </c>
      <c r="X44" s="2">
        <f t="shared" ca="1" si="47"/>
        <v>1.6</v>
      </c>
      <c r="Y44" s="2">
        <f t="shared" ca="1" si="47"/>
        <v>1.6</v>
      </c>
      <c r="Z44" s="2">
        <f t="shared" ca="1" si="47"/>
        <v>1.6</v>
      </c>
      <c r="AA44" s="2">
        <f t="shared" ca="1" si="48"/>
        <v>1.6</v>
      </c>
      <c r="AB44" s="1" t="str">
        <f t="shared" ca="1" si="32"/>
        <v/>
      </c>
      <c r="AC44" s="1">
        <f t="shared" ca="1" si="33"/>
        <v>1.7847112439012451</v>
      </c>
      <c r="AD44" s="1">
        <f t="shared" ca="1" si="34"/>
        <v>2.25</v>
      </c>
      <c r="AE44" s="1" t="str">
        <f t="shared" ca="1" si="35"/>
        <v/>
      </c>
      <c r="AF44" s="1">
        <f t="shared" ca="1" si="36"/>
        <v>0.75</v>
      </c>
      <c r="AG44" s="1" t="str">
        <f t="shared" ca="1" si="37"/>
        <v/>
      </c>
      <c r="AH44" s="1">
        <f t="shared" ca="1" si="38"/>
        <v>0.73333333333333339</v>
      </c>
    </row>
    <row r="45" spans="2:34" x14ac:dyDescent="0.15">
      <c r="B45" s="2">
        <v>13</v>
      </c>
      <c r="C45" s="2" t="str">
        <f t="shared" si="27"/>
        <v>剑</v>
      </c>
      <c r="D45" s="2" t="str">
        <f t="shared" si="27"/>
        <v>地脉</v>
      </c>
      <c r="E45" s="2">
        <f t="shared" ca="1" si="39"/>
        <v>10.4</v>
      </c>
      <c r="F45" s="2">
        <v>0.5</v>
      </c>
      <c r="G45" s="2">
        <f t="shared" ca="1" si="40"/>
        <v>1.9644443780493777</v>
      </c>
      <c r="H45" s="2">
        <f t="shared" ca="1" si="41"/>
        <v>7.5</v>
      </c>
      <c r="I45" s="2">
        <f t="shared" ca="1" si="42"/>
        <v>0.33330000000000004</v>
      </c>
      <c r="J45" s="2">
        <f t="shared" ca="1" si="43"/>
        <v>7.5</v>
      </c>
      <c r="K45" s="2">
        <f t="shared" ca="1" si="44"/>
        <v>1</v>
      </c>
      <c r="L45" s="2">
        <f t="shared" si="45"/>
        <v>2</v>
      </c>
      <c r="M45" s="2">
        <f t="shared" ca="1" si="46"/>
        <v>1.1488721890246889</v>
      </c>
      <c r="N45" s="2">
        <f t="shared" ca="1" si="29"/>
        <v>1.3786466268296267</v>
      </c>
      <c r="O45" s="2">
        <f t="shared" ca="1" si="29"/>
        <v>1.1488721890246889</v>
      </c>
      <c r="P45" s="2">
        <f t="shared" ca="1" si="29"/>
        <v>1.1488721890246889</v>
      </c>
      <c r="Q45" s="2">
        <f t="shared" ca="1" si="29"/>
        <v>1.1488721890246889</v>
      </c>
      <c r="R45" s="2">
        <f t="shared" ca="1" si="29"/>
        <v>1.1488721890246889</v>
      </c>
      <c r="S45" s="2">
        <f t="shared" ca="1" si="29"/>
        <v>1.1488721890246889</v>
      </c>
      <c r="T45" s="2">
        <f t="shared" ca="1" si="30"/>
        <v>1.8</v>
      </c>
      <c r="U45" s="2">
        <f t="shared" ca="1" si="47"/>
        <v>1.8</v>
      </c>
      <c r="V45" s="2">
        <f t="shared" ca="1" si="47"/>
        <v>2.7</v>
      </c>
      <c r="W45" s="2">
        <f t="shared" ca="1" si="47"/>
        <v>1.8</v>
      </c>
      <c r="X45" s="2">
        <f t="shared" ca="1" si="47"/>
        <v>1.8</v>
      </c>
      <c r="Y45" s="2">
        <f t="shared" ca="1" si="47"/>
        <v>1.8</v>
      </c>
      <c r="Z45" s="2">
        <f t="shared" ca="1" si="47"/>
        <v>1.8</v>
      </c>
      <c r="AA45" s="2">
        <f t="shared" ca="1" si="48"/>
        <v>1.8</v>
      </c>
      <c r="AB45" s="1">
        <f t="shared" ca="1" si="32"/>
        <v>2.3499999999999996</v>
      </c>
      <c r="AC45" s="1">
        <f t="shared" ca="1" si="33"/>
        <v>2.0705112439012452</v>
      </c>
      <c r="AD45" s="1">
        <f t="shared" ca="1" si="34"/>
        <v>0.75</v>
      </c>
      <c r="AE45" s="1" t="str">
        <f t="shared" ca="1" si="35"/>
        <v/>
      </c>
      <c r="AF45" s="1">
        <f t="shared" ca="1" si="36"/>
        <v>0.75</v>
      </c>
      <c r="AG45" s="1" t="str">
        <f t="shared" ca="1" si="37"/>
        <v/>
      </c>
      <c r="AH45" s="1" t="str">
        <f t="shared" ca="1" si="38"/>
        <v/>
      </c>
    </row>
    <row r="49" spans="2:24" x14ac:dyDescent="0.15">
      <c r="B49" s="16" t="s">
        <v>541</v>
      </c>
      <c r="C49" s="16" t="s">
        <v>536</v>
      </c>
      <c r="D49" s="16" t="s">
        <v>538</v>
      </c>
      <c r="E49" s="16" t="s">
        <v>539</v>
      </c>
      <c r="F49" s="16" t="s">
        <v>540</v>
      </c>
      <c r="H49" s="16" t="s">
        <v>544</v>
      </c>
      <c r="I49" s="16" t="s">
        <v>536</v>
      </c>
      <c r="J49" s="16" t="s">
        <v>537</v>
      </c>
      <c r="K49" s="16" t="s">
        <v>543</v>
      </c>
      <c r="L49" s="16" t="s">
        <v>540</v>
      </c>
      <c r="N49" s="16" t="s">
        <v>546</v>
      </c>
      <c r="O49" s="16" t="s">
        <v>545</v>
      </c>
      <c r="P49" s="16" t="s">
        <v>537</v>
      </c>
      <c r="Q49" s="16" t="s">
        <v>543</v>
      </c>
      <c r="R49" s="16" t="s">
        <v>540</v>
      </c>
      <c r="T49" s="16" t="s">
        <v>547</v>
      </c>
      <c r="U49" s="16" t="s">
        <v>542</v>
      </c>
      <c r="V49" s="16" t="s">
        <v>538</v>
      </c>
      <c r="W49" s="16" t="s">
        <v>539</v>
      </c>
      <c r="X49" s="16" t="s">
        <v>548</v>
      </c>
    </row>
    <row r="50" spans="2:24" x14ac:dyDescent="0.15">
      <c r="B50" s="2" t="str">
        <f>C50&amp;D50</f>
        <v>11</v>
      </c>
      <c r="C50" s="2">
        <v>1</v>
      </c>
      <c r="D50" s="2">
        <v>1</v>
      </c>
      <c r="E50" s="25">
        <v>0.05</v>
      </c>
      <c r="F50" s="25">
        <v>0.08</v>
      </c>
      <c r="H50" s="2" t="str">
        <f t="shared" ref="H50:H85" si="49">B50</f>
        <v>11</v>
      </c>
      <c r="I50" s="2">
        <f t="shared" ref="I50:I85" si="50">C50</f>
        <v>1</v>
      </c>
      <c r="J50" s="2">
        <f t="shared" ref="J50:J85" si="51">D50</f>
        <v>1</v>
      </c>
      <c r="K50" s="25">
        <v>0.2</v>
      </c>
      <c r="L50" s="25">
        <v>0.7</v>
      </c>
      <c r="N50" s="2" t="str">
        <f t="shared" ref="N50:N85" si="52">H50</f>
        <v>11</v>
      </c>
      <c r="O50" s="2">
        <f t="shared" ref="O50:O85" si="53">I50</f>
        <v>1</v>
      </c>
      <c r="P50" s="2">
        <f t="shared" ref="P50:P85" si="54">J50</f>
        <v>1</v>
      </c>
      <c r="Q50" s="25">
        <v>0.05</v>
      </c>
      <c r="R50" s="25">
        <v>0.08</v>
      </c>
      <c r="T50" s="2" t="str">
        <f t="shared" ref="T50:T85" si="55">N50</f>
        <v>11</v>
      </c>
      <c r="U50" s="2">
        <f t="shared" ref="U50:U85" si="56">O50</f>
        <v>1</v>
      </c>
      <c r="V50" s="2">
        <f t="shared" ref="V50:V85" si="57">P50</f>
        <v>1</v>
      </c>
      <c r="W50" s="25">
        <v>0.05</v>
      </c>
      <c r="X50" s="25">
        <v>0.08</v>
      </c>
    </row>
    <row r="51" spans="2:24" x14ac:dyDescent="0.15">
      <c r="B51" s="2" t="str">
        <f t="shared" ref="B51:B85" si="58">C51&amp;D51</f>
        <v>21</v>
      </c>
      <c r="C51" s="2">
        <v>2</v>
      </c>
      <c r="D51" s="2">
        <v>1</v>
      </c>
      <c r="E51" s="27">
        <f>E50+0.01</f>
        <v>6.0000000000000005E-2</v>
      </c>
      <c r="F51" s="27">
        <f>F50+0.01</f>
        <v>0.09</v>
      </c>
      <c r="H51" s="2" t="str">
        <f t="shared" si="49"/>
        <v>21</v>
      </c>
      <c r="I51" s="2">
        <f t="shared" si="50"/>
        <v>2</v>
      </c>
      <c r="J51" s="2">
        <f t="shared" si="51"/>
        <v>1</v>
      </c>
      <c r="K51" s="45">
        <f>K50+0.1</f>
        <v>0.30000000000000004</v>
      </c>
      <c r="L51" s="45">
        <f>L50+0.1</f>
        <v>0.79999999999999993</v>
      </c>
      <c r="N51" s="2" t="str">
        <f t="shared" si="52"/>
        <v>21</v>
      </c>
      <c r="O51" s="2">
        <f t="shared" si="53"/>
        <v>2</v>
      </c>
      <c r="P51" s="2">
        <f t="shared" si="54"/>
        <v>1</v>
      </c>
      <c r="Q51" s="25">
        <f t="shared" ref="Q51:Q85" si="59">E51</f>
        <v>6.0000000000000005E-2</v>
      </c>
      <c r="R51" s="25">
        <f t="shared" ref="R51:R85" si="60">F51</f>
        <v>0.09</v>
      </c>
      <c r="T51" s="2" t="str">
        <f t="shared" si="55"/>
        <v>21</v>
      </c>
      <c r="U51" s="2">
        <f t="shared" si="56"/>
        <v>2</v>
      </c>
      <c r="V51" s="2">
        <f t="shared" si="57"/>
        <v>1</v>
      </c>
      <c r="W51" s="27">
        <f>W50+0.01</f>
        <v>6.0000000000000005E-2</v>
      </c>
      <c r="X51" s="45">
        <f>X50+0.02</f>
        <v>0.1</v>
      </c>
    </row>
    <row r="52" spans="2:24" x14ac:dyDescent="0.15">
      <c r="B52" s="2" t="str">
        <f t="shared" si="58"/>
        <v>31</v>
      </c>
      <c r="C52" s="2">
        <v>3</v>
      </c>
      <c r="D52" s="2">
        <v>1</v>
      </c>
      <c r="E52" s="27">
        <f t="shared" ref="E52:E58" si="61">E51+0.01</f>
        <v>7.0000000000000007E-2</v>
      </c>
      <c r="F52" s="27">
        <f t="shared" ref="F52:F58" si="62">F51+0.01</f>
        <v>9.9999999999999992E-2</v>
      </c>
      <c r="H52" s="2" t="str">
        <f t="shared" si="49"/>
        <v>31</v>
      </c>
      <c r="I52" s="2">
        <f t="shared" si="50"/>
        <v>3</v>
      </c>
      <c r="J52" s="2">
        <f t="shared" si="51"/>
        <v>1</v>
      </c>
      <c r="K52" s="45">
        <f t="shared" ref="K52:K58" si="63">K51+0.1</f>
        <v>0.4</v>
      </c>
      <c r="L52" s="45">
        <f t="shared" ref="L52:L58" si="64">L51+0.1</f>
        <v>0.89999999999999991</v>
      </c>
      <c r="N52" s="2" t="str">
        <f t="shared" si="52"/>
        <v>31</v>
      </c>
      <c r="O52" s="2">
        <f t="shared" si="53"/>
        <v>3</v>
      </c>
      <c r="P52" s="2">
        <f t="shared" si="54"/>
        <v>1</v>
      </c>
      <c r="Q52" s="25">
        <f t="shared" si="59"/>
        <v>7.0000000000000007E-2</v>
      </c>
      <c r="R52" s="25">
        <f t="shared" si="60"/>
        <v>9.9999999999999992E-2</v>
      </c>
      <c r="T52" s="2" t="str">
        <f t="shared" si="55"/>
        <v>31</v>
      </c>
      <c r="U52" s="2">
        <f t="shared" si="56"/>
        <v>3</v>
      </c>
      <c r="V52" s="2">
        <f t="shared" si="57"/>
        <v>1</v>
      </c>
      <c r="W52" s="27">
        <f t="shared" ref="W52:W58" si="65">W51+0.01</f>
        <v>7.0000000000000007E-2</v>
      </c>
      <c r="X52" s="45">
        <f t="shared" ref="X52:X58" si="66">X51+0.02</f>
        <v>0.12000000000000001</v>
      </c>
    </row>
    <row r="53" spans="2:24" x14ac:dyDescent="0.15">
      <c r="B53" s="2" t="str">
        <f t="shared" si="58"/>
        <v>41</v>
      </c>
      <c r="C53" s="2">
        <v>4</v>
      </c>
      <c r="D53" s="2">
        <v>1</v>
      </c>
      <c r="E53" s="27">
        <f t="shared" si="61"/>
        <v>0.08</v>
      </c>
      <c r="F53" s="27">
        <f t="shared" si="62"/>
        <v>0.10999999999999999</v>
      </c>
      <c r="H53" s="2" t="str">
        <f t="shared" si="49"/>
        <v>41</v>
      </c>
      <c r="I53" s="2">
        <f t="shared" si="50"/>
        <v>4</v>
      </c>
      <c r="J53" s="2">
        <f t="shared" si="51"/>
        <v>1</v>
      </c>
      <c r="K53" s="45">
        <f t="shared" si="63"/>
        <v>0.5</v>
      </c>
      <c r="L53" s="45">
        <f t="shared" si="64"/>
        <v>0.99999999999999989</v>
      </c>
      <c r="N53" s="2" t="str">
        <f t="shared" si="52"/>
        <v>41</v>
      </c>
      <c r="O53" s="2">
        <f t="shared" si="53"/>
        <v>4</v>
      </c>
      <c r="P53" s="2">
        <f t="shared" si="54"/>
        <v>1</v>
      </c>
      <c r="Q53" s="25">
        <f t="shared" si="59"/>
        <v>0.08</v>
      </c>
      <c r="R53" s="25">
        <f t="shared" si="60"/>
        <v>0.10999999999999999</v>
      </c>
      <c r="T53" s="2" t="str">
        <f t="shared" si="55"/>
        <v>41</v>
      </c>
      <c r="U53" s="2">
        <f t="shared" si="56"/>
        <v>4</v>
      </c>
      <c r="V53" s="2">
        <f t="shared" si="57"/>
        <v>1</v>
      </c>
      <c r="W53" s="27">
        <f t="shared" si="65"/>
        <v>0.08</v>
      </c>
      <c r="X53" s="45">
        <f t="shared" si="66"/>
        <v>0.14000000000000001</v>
      </c>
    </row>
    <row r="54" spans="2:24" x14ac:dyDescent="0.15">
      <c r="B54" s="2" t="str">
        <f t="shared" si="58"/>
        <v>51</v>
      </c>
      <c r="C54" s="2">
        <v>5</v>
      </c>
      <c r="D54" s="2">
        <v>1</v>
      </c>
      <c r="E54" s="27">
        <f t="shared" si="61"/>
        <v>0.09</v>
      </c>
      <c r="F54" s="27">
        <f t="shared" si="62"/>
        <v>0.11999999999999998</v>
      </c>
      <c r="H54" s="2" t="str">
        <f t="shared" si="49"/>
        <v>51</v>
      </c>
      <c r="I54" s="2">
        <f t="shared" si="50"/>
        <v>5</v>
      </c>
      <c r="J54" s="2">
        <f t="shared" si="51"/>
        <v>1</v>
      </c>
      <c r="K54" s="45">
        <f t="shared" si="63"/>
        <v>0.6</v>
      </c>
      <c r="L54" s="45">
        <f t="shared" si="64"/>
        <v>1.0999999999999999</v>
      </c>
      <c r="N54" s="2" t="str">
        <f t="shared" si="52"/>
        <v>51</v>
      </c>
      <c r="O54" s="2">
        <f t="shared" si="53"/>
        <v>5</v>
      </c>
      <c r="P54" s="2">
        <f t="shared" si="54"/>
        <v>1</v>
      </c>
      <c r="Q54" s="25">
        <f t="shared" si="59"/>
        <v>0.09</v>
      </c>
      <c r="R54" s="25">
        <f t="shared" si="60"/>
        <v>0.11999999999999998</v>
      </c>
      <c r="T54" s="2" t="str">
        <f t="shared" si="55"/>
        <v>51</v>
      </c>
      <c r="U54" s="2">
        <f t="shared" si="56"/>
        <v>5</v>
      </c>
      <c r="V54" s="2">
        <f t="shared" si="57"/>
        <v>1</v>
      </c>
      <c r="W54" s="27">
        <f t="shared" si="65"/>
        <v>0.09</v>
      </c>
      <c r="X54" s="45">
        <f t="shared" si="66"/>
        <v>0.16</v>
      </c>
    </row>
    <row r="55" spans="2:24" x14ac:dyDescent="0.15">
      <c r="B55" s="2" t="str">
        <f t="shared" si="58"/>
        <v>61</v>
      </c>
      <c r="C55" s="2">
        <v>6</v>
      </c>
      <c r="D55" s="2">
        <v>1</v>
      </c>
      <c r="E55" s="27">
        <f t="shared" si="61"/>
        <v>9.9999999999999992E-2</v>
      </c>
      <c r="F55" s="27">
        <f t="shared" si="62"/>
        <v>0.12999999999999998</v>
      </c>
      <c r="H55" s="2" t="str">
        <f t="shared" si="49"/>
        <v>61</v>
      </c>
      <c r="I55" s="2">
        <f t="shared" si="50"/>
        <v>6</v>
      </c>
      <c r="J55" s="2">
        <f t="shared" si="51"/>
        <v>1</v>
      </c>
      <c r="K55" s="45">
        <f t="shared" si="63"/>
        <v>0.7</v>
      </c>
      <c r="L55" s="45">
        <f t="shared" si="64"/>
        <v>1.2</v>
      </c>
      <c r="N55" s="2" t="str">
        <f t="shared" si="52"/>
        <v>61</v>
      </c>
      <c r="O55" s="2">
        <f t="shared" si="53"/>
        <v>6</v>
      </c>
      <c r="P55" s="2">
        <f t="shared" si="54"/>
        <v>1</v>
      </c>
      <c r="Q55" s="25">
        <f t="shared" si="59"/>
        <v>9.9999999999999992E-2</v>
      </c>
      <c r="R55" s="25">
        <f t="shared" si="60"/>
        <v>0.12999999999999998</v>
      </c>
      <c r="T55" s="2" t="str">
        <f t="shared" si="55"/>
        <v>61</v>
      </c>
      <c r="U55" s="2">
        <f t="shared" si="56"/>
        <v>6</v>
      </c>
      <c r="V55" s="2">
        <f t="shared" si="57"/>
        <v>1</v>
      </c>
      <c r="W55" s="27">
        <f t="shared" si="65"/>
        <v>9.9999999999999992E-2</v>
      </c>
      <c r="X55" s="45">
        <f t="shared" si="66"/>
        <v>0.18</v>
      </c>
    </row>
    <row r="56" spans="2:24" x14ac:dyDescent="0.15">
      <c r="B56" s="2" t="str">
        <f t="shared" si="58"/>
        <v>71</v>
      </c>
      <c r="C56" s="2">
        <v>7</v>
      </c>
      <c r="D56" s="2">
        <v>1</v>
      </c>
      <c r="E56" s="27">
        <f t="shared" si="61"/>
        <v>0.10999999999999999</v>
      </c>
      <c r="F56" s="27">
        <f t="shared" si="62"/>
        <v>0.13999999999999999</v>
      </c>
      <c r="H56" s="2" t="str">
        <f t="shared" si="49"/>
        <v>71</v>
      </c>
      <c r="I56" s="2">
        <f t="shared" si="50"/>
        <v>7</v>
      </c>
      <c r="J56" s="2">
        <f t="shared" si="51"/>
        <v>1</v>
      </c>
      <c r="K56" s="45">
        <f t="shared" si="63"/>
        <v>0.79999999999999993</v>
      </c>
      <c r="L56" s="45">
        <f t="shared" si="64"/>
        <v>1.3</v>
      </c>
      <c r="N56" s="2" t="str">
        <f t="shared" si="52"/>
        <v>71</v>
      </c>
      <c r="O56" s="2">
        <f t="shared" si="53"/>
        <v>7</v>
      </c>
      <c r="P56" s="2">
        <f t="shared" si="54"/>
        <v>1</v>
      </c>
      <c r="Q56" s="25">
        <f t="shared" si="59"/>
        <v>0.10999999999999999</v>
      </c>
      <c r="R56" s="25">
        <f t="shared" si="60"/>
        <v>0.13999999999999999</v>
      </c>
      <c r="T56" s="2" t="str">
        <f t="shared" si="55"/>
        <v>71</v>
      </c>
      <c r="U56" s="2">
        <f t="shared" si="56"/>
        <v>7</v>
      </c>
      <c r="V56" s="2">
        <f t="shared" si="57"/>
        <v>1</v>
      </c>
      <c r="W56" s="27">
        <f t="shared" si="65"/>
        <v>0.10999999999999999</v>
      </c>
      <c r="X56" s="45">
        <f t="shared" si="66"/>
        <v>0.19999999999999998</v>
      </c>
    </row>
    <row r="57" spans="2:24" x14ac:dyDescent="0.15">
      <c r="B57" s="2" t="str">
        <f t="shared" si="58"/>
        <v>81</v>
      </c>
      <c r="C57" s="2">
        <v>8</v>
      </c>
      <c r="D57" s="2">
        <v>1</v>
      </c>
      <c r="E57" s="27">
        <f t="shared" si="61"/>
        <v>0.11999999999999998</v>
      </c>
      <c r="F57" s="27">
        <f t="shared" si="62"/>
        <v>0.15</v>
      </c>
      <c r="H57" s="2" t="str">
        <f t="shared" si="49"/>
        <v>81</v>
      </c>
      <c r="I57" s="2">
        <f t="shared" si="50"/>
        <v>8</v>
      </c>
      <c r="J57" s="2">
        <f t="shared" si="51"/>
        <v>1</v>
      </c>
      <c r="K57" s="45">
        <f t="shared" si="63"/>
        <v>0.89999999999999991</v>
      </c>
      <c r="L57" s="45">
        <f t="shared" si="64"/>
        <v>1.4000000000000001</v>
      </c>
      <c r="N57" s="2" t="str">
        <f t="shared" si="52"/>
        <v>81</v>
      </c>
      <c r="O57" s="2">
        <f t="shared" si="53"/>
        <v>8</v>
      </c>
      <c r="P57" s="2">
        <f t="shared" si="54"/>
        <v>1</v>
      </c>
      <c r="Q57" s="25">
        <f t="shared" si="59"/>
        <v>0.11999999999999998</v>
      </c>
      <c r="R57" s="25">
        <f t="shared" si="60"/>
        <v>0.15</v>
      </c>
      <c r="T57" s="2" t="str">
        <f t="shared" si="55"/>
        <v>81</v>
      </c>
      <c r="U57" s="2">
        <f t="shared" si="56"/>
        <v>8</v>
      </c>
      <c r="V57" s="2">
        <f t="shared" si="57"/>
        <v>1</v>
      </c>
      <c r="W57" s="27">
        <f t="shared" si="65"/>
        <v>0.11999999999999998</v>
      </c>
      <c r="X57" s="45">
        <f t="shared" si="66"/>
        <v>0.21999999999999997</v>
      </c>
    </row>
    <row r="58" spans="2:24" x14ac:dyDescent="0.15">
      <c r="B58" s="2" t="str">
        <f t="shared" si="58"/>
        <v>91</v>
      </c>
      <c r="C58" s="2">
        <v>9</v>
      </c>
      <c r="D58" s="2">
        <v>1</v>
      </c>
      <c r="E58" s="27">
        <f t="shared" si="61"/>
        <v>0.12999999999999998</v>
      </c>
      <c r="F58" s="27">
        <f t="shared" si="62"/>
        <v>0.16</v>
      </c>
      <c r="H58" s="2" t="str">
        <f t="shared" si="49"/>
        <v>91</v>
      </c>
      <c r="I58" s="2">
        <f t="shared" si="50"/>
        <v>9</v>
      </c>
      <c r="J58" s="2">
        <f t="shared" si="51"/>
        <v>1</v>
      </c>
      <c r="K58" s="45">
        <f t="shared" si="63"/>
        <v>0.99999999999999989</v>
      </c>
      <c r="L58" s="45">
        <f t="shared" si="64"/>
        <v>1.5000000000000002</v>
      </c>
      <c r="N58" s="2" t="str">
        <f t="shared" si="52"/>
        <v>91</v>
      </c>
      <c r="O58" s="2">
        <f t="shared" si="53"/>
        <v>9</v>
      </c>
      <c r="P58" s="2">
        <f t="shared" si="54"/>
        <v>1</v>
      </c>
      <c r="Q58" s="25">
        <f t="shared" si="59"/>
        <v>0.12999999999999998</v>
      </c>
      <c r="R58" s="25">
        <f t="shared" si="60"/>
        <v>0.16</v>
      </c>
      <c r="T58" s="2" t="str">
        <f t="shared" si="55"/>
        <v>91</v>
      </c>
      <c r="U58" s="2">
        <f t="shared" si="56"/>
        <v>9</v>
      </c>
      <c r="V58" s="2">
        <f t="shared" si="57"/>
        <v>1</v>
      </c>
      <c r="W58" s="27">
        <f t="shared" si="65"/>
        <v>0.12999999999999998</v>
      </c>
      <c r="X58" s="45">
        <f t="shared" si="66"/>
        <v>0.23999999999999996</v>
      </c>
    </row>
    <row r="59" spans="2:24" x14ac:dyDescent="0.15">
      <c r="B59" s="2" t="str">
        <f t="shared" si="58"/>
        <v>12</v>
      </c>
      <c r="C59" s="2">
        <f>C50</f>
        <v>1</v>
      </c>
      <c r="D59" s="2">
        <f>D50+1</f>
        <v>2</v>
      </c>
      <c r="E59" s="27">
        <f>E51</f>
        <v>6.0000000000000005E-2</v>
      </c>
      <c r="F59" s="27">
        <f>F51</f>
        <v>0.09</v>
      </c>
      <c r="H59" s="2" t="str">
        <f t="shared" si="49"/>
        <v>12</v>
      </c>
      <c r="I59" s="2">
        <f t="shared" si="50"/>
        <v>1</v>
      </c>
      <c r="J59" s="2">
        <f t="shared" si="51"/>
        <v>2</v>
      </c>
      <c r="K59" s="45">
        <f>K51+0.1</f>
        <v>0.4</v>
      </c>
      <c r="L59" s="45">
        <f>L51</f>
        <v>0.79999999999999993</v>
      </c>
      <c r="N59" s="2" t="str">
        <f t="shared" si="52"/>
        <v>12</v>
      </c>
      <c r="O59" s="2">
        <f t="shared" si="53"/>
        <v>1</v>
      </c>
      <c r="P59" s="2">
        <f t="shared" si="54"/>
        <v>2</v>
      </c>
      <c r="Q59" s="25">
        <f t="shared" si="59"/>
        <v>6.0000000000000005E-2</v>
      </c>
      <c r="R59" s="25">
        <f t="shared" si="60"/>
        <v>0.09</v>
      </c>
      <c r="T59" s="2" t="str">
        <f t="shared" si="55"/>
        <v>12</v>
      </c>
      <c r="U59" s="2">
        <f t="shared" si="56"/>
        <v>1</v>
      </c>
      <c r="V59" s="2">
        <f t="shared" si="57"/>
        <v>2</v>
      </c>
      <c r="W59" s="27">
        <f>W51</f>
        <v>6.0000000000000005E-2</v>
      </c>
      <c r="X59" s="45">
        <f>X51+0.02</f>
        <v>0.12000000000000001</v>
      </c>
    </row>
    <row r="60" spans="2:24" x14ac:dyDescent="0.15">
      <c r="B60" s="2" t="str">
        <f t="shared" si="58"/>
        <v>22</v>
      </c>
      <c r="C60" s="2">
        <f t="shared" ref="C60:C85" si="67">C51</f>
        <v>2</v>
      </c>
      <c r="D60" s="2">
        <f t="shared" ref="D60:D85" si="68">D51+1</f>
        <v>2</v>
      </c>
      <c r="E60" s="27">
        <f>E59+0.01</f>
        <v>7.0000000000000007E-2</v>
      </c>
      <c r="F60" s="27">
        <f>F59+0.01</f>
        <v>9.9999999999999992E-2</v>
      </c>
      <c r="H60" s="2" t="str">
        <f t="shared" si="49"/>
        <v>22</v>
      </c>
      <c r="I60" s="2">
        <f t="shared" si="50"/>
        <v>2</v>
      </c>
      <c r="J60" s="2">
        <f t="shared" si="51"/>
        <v>2</v>
      </c>
      <c r="K60" s="45">
        <f>K59+0.1</f>
        <v>0.5</v>
      </c>
      <c r="L60" s="45">
        <f>L59+0.1</f>
        <v>0.89999999999999991</v>
      </c>
      <c r="N60" s="2" t="str">
        <f t="shared" si="52"/>
        <v>22</v>
      </c>
      <c r="O60" s="2">
        <f t="shared" si="53"/>
        <v>2</v>
      </c>
      <c r="P60" s="2">
        <f t="shared" si="54"/>
        <v>2</v>
      </c>
      <c r="Q60" s="25">
        <f t="shared" si="59"/>
        <v>7.0000000000000007E-2</v>
      </c>
      <c r="R60" s="25">
        <f t="shared" si="60"/>
        <v>9.9999999999999992E-2</v>
      </c>
      <c r="T60" s="2" t="str">
        <f t="shared" si="55"/>
        <v>22</v>
      </c>
      <c r="U60" s="2">
        <f t="shared" si="56"/>
        <v>2</v>
      </c>
      <c r="V60" s="2">
        <f t="shared" si="57"/>
        <v>2</v>
      </c>
      <c r="W60" s="27">
        <f>W59+0.01</f>
        <v>7.0000000000000007E-2</v>
      </c>
      <c r="X60" s="45">
        <f>X59+0.02</f>
        <v>0.14000000000000001</v>
      </c>
    </row>
    <row r="61" spans="2:24" x14ac:dyDescent="0.15">
      <c r="B61" s="2" t="str">
        <f t="shared" si="58"/>
        <v>32</v>
      </c>
      <c r="C61" s="2">
        <f t="shared" si="67"/>
        <v>3</v>
      </c>
      <c r="D61" s="2">
        <f t="shared" si="68"/>
        <v>2</v>
      </c>
      <c r="E61" s="27">
        <f t="shared" ref="E61:E67" si="69">E60+0.01</f>
        <v>0.08</v>
      </c>
      <c r="F61" s="27">
        <f t="shared" ref="F61:F67" si="70">F60+0.01</f>
        <v>0.10999999999999999</v>
      </c>
      <c r="H61" s="2" t="str">
        <f t="shared" si="49"/>
        <v>32</v>
      </c>
      <c r="I61" s="2">
        <f t="shared" si="50"/>
        <v>3</v>
      </c>
      <c r="J61" s="2">
        <f t="shared" si="51"/>
        <v>2</v>
      </c>
      <c r="K61" s="45">
        <f t="shared" ref="K61:K67" si="71">K60+0.1</f>
        <v>0.6</v>
      </c>
      <c r="L61" s="45">
        <f t="shared" ref="L61:L67" si="72">L60+0.1</f>
        <v>0.99999999999999989</v>
      </c>
      <c r="N61" s="2" t="str">
        <f t="shared" si="52"/>
        <v>32</v>
      </c>
      <c r="O61" s="2">
        <f t="shared" si="53"/>
        <v>3</v>
      </c>
      <c r="P61" s="2">
        <f t="shared" si="54"/>
        <v>2</v>
      </c>
      <c r="Q61" s="25">
        <f t="shared" si="59"/>
        <v>0.08</v>
      </c>
      <c r="R61" s="25">
        <f t="shared" si="60"/>
        <v>0.10999999999999999</v>
      </c>
      <c r="T61" s="2" t="str">
        <f t="shared" si="55"/>
        <v>32</v>
      </c>
      <c r="U61" s="2">
        <f t="shared" si="56"/>
        <v>3</v>
      </c>
      <c r="V61" s="2">
        <f t="shared" si="57"/>
        <v>2</v>
      </c>
      <c r="W61" s="27">
        <f t="shared" ref="W61:W67" si="73">W60+0.01</f>
        <v>0.08</v>
      </c>
      <c r="X61" s="45">
        <f t="shared" ref="X61:X67" si="74">X60+0.02</f>
        <v>0.16</v>
      </c>
    </row>
    <row r="62" spans="2:24" x14ac:dyDescent="0.15">
      <c r="B62" s="2" t="str">
        <f t="shared" si="58"/>
        <v>42</v>
      </c>
      <c r="C62" s="2">
        <f t="shared" si="67"/>
        <v>4</v>
      </c>
      <c r="D62" s="2">
        <f t="shared" si="68"/>
        <v>2</v>
      </c>
      <c r="E62" s="27">
        <f t="shared" si="69"/>
        <v>0.09</v>
      </c>
      <c r="F62" s="27">
        <f t="shared" si="70"/>
        <v>0.11999999999999998</v>
      </c>
      <c r="H62" s="2" t="str">
        <f t="shared" si="49"/>
        <v>42</v>
      </c>
      <c r="I62" s="2">
        <f t="shared" si="50"/>
        <v>4</v>
      </c>
      <c r="J62" s="2">
        <f t="shared" si="51"/>
        <v>2</v>
      </c>
      <c r="K62" s="45">
        <f t="shared" si="71"/>
        <v>0.7</v>
      </c>
      <c r="L62" s="45">
        <f t="shared" si="72"/>
        <v>1.0999999999999999</v>
      </c>
      <c r="N62" s="2" t="str">
        <f t="shared" si="52"/>
        <v>42</v>
      </c>
      <c r="O62" s="2">
        <f t="shared" si="53"/>
        <v>4</v>
      </c>
      <c r="P62" s="2">
        <f t="shared" si="54"/>
        <v>2</v>
      </c>
      <c r="Q62" s="25">
        <f t="shared" si="59"/>
        <v>0.09</v>
      </c>
      <c r="R62" s="25">
        <f t="shared" si="60"/>
        <v>0.11999999999999998</v>
      </c>
      <c r="T62" s="2" t="str">
        <f t="shared" si="55"/>
        <v>42</v>
      </c>
      <c r="U62" s="2">
        <f t="shared" si="56"/>
        <v>4</v>
      </c>
      <c r="V62" s="2">
        <f t="shared" si="57"/>
        <v>2</v>
      </c>
      <c r="W62" s="27">
        <f t="shared" si="73"/>
        <v>0.09</v>
      </c>
      <c r="X62" s="45">
        <f t="shared" si="74"/>
        <v>0.18</v>
      </c>
    </row>
    <row r="63" spans="2:24" x14ac:dyDescent="0.15">
      <c r="B63" s="2" t="str">
        <f t="shared" si="58"/>
        <v>52</v>
      </c>
      <c r="C63" s="2">
        <f t="shared" si="67"/>
        <v>5</v>
      </c>
      <c r="D63" s="2">
        <f t="shared" si="68"/>
        <v>2</v>
      </c>
      <c r="E63" s="27">
        <f t="shared" si="69"/>
        <v>9.9999999999999992E-2</v>
      </c>
      <c r="F63" s="27">
        <f t="shared" si="70"/>
        <v>0.12999999999999998</v>
      </c>
      <c r="H63" s="2" t="str">
        <f t="shared" si="49"/>
        <v>52</v>
      </c>
      <c r="I63" s="2">
        <f t="shared" si="50"/>
        <v>5</v>
      </c>
      <c r="J63" s="2">
        <f t="shared" si="51"/>
        <v>2</v>
      </c>
      <c r="K63" s="45">
        <f t="shared" si="71"/>
        <v>0.79999999999999993</v>
      </c>
      <c r="L63" s="45">
        <f t="shared" si="72"/>
        <v>1.2</v>
      </c>
      <c r="N63" s="2" t="str">
        <f t="shared" si="52"/>
        <v>52</v>
      </c>
      <c r="O63" s="2">
        <f t="shared" si="53"/>
        <v>5</v>
      </c>
      <c r="P63" s="2">
        <f t="shared" si="54"/>
        <v>2</v>
      </c>
      <c r="Q63" s="25">
        <f t="shared" si="59"/>
        <v>9.9999999999999992E-2</v>
      </c>
      <c r="R63" s="25">
        <f t="shared" si="60"/>
        <v>0.12999999999999998</v>
      </c>
      <c r="T63" s="2" t="str">
        <f t="shared" si="55"/>
        <v>52</v>
      </c>
      <c r="U63" s="2">
        <f t="shared" si="56"/>
        <v>5</v>
      </c>
      <c r="V63" s="2">
        <f t="shared" si="57"/>
        <v>2</v>
      </c>
      <c r="W63" s="27">
        <f t="shared" si="73"/>
        <v>9.9999999999999992E-2</v>
      </c>
      <c r="X63" s="45">
        <f t="shared" si="74"/>
        <v>0.19999999999999998</v>
      </c>
    </row>
    <row r="64" spans="2:24" x14ac:dyDescent="0.15">
      <c r="B64" s="2" t="str">
        <f t="shared" si="58"/>
        <v>62</v>
      </c>
      <c r="C64" s="2">
        <f t="shared" si="67"/>
        <v>6</v>
      </c>
      <c r="D64" s="2">
        <f t="shared" si="68"/>
        <v>2</v>
      </c>
      <c r="E64" s="27">
        <f t="shared" si="69"/>
        <v>0.10999999999999999</v>
      </c>
      <c r="F64" s="27">
        <f t="shared" si="70"/>
        <v>0.13999999999999999</v>
      </c>
      <c r="H64" s="2" t="str">
        <f t="shared" si="49"/>
        <v>62</v>
      </c>
      <c r="I64" s="2">
        <f t="shared" si="50"/>
        <v>6</v>
      </c>
      <c r="J64" s="2">
        <f t="shared" si="51"/>
        <v>2</v>
      </c>
      <c r="K64" s="45">
        <f t="shared" si="71"/>
        <v>0.89999999999999991</v>
      </c>
      <c r="L64" s="45">
        <f t="shared" si="72"/>
        <v>1.3</v>
      </c>
      <c r="N64" s="2" t="str">
        <f t="shared" si="52"/>
        <v>62</v>
      </c>
      <c r="O64" s="2">
        <f t="shared" si="53"/>
        <v>6</v>
      </c>
      <c r="P64" s="2">
        <f t="shared" si="54"/>
        <v>2</v>
      </c>
      <c r="Q64" s="25">
        <f t="shared" si="59"/>
        <v>0.10999999999999999</v>
      </c>
      <c r="R64" s="25">
        <f t="shared" si="60"/>
        <v>0.13999999999999999</v>
      </c>
      <c r="T64" s="2" t="str">
        <f t="shared" si="55"/>
        <v>62</v>
      </c>
      <c r="U64" s="2">
        <f t="shared" si="56"/>
        <v>6</v>
      </c>
      <c r="V64" s="2">
        <f t="shared" si="57"/>
        <v>2</v>
      </c>
      <c r="W64" s="27">
        <f t="shared" si="73"/>
        <v>0.10999999999999999</v>
      </c>
      <c r="X64" s="45">
        <f t="shared" si="74"/>
        <v>0.21999999999999997</v>
      </c>
    </row>
    <row r="65" spans="2:24" x14ac:dyDescent="0.15">
      <c r="B65" s="2" t="str">
        <f t="shared" si="58"/>
        <v>72</v>
      </c>
      <c r="C65" s="2">
        <f t="shared" si="67"/>
        <v>7</v>
      </c>
      <c r="D65" s="2">
        <f t="shared" si="68"/>
        <v>2</v>
      </c>
      <c r="E65" s="27">
        <f t="shared" si="69"/>
        <v>0.11999999999999998</v>
      </c>
      <c r="F65" s="27">
        <f t="shared" si="70"/>
        <v>0.15</v>
      </c>
      <c r="H65" s="2" t="str">
        <f t="shared" si="49"/>
        <v>72</v>
      </c>
      <c r="I65" s="2">
        <f t="shared" si="50"/>
        <v>7</v>
      </c>
      <c r="J65" s="2">
        <f t="shared" si="51"/>
        <v>2</v>
      </c>
      <c r="K65" s="45">
        <f t="shared" si="71"/>
        <v>0.99999999999999989</v>
      </c>
      <c r="L65" s="45">
        <f t="shared" si="72"/>
        <v>1.4000000000000001</v>
      </c>
      <c r="N65" s="2" t="str">
        <f t="shared" si="52"/>
        <v>72</v>
      </c>
      <c r="O65" s="2">
        <f t="shared" si="53"/>
        <v>7</v>
      </c>
      <c r="P65" s="2">
        <f t="shared" si="54"/>
        <v>2</v>
      </c>
      <c r="Q65" s="25">
        <f t="shared" si="59"/>
        <v>0.11999999999999998</v>
      </c>
      <c r="R65" s="25">
        <f t="shared" si="60"/>
        <v>0.15</v>
      </c>
      <c r="T65" s="2" t="str">
        <f t="shared" si="55"/>
        <v>72</v>
      </c>
      <c r="U65" s="2">
        <f t="shared" si="56"/>
        <v>7</v>
      </c>
      <c r="V65" s="2">
        <f t="shared" si="57"/>
        <v>2</v>
      </c>
      <c r="W65" s="27">
        <f t="shared" si="73"/>
        <v>0.11999999999999998</v>
      </c>
      <c r="X65" s="45">
        <f t="shared" si="74"/>
        <v>0.23999999999999996</v>
      </c>
    </row>
    <row r="66" spans="2:24" x14ac:dyDescent="0.15">
      <c r="B66" s="2" t="str">
        <f t="shared" si="58"/>
        <v>82</v>
      </c>
      <c r="C66" s="2">
        <f t="shared" si="67"/>
        <v>8</v>
      </c>
      <c r="D66" s="2">
        <f t="shared" si="68"/>
        <v>2</v>
      </c>
      <c r="E66" s="27">
        <f t="shared" si="69"/>
        <v>0.12999999999999998</v>
      </c>
      <c r="F66" s="27">
        <f t="shared" si="70"/>
        <v>0.16</v>
      </c>
      <c r="H66" s="2" t="str">
        <f t="shared" si="49"/>
        <v>82</v>
      </c>
      <c r="I66" s="2">
        <f t="shared" si="50"/>
        <v>8</v>
      </c>
      <c r="J66" s="2">
        <f t="shared" si="51"/>
        <v>2</v>
      </c>
      <c r="K66" s="45">
        <f t="shared" si="71"/>
        <v>1.0999999999999999</v>
      </c>
      <c r="L66" s="45">
        <f t="shared" si="72"/>
        <v>1.5000000000000002</v>
      </c>
      <c r="N66" s="2" t="str">
        <f t="shared" si="52"/>
        <v>82</v>
      </c>
      <c r="O66" s="2">
        <f t="shared" si="53"/>
        <v>8</v>
      </c>
      <c r="P66" s="2">
        <f t="shared" si="54"/>
        <v>2</v>
      </c>
      <c r="Q66" s="25">
        <f t="shared" si="59"/>
        <v>0.12999999999999998</v>
      </c>
      <c r="R66" s="25">
        <f t="shared" si="60"/>
        <v>0.16</v>
      </c>
      <c r="T66" s="2" t="str">
        <f t="shared" si="55"/>
        <v>82</v>
      </c>
      <c r="U66" s="2">
        <f t="shared" si="56"/>
        <v>8</v>
      </c>
      <c r="V66" s="2">
        <f t="shared" si="57"/>
        <v>2</v>
      </c>
      <c r="W66" s="27">
        <f t="shared" si="73"/>
        <v>0.12999999999999998</v>
      </c>
      <c r="X66" s="45">
        <f t="shared" si="74"/>
        <v>0.25999999999999995</v>
      </c>
    </row>
    <row r="67" spans="2:24" x14ac:dyDescent="0.15">
      <c r="B67" s="2" t="str">
        <f t="shared" si="58"/>
        <v>92</v>
      </c>
      <c r="C67" s="2">
        <f t="shared" si="67"/>
        <v>9</v>
      </c>
      <c r="D67" s="2">
        <f t="shared" si="68"/>
        <v>2</v>
      </c>
      <c r="E67" s="27">
        <f t="shared" si="69"/>
        <v>0.13999999999999999</v>
      </c>
      <c r="F67" s="27">
        <f t="shared" si="70"/>
        <v>0.17</v>
      </c>
      <c r="H67" s="2" t="str">
        <f t="shared" si="49"/>
        <v>92</v>
      </c>
      <c r="I67" s="2">
        <f t="shared" si="50"/>
        <v>9</v>
      </c>
      <c r="J67" s="2">
        <f t="shared" si="51"/>
        <v>2</v>
      </c>
      <c r="K67" s="45">
        <f t="shared" si="71"/>
        <v>1.2</v>
      </c>
      <c r="L67" s="45">
        <f t="shared" si="72"/>
        <v>1.6000000000000003</v>
      </c>
      <c r="N67" s="2" t="str">
        <f t="shared" si="52"/>
        <v>92</v>
      </c>
      <c r="O67" s="2">
        <f t="shared" si="53"/>
        <v>9</v>
      </c>
      <c r="P67" s="2">
        <f t="shared" si="54"/>
        <v>2</v>
      </c>
      <c r="Q67" s="25">
        <f t="shared" si="59"/>
        <v>0.13999999999999999</v>
      </c>
      <c r="R67" s="25">
        <f t="shared" si="60"/>
        <v>0.17</v>
      </c>
      <c r="T67" s="2" t="str">
        <f t="shared" si="55"/>
        <v>92</v>
      </c>
      <c r="U67" s="2">
        <f t="shared" si="56"/>
        <v>9</v>
      </c>
      <c r="V67" s="2">
        <f t="shared" si="57"/>
        <v>2</v>
      </c>
      <c r="W67" s="27">
        <f t="shared" si="73"/>
        <v>0.13999999999999999</v>
      </c>
      <c r="X67" s="45">
        <f t="shared" si="74"/>
        <v>0.27999999999999997</v>
      </c>
    </row>
    <row r="68" spans="2:24" x14ac:dyDescent="0.15">
      <c r="B68" s="2" t="str">
        <f t="shared" si="58"/>
        <v>13</v>
      </c>
      <c r="C68" s="2">
        <f t="shared" si="67"/>
        <v>1</v>
      </c>
      <c r="D68" s="2">
        <f t="shared" si="68"/>
        <v>3</v>
      </c>
      <c r="E68" s="27">
        <f>E60</f>
        <v>7.0000000000000007E-2</v>
      </c>
      <c r="F68" s="27">
        <f>F60</f>
        <v>9.9999999999999992E-2</v>
      </c>
      <c r="H68" s="2" t="str">
        <f t="shared" si="49"/>
        <v>13</v>
      </c>
      <c r="I68" s="2">
        <f t="shared" si="50"/>
        <v>1</v>
      </c>
      <c r="J68" s="2">
        <f t="shared" si="51"/>
        <v>3</v>
      </c>
      <c r="K68" s="45">
        <f>K60+0.1</f>
        <v>0.6</v>
      </c>
      <c r="L68" s="45">
        <f>L60</f>
        <v>0.89999999999999991</v>
      </c>
      <c r="N68" s="2" t="str">
        <f t="shared" si="52"/>
        <v>13</v>
      </c>
      <c r="O68" s="2">
        <f t="shared" si="53"/>
        <v>1</v>
      </c>
      <c r="P68" s="2">
        <f t="shared" si="54"/>
        <v>3</v>
      </c>
      <c r="Q68" s="25">
        <f t="shared" si="59"/>
        <v>7.0000000000000007E-2</v>
      </c>
      <c r="R68" s="25">
        <f t="shared" si="60"/>
        <v>9.9999999999999992E-2</v>
      </c>
      <c r="T68" s="2" t="str">
        <f t="shared" si="55"/>
        <v>13</v>
      </c>
      <c r="U68" s="2">
        <f t="shared" si="56"/>
        <v>1</v>
      </c>
      <c r="V68" s="2">
        <f t="shared" si="57"/>
        <v>3</v>
      </c>
      <c r="W68" s="27">
        <f>W60</f>
        <v>7.0000000000000007E-2</v>
      </c>
      <c r="X68" s="45">
        <f>X60</f>
        <v>0.14000000000000001</v>
      </c>
    </row>
    <row r="69" spans="2:24" x14ac:dyDescent="0.15">
      <c r="B69" s="2" t="str">
        <f t="shared" si="58"/>
        <v>23</v>
      </c>
      <c r="C69" s="2">
        <f t="shared" si="67"/>
        <v>2</v>
      </c>
      <c r="D69" s="2">
        <f t="shared" si="68"/>
        <v>3</v>
      </c>
      <c r="E69" s="27">
        <f>E68+0.01</f>
        <v>0.08</v>
      </c>
      <c r="F69" s="27">
        <f>F68+0.01</f>
        <v>0.10999999999999999</v>
      </c>
      <c r="H69" s="2" t="str">
        <f t="shared" si="49"/>
        <v>23</v>
      </c>
      <c r="I69" s="2">
        <f t="shared" si="50"/>
        <v>2</v>
      </c>
      <c r="J69" s="2">
        <f t="shared" si="51"/>
        <v>3</v>
      </c>
      <c r="K69" s="45">
        <f>K68+0.1</f>
        <v>0.7</v>
      </c>
      <c r="L69" s="45">
        <f>L68+0.1</f>
        <v>0.99999999999999989</v>
      </c>
      <c r="N69" s="2" t="str">
        <f t="shared" si="52"/>
        <v>23</v>
      </c>
      <c r="O69" s="2">
        <f t="shared" si="53"/>
        <v>2</v>
      </c>
      <c r="P69" s="2">
        <f t="shared" si="54"/>
        <v>3</v>
      </c>
      <c r="Q69" s="25">
        <f t="shared" si="59"/>
        <v>0.08</v>
      </c>
      <c r="R69" s="25">
        <f t="shared" si="60"/>
        <v>0.10999999999999999</v>
      </c>
      <c r="T69" s="2" t="str">
        <f t="shared" si="55"/>
        <v>23</v>
      </c>
      <c r="U69" s="2">
        <f t="shared" si="56"/>
        <v>2</v>
      </c>
      <c r="V69" s="2">
        <f t="shared" si="57"/>
        <v>3</v>
      </c>
      <c r="W69" s="27">
        <f>W68+0.01</f>
        <v>0.08</v>
      </c>
      <c r="X69" s="45">
        <f>X68+0.02</f>
        <v>0.16</v>
      </c>
    </row>
    <row r="70" spans="2:24" x14ac:dyDescent="0.15">
      <c r="B70" s="2" t="str">
        <f t="shared" si="58"/>
        <v>33</v>
      </c>
      <c r="C70" s="2">
        <f t="shared" si="67"/>
        <v>3</v>
      </c>
      <c r="D70" s="2">
        <f t="shared" si="68"/>
        <v>3</v>
      </c>
      <c r="E70" s="27">
        <f t="shared" ref="E70:E76" si="75">E69+0.01</f>
        <v>0.09</v>
      </c>
      <c r="F70" s="27">
        <f t="shared" ref="F70:F76" si="76">F69+0.01</f>
        <v>0.11999999999999998</v>
      </c>
      <c r="H70" s="2" t="str">
        <f t="shared" si="49"/>
        <v>33</v>
      </c>
      <c r="I70" s="2">
        <f t="shared" si="50"/>
        <v>3</v>
      </c>
      <c r="J70" s="2">
        <f t="shared" si="51"/>
        <v>3</v>
      </c>
      <c r="K70" s="45">
        <f t="shared" ref="K70:K76" si="77">K69+0.1</f>
        <v>0.79999999999999993</v>
      </c>
      <c r="L70" s="45">
        <f t="shared" ref="L70:L76" si="78">L69+0.1</f>
        <v>1.0999999999999999</v>
      </c>
      <c r="N70" s="2" t="str">
        <f t="shared" si="52"/>
        <v>33</v>
      </c>
      <c r="O70" s="2">
        <f t="shared" si="53"/>
        <v>3</v>
      </c>
      <c r="P70" s="2">
        <f t="shared" si="54"/>
        <v>3</v>
      </c>
      <c r="Q70" s="25">
        <f t="shared" si="59"/>
        <v>0.09</v>
      </c>
      <c r="R70" s="25">
        <f t="shared" si="60"/>
        <v>0.11999999999999998</v>
      </c>
      <c r="T70" s="2" t="str">
        <f t="shared" si="55"/>
        <v>33</v>
      </c>
      <c r="U70" s="2">
        <f t="shared" si="56"/>
        <v>3</v>
      </c>
      <c r="V70" s="2">
        <f t="shared" si="57"/>
        <v>3</v>
      </c>
      <c r="W70" s="27">
        <f t="shared" ref="W70:W76" si="79">W69+0.01</f>
        <v>0.09</v>
      </c>
      <c r="X70" s="45">
        <f t="shared" ref="X70:X76" si="80">X69+0.02</f>
        <v>0.18</v>
      </c>
    </row>
    <row r="71" spans="2:24" x14ac:dyDescent="0.15">
      <c r="B71" s="2" t="str">
        <f t="shared" si="58"/>
        <v>43</v>
      </c>
      <c r="C71" s="2">
        <f t="shared" si="67"/>
        <v>4</v>
      </c>
      <c r="D71" s="2">
        <f t="shared" si="68"/>
        <v>3</v>
      </c>
      <c r="E71" s="27">
        <f t="shared" si="75"/>
        <v>9.9999999999999992E-2</v>
      </c>
      <c r="F71" s="27">
        <f t="shared" si="76"/>
        <v>0.12999999999999998</v>
      </c>
      <c r="H71" s="2" t="str">
        <f t="shared" si="49"/>
        <v>43</v>
      </c>
      <c r="I71" s="2">
        <f t="shared" si="50"/>
        <v>4</v>
      </c>
      <c r="J71" s="2">
        <f t="shared" si="51"/>
        <v>3</v>
      </c>
      <c r="K71" s="45">
        <f t="shared" si="77"/>
        <v>0.89999999999999991</v>
      </c>
      <c r="L71" s="45">
        <f t="shared" si="78"/>
        <v>1.2</v>
      </c>
      <c r="N71" s="2" t="str">
        <f t="shared" si="52"/>
        <v>43</v>
      </c>
      <c r="O71" s="2">
        <f t="shared" si="53"/>
        <v>4</v>
      </c>
      <c r="P71" s="2">
        <f t="shared" si="54"/>
        <v>3</v>
      </c>
      <c r="Q71" s="25">
        <f t="shared" si="59"/>
        <v>9.9999999999999992E-2</v>
      </c>
      <c r="R71" s="25">
        <f t="shared" si="60"/>
        <v>0.12999999999999998</v>
      </c>
      <c r="T71" s="2" t="str">
        <f t="shared" si="55"/>
        <v>43</v>
      </c>
      <c r="U71" s="2">
        <f t="shared" si="56"/>
        <v>4</v>
      </c>
      <c r="V71" s="2">
        <f t="shared" si="57"/>
        <v>3</v>
      </c>
      <c r="W71" s="27">
        <f t="shared" si="79"/>
        <v>9.9999999999999992E-2</v>
      </c>
      <c r="X71" s="45">
        <f t="shared" si="80"/>
        <v>0.19999999999999998</v>
      </c>
    </row>
    <row r="72" spans="2:24" x14ac:dyDescent="0.15">
      <c r="B72" s="2" t="str">
        <f t="shared" si="58"/>
        <v>53</v>
      </c>
      <c r="C72" s="2">
        <f t="shared" si="67"/>
        <v>5</v>
      </c>
      <c r="D72" s="2">
        <f t="shared" si="68"/>
        <v>3</v>
      </c>
      <c r="E72" s="27">
        <f t="shared" si="75"/>
        <v>0.10999999999999999</v>
      </c>
      <c r="F72" s="27">
        <f t="shared" si="76"/>
        <v>0.13999999999999999</v>
      </c>
      <c r="H72" s="2" t="str">
        <f t="shared" si="49"/>
        <v>53</v>
      </c>
      <c r="I72" s="2">
        <f t="shared" si="50"/>
        <v>5</v>
      </c>
      <c r="J72" s="2">
        <f t="shared" si="51"/>
        <v>3</v>
      </c>
      <c r="K72" s="45">
        <f t="shared" si="77"/>
        <v>0.99999999999999989</v>
      </c>
      <c r="L72" s="45">
        <f t="shared" si="78"/>
        <v>1.3</v>
      </c>
      <c r="N72" s="2" t="str">
        <f t="shared" si="52"/>
        <v>53</v>
      </c>
      <c r="O72" s="2">
        <f t="shared" si="53"/>
        <v>5</v>
      </c>
      <c r="P72" s="2">
        <f t="shared" si="54"/>
        <v>3</v>
      </c>
      <c r="Q72" s="25">
        <f t="shared" si="59"/>
        <v>0.10999999999999999</v>
      </c>
      <c r="R72" s="25">
        <f t="shared" si="60"/>
        <v>0.13999999999999999</v>
      </c>
      <c r="T72" s="2" t="str">
        <f t="shared" si="55"/>
        <v>53</v>
      </c>
      <c r="U72" s="2">
        <f t="shared" si="56"/>
        <v>5</v>
      </c>
      <c r="V72" s="2">
        <f t="shared" si="57"/>
        <v>3</v>
      </c>
      <c r="W72" s="27">
        <f t="shared" si="79"/>
        <v>0.10999999999999999</v>
      </c>
      <c r="X72" s="45">
        <f t="shared" si="80"/>
        <v>0.21999999999999997</v>
      </c>
    </row>
    <row r="73" spans="2:24" x14ac:dyDescent="0.15">
      <c r="B73" s="2" t="str">
        <f t="shared" si="58"/>
        <v>63</v>
      </c>
      <c r="C73" s="2">
        <f t="shared" si="67"/>
        <v>6</v>
      </c>
      <c r="D73" s="2">
        <f t="shared" si="68"/>
        <v>3</v>
      </c>
      <c r="E73" s="27">
        <f t="shared" si="75"/>
        <v>0.11999999999999998</v>
      </c>
      <c r="F73" s="27">
        <f t="shared" si="76"/>
        <v>0.15</v>
      </c>
      <c r="H73" s="2" t="str">
        <f t="shared" si="49"/>
        <v>63</v>
      </c>
      <c r="I73" s="2">
        <f t="shared" si="50"/>
        <v>6</v>
      </c>
      <c r="J73" s="2">
        <f t="shared" si="51"/>
        <v>3</v>
      </c>
      <c r="K73" s="45">
        <f t="shared" si="77"/>
        <v>1.0999999999999999</v>
      </c>
      <c r="L73" s="45">
        <f t="shared" si="78"/>
        <v>1.4000000000000001</v>
      </c>
      <c r="N73" s="2" t="str">
        <f t="shared" si="52"/>
        <v>63</v>
      </c>
      <c r="O73" s="2">
        <f t="shared" si="53"/>
        <v>6</v>
      </c>
      <c r="P73" s="2">
        <f t="shared" si="54"/>
        <v>3</v>
      </c>
      <c r="Q73" s="25">
        <f t="shared" si="59"/>
        <v>0.11999999999999998</v>
      </c>
      <c r="R73" s="25">
        <f t="shared" si="60"/>
        <v>0.15</v>
      </c>
      <c r="T73" s="2" t="str">
        <f t="shared" si="55"/>
        <v>63</v>
      </c>
      <c r="U73" s="2">
        <f t="shared" si="56"/>
        <v>6</v>
      </c>
      <c r="V73" s="2">
        <f t="shared" si="57"/>
        <v>3</v>
      </c>
      <c r="W73" s="27">
        <f t="shared" si="79"/>
        <v>0.11999999999999998</v>
      </c>
      <c r="X73" s="45">
        <f t="shared" si="80"/>
        <v>0.23999999999999996</v>
      </c>
    </row>
    <row r="74" spans="2:24" x14ac:dyDescent="0.15">
      <c r="B74" s="2" t="str">
        <f t="shared" si="58"/>
        <v>73</v>
      </c>
      <c r="C74" s="2">
        <f t="shared" si="67"/>
        <v>7</v>
      </c>
      <c r="D74" s="2">
        <f t="shared" si="68"/>
        <v>3</v>
      </c>
      <c r="E74" s="27">
        <f t="shared" si="75"/>
        <v>0.12999999999999998</v>
      </c>
      <c r="F74" s="27">
        <f t="shared" si="76"/>
        <v>0.16</v>
      </c>
      <c r="H74" s="2" t="str">
        <f t="shared" si="49"/>
        <v>73</v>
      </c>
      <c r="I74" s="2">
        <f t="shared" si="50"/>
        <v>7</v>
      </c>
      <c r="J74" s="2">
        <f t="shared" si="51"/>
        <v>3</v>
      </c>
      <c r="K74" s="45">
        <f t="shared" si="77"/>
        <v>1.2</v>
      </c>
      <c r="L74" s="45">
        <f t="shared" si="78"/>
        <v>1.5000000000000002</v>
      </c>
      <c r="N74" s="2" t="str">
        <f t="shared" si="52"/>
        <v>73</v>
      </c>
      <c r="O74" s="2">
        <f t="shared" si="53"/>
        <v>7</v>
      </c>
      <c r="P74" s="2">
        <f t="shared" si="54"/>
        <v>3</v>
      </c>
      <c r="Q74" s="25">
        <f t="shared" si="59"/>
        <v>0.12999999999999998</v>
      </c>
      <c r="R74" s="25">
        <f t="shared" si="60"/>
        <v>0.16</v>
      </c>
      <c r="T74" s="2" t="str">
        <f t="shared" si="55"/>
        <v>73</v>
      </c>
      <c r="U74" s="2">
        <f t="shared" si="56"/>
        <v>7</v>
      </c>
      <c r="V74" s="2">
        <f t="shared" si="57"/>
        <v>3</v>
      </c>
      <c r="W74" s="27">
        <f t="shared" si="79"/>
        <v>0.12999999999999998</v>
      </c>
      <c r="X74" s="45">
        <f t="shared" si="80"/>
        <v>0.25999999999999995</v>
      </c>
    </row>
    <row r="75" spans="2:24" x14ac:dyDescent="0.15">
      <c r="B75" s="2" t="str">
        <f t="shared" si="58"/>
        <v>83</v>
      </c>
      <c r="C75" s="2">
        <f t="shared" si="67"/>
        <v>8</v>
      </c>
      <c r="D75" s="2">
        <f t="shared" si="68"/>
        <v>3</v>
      </c>
      <c r="E75" s="27">
        <f t="shared" si="75"/>
        <v>0.13999999999999999</v>
      </c>
      <c r="F75" s="27">
        <f t="shared" si="76"/>
        <v>0.17</v>
      </c>
      <c r="H75" s="2" t="str">
        <f t="shared" si="49"/>
        <v>83</v>
      </c>
      <c r="I75" s="2">
        <f t="shared" si="50"/>
        <v>8</v>
      </c>
      <c r="J75" s="2">
        <f t="shared" si="51"/>
        <v>3</v>
      </c>
      <c r="K75" s="45">
        <f t="shared" si="77"/>
        <v>1.3</v>
      </c>
      <c r="L75" s="45">
        <f t="shared" si="78"/>
        <v>1.6000000000000003</v>
      </c>
      <c r="N75" s="2" t="str">
        <f t="shared" si="52"/>
        <v>83</v>
      </c>
      <c r="O75" s="2">
        <f t="shared" si="53"/>
        <v>8</v>
      </c>
      <c r="P75" s="2">
        <f t="shared" si="54"/>
        <v>3</v>
      </c>
      <c r="Q75" s="25">
        <f t="shared" si="59"/>
        <v>0.13999999999999999</v>
      </c>
      <c r="R75" s="25">
        <f t="shared" si="60"/>
        <v>0.17</v>
      </c>
      <c r="T75" s="2" t="str">
        <f t="shared" si="55"/>
        <v>83</v>
      </c>
      <c r="U75" s="2">
        <f t="shared" si="56"/>
        <v>8</v>
      </c>
      <c r="V75" s="2">
        <f t="shared" si="57"/>
        <v>3</v>
      </c>
      <c r="W75" s="27">
        <f t="shared" si="79"/>
        <v>0.13999999999999999</v>
      </c>
      <c r="X75" s="45">
        <f t="shared" si="80"/>
        <v>0.27999999999999997</v>
      </c>
    </row>
    <row r="76" spans="2:24" x14ac:dyDescent="0.15">
      <c r="B76" s="2" t="str">
        <f t="shared" si="58"/>
        <v>93</v>
      </c>
      <c r="C76" s="2">
        <f t="shared" si="67"/>
        <v>9</v>
      </c>
      <c r="D76" s="2">
        <f t="shared" si="68"/>
        <v>3</v>
      </c>
      <c r="E76" s="27">
        <f t="shared" si="75"/>
        <v>0.15</v>
      </c>
      <c r="F76" s="27">
        <f t="shared" si="76"/>
        <v>0.18000000000000002</v>
      </c>
      <c r="H76" s="2" t="str">
        <f t="shared" si="49"/>
        <v>93</v>
      </c>
      <c r="I76" s="2">
        <f t="shared" si="50"/>
        <v>9</v>
      </c>
      <c r="J76" s="2">
        <f t="shared" si="51"/>
        <v>3</v>
      </c>
      <c r="K76" s="45">
        <f t="shared" si="77"/>
        <v>1.4000000000000001</v>
      </c>
      <c r="L76" s="45">
        <f t="shared" si="78"/>
        <v>1.7000000000000004</v>
      </c>
      <c r="N76" s="2" t="str">
        <f t="shared" si="52"/>
        <v>93</v>
      </c>
      <c r="O76" s="2">
        <f t="shared" si="53"/>
        <v>9</v>
      </c>
      <c r="P76" s="2">
        <f t="shared" si="54"/>
        <v>3</v>
      </c>
      <c r="Q76" s="25">
        <f t="shared" si="59"/>
        <v>0.15</v>
      </c>
      <c r="R76" s="25">
        <f t="shared" si="60"/>
        <v>0.18000000000000002</v>
      </c>
      <c r="T76" s="2" t="str">
        <f t="shared" si="55"/>
        <v>93</v>
      </c>
      <c r="U76" s="2">
        <f t="shared" si="56"/>
        <v>9</v>
      </c>
      <c r="V76" s="2">
        <f t="shared" si="57"/>
        <v>3</v>
      </c>
      <c r="W76" s="27">
        <f t="shared" si="79"/>
        <v>0.15</v>
      </c>
      <c r="X76" s="45">
        <f t="shared" si="80"/>
        <v>0.3</v>
      </c>
    </row>
    <row r="77" spans="2:24" x14ac:dyDescent="0.15">
      <c r="B77" s="2" t="str">
        <f t="shared" si="58"/>
        <v>14</v>
      </c>
      <c r="C77" s="2">
        <f t="shared" si="67"/>
        <v>1</v>
      </c>
      <c r="D77" s="2">
        <f t="shared" si="68"/>
        <v>4</v>
      </c>
      <c r="E77" s="27">
        <f>E69</f>
        <v>0.08</v>
      </c>
      <c r="F77" s="27">
        <f>F69</f>
        <v>0.10999999999999999</v>
      </c>
      <c r="H77" s="2" t="str">
        <f t="shared" si="49"/>
        <v>14</v>
      </c>
      <c r="I77" s="2">
        <f t="shared" si="50"/>
        <v>1</v>
      </c>
      <c r="J77" s="2">
        <f t="shared" si="51"/>
        <v>4</v>
      </c>
      <c r="K77" s="45">
        <f>K68</f>
        <v>0.6</v>
      </c>
      <c r="L77" s="45">
        <f>L69</f>
        <v>0.99999999999999989</v>
      </c>
      <c r="N77" s="2" t="str">
        <f t="shared" si="52"/>
        <v>14</v>
      </c>
      <c r="O77" s="2">
        <f t="shared" si="53"/>
        <v>1</v>
      </c>
      <c r="P77" s="2">
        <f t="shared" si="54"/>
        <v>4</v>
      </c>
      <c r="Q77" s="25">
        <f t="shared" si="59"/>
        <v>0.08</v>
      </c>
      <c r="R77" s="25">
        <f t="shared" si="60"/>
        <v>0.10999999999999999</v>
      </c>
      <c r="T77" s="2" t="str">
        <f t="shared" si="55"/>
        <v>14</v>
      </c>
      <c r="U77" s="2">
        <f t="shared" si="56"/>
        <v>1</v>
      </c>
      <c r="V77" s="2">
        <f t="shared" si="57"/>
        <v>4</v>
      </c>
      <c r="W77" s="27">
        <f>W68</f>
        <v>7.0000000000000007E-2</v>
      </c>
      <c r="X77" s="45">
        <f>X68</f>
        <v>0.14000000000000001</v>
      </c>
    </row>
    <row r="78" spans="2:24" x14ac:dyDescent="0.15">
      <c r="B78" s="2" t="str">
        <f t="shared" si="58"/>
        <v>24</v>
      </c>
      <c r="C78" s="2">
        <f t="shared" si="67"/>
        <v>2</v>
      </c>
      <c r="D78" s="2">
        <f t="shared" si="68"/>
        <v>4</v>
      </c>
      <c r="E78" s="27">
        <f>E77+0.01</f>
        <v>0.09</v>
      </c>
      <c r="F78" s="27">
        <f>F77+0.01</f>
        <v>0.11999999999999998</v>
      </c>
      <c r="H78" s="2" t="str">
        <f t="shared" si="49"/>
        <v>24</v>
      </c>
      <c r="I78" s="2">
        <f t="shared" si="50"/>
        <v>2</v>
      </c>
      <c r="J78" s="2">
        <f t="shared" si="51"/>
        <v>4</v>
      </c>
      <c r="K78" s="45">
        <f t="shared" ref="K78:K85" si="81">K69</f>
        <v>0.7</v>
      </c>
      <c r="L78" s="45">
        <f>L77+0.1</f>
        <v>1.0999999999999999</v>
      </c>
      <c r="N78" s="2" t="str">
        <f t="shared" si="52"/>
        <v>24</v>
      </c>
      <c r="O78" s="2">
        <f t="shared" si="53"/>
        <v>2</v>
      </c>
      <c r="P78" s="2">
        <f t="shared" si="54"/>
        <v>4</v>
      </c>
      <c r="Q78" s="25">
        <f t="shared" si="59"/>
        <v>0.09</v>
      </c>
      <c r="R78" s="25">
        <f t="shared" si="60"/>
        <v>0.11999999999999998</v>
      </c>
      <c r="T78" s="2" t="str">
        <f t="shared" si="55"/>
        <v>24</v>
      </c>
      <c r="U78" s="2">
        <f t="shared" si="56"/>
        <v>2</v>
      </c>
      <c r="V78" s="2">
        <f t="shared" si="57"/>
        <v>4</v>
      </c>
      <c r="W78" s="27">
        <f t="shared" ref="W78:X85" si="82">W69</f>
        <v>0.08</v>
      </c>
      <c r="X78" s="45">
        <f t="shared" si="82"/>
        <v>0.16</v>
      </c>
    </row>
    <row r="79" spans="2:24" x14ac:dyDescent="0.15">
      <c r="B79" s="2" t="str">
        <f t="shared" si="58"/>
        <v>34</v>
      </c>
      <c r="C79" s="2">
        <f t="shared" si="67"/>
        <v>3</v>
      </c>
      <c r="D79" s="2">
        <f t="shared" si="68"/>
        <v>4</v>
      </c>
      <c r="E79" s="27">
        <f t="shared" ref="E79:E85" si="83">E78+0.01</f>
        <v>9.9999999999999992E-2</v>
      </c>
      <c r="F79" s="27">
        <f t="shared" ref="F79:F85" si="84">F78+0.01</f>
        <v>0.12999999999999998</v>
      </c>
      <c r="H79" s="2" t="str">
        <f t="shared" si="49"/>
        <v>34</v>
      </c>
      <c r="I79" s="2">
        <f t="shared" si="50"/>
        <v>3</v>
      </c>
      <c r="J79" s="2">
        <f t="shared" si="51"/>
        <v>4</v>
      </c>
      <c r="K79" s="45">
        <f t="shared" si="81"/>
        <v>0.79999999999999993</v>
      </c>
      <c r="L79" s="45">
        <f t="shared" ref="L79:L85" si="85">L78+0.1</f>
        <v>1.2</v>
      </c>
      <c r="N79" s="2" t="str">
        <f t="shared" si="52"/>
        <v>34</v>
      </c>
      <c r="O79" s="2">
        <f t="shared" si="53"/>
        <v>3</v>
      </c>
      <c r="P79" s="2">
        <f t="shared" si="54"/>
        <v>4</v>
      </c>
      <c r="Q79" s="25">
        <f t="shared" si="59"/>
        <v>9.9999999999999992E-2</v>
      </c>
      <c r="R79" s="25">
        <f t="shared" si="60"/>
        <v>0.12999999999999998</v>
      </c>
      <c r="T79" s="2" t="str">
        <f t="shared" si="55"/>
        <v>34</v>
      </c>
      <c r="U79" s="2">
        <f t="shared" si="56"/>
        <v>3</v>
      </c>
      <c r="V79" s="2">
        <f t="shared" si="57"/>
        <v>4</v>
      </c>
      <c r="W79" s="27">
        <f t="shared" si="82"/>
        <v>0.09</v>
      </c>
      <c r="X79" s="45">
        <f t="shared" si="82"/>
        <v>0.18</v>
      </c>
    </row>
    <row r="80" spans="2:24" x14ac:dyDescent="0.15">
      <c r="B80" s="2" t="str">
        <f t="shared" si="58"/>
        <v>44</v>
      </c>
      <c r="C80" s="2">
        <f t="shared" si="67"/>
        <v>4</v>
      </c>
      <c r="D80" s="2">
        <f t="shared" si="68"/>
        <v>4</v>
      </c>
      <c r="E80" s="27">
        <f t="shared" si="83"/>
        <v>0.10999999999999999</v>
      </c>
      <c r="F80" s="27">
        <f t="shared" si="84"/>
        <v>0.13999999999999999</v>
      </c>
      <c r="H80" s="2" t="str">
        <f t="shared" si="49"/>
        <v>44</v>
      </c>
      <c r="I80" s="2">
        <f t="shared" si="50"/>
        <v>4</v>
      </c>
      <c r="J80" s="2">
        <f t="shared" si="51"/>
        <v>4</v>
      </c>
      <c r="K80" s="45">
        <f t="shared" si="81"/>
        <v>0.89999999999999991</v>
      </c>
      <c r="L80" s="45">
        <f t="shared" si="85"/>
        <v>1.3</v>
      </c>
      <c r="N80" s="2" t="str">
        <f t="shared" si="52"/>
        <v>44</v>
      </c>
      <c r="O80" s="2">
        <f t="shared" si="53"/>
        <v>4</v>
      </c>
      <c r="P80" s="2">
        <f t="shared" si="54"/>
        <v>4</v>
      </c>
      <c r="Q80" s="25">
        <f t="shared" si="59"/>
        <v>0.10999999999999999</v>
      </c>
      <c r="R80" s="25">
        <f t="shared" si="60"/>
        <v>0.13999999999999999</v>
      </c>
      <c r="T80" s="2" t="str">
        <f t="shared" si="55"/>
        <v>44</v>
      </c>
      <c r="U80" s="2">
        <f t="shared" si="56"/>
        <v>4</v>
      </c>
      <c r="V80" s="2">
        <f t="shared" si="57"/>
        <v>4</v>
      </c>
      <c r="W80" s="27">
        <f t="shared" si="82"/>
        <v>9.9999999999999992E-2</v>
      </c>
      <c r="X80" s="45">
        <f t="shared" si="82"/>
        <v>0.19999999999999998</v>
      </c>
    </row>
    <row r="81" spans="2:24" x14ac:dyDescent="0.15">
      <c r="B81" s="2" t="str">
        <f t="shared" si="58"/>
        <v>54</v>
      </c>
      <c r="C81" s="2">
        <f t="shared" si="67"/>
        <v>5</v>
      </c>
      <c r="D81" s="2">
        <f t="shared" si="68"/>
        <v>4</v>
      </c>
      <c r="E81" s="27">
        <f t="shared" si="83"/>
        <v>0.11999999999999998</v>
      </c>
      <c r="F81" s="27">
        <f t="shared" si="84"/>
        <v>0.15</v>
      </c>
      <c r="H81" s="2" t="str">
        <f t="shared" si="49"/>
        <v>54</v>
      </c>
      <c r="I81" s="2">
        <f t="shared" si="50"/>
        <v>5</v>
      </c>
      <c r="J81" s="2">
        <f t="shared" si="51"/>
        <v>4</v>
      </c>
      <c r="K81" s="45">
        <f t="shared" si="81"/>
        <v>0.99999999999999989</v>
      </c>
      <c r="L81" s="45">
        <f t="shared" si="85"/>
        <v>1.4000000000000001</v>
      </c>
      <c r="N81" s="2" t="str">
        <f t="shared" si="52"/>
        <v>54</v>
      </c>
      <c r="O81" s="2">
        <f t="shared" si="53"/>
        <v>5</v>
      </c>
      <c r="P81" s="2">
        <f t="shared" si="54"/>
        <v>4</v>
      </c>
      <c r="Q81" s="25">
        <f t="shared" si="59"/>
        <v>0.11999999999999998</v>
      </c>
      <c r="R81" s="25">
        <f t="shared" si="60"/>
        <v>0.15</v>
      </c>
      <c r="T81" s="2" t="str">
        <f t="shared" si="55"/>
        <v>54</v>
      </c>
      <c r="U81" s="2">
        <f t="shared" si="56"/>
        <v>5</v>
      </c>
      <c r="V81" s="2">
        <f t="shared" si="57"/>
        <v>4</v>
      </c>
      <c r="W81" s="27">
        <f t="shared" si="82"/>
        <v>0.10999999999999999</v>
      </c>
      <c r="X81" s="45">
        <f t="shared" si="82"/>
        <v>0.21999999999999997</v>
      </c>
    </row>
    <row r="82" spans="2:24" x14ac:dyDescent="0.15">
      <c r="B82" s="2" t="str">
        <f t="shared" si="58"/>
        <v>64</v>
      </c>
      <c r="C82" s="2">
        <f t="shared" si="67"/>
        <v>6</v>
      </c>
      <c r="D82" s="2">
        <f t="shared" si="68"/>
        <v>4</v>
      </c>
      <c r="E82" s="27">
        <f t="shared" si="83"/>
        <v>0.12999999999999998</v>
      </c>
      <c r="F82" s="27">
        <f t="shared" si="84"/>
        <v>0.16</v>
      </c>
      <c r="H82" s="2" t="str">
        <f t="shared" si="49"/>
        <v>64</v>
      </c>
      <c r="I82" s="2">
        <f t="shared" si="50"/>
        <v>6</v>
      </c>
      <c r="J82" s="2">
        <f t="shared" si="51"/>
        <v>4</v>
      </c>
      <c r="K82" s="45">
        <f t="shared" si="81"/>
        <v>1.0999999999999999</v>
      </c>
      <c r="L82" s="45">
        <f t="shared" si="85"/>
        <v>1.5000000000000002</v>
      </c>
      <c r="N82" s="2" t="str">
        <f t="shared" si="52"/>
        <v>64</v>
      </c>
      <c r="O82" s="2">
        <f t="shared" si="53"/>
        <v>6</v>
      </c>
      <c r="P82" s="2">
        <f t="shared" si="54"/>
        <v>4</v>
      </c>
      <c r="Q82" s="25">
        <f t="shared" si="59"/>
        <v>0.12999999999999998</v>
      </c>
      <c r="R82" s="25">
        <f t="shared" si="60"/>
        <v>0.16</v>
      </c>
      <c r="T82" s="2" t="str">
        <f t="shared" si="55"/>
        <v>64</v>
      </c>
      <c r="U82" s="2">
        <f t="shared" si="56"/>
        <v>6</v>
      </c>
      <c r="V82" s="2">
        <f t="shared" si="57"/>
        <v>4</v>
      </c>
      <c r="W82" s="27">
        <f t="shared" si="82"/>
        <v>0.11999999999999998</v>
      </c>
      <c r="X82" s="45">
        <f t="shared" si="82"/>
        <v>0.23999999999999996</v>
      </c>
    </row>
    <row r="83" spans="2:24" x14ac:dyDescent="0.15">
      <c r="B83" s="2" t="str">
        <f t="shared" si="58"/>
        <v>74</v>
      </c>
      <c r="C83" s="2">
        <f t="shared" si="67"/>
        <v>7</v>
      </c>
      <c r="D83" s="2">
        <f t="shared" si="68"/>
        <v>4</v>
      </c>
      <c r="E83" s="27">
        <f t="shared" si="83"/>
        <v>0.13999999999999999</v>
      </c>
      <c r="F83" s="27">
        <f t="shared" si="84"/>
        <v>0.17</v>
      </c>
      <c r="H83" s="2" t="str">
        <f t="shared" si="49"/>
        <v>74</v>
      </c>
      <c r="I83" s="2">
        <f t="shared" si="50"/>
        <v>7</v>
      </c>
      <c r="J83" s="2">
        <f t="shared" si="51"/>
        <v>4</v>
      </c>
      <c r="K83" s="45">
        <f t="shared" si="81"/>
        <v>1.2</v>
      </c>
      <c r="L83" s="45">
        <f t="shared" si="85"/>
        <v>1.6000000000000003</v>
      </c>
      <c r="N83" s="2" t="str">
        <f t="shared" si="52"/>
        <v>74</v>
      </c>
      <c r="O83" s="2">
        <f t="shared" si="53"/>
        <v>7</v>
      </c>
      <c r="P83" s="2">
        <f t="shared" si="54"/>
        <v>4</v>
      </c>
      <c r="Q83" s="25">
        <f t="shared" si="59"/>
        <v>0.13999999999999999</v>
      </c>
      <c r="R83" s="25">
        <f t="shared" si="60"/>
        <v>0.17</v>
      </c>
      <c r="T83" s="2" t="str">
        <f t="shared" si="55"/>
        <v>74</v>
      </c>
      <c r="U83" s="2">
        <f t="shared" si="56"/>
        <v>7</v>
      </c>
      <c r="V83" s="2">
        <f t="shared" si="57"/>
        <v>4</v>
      </c>
      <c r="W83" s="27">
        <f t="shared" si="82"/>
        <v>0.12999999999999998</v>
      </c>
      <c r="X83" s="45">
        <f t="shared" si="82"/>
        <v>0.25999999999999995</v>
      </c>
    </row>
    <row r="84" spans="2:24" x14ac:dyDescent="0.15">
      <c r="B84" s="2" t="str">
        <f t="shared" si="58"/>
        <v>84</v>
      </c>
      <c r="C84" s="2">
        <f t="shared" si="67"/>
        <v>8</v>
      </c>
      <c r="D84" s="2">
        <f t="shared" si="68"/>
        <v>4</v>
      </c>
      <c r="E84" s="27">
        <f t="shared" si="83"/>
        <v>0.15</v>
      </c>
      <c r="F84" s="27">
        <f t="shared" si="84"/>
        <v>0.18000000000000002</v>
      </c>
      <c r="H84" s="2" t="str">
        <f t="shared" si="49"/>
        <v>84</v>
      </c>
      <c r="I84" s="2">
        <f t="shared" si="50"/>
        <v>8</v>
      </c>
      <c r="J84" s="2">
        <f t="shared" si="51"/>
        <v>4</v>
      </c>
      <c r="K84" s="45">
        <f t="shared" si="81"/>
        <v>1.3</v>
      </c>
      <c r="L84" s="45">
        <f t="shared" si="85"/>
        <v>1.7000000000000004</v>
      </c>
      <c r="N84" s="2" t="str">
        <f t="shared" si="52"/>
        <v>84</v>
      </c>
      <c r="O84" s="2">
        <f t="shared" si="53"/>
        <v>8</v>
      </c>
      <c r="P84" s="2">
        <f t="shared" si="54"/>
        <v>4</v>
      </c>
      <c r="Q84" s="25">
        <f t="shared" si="59"/>
        <v>0.15</v>
      </c>
      <c r="R84" s="25">
        <f t="shared" si="60"/>
        <v>0.18000000000000002</v>
      </c>
      <c r="T84" s="2" t="str">
        <f t="shared" si="55"/>
        <v>84</v>
      </c>
      <c r="U84" s="2">
        <f t="shared" si="56"/>
        <v>8</v>
      </c>
      <c r="V84" s="2">
        <f t="shared" si="57"/>
        <v>4</v>
      </c>
      <c r="W84" s="27">
        <f t="shared" si="82"/>
        <v>0.13999999999999999</v>
      </c>
      <c r="X84" s="45">
        <f t="shared" si="82"/>
        <v>0.27999999999999997</v>
      </c>
    </row>
    <row r="85" spans="2:24" x14ac:dyDescent="0.15">
      <c r="B85" s="2" t="str">
        <f t="shared" si="58"/>
        <v>94</v>
      </c>
      <c r="C85" s="2">
        <f t="shared" si="67"/>
        <v>9</v>
      </c>
      <c r="D85" s="2">
        <f t="shared" si="68"/>
        <v>4</v>
      </c>
      <c r="E85" s="27">
        <f t="shared" si="83"/>
        <v>0.16</v>
      </c>
      <c r="F85" s="27">
        <f t="shared" si="84"/>
        <v>0.19000000000000003</v>
      </c>
      <c r="H85" s="2" t="str">
        <f t="shared" si="49"/>
        <v>94</v>
      </c>
      <c r="I85" s="2">
        <f t="shared" si="50"/>
        <v>9</v>
      </c>
      <c r="J85" s="2">
        <f t="shared" si="51"/>
        <v>4</v>
      </c>
      <c r="K85" s="45">
        <f t="shared" si="81"/>
        <v>1.4000000000000001</v>
      </c>
      <c r="L85" s="45">
        <f t="shared" si="85"/>
        <v>1.8000000000000005</v>
      </c>
      <c r="N85" s="2" t="str">
        <f t="shared" si="52"/>
        <v>94</v>
      </c>
      <c r="O85" s="2">
        <f t="shared" si="53"/>
        <v>9</v>
      </c>
      <c r="P85" s="2">
        <f t="shared" si="54"/>
        <v>4</v>
      </c>
      <c r="Q85" s="25">
        <f t="shared" si="59"/>
        <v>0.16</v>
      </c>
      <c r="R85" s="25">
        <f t="shared" si="60"/>
        <v>0.19000000000000003</v>
      </c>
      <c r="T85" s="2" t="str">
        <f t="shared" si="55"/>
        <v>94</v>
      </c>
      <c r="U85" s="2">
        <f t="shared" si="56"/>
        <v>9</v>
      </c>
      <c r="V85" s="2">
        <f t="shared" si="57"/>
        <v>4</v>
      </c>
      <c r="W85" s="27">
        <f t="shared" si="82"/>
        <v>0.15</v>
      </c>
      <c r="X85" s="45">
        <f t="shared" si="82"/>
        <v>0.3</v>
      </c>
    </row>
    <row r="94" spans="2:24" x14ac:dyDescent="0.15">
      <c r="F94" s="2">
        <v>1</v>
      </c>
      <c r="G94" s="2" t="s">
        <v>438</v>
      </c>
      <c r="H94" s="2" t="s">
        <v>54</v>
      </c>
      <c r="I94" s="2">
        <v>3</v>
      </c>
    </row>
    <row r="95" spans="2:24" x14ac:dyDescent="0.15">
      <c r="F95" s="2">
        <v>2</v>
      </c>
      <c r="G95" s="2" t="s">
        <v>477</v>
      </c>
      <c r="H95" s="2" t="s">
        <v>54</v>
      </c>
      <c r="I95" s="2">
        <v>3</v>
      </c>
    </row>
    <row r="96" spans="2:24" x14ac:dyDescent="0.15">
      <c r="F96" s="2">
        <v>3</v>
      </c>
      <c r="G96" s="2" t="s">
        <v>479</v>
      </c>
      <c r="H96" s="2" t="s">
        <v>54</v>
      </c>
      <c r="I96" s="2">
        <v>3</v>
      </c>
    </row>
    <row r="97" spans="6:9" x14ac:dyDescent="0.15">
      <c r="F97" s="2">
        <v>4</v>
      </c>
      <c r="G97" s="2" t="s">
        <v>481</v>
      </c>
      <c r="H97" s="2" t="s">
        <v>550</v>
      </c>
      <c r="I97" s="2">
        <v>5</v>
      </c>
    </row>
    <row r="98" spans="6:9" x14ac:dyDescent="0.15">
      <c r="F98" s="2">
        <v>5</v>
      </c>
      <c r="G98" s="2" t="s">
        <v>483</v>
      </c>
      <c r="H98" s="2" t="s">
        <v>54</v>
      </c>
      <c r="I98" s="2">
        <v>3</v>
      </c>
    </row>
    <row r="99" spans="6:9" x14ac:dyDescent="0.15">
      <c r="F99" s="2">
        <v>6</v>
      </c>
      <c r="G99" s="2" t="s">
        <v>485</v>
      </c>
      <c r="H99" s="2" t="s">
        <v>550</v>
      </c>
      <c r="I99" s="2">
        <v>5</v>
      </c>
    </row>
    <row r="100" spans="6:9" x14ac:dyDescent="0.15">
      <c r="F100" s="2">
        <v>7</v>
      </c>
      <c r="G100" s="2" t="s">
        <v>486</v>
      </c>
      <c r="H100" s="2" t="s">
        <v>54</v>
      </c>
      <c r="I100" s="2">
        <v>3</v>
      </c>
    </row>
    <row r="101" spans="6:9" x14ac:dyDescent="0.15">
      <c r="F101" s="2">
        <v>8</v>
      </c>
      <c r="G101" s="2" t="s">
        <v>487</v>
      </c>
      <c r="H101" s="2" t="s">
        <v>550</v>
      </c>
      <c r="I101" s="2">
        <v>5</v>
      </c>
    </row>
    <row r="102" spans="6:9" x14ac:dyDescent="0.15">
      <c r="F102" s="2">
        <v>9</v>
      </c>
      <c r="G102" s="2" t="s">
        <v>489</v>
      </c>
      <c r="H102" s="2" t="s">
        <v>550</v>
      </c>
      <c r="I102" s="2">
        <v>5</v>
      </c>
    </row>
    <row r="103" spans="6:9" x14ac:dyDescent="0.15">
      <c r="F103" s="2">
        <v>10</v>
      </c>
      <c r="G103" s="2" t="s">
        <v>491</v>
      </c>
      <c r="H103" s="2" t="s">
        <v>54</v>
      </c>
      <c r="I103" s="2">
        <v>3</v>
      </c>
    </row>
    <row r="104" spans="6:9" x14ac:dyDescent="0.15">
      <c r="F104" s="2">
        <v>11</v>
      </c>
      <c r="G104" s="2" t="s">
        <v>492</v>
      </c>
      <c r="H104" s="2" t="s">
        <v>550</v>
      </c>
      <c r="I104" s="2">
        <v>5</v>
      </c>
    </row>
    <row r="105" spans="6:9" x14ac:dyDescent="0.15">
      <c r="F105" s="2">
        <v>12</v>
      </c>
      <c r="G105" s="2" t="s">
        <v>493</v>
      </c>
      <c r="H105" s="2" t="s">
        <v>54</v>
      </c>
      <c r="I105" s="2">
        <v>3</v>
      </c>
    </row>
    <row r="106" spans="6:9" x14ac:dyDescent="0.15">
      <c r="F106" s="2">
        <v>13</v>
      </c>
      <c r="G106" s="2" t="s">
        <v>495</v>
      </c>
      <c r="H106" s="2" t="s">
        <v>54</v>
      </c>
      <c r="I106" s="2">
        <v>3</v>
      </c>
    </row>
  </sheetData>
  <phoneticPr fontId="0" type="Hiragana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J74"/>
  <sheetViews>
    <sheetView topLeftCell="F38" workbookViewId="0">
      <selection activeCell="R55" sqref="R55"/>
    </sheetView>
  </sheetViews>
  <sheetFormatPr defaultRowHeight="13.5" x14ac:dyDescent="0.15"/>
  <cols>
    <col min="9" max="9" width="14.375" customWidth="1"/>
    <col min="18" max="18" width="13.125" customWidth="1"/>
  </cols>
  <sheetData>
    <row r="2" spans="2:36" x14ac:dyDescent="0.15">
      <c r="C2" s="16" t="s">
        <v>183</v>
      </c>
      <c r="D2" s="16" t="s">
        <v>204</v>
      </c>
      <c r="E2" s="16" t="s">
        <v>187</v>
      </c>
      <c r="F2" s="16" t="s">
        <v>163</v>
      </c>
      <c r="G2" s="16" t="s">
        <v>164</v>
      </c>
      <c r="H2" s="16" t="s">
        <v>165</v>
      </c>
      <c r="I2" s="16" t="s">
        <v>166</v>
      </c>
      <c r="J2" s="16" t="s">
        <v>127</v>
      </c>
      <c r="K2" s="16" t="s">
        <v>167</v>
      </c>
      <c r="L2" s="16" t="s">
        <v>168</v>
      </c>
      <c r="M2" s="16" t="s">
        <v>169</v>
      </c>
      <c r="N2" s="16" t="s">
        <v>126</v>
      </c>
      <c r="O2" s="16" t="s">
        <v>170</v>
      </c>
      <c r="P2" s="16" t="s">
        <v>171</v>
      </c>
      <c r="Q2" s="16" t="s">
        <v>172</v>
      </c>
      <c r="R2" s="16" t="s">
        <v>173</v>
      </c>
      <c r="U2" s="16" t="s">
        <v>61</v>
      </c>
      <c r="V2" s="16" t="s">
        <v>204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64</v>
      </c>
      <c r="AB2" s="16" t="s">
        <v>77</v>
      </c>
      <c r="AC2" s="16" t="s">
        <v>78</v>
      </c>
      <c r="AD2" s="16" t="s">
        <v>79</v>
      </c>
      <c r="AE2" s="16" t="s">
        <v>80</v>
      </c>
      <c r="AF2" s="16" t="s">
        <v>81</v>
      </c>
      <c r="AG2" s="16" t="s">
        <v>82</v>
      </c>
      <c r="AH2" s="16" t="s">
        <v>83</v>
      </c>
      <c r="AI2" s="16" t="s">
        <v>92</v>
      </c>
      <c r="AJ2" s="16" t="s">
        <v>93</v>
      </c>
    </row>
    <row r="3" spans="2:36" x14ac:dyDescent="0.15">
      <c r="B3" s="8" t="s">
        <v>415</v>
      </c>
      <c r="C3" s="2">
        <v>1</v>
      </c>
      <c r="D3" s="14" t="str">
        <f>$B3&amp;V3&amp;D$2</f>
        <v>学徒颓废锤</v>
      </c>
      <c r="E3" s="14" t="str">
        <f t="shared" ref="E3:R3" si="0">$B3&amp;W3&amp;E$2</f>
        <v>学徒颓废刀</v>
      </c>
      <c r="F3" s="14" t="str">
        <f t="shared" si="0"/>
        <v>学徒颓废拳套</v>
      </c>
      <c r="G3" s="14" t="str">
        <f t="shared" si="0"/>
        <v>学徒颓废枪</v>
      </c>
      <c r="H3" s="14" t="str">
        <f t="shared" si="0"/>
        <v>学徒颓废镰刀</v>
      </c>
      <c r="I3" s="14" t="str">
        <f t="shared" si="0"/>
        <v>学徒颓废法杖</v>
      </c>
      <c r="J3" s="14" t="str">
        <f t="shared" si="0"/>
        <v>学徒颓废弓</v>
      </c>
      <c r="K3" s="14" t="str">
        <f t="shared" si="0"/>
        <v>学徒颓废烟斗</v>
      </c>
      <c r="L3" s="14" t="str">
        <f t="shared" si="0"/>
        <v>学徒颓废扇子</v>
      </c>
      <c r="M3" s="14" t="str">
        <f t="shared" si="0"/>
        <v>学徒颓废牙齿</v>
      </c>
      <c r="N3" s="14" t="str">
        <f t="shared" si="0"/>
        <v>学徒颓废球</v>
      </c>
      <c r="O3" s="14" t="str">
        <f t="shared" si="0"/>
        <v>学徒颓废爪</v>
      </c>
      <c r="P3" s="14" t="str">
        <f t="shared" si="0"/>
        <v>学徒颓废剑</v>
      </c>
      <c r="Q3" s="14" t="str">
        <f t="shared" si="0"/>
        <v>学徒颓废戒指</v>
      </c>
      <c r="R3" s="14" t="str">
        <f t="shared" si="0"/>
        <v>学徒颓废项链</v>
      </c>
      <c r="T3" s="8" t="s">
        <v>174</v>
      </c>
      <c r="U3" s="2">
        <v>1</v>
      </c>
      <c r="V3" s="14" t="s">
        <v>414</v>
      </c>
      <c r="W3" s="14" t="s">
        <v>186</v>
      </c>
      <c r="X3" s="14" t="s">
        <v>186</v>
      </c>
      <c r="Y3" s="14" t="s">
        <v>186</v>
      </c>
      <c r="Z3" s="14" t="s">
        <v>186</v>
      </c>
      <c r="AA3" s="14" t="s">
        <v>186</v>
      </c>
      <c r="AB3" s="14" t="s">
        <v>186</v>
      </c>
      <c r="AC3" s="14" t="s">
        <v>186</v>
      </c>
      <c r="AD3" s="14" t="s">
        <v>186</v>
      </c>
      <c r="AE3" s="14" t="s">
        <v>186</v>
      </c>
      <c r="AF3" s="14" t="s">
        <v>186</v>
      </c>
      <c r="AG3" s="14" t="s">
        <v>186</v>
      </c>
      <c r="AH3" s="14" t="s">
        <v>186</v>
      </c>
      <c r="AI3" s="14" t="s">
        <v>186</v>
      </c>
      <c r="AJ3" s="14" t="s">
        <v>186</v>
      </c>
    </row>
    <row r="4" spans="2:36" x14ac:dyDescent="0.15">
      <c r="B4" s="8" t="s">
        <v>416</v>
      </c>
      <c r="C4" s="2">
        <v>2</v>
      </c>
      <c r="D4" s="14" t="str">
        <f t="shared" ref="D4:D11" si="1">$B4&amp;V4&amp;D$2</f>
        <v>专家玄铁锤</v>
      </c>
      <c r="E4" s="14" t="str">
        <f t="shared" ref="E4:E11" si="2">$B4&amp;W4&amp;E$2</f>
        <v>专家玄铁刀</v>
      </c>
      <c r="F4" s="14" t="str">
        <f t="shared" ref="F4:F11" si="3">$B4&amp;X4&amp;F$2</f>
        <v>专家玄铁拳套</v>
      </c>
      <c r="G4" s="14" t="str">
        <f t="shared" ref="G4:G11" si="4">$B4&amp;Y4&amp;G$2</f>
        <v>专家玄铁枪</v>
      </c>
      <c r="H4" s="14" t="str">
        <f t="shared" ref="H4:H11" si="5">$B4&amp;Z4&amp;H$2</f>
        <v>专家玄铁镰刀</v>
      </c>
      <c r="I4" s="14" t="str">
        <f t="shared" ref="I4:I11" si="6">$B4&amp;AA4&amp;I$2</f>
        <v>专家玄铁法杖</v>
      </c>
      <c r="J4" s="14" t="str">
        <f t="shared" ref="J4:J11" si="7">$B4&amp;AB4&amp;J$2</f>
        <v>专家玄铁弓</v>
      </c>
      <c r="K4" s="14" t="str">
        <f t="shared" ref="K4:K11" si="8">$B4&amp;AC4&amp;K$2</f>
        <v>专家玄铁烟斗</v>
      </c>
      <c r="L4" s="14" t="str">
        <f t="shared" ref="L4:L11" si="9">$B4&amp;AD4&amp;L$2</f>
        <v>专家玄铁扇子</v>
      </c>
      <c r="M4" s="14" t="str">
        <f t="shared" ref="M4:M11" si="10">$B4&amp;AE4&amp;M$2</f>
        <v>专家玄铁牙齿</v>
      </c>
      <c r="N4" s="14" t="str">
        <f t="shared" ref="N4:N11" si="11">$B4&amp;AF4&amp;N$2</f>
        <v>专家玄铁球</v>
      </c>
      <c r="O4" s="14" t="str">
        <f t="shared" ref="O4:O11" si="12">$B4&amp;AG4&amp;O$2</f>
        <v>专家玄铁爪</v>
      </c>
      <c r="P4" s="14" t="str">
        <f t="shared" ref="P4:P11" si="13">$B4&amp;AH4&amp;P$2</f>
        <v>专家玄铁剑</v>
      </c>
      <c r="Q4" s="14" t="str">
        <f t="shared" ref="Q4:Q11" si="14">$B4&amp;AI4&amp;Q$2</f>
        <v>专家玄铁戒指</v>
      </c>
      <c r="R4" s="14" t="str">
        <f t="shared" ref="R4:R11" si="15">$B4&amp;AJ4&amp;R$2</f>
        <v>专家玄铁项链</v>
      </c>
      <c r="T4" s="8" t="s">
        <v>175</v>
      </c>
      <c r="U4" s="2">
        <v>2</v>
      </c>
      <c r="V4" s="14" t="s">
        <v>189</v>
      </c>
      <c r="W4" s="14" t="s">
        <v>189</v>
      </c>
      <c r="X4" s="14" t="s">
        <v>189</v>
      </c>
      <c r="Y4" s="14" t="s">
        <v>189</v>
      </c>
      <c r="Z4" s="14" t="s">
        <v>189</v>
      </c>
      <c r="AA4" s="14" t="s">
        <v>189</v>
      </c>
      <c r="AB4" s="14" t="s">
        <v>189</v>
      </c>
      <c r="AC4" s="14" t="s">
        <v>189</v>
      </c>
      <c r="AD4" s="14" t="s">
        <v>189</v>
      </c>
      <c r="AE4" s="14" t="s">
        <v>189</v>
      </c>
      <c r="AF4" s="14" t="s">
        <v>189</v>
      </c>
      <c r="AG4" s="14" t="s">
        <v>189</v>
      </c>
      <c r="AH4" s="14" t="s">
        <v>189</v>
      </c>
      <c r="AI4" s="14" t="s">
        <v>189</v>
      </c>
      <c r="AJ4" s="14" t="s">
        <v>189</v>
      </c>
    </row>
    <row r="5" spans="2:36" x14ac:dyDescent="0.15">
      <c r="B5" s="8" t="s">
        <v>417</v>
      </c>
      <c r="C5" s="2">
        <v>3</v>
      </c>
      <c r="D5" s="14" t="str">
        <f t="shared" si="1"/>
        <v>大师水晶锤</v>
      </c>
      <c r="E5" s="14" t="str">
        <f t="shared" si="2"/>
        <v>大师水晶刀</v>
      </c>
      <c r="F5" s="14" t="str">
        <f t="shared" si="3"/>
        <v>大师水晶拳套</v>
      </c>
      <c r="G5" s="14" t="str">
        <f t="shared" si="4"/>
        <v>大师水晶枪</v>
      </c>
      <c r="H5" s="14" t="str">
        <f t="shared" si="5"/>
        <v>大师水晶镰刀</v>
      </c>
      <c r="I5" s="14" t="str">
        <f t="shared" si="6"/>
        <v>大师水晶法杖</v>
      </c>
      <c r="J5" s="14" t="str">
        <f t="shared" si="7"/>
        <v>大师水晶弓</v>
      </c>
      <c r="K5" s="14" t="str">
        <f t="shared" si="8"/>
        <v>大师水晶烟斗</v>
      </c>
      <c r="L5" s="14" t="str">
        <f t="shared" si="9"/>
        <v>大师水晶扇子</v>
      </c>
      <c r="M5" s="14" t="str">
        <f t="shared" si="10"/>
        <v>大师水晶牙齿</v>
      </c>
      <c r="N5" s="14" t="str">
        <f t="shared" si="11"/>
        <v>大师水晶球</v>
      </c>
      <c r="O5" s="14" t="str">
        <f t="shared" si="12"/>
        <v>大师水晶爪</v>
      </c>
      <c r="P5" s="14" t="str">
        <f t="shared" si="13"/>
        <v>大师水晶剑</v>
      </c>
      <c r="Q5" s="14" t="str">
        <f t="shared" si="14"/>
        <v>大师水晶戒指</v>
      </c>
      <c r="R5" s="14" t="str">
        <f t="shared" si="15"/>
        <v>大师水晶项链</v>
      </c>
      <c r="T5" s="8" t="s">
        <v>176</v>
      </c>
      <c r="U5" s="2">
        <v>3</v>
      </c>
      <c r="V5" s="14" t="s">
        <v>191</v>
      </c>
      <c r="W5" s="14" t="s">
        <v>191</v>
      </c>
      <c r="X5" s="14" t="s">
        <v>191</v>
      </c>
      <c r="Y5" s="14" t="s">
        <v>191</v>
      </c>
      <c r="Z5" s="14" t="s">
        <v>191</v>
      </c>
      <c r="AA5" s="14" t="s">
        <v>191</v>
      </c>
      <c r="AB5" s="14" t="s">
        <v>191</v>
      </c>
      <c r="AC5" s="14" t="s">
        <v>191</v>
      </c>
      <c r="AD5" s="14" t="s">
        <v>191</v>
      </c>
      <c r="AE5" s="14" t="s">
        <v>191</v>
      </c>
      <c r="AF5" s="14" t="s">
        <v>191</v>
      </c>
      <c r="AG5" s="14" t="s">
        <v>191</v>
      </c>
      <c r="AH5" s="14" t="s">
        <v>191</v>
      </c>
      <c r="AI5" s="14" t="s">
        <v>191</v>
      </c>
      <c r="AJ5" s="14" t="s">
        <v>191</v>
      </c>
    </row>
    <row r="6" spans="2:36" x14ac:dyDescent="0.15">
      <c r="B6" s="8" t="s">
        <v>418</v>
      </c>
      <c r="C6" s="2">
        <v>4</v>
      </c>
      <c r="D6" s="14" t="str">
        <f t="shared" si="1"/>
        <v>宗师精钢锤</v>
      </c>
      <c r="E6" s="14" t="str">
        <f t="shared" si="2"/>
        <v>宗师精钢刀</v>
      </c>
      <c r="F6" s="14" t="str">
        <f t="shared" si="3"/>
        <v>宗师精钢拳套</v>
      </c>
      <c r="G6" s="14" t="str">
        <f t="shared" si="4"/>
        <v>宗师精钢枪</v>
      </c>
      <c r="H6" s="14" t="str">
        <f t="shared" si="5"/>
        <v>宗师精钢镰刀</v>
      </c>
      <c r="I6" s="14" t="str">
        <f t="shared" si="6"/>
        <v>宗师精钢法杖</v>
      </c>
      <c r="J6" s="14" t="str">
        <f t="shared" si="7"/>
        <v>宗师精钢弓</v>
      </c>
      <c r="K6" s="14" t="str">
        <f t="shared" si="8"/>
        <v>宗师精钢烟斗</v>
      </c>
      <c r="L6" s="14" t="str">
        <f t="shared" si="9"/>
        <v>宗师精钢扇子</v>
      </c>
      <c r="M6" s="14" t="str">
        <f t="shared" si="10"/>
        <v>宗师精钢牙齿</v>
      </c>
      <c r="N6" s="14" t="str">
        <f t="shared" si="11"/>
        <v>宗师精钢球</v>
      </c>
      <c r="O6" s="14" t="str">
        <f t="shared" si="12"/>
        <v>宗师精钢爪</v>
      </c>
      <c r="P6" s="14" t="str">
        <f t="shared" si="13"/>
        <v>宗师精钢剑</v>
      </c>
      <c r="Q6" s="14" t="str">
        <f t="shared" si="14"/>
        <v>宗师精钢戒指</v>
      </c>
      <c r="R6" s="14" t="str">
        <f t="shared" si="15"/>
        <v>宗师精钢项链</v>
      </c>
      <c r="T6" s="8" t="s">
        <v>177</v>
      </c>
      <c r="U6" s="2">
        <v>4</v>
      </c>
      <c r="V6" s="14" t="s">
        <v>192</v>
      </c>
      <c r="W6" s="14" t="s">
        <v>192</v>
      </c>
      <c r="X6" s="14" t="s">
        <v>192</v>
      </c>
      <c r="Y6" s="14" t="s">
        <v>192</v>
      </c>
      <c r="Z6" s="14" t="s">
        <v>192</v>
      </c>
      <c r="AA6" s="14" t="s">
        <v>192</v>
      </c>
      <c r="AB6" s="14" t="s">
        <v>192</v>
      </c>
      <c r="AC6" s="14" t="s">
        <v>192</v>
      </c>
      <c r="AD6" s="14" t="s">
        <v>192</v>
      </c>
      <c r="AE6" s="14" t="s">
        <v>192</v>
      </c>
      <c r="AF6" s="14" t="s">
        <v>192</v>
      </c>
      <c r="AG6" s="14" t="s">
        <v>192</v>
      </c>
      <c r="AH6" s="14" t="s">
        <v>192</v>
      </c>
      <c r="AI6" s="14" t="s">
        <v>192</v>
      </c>
      <c r="AJ6" s="14" t="s">
        <v>192</v>
      </c>
    </row>
    <row r="7" spans="2:36" x14ac:dyDescent="0.15">
      <c r="B7" s="8" t="s">
        <v>419</v>
      </c>
      <c r="C7" s="2">
        <v>5</v>
      </c>
      <c r="D7" s="14" t="str">
        <f t="shared" si="1"/>
        <v>显赫白银锤</v>
      </c>
      <c r="E7" s="14" t="str">
        <f t="shared" si="2"/>
        <v>显赫白银刀</v>
      </c>
      <c r="F7" s="14" t="str">
        <f t="shared" si="3"/>
        <v>显赫白银拳套</v>
      </c>
      <c r="G7" s="14" t="str">
        <f t="shared" si="4"/>
        <v>显赫白银枪</v>
      </c>
      <c r="H7" s="14" t="str">
        <f t="shared" si="5"/>
        <v>显赫白银镰刀</v>
      </c>
      <c r="I7" s="14" t="str">
        <f t="shared" si="6"/>
        <v>显赫白银法杖</v>
      </c>
      <c r="J7" s="14" t="str">
        <f t="shared" si="7"/>
        <v>显赫白银弓</v>
      </c>
      <c r="K7" s="14" t="str">
        <f t="shared" si="8"/>
        <v>显赫白银烟斗</v>
      </c>
      <c r="L7" s="14" t="str">
        <f t="shared" si="9"/>
        <v>显赫白银扇子</v>
      </c>
      <c r="M7" s="14" t="str">
        <f t="shared" si="10"/>
        <v>显赫白银牙齿</v>
      </c>
      <c r="N7" s="14" t="str">
        <f t="shared" si="11"/>
        <v>显赫白银球</v>
      </c>
      <c r="O7" s="14" t="str">
        <f t="shared" si="12"/>
        <v>显赫白银爪</v>
      </c>
      <c r="P7" s="14" t="str">
        <f t="shared" si="13"/>
        <v>显赫白银剑</v>
      </c>
      <c r="Q7" s="14" t="str">
        <f t="shared" si="14"/>
        <v>显赫白银戒指</v>
      </c>
      <c r="R7" s="14" t="str">
        <f t="shared" si="15"/>
        <v>显赫白银项链</v>
      </c>
      <c r="T7" s="8" t="s">
        <v>178</v>
      </c>
      <c r="U7" s="2">
        <v>5</v>
      </c>
      <c r="V7" s="14" t="s">
        <v>194</v>
      </c>
      <c r="W7" s="14" t="s">
        <v>194</v>
      </c>
      <c r="X7" s="14" t="s">
        <v>194</v>
      </c>
      <c r="Y7" s="14" t="s">
        <v>194</v>
      </c>
      <c r="Z7" s="14" t="s">
        <v>194</v>
      </c>
      <c r="AA7" s="14" t="s">
        <v>194</v>
      </c>
      <c r="AB7" s="14" t="s">
        <v>194</v>
      </c>
      <c r="AC7" s="14" t="s">
        <v>194</v>
      </c>
      <c r="AD7" s="14" t="s">
        <v>194</v>
      </c>
      <c r="AE7" s="14" t="s">
        <v>194</v>
      </c>
      <c r="AF7" s="14" t="s">
        <v>194</v>
      </c>
      <c r="AG7" s="14" t="s">
        <v>194</v>
      </c>
      <c r="AH7" s="14" t="s">
        <v>194</v>
      </c>
      <c r="AI7" s="14" t="s">
        <v>194</v>
      </c>
      <c r="AJ7" s="14" t="s">
        <v>194</v>
      </c>
    </row>
    <row r="8" spans="2:36" x14ac:dyDescent="0.15">
      <c r="B8" s="8" t="s">
        <v>420</v>
      </c>
      <c r="C8" s="2">
        <v>6</v>
      </c>
      <c r="D8" s="14" t="str">
        <f t="shared" si="1"/>
        <v>尊荣虚幻锤</v>
      </c>
      <c r="E8" s="14" t="str">
        <f t="shared" si="2"/>
        <v>尊荣虚幻刀</v>
      </c>
      <c r="F8" s="14" t="str">
        <f t="shared" si="3"/>
        <v>尊荣虚幻拳套</v>
      </c>
      <c r="G8" s="14" t="str">
        <f t="shared" si="4"/>
        <v>尊荣虚幻枪</v>
      </c>
      <c r="H8" s="14" t="str">
        <f t="shared" si="5"/>
        <v>尊荣虚幻镰刀</v>
      </c>
      <c r="I8" s="14" t="str">
        <f t="shared" si="6"/>
        <v>尊荣虚幻法杖</v>
      </c>
      <c r="J8" s="14" t="str">
        <f t="shared" si="7"/>
        <v>尊荣虚幻弓</v>
      </c>
      <c r="K8" s="14" t="str">
        <f t="shared" si="8"/>
        <v>尊荣虚幻烟斗</v>
      </c>
      <c r="L8" s="14" t="str">
        <f t="shared" si="9"/>
        <v>尊荣虚幻扇子</v>
      </c>
      <c r="M8" s="14" t="str">
        <f t="shared" si="10"/>
        <v>尊荣虚幻牙齿</v>
      </c>
      <c r="N8" s="14" t="str">
        <f t="shared" si="11"/>
        <v>尊荣虚幻球</v>
      </c>
      <c r="O8" s="14" t="str">
        <f t="shared" si="12"/>
        <v>尊荣虚幻爪</v>
      </c>
      <c r="P8" s="14" t="str">
        <f t="shared" si="13"/>
        <v>尊荣虚幻剑</v>
      </c>
      <c r="Q8" s="14" t="str">
        <f t="shared" si="14"/>
        <v>尊荣虚幻戒指</v>
      </c>
      <c r="R8" s="14" t="str">
        <f t="shared" si="15"/>
        <v>尊荣虚幻项链</v>
      </c>
      <c r="T8" s="8" t="s">
        <v>179</v>
      </c>
      <c r="U8" s="2">
        <v>6</v>
      </c>
      <c r="V8" s="14" t="s">
        <v>195</v>
      </c>
      <c r="W8" s="14" t="s">
        <v>195</v>
      </c>
      <c r="X8" s="14" t="s">
        <v>195</v>
      </c>
      <c r="Y8" s="14" t="s">
        <v>195</v>
      </c>
      <c r="Z8" s="14" t="s">
        <v>195</v>
      </c>
      <c r="AA8" s="14" t="s">
        <v>195</v>
      </c>
      <c r="AB8" s="14" t="s">
        <v>195</v>
      </c>
      <c r="AC8" s="14" t="s">
        <v>195</v>
      </c>
      <c r="AD8" s="14" t="s">
        <v>195</v>
      </c>
      <c r="AE8" s="14" t="s">
        <v>195</v>
      </c>
      <c r="AF8" s="14" t="s">
        <v>195</v>
      </c>
      <c r="AG8" s="14" t="s">
        <v>195</v>
      </c>
      <c r="AH8" s="14" t="s">
        <v>195</v>
      </c>
      <c r="AI8" s="14" t="s">
        <v>195</v>
      </c>
      <c r="AJ8" s="14" t="s">
        <v>195</v>
      </c>
    </row>
    <row r="9" spans="2:36" x14ac:dyDescent="0.15">
      <c r="B9" s="8" t="s">
        <v>421</v>
      </c>
      <c r="C9" s="2">
        <v>7</v>
      </c>
      <c r="D9" s="14" t="str">
        <f t="shared" si="1"/>
        <v>至尊歌德锤</v>
      </c>
      <c r="E9" s="14" t="str">
        <f t="shared" si="2"/>
        <v>至尊歌德刀</v>
      </c>
      <c r="F9" s="14" t="str">
        <f t="shared" si="3"/>
        <v>至尊歌德拳套</v>
      </c>
      <c r="G9" s="14" t="str">
        <f t="shared" si="4"/>
        <v>至尊歌德枪</v>
      </c>
      <c r="H9" s="14" t="str">
        <f t="shared" si="5"/>
        <v>至尊歌德镰刀</v>
      </c>
      <c r="I9" s="14" t="str">
        <f t="shared" si="6"/>
        <v>至尊歌德法杖</v>
      </c>
      <c r="J9" s="14" t="str">
        <f t="shared" si="7"/>
        <v>至尊歌德弓</v>
      </c>
      <c r="K9" s="14" t="str">
        <f t="shared" si="8"/>
        <v>至尊歌德烟斗</v>
      </c>
      <c r="L9" s="14" t="str">
        <f t="shared" si="9"/>
        <v>至尊歌德扇子</v>
      </c>
      <c r="M9" s="14" t="str">
        <f t="shared" si="10"/>
        <v>至尊歌德牙齿</v>
      </c>
      <c r="N9" s="14" t="str">
        <f t="shared" si="11"/>
        <v>至尊歌德球</v>
      </c>
      <c r="O9" s="14" t="str">
        <f t="shared" si="12"/>
        <v>至尊歌德爪</v>
      </c>
      <c r="P9" s="14" t="str">
        <f t="shared" si="13"/>
        <v>至尊歌德剑</v>
      </c>
      <c r="Q9" s="14" t="str">
        <f t="shared" si="14"/>
        <v>至尊歌德戒指</v>
      </c>
      <c r="R9" s="14" t="str">
        <f t="shared" si="15"/>
        <v>至尊歌德项链</v>
      </c>
      <c r="T9" s="8" t="s">
        <v>180</v>
      </c>
      <c r="U9" s="2">
        <v>7</v>
      </c>
      <c r="V9" s="14" t="s">
        <v>185</v>
      </c>
      <c r="W9" s="14" t="s">
        <v>185</v>
      </c>
      <c r="X9" s="14" t="s">
        <v>185</v>
      </c>
      <c r="Y9" s="14" t="s">
        <v>185</v>
      </c>
      <c r="Z9" s="14" t="s">
        <v>185</v>
      </c>
      <c r="AA9" s="14" t="s">
        <v>185</v>
      </c>
      <c r="AB9" s="14" t="s">
        <v>185</v>
      </c>
      <c r="AC9" s="14" t="s">
        <v>185</v>
      </c>
      <c r="AD9" s="14" t="s">
        <v>185</v>
      </c>
      <c r="AE9" s="14" t="s">
        <v>185</v>
      </c>
      <c r="AF9" s="14" t="s">
        <v>185</v>
      </c>
      <c r="AG9" s="14" t="s">
        <v>185</v>
      </c>
      <c r="AH9" s="14" t="s">
        <v>185</v>
      </c>
      <c r="AI9" s="14" t="s">
        <v>185</v>
      </c>
      <c r="AJ9" s="14" t="s">
        <v>185</v>
      </c>
    </row>
    <row r="10" spans="2:36" x14ac:dyDescent="0.15">
      <c r="B10" s="8" t="s">
        <v>422</v>
      </c>
      <c r="C10" s="2">
        <v>8</v>
      </c>
      <c r="D10" s="14" t="str">
        <f t="shared" si="1"/>
        <v>绝旨空灵锤</v>
      </c>
      <c r="E10" s="14" t="str">
        <f t="shared" si="2"/>
        <v>绝旨空灵刀</v>
      </c>
      <c r="F10" s="14" t="str">
        <f t="shared" si="3"/>
        <v>绝旨空灵拳套</v>
      </c>
      <c r="G10" s="14" t="str">
        <f t="shared" si="4"/>
        <v>绝旨空灵枪</v>
      </c>
      <c r="H10" s="14" t="str">
        <f t="shared" si="5"/>
        <v>绝旨空灵镰刀</v>
      </c>
      <c r="I10" s="14" t="str">
        <f t="shared" si="6"/>
        <v>绝旨空灵法杖</v>
      </c>
      <c r="J10" s="14" t="str">
        <f t="shared" si="7"/>
        <v>绝旨空灵弓</v>
      </c>
      <c r="K10" s="14" t="str">
        <f t="shared" si="8"/>
        <v>绝旨空灵烟斗</v>
      </c>
      <c r="L10" s="14" t="str">
        <f t="shared" si="9"/>
        <v>绝旨空灵扇子</v>
      </c>
      <c r="M10" s="14" t="str">
        <f t="shared" si="10"/>
        <v>绝旨空灵牙齿</v>
      </c>
      <c r="N10" s="14" t="str">
        <f t="shared" si="11"/>
        <v>绝旨空灵球</v>
      </c>
      <c r="O10" s="14" t="str">
        <f t="shared" si="12"/>
        <v>绝旨空灵爪</v>
      </c>
      <c r="P10" s="14" t="str">
        <f t="shared" si="13"/>
        <v>绝旨空灵剑</v>
      </c>
      <c r="Q10" s="14" t="str">
        <f t="shared" si="14"/>
        <v>绝旨空灵戒指</v>
      </c>
      <c r="R10" s="14" t="str">
        <f t="shared" si="15"/>
        <v>绝旨空灵项链</v>
      </c>
      <c r="T10" s="8" t="s">
        <v>181</v>
      </c>
      <c r="U10" s="2">
        <v>8</v>
      </c>
      <c r="V10" s="14" t="s">
        <v>196</v>
      </c>
      <c r="W10" s="14" t="s">
        <v>196</v>
      </c>
      <c r="X10" s="14" t="s">
        <v>196</v>
      </c>
      <c r="Y10" s="14" t="s">
        <v>196</v>
      </c>
      <c r="Z10" s="14" t="s">
        <v>196</v>
      </c>
      <c r="AA10" s="14" t="s">
        <v>196</v>
      </c>
      <c r="AB10" s="14" t="s">
        <v>196</v>
      </c>
      <c r="AC10" s="14" t="s">
        <v>196</v>
      </c>
      <c r="AD10" s="14" t="s">
        <v>196</v>
      </c>
      <c r="AE10" s="14" t="s">
        <v>196</v>
      </c>
      <c r="AF10" s="14" t="s">
        <v>196</v>
      </c>
      <c r="AG10" s="14" t="s">
        <v>196</v>
      </c>
      <c r="AH10" s="14" t="s">
        <v>196</v>
      </c>
      <c r="AI10" s="14" t="s">
        <v>196</v>
      </c>
      <c r="AJ10" s="14" t="s">
        <v>196</v>
      </c>
    </row>
    <row r="11" spans="2:36" x14ac:dyDescent="0.15">
      <c r="B11" s="8" t="s">
        <v>423</v>
      </c>
      <c r="C11" s="2">
        <v>9</v>
      </c>
      <c r="D11" s="14" t="str">
        <f t="shared" si="1"/>
        <v>天工混乱锤</v>
      </c>
      <c r="E11" s="14" t="str">
        <f t="shared" si="2"/>
        <v>天工混乱刀</v>
      </c>
      <c r="F11" s="14" t="str">
        <f t="shared" si="3"/>
        <v>天工混乱拳套</v>
      </c>
      <c r="G11" s="14" t="str">
        <f t="shared" si="4"/>
        <v>天工混乱枪</v>
      </c>
      <c r="H11" s="14" t="str">
        <f t="shared" si="5"/>
        <v>天工混乱镰刀</v>
      </c>
      <c r="I11" s="14" t="str">
        <f t="shared" si="6"/>
        <v>天工混乱法杖</v>
      </c>
      <c r="J11" s="14" t="str">
        <f t="shared" si="7"/>
        <v>天工混乱弓</v>
      </c>
      <c r="K11" s="14" t="str">
        <f t="shared" si="8"/>
        <v>天工混乱烟斗</v>
      </c>
      <c r="L11" s="14" t="str">
        <f t="shared" si="9"/>
        <v>天工混乱扇子</v>
      </c>
      <c r="M11" s="14" t="str">
        <f t="shared" si="10"/>
        <v>天工混乱牙齿</v>
      </c>
      <c r="N11" s="14" t="str">
        <f t="shared" si="11"/>
        <v>天工混乱球</v>
      </c>
      <c r="O11" s="14" t="str">
        <f t="shared" si="12"/>
        <v>天工混乱爪</v>
      </c>
      <c r="P11" s="14" t="str">
        <f t="shared" si="13"/>
        <v>天工混乱剑</v>
      </c>
      <c r="Q11" s="14" t="str">
        <f t="shared" si="14"/>
        <v>天工混乱戒指</v>
      </c>
      <c r="R11" s="14" t="str">
        <f t="shared" si="15"/>
        <v>天工混乱项链</v>
      </c>
      <c r="T11" s="8" t="s">
        <v>182</v>
      </c>
      <c r="U11" s="2">
        <v>9</v>
      </c>
      <c r="V11" s="14" t="s">
        <v>197</v>
      </c>
      <c r="W11" s="14" t="s">
        <v>197</v>
      </c>
      <c r="X11" s="14" t="s">
        <v>197</v>
      </c>
      <c r="Y11" s="14" t="s">
        <v>197</v>
      </c>
      <c r="Z11" s="14" t="s">
        <v>197</v>
      </c>
      <c r="AA11" s="14" t="s">
        <v>197</v>
      </c>
      <c r="AB11" s="14" t="s">
        <v>197</v>
      </c>
      <c r="AC11" s="14" t="s">
        <v>197</v>
      </c>
      <c r="AD11" s="14" t="s">
        <v>197</v>
      </c>
      <c r="AE11" s="14" t="s">
        <v>197</v>
      </c>
      <c r="AF11" s="14" t="s">
        <v>197</v>
      </c>
      <c r="AG11" s="14" t="s">
        <v>197</v>
      </c>
      <c r="AH11" s="14" t="s">
        <v>197</v>
      </c>
      <c r="AI11" s="14" t="s">
        <v>197</v>
      </c>
      <c r="AJ11" s="14" t="s">
        <v>197</v>
      </c>
    </row>
    <row r="15" spans="2:36" x14ac:dyDescent="0.15">
      <c r="C15" s="16" t="s">
        <v>205</v>
      </c>
      <c r="D15" s="16" t="s">
        <v>204</v>
      </c>
      <c r="E15" s="16" t="s">
        <v>187</v>
      </c>
      <c r="F15" s="16" t="s">
        <v>163</v>
      </c>
      <c r="G15" s="16" t="s">
        <v>164</v>
      </c>
      <c r="H15" s="16" t="s">
        <v>165</v>
      </c>
      <c r="I15" s="16" t="s">
        <v>166</v>
      </c>
      <c r="J15" s="16" t="s">
        <v>127</v>
      </c>
      <c r="K15" s="16" t="s">
        <v>167</v>
      </c>
      <c r="L15" s="16" t="s">
        <v>168</v>
      </c>
      <c r="M15" s="16" t="s">
        <v>169</v>
      </c>
      <c r="N15" s="16" t="s">
        <v>126</v>
      </c>
      <c r="O15" s="16" t="s">
        <v>170</v>
      </c>
      <c r="P15" s="16" t="s">
        <v>171</v>
      </c>
      <c r="Q15" s="16" t="s">
        <v>172</v>
      </c>
      <c r="R15" s="16" t="s">
        <v>173</v>
      </c>
    </row>
    <row r="16" spans="2:36" x14ac:dyDescent="0.15">
      <c r="B16" s="8" t="s">
        <v>201</v>
      </c>
      <c r="C16" s="2">
        <v>1</v>
      </c>
      <c r="D16" s="14" t="str">
        <f>$B16&amp;D$15</f>
        <v>破旧的锤</v>
      </c>
      <c r="E16" s="14" t="str">
        <f t="shared" ref="E16:R24" si="16">$B16&amp;E$15</f>
        <v>破旧的刀</v>
      </c>
      <c r="F16" s="14" t="str">
        <f t="shared" si="16"/>
        <v>破旧的拳套</v>
      </c>
      <c r="G16" s="14" t="str">
        <f t="shared" si="16"/>
        <v>破旧的枪</v>
      </c>
      <c r="H16" s="14" t="str">
        <f t="shared" si="16"/>
        <v>破旧的镰刀</v>
      </c>
      <c r="I16" s="14" t="str">
        <f t="shared" si="16"/>
        <v>破旧的法杖</v>
      </c>
      <c r="J16" s="14" t="str">
        <f t="shared" si="16"/>
        <v>破旧的弓</v>
      </c>
      <c r="K16" s="14" t="str">
        <f t="shared" si="16"/>
        <v>破旧的烟斗</v>
      </c>
      <c r="L16" s="14" t="str">
        <f t="shared" si="16"/>
        <v>破旧的扇子</v>
      </c>
      <c r="M16" s="14" t="str">
        <f t="shared" si="16"/>
        <v>破旧的牙齿</v>
      </c>
      <c r="N16" s="14" t="str">
        <f t="shared" si="16"/>
        <v>破旧的球</v>
      </c>
      <c r="O16" s="14" t="str">
        <f t="shared" si="16"/>
        <v>破旧的爪</v>
      </c>
      <c r="P16" s="14" t="str">
        <f t="shared" si="16"/>
        <v>破旧的剑</v>
      </c>
      <c r="Q16" s="14" t="str">
        <f t="shared" si="16"/>
        <v>破旧的戒指</v>
      </c>
      <c r="R16" s="14" t="str">
        <f t="shared" si="16"/>
        <v>破旧的项链</v>
      </c>
    </row>
    <row r="17" spans="2:18" x14ac:dyDescent="0.15">
      <c r="B17" s="8" t="s">
        <v>202</v>
      </c>
      <c r="C17" s="2">
        <v>2</v>
      </c>
      <c r="D17" s="14" t="str">
        <f t="shared" ref="D17:D24" si="17">$B17&amp;D$15</f>
        <v>普通的锤</v>
      </c>
      <c r="E17" s="14" t="str">
        <f t="shared" si="16"/>
        <v>普通的刀</v>
      </c>
      <c r="F17" s="14" t="str">
        <f t="shared" si="16"/>
        <v>普通的拳套</v>
      </c>
      <c r="G17" s="14" t="str">
        <f t="shared" si="16"/>
        <v>普通的枪</v>
      </c>
      <c r="H17" s="14" t="str">
        <f t="shared" si="16"/>
        <v>普通的镰刀</v>
      </c>
      <c r="I17" s="14" t="str">
        <f t="shared" si="16"/>
        <v>普通的法杖</v>
      </c>
      <c r="J17" s="14" t="str">
        <f t="shared" si="16"/>
        <v>普通的弓</v>
      </c>
      <c r="K17" s="14" t="str">
        <f t="shared" si="16"/>
        <v>普通的烟斗</v>
      </c>
      <c r="L17" s="14" t="str">
        <f t="shared" si="16"/>
        <v>普通的扇子</v>
      </c>
      <c r="M17" s="14" t="str">
        <f t="shared" si="16"/>
        <v>普通的牙齿</v>
      </c>
      <c r="N17" s="14" t="str">
        <f t="shared" si="16"/>
        <v>普通的球</v>
      </c>
      <c r="O17" s="14" t="str">
        <f t="shared" si="16"/>
        <v>普通的爪</v>
      </c>
      <c r="P17" s="14" t="str">
        <f t="shared" si="16"/>
        <v>普通的剑</v>
      </c>
      <c r="Q17" s="14" t="str">
        <f t="shared" si="16"/>
        <v>普通的戒指</v>
      </c>
      <c r="R17" s="14" t="str">
        <f t="shared" si="16"/>
        <v>普通的项链</v>
      </c>
    </row>
    <row r="18" spans="2:18" x14ac:dyDescent="0.15">
      <c r="B18" s="8" t="s">
        <v>203</v>
      </c>
      <c r="C18" s="2">
        <v>3</v>
      </c>
      <c r="D18" s="14" t="str">
        <f t="shared" si="17"/>
        <v>初级的锤</v>
      </c>
      <c r="E18" s="14" t="str">
        <f t="shared" si="16"/>
        <v>初级的刀</v>
      </c>
      <c r="F18" s="14" t="str">
        <f t="shared" si="16"/>
        <v>初级的拳套</v>
      </c>
      <c r="G18" s="14" t="str">
        <f t="shared" si="16"/>
        <v>初级的枪</v>
      </c>
      <c r="H18" s="14" t="str">
        <f t="shared" si="16"/>
        <v>初级的镰刀</v>
      </c>
      <c r="I18" s="14" t="str">
        <f t="shared" si="16"/>
        <v>初级的法杖</v>
      </c>
      <c r="J18" s="14" t="str">
        <f t="shared" si="16"/>
        <v>初级的弓</v>
      </c>
      <c r="K18" s="14" t="str">
        <f t="shared" si="16"/>
        <v>初级的烟斗</v>
      </c>
      <c r="L18" s="14" t="str">
        <f t="shared" si="16"/>
        <v>初级的扇子</v>
      </c>
      <c r="M18" s="14" t="str">
        <f t="shared" si="16"/>
        <v>初级的牙齿</v>
      </c>
      <c r="N18" s="14" t="str">
        <f t="shared" si="16"/>
        <v>初级的球</v>
      </c>
      <c r="O18" s="14" t="str">
        <f t="shared" si="16"/>
        <v>初级的爪</v>
      </c>
      <c r="P18" s="14" t="str">
        <f t="shared" si="16"/>
        <v>初级的剑</v>
      </c>
      <c r="Q18" s="14" t="str">
        <f t="shared" si="16"/>
        <v>初级的戒指</v>
      </c>
      <c r="R18" s="14" t="str">
        <f t="shared" si="16"/>
        <v>初级的项链</v>
      </c>
    </row>
    <row r="19" spans="2:18" x14ac:dyDescent="0.15">
      <c r="B19" s="1" t="s">
        <v>190</v>
      </c>
      <c r="C19" s="2">
        <v>4</v>
      </c>
      <c r="D19" s="14" t="str">
        <f t="shared" si="17"/>
        <v>水晶锤</v>
      </c>
      <c r="E19" s="14" t="str">
        <f t="shared" si="16"/>
        <v>水晶刀</v>
      </c>
      <c r="F19" s="14" t="str">
        <f t="shared" si="16"/>
        <v>水晶拳套</v>
      </c>
      <c r="G19" s="14" t="str">
        <f t="shared" si="16"/>
        <v>水晶枪</v>
      </c>
      <c r="H19" s="14" t="str">
        <f t="shared" si="16"/>
        <v>水晶镰刀</v>
      </c>
      <c r="I19" s="14" t="str">
        <f t="shared" si="16"/>
        <v>水晶法杖</v>
      </c>
      <c r="J19" s="14" t="str">
        <f t="shared" si="16"/>
        <v>水晶弓</v>
      </c>
      <c r="K19" s="14" t="str">
        <f t="shared" si="16"/>
        <v>水晶烟斗</v>
      </c>
      <c r="L19" s="14" t="str">
        <f t="shared" si="16"/>
        <v>水晶扇子</v>
      </c>
      <c r="M19" s="14" t="str">
        <f t="shared" si="16"/>
        <v>水晶牙齿</v>
      </c>
      <c r="N19" s="14" t="str">
        <f t="shared" si="16"/>
        <v>水晶球</v>
      </c>
      <c r="O19" s="14" t="str">
        <f t="shared" si="16"/>
        <v>水晶爪</v>
      </c>
      <c r="P19" s="14" t="str">
        <f t="shared" si="16"/>
        <v>水晶剑</v>
      </c>
      <c r="Q19" s="14" t="str">
        <f t="shared" si="16"/>
        <v>水晶戒指</v>
      </c>
      <c r="R19" s="14" t="str">
        <f t="shared" si="16"/>
        <v>水晶项链</v>
      </c>
    </row>
    <row r="20" spans="2:18" x14ac:dyDescent="0.15">
      <c r="B20" s="1" t="s">
        <v>198</v>
      </c>
      <c r="C20" s="2">
        <v>5</v>
      </c>
      <c r="D20" s="14" t="str">
        <f t="shared" si="17"/>
        <v>青铜锤</v>
      </c>
      <c r="E20" s="14" t="str">
        <f t="shared" si="16"/>
        <v>青铜刀</v>
      </c>
      <c r="F20" s="14" t="str">
        <f t="shared" si="16"/>
        <v>青铜拳套</v>
      </c>
      <c r="G20" s="14" t="str">
        <f t="shared" si="16"/>
        <v>青铜枪</v>
      </c>
      <c r="H20" s="14" t="str">
        <f t="shared" si="16"/>
        <v>青铜镰刀</v>
      </c>
      <c r="I20" s="14" t="str">
        <f t="shared" si="16"/>
        <v>青铜法杖</v>
      </c>
      <c r="J20" s="14" t="str">
        <f t="shared" si="16"/>
        <v>青铜弓</v>
      </c>
      <c r="K20" s="14" t="str">
        <f t="shared" si="16"/>
        <v>青铜烟斗</v>
      </c>
      <c r="L20" s="14" t="str">
        <f t="shared" si="16"/>
        <v>青铜扇子</v>
      </c>
      <c r="M20" s="14" t="str">
        <f t="shared" si="16"/>
        <v>青铜牙齿</v>
      </c>
      <c r="N20" s="14" t="str">
        <f t="shared" si="16"/>
        <v>青铜球</v>
      </c>
      <c r="O20" s="14" t="str">
        <f t="shared" si="16"/>
        <v>青铜爪</v>
      </c>
      <c r="P20" s="14" t="str">
        <f t="shared" si="16"/>
        <v>青铜剑</v>
      </c>
      <c r="Q20" s="14" t="str">
        <f t="shared" si="16"/>
        <v>青铜戒指</v>
      </c>
      <c r="R20" s="14" t="str">
        <f t="shared" si="16"/>
        <v>青铜项链</v>
      </c>
    </row>
    <row r="21" spans="2:18" x14ac:dyDescent="0.15">
      <c r="B21" s="1" t="s">
        <v>188</v>
      </c>
      <c r="C21" s="2">
        <v>6</v>
      </c>
      <c r="D21" s="14" t="str">
        <f t="shared" si="17"/>
        <v>玄铁锤</v>
      </c>
      <c r="E21" s="14" t="str">
        <f t="shared" si="16"/>
        <v>玄铁刀</v>
      </c>
      <c r="F21" s="14" t="str">
        <f t="shared" si="16"/>
        <v>玄铁拳套</v>
      </c>
      <c r="G21" s="14" t="str">
        <f t="shared" si="16"/>
        <v>玄铁枪</v>
      </c>
      <c r="H21" s="14" t="str">
        <f t="shared" si="16"/>
        <v>玄铁镰刀</v>
      </c>
      <c r="I21" s="14" t="str">
        <f t="shared" si="16"/>
        <v>玄铁法杖</v>
      </c>
      <c r="J21" s="14" t="str">
        <f t="shared" si="16"/>
        <v>玄铁弓</v>
      </c>
      <c r="K21" s="14" t="str">
        <f t="shared" si="16"/>
        <v>玄铁烟斗</v>
      </c>
      <c r="L21" s="14" t="str">
        <f t="shared" si="16"/>
        <v>玄铁扇子</v>
      </c>
      <c r="M21" s="14" t="str">
        <f t="shared" si="16"/>
        <v>玄铁牙齿</v>
      </c>
      <c r="N21" s="14" t="str">
        <f t="shared" si="16"/>
        <v>玄铁球</v>
      </c>
      <c r="O21" s="14" t="str">
        <f t="shared" si="16"/>
        <v>玄铁爪</v>
      </c>
      <c r="P21" s="14" t="str">
        <f t="shared" si="16"/>
        <v>玄铁剑</v>
      </c>
      <c r="Q21" s="14" t="str">
        <f t="shared" si="16"/>
        <v>玄铁戒指</v>
      </c>
      <c r="R21" s="14" t="str">
        <f t="shared" si="16"/>
        <v>玄铁项链</v>
      </c>
    </row>
    <row r="22" spans="2:18" x14ac:dyDescent="0.15">
      <c r="B22" s="1" t="s">
        <v>193</v>
      </c>
      <c r="C22" s="2">
        <v>7</v>
      </c>
      <c r="D22" s="14" t="str">
        <f t="shared" si="17"/>
        <v>白银锤</v>
      </c>
      <c r="E22" s="14" t="str">
        <f t="shared" si="16"/>
        <v>白银刀</v>
      </c>
      <c r="F22" s="14" t="str">
        <f t="shared" si="16"/>
        <v>白银拳套</v>
      </c>
      <c r="G22" s="14" t="str">
        <f t="shared" si="16"/>
        <v>白银枪</v>
      </c>
      <c r="H22" s="14" t="str">
        <f t="shared" si="16"/>
        <v>白银镰刀</v>
      </c>
      <c r="I22" s="14" t="str">
        <f t="shared" si="16"/>
        <v>白银法杖</v>
      </c>
      <c r="J22" s="14" t="str">
        <f t="shared" si="16"/>
        <v>白银弓</v>
      </c>
      <c r="K22" s="14" t="str">
        <f t="shared" si="16"/>
        <v>白银烟斗</v>
      </c>
      <c r="L22" s="14" t="str">
        <f t="shared" si="16"/>
        <v>白银扇子</v>
      </c>
      <c r="M22" s="14" t="str">
        <f t="shared" si="16"/>
        <v>白银牙齿</v>
      </c>
      <c r="N22" s="14" t="str">
        <f t="shared" si="16"/>
        <v>白银球</v>
      </c>
      <c r="O22" s="14" t="str">
        <f t="shared" si="16"/>
        <v>白银爪</v>
      </c>
      <c r="P22" s="14" t="str">
        <f t="shared" si="16"/>
        <v>白银剑</v>
      </c>
      <c r="Q22" s="14" t="str">
        <f t="shared" si="16"/>
        <v>白银戒指</v>
      </c>
      <c r="R22" s="14" t="str">
        <f t="shared" si="16"/>
        <v>白银项链</v>
      </c>
    </row>
    <row r="23" spans="2:18" x14ac:dyDescent="0.15">
      <c r="B23" s="1" t="s">
        <v>199</v>
      </c>
      <c r="C23" s="2">
        <v>8</v>
      </c>
      <c r="D23" s="14" t="str">
        <f t="shared" si="17"/>
        <v>异灵锤</v>
      </c>
      <c r="E23" s="14" t="str">
        <f t="shared" si="16"/>
        <v>异灵刀</v>
      </c>
      <c r="F23" s="14" t="str">
        <f t="shared" si="16"/>
        <v>异灵拳套</v>
      </c>
      <c r="G23" s="14" t="str">
        <f t="shared" si="16"/>
        <v>异灵枪</v>
      </c>
      <c r="H23" s="14" t="str">
        <f t="shared" si="16"/>
        <v>异灵镰刀</v>
      </c>
      <c r="I23" s="14" t="str">
        <f t="shared" si="16"/>
        <v>异灵法杖</v>
      </c>
      <c r="J23" s="14" t="str">
        <f t="shared" si="16"/>
        <v>异灵弓</v>
      </c>
      <c r="K23" s="14" t="str">
        <f t="shared" si="16"/>
        <v>异灵烟斗</v>
      </c>
      <c r="L23" s="14" t="str">
        <f t="shared" si="16"/>
        <v>异灵扇子</v>
      </c>
      <c r="M23" s="14" t="str">
        <f t="shared" si="16"/>
        <v>异灵牙齿</v>
      </c>
      <c r="N23" s="14" t="str">
        <f t="shared" si="16"/>
        <v>异灵球</v>
      </c>
      <c r="O23" s="14" t="str">
        <f t="shared" si="16"/>
        <v>异灵爪</v>
      </c>
      <c r="P23" s="14" t="str">
        <f t="shared" si="16"/>
        <v>异灵剑</v>
      </c>
      <c r="Q23" s="14" t="str">
        <f t="shared" si="16"/>
        <v>异灵戒指</v>
      </c>
      <c r="R23" s="14" t="str">
        <f t="shared" si="16"/>
        <v>异灵项链</v>
      </c>
    </row>
    <row r="24" spans="2:18" x14ac:dyDescent="0.15">
      <c r="B24" s="1" t="s">
        <v>200</v>
      </c>
      <c r="C24" s="2">
        <v>9</v>
      </c>
      <c r="D24" s="14" t="str">
        <f t="shared" si="17"/>
        <v>流星锤</v>
      </c>
      <c r="E24" s="14" t="str">
        <f t="shared" si="16"/>
        <v>流星刀</v>
      </c>
      <c r="F24" s="14" t="str">
        <f t="shared" si="16"/>
        <v>流星拳套</v>
      </c>
      <c r="G24" s="14" t="str">
        <f t="shared" si="16"/>
        <v>流星枪</v>
      </c>
      <c r="H24" s="14" t="str">
        <f t="shared" si="16"/>
        <v>流星镰刀</v>
      </c>
      <c r="I24" s="14" t="str">
        <f t="shared" si="16"/>
        <v>流星法杖</v>
      </c>
      <c r="J24" s="14" t="str">
        <f t="shared" si="16"/>
        <v>流星弓</v>
      </c>
      <c r="K24" s="14" t="str">
        <f t="shared" si="16"/>
        <v>流星烟斗</v>
      </c>
      <c r="L24" s="14" t="str">
        <f t="shared" si="16"/>
        <v>流星扇子</v>
      </c>
      <c r="M24" s="14" t="str">
        <f t="shared" si="16"/>
        <v>流星牙齿</v>
      </c>
      <c r="N24" s="14" t="str">
        <f t="shared" si="16"/>
        <v>流星球</v>
      </c>
      <c r="O24" s="14" t="str">
        <f t="shared" si="16"/>
        <v>流星爪</v>
      </c>
      <c r="P24" s="14" t="str">
        <f t="shared" si="16"/>
        <v>流星剑</v>
      </c>
      <c r="Q24" s="14" t="str">
        <f t="shared" si="16"/>
        <v>流星戒指</v>
      </c>
      <c r="R24" s="14" t="str">
        <f t="shared" si="16"/>
        <v>流星项链</v>
      </c>
    </row>
    <row r="29" spans="2:18" x14ac:dyDescent="0.15">
      <c r="C29" s="16" t="s">
        <v>184</v>
      </c>
      <c r="D29" s="16" t="s">
        <v>406</v>
      </c>
      <c r="E29" s="16" t="s">
        <v>206</v>
      </c>
      <c r="F29" s="16" t="s">
        <v>163</v>
      </c>
      <c r="G29" s="16" t="s">
        <v>164</v>
      </c>
      <c r="H29" s="16" t="s">
        <v>165</v>
      </c>
      <c r="I29" s="16" t="s">
        <v>166</v>
      </c>
      <c r="J29" s="16" t="s">
        <v>127</v>
      </c>
      <c r="K29" s="16" t="s">
        <v>167</v>
      </c>
      <c r="L29" s="16" t="s">
        <v>168</v>
      </c>
      <c r="M29" s="16" t="s">
        <v>169</v>
      </c>
      <c r="N29" s="16" t="s">
        <v>126</v>
      </c>
      <c r="O29" s="16" t="s">
        <v>170</v>
      </c>
      <c r="P29" s="16" t="s">
        <v>171</v>
      </c>
      <c r="Q29" s="16" t="s">
        <v>172</v>
      </c>
      <c r="R29" s="16" t="s">
        <v>173</v>
      </c>
    </row>
    <row r="30" spans="2:18" x14ac:dyDescent="0.15">
      <c r="C30" s="2">
        <v>1</v>
      </c>
      <c r="D30" s="14" t="s">
        <v>207</v>
      </c>
      <c r="E30" s="14" t="s">
        <v>209</v>
      </c>
      <c r="F30" s="14" t="s">
        <v>210</v>
      </c>
      <c r="G30" s="14" t="s">
        <v>211</v>
      </c>
      <c r="H30" s="14" t="s">
        <v>212</v>
      </c>
      <c r="I30" s="14" t="s">
        <v>213</v>
      </c>
      <c r="J30" s="14" t="s">
        <v>214</v>
      </c>
      <c r="K30" s="14" t="s">
        <v>215</v>
      </c>
      <c r="L30" s="14" t="s">
        <v>216</v>
      </c>
      <c r="M30" s="14" t="s">
        <v>217</v>
      </c>
      <c r="N30" s="14" t="s">
        <v>218</v>
      </c>
      <c r="O30" s="14" t="s">
        <v>219</v>
      </c>
      <c r="P30" s="14" t="s">
        <v>220</v>
      </c>
      <c r="Q30" s="14" t="s">
        <v>246</v>
      </c>
      <c r="R30" s="14" t="s">
        <v>247</v>
      </c>
    </row>
    <row r="31" spans="2:18" x14ac:dyDescent="0.15">
      <c r="C31" s="2">
        <v>2</v>
      </c>
      <c r="D31" s="14" t="s">
        <v>208</v>
      </c>
      <c r="E31" s="14" t="s">
        <v>221</v>
      </c>
      <c r="F31" s="14" t="s">
        <v>222</v>
      </c>
      <c r="G31" s="14" t="s">
        <v>223</v>
      </c>
      <c r="H31" s="14" t="s">
        <v>224</v>
      </c>
      <c r="I31" s="14" t="s">
        <v>225</v>
      </c>
      <c r="J31" s="14" t="s">
        <v>226</v>
      </c>
      <c r="K31" s="14" t="s">
        <v>227</v>
      </c>
      <c r="L31" s="14" t="s">
        <v>228</v>
      </c>
      <c r="M31" s="14" t="s">
        <v>229</v>
      </c>
      <c r="N31" s="14" t="s">
        <v>230</v>
      </c>
      <c r="O31" s="14" t="s">
        <v>231</v>
      </c>
      <c r="P31" s="14" t="s">
        <v>232</v>
      </c>
      <c r="Q31" s="14" t="s">
        <v>248</v>
      </c>
      <c r="R31" s="14" t="s">
        <v>249</v>
      </c>
    </row>
    <row r="32" spans="2:18" x14ac:dyDescent="0.15">
      <c r="C32" s="2">
        <v>3</v>
      </c>
      <c r="D32" s="14" t="s">
        <v>233</v>
      </c>
      <c r="E32" s="14" t="s">
        <v>234</v>
      </c>
      <c r="F32" s="14" t="s">
        <v>235</v>
      </c>
      <c r="G32" s="14" t="s">
        <v>236</v>
      </c>
      <c r="H32" s="14" t="s">
        <v>237</v>
      </c>
      <c r="I32" s="14" t="s">
        <v>238</v>
      </c>
      <c r="J32" s="14" t="s">
        <v>239</v>
      </c>
      <c r="K32" s="14" t="s">
        <v>240</v>
      </c>
      <c r="L32" s="14" t="s">
        <v>241</v>
      </c>
      <c r="M32" s="14" t="s">
        <v>242</v>
      </c>
      <c r="N32" s="14" t="s">
        <v>243</v>
      </c>
      <c r="O32" s="14" t="s">
        <v>244</v>
      </c>
      <c r="P32" s="14" t="s">
        <v>245</v>
      </c>
      <c r="Q32" s="14" t="s">
        <v>250</v>
      </c>
      <c r="R32" s="14" t="s">
        <v>251</v>
      </c>
    </row>
    <row r="33" spans="3:26" x14ac:dyDescent="0.15">
      <c r="C33" s="2">
        <v>4</v>
      </c>
      <c r="D33" s="14" t="s">
        <v>253</v>
      </c>
      <c r="E33" s="14" t="s">
        <v>252</v>
      </c>
      <c r="F33" s="14" t="s">
        <v>254</v>
      </c>
      <c r="G33" s="14" t="s">
        <v>255</v>
      </c>
      <c r="H33" s="14" t="s">
        <v>256</v>
      </c>
      <c r="I33" s="14" t="s">
        <v>257</v>
      </c>
      <c r="J33" s="14" t="s">
        <v>258</v>
      </c>
      <c r="K33" s="14" t="s">
        <v>259</v>
      </c>
      <c r="L33" s="14" t="s">
        <v>260</v>
      </c>
      <c r="M33" s="14" t="s">
        <v>261</v>
      </c>
      <c r="N33" s="14" t="s">
        <v>262</v>
      </c>
      <c r="O33" s="14" t="s">
        <v>263</v>
      </c>
      <c r="P33" s="14" t="s">
        <v>264</v>
      </c>
      <c r="Q33" s="14" t="s">
        <v>265</v>
      </c>
      <c r="R33" s="14" t="s">
        <v>266</v>
      </c>
    </row>
    <row r="34" spans="3:26" x14ac:dyDescent="0.15">
      <c r="C34" s="2">
        <v>5</v>
      </c>
      <c r="D34" s="14" t="s">
        <v>267</v>
      </c>
      <c r="E34" s="14" t="s">
        <v>293</v>
      </c>
      <c r="F34" s="14" t="s">
        <v>294</v>
      </c>
      <c r="G34" s="14" t="s">
        <v>295</v>
      </c>
      <c r="H34" s="14" t="s">
        <v>296</v>
      </c>
      <c r="I34" s="14" t="s">
        <v>297</v>
      </c>
      <c r="J34" s="14" t="s">
        <v>298</v>
      </c>
      <c r="K34" s="14" t="s">
        <v>299</v>
      </c>
      <c r="L34" s="14" t="s">
        <v>300</v>
      </c>
      <c r="M34" s="14" t="s">
        <v>301</v>
      </c>
      <c r="N34" s="14" t="s">
        <v>302</v>
      </c>
      <c r="O34" s="14" t="s">
        <v>303</v>
      </c>
      <c r="P34" s="14" t="s">
        <v>304</v>
      </c>
      <c r="Q34" s="14" t="s">
        <v>292</v>
      </c>
      <c r="R34" s="14" t="s">
        <v>289</v>
      </c>
    </row>
    <row r="35" spans="3:26" x14ac:dyDescent="0.15">
      <c r="C35" s="2">
        <v>6</v>
      </c>
      <c r="D35" s="14" t="s">
        <v>274</v>
      </c>
      <c r="E35" s="14" t="s">
        <v>275</v>
      </c>
      <c r="F35" s="14" t="s">
        <v>276</v>
      </c>
      <c r="G35" s="14" t="s">
        <v>277</v>
      </c>
      <c r="H35" s="14" t="s">
        <v>278</v>
      </c>
      <c r="I35" s="14" t="s">
        <v>279</v>
      </c>
      <c r="J35" s="14" t="s">
        <v>280</v>
      </c>
      <c r="K35" s="14" t="s">
        <v>281</v>
      </c>
      <c r="L35" s="14" t="s">
        <v>282</v>
      </c>
      <c r="M35" s="14" t="s">
        <v>283</v>
      </c>
      <c r="N35" s="14" t="s">
        <v>284</v>
      </c>
      <c r="O35" s="14" t="s">
        <v>285</v>
      </c>
      <c r="P35" s="14" t="s">
        <v>286</v>
      </c>
      <c r="Q35" s="14" t="s">
        <v>290</v>
      </c>
      <c r="R35" s="14" t="s">
        <v>291</v>
      </c>
    </row>
    <row r="36" spans="3:26" x14ac:dyDescent="0.15">
      <c r="C36" s="2">
        <v>7</v>
      </c>
      <c r="D36" s="14" t="s">
        <v>323</v>
      </c>
      <c r="E36" s="14" t="s">
        <v>324</v>
      </c>
      <c r="F36" s="14" t="s">
        <v>325</v>
      </c>
      <c r="G36" s="14" t="s">
        <v>326</v>
      </c>
      <c r="H36" s="14" t="s">
        <v>327</v>
      </c>
      <c r="I36" s="14" t="s">
        <v>328</v>
      </c>
      <c r="J36" s="14" t="s">
        <v>329</v>
      </c>
      <c r="K36" s="14" t="s">
        <v>330</v>
      </c>
      <c r="L36" s="14" t="s">
        <v>331</v>
      </c>
      <c r="M36" s="14" t="s">
        <v>332</v>
      </c>
      <c r="N36" s="14" t="s">
        <v>333</v>
      </c>
      <c r="O36" s="14" t="s">
        <v>334</v>
      </c>
      <c r="P36" s="14" t="s">
        <v>335</v>
      </c>
      <c r="Q36" s="14" t="s">
        <v>287</v>
      </c>
      <c r="R36" s="14" t="s">
        <v>288</v>
      </c>
    </row>
    <row r="37" spans="3:26" x14ac:dyDescent="0.15">
      <c r="C37" s="2">
        <v>8</v>
      </c>
      <c r="D37" s="14" t="s">
        <v>306</v>
      </c>
      <c r="E37" s="14" t="s">
        <v>307</v>
      </c>
      <c r="F37" s="14" t="s">
        <v>308</v>
      </c>
      <c r="G37" s="14" t="s">
        <v>309</v>
      </c>
      <c r="H37" s="14" t="s">
        <v>310</v>
      </c>
      <c r="I37" s="14" t="s">
        <v>311</v>
      </c>
      <c r="J37" s="14" t="s">
        <v>312</v>
      </c>
      <c r="K37" s="14" t="s">
        <v>313</v>
      </c>
      <c r="L37" s="14" t="s">
        <v>314</v>
      </c>
      <c r="M37" s="14" t="s">
        <v>315</v>
      </c>
      <c r="N37" s="14" t="s">
        <v>316</v>
      </c>
      <c r="O37" s="14" t="s">
        <v>317</v>
      </c>
      <c r="P37" s="14" t="s">
        <v>318</v>
      </c>
      <c r="Q37" s="14" t="s">
        <v>268</v>
      </c>
      <c r="R37" s="14" t="s">
        <v>269</v>
      </c>
    </row>
    <row r="38" spans="3:26" x14ac:dyDescent="0.15">
      <c r="C38" s="2">
        <v>9</v>
      </c>
      <c r="D38" s="14" t="s">
        <v>305</v>
      </c>
      <c r="E38" s="14" t="s">
        <v>319</v>
      </c>
      <c r="F38" s="14" t="s">
        <v>337</v>
      </c>
      <c r="G38" s="14" t="s">
        <v>338</v>
      </c>
      <c r="H38" s="14" t="s">
        <v>339</v>
      </c>
      <c r="I38" s="14" t="s">
        <v>271</v>
      </c>
      <c r="J38" s="14" t="s">
        <v>320</v>
      </c>
      <c r="K38" s="14" t="s">
        <v>340</v>
      </c>
      <c r="L38" s="14" t="s">
        <v>321</v>
      </c>
      <c r="M38" s="14" t="s">
        <v>341</v>
      </c>
      <c r="N38" s="14" t="s">
        <v>336</v>
      </c>
      <c r="O38" s="14" t="s">
        <v>322</v>
      </c>
      <c r="P38" s="14" t="s">
        <v>272</v>
      </c>
      <c r="Q38" s="14" t="s">
        <v>273</v>
      </c>
      <c r="R38" s="14" t="s">
        <v>270</v>
      </c>
    </row>
    <row r="42" spans="3:26" x14ac:dyDescent="0.15">
      <c r="C42" s="16" t="s">
        <v>533</v>
      </c>
      <c r="D42" s="16" t="s">
        <v>532</v>
      </c>
      <c r="E42" s="16" t="s">
        <v>345</v>
      </c>
      <c r="F42" s="16" t="s">
        <v>355</v>
      </c>
      <c r="G42" s="16" t="s">
        <v>172</v>
      </c>
      <c r="H42" s="16" t="s">
        <v>173</v>
      </c>
    </row>
    <row r="43" spans="3:26" x14ac:dyDescent="0.15">
      <c r="C43" s="42">
        <v>1</v>
      </c>
      <c r="D43" s="2">
        <v>9</v>
      </c>
      <c r="E43" s="14" t="s">
        <v>129</v>
      </c>
      <c r="F43" s="14" t="s">
        <v>343</v>
      </c>
      <c r="G43" s="14" t="s">
        <v>342</v>
      </c>
      <c r="H43" s="14" t="s">
        <v>344</v>
      </c>
      <c r="K43" s="47" t="s">
        <v>558</v>
      </c>
      <c r="L43" s="16" t="s">
        <v>406</v>
      </c>
      <c r="M43" s="16" t="s">
        <v>73</v>
      </c>
      <c r="N43" s="16" t="s">
        <v>163</v>
      </c>
      <c r="O43" s="16" t="s">
        <v>75</v>
      </c>
      <c r="P43" s="16" t="s">
        <v>165</v>
      </c>
      <c r="Q43" s="16" t="s">
        <v>166</v>
      </c>
      <c r="R43" s="16" t="s">
        <v>127</v>
      </c>
      <c r="S43" s="16" t="s">
        <v>78</v>
      </c>
      <c r="T43" s="16" t="s">
        <v>79</v>
      </c>
      <c r="U43" s="16" t="s">
        <v>80</v>
      </c>
      <c r="V43" s="16" t="s">
        <v>81</v>
      </c>
      <c r="W43" s="16" t="s">
        <v>82</v>
      </c>
      <c r="X43" s="16" t="s">
        <v>83</v>
      </c>
      <c r="Y43" s="16" t="s">
        <v>172</v>
      </c>
      <c r="Z43" s="16" t="s">
        <v>93</v>
      </c>
    </row>
    <row r="44" spans="3:26" ht="14.25" x14ac:dyDescent="0.2">
      <c r="C44" s="42">
        <v>2</v>
      </c>
      <c r="D44" s="2">
        <v>9</v>
      </c>
      <c r="E44" s="14" t="s">
        <v>346</v>
      </c>
      <c r="F44" s="14" t="s">
        <v>356</v>
      </c>
      <c r="G44" s="14" t="s">
        <v>357</v>
      </c>
      <c r="H44" s="14" t="s">
        <v>358</v>
      </c>
      <c r="J44" t="str">
        <f>1&amp;K44</f>
        <v>11</v>
      </c>
      <c r="K44">
        <v>1</v>
      </c>
      <c r="L44" t="s">
        <v>574</v>
      </c>
      <c r="M44" t="s">
        <v>575</v>
      </c>
      <c r="N44" t="s">
        <v>576</v>
      </c>
      <c r="O44" t="s">
        <v>577</v>
      </c>
      <c r="P44" t="s">
        <v>578</v>
      </c>
      <c r="Q44" t="s">
        <v>579</v>
      </c>
      <c r="R44" t="s">
        <v>580</v>
      </c>
      <c r="S44" s="13" t="s">
        <v>562</v>
      </c>
      <c r="T44" s="13" t="s">
        <v>581</v>
      </c>
      <c r="U44" t="s">
        <v>582</v>
      </c>
      <c r="V44" t="s">
        <v>583</v>
      </c>
      <c r="W44" t="s">
        <v>584</v>
      </c>
      <c r="X44" t="s">
        <v>585</v>
      </c>
      <c r="Y44" t="s">
        <v>586</v>
      </c>
      <c r="Z44" t="s">
        <v>587</v>
      </c>
    </row>
    <row r="45" spans="3:26" ht="14.25" x14ac:dyDescent="0.2">
      <c r="C45" s="42">
        <v>3</v>
      </c>
      <c r="D45" s="2">
        <v>9</v>
      </c>
      <c r="E45" s="14" t="s">
        <v>163</v>
      </c>
      <c r="F45" s="14" t="s">
        <v>364</v>
      </c>
      <c r="G45" s="14" t="s">
        <v>365</v>
      </c>
      <c r="H45" s="14" t="s">
        <v>366</v>
      </c>
      <c r="J45" t="str">
        <f t="shared" ref="J45:J53" si="18">1&amp;K45</f>
        <v>12</v>
      </c>
      <c r="K45">
        <v>2</v>
      </c>
      <c r="L45" t="s">
        <v>588</v>
      </c>
      <c r="M45" t="s">
        <v>589</v>
      </c>
      <c r="N45" t="s">
        <v>590</v>
      </c>
      <c r="O45" t="s">
        <v>591</v>
      </c>
      <c r="P45" t="s">
        <v>592</v>
      </c>
      <c r="Q45" t="s">
        <v>593</v>
      </c>
      <c r="R45" t="s">
        <v>594</v>
      </c>
      <c r="S45" s="13" t="s">
        <v>563</v>
      </c>
      <c r="T45" s="13" t="s">
        <v>569</v>
      </c>
      <c r="U45" t="s">
        <v>595</v>
      </c>
      <c r="V45" t="s">
        <v>596</v>
      </c>
      <c r="W45" t="s">
        <v>597</v>
      </c>
      <c r="X45" t="s">
        <v>598</v>
      </c>
      <c r="Y45" t="s">
        <v>599</v>
      </c>
      <c r="Z45" t="s">
        <v>600</v>
      </c>
    </row>
    <row r="46" spans="3:26" ht="14.25" x14ac:dyDescent="0.2">
      <c r="C46" s="42">
        <v>4</v>
      </c>
      <c r="D46" s="2">
        <v>9</v>
      </c>
      <c r="E46" s="14" t="s">
        <v>164</v>
      </c>
      <c r="F46" s="14" t="s">
        <v>370</v>
      </c>
      <c r="G46" s="14" t="s">
        <v>371</v>
      </c>
      <c r="H46" s="14" t="s">
        <v>372</v>
      </c>
      <c r="J46" t="str">
        <f t="shared" si="18"/>
        <v>13</v>
      </c>
      <c r="K46">
        <v>3</v>
      </c>
      <c r="L46" t="s">
        <v>601</v>
      </c>
      <c r="M46" t="s">
        <v>602</v>
      </c>
      <c r="N46" t="s">
        <v>603</v>
      </c>
      <c r="O46" t="s">
        <v>604</v>
      </c>
      <c r="P46" t="s">
        <v>605</v>
      </c>
      <c r="Q46" t="s">
        <v>606</v>
      </c>
      <c r="R46" t="s">
        <v>607</v>
      </c>
      <c r="S46" s="13" t="s">
        <v>564</v>
      </c>
      <c r="T46" s="13" t="s">
        <v>570</v>
      </c>
      <c r="U46" t="s">
        <v>608</v>
      </c>
      <c r="V46" t="s">
        <v>609</v>
      </c>
      <c r="W46" t="s">
        <v>610</v>
      </c>
      <c r="X46" t="s">
        <v>589</v>
      </c>
      <c r="Y46" t="s">
        <v>611</v>
      </c>
      <c r="Z46" t="s">
        <v>612</v>
      </c>
    </row>
    <row r="47" spans="3:26" ht="14.25" x14ac:dyDescent="0.2">
      <c r="C47" s="42">
        <v>5</v>
      </c>
      <c r="D47" s="2">
        <v>9</v>
      </c>
      <c r="E47" s="14" t="s">
        <v>347</v>
      </c>
      <c r="F47" s="14" t="s">
        <v>367</v>
      </c>
      <c r="G47" s="14" t="s">
        <v>368</v>
      </c>
      <c r="H47" s="14" t="s">
        <v>369</v>
      </c>
      <c r="J47" t="str">
        <f t="shared" si="18"/>
        <v>14</v>
      </c>
      <c r="K47">
        <v>4</v>
      </c>
      <c r="L47" t="s">
        <v>613</v>
      </c>
      <c r="M47" t="s">
        <v>614</v>
      </c>
      <c r="N47" t="s">
        <v>615</v>
      </c>
      <c r="O47" t="s">
        <v>616</v>
      </c>
      <c r="P47" t="s">
        <v>617</v>
      </c>
      <c r="Q47" t="s">
        <v>618</v>
      </c>
      <c r="R47" t="s">
        <v>619</v>
      </c>
      <c r="S47" s="13" t="s">
        <v>565</v>
      </c>
      <c r="T47" s="13" t="s">
        <v>571</v>
      </c>
      <c r="U47" t="s">
        <v>620</v>
      </c>
      <c r="V47" t="s">
        <v>621</v>
      </c>
      <c r="W47" t="s">
        <v>622</v>
      </c>
      <c r="X47" t="s">
        <v>623</v>
      </c>
      <c r="Y47" t="s">
        <v>624</v>
      </c>
      <c r="Z47" t="s">
        <v>625</v>
      </c>
    </row>
    <row r="48" spans="3:26" ht="14.25" x14ac:dyDescent="0.2">
      <c r="C48" s="42">
        <v>6</v>
      </c>
      <c r="D48" s="2">
        <v>9</v>
      </c>
      <c r="E48" s="14" t="s">
        <v>348</v>
      </c>
      <c r="F48" s="14" t="s">
        <v>359</v>
      </c>
      <c r="G48" s="14" t="s">
        <v>388</v>
      </c>
      <c r="H48" s="14" t="s">
        <v>360</v>
      </c>
      <c r="J48" t="str">
        <f t="shared" si="18"/>
        <v>15</v>
      </c>
      <c r="K48">
        <v>5</v>
      </c>
      <c r="L48" t="s">
        <v>574</v>
      </c>
      <c r="M48" t="s">
        <v>623</v>
      </c>
      <c r="N48" t="s">
        <v>576</v>
      </c>
      <c r="O48" t="s">
        <v>626</v>
      </c>
      <c r="P48" t="s">
        <v>627</v>
      </c>
      <c r="Q48" t="s">
        <v>628</v>
      </c>
      <c r="R48" t="s">
        <v>629</v>
      </c>
      <c r="S48" s="13" t="s">
        <v>566</v>
      </c>
      <c r="T48" s="13" t="s">
        <v>572</v>
      </c>
      <c r="U48" t="s">
        <v>582</v>
      </c>
      <c r="V48" t="s">
        <v>630</v>
      </c>
      <c r="W48" t="s">
        <v>631</v>
      </c>
      <c r="X48" t="s">
        <v>632</v>
      </c>
      <c r="Y48" t="s">
        <v>633</v>
      </c>
      <c r="Z48" t="s">
        <v>634</v>
      </c>
    </row>
    <row r="49" spans="3:26" ht="14.25" x14ac:dyDescent="0.2">
      <c r="C49" s="42">
        <v>7</v>
      </c>
      <c r="D49" s="2">
        <v>9</v>
      </c>
      <c r="E49" s="14" t="s">
        <v>349</v>
      </c>
      <c r="F49" s="14" t="s">
        <v>361</v>
      </c>
      <c r="G49" s="14" t="s">
        <v>362</v>
      </c>
      <c r="H49" s="14" t="s">
        <v>363</v>
      </c>
      <c r="J49" t="str">
        <f t="shared" si="18"/>
        <v>16</v>
      </c>
      <c r="K49">
        <v>6</v>
      </c>
      <c r="L49" t="s">
        <v>588</v>
      </c>
      <c r="M49" t="s">
        <v>632</v>
      </c>
      <c r="N49" t="s">
        <v>590</v>
      </c>
      <c r="O49" t="s">
        <v>577</v>
      </c>
      <c r="P49" t="s">
        <v>578</v>
      </c>
      <c r="Q49" t="s">
        <v>593</v>
      </c>
      <c r="R49" t="s">
        <v>580</v>
      </c>
      <c r="S49" s="13" t="s">
        <v>567</v>
      </c>
      <c r="T49" s="13" t="s">
        <v>573</v>
      </c>
      <c r="U49" t="s">
        <v>595</v>
      </c>
      <c r="V49" t="s">
        <v>583</v>
      </c>
      <c r="W49" t="s">
        <v>635</v>
      </c>
      <c r="X49" t="s">
        <v>636</v>
      </c>
      <c r="Y49" t="s">
        <v>586</v>
      </c>
      <c r="Z49" t="s">
        <v>637</v>
      </c>
    </row>
    <row r="50" spans="3:26" ht="14.25" x14ac:dyDescent="0.2">
      <c r="C50" s="42">
        <v>8</v>
      </c>
      <c r="D50" s="2">
        <v>9</v>
      </c>
      <c r="E50" s="14" t="s">
        <v>350</v>
      </c>
      <c r="F50" s="14" t="s">
        <v>373</v>
      </c>
      <c r="G50" s="14" t="s">
        <v>374</v>
      </c>
      <c r="H50" s="14" t="s">
        <v>375</v>
      </c>
      <c r="J50" t="str">
        <f t="shared" si="18"/>
        <v>17</v>
      </c>
      <c r="K50">
        <v>7</v>
      </c>
      <c r="L50" t="s">
        <v>601</v>
      </c>
      <c r="M50" t="s">
        <v>602</v>
      </c>
      <c r="N50" t="s">
        <v>603</v>
      </c>
      <c r="O50" t="s">
        <v>591</v>
      </c>
      <c r="P50" t="s">
        <v>592</v>
      </c>
      <c r="Q50" t="s">
        <v>606</v>
      </c>
      <c r="R50" t="s">
        <v>594</v>
      </c>
      <c r="S50" s="13" t="s">
        <v>568</v>
      </c>
      <c r="T50" s="13" t="s">
        <v>571</v>
      </c>
      <c r="U50" t="s">
        <v>608</v>
      </c>
      <c r="V50" t="s">
        <v>596</v>
      </c>
      <c r="W50" t="s">
        <v>584</v>
      </c>
      <c r="X50" t="s">
        <v>585</v>
      </c>
      <c r="Y50" t="s">
        <v>599</v>
      </c>
      <c r="Z50" t="s">
        <v>634</v>
      </c>
    </row>
    <row r="51" spans="3:26" ht="14.25" x14ac:dyDescent="0.2">
      <c r="C51" s="42">
        <v>9</v>
      </c>
      <c r="D51" s="2">
        <v>9</v>
      </c>
      <c r="E51" s="14" t="s">
        <v>351</v>
      </c>
      <c r="F51" s="14" t="s">
        <v>376</v>
      </c>
      <c r="G51" s="14" t="s">
        <v>377</v>
      </c>
      <c r="H51" s="14" t="s">
        <v>378</v>
      </c>
      <c r="J51" t="str">
        <f t="shared" si="18"/>
        <v>18</v>
      </c>
      <c r="K51">
        <v>8</v>
      </c>
      <c r="L51" t="s">
        <v>613</v>
      </c>
      <c r="M51" t="s">
        <v>614</v>
      </c>
      <c r="N51" t="s">
        <v>615</v>
      </c>
      <c r="O51" t="s">
        <v>604</v>
      </c>
      <c r="P51" t="s">
        <v>605</v>
      </c>
      <c r="Q51" t="s">
        <v>618</v>
      </c>
      <c r="R51" t="s">
        <v>607</v>
      </c>
      <c r="S51" s="13" t="s">
        <v>638</v>
      </c>
      <c r="T51" s="13" t="s">
        <v>572</v>
      </c>
      <c r="U51" t="s">
        <v>620</v>
      </c>
      <c r="V51" t="s">
        <v>609</v>
      </c>
      <c r="W51" t="s">
        <v>597</v>
      </c>
      <c r="X51" t="s">
        <v>598</v>
      </c>
      <c r="Y51" t="s">
        <v>611</v>
      </c>
      <c r="Z51" t="s">
        <v>587</v>
      </c>
    </row>
    <row r="52" spans="3:26" ht="14.25" x14ac:dyDescent="0.2">
      <c r="C52" s="42">
        <v>10</v>
      </c>
      <c r="D52" s="2">
        <v>9</v>
      </c>
      <c r="E52" s="14" t="s">
        <v>130</v>
      </c>
      <c r="F52" s="14" t="s">
        <v>379</v>
      </c>
      <c r="G52" s="14" t="s">
        <v>380</v>
      </c>
      <c r="H52" s="14" t="s">
        <v>381</v>
      </c>
      <c r="J52" t="str">
        <f t="shared" si="18"/>
        <v>19</v>
      </c>
      <c r="K52">
        <v>9</v>
      </c>
      <c r="L52" t="s">
        <v>574</v>
      </c>
      <c r="M52" t="s">
        <v>623</v>
      </c>
      <c r="N52" t="s">
        <v>576</v>
      </c>
      <c r="O52" t="s">
        <v>616</v>
      </c>
      <c r="P52" t="s">
        <v>617</v>
      </c>
      <c r="Q52" t="s">
        <v>579</v>
      </c>
      <c r="R52" t="s">
        <v>619</v>
      </c>
      <c r="S52" s="13" t="s">
        <v>638</v>
      </c>
      <c r="T52" s="13" t="s">
        <v>571</v>
      </c>
      <c r="U52" t="s">
        <v>608</v>
      </c>
      <c r="V52" t="s">
        <v>621</v>
      </c>
      <c r="W52" t="s">
        <v>610</v>
      </c>
      <c r="X52" t="s">
        <v>589</v>
      </c>
      <c r="Y52" t="s">
        <v>624</v>
      </c>
      <c r="Z52" t="s">
        <v>600</v>
      </c>
    </row>
    <row r="53" spans="3:26" x14ac:dyDescent="0.15">
      <c r="C53" s="42">
        <v>11</v>
      </c>
      <c r="D53" s="2">
        <v>9</v>
      </c>
      <c r="E53" s="14" t="s">
        <v>352</v>
      </c>
      <c r="F53" s="14" t="s">
        <v>382</v>
      </c>
      <c r="G53" s="14" t="s">
        <v>383</v>
      </c>
      <c r="H53" s="14" t="s">
        <v>384</v>
      </c>
      <c r="J53" t="str">
        <f t="shared" si="18"/>
        <v>1魔法</v>
      </c>
      <c r="K53" s="47" t="s">
        <v>559</v>
      </c>
    </row>
    <row r="54" spans="3:26" ht="14.25" x14ac:dyDescent="0.2">
      <c r="C54" s="42">
        <v>12</v>
      </c>
      <c r="D54" s="2">
        <v>9</v>
      </c>
      <c r="E54" s="14" t="s">
        <v>353</v>
      </c>
      <c r="F54" s="14" t="s">
        <v>389</v>
      </c>
      <c r="G54" s="14" t="s">
        <v>390</v>
      </c>
      <c r="H54" s="14" t="s">
        <v>391</v>
      </c>
      <c r="J54" t="str">
        <f>2&amp;K54</f>
        <v>21</v>
      </c>
      <c r="K54">
        <v>1</v>
      </c>
      <c r="L54" t="s">
        <v>588</v>
      </c>
      <c r="M54" t="s">
        <v>639</v>
      </c>
      <c r="N54" t="s">
        <v>640</v>
      </c>
      <c r="O54" t="s">
        <v>591</v>
      </c>
      <c r="P54" t="s">
        <v>605</v>
      </c>
      <c r="Q54" t="s">
        <v>641</v>
      </c>
      <c r="R54" t="s">
        <v>642</v>
      </c>
      <c r="S54" s="13" t="s">
        <v>565</v>
      </c>
      <c r="T54" s="13" t="s">
        <v>570</v>
      </c>
      <c r="U54" t="s">
        <v>608</v>
      </c>
      <c r="V54" t="s">
        <v>609</v>
      </c>
      <c r="W54" t="s">
        <v>610</v>
      </c>
      <c r="X54" t="s">
        <v>614</v>
      </c>
      <c r="Y54" t="s">
        <v>643</v>
      </c>
      <c r="Z54" t="s">
        <v>587</v>
      </c>
    </row>
    <row r="55" spans="3:26" ht="14.25" x14ac:dyDescent="0.2">
      <c r="C55" s="42">
        <v>13</v>
      </c>
      <c r="D55" s="2">
        <v>9</v>
      </c>
      <c r="E55" s="14" t="s">
        <v>354</v>
      </c>
      <c r="F55" s="14" t="s">
        <v>385</v>
      </c>
      <c r="G55" s="14" t="s">
        <v>386</v>
      </c>
      <c r="H55" s="14" t="s">
        <v>387</v>
      </c>
      <c r="J55" t="str">
        <f t="shared" ref="J55:J63" si="19">2&amp;K55</f>
        <v>22</v>
      </c>
      <c r="K55">
        <v>2</v>
      </c>
      <c r="L55" t="s">
        <v>601</v>
      </c>
      <c r="M55" t="s">
        <v>644</v>
      </c>
      <c r="N55" t="s">
        <v>645</v>
      </c>
      <c r="O55" t="s">
        <v>577</v>
      </c>
      <c r="P55" t="s">
        <v>617</v>
      </c>
      <c r="Q55" t="s">
        <v>646</v>
      </c>
      <c r="R55" t="s">
        <v>774</v>
      </c>
      <c r="S55" s="13" t="s">
        <v>566</v>
      </c>
      <c r="T55" s="13" t="s">
        <v>571</v>
      </c>
      <c r="U55" t="s">
        <v>620</v>
      </c>
      <c r="V55" t="s">
        <v>621</v>
      </c>
      <c r="W55" t="s">
        <v>622</v>
      </c>
      <c r="X55" t="s">
        <v>623</v>
      </c>
      <c r="Y55" t="s">
        <v>647</v>
      </c>
      <c r="Z55" t="s">
        <v>600</v>
      </c>
    </row>
    <row r="56" spans="3:26" ht="14.25" x14ac:dyDescent="0.2">
      <c r="J56" t="str">
        <f t="shared" si="19"/>
        <v>23</v>
      </c>
      <c r="K56">
        <v>3</v>
      </c>
      <c r="L56" t="s">
        <v>574</v>
      </c>
      <c r="M56" t="s">
        <v>648</v>
      </c>
      <c r="N56" t="s">
        <v>649</v>
      </c>
      <c r="O56" t="s">
        <v>604</v>
      </c>
      <c r="P56" t="s">
        <v>627</v>
      </c>
      <c r="Q56" t="s">
        <v>618</v>
      </c>
      <c r="R56" t="s">
        <v>619</v>
      </c>
      <c r="S56" s="13" t="s">
        <v>567</v>
      </c>
      <c r="T56" s="13" t="s">
        <v>572</v>
      </c>
      <c r="U56" t="s">
        <v>582</v>
      </c>
      <c r="V56" t="s">
        <v>630</v>
      </c>
      <c r="W56" t="s">
        <v>631</v>
      </c>
      <c r="X56" t="s">
        <v>632</v>
      </c>
      <c r="Y56" t="s">
        <v>650</v>
      </c>
      <c r="Z56" t="s">
        <v>637</v>
      </c>
    </row>
    <row r="57" spans="3:26" ht="14.25" x14ac:dyDescent="0.2">
      <c r="J57" t="str">
        <f t="shared" si="19"/>
        <v>24</v>
      </c>
      <c r="K57">
        <v>4</v>
      </c>
      <c r="L57" t="s">
        <v>613</v>
      </c>
      <c r="M57" t="s">
        <v>589</v>
      </c>
      <c r="N57" t="s">
        <v>651</v>
      </c>
      <c r="O57" t="s">
        <v>616</v>
      </c>
      <c r="P57" t="s">
        <v>578</v>
      </c>
      <c r="Q57" t="s">
        <v>652</v>
      </c>
      <c r="R57" t="s">
        <v>653</v>
      </c>
      <c r="S57" s="13" t="s">
        <v>568</v>
      </c>
      <c r="T57" s="13" t="s">
        <v>573</v>
      </c>
      <c r="U57" t="s">
        <v>595</v>
      </c>
      <c r="V57" t="s">
        <v>583</v>
      </c>
      <c r="W57" t="s">
        <v>635</v>
      </c>
      <c r="X57" t="s">
        <v>636</v>
      </c>
      <c r="Y57" t="s">
        <v>654</v>
      </c>
      <c r="Z57" t="s">
        <v>655</v>
      </c>
    </row>
    <row r="58" spans="3:26" ht="14.25" x14ac:dyDescent="0.2">
      <c r="J58" t="str">
        <f t="shared" si="19"/>
        <v>25</v>
      </c>
      <c r="K58">
        <v>5</v>
      </c>
      <c r="L58" t="s">
        <v>588</v>
      </c>
      <c r="M58" t="s">
        <v>656</v>
      </c>
      <c r="N58" t="s">
        <v>657</v>
      </c>
      <c r="O58" t="s">
        <v>626</v>
      </c>
      <c r="P58" t="s">
        <v>592</v>
      </c>
      <c r="Q58" t="s">
        <v>658</v>
      </c>
      <c r="R58" t="s">
        <v>629</v>
      </c>
      <c r="S58" s="13" t="s">
        <v>567</v>
      </c>
      <c r="T58" s="13" t="s">
        <v>571</v>
      </c>
      <c r="U58" t="s">
        <v>608</v>
      </c>
      <c r="V58" t="s">
        <v>596</v>
      </c>
      <c r="W58" t="s">
        <v>584</v>
      </c>
      <c r="X58" t="s">
        <v>639</v>
      </c>
      <c r="Y58" t="s">
        <v>624</v>
      </c>
      <c r="Z58" t="s">
        <v>634</v>
      </c>
    </row>
    <row r="59" spans="3:26" ht="14.25" x14ac:dyDescent="0.2">
      <c r="J59" t="str">
        <f t="shared" si="19"/>
        <v>26</v>
      </c>
      <c r="K59">
        <v>6</v>
      </c>
      <c r="L59" t="s">
        <v>601</v>
      </c>
      <c r="M59" t="s">
        <v>644</v>
      </c>
      <c r="N59" t="s">
        <v>659</v>
      </c>
      <c r="O59" t="s">
        <v>591</v>
      </c>
      <c r="P59" t="s">
        <v>605</v>
      </c>
      <c r="Q59" t="s">
        <v>660</v>
      </c>
      <c r="R59" t="s">
        <v>774</v>
      </c>
      <c r="S59" s="13" t="s">
        <v>568</v>
      </c>
      <c r="T59" s="13" t="s">
        <v>572</v>
      </c>
      <c r="U59" t="s">
        <v>620</v>
      </c>
      <c r="V59" t="s">
        <v>583</v>
      </c>
      <c r="W59" t="s">
        <v>597</v>
      </c>
      <c r="X59" t="s">
        <v>661</v>
      </c>
      <c r="Y59" t="s">
        <v>662</v>
      </c>
      <c r="Z59" t="s">
        <v>655</v>
      </c>
    </row>
    <row r="60" spans="3:26" ht="14.25" x14ac:dyDescent="0.2">
      <c r="J60" t="str">
        <f t="shared" si="19"/>
        <v>27</v>
      </c>
      <c r="K60">
        <v>7</v>
      </c>
      <c r="L60" t="s">
        <v>574</v>
      </c>
      <c r="M60" t="s">
        <v>648</v>
      </c>
      <c r="N60" t="s">
        <v>649</v>
      </c>
      <c r="O60" t="s">
        <v>577</v>
      </c>
      <c r="P60" t="s">
        <v>617</v>
      </c>
      <c r="Q60" t="s">
        <v>646</v>
      </c>
      <c r="R60" t="s">
        <v>619</v>
      </c>
      <c r="S60" s="13" t="s">
        <v>638</v>
      </c>
      <c r="T60" s="13" t="s">
        <v>571</v>
      </c>
      <c r="U60" t="s">
        <v>608</v>
      </c>
      <c r="V60" t="s">
        <v>596</v>
      </c>
      <c r="W60" t="s">
        <v>610</v>
      </c>
      <c r="X60" t="s">
        <v>663</v>
      </c>
      <c r="Y60" t="s">
        <v>664</v>
      </c>
      <c r="Z60" t="s">
        <v>634</v>
      </c>
    </row>
    <row r="61" spans="3:26" ht="14.25" x14ac:dyDescent="0.2">
      <c r="J61" t="str">
        <f t="shared" si="19"/>
        <v>28</v>
      </c>
      <c r="K61">
        <v>8</v>
      </c>
      <c r="L61" t="s">
        <v>613</v>
      </c>
      <c r="M61" t="s">
        <v>589</v>
      </c>
      <c r="N61" t="s">
        <v>651</v>
      </c>
      <c r="O61" t="s">
        <v>604</v>
      </c>
      <c r="P61" t="s">
        <v>592</v>
      </c>
      <c r="Q61" t="s">
        <v>618</v>
      </c>
      <c r="R61" t="s">
        <v>653</v>
      </c>
      <c r="S61" s="13" t="s">
        <v>563</v>
      </c>
      <c r="T61" s="13" t="s">
        <v>569</v>
      </c>
      <c r="U61" t="s">
        <v>582</v>
      </c>
      <c r="V61" t="s">
        <v>609</v>
      </c>
      <c r="W61" t="s">
        <v>584</v>
      </c>
      <c r="X61" t="s">
        <v>644</v>
      </c>
      <c r="Y61" t="s">
        <v>665</v>
      </c>
      <c r="Z61" t="s">
        <v>637</v>
      </c>
    </row>
    <row r="62" spans="3:26" ht="14.25" x14ac:dyDescent="0.2">
      <c r="J62" t="str">
        <f t="shared" si="19"/>
        <v>29</v>
      </c>
      <c r="K62">
        <v>9</v>
      </c>
      <c r="L62" t="s">
        <v>588</v>
      </c>
      <c r="M62" t="s">
        <v>656</v>
      </c>
      <c r="N62" t="s">
        <v>657</v>
      </c>
      <c r="O62" t="s">
        <v>616</v>
      </c>
      <c r="P62" t="s">
        <v>605</v>
      </c>
      <c r="Q62" t="s">
        <v>652</v>
      </c>
      <c r="R62" t="s">
        <v>629</v>
      </c>
      <c r="S62" s="13" t="s">
        <v>564</v>
      </c>
      <c r="T62" s="13" t="s">
        <v>570</v>
      </c>
      <c r="U62" t="s">
        <v>595</v>
      </c>
      <c r="V62" t="s">
        <v>621</v>
      </c>
      <c r="W62" t="s">
        <v>597</v>
      </c>
      <c r="X62" t="s">
        <v>589</v>
      </c>
      <c r="Y62" t="s">
        <v>633</v>
      </c>
      <c r="Z62" t="s">
        <v>587</v>
      </c>
    </row>
    <row r="63" spans="3:26" x14ac:dyDescent="0.15">
      <c r="J63" t="str">
        <f t="shared" si="19"/>
        <v>2传奇</v>
      </c>
      <c r="K63" t="s">
        <v>560</v>
      </c>
    </row>
    <row r="64" spans="3:26" ht="14.25" x14ac:dyDescent="0.2">
      <c r="J64" t="str">
        <f>3&amp;K64</f>
        <v>31</v>
      </c>
      <c r="K64">
        <v>1</v>
      </c>
      <c r="L64" t="s">
        <v>666</v>
      </c>
      <c r="M64" t="s">
        <v>667</v>
      </c>
      <c r="N64" t="s">
        <v>645</v>
      </c>
      <c r="O64" t="s">
        <v>668</v>
      </c>
      <c r="P64" t="s">
        <v>669</v>
      </c>
      <c r="Q64" t="s">
        <v>563</v>
      </c>
      <c r="R64" t="s">
        <v>670</v>
      </c>
      <c r="S64" s="13" t="s">
        <v>566</v>
      </c>
      <c r="T64" s="13" t="s">
        <v>571</v>
      </c>
      <c r="U64" t="s">
        <v>671</v>
      </c>
      <c r="V64" t="s">
        <v>672</v>
      </c>
      <c r="W64" t="s">
        <v>673</v>
      </c>
      <c r="X64" t="s">
        <v>656</v>
      </c>
      <c r="Y64" t="s">
        <v>674</v>
      </c>
      <c r="Z64" t="s">
        <v>675</v>
      </c>
    </row>
    <row r="65" spans="10:26" ht="14.25" x14ac:dyDescent="0.2">
      <c r="J65" t="str">
        <f t="shared" ref="J65:J73" si="20">3&amp;K65</f>
        <v>32</v>
      </c>
      <c r="K65">
        <v>2</v>
      </c>
      <c r="L65" t="s">
        <v>676</v>
      </c>
      <c r="M65" t="s">
        <v>677</v>
      </c>
      <c r="N65" t="s">
        <v>678</v>
      </c>
      <c r="O65" t="s">
        <v>679</v>
      </c>
      <c r="P65" t="s">
        <v>680</v>
      </c>
      <c r="Q65" t="s">
        <v>562</v>
      </c>
      <c r="R65" t="s">
        <v>681</v>
      </c>
      <c r="S65" s="13" t="s">
        <v>567</v>
      </c>
      <c r="T65" s="13" t="s">
        <v>572</v>
      </c>
      <c r="U65" t="s">
        <v>682</v>
      </c>
      <c r="V65" t="s">
        <v>683</v>
      </c>
      <c r="W65" t="s">
        <v>597</v>
      </c>
      <c r="X65" t="s">
        <v>667</v>
      </c>
      <c r="Y65" t="s">
        <v>684</v>
      </c>
      <c r="Z65" t="s">
        <v>685</v>
      </c>
    </row>
    <row r="66" spans="10:26" ht="14.25" x14ac:dyDescent="0.2">
      <c r="J66" t="str">
        <f t="shared" si="20"/>
        <v>33</v>
      </c>
      <c r="K66">
        <v>3</v>
      </c>
      <c r="L66" t="s">
        <v>686</v>
      </c>
      <c r="M66" t="s">
        <v>687</v>
      </c>
      <c r="N66" t="s">
        <v>688</v>
      </c>
      <c r="O66" t="s">
        <v>689</v>
      </c>
      <c r="P66" t="s">
        <v>690</v>
      </c>
      <c r="Q66" t="s">
        <v>564</v>
      </c>
      <c r="R66" t="s">
        <v>691</v>
      </c>
      <c r="S66" s="13" t="s">
        <v>568</v>
      </c>
      <c r="T66" s="13" t="s">
        <v>573</v>
      </c>
      <c r="U66" t="s">
        <v>692</v>
      </c>
      <c r="V66" t="s">
        <v>693</v>
      </c>
      <c r="W66" t="s">
        <v>694</v>
      </c>
      <c r="X66" t="s">
        <v>677</v>
      </c>
      <c r="Y66" t="s">
        <v>695</v>
      </c>
      <c r="Z66" t="s">
        <v>696</v>
      </c>
    </row>
    <row r="67" spans="10:26" ht="14.25" x14ac:dyDescent="0.2">
      <c r="J67" t="str">
        <f t="shared" si="20"/>
        <v>34</v>
      </c>
      <c r="K67">
        <v>4</v>
      </c>
      <c r="L67" t="s">
        <v>697</v>
      </c>
      <c r="M67" t="s">
        <v>698</v>
      </c>
      <c r="N67" t="s">
        <v>699</v>
      </c>
      <c r="O67" t="s">
        <v>700</v>
      </c>
      <c r="P67" t="s">
        <v>701</v>
      </c>
      <c r="Q67" t="s">
        <v>565</v>
      </c>
      <c r="R67" t="s">
        <v>702</v>
      </c>
      <c r="S67" s="13" t="s">
        <v>567</v>
      </c>
      <c r="T67" s="13" t="s">
        <v>571</v>
      </c>
      <c r="U67" t="s">
        <v>703</v>
      </c>
      <c r="V67" t="s">
        <v>704</v>
      </c>
      <c r="W67" t="s">
        <v>705</v>
      </c>
      <c r="X67" t="s">
        <v>687</v>
      </c>
      <c r="Y67" t="s">
        <v>706</v>
      </c>
      <c r="Z67" t="s">
        <v>707</v>
      </c>
    </row>
    <row r="68" spans="10:26" ht="14.25" x14ac:dyDescent="0.2">
      <c r="J68" t="str">
        <f t="shared" si="20"/>
        <v>35</v>
      </c>
      <c r="K68">
        <v>5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  <c r="Q68" t="s">
        <v>566</v>
      </c>
      <c r="R68" t="s">
        <v>713</v>
      </c>
      <c r="S68" s="13" t="s">
        <v>568</v>
      </c>
      <c r="T68" s="13" t="s">
        <v>572</v>
      </c>
      <c r="U68" t="s">
        <v>714</v>
      </c>
      <c r="V68" t="s">
        <v>715</v>
      </c>
      <c r="W68" t="s">
        <v>716</v>
      </c>
      <c r="X68" t="s">
        <v>698</v>
      </c>
      <c r="Y68" t="s">
        <v>717</v>
      </c>
      <c r="Z68" t="s">
        <v>718</v>
      </c>
    </row>
    <row r="69" spans="10:26" ht="14.25" x14ac:dyDescent="0.2">
      <c r="J69" t="str">
        <f t="shared" si="20"/>
        <v>36</v>
      </c>
      <c r="K69">
        <v>6</v>
      </c>
      <c r="L69" t="s">
        <v>719</v>
      </c>
      <c r="M69" t="s">
        <v>720</v>
      </c>
      <c r="N69" t="s">
        <v>721</v>
      </c>
      <c r="O69" t="s">
        <v>722</v>
      </c>
      <c r="P69" t="s">
        <v>669</v>
      </c>
      <c r="Q69" t="s">
        <v>567</v>
      </c>
      <c r="R69" t="s">
        <v>723</v>
      </c>
      <c r="S69" s="13" t="s">
        <v>638</v>
      </c>
      <c r="T69" s="13" t="s">
        <v>571</v>
      </c>
      <c r="U69" t="s">
        <v>724</v>
      </c>
      <c r="V69" t="s">
        <v>725</v>
      </c>
      <c r="W69" t="s">
        <v>726</v>
      </c>
      <c r="X69" t="s">
        <v>709</v>
      </c>
      <c r="Y69" t="s">
        <v>727</v>
      </c>
      <c r="Z69" t="s">
        <v>675</v>
      </c>
    </row>
    <row r="70" spans="10:26" ht="14.25" x14ac:dyDescent="0.2">
      <c r="J70" t="str">
        <f t="shared" si="20"/>
        <v>37</v>
      </c>
      <c r="K70">
        <v>7</v>
      </c>
      <c r="L70" t="s">
        <v>686</v>
      </c>
      <c r="M70" t="s">
        <v>687</v>
      </c>
      <c r="N70" t="s">
        <v>728</v>
      </c>
      <c r="O70" t="s">
        <v>729</v>
      </c>
      <c r="P70" t="s">
        <v>680</v>
      </c>
      <c r="Q70" t="s">
        <v>730</v>
      </c>
      <c r="R70" t="s">
        <v>731</v>
      </c>
      <c r="S70" s="13" t="s">
        <v>563</v>
      </c>
      <c r="T70" s="13" t="s">
        <v>569</v>
      </c>
      <c r="U70" t="s">
        <v>732</v>
      </c>
      <c r="V70" t="s">
        <v>733</v>
      </c>
      <c r="W70" t="s">
        <v>734</v>
      </c>
      <c r="X70" t="s">
        <v>661</v>
      </c>
      <c r="Y70" t="s">
        <v>674</v>
      </c>
      <c r="Z70" t="s">
        <v>685</v>
      </c>
    </row>
    <row r="71" spans="10:26" ht="14.25" x14ac:dyDescent="0.2">
      <c r="J71" t="str">
        <f t="shared" si="20"/>
        <v>38</v>
      </c>
      <c r="K71">
        <v>8</v>
      </c>
      <c r="L71" t="s">
        <v>735</v>
      </c>
      <c r="M71" t="s">
        <v>698</v>
      </c>
      <c r="N71" t="s">
        <v>736</v>
      </c>
      <c r="O71" t="s">
        <v>668</v>
      </c>
      <c r="P71" t="s">
        <v>690</v>
      </c>
      <c r="Q71" t="s">
        <v>737</v>
      </c>
      <c r="R71" t="s">
        <v>738</v>
      </c>
      <c r="S71" s="13" t="s">
        <v>565</v>
      </c>
      <c r="T71" s="13" t="s">
        <v>571</v>
      </c>
      <c r="U71" t="s">
        <v>739</v>
      </c>
      <c r="V71" t="s">
        <v>715</v>
      </c>
      <c r="W71" t="s">
        <v>740</v>
      </c>
      <c r="X71" t="s">
        <v>741</v>
      </c>
      <c r="Y71" t="s">
        <v>684</v>
      </c>
      <c r="Z71" t="s">
        <v>696</v>
      </c>
    </row>
    <row r="72" spans="10:26" ht="14.25" x14ac:dyDescent="0.2">
      <c r="J72" t="str">
        <f t="shared" si="20"/>
        <v>39</v>
      </c>
      <c r="K72">
        <v>9</v>
      </c>
      <c r="L72" t="s">
        <v>742</v>
      </c>
      <c r="M72" t="s">
        <v>709</v>
      </c>
      <c r="N72" t="s">
        <v>743</v>
      </c>
      <c r="O72" t="s">
        <v>679</v>
      </c>
      <c r="P72" t="s">
        <v>701</v>
      </c>
      <c r="Q72" t="s">
        <v>744</v>
      </c>
      <c r="R72" t="s">
        <v>691</v>
      </c>
      <c r="S72" s="13" t="s">
        <v>564</v>
      </c>
      <c r="T72" s="13" t="s">
        <v>572</v>
      </c>
      <c r="U72" t="s">
        <v>620</v>
      </c>
      <c r="V72" t="s">
        <v>693</v>
      </c>
      <c r="W72" t="s">
        <v>745</v>
      </c>
      <c r="X72" t="s">
        <v>746</v>
      </c>
      <c r="Y72" t="s">
        <v>695</v>
      </c>
      <c r="Z72" t="s">
        <v>707</v>
      </c>
    </row>
    <row r="73" spans="10:26" ht="14.25" x14ac:dyDescent="0.2">
      <c r="J73" t="str">
        <f t="shared" si="20"/>
        <v>3套装</v>
      </c>
      <c r="K73" t="s">
        <v>561</v>
      </c>
      <c r="T73" s="13"/>
    </row>
    <row r="74" spans="10:26" ht="14.25" x14ac:dyDescent="0.2">
      <c r="J74" t="str">
        <f>4&amp;K74</f>
        <v>49</v>
      </c>
      <c r="K74">
        <v>9</v>
      </c>
      <c r="L74" t="s">
        <v>747</v>
      </c>
      <c r="M74" t="s">
        <v>677</v>
      </c>
      <c r="N74" t="s">
        <v>736</v>
      </c>
      <c r="O74" t="s">
        <v>748</v>
      </c>
      <c r="P74" t="s">
        <v>680</v>
      </c>
      <c r="Q74" t="s">
        <v>749</v>
      </c>
      <c r="R74" t="s">
        <v>750</v>
      </c>
      <c r="S74" s="48" t="s">
        <v>566</v>
      </c>
      <c r="T74" s="13" t="s">
        <v>570</v>
      </c>
      <c r="U74" t="s">
        <v>751</v>
      </c>
      <c r="V74" t="s">
        <v>752</v>
      </c>
      <c r="W74" t="s">
        <v>753</v>
      </c>
      <c r="X74" t="s">
        <v>754</v>
      </c>
      <c r="Y74" t="s">
        <v>755</v>
      </c>
      <c r="Z74" t="s">
        <v>756</v>
      </c>
    </row>
  </sheetData>
  <phoneticPr fontId="2" type="noConversion"/>
  <conditionalFormatting sqref="P50:P52">
    <cfRule type="uniqueValues" dxfId="4" priority="5"/>
  </conditionalFormatting>
  <conditionalFormatting sqref="P58:P60 Q58:Q59 R58">
    <cfRule type="uniqueValues" dxfId="3" priority="4"/>
  </conditionalFormatting>
  <conditionalFormatting sqref="R62">
    <cfRule type="uniqueValues" dxfId="2" priority="3"/>
  </conditionalFormatting>
  <conditionalFormatting sqref="S58:S60">
    <cfRule type="uniqueValues" dxfId="1" priority="2"/>
  </conditionalFormatting>
  <conditionalFormatting sqref="S67:S69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542"/>
  <sheetViews>
    <sheetView workbookViewId="0">
      <pane ySplit="2" topLeftCell="A425" activePane="bottomLeft" state="frozen"/>
      <selection pane="bottomLeft" activeCell="I446" sqref="I445:I446"/>
    </sheetView>
  </sheetViews>
  <sheetFormatPr defaultRowHeight="12.75" x14ac:dyDescent="0.15"/>
  <cols>
    <col min="1" max="1" width="3.625" style="1" customWidth="1"/>
    <col min="2" max="2" width="9.375" style="1" bestFit="1" customWidth="1"/>
    <col min="3" max="4" width="13.625" style="1" customWidth="1"/>
    <col min="5" max="8" width="9" style="1"/>
    <col min="9" max="9" width="61.125" style="1" customWidth="1"/>
    <col min="10" max="16384" width="9" style="1"/>
  </cols>
  <sheetData>
    <row r="1" spans="1:28" x14ac:dyDescent="0.15">
      <c r="AB1" s="2" t="str">
        <f t="array" ref="AB1:AB15">TRANSPOSE(装备名称!D15:R15)</f>
        <v>锤</v>
      </c>
    </row>
    <row r="2" spans="1:28" x14ac:dyDescent="0.15">
      <c r="B2" s="24" t="s">
        <v>398</v>
      </c>
      <c r="C2" s="23" t="s">
        <v>404</v>
      </c>
      <c r="D2" s="23" t="s">
        <v>424</v>
      </c>
      <c r="E2" s="23" t="s">
        <v>399</v>
      </c>
      <c r="F2" s="23" t="s">
        <v>506</v>
      </c>
      <c r="G2" s="23" t="s">
        <v>507</v>
      </c>
      <c r="H2" s="23" t="s">
        <v>400</v>
      </c>
      <c r="I2" s="23" t="s">
        <v>549</v>
      </c>
      <c r="J2" s="23" t="s">
        <v>401</v>
      </c>
      <c r="K2" s="23" t="s">
        <v>402</v>
      </c>
      <c r="L2" s="23" t="s">
        <v>403</v>
      </c>
      <c r="AB2" s="2" t="str">
        <v>刀</v>
      </c>
    </row>
    <row r="3" spans="1:28" x14ac:dyDescent="0.15">
      <c r="A3" s="1">
        <v>1</v>
      </c>
      <c r="B3" s="1">
        <f>F3*100000000+E3*1000000+L3*10000+G3*100+J3</f>
        <v>101010100</v>
      </c>
      <c r="C3" s="1" t="str">
        <f ca="1">mVlookup(L3,INDIRECT(D3),H3,FALSE)</f>
        <v>破旧的锤</v>
      </c>
      <c r="D3" s="1" t="s">
        <v>425</v>
      </c>
      <c r="E3" s="1">
        <v>1</v>
      </c>
      <c r="F3" s="8">
        <v>1</v>
      </c>
      <c r="G3" s="8">
        <f>VLOOKUP(H3,S$12:T$26,2,FALSE)</f>
        <v>1</v>
      </c>
      <c r="H3" s="8" t="s">
        <v>405</v>
      </c>
      <c r="I3" s="8" t="e">
        <f ca="1">"["&amp;INT(getMinDes(B3))&amp;"-"&amp;INT(getMaxDes(B3))&amp;"]"&amp;getDesName(B3)&amp;" "&amp;getRandomNatureDes(K3)&amp;getSuitDes(B3)</f>
        <v>#VALUE!</v>
      </c>
      <c r="J3" s="1">
        <v>0</v>
      </c>
      <c r="K3" s="1">
        <v>1</v>
      </c>
      <c r="L3" s="1">
        <v>1</v>
      </c>
      <c r="M3" s="1" t="str">
        <f ca="1">mVlookup(E3&amp;L3,装备名称!J$43:Z$74,H3,FALSE)</f>
        <v>IC1001</v>
      </c>
      <c r="N3" s="1" t="str">
        <f>G3&amp;L3</f>
        <v>11</v>
      </c>
      <c r="O3" s="1">
        <v>200001</v>
      </c>
      <c r="AB3" s="2" t="str">
        <v>拳套</v>
      </c>
    </row>
    <row r="4" spans="1:28" x14ac:dyDescent="0.15">
      <c r="A4" s="1">
        <v>2</v>
      </c>
      <c r="B4" s="1">
        <f t="shared" ref="B4:B67" si="0">F4*100000000+E4*1000000+L4*10000+G4*100+J4</f>
        <v>101020100</v>
      </c>
      <c r="C4" s="1" t="str">
        <f t="shared" ref="C4:C67" ca="1" si="1">mVlookup(L4,INDIRECT(D4),H4,FALSE)</f>
        <v>普通的锤</v>
      </c>
      <c r="D4" s="1" t="s">
        <v>425</v>
      </c>
      <c r="E4" s="1">
        <v>1</v>
      </c>
      <c r="F4" s="8">
        <v>1</v>
      </c>
      <c r="G4" s="8">
        <f t="shared" ref="G4:G67" si="2">VLOOKUP(H4,S$12:T$26,2,FALSE)</f>
        <v>1</v>
      </c>
      <c r="H4" s="8" t="s">
        <v>405</v>
      </c>
      <c r="I4" s="8" t="e">
        <f ca="1">"["&amp;INT(getMinDes(B4))&amp;"-"&amp;INT(getMaxDes(B4))&amp;"]"&amp;getDesName(B4)&amp;" "&amp;getRandomNatureDes(K4)&amp;getSuitDes(B4)</f>
        <v>#VALUE!</v>
      </c>
      <c r="J4" s="1">
        <v>0</v>
      </c>
      <c r="K4" s="1">
        <v>1</v>
      </c>
      <c r="L4" s="1">
        <v>2</v>
      </c>
      <c r="M4" s="1" t="str">
        <f ca="1">mVlookup(E4&amp;L4,装备名称!J$43:Z$74,H4,FALSE)</f>
        <v>IC1002</v>
      </c>
      <c r="N4" s="1" t="str">
        <f t="shared" ref="N4:N67" si="3">G4&amp;L4</f>
        <v>12</v>
      </c>
      <c r="O4" s="1">
        <f>O3+1</f>
        <v>200002</v>
      </c>
      <c r="AB4" s="2" t="str">
        <v>枪</v>
      </c>
    </row>
    <row r="5" spans="1:28" x14ac:dyDescent="0.15">
      <c r="A5" s="1">
        <v>3</v>
      </c>
      <c r="B5" s="1">
        <f t="shared" si="0"/>
        <v>101030100</v>
      </c>
      <c r="C5" s="1" t="str">
        <f t="shared" ca="1" si="1"/>
        <v>初级的锤</v>
      </c>
      <c r="D5" s="1" t="s">
        <v>425</v>
      </c>
      <c r="E5" s="1">
        <v>1</v>
      </c>
      <c r="F5" s="8">
        <v>1</v>
      </c>
      <c r="G5" s="8">
        <f t="shared" si="2"/>
        <v>1</v>
      </c>
      <c r="H5" s="8" t="s">
        <v>405</v>
      </c>
      <c r="I5" s="8" t="e">
        <f ca="1">"["&amp;INT(getMinDes(B5))&amp;"-"&amp;INT(getMaxDes(B5))&amp;"]"&amp;getDesName(B5)&amp;" "&amp;getRandomNatureDes(K5)&amp;getSuitDes(B5)</f>
        <v>#VALUE!</v>
      </c>
      <c r="J5" s="1">
        <v>0</v>
      </c>
      <c r="K5" s="1">
        <v>1</v>
      </c>
      <c r="L5" s="1">
        <v>3</v>
      </c>
      <c r="M5" s="1" t="str">
        <f ca="1">mVlookup(E5&amp;L5,装备名称!J$43:Z$74,H5,FALSE)</f>
        <v>IC1080</v>
      </c>
      <c r="N5" s="1" t="str">
        <f t="shared" si="3"/>
        <v>13</v>
      </c>
      <c r="O5" s="1">
        <f t="shared" ref="O5:O68" si="4">O4+1</f>
        <v>200003</v>
      </c>
      <c r="AB5" s="2" t="str">
        <v>镰刀</v>
      </c>
    </row>
    <row r="6" spans="1:28" x14ac:dyDescent="0.15">
      <c r="A6" s="1">
        <v>4</v>
      </c>
      <c r="B6" s="1">
        <f t="shared" si="0"/>
        <v>101040100</v>
      </c>
      <c r="C6" s="1" t="str">
        <f t="shared" ca="1" si="1"/>
        <v>水晶锤</v>
      </c>
      <c r="D6" s="1" t="s">
        <v>425</v>
      </c>
      <c r="E6" s="1">
        <v>1</v>
      </c>
      <c r="F6" s="8">
        <v>1</v>
      </c>
      <c r="G6" s="8">
        <f t="shared" si="2"/>
        <v>1</v>
      </c>
      <c r="H6" s="8" t="s">
        <v>405</v>
      </c>
      <c r="I6" s="8" t="e">
        <f ca="1">"["&amp;INT(getMinDes(B6))&amp;"-"&amp;INT(getMaxDes(B6))&amp;"]"&amp;getDesName(B6)&amp;" "&amp;getRandomNatureDes(K6)&amp;getSuitDes(B6)</f>
        <v>#VALUE!</v>
      </c>
      <c r="J6" s="1">
        <v>0</v>
      </c>
      <c r="K6" s="1">
        <v>1</v>
      </c>
      <c r="L6" s="1">
        <v>4</v>
      </c>
      <c r="M6" s="1" t="str">
        <f ca="1">mVlookup(E6&amp;L6,装备名称!J$43:Z$74,H6,FALSE)</f>
        <v>IC1006</v>
      </c>
      <c r="N6" s="1" t="str">
        <f t="shared" si="3"/>
        <v>14</v>
      </c>
      <c r="O6" s="1">
        <f t="shared" si="4"/>
        <v>200004</v>
      </c>
      <c r="AB6" s="2" t="str">
        <v>法杖</v>
      </c>
    </row>
    <row r="7" spans="1:28" x14ac:dyDescent="0.15">
      <c r="A7" s="1">
        <v>5</v>
      </c>
      <c r="B7" s="1">
        <f t="shared" si="0"/>
        <v>101050100</v>
      </c>
      <c r="C7" s="1" t="str">
        <f t="shared" ca="1" si="1"/>
        <v>青铜锤</v>
      </c>
      <c r="D7" s="1" t="s">
        <v>425</v>
      </c>
      <c r="E7" s="1">
        <v>1</v>
      </c>
      <c r="F7" s="8">
        <v>1</v>
      </c>
      <c r="G7" s="8">
        <f t="shared" si="2"/>
        <v>1</v>
      </c>
      <c r="H7" s="8" t="s">
        <v>405</v>
      </c>
      <c r="I7" s="8" t="e">
        <f ca="1">"["&amp;INT(getMinDes(B7))&amp;"-"&amp;INT(getMaxDes(B7))&amp;"]"&amp;getDesName(B7)&amp;" "&amp;getRandomNatureDes(K7)&amp;getSuitDes(B7)</f>
        <v>#VALUE!</v>
      </c>
      <c r="J7" s="1">
        <v>0</v>
      </c>
      <c r="K7" s="1">
        <v>1</v>
      </c>
      <c r="L7" s="1">
        <v>5</v>
      </c>
      <c r="M7" s="1" t="str">
        <f ca="1">mVlookup(E7&amp;L7,装备名称!J$43:Z$74,H7,FALSE)</f>
        <v>IC1001</v>
      </c>
      <c r="N7" s="1" t="str">
        <f t="shared" si="3"/>
        <v>15</v>
      </c>
      <c r="O7" s="1">
        <f t="shared" si="4"/>
        <v>200005</v>
      </c>
      <c r="AB7" s="2" t="str">
        <v>弓</v>
      </c>
    </row>
    <row r="8" spans="1:28" x14ac:dyDescent="0.15">
      <c r="A8" s="1">
        <v>6</v>
      </c>
      <c r="B8" s="1">
        <f t="shared" si="0"/>
        <v>101060100</v>
      </c>
      <c r="C8" s="1" t="str">
        <f t="shared" ca="1" si="1"/>
        <v>玄铁锤</v>
      </c>
      <c r="D8" s="1" t="s">
        <v>425</v>
      </c>
      <c r="E8" s="1">
        <v>1</v>
      </c>
      <c r="F8" s="8">
        <v>1</v>
      </c>
      <c r="G8" s="8">
        <f t="shared" si="2"/>
        <v>1</v>
      </c>
      <c r="H8" s="8" t="s">
        <v>405</v>
      </c>
      <c r="I8" s="8" t="e">
        <f ca="1">"["&amp;INT(getMinDes(B8))&amp;"-"&amp;INT(getMaxDes(B8))&amp;"]"&amp;getDesName(B8)&amp;" "&amp;getRandomNatureDes(K8)&amp;getSuitDes(B8)</f>
        <v>#VALUE!</v>
      </c>
      <c r="J8" s="1">
        <v>0</v>
      </c>
      <c r="K8" s="1">
        <v>1</v>
      </c>
      <c r="L8" s="1">
        <v>6</v>
      </c>
      <c r="M8" s="1" t="str">
        <f ca="1">mVlookup(E8&amp;L8,装备名称!J$43:Z$74,H8,FALSE)</f>
        <v>IC1002</v>
      </c>
      <c r="N8" s="1" t="str">
        <f t="shared" si="3"/>
        <v>16</v>
      </c>
      <c r="O8" s="1">
        <f t="shared" si="4"/>
        <v>200006</v>
      </c>
      <c r="AB8" s="2" t="str">
        <v>烟斗</v>
      </c>
    </row>
    <row r="9" spans="1:28" x14ac:dyDescent="0.15">
      <c r="A9" s="1">
        <v>7</v>
      </c>
      <c r="B9" s="1">
        <f t="shared" si="0"/>
        <v>101070100</v>
      </c>
      <c r="C9" s="1" t="str">
        <f t="shared" ca="1" si="1"/>
        <v>白银锤</v>
      </c>
      <c r="D9" s="1" t="s">
        <v>425</v>
      </c>
      <c r="E9" s="1">
        <v>1</v>
      </c>
      <c r="F9" s="8">
        <v>1</v>
      </c>
      <c r="G9" s="8">
        <f t="shared" si="2"/>
        <v>1</v>
      </c>
      <c r="H9" s="8" t="s">
        <v>405</v>
      </c>
      <c r="I9" s="8" t="e">
        <f ca="1">"["&amp;INT(getMinDes(B9))&amp;"-"&amp;INT(getMaxDes(B9))&amp;"]"&amp;getDesName(B9)&amp;" "&amp;getRandomNatureDes(K9)&amp;getSuitDes(B9)</f>
        <v>#VALUE!</v>
      </c>
      <c r="J9" s="1">
        <v>0</v>
      </c>
      <c r="K9" s="1">
        <v>1</v>
      </c>
      <c r="L9" s="1">
        <v>7</v>
      </c>
      <c r="M9" s="1" t="str">
        <f ca="1">mVlookup(E9&amp;L9,装备名称!J$43:Z$74,H9,FALSE)</f>
        <v>IC1080</v>
      </c>
      <c r="N9" s="1" t="str">
        <f t="shared" si="3"/>
        <v>17</v>
      </c>
      <c r="O9" s="1">
        <f t="shared" si="4"/>
        <v>200007</v>
      </c>
      <c r="AB9" s="2" t="str">
        <v>扇子</v>
      </c>
    </row>
    <row r="10" spans="1:28" x14ac:dyDescent="0.15">
      <c r="A10" s="1">
        <v>8</v>
      </c>
      <c r="B10" s="1">
        <f t="shared" si="0"/>
        <v>101080100</v>
      </c>
      <c r="C10" s="1" t="str">
        <f t="shared" ca="1" si="1"/>
        <v>异灵锤</v>
      </c>
      <c r="D10" s="1" t="s">
        <v>425</v>
      </c>
      <c r="E10" s="1">
        <v>1</v>
      </c>
      <c r="F10" s="8">
        <v>1</v>
      </c>
      <c r="G10" s="8">
        <f t="shared" si="2"/>
        <v>1</v>
      </c>
      <c r="H10" s="8" t="s">
        <v>405</v>
      </c>
      <c r="I10" s="8" t="e">
        <f ca="1">"["&amp;INT(getMinDes(B10))&amp;"-"&amp;INT(getMaxDes(B10))&amp;"]"&amp;getDesName(B10)&amp;" "&amp;getRandomNatureDes(K10)&amp;getSuitDes(B10)</f>
        <v>#VALUE!</v>
      </c>
      <c r="J10" s="1">
        <v>0</v>
      </c>
      <c r="K10" s="1">
        <v>1</v>
      </c>
      <c r="L10" s="1">
        <v>8</v>
      </c>
      <c r="M10" s="1" t="str">
        <f ca="1">mVlookup(E10&amp;L10,装备名称!J$43:Z$74,H10,FALSE)</f>
        <v>IC1006</v>
      </c>
      <c r="N10" s="1" t="str">
        <f t="shared" si="3"/>
        <v>18</v>
      </c>
      <c r="O10" s="1">
        <f t="shared" si="4"/>
        <v>200008</v>
      </c>
      <c r="AB10" s="2" t="str">
        <v>牙齿</v>
      </c>
    </row>
    <row r="11" spans="1:28" x14ac:dyDescent="0.15">
      <c r="A11" s="1">
        <v>9</v>
      </c>
      <c r="B11" s="1">
        <f t="shared" si="0"/>
        <v>101090100</v>
      </c>
      <c r="C11" s="1" t="str">
        <f t="shared" ca="1" si="1"/>
        <v>流星锤</v>
      </c>
      <c r="D11" s="1" t="s">
        <v>425</v>
      </c>
      <c r="E11" s="1">
        <v>1</v>
      </c>
      <c r="F11" s="8">
        <v>1</v>
      </c>
      <c r="G11" s="8">
        <f t="shared" si="2"/>
        <v>1</v>
      </c>
      <c r="H11" s="8" t="s">
        <v>405</v>
      </c>
      <c r="I11" s="8" t="e">
        <f ca="1">"["&amp;INT(getMinDes(B11))&amp;"-"&amp;INT(getMaxDes(B11))&amp;"]"&amp;getDesName(B11)&amp;" "&amp;getRandomNatureDes(K11)&amp;getSuitDes(B11)</f>
        <v>#VALUE!</v>
      </c>
      <c r="J11" s="1">
        <v>0</v>
      </c>
      <c r="K11" s="1">
        <v>1</v>
      </c>
      <c r="L11" s="1">
        <v>9</v>
      </c>
      <c r="M11" s="1" t="str">
        <f ca="1">mVlookup(E11&amp;L11,装备名称!J$43:Z$74,H11,FALSE)</f>
        <v>IC1001</v>
      </c>
      <c r="N11" s="1" t="str">
        <f t="shared" si="3"/>
        <v>19</v>
      </c>
      <c r="O11" s="1">
        <f t="shared" si="4"/>
        <v>200009</v>
      </c>
      <c r="AB11" s="2" t="str">
        <v>球</v>
      </c>
    </row>
    <row r="12" spans="1:28" x14ac:dyDescent="0.15">
      <c r="A12" s="1">
        <v>10</v>
      </c>
      <c r="B12" s="1">
        <f t="shared" si="0"/>
        <v>101010200</v>
      </c>
      <c r="C12" s="1" t="str">
        <f t="shared" ca="1" si="1"/>
        <v>破旧的刀</v>
      </c>
      <c r="D12" s="1" t="s">
        <v>425</v>
      </c>
      <c r="E12" s="1">
        <v>1</v>
      </c>
      <c r="F12" s="8">
        <v>1</v>
      </c>
      <c r="G12" s="8">
        <f t="shared" si="2"/>
        <v>2</v>
      </c>
      <c r="H12" s="8" t="s">
        <v>69</v>
      </c>
      <c r="I12" s="8" t="e">
        <f ca="1">"["&amp;INT(getMinDes(B12))&amp;"-"&amp;INT(getMaxDes(B12))&amp;"]"&amp;getDesName(B12)&amp;" "&amp;getRandomNatureDes(K12)&amp;getSuitDes(B12)</f>
        <v>#VALUE!</v>
      </c>
      <c r="J12" s="1">
        <v>0</v>
      </c>
      <c r="K12" s="1">
        <v>1</v>
      </c>
      <c r="L12" s="1">
        <f>L3</f>
        <v>1</v>
      </c>
      <c r="M12" s="1" t="str">
        <f ca="1">mVlookup(E12&amp;L12,装备名称!J$43:Z$74,H12,FALSE)</f>
        <v>IC1240</v>
      </c>
      <c r="N12" s="1" t="str">
        <f t="shared" si="3"/>
        <v>21</v>
      </c>
      <c r="O12" s="1">
        <f t="shared" si="4"/>
        <v>200010</v>
      </c>
      <c r="R12" s="2">
        <v>1</v>
      </c>
      <c r="S12" s="14" t="s">
        <v>508</v>
      </c>
      <c r="T12" s="1">
        <f>R12</f>
        <v>1</v>
      </c>
      <c r="AB12" s="2" t="str">
        <v>爪</v>
      </c>
    </row>
    <row r="13" spans="1:28" x14ac:dyDescent="0.15">
      <c r="A13" s="1">
        <v>11</v>
      </c>
      <c r="B13" s="1">
        <f t="shared" si="0"/>
        <v>101020200</v>
      </c>
      <c r="C13" s="1" t="str">
        <f t="shared" ca="1" si="1"/>
        <v>普通的刀</v>
      </c>
      <c r="D13" s="1" t="s">
        <v>425</v>
      </c>
      <c r="E13" s="1">
        <v>1</v>
      </c>
      <c r="F13" s="8">
        <v>1</v>
      </c>
      <c r="G13" s="8">
        <f t="shared" si="2"/>
        <v>2</v>
      </c>
      <c r="H13" s="8" t="s">
        <v>69</v>
      </c>
      <c r="I13" s="8" t="e">
        <f ca="1">"["&amp;INT(getMinDes(B13))&amp;"-"&amp;INT(getMaxDes(B13))&amp;"]"&amp;getDesName(B13)&amp;" "&amp;getRandomNatureDes(K13)&amp;getSuitDes(B13)</f>
        <v>#VALUE!</v>
      </c>
      <c r="J13" s="1">
        <v>0</v>
      </c>
      <c r="K13" s="1">
        <v>1</v>
      </c>
      <c r="L13" s="1">
        <f t="shared" ref="L13:L76" si="5">L4</f>
        <v>2</v>
      </c>
      <c r="M13" s="1" t="str">
        <f ca="1">mVlookup(E13&amp;L13,装备名称!J$43:Z$74,H13,FALSE)</f>
        <v>IC1201</v>
      </c>
      <c r="N13" s="1" t="str">
        <f t="shared" si="3"/>
        <v>22</v>
      </c>
      <c r="O13" s="1">
        <f t="shared" si="4"/>
        <v>200011</v>
      </c>
      <c r="R13" s="2">
        <v>2</v>
      </c>
      <c r="S13" s="2" t="s">
        <v>69</v>
      </c>
      <c r="T13" s="1">
        <f t="shared" ref="T13:T24" si="6">R13</f>
        <v>2</v>
      </c>
      <c r="AB13" s="2" t="str">
        <v>剑</v>
      </c>
    </row>
    <row r="14" spans="1:28" x14ac:dyDescent="0.15">
      <c r="A14" s="1">
        <v>12</v>
      </c>
      <c r="B14" s="1">
        <f t="shared" si="0"/>
        <v>101030200</v>
      </c>
      <c r="C14" s="1" t="str">
        <f t="shared" ca="1" si="1"/>
        <v>初级的刀</v>
      </c>
      <c r="D14" s="1" t="s">
        <v>425</v>
      </c>
      <c r="E14" s="1">
        <v>1</v>
      </c>
      <c r="F14" s="8">
        <v>1</v>
      </c>
      <c r="G14" s="8">
        <f t="shared" si="2"/>
        <v>2</v>
      </c>
      <c r="H14" s="8" t="s">
        <v>69</v>
      </c>
      <c r="I14" s="8" t="e">
        <f ca="1">"["&amp;INT(getMinDes(B14))&amp;"-"&amp;INT(getMaxDes(B14))&amp;"]"&amp;getDesName(B14)&amp;" "&amp;getRandomNatureDes(K14)&amp;getSuitDes(B14)</f>
        <v>#VALUE!</v>
      </c>
      <c r="J14" s="1">
        <v>0</v>
      </c>
      <c r="K14" s="1">
        <v>1</v>
      </c>
      <c r="L14" s="1">
        <f t="shared" si="5"/>
        <v>3</v>
      </c>
      <c r="M14" s="1" t="str">
        <f ca="1">mVlookup(E14&amp;L14,装备名称!J$43:Z$74,H14,FALSE)</f>
        <v>IC1239</v>
      </c>
      <c r="N14" s="1" t="str">
        <f t="shared" si="3"/>
        <v>23</v>
      </c>
      <c r="O14" s="1">
        <f t="shared" si="4"/>
        <v>200012</v>
      </c>
      <c r="R14" s="2">
        <v>3</v>
      </c>
      <c r="S14" s="2" t="s">
        <v>407</v>
      </c>
      <c r="T14" s="1">
        <f t="shared" si="6"/>
        <v>3</v>
      </c>
      <c r="AB14" s="2" t="str">
        <v>戒指</v>
      </c>
    </row>
    <row r="15" spans="1:28" x14ac:dyDescent="0.15">
      <c r="A15" s="1">
        <v>13</v>
      </c>
      <c r="B15" s="1">
        <f t="shared" si="0"/>
        <v>101040200</v>
      </c>
      <c r="C15" s="1" t="str">
        <f t="shared" ca="1" si="1"/>
        <v>水晶刀</v>
      </c>
      <c r="D15" s="1" t="s">
        <v>425</v>
      </c>
      <c r="E15" s="1">
        <v>1</v>
      </c>
      <c r="F15" s="8">
        <v>1</v>
      </c>
      <c r="G15" s="8">
        <f t="shared" si="2"/>
        <v>2</v>
      </c>
      <c r="H15" s="8" t="s">
        <v>69</v>
      </c>
      <c r="I15" s="8" t="e">
        <f ca="1">"["&amp;INT(getMinDes(B15))&amp;"-"&amp;INT(getMaxDes(B15))&amp;"]"&amp;getDesName(B15)&amp;" "&amp;getRandomNatureDes(K15)&amp;getSuitDes(B15)</f>
        <v>#VALUE!</v>
      </c>
      <c r="J15" s="1">
        <v>0</v>
      </c>
      <c r="K15" s="1">
        <v>1</v>
      </c>
      <c r="L15" s="1">
        <f t="shared" si="5"/>
        <v>4</v>
      </c>
      <c r="M15" s="1" t="str">
        <f ca="1">mVlookup(E15&amp;L15,装备名称!J$43:Z$74,H15,FALSE)</f>
        <v>IC1204</v>
      </c>
      <c r="N15" s="1" t="str">
        <f t="shared" si="3"/>
        <v>24</v>
      </c>
      <c r="O15" s="1">
        <f t="shared" si="4"/>
        <v>200013</v>
      </c>
      <c r="R15" s="2">
        <v>4</v>
      </c>
      <c r="S15" s="2" t="s">
        <v>65</v>
      </c>
      <c r="T15" s="1">
        <f t="shared" si="6"/>
        <v>4</v>
      </c>
      <c r="AB15" s="2" t="str">
        <v>项链</v>
      </c>
    </row>
    <row r="16" spans="1:28" x14ac:dyDescent="0.15">
      <c r="A16" s="1">
        <v>14</v>
      </c>
      <c r="B16" s="1">
        <f t="shared" si="0"/>
        <v>101050200</v>
      </c>
      <c r="C16" s="1" t="str">
        <f t="shared" ca="1" si="1"/>
        <v>青铜刀</v>
      </c>
      <c r="D16" s="1" t="s">
        <v>425</v>
      </c>
      <c r="E16" s="1">
        <v>1</v>
      </c>
      <c r="F16" s="8">
        <v>1</v>
      </c>
      <c r="G16" s="8">
        <f t="shared" si="2"/>
        <v>2</v>
      </c>
      <c r="H16" s="8" t="s">
        <v>69</v>
      </c>
      <c r="I16" s="8" t="e">
        <f ca="1">"["&amp;INT(getMinDes(B16))&amp;"-"&amp;INT(getMaxDes(B16))&amp;"]"&amp;getDesName(B16)&amp;" "&amp;getRandomNatureDes(K16)&amp;getSuitDes(B16)</f>
        <v>#VALUE!</v>
      </c>
      <c r="J16" s="1">
        <v>0</v>
      </c>
      <c r="K16" s="1">
        <v>1</v>
      </c>
      <c r="L16" s="1">
        <f t="shared" si="5"/>
        <v>5</v>
      </c>
      <c r="M16" s="1" t="str">
        <f ca="1">mVlookup(E16&amp;L16,装备名称!J$43:Z$74,H16,FALSE)</f>
        <v>IC1209</v>
      </c>
      <c r="N16" s="1" t="str">
        <f t="shared" si="3"/>
        <v>25</v>
      </c>
      <c r="O16" s="1">
        <f t="shared" si="4"/>
        <v>200014</v>
      </c>
      <c r="R16" s="2">
        <v>5</v>
      </c>
      <c r="S16" s="2" t="s">
        <v>70</v>
      </c>
      <c r="T16" s="1">
        <f t="shared" si="6"/>
        <v>5</v>
      </c>
    </row>
    <row r="17" spans="1:20" x14ac:dyDescent="0.15">
      <c r="A17" s="1">
        <v>15</v>
      </c>
      <c r="B17" s="1">
        <f t="shared" si="0"/>
        <v>101060200</v>
      </c>
      <c r="C17" s="1" t="str">
        <f t="shared" ca="1" si="1"/>
        <v>玄铁刀</v>
      </c>
      <c r="D17" s="1" t="s">
        <v>425</v>
      </c>
      <c r="E17" s="1">
        <v>1</v>
      </c>
      <c r="F17" s="8">
        <v>1</v>
      </c>
      <c r="G17" s="8">
        <f t="shared" si="2"/>
        <v>2</v>
      </c>
      <c r="H17" s="8" t="s">
        <v>69</v>
      </c>
      <c r="I17" s="8" t="e">
        <f ca="1">"["&amp;INT(getMinDes(B17))&amp;"-"&amp;INT(getMaxDes(B17))&amp;"]"&amp;getDesName(B17)&amp;" "&amp;getRandomNatureDes(K17)&amp;getSuitDes(B17)</f>
        <v>#VALUE!</v>
      </c>
      <c r="J17" s="1">
        <v>0</v>
      </c>
      <c r="K17" s="1">
        <v>1</v>
      </c>
      <c r="L17" s="1">
        <f t="shared" si="5"/>
        <v>6</v>
      </c>
      <c r="M17" s="1" t="str">
        <f ca="1">mVlookup(E17&amp;L17,装备名称!J$43:Z$74,H17,FALSE)</f>
        <v>IC1225</v>
      </c>
      <c r="N17" s="1" t="str">
        <f t="shared" si="3"/>
        <v>26</v>
      </c>
      <c r="O17" s="1">
        <f t="shared" si="4"/>
        <v>200015</v>
      </c>
      <c r="R17" s="2">
        <v>6</v>
      </c>
      <c r="S17" s="2" t="s">
        <v>67</v>
      </c>
      <c r="T17" s="1">
        <f t="shared" si="6"/>
        <v>6</v>
      </c>
    </row>
    <row r="18" spans="1:20" x14ac:dyDescent="0.15">
      <c r="A18" s="1">
        <v>16</v>
      </c>
      <c r="B18" s="1">
        <f t="shared" si="0"/>
        <v>101070200</v>
      </c>
      <c r="C18" s="1" t="str">
        <f t="shared" ca="1" si="1"/>
        <v>白银刀</v>
      </c>
      <c r="D18" s="1" t="s">
        <v>425</v>
      </c>
      <c r="E18" s="1">
        <v>1</v>
      </c>
      <c r="F18" s="8">
        <v>1</v>
      </c>
      <c r="G18" s="8">
        <f t="shared" si="2"/>
        <v>2</v>
      </c>
      <c r="H18" s="8" t="s">
        <v>69</v>
      </c>
      <c r="I18" s="8" t="e">
        <f ca="1">"["&amp;INT(getMinDes(B18))&amp;"-"&amp;INT(getMaxDes(B18))&amp;"]"&amp;getDesName(B18)&amp;" "&amp;getRandomNatureDes(K18)&amp;getSuitDes(B18)</f>
        <v>#VALUE!</v>
      </c>
      <c r="J18" s="1">
        <v>0</v>
      </c>
      <c r="K18" s="1">
        <v>1</v>
      </c>
      <c r="L18" s="1">
        <f t="shared" si="5"/>
        <v>7</v>
      </c>
      <c r="M18" s="1" t="str">
        <f ca="1">mVlookup(E18&amp;L18,装备名称!J$43:Z$74,H18,FALSE)</f>
        <v>IC1239</v>
      </c>
      <c r="N18" s="1" t="str">
        <f t="shared" si="3"/>
        <v>27</v>
      </c>
      <c r="O18" s="1">
        <f t="shared" si="4"/>
        <v>200016</v>
      </c>
      <c r="R18" s="2">
        <v>7</v>
      </c>
      <c r="S18" s="2" t="s">
        <v>408</v>
      </c>
      <c r="T18" s="1">
        <f t="shared" si="6"/>
        <v>7</v>
      </c>
    </row>
    <row r="19" spans="1:20" x14ac:dyDescent="0.15">
      <c r="A19" s="1">
        <v>17</v>
      </c>
      <c r="B19" s="1">
        <f t="shared" si="0"/>
        <v>101080200</v>
      </c>
      <c r="C19" s="1" t="str">
        <f t="shared" ca="1" si="1"/>
        <v>异灵刀</v>
      </c>
      <c r="D19" s="1" t="s">
        <v>425</v>
      </c>
      <c r="E19" s="1">
        <v>1</v>
      </c>
      <c r="F19" s="8">
        <v>1</v>
      </c>
      <c r="G19" s="8">
        <f t="shared" si="2"/>
        <v>2</v>
      </c>
      <c r="H19" s="8" t="s">
        <v>69</v>
      </c>
      <c r="I19" s="8" t="e">
        <f ca="1">"["&amp;INT(getMinDes(B19))&amp;"-"&amp;INT(getMaxDes(B19))&amp;"]"&amp;getDesName(B19)&amp;" "&amp;getRandomNatureDes(K19)&amp;getSuitDes(B19)</f>
        <v>#VALUE!</v>
      </c>
      <c r="J19" s="1">
        <v>0</v>
      </c>
      <c r="K19" s="1">
        <v>1</v>
      </c>
      <c r="L19" s="1">
        <f t="shared" si="5"/>
        <v>8</v>
      </c>
      <c r="M19" s="1" t="str">
        <f ca="1">mVlookup(E19&amp;L19,装备名称!J$43:Z$74,H19,FALSE)</f>
        <v>IC1204</v>
      </c>
      <c r="N19" s="1" t="str">
        <f t="shared" si="3"/>
        <v>28</v>
      </c>
      <c r="O19" s="1">
        <f t="shared" si="4"/>
        <v>200017</v>
      </c>
      <c r="R19" s="2">
        <v>8</v>
      </c>
      <c r="S19" s="2" t="s">
        <v>68</v>
      </c>
      <c r="T19" s="1">
        <f t="shared" si="6"/>
        <v>8</v>
      </c>
    </row>
    <row r="20" spans="1:20" x14ac:dyDescent="0.15">
      <c r="A20" s="1">
        <v>18</v>
      </c>
      <c r="B20" s="1">
        <f t="shared" si="0"/>
        <v>101090200</v>
      </c>
      <c r="C20" s="1" t="str">
        <f t="shared" ca="1" si="1"/>
        <v>流星刀</v>
      </c>
      <c r="D20" s="1" t="s">
        <v>425</v>
      </c>
      <c r="E20" s="1">
        <v>1</v>
      </c>
      <c r="F20" s="8">
        <v>1</v>
      </c>
      <c r="G20" s="8">
        <f t="shared" si="2"/>
        <v>2</v>
      </c>
      <c r="H20" s="8" t="s">
        <v>69</v>
      </c>
      <c r="I20" s="8" t="e">
        <f ca="1">"["&amp;INT(getMinDes(B20))&amp;"-"&amp;INT(getMaxDes(B20))&amp;"]"&amp;getDesName(B20)&amp;" "&amp;getRandomNatureDes(K20)&amp;getSuitDes(B20)</f>
        <v>#VALUE!</v>
      </c>
      <c r="J20" s="1">
        <v>0</v>
      </c>
      <c r="K20" s="1">
        <v>1</v>
      </c>
      <c r="L20" s="1">
        <f t="shared" si="5"/>
        <v>9</v>
      </c>
      <c r="M20" s="1" t="str">
        <f ca="1">mVlookup(E20&amp;L20,装备名称!J$43:Z$74,H20,FALSE)</f>
        <v>IC1209</v>
      </c>
      <c r="N20" s="1" t="str">
        <f t="shared" si="3"/>
        <v>29</v>
      </c>
      <c r="O20" s="1">
        <f t="shared" si="4"/>
        <v>200018</v>
      </c>
      <c r="R20" s="2">
        <v>9</v>
      </c>
      <c r="S20" s="2" t="s">
        <v>409</v>
      </c>
      <c r="T20" s="1">
        <f t="shared" si="6"/>
        <v>9</v>
      </c>
    </row>
    <row r="21" spans="1:20" x14ac:dyDescent="0.15">
      <c r="A21" s="1">
        <v>19</v>
      </c>
      <c r="B21" s="1">
        <f t="shared" si="0"/>
        <v>101010300</v>
      </c>
      <c r="C21" s="1" t="str">
        <f t="shared" ca="1" si="1"/>
        <v>破旧的拳套</v>
      </c>
      <c r="D21" s="1" t="s">
        <v>425</v>
      </c>
      <c r="E21" s="1">
        <v>1</v>
      </c>
      <c r="F21" s="8">
        <v>1</v>
      </c>
      <c r="G21" s="8">
        <f t="shared" si="2"/>
        <v>3</v>
      </c>
      <c r="H21" s="8" t="s">
        <v>407</v>
      </c>
      <c r="I21" s="8" t="e">
        <f ca="1">"["&amp;INT(getMinDes(B21))&amp;"-"&amp;INT(getMaxDes(B21))&amp;"]"&amp;getDesName(B21)&amp;" "&amp;getRandomNatureDes(K21)&amp;getSuitDes(B21)</f>
        <v>#VALUE!</v>
      </c>
      <c r="J21" s="1">
        <v>0</v>
      </c>
      <c r="K21" s="1">
        <v>1</v>
      </c>
      <c r="L21" s="1">
        <f t="shared" si="5"/>
        <v>1</v>
      </c>
      <c r="M21" s="1" t="str">
        <f ca="1">mVlookup(E21&amp;L21,装备名称!J$43:Z$74,H21,FALSE)</f>
        <v>IC1501</v>
      </c>
      <c r="N21" s="1" t="str">
        <f t="shared" si="3"/>
        <v>31</v>
      </c>
      <c r="O21" s="1">
        <f t="shared" si="4"/>
        <v>200019</v>
      </c>
      <c r="R21" s="2">
        <v>10</v>
      </c>
      <c r="S21" s="2" t="s">
        <v>410</v>
      </c>
      <c r="T21" s="1">
        <f t="shared" si="6"/>
        <v>10</v>
      </c>
    </row>
    <row r="22" spans="1:20" x14ac:dyDescent="0.15">
      <c r="A22" s="1">
        <v>20</v>
      </c>
      <c r="B22" s="1">
        <f t="shared" si="0"/>
        <v>101020300</v>
      </c>
      <c r="C22" s="1" t="str">
        <f t="shared" ca="1" si="1"/>
        <v>普通的拳套</v>
      </c>
      <c r="D22" s="1" t="s">
        <v>425</v>
      </c>
      <c r="E22" s="1">
        <v>1</v>
      </c>
      <c r="F22" s="8">
        <v>1</v>
      </c>
      <c r="G22" s="8">
        <f t="shared" si="2"/>
        <v>3</v>
      </c>
      <c r="H22" s="8" t="s">
        <v>407</v>
      </c>
      <c r="I22" s="8" t="e">
        <f ca="1">"["&amp;INT(getMinDes(B22))&amp;"-"&amp;INT(getMaxDes(B22))&amp;"]"&amp;getDesName(B22)&amp;" "&amp;getRandomNatureDes(K22)&amp;getSuitDes(B22)</f>
        <v>#VALUE!</v>
      </c>
      <c r="J22" s="1">
        <v>0</v>
      </c>
      <c r="K22" s="1">
        <v>1</v>
      </c>
      <c r="L22" s="1">
        <f t="shared" si="5"/>
        <v>2</v>
      </c>
      <c r="M22" s="1" t="str">
        <f ca="1">mVlookup(E22&amp;L22,装备名称!J$43:Z$74,H22,FALSE)</f>
        <v>IC1504</v>
      </c>
      <c r="N22" s="1" t="str">
        <f t="shared" si="3"/>
        <v>32</v>
      </c>
      <c r="O22" s="1">
        <f t="shared" si="4"/>
        <v>200020</v>
      </c>
      <c r="R22" s="2">
        <v>11</v>
      </c>
      <c r="S22" s="2" t="s">
        <v>411</v>
      </c>
      <c r="T22" s="1">
        <f t="shared" si="6"/>
        <v>11</v>
      </c>
    </row>
    <row r="23" spans="1:20" x14ac:dyDescent="0.15">
      <c r="A23" s="1">
        <v>21</v>
      </c>
      <c r="B23" s="1">
        <f t="shared" si="0"/>
        <v>101030300</v>
      </c>
      <c r="C23" s="1" t="str">
        <f t="shared" ca="1" si="1"/>
        <v>初级的拳套</v>
      </c>
      <c r="D23" s="1" t="s">
        <v>425</v>
      </c>
      <c r="E23" s="1">
        <v>1</v>
      </c>
      <c r="F23" s="8">
        <v>1</v>
      </c>
      <c r="G23" s="8">
        <f t="shared" si="2"/>
        <v>3</v>
      </c>
      <c r="H23" s="8" t="s">
        <v>407</v>
      </c>
      <c r="I23" s="8" t="e">
        <f ca="1">"["&amp;INT(getMinDes(B23))&amp;"-"&amp;INT(getMaxDes(B23))&amp;"]"&amp;getDesName(B23)&amp;" "&amp;getRandomNatureDes(K23)&amp;getSuitDes(B23)</f>
        <v>#VALUE!</v>
      </c>
      <c r="J23" s="1">
        <v>0</v>
      </c>
      <c r="K23" s="1">
        <v>1</v>
      </c>
      <c r="L23" s="1">
        <f t="shared" si="5"/>
        <v>3</v>
      </c>
      <c r="M23" s="1" t="str">
        <f ca="1">mVlookup(E23&amp;L23,装备名称!J$43:Z$74,H23,FALSE)</f>
        <v>IC1506</v>
      </c>
      <c r="N23" s="1" t="str">
        <f t="shared" si="3"/>
        <v>33</v>
      </c>
      <c r="O23" s="1">
        <f t="shared" si="4"/>
        <v>200021</v>
      </c>
      <c r="R23" s="2">
        <v>12</v>
      </c>
      <c r="S23" s="2" t="s">
        <v>71</v>
      </c>
      <c r="T23" s="1">
        <f t="shared" si="6"/>
        <v>12</v>
      </c>
    </row>
    <row r="24" spans="1:20" x14ac:dyDescent="0.15">
      <c r="A24" s="1">
        <v>22</v>
      </c>
      <c r="B24" s="1">
        <f t="shared" si="0"/>
        <v>101040300</v>
      </c>
      <c r="C24" s="1" t="str">
        <f t="shared" ca="1" si="1"/>
        <v>水晶拳套</v>
      </c>
      <c r="D24" s="1" t="s">
        <v>425</v>
      </c>
      <c r="E24" s="1">
        <v>1</v>
      </c>
      <c r="F24" s="8">
        <v>1</v>
      </c>
      <c r="G24" s="8">
        <f t="shared" si="2"/>
        <v>3</v>
      </c>
      <c r="H24" s="8" t="s">
        <v>407</v>
      </c>
      <c r="I24" s="8" t="e">
        <f ca="1">"["&amp;INT(getMinDes(B24))&amp;"-"&amp;INT(getMaxDes(B24))&amp;"]"&amp;getDesName(B24)&amp;" "&amp;getRandomNatureDes(K24)&amp;getSuitDes(B24)</f>
        <v>#VALUE!</v>
      </c>
      <c r="J24" s="1">
        <v>0</v>
      </c>
      <c r="K24" s="1">
        <v>1</v>
      </c>
      <c r="L24" s="1">
        <f t="shared" si="5"/>
        <v>4</v>
      </c>
      <c r="M24" s="1" t="str">
        <f ca="1">mVlookup(E24&amp;L24,装备名称!J$43:Z$74,H24,FALSE)</f>
        <v>IC1507</v>
      </c>
      <c r="N24" s="1" t="str">
        <f t="shared" si="3"/>
        <v>34</v>
      </c>
      <c r="O24" s="1">
        <f t="shared" si="4"/>
        <v>200022</v>
      </c>
      <c r="R24" s="2">
        <v>13</v>
      </c>
      <c r="S24" s="2" t="s">
        <v>66</v>
      </c>
      <c r="T24" s="1">
        <f t="shared" si="6"/>
        <v>13</v>
      </c>
    </row>
    <row r="25" spans="1:20" x14ac:dyDescent="0.15">
      <c r="A25" s="1">
        <v>23</v>
      </c>
      <c r="B25" s="1">
        <f t="shared" si="0"/>
        <v>101050300</v>
      </c>
      <c r="C25" s="1" t="str">
        <f t="shared" ca="1" si="1"/>
        <v>青铜拳套</v>
      </c>
      <c r="D25" s="1" t="s">
        <v>425</v>
      </c>
      <c r="E25" s="1">
        <v>1</v>
      </c>
      <c r="F25" s="8">
        <v>1</v>
      </c>
      <c r="G25" s="8">
        <f t="shared" si="2"/>
        <v>3</v>
      </c>
      <c r="H25" s="8" t="s">
        <v>407</v>
      </c>
      <c r="I25" s="8" t="e">
        <f ca="1">"["&amp;INT(getMinDes(B25))&amp;"-"&amp;INT(getMaxDes(B25))&amp;"]"&amp;getDesName(B25)&amp;" "&amp;getRandomNatureDes(K25)&amp;getSuitDes(B25)</f>
        <v>#VALUE!</v>
      </c>
      <c r="J25" s="1">
        <v>0</v>
      </c>
      <c r="K25" s="1">
        <v>1</v>
      </c>
      <c r="L25" s="1">
        <f t="shared" si="5"/>
        <v>5</v>
      </c>
      <c r="M25" s="1" t="str">
        <f ca="1">mVlookup(E25&amp;L25,装备名称!J$43:Z$74,H25,FALSE)</f>
        <v>IC1501</v>
      </c>
      <c r="N25" s="1" t="str">
        <f t="shared" si="3"/>
        <v>35</v>
      </c>
      <c r="O25" s="1">
        <f t="shared" si="4"/>
        <v>200023</v>
      </c>
      <c r="R25" s="1">
        <v>14</v>
      </c>
      <c r="S25" s="8" t="s">
        <v>509</v>
      </c>
      <c r="T25" s="1">
        <v>14</v>
      </c>
    </row>
    <row r="26" spans="1:20" x14ac:dyDescent="0.15">
      <c r="A26" s="1">
        <v>24</v>
      </c>
      <c r="B26" s="1">
        <f t="shared" si="0"/>
        <v>101060300</v>
      </c>
      <c r="C26" s="1" t="str">
        <f t="shared" ca="1" si="1"/>
        <v>玄铁拳套</v>
      </c>
      <c r="D26" s="1" t="s">
        <v>425</v>
      </c>
      <c r="E26" s="1">
        <v>1</v>
      </c>
      <c r="F26" s="8">
        <v>1</v>
      </c>
      <c r="G26" s="8">
        <f t="shared" si="2"/>
        <v>3</v>
      </c>
      <c r="H26" s="8" t="s">
        <v>407</v>
      </c>
      <c r="I26" s="8" t="e">
        <f ca="1">"["&amp;INT(getMinDes(B26))&amp;"-"&amp;INT(getMaxDes(B26))&amp;"]"&amp;getDesName(B26)&amp;" "&amp;getRandomNatureDes(K26)&amp;getSuitDes(B26)</f>
        <v>#VALUE!</v>
      </c>
      <c r="J26" s="1">
        <v>0</v>
      </c>
      <c r="K26" s="1">
        <v>1</v>
      </c>
      <c r="L26" s="1">
        <f t="shared" si="5"/>
        <v>6</v>
      </c>
      <c r="M26" s="1" t="str">
        <f ca="1">mVlookup(E26&amp;L26,装备名称!J$43:Z$74,H26,FALSE)</f>
        <v>IC1504</v>
      </c>
      <c r="N26" s="1" t="str">
        <f t="shared" si="3"/>
        <v>36</v>
      </c>
      <c r="O26" s="1">
        <f t="shared" si="4"/>
        <v>200024</v>
      </c>
      <c r="R26" s="1">
        <v>15</v>
      </c>
      <c r="S26" s="8" t="s">
        <v>510</v>
      </c>
      <c r="T26" s="1">
        <v>15</v>
      </c>
    </row>
    <row r="27" spans="1:20" x14ac:dyDescent="0.15">
      <c r="A27" s="1">
        <v>25</v>
      </c>
      <c r="B27" s="1">
        <f t="shared" si="0"/>
        <v>101070300</v>
      </c>
      <c r="C27" s="1" t="str">
        <f t="shared" ca="1" si="1"/>
        <v>白银拳套</v>
      </c>
      <c r="D27" s="1" t="s">
        <v>425</v>
      </c>
      <c r="E27" s="1">
        <v>1</v>
      </c>
      <c r="F27" s="8">
        <v>1</v>
      </c>
      <c r="G27" s="8">
        <f t="shared" si="2"/>
        <v>3</v>
      </c>
      <c r="H27" s="8" t="s">
        <v>407</v>
      </c>
      <c r="I27" s="8" t="e">
        <f ca="1">"["&amp;INT(getMinDes(B27))&amp;"-"&amp;INT(getMaxDes(B27))&amp;"]"&amp;getDesName(B27)&amp;" "&amp;getRandomNatureDes(K27)&amp;getSuitDes(B27)</f>
        <v>#VALUE!</v>
      </c>
      <c r="J27" s="1">
        <v>0</v>
      </c>
      <c r="K27" s="1">
        <v>1</v>
      </c>
      <c r="L27" s="1">
        <f t="shared" si="5"/>
        <v>7</v>
      </c>
      <c r="M27" s="1" t="str">
        <f ca="1">mVlookup(E27&amp;L27,装备名称!J$43:Z$74,H27,FALSE)</f>
        <v>IC1506</v>
      </c>
      <c r="N27" s="1" t="str">
        <f t="shared" si="3"/>
        <v>37</v>
      </c>
      <c r="O27" s="1">
        <f t="shared" si="4"/>
        <v>200025</v>
      </c>
    </row>
    <row r="28" spans="1:20" x14ac:dyDescent="0.15">
      <c r="A28" s="1">
        <v>26</v>
      </c>
      <c r="B28" s="1">
        <f t="shared" si="0"/>
        <v>101080300</v>
      </c>
      <c r="C28" s="1" t="str">
        <f t="shared" ca="1" si="1"/>
        <v>异灵拳套</v>
      </c>
      <c r="D28" s="1" t="s">
        <v>425</v>
      </c>
      <c r="E28" s="1">
        <v>1</v>
      </c>
      <c r="F28" s="8">
        <v>1</v>
      </c>
      <c r="G28" s="8">
        <f t="shared" si="2"/>
        <v>3</v>
      </c>
      <c r="H28" s="8" t="s">
        <v>407</v>
      </c>
      <c r="I28" s="8" t="e">
        <f ca="1">"["&amp;INT(getMinDes(B28))&amp;"-"&amp;INT(getMaxDes(B28))&amp;"]"&amp;getDesName(B28)&amp;" "&amp;getRandomNatureDes(K28)&amp;getSuitDes(B28)</f>
        <v>#VALUE!</v>
      </c>
      <c r="J28" s="1">
        <v>0</v>
      </c>
      <c r="K28" s="1">
        <v>1</v>
      </c>
      <c r="L28" s="1">
        <f t="shared" si="5"/>
        <v>8</v>
      </c>
      <c r="M28" s="1" t="str">
        <f ca="1">mVlookup(E28&amp;L28,装备名称!J$43:Z$74,H28,FALSE)</f>
        <v>IC1507</v>
      </c>
      <c r="N28" s="1" t="str">
        <f t="shared" si="3"/>
        <v>38</v>
      </c>
      <c r="O28" s="1">
        <f t="shared" si="4"/>
        <v>200026</v>
      </c>
    </row>
    <row r="29" spans="1:20" x14ac:dyDescent="0.15">
      <c r="A29" s="1">
        <v>27</v>
      </c>
      <c r="B29" s="1">
        <f t="shared" si="0"/>
        <v>101090300</v>
      </c>
      <c r="C29" s="1" t="str">
        <f t="shared" ca="1" si="1"/>
        <v>流星拳套</v>
      </c>
      <c r="D29" s="1" t="s">
        <v>425</v>
      </c>
      <c r="E29" s="1">
        <v>1</v>
      </c>
      <c r="F29" s="8">
        <v>1</v>
      </c>
      <c r="G29" s="8">
        <f t="shared" si="2"/>
        <v>3</v>
      </c>
      <c r="H29" s="8" t="s">
        <v>407</v>
      </c>
      <c r="I29" s="8" t="e">
        <f ca="1">"["&amp;INT(getMinDes(B29))&amp;"-"&amp;INT(getMaxDes(B29))&amp;"]"&amp;getDesName(B29)&amp;" "&amp;getRandomNatureDes(K29)&amp;getSuitDes(B29)</f>
        <v>#VALUE!</v>
      </c>
      <c r="J29" s="1">
        <v>0</v>
      </c>
      <c r="K29" s="1">
        <v>1</v>
      </c>
      <c r="L29" s="1">
        <f t="shared" si="5"/>
        <v>9</v>
      </c>
      <c r="M29" s="1" t="str">
        <f ca="1">mVlookup(E29&amp;L29,装备名称!J$43:Z$74,H29,FALSE)</f>
        <v>IC1501</v>
      </c>
      <c r="N29" s="1" t="str">
        <f t="shared" si="3"/>
        <v>39</v>
      </c>
      <c r="O29" s="1">
        <f t="shared" si="4"/>
        <v>200027</v>
      </c>
    </row>
    <row r="30" spans="1:20" x14ac:dyDescent="0.15">
      <c r="A30" s="1">
        <v>28</v>
      </c>
      <c r="B30" s="1">
        <f t="shared" si="0"/>
        <v>101010400</v>
      </c>
      <c r="C30" s="1" t="str">
        <f t="shared" ca="1" si="1"/>
        <v>破旧的枪</v>
      </c>
      <c r="D30" s="1" t="s">
        <v>425</v>
      </c>
      <c r="E30" s="1">
        <v>1</v>
      </c>
      <c r="F30" s="8">
        <v>1</v>
      </c>
      <c r="G30" s="8">
        <f t="shared" si="2"/>
        <v>4</v>
      </c>
      <c r="H30" s="8" t="s">
        <v>65</v>
      </c>
      <c r="I30" s="8" t="e">
        <f ca="1">"["&amp;INT(getMinDes(B30))&amp;"-"&amp;INT(getMaxDes(B30))&amp;"]"&amp;getDesName(B30)&amp;" "&amp;getRandomNatureDes(K30)&amp;getSuitDes(B30)</f>
        <v>#VALUE!</v>
      </c>
      <c r="J30" s="1">
        <v>0</v>
      </c>
      <c r="K30" s="1">
        <v>1</v>
      </c>
      <c r="L30" s="1">
        <f t="shared" si="5"/>
        <v>1</v>
      </c>
      <c r="M30" s="1" t="str">
        <f ca="1">mVlookup(E30&amp;L30,装备名称!J$43:Z$74,H30,FALSE)</f>
        <v>IC1650</v>
      </c>
      <c r="N30" s="1" t="str">
        <f t="shared" si="3"/>
        <v>41</v>
      </c>
      <c r="O30" s="1">
        <f t="shared" si="4"/>
        <v>200028</v>
      </c>
    </row>
    <row r="31" spans="1:20" x14ac:dyDescent="0.15">
      <c r="A31" s="1">
        <v>29</v>
      </c>
      <c r="B31" s="1">
        <f t="shared" si="0"/>
        <v>101020400</v>
      </c>
      <c r="C31" s="1" t="str">
        <f t="shared" ca="1" si="1"/>
        <v>普通的枪</v>
      </c>
      <c r="D31" s="1" t="s">
        <v>425</v>
      </c>
      <c r="E31" s="1">
        <v>1</v>
      </c>
      <c r="F31" s="8">
        <v>1</v>
      </c>
      <c r="G31" s="8">
        <f t="shared" si="2"/>
        <v>4</v>
      </c>
      <c r="H31" s="8" t="s">
        <v>65</v>
      </c>
      <c r="I31" s="8" t="e">
        <f ca="1">"["&amp;INT(getMinDes(B31))&amp;"-"&amp;INT(getMaxDes(B31))&amp;"]"&amp;getDesName(B31)&amp;" "&amp;getRandomNatureDes(K31)&amp;getSuitDes(B31)</f>
        <v>#VALUE!</v>
      </c>
      <c r="J31" s="1">
        <v>0</v>
      </c>
      <c r="K31" s="1">
        <v>1</v>
      </c>
      <c r="L31" s="1">
        <f t="shared" si="5"/>
        <v>2</v>
      </c>
      <c r="M31" s="1" t="str">
        <f ca="1">mVlookup(E31&amp;L31,装备名称!J$43:Z$74,H31,FALSE)</f>
        <v>IC1651</v>
      </c>
      <c r="N31" s="1" t="str">
        <f t="shared" si="3"/>
        <v>42</v>
      </c>
      <c r="O31" s="1">
        <f t="shared" si="4"/>
        <v>200029</v>
      </c>
    </row>
    <row r="32" spans="1:20" x14ac:dyDescent="0.15">
      <c r="A32" s="1">
        <v>30</v>
      </c>
      <c r="B32" s="1">
        <f t="shared" si="0"/>
        <v>101030400</v>
      </c>
      <c r="C32" s="1" t="str">
        <f t="shared" ca="1" si="1"/>
        <v>初级的枪</v>
      </c>
      <c r="D32" s="1" t="s">
        <v>425</v>
      </c>
      <c r="E32" s="1">
        <v>1</v>
      </c>
      <c r="F32" s="8">
        <v>1</v>
      </c>
      <c r="G32" s="8">
        <f t="shared" si="2"/>
        <v>4</v>
      </c>
      <c r="H32" s="8" t="s">
        <v>65</v>
      </c>
      <c r="I32" s="8" t="e">
        <f ca="1">"["&amp;INT(getMinDes(B32))&amp;"-"&amp;INT(getMaxDes(B32))&amp;"]"&amp;getDesName(B32)&amp;" "&amp;getRandomNatureDes(K32)&amp;getSuitDes(B32)</f>
        <v>#VALUE!</v>
      </c>
      <c r="J32" s="1">
        <v>0</v>
      </c>
      <c r="K32" s="1">
        <v>1</v>
      </c>
      <c r="L32" s="1">
        <f t="shared" si="5"/>
        <v>3</v>
      </c>
      <c r="M32" s="1" t="str">
        <f ca="1">mVlookup(E32&amp;L32,装备名称!J$43:Z$74,H32,FALSE)</f>
        <v>IC1655</v>
      </c>
      <c r="N32" s="1" t="str">
        <f t="shared" si="3"/>
        <v>43</v>
      </c>
      <c r="O32" s="1">
        <f t="shared" si="4"/>
        <v>200030</v>
      </c>
    </row>
    <row r="33" spans="1:15" x14ac:dyDescent="0.15">
      <c r="A33" s="1">
        <v>31</v>
      </c>
      <c r="B33" s="1">
        <f t="shared" si="0"/>
        <v>101040400</v>
      </c>
      <c r="C33" s="1" t="str">
        <f t="shared" ca="1" si="1"/>
        <v>水晶枪</v>
      </c>
      <c r="D33" s="1" t="s">
        <v>425</v>
      </c>
      <c r="E33" s="1">
        <v>1</v>
      </c>
      <c r="F33" s="8">
        <v>1</v>
      </c>
      <c r="G33" s="8">
        <f t="shared" si="2"/>
        <v>4</v>
      </c>
      <c r="H33" s="8" t="s">
        <v>65</v>
      </c>
      <c r="I33" s="8" t="e">
        <f ca="1">"["&amp;INT(getMinDes(B33))&amp;"-"&amp;INT(getMaxDes(B33))&amp;"]"&amp;getDesName(B33)&amp;" "&amp;getRandomNatureDes(K33)&amp;getSuitDes(B33)</f>
        <v>#VALUE!</v>
      </c>
      <c r="J33" s="1">
        <v>0</v>
      </c>
      <c r="K33" s="1">
        <v>1</v>
      </c>
      <c r="L33" s="1">
        <f t="shared" si="5"/>
        <v>4</v>
      </c>
      <c r="M33" s="1" t="str">
        <f ca="1">mVlookup(E33&amp;L33,装备名称!J$43:Z$74,H33,FALSE)</f>
        <v>IC1665</v>
      </c>
      <c r="N33" s="1" t="str">
        <f t="shared" si="3"/>
        <v>44</v>
      </c>
      <c r="O33" s="1">
        <f t="shared" si="4"/>
        <v>200031</v>
      </c>
    </row>
    <row r="34" spans="1:15" x14ac:dyDescent="0.15">
      <c r="A34" s="1">
        <v>32</v>
      </c>
      <c r="B34" s="1">
        <f t="shared" si="0"/>
        <v>101050400</v>
      </c>
      <c r="C34" s="1" t="str">
        <f t="shared" ca="1" si="1"/>
        <v>青铜枪</v>
      </c>
      <c r="D34" s="1" t="s">
        <v>425</v>
      </c>
      <c r="E34" s="1">
        <v>1</v>
      </c>
      <c r="F34" s="8">
        <v>1</v>
      </c>
      <c r="G34" s="8">
        <f t="shared" si="2"/>
        <v>4</v>
      </c>
      <c r="H34" s="8" t="s">
        <v>65</v>
      </c>
      <c r="I34" s="8" t="e">
        <f ca="1">"["&amp;INT(getMinDes(B34))&amp;"-"&amp;INT(getMaxDes(B34))&amp;"]"&amp;getDesName(B34)&amp;" "&amp;getRandomNatureDes(K34)&amp;getSuitDes(B34)</f>
        <v>#VALUE!</v>
      </c>
      <c r="J34" s="1">
        <v>0</v>
      </c>
      <c r="K34" s="1">
        <v>1</v>
      </c>
      <c r="L34" s="1">
        <f t="shared" si="5"/>
        <v>5</v>
      </c>
      <c r="M34" s="1" t="str">
        <f ca="1">mVlookup(E34&amp;L34,装备名称!J$43:Z$74,H34,FALSE)</f>
        <v>IC1670</v>
      </c>
      <c r="N34" s="1" t="str">
        <f t="shared" si="3"/>
        <v>45</v>
      </c>
      <c r="O34" s="1">
        <f t="shared" si="4"/>
        <v>200032</v>
      </c>
    </row>
    <row r="35" spans="1:15" x14ac:dyDescent="0.15">
      <c r="A35" s="1">
        <v>33</v>
      </c>
      <c r="B35" s="1">
        <f t="shared" si="0"/>
        <v>101060400</v>
      </c>
      <c r="C35" s="1" t="str">
        <f t="shared" ca="1" si="1"/>
        <v>玄铁枪</v>
      </c>
      <c r="D35" s="1" t="s">
        <v>425</v>
      </c>
      <c r="E35" s="1">
        <v>1</v>
      </c>
      <c r="F35" s="8">
        <v>1</v>
      </c>
      <c r="G35" s="8">
        <f t="shared" si="2"/>
        <v>4</v>
      </c>
      <c r="H35" s="8" t="s">
        <v>65</v>
      </c>
      <c r="I35" s="8" t="e">
        <f ca="1">"["&amp;INT(getMinDes(B35))&amp;"-"&amp;INT(getMaxDes(B35))&amp;"]"&amp;getDesName(B35)&amp;" "&amp;getRandomNatureDes(K35)&amp;getSuitDes(B35)</f>
        <v>#VALUE!</v>
      </c>
      <c r="J35" s="1">
        <v>0</v>
      </c>
      <c r="K35" s="1">
        <v>1</v>
      </c>
      <c r="L35" s="1">
        <f t="shared" si="5"/>
        <v>6</v>
      </c>
      <c r="M35" s="1" t="str">
        <f ca="1">mVlookup(E35&amp;L35,装备名称!J$43:Z$74,H35,FALSE)</f>
        <v>IC1650</v>
      </c>
      <c r="N35" s="1" t="str">
        <f t="shared" si="3"/>
        <v>46</v>
      </c>
      <c r="O35" s="1">
        <f t="shared" si="4"/>
        <v>200033</v>
      </c>
    </row>
    <row r="36" spans="1:15" x14ac:dyDescent="0.15">
      <c r="A36" s="1">
        <v>34</v>
      </c>
      <c r="B36" s="1">
        <f t="shared" si="0"/>
        <v>101070400</v>
      </c>
      <c r="C36" s="1" t="str">
        <f t="shared" ca="1" si="1"/>
        <v>白银枪</v>
      </c>
      <c r="D36" s="1" t="s">
        <v>425</v>
      </c>
      <c r="E36" s="1">
        <v>1</v>
      </c>
      <c r="F36" s="8">
        <v>1</v>
      </c>
      <c r="G36" s="8">
        <f t="shared" si="2"/>
        <v>4</v>
      </c>
      <c r="H36" s="8" t="s">
        <v>65</v>
      </c>
      <c r="I36" s="8" t="e">
        <f ca="1">"["&amp;INT(getMinDes(B36))&amp;"-"&amp;INT(getMaxDes(B36))&amp;"]"&amp;getDesName(B36)&amp;" "&amp;getRandomNatureDes(K36)&amp;getSuitDes(B36)</f>
        <v>#VALUE!</v>
      </c>
      <c r="J36" s="1">
        <v>0</v>
      </c>
      <c r="K36" s="1">
        <v>1</v>
      </c>
      <c r="L36" s="1">
        <f t="shared" si="5"/>
        <v>7</v>
      </c>
      <c r="M36" s="1" t="str">
        <f ca="1">mVlookup(E36&amp;L36,装备名称!J$43:Z$74,H36,FALSE)</f>
        <v>IC1651</v>
      </c>
      <c r="N36" s="1" t="str">
        <f t="shared" si="3"/>
        <v>47</v>
      </c>
      <c r="O36" s="1">
        <f t="shared" si="4"/>
        <v>200034</v>
      </c>
    </row>
    <row r="37" spans="1:15" x14ac:dyDescent="0.15">
      <c r="A37" s="1">
        <v>35</v>
      </c>
      <c r="B37" s="1">
        <f t="shared" si="0"/>
        <v>101080400</v>
      </c>
      <c r="C37" s="1" t="str">
        <f t="shared" ca="1" si="1"/>
        <v>异灵枪</v>
      </c>
      <c r="D37" s="1" t="s">
        <v>425</v>
      </c>
      <c r="E37" s="1">
        <v>1</v>
      </c>
      <c r="F37" s="8">
        <v>1</v>
      </c>
      <c r="G37" s="8">
        <f t="shared" si="2"/>
        <v>4</v>
      </c>
      <c r="H37" s="8" t="s">
        <v>65</v>
      </c>
      <c r="I37" s="8" t="e">
        <f ca="1">"["&amp;INT(getMinDes(B37))&amp;"-"&amp;INT(getMaxDes(B37))&amp;"]"&amp;getDesName(B37)&amp;" "&amp;getRandomNatureDes(K37)&amp;getSuitDes(B37)</f>
        <v>#VALUE!</v>
      </c>
      <c r="J37" s="1">
        <v>0</v>
      </c>
      <c r="K37" s="1">
        <v>1</v>
      </c>
      <c r="L37" s="1">
        <f t="shared" si="5"/>
        <v>8</v>
      </c>
      <c r="M37" s="1" t="str">
        <f ca="1">mVlookup(E37&amp;L37,装备名称!J$43:Z$74,H37,FALSE)</f>
        <v>IC1655</v>
      </c>
      <c r="N37" s="1" t="str">
        <f t="shared" si="3"/>
        <v>48</v>
      </c>
      <c r="O37" s="1">
        <f t="shared" si="4"/>
        <v>200035</v>
      </c>
    </row>
    <row r="38" spans="1:15" x14ac:dyDescent="0.15">
      <c r="A38" s="1">
        <v>36</v>
      </c>
      <c r="B38" s="1">
        <f t="shared" si="0"/>
        <v>101090400</v>
      </c>
      <c r="C38" s="1" t="str">
        <f t="shared" ca="1" si="1"/>
        <v>流星枪</v>
      </c>
      <c r="D38" s="1" t="s">
        <v>425</v>
      </c>
      <c r="E38" s="1">
        <v>1</v>
      </c>
      <c r="F38" s="8">
        <v>1</v>
      </c>
      <c r="G38" s="8">
        <f t="shared" si="2"/>
        <v>4</v>
      </c>
      <c r="H38" s="8" t="s">
        <v>65</v>
      </c>
      <c r="I38" s="8" t="e">
        <f ca="1">"["&amp;INT(getMinDes(B38))&amp;"-"&amp;INT(getMaxDes(B38))&amp;"]"&amp;getDesName(B38)&amp;" "&amp;getRandomNatureDes(K38)&amp;getSuitDes(B38)</f>
        <v>#VALUE!</v>
      </c>
      <c r="J38" s="1">
        <v>0</v>
      </c>
      <c r="K38" s="1">
        <v>1</v>
      </c>
      <c r="L38" s="1">
        <f t="shared" si="5"/>
        <v>9</v>
      </c>
      <c r="M38" s="1" t="str">
        <f ca="1">mVlookup(E38&amp;L38,装备名称!J$43:Z$74,H38,FALSE)</f>
        <v>IC1665</v>
      </c>
      <c r="N38" s="1" t="str">
        <f t="shared" si="3"/>
        <v>49</v>
      </c>
      <c r="O38" s="1">
        <f t="shared" si="4"/>
        <v>200036</v>
      </c>
    </row>
    <row r="39" spans="1:15" x14ac:dyDescent="0.15">
      <c r="A39" s="1">
        <v>37</v>
      </c>
      <c r="B39" s="1">
        <f t="shared" si="0"/>
        <v>101010500</v>
      </c>
      <c r="C39" s="1" t="str">
        <f t="shared" ca="1" si="1"/>
        <v>破旧的镰刀</v>
      </c>
      <c r="D39" s="1" t="s">
        <v>425</v>
      </c>
      <c r="E39" s="1">
        <v>1</v>
      </c>
      <c r="F39" s="8">
        <v>1</v>
      </c>
      <c r="G39" s="8">
        <f t="shared" si="2"/>
        <v>5</v>
      </c>
      <c r="H39" s="8" t="s">
        <v>70</v>
      </c>
      <c r="I39" s="8" t="e">
        <f ca="1">"["&amp;INT(getMinDes(B39))&amp;"-"&amp;INT(getMaxDes(B39))&amp;"]"&amp;getDesName(B39)&amp;" "&amp;getRandomNatureDes(K39)&amp;getSuitDes(B39)</f>
        <v>#VALUE!</v>
      </c>
      <c r="J39" s="1">
        <v>0</v>
      </c>
      <c r="K39" s="1">
        <v>1</v>
      </c>
      <c r="L39" s="1">
        <f t="shared" si="5"/>
        <v>1</v>
      </c>
      <c r="M39" s="1" t="str">
        <f ca="1">mVlookup(E39&amp;L39,装备名称!J$43:Z$74,H39,FALSE)</f>
        <v>IC1710</v>
      </c>
      <c r="N39" s="1" t="str">
        <f t="shared" si="3"/>
        <v>51</v>
      </c>
      <c r="O39" s="1">
        <f t="shared" si="4"/>
        <v>200037</v>
      </c>
    </row>
    <row r="40" spans="1:15" x14ac:dyDescent="0.15">
      <c r="A40" s="1">
        <v>38</v>
      </c>
      <c r="B40" s="1">
        <f t="shared" si="0"/>
        <v>101020500</v>
      </c>
      <c r="C40" s="1" t="str">
        <f t="shared" ca="1" si="1"/>
        <v>普通的镰刀</v>
      </c>
      <c r="D40" s="1" t="s">
        <v>425</v>
      </c>
      <c r="E40" s="1">
        <v>1</v>
      </c>
      <c r="F40" s="8">
        <v>1</v>
      </c>
      <c r="G40" s="8">
        <f t="shared" si="2"/>
        <v>5</v>
      </c>
      <c r="H40" s="8" t="s">
        <v>70</v>
      </c>
      <c r="I40" s="8" t="e">
        <f ca="1">"["&amp;INT(getMinDes(B40))&amp;"-"&amp;INT(getMaxDes(B40))&amp;"]"&amp;getDesName(B40)&amp;" "&amp;getRandomNatureDes(K40)&amp;getSuitDes(B40)</f>
        <v>#VALUE!</v>
      </c>
      <c r="J40" s="1">
        <v>0</v>
      </c>
      <c r="K40" s="1">
        <v>1</v>
      </c>
      <c r="L40" s="1">
        <f t="shared" si="5"/>
        <v>2</v>
      </c>
      <c r="M40" s="1" t="str">
        <f ca="1">mVlookup(E40&amp;L40,装备名称!J$43:Z$74,H40,FALSE)</f>
        <v>IC1702</v>
      </c>
      <c r="N40" s="1" t="str">
        <f t="shared" si="3"/>
        <v>52</v>
      </c>
      <c r="O40" s="1">
        <f t="shared" si="4"/>
        <v>200038</v>
      </c>
    </row>
    <row r="41" spans="1:15" x14ac:dyDescent="0.15">
      <c r="A41" s="1">
        <v>39</v>
      </c>
      <c r="B41" s="1">
        <f t="shared" si="0"/>
        <v>101030500</v>
      </c>
      <c r="C41" s="1" t="str">
        <f t="shared" ca="1" si="1"/>
        <v>初级的镰刀</v>
      </c>
      <c r="D41" s="1" t="s">
        <v>425</v>
      </c>
      <c r="E41" s="1">
        <v>1</v>
      </c>
      <c r="F41" s="8">
        <v>1</v>
      </c>
      <c r="G41" s="8">
        <f t="shared" si="2"/>
        <v>5</v>
      </c>
      <c r="H41" s="8" t="s">
        <v>70</v>
      </c>
      <c r="I41" s="8" t="e">
        <f ca="1">"["&amp;INT(getMinDes(B41))&amp;"-"&amp;INT(getMaxDes(B41))&amp;"]"&amp;getDesName(B41)&amp;" "&amp;getRandomNatureDes(K41)&amp;getSuitDes(B41)</f>
        <v>#VALUE!</v>
      </c>
      <c r="J41" s="1">
        <v>0</v>
      </c>
      <c r="K41" s="1">
        <v>1</v>
      </c>
      <c r="L41" s="1">
        <f t="shared" si="5"/>
        <v>3</v>
      </c>
      <c r="M41" s="1" t="str">
        <f ca="1">mVlookup(E41&amp;L41,装备名称!J$43:Z$74,H41,FALSE)</f>
        <v>IC1708</v>
      </c>
      <c r="N41" s="1" t="str">
        <f t="shared" si="3"/>
        <v>53</v>
      </c>
      <c r="O41" s="1">
        <f t="shared" si="4"/>
        <v>200039</v>
      </c>
    </row>
    <row r="42" spans="1:15" x14ac:dyDescent="0.15">
      <c r="A42" s="1">
        <v>40</v>
      </c>
      <c r="B42" s="1">
        <f t="shared" si="0"/>
        <v>101040500</v>
      </c>
      <c r="C42" s="1" t="str">
        <f t="shared" ca="1" si="1"/>
        <v>水晶镰刀</v>
      </c>
      <c r="D42" s="1" t="s">
        <v>425</v>
      </c>
      <c r="E42" s="1">
        <v>1</v>
      </c>
      <c r="F42" s="8">
        <v>1</v>
      </c>
      <c r="G42" s="8">
        <f t="shared" si="2"/>
        <v>5</v>
      </c>
      <c r="H42" s="8" t="s">
        <v>70</v>
      </c>
      <c r="I42" s="8" t="e">
        <f ca="1">"["&amp;INT(getMinDes(B42))&amp;"-"&amp;INT(getMaxDes(B42))&amp;"]"&amp;getDesName(B42)&amp;" "&amp;getRandomNatureDes(K42)&amp;getSuitDes(B42)</f>
        <v>#VALUE!</v>
      </c>
      <c r="J42" s="1">
        <v>0</v>
      </c>
      <c r="K42" s="1">
        <v>1</v>
      </c>
      <c r="L42" s="1">
        <f t="shared" si="5"/>
        <v>4</v>
      </c>
      <c r="M42" s="1" t="str">
        <f ca="1">mVlookup(E42&amp;L42,装备名称!J$43:Z$74,H42,FALSE)</f>
        <v>IC1703</v>
      </c>
      <c r="N42" s="1" t="str">
        <f t="shared" si="3"/>
        <v>54</v>
      </c>
      <c r="O42" s="1">
        <f t="shared" si="4"/>
        <v>200040</v>
      </c>
    </row>
    <row r="43" spans="1:15" x14ac:dyDescent="0.15">
      <c r="A43" s="1">
        <v>41</v>
      </c>
      <c r="B43" s="1">
        <f t="shared" si="0"/>
        <v>101050500</v>
      </c>
      <c r="C43" s="1" t="str">
        <f t="shared" ca="1" si="1"/>
        <v>青铜镰刀</v>
      </c>
      <c r="D43" s="1" t="s">
        <v>425</v>
      </c>
      <c r="E43" s="1">
        <v>1</v>
      </c>
      <c r="F43" s="8">
        <v>1</v>
      </c>
      <c r="G43" s="8">
        <f t="shared" si="2"/>
        <v>5</v>
      </c>
      <c r="H43" s="8" t="s">
        <v>70</v>
      </c>
      <c r="I43" s="8" t="e">
        <f ca="1">"["&amp;INT(getMinDes(B43))&amp;"-"&amp;INT(getMaxDes(B43))&amp;"]"&amp;getDesName(B43)&amp;" "&amp;getRandomNatureDes(K43)&amp;getSuitDes(B43)</f>
        <v>#VALUE!</v>
      </c>
      <c r="J43" s="1">
        <v>0</v>
      </c>
      <c r="K43" s="1">
        <v>1</v>
      </c>
      <c r="L43" s="1">
        <f t="shared" si="5"/>
        <v>5</v>
      </c>
      <c r="M43" s="1" t="str">
        <f ca="1">mVlookup(E43&amp;L43,装备名称!J$43:Z$74,H43,FALSE)</f>
        <v>IC1714</v>
      </c>
      <c r="N43" s="1" t="str">
        <f t="shared" si="3"/>
        <v>55</v>
      </c>
      <c r="O43" s="1">
        <f t="shared" si="4"/>
        <v>200041</v>
      </c>
    </row>
    <row r="44" spans="1:15" x14ac:dyDescent="0.15">
      <c r="A44" s="1">
        <v>42</v>
      </c>
      <c r="B44" s="1">
        <f t="shared" si="0"/>
        <v>101060500</v>
      </c>
      <c r="C44" s="1" t="str">
        <f t="shared" ca="1" si="1"/>
        <v>玄铁镰刀</v>
      </c>
      <c r="D44" s="1" t="s">
        <v>425</v>
      </c>
      <c r="E44" s="1">
        <v>1</v>
      </c>
      <c r="F44" s="8">
        <v>1</v>
      </c>
      <c r="G44" s="8">
        <f t="shared" si="2"/>
        <v>5</v>
      </c>
      <c r="H44" s="8" t="s">
        <v>70</v>
      </c>
      <c r="I44" s="8" t="e">
        <f ca="1">"["&amp;INT(getMinDes(B44))&amp;"-"&amp;INT(getMaxDes(B44))&amp;"]"&amp;getDesName(B44)&amp;" "&amp;getRandomNatureDes(K44)&amp;getSuitDes(B44)</f>
        <v>#VALUE!</v>
      </c>
      <c r="J44" s="1">
        <v>0</v>
      </c>
      <c r="K44" s="1">
        <v>1</v>
      </c>
      <c r="L44" s="1">
        <f t="shared" si="5"/>
        <v>6</v>
      </c>
      <c r="M44" s="1" t="str">
        <f ca="1">mVlookup(E44&amp;L44,装备名称!J$43:Z$74,H44,FALSE)</f>
        <v>IC1710</v>
      </c>
      <c r="N44" s="1" t="str">
        <f t="shared" si="3"/>
        <v>56</v>
      </c>
      <c r="O44" s="1">
        <f t="shared" si="4"/>
        <v>200042</v>
      </c>
    </row>
    <row r="45" spans="1:15" x14ac:dyDescent="0.15">
      <c r="A45" s="1">
        <v>43</v>
      </c>
      <c r="B45" s="1">
        <f t="shared" si="0"/>
        <v>101070500</v>
      </c>
      <c r="C45" s="1" t="str">
        <f t="shared" ca="1" si="1"/>
        <v>白银镰刀</v>
      </c>
      <c r="D45" s="1" t="s">
        <v>425</v>
      </c>
      <c r="E45" s="1">
        <v>1</v>
      </c>
      <c r="F45" s="8">
        <v>1</v>
      </c>
      <c r="G45" s="8">
        <f t="shared" si="2"/>
        <v>5</v>
      </c>
      <c r="H45" s="8" t="s">
        <v>70</v>
      </c>
      <c r="I45" s="8" t="e">
        <f ca="1">"["&amp;INT(getMinDes(B45))&amp;"-"&amp;INT(getMaxDes(B45))&amp;"]"&amp;getDesName(B45)&amp;" "&amp;getRandomNatureDes(K45)&amp;getSuitDes(B45)</f>
        <v>#VALUE!</v>
      </c>
      <c r="J45" s="1">
        <v>0</v>
      </c>
      <c r="K45" s="1">
        <v>1</v>
      </c>
      <c r="L45" s="1">
        <f t="shared" si="5"/>
        <v>7</v>
      </c>
      <c r="M45" s="1" t="str">
        <f ca="1">mVlookup(E45&amp;L45,装备名称!J$43:Z$74,H45,FALSE)</f>
        <v>IC1702</v>
      </c>
      <c r="N45" s="1" t="str">
        <f t="shared" si="3"/>
        <v>57</v>
      </c>
      <c r="O45" s="1">
        <f t="shared" si="4"/>
        <v>200043</v>
      </c>
    </row>
    <row r="46" spans="1:15" x14ac:dyDescent="0.15">
      <c r="A46" s="1">
        <v>44</v>
      </c>
      <c r="B46" s="1">
        <f t="shared" si="0"/>
        <v>101080500</v>
      </c>
      <c r="C46" s="1" t="str">
        <f t="shared" ca="1" si="1"/>
        <v>异灵镰刀</v>
      </c>
      <c r="D46" s="1" t="s">
        <v>425</v>
      </c>
      <c r="E46" s="1">
        <v>1</v>
      </c>
      <c r="F46" s="8">
        <v>1</v>
      </c>
      <c r="G46" s="8">
        <f t="shared" si="2"/>
        <v>5</v>
      </c>
      <c r="H46" s="8" t="s">
        <v>70</v>
      </c>
      <c r="I46" s="8" t="e">
        <f ca="1">"["&amp;INT(getMinDes(B46))&amp;"-"&amp;INT(getMaxDes(B46))&amp;"]"&amp;getDesName(B46)&amp;" "&amp;getRandomNatureDes(K46)&amp;getSuitDes(B46)</f>
        <v>#VALUE!</v>
      </c>
      <c r="J46" s="1">
        <v>0</v>
      </c>
      <c r="K46" s="1">
        <v>1</v>
      </c>
      <c r="L46" s="1">
        <f t="shared" si="5"/>
        <v>8</v>
      </c>
      <c r="M46" s="1" t="str">
        <f ca="1">mVlookup(E46&amp;L46,装备名称!J$43:Z$74,H46,FALSE)</f>
        <v>IC1708</v>
      </c>
      <c r="N46" s="1" t="str">
        <f t="shared" si="3"/>
        <v>58</v>
      </c>
      <c r="O46" s="1">
        <f t="shared" si="4"/>
        <v>200044</v>
      </c>
    </row>
    <row r="47" spans="1:15" x14ac:dyDescent="0.15">
      <c r="A47" s="1">
        <v>45</v>
      </c>
      <c r="B47" s="1">
        <f t="shared" si="0"/>
        <v>101090500</v>
      </c>
      <c r="C47" s="1" t="str">
        <f t="shared" ca="1" si="1"/>
        <v>流星镰刀</v>
      </c>
      <c r="D47" s="1" t="s">
        <v>425</v>
      </c>
      <c r="E47" s="1">
        <v>1</v>
      </c>
      <c r="F47" s="8">
        <v>1</v>
      </c>
      <c r="G47" s="8">
        <f t="shared" si="2"/>
        <v>5</v>
      </c>
      <c r="H47" s="8" t="s">
        <v>70</v>
      </c>
      <c r="I47" s="8" t="e">
        <f ca="1">"["&amp;INT(getMinDes(B47))&amp;"-"&amp;INT(getMaxDes(B47))&amp;"]"&amp;getDesName(B47)&amp;" "&amp;getRandomNatureDes(K47)&amp;getSuitDes(B47)</f>
        <v>#VALUE!</v>
      </c>
      <c r="J47" s="1">
        <v>0</v>
      </c>
      <c r="K47" s="1">
        <v>1</v>
      </c>
      <c r="L47" s="1">
        <f t="shared" si="5"/>
        <v>9</v>
      </c>
      <c r="M47" s="1" t="str">
        <f ca="1">mVlookup(E47&amp;L47,装备名称!J$43:Z$74,H47,FALSE)</f>
        <v>IC1703</v>
      </c>
      <c r="N47" s="1" t="str">
        <f t="shared" si="3"/>
        <v>59</v>
      </c>
      <c r="O47" s="1">
        <f t="shared" si="4"/>
        <v>200045</v>
      </c>
    </row>
    <row r="48" spans="1:15" x14ac:dyDescent="0.15">
      <c r="A48" s="1">
        <v>46</v>
      </c>
      <c r="B48" s="1">
        <f t="shared" si="0"/>
        <v>101010600</v>
      </c>
      <c r="C48" s="1" t="str">
        <f t="shared" ca="1" si="1"/>
        <v>破旧的法杖</v>
      </c>
      <c r="D48" s="1" t="s">
        <v>425</v>
      </c>
      <c r="E48" s="1">
        <v>1</v>
      </c>
      <c r="F48" s="8">
        <v>1</v>
      </c>
      <c r="G48" s="8">
        <f t="shared" si="2"/>
        <v>6</v>
      </c>
      <c r="H48" s="8" t="s">
        <v>67</v>
      </c>
      <c r="I48" s="8" t="e">
        <f ca="1">"["&amp;INT(getMinDes(B48))&amp;"-"&amp;INT(getMaxDes(B48))&amp;"]"&amp;getDesName(B48)&amp;" "&amp;getRandomNatureDes(K48)&amp;getSuitDes(B48)</f>
        <v>#VALUE!</v>
      </c>
      <c r="J48" s="1">
        <v>0</v>
      </c>
      <c r="K48" s="1">
        <v>1</v>
      </c>
      <c r="L48" s="1">
        <f t="shared" si="5"/>
        <v>1</v>
      </c>
      <c r="M48" s="1" t="str">
        <f ca="1">mVlookup(E48&amp;L48,装备名称!J$43:Z$74,H48,FALSE)</f>
        <v>IC1156</v>
      </c>
      <c r="N48" s="1" t="str">
        <f t="shared" si="3"/>
        <v>61</v>
      </c>
      <c r="O48" s="1">
        <f t="shared" si="4"/>
        <v>200046</v>
      </c>
    </row>
    <row r="49" spans="1:15" x14ac:dyDescent="0.15">
      <c r="A49" s="1">
        <v>47</v>
      </c>
      <c r="B49" s="1">
        <f t="shared" si="0"/>
        <v>101020600</v>
      </c>
      <c r="C49" s="1" t="str">
        <f t="shared" ca="1" si="1"/>
        <v>普通的法杖</v>
      </c>
      <c r="D49" s="1" t="s">
        <v>425</v>
      </c>
      <c r="E49" s="1">
        <v>1</v>
      </c>
      <c r="F49" s="8">
        <v>1</v>
      </c>
      <c r="G49" s="8">
        <f t="shared" si="2"/>
        <v>6</v>
      </c>
      <c r="H49" s="8" t="s">
        <v>67</v>
      </c>
      <c r="I49" s="8" t="e">
        <f ca="1">"["&amp;INT(getMinDes(B49))&amp;"-"&amp;INT(getMaxDes(B49))&amp;"]"&amp;getDesName(B49)&amp;" "&amp;getRandomNatureDes(K49)&amp;getSuitDes(B49)</f>
        <v>#VALUE!</v>
      </c>
      <c r="J49" s="1">
        <v>0</v>
      </c>
      <c r="K49" s="1">
        <v>1</v>
      </c>
      <c r="L49" s="1">
        <f t="shared" si="5"/>
        <v>2</v>
      </c>
      <c r="M49" s="1" t="str">
        <f ca="1">mVlookup(E49&amp;L49,装备名称!J$43:Z$74,H49,FALSE)</f>
        <v>IC1199</v>
      </c>
      <c r="N49" s="1" t="str">
        <f t="shared" si="3"/>
        <v>62</v>
      </c>
      <c r="O49" s="1">
        <f t="shared" si="4"/>
        <v>200047</v>
      </c>
    </row>
    <row r="50" spans="1:15" x14ac:dyDescent="0.15">
      <c r="A50" s="1">
        <v>48</v>
      </c>
      <c r="B50" s="1">
        <f t="shared" si="0"/>
        <v>101030600</v>
      </c>
      <c r="C50" s="1" t="str">
        <f t="shared" ca="1" si="1"/>
        <v>初级的法杖</v>
      </c>
      <c r="D50" s="1" t="s">
        <v>425</v>
      </c>
      <c r="E50" s="1">
        <v>1</v>
      </c>
      <c r="F50" s="8">
        <v>1</v>
      </c>
      <c r="G50" s="8">
        <f t="shared" si="2"/>
        <v>6</v>
      </c>
      <c r="H50" s="8" t="s">
        <v>67</v>
      </c>
      <c r="I50" s="8" t="e">
        <f ca="1">"["&amp;INT(getMinDes(B50))&amp;"-"&amp;INT(getMaxDes(B50))&amp;"]"&amp;getDesName(B50)&amp;" "&amp;getRandomNatureDes(K50)&amp;getSuitDes(B50)</f>
        <v>#VALUE!</v>
      </c>
      <c r="J50" s="1">
        <v>0</v>
      </c>
      <c r="K50" s="1">
        <v>1</v>
      </c>
      <c r="L50" s="1">
        <f t="shared" si="5"/>
        <v>3</v>
      </c>
      <c r="M50" s="1" t="str">
        <f ca="1">mVlookup(E50&amp;L50,装备名称!J$43:Z$74,H50,FALSE)</f>
        <v>IC1138</v>
      </c>
      <c r="N50" s="1" t="str">
        <f t="shared" si="3"/>
        <v>63</v>
      </c>
      <c r="O50" s="1">
        <f t="shared" si="4"/>
        <v>200048</v>
      </c>
    </row>
    <row r="51" spans="1:15" x14ac:dyDescent="0.15">
      <c r="A51" s="1">
        <v>49</v>
      </c>
      <c r="B51" s="1">
        <f t="shared" si="0"/>
        <v>101040600</v>
      </c>
      <c r="C51" s="1" t="str">
        <f t="shared" ca="1" si="1"/>
        <v>水晶法杖</v>
      </c>
      <c r="D51" s="1" t="s">
        <v>425</v>
      </c>
      <c r="E51" s="1">
        <v>1</v>
      </c>
      <c r="F51" s="8">
        <v>1</v>
      </c>
      <c r="G51" s="8">
        <f t="shared" si="2"/>
        <v>6</v>
      </c>
      <c r="H51" s="8" t="s">
        <v>67</v>
      </c>
      <c r="I51" s="8" t="e">
        <f ca="1">"["&amp;INT(getMinDes(B51))&amp;"-"&amp;INT(getMaxDes(B51))&amp;"]"&amp;getDesName(B51)&amp;" "&amp;getRandomNatureDes(K51)&amp;getSuitDes(B51)</f>
        <v>#VALUE!</v>
      </c>
      <c r="J51" s="1">
        <v>0</v>
      </c>
      <c r="K51" s="1">
        <v>1</v>
      </c>
      <c r="L51" s="1">
        <f t="shared" si="5"/>
        <v>4</v>
      </c>
      <c r="M51" s="1" t="str">
        <f ca="1">mVlookup(E51&amp;L51,装备名称!J$43:Z$74,H51,FALSE)</f>
        <v>IC1121</v>
      </c>
      <c r="N51" s="1" t="str">
        <f t="shared" si="3"/>
        <v>64</v>
      </c>
      <c r="O51" s="1">
        <f t="shared" si="4"/>
        <v>200049</v>
      </c>
    </row>
    <row r="52" spans="1:15" x14ac:dyDescent="0.15">
      <c r="A52" s="1">
        <v>50</v>
      </c>
      <c r="B52" s="1">
        <f t="shared" si="0"/>
        <v>101050600</v>
      </c>
      <c r="C52" s="1" t="str">
        <f t="shared" ca="1" si="1"/>
        <v>青铜法杖</v>
      </c>
      <c r="D52" s="1" t="s">
        <v>425</v>
      </c>
      <c r="E52" s="1">
        <v>1</v>
      </c>
      <c r="F52" s="8">
        <v>1</v>
      </c>
      <c r="G52" s="8">
        <f t="shared" si="2"/>
        <v>6</v>
      </c>
      <c r="H52" s="8" t="s">
        <v>67</v>
      </c>
      <c r="I52" s="8" t="e">
        <f ca="1">"["&amp;INT(getMinDes(B52))&amp;"-"&amp;INT(getMaxDes(B52))&amp;"]"&amp;getDesName(B52)&amp;" "&amp;getRandomNatureDes(K52)&amp;getSuitDes(B52)</f>
        <v>#VALUE!</v>
      </c>
      <c r="J52" s="1">
        <v>0</v>
      </c>
      <c r="K52" s="1">
        <v>1</v>
      </c>
      <c r="L52" s="1">
        <f t="shared" si="5"/>
        <v>5</v>
      </c>
      <c r="M52" s="1" t="str">
        <f ca="1">mVlookup(E52&amp;L52,装备名称!J$43:Z$74,H52,FALSE)</f>
        <v>IC1110</v>
      </c>
      <c r="N52" s="1" t="str">
        <f t="shared" si="3"/>
        <v>65</v>
      </c>
      <c r="O52" s="1">
        <f t="shared" si="4"/>
        <v>200050</v>
      </c>
    </row>
    <row r="53" spans="1:15" x14ac:dyDescent="0.15">
      <c r="A53" s="1">
        <v>51</v>
      </c>
      <c r="B53" s="1">
        <f t="shared" si="0"/>
        <v>101060600</v>
      </c>
      <c r="C53" s="1" t="str">
        <f t="shared" ca="1" si="1"/>
        <v>玄铁法杖</v>
      </c>
      <c r="D53" s="1" t="s">
        <v>425</v>
      </c>
      <c r="E53" s="1">
        <v>1</v>
      </c>
      <c r="F53" s="8">
        <v>1</v>
      </c>
      <c r="G53" s="8">
        <f t="shared" si="2"/>
        <v>6</v>
      </c>
      <c r="H53" s="8" t="s">
        <v>67</v>
      </c>
      <c r="I53" s="8" t="e">
        <f ca="1">"["&amp;INT(getMinDes(B53))&amp;"-"&amp;INT(getMaxDes(B53))&amp;"]"&amp;getDesName(B53)&amp;" "&amp;getRandomNatureDes(K53)&amp;getSuitDes(B53)</f>
        <v>#VALUE!</v>
      </c>
      <c r="J53" s="1">
        <v>0</v>
      </c>
      <c r="K53" s="1">
        <v>1</v>
      </c>
      <c r="L53" s="1">
        <f t="shared" si="5"/>
        <v>6</v>
      </c>
      <c r="M53" s="1" t="str">
        <f ca="1">mVlookup(E53&amp;L53,装备名称!J$43:Z$74,H53,FALSE)</f>
        <v>IC1199</v>
      </c>
      <c r="N53" s="1" t="str">
        <f t="shared" si="3"/>
        <v>66</v>
      </c>
      <c r="O53" s="1">
        <f t="shared" si="4"/>
        <v>200051</v>
      </c>
    </row>
    <row r="54" spans="1:15" x14ac:dyDescent="0.15">
      <c r="A54" s="1">
        <v>52</v>
      </c>
      <c r="B54" s="1">
        <f t="shared" si="0"/>
        <v>101070600</v>
      </c>
      <c r="C54" s="1" t="str">
        <f t="shared" ca="1" si="1"/>
        <v>白银法杖</v>
      </c>
      <c r="D54" s="1" t="s">
        <v>425</v>
      </c>
      <c r="E54" s="1">
        <v>1</v>
      </c>
      <c r="F54" s="8">
        <v>1</v>
      </c>
      <c r="G54" s="8">
        <f t="shared" si="2"/>
        <v>6</v>
      </c>
      <c r="H54" s="8" t="s">
        <v>67</v>
      </c>
      <c r="I54" s="8" t="e">
        <f ca="1">"["&amp;INT(getMinDes(B54))&amp;"-"&amp;INT(getMaxDes(B54))&amp;"]"&amp;getDesName(B54)&amp;" "&amp;getRandomNatureDes(K54)&amp;getSuitDes(B54)</f>
        <v>#VALUE!</v>
      </c>
      <c r="J54" s="1">
        <v>0</v>
      </c>
      <c r="K54" s="1">
        <v>1</v>
      </c>
      <c r="L54" s="1">
        <f t="shared" si="5"/>
        <v>7</v>
      </c>
      <c r="M54" s="1" t="str">
        <f ca="1">mVlookup(E54&amp;L54,装备名称!J$43:Z$74,H54,FALSE)</f>
        <v>IC1138</v>
      </c>
      <c r="N54" s="1" t="str">
        <f t="shared" si="3"/>
        <v>67</v>
      </c>
      <c r="O54" s="1">
        <f t="shared" si="4"/>
        <v>200052</v>
      </c>
    </row>
    <row r="55" spans="1:15" x14ac:dyDescent="0.15">
      <c r="A55" s="1">
        <v>53</v>
      </c>
      <c r="B55" s="1">
        <f t="shared" si="0"/>
        <v>101080600</v>
      </c>
      <c r="C55" s="1" t="str">
        <f t="shared" ca="1" si="1"/>
        <v>异灵法杖</v>
      </c>
      <c r="D55" s="1" t="s">
        <v>425</v>
      </c>
      <c r="E55" s="1">
        <v>1</v>
      </c>
      <c r="F55" s="8">
        <v>1</v>
      </c>
      <c r="G55" s="8">
        <f t="shared" si="2"/>
        <v>6</v>
      </c>
      <c r="H55" s="8" t="s">
        <v>67</v>
      </c>
      <c r="I55" s="8" t="e">
        <f ca="1">"["&amp;INT(getMinDes(B55))&amp;"-"&amp;INT(getMaxDes(B55))&amp;"]"&amp;getDesName(B55)&amp;" "&amp;getRandomNatureDes(K55)&amp;getSuitDes(B55)</f>
        <v>#VALUE!</v>
      </c>
      <c r="J55" s="1">
        <v>0</v>
      </c>
      <c r="K55" s="1">
        <v>1</v>
      </c>
      <c r="L55" s="1">
        <f t="shared" si="5"/>
        <v>8</v>
      </c>
      <c r="M55" s="1" t="str">
        <f ca="1">mVlookup(E55&amp;L55,装备名称!J$43:Z$74,H55,FALSE)</f>
        <v>IC1121</v>
      </c>
      <c r="N55" s="1" t="str">
        <f t="shared" si="3"/>
        <v>68</v>
      </c>
      <c r="O55" s="1">
        <f t="shared" si="4"/>
        <v>200053</v>
      </c>
    </row>
    <row r="56" spans="1:15" x14ac:dyDescent="0.15">
      <c r="A56" s="1">
        <v>54</v>
      </c>
      <c r="B56" s="1">
        <f t="shared" si="0"/>
        <v>101090600</v>
      </c>
      <c r="C56" s="1" t="str">
        <f t="shared" ca="1" si="1"/>
        <v>流星法杖</v>
      </c>
      <c r="D56" s="1" t="s">
        <v>425</v>
      </c>
      <c r="E56" s="1">
        <v>1</v>
      </c>
      <c r="F56" s="8">
        <v>1</v>
      </c>
      <c r="G56" s="8">
        <f t="shared" si="2"/>
        <v>6</v>
      </c>
      <c r="H56" s="8" t="s">
        <v>67</v>
      </c>
      <c r="I56" s="8" t="e">
        <f ca="1">"["&amp;INT(getMinDes(B56))&amp;"-"&amp;INT(getMaxDes(B56))&amp;"]"&amp;getDesName(B56)&amp;" "&amp;getRandomNatureDes(K56)&amp;getSuitDes(B56)</f>
        <v>#VALUE!</v>
      </c>
      <c r="J56" s="1">
        <v>0</v>
      </c>
      <c r="K56" s="1">
        <v>1</v>
      </c>
      <c r="L56" s="1">
        <f t="shared" si="5"/>
        <v>9</v>
      </c>
      <c r="M56" s="1" t="str">
        <f ca="1">mVlookup(E56&amp;L56,装备名称!J$43:Z$74,H56,FALSE)</f>
        <v>IC1156</v>
      </c>
      <c r="N56" s="1" t="str">
        <f t="shared" si="3"/>
        <v>69</v>
      </c>
      <c r="O56" s="1">
        <f t="shared" si="4"/>
        <v>200054</v>
      </c>
    </row>
    <row r="57" spans="1:15" x14ac:dyDescent="0.15">
      <c r="A57" s="1">
        <v>55</v>
      </c>
      <c r="B57" s="1">
        <f t="shared" si="0"/>
        <v>101010700</v>
      </c>
      <c r="C57" s="1" t="str">
        <f t="shared" ca="1" si="1"/>
        <v>破旧的弓</v>
      </c>
      <c r="D57" s="1" t="s">
        <v>425</v>
      </c>
      <c r="E57" s="1">
        <v>1</v>
      </c>
      <c r="F57" s="8">
        <v>1</v>
      </c>
      <c r="G57" s="8">
        <f t="shared" si="2"/>
        <v>7</v>
      </c>
      <c r="H57" s="8" t="s">
        <v>408</v>
      </c>
      <c r="I57" s="8" t="e">
        <f ca="1">"["&amp;INT(getMinDes(B57))&amp;"-"&amp;INT(getMaxDes(B57))&amp;"]"&amp;getDesName(B57)&amp;" "&amp;getRandomNatureDes(K57)&amp;getSuitDes(B57)</f>
        <v>#VALUE!</v>
      </c>
      <c r="J57" s="1">
        <v>0</v>
      </c>
      <c r="K57" s="1">
        <v>1</v>
      </c>
      <c r="L57" s="1">
        <f t="shared" si="5"/>
        <v>1</v>
      </c>
      <c r="M57" s="1" t="str">
        <f ca="1">mVlookup(E57&amp;L57,装备名称!J$43:Z$74,H57,FALSE)</f>
        <v>IC1399</v>
      </c>
      <c r="N57" s="1" t="str">
        <f t="shared" si="3"/>
        <v>71</v>
      </c>
      <c r="O57" s="1">
        <f t="shared" si="4"/>
        <v>200055</v>
      </c>
    </row>
    <row r="58" spans="1:15" x14ac:dyDescent="0.15">
      <c r="A58" s="1">
        <v>56</v>
      </c>
      <c r="B58" s="1">
        <f t="shared" si="0"/>
        <v>101020700</v>
      </c>
      <c r="C58" s="1" t="str">
        <f t="shared" ca="1" si="1"/>
        <v>普通的弓</v>
      </c>
      <c r="D58" s="1" t="s">
        <v>425</v>
      </c>
      <c r="E58" s="1">
        <v>1</v>
      </c>
      <c r="F58" s="8">
        <v>1</v>
      </c>
      <c r="G58" s="8">
        <f t="shared" si="2"/>
        <v>7</v>
      </c>
      <c r="H58" s="8" t="s">
        <v>408</v>
      </c>
      <c r="I58" s="8" t="e">
        <f ca="1">"["&amp;INT(getMinDes(B58))&amp;"-"&amp;INT(getMaxDes(B58))&amp;"]"&amp;getDesName(B58)&amp;" "&amp;getRandomNatureDes(K58)&amp;getSuitDes(B58)</f>
        <v>#VALUE!</v>
      </c>
      <c r="J58" s="1">
        <v>0</v>
      </c>
      <c r="K58" s="1">
        <v>1</v>
      </c>
      <c r="L58" s="1">
        <f t="shared" si="5"/>
        <v>2</v>
      </c>
      <c r="M58" s="1" t="str">
        <f ca="1">mVlookup(E58&amp;L58,装备名称!J$43:Z$74,H58,FALSE)</f>
        <v>IC1356</v>
      </c>
      <c r="N58" s="1" t="str">
        <f t="shared" si="3"/>
        <v>72</v>
      </c>
      <c r="O58" s="1">
        <f t="shared" si="4"/>
        <v>200056</v>
      </c>
    </row>
    <row r="59" spans="1:15" x14ac:dyDescent="0.15">
      <c r="A59" s="1">
        <v>57</v>
      </c>
      <c r="B59" s="1">
        <f t="shared" si="0"/>
        <v>101030700</v>
      </c>
      <c r="C59" s="1" t="str">
        <f t="shared" ca="1" si="1"/>
        <v>初级的弓</v>
      </c>
      <c r="D59" s="1" t="s">
        <v>425</v>
      </c>
      <c r="E59" s="1">
        <v>1</v>
      </c>
      <c r="F59" s="8">
        <v>1</v>
      </c>
      <c r="G59" s="8">
        <f t="shared" si="2"/>
        <v>7</v>
      </c>
      <c r="H59" s="8" t="s">
        <v>408</v>
      </c>
      <c r="I59" s="8" t="e">
        <f ca="1">"["&amp;INT(getMinDes(B59))&amp;"-"&amp;INT(getMaxDes(B59))&amp;"]"&amp;getDesName(B59)&amp;" "&amp;getRandomNatureDes(K59)&amp;getSuitDes(B59)</f>
        <v>#VALUE!</v>
      </c>
      <c r="J59" s="1">
        <v>0</v>
      </c>
      <c r="K59" s="1">
        <v>1</v>
      </c>
      <c r="L59" s="1">
        <f t="shared" si="5"/>
        <v>3</v>
      </c>
      <c r="M59" s="1" t="str">
        <f ca="1">mVlookup(E59&amp;L59,装备名称!J$43:Z$74,H59,FALSE)</f>
        <v>IC1347</v>
      </c>
      <c r="N59" s="1" t="str">
        <f t="shared" si="3"/>
        <v>73</v>
      </c>
      <c r="O59" s="1">
        <f t="shared" si="4"/>
        <v>200057</v>
      </c>
    </row>
    <row r="60" spans="1:15" x14ac:dyDescent="0.15">
      <c r="A60" s="1">
        <v>58</v>
      </c>
      <c r="B60" s="1">
        <f t="shared" si="0"/>
        <v>101040700</v>
      </c>
      <c r="C60" s="1" t="str">
        <f t="shared" ca="1" si="1"/>
        <v>水晶弓</v>
      </c>
      <c r="D60" s="1" t="s">
        <v>425</v>
      </c>
      <c r="E60" s="1">
        <v>1</v>
      </c>
      <c r="F60" s="8">
        <v>1</v>
      </c>
      <c r="G60" s="8">
        <f t="shared" si="2"/>
        <v>7</v>
      </c>
      <c r="H60" s="8" t="s">
        <v>408</v>
      </c>
      <c r="I60" s="8" t="e">
        <f ca="1">"["&amp;INT(getMinDes(B60))&amp;"-"&amp;INT(getMaxDes(B60))&amp;"]"&amp;getDesName(B60)&amp;" "&amp;getRandomNatureDes(K60)&amp;getSuitDes(B60)</f>
        <v>#VALUE!</v>
      </c>
      <c r="J60" s="1">
        <v>0</v>
      </c>
      <c r="K60" s="1">
        <v>1</v>
      </c>
      <c r="L60" s="1">
        <f t="shared" si="5"/>
        <v>4</v>
      </c>
      <c r="M60" s="1" t="str">
        <f ca="1">mVlookup(E60&amp;L60,装备名称!J$43:Z$74,H60,FALSE)</f>
        <v>IC1340</v>
      </c>
      <c r="N60" s="1" t="str">
        <f t="shared" si="3"/>
        <v>74</v>
      </c>
      <c r="O60" s="1">
        <f t="shared" si="4"/>
        <v>200058</v>
      </c>
    </row>
    <row r="61" spans="1:15" x14ac:dyDescent="0.15">
      <c r="A61" s="1">
        <v>59</v>
      </c>
      <c r="B61" s="1">
        <f t="shared" si="0"/>
        <v>101050700</v>
      </c>
      <c r="C61" s="1" t="str">
        <f t="shared" ca="1" si="1"/>
        <v>青铜弓</v>
      </c>
      <c r="D61" s="1" t="s">
        <v>425</v>
      </c>
      <c r="E61" s="1">
        <v>1</v>
      </c>
      <c r="F61" s="8">
        <v>1</v>
      </c>
      <c r="G61" s="8">
        <f t="shared" si="2"/>
        <v>7</v>
      </c>
      <c r="H61" s="8" t="s">
        <v>408</v>
      </c>
      <c r="I61" s="8" t="e">
        <f ca="1">"["&amp;INT(getMinDes(B61))&amp;"-"&amp;INT(getMaxDes(B61))&amp;"]"&amp;getDesName(B61)&amp;" "&amp;getRandomNatureDes(K61)&amp;getSuitDes(B61)</f>
        <v>#VALUE!</v>
      </c>
      <c r="J61" s="1">
        <v>0</v>
      </c>
      <c r="K61" s="1">
        <v>1</v>
      </c>
      <c r="L61" s="1">
        <f t="shared" si="5"/>
        <v>5</v>
      </c>
      <c r="M61" s="1" t="str">
        <f ca="1">mVlookup(E61&amp;L61,装备名称!J$43:Z$74,H61,FALSE)</f>
        <v>IC1342</v>
      </c>
      <c r="N61" s="1" t="str">
        <f t="shared" si="3"/>
        <v>75</v>
      </c>
      <c r="O61" s="1">
        <f t="shared" si="4"/>
        <v>200059</v>
      </c>
    </row>
    <row r="62" spans="1:15" x14ac:dyDescent="0.15">
      <c r="A62" s="1">
        <v>60</v>
      </c>
      <c r="B62" s="1">
        <f t="shared" si="0"/>
        <v>101060700</v>
      </c>
      <c r="C62" s="1" t="str">
        <f t="shared" ca="1" si="1"/>
        <v>玄铁弓</v>
      </c>
      <c r="D62" s="1" t="s">
        <v>425</v>
      </c>
      <c r="E62" s="1">
        <v>1</v>
      </c>
      <c r="F62" s="8">
        <v>1</v>
      </c>
      <c r="G62" s="8">
        <f t="shared" si="2"/>
        <v>7</v>
      </c>
      <c r="H62" s="8" t="s">
        <v>408</v>
      </c>
      <c r="I62" s="8" t="e">
        <f ca="1">"["&amp;INT(getMinDes(B62))&amp;"-"&amp;INT(getMaxDes(B62))&amp;"]"&amp;getDesName(B62)&amp;" "&amp;getRandomNatureDes(K62)&amp;getSuitDes(B62)</f>
        <v>#VALUE!</v>
      </c>
      <c r="J62" s="1">
        <v>0</v>
      </c>
      <c r="K62" s="1">
        <v>1</v>
      </c>
      <c r="L62" s="1">
        <f t="shared" si="5"/>
        <v>6</v>
      </c>
      <c r="M62" s="1" t="str">
        <f ca="1">mVlookup(E62&amp;L62,装备名称!J$43:Z$74,H62,FALSE)</f>
        <v>IC1399</v>
      </c>
      <c r="N62" s="1" t="str">
        <f t="shared" si="3"/>
        <v>76</v>
      </c>
      <c r="O62" s="1">
        <f t="shared" si="4"/>
        <v>200060</v>
      </c>
    </row>
    <row r="63" spans="1:15" x14ac:dyDescent="0.15">
      <c r="A63" s="1">
        <v>61</v>
      </c>
      <c r="B63" s="1">
        <f t="shared" si="0"/>
        <v>101070700</v>
      </c>
      <c r="C63" s="1" t="str">
        <f t="shared" ca="1" si="1"/>
        <v>白银弓</v>
      </c>
      <c r="D63" s="1" t="s">
        <v>425</v>
      </c>
      <c r="E63" s="1">
        <v>1</v>
      </c>
      <c r="F63" s="8">
        <v>1</v>
      </c>
      <c r="G63" s="8">
        <f t="shared" si="2"/>
        <v>7</v>
      </c>
      <c r="H63" s="8" t="s">
        <v>408</v>
      </c>
      <c r="I63" s="8" t="e">
        <f ca="1">"["&amp;INT(getMinDes(B63))&amp;"-"&amp;INT(getMaxDes(B63))&amp;"]"&amp;getDesName(B63)&amp;" "&amp;getRandomNatureDes(K63)&amp;getSuitDes(B63)</f>
        <v>#VALUE!</v>
      </c>
      <c r="J63" s="1">
        <v>0</v>
      </c>
      <c r="K63" s="1">
        <v>1</v>
      </c>
      <c r="L63" s="1">
        <f t="shared" si="5"/>
        <v>7</v>
      </c>
      <c r="M63" s="1" t="str">
        <f ca="1">mVlookup(E63&amp;L63,装备名称!J$43:Z$74,H63,FALSE)</f>
        <v>IC1356</v>
      </c>
      <c r="N63" s="1" t="str">
        <f t="shared" si="3"/>
        <v>77</v>
      </c>
      <c r="O63" s="1">
        <f t="shared" si="4"/>
        <v>200061</v>
      </c>
    </row>
    <row r="64" spans="1:15" x14ac:dyDescent="0.15">
      <c r="A64" s="1">
        <v>62</v>
      </c>
      <c r="B64" s="1">
        <f t="shared" si="0"/>
        <v>101080700</v>
      </c>
      <c r="C64" s="1" t="str">
        <f t="shared" ca="1" si="1"/>
        <v>异灵弓</v>
      </c>
      <c r="D64" s="1" t="s">
        <v>425</v>
      </c>
      <c r="E64" s="1">
        <v>1</v>
      </c>
      <c r="F64" s="8">
        <v>1</v>
      </c>
      <c r="G64" s="8">
        <f t="shared" si="2"/>
        <v>7</v>
      </c>
      <c r="H64" s="8" t="s">
        <v>408</v>
      </c>
      <c r="I64" s="8" t="e">
        <f ca="1">"["&amp;INT(getMinDes(B64))&amp;"-"&amp;INT(getMaxDes(B64))&amp;"]"&amp;getDesName(B64)&amp;" "&amp;getRandomNatureDes(K64)&amp;getSuitDes(B64)</f>
        <v>#VALUE!</v>
      </c>
      <c r="J64" s="1">
        <v>0</v>
      </c>
      <c r="K64" s="1">
        <v>1</v>
      </c>
      <c r="L64" s="1">
        <f t="shared" si="5"/>
        <v>8</v>
      </c>
      <c r="M64" s="1" t="str">
        <f ca="1">mVlookup(E64&amp;L64,装备名称!J$43:Z$74,H64,FALSE)</f>
        <v>IC1347</v>
      </c>
      <c r="N64" s="1" t="str">
        <f t="shared" si="3"/>
        <v>78</v>
      </c>
      <c r="O64" s="1">
        <f t="shared" si="4"/>
        <v>200062</v>
      </c>
    </row>
    <row r="65" spans="1:15" x14ac:dyDescent="0.15">
      <c r="A65" s="1">
        <v>63</v>
      </c>
      <c r="B65" s="1">
        <f t="shared" si="0"/>
        <v>101090700</v>
      </c>
      <c r="C65" s="1" t="str">
        <f t="shared" ca="1" si="1"/>
        <v>流星弓</v>
      </c>
      <c r="D65" s="1" t="s">
        <v>425</v>
      </c>
      <c r="E65" s="1">
        <v>1</v>
      </c>
      <c r="F65" s="8">
        <v>1</v>
      </c>
      <c r="G65" s="8">
        <f t="shared" si="2"/>
        <v>7</v>
      </c>
      <c r="H65" s="8" t="s">
        <v>408</v>
      </c>
      <c r="I65" s="8" t="e">
        <f ca="1">"["&amp;INT(getMinDes(B65))&amp;"-"&amp;INT(getMaxDes(B65))&amp;"]"&amp;getDesName(B65)&amp;" "&amp;getRandomNatureDes(K65)&amp;getSuitDes(B65)</f>
        <v>#VALUE!</v>
      </c>
      <c r="J65" s="1">
        <v>0</v>
      </c>
      <c r="K65" s="1">
        <v>1</v>
      </c>
      <c r="L65" s="1">
        <f t="shared" si="5"/>
        <v>9</v>
      </c>
      <c r="M65" s="1" t="str">
        <f ca="1">mVlookup(E65&amp;L65,装备名称!J$43:Z$74,H65,FALSE)</f>
        <v>IC1340</v>
      </c>
      <c r="N65" s="1" t="str">
        <f t="shared" si="3"/>
        <v>79</v>
      </c>
      <c r="O65" s="1">
        <f t="shared" si="4"/>
        <v>200063</v>
      </c>
    </row>
    <row r="66" spans="1:15" x14ac:dyDescent="0.15">
      <c r="A66" s="1">
        <v>64</v>
      </c>
      <c r="B66" s="1">
        <f t="shared" si="0"/>
        <v>101010800</v>
      </c>
      <c r="C66" s="1" t="str">
        <f t="shared" ca="1" si="1"/>
        <v>破旧的烟斗</v>
      </c>
      <c r="D66" s="1" t="s">
        <v>425</v>
      </c>
      <c r="E66" s="1">
        <v>1</v>
      </c>
      <c r="F66" s="8">
        <v>1</v>
      </c>
      <c r="G66" s="8">
        <f t="shared" si="2"/>
        <v>8</v>
      </c>
      <c r="H66" s="8" t="s">
        <v>68</v>
      </c>
      <c r="I66" s="8" t="e">
        <f ca="1">"["&amp;INT(getMinDes(B66))&amp;"-"&amp;INT(getMaxDes(B66))&amp;"]"&amp;getDesName(B66)&amp;" "&amp;getRandomNatureDes(K66)&amp;getSuitDes(B66)</f>
        <v>#VALUE!</v>
      </c>
      <c r="J66" s="1">
        <v>0</v>
      </c>
      <c r="K66" s="1">
        <v>1</v>
      </c>
      <c r="L66" s="1">
        <f t="shared" si="5"/>
        <v>1</v>
      </c>
      <c r="M66" s="1" t="str">
        <f ca="1">mVlookup(E66&amp;L66,装备名称!J$43:Z$74,H66,FALSE)</f>
        <v>IC1103</v>
      </c>
      <c r="N66" s="1" t="str">
        <f t="shared" si="3"/>
        <v>81</v>
      </c>
      <c r="O66" s="1">
        <f t="shared" si="4"/>
        <v>200064</v>
      </c>
    </row>
    <row r="67" spans="1:15" x14ac:dyDescent="0.15">
      <c r="A67" s="1">
        <v>65</v>
      </c>
      <c r="B67" s="1">
        <f t="shared" si="0"/>
        <v>101020800</v>
      </c>
      <c r="C67" s="1" t="str">
        <f t="shared" ca="1" si="1"/>
        <v>普通的烟斗</v>
      </c>
      <c r="D67" s="1" t="s">
        <v>425</v>
      </c>
      <c r="E67" s="1">
        <v>1</v>
      </c>
      <c r="F67" s="8">
        <v>1</v>
      </c>
      <c r="G67" s="8">
        <f t="shared" si="2"/>
        <v>8</v>
      </c>
      <c r="H67" s="8" t="s">
        <v>68</v>
      </c>
      <c r="I67" s="8" t="e">
        <f ca="1">"["&amp;INT(getMinDes(B67))&amp;"-"&amp;INT(getMaxDes(B67))&amp;"]"&amp;getDesName(B67)&amp;" "&amp;getRandomNatureDes(K67)&amp;getSuitDes(B67)</f>
        <v>#VALUE!</v>
      </c>
      <c r="J67" s="1">
        <v>0</v>
      </c>
      <c r="K67" s="1">
        <v>1</v>
      </c>
      <c r="L67" s="1">
        <f t="shared" si="5"/>
        <v>2</v>
      </c>
      <c r="M67" s="1" t="str">
        <f ca="1">mVlookup(E67&amp;L67,装备名称!J$43:Z$74,H67,FALSE)</f>
        <v>IC1101</v>
      </c>
      <c r="N67" s="1" t="str">
        <f t="shared" si="3"/>
        <v>82</v>
      </c>
      <c r="O67" s="1">
        <f t="shared" si="4"/>
        <v>200065</v>
      </c>
    </row>
    <row r="68" spans="1:15" x14ac:dyDescent="0.15">
      <c r="A68" s="1">
        <v>66</v>
      </c>
      <c r="B68" s="1">
        <f t="shared" ref="B68:B131" si="7">F68*100000000+E68*1000000+L68*10000+G68*100+J68</f>
        <v>101030800</v>
      </c>
      <c r="C68" s="1" t="str">
        <f t="shared" ref="C68:C131" ca="1" si="8">mVlookup(L68,INDIRECT(D68),H68,FALSE)</f>
        <v>初级的烟斗</v>
      </c>
      <c r="D68" s="1" t="s">
        <v>425</v>
      </c>
      <c r="E68" s="1">
        <v>1</v>
      </c>
      <c r="F68" s="8">
        <v>1</v>
      </c>
      <c r="G68" s="8">
        <f t="shared" ref="G68:G131" si="9">VLOOKUP(H68,S$12:T$26,2,FALSE)</f>
        <v>8</v>
      </c>
      <c r="H68" s="8" t="s">
        <v>68</v>
      </c>
      <c r="I68" s="8" t="e">
        <f ca="1">"["&amp;INT(getMinDes(B68))&amp;"-"&amp;INT(getMaxDes(B68))&amp;"]"&amp;getDesName(B68)&amp;" "&amp;getRandomNatureDes(K68)&amp;getSuitDes(B68)</f>
        <v>#VALUE!</v>
      </c>
      <c r="J68" s="1">
        <v>0</v>
      </c>
      <c r="K68" s="1">
        <v>1</v>
      </c>
      <c r="L68" s="1">
        <f t="shared" si="5"/>
        <v>3</v>
      </c>
      <c r="M68" s="1" t="str">
        <f ca="1">mVlookup(E68&amp;L68,装备名称!J$43:Z$74,H68,FALSE)</f>
        <v>IC1104</v>
      </c>
      <c r="N68" s="1" t="str">
        <f t="shared" ref="N68:N131" si="10">G68&amp;L68</f>
        <v>83</v>
      </c>
      <c r="O68" s="1">
        <f t="shared" si="4"/>
        <v>200066</v>
      </c>
    </row>
    <row r="69" spans="1:15" x14ac:dyDescent="0.15">
      <c r="A69" s="1">
        <v>67</v>
      </c>
      <c r="B69" s="1">
        <f t="shared" si="7"/>
        <v>101040800</v>
      </c>
      <c r="C69" s="1" t="str">
        <f t="shared" ca="1" si="8"/>
        <v>水晶烟斗</v>
      </c>
      <c r="D69" s="1" t="s">
        <v>425</v>
      </c>
      <c r="E69" s="1">
        <v>1</v>
      </c>
      <c r="F69" s="8">
        <v>1</v>
      </c>
      <c r="G69" s="8">
        <f t="shared" si="9"/>
        <v>8</v>
      </c>
      <c r="H69" s="8" t="s">
        <v>68</v>
      </c>
      <c r="I69" s="8" t="e">
        <f ca="1">"["&amp;INT(getMinDes(B69))&amp;"-"&amp;INT(getMaxDes(B69))&amp;"]"&amp;getDesName(B69)&amp;" "&amp;getRandomNatureDes(K69)&amp;getSuitDes(B69)</f>
        <v>#VALUE!</v>
      </c>
      <c r="J69" s="1">
        <v>0</v>
      </c>
      <c r="K69" s="1">
        <v>1</v>
      </c>
      <c r="L69" s="1">
        <f t="shared" si="5"/>
        <v>4</v>
      </c>
      <c r="M69" s="1" t="str">
        <f ca="1">mVlookup(E69&amp;L69,装备名称!J$43:Z$74,H69,FALSE)</f>
        <v>IC1106</v>
      </c>
      <c r="N69" s="1" t="str">
        <f t="shared" si="10"/>
        <v>84</v>
      </c>
      <c r="O69" s="1">
        <f t="shared" ref="O69:O132" si="11">O68+1</f>
        <v>200067</v>
      </c>
    </row>
    <row r="70" spans="1:15" x14ac:dyDescent="0.15">
      <c r="A70" s="1">
        <v>68</v>
      </c>
      <c r="B70" s="1">
        <f t="shared" si="7"/>
        <v>101050800</v>
      </c>
      <c r="C70" s="1" t="str">
        <f t="shared" ca="1" si="8"/>
        <v>青铜烟斗</v>
      </c>
      <c r="D70" s="1" t="s">
        <v>425</v>
      </c>
      <c r="E70" s="1">
        <v>1</v>
      </c>
      <c r="F70" s="8">
        <v>1</v>
      </c>
      <c r="G70" s="8">
        <f t="shared" si="9"/>
        <v>8</v>
      </c>
      <c r="H70" s="8" t="s">
        <v>68</v>
      </c>
      <c r="I70" s="8" t="e">
        <f ca="1">"["&amp;INT(getMinDes(B70))&amp;"-"&amp;INT(getMaxDes(B70))&amp;"]"&amp;getDesName(B70)&amp;" "&amp;getRandomNatureDes(K70)&amp;getSuitDes(B70)</f>
        <v>#VALUE!</v>
      </c>
      <c r="J70" s="1">
        <v>0</v>
      </c>
      <c r="K70" s="1">
        <v>1</v>
      </c>
      <c r="L70" s="1">
        <f t="shared" si="5"/>
        <v>5</v>
      </c>
      <c r="M70" s="1" t="str">
        <f ca="1">mVlookup(E70&amp;L70,装备名称!J$43:Z$74,H70,FALSE)</f>
        <v>IC1113</v>
      </c>
      <c r="N70" s="1" t="str">
        <f t="shared" si="10"/>
        <v>85</v>
      </c>
      <c r="O70" s="1">
        <f t="shared" si="11"/>
        <v>200068</v>
      </c>
    </row>
    <row r="71" spans="1:15" x14ac:dyDescent="0.15">
      <c r="A71" s="1">
        <v>69</v>
      </c>
      <c r="B71" s="1">
        <f t="shared" si="7"/>
        <v>101060800</v>
      </c>
      <c r="C71" s="1" t="str">
        <f t="shared" ca="1" si="8"/>
        <v>玄铁烟斗</v>
      </c>
      <c r="D71" s="1" t="s">
        <v>425</v>
      </c>
      <c r="E71" s="1">
        <v>1</v>
      </c>
      <c r="F71" s="8">
        <v>1</v>
      </c>
      <c r="G71" s="8">
        <f t="shared" si="9"/>
        <v>8</v>
      </c>
      <c r="H71" s="8" t="s">
        <v>68</v>
      </c>
      <c r="I71" s="8" t="e">
        <f ca="1">"["&amp;INT(getMinDes(B71))&amp;"-"&amp;INT(getMaxDes(B71))&amp;"]"&amp;getDesName(B71)&amp;" "&amp;getRandomNatureDes(K71)&amp;getSuitDes(B71)</f>
        <v>#VALUE!</v>
      </c>
      <c r="J71" s="1">
        <v>0</v>
      </c>
      <c r="K71" s="1">
        <v>1</v>
      </c>
      <c r="L71" s="1">
        <f t="shared" si="5"/>
        <v>6</v>
      </c>
      <c r="M71" s="1" t="str">
        <f ca="1">mVlookup(E71&amp;L71,装备名称!J$43:Z$74,H71,FALSE)</f>
        <v>IC1118</v>
      </c>
      <c r="N71" s="1" t="str">
        <f t="shared" si="10"/>
        <v>86</v>
      </c>
      <c r="O71" s="1">
        <f t="shared" si="11"/>
        <v>200069</v>
      </c>
    </row>
    <row r="72" spans="1:15" x14ac:dyDescent="0.15">
      <c r="A72" s="1">
        <v>70</v>
      </c>
      <c r="B72" s="1">
        <f t="shared" si="7"/>
        <v>101070800</v>
      </c>
      <c r="C72" s="1" t="str">
        <f t="shared" ca="1" si="8"/>
        <v>白银烟斗</v>
      </c>
      <c r="D72" s="1" t="s">
        <v>425</v>
      </c>
      <c r="E72" s="1">
        <v>1</v>
      </c>
      <c r="F72" s="8">
        <v>1</v>
      </c>
      <c r="G72" s="8">
        <f t="shared" si="9"/>
        <v>8</v>
      </c>
      <c r="H72" s="8" t="s">
        <v>68</v>
      </c>
      <c r="I72" s="8" t="e">
        <f ca="1">"["&amp;INT(getMinDes(B72))&amp;"-"&amp;INT(getMaxDes(B72))&amp;"]"&amp;getDesName(B72)&amp;" "&amp;getRandomNatureDes(K72)&amp;getSuitDes(B72)</f>
        <v>#VALUE!</v>
      </c>
      <c r="J72" s="1">
        <v>0</v>
      </c>
      <c r="K72" s="1">
        <v>1</v>
      </c>
      <c r="L72" s="1">
        <f t="shared" si="5"/>
        <v>7</v>
      </c>
      <c r="M72" s="1" t="str">
        <f ca="1">mVlookup(E72&amp;L72,装备名称!J$43:Z$74,H72,FALSE)</f>
        <v>IC1155</v>
      </c>
      <c r="N72" s="1" t="str">
        <f t="shared" si="10"/>
        <v>87</v>
      </c>
      <c r="O72" s="1">
        <f t="shared" si="11"/>
        <v>200070</v>
      </c>
    </row>
    <row r="73" spans="1:15" x14ac:dyDescent="0.15">
      <c r="A73" s="1">
        <v>71</v>
      </c>
      <c r="B73" s="1">
        <f t="shared" si="7"/>
        <v>101080800</v>
      </c>
      <c r="C73" s="1" t="str">
        <f t="shared" ca="1" si="8"/>
        <v>异灵烟斗</v>
      </c>
      <c r="D73" s="1" t="s">
        <v>425</v>
      </c>
      <c r="E73" s="1">
        <v>1</v>
      </c>
      <c r="F73" s="8">
        <v>1</v>
      </c>
      <c r="G73" s="8">
        <f t="shared" si="9"/>
        <v>8</v>
      </c>
      <c r="H73" s="8" t="s">
        <v>68</v>
      </c>
      <c r="I73" s="8" t="e">
        <f ca="1">"["&amp;INT(getMinDes(B73))&amp;"-"&amp;INT(getMaxDes(B73))&amp;"]"&amp;getDesName(B73)&amp;" "&amp;getRandomNatureDes(K73)&amp;getSuitDes(B73)</f>
        <v>#VALUE!</v>
      </c>
      <c r="J73" s="1">
        <v>0</v>
      </c>
      <c r="K73" s="1">
        <v>1</v>
      </c>
      <c r="L73" s="1">
        <f t="shared" si="5"/>
        <v>8</v>
      </c>
      <c r="M73" s="1" t="str">
        <f ca="1">mVlookup(E73&amp;L73,装备名称!J$43:Z$74,H73,FALSE)</f>
        <v>IC1143</v>
      </c>
      <c r="N73" s="1" t="str">
        <f t="shared" si="10"/>
        <v>88</v>
      </c>
      <c r="O73" s="1">
        <f t="shared" si="11"/>
        <v>200071</v>
      </c>
    </row>
    <row r="74" spans="1:15" x14ac:dyDescent="0.15">
      <c r="A74" s="1">
        <v>72</v>
      </c>
      <c r="B74" s="1">
        <f t="shared" si="7"/>
        <v>101090800</v>
      </c>
      <c r="C74" s="1" t="str">
        <f t="shared" ca="1" si="8"/>
        <v>流星烟斗</v>
      </c>
      <c r="D74" s="1" t="s">
        <v>425</v>
      </c>
      <c r="E74" s="1">
        <v>1</v>
      </c>
      <c r="F74" s="8">
        <v>1</v>
      </c>
      <c r="G74" s="8">
        <f t="shared" si="9"/>
        <v>8</v>
      </c>
      <c r="H74" s="8" t="s">
        <v>68</v>
      </c>
      <c r="I74" s="8" t="e">
        <f ca="1">"["&amp;INT(getMinDes(B74))&amp;"-"&amp;INT(getMaxDes(B74))&amp;"]"&amp;getDesName(B74)&amp;" "&amp;getRandomNatureDes(K74)&amp;getSuitDes(B74)</f>
        <v>#VALUE!</v>
      </c>
      <c r="J74" s="1">
        <v>0</v>
      </c>
      <c r="K74" s="1">
        <v>1</v>
      </c>
      <c r="L74" s="1">
        <f t="shared" si="5"/>
        <v>9</v>
      </c>
      <c r="M74" s="1" t="str">
        <f ca="1">mVlookup(E74&amp;L74,装备名称!J$43:Z$74,H74,FALSE)</f>
        <v>IC1143</v>
      </c>
      <c r="N74" s="1" t="str">
        <f t="shared" si="10"/>
        <v>89</v>
      </c>
      <c r="O74" s="1">
        <f t="shared" si="11"/>
        <v>200072</v>
      </c>
    </row>
    <row r="75" spans="1:15" x14ac:dyDescent="0.15">
      <c r="A75" s="1">
        <v>73</v>
      </c>
      <c r="B75" s="1">
        <f t="shared" si="7"/>
        <v>101010900</v>
      </c>
      <c r="C75" s="1" t="str">
        <f t="shared" ca="1" si="8"/>
        <v>破旧的扇子</v>
      </c>
      <c r="D75" s="1" t="s">
        <v>425</v>
      </c>
      <c r="E75" s="1">
        <v>1</v>
      </c>
      <c r="F75" s="8">
        <v>1</v>
      </c>
      <c r="G75" s="8">
        <f t="shared" si="9"/>
        <v>9</v>
      </c>
      <c r="H75" s="8" t="s">
        <v>409</v>
      </c>
      <c r="I75" s="8" t="e">
        <f ca="1">"["&amp;INT(getMinDes(B75))&amp;"-"&amp;INT(getMaxDes(B75))&amp;"]"&amp;getDesName(B75)&amp;" "&amp;getRandomNatureDes(K75)&amp;getSuitDes(B75)</f>
        <v>#VALUE!</v>
      </c>
      <c r="J75" s="1">
        <v>0</v>
      </c>
      <c r="K75" s="1">
        <v>1</v>
      </c>
      <c r="L75" s="1">
        <f t="shared" si="5"/>
        <v>1</v>
      </c>
      <c r="M75" s="1" t="str">
        <f ca="1">mVlookup(E75&amp;L75,装备名称!J$43:Z$74,H75,FALSE)</f>
        <v>IC1835</v>
      </c>
      <c r="N75" s="1" t="str">
        <f t="shared" si="10"/>
        <v>91</v>
      </c>
      <c r="O75" s="1">
        <f t="shared" si="11"/>
        <v>200073</v>
      </c>
    </row>
    <row r="76" spans="1:15" x14ac:dyDescent="0.15">
      <c r="A76" s="1">
        <v>74</v>
      </c>
      <c r="B76" s="1">
        <f t="shared" si="7"/>
        <v>101020900</v>
      </c>
      <c r="C76" s="1" t="str">
        <f t="shared" ca="1" si="8"/>
        <v>普通的扇子</v>
      </c>
      <c r="D76" s="1" t="s">
        <v>425</v>
      </c>
      <c r="E76" s="1">
        <v>1</v>
      </c>
      <c r="F76" s="8">
        <v>1</v>
      </c>
      <c r="G76" s="8">
        <f t="shared" si="9"/>
        <v>9</v>
      </c>
      <c r="H76" s="8" t="s">
        <v>409</v>
      </c>
      <c r="I76" s="8" t="e">
        <f ca="1">"["&amp;INT(getMinDes(B76))&amp;"-"&amp;INT(getMaxDes(B76))&amp;"]"&amp;getDesName(B76)&amp;" "&amp;getRandomNatureDes(K76)&amp;getSuitDes(B76)</f>
        <v>#VALUE!</v>
      </c>
      <c r="J76" s="1">
        <v>0</v>
      </c>
      <c r="K76" s="1">
        <v>1</v>
      </c>
      <c r="L76" s="1">
        <f t="shared" si="5"/>
        <v>2</v>
      </c>
      <c r="M76" s="1" t="str">
        <f ca="1">mVlookup(E76&amp;L76,装备名称!J$43:Z$74,H76,FALSE)</f>
        <v>IC1836</v>
      </c>
      <c r="N76" s="1" t="str">
        <f t="shared" si="10"/>
        <v>92</v>
      </c>
      <c r="O76" s="1">
        <f t="shared" si="11"/>
        <v>200074</v>
      </c>
    </row>
    <row r="77" spans="1:15" x14ac:dyDescent="0.15">
      <c r="A77" s="1">
        <v>75</v>
      </c>
      <c r="B77" s="1">
        <f t="shared" si="7"/>
        <v>101030900</v>
      </c>
      <c r="C77" s="1" t="str">
        <f t="shared" ca="1" si="8"/>
        <v>初级的扇子</v>
      </c>
      <c r="D77" s="1" t="s">
        <v>425</v>
      </c>
      <c r="E77" s="1">
        <v>1</v>
      </c>
      <c r="F77" s="8">
        <v>1</v>
      </c>
      <c r="G77" s="8">
        <f t="shared" si="9"/>
        <v>9</v>
      </c>
      <c r="H77" s="8" t="s">
        <v>409</v>
      </c>
      <c r="I77" s="8" t="e">
        <f ca="1">"["&amp;INT(getMinDes(B77))&amp;"-"&amp;INT(getMaxDes(B77))&amp;"]"&amp;getDesName(B77)&amp;" "&amp;getRandomNatureDes(K77)&amp;getSuitDes(B77)</f>
        <v>#VALUE!</v>
      </c>
      <c r="J77" s="1">
        <v>0</v>
      </c>
      <c r="K77" s="1">
        <v>1</v>
      </c>
      <c r="L77" s="1">
        <f t="shared" ref="L77:L137" si="12">L68</f>
        <v>3</v>
      </c>
      <c r="M77" s="1" t="str">
        <f ca="1">mVlookup(E77&amp;L77,装备名称!J$43:Z$74,H77,FALSE)</f>
        <v>IC1837</v>
      </c>
      <c r="N77" s="1" t="str">
        <f t="shared" si="10"/>
        <v>93</v>
      </c>
      <c r="O77" s="1">
        <f t="shared" si="11"/>
        <v>200075</v>
      </c>
    </row>
    <row r="78" spans="1:15" x14ac:dyDescent="0.15">
      <c r="A78" s="1">
        <v>76</v>
      </c>
      <c r="B78" s="1">
        <f t="shared" si="7"/>
        <v>101040900</v>
      </c>
      <c r="C78" s="1" t="str">
        <f t="shared" ca="1" si="8"/>
        <v>水晶扇子</v>
      </c>
      <c r="D78" s="1" t="s">
        <v>425</v>
      </c>
      <c r="E78" s="1">
        <v>1</v>
      </c>
      <c r="F78" s="8">
        <v>1</v>
      </c>
      <c r="G78" s="8">
        <f t="shared" si="9"/>
        <v>9</v>
      </c>
      <c r="H78" s="8" t="s">
        <v>409</v>
      </c>
      <c r="I78" s="8" t="e">
        <f ca="1">"["&amp;INT(getMinDes(B78))&amp;"-"&amp;INT(getMaxDes(B78))&amp;"]"&amp;getDesName(B78)&amp;" "&amp;getRandomNatureDes(K78)&amp;getSuitDes(B78)</f>
        <v>#VALUE!</v>
      </c>
      <c r="J78" s="1">
        <v>0</v>
      </c>
      <c r="K78" s="1">
        <v>1</v>
      </c>
      <c r="L78" s="1">
        <f t="shared" si="12"/>
        <v>4</v>
      </c>
      <c r="M78" s="1" t="str">
        <f ca="1">mVlookup(E78&amp;L78,装备名称!J$43:Z$74,H78,FALSE)</f>
        <v>IC1838</v>
      </c>
      <c r="N78" s="1" t="str">
        <f t="shared" si="10"/>
        <v>94</v>
      </c>
      <c r="O78" s="1">
        <f t="shared" si="11"/>
        <v>200076</v>
      </c>
    </row>
    <row r="79" spans="1:15" x14ac:dyDescent="0.15">
      <c r="A79" s="1">
        <v>77</v>
      </c>
      <c r="B79" s="1">
        <f t="shared" si="7"/>
        <v>101050900</v>
      </c>
      <c r="C79" s="1" t="str">
        <f t="shared" ca="1" si="8"/>
        <v>青铜扇子</v>
      </c>
      <c r="D79" s="1" t="s">
        <v>425</v>
      </c>
      <c r="E79" s="1">
        <v>1</v>
      </c>
      <c r="F79" s="8">
        <v>1</v>
      </c>
      <c r="G79" s="8">
        <f t="shared" si="9"/>
        <v>9</v>
      </c>
      <c r="H79" s="8" t="s">
        <v>409</v>
      </c>
      <c r="I79" s="8" t="e">
        <f ca="1">"["&amp;INT(getMinDes(B79))&amp;"-"&amp;INT(getMaxDes(B79))&amp;"]"&amp;getDesName(B79)&amp;" "&amp;getRandomNatureDes(K79)&amp;getSuitDes(B79)</f>
        <v>#VALUE!</v>
      </c>
      <c r="J79" s="1">
        <v>0</v>
      </c>
      <c r="K79" s="1">
        <v>1</v>
      </c>
      <c r="L79" s="1">
        <f t="shared" si="12"/>
        <v>5</v>
      </c>
      <c r="M79" s="1" t="str">
        <f ca="1">mVlookup(E79&amp;L79,装备名称!J$43:Z$74,H79,FALSE)</f>
        <v>IC1839</v>
      </c>
      <c r="N79" s="1" t="str">
        <f t="shared" si="10"/>
        <v>95</v>
      </c>
      <c r="O79" s="1">
        <f t="shared" si="11"/>
        <v>200077</v>
      </c>
    </row>
    <row r="80" spans="1:15" x14ac:dyDescent="0.15">
      <c r="A80" s="1">
        <v>78</v>
      </c>
      <c r="B80" s="1">
        <f t="shared" si="7"/>
        <v>101060900</v>
      </c>
      <c r="C80" s="1" t="str">
        <f t="shared" ca="1" si="8"/>
        <v>玄铁扇子</v>
      </c>
      <c r="D80" s="1" t="s">
        <v>425</v>
      </c>
      <c r="E80" s="1">
        <v>1</v>
      </c>
      <c r="F80" s="8">
        <v>1</v>
      </c>
      <c r="G80" s="8">
        <f t="shared" si="9"/>
        <v>9</v>
      </c>
      <c r="H80" s="8" t="s">
        <v>409</v>
      </c>
      <c r="I80" s="8" t="e">
        <f ca="1">"["&amp;INT(getMinDes(B80))&amp;"-"&amp;INT(getMaxDes(B80))&amp;"]"&amp;getDesName(B80)&amp;" "&amp;getRandomNatureDes(K80)&amp;getSuitDes(B80)</f>
        <v>#VALUE!</v>
      </c>
      <c r="J80" s="1">
        <v>0</v>
      </c>
      <c r="K80" s="1">
        <v>1</v>
      </c>
      <c r="L80" s="1">
        <f t="shared" si="12"/>
        <v>6</v>
      </c>
      <c r="M80" s="1" t="str">
        <f ca="1">mVlookup(E80&amp;L80,装备名称!J$43:Z$74,H80,FALSE)</f>
        <v>IC1840</v>
      </c>
      <c r="N80" s="1" t="str">
        <f t="shared" si="10"/>
        <v>96</v>
      </c>
      <c r="O80" s="1">
        <f t="shared" si="11"/>
        <v>200078</v>
      </c>
    </row>
    <row r="81" spans="1:15" x14ac:dyDescent="0.15">
      <c r="A81" s="1">
        <v>79</v>
      </c>
      <c r="B81" s="1">
        <f t="shared" si="7"/>
        <v>101070900</v>
      </c>
      <c r="C81" s="1" t="str">
        <f t="shared" ca="1" si="8"/>
        <v>白银扇子</v>
      </c>
      <c r="D81" s="1" t="s">
        <v>425</v>
      </c>
      <c r="E81" s="1">
        <v>1</v>
      </c>
      <c r="F81" s="8">
        <v>1</v>
      </c>
      <c r="G81" s="8">
        <f t="shared" si="9"/>
        <v>9</v>
      </c>
      <c r="H81" s="8" t="s">
        <v>409</v>
      </c>
      <c r="I81" s="8" t="e">
        <f ca="1">"["&amp;INT(getMinDes(B81))&amp;"-"&amp;INT(getMaxDes(B81))&amp;"]"&amp;getDesName(B81)&amp;" "&amp;getRandomNatureDes(K81)&amp;getSuitDes(B81)</f>
        <v>#VALUE!</v>
      </c>
      <c r="J81" s="1">
        <v>0</v>
      </c>
      <c r="K81" s="1">
        <v>1</v>
      </c>
      <c r="L81" s="1">
        <f t="shared" si="12"/>
        <v>7</v>
      </c>
      <c r="M81" s="1" t="str">
        <f ca="1">mVlookup(E81&amp;L81,装备名称!J$43:Z$74,H81,FALSE)</f>
        <v>IC1838</v>
      </c>
      <c r="N81" s="1" t="str">
        <f t="shared" si="10"/>
        <v>97</v>
      </c>
      <c r="O81" s="1">
        <f t="shared" si="11"/>
        <v>200079</v>
      </c>
    </row>
    <row r="82" spans="1:15" x14ac:dyDescent="0.15">
      <c r="A82" s="1">
        <v>80</v>
      </c>
      <c r="B82" s="1">
        <f t="shared" si="7"/>
        <v>101080900</v>
      </c>
      <c r="C82" s="1" t="str">
        <f t="shared" ca="1" si="8"/>
        <v>异灵扇子</v>
      </c>
      <c r="D82" s="1" t="s">
        <v>425</v>
      </c>
      <c r="E82" s="1">
        <v>1</v>
      </c>
      <c r="F82" s="8">
        <v>1</v>
      </c>
      <c r="G82" s="8">
        <f t="shared" si="9"/>
        <v>9</v>
      </c>
      <c r="H82" s="8" t="s">
        <v>409</v>
      </c>
      <c r="I82" s="8" t="e">
        <f ca="1">"["&amp;INT(getMinDes(B82))&amp;"-"&amp;INT(getMaxDes(B82))&amp;"]"&amp;getDesName(B82)&amp;" "&amp;getRandomNatureDes(K82)&amp;getSuitDes(B82)</f>
        <v>#VALUE!</v>
      </c>
      <c r="J82" s="1">
        <v>0</v>
      </c>
      <c r="K82" s="1">
        <v>1</v>
      </c>
      <c r="L82" s="1">
        <f t="shared" si="12"/>
        <v>8</v>
      </c>
      <c r="M82" s="1" t="str">
        <f ca="1">mVlookup(E82&amp;L82,装备名称!J$43:Z$74,H82,FALSE)</f>
        <v>IC1839</v>
      </c>
      <c r="N82" s="1" t="str">
        <f t="shared" si="10"/>
        <v>98</v>
      </c>
      <c r="O82" s="1">
        <f t="shared" si="11"/>
        <v>200080</v>
      </c>
    </row>
    <row r="83" spans="1:15" x14ac:dyDescent="0.15">
      <c r="A83" s="1">
        <v>81</v>
      </c>
      <c r="B83" s="1">
        <f t="shared" si="7"/>
        <v>101090900</v>
      </c>
      <c r="C83" s="1" t="str">
        <f t="shared" ca="1" si="8"/>
        <v>流星扇子</v>
      </c>
      <c r="D83" s="1" t="s">
        <v>425</v>
      </c>
      <c r="E83" s="1">
        <v>1</v>
      </c>
      <c r="F83" s="8">
        <v>1</v>
      </c>
      <c r="G83" s="8">
        <f t="shared" si="9"/>
        <v>9</v>
      </c>
      <c r="H83" s="8" t="s">
        <v>409</v>
      </c>
      <c r="I83" s="8" t="e">
        <f ca="1">"["&amp;INT(getMinDes(B83))&amp;"-"&amp;INT(getMaxDes(B83))&amp;"]"&amp;getDesName(B83)&amp;" "&amp;getRandomNatureDes(K83)&amp;getSuitDes(B83)</f>
        <v>#VALUE!</v>
      </c>
      <c r="J83" s="1">
        <v>0</v>
      </c>
      <c r="K83" s="1">
        <v>1</v>
      </c>
      <c r="L83" s="1">
        <f t="shared" si="12"/>
        <v>9</v>
      </c>
      <c r="M83" s="1" t="str">
        <f ca="1">mVlookup(E83&amp;L83,装备名称!J$43:Z$74,H83,FALSE)</f>
        <v>IC1838</v>
      </c>
      <c r="N83" s="1" t="str">
        <f t="shared" si="10"/>
        <v>99</v>
      </c>
      <c r="O83" s="1">
        <f t="shared" si="11"/>
        <v>200081</v>
      </c>
    </row>
    <row r="84" spans="1:15" x14ac:dyDescent="0.15">
      <c r="A84" s="1">
        <v>82</v>
      </c>
      <c r="B84" s="1">
        <f t="shared" si="7"/>
        <v>101011000</v>
      </c>
      <c r="C84" s="1" t="str">
        <f t="shared" ca="1" si="8"/>
        <v>破旧的牙齿</v>
      </c>
      <c r="D84" s="1" t="s">
        <v>425</v>
      </c>
      <c r="E84" s="1">
        <v>1</v>
      </c>
      <c r="F84" s="8">
        <v>1</v>
      </c>
      <c r="G84" s="8">
        <f t="shared" si="9"/>
        <v>10</v>
      </c>
      <c r="H84" s="8" t="s">
        <v>410</v>
      </c>
      <c r="I84" s="8" t="e">
        <f ca="1">"["&amp;INT(getMinDes(B84))&amp;"-"&amp;INT(getMaxDes(B84))&amp;"]"&amp;getDesName(B84)&amp;" "&amp;getRandomNatureDes(K84)&amp;getSuitDes(B84)</f>
        <v>#VALUE!</v>
      </c>
      <c r="J84" s="1">
        <v>0</v>
      </c>
      <c r="K84" s="1">
        <v>1</v>
      </c>
      <c r="L84" s="1">
        <f t="shared" si="12"/>
        <v>1</v>
      </c>
      <c r="M84" s="1" t="str">
        <f ca="1">mVlookup(E84&amp;L84,装备名称!J$43:Z$74,H84,FALSE)</f>
        <v>IC1553</v>
      </c>
      <c r="N84" s="1" t="str">
        <f t="shared" si="10"/>
        <v>101</v>
      </c>
      <c r="O84" s="1">
        <f t="shared" si="11"/>
        <v>200082</v>
      </c>
    </row>
    <row r="85" spans="1:15" x14ac:dyDescent="0.15">
      <c r="A85" s="1">
        <v>83</v>
      </c>
      <c r="B85" s="1">
        <f t="shared" si="7"/>
        <v>101021000</v>
      </c>
      <c r="C85" s="1" t="str">
        <f t="shared" ca="1" si="8"/>
        <v>普通的牙齿</v>
      </c>
      <c r="D85" s="1" t="s">
        <v>425</v>
      </c>
      <c r="E85" s="1">
        <v>1</v>
      </c>
      <c r="F85" s="8">
        <v>1</v>
      </c>
      <c r="G85" s="8">
        <f t="shared" si="9"/>
        <v>10</v>
      </c>
      <c r="H85" s="8" t="s">
        <v>410</v>
      </c>
      <c r="I85" s="8" t="e">
        <f ca="1">"["&amp;INT(getMinDes(B85))&amp;"-"&amp;INT(getMaxDes(B85))&amp;"]"&amp;getDesName(B85)&amp;" "&amp;getRandomNatureDes(K85)&amp;getSuitDes(B85)</f>
        <v>#VALUE!</v>
      </c>
      <c r="J85" s="1">
        <v>0</v>
      </c>
      <c r="K85" s="1">
        <v>1</v>
      </c>
      <c r="L85" s="1">
        <f t="shared" si="12"/>
        <v>2</v>
      </c>
      <c r="M85" s="1" t="str">
        <f ca="1">mVlookup(E85&amp;L85,装备名称!J$43:Z$74,H85,FALSE)</f>
        <v>IC1556</v>
      </c>
      <c r="N85" s="1" t="str">
        <f t="shared" si="10"/>
        <v>102</v>
      </c>
      <c r="O85" s="1">
        <f t="shared" si="11"/>
        <v>200083</v>
      </c>
    </row>
    <row r="86" spans="1:15" x14ac:dyDescent="0.15">
      <c r="A86" s="1">
        <v>84</v>
      </c>
      <c r="B86" s="1">
        <f t="shared" si="7"/>
        <v>101031000</v>
      </c>
      <c r="C86" s="1" t="str">
        <f t="shared" ca="1" si="8"/>
        <v>初级的牙齿</v>
      </c>
      <c r="D86" s="1" t="s">
        <v>425</v>
      </c>
      <c r="E86" s="1">
        <v>1</v>
      </c>
      <c r="F86" s="8">
        <v>1</v>
      </c>
      <c r="G86" s="8">
        <f t="shared" si="9"/>
        <v>10</v>
      </c>
      <c r="H86" s="8" t="s">
        <v>410</v>
      </c>
      <c r="I86" s="8" t="e">
        <f ca="1">"["&amp;INT(getMinDes(B86))&amp;"-"&amp;INT(getMaxDes(B86))&amp;"]"&amp;getDesName(B86)&amp;" "&amp;getRandomNatureDes(K86)&amp;getSuitDes(B86)</f>
        <v>#VALUE!</v>
      </c>
      <c r="J86" s="1">
        <v>0</v>
      </c>
      <c r="K86" s="1">
        <v>1</v>
      </c>
      <c r="L86" s="1">
        <f t="shared" si="12"/>
        <v>3</v>
      </c>
      <c r="M86" s="1" t="str">
        <f ca="1">mVlookup(E86&amp;L86,装备名称!J$43:Z$74,H86,FALSE)</f>
        <v>IC1554</v>
      </c>
      <c r="N86" s="1" t="str">
        <f t="shared" si="10"/>
        <v>103</v>
      </c>
      <c r="O86" s="1">
        <f t="shared" si="11"/>
        <v>200084</v>
      </c>
    </row>
    <row r="87" spans="1:15" x14ac:dyDescent="0.15">
      <c r="A87" s="1">
        <v>85</v>
      </c>
      <c r="B87" s="1">
        <f t="shared" si="7"/>
        <v>101041000</v>
      </c>
      <c r="C87" s="1" t="str">
        <f t="shared" ca="1" si="8"/>
        <v>水晶牙齿</v>
      </c>
      <c r="D87" s="1" t="s">
        <v>425</v>
      </c>
      <c r="E87" s="1">
        <v>1</v>
      </c>
      <c r="F87" s="8">
        <v>1</v>
      </c>
      <c r="G87" s="8">
        <f t="shared" si="9"/>
        <v>10</v>
      </c>
      <c r="H87" s="8" t="s">
        <v>410</v>
      </c>
      <c r="I87" s="8" t="e">
        <f ca="1">"["&amp;INT(getMinDes(B87))&amp;"-"&amp;INT(getMaxDes(B87))&amp;"]"&amp;getDesName(B87)&amp;" "&amp;getRandomNatureDes(K87)&amp;getSuitDes(B87)</f>
        <v>#VALUE!</v>
      </c>
      <c r="J87" s="1">
        <v>0</v>
      </c>
      <c r="K87" s="1">
        <v>1</v>
      </c>
      <c r="L87" s="1">
        <f t="shared" si="12"/>
        <v>4</v>
      </c>
      <c r="M87" s="1" t="str">
        <f ca="1">mVlookup(E87&amp;L87,装备名称!J$43:Z$74,H87,FALSE)</f>
        <v>IC1565</v>
      </c>
      <c r="N87" s="1" t="str">
        <f t="shared" si="10"/>
        <v>104</v>
      </c>
      <c r="O87" s="1">
        <f t="shared" si="11"/>
        <v>200085</v>
      </c>
    </row>
    <row r="88" spans="1:15" x14ac:dyDescent="0.15">
      <c r="A88" s="1">
        <v>86</v>
      </c>
      <c r="B88" s="1">
        <f t="shared" si="7"/>
        <v>101051000</v>
      </c>
      <c r="C88" s="1" t="str">
        <f t="shared" ca="1" si="8"/>
        <v>青铜牙齿</v>
      </c>
      <c r="D88" s="1" t="s">
        <v>425</v>
      </c>
      <c r="E88" s="1">
        <v>1</v>
      </c>
      <c r="F88" s="8">
        <v>1</v>
      </c>
      <c r="G88" s="8">
        <f t="shared" si="9"/>
        <v>10</v>
      </c>
      <c r="H88" s="8" t="s">
        <v>410</v>
      </c>
      <c r="I88" s="8" t="e">
        <f ca="1">"["&amp;INT(getMinDes(B88))&amp;"-"&amp;INT(getMaxDes(B88))&amp;"]"&amp;getDesName(B88)&amp;" "&amp;getRandomNatureDes(K88)&amp;getSuitDes(B88)</f>
        <v>#VALUE!</v>
      </c>
      <c r="J88" s="1">
        <v>0</v>
      </c>
      <c r="K88" s="1">
        <v>1</v>
      </c>
      <c r="L88" s="1">
        <f t="shared" si="12"/>
        <v>5</v>
      </c>
      <c r="M88" s="1" t="str">
        <f ca="1">mVlookup(E88&amp;L88,装备名称!J$43:Z$74,H88,FALSE)</f>
        <v>IC1553</v>
      </c>
      <c r="N88" s="1" t="str">
        <f t="shared" si="10"/>
        <v>105</v>
      </c>
      <c r="O88" s="1">
        <f t="shared" si="11"/>
        <v>200086</v>
      </c>
    </row>
    <row r="89" spans="1:15" x14ac:dyDescent="0.15">
      <c r="A89" s="1">
        <v>87</v>
      </c>
      <c r="B89" s="1">
        <f t="shared" si="7"/>
        <v>101061000</v>
      </c>
      <c r="C89" s="1" t="str">
        <f t="shared" ca="1" si="8"/>
        <v>玄铁牙齿</v>
      </c>
      <c r="D89" s="1" t="s">
        <v>425</v>
      </c>
      <c r="E89" s="1">
        <v>1</v>
      </c>
      <c r="F89" s="8">
        <v>1</v>
      </c>
      <c r="G89" s="8">
        <f t="shared" si="9"/>
        <v>10</v>
      </c>
      <c r="H89" s="8" t="s">
        <v>410</v>
      </c>
      <c r="I89" s="8" t="e">
        <f ca="1">"["&amp;INT(getMinDes(B89))&amp;"-"&amp;INT(getMaxDes(B89))&amp;"]"&amp;getDesName(B89)&amp;" "&amp;getRandomNatureDes(K89)&amp;getSuitDes(B89)</f>
        <v>#VALUE!</v>
      </c>
      <c r="J89" s="1">
        <v>0</v>
      </c>
      <c r="K89" s="1">
        <v>1</v>
      </c>
      <c r="L89" s="1">
        <f t="shared" si="12"/>
        <v>6</v>
      </c>
      <c r="M89" s="1" t="str">
        <f ca="1">mVlookup(E89&amp;L89,装备名称!J$43:Z$74,H89,FALSE)</f>
        <v>IC1556</v>
      </c>
      <c r="N89" s="1" t="str">
        <f t="shared" si="10"/>
        <v>106</v>
      </c>
      <c r="O89" s="1">
        <f t="shared" si="11"/>
        <v>200087</v>
      </c>
    </row>
    <row r="90" spans="1:15" x14ac:dyDescent="0.15">
      <c r="A90" s="1">
        <v>88</v>
      </c>
      <c r="B90" s="1">
        <f t="shared" si="7"/>
        <v>101071000</v>
      </c>
      <c r="C90" s="1" t="str">
        <f t="shared" ca="1" si="8"/>
        <v>白银牙齿</v>
      </c>
      <c r="D90" s="1" t="s">
        <v>425</v>
      </c>
      <c r="E90" s="1">
        <v>1</v>
      </c>
      <c r="F90" s="8">
        <v>1</v>
      </c>
      <c r="G90" s="8">
        <f t="shared" si="9"/>
        <v>10</v>
      </c>
      <c r="H90" s="8" t="s">
        <v>410</v>
      </c>
      <c r="I90" s="8" t="e">
        <f ca="1">"["&amp;INT(getMinDes(B90))&amp;"-"&amp;INT(getMaxDes(B90))&amp;"]"&amp;getDesName(B90)&amp;" "&amp;getRandomNatureDes(K90)&amp;getSuitDes(B90)</f>
        <v>#VALUE!</v>
      </c>
      <c r="J90" s="1">
        <v>0</v>
      </c>
      <c r="K90" s="1">
        <v>1</v>
      </c>
      <c r="L90" s="1">
        <f t="shared" si="12"/>
        <v>7</v>
      </c>
      <c r="M90" s="1" t="str">
        <f ca="1">mVlookup(E90&amp;L90,装备名称!J$43:Z$74,H90,FALSE)</f>
        <v>IC1554</v>
      </c>
      <c r="N90" s="1" t="str">
        <f t="shared" si="10"/>
        <v>107</v>
      </c>
      <c r="O90" s="1">
        <f t="shared" si="11"/>
        <v>200088</v>
      </c>
    </row>
    <row r="91" spans="1:15" x14ac:dyDescent="0.15">
      <c r="A91" s="1">
        <v>89</v>
      </c>
      <c r="B91" s="1">
        <f t="shared" si="7"/>
        <v>101081000</v>
      </c>
      <c r="C91" s="1" t="str">
        <f t="shared" ca="1" si="8"/>
        <v>异灵牙齿</v>
      </c>
      <c r="D91" s="1" t="s">
        <v>425</v>
      </c>
      <c r="E91" s="1">
        <v>1</v>
      </c>
      <c r="F91" s="8">
        <v>1</v>
      </c>
      <c r="G91" s="8">
        <f t="shared" si="9"/>
        <v>10</v>
      </c>
      <c r="H91" s="8" t="s">
        <v>410</v>
      </c>
      <c r="I91" s="8" t="e">
        <f ca="1">"["&amp;INT(getMinDes(B91))&amp;"-"&amp;INT(getMaxDes(B91))&amp;"]"&amp;getDesName(B91)&amp;" "&amp;getRandomNatureDes(K91)&amp;getSuitDes(B91)</f>
        <v>#VALUE!</v>
      </c>
      <c r="J91" s="1">
        <v>0</v>
      </c>
      <c r="K91" s="1">
        <v>1</v>
      </c>
      <c r="L91" s="1">
        <f t="shared" si="12"/>
        <v>8</v>
      </c>
      <c r="M91" s="1" t="str">
        <f ca="1">mVlookup(E91&amp;L91,装备名称!J$43:Z$74,H91,FALSE)</f>
        <v>IC1565</v>
      </c>
      <c r="N91" s="1" t="str">
        <f t="shared" si="10"/>
        <v>108</v>
      </c>
      <c r="O91" s="1">
        <f t="shared" si="11"/>
        <v>200089</v>
      </c>
    </row>
    <row r="92" spans="1:15" x14ac:dyDescent="0.15">
      <c r="A92" s="1">
        <v>90</v>
      </c>
      <c r="B92" s="1">
        <f t="shared" si="7"/>
        <v>101091000</v>
      </c>
      <c r="C92" s="1" t="str">
        <f t="shared" ca="1" si="8"/>
        <v>流星牙齿</v>
      </c>
      <c r="D92" s="1" t="s">
        <v>425</v>
      </c>
      <c r="E92" s="1">
        <v>1</v>
      </c>
      <c r="F92" s="8">
        <v>1</v>
      </c>
      <c r="G92" s="8">
        <f t="shared" si="9"/>
        <v>10</v>
      </c>
      <c r="H92" s="8" t="s">
        <v>410</v>
      </c>
      <c r="I92" s="8" t="e">
        <f ca="1">"["&amp;INT(getMinDes(B92))&amp;"-"&amp;INT(getMaxDes(B92))&amp;"]"&amp;getDesName(B92)&amp;" "&amp;getRandomNatureDes(K92)&amp;getSuitDes(B92)</f>
        <v>#VALUE!</v>
      </c>
      <c r="J92" s="1">
        <v>0</v>
      </c>
      <c r="K92" s="1">
        <v>1</v>
      </c>
      <c r="L92" s="1">
        <f t="shared" si="12"/>
        <v>9</v>
      </c>
      <c r="M92" s="1" t="str">
        <f ca="1">mVlookup(E92&amp;L92,装备名称!J$43:Z$74,H92,FALSE)</f>
        <v>IC1554</v>
      </c>
      <c r="N92" s="1" t="str">
        <f t="shared" si="10"/>
        <v>109</v>
      </c>
      <c r="O92" s="1">
        <f t="shared" si="11"/>
        <v>200090</v>
      </c>
    </row>
    <row r="93" spans="1:15" x14ac:dyDescent="0.15">
      <c r="A93" s="1">
        <v>91</v>
      </c>
      <c r="B93" s="1">
        <f t="shared" si="7"/>
        <v>101011100</v>
      </c>
      <c r="C93" s="1" t="str">
        <f t="shared" ca="1" si="8"/>
        <v>破旧的球</v>
      </c>
      <c r="D93" s="1" t="s">
        <v>425</v>
      </c>
      <c r="E93" s="1">
        <v>1</v>
      </c>
      <c r="F93" s="8">
        <v>1</v>
      </c>
      <c r="G93" s="8">
        <f t="shared" si="9"/>
        <v>11</v>
      </c>
      <c r="H93" s="8" t="s">
        <v>411</v>
      </c>
      <c r="I93" s="8" t="e">
        <f ca="1">"["&amp;INT(getMinDes(B93))&amp;"-"&amp;INT(getMaxDes(B93))&amp;"]"&amp;getDesName(B93)&amp;" "&amp;getRandomNatureDes(K93)&amp;getSuitDes(B93)</f>
        <v>#VALUE!</v>
      </c>
      <c r="J93" s="1">
        <v>0</v>
      </c>
      <c r="K93" s="1">
        <v>1</v>
      </c>
      <c r="L93" s="1">
        <f t="shared" si="12"/>
        <v>1</v>
      </c>
      <c r="M93" s="1" t="str">
        <f ca="1">mVlookup(E93&amp;L93,装备名称!J$43:Z$74,H93,FALSE)</f>
        <v>IC1400</v>
      </c>
      <c r="N93" s="1" t="str">
        <f t="shared" si="10"/>
        <v>111</v>
      </c>
      <c r="O93" s="1">
        <f t="shared" si="11"/>
        <v>200091</v>
      </c>
    </row>
    <row r="94" spans="1:15" x14ac:dyDescent="0.15">
      <c r="A94" s="1">
        <v>92</v>
      </c>
      <c r="B94" s="1">
        <f t="shared" si="7"/>
        <v>101021100</v>
      </c>
      <c r="C94" s="1" t="str">
        <f t="shared" ca="1" si="8"/>
        <v>普通的球</v>
      </c>
      <c r="D94" s="1" t="s">
        <v>425</v>
      </c>
      <c r="E94" s="1">
        <v>1</v>
      </c>
      <c r="F94" s="8">
        <v>1</v>
      </c>
      <c r="G94" s="8">
        <f t="shared" si="9"/>
        <v>11</v>
      </c>
      <c r="H94" s="8" t="s">
        <v>411</v>
      </c>
      <c r="I94" s="8" t="e">
        <f ca="1">"["&amp;INT(getMinDes(B94))&amp;"-"&amp;INT(getMaxDes(B94))&amp;"]"&amp;getDesName(B94)&amp;" "&amp;getRandomNatureDes(K94)&amp;getSuitDes(B94)</f>
        <v>#VALUE!</v>
      </c>
      <c r="J94" s="1">
        <v>0</v>
      </c>
      <c r="K94" s="1">
        <v>1</v>
      </c>
      <c r="L94" s="1">
        <f t="shared" si="12"/>
        <v>2</v>
      </c>
      <c r="M94" s="1" t="str">
        <f ca="1">mVlookup(E94&amp;L94,装备名称!J$43:Z$74,H94,FALSE)</f>
        <v>IC1408</v>
      </c>
      <c r="N94" s="1" t="str">
        <f t="shared" si="10"/>
        <v>112</v>
      </c>
      <c r="O94" s="1">
        <f t="shared" si="11"/>
        <v>200092</v>
      </c>
    </row>
    <row r="95" spans="1:15" x14ac:dyDescent="0.15">
      <c r="A95" s="1">
        <v>93</v>
      </c>
      <c r="B95" s="1">
        <f t="shared" si="7"/>
        <v>101031100</v>
      </c>
      <c r="C95" s="1" t="str">
        <f t="shared" ca="1" si="8"/>
        <v>初级的球</v>
      </c>
      <c r="D95" s="1" t="s">
        <v>425</v>
      </c>
      <c r="E95" s="1">
        <v>1</v>
      </c>
      <c r="F95" s="8">
        <v>1</v>
      </c>
      <c r="G95" s="8">
        <f t="shared" si="9"/>
        <v>11</v>
      </c>
      <c r="H95" s="8" t="s">
        <v>411</v>
      </c>
      <c r="I95" s="8" t="e">
        <f ca="1">"["&amp;INT(getMinDes(B95))&amp;"-"&amp;INT(getMaxDes(B95))&amp;"]"&amp;getDesName(B95)&amp;" "&amp;getRandomNatureDes(K95)&amp;getSuitDes(B95)</f>
        <v>#VALUE!</v>
      </c>
      <c r="J95" s="1">
        <v>0</v>
      </c>
      <c r="K95" s="1">
        <v>1</v>
      </c>
      <c r="L95" s="1">
        <f t="shared" si="12"/>
        <v>3</v>
      </c>
      <c r="M95" s="1" t="str">
        <f ca="1">mVlookup(E95&amp;L95,装备名称!J$43:Z$74,H95,FALSE)</f>
        <v>IC1414</v>
      </c>
      <c r="N95" s="1" t="str">
        <f t="shared" si="10"/>
        <v>113</v>
      </c>
      <c r="O95" s="1">
        <f t="shared" si="11"/>
        <v>200093</v>
      </c>
    </row>
    <row r="96" spans="1:15" x14ac:dyDescent="0.15">
      <c r="A96" s="1">
        <v>94</v>
      </c>
      <c r="B96" s="1">
        <f t="shared" si="7"/>
        <v>101041100</v>
      </c>
      <c r="C96" s="1" t="str">
        <f t="shared" ca="1" si="8"/>
        <v>水晶球</v>
      </c>
      <c r="D96" s="1" t="s">
        <v>425</v>
      </c>
      <c r="E96" s="1">
        <v>1</v>
      </c>
      <c r="F96" s="8">
        <v>1</v>
      </c>
      <c r="G96" s="8">
        <f t="shared" si="9"/>
        <v>11</v>
      </c>
      <c r="H96" s="8" t="s">
        <v>411</v>
      </c>
      <c r="I96" s="8" t="e">
        <f ca="1">"["&amp;INT(getMinDes(B96))&amp;"-"&amp;INT(getMaxDes(B96))&amp;"]"&amp;getDesName(B96)&amp;" "&amp;getRandomNatureDes(K96)&amp;getSuitDes(B96)</f>
        <v>#VALUE!</v>
      </c>
      <c r="J96" s="1">
        <v>0</v>
      </c>
      <c r="K96" s="1">
        <v>1</v>
      </c>
      <c r="L96" s="1">
        <f t="shared" si="12"/>
        <v>4</v>
      </c>
      <c r="M96" s="1" t="str">
        <f ca="1">mVlookup(E96&amp;L96,装备名称!J$43:Z$74,H96,FALSE)</f>
        <v>IC1415</v>
      </c>
      <c r="N96" s="1" t="str">
        <f t="shared" si="10"/>
        <v>114</v>
      </c>
      <c r="O96" s="1">
        <f t="shared" si="11"/>
        <v>200094</v>
      </c>
    </row>
    <row r="97" spans="1:15" x14ac:dyDescent="0.15">
      <c r="A97" s="1">
        <v>95</v>
      </c>
      <c r="B97" s="1">
        <f t="shared" si="7"/>
        <v>101051100</v>
      </c>
      <c r="C97" s="1" t="str">
        <f t="shared" ca="1" si="8"/>
        <v>青铜球</v>
      </c>
      <c r="D97" s="1" t="s">
        <v>425</v>
      </c>
      <c r="E97" s="1">
        <v>1</v>
      </c>
      <c r="F97" s="8">
        <v>1</v>
      </c>
      <c r="G97" s="8">
        <f t="shared" si="9"/>
        <v>11</v>
      </c>
      <c r="H97" s="8" t="s">
        <v>411</v>
      </c>
      <c r="I97" s="8" t="e">
        <f ca="1">"["&amp;INT(getMinDes(B97))&amp;"-"&amp;INT(getMaxDes(B97))&amp;"]"&amp;getDesName(B97)&amp;" "&amp;getRandomNatureDes(K97)&amp;getSuitDes(B97)</f>
        <v>#VALUE!</v>
      </c>
      <c r="J97" s="1">
        <v>0</v>
      </c>
      <c r="K97" s="1">
        <v>1</v>
      </c>
      <c r="L97" s="1">
        <f t="shared" si="12"/>
        <v>5</v>
      </c>
      <c r="M97" s="1" t="str">
        <f ca="1">mVlookup(E97&amp;L97,装备名称!J$43:Z$74,H97,FALSE)</f>
        <v>IC1418</v>
      </c>
      <c r="N97" s="1" t="str">
        <f t="shared" si="10"/>
        <v>115</v>
      </c>
      <c r="O97" s="1">
        <f t="shared" si="11"/>
        <v>200095</v>
      </c>
    </row>
    <row r="98" spans="1:15" x14ac:dyDescent="0.15">
      <c r="A98" s="1">
        <v>96</v>
      </c>
      <c r="B98" s="1">
        <f t="shared" si="7"/>
        <v>101061100</v>
      </c>
      <c r="C98" s="1" t="str">
        <f t="shared" ca="1" si="8"/>
        <v>玄铁球</v>
      </c>
      <c r="D98" s="1" t="s">
        <v>425</v>
      </c>
      <c r="E98" s="1">
        <v>1</v>
      </c>
      <c r="F98" s="8">
        <v>1</v>
      </c>
      <c r="G98" s="8">
        <f t="shared" si="9"/>
        <v>11</v>
      </c>
      <c r="H98" s="8" t="s">
        <v>411</v>
      </c>
      <c r="I98" s="8" t="e">
        <f ca="1">"["&amp;INT(getMinDes(B98))&amp;"-"&amp;INT(getMaxDes(B98))&amp;"]"&amp;getDesName(B98)&amp;" "&amp;getRandomNatureDes(K98)&amp;getSuitDes(B98)</f>
        <v>#VALUE!</v>
      </c>
      <c r="J98" s="1">
        <v>0</v>
      </c>
      <c r="K98" s="1">
        <v>1</v>
      </c>
      <c r="L98" s="1">
        <f t="shared" si="12"/>
        <v>6</v>
      </c>
      <c r="M98" s="1" t="str">
        <f ca="1">mVlookup(E98&amp;L98,装备名称!J$43:Z$74,H98,FALSE)</f>
        <v>IC1400</v>
      </c>
      <c r="N98" s="1" t="str">
        <f t="shared" si="10"/>
        <v>116</v>
      </c>
      <c r="O98" s="1">
        <f t="shared" si="11"/>
        <v>200096</v>
      </c>
    </row>
    <row r="99" spans="1:15" x14ac:dyDescent="0.15">
      <c r="A99" s="1">
        <v>97</v>
      </c>
      <c r="B99" s="1">
        <f t="shared" si="7"/>
        <v>101071100</v>
      </c>
      <c r="C99" s="1" t="str">
        <f t="shared" ca="1" si="8"/>
        <v>白银球</v>
      </c>
      <c r="D99" s="1" t="s">
        <v>425</v>
      </c>
      <c r="E99" s="1">
        <v>1</v>
      </c>
      <c r="F99" s="8">
        <v>1</v>
      </c>
      <c r="G99" s="8">
        <f t="shared" si="9"/>
        <v>11</v>
      </c>
      <c r="H99" s="8" t="s">
        <v>411</v>
      </c>
      <c r="I99" s="8" t="e">
        <f ca="1">"["&amp;INT(getMinDes(B99))&amp;"-"&amp;INT(getMaxDes(B99))&amp;"]"&amp;getDesName(B99)&amp;" "&amp;getRandomNatureDes(K99)&amp;getSuitDes(B99)</f>
        <v>#VALUE!</v>
      </c>
      <c r="J99" s="1">
        <v>0</v>
      </c>
      <c r="K99" s="1">
        <v>1</v>
      </c>
      <c r="L99" s="1">
        <f t="shared" si="12"/>
        <v>7</v>
      </c>
      <c r="M99" s="1" t="str">
        <f ca="1">mVlookup(E99&amp;L99,装备名称!J$43:Z$74,H99,FALSE)</f>
        <v>IC1408</v>
      </c>
      <c r="N99" s="1" t="str">
        <f t="shared" si="10"/>
        <v>117</v>
      </c>
      <c r="O99" s="1">
        <f t="shared" si="11"/>
        <v>200097</v>
      </c>
    </row>
    <row r="100" spans="1:15" x14ac:dyDescent="0.15">
      <c r="A100" s="1">
        <v>98</v>
      </c>
      <c r="B100" s="1">
        <f t="shared" si="7"/>
        <v>101081100</v>
      </c>
      <c r="C100" s="1" t="str">
        <f t="shared" ca="1" si="8"/>
        <v>异灵球</v>
      </c>
      <c r="D100" s="1" t="s">
        <v>425</v>
      </c>
      <c r="E100" s="1">
        <v>1</v>
      </c>
      <c r="F100" s="8">
        <v>1</v>
      </c>
      <c r="G100" s="8">
        <f t="shared" si="9"/>
        <v>11</v>
      </c>
      <c r="H100" s="8" t="s">
        <v>411</v>
      </c>
      <c r="I100" s="8" t="e">
        <f ca="1">"["&amp;INT(getMinDes(B100))&amp;"-"&amp;INT(getMaxDes(B100))&amp;"]"&amp;getDesName(B100)&amp;" "&amp;getRandomNatureDes(K100)&amp;getSuitDes(B100)</f>
        <v>#VALUE!</v>
      </c>
      <c r="J100" s="1">
        <v>0</v>
      </c>
      <c r="K100" s="1">
        <v>1</v>
      </c>
      <c r="L100" s="1">
        <f t="shared" si="12"/>
        <v>8</v>
      </c>
      <c r="M100" s="1" t="str">
        <f ca="1">mVlookup(E100&amp;L100,装备名称!J$43:Z$74,H100,FALSE)</f>
        <v>IC1414</v>
      </c>
      <c r="N100" s="1" t="str">
        <f t="shared" si="10"/>
        <v>118</v>
      </c>
      <c r="O100" s="1">
        <f t="shared" si="11"/>
        <v>200098</v>
      </c>
    </row>
    <row r="101" spans="1:15" x14ac:dyDescent="0.15">
      <c r="A101" s="1">
        <v>99</v>
      </c>
      <c r="B101" s="1">
        <f t="shared" si="7"/>
        <v>101091100</v>
      </c>
      <c r="C101" s="1" t="str">
        <f t="shared" ca="1" si="8"/>
        <v>流星球</v>
      </c>
      <c r="D101" s="1" t="s">
        <v>425</v>
      </c>
      <c r="E101" s="1">
        <v>1</v>
      </c>
      <c r="F101" s="8">
        <v>1</v>
      </c>
      <c r="G101" s="8">
        <f t="shared" si="9"/>
        <v>11</v>
      </c>
      <c r="H101" s="8" t="s">
        <v>411</v>
      </c>
      <c r="I101" s="8" t="e">
        <f ca="1">"["&amp;INT(getMinDes(B101))&amp;"-"&amp;INT(getMaxDes(B101))&amp;"]"&amp;getDesName(B101)&amp;" "&amp;getRandomNatureDes(K101)&amp;getSuitDes(B101)</f>
        <v>#VALUE!</v>
      </c>
      <c r="J101" s="1">
        <v>0</v>
      </c>
      <c r="K101" s="1">
        <v>1</v>
      </c>
      <c r="L101" s="1">
        <f t="shared" si="12"/>
        <v>9</v>
      </c>
      <c r="M101" s="1" t="str">
        <f ca="1">mVlookup(E101&amp;L101,装备名称!J$43:Z$74,H101,FALSE)</f>
        <v>IC1415</v>
      </c>
      <c r="N101" s="1" t="str">
        <f t="shared" si="10"/>
        <v>119</v>
      </c>
      <c r="O101" s="1">
        <f t="shared" si="11"/>
        <v>200099</v>
      </c>
    </row>
    <row r="102" spans="1:15" x14ac:dyDescent="0.15">
      <c r="A102" s="1">
        <v>100</v>
      </c>
      <c r="B102" s="1">
        <f t="shared" si="7"/>
        <v>101011200</v>
      </c>
      <c r="C102" s="1" t="str">
        <f t="shared" ca="1" si="8"/>
        <v>破旧的爪</v>
      </c>
      <c r="D102" s="1" t="s">
        <v>425</v>
      </c>
      <c r="E102" s="1">
        <v>1</v>
      </c>
      <c r="F102" s="8">
        <v>1</v>
      </c>
      <c r="G102" s="8">
        <f t="shared" si="9"/>
        <v>12</v>
      </c>
      <c r="H102" s="8" t="s">
        <v>71</v>
      </c>
      <c r="I102" s="8" t="e">
        <f ca="1">"["&amp;INT(getMinDes(B102))&amp;"-"&amp;INT(getMaxDes(B102))&amp;"]"&amp;getDesName(B102)&amp;" "&amp;getRandomNatureDes(K102)&amp;getSuitDes(B102)</f>
        <v>#VALUE!</v>
      </c>
      <c r="J102" s="1">
        <v>0</v>
      </c>
      <c r="K102" s="1">
        <v>1</v>
      </c>
      <c r="L102" s="1">
        <f t="shared" si="12"/>
        <v>1</v>
      </c>
      <c r="M102" s="1" t="str">
        <f ca="1">mVlookup(E102&amp;L102,装备名称!J$43:Z$74,H102,FALSE)</f>
        <v>IC1754</v>
      </c>
      <c r="N102" s="1" t="str">
        <f t="shared" si="10"/>
        <v>121</v>
      </c>
      <c r="O102" s="1">
        <f t="shared" si="11"/>
        <v>200100</v>
      </c>
    </row>
    <row r="103" spans="1:15" x14ac:dyDescent="0.15">
      <c r="A103" s="1">
        <v>101</v>
      </c>
      <c r="B103" s="1">
        <f t="shared" si="7"/>
        <v>101021200</v>
      </c>
      <c r="C103" s="1" t="str">
        <f t="shared" ca="1" si="8"/>
        <v>普通的爪</v>
      </c>
      <c r="D103" s="1" t="s">
        <v>425</v>
      </c>
      <c r="E103" s="1">
        <v>1</v>
      </c>
      <c r="F103" s="8">
        <v>1</v>
      </c>
      <c r="G103" s="8">
        <f t="shared" si="9"/>
        <v>12</v>
      </c>
      <c r="H103" s="8" t="s">
        <v>71</v>
      </c>
      <c r="I103" s="8" t="e">
        <f ca="1">"["&amp;INT(getMinDes(B103))&amp;"-"&amp;INT(getMaxDes(B103))&amp;"]"&amp;getDesName(B103)&amp;" "&amp;getRandomNatureDes(K103)&amp;getSuitDes(B103)</f>
        <v>#VALUE!</v>
      </c>
      <c r="J103" s="1">
        <v>0</v>
      </c>
      <c r="K103" s="1">
        <v>1</v>
      </c>
      <c r="L103" s="1">
        <f t="shared" si="12"/>
        <v>2</v>
      </c>
      <c r="M103" s="1" t="str">
        <f ca="1">mVlookup(E103&amp;L103,装备名称!J$43:Z$74,H103,FALSE)</f>
        <v>IC1758</v>
      </c>
      <c r="N103" s="1" t="str">
        <f t="shared" si="10"/>
        <v>122</v>
      </c>
      <c r="O103" s="1">
        <f t="shared" si="11"/>
        <v>200101</v>
      </c>
    </row>
    <row r="104" spans="1:15" x14ac:dyDescent="0.15">
      <c r="A104" s="1">
        <v>102</v>
      </c>
      <c r="B104" s="1">
        <f t="shared" si="7"/>
        <v>101031200</v>
      </c>
      <c r="C104" s="1" t="str">
        <f t="shared" ca="1" si="8"/>
        <v>初级的爪</v>
      </c>
      <c r="D104" s="1" t="s">
        <v>425</v>
      </c>
      <c r="E104" s="1">
        <v>1</v>
      </c>
      <c r="F104" s="8">
        <v>1</v>
      </c>
      <c r="G104" s="8">
        <f t="shared" si="9"/>
        <v>12</v>
      </c>
      <c r="H104" s="8" t="s">
        <v>71</v>
      </c>
      <c r="I104" s="8" t="e">
        <f ca="1">"["&amp;INT(getMinDes(B104))&amp;"-"&amp;INT(getMaxDes(B104))&amp;"]"&amp;getDesName(B104)&amp;" "&amp;getRandomNatureDes(K104)&amp;getSuitDes(B104)</f>
        <v>#VALUE!</v>
      </c>
      <c r="J104" s="1">
        <v>0</v>
      </c>
      <c r="K104" s="1">
        <v>1</v>
      </c>
      <c r="L104" s="1">
        <f t="shared" si="12"/>
        <v>3</v>
      </c>
      <c r="M104" s="1" t="str">
        <f ca="1">mVlookup(E104&amp;L104,装备名称!J$43:Z$74,H104,FALSE)</f>
        <v>IC1777</v>
      </c>
      <c r="N104" s="1" t="str">
        <f t="shared" si="10"/>
        <v>123</v>
      </c>
      <c r="O104" s="1">
        <f t="shared" si="11"/>
        <v>200102</v>
      </c>
    </row>
    <row r="105" spans="1:15" x14ac:dyDescent="0.15">
      <c r="A105" s="1">
        <v>103</v>
      </c>
      <c r="B105" s="1">
        <f t="shared" si="7"/>
        <v>101041200</v>
      </c>
      <c r="C105" s="1" t="str">
        <f t="shared" ca="1" si="8"/>
        <v>水晶爪</v>
      </c>
      <c r="D105" s="1" t="s">
        <v>425</v>
      </c>
      <c r="E105" s="1">
        <v>1</v>
      </c>
      <c r="F105" s="8">
        <v>1</v>
      </c>
      <c r="G105" s="8">
        <f t="shared" si="9"/>
        <v>12</v>
      </c>
      <c r="H105" s="8" t="s">
        <v>71</v>
      </c>
      <c r="I105" s="8" t="e">
        <f ca="1">"["&amp;INT(getMinDes(B105))&amp;"-"&amp;INT(getMaxDes(B105))&amp;"]"&amp;getDesName(B105)&amp;" "&amp;getRandomNatureDes(K105)&amp;getSuitDes(B105)</f>
        <v>#VALUE!</v>
      </c>
      <c r="J105" s="1">
        <v>0</v>
      </c>
      <c r="K105" s="1">
        <v>1</v>
      </c>
      <c r="L105" s="1">
        <f t="shared" si="12"/>
        <v>4</v>
      </c>
      <c r="M105" s="1" t="str">
        <f ca="1">mVlookup(E105&amp;L105,装备名称!J$43:Z$74,H105,FALSE)</f>
        <v>IC1776</v>
      </c>
      <c r="N105" s="1" t="str">
        <f t="shared" si="10"/>
        <v>124</v>
      </c>
      <c r="O105" s="1">
        <f t="shared" si="11"/>
        <v>200103</v>
      </c>
    </row>
    <row r="106" spans="1:15" x14ac:dyDescent="0.15">
      <c r="A106" s="1">
        <v>104</v>
      </c>
      <c r="B106" s="1">
        <f t="shared" si="7"/>
        <v>101051200</v>
      </c>
      <c r="C106" s="1" t="str">
        <f t="shared" ca="1" si="8"/>
        <v>青铜爪</v>
      </c>
      <c r="D106" s="1" t="s">
        <v>425</v>
      </c>
      <c r="E106" s="1">
        <v>1</v>
      </c>
      <c r="F106" s="8">
        <v>1</v>
      </c>
      <c r="G106" s="8">
        <f t="shared" si="9"/>
        <v>12</v>
      </c>
      <c r="H106" s="8" t="s">
        <v>71</v>
      </c>
      <c r="I106" s="8" t="e">
        <f ca="1">"["&amp;INT(getMinDes(B106))&amp;"-"&amp;INT(getMaxDes(B106))&amp;"]"&amp;getDesName(B106)&amp;" "&amp;getRandomNatureDes(K106)&amp;getSuitDes(B106)</f>
        <v>#VALUE!</v>
      </c>
      <c r="J106" s="1">
        <v>0</v>
      </c>
      <c r="K106" s="1">
        <v>1</v>
      </c>
      <c r="L106" s="1">
        <f t="shared" si="12"/>
        <v>5</v>
      </c>
      <c r="M106" s="1" t="str">
        <f ca="1">mVlookup(E106&amp;L106,装备名称!J$43:Z$74,H106,FALSE)</f>
        <v>IC1774</v>
      </c>
      <c r="N106" s="1" t="str">
        <f t="shared" si="10"/>
        <v>125</v>
      </c>
      <c r="O106" s="1">
        <f t="shared" si="11"/>
        <v>200104</v>
      </c>
    </row>
    <row r="107" spans="1:15" x14ac:dyDescent="0.15">
      <c r="A107" s="1">
        <v>105</v>
      </c>
      <c r="B107" s="1">
        <f t="shared" si="7"/>
        <v>101061200</v>
      </c>
      <c r="C107" s="1" t="str">
        <f t="shared" ca="1" si="8"/>
        <v>玄铁爪</v>
      </c>
      <c r="D107" s="1" t="s">
        <v>425</v>
      </c>
      <c r="E107" s="1">
        <v>1</v>
      </c>
      <c r="F107" s="8">
        <v>1</v>
      </c>
      <c r="G107" s="8">
        <f t="shared" si="9"/>
        <v>12</v>
      </c>
      <c r="H107" s="8" t="s">
        <v>71</v>
      </c>
      <c r="I107" s="8" t="e">
        <f ca="1">"["&amp;INT(getMinDes(B107))&amp;"-"&amp;INT(getMaxDes(B107))&amp;"]"&amp;getDesName(B107)&amp;" "&amp;getRandomNatureDes(K107)&amp;getSuitDes(B107)</f>
        <v>#VALUE!</v>
      </c>
      <c r="J107" s="1">
        <v>0</v>
      </c>
      <c r="K107" s="1">
        <v>1</v>
      </c>
      <c r="L107" s="1">
        <f t="shared" si="12"/>
        <v>6</v>
      </c>
      <c r="M107" s="1" t="str">
        <f ca="1">mVlookup(E107&amp;L107,装备名称!J$43:Z$74,H107,FALSE)</f>
        <v>IC1775</v>
      </c>
      <c r="N107" s="1" t="str">
        <f t="shared" si="10"/>
        <v>126</v>
      </c>
      <c r="O107" s="1">
        <f t="shared" si="11"/>
        <v>200105</v>
      </c>
    </row>
    <row r="108" spans="1:15" x14ac:dyDescent="0.15">
      <c r="A108" s="1">
        <v>106</v>
      </c>
      <c r="B108" s="1">
        <f t="shared" si="7"/>
        <v>101071200</v>
      </c>
      <c r="C108" s="1" t="str">
        <f t="shared" ca="1" si="8"/>
        <v>白银爪</v>
      </c>
      <c r="D108" s="1" t="s">
        <v>425</v>
      </c>
      <c r="E108" s="1">
        <v>1</v>
      </c>
      <c r="F108" s="8">
        <v>1</v>
      </c>
      <c r="G108" s="8">
        <f t="shared" si="9"/>
        <v>12</v>
      </c>
      <c r="H108" s="8" t="s">
        <v>71</v>
      </c>
      <c r="I108" s="8" t="e">
        <f ca="1">"["&amp;INT(getMinDes(B108))&amp;"-"&amp;INT(getMaxDes(B108))&amp;"]"&amp;getDesName(B108)&amp;" "&amp;getRandomNatureDes(K108)&amp;getSuitDes(B108)</f>
        <v>#VALUE!</v>
      </c>
      <c r="J108" s="1">
        <v>0</v>
      </c>
      <c r="K108" s="1">
        <v>1</v>
      </c>
      <c r="L108" s="1">
        <f t="shared" si="12"/>
        <v>7</v>
      </c>
      <c r="M108" s="1" t="str">
        <f ca="1">mVlookup(E108&amp;L108,装备名称!J$43:Z$74,H108,FALSE)</f>
        <v>IC1754</v>
      </c>
      <c r="N108" s="1" t="str">
        <f t="shared" si="10"/>
        <v>127</v>
      </c>
      <c r="O108" s="1">
        <f t="shared" si="11"/>
        <v>200106</v>
      </c>
    </row>
    <row r="109" spans="1:15" x14ac:dyDescent="0.15">
      <c r="A109" s="1">
        <v>107</v>
      </c>
      <c r="B109" s="1">
        <f t="shared" si="7"/>
        <v>101081200</v>
      </c>
      <c r="C109" s="1" t="str">
        <f t="shared" ca="1" si="8"/>
        <v>异灵爪</v>
      </c>
      <c r="D109" s="1" t="s">
        <v>425</v>
      </c>
      <c r="E109" s="1">
        <v>1</v>
      </c>
      <c r="F109" s="8">
        <v>1</v>
      </c>
      <c r="G109" s="8">
        <f t="shared" si="9"/>
        <v>12</v>
      </c>
      <c r="H109" s="8" t="s">
        <v>71</v>
      </c>
      <c r="I109" s="8" t="e">
        <f ca="1">"["&amp;INT(getMinDes(B109))&amp;"-"&amp;INT(getMaxDes(B109))&amp;"]"&amp;getDesName(B109)&amp;" "&amp;getRandomNatureDes(K109)&amp;getSuitDes(B109)</f>
        <v>#VALUE!</v>
      </c>
      <c r="J109" s="1">
        <v>0</v>
      </c>
      <c r="K109" s="1">
        <v>1</v>
      </c>
      <c r="L109" s="1">
        <f t="shared" si="12"/>
        <v>8</v>
      </c>
      <c r="M109" s="1" t="str">
        <f ca="1">mVlookup(E109&amp;L109,装备名称!J$43:Z$74,H109,FALSE)</f>
        <v>IC1758</v>
      </c>
      <c r="N109" s="1" t="str">
        <f t="shared" si="10"/>
        <v>128</v>
      </c>
      <c r="O109" s="1">
        <f t="shared" si="11"/>
        <v>200107</v>
      </c>
    </row>
    <row r="110" spans="1:15" x14ac:dyDescent="0.15">
      <c r="A110" s="1">
        <v>108</v>
      </c>
      <c r="B110" s="1">
        <f t="shared" si="7"/>
        <v>101091200</v>
      </c>
      <c r="C110" s="1" t="str">
        <f t="shared" ca="1" si="8"/>
        <v>流星爪</v>
      </c>
      <c r="D110" s="1" t="s">
        <v>425</v>
      </c>
      <c r="E110" s="1">
        <v>1</v>
      </c>
      <c r="F110" s="8">
        <v>1</v>
      </c>
      <c r="G110" s="8">
        <f t="shared" si="9"/>
        <v>12</v>
      </c>
      <c r="H110" s="8" t="s">
        <v>71</v>
      </c>
      <c r="I110" s="8" t="e">
        <f ca="1">"["&amp;INT(getMinDes(B110))&amp;"-"&amp;INT(getMaxDes(B110))&amp;"]"&amp;getDesName(B110)&amp;" "&amp;getRandomNatureDes(K110)&amp;getSuitDes(B110)</f>
        <v>#VALUE!</v>
      </c>
      <c r="J110" s="1">
        <v>0</v>
      </c>
      <c r="K110" s="1">
        <v>1</v>
      </c>
      <c r="L110" s="1">
        <f t="shared" si="12"/>
        <v>9</v>
      </c>
      <c r="M110" s="1" t="str">
        <f ca="1">mVlookup(E110&amp;L110,装备名称!J$43:Z$74,H110,FALSE)</f>
        <v>IC1777</v>
      </c>
      <c r="N110" s="1" t="str">
        <f t="shared" si="10"/>
        <v>129</v>
      </c>
      <c r="O110" s="1">
        <f t="shared" si="11"/>
        <v>200108</v>
      </c>
    </row>
    <row r="111" spans="1:15" x14ac:dyDescent="0.15">
      <c r="A111" s="1">
        <v>109</v>
      </c>
      <c r="B111" s="1">
        <f t="shared" si="7"/>
        <v>101011300</v>
      </c>
      <c r="C111" s="1" t="str">
        <f t="shared" ca="1" si="8"/>
        <v>破旧的剑</v>
      </c>
      <c r="D111" s="1" t="s">
        <v>425</v>
      </c>
      <c r="E111" s="1">
        <v>1</v>
      </c>
      <c r="F111" s="8">
        <v>1</v>
      </c>
      <c r="G111" s="8">
        <f t="shared" si="9"/>
        <v>13</v>
      </c>
      <c r="H111" s="8" t="s">
        <v>66</v>
      </c>
      <c r="I111" s="8" t="e">
        <f ca="1">"["&amp;INT(getMinDes(B111))&amp;"-"&amp;INT(getMaxDes(B111))&amp;"]"&amp;getDesName(B111)&amp;" "&amp;getRandomNatureDes(K111)&amp;getSuitDes(B111)</f>
        <v>#VALUE!</v>
      </c>
      <c r="J111" s="1">
        <v>0</v>
      </c>
      <c r="K111" s="1">
        <v>1</v>
      </c>
      <c r="L111" s="1">
        <f t="shared" si="12"/>
        <v>1</v>
      </c>
      <c r="M111" s="1" t="str">
        <f ca="1">mVlookup(E111&amp;L111,装备名称!J$43:Z$74,H111,FALSE)</f>
        <v>IC1207</v>
      </c>
      <c r="N111" s="1" t="str">
        <f t="shared" si="10"/>
        <v>131</v>
      </c>
      <c r="O111" s="1">
        <f t="shared" si="11"/>
        <v>200109</v>
      </c>
    </row>
    <row r="112" spans="1:15" x14ac:dyDescent="0.15">
      <c r="A112" s="1">
        <v>110</v>
      </c>
      <c r="B112" s="1">
        <f t="shared" si="7"/>
        <v>101021300</v>
      </c>
      <c r="C112" s="1" t="str">
        <f t="shared" ca="1" si="8"/>
        <v>普通的剑</v>
      </c>
      <c r="D112" s="1" t="s">
        <v>425</v>
      </c>
      <c r="E112" s="1">
        <v>1</v>
      </c>
      <c r="F112" s="8">
        <v>1</v>
      </c>
      <c r="G112" s="8">
        <f t="shared" si="9"/>
        <v>13</v>
      </c>
      <c r="H112" s="8" t="s">
        <v>66</v>
      </c>
      <c r="I112" s="8" t="e">
        <f ca="1">"["&amp;INT(getMinDes(B112))&amp;"-"&amp;INT(getMaxDes(B112))&amp;"]"&amp;getDesName(B112)&amp;" "&amp;getRandomNatureDes(K112)&amp;getSuitDes(B112)</f>
        <v>#VALUE!</v>
      </c>
      <c r="J112" s="1">
        <v>0</v>
      </c>
      <c r="K112" s="1">
        <v>1</v>
      </c>
      <c r="L112" s="1">
        <f t="shared" si="12"/>
        <v>2</v>
      </c>
      <c r="M112" s="1" t="str">
        <f ca="1">mVlookup(E112&amp;L112,装备名称!J$43:Z$74,H112,FALSE)</f>
        <v>IC1299</v>
      </c>
      <c r="N112" s="1" t="str">
        <f t="shared" si="10"/>
        <v>132</v>
      </c>
      <c r="O112" s="1">
        <f t="shared" si="11"/>
        <v>200110</v>
      </c>
    </row>
    <row r="113" spans="1:15" x14ac:dyDescent="0.15">
      <c r="A113" s="1">
        <v>111</v>
      </c>
      <c r="B113" s="1">
        <f t="shared" si="7"/>
        <v>101031300</v>
      </c>
      <c r="C113" s="1" t="str">
        <f t="shared" ca="1" si="8"/>
        <v>初级的剑</v>
      </c>
      <c r="D113" s="1" t="s">
        <v>425</v>
      </c>
      <c r="E113" s="1">
        <v>1</v>
      </c>
      <c r="F113" s="8">
        <v>1</v>
      </c>
      <c r="G113" s="8">
        <f t="shared" si="9"/>
        <v>13</v>
      </c>
      <c r="H113" s="8" t="s">
        <v>66</v>
      </c>
      <c r="I113" s="8" t="e">
        <f ca="1">"["&amp;INT(getMinDes(B113))&amp;"-"&amp;INT(getMaxDes(B113))&amp;"]"&amp;getDesName(B113)&amp;" "&amp;getRandomNatureDes(K113)&amp;getSuitDes(B113)</f>
        <v>#VALUE!</v>
      </c>
      <c r="J113" s="1">
        <v>0</v>
      </c>
      <c r="K113" s="1">
        <v>1</v>
      </c>
      <c r="L113" s="1">
        <f t="shared" si="12"/>
        <v>3</v>
      </c>
      <c r="M113" s="1" t="str">
        <f ca="1">mVlookup(E113&amp;L113,装备名称!J$43:Z$74,H113,FALSE)</f>
        <v>IC1201</v>
      </c>
      <c r="N113" s="1" t="str">
        <f t="shared" si="10"/>
        <v>133</v>
      </c>
      <c r="O113" s="1">
        <f t="shared" si="11"/>
        <v>200111</v>
      </c>
    </row>
    <row r="114" spans="1:15" x14ac:dyDescent="0.15">
      <c r="A114" s="1">
        <v>112</v>
      </c>
      <c r="B114" s="1">
        <f t="shared" si="7"/>
        <v>101041300</v>
      </c>
      <c r="C114" s="1" t="str">
        <f t="shared" ca="1" si="8"/>
        <v>水晶剑</v>
      </c>
      <c r="D114" s="1" t="s">
        <v>425</v>
      </c>
      <c r="E114" s="1">
        <v>1</v>
      </c>
      <c r="F114" s="8">
        <v>1</v>
      </c>
      <c r="G114" s="8">
        <f t="shared" si="9"/>
        <v>13</v>
      </c>
      <c r="H114" s="8" t="s">
        <v>66</v>
      </c>
      <c r="I114" s="8" t="e">
        <f ca="1">"["&amp;INT(getMinDes(B114))&amp;"-"&amp;INT(getMaxDes(B114))&amp;"]"&amp;getDesName(B114)&amp;" "&amp;getRandomNatureDes(K114)&amp;getSuitDes(B114)</f>
        <v>#VALUE!</v>
      </c>
      <c r="J114" s="1">
        <v>0</v>
      </c>
      <c r="K114" s="1">
        <v>1</v>
      </c>
      <c r="L114" s="1">
        <f t="shared" si="12"/>
        <v>4</v>
      </c>
      <c r="M114" s="1" t="str">
        <f ca="1">mVlookup(E114&amp;L114,装备名称!J$43:Z$74,H114,FALSE)</f>
        <v>IC1209</v>
      </c>
      <c r="N114" s="1" t="str">
        <f t="shared" si="10"/>
        <v>134</v>
      </c>
      <c r="O114" s="1">
        <f t="shared" si="11"/>
        <v>200112</v>
      </c>
    </row>
    <row r="115" spans="1:15" x14ac:dyDescent="0.15">
      <c r="A115" s="1">
        <v>113</v>
      </c>
      <c r="B115" s="1">
        <f t="shared" si="7"/>
        <v>101051300</v>
      </c>
      <c r="C115" s="1" t="str">
        <f t="shared" ca="1" si="8"/>
        <v>青铜剑</v>
      </c>
      <c r="D115" s="1" t="s">
        <v>425</v>
      </c>
      <c r="E115" s="1">
        <v>1</v>
      </c>
      <c r="F115" s="8">
        <v>1</v>
      </c>
      <c r="G115" s="8">
        <f t="shared" si="9"/>
        <v>13</v>
      </c>
      <c r="H115" s="8" t="s">
        <v>66</v>
      </c>
      <c r="I115" s="8" t="e">
        <f ca="1">"["&amp;INT(getMinDes(B115))&amp;"-"&amp;INT(getMaxDes(B115))&amp;"]"&amp;getDesName(B115)&amp;" "&amp;getRandomNatureDes(K115)&amp;getSuitDes(B115)</f>
        <v>#VALUE!</v>
      </c>
      <c r="J115" s="1">
        <v>0</v>
      </c>
      <c r="K115" s="1">
        <v>1</v>
      </c>
      <c r="L115" s="1">
        <f t="shared" si="12"/>
        <v>5</v>
      </c>
      <c r="M115" s="1" t="str">
        <f ca="1">mVlookup(E115&amp;L115,装备名称!J$43:Z$74,H115,FALSE)</f>
        <v>IC1225</v>
      </c>
      <c r="N115" s="1" t="str">
        <f t="shared" si="10"/>
        <v>135</v>
      </c>
      <c r="O115" s="1">
        <f t="shared" si="11"/>
        <v>200113</v>
      </c>
    </row>
    <row r="116" spans="1:15" x14ac:dyDescent="0.15">
      <c r="A116" s="1">
        <v>114</v>
      </c>
      <c r="B116" s="1">
        <f t="shared" si="7"/>
        <v>101061300</v>
      </c>
      <c r="C116" s="1" t="str">
        <f t="shared" ca="1" si="8"/>
        <v>玄铁剑</v>
      </c>
      <c r="D116" s="1" t="s">
        <v>425</v>
      </c>
      <c r="E116" s="1">
        <v>1</v>
      </c>
      <c r="F116" s="8">
        <v>1</v>
      </c>
      <c r="G116" s="8">
        <f t="shared" si="9"/>
        <v>13</v>
      </c>
      <c r="H116" s="8" t="s">
        <v>66</v>
      </c>
      <c r="I116" s="8" t="e">
        <f ca="1">"["&amp;INT(getMinDes(B116))&amp;"-"&amp;INT(getMaxDes(B116))&amp;"]"&amp;getDesName(B116)&amp;" "&amp;getRandomNatureDes(K116)&amp;getSuitDes(B116)</f>
        <v>#VALUE!</v>
      </c>
      <c r="J116" s="1">
        <v>0</v>
      </c>
      <c r="K116" s="1">
        <v>1</v>
      </c>
      <c r="L116" s="1">
        <f t="shared" si="12"/>
        <v>6</v>
      </c>
      <c r="M116" s="1" t="str">
        <f ca="1">mVlookup(E116&amp;L116,装备名称!J$43:Z$74,H116,FALSE)</f>
        <v>IC1226</v>
      </c>
      <c r="N116" s="1" t="str">
        <f t="shared" si="10"/>
        <v>136</v>
      </c>
      <c r="O116" s="1">
        <f t="shared" si="11"/>
        <v>200114</v>
      </c>
    </row>
    <row r="117" spans="1:15" x14ac:dyDescent="0.15">
      <c r="A117" s="1">
        <v>115</v>
      </c>
      <c r="B117" s="1">
        <f t="shared" si="7"/>
        <v>101071300</v>
      </c>
      <c r="C117" s="1" t="str">
        <f t="shared" ca="1" si="8"/>
        <v>白银剑</v>
      </c>
      <c r="D117" s="1" t="s">
        <v>425</v>
      </c>
      <c r="E117" s="1">
        <v>1</v>
      </c>
      <c r="F117" s="8">
        <v>1</v>
      </c>
      <c r="G117" s="8">
        <f t="shared" si="9"/>
        <v>13</v>
      </c>
      <c r="H117" s="8" t="s">
        <v>66</v>
      </c>
      <c r="I117" s="8" t="e">
        <f ca="1">"["&amp;INT(getMinDes(B117))&amp;"-"&amp;INT(getMaxDes(B117))&amp;"]"&amp;getDesName(B117)&amp;" "&amp;getRandomNatureDes(K117)&amp;getSuitDes(B117)</f>
        <v>#VALUE!</v>
      </c>
      <c r="J117" s="1">
        <v>0</v>
      </c>
      <c r="K117" s="1">
        <v>1</v>
      </c>
      <c r="L117" s="1">
        <f t="shared" si="12"/>
        <v>7</v>
      </c>
      <c r="M117" s="1" t="str">
        <f ca="1">mVlookup(E117&amp;L117,装备名称!J$43:Z$74,H117,FALSE)</f>
        <v>IC1207</v>
      </c>
      <c r="N117" s="1" t="str">
        <f t="shared" si="10"/>
        <v>137</v>
      </c>
      <c r="O117" s="1">
        <f t="shared" si="11"/>
        <v>200115</v>
      </c>
    </row>
    <row r="118" spans="1:15" x14ac:dyDescent="0.15">
      <c r="A118" s="1">
        <v>116</v>
      </c>
      <c r="B118" s="1">
        <f t="shared" si="7"/>
        <v>101081300</v>
      </c>
      <c r="C118" s="1" t="str">
        <f t="shared" ca="1" si="8"/>
        <v>异灵剑</v>
      </c>
      <c r="D118" s="1" t="s">
        <v>425</v>
      </c>
      <c r="E118" s="1">
        <v>1</v>
      </c>
      <c r="F118" s="8">
        <v>1</v>
      </c>
      <c r="G118" s="8">
        <f t="shared" si="9"/>
        <v>13</v>
      </c>
      <c r="H118" s="8" t="s">
        <v>66</v>
      </c>
      <c r="I118" s="8" t="e">
        <f ca="1">"["&amp;INT(getMinDes(B118))&amp;"-"&amp;INT(getMaxDes(B118))&amp;"]"&amp;getDesName(B118)&amp;" "&amp;getRandomNatureDes(K118)&amp;getSuitDes(B118)</f>
        <v>#VALUE!</v>
      </c>
      <c r="J118" s="1">
        <v>0</v>
      </c>
      <c r="K118" s="1">
        <v>1</v>
      </c>
      <c r="L118" s="1">
        <f t="shared" si="12"/>
        <v>8</v>
      </c>
      <c r="M118" s="1" t="str">
        <f ca="1">mVlookup(E118&amp;L118,装备名称!J$43:Z$74,H118,FALSE)</f>
        <v>IC1299</v>
      </c>
      <c r="N118" s="1" t="str">
        <f t="shared" si="10"/>
        <v>138</v>
      </c>
      <c r="O118" s="1">
        <f t="shared" si="11"/>
        <v>200116</v>
      </c>
    </row>
    <row r="119" spans="1:15" x14ac:dyDescent="0.15">
      <c r="A119" s="1">
        <v>117</v>
      </c>
      <c r="B119" s="1">
        <f t="shared" si="7"/>
        <v>101091300</v>
      </c>
      <c r="C119" s="1" t="str">
        <f t="shared" ca="1" si="8"/>
        <v>流星剑</v>
      </c>
      <c r="D119" s="1" t="s">
        <v>425</v>
      </c>
      <c r="E119" s="1">
        <v>1</v>
      </c>
      <c r="F119" s="8">
        <v>1</v>
      </c>
      <c r="G119" s="8">
        <f t="shared" si="9"/>
        <v>13</v>
      </c>
      <c r="H119" s="8" t="s">
        <v>66</v>
      </c>
      <c r="I119" s="8" t="e">
        <f ca="1">"["&amp;INT(getMinDes(B119))&amp;"-"&amp;INT(getMaxDes(B119))&amp;"]"&amp;getDesName(B119)&amp;" "&amp;getRandomNatureDes(K119)&amp;getSuitDes(B119)</f>
        <v>#VALUE!</v>
      </c>
      <c r="J119" s="1">
        <v>0</v>
      </c>
      <c r="K119" s="1">
        <v>1</v>
      </c>
      <c r="L119" s="1">
        <f t="shared" si="12"/>
        <v>9</v>
      </c>
      <c r="M119" s="1" t="str">
        <f ca="1">mVlookup(E119&amp;L119,装备名称!J$43:Z$74,H119,FALSE)</f>
        <v>IC1201</v>
      </c>
      <c r="N119" s="1" t="str">
        <f t="shared" si="10"/>
        <v>139</v>
      </c>
      <c r="O119" s="1">
        <f t="shared" si="11"/>
        <v>200117</v>
      </c>
    </row>
    <row r="120" spans="1:15" x14ac:dyDescent="0.15">
      <c r="A120" s="1">
        <v>118</v>
      </c>
      <c r="B120" s="1">
        <f t="shared" si="7"/>
        <v>201011400</v>
      </c>
      <c r="C120" s="1" t="str">
        <f t="shared" ca="1" si="8"/>
        <v>破旧的戒指</v>
      </c>
      <c r="D120" s="1" t="s">
        <v>425</v>
      </c>
      <c r="E120" s="1">
        <v>1</v>
      </c>
      <c r="F120" s="1">
        <v>2</v>
      </c>
      <c r="G120" s="8">
        <f t="shared" si="9"/>
        <v>14</v>
      </c>
      <c r="H120" s="8" t="s">
        <v>412</v>
      </c>
      <c r="I120" s="8" t="e">
        <f ca="1">"["&amp;INT(getMinDes(B120))&amp;"-"&amp;INT(getMaxDes(B120))&amp;"]"&amp;getDesName(B120)&amp;" "&amp;getRandomNatureDes(K120)&amp;getSuitDes(B120)</f>
        <v>#VALUE!</v>
      </c>
      <c r="J120" s="1">
        <v>0</v>
      </c>
      <c r="K120" s="1">
        <v>1</v>
      </c>
      <c r="L120" s="1">
        <f t="shared" si="12"/>
        <v>1</v>
      </c>
      <c r="M120" s="1" t="str">
        <f ca="1">mVlookup(E120&amp;L120,装备名称!J$43:Z$74,H120,FALSE)</f>
        <v>IC1851</v>
      </c>
      <c r="N120" s="1" t="str">
        <f t="shared" si="10"/>
        <v>141</v>
      </c>
      <c r="O120" s="1">
        <f t="shared" si="11"/>
        <v>200118</v>
      </c>
    </row>
    <row r="121" spans="1:15" x14ac:dyDescent="0.15">
      <c r="A121" s="1">
        <v>119</v>
      </c>
      <c r="B121" s="1">
        <f t="shared" si="7"/>
        <v>201021400</v>
      </c>
      <c r="C121" s="1" t="str">
        <f t="shared" ca="1" si="8"/>
        <v>普通的戒指</v>
      </c>
      <c r="D121" s="1" t="s">
        <v>425</v>
      </c>
      <c r="E121" s="1">
        <v>1</v>
      </c>
      <c r="F121" s="1">
        <v>2</v>
      </c>
      <c r="G121" s="8">
        <f t="shared" si="9"/>
        <v>14</v>
      </c>
      <c r="H121" s="8" t="s">
        <v>412</v>
      </c>
      <c r="I121" s="8" t="e">
        <f ca="1">"["&amp;INT(getMinDes(B121))&amp;"-"&amp;INT(getMaxDes(B121))&amp;"]"&amp;getDesName(B121)&amp;" "&amp;getRandomNatureDes(K121)&amp;getSuitDes(B121)</f>
        <v>#VALUE!</v>
      </c>
      <c r="J121" s="1">
        <v>0</v>
      </c>
      <c r="K121" s="1">
        <v>1</v>
      </c>
      <c r="L121" s="1">
        <f t="shared" si="12"/>
        <v>2</v>
      </c>
      <c r="M121" s="1" t="str">
        <f ca="1">mVlookup(E121&amp;L121,装备名称!J$43:Z$74,H121,FALSE)</f>
        <v>IC1853</v>
      </c>
      <c r="N121" s="1" t="str">
        <f t="shared" si="10"/>
        <v>142</v>
      </c>
      <c r="O121" s="1">
        <f t="shared" si="11"/>
        <v>200119</v>
      </c>
    </row>
    <row r="122" spans="1:15" x14ac:dyDescent="0.15">
      <c r="A122" s="1">
        <v>120</v>
      </c>
      <c r="B122" s="1">
        <f t="shared" si="7"/>
        <v>201031400</v>
      </c>
      <c r="C122" s="1" t="str">
        <f t="shared" ca="1" si="8"/>
        <v>初级的戒指</v>
      </c>
      <c r="D122" s="1" t="s">
        <v>425</v>
      </c>
      <c r="E122" s="1">
        <v>1</v>
      </c>
      <c r="F122" s="1">
        <v>2</v>
      </c>
      <c r="G122" s="8">
        <f t="shared" si="9"/>
        <v>14</v>
      </c>
      <c r="H122" s="8" t="s">
        <v>412</v>
      </c>
      <c r="I122" s="8" t="e">
        <f ca="1">"["&amp;INT(getMinDes(B122))&amp;"-"&amp;INT(getMaxDes(B122))&amp;"]"&amp;getDesName(B122)&amp;" "&amp;getRandomNatureDes(K122)&amp;getSuitDes(B122)</f>
        <v>#VALUE!</v>
      </c>
      <c r="J122" s="1">
        <v>0</v>
      </c>
      <c r="K122" s="1">
        <v>1</v>
      </c>
      <c r="L122" s="1">
        <f t="shared" si="12"/>
        <v>3</v>
      </c>
      <c r="M122" s="1" t="str">
        <f ca="1">mVlookup(E122&amp;L122,装备名称!J$43:Z$74,H122,FALSE)</f>
        <v>IC1857</v>
      </c>
      <c r="N122" s="1" t="str">
        <f t="shared" si="10"/>
        <v>143</v>
      </c>
      <c r="O122" s="1">
        <f t="shared" si="11"/>
        <v>200120</v>
      </c>
    </row>
    <row r="123" spans="1:15" x14ac:dyDescent="0.15">
      <c r="A123" s="1">
        <v>121</v>
      </c>
      <c r="B123" s="1">
        <f t="shared" si="7"/>
        <v>201041400</v>
      </c>
      <c r="C123" s="1" t="str">
        <f t="shared" ca="1" si="8"/>
        <v>水晶戒指</v>
      </c>
      <c r="D123" s="1" t="s">
        <v>425</v>
      </c>
      <c r="E123" s="1">
        <v>1</v>
      </c>
      <c r="F123" s="1">
        <v>2</v>
      </c>
      <c r="G123" s="8">
        <f t="shared" si="9"/>
        <v>14</v>
      </c>
      <c r="H123" s="8" t="s">
        <v>412</v>
      </c>
      <c r="I123" s="8" t="e">
        <f ca="1">"["&amp;INT(getMinDes(B123))&amp;"-"&amp;INT(getMaxDes(B123))&amp;"]"&amp;getDesName(B123)&amp;" "&amp;getRandomNatureDes(K123)&amp;getSuitDes(B123)</f>
        <v>#VALUE!</v>
      </c>
      <c r="J123" s="1">
        <v>0</v>
      </c>
      <c r="K123" s="1">
        <v>1</v>
      </c>
      <c r="L123" s="1">
        <f t="shared" si="12"/>
        <v>4</v>
      </c>
      <c r="M123" s="1" t="str">
        <f ca="1">mVlookup(E123&amp;L123,装备名称!J$43:Z$74,H123,FALSE)</f>
        <v>IC1903</v>
      </c>
      <c r="N123" s="1" t="str">
        <f t="shared" si="10"/>
        <v>144</v>
      </c>
      <c r="O123" s="1">
        <f t="shared" si="11"/>
        <v>200121</v>
      </c>
    </row>
    <row r="124" spans="1:15" x14ac:dyDescent="0.15">
      <c r="A124" s="1">
        <v>122</v>
      </c>
      <c r="B124" s="1">
        <f t="shared" si="7"/>
        <v>201051400</v>
      </c>
      <c r="C124" s="1" t="str">
        <f t="shared" ca="1" si="8"/>
        <v>青铜戒指</v>
      </c>
      <c r="D124" s="1" t="s">
        <v>425</v>
      </c>
      <c r="E124" s="1">
        <v>1</v>
      </c>
      <c r="F124" s="1">
        <v>2</v>
      </c>
      <c r="G124" s="8">
        <f t="shared" si="9"/>
        <v>14</v>
      </c>
      <c r="H124" s="8" t="s">
        <v>412</v>
      </c>
      <c r="I124" s="8" t="e">
        <f ca="1">"["&amp;INT(getMinDes(B124))&amp;"-"&amp;INT(getMaxDes(B124))&amp;"]"&amp;getDesName(B124)&amp;" "&amp;getRandomNatureDes(K124)&amp;getSuitDes(B124)</f>
        <v>#VALUE!</v>
      </c>
      <c r="J124" s="1">
        <v>0</v>
      </c>
      <c r="K124" s="1">
        <v>1</v>
      </c>
      <c r="L124" s="1">
        <f t="shared" si="12"/>
        <v>5</v>
      </c>
      <c r="M124" s="1" t="str">
        <f ca="1">mVlookup(E124&amp;L124,装备名称!J$43:Z$74,H124,FALSE)</f>
        <v>IC1929</v>
      </c>
      <c r="N124" s="1" t="str">
        <f t="shared" si="10"/>
        <v>145</v>
      </c>
      <c r="O124" s="1">
        <f t="shared" si="11"/>
        <v>200122</v>
      </c>
    </row>
    <row r="125" spans="1:15" x14ac:dyDescent="0.15">
      <c r="A125" s="1">
        <v>123</v>
      </c>
      <c r="B125" s="1">
        <f t="shared" si="7"/>
        <v>201061400</v>
      </c>
      <c r="C125" s="1" t="str">
        <f t="shared" ca="1" si="8"/>
        <v>玄铁戒指</v>
      </c>
      <c r="D125" s="1" t="s">
        <v>425</v>
      </c>
      <c r="E125" s="1">
        <v>1</v>
      </c>
      <c r="F125" s="1">
        <v>2</v>
      </c>
      <c r="G125" s="8">
        <f t="shared" si="9"/>
        <v>14</v>
      </c>
      <c r="H125" s="8" t="s">
        <v>412</v>
      </c>
      <c r="I125" s="8" t="e">
        <f ca="1">"["&amp;INT(getMinDes(B125))&amp;"-"&amp;INT(getMaxDes(B125))&amp;"]"&amp;getDesName(B125)&amp;" "&amp;getRandomNatureDes(K125)&amp;getSuitDes(B125)</f>
        <v>#VALUE!</v>
      </c>
      <c r="J125" s="1">
        <v>0</v>
      </c>
      <c r="K125" s="1">
        <v>1</v>
      </c>
      <c r="L125" s="1">
        <f t="shared" si="12"/>
        <v>6</v>
      </c>
      <c r="M125" s="1" t="str">
        <f ca="1">mVlookup(E125&amp;L125,装备名称!J$43:Z$74,H125,FALSE)</f>
        <v>IC1851</v>
      </c>
      <c r="N125" s="1" t="str">
        <f t="shared" si="10"/>
        <v>146</v>
      </c>
      <c r="O125" s="1">
        <f t="shared" si="11"/>
        <v>200123</v>
      </c>
    </row>
    <row r="126" spans="1:15" x14ac:dyDescent="0.15">
      <c r="A126" s="1">
        <v>124</v>
      </c>
      <c r="B126" s="1">
        <f t="shared" si="7"/>
        <v>201071400</v>
      </c>
      <c r="C126" s="1" t="str">
        <f t="shared" ca="1" si="8"/>
        <v>白银戒指</v>
      </c>
      <c r="D126" s="1" t="s">
        <v>425</v>
      </c>
      <c r="E126" s="1">
        <v>1</v>
      </c>
      <c r="F126" s="1">
        <v>2</v>
      </c>
      <c r="G126" s="8">
        <f t="shared" si="9"/>
        <v>14</v>
      </c>
      <c r="H126" s="8" t="s">
        <v>412</v>
      </c>
      <c r="I126" s="8" t="e">
        <f ca="1">"["&amp;INT(getMinDes(B126))&amp;"-"&amp;INT(getMaxDes(B126))&amp;"]"&amp;getDesName(B126)&amp;" "&amp;getRandomNatureDes(K126)&amp;getSuitDes(B126)</f>
        <v>#VALUE!</v>
      </c>
      <c r="J126" s="1">
        <v>0</v>
      </c>
      <c r="K126" s="1">
        <v>1</v>
      </c>
      <c r="L126" s="1">
        <f t="shared" si="12"/>
        <v>7</v>
      </c>
      <c r="M126" s="1" t="str">
        <f ca="1">mVlookup(E126&amp;L126,装备名称!J$43:Z$74,H126,FALSE)</f>
        <v>IC1853</v>
      </c>
      <c r="N126" s="1" t="str">
        <f t="shared" si="10"/>
        <v>147</v>
      </c>
      <c r="O126" s="1">
        <f t="shared" si="11"/>
        <v>200124</v>
      </c>
    </row>
    <row r="127" spans="1:15" x14ac:dyDescent="0.15">
      <c r="A127" s="1">
        <v>125</v>
      </c>
      <c r="B127" s="1">
        <f t="shared" si="7"/>
        <v>201081400</v>
      </c>
      <c r="C127" s="1" t="str">
        <f t="shared" ca="1" si="8"/>
        <v>异灵戒指</v>
      </c>
      <c r="D127" s="1" t="s">
        <v>425</v>
      </c>
      <c r="E127" s="1">
        <v>1</v>
      </c>
      <c r="F127" s="1">
        <v>2</v>
      </c>
      <c r="G127" s="8">
        <f t="shared" si="9"/>
        <v>14</v>
      </c>
      <c r="H127" s="8" t="s">
        <v>412</v>
      </c>
      <c r="I127" s="8" t="e">
        <f ca="1">"["&amp;INT(getMinDes(B127))&amp;"-"&amp;INT(getMaxDes(B127))&amp;"]"&amp;getDesName(B127)&amp;" "&amp;getRandomNatureDes(K127)&amp;getSuitDes(B127)</f>
        <v>#VALUE!</v>
      </c>
      <c r="J127" s="1">
        <v>0</v>
      </c>
      <c r="K127" s="1">
        <v>1</v>
      </c>
      <c r="L127" s="1">
        <f t="shared" si="12"/>
        <v>8</v>
      </c>
      <c r="M127" s="1" t="str">
        <f ca="1">mVlookup(E127&amp;L127,装备名称!J$43:Z$74,H127,FALSE)</f>
        <v>IC1857</v>
      </c>
      <c r="N127" s="1" t="str">
        <f t="shared" si="10"/>
        <v>148</v>
      </c>
      <c r="O127" s="1">
        <f t="shared" si="11"/>
        <v>200125</v>
      </c>
    </row>
    <row r="128" spans="1:15" x14ac:dyDescent="0.15">
      <c r="A128" s="1">
        <v>126</v>
      </c>
      <c r="B128" s="1">
        <f t="shared" si="7"/>
        <v>201091400</v>
      </c>
      <c r="C128" s="1" t="str">
        <f t="shared" ca="1" si="8"/>
        <v>流星戒指</v>
      </c>
      <c r="D128" s="1" t="s">
        <v>425</v>
      </c>
      <c r="E128" s="1">
        <v>1</v>
      </c>
      <c r="F128" s="1">
        <v>2</v>
      </c>
      <c r="G128" s="8">
        <f t="shared" si="9"/>
        <v>14</v>
      </c>
      <c r="H128" s="8" t="s">
        <v>412</v>
      </c>
      <c r="I128" s="8" t="e">
        <f ca="1">"["&amp;INT(getMinDes(B128))&amp;"-"&amp;INT(getMaxDes(B128))&amp;"]"&amp;getDesName(B128)&amp;" "&amp;getRandomNatureDes(K128)&amp;getSuitDes(B128)</f>
        <v>#VALUE!</v>
      </c>
      <c r="J128" s="1">
        <v>0</v>
      </c>
      <c r="K128" s="1">
        <v>1</v>
      </c>
      <c r="L128" s="1">
        <f t="shared" si="12"/>
        <v>9</v>
      </c>
      <c r="M128" s="1" t="str">
        <f ca="1">mVlookup(E128&amp;L128,装备名称!J$43:Z$74,H128,FALSE)</f>
        <v>IC1903</v>
      </c>
      <c r="N128" s="1" t="str">
        <f t="shared" si="10"/>
        <v>149</v>
      </c>
      <c r="O128" s="1">
        <f t="shared" si="11"/>
        <v>200126</v>
      </c>
    </row>
    <row r="129" spans="1:15" x14ac:dyDescent="0.15">
      <c r="A129" s="1">
        <v>127</v>
      </c>
      <c r="B129" s="1">
        <f t="shared" si="7"/>
        <v>301011500</v>
      </c>
      <c r="C129" s="1" t="str">
        <f t="shared" ca="1" si="8"/>
        <v>破旧的项链</v>
      </c>
      <c r="D129" s="1" t="s">
        <v>425</v>
      </c>
      <c r="E129" s="1">
        <v>1</v>
      </c>
      <c r="F129" s="1">
        <v>3</v>
      </c>
      <c r="G129" s="8">
        <f t="shared" si="9"/>
        <v>15</v>
      </c>
      <c r="H129" s="8" t="s">
        <v>413</v>
      </c>
      <c r="I129" s="8" t="e">
        <f ca="1">"["&amp;INT(getMinDes(B129))&amp;"-"&amp;INT(getMaxDes(B129))&amp;"]"&amp;getDesName(B129)&amp;" "&amp;getRandomNatureDes(K129)&amp;getSuitDes(B129)</f>
        <v>#VALUE!</v>
      </c>
      <c r="J129" s="1">
        <v>0</v>
      </c>
      <c r="K129" s="1">
        <v>1</v>
      </c>
      <c r="L129" s="1">
        <f t="shared" si="12"/>
        <v>1</v>
      </c>
      <c r="M129" s="1" t="str">
        <f ca="1">mVlookup(E129&amp;L129,装备名称!J$43:Z$74,H129,FALSE)</f>
        <v>IC1880</v>
      </c>
      <c r="N129" s="1" t="str">
        <f t="shared" si="10"/>
        <v>151</v>
      </c>
      <c r="O129" s="1">
        <f t="shared" si="11"/>
        <v>200127</v>
      </c>
    </row>
    <row r="130" spans="1:15" x14ac:dyDescent="0.15">
      <c r="A130" s="1">
        <v>128</v>
      </c>
      <c r="B130" s="1">
        <f t="shared" si="7"/>
        <v>301021500</v>
      </c>
      <c r="C130" s="1" t="str">
        <f t="shared" ca="1" si="8"/>
        <v>普通的项链</v>
      </c>
      <c r="D130" s="1" t="s">
        <v>425</v>
      </c>
      <c r="E130" s="1">
        <v>1</v>
      </c>
      <c r="F130" s="1">
        <v>3</v>
      </c>
      <c r="G130" s="8">
        <f t="shared" si="9"/>
        <v>15</v>
      </c>
      <c r="H130" s="8" t="s">
        <v>413</v>
      </c>
      <c r="I130" s="8" t="e">
        <f ca="1">"["&amp;INT(getMinDes(B130))&amp;"-"&amp;INT(getMaxDes(B130))&amp;"]"&amp;getDesName(B130)&amp;" "&amp;getRandomNatureDes(K130)&amp;getSuitDes(B130)</f>
        <v>#VALUE!</v>
      </c>
      <c r="J130" s="1">
        <v>0</v>
      </c>
      <c r="K130" s="1">
        <v>1</v>
      </c>
      <c r="L130" s="1">
        <f t="shared" si="12"/>
        <v>2</v>
      </c>
      <c r="M130" s="1" t="str">
        <f ca="1">mVlookup(E130&amp;L130,装备名称!J$43:Z$74,H130,FALSE)</f>
        <v>IC1882</v>
      </c>
      <c r="N130" s="1" t="str">
        <f t="shared" si="10"/>
        <v>152</v>
      </c>
      <c r="O130" s="1">
        <f t="shared" si="11"/>
        <v>200128</v>
      </c>
    </row>
    <row r="131" spans="1:15" x14ac:dyDescent="0.15">
      <c r="A131" s="1">
        <v>129</v>
      </c>
      <c r="B131" s="1">
        <f t="shared" si="7"/>
        <v>301031500</v>
      </c>
      <c r="C131" s="1" t="str">
        <f t="shared" ca="1" si="8"/>
        <v>初级的项链</v>
      </c>
      <c r="D131" s="1" t="s">
        <v>425</v>
      </c>
      <c r="E131" s="1">
        <v>1</v>
      </c>
      <c r="F131" s="1">
        <v>3</v>
      </c>
      <c r="G131" s="8">
        <f t="shared" si="9"/>
        <v>15</v>
      </c>
      <c r="H131" s="8" t="s">
        <v>413</v>
      </c>
      <c r="I131" s="8" t="e">
        <f ca="1">"["&amp;INT(getMinDes(B131))&amp;"-"&amp;INT(getMaxDes(B131))&amp;"]"&amp;getDesName(B131)&amp;" "&amp;getRandomNatureDes(K131)&amp;getSuitDes(B131)</f>
        <v>#VALUE!</v>
      </c>
      <c r="J131" s="1">
        <v>0</v>
      </c>
      <c r="K131" s="1">
        <v>1</v>
      </c>
      <c r="L131" s="1">
        <f t="shared" si="12"/>
        <v>3</v>
      </c>
      <c r="M131" s="1" t="str">
        <f ca="1">mVlookup(E131&amp;L131,装备名称!J$43:Z$74,H131,FALSE)</f>
        <v>ICe930</v>
      </c>
      <c r="N131" s="1" t="str">
        <f t="shared" si="10"/>
        <v>153</v>
      </c>
      <c r="O131" s="1">
        <f t="shared" si="11"/>
        <v>200129</v>
      </c>
    </row>
    <row r="132" spans="1:15" x14ac:dyDescent="0.15">
      <c r="A132" s="1">
        <v>130</v>
      </c>
      <c r="B132" s="1">
        <f t="shared" ref="B132:B195" si="13">F132*100000000+E132*1000000+L132*10000+G132*100+J132</f>
        <v>301041500</v>
      </c>
      <c r="C132" s="1" t="str">
        <f t="shared" ref="C132:C191" ca="1" si="14">mVlookup(L132,INDIRECT(D132),H132,FALSE)</f>
        <v>水晶项链</v>
      </c>
      <c r="D132" s="1" t="s">
        <v>425</v>
      </c>
      <c r="E132" s="1">
        <v>1</v>
      </c>
      <c r="F132" s="1">
        <v>3</v>
      </c>
      <c r="G132" s="8">
        <f t="shared" ref="G132:G195" si="15">VLOOKUP(H132,S$12:T$26,2,FALSE)</f>
        <v>15</v>
      </c>
      <c r="H132" s="8" t="s">
        <v>413</v>
      </c>
      <c r="I132" s="8" t="e">
        <f ca="1">"["&amp;INT(getMinDes(B132))&amp;"-"&amp;INT(getMaxDes(B132))&amp;"]"&amp;getDesName(B132)&amp;" "&amp;getRandomNatureDes(K132)&amp;getSuitDes(B132)</f>
        <v>#VALUE!</v>
      </c>
      <c r="J132" s="1">
        <v>0</v>
      </c>
      <c r="K132" s="1">
        <v>1</v>
      </c>
      <c r="L132" s="1">
        <f t="shared" si="12"/>
        <v>4</v>
      </c>
      <c r="M132" s="1" t="str">
        <f ca="1">mVlookup(E132&amp;L132,装备名称!J$43:Z$74,H132,FALSE)</f>
        <v>IC1925</v>
      </c>
      <c r="N132" s="1" t="str">
        <f t="shared" ref="N132:N195" si="16">G132&amp;L132</f>
        <v>154</v>
      </c>
      <c r="O132" s="1">
        <f t="shared" si="11"/>
        <v>200130</v>
      </c>
    </row>
    <row r="133" spans="1:15" x14ac:dyDescent="0.15">
      <c r="A133" s="1">
        <v>131</v>
      </c>
      <c r="B133" s="1">
        <f t="shared" si="13"/>
        <v>301051500</v>
      </c>
      <c r="C133" s="1" t="str">
        <f t="shared" ca="1" si="14"/>
        <v>青铜项链</v>
      </c>
      <c r="D133" s="1" t="s">
        <v>425</v>
      </c>
      <c r="E133" s="1">
        <v>1</v>
      </c>
      <c r="F133" s="1">
        <v>3</v>
      </c>
      <c r="G133" s="8">
        <f t="shared" si="15"/>
        <v>15</v>
      </c>
      <c r="H133" s="8" t="s">
        <v>413</v>
      </c>
      <c r="I133" s="8" t="e">
        <f ca="1">"["&amp;INT(getMinDes(B133))&amp;"-"&amp;INT(getMaxDes(B133))&amp;"]"&amp;getDesName(B133)&amp;" "&amp;getRandomNatureDes(K133)&amp;getSuitDes(B133)</f>
        <v>#VALUE!</v>
      </c>
      <c r="J133" s="1">
        <v>0</v>
      </c>
      <c r="K133" s="1">
        <v>1</v>
      </c>
      <c r="L133" s="1">
        <f t="shared" si="12"/>
        <v>5</v>
      </c>
      <c r="M133" s="1" t="str">
        <f ca="1">mVlookup(E133&amp;L133,装备名称!J$43:Z$74,H133,FALSE)</f>
        <v>IC1889</v>
      </c>
      <c r="N133" s="1" t="str">
        <f t="shared" si="16"/>
        <v>155</v>
      </c>
      <c r="O133" s="1">
        <f t="shared" ref="O133:O196" si="17">O132+1</f>
        <v>200131</v>
      </c>
    </row>
    <row r="134" spans="1:15" x14ac:dyDescent="0.15">
      <c r="A134" s="1">
        <v>132</v>
      </c>
      <c r="B134" s="1">
        <f t="shared" si="13"/>
        <v>301061500</v>
      </c>
      <c r="C134" s="1" t="str">
        <f t="shared" ca="1" si="14"/>
        <v>玄铁项链</v>
      </c>
      <c r="D134" s="1" t="s">
        <v>425</v>
      </c>
      <c r="E134" s="1">
        <v>1</v>
      </c>
      <c r="F134" s="1">
        <v>3</v>
      </c>
      <c r="G134" s="8">
        <f t="shared" si="15"/>
        <v>15</v>
      </c>
      <c r="H134" s="8" t="s">
        <v>413</v>
      </c>
      <c r="I134" s="8" t="e">
        <f ca="1">"["&amp;INT(getMinDes(B134))&amp;"-"&amp;INT(getMaxDes(B134))&amp;"]"&amp;getDesName(B134)&amp;" "&amp;getRandomNatureDes(K134)&amp;getSuitDes(B134)</f>
        <v>#VALUE!</v>
      </c>
      <c r="J134" s="1">
        <v>0</v>
      </c>
      <c r="K134" s="1">
        <v>1</v>
      </c>
      <c r="L134" s="1">
        <f t="shared" si="12"/>
        <v>6</v>
      </c>
      <c r="M134" s="1" t="str">
        <f ca="1">mVlookup(E134&amp;L134,装备名称!J$43:Z$74,H134,FALSE)</f>
        <v>IC1883</v>
      </c>
      <c r="N134" s="1" t="str">
        <f t="shared" si="16"/>
        <v>156</v>
      </c>
      <c r="O134" s="1">
        <f t="shared" si="17"/>
        <v>200132</v>
      </c>
    </row>
    <row r="135" spans="1:15" x14ac:dyDescent="0.15">
      <c r="A135" s="1">
        <v>133</v>
      </c>
      <c r="B135" s="1">
        <f t="shared" si="13"/>
        <v>301071500</v>
      </c>
      <c r="C135" s="1" t="str">
        <f t="shared" ca="1" si="14"/>
        <v>白银项链</v>
      </c>
      <c r="D135" s="1" t="s">
        <v>425</v>
      </c>
      <c r="E135" s="1">
        <v>1</v>
      </c>
      <c r="F135" s="1">
        <v>3</v>
      </c>
      <c r="G135" s="8">
        <f t="shared" si="15"/>
        <v>15</v>
      </c>
      <c r="H135" s="8" t="s">
        <v>413</v>
      </c>
      <c r="I135" s="8" t="e">
        <f ca="1">"["&amp;INT(getMinDes(B135))&amp;"-"&amp;INT(getMaxDes(B135))&amp;"]"&amp;getDesName(B135)&amp;" "&amp;getRandomNatureDes(K135)&amp;getSuitDes(B135)</f>
        <v>#VALUE!</v>
      </c>
      <c r="J135" s="1">
        <v>0</v>
      </c>
      <c r="K135" s="1">
        <v>1</v>
      </c>
      <c r="L135" s="1">
        <f t="shared" si="12"/>
        <v>7</v>
      </c>
      <c r="M135" s="1" t="str">
        <f ca="1">mVlookup(E135&amp;L135,装备名称!J$43:Z$74,H135,FALSE)</f>
        <v>IC1889</v>
      </c>
      <c r="N135" s="1" t="str">
        <f t="shared" si="16"/>
        <v>157</v>
      </c>
      <c r="O135" s="1">
        <f t="shared" si="17"/>
        <v>200133</v>
      </c>
    </row>
    <row r="136" spans="1:15" x14ac:dyDescent="0.15">
      <c r="A136" s="1">
        <v>134</v>
      </c>
      <c r="B136" s="1">
        <f t="shared" si="13"/>
        <v>301081500</v>
      </c>
      <c r="C136" s="1" t="str">
        <f t="shared" ca="1" si="14"/>
        <v>异灵项链</v>
      </c>
      <c r="D136" s="1" t="s">
        <v>425</v>
      </c>
      <c r="E136" s="1">
        <v>1</v>
      </c>
      <c r="F136" s="1">
        <v>3</v>
      </c>
      <c r="G136" s="8">
        <f t="shared" si="15"/>
        <v>15</v>
      </c>
      <c r="H136" s="8" t="s">
        <v>413</v>
      </c>
      <c r="I136" s="8" t="e">
        <f ca="1">"["&amp;INT(getMinDes(B136))&amp;"-"&amp;INT(getMaxDes(B136))&amp;"]"&amp;getDesName(B136)&amp;" "&amp;getRandomNatureDes(K136)&amp;getSuitDes(B136)</f>
        <v>#VALUE!</v>
      </c>
      <c r="J136" s="1">
        <v>0</v>
      </c>
      <c r="K136" s="1">
        <v>1</v>
      </c>
      <c r="L136" s="1">
        <f t="shared" si="12"/>
        <v>8</v>
      </c>
      <c r="M136" s="1" t="str">
        <f ca="1">mVlookup(E136&amp;L136,装备名称!J$43:Z$74,H136,FALSE)</f>
        <v>IC1880</v>
      </c>
      <c r="N136" s="1" t="str">
        <f t="shared" si="16"/>
        <v>158</v>
      </c>
      <c r="O136" s="1">
        <f t="shared" si="17"/>
        <v>200134</v>
      </c>
    </row>
    <row r="137" spans="1:15" x14ac:dyDescent="0.15">
      <c r="A137" s="1">
        <v>135</v>
      </c>
      <c r="B137" s="1">
        <f t="shared" si="13"/>
        <v>301091500</v>
      </c>
      <c r="C137" s="1" t="str">
        <f t="shared" ca="1" si="14"/>
        <v>流星项链</v>
      </c>
      <c r="D137" s="1" t="s">
        <v>425</v>
      </c>
      <c r="E137" s="1">
        <v>1</v>
      </c>
      <c r="F137" s="1">
        <v>3</v>
      </c>
      <c r="G137" s="8">
        <f t="shared" si="15"/>
        <v>15</v>
      </c>
      <c r="H137" s="8" t="s">
        <v>413</v>
      </c>
      <c r="I137" s="8" t="e">
        <f ca="1">"["&amp;INT(getMinDes(B137))&amp;"-"&amp;INT(getMaxDes(B137))&amp;"]"&amp;getDesName(B137)&amp;" "&amp;getRandomNatureDes(K137)&amp;getSuitDes(B137)</f>
        <v>#VALUE!</v>
      </c>
      <c r="J137" s="1">
        <v>0</v>
      </c>
      <c r="K137" s="1">
        <v>1</v>
      </c>
      <c r="L137" s="1">
        <f t="shared" si="12"/>
        <v>9</v>
      </c>
      <c r="M137" s="1" t="str">
        <f ca="1">mVlookup(E137&amp;L137,装备名称!J$43:Z$74,H137,FALSE)</f>
        <v>IC1882</v>
      </c>
      <c r="N137" s="1" t="str">
        <f t="shared" si="16"/>
        <v>159</v>
      </c>
      <c r="O137" s="1">
        <f t="shared" si="17"/>
        <v>200135</v>
      </c>
    </row>
    <row r="138" spans="1:15" x14ac:dyDescent="0.15">
      <c r="A138" s="1">
        <v>136</v>
      </c>
      <c r="B138" s="1">
        <f t="shared" si="13"/>
        <v>102010100</v>
      </c>
      <c r="C138" s="1" t="str">
        <f t="shared" ca="1" si="14"/>
        <v>学徒颓废锤</v>
      </c>
      <c r="D138" s="1" t="s">
        <v>426</v>
      </c>
      <c r="E138" s="1">
        <v>2</v>
      </c>
      <c r="F138" s="1">
        <f>F3</f>
        <v>1</v>
      </c>
      <c r="G138" s="8">
        <f t="shared" si="15"/>
        <v>1</v>
      </c>
      <c r="H138" s="8" t="str">
        <f>H3</f>
        <v>锤</v>
      </c>
      <c r="I138" s="8" t="e">
        <f ca="1">"["&amp;INT(getMinDes(B138))&amp;"-"&amp;INT(getMaxDes(B138))&amp;"]"&amp;getDesName(B138)&amp;" "&amp;getRandomNatureDes(K138)&amp;getSuitDes(B138)</f>
        <v>#VALUE!</v>
      </c>
      <c r="J138" s="1">
        <v>0</v>
      </c>
      <c r="K138" s="1">
        <v>2</v>
      </c>
      <c r="L138" s="1">
        <f>L3</f>
        <v>1</v>
      </c>
      <c r="M138" s="1" t="str">
        <f ca="1">mVlookup(E138&amp;L138,装备名称!J$43:Z$74,H138,FALSE)</f>
        <v>IC1002</v>
      </c>
      <c r="N138" s="1" t="str">
        <f t="shared" si="16"/>
        <v>11</v>
      </c>
      <c r="O138" s="1">
        <f t="shared" si="17"/>
        <v>200136</v>
      </c>
    </row>
    <row r="139" spans="1:15" x14ac:dyDescent="0.15">
      <c r="A139" s="1">
        <v>137</v>
      </c>
      <c r="B139" s="1">
        <f t="shared" si="13"/>
        <v>102020100</v>
      </c>
      <c r="C139" s="1" t="str">
        <f t="shared" ca="1" si="14"/>
        <v>专家玄铁锤</v>
      </c>
      <c r="D139" s="1" t="s">
        <v>426</v>
      </c>
      <c r="E139" s="1">
        <v>2</v>
      </c>
      <c r="F139" s="1">
        <f t="shared" ref="F139:F202" si="18">F4</f>
        <v>1</v>
      </c>
      <c r="G139" s="8">
        <f t="shared" si="15"/>
        <v>1</v>
      </c>
      <c r="H139" s="8" t="str">
        <f t="shared" ref="H139:H202" si="19">H4</f>
        <v>锤</v>
      </c>
      <c r="I139" s="8" t="e">
        <f ca="1">"["&amp;INT(getMinDes(B139))&amp;"-"&amp;INT(getMaxDes(B139))&amp;"]"&amp;getDesName(B139)&amp;" "&amp;getRandomNatureDes(K139)&amp;getSuitDes(B139)</f>
        <v>#VALUE!</v>
      </c>
      <c r="J139" s="1">
        <v>0</v>
      </c>
      <c r="K139" s="1">
        <v>2</v>
      </c>
      <c r="L139" s="1">
        <f t="shared" ref="L139:L202" si="20">L4</f>
        <v>2</v>
      </c>
      <c r="M139" s="1" t="str">
        <f ca="1">mVlookup(E139&amp;L139,装备名称!J$43:Z$74,H139,FALSE)</f>
        <v>IC1080</v>
      </c>
      <c r="N139" s="1" t="str">
        <f t="shared" si="16"/>
        <v>12</v>
      </c>
      <c r="O139" s="1">
        <f t="shared" si="17"/>
        <v>200137</v>
      </c>
    </row>
    <row r="140" spans="1:15" x14ac:dyDescent="0.15">
      <c r="A140" s="1">
        <v>138</v>
      </c>
      <c r="B140" s="1">
        <f t="shared" si="13"/>
        <v>102030100</v>
      </c>
      <c r="C140" s="1" t="str">
        <f t="shared" ca="1" si="14"/>
        <v>大师水晶锤</v>
      </c>
      <c r="D140" s="1" t="s">
        <v>426</v>
      </c>
      <c r="E140" s="1">
        <v>2</v>
      </c>
      <c r="F140" s="1">
        <f t="shared" si="18"/>
        <v>1</v>
      </c>
      <c r="G140" s="8">
        <f t="shared" si="15"/>
        <v>1</v>
      </c>
      <c r="H140" s="8" t="str">
        <f t="shared" si="19"/>
        <v>锤</v>
      </c>
      <c r="I140" s="8" t="e">
        <f ca="1">"["&amp;INT(getMinDes(B140))&amp;"-"&amp;INT(getMaxDes(B140))&amp;"]"&amp;getDesName(B140)&amp;" "&amp;getRandomNatureDes(K140)&amp;getSuitDes(B140)</f>
        <v>#VALUE!</v>
      </c>
      <c r="J140" s="1">
        <v>0</v>
      </c>
      <c r="K140" s="1">
        <v>2</v>
      </c>
      <c r="L140" s="1">
        <f t="shared" si="20"/>
        <v>3</v>
      </c>
      <c r="M140" s="1" t="str">
        <f ca="1">mVlookup(E140&amp;L140,装备名称!J$43:Z$74,H140,FALSE)</f>
        <v>IC1001</v>
      </c>
      <c r="N140" s="1" t="str">
        <f t="shared" si="16"/>
        <v>13</v>
      </c>
      <c r="O140" s="1">
        <f t="shared" si="17"/>
        <v>200138</v>
      </c>
    </row>
    <row r="141" spans="1:15" x14ac:dyDescent="0.15">
      <c r="A141" s="1">
        <v>139</v>
      </c>
      <c r="B141" s="1">
        <f t="shared" si="13"/>
        <v>102040100</v>
      </c>
      <c r="C141" s="1" t="str">
        <f t="shared" ca="1" si="14"/>
        <v>宗师精钢锤</v>
      </c>
      <c r="D141" s="1" t="s">
        <v>426</v>
      </c>
      <c r="E141" s="1">
        <v>2</v>
      </c>
      <c r="F141" s="1">
        <f t="shared" si="18"/>
        <v>1</v>
      </c>
      <c r="G141" s="8">
        <f t="shared" si="15"/>
        <v>1</v>
      </c>
      <c r="H141" s="8" t="str">
        <f t="shared" si="19"/>
        <v>锤</v>
      </c>
      <c r="I141" s="8" t="e">
        <f ca="1">"["&amp;INT(getMinDes(B141))&amp;"-"&amp;INT(getMaxDes(B141))&amp;"]"&amp;getDesName(B141)&amp;" "&amp;getRandomNatureDes(K141)&amp;getSuitDes(B141)</f>
        <v>#VALUE!</v>
      </c>
      <c r="J141" s="1">
        <v>0</v>
      </c>
      <c r="K141" s="1">
        <v>2</v>
      </c>
      <c r="L141" s="1">
        <f t="shared" si="20"/>
        <v>4</v>
      </c>
      <c r="M141" s="1" t="str">
        <f ca="1">mVlookup(E141&amp;L141,装备名称!J$43:Z$74,H141,FALSE)</f>
        <v>IC1006</v>
      </c>
      <c r="N141" s="1" t="str">
        <f t="shared" si="16"/>
        <v>14</v>
      </c>
      <c r="O141" s="1">
        <f t="shared" si="17"/>
        <v>200139</v>
      </c>
    </row>
    <row r="142" spans="1:15" x14ac:dyDescent="0.15">
      <c r="A142" s="1">
        <v>140</v>
      </c>
      <c r="B142" s="1">
        <f t="shared" si="13"/>
        <v>102050100</v>
      </c>
      <c r="C142" s="1" t="str">
        <f t="shared" ca="1" si="14"/>
        <v>显赫白银锤</v>
      </c>
      <c r="D142" s="1" t="s">
        <v>426</v>
      </c>
      <c r="E142" s="1">
        <v>2</v>
      </c>
      <c r="F142" s="1">
        <f t="shared" si="18"/>
        <v>1</v>
      </c>
      <c r="G142" s="8">
        <f t="shared" si="15"/>
        <v>1</v>
      </c>
      <c r="H142" s="8" t="str">
        <f t="shared" si="19"/>
        <v>锤</v>
      </c>
      <c r="I142" s="8" t="e">
        <f ca="1">"["&amp;INT(getMinDes(B142))&amp;"-"&amp;INT(getMaxDes(B142))&amp;"]"&amp;getDesName(B142)&amp;" "&amp;getRandomNatureDes(K142)&amp;getSuitDes(B142)</f>
        <v>#VALUE!</v>
      </c>
      <c r="J142" s="1">
        <v>0</v>
      </c>
      <c r="K142" s="1">
        <v>2</v>
      </c>
      <c r="L142" s="1">
        <f t="shared" si="20"/>
        <v>5</v>
      </c>
      <c r="M142" s="1" t="str">
        <f ca="1">mVlookup(E142&amp;L142,装备名称!J$43:Z$74,H142,FALSE)</f>
        <v>IC1002</v>
      </c>
      <c r="N142" s="1" t="str">
        <f t="shared" si="16"/>
        <v>15</v>
      </c>
      <c r="O142" s="1">
        <f t="shared" si="17"/>
        <v>200140</v>
      </c>
    </row>
    <row r="143" spans="1:15" x14ac:dyDescent="0.15">
      <c r="A143" s="1">
        <v>141</v>
      </c>
      <c r="B143" s="1">
        <f t="shared" si="13"/>
        <v>102060100</v>
      </c>
      <c r="C143" s="1" t="str">
        <f t="shared" ca="1" si="14"/>
        <v>尊荣虚幻锤</v>
      </c>
      <c r="D143" s="1" t="s">
        <v>426</v>
      </c>
      <c r="E143" s="1">
        <v>2</v>
      </c>
      <c r="F143" s="1">
        <f t="shared" si="18"/>
        <v>1</v>
      </c>
      <c r="G143" s="8">
        <f t="shared" si="15"/>
        <v>1</v>
      </c>
      <c r="H143" s="8" t="str">
        <f t="shared" si="19"/>
        <v>锤</v>
      </c>
      <c r="I143" s="8" t="e">
        <f ca="1">"["&amp;INT(getMinDes(B143))&amp;"-"&amp;INT(getMaxDes(B143))&amp;"]"&amp;getDesName(B143)&amp;" "&amp;getRandomNatureDes(K143)&amp;getSuitDes(B143)</f>
        <v>#VALUE!</v>
      </c>
      <c r="J143" s="1">
        <v>0</v>
      </c>
      <c r="K143" s="1">
        <v>2</v>
      </c>
      <c r="L143" s="1">
        <f t="shared" si="20"/>
        <v>6</v>
      </c>
      <c r="M143" s="1" t="str">
        <f ca="1">mVlookup(E143&amp;L143,装备名称!J$43:Z$74,H143,FALSE)</f>
        <v>IC1080</v>
      </c>
      <c r="N143" s="1" t="str">
        <f t="shared" si="16"/>
        <v>16</v>
      </c>
      <c r="O143" s="1">
        <f t="shared" si="17"/>
        <v>200141</v>
      </c>
    </row>
    <row r="144" spans="1:15" x14ac:dyDescent="0.15">
      <c r="A144" s="1">
        <v>142</v>
      </c>
      <c r="B144" s="1">
        <f t="shared" si="13"/>
        <v>102070100</v>
      </c>
      <c r="C144" s="1" t="str">
        <f t="shared" ca="1" si="14"/>
        <v>至尊歌德锤</v>
      </c>
      <c r="D144" s="1" t="s">
        <v>426</v>
      </c>
      <c r="E144" s="1">
        <v>2</v>
      </c>
      <c r="F144" s="1">
        <f t="shared" si="18"/>
        <v>1</v>
      </c>
      <c r="G144" s="8">
        <f t="shared" si="15"/>
        <v>1</v>
      </c>
      <c r="H144" s="8" t="str">
        <f t="shared" si="19"/>
        <v>锤</v>
      </c>
      <c r="I144" s="8" t="e">
        <f ca="1">"["&amp;INT(getMinDes(B144))&amp;"-"&amp;INT(getMaxDes(B144))&amp;"]"&amp;getDesName(B144)&amp;" "&amp;getRandomNatureDes(K144)&amp;getSuitDes(B144)</f>
        <v>#VALUE!</v>
      </c>
      <c r="J144" s="1">
        <v>0</v>
      </c>
      <c r="K144" s="1">
        <v>2</v>
      </c>
      <c r="L144" s="1">
        <f t="shared" si="20"/>
        <v>7</v>
      </c>
      <c r="M144" s="1" t="str">
        <f ca="1">mVlookup(E144&amp;L144,装备名称!J$43:Z$74,H144,FALSE)</f>
        <v>IC1001</v>
      </c>
      <c r="N144" s="1" t="str">
        <f t="shared" si="16"/>
        <v>17</v>
      </c>
      <c r="O144" s="1">
        <f t="shared" si="17"/>
        <v>200142</v>
      </c>
    </row>
    <row r="145" spans="1:15" x14ac:dyDescent="0.15">
      <c r="A145" s="1">
        <v>143</v>
      </c>
      <c r="B145" s="1">
        <f t="shared" si="13"/>
        <v>102080100</v>
      </c>
      <c r="C145" s="1" t="str">
        <f t="shared" ca="1" si="14"/>
        <v>绝旨空灵锤</v>
      </c>
      <c r="D145" s="1" t="s">
        <v>426</v>
      </c>
      <c r="E145" s="1">
        <v>2</v>
      </c>
      <c r="F145" s="1">
        <f t="shared" si="18"/>
        <v>1</v>
      </c>
      <c r="G145" s="8">
        <f t="shared" si="15"/>
        <v>1</v>
      </c>
      <c r="H145" s="8" t="str">
        <f t="shared" si="19"/>
        <v>锤</v>
      </c>
      <c r="I145" s="8" t="e">
        <f ca="1">"["&amp;INT(getMinDes(B145))&amp;"-"&amp;INT(getMaxDes(B145))&amp;"]"&amp;getDesName(B145)&amp;" "&amp;getRandomNatureDes(K145)&amp;getSuitDes(B145)</f>
        <v>#VALUE!</v>
      </c>
      <c r="J145" s="1">
        <v>0</v>
      </c>
      <c r="K145" s="1">
        <v>2</v>
      </c>
      <c r="L145" s="1">
        <f t="shared" si="20"/>
        <v>8</v>
      </c>
      <c r="M145" s="1" t="str">
        <f ca="1">mVlookup(E145&amp;L145,装备名称!J$43:Z$74,H145,FALSE)</f>
        <v>IC1006</v>
      </c>
      <c r="N145" s="1" t="str">
        <f t="shared" si="16"/>
        <v>18</v>
      </c>
      <c r="O145" s="1">
        <f t="shared" si="17"/>
        <v>200143</v>
      </c>
    </row>
    <row r="146" spans="1:15" x14ac:dyDescent="0.15">
      <c r="A146" s="1">
        <v>144</v>
      </c>
      <c r="B146" s="1">
        <f t="shared" si="13"/>
        <v>102090100</v>
      </c>
      <c r="C146" s="1" t="str">
        <f t="shared" ca="1" si="14"/>
        <v>天工混乱锤</v>
      </c>
      <c r="D146" s="1" t="s">
        <v>426</v>
      </c>
      <c r="E146" s="1">
        <v>2</v>
      </c>
      <c r="F146" s="1">
        <f t="shared" si="18"/>
        <v>1</v>
      </c>
      <c r="G146" s="8">
        <f t="shared" si="15"/>
        <v>1</v>
      </c>
      <c r="H146" s="8" t="str">
        <f t="shared" si="19"/>
        <v>锤</v>
      </c>
      <c r="I146" s="8" t="e">
        <f ca="1">"["&amp;INT(getMinDes(B146))&amp;"-"&amp;INT(getMaxDes(B146))&amp;"]"&amp;getDesName(B146)&amp;" "&amp;getRandomNatureDes(K146)&amp;getSuitDes(B146)</f>
        <v>#VALUE!</v>
      </c>
      <c r="J146" s="1">
        <v>0</v>
      </c>
      <c r="K146" s="1">
        <v>2</v>
      </c>
      <c r="L146" s="1">
        <f t="shared" si="20"/>
        <v>9</v>
      </c>
      <c r="M146" s="1" t="str">
        <f ca="1">mVlookup(E146&amp;L146,装备名称!J$43:Z$74,H146,FALSE)</f>
        <v>IC1002</v>
      </c>
      <c r="N146" s="1" t="str">
        <f t="shared" si="16"/>
        <v>19</v>
      </c>
      <c r="O146" s="1">
        <f t="shared" si="17"/>
        <v>200144</v>
      </c>
    </row>
    <row r="147" spans="1:15" x14ac:dyDescent="0.15">
      <c r="A147" s="1">
        <v>145</v>
      </c>
      <c r="B147" s="1">
        <f t="shared" si="13"/>
        <v>102010200</v>
      </c>
      <c r="C147" s="1" t="str">
        <f t="shared" ca="1" si="14"/>
        <v>学徒颓废刀</v>
      </c>
      <c r="D147" s="1" t="s">
        <v>426</v>
      </c>
      <c r="E147" s="1">
        <v>2</v>
      </c>
      <c r="F147" s="1">
        <f t="shared" si="18"/>
        <v>1</v>
      </c>
      <c r="G147" s="8">
        <f t="shared" si="15"/>
        <v>2</v>
      </c>
      <c r="H147" s="8" t="str">
        <f t="shared" si="19"/>
        <v>刀</v>
      </c>
      <c r="I147" s="8" t="e">
        <f ca="1">"["&amp;INT(getMinDes(B147))&amp;"-"&amp;INT(getMaxDes(B147))&amp;"]"&amp;getDesName(B147)&amp;" "&amp;getRandomNatureDes(K147)&amp;getSuitDes(B147)</f>
        <v>#VALUE!</v>
      </c>
      <c r="J147" s="1">
        <v>0</v>
      </c>
      <c r="K147" s="1">
        <v>2</v>
      </c>
      <c r="L147" s="1">
        <f t="shared" si="20"/>
        <v>1</v>
      </c>
      <c r="M147" s="1" t="str">
        <f ca="1">mVlookup(E147&amp;L147,装备名称!J$43:Z$74,H147,FALSE)</f>
        <v>IC1230</v>
      </c>
      <c r="N147" s="1" t="str">
        <f t="shared" si="16"/>
        <v>21</v>
      </c>
      <c r="O147" s="1">
        <f t="shared" si="17"/>
        <v>200145</v>
      </c>
    </row>
    <row r="148" spans="1:15" x14ac:dyDescent="0.15">
      <c r="A148" s="1">
        <v>146</v>
      </c>
      <c r="B148" s="1">
        <f t="shared" si="13"/>
        <v>102020200</v>
      </c>
      <c r="C148" s="1" t="str">
        <f t="shared" ca="1" si="14"/>
        <v>专家玄铁刀</v>
      </c>
      <c r="D148" s="1" t="s">
        <v>426</v>
      </c>
      <c r="E148" s="1">
        <v>2</v>
      </c>
      <c r="F148" s="1">
        <f t="shared" si="18"/>
        <v>1</v>
      </c>
      <c r="G148" s="8">
        <f t="shared" si="15"/>
        <v>2</v>
      </c>
      <c r="H148" s="8" t="str">
        <f t="shared" si="19"/>
        <v>刀</v>
      </c>
      <c r="I148" s="8" t="e">
        <f ca="1">"["&amp;INT(getMinDes(B148))&amp;"-"&amp;INT(getMaxDes(B148))&amp;"]"&amp;getDesName(B148)&amp;" "&amp;getRandomNatureDes(K148)&amp;getSuitDes(B148)</f>
        <v>#VALUE!</v>
      </c>
      <c r="J148" s="1">
        <v>0</v>
      </c>
      <c r="K148" s="1">
        <v>2</v>
      </c>
      <c r="L148" s="1">
        <f t="shared" si="20"/>
        <v>2</v>
      </c>
      <c r="M148" s="1" t="str">
        <f ca="1">mVlookup(E148&amp;L148,装备名称!J$43:Z$74,H148,FALSE)</f>
        <v>IC1280</v>
      </c>
      <c r="N148" s="1" t="str">
        <f t="shared" si="16"/>
        <v>22</v>
      </c>
      <c r="O148" s="1">
        <f t="shared" si="17"/>
        <v>200146</v>
      </c>
    </row>
    <row r="149" spans="1:15" x14ac:dyDescent="0.15">
      <c r="A149" s="1">
        <v>147</v>
      </c>
      <c r="B149" s="1">
        <f t="shared" si="13"/>
        <v>102030200</v>
      </c>
      <c r="C149" s="1" t="str">
        <f t="shared" ca="1" si="14"/>
        <v>大师水晶刀</v>
      </c>
      <c r="D149" s="1" t="s">
        <v>426</v>
      </c>
      <c r="E149" s="1">
        <v>2</v>
      </c>
      <c r="F149" s="1">
        <f t="shared" si="18"/>
        <v>1</v>
      </c>
      <c r="G149" s="8">
        <f t="shared" si="15"/>
        <v>2</v>
      </c>
      <c r="H149" s="8" t="str">
        <f t="shared" si="19"/>
        <v>刀</v>
      </c>
      <c r="I149" s="8" t="e">
        <f ca="1">"["&amp;INT(getMinDes(B149))&amp;"-"&amp;INT(getMaxDes(B149))&amp;"]"&amp;getDesName(B149)&amp;" "&amp;getRandomNatureDes(K149)&amp;getSuitDes(B149)</f>
        <v>#VALUE!</v>
      </c>
      <c r="J149" s="1">
        <v>0</v>
      </c>
      <c r="K149" s="1">
        <v>2</v>
      </c>
      <c r="L149" s="1">
        <f t="shared" si="20"/>
        <v>3</v>
      </c>
      <c r="M149" s="1" t="str">
        <f ca="1">mVlookup(E149&amp;L149,装备名称!J$43:Z$74,H149,FALSE)</f>
        <v>IC1243</v>
      </c>
      <c r="N149" s="1" t="str">
        <f t="shared" si="16"/>
        <v>23</v>
      </c>
      <c r="O149" s="1">
        <f t="shared" si="17"/>
        <v>200147</v>
      </c>
    </row>
    <row r="150" spans="1:15" x14ac:dyDescent="0.15">
      <c r="A150" s="1">
        <v>148</v>
      </c>
      <c r="B150" s="1">
        <f t="shared" si="13"/>
        <v>102040200</v>
      </c>
      <c r="C150" s="1" t="str">
        <f t="shared" ca="1" si="14"/>
        <v>宗师精钢刀</v>
      </c>
      <c r="D150" s="1" t="s">
        <v>426</v>
      </c>
      <c r="E150" s="1">
        <v>2</v>
      </c>
      <c r="F150" s="1">
        <f t="shared" si="18"/>
        <v>1</v>
      </c>
      <c r="G150" s="8">
        <f t="shared" si="15"/>
        <v>2</v>
      </c>
      <c r="H150" s="8" t="str">
        <f t="shared" si="19"/>
        <v>刀</v>
      </c>
      <c r="I150" s="8" t="e">
        <f ca="1">"["&amp;INT(getMinDes(B150))&amp;"-"&amp;INT(getMaxDes(B150))&amp;"]"&amp;getDesName(B150)&amp;" "&amp;getRandomNatureDes(K150)&amp;getSuitDes(B150)</f>
        <v>#VALUE!</v>
      </c>
      <c r="J150" s="1">
        <v>0</v>
      </c>
      <c r="K150" s="1">
        <v>2</v>
      </c>
      <c r="L150" s="1">
        <f t="shared" si="20"/>
        <v>4</v>
      </c>
      <c r="M150" s="1" t="str">
        <f ca="1">mVlookup(E150&amp;L150,装备名称!J$43:Z$74,H150,FALSE)</f>
        <v>IC1201</v>
      </c>
      <c r="N150" s="1" t="str">
        <f t="shared" si="16"/>
        <v>24</v>
      </c>
      <c r="O150" s="1">
        <f t="shared" si="17"/>
        <v>200148</v>
      </c>
    </row>
    <row r="151" spans="1:15" x14ac:dyDescent="0.15">
      <c r="A151" s="1">
        <v>149</v>
      </c>
      <c r="B151" s="1">
        <f t="shared" si="13"/>
        <v>102050200</v>
      </c>
      <c r="C151" s="1" t="str">
        <f t="shared" ca="1" si="14"/>
        <v>显赫白银刀</v>
      </c>
      <c r="D151" s="1" t="s">
        <v>426</v>
      </c>
      <c r="E151" s="1">
        <v>2</v>
      </c>
      <c r="F151" s="1">
        <f t="shared" si="18"/>
        <v>1</v>
      </c>
      <c r="G151" s="8">
        <f t="shared" si="15"/>
        <v>2</v>
      </c>
      <c r="H151" s="8" t="str">
        <f t="shared" si="19"/>
        <v>刀</v>
      </c>
      <c r="I151" s="8" t="e">
        <f ca="1">"["&amp;INT(getMinDes(B151))&amp;"-"&amp;INT(getMaxDes(B151))&amp;"]"&amp;getDesName(B151)&amp;" "&amp;getRandomNatureDes(K151)&amp;getSuitDes(B151)</f>
        <v>#VALUE!</v>
      </c>
      <c r="J151" s="1">
        <v>0</v>
      </c>
      <c r="K151" s="1">
        <v>2</v>
      </c>
      <c r="L151" s="1">
        <f t="shared" si="20"/>
        <v>5</v>
      </c>
      <c r="M151" s="1" t="str">
        <f ca="1">mVlookup(E151&amp;L151,装备名称!J$43:Z$74,H151,FALSE)</f>
        <v>IC1213</v>
      </c>
      <c r="N151" s="1" t="str">
        <f t="shared" si="16"/>
        <v>25</v>
      </c>
      <c r="O151" s="1">
        <f t="shared" si="17"/>
        <v>200149</v>
      </c>
    </row>
    <row r="152" spans="1:15" x14ac:dyDescent="0.15">
      <c r="A152" s="1">
        <v>150</v>
      </c>
      <c r="B152" s="1">
        <f t="shared" si="13"/>
        <v>102060200</v>
      </c>
      <c r="C152" s="1" t="str">
        <f t="shared" ca="1" si="14"/>
        <v>尊荣虚幻刀</v>
      </c>
      <c r="D152" s="1" t="s">
        <v>426</v>
      </c>
      <c r="E152" s="1">
        <v>2</v>
      </c>
      <c r="F152" s="1">
        <f t="shared" si="18"/>
        <v>1</v>
      </c>
      <c r="G152" s="8">
        <f t="shared" si="15"/>
        <v>2</v>
      </c>
      <c r="H152" s="8" t="str">
        <f t="shared" si="19"/>
        <v>刀</v>
      </c>
      <c r="I152" s="8" t="e">
        <f ca="1">"["&amp;INT(getMinDes(B152))&amp;"-"&amp;INT(getMaxDes(B152))&amp;"]"&amp;getDesName(B152)&amp;" "&amp;getRandomNatureDes(K152)&amp;getSuitDes(B152)</f>
        <v>#VALUE!</v>
      </c>
      <c r="J152" s="1">
        <v>0</v>
      </c>
      <c r="K152" s="1">
        <v>2</v>
      </c>
      <c r="L152" s="1">
        <f t="shared" si="20"/>
        <v>6</v>
      </c>
      <c r="M152" s="1" t="str">
        <f ca="1">mVlookup(E152&amp;L152,装备名称!J$43:Z$74,H152,FALSE)</f>
        <v>IC1280</v>
      </c>
      <c r="N152" s="1" t="str">
        <f t="shared" si="16"/>
        <v>26</v>
      </c>
      <c r="O152" s="1">
        <f t="shared" si="17"/>
        <v>200150</v>
      </c>
    </row>
    <row r="153" spans="1:15" x14ac:dyDescent="0.15">
      <c r="A153" s="1">
        <v>151</v>
      </c>
      <c r="B153" s="1">
        <f t="shared" si="13"/>
        <v>102070200</v>
      </c>
      <c r="C153" s="1" t="str">
        <f t="shared" ca="1" si="14"/>
        <v>至尊歌德刀</v>
      </c>
      <c r="D153" s="1" t="s">
        <v>426</v>
      </c>
      <c r="E153" s="1">
        <v>2</v>
      </c>
      <c r="F153" s="1">
        <f t="shared" si="18"/>
        <v>1</v>
      </c>
      <c r="G153" s="8">
        <f t="shared" si="15"/>
        <v>2</v>
      </c>
      <c r="H153" s="8" t="str">
        <f t="shared" si="19"/>
        <v>刀</v>
      </c>
      <c r="I153" s="8" t="e">
        <f ca="1">"["&amp;INT(getMinDes(B153))&amp;"-"&amp;INT(getMaxDes(B153))&amp;"]"&amp;getDesName(B153)&amp;" "&amp;getRandomNatureDes(K153)&amp;getSuitDes(B153)</f>
        <v>#VALUE!</v>
      </c>
      <c r="J153" s="1">
        <v>0</v>
      </c>
      <c r="K153" s="1">
        <v>2</v>
      </c>
      <c r="L153" s="1">
        <f t="shared" si="20"/>
        <v>7</v>
      </c>
      <c r="M153" s="1" t="str">
        <f ca="1">mVlookup(E153&amp;L153,装备名称!J$43:Z$74,H153,FALSE)</f>
        <v>IC1243</v>
      </c>
      <c r="N153" s="1" t="str">
        <f t="shared" si="16"/>
        <v>27</v>
      </c>
      <c r="O153" s="1">
        <f t="shared" si="17"/>
        <v>200151</v>
      </c>
    </row>
    <row r="154" spans="1:15" x14ac:dyDescent="0.15">
      <c r="A154" s="1">
        <v>152</v>
      </c>
      <c r="B154" s="1">
        <f t="shared" si="13"/>
        <v>102080200</v>
      </c>
      <c r="C154" s="1" t="str">
        <f t="shared" ca="1" si="14"/>
        <v>绝旨空灵刀</v>
      </c>
      <c r="D154" s="1" t="s">
        <v>426</v>
      </c>
      <c r="E154" s="1">
        <v>2</v>
      </c>
      <c r="F154" s="1">
        <f t="shared" si="18"/>
        <v>1</v>
      </c>
      <c r="G154" s="8">
        <f t="shared" si="15"/>
        <v>2</v>
      </c>
      <c r="H154" s="8" t="str">
        <f t="shared" si="19"/>
        <v>刀</v>
      </c>
      <c r="I154" s="8" t="e">
        <f ca="1">"["&amp;INT(getMinDes(B154))&amp;"-"&amp;INT(getMaxDes(B154))&amp;"]"&amp;getDesName(B154)&amp;" "&amp;getRandomNatureDes(K154)&amp;getSuitDes(B154)</f>
        <v>#VALUE!</v>
      </c>
      <c r="J154" s="1">
        <v>0</v>
      </c>
      <c r="K154" s="1">
        <v>2</v>
      </c>
      <c r="L154" s="1">
        <f t="shared" si="20"/>
        <v>8</v>
      </c>
      <c r="M154" s="1" t="str">
        <f ca="1">mVlookup(E154&amp;L154,装备名称!J$43:Z$74,H154,FALSE)</f>
        <v>IC1201</v>
      </c>
      <c r="N154" s="1" t="str">
        <f t="shared" si="16"/>
        <v>28</v>
      </c>
      <c r="O154" s="1">
        <f t="shared" si="17"/>
        <v>200152</v>
      </c>
    </row>
    <row r="155" spans="1:15" x14ac:dyDescent="0.15">
      <c r="A155" s="1">
        <v>153</v>
      </c>
      <c r="B155" s="1">
        <f t="shared" si="13"/>
        <v>102090200</v>
      </c>
      <c r="C155" s="1" t="str">
        <f t="shared" ca="1" si="14"/>
        <v>天工混乱刀</v>
      </c>
      <c r="D155" s="1" t="s">
        <v>426</v>
      </c>
      <c r="E155" s="1">
        <v>2</v>
      </c>
      <c r="F155" s="1">
        <f t="shared" si="18"/>
        <v>1</v>
      </c>
      <c r="G155" s="8">
        <f t="shared" si="15"/>
        <v>2</v>
      </c>
      <c r="H155" s="8" t="str">
        <f t="shared" si="19"/>
        <v>刀</v>
      </c>
      <c r="I155" s="8" t="e">
        <f ca="1">"["&amp;INT(getMinDes(B155))&amp;"-"&amp;INT(getMaxDes(B155))&amp;"]"&amp;getDesName(B155)&amp;" "&amp;getRandomNatureDes(K155)&amp;getSuitDes(B155)</f>
        <v>#VALUE!</v>
      </c>
      <c r="J155" s="1">
        <v>0</v>
      </c>
      <c r="K155" s="1">
        <v>2</v>
      </c>
      <c r="L155" s="1">
        <f t="shared" si="20"/>
        <v>9</v>
      </c>
      <c r="M155" s="1" t="str">
        <f ca="1">mVlookup(E155&amp;L155,装备名称!J$43:Z$74,H155,FALSE)</f>
        <v>IC1213</v>
      </c>
      <c r="N155" s="1" t="str">
        <f t="shared" si="16"/>
        <v>29</v>
      </c>
      <c r="O155" s="1">
        <f t="shared" si="17"/>
        <v>200153</v>
      </c>
    </row>
    <row r="156" spans="1:15" x14ac:dyDescent="0.15">
      <c r="A156" s="1">
        <v>154</v>
      </c>
      <c r="B156" s="1">
        <f t="shared" si="13"/>
        <v>102010300</v>
      </c>
      <c r="C156" s="1" t="str">
        <f t="shared" ca="1" si="14"/>
        <v>学徒颓废拳套</v>
      </c>
      <c r="D156" s="1" t="s">
        <v>426</v>
      </c>
      <c r="E156" s="1">
        <v>2</v>
      </c>
      <c r="F156" s="1">
        <f t="shared" si="18"/>
        <v>1</v>
      </c>
      <c r="G156" s="8">
        <f t="shared" si="15"/>
        <v>3</v>
      </c>
      <c r="H156" s="8" t="str">
        <f t="shared" si="19"/>
        <v>拳套</v>
      </c>
      <c r="I156" s="8" t="e">
        <f ca="1">"["&amp;INT(getMinDes(B156))&amp;"-"&amp;INT(getMaxDes(B156))&amp;"]"&amp;getDesName(B156)&amp;" "&amp;getRandomNatureDes(K156)&amp;getSuitDes(B156)</f>
        <v>#VALUE!</v>
      </c>
      <c r="J156" s="1">
        <v>0</v>
      </c>
      <c r="K156" s="1">
        <v>2</v>
      </c>
      <c r="L156" s="1">
        <f t="shared" si="20"/>
        <v>1</v>
      </c>
      <c r="M156" s="1" t="str">
        <f ca="1">mVlookup(E156&amp;L156,装备名称!J$43:Z$74,H156,FALSE)</f>
        <v>IC1510</v>
      </c>
      <c r="N156" s="1" t="str">
        <f t="shared" si="16"/>
        <v>31</v>
      </c>
      <c r="O156" s="1">
        <f t="shared" si="17"/>
        <v>200154</v>
      </c>
    </row>
    <row r="157" spans="1:15" x14ac:dyDescent="0.15">
      <c r="A157" s="1">
        <v>155</v>
      </c>
      <c r="B157" s="1">
        <f t="shared" si="13"/>
        <v>102020300</v>
      </c>
      <c r="C157" s="1" t="str">
        <f t="shared" ca="1" si="14"/>
        <v>专家玄铁拳套</v>
      </c>
      <c r="D157" s="1" t="s">
        <v>426</v>
      </c>
      <c r="E157" s="1">
        <v>2</v>
      </c>
      <c r="F157" s="1">
        <f t="shared" si="18"/>
        <v>1</v>
      </c>
      <c r="G157" s="8">
        <f t="shared" si="15"/>
        <v>3</v>
      </c>
      <c r="H157" s="8" t="str">
        <f t="shared" si="19"/>
        <v>拳套</v>
      </c>
      <c r="I157" s="8" t="e">
        <f ca="1">"["&amp;INT(getMinDes(B157))&amp;"-"&amp;INT(getMaxDes(B157))&amp;"]"&amp;getDesName(B157)&amp;" "&amp;getRandomNatureDes(K157)&amp;getSuitDes(B157)</f>
        <v>#VALUE!</v>
      </c>
      <c r="J157" s="1">
        <v>0</v>
      </c>
      <c r="K157" s="1">
        <v>2</v>
      </c>
      <c r="L157" s="1">
        <f t="shared" si="20"/>
        <v>2</v>
      </c>
      <c r="M157" s="1" t="str">
        <f ca="1">mVlookup(E157&amp;L157,装备名称!J$43:Z$74,H157,FALSE)</f>
        <v>IC1513</v>
      </c>
      <c r="N157" s="1" t="str">
        <f t="shared" si="16"/>
        <v>32</v>
      </c>
      <c r="O157" s="1">
        <f t="shared" si="17"/>
        <v>200155</v>
      </c>
    </row>
    <row r="158" spans="1:15" x14ac:dyDescent="0.15">
      <c r="A158" s="1">
        <v>156</v>
      </c>
      <c r="B158" s="1">
        <f t="shared" si="13"/>
        <v>102030300</v>
      </c>
      <c r="C158" s="1" t="str">
        <f t="shared" ca="1" si="14"/>
        <v>大师水晶拳套</v>
      </c>
      <c r="D158" s="1" t="s">
        <v>426</v>
      </c>
      <c r="E158" s="1">
        <v>2</v>
      </c>
      <c r="F158" s="1">
        <f t="shared" si="18"/>
        <v>1</v>
      </c>
      <c r="G158" s="8">
        <f t="shared" si="15"/>
        <v>3</v>
      </c>
      <c r="H158" s="8" t="str">
        <f t="shared" si="19"/>
        <v>拳套</v>
      </c>
      <c r="I158" s="8" t="e">
        <f ca="1">"["&amp;INT(getMinDes(B158))&amp;"-"&amp;INT(getMaxDes(B158))&amp;"]"&amp;getDesName(B158)&amp;" "&amp;getRandomNatureDes(K158)&amp;getSuitDes(B158)</f>
        <v>#VALUE!</v>
      </c>
      <c r="J158" s="1">
        <v>0</v>
      </c>
      <c r="K158" s="1">
        <v>2</v>
      </c>
      <c r="L158" s="1">
        <f t="shared" si="20"/>
        <v>3</v>
      </c>
      <c r="M158" s="1" t="str">
        <f ca="1">mVlookup(E158&amp;L158,装备名称!J$43:Z$74,H158,FALSE)</f>
        <v>IC1517</v>
      </c>
      <c r="N158" s="1" t="str">
        <f t="shared" si="16"/>
        <v>33</v>
      </c>
      <c r="O158" s="1">
        <f t="shared" si="17"/>
        <v>200156</v>
      </c>
    </row>
    <row r="159" spans="1:15" x14ac:dyDescent="0.15">
      <c r="A159" s="1">
        <v>157</v>
      </c>
      <c r="B159" s="1">
        <f t="shared" si="13"/>
        <v>102040300</v>
      </c>
      <c r="C159" s="1" t="str">
        <f t="shared" ca="1" si="14"/>
        <v>宗师精钢拳套</v>
      </c>
      <c r="D159" s="1" t="s">
        <v>426</v>
      </c>
      <c r="E159" s="1">
        <v>2</v>
      </c>
      <c r="F159" s="1">
        <f t="shared" si="18"/>
        <v>1</v>
      </c>
      <c r="G159" s="8">
        <f t="shared" si="15"/>
        <v>3</v>
      </c>
      <c r="H159" s="8" t="str">
        <f t="shared" si="19"/>
        <v>拳套</v>
      </c>
      <c r="I159" s="8" t="e">
        <f ca="1">"["&amp;INT(getMinDes(B159))&amp;"-"&amp;INT(getMaxDes(B159))&amp;"]"&amp;getDesName(B159)&amp;" "&amp;getRandomNatureDes(K159)&amp;getSuitDes(B159)</f>
        <v>#VALUE!</v>
      </c>
      <c r="J159" s="1">
        <v>0</v>
      </c>
      <c r="K159" s="1">
        <v>2</v>
      </c>
      <c r="L159" s="1">
        <f t="shared" si="20"/>
        <v>4</v>
      </c>
      <c r="M159" s="1" t="str">
        <f ca="1">mVlookup(E159&amp;L159,装备名称!J$43:Z$74,H159,FALSE)</f>
        <v>IC1522</v>
      </c>
      <c r="N159" s="1" t="str">
        <f t="shared" si="16"/>
        <v>34</v>
      </c>
      <c r="O159" s="1">
        <f t="shared" si="17"/>
        <v>200157</v>
      </c>
    </row>
    <row r="160" spans="1:15" x14ac:dyDescent="0.15">
      <c r="A160" s="1">
        <v>158</v>
      </c>
      <c r="B160" s="1">
        <f t="shared" si="13"/>
        <v>102050300</v>
      </c>
      <c r="C160" s="1" t="str">
        <f t="shared" ca="1" si="14"/>
        <v>显赫白银拳套</v>
      </c>
      <c r="D160" s="1" t="s">
        <v>426</v>
      </c>
      <c r="E160" s="1">
        <v>2</v>
      </c>
      <c r="F160" s="1">
        <f t="shared" si="18"/>
        <v>1</v>
      </c>
      <c r="G160" s="8">
        <f t="shared" si="15"/>
        <v>3</v>
      </c>
      <c r="H160" s="8" t="str">
        <f t="shared" si="19"/>
        <v>拳套</v>
      </c>
      <c r="I160" s="8" t="e">
        <f ca="1">"["&amp;INT(getMinDes(B160))&amp;"-"&amp;INT(getMaxDes(B160))&amp;"]"&amp;getDesName(B160)&amp;" "&amp;getRandomNatureDes(K160)&amp;getSuitDes(B160)</f>
        <v>#VALUE!</v>
      </c>
      <c r="J160" s="1">
        <v>0</v>
      </c>
      <c r="K160" s="1">
        <v>2</v>
      </c>
      <c r="L160" s="1">
        <f t="shared" si="20"/>
        <v>5</v>
      </c>
      <c r="M160" s="1" t="str">
        <f ca="1">mVlookup(E160&amp;L160,装备名称!J$43:Z$74,H160,FALSE)</f>
        <v>IC1526</v>
      </c>
      <c r="N160" s="1" t="str">
        <f t="shared" si="16"/>
        <v>35</v>
      </c>
      <c r="O160" s="1">
        <f t="shared" si="17"/>
        <v>200158</v>
      </c>
    </row>
    <row r="161" spans="1:15" x14ac:dyDescent="0.15">
      <c r="A161" s="1">
        <v>159</v>
      </c>
      <c r="B161" s="1">
        <f t="shared" si="13"/>
        <v>102060300</v>
      </c>
      <c r="C161" s="1" t="str">
        <f t="shared" ca="1" si="14"/>
        <v>尊荣虚幻拳套</v>
      </c>
      <c r="D161" s="1" t="s">
        <v>426</v>
      </c>
      <c r="E161" s="1">
        <v>2</v>
      </c>
      <c r="F161" s="1">
        <f t="shared" si="18"/>
        <v>1</v>
      </c>
      <c r="G161" s="8">
        <f t="shared" si="15"/>
        <v>3</v>
      </c>
      <c r="H161" s="8" t="str">
        <f t="shared" si="19"/>
        <v>拳套</v>
      </c>
      <c r="I161" s="8" t="e">
        <f ca="1">"["&amp;INT(getMinDes(B161))&amp;"-"&amp;INT(getMaxDes(B161))&amp;"]"&amp;getDesName(B161)&amp;" "&amp;getRandomNatureDes(K161)&amp;getSuitDes(B161)</f>
        <v>#VALUE!</v>
      </c>
      <c r="J161" s="1">
        <v>0</v>
      </c>
      <c r="K161" s="1">
        <v>2</v>
      </c>
      <c r="L161" s="1">
        <f t="shared" si="20"/>
        <v>6</v>
      </c>
      <c r="M161" s="1" t="str">
        <f ca="1">mVlookup(E161&amp;L161,装备名称!J$43:Z$74,H161,FALSE)</f>
        <v>IC1537</v>
      </c>
      <c r="N161" s="1" t="str">
        <f t="shared" si="16"/>
        <v>36</v>
      </c>
      <c r="O161" s="1">
        <f t="shared" si="17"/>
        <v>200159</v>
      </c>
    </row>
    <row r="162" spans="1:15" x14ac:dyDescent="0.15">
      <c r="A162" s="1">
        <v>160</v>
      </c>
      <c r="B162" s="1">
        <f t="shared" si="13"/>
        <v>102070300</v>
      </c>
      <c r="C162" s="1" t="str">
        <f t="shared" ca="1" si="14"/>
        <v>至尊歌德拳套</v>
      </c>
      <c r="D162" s="1" t="s">
        <v>426</v>
      </c>
      <c r="E162" s="1">
        <v>2</v>
      </c>
      <c r="F162" s="1">
        <f t="shared" si="18"/>
        <v>1</v>
      </c>
      <c r="G162" s="8">
        <f t="shared" si="15"/>
        <v>3</v>
      </c>
      <c r="H162" s="8" t="str">
        <f t="shared" si="19"/>
        <v>拳套</v>
      </c>
      <c r="I162" s="8" t="e">
        <f ca="1">"["&amp;INT(getMinDes(B162))&amp;"-"&amp;INT(getMaxDes(B162))&amp;"]"&amp;getDesName(B162)&amp;" "&amp;getRandomNatureDes(K162)&amp;getSuitDes(B162)</f>
        <v>#VALUE!</v>
      </c>
      <c r="J162" s="1">
        <v>0</v>
      </c>
      <c r="K162" s="1">
        <v>2</v>
      </c>
      <c r="L162" s="1">
        <f t="shared" si="20"/>
        <v>7</v>
      </c>
      <c r="M162" s="1" t="str">
        <f ca="1">mVlookup(E162&amp;L162,装备名称!J$43:Z$74,H162,FALSE)</f>
        <v>IC1517</v>
      </c>
      <c r="N162" s="1" t="str">
        <f t="shared" si="16"/>
        <v>37</v>
      </c>
      <c r="O162" s="1">
        <f t="shared" si="17"/>
        <v>200160</v>
      </c>
    </row>
    <row r="163" spans="1:15" x14ac:dyDescent="0.15">
      <c r="A163" s="1">
        <v>161</v>
      </c>
      <c r="B163" s="1">
        <f t="shared" si="13"/>
        <v>102080300</v>
      </c>
      <c r="C163" s="1" t="str">
        <f t="shared" ca="1" si="14"/>
        <v>绝旨空灵拳套</v>
      </c>
      <c r="D163" s="1" t="s">
        <v>426</v>
      </c>
      <c r="E163" s="1">
        <v>2</v>
      </c>
      <c r="F163" s="1">
        <f t="shared" si="18"/>
        <v>1</v>
      </c>
      <c r="G163" s="8">
        <f t="shared" si="15"/>
        <v>3</v>
      </c>
      <c r="H163" s="8" t="str">
        <f t="shared" si="19"/>
        <v>拳套</v>
      </c>
      <c r="I163" s="8" t="e">
        <f ca="1">"["&amp;INT(getMinDes(B163))&amp;"-"&amp;INT(getMaxDes(B163))&amp;"]"&amp;getDesName(B163)&amp;" "&amp;getRandomNatureDes(K163)&amp;getSuitDes(B163)</f>
        <v>#VALUE!</v>
      </c>
      <c r="J163" s="1">
        <v>0</v>
      </c>
      <c r="K163" s="1">
        <v>2</v>
      </c>
      <c r="L163" s="1">
        <f t="shared" si="20"/>
        <v>8</v>
      </c>
      <c r="M163" s="1" t="str">
        <f ca="1">mVlookup(E163&amp;L163,装备名称!J$43:Z$74,H163,FALSE)</f>
        <v>IC1522</v>
      </c>
      <c r="N163" s="1" t="str">
        <f t="shared" si="16"/>
        <v>38</v>
      </c>
      <c r="O163" s="1">
        <f t="shared" si="17"/>
        <v>200161</v>
      </c>
    </row>
    <row r="164" spans="1:15" x14ac:dyDescent="0.15">
      <c r="A164" s="1">
        <v>162</v>
      </c>
      <c r="B164" s="1">
        <f t="shared" si="13"/>
        <v>102090300</v>
      </c>
      <c r="C164" s="1" t="str">
        <f t="shared" ca="1" si="14"/>
        <v>天工混乱拳套</v>
      </c>
      <c r="D164" s="1" t="s">
        <v>426</v>
      </c>
      <c r="E164" s="1">
        <v>2</v>
      </c>
      <c r="F164" s="1">
        <f t="shared" si="18"/>
        <v>1</v>
      </c>
      <c r="G164" s="8">
        <f t="shared" si="15"/>
        <v>3</v>
      </c>
      <c r="H164" s="8" t="str">
        <f t="shared" si="19"/>
        <v>拳套</v>
      </c>
      <c r="I164" s="8" t="e">
        <f ca="1">"["&amp;INT(getMinDes(B164))&amp;"-"&amp;INT(getMaxDes(B164))&amp;"]"&amp;getDesName(B164)&amp;" "&amp;getRandomNatureDes(K164)&amp;getSuitDes(B164)</f>
        <v>#VALUE!</v>
      </c>
      <c r="J164" s="1">
        <v>0</v>
      </c>
      <c r="K164" s="1">
        <v>2</v>
      </c>
      <c r="L164" s="1">
        <f t="shared" si="20"/>
        <v>9</v>
      </c>
      <c r="M164" s="1" t="str">
        <f ca="1">mVlookup(E164&amp;L164,装备名称!J$43:Z$74,H164,FALSE)</f>
        <v>IC1526</v>
      </c>
      <c r="N164" s="1" t="str">
        <f t="shared" si="16"/>
        <v>39</v>
      </c>
      <c r="O164" s="1">
        <f t="shared" si="17"/>
        <v>200162</v>
      </c>
    </row>
    <row r="165" spans="1:15" x14ac:dyDescent="0.15">
      <c r="A165" s="1">
        <v>163</v>
      </c>
      <c r="B165" s="1">
        <f t="shared" si="13"/>
        <v>102010400</v>
      </c>
      <c r="C165" s="1" t="str">
        <f t="shared" ca="1" si="14"/>
        <v>学徒颓废枪</v>
      </c>
      <c r="D165" s="1" t="s">
        <v>426</v>
      </c>
      <c r="E165" s="1">
        <v>2</v>
      </c>
      <c r="F165" s="1">
        <f t="shared" si="18"/>
        <v>1</v>
      </c>
      <c r="G165" s="8">
        <f t="shared" si="15"/>
        <v>4</v>
      </c>
      <c r="H165" s="8" t="str">
        <f t="shared" si="19"/>
        <v>枪</v>
      </c>
      <c r="I165" s="8" t="e">
        <f ca="1">"["&amp;INT(getMinDes(B165))&amp;"-"&amp;INT(getMaxDes(B165))&amp;"]"&amp;getDesName(B165)&amp;" "&amp;getRandomNatureDes(K165)&amp;getSuitDes(B165)</f>
        <v>#VALUE!</v>
      </c>
      <c r="J165" s="1">
        <v>0</v>
      </c>
      <c r="K165" s="1">
        <v>2</v>
      </c>
      <c r="L165" s="1">
        <f t="shared" si="20"/>
        <v>1</v>
      </c>
      <c r="M165" s="1" t="str">
        <f ca="1">mVlookup(E165&amp;L165,装备名称!J$43:Z$74,H165,FALSE)</f>
        <v>IC1651</v>
      </c>
      <c r="N165" s="1" t="str">
        <f t="shared" si="16"/>
        <v>41</v>
      </c>
      <c r="O165" s="1">
        <f t="shared" si="17"/>
        <v>200163</v>
      </c>
    </row>
    <row r="166" spans="1:15" x14ac:dyDescent="0.15">
      <c r="A166" s="1">
        <v>164</v>
      </c>
      <c r="B166" s="1">
        <f t="shared" si="13"/>
        <v>102020400</v>
      </c>
      <c r="C166" s="1" t="str">
        <f t="shared" ca="1" si="14"/>
        <v>专家玄铁枪</v>
      </c>
      <c r="D166" s="1" t="s">
        <v>426</v>
      </c>
      <c r="E166" s="1">
        <v>2</v>
      </c>
      <c r="F166" s="1">
        <f t="shared" si="18"/>
        <v>1</v>
      </c>
      <c r="G166" s="8">
        <f t="shared" si="15"/>
        <v>4</v>
      </c>
      <c r="H166" s="8" t="str">
        <f t="shared" si="19"/>
        <v>枪</v>
      </c>
      <c r="I166" s="8" t="e">
        <f ca="1">"["&amp;INT(getMinDes(B166))&amp;"-"&amp;INT(getMaxDes(B166))&amp;"]"&amp;getDesName(B166)&amp;" "&amp;getRandomNatureDes(K166)&amp;getSuitDes(B166)</f>
        <v>#VALUE!</v>
      </c>
      <c r="J166" s="1">
        <v>0</v>
      </c>
      <c r="K166" s="1">
        <v>2</v>
      </c>
      <c r="L166" s="1">
        <f t="shared" si="20"/>
        <v>2</v>
      </c>
      <c r="M166" s="1" t="str">
        <f ca="1">mVlookup(E166&amp;L166,装备名称!J$43:Z$74,H166,FALSE)</f>
        <v>IC1650</v>
      </c>
      <c r="N166" s="1" t="str">
        <f t="shared" si="16"/>
        <v>42</v>
      </c>
      <c r="O166" s="1">
        <f t="shared" si="17"/>
        <v>200164</v>
      </c>
    </row>
    <row r="167" spans="1:15" x14ac:dyDescent="0.15">
      <c r="A167" s="1">
        <v>165</v>
      </c>
      <c r="B167" s="1">
        <f t="shared" si="13"/>
        <v>102030400</v>
      </c>
      <c r="C167" s="1" t="str">
        <f t="shared" ca="1" si="14"/>
        <v>大师水晶枪</v>
      </c>
      <c r="D167" s="1" t="s">
        <v>426</v>
      </c>
      <c r="E167" s="1">
        <v>2</v>
      </c>
      <c r="F167" s="1">
        <f t="shared" si="18"/>
        <v>1</v>
      </c>
      <c r="G167" s="8">
        <f t="shared" si="15"/>
        <v>4</v>
      </c>
      <c r="H167" s="8" t="str">
        <f t="shared" si="19"/>
        <v>枪</v>
      </c>
      <c r="I167" s="8" t="e">
        <f ca="1">"["&amp;INT(getMinDes(B167))&amp;"-"&amp;INT(getMaxDes(B167))&amp;"]"&amp;getDesName(B167)&amp;" "&amp;getRandomNatureDes(K167)&amp;getSuitDes(B167)</f>
        <v>#VALUE!</v>
      </c>
      <c r="J167" s="1">
        <v>0</v>
      </c>
      <c r="K167" s="1">
        <v>2</v>
      </c>
      <c r="L167" s="1">
        <f t="shared" si="20"/>
        <v>3</v>
      </c>
      <c r="M167" s="1" t="str">
        <f ca="1">mVlookup(E167&amp;L167,装备名称!J$43:Z$74,H167,FALSE)</f>
        <v>IC1655</v>
      </c>
      <c r="N167" s="1" t="str">
        <f t="shared" si="16"/>
        <v>43</v>
      </c>
      <c r="O167" s="1">
        <f t="shared" si="17"/>
        <v>200165</v>
      </c>
    </row>
    <row r="168" spans="1:15" x14ac:dyDescent="0.15">
      <c r="A168" s="1">
        <v>166</v>
      </c>
      <c r="B168" s="1">
        <f t="shared" si="13"/>
        <v>102040400</v>
      </c>
      <c r="C168" s="1" t="str">
        <f t="shared" ca="1" si="14"/>
        <v>宗师精钢枪</v>
      </c>
      <c r="D168" s="1" t="s">
        <v>426</v>
      </c>
      <c r="E168" s="1">
        <v>2</v>
      </c>
      <c r="F168" s="1">
        <f t="shared" si="18"/>
        <v>1</v>
      </c>
      <c r="G168" s="8">
        <f t="shared" si="15"/>
        <v>4</v>
      </c>
      <c r="H168" s="8" t="str">
        <f t="shared" si="19"/>
        <v>枪</v>
      </c>
      <c r="I168" s="8" t="e">
        <f ca="1">"["&amp;INT(getMinDes(B168))&amp;"-"&amp;INT(getMaxDes(B168))&amp;"]"&amp;getDesName(B168)&amp;" "&amp;getRandomNatureDes(K168)&amp;getSuitDes(B168)</f>
        <v>#VALUE!</v>
      </c>
      <c r="J168" s="1">
        <v>0</v>
      </c>
      <c r="K168" s="1">
        <v>2</v>
      </c>
      <c r="L168" s="1">
        <f t="shared" si="20"/>
        <v>4</v>
      </c>
      <c r="M168" s="1" t="str">
        <f ca="1">mVlookup(E168&amp;L168,装备名称!J$43:Z$74,H168,FALSE)</f>
        <v>IC1665</v>
      </c>
      <c r="N168" s="1" t="str">
        <f t="shared" si="16"/>
        <v>44</v>
      </c>
      <c r="O168" s="1">
        <f t="shared" si="17"/>
        <v>200166</v>
      </c>
    </row>
    <row r="169" spans="1:15" x14ac:dyDescent="0.15">
      <c r="A169" s="1">
        <v>167</v>
      </c>
      <c r="B169" s="1">
        <f t="shared" si="13"/>
        <v>102050400</v>
      </c>
      <c r="C169" s="1" t="str">
        <f t="shared" ca="1" si="14"/>
        <v>显赫白银枪</v>
      </c>
      <c r="D169" s="1" t="s">
        <v>426</v>
      </c>
      <c r="E169" s="1">
        <v>2</v>
      </c>
      <c r="F169" s="1">
        <f t="shared" si="18"/>
        <v>1</v>
      </c>
      <c r="G169" s="8">
        <f t="shared" si="15"/>
        <v>4</v>
      </c>
      <c r="H169" s="8" t="str">
        <f t="shared" si="19"/>
        <v>枪</v>
      </c>
      <c r="I169" s="8" t="e">
        <f ca="1">"["&amp;INT(getMinDes(B169))&amp;"-"&amp;INT(getMaxDes(B169))&amp;"]"&amp;getDesName(B169)&amp;" "&amp;getRandomNatureDes(K169)&amp;getSuitDes(B169)</f>
        <v>#VALUE!</v>
      </c>
      <c r="J169" s="1">
        <v>0</v>
      </c>
      <c r="K169" s="1">
        <v>2</v>
      </c>
      <c r="L169" s="1">
        <f t="shared" si="20"/>
        <v>5</v>
      </c>
      <c r="M169" s="1" t="str">
        <f ca="1">mVlookup(E169&amp;L169,装备名称!J$43:Z$74,H169,FALSE)</f>
        <v>IC1670</v>
      </c>
      <c r="N169" s="1" t="str">
        <f t="shared" si="16"/>
        <v>45</v>
      </c>
      <c r="O169" s="1">
        <f t="shared" si="17"/>
        <v>200167</v>
      </c>
    </row>
    <row r="170" spans="1:15" x14ac:dyDescent="0.15">
      <c r="A170" s="1">
        <v>168</v>
      </c>
      <c r="B170" s="1">
        <f t="shared" si="13"/>
        <v>102060400</v>
      </c>
      <c r="C170" s="1" t="str">
        <f t="shared" ca="1" si="14"/>
        <v>尊荣虚幻枪</v>
      </c>
      <c r="D170" s="1" t="s">
        <v>426</v>
      </c>
      <c r="E170" s="1">
        <v>2</v>
      </c>
      <c r="F170" s="1">
        <f t="shared" si="18"/>
        <v>1</v>
      </c>
      <c r="G170" s="8">
        <f t="shared" si="15"/>
        <v>4</v>
      </c>
      <c r="H170" s="8" t="str">
        <f t="shared" si="19"/>
        <v>枪</v>
      </c>
      <c r="I170" s="8" t="e">
        <f ca="1">"["&amp;INT(getMinDes(B170))&amp;"-"&amp;INT(getMaxDes(B170))&amp;"]"&amp;getDesName(B170)&amp;" "&amp;getRandomNatureDes(K170)&amp;getSuitDes(B170)</f>
        <v>#VALUE!</v>
      </c>
      <c r="J170" s="1">
        <v>0</v>
      </c>
      <c r="K170" s="1">
        <v>2</v>
      </c>
      <c r="L170" s="1">
        <f t="shared" si="20"/>
        <v>6</v>
      </c>
      <c r="M170" s="1" t="str">
        <f ca="1">mVlookup(E170&amp;L170,装备名称!J$43:Z$74,H170,FALSE)</f>
        <v>IC1651</v>
      </c>
      <c r="N170" s="1" t="str">
        <f t="shared" si="16"/>
        <v>46</v>
      </c>
      <c r="O170" s="1">
        <f t="shared" si="17"/>
        <v>200168</v>
      </c>
    </row>
    <row r="171" spans="1:15" x14ac:dyDescent="0.15">
      <c r="A171" s="1">
        <v>169</v>
      </c>
      <c r="B171" s="1">
        <f t="shared" si="13"/>
        <v>102070400</v>
      </c>
      <c r="C171" s="1" t="str">
        <f t="shared" ca="1" si="14"/>
        <v>至尊歌德枪</v>
      </c>
      <c r="D171" s="1" t="s">
        <v>426</v>
      </c>
      <c r="E171" s="1">
        <v>2</v>
      </c>
      <c r="F171" s="1">
        <f t="shared" si="18"/>
        <v>1</v>
      </c>
      <c r="G171" s="8">
        <f t="shared" si="15"/>
        <v>4</v>
      </c>
      <c r="H171" s="8" t="str">
        <f t="shared" si="19"/>
        <v>枪</v>
      </c>
      <c r="I171" s="8" t="e">
        <f ca="1">"["&amp;INT(getMinDes(B171))&amp;"-"&amp;INT(getMaxDes(B171))&amp;"]"&amp;getDesName(B171)&amp;" "&amp;getRandomNatureDes(K171)&amp;getSuitDes(B171)</f>
        <v>#VALUE!</v>
      </c>
      <c r="J171" s="1">
        <v>0</v>
      </c>
      <c r="K171" s="1">
        <v>2</v>
      </c>
      <c r="L171" s="1">
        <f t="shared" si="20"/>
        <v>7</v>
      </c>
      <c r="M171" s="1" t="str">
        <f ca="1">mVlookup(E171&amp;L171,装备名称!J$43:Z$74,H171,FALSE)</f>
        <v>IC1650</v>
      </c>
      <c r="N171" s="1" t="str">
        <f t="shared" si="16"/>
        <v>47</v>
      </c>
      <c r="O171" s="1">
        <f t="shared" si="17"/>
        <v>200169</v>
      </c>
    </row>
    <row r="172" spans="1:15" x14ac:dyDescent="0.15">
      <c r="A172" s="1">
        <v>170</v>
      </c>
      <c r="B172" s="1">
        <f t="shared" si="13"/>
        <v>102080400</v>
      </c>
      <c r="C172" s="1" t="str">
        <f t="shared" ca="1" si="14"/>
        <v>绝旨空灵枪</v>
      </c>
      <c r="D172" s="1" t="s">
        <v>426</v>
      </c>
      <c r="E172" s="1">
        <v>2</v>
      </c>
      <c r="F172" s="1">
        <f t="shared" si="18"/>
        <v>1</v>
      </c>
      <c r="G172" s="8">
        <f t="shared" si="15"/>
        <v>4</v>
      </c>
      <c r="H172" s="8" t="str">
        <f t="shared" si="19"/>
        <v>枪</v>
      </c>
      <c r="I172" s="8" t="e">
        <f ca="1">"["&amp;INT(getMinDes(B172))&amp;"-"&amp;INT(getMaxDes(B172))&amp;"]"&amp;getDesName(B172)&amp;" "&amp;getRandomNatureDes(K172)&amp;getSuitDes(B172)</f>
        <v>#VALUE!</v>
      </c>
      <c r="J172" s="1">
        <v>0</v>
      </c>
      <c r="K172" s="1">
        <v>2</v>
      </c>
      <c r="L172" s="1">
        <f t="shared" si="20"/>
        <v>8</v>
      </c>
      <c r="M172" s="1" t="str">
        <f ca="1">mVlookup(E172&amp;L172,装备名称!J$43:Z$74,H172,FALSE)</f>
        <v>IC1655</v>
      </c>
      <c r="N172" s="1" t="str">
        <f t="shared" si="16"/>
        <v>48</v>
      </c>
      <c r="O172" s="1">
        <f t="shared" si="17"/>
        <v>200170</v>
      </c>
    </row>
    <row r="173" spans="1:15" x14ac:dyDescent="0.15">
      <c r="A173" s="1">
        <v>171</v>
      </c>
      <c r="B173" s="1">
        <f t="shared" si="13"/>
        <v>102090400</v>
      </c>
      <c r="C173" s="1" t="str">
        <f t="shared" ca="1" si="14"/>
        <v>天工混乱枪</v>
      </c>
      <c r="D173" s="1" t="s">
        <v>426</v>
      </c>
      <c r="E173" s="1">
        <v>2</v>
      </c>
      <c r="F173" s="1">
        <f t="shared" si="18"/>
        <v>1</v>
      </c>
      <c r="G173" s="8">
        <f t="shared" si="15"/>
        <v>4</v>
      </c>
      <c r="H173" s="8" t="str">
        <f t="shared" si="19"/>
        <v>枪</v>
      </c>
      <c r="I173" s="8" t="e">
        <f ca="1">"["&amp;INT(getMinDes(B173))&amp;"-"&amp;INT(getMaxDes(B173))&amp;"]"&amp;getDesName(B173)&amp;" "&amp;getRandomNatureDes(K173)&amp;getSuitDes(B173)</f>
        <v>#VALUE!</v>
      </c>
      <c r="J173" s="1">
        <v>0</v>
      </c>
      <c r="K173" s="1">
        <v>2</v>
      </c>
      <c r="L173" s="1">
        <f t="shared" si="20"/>
        <v>9</v>
      </c>
      <c r="M173" s="1" t="str">
        <f ca="1">mVlookup(E173&amp;L173,装备名称!J$43:Z$74,H173,FALSE)</f>
        <v>IC1665</v>
      </c>
      <c r="N173" s="1" t="str">
        <f t="shared" si="16"/>
        <v>49</v>
      </c>
      <c r="O173" s="1">
        <f t="shared" si="17"/>
        <v>200171</v>
      </c>
    </row>
    <row r="174" spans="1:15" x14ac:dyDescent="0.15">
      <c r="A174" s="1">
        <v>172</v>
      </c>
      <c r="B174" s="1">
        <f t="shared" si="13"/>
        <v>102010500</v>
      </c>
      <c r="C174" s="1" t="str">
        <f t="shared" ca="1" si="14"/>
        <v>学徒颓废镰刀</v>
      </c>
      <c r="D174" s="1" t="s">
        <v>426</v>
      </c>
      <c r="E174" s="1">
        <v>2</v>
      </c>
      <c r="F174" s="1">
        <f t="shared" si="18"/>
        <v>1</v>
      </c>
      <c r="G174" s="8">
        <f t="shared" si="15"/>
        <v>5</v>
      </c>
      <c r="H174" s="8" t="str">
        <f t="shared" si="19"/>
        <v>镰刀</v>
      </c>
      <c r="I174" s="8" t="e">
        <f ca="1">"["&amp;INT(getMinDes(B174))&amp;"-"&amp;INT(getMaxDes(B174))&amp;"]"&amp;getDesName(B174)&amp;" "&amp;getRandomNatureDes(K174)&amp;getSuitDes(B174)</f>
        <v>#VALUE!</v>
      </c>
      <c r="J174" s="1">
        <v>0</v>
      </c>
      <c r="K174" s="1">
        <v>2</v>
      </c>
      <c r="L174" s="1">
        <f t="shared" si="20"/>
        <v>1</v>
      </c>
      <c r="M174" s="1" t="str">
        <f ca="1">mVlookup(E174&amp;L174,装备名称!J$43:Z$74,H174,FALSE)</f>
        <v>IC1708</v>
      </c>
      <c r="N174" s="1" t="str">
        <f t="shared" si="16"/>
        <v>51</v>
      </c>
      <c r="O174" s="1">
        <f t="shared" si="17"/>
        <v>200172</v>
      </c>
    </row>
    <row r="175" spans="1:15" x14ac:dyDescent="0.15">
      <c r="A175" s="1">
        <v>173</v>
      </c>
      <c r="B175" s="1">
        <f t="shared" si="13"/>
        <v>102020500</v>
      </c>
      <c r="C175" s="1" t="str">
        <f t="shared" ca="1" si="14"/>
        <v>专家玄铁镰刀</v>
      </c>
      <c r="D175" s="1" t="s">
        <v>426</v>
      </c>
      <c r="E175" s="1">
        <v>2</v>
      </c>
      <c r="F175" s="1">
        <f t="shared" si="18"/>
        <v>1</v>
      </c>
      <c r="G175" s="8">
        <f t="shared" si="15"/>
        <v>5</v>
      </c>
      <c r="H175" s="8" t="str">
        <f t="shared" si="19"/>
        <v>镰刀</v>
      </c>
      <c r="I175" s="8" t="e">
        <f ca="1">"["&amp;INT(getMinDes(B175))&amp;"-"&amp;INT(getMaxDes(B175))&amp;"]"&amp;getDesName(B175)&amp;" "&amp;getRandomNatureDes(K175)&amp;getSuitDes(B175)</f>
        <v>#VALUE!</v>
      </c>
      <c r="J175" s="1">
        <v>0</v>
      </c>
      <c r="K175" s="1">
        <v>2</v>
      </c>
      <c r="L175" s="1">
        <f t="shared" si="20"/>
        <v>2</v>
      </c>
      <c r="M175" s="1" t="str">
        <f ca="1">mVlookup(E175&amp;L175,装备名称!J$43:Z$74,H175,FALSE)</f>
        <v>IC1703</v>
      </c>
      <c r="N175" s="1" t="str">
        <f t="shared" si="16"/>
        <v>52</v>
      </c>
      <c r="O175" s="1">
        <f t="shared" si="17"/>
        <v>200173</v>
      </c>
    </row>
    <row r="176" spans="1:15" x14ac:dyDescent="0.15">
      <c r="A176" s="1">
        <v>174</v>
      </c>
      <c r="B176" s="1">
        <f t="shared" si="13"/>
        <v>102030500</v>
      </c>
      <c r="C176" s="1" t="str">
        <f t="shared" ca="1" si="14"/>
        <v>大师水晶镰刀</v>
      </c>
      <c r="D176" s="1" t="s">
        <v>426</v>
      </c>
      <c r="E176" s="1">
        <v>2</v>
      </c>
      <c r="F176" s="1">
        <f t="shared" si="18"/>
        <v>1</v>
      </c>
      <c r="G176" s="8">
        <f t="shared" si="15"/>
        <v>5</v>
      </c>
      <c r="H176" s="8" t="str">
        <f t="shared" si="19"/>
        <v>镰刀</v>
      </c>
      <c r="I176" s="8" t="e">
        <f ca="1">"["&amp;INT(getMinDes(B176))&amp;"-"&amp;INT(getMaxDes(B176))&amp;"]"&amp;getDesName(B176)&amp;" "&amp;getRandomNatureDes(K176)&amp;getSuitDes(B176)</f>
        <v>#VALUE!</v>
      </c>
      <c r="J176" s="1">
        <v>0</v>
      </c>
      <c r="K176" s="1">
        <v>2</v>
      </c>
      <c r="L176" s="1">
        <f t="shared" si="20"/>
        <v>3</v>
      </c>
      <c r="M176" s="1" t="str">
        <f ca="1">mVlookup(E176&amp;L176,装备名称!J$43:Z$74,H176,FALSE)</f>
        <v>IC1714</v>
      </c>
      <c r="N176" s="1" t="str">
        <f t="shared" si="16"/>
        <v>53</v>
      </c>
      <c r="O176" s="1">
        <f t="shared" si="17"/>
        <v>200174</v>
      </c>
    </row>
    <row r="177" spans="1:15" x14ac:dyDescent="0.15">
      <c r="A177" s="1">
        <v>175</v>
      </c>
      <c r="B177" s="1">
        <f t="shared" si="13"/>
        <v>102040500</v>
      </c>
      <c r="C177" s="1" t="str">
        <f t="shared" ca="1" si="14"/>
        <v>宗师精钢镰刀</v>
      </c>
      <c r="D177" s="1" t="s">
        <v>426</v>
      </c>
      <c r="E177" s="1">
        <v>2</v>
      </c>
      <c r="F177" s="1">
        <f t="shared" si="18"/>
        <v>1</v>
      </c>
      <c r="G177" s="8">
        <f t="shared" si="15"/>
        <v>5</v>
      </c>
      <c r="H177" s="8" t="str">
        <f t="shared" si="19"/>
        <v>镰刀</v>
      </c>
      <c r="I177" s="8" t="e">
        <f ca="1">"["&amp;INT(getMinDes(B177))&amp;"-"&amp;INT(getMaxDes(B177))&amp;"]"&amp;getDesName(B177)&amp;" "&amp;getRandomNatureDes(K177)&amp;getSuitDes(B177)</f>
        <v>#VALUE!</v>
      </c>
      <c r="J177" s="1">
        <v>0</v>
      </c>
      <c r="K177" s="1">
        <v>2</v>
      </c>
      <c r="L177" s="1">
        <f t="shared" si="20"/>
        <v>4</v>
      </c>
      <c r="M177" s="1" t="str">
        <f ca="1">mVlookup(E177&amp;L177,装备名称!J$43:Z$74,H177,FALSE)</f>
        <v>IC1710</v>
      </c>
      <c r="N177" s="1" t="str">
        <f t="shared" si="16"/>
        <v>54</v>
      </c>
      <c r="O177" s="1">
        <f t="shared" si="17"/>
        <v>200175</v>
      </c>
    </row>
    <row r="178" spans="1:15" x14ac:dyDescent="0.15">
      <c r="A178" s="1">
        <v>176</v>
      </c>
      <c r="B178" s="1">
        <f t="shared" si="13"/>
        <v>102050500</v>
      </c>
      <c r="C178" s="1" t="str">
        <f t="shared" ca="1" si="14"/>
        <v>显赫白银镰刀</v>
      </c>
      <c r="D178" s="1" t="s">
        <v>426</v>
      </c>
      <c r="E178" s="1">
        <v>2</v>
      </c>
      <c r="F178" s="1">
        <f t="shared" si="18"/>
        <v>1</v>
      </c>
      <c r="G178" s="8">
        <f t="shared" si="15"/>
        <v>5</v>
      </c>
      <c r="H178" s="8" t="str">
        <f t="shared" si="19"/>
        <v>镰刀</v>
      </c>
      <c r="I178" s="8" t="e">
        <f ca="1">"["&amp;INT(getMinDes(B178))&amp;"-"&amp;INT(getMaxDes(B178))&amp;"]"&amp;getDesName(B178)&amp;" "&amp;getRandomNatureDes(K178)&amp;getSuitDes(B178)</f>
        <v>#VALUE!</v>
      </c>
      <c r="J178" s="1">
        <v>0</v>
      </c>
      <c r="K178" s="1">
        <v>2</v>
      </c>
      <c r="L178" s="1">
        <f t="shared" si="20"/>
        <v>5</v>
      </c>
      <c r="M178" s="1" t="str">
        <f ca="1">mVlookup(E178&amp;L178,装备名称!J$43:Z$74,H178,FALSE)</f>
        <v>IC1702</v>
      </c>
      <c r="N178" s="1" t="str">
        <f t="shared" si="16"/>
        <v>55</v>
      </c>
      <c r="O178" s="1">
        <f t="shared" si="17"/>
        <v>200176</v>
      </c>
    </row>
    <row r="179" spans="1:15" x14ac:dyDescent="0.15">
      <c r="A179" s="1">
        <v>177</v>
      </c>
      <c r="B179" s="1">
        <f t="shared" si="13"/>
        <v>102060500</v>
      </c>
      <c r="C179" s="1" t="str">
        <f t="shared" ca="1" si="14"/>
        <v>尊荣虚幻镰刀</v>
      </c>
      <c r="D179" s="1" t="s">
        <v>426</v>
      </c>
      <c r="E179" s="1">
        <v>2</v>
      </c>
      <c r="F179" s="1">
        <f t="shared" si="18"/>
        <v>1</v>
      </c>
      <c r="G179" s="8">
        <f t="shared" si="15"/>
        <v>5</v>
      </c>
      <c r="H179" s="8" t="str">
        <f t="shared" si="19"/>
        <v>镰刀</v>
      </c>
      <c r="I179" s="8" t="e">
        <f ca="1">"["&amp;INT(getMinDes(B179))&amp;"-"&amp;INT(getMaxDes(B179))&amp;"]"&amp;getDesName(B179)&amp;" "&amp;getRandomNatureDes(K179)&amp;getSuitDes(B179)</f>
        <v>#VALUE!</v>
      </c>
      <c r="J179" s="1">
        <v>0</v>
      </c>
      <c r="K179" s="1">
        <v>2</v>
      </c>
      <c r="L179" s="1">
        <f t="shared" si="20"/>
        <v>6</v>
      </c>
      <c r="M179" s="1" t="str">
        <f ca="1">mVlookup(E179&amp;L179,装备名称!J$43:Z$74,H179,FALSE)</f>
        <v>IC1708</v>
      </c>
      <c r="N179" s="1" t="str">
        <f t="shared" si="16"/>
        <v>56</v>
      </c>
      <c r="O179" s="1">
        <f t="shared" si="17"/>
        <v>200177</v>
      </c>
    </row>
    <row r="180" spans="1:15" x14ac:dyDescent="0.15">
      <c r="A180" s="1">
        <v>178</v>
      </c>
      <c r="B180" s="1">
        <f t="shared" si="13"/>
        <v>102070500</v>
      </c>
      <c r="C180" s="1" t="str">
        <f t="shared" ca="1" si="14"/>
        <v>至尊歌德镰刀</v>
      </c>
      <c r="D180" s="1" t="s">
        <v>426</v>
      </c>
      <c r="E180" s="1">
        <v>2</v>
      </c>
      <c r="F180" s="1">
        <f t="shared" si="18"/>
        <v>1</v>
      </c>
      <c r="G180" s="8">
        <f t="shared" si="15"/>
        <v>5</v>
      </c>
      <c r="H180" s="8" t="str">
        <f t="shared" si="19"/>
        <v>镰刀</v>
      </c>
      <c r="I180" s="8" t="e">
        <f ca="1">"["&amp;INT(getMinDes(B180))&amp;"-"&amp;INT(getMaxDes(B180))&amp;"]"&amp;getDesName(B180)&amp;" "&amp;getRandomNatureDes(K180)&amp;getSuitDes(B180)</f>
        <v>#VALUE!</v>
      </c>
      <c r="J180" s="1">
        <v>0</v>
      </c>
      <c r="K180" s="1">
        <v>2</v>
      </c>
      <c r="L180" s="1">
        <f t="shared" si="20"/>
        <v>7</v>
      </c>
      <c r="M180" s="1" t="str">
        <f ca="1">mVlookup(E180&amp;L180,装备名称!J$43:Z$74,H180,FALSE)</f>
        <v>IC1703</v>
      </c>
      <c r="N180" s="1" t="str">
        <f t="shared" si="16"/>
        <v>57</v>
      </c>
      <c r="O180" s="1">
        <f t="shared" si="17"/>
        <v>200178</v>
      </c>
    </row>
    <row r="181" spans="1:15" x14ac:dyDescent="0.15">
      <c r="A181" s="1">
        <v>179</v>
      </c>
      <c r="B181" s="1">
        <f t="shared" si="13"/>
        <v>102080500</v>
      </c>
      <c r="C181" s="1" t="str">
        <f t="shared" ca="1" si="14"/>
        <v>绝旨空灵镰刀</v>
      </c>
      <c r="D181" s="1" t="s">
        <v>426</v>
      </c>
      <c r="E181" s="1">
        <v>2</v>
      </c>
      <c r="F181" s="1">
        <f t="shared" si="18"/>
        <v>1</v>
      </c>
      <c r="G181" s="8">
        <f t="shared" si="15"/>
        <v>5</v>
      </c>
      <c r="H181" s="8" t="str">
        <f t="shared" si="19"/>
        <v>镰刀</v>
      </c>
      <c r="I181" s="8" t="e">
        <f ca="1">"["&amp;INT(getMinDes(B181))&amp;"-"&amp;INT(getMaxDes(B181))&amp;"]"&amp;getDesName(B181)&amp;" "&amp;getRandomNatureDes(K181)&amp;getSuitDes(B181)</f>
        <v>#VALUE!</v>
      </c>
      <c r="J181" s="1">
        <v>0</v>
      </c>
      <c r="K181" s="1">
        <v>2</v>
      </c>
      <c r="L181" s="1">
        <f t="shared" si="20"/>
        <v>8</v>
      </c>
      <c r="M181" s="1" t="str">
        <f ca="1">mVlookup(E181&amp;L181,装备名称!J$43:Z$74,H181,FALSE)</f>
        <v>IC1702</v>
      </c>
      <c r="N181" s="1" t="str">
        <f t="shared" si="16"/>
        <v>58</v>
      </c>
      <c r="O181" s="1">
        <f t="shared" si="17"/>
        <v>200179</v>
      </c>
    </row>
    <row r="182" spans="1:15" x14ac:dyDescent="0.15">
      <c r="A182" s="1">
        <v>180</v>
      </c>
      <c r="B182" s="1">
        <f t="shared" si="13"/>
        <v>102090500</v>
      </c>
      <c r="C182" s="1" t="str">
        <f t="shared" ca="1" si="14"/>
        <v>天工混乱镰刀</v>
      </c>
      <c r="D182" s="1" t="s">
        <v>426</v>
      </c>
      <c r="E182" s="1">
        <v>2</v>
      </c>
      <c r="F182" s="1">
        <f t="shared" si="18"/>
        <v>1</v>
      </c>
      <c r="G182" s="8">
        <f t="shared" si="15"/>
        <v>5</v>
      </c>
      <c r="H182" s="8" t="str">
        <f t="shared" si="19"/>
        <v>镰刀</v>
      </c>
      <c r="I182" s="8" t="e">
        <f ca="1">"["&amp;INT(getMinDes(B182))&amp;"-"&amp;INT(getMaxDes(B182))&amp;"]"&amp;getDesName(B182)&amp;" "&amp;getRandomNatureDes(K182)&amp;getSuitDes(B182)</f>
        <v>#VALUE!</v>
      </c>
      <c r="J182" s="1">
        <v>0</v>
      </c>
      <c r="K182" s="1">
        <v>2</v>
      </c>
      <c r="L182" s="1">
        <f t="shared" si="20"/>
        <v>9</v>
      </c>
      <c r="M182" s="1" t="str">
        <f ca="1">mVlookup(E182&amp;L182,装备名称!J$43:Z$74,H182,FALSE)</f>
        <v>IC1708</v>
      </c>
      <c r="N182" s="1" t="str">
        <f t="shared" si="16"/>
        <v>59</v>
      </c>
      <c r="O182" s="1">
        <f t="shared" si="17"/>
        <v>200180</v>
      </c>
    </row>
    <row r="183" spans="1:15" x14ac:dyDescent="0.15">
      <c r="A183" s="1">
        <v>181</v>
      </c>
      <c r="B183" s="1">
        <f t="shared" si="13"/>
        <v>102010600</v>
      </c>
      <c r="C183" s="1" t="str">
        <f t="shared" ca="1" si="14"/>
        <v>学徒颓废法杖</v>
      </c>
      <c r="D183" s="1" t="s">
        <v>426</v>
      </c>
      <c r="E183" s="1">
        <v>2</v>
      </c>
      <c r="F183" s="1">
        <f t="shared" si="18"/>
        <v>1</v>
      </c>
      <c r="G183" s="8">
        <f t="shared" si="15"/>
        <v>6</v>
      </c>
      <c r="H183" s="8" t="str">
        <f t="shared" si="19"/>
        <v>法杖</v>
      </c>
      <c r="I183" s="8" t="e">
        <f ca="1">"["&amp;INT(getMinDes(B183))&amp;"-"&amp;INT(getMaxDes(B183))&amp;"]"&amp;getDesName(B183)&amp;" "&amp;getRandomNatureDes(K183)&amp;getSuitDes(B183)</f>
        <v>#VALUE!</v>
      </c>
      <c r="J183" s="1">
        <v>0</v>
      </c>
      <c r="K183" s="1">
        <v>2</v>
      </c>
      <c r="L183" s="1">
        <f t="shared" si="20"/>
        <v>1</v>
      </c>
      <c r="M183" s="1" t="str">
        <f ca="1">mVlookup(E183&amp;L183,装备名称!J$43:Z$74,H183,FALSE)</f>
        <v>IC1107</v>
      </c>
      <c r="N183" s="1" t="str">
        <f t="shared" si="16"/>
        <v>61</v>
      </c>
      <c r="O183" s="1">
        <f t="shared" si="17"/>
        <v>200181</v>
      </c>
    </row>
    <row r="184" spans="1:15" x14ac:dyDescent="0.15">
      <c r="A184" s="1">
        <v>182</v>
      </c>
      <c r="B184" s="1">
        <f t="shared" si="13"/>
        <v>102020600</v>
      </c>
      <c r="C184" s="1" t="str">
        <f t="shared" ca="1" si="14"/>
        <v>专家玄铁法杖</v>
      </c>
      <c r="D184" s="1" t="s">
        <v>426</v>
      </c>
      <c r="E184" s="1">
        <v>2</v>
      </c>
      <c r="F184" s="1">
        <f t="shared" si="18"/>
        <v>1</v>
      </c>
      <c r="G184" s="8">
        <f t="shared" si="15"/>
        <v>6</v>
      </c>
      <c r="H184" s="8" t="str">
        <f t="shared" si="19"/>
        <v>法杖</v>
      </c>
      <c r="I184" s="8" t="e">
        <f ca="1">"["&amp;INT(getMinDes(B184))&amp;"-"&amp;INT(getMaxDes(B184))&amp;"]"&amp;getDesName(B184)&amp;" "&amp;getRandomNatureDes(K184)&amp;getSuitDes(B184)</f>
        <v>#VALUE!</v>
      </c>
      <c r="J184" s="1">
        <v>0</v>
      </c>
      <c r="K184" s="1">
        <v>2</v>
      </c>
      <c r="L184" s="1">
        <f t="shared" si="20"/>
        <v>2</v>
      </c>
      <c r="M184" s="1" t="str">
        <f ca="1">mVlookup(E184&amp;L184,装备名称!J$43:Z$74,H184,FALSE)</f>
        <v>IC1109</v>
      </c>
      <c r="N184" s="1" t="str">
        <f t="shared" si="16"/>
        <v>62</v>
      </c>
      <c r="O184" s="1">
        <f t="shared" si="17"/>
        <v>200182</v>
      </c>
    </row>
    <row r="185" spans="1:15" x14ac:dyDescent="0.15">
      <c r="A185" s="1">
        <v>183</v>
      </c>
      <c r="B185" s="1">
        <f t="shared" si="13"/>
        <v>102030600</v>
      </c>
      <c r="C185" s="1" t="str">
        <f t="shared" ca="1" si="14"/>
        <v>大师水晶法杖</v>
      </c>
      <c r="D185" s="1" t="s">
        <v>426</v>
      </c>
      <c r="E185" s="1">
        <v>2</v>
      </c>
      <c r="F185" s="1">
        <f t="shared" si="18"/>
        <v>1</v>
      </c>
      <c r="G185" s="8">
        <f t="shared" si="15"/>
        <v>6</v>
      </c>
      <c r="H185" s="8" t="str">
        <f t="shared" si="19"/>
        <v>法杖</v>
      </c>
      <c r="I185" s="8" t="e">
        <f ca="1">"["&amp;INT(getMinDes(B185))&amp;"-"&amp;INT(getMaxDes(B185))&amp;"]"&amp;getDesName(B185)&amp;" "&amp;getRandomNatureDes(K185)&amp;getSuitDes(B185)</f>
        <v>#VALUE!</v>
      </c>
      <c r="J185" s="1">
        <v>0</v>
      </c>
      <c r="K185" s="1">
        <v>2</v>
      </c>
      <c r="L185" s="1">
        <f t="shared" si="20"/>
        <v>3</v>
      </c>
      <c r="M185" s="1" t="str">
        <f ca="1">mVlookup(E185&amp;L185,装备名称!J$43:Z$74,H185,FALSE)</f>
        <v>IC1121</v>
      </c>
      <c r="N185" s="1" t="str">
        <f t="shared" si="16"/>
        <v>63</v>
      </c>
      <c r="O185" s="1">
        <f t="shared" si="17"/>
        <v>200183</v>
      </c>
    </row>
    <row r="186" spans="1:15" x14ac:dyDescent="0.15">
      <c r="A186" s="1">
        <v>184</v>
      </c>
      <c r="B186" s="1">
        <f t="shared" si="13"/>
        <v>102040600</v>
      </c>
      <c r="C186" s="1" t="str">
        <f t="shared" ca="1" si="14"/>
        <v>宗师精钢法杖</v>
      </c>
      <c r="D186" s="1" t="s">
        <v>426</v>
      </c>
      <c r="E186" s="1">
        <v>2</v>
      </c>
      <c r="F186" s="1">
        <f t="shared" si="18"/>
        <v>1</v>
      </c>
      <c r="G186" s="8">
        <f t="shared" si="15"/>
        <v>6</v>
      </c>
      <c r="H186" s="8" t="str">
        <f t="shared" si="19"/>
        <v>法杖</v>
      </c>
      <c r="I186" s="8" t="e">
        <f ca="1">"["&amp;INT(getMinDes(B186))&amp;"-"&amp;INT(getMaxDes(B186))&amp;"]"&amp;getDesName(B186)&amp;" "&amp;getRandomNatureDes(K186)&amp;getSuitDes(B186)</f>
        <v>#VALUE!</v>
      </c>
      <c r="J186" s="1">
        <v>0</v>
      </c>
      <c r="K186" s="1">
        <v>2</v>
      </c>
      <c r="L186" s="1">
        <f t="shared" si="20"/>
        <v>4</v>
      </c>
      <c r="M186" s="1" t="str">
        <f ca="1">mVlookup(E186&amp;L186,装备名称!J$43:Z$74,H186,FALSE)</f>
        <v>IC1123</v>
      </c>
      <c r="N186" s="1" t="str">
        <f t="shared" si="16"/>
        <v>64</v>
      </c>
      <c r="O186" s="1">
        <f t="shared" si="17"/>
        <v>200184</v>
      </c>
    </row>
    <row r="187" spans="1:15" x14ac:dyDescent="0.15">
      <c r="A187" s="1">
        <v>185</v>
      </c>
      <c r="B187" s="1">
        <f t="shared" si="13"/>
        <v>102050600</v>
      </c>
      <c r="C187" s="1" t="str">
        <f t="shared" ca="1" si="14"/>
        <v>显赫白银法杖</v>
      </c>
      <c r="D187" s="1" t="s">
        <v>426</v>
      </c>
      <c r="E187" s="1">
        <v>2</v>
      </c>
      <c r="F187" s="1">
        <f t="shared" si="18"/>
        <v>1</v>
      </c>
      <c r="G187" s="8">
        <f t="shared" si="15"/>
        <v>6</v>
      </c>
      <c r="H187" s="8" t="str">
        <f t="shared" si="19"/>
        <v>法杖</v>
      </c>
      <c r="I187" s="8" t="e">
        <f ca="1">"["&amp;INT(getMinDes(B187))&amp;"-"&amp;INT(getMaxDes(B187))&amp;"]"&amp;getDesName(B187)&amp;" "&amp;getRandomNatureDes(K187)&amp;getSuitDes(B187)</f>
        <v>#VALUE!</v>
      </c>
      <c r="J187" s="1">
        <v>0</v>
      </c>
      <c r="K187" s="1">
        <v>2</v>
      </c>
      <c r="L187" s="1">
        <f t="shared" si="20"/>
        <v>5</v>
      </c>
      <c r="M187" s="1" t="str">
        <f ca="1">mVlookup(E187&amp;L187,装备名称!J$43:Z$74,H187,FALSE)</f>
        <v>IC1124</v>
      </c>
      <c r="N187" s="1" t="str">
        <f t="shared" si="16"/>
        <v>65</v>
      </c>
      <c r="O187" s="1">
        <f t="shared" si="17"/>
        <v>200185</v>
      </c>
    </row>
    <row r="188" spans="1:15" x14ac:dyDescent="0.15">
      <c r="A188" s="1">
        <v>186</v>
      </c>
      <c r="B188" s="1">
        <f t="shared" si="13"/>
        <v>102060600</v>
      </c>
      <c r="C188" s="1" t="str">
        <f t="shared" ca="1" si="14"/>
        <v>尊荣虚幻法杖</v>
      </c>
      <c r="D188" s="1" t="s">
        <v>426</v>
      </c>
      <c r="E188" s="1">
        <v>2</v>
      </c>
      <c r="F188" s="1">
        <f t="shared" si="18"/>
        <v>1</v>
      </c>
      <c r="G188" s="8">
        <f t="shared" si="15"/>
        <v>6</v>
      </c>
      <c r="H188" s="8" t="str">
        <f t="shared" si="19"/>
        <v>法杖</v>
      </c>
      <c r="I188" s="8" t="e">
        <f ca="1">"["&amp;INT(getMinDes(B188))&amp;"-"&amp;INT(getMaxDes(B188))&amp;"]"&amp;getDesName(B188)&amp;" "&amp;getRandomNatureDes(K188)&amp;getSuitDes(B188)</f>
        <v>#VALUE!</v>
      </c>
      <c r="J188" s="1">
        <v>0</v>
      </c>
      <c r="K188" s="1">
        <v>2</v>
      </c>
      <c r="L188" s="1">
        <f t="shared" si="20"/>
        <v>6</v>
      </c>
      <c r="M188" s="1" t="str">
        <f ca="1">mVlookup(E188&amp;L188,装备名称!J$43:Z$74,H188,FALSE)</f>
        <v>IC1128</v>
      </c>
      <c r="N188" s="1" t="str">
        <f t="shared" si="16"/>
        <v>66</v>
      </c>
      <c r="O188" s="1">
        <f t="shared" si="17"/>
        <v>200186</v>
      </c>
    </row>
    <row r="189" spans="1:15" x14ac:dyDescent="0.15">
      <c r="A189" s="1">
        <v>187</v>
      </c>
      <c r="B189" s="1">
        <f t="shared" si="13"/>
        <v>102070600</v>
      </c>
      <c r="C189" s="1" t="str">
        <f t="shared" ca="1" si="14"/>
        <v>至尊歌德法杖</v>
      </c>
      <c r="D189" s="1" t="s">
        <v>426</v>
      </c>
      <c r="E189" s="1">
        <v>2</v>
      </c>
      <c r="F189" s="1">
        <f t="shared" si="18"/>
        <v>1</v>
      </c>
      <c r="G189" s="8">
        <f t="shared" si="15"/>
        <v>6</v>
      </c>
      <c r="H189" s="8" t="str">
        <f t="shared" si="19"/>
        <v>法杖</v>
      </c>
      <c r="I189" s="8" t="e">
        <f ca="1">"["&amp;INT(getMinDes(B189))&amp;"-"&amp;INT(getMaxDes(B189))&amp;"]"&amp;getDesName(B189)&amp;" "&amp;getRandomNatureDes(K189)&amp;getSuitDes(B189)</f>
        <v>#VALUE!</v>
      </c>
      <c r="J189" s="1">
        <v>0</v>
      </c>
      <c r="K189" s="1">
        <v>2</v>
      </c>
      <c r="L189" s="1">
        <f t="shared" si="20"/>
        <v>7</v>
      </c>
      <c r="M189" s="1" t="str">
        <f ca="1">mVlookup(E189&amp;L189,装备名称!J$43:Z$74,H189,FALSE)</f>
        <v>IC1109</v>
      </c>
      <c r="N189" s="1" t="str">
        <f t="shared" si="16"/>
        <v>67</v>
      </c>
      <c r="O189" s="1">
        <f t="shared" si="17"/>
        <v>200187</v>
      </c>
    </row>
    <row r="190" spans="1:15" x14ac:dyDescent="0.15">
      <c r="A190" s="1">
        <v>188</v>
      </c>
      <c r="B190" s="1">
        <f t="shared" si="13"/>
        <v>102080600</v>
      </c>
      <c r="C190" s="1" t="str">
        <f t="shared" ca="1" si="14"/>
        <v>绝旨空灵法杖</v>
      </c>
      <c r="D190" s="1" t="s">
        <v>426</v>
      </c>
      <c r="E190" s="1">
        <v>2</v>
      </c>
      <c r="F190" s="1">
        <f t="shared" si="18"/>
        <v>1</v>
      </c>
      <c r="G190" s="8">
        <f t="shared" si="15"/>
        <v>6</v>
      </c>
      <c r="H190" s="8" t="str">
        <f t="shared" si="19"/>
        <v>法杖</v>
      </c>
      <c r="I190" s="8" t="e">
        <f ca="1">"["&amp;INT(getMinDes(B190))&amp;"-"&amp;INT(getMaxDes(B190))&amp;"]"&amp;getDesName(B190)&amp;" "&amp;getRandomNatureDes(K190)&amp;getSuitDes(B190)</f>
        <v>#VALUE!</v>
      </c>
      <c r="J190" s="1">
        <v>0</v>
      </c>
      <c r="K190" s="1">
        <v>2</v>
      </c>
      <c r="L190" s="1">
        <f t="shared" si="20"/>
        <v>8</v>
      </c>
      <c r="M190" s="1" t="str">
        <f ca="1">mVlookup(E190&amp;L190,装备名称!J$43:Z$74,H190,FALSE)</f>
        <v>IC1121</v>
      </c>
      <c r="N190" s="1" t="str">
        <f t="shared" si="16"/>
        <v>68</v>
      </c>
      <c r="O190" s="1">
        <f t="shared" si="17"/>
        <v>200188</v>
      </c>
    </row>
    <row r="191" spans="1:15" x14ac:dyDescent="0.15">
      <c r="A191" s="1">
        <v>189</v>
      </c>
      <c r="B191" s="1">
        <f t="shared" si="13"/>
        <v>102090600</v>
      </c>
      <c r="C191" s="1" t="str">
        <f t="shared" ca="1" si="14"/>
        <v>天工混乱法杖</v>
      </c>
      <c r="D191" s="1" t="s">
        <v>426</v>
      </c>
      <c r="E191" s="1">
        <v>2</v>
      </c>
      <c r="F191" s="1">
        <f t="shared" si="18"/>
        <v>1</v>
      </c>
      <c r="G191" s="8">
        <f t="shared" si="15"/>
        <v>6</v>
      </c>
      <c r="H191" s="8" t="str">
        <f t="shared" si="19"/>
        <v>法杖</v>
      </c>
      <c r="I191" s="8" t="e">
        <f ca="1">"["&amp;INT(getMinDes(B191))&amp;"-"&amp;INT(getMaxDes(B191))&amp;"]"&amp;getDesName(B191)&amp;" "&amp;getRandomNatureDes(K191)&amp;getSuitDes(B191)</f>
        <v>#VALUE!</v>
      </c>
      <c r="J191" s="1">
        <v>0</v>
      </c>
      <c r="K191" s="1">
        <v>2</v>
      </c>
      <c r="L191" s="1">
        <f t="shared" si="20"/>
        <v>9</v>
      </c>
      <c r="M191" s="1" t="str">
        <f ca="1">mVlookup(E191&amp;L191,装备名称!J$43:Z$74,H191,FALSE)</f>
        <v>IC1123</v>
      </c>
      <c r="N191" s="1" t="str">
        <f t="shared" si="16"/>
        <v>69</v>
      </c>
      <c r="O191" s="1">
        <f t="shared" si="17"/>
        <v>200189</v>
      </c>
    </row>
    <row r="192" spans="1:15" x14ac:dyDescent="0.15">
      <c r="A192" s="1">
        <v>190</v>
      </c>
      <c r="B192" s="1">
        <f t="shared" si="13"/>
        <v>102010700</v>
      </c>
      <c r="C192" s="1" t="str">
        <f t="shared" ref="C192:C255" ca="1" si="21">mVlookup(L192,INDIRECT(D192),H192,FALSE)</f>
        <v>学徒颓废弓</v>
      </c>
      <c r="D192" s="1" t="s">
        <v>426</v>
      </c>
      <c r="E192" s="1">
        <v>2</v>
      </c>
      <c r="F192" s="1">
        <f t="shared" si="18"/>
        <v>1</v>
      </c>
      <c r="G192" s="8">
        <f t="shared" si="15"/>
        <v>7</v>
      </c>
      <c r="H192" s="8" t="str">
        <f t="shared" si="19"/>
        <v>弓</v>
      </c>
      <c r="I192" s="8" t="e">
        <f ca="1">"["&amp;INT(getMinDes(B192))&amp;"-"&amp;INT(getMaxDes(B192))&amp;"]"&amp;getDesName(B192)&amp;" "&amp;getRandomNatureDes(K192)&amp;getSuitDes(B192)</f>
        <v>#VALUE!</v>
      </c>
      <c r="J192" s="1">
        <v>0</v>
      </c>
      <c r="K192" s="1">
        <v>2</v>
      </c>
      <c r="L192" s="1">
        <f t="shared" si="20"/>
        <v>1</v>
      </c>
      <c r="M192" s="1" t="str">
        <f ca="1">mVlookup(E192&amp;L192,装备名称!J$43:Z$74,H192,FALSE)</f>
        <v>IC1318</v>
      </c>
      <c r="N192" s="1" t="str">
        <f t="shared" si="16"/>
        <v>71</v>
      </c>
      <c r="O192" s="1">
        <f t="shared" si="17"/>
        <v>200190</v>
      </c>
    </row>
    <row r="193" spans="1:15" x14ac:dyDescent="0.15">
      <c r="A193" s="1">
        <v>191</v>
      </c>
      <c r="B193" s="1">
        <f t="shared" si="13"/>
        <v>102020700</v>
      </c>
      <c r="C193" s="1" t="str">
        <f t="shared" ca="1" si="21"/>
        <v>专家玄铁弓</v>
      </c>
      <c r="D193" s="1" t="s">
        <v>426</v>
      </c>
      <c r="E193" s="1">
        <v>2</v>
      </c>
      <c r="F193" s="1">
        <f t="shared" si="18"/>
        <v>1</v>
      </c>
      <c r="G193" s="8">
        <f t="shared" si="15"/>
        <v>7</v>
      </c>
      <c r="H193" s="8" t="str">
        <f t="shared" si="19"/>
        <v>弓</v>
      </c>
      <c r="I193" s="8" t="e">
        <f ca="1">"["&amp;INT(getMinDes(B193))&amp;"-"&amp;INT(getMaxDes(B193))&amp;"]"&amp;getDesName(B193)&amp;" "&amp;getRandomNatureDes(K193)&amp;getSuitDes(B193)</f>
        <v>#VALUE!</v>
      </c>
      <c r="J193" s="1">
        <v>0</v>
      </c>
      <c r="K193" s="1">
        <v>2</v>
      </c>
      <c r="L193" s="1">
        <f t="shared" si="20"/>
        <v>2</v>
      </c>
      <c r="M193" s="1" t="str">
        <f ca="1">mVlookup(E193&amp;L193,装备名称!J$43:Z$74,H193,FALSE)</f>
        <v>IC1359</v>
      </c>
      <c r="N193" s="1" t="str">
        <f t="shared" si="16"/>
        <v>72</v>
      </c>
      <c r="O193" s="1">
        <f t="shared" si="17"/>
        <v>200191</v>
      </c>
    </row>
    <row r="194" spans="1:15" x14ac:dyDescent="0.15">
      <c r="A194" s="1">
        <v>192</v>
      </c>
      <c r="B194" s="1">
        <f t="shared" si="13"/>
        <v>102030700</v>
      </c>
      <c r="C194" s="1" t="str">
        <f t="shared" ca="1" si="21"/>
        <v>大师水晶弓</v>
      </c>
      <c r="D194" s="1" t="s">
        <v>426</v>
      </c>
      <c r="E194" s="1">
        <v>2</v>
      </c>
      <c r="F194" s="1">
        <f t="shared" si="18"/>
        <v>1</v>
      </c>
      <c r="G194" s="8">
        <f t="shared" si="15"/>
        <v>7</v>
      </c>
      <c r="H194" s="8" t="str">
        <f t="shared" si="19"/>
        <v>弓</v>
      </c>
      <c r="I194" s="8" t="e">
        <f ca="1">"["&amp;INT(getMinDes(B194))&amp;"-"&amp;INT(getMaxDes(B194))&amp;"]"&amp;getDesName(B194)&amp;" "&amp;getRandomNatureDes(K194)&amp;getSuitDes(B194)</f>
        <v>#VALUE!</v>
      </c>
      <c r="J194" s="1">
        <v>0</v>
      </c>
      <c r="K194" s="1">
        <v>2</v>
      </c>
      <c r="L194" s="1">
        <f t="shared" si="20"/>
        <v>3</v>
      </c>
      <c r="M194" s="1" t="str">
        <f ca="1">mVlookup(E194&amp;L194,装备名称!J$43:Z$74,H194,FALSE)</f>
        <v>IC1340</v>
      </c>
      <c r="N194" s="1" t="str">
        <f t="shared" si="16"/>
        <v>73</v>
      </c>
      <c r="O194" s="1">
        <f t="shared" si="17"/>
        <v>200192</v>
      </c>
    </row>
    <row r="195" spans="1:15" x14ac:dyDescent="0.15">
      <c r="A195" s="1">
        <v>193</v>
      </c>
      <c r="B195" s="1">
        <f t="shared" si="13"/>
        <v>102040700</v>
      </c>
      <c r="C195" s="1" t="str">
        <f t="shared" ca="1" si="21"/>
        <v>宗师精钢弓</v>
      </c>
      <c r="D195" s="1" t="s">
        <v>426</v>
      </c>
      <c r="E195" s="1">
        <v>2</v>
      </c>
      <c r="F195" s="1">
        <f t="shared" si="18"/>
        <v>1</v>
      </c>
      <c r="G195" s="8">
        <f t="shared" si="15"/>
        <v>7</v>
      </c>
      <c r="H195" s="8" t="str">
        <f t="shared" si="19"/>
        <v>弓</v>
      </c>
      <c r="I195" s="8" t="e">
        <f ca="1">"["&amp;INT(getMinDes(B195))&amp;"-"&amp;INT(getMaxDes(B195))&amp;"]"&amp;getDesName(B195)&amp;" "&amp;getRandomNatureDes(K195)&amp;getSuitDes(B195)</f>
        <v>#VALUE!</v>
      </c>
      <c r="J195" s="1">
        <v>0</v>
      </c>
      <c r="K195" s="1">
        <v>2</v>
      </c>
      <c r="L195" s="1">
        <f t="shared" si="20"/>
        <v>4</v>
      </c>
      <c r="M195" s="1" t="str">
        <f ca="1">mVlookup(E195&amp;L195,装备名称!J$43:Z$74,H195,FALSE)</f>
        <v>IC1341</v>
      </c>
      <c r="N195" s="1" t="str">
        <f t="shared" si="16"/>
        <v>74</v>
      </c>
      <c r="O195" s="1">
        <f t="shared" si="17"/>
        <v>200193</v>
      </c>
    </row>
    <row r="196" spans="1:15" x14ac:dyDescent="0.15">
      <c r="A196" s="1">
        <v>194</v>
      </c>
      <c r="B196" s="1">
        <f t="shared" ref="B196:B259" si="22">F196*100000000+E196*1000000+L196*10000+G196*100+J196</f>
        <v>102050700</v>
      </c>
      <c r="C196" s="1" t="str">
        <f t="shared" ca="1" si="21"/>
        <v>显赫白银弓</v>
      </c>
      <c r="D196" s="1" t="s">
        <v>426</v>
      </c>
      <c r="E196" s="1">
        <v>2</v>
      </c>
      <c r="F196" s="1">
        <f t="shared" si="18"/>
        <v>1</v>
      </c>
      <c r="G196" s="8">
        <f t="shared" ref="G196:G259" si="23">VLOOKUP(H196,S$12:T$26,2,FALSE)</f>
        <v>7</v>
      </c>
      <c r="H196" s="8" t="str">
        <f t="shared" si="19"/>
        <v>弓</v>
      </c>
      <c r="I196" s="8" t="e">
        <f ca="1">"["&amp;INT(getMinDes(B196))&amp;"-"&amp;INT(getMaxDes(B196))&amp;"]"&amp;getDesName(B196)&amp;" "&amp;getRandomNatureDes(K196)&amp;getSuitDes(B196)</f>
        <v>#VALUE!</v>
      </c>
      <c r="J196" s="1">
        <v>0</v>
      </c>
      <c r="K196" s="1">
        <v>2</v>
      </c>
      <c r="L196" s="1">
        <f t="shared" si="20"/>
        <v>5</v>
      </c>
      <c r="M196" s="1" t="str">
        <f ca="1">mVlookup(E196&amp;L196,装备名称!J$43:Z$74,H196,FALSE)</f>
        <v>IC1342</v>
      </c>
      <c r="N196" s="1" t="str">
        <f t="shared" ref="N196:N259" si="24">G196&amp;L196</f>
        <v>75</v>
      </c>
      <c r="O196" s="1">
        <f t="shared" si="17"/>
        <v>200194</v>
      </c>
    </row>
    <row r="197" spans="1:15" x14ac:dyDescent="0.15">
      <c r="A197" s="1">
        <v>195</v>
      </c>
      <c r="B197" s="1">
        <f t="shared" si="22"/>
        <v>102060700</v>
      </c>
      <c r="C197" s="1" t="str">
        <f t="shared" ca="1" si="21"/>
        <v>尊荣虚幻弓</v>
      </c>
      <c r="D197" s="1" t="s">
        <v>426</v>
      </c>
      <c r="E197" s="1">
        <v>2</v>
      </c>
      <c r="F197" s="1">
        <f t="shared" si="18"/>
        <v>1</v>
      </c>
      <c r="G197" s="8">
        <f t="shared" si="23"/>
        <v>7</v>
      </c>
      <c r="H197" s="8" t="str">
        <f t="shared" si="19"/>
        <v>弓</v>
      </c>
      <c r="I197" s="8" t="e">
        <f ca="1">"["&amp;INT(getMinDes(B197))&amp;"-"&amp;INT(getMaxDes(B197))&amp;"]"&amp;getDesName(B197)&amp;" "&amp;getRandomNatureDes(K197)&amp;getSuitDes(B197)</f>
        <v>#VALUE!</v>
      </c>
      <c r="J197" s="1">
        <v>0</v>
      </c>
      <c r="K197" s="1">
        <v>2</v>
      </c>
      <c r="L197" s="1">
        <f t="shared" si="20"/>
        <v>6</v>
      </c>
      <c r="M197" s="1" t="str">
        <f ca="1">mVlookup(E197&amp;L197,装备名称!J$43:Z$74,H197,FALSE)</f>
        <v>IC1359</v>
      </c>
      <c r="N197" s="1" t="str">
        <f t="shared" si="24"/>
        <v>76</v>
      </c>
      <c r="O197" s="1">
        <f t="shared" ref="O197:O260" si="25">O196+1</f>
        <v>200195</v>
      </c>
    </row>
    <row r="198" spans="1:15" x14ac:dyDescent="0.15">
      <c r="A198" s="1">
        <v>196</v>
      </c>
      <c r="B198" s="1">
        <f t="shared" si="22"/>
        <v>102070700</v>
      </c>
      <c r="C198" s="1" t="str">
        <f t="shared" ca="1" si="21"/>
        <v>至尊歌德弓</v>
      </c>
      <c r="D198" s="1" t="s">
        <v>426</v>
      </c>
      <c r="E198" s="1">
        <v>2</v>
      </c>
      <c r="F198" s="1">
        <f t="shared" si="18"/>
        <v>1</v>
      </c>
      <c r="G198" s="8">
        <f t="shared" si="23"/>
        <v>7</v>
      </c>
      <c r="H198" s="8" t="str">
        <f t="shared" si="19"/>
        <v>弓</v>
      </c>
      <c r="I198" s="8" t="e">
        <f ca="1">"["&amp;INT(getMinDes(B198))&amp;"-"&amp;INT(getMaxDes(B198))&amp;"]"&amp;getDesName(B198)&amp;" "&amp;getRandomNatureDes(K198)&amp;getSuitDes(B198)</f>
        <v>#VALUE!</v>
      </c>
      <c r="J198" s="1">
        <v>0</v>
      </c>
      <c r="K198" s="1">
        <v>2</v>
      </c>
      <c r="L198" s="1">
        <f t="shared" si="20"/>
        <v>7</v>
      </c>
      <c r="M198" s="1" t="str">
        <f ca="1">mVlookup(E198&amp;L198,装备名称!J$43:Z$74,H198,FALSE)</f>
        <v>IC1340</v>
      </c>
      <c r="N198" s="1" t="str">
        <f t="shared" si="24"/>
        <v>77</v>
      </c>
      <c r="O198" s="1">
        <f t="shared" si="25"/>
        <v>200196</v>
      </c>
    </row>
    <row r="199" spans="1:15" x14ac:dyDescent="0.15">
      <c r="A199" s="1">
        <v>197</v>
      </c>
      <c r="B199" s="1">
        <f t="shared" si="22"/>
        <v>102080700</v>
      </c>
      <c r="C199" s="1" t="str">
        <f t="shared" ca="1" si="21"/>
        <v>绝旨空灵弓</v>
      </c>
      <c r="D199" s="1" t="s">
        <v>426</v>
      </c>
      <c r="E199" s="1">
        <v>2</v>
      </c>
      <c r="F199" s="1">
        <f t="shared" si="18"/>
        <v>1</v>
      </c>
      <c r="G199" s="8">
        <f t="shared" si="23"/>
        <v>7</v>
      </c>
      <c r="H199" s="8" t="str">
        <f t="shared" si="19"/>
        <v>弓</v>
      </c>
      <c r="I199" s="8" t="e">
        <f ca="1">"["&amp;INT(getMinDes(B199))&amp;"-"&amp;INT(getMaxDes(B199))&amp;"]"&amp;getDesName(B199)&amp;" "&amp;getRandomNatureDes(K199)&amp;getSuitDes(B199)</f>
        <v>#VALUE!</v>
      </c>
      <c r="J199" s="1">
        <v>0</v>
      </c>
      <c r="K199" s="1">
        <v>2</v>
      </c>
      <c r="L199" s="1">
        <f t="shared" si="20"/>
        <v>8</v>
      </c>
      <c r="M199" s="1" t="str">
        <f ca="1">mVlookup(E199&amp;L199,装备名称!J$43:Z$74,H199,FALSE)</f>
        <v>IC1341</v>
      </c>
      <c r="N199" s="1" t="str">
        <f t="shared" si="24"/>
        <v>78</v>
      </c>
      <c r="O199" s="1">
        <f t="shared" si="25"/>
        <v>200197</v>
      </c>
    </row>
    <row r="200" spans="1:15" x14ac:dyDescent="0.15">
      <c r="A200" s="1">
        <v>198</v>
      </c>
      <c r="B200" s="1">
        <f t="shared" si="22"/>
        <v>102090700</v>
      </c>
      <c r="C200" s="1" t="str">
        <f t="shared" ca="1" si="21"/>
        <v>天工混乱弓</v>
      </c>
      <c r="D200" s="1" t="s">
        <v>426</v>
      </c>
      <c r="E200" s="1">
        <v>2</v>
      </c>
      <c r="F200" s="1">
        <f t="shared" si="18"/>
        <v>1</v>
      </c>
      <c r="G200" s="8">
        <f t="shared" si="23"/>
        <v>7</v>
      </c>
      <c r="H200" s="8" t="str">
        <f t="shared" si="19"/>
        <v>弓</v>
      </c>
      <c r="I200" s="8" t="e">
        <f ca="1">"["&amp;INT(getMinDes(B200))&amp;"-"&amp;INT(getMaxDes(B200))&amp;"]"&amp;getDesName(B200)&amp;" "&amp;getRandomNatureDes(K200)&amp;getSuitDes(B200)</f>
        <v>#VALUE!</v>
      </c>
      <c r="J200" s="1">
        <v>0</v>
      </c>
      <c r="K200" s="1">
        <v>2</v>
      </c>
      <c r="L200" s="1">
        <f t="shared" si="20"/>
        <v>9</v>
      </c>
      <c r="M200" s="1" t="str">
        <f ca="1">mVlookup(E200&amp;L200,装备名称!J$43:Z$74,H200,FALSE)</f>
        <v>IC1342</v>
      </c>
      <c r="N200" s="1" t="str">
        <f t="shared" si="24"/>
        <v>79</v>
      </c>
      <c r="O200" s="1">
        <f t="shared" si="25"/>
        <v>200198</v>
      </c>
    </row>
    <row r="201" spans="1:15" x14ac:dyDescent="0.15">
      <c r="A201" s="1">
        <v>199</v>
      </c>
      <c r="B201" s="1">
        <f t="shared" si="22"/>
        <v>102010800</v>
      </c>
      <c r="C201" s="1" t="str">
        <f t="shared" ca="1" si="21"/>
        <v>学徒颓废烟斗</v>
      </c>
      <c r="D201" s="1" t="s">
        <v>426</v>
      </c>
      <c r="E201" s="1">
        <v>2</v>
      </c>
      <c r="F201" s="1">
        <f t="shared" si="18"/>
        <v>1</v>
      </c>
      <c r="G201" s="8">
        <f t="shared" si="23"/>
        <v>8</v>
      </c>
      <c r="H201" s="8" t="str">
        <f t="shared" si="19"/>
        <v>烟斗</v>
      </c>
      <c r="I201" s="8" t="e">
        <f ca="1">"["&amp;INT(getMinDes(B201))&amp;"-"&amp;INT(getMaxDes(B201))&amp;"]"&amp;getDesName(B201)&amp;" "&amp;getRandomNatureDes(K201)&amp;getSuitDes(B201)</f>
        <v>#VALUE!</v>
      </c>
      <c r="J201" s="1">
        <v>0</v>
      </c>
      <c r="K201" s="1">
        <v>2</v>
      </c>
      <c r="L201" s="1">
        <f t="shared" si="20"/>
        <v>1</v>
      </c>
      <c r="M201" s="1" t="str">
        <f ca="1">mVlookup(E201&amp;L201,装备名称!J$43:Z$74,H201,FALSE)</f>
        <v>IC1106</v>
      </c>
      <c r="N201" s="1" t="str">
        <f t="shared" si="24"/>
        <v>81</v>
      </c>
      <c r="O201" s="1">
        <f t="shared" si="25"/>
        <v>200199</v>
      </c>
    </row>
    <row r="202" spans="1:15" x14ac:dyDescent="0.15">
      <c r="A202" s="1">
        <v>200</v>
      </c>
      <c r="B202" s="1">
        <f t="shared" si="22"/>
        <v>102020800</v>
      </c>
      <c r="C202" s="1" t="str">
        <f t="shared" ca="1" si="21"/>
        <v>专家玄铁烟斗</v>
      </c>
      <c r="D202" s="1" t="s">
        <v>426</v>
      </c>
      <c r="E202" s="1">
        <v>2</v>
      </c>
      <c r="F202" s="1">
        <f t="shared" si="18"/>
        <v>1</v>
      </c>
      <c r="G202" s="8">
        <f t="shared" si="23"/>
        <v>8</v>
      </c>
      <c r="H202" s="8" t="str">
        <f t="shared" si="19"/>
        <v>烟斗</v>
      </c>
      <c r="I202" s="8" t="e">
        <f ca="1">"["&amp;INT(getMinDes(B202))&amp;"-"&amp;INT(getMaxDes(B202))&amp;"]"&amp;getDesName(B202)&amp;" "&amp;getRandomNatureDes(K202)&amp;getSuitDes(B202)</f>
        <v>#VALUE!</v>
      </c>
      <c r="J202" s="1">
        <v>0</v>
      </c>
      <c r="K202" s="1">
        <v>2</v>
      </c>
      <c r="L202" s="1">
        <f t="shared" si="20"/>
        <v>2</v>
      </c>
      <c r="M202" s="1" t="str">
        <f ca="1">mVlookup(E202&amp;L202,装备名称!J$43:Z$74,H202,FALSE)</f>
        <v>IC1113</v>
      </c>
      <c r="N202" s="1" t="str">
        <f t="shared" si="24"/>
        <v>82</v>
      </c>
      <c r="O202" s="1">
        <f t="shared" si="25"/>
        <v>200200</v>
      </c>
    </row>
    <row r="203" spans="1:15" x14ac:dyDescent="0.15">
      <c r="A203" s="1">
        <v>201</v>
      </c>
      <c r="B203" s="1">
        <f t="shared" si="22"/>
        <v>102030800</v>
      </c>
      <c r="C203" s="1" t="str">
        <f t="shared" ca="1" si="21"/>
        <v>大师水晶烟斗</v>
      </c>
      <c r="D203" s="1" t="s">
        <v>426</v>
      </c>
      <c r="E203" s="1">
        <v>2</v>
      </c>
      <c r="F203" s="1">
        <f t="shared" ref="F203:F266" si="26">F68</f>
        <v>1</v>
      </c>
      <c r="G203" s="8">
        <f t="shared" si="23"/>
        <v>8</v>
      </c>
      <c r="H203" s="8" t="str">
        <f t="shared" ref="H203:H266" si="27">H68</f>
        <v>烟斗</v>
      </c>
      <c r="I203" s="8" t="e">
        <f ca="1">"["&amp;INT(getMinDes(B203))&amp;"-"&amp;INT(getMaxDes(B203))&amp;"]"&amp;getDesName(B203)&amp;" "&amp;getRandomNatureDes(K203)&amp;getSuitDes(B203)</f>
        <v>#VALUE!</v>
      </c>
      <c r="J203" s="1">
        <v>0</v>
      </c>
      <c r="K203" s="1">
        <v>2</v>
      </c>
      <c r="L203" s="1">
        <f t="shared" ref="L203:L266" si="28">L68</f>
        <v>3</v>
      </c>
      <c r="M203" s="1" t="str">
        <f ca="1">mVlookup(E203&amp;L203,装备名称!J$43:Z$74,H203,FALSE)</f>
        <v>IC1118</v>
      </c>
      <c r="N203" s="1" t="str">
        <f t="shared" si="24"/>
        <v>83</v>
      </c>
      <c r="O203" s="1">
        <f t="shared" si="25"/>
        <v>200201</v>
      </c>
    </row>
    <row r="204" spans="1:15" x14ac:dyDescent="0.15">
      <c r="A204" s="1">
        <v>202</v>
      </c>
      <c r="B204" s="1">
        <f t="shared" si="22"/>
        <v>102040800</v>
      </c>
      <c r="C204" s="1" t="str">
        <f t="shared" ca="1" si="21"/>
        <v>宗师精钢烟斗</v>
      </c>
      <c r="D204" s="1" t="s">
        <v>426</v>
      </c>
      <c r="E204" s="1">
        <v>2</v>
      </c>
      <c r="F204" s="1">
        <f t="shared" si="26"/>
        <v>1</v>
      </c>
      <c r="G204" s="8">
        <f t="shared" si="23"/>
        <v>8</v>
      </c>
      <c r="H204" s="8" t="str">
        <f t="shared" si="27"/>
        <v>烟斗</v>
      </c>
      <c r="I204" s="8" t="e">
        <f ca="1">"["&amp;INT(getMinDes(B204))&amp;"-"&amp;INT(getMaxDes(B204))&amp;"]"&amp;getDesName(B204)&amp;" "&amp;getRandomNatureDes(K204)&amp;getSuitDes(B204)</f>
        <v>#VALUE!</v>
      </c>
      <c r="J204" s="1">
        <v>0</v>
      </c>
      <c r="K204" s="1">
        <v>2</v>
      </c>
      <c r="L204" s="1">
        <f t="shared" si="28"/>
        <v>4</v>
      </c>
      <c r="M204" s="1" t="str">
        <f ca="1">mVlookup(E204&amp;L204,装备名称!J$43:Z$74,H204,FALSE)</f>
        <v>IC1155</v>
      </c>
      <c r="N204" s="1" t="str">
        <f t="shared" si="24"/>
        <v>84</v>
      </c>
      <c r="O204" s="1">
        <f t="shared" si="25"/>
        <v>200202</v>
      </c>
    </row>
    <row r="205" spans="1:15" x14ac:dyDescent="0.15">
      <c r="A205" s="1">
        <v>203</v>
      </c>
      <c r="B205" s="1">
        <f t="shared" si="22"/>
        <v>102050800</v>
      </c>
      <c r="C205" s="1" t="str">
        <f t="shared" ca="1" si="21"/>
        <v>显赫白银烟斗</v>
      </c>
      <c r="D205" s="1" t="s">
        <v>426</v>
      </c>
      <c r="E205" s="1">
        <v>2</v>
      </c>
      <c r="F205" s="1">
        <f t="shared" si="26"/>
        <v>1</v>
      </c>
      <c r="G205" s="8">
        <f t="shared" si="23"/>
        <v>8</v>
      </c>
      <c r="H205" s="8" t="str">
        <f t="shared" si="27"/>
        <v>烟斗</v>
      </c>
      <c r="I205" s="8" t="e">
        <f ca="1">"["&amp;INT(getMinDes(B205))&amp;"-"&amp;INT(getMaxDes(B205))&amp;"]"&amp;getDesName(B205)&amp;" "&amp;getRandomNatureDes(K205)&amp;getSuitDes(B205)</f>
        <v>#VALUE!</v>
      </c>
      <c r="J205" s="1">
        <v>0</v>
      </c>
      <c r="K205" s="1">
        <v>2</v>
      </c>
      <c r="L205" s="1">
        <f t="shared" si="28"/>
        <v>5</v>
      </c>
      <c r="M205" s="1" t="str">
        <f ca="1">mVlookup(E205&amp;L205,装备名称!J$43:Z$74,H205,FALSE)</f>
        <v>IC1118</v>
      </c>
      <c r="N205" s="1" t="str">
        <f t="shared" si="24"/>
        <v>85</v>
      </c>
      <c r="O205" s="1">
        <f t="shared" si="25"/>
        <v>200203</v>
      </c>
    </row>
    <row r="206" spans="1:15" x14ac:dyDescent="0.15">
      <c r="A206" s="1">
        <v>204</v>
      </c>
      <c r="B206" s="1">
        <f t="shared" si="22"/>
        <v>102060800</v>
      </c>
      <c r="C206" s="1" t="str">
        <f t="shared" ca="1" si="21"/>
        <v>尊荣虚幻烟斗</v>
      </c>
      <c r="D206" s="1" t="s">
        <v>426</v>
      </c>
      <c r="E206" s="1">
        <v>2</v>
      </c>
      <c r="F206" s="1">
        <f t="shared" si="26"/>
        <v>1</v>
      </c>
      <c r="G206" s="8">
        <f t="shared" si="23"/>
        <v>8</v>
      </c>
      <c r="H206" s="8" t="str">
        <f t="shared" si="27"/>
        <v>烟斗</v>
      </c>
      <c r="I206" s="8" t="e">
        <f ca="1">"["&amp;INT(getMinDes(B206))&amp;"-"&amp;INT(getMaxDes(B206))&amp;"]"&amp;getDesName(B206)&amp;" "&amp;getRandomNatureDes(K206)&amp;getSuitDes(B206)</f>
        <v>#VALUE!</v>
      </c>
      <c r="J206" s="1">
        <v>0</v>
      </c>
      <c r="K206" s="1">
        <v>2</v>
      </c>
      <c r="L206" s="1">
        <f t="shared" si="28"/>
        <v>6</v>
      </c>
      <c r="M206" s="1" t="str">
        <f ca="1">mVlookup(E206&amp;L206,装备名称!J$43:Z$74,H206,FALSE)</f>
        <v>IC1155</v>
      </c>
      <c r="N206" s="1" t="str">
        <f t="shared" si="24"/>
        <v>86</v>
      </c>
      <c r="O206" s="1">
        <f t="shared" si="25"/>
        <v>200204</v>
      </c>
    </row>
    <row r="207" spans="1:15" x14ac:dyDescent="0.15">
      <c r="A207" s="1">
        <v>205</v>
      </c>
      <c r="B207" s="1">
        <f t="shared" si="22"/>
        <v>102070800</v>
      </c>
      <c r="C207" s="1" t="str">
        <f t="shared" ca="1" si="21"/>
        <v>至尊歌德烟斗</v>
      </c>
      <c r="D207" s="1" t="s">
        <v>426</v>
      </c>
      <c r="E207" s="1">
        <v>2</v>
      </c>
      <c r="F207" s="1">
        <f t="shared" si="26"/>
        <v>1</v>
      </c>
      <c r="G207" s="8">
        <f t="shared" si="23"/>
        <v>8</v>
      </c>
      <c r="H207" s="8" t="str">
        <f t="shared" si="27"/>
        <v>烟斗</v>
      </c>
      <c r="I207" s="8" t="e">
        <f ca="1">"["&amp;INT(getMinDes(B207))&amp;"-"&amp;INT(getMaxDes(B207))&amp;"]"&amp;getDesName(B207)&amp;" "&amp;getRandomNatureDes(K207)&amp;getSuitDes(B207)</f>
        <v>#VALUE!</v>
      </c>
      <c r="J207" s="1">
        <v>0</v>
      </c>
      <c r="K207" s="1">
        <v>2</v>
      </c>
      <c r="L207" s="1">
        <f t="shared" si="28"/>
        <v>7</v>
      </c>
      <c r="M207" s="1" t="str">
        <f ca="1">mVlookup(E207&amp;L207,装备名称!J$43:Z$74,H207,FALSE)</f>
        <v>IC1143</v>
      </c>
      <c r="N207" s="1" t="str">
        <f t="shared" si="24"/>
        <v>87</v>
      </c>
      <c r="O207" s="1">
        <f t="shared" si="25"/>
        <v>200205</v>
      </c>
    </row>
    <row r="208" spans="1:15" x14ac:dyDescent="0.15">
      <c r="A208" s="1">
        <v>206</v>
      </c>
      <c r="B208" s="1">
        <f t="shared" si="22"/>
        <v>102080800</v>
      </c>
      <c r="C208" s="1" t="str">
        <f t="shared" ca="1" si="21"/>
        <v>绝旨空灵烟斗</v>
      </c>
      <c r="D208" s="1" t="s">
        <v>426</v>
      </c>
      <c r="E208" s="1">
        <v>2</v>
      </c>
      <c r="F208" s="1">
        <f t="shared" si="26"/>
        <v>1</v>
      </c>
      <c r="G208" s="8">
        <f t="shared" si="23"/>
        <v>8</v>
      </c>
      <c r="H208" s="8" t="str">
        <f t="shared" si="27"/>
        <v>烟斗</v>
      </c>
      <c r="I208" s="8" t="e">
        <f ca="1">"["&amp;INT(getMinDes(B208))&amp;"-"&amp;INT(getMaxDes(B208))&amp;"]"&amp;getDesName(B208)&amp;" "&amp;getRandomNatureDes(K208)&amp;getSuitDes(B208)</f>
        <v>#VALUE!</v>
      </c>
      <c r="J208" s="1">
        <v>0</v>
      </c>
      <c r="K208" s="1">
        <v>2</v>
      </c>
      <c r="L208" s="1">
        <f t="shared" si="28"/>
        <v>8</v>
      </c>
      <c r="M208" s="1" t="str">
        <f ca="1">mVlookup(E208&amp;L208,装备名称!J$43:Z$74,H208,FALSE)</f>
        <v>IC1101</v>
      </c>
      <c r="N208" s="1" t="str">
        <f t="shared" si="24"/>
        <v>88</v>
      </c>
      <c r="O208" s="1">
        <f t="shared" si="25"/>
        <v>200206</v>
      </c>
    </row>
    <row r="209" spans="1:15" x14ac:dyDescent="0.15">
      <c r="A209" s="1">
        <v>207</v>
      </c>
      <c r="B209" s="1">
        <f t="shared" si="22"/>
        <v>102090800</v>
      </c>
      <c r="C209" s="1" t="str">
        <f t="shared" ca="1" si="21"/>
        <v>天工混乱烟斗</v>
      </c>
      <c r="D209" s="1" t="s">
        <v>426</v>
      </c>
      <c r="E209" s="1">
        <v>2</v>
      </c>
      <c r="F209" s="1">
        <f t="shared" si="26"/>
        <v>1</v>
      </c>
      <c r="G209" s="8">
        <f t="shared" si="23"/>
        <v>8</v>
      </c>
      <c r="H209" s="8" t="str">
        <f t="shared" si="27"/>
        <v>烟斗</v>
      </c>
      <c r="I209" s="8" t="e">
        <f ca="1">"["&amp;INT(getMinDes(B209))&amp;"-"&amp;INT(getMaxDes(B209))&amp;"]"&amp;getDesName(B209)&amp;" "&amp;getRandomNatureDes(K209)&amp;getSuitDes(B209)</f>
        <v>#VALUE!</v>
      </c>
      <c r="J209" s="1">
        <v>0</v>
      </c>
      <c r="K209" s="1">
        <v>2</v>
      </c>
      <c r="L209" s="1">
        <f t="shared" si="28"/>
        <v>9</v>
      </c>
      <c r="M209" s="1" t="str">
        <f ca="1">mVlookup(E209&amp;L209,装备名称!J$43:Z$74,H209,FALSE)</f>
        <v>IC1104</v>
      </c>
      <c r="N209" s="1" t="str">
        <f t="shared" si="24"/>
        <v>89</v>
      </c>
      <c r="O209" s="1">
        <f t="shared" si="25"/>
        <v>200207</v>
      </c>
    </row>
    <row r="210" spans="1:15" x14ac:dyDescent="0.15">
      <c r="A210" s="1">
        <v>208</v>
      </c>
      <c r="B210" s="1">
        <f t="shared" si="22"/>
        <v>102010900</v>
      </c>
      <c r="C210" s="1" t="str">
        <f t="shared" ca="1" si="21"/>
        <v>学徒颓废扇子</v>
      </c>
      <c r="D210" s="1" t="s">
        <v>426</v>
      </c>
      <c r="E210" s="1">
        <v>2</v>
      </c>
      <c r="F210" s="1">
        <f t="shared" si="26"/>
        <v>1</v>
      </c>
      <c r="G210" s="8">
        <f t="shared" si="23"/>
        <v>9</v>
      </c>
      <c r="H210" s="8" t="str">
        <f t="shared" si="27"/>
        <v>扇子</v>
      </c>
      <c r="I210" s="8" t="e">
        <f ca="1">"["&amp;INT(getMinDes(B210))&amp;"-"&amp;INT(getMaxDes(B210))&amp;"]"&amp;getDesName(B210)&amp;" "&amp;getRandomNatureDes(K210)&amp;getSuitDes(B210)</f>
        <v>#VALUE!</v>
      </c>
      <c r="J210" s="1">
        <v>0</v>
      </c>
      <c r="K210" s="1">
        <v>2</v>
      </c>
      <c r="L210" s="1">
        <f t="shared" si="28"/>
        <v>1</v>
      </c>
      <c r="M210" s="1" t="str">
        <f ca="1">mVlookup(E210&amp;L210,装备名称!J$43:Z$74,H210,FALSE)</f>
        <v>IC1837</v>
      </c>
      <c r="N210" s="1" t="str">
        <f t="shared" si="24"/>
        <v>91</v>
      </c>
      <c r="O210" s="1">
        <f t="shared" si="25"/>
        <v>200208</v>
      </c>
    </row>
    <row r="211" spans="1:15" x14ac:dyDescent="0.15">
      <c r="A211" s="1">
        <v>209</v>
      </c>
      <c r="B211" s="1">
        <f t="shared" si="22"/>
        <v>102020900</v>
      </c>
      <c r="C211" s="1" t="str">
        <f t="shared" ca="1" si="21"/>
        <v>专家玄铁扇子</v>
      </c>
      <c r="D211" s="1" t="s">
        <v>426</v>
      </c>
      <c r="E211" s="1">
        <v>2</v>
      </c>
      <c r="F211" s="1">
        <f t="shared" si="26"/>
        <v>1</v>
      </c>
      <c r="G211" s="8">
        <f t="shared" si="23"/>
        <v>9</v>
      </c>
      <c r="H211" s="8" t="str">
        <f t="shared" si="27"/>
        <v>扇子</v>
      </c>
      <c r="I211" s="8" t="e">
        <f ca="1">"["&amp;INT(getMinDes(B211))&amp;"-"&amp;INT(getMaxDes(B211))&amp;"]"&amp;getDesName(B211)&amp;" "&amp;getRandomNatureDes(K211)&amp;getSuitDes(B211)</f>
        <v>#VALUE!</v>
      </c>
      <c r="J211" s="1">
        <v>0</v>
      </c>
      <c r="K211" s="1">
        <v>2</v>
      </c>
      <c r="L211" s="1">
        <f t="shared" si="28"/>
        <v>2</v>
      </c>
      <c r="M211" s="1" t="str">
        <f ca="1">mVlookup(E211&amp;L211,装备名称!J$43:Z$74,H211,FALSE)</f>
        <v>IC1838</v>
      </c>
      <c r="N211" s="1" t="str">
        <f t="shared" si="24"/>
        <v>92</v>
      </c>
      <c r="O211" s="1">
        <f t="shared" si="25"/>
        <v>200209</v>
      </c>
    </row>
    <row r="212" spans="1:15" x14ac:dyDescent="0.15">
      <c r="A212" s="1">
        <v>210</v>
      </c>
      <c r="B212" s="1">
        <f t="shared" si="22"/>
        <v>102030900</v>
      </c>
      <c r="C212" s="1" t="str">
        <f t="shared" ca="1" si="21"/>
        <v>大师水晶扇子</v>
      </c>
      <c r="D212" s="1" t="s">
        <v>426</v>
      </c>
      <c r="E212" s="1">
        <v>2</v>
      </c>
      <c r="F212" s="1">
        <f t="shared" si="26"/>
        <v>1</v>
      </c>
      <c r="G212" s="8">
        <f t="shared" si="23"/>
        <v>9</v>
      </c>
      <c r="H212" s="8" t="str">
        <f t="shared" si="27"/>
        <v>扇子</v>
      </c>
      <c r="I212" s="8" t="e">
        <f ca="1">"["&amp;INT(getMinDes(B212))&amp;"-"&amp;INT(getMaxDes(B212))&amp;"]"&amp;getDesName(B212)&amp;" "&amp;getRandomNatureDes(K212)&amp;getSuitDes(B212)</f>
        <v>#VALUE!</v>
      </c>
      <c r="J212" s="1">
        <v>0</v>
      </c>
      <c r="K212" s="1">
        <v>2</v>
      </c>
      <c r="L212" s="1">
        <f t="shared" si="28"/>
        <v>3</v>
      </c>
      <c r="M212" s="1" t="str">
        <f ca="1">mVlookup(E212&amp;L212,装备名称!J$43:Z$74,H212,FALSE)</f>
        <v>IC1839</v>
      </c>
      <c r="N212" s="1" t="str">
        <f t="shared" si="24"/>
        <v>93</v>
      </c>
      <c r="O212" s="1">
        <f t="shared" si="25"/>
        <v>200210</v>
      </c>
    </row>
    <row r="213" spans="1:15" x14ac:dyDescent="0.15">
      <c r="A213" s="1">
        <v>211</v>
      </c>
      <c r="B213" s="1">
        <f t="shared" si="22"/>
        <v>102040900</v>
      </c>
      <c r="C213" s="1" t="str">
        <f t="shared" ca="1" si="21"/>
        <v>宗师精钢扇子</v>
      </c>
      <c r="D213" s="1" t="s">
        <v>426</v>
      </c>
      <c r="E213" s="1">
        <v>2</v>
      </c>
      <c r="F213" s="1">
        <f t="shared" si="26"/>
        <v>1</v>
      </c>
      <c r="G213" s="8">
        <f t="shared" si="23"/>
        <v>9</v>
      </c>
      <c r="H213" s="8" t="str">
        <f t="shared" si="27"/>
        <v>扇子</v>
      </c>
      <c r="I213" s="8" t="e">
        <f ca="1">"["&amp;INT(getMinDes(B213))&amp;"-"&amp;INT(getMaxDes(B213))&amp;"]"&amp;getDesName(B213)&amp;" "&amp;getRandomNatureDes(K213)&amp;getSuitDes(B213)</f>
        <v>#VALUE!</v>
      </c>
      <c r="J213" s="1">
        <v>0</v>
      </c>
      <c r="K213" s="1">
        <v>2</v>
      </c>
      <c r="L213" s="1">
        <f t="shared" si="28"/>
        <v>4</v>
      </c>
      <c r="M213" s="1" t="str">
        <f ca="1">mVlookup(E213&amp;L213,装备名称!J$43:Z$74,H213,FALSE)</f>
        <v>IC1840</v>
      </c>
      <c r="N213" s="1" t="str">
        <f t="shared" si="24"/>
        <v>94</v>
      </c>
      <c r="O213" s="1">
        <f t="shared" si="25"/>
        <v>200211</v>
      </c>
    </row>
    <row r="214" spans="1:15" x14ac:dyDescent="0.15">
      <c r="A214" s="1">
        <v>212</v>
      </c>
      <c r="B214" s="1">
        <f t="shared" si="22"/>
        <v>102050900</v>
      </c>
      <c r="C214" s="1" t="str">
        <f t="shared" ca="1" si="21"/>
        <v>显赫白银扇子</v>
      </c>
      <c r="D214" s="1" t="s">
        <v>426</v>
      </c>
      <c r="E214" s="1">
        <v>2</v>
      </c>
      <c r="F214" s="1">
        <f t="shared" si="26"/>
        <v>1</v>
      </c>
      <c r="G214" s="8">
        <f t="shared" si="23"/>
        <v>9</v>
      </c>
      <c r="H214" s="8" t="str">
        <f t="shared" si="27"/>
        <v>扇子</v>
      </c>
      <c r="I214" s="8" t="e">
        <f ca="1">"["&amp;INT(getMinDes(B214))&amp;"-"&amp;INT(getMaxDes(B214))&amp;"]"&amp;getDesName(B214)&amp;" "&amp;getRandomNatureDes(K214)&amp;getSuitDes(B214)</f>
        <v>#VALUE!</v>
      </c>
      <c r="J214" s="1">
        <v>0</v>
      </c>
      <c r="K214" s="1">
        <v>2</v>
      </c>
      <c r="L214" s="1">
        <f t="shared" si="28"/>
        <v>5</v>
      </c>
      <c r="M214" s="1" t="str">
        <f ca="1">mVlookup(E214&amp;L214,装备名称!J$43:Z$74,H214,FALSE)</f>
        <v>IC1838</v>
      </c>
      <c r="N214" s="1" t="str">
        <f t="shared" si="24"/>
        <v>95</v>
      </c>
      <c r="O214" s="1">
        <f t="shared" si="25"/>
        <v>200212</v>
      </c>
    </row>
    <row r="215" spans="1:15" x14ac:dyDescent="0.15">
      <c r="A215" s="1">
        <v>213</v>
      </c>
      <c r="B215" s="1">
        <f t="shared" si="22"/>
        <v>102060900</v>
      </c>
      <c r="C215" s="1" t="str">
        <f t="shared" ca="1" si="21"/>
        <v>尊荣虚幻扇子</v>
      </c>
      <c r="D215" s="1" t="s">
        <v>426</v>
      </c>
      <c r="E215" s="1">
        <v>2</v>
      </c>
      <c r="F215" s="1">
        <f t="shared" si="26"/>
        <v>1</v>
      </c>
      <c r="G215" s="8">
        <f t="shared" si="23"/>
        <v>9</v>
      </c>
      <c r="H215" s="8" t="str">
        <f t="shared" si="27"/>
        <v>扇子</v>
      </c>
      <c r="I215" s="8" t="e">
        <f ca="1">"["&amp;INT(getMinDes(B215))&amp;"-"&amp;INT(getMaxDes(B215))&amp;"]"&amp;getDesName(B215)&amp;" "&amp;getRandomNatureDes(K215)&amp;getSuitDes(B215)</f>
        <v>#VALUE!</v>
      </c>
      <c r="J215" s="1">
        <v>0</v>
      </c>
      <c r="K215" s="1">
        <v>2</v>
      </c>
      <c r="L215" s="1">
        <f t="shared" si="28"/>
        <v>6</v>
      </c>
      <c r="M215" s="1" t="str">
        <f ca="1">mVlookup(E215&amp;L215,装备名称!J$43:Z$74,H215,FALSE)</f>
        <v>IC1839</v>
      </c>
      <c r="N215" s="1" t="str">
        <f t="shared" si="24"/>
        <v>96</v>
      </c>
      <c r="O215" s="1">
        <f t="shared" si="25"/>
        <v>200213</v>
      </c>
    </row>
    <row r="216" spans="1:15" x14ac:dyDescent="0.15">
      <c r="A216" s="1">
        <v>214</v>
      </c>
      <c r="B216" s="1">
        <f t="shared" si="22"/>
        <v>102070900</v>
      </c>
      <c r="C216" s="1" t="str">
        <f t="shared" ca="1" si="21"/>
        <v>至尊歌德扇子</v>
      </c>
      <c r="D216" s="1" t="s">
        <v>426</v>
      </c>
      <c r="E216" s="1">
        <v>2</v>
      </c>
      <c r="F216" s="1">
        <f t="shared" si="26"/>
        <v>1</v>
      </c>
      <c r="G216" s="8">
        <f t="shared" si="23"/>
        <v>9</v>
      </c>
      <c r="H216" s="8" t="str">
        <f t="shared" si="27"/>
        <v>扇子</v>
      </c>
      <c r="I216" s="8" t="e">
        <f ca="1">"["&amp;INT(getMinDes(B216))&amp;"-"&amp;INT(getMaxDes(B216))&amp;"]"&amp;getDesName(B216)&amp;" "&amp;getRandomNatureDes(K216)&amp;getSuitDes(B216)</f>
        <v>#VALUE!</v>
      </c>
      <c r="J216" s="1">
        <v>0</v>
      </c>
      <c r="K216" s="1">
        <v>2</v>
      </c>
      <c r="L216" s="1">
        <f t="shared" si="28"/>
        <v>7</v>
      </c>
      <c r="M216" s="1" t="str">
        <f ca="1">mVlookup(E216&amp;L216,装备名称!J$43:Z$74,H216,FALSE)</f>
        <v>IC1838</v>
      </c>
      <c r="N216" s="1" t="str">
        <f t="shared" si="24"/>
        <v>97</v>
      </c>
      <c r="O216" s="1">
        <f t="shared" si="25"/>
        <v>200214</v>
      </c>
    </row>
    <row r="217" spans="1:15" x14ac:dyDescent="0.15">
      <c r="A217" s="1">
        <v>215</v>
      </c>
      <c r="B217" s="1">
        <f t="shared" si="22"/>
        <v>102080900</v>
      </c>
      <c r="C217" s="1" t="str">
        <f t="shared" ca="1" si="21"/>
        <v>绝旨空灵扇子</v>
      </c>
      <c r="D217" s="1" t="s">
        <v>426</v>
      </c>
      <c r="E217" s="1">
        <v>2</v>
      </c>
      <c r="F217" s="1">
        <f t="shared" si="26"/>
        <v>1</v>
      </c>
      <c r="G217" s="8">
        <f t="shared" si="23"/>
        <v>9</v>
      </c>
      <c r="H217" s="8" t="str">
        <f t="shared" si="27"/>
        <v>扇子</v>
      </c>
      <c r="I217" s="8" t="e">
        <f ca="1">"["&amp;INT(getMinDes(B217))&amp;"-"&amp;INT(getMaxDes(B217))&amp;"]"&amp;getDesName(B217)&amp;" "&amp;getRandomNatureDes(K217)&amp;getSuitDes(B217)</f>
        <v>#VALUE!</v>
      </c>
      <c r="J217" s="1">
        <v>0</v>
      </c>
      <c r="K217" s="1">
        <v>2</v>
      </c>
      <c r="L217" s="1">
        <f t="shared" si="28"/>
        <v>8</v>
      </c>
      <c r="M217" s="1" t="str">
        <f ca="1">mVlookup(E217&amp;L217,装备名称!J$43:Z$74,H217,FALSE)</f>
        <v>IC1836</v>
      </c>
      <c r="N217" s="1" t="str">
        <f t="shared" si="24"/>
        <v>98</v>
      </c>
      <c r="O217" s="1">
        <f t="shared" si="25"/>
        <v>200215</v>
      </c>
    </row>
    <row r="218" spans="1:15" x14ac:dyDescent="0.15">
      <c r="A218" s="1">
        <v>216</v>
      </c>
      <c r="B218" s="1">
        <f t="shared" si="22"/>
        <v>102090900</v>
      </c>
      <c r="C218" s="1" t="str">
        <f t="shared" ca="1" si="21"/>
        <v>天工混乱扇子</v>
      </c>
      <c r="D218" s="1" t="s">
        <v>426</v>
      </c>
      <c r="E218" s="1">
        <v>2</v>
      </c>
      <c r="F218" s="1">
        <f t="shared" si="26"/>
        <v>1</v>
      </c>
      <c r="G218" s="8">
        <f t="shared" si="23"/>
        <v>9</v>
      </c>
      <c r="H218" s="8" t="str">
        <f t="shared" si="27"/>
        <v>扇子</v>
      </c>
      <c r="I218" s="8" t="e">
        <f ca="1">"["&amp;INT(getMinDes(B218))&amp;"-"&amp;INT(getMaxDes(B218))&amp;"]"&amp;getDesName(B218)&amp;" "&amp;getRandomNatureDes(K218)&amp;getSuitDes(B218)</f>
        <v>#VALUE!</v>
      </c>
      <c r="J218" s="1">
        <v>0</v>
      </c>
      <c r="K218" s="1">
        <v>2</v>
      </c>
      <c r="L218" s="1">
        <f t="shared" si="28"/>
        <v>9</v>
      </c>
      <c r="M218" s="1" t="str">
        <f ca="1">mVlookup(E218&amp;L218,装备名称!J$43:Z$74,H218,FALSE)</f>
        <v>IC1837</v>
      </c>
      <c r="N218" s="1" t="str">
        <f t="shared" si="24"/>
        <v>99</v>
      </c>
      <c r="O218" s="1">
        <f t="shared" si="25"/>
        <v>200216</v>
      </c>
    </row>
    <row r="219" spans="1:15" x14ac:dyDescent="0.15">
      <c r="A219" s="1">
        <v>217</v>
      </c>
      <c r="B219" s="1">
        <f t="shared" si="22"/>
        <v>102011000</v>
      </c>
      <c r="C219" s="1" t="str">
        <f t="shared" ca="1" si="21"/>
        <v>学徒颓废牙齿</v>
      </c>
      <c r="D219" s="1" t="s">
        <v>426</v>
      </c>
      <c r="E219" s="1">
        <v>2</v>
      </c>
      <c r="F219" s="1">
        <f t="shared" si="26"/>
        <v>1</v>
      </c>
      <c r="G219" s="8">
        <f t="shared" si="23"/>
        <v>10</v>
      </c>
      <c r="H219" s="8" t="str">
        <f t="shared" si="27"/>
        <v>牙齿</v>
      </c>
      <c r="I219" s="8" t="e">
        <f ca="1">"["&amp;INT(getMinDes(B219))&amp;"-"&amp;INT(getMaxDes(B219))&amp;"]"&amp;getDesName(B219)&amp;" "&amp;getRandomNatureDes(K219)&amp;getSuitDes(B219)</f>
        <v>#VALUE!</v>
      </c>
      <c r="J219" s="1">
        <v>0</v>
      </c>
      <c r="K219" s="1">
        <v>2</v>
      </c>
      <c r="L219" s="1">
        <f t="shared" si="28"/>
        <v>1</v>
      </c>
      <c r="M219" s="1" t="str">
        <f ca="1">mVlookup(E219&amp;L219,装备名称!J$43:Z$74,H219,FALSE)</f>
        <v>IC1554</v>
      </c>
      <c r="N219" s="1" t="str">
        <f t="shared" si="24"/>
        <v>101</v>
      </c>
      <c r="O219" s="1">
        <f t="shared" si="25"/>
        <v>200217</v>
      </c>
    </row>
    <row r="220" spans="1:15" x14ac:dyDescent="0.15">
      <c r="A220" s="1">
        <v>218</v>
      </c>
      <c r="B220" s="1">
        <f t="shared" si="22"/>
        <v>102021000</v>
      </c>
      <c r="C220" s="1" t="str">
        <f t="shared" ca="1" si="21"/>
        <v>专家玄铁牙齿</v>
      </c>
      <c r="D220" s="1" t="s">
        <v>426</v>
      </c>
      <c r="E220" s="1">
        <v>2</v>
      </c>
      <c r="F220" s="1">
        <f t="shared" si="26"/>
        <v>1</v>
      </c>
      <c r="G220" s="8">
        <f t="shared" si="23"/>
        <v>10</v>
      </c>
      <c r="H220" s="8" t="str">
        <f t="shared" si="27"/>
        <v>牙齿</v>
      </c>
      <c r="I220" s="8" t="e">
        <f ca="1">"["&amp;INT(getMinDes(B220))&amp;"-"&amp;INT(getMaxDes(B220))&amp;"]"&amp;getDesName(B220)&amp;" "&amp;getRandomNatureDes(K220)&amp;getSuitDes(B220)</f>
        <v>#VALUE!</v>
      </c>
      <c r="J220" s="1">
        <v>0</v>
      </c>
      <c r="K220" s="1">
        <v>2</v>
      </c>
      <c r="L220" s="1">
        <f t="shared" si="28"/>
        <v>2</v>
      </c>
      <c r="M220" s="1" t="str">
        <f ca="1">mVlookup(E220&amp;L220,装备名称!J$43:Z$74,H220,FALSE)</f>
        <v>IC1565</v>
      </c>
      <c r="N220" s="1" t="str">
        <f t="shared" si="24"/>
        <v>102</v>
      </c>
      <c r="O220" s="1">
        <f t="shared" si="25"/>
        <v>200218</v>
      </c>
    </row>
    <row r="221" spans="1:15" x14ac:dyDescent="0.15">
      <c r="A221" s="1">
        <v>219</v>
      </c>
      <c r="B221" s="1">
        <f t="shared" si="22"/>
        <v>102031000</v>
      </c>
      <c r="C221" s="1" t="str">
        <f t="shared" ca="1" si="21"/>
        <v>大师水晶牙齿</v>
      </c>
      <c r="D221" s="1" t="s">
        <v>426</v>
      </c>
      <c r="E221" s="1">
        <v>2</v>
      </c>
      <c r="F221" s="1">
        <f t="shared" si="26"/>
        <v>1</v>
      </c>
      <c r="G221" s="8">
        <f t="shared" si="23"/>
        <v>10</v>
      </c>
      <c r="H221" s="8" t="str">
        <f t="shared" si="27"/>
        <v>牙齿</v>
      </c>
      <c r="I221" s="8" t="e">
        <f ca="1">"["&amp;INT(getMinDes(B221))&amp;"-"&amp;INT(getMaxDes(B221))&amp;"]"&amp;getDesName(B221)&amp;" "&amp;getRandomNatureDes(K221)&amp;getSuitDes(B221)</f>
        <v>#VALUE!</v>
      </c>
      <c r="J221" s="1">
        <v>0</v>
      </c>
      <c r="K221" s="1">
        <v>2</v>
      </c>
      <c r="L221" s="1">
        <f t="shared" si="28"/>
        <v>3</v>
      </c>
      <c r="M221" s="1" t="str">
        <f ca="1">mVlookup(E221&amp;L221,装备名称!J$43:Z$74,H221,FALSE)</f>
        <v>IC1553</v>
      </c>
      <c r="N221" s="1" t="str">
        <f t="shared" si="24"/>
        <v>103</v>
      </c>
      <c r="O221" s="1">
        <f t="shared" si="25"/>
        <v>200219</v>
      </c>
    </row>
    <row r="222" spans="1:15" x14ac:dyDescent="0.15">
      <c r="A222" s="1">
        <v>220</v>
      </c>
      <c r="B222" s="1">
        <f t="shared" si="22"/>
        <v>102041000</v>
      </c>
      <c r="C222" s="1" t="str">
        <f t="shared" ca="1" si="21"/>
        <v>宗师精钢牙齿</v>
      </c>
      <c r="D222" s="1" t="s">
        <v>426</v>
      </c>
      <c r="E222" s="1">
        <v>2</v>
      </c>
      <c r="F222" s="1">
        <f t="shared" si="26"/>
        <v>1</v>
      </c>
      <c r="G222" s="8">
        <f t="shared" si="23"/>
        <v>10</v>
      </c>
      <c r="H222" s="8" t="str">
        <f t="shared" si="27"/>
        <v>牙齿</v>
      </c>
      <c r="I222" s="8" t="e">
        <f ca="1">"["&amp;INT(getMinDes(B222))&amp;"-"&amp;INT(getMaxDes(B222))&amp;"]"&amp;getDesName(B222)&amp;" "&amp;getRandomNatureDes(K222)&amp;getSuitDes(B222)</f>
        <v>#VALUE!</v>
      </c>
      <c r="J222" s="1">
        <v>0</v>
      </c>
      <c r="K222" s="1">
        <v>2</v>
      </c>
      <c r="L222" s="1">
        <f t="shared" si="28"/>
        <v>4</v>
      </c>
      <c r="M222" s="1" t="str">
        <f ca="1">mVlookup(E222&amp;L222,装备名称!J$43:Z$74,H222,FALSE)</f>
        <v>IC1556</v>
      </c>
      <c r="N222" s="1" t="str">
        <f t="shared" si="24"/>
        <v>104</v>
      </c>
      <c r="O222" s="1">
        <f t="shared" si="25"/>
        <v>200220</v>
      </c>
    </row>
    <row r="223" spans="1:15" x14ac:dyDescent="0.15">
      <c r="A223" s="1">
        <v>221</v>
      </c>
      <c r="B223" s="1">
        <f t="shared" si="22"/>
        <v>102051000</v>
      </c>
      <c r="C223" s="1" t="str">
        <f t="shared" ca="1" si="21"/>
        <v>显赫白银牙齿</v>
      </c>
      <c r="D223" s="1" t="s">
        <v>426</v>
      </c>
      <c r="E223" s="1">
        <v>2</v>
      </c>
      <c r="F223" s="1">
        <f t="shared" si="26"/>
        <v>1</v>
      </c>
      <c r="G223" s="8">
        <f t="shared" si="23"/>
        <v>10</v>
      </c>
      <c r="H223" s="8" t="str">
        <f t="shared" si="27"/>
        <v>牙齿</v>
      </c>
      <c r="I223" s="8" t="e">
        <f ca="1">"["&amp;INT(getMinDes(B223))&amp;"-"&amp;INT(getMaxDes(B223))&amp;"]"&amp;getDesName(B223)&amp;" "&amp;getRandomNatureDes(K223)&amp;getSuitDes(B223)</f>
        <v>#VALUE!</v>
      </c>
      <c r="J223" s="1">
        <v>0</v>
      </c>
      <c r="K223" s="1">
        <v>2</v>
      </c>
      <c r="L223" s="1">
        <f t="shared" si="28"/>
        <v>5</v>
      </c>
      <c r="M223" s="1" t="str">
        <f ca="1">mVlookup(E223&amp;L223,装备名称!J$43:Z$74,H223,FALSE)</f>
        <v>IC1554</v>
      </c>
      <c r="N223" s="1" t="str">
        <f t="shared" si="24"/>
        <v>105</v>
      </c>
      <c r="O223" s="1">
        <f t="shared" si="25"/>
        <v>200221</v>
      </c>
    </row>
    <row r="224" spans="1:15" x14ac:dyDescent="0.15">
      <c r="A224" s="1">
        <v>222</v>
      </c>
      <c r="B224" s="1">
        <f t="shared" si="22"/>
        <v>102061000</v>
      </c>
      <c r="C224" s="1" t="str">
        <f t="shared" ca="1" si="21"/>
        <v>尊荣虚幻牙齿</v>
      </c>
      <c r="D224" s="1" t="s">
        <v>426</v>
      </c>
      <c r="E224" s="1">
        <v>2</v>
      </c>
      <c r="F224" s="1">
        <f t="shared" si="26"/>
        <v>1</v>
      </c>
      <c r="G224" s="8">
        <f t="shared" si="23"/>
        <v>10</v>
      </c>
      <c r="H224" s="8" t="str">
        <f t="shared" si="27"/>
        <v>牙齿</v>
      </c>
      <c r="I224" s="8" t="e">
        <f ca="1">"["&amp;INT(getMinDes(B224))&amp;"-"&amp;INT(getMaxDes(B224))&amp;"]"&amp;getDesName(B224)&amp;" "&amp;getRandomNatureDes(K224)&amp;getSuitDes(B224)</f>
        <v>#VALUE!</v>
      </c>
      <c r="J224" s="1">
        <v>0</v>
      </c>
      <c r="K224" s="1">
        <v>2</v>
      </c>
      <c r="L224" s="1">
        <f t="shared" si="28"/>
        <v>6</v>
      </c>
      <c r="M224" s="1" t="str">
        <f ca="1">mVlookup(E224&amp;L224,装备名称!J$43:Z$74,H224,FALSE)</f>
        <v>IC1565</v>
      </c>
      <c r="N224" s="1" t="str">
        <f t="shared" si="24"/>
        <v>106</v>
      </c>
      <c r="O224" s="1">
        <f t="shared" si="25"/>
        <v>200222</v>
      </c>
    </row>
    <row r="225" spans="1:15" x14ac:dyDescent="0.15">
      <c r="A225" s="1">
        <v>223</v>
      </c>
      <c r="B225" s="1">
        <f t="shared" si="22"/>
        <v>102071000</v>
      </c>
      <c r="C225" s="1" t="str">
        <f t="shared" ca="1" si="21"/>
        <v>至尊歌德牙齿</v>
      </c>
      <c r="D225" s="1" t="s">
        <v>426</v>
      </c>
      <c r="E225" s="1">
        <v>2</v>
      </c>
      <c r="F225" s="1">
        <f t="shared" si="26"/>
        <v>1</v>
      </c>
      <c r="G225" s="8">
        <f t="shared" si="23"/>
        <v>10</v>
      </c>
      <c r="H225" s="8" t="str">
        <f t="shared" si="27"/>
        <v>牙齿</v>
      </c>
      <c r="I225" s="8" t="e">
        <f ca="1">"["&amp;INT(getMinDes(B225))&amp;"-"&amp;INT(getMaxDes(B225))&amp;"]"&amp;getDesName(B225)&amp;" "&amp;getRandomNatureDes(K225)&amp;getSuitDes(B225)</f>
        <v>#VALUE!</v>
      </c>
      <c r="J225" s="1">
        <v>0</v>
      </c>
      <c r="K225" s="1">
        <v>2</v>
      </c>
      <c r="L225" s="1">
        <f t="shared" si="28"/>
        <v>7</v>
      </c>
      <c r="M225" s="1" t="str">
        <f ca="1">mVlookup(E225&amp;L225,装备名称!J$43:Z$74,H225,FALSE)</f>
        <v>IC1554</v>
      </c>
      <c r="N225" s="1" t="str">
        <f t="shared" si="24"/>
        <v>107</v>
      </c>
      <c r="O225" s="1">
        <f t="shared" si="25"/>
        <v>200223</v>
      </c>
    </row>
    <row r="226" spans="1:15" x14ac:dyDescent="0.15">
      <c r="A226" s="1">
        <v>224</v>
      </c>
      <c r="B226" s="1">
        <f t="shared" si="22"/>
        <v>102081000</v>
      </c>
      <c r="C226" s="1" t="str">
        <f t="shared" ca="1" si="21"/>
        <v>绝旨空灵牙齿</v>
      </c>
      <c r="D226" s="1" t="s">
        <v>426</v>
      </c>
      <c r="E226" s="1">
        <v>2</v>
      </c>
      <c r="F226" s="1">
        <f t="shared" si="26"/>
        <v>1</v>
      </c>
      <c r="G226" s="8">
        <f t="shared" si="23"/>
        <v>10</v>
      </c>
      <c r="H226" s="8" t="str">
        <f t="shared" si="27"/>
        <v>牙齿</v>
      </c>
      <c r="I226" s="8" t="e">
        <f ca="1">"["&amp;INT(getMinDes(B226))&amp;"-"&amp;INT(getMaxDes(B226))&amp;"]"&amp;getDesName(B226)&amp;" "&amp;getRandomNatureDes(K226)&amp;getSuitDes(B226)</f>
        <v>#VALUE!</v>
      </c>
      <c r="J226" s="1">
        <v>0</v>
      </c>
      <c r="K226" s="1">
        <v>2</v>
      </c>
      <c r="L226" s="1">
        <f t="shared" si="28"/>
        <v>8</v>
      </c>
      <c r="M226" s="1" t="str">
        <f ca="1">mVlookup(E226&amp;L226,装备名称!J$43:Z$74,H226,FALSE)</f>
        <v>IC1553</v>
      </c>
      <c r="N226" s="1" t="str">
        <f t="shared" si="24"/>
        <v>108</v>
      </c>
      <c r="O226" s="1">
        <f t="shared" si="25"/>
        <v>200224</v>
      </c>
    </row>
    <row r="227" spans="1:15" x14ac:dyDescent="0.15">
      <c r="A227" s="1">
        <v>225</v>
      </c>
      <c r="B227" s="1">
        <f t="shared" si="22"/>
        <v>102091000</v>
      </c>
      <c r="C227" s="1" t="str">
        <f t="shared" ca="1" si="21"/>
        <v>天工混乱牙齿</v>
      </c>
      <c r="D227" s="1" t="s">
        <v>426</v>
      </c>
      <c r="E227" s="1">
        <v>2</v>
      </c>
      <c r="F227" s="1">
        <f t="shared" si="26"/>
        <v>1</v>
      </c>
      <c r="G227" s="8">
        <f t="shared" si="23"/>
        <v>10</v>
      </c>
      <c r="H227" s="8" t="str">
        <f t="shared" si="27"/>
        <v>牙齿</v>
      </c>
      <c r="I227" s="8" t="e">
        <f ca="1">"["&amp;INT(getMinDes(B227))&amp;"-"&amp;INT(getMaxDes(B227))&amp;"]"&amp;getDesName(B227)&amp;" "&amp;getRandomNatureDes(K227)&amp;getSuitDes(B227)</f>
        <v>#VALUE!</v>
      </c>
      <c r="J227" s="1">
        <v>0</v>
      </c>
      <c r="K227" s="1">
        <v>2</v>
      </c>
      <c r="L227" s="1">
        <f t="shared" si="28"/>
        <v>9</v>
      </c>
      <c r="M227" s="1" t="str">
        <f ca="1">mVlookup(E227&amp;L227,装备名称!J$43:Z$74,H227,FALSE)</f>
        <v>IC1556</v>
      </c>
      <c r="N227" s="1" t="str">
        <f t="shared" si="24"/>
        <v>109</v>
      </c>
      <c r="O227" s="1">
        <f t="shared" si="25"/>
        <v>200225</v>
      </c>
    </row>
    <row r="228" spans="1:15" x14ac:dyDescent="0.15">
      <c r="A228" s="1">
        <v>226</v>
      </c>
      <c r="B228" s="1">
        <f t="shared" si="22"/>
        <v>102011100</v>
      </c>
      <c r="C228" s="1" t="str">
        <f t="shared" ca="1" si="21"/>
        <v>学徒颓废球</v>
      </c>
      <c r="D228" s="1" t="s">
        <v>426</v>
      </c>
      <c r="E228" s="1">
        <v>2</v>
      </c>
      <c r="F228" s="1">
        <f t="shared" si="26"/>
        <v>1</v>
      </c>
      <c r="G228" s="8">
        <f t="shared" si="23"/>
        <v>11</v>
      </c>
      <c r="H228" s="8" t="str">
        <f t="shared" si="27"/>
        <v>球</v>
      </c>
      <c r="I228" s="8" t="e">
        <f ca="1">"["&amp;INT(getMinDes(B228))&amp;"-"&amp;INT(getMaxDes(B228))&amp;"]"&amp;getDesName(B228)&amp;" "&amp;getRandomNatureDes(K228)&amp;getSuitDes(B228)</f>
        <v>#VALUE!</v>
      </c>
      <c r="J228" s="1">
        <v>0</v>
      </c>
      <c r="K228" s="1">
        <v>2</v>
      </c>
      <c r="L228" s="1">
        <f t="shared" si="28"/>
        <v>1</v>
      </c>
      <c r="M228" s="1" t="str">
        <f ca="1">mVlookup(E228&amp;L228,装备名称!J$43:Z$74,H228,FALSE)</f>
        <v>IC1414</v>
      </c>
      <c r="N228" s="1" t="str">
        <f t="shared" si="24"/>
        <v>111</v>
      </c>
      <c r="O228" s="1">
        <f t="shared" si="25"/>
        <v>200226</v>
      </c>
    </row>
    <row r="229" spans="1:15" x14ac:dyDescent="0.15">
      <c r="A229" s="1">
        <v>227</v>
      </c>
      <c r="B229" s="1">
        <f t="shared" si="22"/>
        <v>102021100</v>
      </c>
      <c r="C229" s="1" t="str">
        <f t="shared" ca="1" si="21"/>
        <v>专家玄铁球</v>
      </c>
      <c r="D229" s="1" t="s">
        <v>426</v>
      </c>
      <c r="E229" s="1">
        <v>2</v>
      </c>
      <c r="F229" s="1">
        <f t="shared" si="26"/>
        <v>1</v>
      </c>
      <c r="G229" s="8">
        <f t="shared" si="23"/>
        <v>11</v>
      </c>
      <c r="H229" s="8" t="str">
        <f t="shared" si="27"/>
        <v>球</v>
      </c>
      <c r="I229" s="8" t="e">
        <f ca="1">"["&amp;INT(getMinDes(B229))&amp;"-"&amp;INT(getMaxDes(B229))&amp;"]"&amp;getDesName(B229)&amp;" "&amp;getRandomNatureDes(K229)&amp;getSuitDes(B229)</f>
        <v>#VALUE!</v>
      </c>
      <c r="J229" s="1">
        <v>0</v>
      </c>
      <c r="K229" s="1">
        <v>2</v>
      </c>
      <c r="L229" s="1">
        <f t="shared" si="28"/>
        <v>2</v>
      </c>
      <c r="M229" s="1" t="str">
        <f ca="1">mVlookup(E229&amp;L229,装备名称!J$43:Z$74,H229,FALSE)</f>
        <v>IC1415</v>
      </c>
      <c r="N229" s="1" t="str">
        <f t="shared" si="24"/>
        <v>112</v>
      </c>
      <c r="O229" s="1">
        <f t="shared" si="25"/>
        <v>200227</v>
      </c>
    </row>
    <row r="230" spans="1:15" x14ac:dyDescent="0.15">
      <c r="A230" s="1">
        <v>228</v>
      </c>
      <c r="B230" s="1">
        <f t="shared" si="22"/>
        <v>102031100</v>
      </c>
      <c r="C230" s="1" t="str">
        <f t="shared" ca="1" si="21"/>
        <v>大师水晶球</v>
      </c>
      <c r="D230" s="1" t="s">
        <v>426</v>
      </c>
      <c r="E230" s="1">
        <v>2</v>
      </c>
      <c r="F230" s="1">
        <f t="shared" si="26"/>
        <v>1</v>
      </c>
      <c r="G230" s="8">
        <f t="shared" si="23"/>
        <v>11</v>
      </c>
      <c r="H230" s="8" t="str">
        <f t="shared" si="27"/>
        <v>球</v>
      </c>
      <c r="I230" s="8" t="e">
        <f ca="1">"["&amp;INT(getMinDes(B230))&amp;"-"&amp;INT(getMaxDes(B230))&amp;"]"&amp;getDesName(B230)&amp;" "&amp;getRandomNatureDes(K230)&amp;getSuitDes(B230)</f>
        <v>#VALUE!</v>
      </c>
      <c r="J230" s="1">
        <v>0</v>
      </c>
      <c r="K230" s="1">
        <v>2</v>
      </c>
      <c r="L230" s="1">
        <f t="shared" si="28"/>
        <v>3</v>
      </c>
      <c r="M230" s="1" t="str">
        <f ca="1">mVlookup(E230&amp;L230,装备名称!J$43:Z$74,H230,FALSE)</f>
        <v>IC1418</v>
      </c>
      <c r="N230" s="1" t="str">
        <f t="shared" si="24"/>
        <v>113</v>
      </c>
      <c r="O230" s="1">
        <f t="shared" si="25"/>
        <v>200228</v>
      </c>
    </row>
    <row r="231" spans="1:15" x14ac:dyDescent="0.15">
      <c r="A231" s="1">
        <v>229</v>
      </c>
      <c r="B231" s="1">
        <f t="shared" si="22"/>
        <v>102041100</v>
      </c>
      <c r="C231" s="1" t="str">
        <f t="shared" ca="1" si="21"/>
        <v>宗师精钢球</v>
      </c>
      <c r="D231" s="1" t="s">
        <v>426</v>
      </c>
      <c r="E231" s="1">
        <v>2</v>
      </c>
      <c r="F231" s="1">
        <f t="shared" si="26"/>
        <v>1</v>
      </c>
      <c r="G231" s="8">
        <f t="shared" si="23"/>
        <v>11</v>
      </c>
      <c r="H231" s="8" t="str">
        <f t="shared" si="27"/>
        <v>球</v>
      </c>
      <c r="I231" s="8" t="e">
        <f ca="1">"["&amp;INT(getMinDes(B231))&amp;"-"&amp;INT(getMaxDes(B231))&amp;"]"&amp;getDesName(B231)&amp;" "&amp;getRandomNatureDes(K231)&amp;getSuitDes(B231)</f>
        <v>#VALUE!</v>
      </c>
      <c r="J231" s="1">
        <v>0</v>
      </c>
      <c r="K231" s="1">
        <v>2</v>
      </c>
      <c r="L231" s="1">
        <f t="shared" si="28"/>
        <v>4</v>
      </c>
      <c r="M231" s="1" t="str">
        <f ca="1">mVlookup(E231&amp;L231,装备名称!J$43:Z$74,H231,FALSE)</f>
        <v>IC1400</v>
      </c>
      <c r="N231" s="1" t="str">
        <f t="shared" si="24"/>
        <v>114</v>
      </c>
      <c r="O231" s="1">
        <f t="shared" si="25"/>
        <v>200229</v>
      </c>
    </row>
    <row r="232" spans="1:15" x14ac:dyDescent="0.15">
      <c r="A232" s="1">
        <v>230</v>
      </c>
      <c r="B232" s="1">
        <f t="shared" si="22"/>
        <v>102051100</v>
      </c>
      <c r="C232" s="1" t="str">
        <f t="shared" ca="1" si="21"/>
        <v>显赫白银球</v>
      </c>
      <c r="D232" s="1" t="s">
        <v>426</v>
      </c>
      <c r="E232" s="1">
        <v>2</v>
      </c>
      <c r="F232" s="1">
        <f t="shared" si="26"/>
        <v>1</v>
      </c>
      <c r="G232" s="8">
        <f t="shared" si="23"/>
        <v>11</v>
      </c>
      <c r="H232" s="8" t="str">
        <f t="shared" si="27"/>
        <v>球</v>
      </c>
      <c r="I232" s="8" t="e">
        <f ca="1">"["&amp;INT(getMinDes(B232))&amp;"-"&amp;INT(getMaxDes(B232))&amp;"]"&amp;getDesName(B232)&amp;" "&amp;getRandomNatureDes(K232)&amp;getSuitDes(B232)</f>
        <v>#VALUE!</v>
      </c>
      <c r="J232" s="1">
        <v>0</v>
      </c>
      <c r="K232" s="1">
        <v>2</v>
      </c>
      <c r="L232" s="1">
        <f t="shared" si="28"/>
        <v>5</v>
      </c>
      <c r="M232" s="1" t="str">
        <f ca="1">mVlookup(E232&amp;L232,装备名称!J$43:Z$74,H232,FALSE)</f>
        <v>IC1408</v>
      </c>
      <c r="N232" s="1" t="str">
        <f t="shared" si="24"/>
        <v>115</v>
      </c>
      <c r="O232" s="1">
        <f t="shared" si="25"/>
        <v>200230</v>
      </c>
    </row>
    <row r="233" spans="1:15" x14ac:dyDescent="0.15">
      <c r="A233" s="1">
        <v>231</v>
      </c>
      <c r="B233" s="1">
        <f t="shared" si="22"/>
        <v>102061100</v>
      </c>
      <c r="C233" s="1" t="str">
        <f t="shared" ca="1" si="21"/>
        <v>尊荣虚幻球</v>
      </c>
      <c r="D233" s="1" t="s">
        <v>426</v>
      </c>
      <c r="E233" s="1">
        <v>2</v>
      </c>
      <c r="F233" s="1">
        <f t="shared" si="26"/>
        <v>1</v>
      </c>
      <c r="G233" s="8">
        <f t="shared" si="23"/>
        <v>11</v>
      </c>
      <c r="H233" s="8" t="str">
        <f t="shared" si="27"/>
        <v>球</v>
      </c>
      <c r="I233" s="8" t="e">
        <f ca="1">"["&amp;INT(getMinDes(B233))&amp;"-"&amp;INT(getMaxDes(B233))&amp;"]"&amp;getDesName(B233)&amp;" "&amp;getRandomNatureDes(K233)&amp;getSuitDes(B233)</f>
        <v>#VALUE!</v>
      </c>
      <c r="J233" s="1">
        <v>0</v>
      </c>
      <c r="K233" s="1">
        <v>2</v>
      </c>
      <c r="L233" s="1">
        <f t="shared" si="28"/>
        <v>6</v>
      </c>
      <c r="M233" s="1" t="str">
        <f ca="1">mVlookup(E233&amp;L233,装备名称!J$43:Z$74,H233,FALSE)</f>
        <v>IC1400</v>
      </c>
      <c r="N233" s="1" t="str">
        <f t="shared" si="24"/>
        <v>116</v>
      </c>
      <c r="O233" s="1">
        <f t="shared" si="25"/>
        <v>200231</v>
      </c>
    </row>
    <row r="234" spans="1:15" x14ac:dyDescent="0.15">
      <c r="A234" s="1">
        <v>232</v>
      </c>
      <c r="B234" s="1">
        <f t="shared" si="22"/>
        <v>102071100</v>
      </c>
      <c r="C234" s="1" t="str">
        <f t="shared" ca="1" si="21"/>
        <v>至尊歌德球</v>
      </c>
      <c r="D234" s="1" t="s">
        <v>426</v>
      </c>
      <c r="E234" s="1">
        <v>2</v>
      </c>
      <c r="F234" s="1">
        <f t="shared" si="26"/>
        <v>1</v>
      </c>
      <c r="G234" s="8">
        <f t="shared" si="23"/>
        <v>11</v>
      </c>
      <c r="H234" s="8" t="str">
        <f t="shared" si="27"/>
        <v>球</v>
      </c>
      <c r="I234" s="8" t="e">
        <f ca="1">"["&amp;INT(getMinDes(B234))&amp;"-"&amp;INT(getMaxDes(B234))&amp;"]"&amp;getDesName(B234)&amp;" "&amp;getRandomNatureDes(K234)&amp;getSuitDes(B234)</f>
        <v>#VALUE!</v>
      </c>
      <c r="J234" s="1">
        <v>0</v>
      </c>
      <c r="K234" s="1">
        <v>2</v>
      </c>
      <c r="L234" s="1">
        <f t="shared" si="28"/>
        <v>7</v>
      </c>
      <c r="M234" s="1" t="str">
        <f ca="1">mVlookup(E234&amp;L234,装备名称!J$43:Z$74,H234,FALSE)</f>
        <v>IC1408</v>
      </c>
      <c r="N234" s="1" t="str">
        <f t="shared" si="24"/>
        <v>117</v>
      </c>
      <c r="O234" s="1">
        <f t="shared" si="25"/>
        <v>200232</v>
      </c>
    </row>
    <row r="235" spans="1:15" x14ac:dyDescent="0.15">
      <c r="A235" s="1">
        <v>233</v>
      </c>
      <c r="B235" s="1">
        <f t="shared" si="22"/>
        <v>102081100</v>
      </c>
      <c r="C235" s="1" t="str">
        <f t="shared" ca="1" si="21"/>
        <v>绝旨空灵球</v>
      </c>
      <c r="D235" s="1" t="s">
        <v>426</v>
      </c>
      <c r="E235" s="1">
        <v>2</v>
      </c>
      <c r="F235" s="1">
        <f t="shared" si="26"/>
        <v>1</v>
      </c>
      <c r="G235" s="8">
        <f t="shared" si="23"/>
        <v>11</v>
      </c>
      <c r="H235" s="8" t="str">
        <f t="shared" si="27"/>
        <v>球</v>
      </c>
      <c r="I235" s="8" t="e">
        <f ca="1">"["&amp;INT(getMinDes(B235))&amp;"-"&amp;INT(getMaxDes(B235))&amp;"]"&amp;getDesName(B235)&amp;" "&amp;getRandomNatureDes(K235)&amp;getSuitDes(B235)</f>
        <v>#VALUE!</v>
      </c>
      <c r="J235" s="1">
        <v>0</v>
      </c>
      <c r="K235" s="1">
        <v>2</v>
      </c>
      <c r="L235" s="1">
        <f t="shared" si="28"/>
        <v>8</v>
      </c>
      <c r="M235" s="1" t="str">
        <f ca="1">mVlookup(E235&amp;L235,装备名称!J$43:Z$74,H235,FALSE)</f>
        <v>IC1414</v>
      </c>
      <c r="N235" s="1" t="str">
        <f t="shared" si="24"/>
        <v>118</v>
      </c>
      <c r="O235" s="1">
        <f t="shared" si="25"/>
        <v>200233</v>
      </c>
    </row>
    <row r="236" spans="1:15" x14ac:dyDescent="0.15">
      <c r="A236" s="1">
        <v>234</v>
      </c>
      <c r="B236" s="1">
        <f t="shared" si="22"/>
        <v>102091100</v>
      </c>
      <c r="C236" s="1" t="str">
        <f t="shared" ca="1" si="21"/>
        <v>天工混乱球</v>
      </c>
      <c r="D236" s="1" t="s">
        <v>426</v>
      </c>
      <c r="E236" s="1">
        <v>2</v>
      </c>
      <c r="F236" s="1">
        <f t="shared" si="26"/>
        <v>1</v>
      </c>
      <c r="G236" s="8">
        <f t="shared" si="23"/>
        <v>11</v>
      </c>
      <c r="H236" s="8" t="str">
        <f t="shared" si="27"/>
        <v>球</v>
      </c>
      <c r="I236" s="8" t="e">
        <f ca="1">"["&amp;INT(getMinDes(B236))&amp;"-"&amp;INT(getMaxDes(B236))&amp;"]"&amp;getDesName(B236)&amp;" "&amp;getRandomNatureDes(K236)&amp;getSuitDes(B236)</f>
        <v>#VALUE!</v>
      </c>
      <c r="J236" s="1">
        <v>0</v>
      </c>
      <c r="K236" s="1">
        <v>2</v>
      </c>
      <c r="L236" s="1">
        <f t="shared" si="28"/>
        <v>9</v>
      </c>
      <c r="M236" s="1" t="str">
        <f ca="1">mVlookup(E236&amp;L236,装备名称!J$43:Z$74,H236,FALSE)</f>
        <v>IC1415</v>
      </c>
      <c r="N236" s="1" t="str">
        <f t="shared" si="24"/>
        <v>119</v>
      </c>
      <c r="O236" s="1">
        <f t="shared" si="25"/>
        <v>200234</v>
      </c>
    </row>
    <row r="237" spans="1:15" x14ac:dyDescent="0.15">
      <c r="A237" s="1">
        <v>235</v>
      </c>
      <c r="B237" s="1">
        <f t="shared" si="22"/>
        <v>102011200</v>
      </c>
      <c r="C237" s="1" t="str">
        <f t="shared" ca="1" si="21"/>
        <v>学徒颓废爪</v>
      </c>
      <c r="D237" s="1" t="s">
        <v>426</v>
      </c>
      <c r="E237" s="1">
        <v>2</v>
      </c>
      <c r="F237" s="1">
        <f t="shared" si="26"/>
        <v>1</v>
      </c>
      <c r="G237" s="8">
        <f t="shared" si="23"/>
        <v>12</v>
      </c>
      <c r="H237" s="8" t="str">
        <f t="shared" si="27"/>
        <v>爪</v>
      </c>
      <c r="I237" s="8" t="e">
        <f ca="1">"["&amp;INT(getMinDes(B237))&amp;"-"&amp;INT(getMaxDes(B237))&amp;"]"&amp;getDesName(B237)&amp;" "&amp;getRandomNatureDes(K237)&amp;getSuitDes(B237)</f>
        <v>#VALUE!</v>
      </c>
      <c r="J237" s="1">
        <v>0</v>
      </c>
      <c r="K237" s="1">
        <v>2</v>
      </c>
      <c r="L237" s="1">
        <f t="shared" si="28"/>
        <v>1</v>
      </c>
      <c r="M237" s="1" t="str">
        <f ca="1">mVlookup(E237&amp;L237,装备名称!J$43:Z$74,H237,FALSE)</f>
        <v>IC1777</v>
      </c>
      <c r="N237" s="1" t="str">
        <f t="shared" si="24"/>
        <v>121</v>
      </c>
      <c r="O237" s="1">
        <f t="shared" si="25"/>
        <v>200235</v>
      </c>
    </row>
    <row r="238" spans="1:15" x14ac:dyDescent="0.15">
      <c r="A238" s="1">
        <v>236</v>
      </c>
      <c r="B238" s="1">
        <f t="shared" si="22"/>
        <v>102021200</v>
      </c>
      <c r="C238" s="1" t="str">
        <f t="shared" ca="1" si="21"/>
        <v>专家玄铁爪</v>
      </c>
      <c r="D238" s="1" t="s">
        <v>426</v>
      </c>
      <c r="E238" s="1">
        <v>2</v>
      </c>
      <c r="F238" s="1">
        <f t="shared" si="26"/>
        <v>1</v>
      </c>
      <c r="G238" s="8">
        <f t="shared" si="23"/>
        <v>12</v>
      </c>
      <c r="H238" s="8" t="str">
        <f t="shared" si="27"/>
        <v>爪</v>
      </c>
      <c r="I238" s="8" t="e">
        <f ca="1">"["&amp;INT(getMinDes(B238))&amp;"-"&amp;INT(getMaxDes(B238))&amp;"]"&amp;getDesName(B238)&amp;" "&amp;getRandomNatureDes(K238)&amp;getSuitDes(B238)</f>
        <v>#VALUE!</v>
      </c>
      <c r="J238" s="1">
        <v>0</v>
      </c>
      <c r="K238" s="1">
        <v>2</v>
      </c>
      <c r="L238" s="1">
        <f t="shared" si="28"/>
        <v>2</v>
      </c>
      <c r="M238" s="1" t="str">
        <f ca="1">mVlookup(E238&amp;L238,装备名称!J$43:Z$74,H238,FALSE)</f>
        <v>IC1776</v>
      </c>
      <c r="N238" s="1" t="str">
        <f t="shared" si="24"/>
        <v>122</v>
      </c>
      <c r="O238" s="1">
        <f t="shared" si="25"/>
        <v>200236</v>
      </c>
    </row>
    <row r="239" spans="1:15" x14ac:dyDescent="0.15">
      <c r="A239" s="1">
        <v>237</v>
      </c>
      <c r="B239" s="1">
        <f t="shared" si="22"/>
        <v>102031200</v>
      </c>
      <c r="C239" s="1" t="str">
        <f t="shared" ca="1" si="21"/>
        <v>大师水晶爪</v>
      </c>
      <c r="D239" s="1" t="s">
        <v>426</v>
      </c>
      <c r="E239" s="1">
        <v>2</v>
      </c>
      <c r="F239" s="1">
        <f t="shared" si="26"/>
        <v>1</v>
      </c>
      <c r="G239" s="8">
        <f t="shared" si="23"/>
        <v>12</v>
      </c>
      <c r="H239" s="8" t="str">
        <f t="shared" si="27"/>
        <v>爪</v>
      </c>
      <c r="I239" s="8" t="e">
        <f ca="1">"["&amp;INT(getMinDes(B239))&amp;"-"&amp;INT(getMaxDes(B239))&amp;"]"&amp;getDesName(B239)&amp;" "&amp;getRandomNatureDes(K239)&amp;getSuitDes(B239)</f>
        <v>#VALUE!</v>
      </c>
      <c r="J239" s="1">
        <v>0</v>
      </c>
      <c r="K239" s="1">
        <v>2</v>
      </c>
      <c r="L239" s="1">
        <f t="shared" si="28"/>
        <v>3</v>
      </c>
      <c r="M239" s="1" t="str">
        <f ca="1">mVlookup(E239&amp;L239,装备名称!J$43:Z$74,H239,FALSE)</f>
        <v>IC1774</v>
      </c>
      <c r="N239" s="1" t="str">
        <f t="shared" si="24"/>
        <v>123</v>
      </c>
      <c r="O239" s="1">
        <f t="shared" si="25"/>
        <v>200237</v>
      </c>
    </row>
    <row r="240" spans="1:15" x14ac:dyDescent="0.15">
      <c r="A240" s="1">
        <v>238</v>
      </c>
      <c r="B240" s="1">
        <f t="shared" si="22"/>
        <v>102041200</v>
      </c>
      <c r="C240" s="1" t="str">
        <f t="shared" ca="1" si="21"/>
        <v>宗师精钢爪</v>
      </c>
      <c r="D240" s="1" t="s">
        <v>426</v>
      </c>
      <c r="E240" s="1">
        <v>2</v>
      </c>
      <c r="F240" s="1">
        <f t="shared" si="26"/>
        <v>1</v>
      </c>
      <c r="G240" s="8">
        <f t="shared" si="23"/>
        <v>12</v>
      </c>
      <c r="H240" s="8" t="str">
        <f t="shared" si="27"/>
        <v>爪</v>
      </c>
      <c r="I240" s="8" t="e">
        <f ca="1">"["&amp;INT(getMinDes(B240))&amp;"-"&amp;INT(getMaxDes(B240))&amp;"]"&amp;getDesName(B240)&amp;" "&amp;getRandomNatureDes(K240)&amp;getSuitDes(B240)</f>
        <v>#VALUE!</v>
      </c>
      <c r="J240" s="1">
        <v>0</v>
      </c>
      <c r="K240" s="1">
        <v>2</v>
      </c>
      <c r="L240" s="1">
        <f t="shared" si="28"/>
        <v>4</v>
      </c>
      <c r="M240" s="1" t="str">
        <f ca="1">mVlookup(E240&amp;L240,装备名称!J$43:Z$74,H240,FALSE)</f>
        <v>IC1775</v>
      </c>
      <c r="N240" s="1" t="str">
        <f t="shared" si="24"/>
        <v>124</v>
      </c>
      <c r="O240" s="1">
        <f t="shared" si="25"/>
        <v>200238</v>
      </c>
    </row>
    <row r="241" spans="1:15" x14ac:dyDescent="0.15">
      <c r="A241" s="1">
        <v>239</v>
      </c>
      <c r="B241" s="1">
        <f t="shared" si="22"/>
        <v>102051200</v>
      </c>
      <c r="C241" s="1" t="str">
        <f t="shared" ca="1" si="21"/>
        <v>显赫白银爪</v>
      </c>
      <c r="D241" s="1" t="s">
        <v>426</v>
      </c>
      <c r="E241" s="1">
        <v>2</v>
      </c>
      <c r="F241" s="1">
        <f t="shared" si="26"/>
        <v>1</v>
      </c>
      <c r="G241" s="8">
        <f t="shared" si="23"/>
        <v>12</v>
      </c>
      <c r="H241" s="8" t="str">
        <f t="shared" si="27"/>
        <v>爪</v>
      </c>
      <c r="I241" s="8" t="e">
        <f ca="1">"["&amp;INT(getMinDes(B241))&amp;"-"&amp;INT(getMaxDes(B241))&amp;"]"&amp;getDesName(B241)&amp;" "&amp;getRandomNatureDes(K241)&amp;getSuitDes(B241)</f>
        <v>#VALUE!</v>
      </c>
      <c r="J241" s="1">
        <v>0</v>
      </c>
      <c r="K241" s="1">
        <v>2</v>
      </c>
      <c r="L241" s="1">
        <f t="shared" si="28"/>
        <v>5</v>
      </c>
      <c r="M241" s="1" t="str">
        <f ca="1">mVlookup(E241&amp;L241,装备名称!J$43:Z$74,H241,FALSE)</f>
        <v>IC1754</v>
      </c>
      <c r="N241" s="1" t="str">
        <f t="shared" si="24"/>
        <v>125</v>
      </c>
      <c r="O241" s="1">
        <f t="shared" si="25"/>
        <v>200239</v>
      </c>
    </row>
    <row r="242" spans="1:15" x14ac:dyDescent="0.15">
      <c r="A242" s="1">
        <v>240</v>
      </c>
      <c r="B242" s="1">
        <f t="shared" si="22"/>
        <v>102061200</v>
      </c>
      <c r="C242" s="1" t="str">
        <f t="shared" ca="1" si="21"/>
        <v>尊荣虚幻爪</v>
      </c>
      <c r="D242" s="1" t="s">
        <v>426</v>
      </c>
      <c r="E242" s="1">
        <v>2</v>
      </c>
      <c r="F242" s="1">
        <f t="shared" si="26"/>
        <v>1</v>
      </c>
      <c r="G242" s="8">
        <f t="shared" si="23"/>
        <v>12</v>
      </c>
      <c r="H242" s="8" t="str">
        <f t="shared" si="27"/>
        <v>爪</v>
      </c>
      <c r="I242" s="8" t="e">
        <f ca="1">"["&amp;INT(getMinDes(B242))&amp;"-"&amp;INT(getMaxDes(B242))&amp;"]"&amp;getDesName(B242)&amp;" "&amp;getRandomNatureDes(K242)&amp;getSuitDes(B242)</f>
        <v>#VALUE!</v>
      </c>
      <c r="J242" s="1">
        <v>0</v>
      </c>
      <c r="K242" s="1">
        <v>2</v>
      </c>
      <c r="L242" s="1">
        <f t="shared" si="28"/>
        <v>6</v>
      </c>
      <c r="M242" s="1" t="str">
        <f ca="1">mVlookup(E242&amp;L242,装备名称!J$43:Z$74,H242,FALSE)</f>
        <v>IC1758</v>
      </c>
      <c r="N242" s="1" t="str">
        <f t="shared" si="24"/>
        <v>126</v>
      </c>
      <c r="O242" s="1">
        <f t="shared" si="25"/>
        <v>200240</v>
      </c>
    </row>
    <row r="243" spans="1:15" x14ac:dyDescent="0.15">
      <c r="A243" s="1">
        <v>241</v>
      </c>
      <c r="B243" s="1">
        <f t="shared" si="22"/>
        <v>102071200</v>
      </c>
      <c r="C243" s="1" t="str">
        <f t="shared" ca="1" si="21"/>
        <v>至尊歌德爪</v>
      </c>
      <c r="D243" s="1" t="s">
        <v>426</v>
      </c>
      <c r="E243" s="1">
        <v>2</v>
      </c>
      <c r="F243" s="1">
        <f t="shared" si="26"/>
        <v>1</v>
      </c>
      <c r="G243" s="8">
        <f t="shared" si="23"/>
        <v>12</v>
      </c>
      <c r="H243" s="8" t="str">
        <f t="shared" si="27"/>
        <v>爪</v>
      </c>
      <c r="I243" s="8" t="e">
        <f ca="1">"["&amp;INT(getMinDes(B243))&amp;"-"&amp;INT(getMaxDes(B243))&amp;"]"&amp;getDesName(B243)&amp;" "&amp;getRandomNatureDes(K243)&amp;getSuitDes(B243)</f>
        <v>#VALUE!</v>
      </c>
      <c r="J243" s="1">
        <v>0</v>
      </c>
      <c r="K243" s="1">
        <v>2</v>
      </c>
      <c r="L243" s="1">
        <f t="shared" si="28"/>
        <v>7</v>
      </c>
      <c r="M243" s="1" t="str">
        <f ca="1">mVlookup(E243&amp;L243,装备名称!J$43:Z$74,H243,FALSE)</f>
        <v>IC1777</v>
      </c>
      <c r="N243" s="1" t="str">
        <f t="shared" si="24"/>
        <v>127</v>
      </c>
      <c r="O243" s="1">
        <f t="shared" si="25"/>
        <v>200241</v>
      </c>
    </row>
    <row r="244" spans="1:15" x14ac:dyDescent="0.15">
      <c r="A244" s="1">
        <v>242</v>
      </c>
      <c r="B244" s="1">
        <f t="shared" si="22"/>
        <v>102081200</v>
      </c>
      <c r="C244" s="1" t="str">
        <f t="shared" ca="1" si="21"/>
        <v>绝旨空灵爪</v>
      </c>
      <c r="D244" s="1" t="s">
        <v>426</v>
      </c>
      <c r="E244" s="1">
        <v>2</v>
      </c>
      <c r="F244" s="1">
        <f t="shared" si="26"/>
        <v>1</v>
      </c>
      <c r="G244" s="8">
        <f t="shared" si="23"/>
        <v>12</v>
      </c>
      <c r="H244" s="8" t="str">
        <f t="shared" si="27"/>
        <v>爪</v>
      </c>
      <c r="I244" s="8" t="e">
        <f ca="1">"["&amp;INT(getMinDes(B244))&amp;"-"&amp;INT(getMaxDes(B244))&amp;"]"&amp;getDesName(B244)&amp;" "&amp;getRandomNatureDes(K244)&amp;getSuitDes(B244)</f>
        <v>#VALUE!</v>
      </c>
      <c r="J244" s="1">
        <v>0</v>
      </c>
      <c r="K244" s="1">
        <v>2</v>
      </c>
      <c r="L244" s="1">
        <f t="shared" si="28"/>
        <v>8</v>
      </c>
      <c r="M244" s="1" t="str">
        <f ca="1">mVlookup(E244&amp;L244,装备名称!J$43:Z$74,H244,FALSE)</f>
        <v>IC1754</v>
      </c>
      <c r="N244" s="1" t="str">
        <f t="shared" si="24"/>
        <v>128</v>
      </c>
      <c r="O244" s="1">
        <f t="shared" si="25"/>
        <v>200242</v>
      </c>
    </row>
    <row r="245" spans="1:15" x14ac:dyDescent="0.15">
      <c r="A245" s="1">
        <v>243</v>
      </c>
      <c r="B245" s="1">
        <f t="shared" si="22"/>
        <v>102091200</v>
      </c>
      <c r="C245" s="1" t="str">
        <f t="shared" ca="1" si="21"/>
        <v>天工混乱爪</v>
      </c>
      <c r="D245" s="1" t="s">
        <v>426</v>
      </c>
      <c r="E245" s="1">
        <v>2</v>
      </c>
      <c r="F245" s="1">
        <f t="shared" si="26"/>
        <v>1</v>
      </c>
      <c r="G245" s="8">
        <f t="shared" si="23"/>
        <v>12</v>
      </c>
      <c r="H245" s="8" t="str">
        <f t="shared" si="27"/>
        <v>爪</v>
      </c>
      <c r="I245" s="8" t="e">
        <f ca="1">"["&amp;INT(getMinDes(B245))&amp;"-"&amp;INT(getMaxDes(B245))&amp;"]"&amp;getDesName(B245)&amp;" "&amp;getRandomNatureDes(K245)&amp;getSuitDes(B245)</f>
        <v>#VALUE!</v>
      </c>
      <c r="J245" s="1">
        <v>0</v>
      </c>
      <c r="K245" s="1">
        <v>2</v>
      </c>
      <c r="L245" s="1">
        <f t="shared" si="28"/>
        <v>9</v>
      </c>
      <c r="M245" s="1" t="str">
        <f ca="1">mVlookup(E245&amp;L245,装备名称!J$43:Z$74,H245,FALSE)</f>
        <v>IC1758</v>
      </c>
      <c r="N245" s="1" t="str">
        <f t="shared" si="24"/>
        <v>129</v>
      </c>
      <c r="O245" s="1">
        <f t="shared" si="25"/>
        <v>200243</v>
      </c>
    </row>
    <row r="246" spans="1:15" x14ac:dyDescent="0.15">
      <c r="A246" s="1">
        <v>244</v>
      </c>
      <c r="B246" s="1">
        <f t="shared" si="22"/>
        <v>102011300</v>
      </c>
      <c r="C246" s="1" t="str">
        <f t="shared" ca="1" si="21"/>
        <v>学徒颓废剑</v>
      </c>
      <c r="D246" s="1" t="s">
        <v>426</v>
      </c>
      <c r="E246" s="1">
        <v>2</v>
      </c>
      <c r="F246" s="1">
        <f t="shared" si="26"/>
        <v>1</v>
      </c>
      <c r="G246" s="8">
        <f t="shared" si="23"/>
        <v>13</v>
      </c>
      <c r="H246" s="8" t="str">
        <f t="shared" si="27"/>
        <v>剑</v>
      </c>
      <c r="I246" s="8" t="e">
        <f ca="1">"["&amp;INT(getMinDes(B246))&amp;"-"&amp;INT(getMaxDes(B246))&amp;"]"&amp;getDesName(B246)&amp;" "&amp;getRandomNatureDes(K246)&amp;getSuitDes(B246)</f>
        <v>#VALUE!</v>
      </c>
      <c r="J246" s="1">
        <v>0</v>
      </c>
      <c r="K246" s="1">
        <v>2</v>
      </c>
      <c r="L246" s="1">
        <f t="shared" si="28"/>
        <v>1</v>
      </c>
      <c r="M246" s="1" t="str">
        <f ca="1">mVlookup(E246&amp;L246,装备名称!J$43:Z$74,H246,FALSE)</f>
        <v>IC1204</v>
      </c>
      <c r="N246" s="1" t="str">
        <f t="shared" si="24"/>
        <v>131</v>
      </c>
      <c r="O246" s="1">
        <f t="shared" si="25"/>
        <v>200244</v>
      </c>
    </row>
    <row r="247" spans="1:15" x14ac:dyDescent="0.15">
      <c r="A247" s="1">
        <v>245</v>
      </c>
      <c r="B247" s="1">
        <f t="shared" si="22"/>
        <v>102021300</v>
      </c>
      <c r="C247" s="1" t="str">
        <f t="shared" ca="1" si="21"/>
        <v>专家玄铁剑</v>
      </c>
      <c r="D247" s="1" t="s">
        <v>426</v>
      </c>
      <c r="E247" s="1">
        <v>2</v>
      </c>
      <c r="F247" s="1">
        <f t="shared" si="26"/>
        <v>1</v>
      </c>
      <c r="G247" s="8">
        <f t="shared" si="23"/>
        <v>13</v>
      </c>
      <c r="H247" s="8" t="str">
        <f t="shared" si="27"/>
        <v>剑</v>
      </c>
      <c r="I247" s="8" t="e">
        <f ca="1">"["&amp;INT(getMinDes(B247))&amp;"-"&amp;INT(getMaxDes(B247))&amp;"]"&amp;getDesName(B247)&amp;" "&amp;getRandomNatureDes(K247)&amp;getSuitDes(B247)</f>
        <v>#VALUE!</v>
      </c>
      <c r="J247" s="1">
        <v>0</v>
      </c>
      <c r="K247" s="1">
        <v>2</v>
      </c>
      <c r="L247" s="1">
        <f t="shared" si="28"/>
        <v>2</v>
      </c>
      <c r="M247" s="1" t="str">
        <f ca="1">mVlookup(E247&amp;L247,装备名称!J$43:Z$74,H247,FALSE)</f>
        <v>IC1209</v>
      </c>
      <c r="N247" s="1" t="str">
        <f t="shared" si="24"/>
        <v>132</v>
      </c>
      <c r="O247" s="1">
        <f t="shared" si="25"/>
        <v>200245</v>
      </c>
    </row>
    <row r="248" spans="1:15" x14ac:dyDescent="0.15">
      <c r="A248" s="1">
        <v>246</v>
      </c>
      <c r="B248" s="1">
        <f t="shared" si="22"/>
        <v>102031300</v>
      </c>
      <c r="C248" s="1" t="str">
        <f t="shared" ca="1" si="21"/>
        <v>大师水晶剑</v>
      </c>
      <c r="D248" s="1" t="s">
        <v>426</v>
      </c>
      <c r="E248" s="1">
        <v>2</v>
      </c>
      <c r="F248" s="1">
        <f t="shared" si="26"/>
        <v>1</v>
      </c>
      <c r="G248" s="8">
        <f t="shared" si="23"/>
        <v>13</v>
      </c>
      <c r="H248" s="8" t="str">
        <f t="shared" si="27"/>
        <v>剑</v>
      </c>
      <c r="I248" s="8" t="e">
        <f ca="1">"["&amp;INT(getMinDes(B248))&amp;"-"&amp;INT(getMaxDes(B248))&amp;"]"&amp;getDesName(B248)&amp;" "&amp;getRandomNatureDes(K248)&amp;getSuitDes(B248)</f>
        <v>#VALUE!</v>
      </c>
      <c r="J248" s="1">
        <v>0</v>
      </c>
      <c r="K248" s="1">
        <v>2</v>
      </c>
      <c r="L248" s="1">
        <f t="shared" si="28"/>
        <v>3</v>
      </c>
      <c r="M248" s="1" t="str">
        <f ca="1">mVlookup(E248&amp;L248,装备名称!J$43:Z$74,H248,FALSE)</f>
        <v>IC1225</v>
      </c>
      <c r="N248" s="1" t="str">
        <f t="shared" si="24"/>
        <v>133</v>
      </c>
      <c r="O248" s="1">
        <f t="shared" si="25"/>
        <v>200246</v>
      </c>
    </row>
    <row r="249" spans="1:15" x14ac:dyDescent="0.15">
      <c r="A249" s="1">
        <v>247</v>
      </c>
      <c r="B249" s="1">
        <f t="shared" si="22"/>
        <v>102041300</v>
      </c>
      <c r="C249" s="1" t="str">
        <f t="shared" ca="1" si="21"/>
        <v>宗师精钢剑</v>
      </c>
      <c r="D249" s="1" t="s">
        <v>426</v>
      </c>
      <c r="E249" s="1">
        <v>2</v>
      </c>
      <c r="F249" s="1">
        <f t="shared" si="26"/>
        <v>1</v>
      </c>
      <c r="G249" s="8">
        <f t="shared" si="23"/>
        <v>13</v>
      </c>
      <c r="H249" s="8" t="str">
        <f t="shared" si="27"/>
        <v>剑</v>
      </c>
      <c r="I249" s="8" t="e">
        <f ca="1">"["&amp;INT(getMinDes(B249))&amp;"-"&amp;INT(getMaxDes(B249))&amp;"]"&amp;getDesName(B249)&amp;" "&amp;getRandomNatureDes(K249)&amp;getSuitDes(B249)</f>
        <v>#VALUE!</v>
      </c>
      <c r="J249" s="1">
        <v>0</v>
      </c>
      <c r="K249" s="1">
        <v>2</v>
      </c>
      <c r="L249" s="1">
        <f t="shared" si="28"/>
        <v>4</v>
      </c>
      <c r="M249" s="1" t="str">
        <f ca="1">mVlookup(E249&amp;L249,装备名称!J$43:Z$74,H249,FALSE)</f>
        <v>IC1226</v>
      </c>
      <c r="N249" s="1" t="str">
        <f t="shared" si="24"/>
        <v>134</v>
      </c>
      <c r="O249" s="1">
        <f t="shared" si="25"/>
        <v>200247</v>
      </c>
    </row>
    <row r="250" spans="1:15" x14ac:dyDescent="0.15">
      <c r="A250" s="1">
        <v>248</v>
      </c>
      <c r="B250" s="1">
        <f t="shared" si="22"/>
        <v>102051300</v>
      </c>
      <c r="C250" s="1" t="str">
        <f t="shared" ca="1" si="21"/>
        <v>显赫白银剑</v>
      </c>
      <c r="D250" s="1" t="s">
        <v>426</v>
      </c>
      <c r="E250" s="1">
        <v>2</v>
      </c>
      <c r="F250" s="1">
        <f t="shared" si="26"/>
        <v>1</v>
      </c>
      <c r="G250" s="8">
        <f t="shared" si="23"/>
        <v>13</v>
      </c>
      <c r="H250" s="8" t="str">
        <f t="shared" si="27"/>
        <v>剑</v>
      </c>
      <c r="I250" s="8" t="e">
        <f ca="1">"["&amp;INT(getMinDes(B250))&amp;"-"&amp;INT(getMaxDes(B250))&amp;"]"&amp;getDesName(B250)&amp;" "&amp;getRandomNatureDes(K250)&amp;getSuitDes(B250)</f>
        <v>#VALUE!</v>
      </c>
      <c r="J250" s="1">
        <v>0</v>
      </c>
      <c r="K250" s="1">
        <v>2</v>
      </c>
      <c r="L250" s="1">
        <f t="shared" si="28"/>
        <v>5</v>
      </c>
      <c r="M250" s="1" t="str">
        <f ca="1">mVlookup(E250&amp;L250,装备名称!J$43:Z$74,H250,FALSE)</f>
        <v>IC1230</v>
      </c>
      <c r="N250" s="1" t="str">
        <f t="shared" si="24"/>
        <v>135</v>
      </c>
      <c r="O250" s="1">
        <f t="shared" si="25"/>
        <v>200248</v>
      </c>
    </row>
    <row r="251" spans="1:15" x14ac:dyDescent="0.15">
      <c r="A251" s="1">
        <v>249</v>
      </c>
      <c r="B251" s="1">
        <f t="shared" si="22"/>
        <v>102061300</v>
      </c>
      <c r="C251" s="1" t="str">
        <f t="shared" ca="1" si="21"/>
        <v>尊荣虚幻剑</v>
      </c>
      <c r="D251" s="1" t="s">
        <v>426</v>
      </c>
      <c r="E251" s="1">
        <v>2</v>
      </c>
      <c r="F251" s="1">
        <f t="shared" si="26"/>
        <v>1</v>
      </c>
      <c r="G251" s="8">
        <f t="shared" si="23"/>
        <v>13</v>
      </c>
      <c r="H251" s="8" t="str">
        <f t="shared" si="27"/>
        <v>剑</v>
      </c>
      <c r="I251" s="8" t="e">
        <f ca="1">"["&amp;INT(getMinDes(B251))&amp;"-"&amp;INT(getMaxDes(B251))&amp;"]"&amp;getDesName(B251)&amp;" "&amp;getRandomNatureDes(K251)&amp;getSuitDes(B251)</f>
        <v>#VALUE!</v>
      </c>
      <c r="J251" s="1">
        <v>0</v>
      </c>
      <c r="K251" s="1">
        <v>2</v>
      </c>
      <c r="L251" s="1">
        <f t="shared" si="28"/>
        <v>6</v>
      </c>
      <c r="M251" s="1" t="str">
        <f ca="1">mVlookup(E251&amp;L251,装备名称!J$43:Z$74,H251,FALSE)</f>
        <v>IC1236</v>
      </c>
      <c r="N251" s="1" t="str">
        <f t="shared" si="24"/>
        <v>136</v>
      </c>
      <c r="O251" s="1">
        <f t="shared" si="25"/>
        <v>200249</v>
      </c>
    </row>
    <row r="252" spans="1:15" x14ac:dyDescent="0.15">
      <c r="A252" s="1">
        <v>250</v>
      </c>
      <c r="B252" s="1">
        <f t="shared" si="22"/>
        <v>102071300</v>
      </c>
      <c r="C252" s="1" t="str">
        <f t="shared" ca="1" si="21"/>
        <v>至尊歌德剑</v>
      </c>
      <c r="D252" s="1" t="s">
        <v>426</v>
      </c>
      <c r="E252" s="1">
        <v>2</v>
      </c>
      <c r="F252" s="1">
        <f t="shared" si="26"/>
        <v>1</v>
      </c>
      <c r="G252" s="8">
        <f t="shared" si="23"/>
        <v>13</v>
      </c>
      <c r="H252" s="8" t="str">
        <f t="shared" si="27"/>
        <v>剑</v>
      </c>
      <c r="I252" s="8" t="e">
        <f ca="1">"["&amp;INT(getMinDes(B252))&amp;"-"&amp;INT(getMaxDes(B252))&amp;"]"&amp;getDesName(B252)&amp;" "&amp;getRandomNatureDes(K252)&amp;getSuitDes(B252)</f>
        <v>#VALUE!</v>
      </c>
      <c r="J252" s="1">
        <v>0</v>
      </c>
      <c r="K252" s="1">
        <v>2</v>
      </c>
      <c r="L252" s="1">
        <f t="shared" si="28"/>
        <v>7</v>
      </c>
      <c r="M252" s="1" t="str">
        <f ca="1">mVlookup(E252&amp;L252,装备名称!J$43:Z$74,H252,FALSE)</f>
        <v>IC1279</v>
      </c>
      <c r="N252" s="1" t="str">
        <f t="shared" si="24"/>
        <v>137</v>
      </c>
      <c r="O252" s="1">
        <f t="shared" si="25"/>
        <v>200250</v>
      </c>
    </row>
    <row r="253" spans="1:15" x14ac:dyDescent="0.15">
      <c r="A253" s="1">
        <v>251</v>
      </c>
      <c r="B253" s="1">
        <f t="shared" si="22"/>
        <v>102081300</v>
      </c>
      <c r="C253" s="1" t="str">
        <f t="shared" ca="1" si="21"/>
        <v>绝旨空灵剑</v>
      </c>
      <c r="D253" s="1" t="s">
        <v>426</v>
      </c>
      <c r="E253" s="1">
        <v>2</v>
      </c>
      <c r="F253" s="1">
        <f t="shared" si="26"/>
        <v>1</v>
      </c>
      <c r="G253" s="8">
        <f t="shared" si="23"/>
        <v>13</v>
      </c>
      <c r="H253" s="8" t="str">
        <f t="shared" si="27"/>
        <v>剑</v>
      </c>
      <c r="I253" s="8" t="e">
        <f ca="1">"["&amp;INT(getMinDes(B253))&amp;"-"&amp;INT(getMaxDes(B253))&amp;"]"&amp;getDesName(B253)&amp;" "&amp;getRandomNatureDes(K253)&amp;getSuitDes(B253)</f>
        <v>#VALUE!</v>
      </c>
      <c r="J253" s="1">
        <v>0</v>
      </c>
      <c r="K253" s="1">
        <v>2</v>
      </c>
      <c r="L253" s="1">
        <f t="shared" si="28"/>
        <v>8</v>
      </c>
      <c r="M253" s="1" t="str">
        <f ca="1">mVlookup(E253&amp;L253,装备名称!J$43:Z$74,H253,FALSE)</f>
        <v>IC1280</v>
      </c>
      <c r="N253" s="1" t="str">
        <f t="shared" si="24"/>
        <v>138</v>
      </c>
      <c r="O253" s="1">
        <f t="shared" si="25"/>
        <v>200251</v>
      </c>
    </row>
    <row r="254" spans="1:15" x14ac:dyDescent="0.15">
      <c r="A254" s="1">
        <v>252</v>
      </c>
      <c r="B254" s="1">
        <f t="shared" si="22"/>
        <v>102091300</v>
      </c>
      <c r="C254" s="1" t="str">
        <f t="shared" ca="1" si="21"/>
        <v>天工混乱剑</v>
      </c>
      <c r="D254" s="1" t="s">
        <v>426</v>
      </c>
      <c r="E254" s="1">
        <v>2</v>
      </c>
      <c r="F254" s="1">
        <f t="shared" si="26"/>
        <v>1</v>
      </c>
      <c r="G254" s="8">
        <f t="shared" si="23"/>
        <v>13</v>
      </c>
      <c r="H254" s="8" t="str">
        <f t="shared" si="27"/>
        <v>剑</v>
      </c>
      <c r="I254" s="8" t="e">
        <f ca="1">"["&amp;INT(getMinDes(B254))&amp;"-"&amp;INT(getMaxDes(B254))&amp;"]"&amp;getDesName(B254)&amp;" "&amp;getRandomNatureDes(K254)&amp;getSuitDes(B254)</f>
        <v>#VALUE!</v>
      </c>
      <c r="J254" s="1">
        <v>0</v>
      </c>
      <c r="K254" s="1">
        <v>2</v>
      </c>
      <c r="L254" s="1">
        <f t="shared" si="28"/>
        <v>9</v>
      </c>
      <c r="M254" s="1" t="str">
        <f ca="1">mVlookup(E254&amp;L254,装备名称!J$43:Z$74,H254,FALSE)</f>
        <v>IC1201</v>
      </c>
      <c r="N254" s="1" t="str">
        <f t="shared" si="24"/>
        <v>139</v>
      </c>
      <c r="O254" s="1">
        <f t="shared" si="25"/>
        <v>200252</v>
      </c>
    </row>
    <row r="255" spans="1:15" x14ac:dyDescent="0.15">
      <c r="A255" s="1">
        <v>253</v>
      </c>
      <c r="B255" s="1">
        <f t="shared" si="22"/>
        <v>202011400</v>
      </c>
      <c r="C255" s="1" t="str">
        <f t="shared" ca="1" si="21"/>
        <v>学徒颓废戒指</v>
      </c>
      <c r="D255" s="1" t="s">
        <v>426</v>
      </c>
      <c r="E255" s="1">
        <v>2</v>
      </c>
      <c r="F255" s="1">
        <f t="shared" si="26"/>
        <v>2</v>
      </c>
      <c r="G255" s="8">
        <f t="shared" si="23"/>
        <v>14</v>
      </c>
      <c r="H255" s="8" t="str">
        <f t="shared" si="27"/>
        <v>戒指</v>
      </c>
      <c r="I255" s="8" t="e">
        <f ca="1">"["&amp;INT(getMinDes(B255))&amp;"-"&amp;INT(getMaxDes(B255))&amp;"]"&amp;getDesName(B255)&amp;" "&amp;getRandomNatureDes(K255)&amp;getSuitDes(B255)</f>
        <v>#VALUE!</v>
      </c>
      <c r="J255" s="1">
        <v>0</v>
      </c>
      <c r="K255" s="1">
        <v>2</v>
      </c>
      <c r="L255" s="1">
        <f t="shared" si="28"/>
        <v>1</v>
      </c>
      <c r="M255" s="1" t="str">
        <f ca="1">mVlookup(E255&amp;L255,装备名称!J$43:Z$74,H255,FALSE)</f>
        <v>IC1852</v>
      </c>
      <c r="N255" s="1" t="str">
        <f t="shared" si="24"/>
        <v>141</v>
      </c>
      <c r="O255" s="1">
        <f t="shared" si="25"/>
        <v>200253</v>
      </c>
    </row>
    <row r="256" spans="1:15" x14ac:dyDescent="0.15">
      <c r="A256" s="1">
        <v>254</v>
      </c>
      <c r="B256" s="1">
        <f t="shared" si="22"/>
        <v>202021400</v>
      </c>
      <c r="C256" s="1" t="str">
        <f t="shared" ref="C256:C272" ca="1" si="29">mVlookup(L256,INDIRECT(D256),H256,FALSE)</f>
        <v>专家玄铁戒指</v>
      </c>
      <c r="D256" s="1" t="s">
        <v>426</v>
      </c>
      <c r="E256" s="1">
        <v>2</v>
      </c>
      <c r="F256" s="1">
        <f t="shared" si="26"/>
        <v>2</v>
      </c>
      <c r="G256" s="8">
        <f t="shared" si="23"/>
        <v>14</v>
      </c>
      <c r="H256" s="8" t="str">
        <f t="shared" si="27"/>
        <v>戒指</v>
      </c>
      <c r="I256" s="8" t="e">
        <f ca="1">"["&amp;INT(getMinDes(B256))&amp;"-"&amp;INT(getMaxDes(B256))&amp;"]"&amp;getDesName(B256)&amp;" "&amp;getRandomNatureDes(K256)&amp;getSuitDes(B256)</f>
        <v>#VALUE!</v>
      </c>
      <c r="J256" s="1">
        <v>0</v>
      </c>
      <c r="K256" s="1">
        <v>2</v>
      </c>
      <c r="L256" s="1">
        <f t="shared" si="28"/>
        <v>2</v>
      </c>
      <c r="M256" s="1" t="str">
        <f ca="1">mVlookup(E256&amp;L256,装备名称!J$43:Z$74,H256,FALSE)</f>
        <v>IC1854</v>
      </c>
      <c r="N256" s="1" t="str">
        <f t="shared" si="24"/>
        <v>142</v>
      </c>
      <c r="O256" s="1">
        <f t="shared" si="25"/>
        <v>200254</v>
      </c>
    </row>
    <row r="257" spans="1:15" x14ac:dyDescent="0.15">
      <c r="A257" s="1">
        <v>255</v>
      </c>
      <c r="B257" s="1">
        <f t="shared" si="22"/>
        <v>202031400</v>
      </c>
      <c r="C257" s="1" t="str">
        <f t="shared" ca="1" si="29"/>
        <v>大师水晶戒指</v>
      </c>
      <c r="D257" s="1" t="s">
        <v>426</v>
      </c>
      <c r="E257" s="1">
        <v>2</v>
      </c>
      <c r="F257" s="1">
        <f t="shared" si="26"/>
        <v>2</v>
      </c>
      <c r="G257" s="8">
        <f t="shared" si="23"/>
        <v>14</v>
      </c>
      <c r="H257" s="8" t="str">
        <f t="shared" si="27"/>
        <v>戒指</v>
      </c>
      <c r="I257" s="8" t="e">
        <f ca="1">"["&amp;INT(getMinDes(B257))&amp;"-"&amp;INT(getMaxDes(B257))&amp;"]"&amp;getDesName(B257)&amp;" "&amp;getRandomNatureDes(K257)&amp;getSuitDes(B257)</f>
        <v>#VALUE!</v>
      </c>
      <c r="J257" s="1">
        <v>0</v>
      </c>
      <c r="K257" s="1">
        <v>2</v>
      </c>
      <c r="L257" s="1">
        <f t="shared" si="28"/>
        <v>3</v>
      </c>
      <c r="M257" s="1" t="str">
        <f ca="1">mVlookup(E257&amp;L257,装备名称!J$43:Z$74,H257,FALSE)</f>
        <v>IC1855</v>
      </c>
      <c r="N257" s="1" t="str">
        <f t="shared" si="24"/>
        <v>143</v>
      </c>
      <c r="O257" s="1">
        <f t="shared" si="25"/>
        <v>200255</v>
      </c>
    </row>
    <row r="258" spans="1:15" x14ac:dyDescent="0.15">
      <c r="A258" s="1">
        <v>256</v>
      </c>
      <c r="B258" s="1">
        <f t="shared" si="22"/>
        <v>202041400</v>
      </c>
      <c r="C258" s="1" t="str">
        <f t="shared" ca="1" si="29"/>
        <v>宗师精钢戒指</v>
      </c>
      <c r="D258" s="1" t="s">
        <v>426</v>
      </c>
      <c r="E258" s="1">
        <v>2</v>
      </c>
      <c r="F258" s="1">
        <f t="shared" si="26"/>
        <v>2</v>
      </c>
      <c r="G258" s="8">
        <f t="shared" si="23"/>
        <v>14</v>
      </c>
      <c r="H258" s="8" t="str">
        <f t="shared" si="27"/>
        <v>戒指</v>
      </c>
      <c r="I258" s="8" t="e">
        <f ca="1">"["&amp;INT(getMinDes(B258))&amp;"-"&amp;INT(getMaxDes(B258))&amp;"]"&amp;getDesName(B258)&amp;" "&amp;getRandomNatureDes(K258)&amp;getSuitDes(B258)</f>
        <v>#VALUE!</v>
      </c>
      <c r="J258" s="1">
        <v>0</v>
      </c>
      <c r="K258" s="1">
        <v>2</v>
      </c>
      <c r="L258" s="1">
        <f t="shared" si="28"/>
        <v>4</v>
      </c>
      <c r="M258" s="1" t="str">
        <f ca="1">mVlookup(E258&amp;L258,装备名称!J$43:Z$74,H258,FALSE)</f>
        <v>IC1858</v>
      </c>
      <c r="N258" s="1" t="str">
        <f t="shared" si="24"/>
        <v>144</v>
      </c>
      <c r="O258" s="1">
        <f t="shared" si="25"/>
        <v>200256</v>
      </c>
    </row>
    <row r="259" spans="1:15" x14ac:dyDescent="0.15">
      <c r="A259" s="1">
        <v>257</v>
      </c>
      <c r="B259" s="1">
        <f t="shared" si="22"/>
        <v>202051400</v>
      </c>
      <c r="C259" s="1" t="str">
        <f t="shared" ca="1" si="29"/>
        <v>显赫白银戒指</v>
      </c>
      <c r="D259" s="1" t="s">
        <v>426</v>
      </c>
      <c r="E259" s="1">
        <v>2</v>
      </c>
      <c r="F259" s="1">
        <f t="shared" si="26"/>
        <v>2</v>
      </c>
      <c r="G259" s="8">
        <f t="shared" si="23"/>
        <v>14</v>
      </c>
      <c r="H259" s="8" t="str">
        <f t="shared" si="27"/>
        <v>戒指</v>
      </c>
      <c r="I259" s="8" t="e">
        <f ca="1">"["&amp;INT(getMinDes(B259))&amp;"-"&amp;INT(getMaxDes(B259))&amp;"]"&amp;getDesName(B259)&amp;" "&amp;getRandomNatureDes(K259)&amp;getSuitDes(B259)</f>
        <v>#VALUE!</v>
      </c>
      <c r="J259" s="1">
        <v>0</v>
      </c>
      <c r="K259" s="1">
        <v>2</v>
      </c>
      <c r="L259" s="1">
        <f t="shared" si="28"/>
        <v>5</v>
      </c>
      <c r="M259" s="1" t="str">
        <f ca="1">mVlookup(E259&amp;L259,装备名称!J$43:Z$74,H259,FALSE)</f>
        <v>IC1903</v>
      </c>
      <c r="N259" s="1" t="str">
        <f t="shared" si="24"/>
        <v>145</v>
      </c>
      <c r="O259" s="1">
        <f t="shared" si="25"/>
        <v>200257</v>
      </c>
    </row>
    <row r="260" spans="1:15" x14ac:dyDescent="0.15">
      <c r="A260" s="1">
        <v>258</v>
      </c>
      <c r="B260" s="1">
        <f t="shared" ref="B260:B323" si="30">F260*100000000+E260*1000000+L260*10000+G260*100+J260</f>
        <v>202061400</v>
      </c>
      <c r="C260" s="1" t="str">
        <f t="shared" ca="1" si="29"/>
        <v>尊荣虚幻戒指</v>
      </c>
      <c r="D260" s="1" t="s">
        <v>426</v>
      </c>
      <c r="E260" s="1">
        <v>2</v>
      </c>
      <c r="F260" s="1">
        <f t="shared" si="26"/>
        <v>2</v>
      </c>
      <c r="G260" s="8">
        <f t="shared" ref="G260:G323" si="31">VLOOKUP(H260,S$12:T$26,2,FALSE)</f>
        <v>14</v>
      </c>
      <c r="H260" s="8" t="str">
        <f t="shared" si="27"/>
        <v>戒指</v>
      </c>
      <c r="I260" s="8" t="e">
        <f ca="1">"["&amp;INT(getMinDes(B260))&amp;"-"&amp;INT(getMaxDes(B260))&amp;"]"&amp;getDesName(B260)&amp;" "&amp;getRandomNatureDes(K260)&amp;getSuitDes(B260)</f>
        <v>#VALUE!</v>
      </c>
      <c r="J260" s="1">
        <v>0</v>
      </c>
      <c r="K260" s="1">
        <v>2</v>
      </c>
      <c r="L260" s="1">
        <f t="shared" si="28"/>
        <v>6</v>
      </c>
      <c r="M260" s="1" t="str">
        <f ca="1">mVlookup(E260&amp;L260,装备名称!J$43:Z$74,H260,FALSE)</f>
        <v>IC1901</v>
      </c>
      <c r="N260" s="1" t="str">
        <f t="shared" ref="N260:N323" si="32">G260&amp;L260</f>
        <v>146</v>
      </c>
      <c r="O260" s="1">
        <f t="shared" si="25"/>
        <v>200258</v>
      </c>
    </row>
    <row r="261" spans="1:15" x14ac:dyDescent="0.15">
      <c r="A261" s="1">
        <v>259</v>
      </c>
      <c r="B261" s="1">
        <f t="shared" si="30"/>
        <v>202071400</v>
      </c>
      <c r="C261" s="1" t="str">
        <f t="shared" ca="1" si="29"/>
        <v>至尊歌德戒指</v>
      </c>
      <c r="D261" s="1" t="s">
        <v>426</v>
      </c>
      <c r="E261" s="1">
        <v>2</v>
      </c>
      <c r="F261" s="1">
        <f t="shared" si="26"/>
        <v>2</v>
      </c>
      <c r="G261" s="8">
        <f t="shared" si="31"/>
        <v>14</v>
      </c>
      <c r="H261" s="8" t="str">
        <f t="shared" si="27"/>
        <v>戒指</v>
      </c>
      <c r="I261" s="8" t="e">
        <f ca="1">"["&amp;INT(getMinDes(B261))&amp;"-"&amp;INT(getMaxDes(B261))&amp;"]"&amp;getDesName(B261)&amp;" "&amp;getRandomNatureDes(K261)&amp;getSuitDes(B261)</f>
        <v>#VALUE!</v>
      </c>
      <c r="J261" s="1">
        <v>0</v>
      </c>
      <c r="K261" s="1">
        <v>2</v>
      </c>
      <c r="L261" s="1">
        <f t="shared" si="28"/>
        <v>7</v>
      </c>
      <c r="M261" s="1" t="str">
        <f ca="1">mVlookup(E261&amp;L261,装备名称!J$43:Z$74,H261,FALSE)</f>
        <v>IC1902</v>
      </c>
      <c r="N261" s="1" t="str">
        <f t="shared" si="32"/>
        <v>147</v>
      </c>
      <c r="O261" s="1">
        <f t="shared" ref="O261:O324" si="33">O260+1</f>
        <v>200259</v>
      </c>
    </row>
    <row r="262" spans="1:15" x14ac:dyDescent="0.15">
      <c r="A262" s="1">
        <v>260</v>
      </c>
      <c r="B262" s="1">
        <f t="shared" si="30"/>
        <v>202081400</v>
      </c>
      <c r="C262" s="1" t="str">
        <f t="shared" ca="1" si="29"/>
        <v>绝旨空灵戒指</v>
      </c>
      <c r="D262" s="1" t="s">
        <v>426</v>
      </c>
      <c r="E262" s="1">
        <v>2</v>
      </c>
      <c r="F262" s="1">
        <f t="shared" si="26"/>
        <v>2</v>
      </c>
      <c r="G262" s="8">
        <f t="shared" si="31"/>
        <v>14</v>
      </c>
      <c r="H262" s="8" t="str">
        <f t="shared" si="27"/>
        <v>戒指</v>
      </c>
      <c r="I262" s="8" t="e">
        <f ca="1">"["&amp;INT(getMinDes(B262))&amp;"-"&amp;INT(getMaxDes(B262))&amp;"]"&amp;getDesName(B262)&amp;" "&amp;getRandomNatureDes(K262)&amp;getSuitDes(B262)</f>
        <v>#VALUE!</v>
      </c>
      <c r="J262" s="1">
        <v>0</v>
      </c>
      <c r="K262" s="1">
        <v>2</v>
      </c>
      <c r="L262" s="1">
        <f t="shared" si="28"/>
        <v>8</v>
      </c>
      <c r="M262" s="1" t="str">
        <f ca="1">mVlookup(E262&amp;L262,装备名称!J$43:Z$74,H262,FALSE)</f>
        <v>IC1943</v>
      </c>
      <c r="N262" s="1" t="str">
        <f t="shared" si="32"/>
        <v>148</v>
      </c>
      <c r="O262" s="1">
        <f t="shared" si="33"/>
        <v>200260</v>
      </c>
    </row>
    <row r="263" spans="1:15" x14ac:dyDescent="0.15">
      <c r="A263" s="1">
        <v>261</v>
      </c>
      <c r="B263" s="1">
        <f t="shared" si="30"/>
        <v>202091400</v>
      </c>
      <c r="C263" s="1" t="str">
        <f t="shared" ca="1" si="29"/>
        <v>天工混乱戒指</v>
      </c>
      <c r="D263" s="1" t="s">
        <v>426</v>
      </c>
      <c r="E263" s="1">
        <v>2</v>
      </c>
      <c r="F263" s="1">
        <f t="shared" si="26"/>
        <v>2</v>
      </c>
      <c r="G263" s="8">
        <f t="shared" si="31"/>
        <v>14</v>
      </c>
      <c r="H263" s="8" t="str">
        <f t="shared" si="27"/>
        <v>戒指</v>
      </c>
      <c r="I263" s="8" t="e">
        <f ca="1">"["&amp;INT(getMinDes(B263))&amp;"-"&amp;INT(getMaxDes(B263))&amp;"]"&amp;getDesName(B263)&amp;" "&amp;getRandomNatureDes(K263)&amp;getSuitDes(B263)</f>
        <v>#VALUE!</v>
      </c>
      <c r="J263" s="1">
        <v>0</v>
      </c>
      <c r="K263" s="1">
        <v>2</v>
      </c>
      <c r="L263" s="1">
        <f t="shared" si="28"/>
        <v>9</v>
      </c>
      <c r="M263" s="1" t="str">
        <f ca="1">mVlookup(E263&amp;L263,装备名称!J$43:Z$74,H263,FALSE)</f>
        <v>IC1929</v>
      </c>
      <c r="N263" s="1" t="str">
        <f t="shared" si="32"/>
        <v>149</v>
      </c>
      <c r="O263" s="1">
        <f t="shared" si="33"/>
        <v>200261</v>
      </c>
    </row>
    <row r="264" spans="1:15" x14ac:dyDescent="0.15">
      <c r="A264" s="1">
        <v>262</v>
      </c>
      <c r="B264" s="1">
        <f t="shared" si="30"/>
        <v>302011500</v>
      </c>
      <c r="C264" s="1" t="str">
        <f t="shared" ca="1" si="29"/>
        <v>学徒颓废项链</v>
      </c>
      <c r="D264" s="1" t="s">
        <v>426</v>
      </c>
      <c r="E264" s="1">
        <v>2</v>
      </c>
      <c r="F264" s="1">
        <f t="shared" si="26"/>
        <v>3</v>
      </c>
      <c r="G264" s="8">
        <f t="shared" si="31"/>
        <v>15</v>
      </c>
      <c r="H264" s="8" t="str">
        <f t="shared" si="27"/>
        <v>项链</v>
      </c>
      <c r="I264" s="8" t="e">
        <f ca="1">"["&amp;INT(getMinDes(B264))&amp;"-"&amp;INT(getMaxDes(B264))&amp;"]"&amp;getDesName(B264)&amp;" "&amp;getRandomNatureDes(K264)&amp;getSuitDes(B264)</f>
        <v>#VALUE!</v>
      </c>
      <c r="J264" s="1">
        <v>0</v>
      </c>
      <c r="K264" s="1">
        <v>2</v>
      </c>
      <c r="L264" s="1">
        <f t="shared" si="28"/>
        <v>1</v>
      </c>
      <c r="M264" s="1" t="str">
        <f ca="1">mVlookup(E264&amp;L264,装备名称!J$43:Z$74,H264,FALSE)</f>
        <v>IC1880</v>
      </c>
      <c r="N264" s="1" t="str">
        <f t="shared" si="32"/>
        <v>151</v>
      </c>
      <c r="O264" s="1">
        <f t="shared" si="33"/>
        <v>200262</v>
      </c>
    </row>
    <row r="265" spans="1:15" x14ac:dyDescent="0.15">
      <c r="A265" s="1">
        <v>263</v>
      </c>
      <c r="B265" s="1">
        <f t="shared" si="30"/>
        <v>302021500</v>
      </c>
      <c r="C265" s="1" t="str">
        <f t="shared" ca="1" si="29"/>
        <v>专家玄铁项链</v>
      </c>
      <c r="D265" s="1" t="s">
        <v>426</v>
      </c>
      <c r="E265" s="1">
        <v>2</v>
      </c>
      <c r="F265" s="1">
        <f t="shared" si="26"/>
        <v>3</v>
      </c>
      <c r="G265" s="8">
        <f t="shared" si="31"/>
        <v>15</v>
      </c>
      <c r="H265" s="8" t="str">
        <f t="shared" si="27"/>
        <v>项链</v>
      </c>
      <c r="I265" s="8" t="e">
        <f ca="1">"["&amp;INT(getMinDes(B265))&amp;"-"&amp;INT(getMaxDes(B265))&amp;"]"&amp;getDesName(B265)&amp;" "&amp;getRandomNatureDes(K265)&amp;getSuitDes(B265)</f>
        <v>#VALUE!</v>
      </c>
      <c r="J265" s="1">
        <v>0</v>
      </c>
      <c r="K265" s="1">
        <v>2</v>
      </c>
      <c r="L265" s="1">
        <f t="shared" si="28"/>
        <v>2</v>
      </c>
      <c r="M265" s="1" t="str">
        <f ca="1">mVlookup(E265&amp;L265,装备名称!J$43:Z$74,H265,FALSE)</f>
        <v>IC1882</v>
      </c>
      <c r="N265" s="1" t="str">
        <f t="shared" si="32"/>
        <v>152</v>
      </c>
      <c r="O265" s="1">
        <f t="shared" si="33"/>
        <v>200263</v>
      </c>
    </row>
    <row r="266" spans="1:15" x14ac:dyDescent="0.15">
      <c r="A266" s="1">
        <v>264</v>
      </c>
      <c r="B266" s="1">
        <f t="shared" si="30"/>
        <v>302031500</v>
      </c>
      <c r="C266" s="1" t="str">
        <f t="shared" ca="1" si="29"/>
        <v>大师水晶项链</v>
      </c>
      <c r="D266" s="1" t="s">
        <v>426</v>
      </c>
      <c r="E266" s="1">
        <v>2</v>
      </c>
      <c r="F266" s="1">
        <f t="shared" si="26"/>
        <v>3</v>
      </c>
      <c r="G266" s="8">
        <f t="shared" si="31"/>
        <v>15</v>
      </c>
      <c r="H266" s="8" t="str">
        <f t="shared" si="27"/>
        <v>项链</v>
      </c>
      <c r="I266" s="8" t="e">
        <f ca="1">"["&amp;INT(getMinDes(B266))&amp;"-"&amp;INT(getMaxDes(B266))&amp;"]"&amp;getDesName(B266)&amp;" "&amp;getRandomNatureDes(K266)&amp;getSuitDes(B266)</f>
        <v>#VALUE!</v>
      </c>
      <c r="J266" s="1">
        <v>0</v>
      </c>
      <c r="K266" s="1">
        <v>2</v>
      </c>
      <c r="L266" s="1">
        <f t="shared" si="28"/>
        <v>3</v>
      </c>
      <c r="M266" s="1" t="str">
        <f ca="1">mVlookup(E266&amp;L266,装备名称!J$43:Z$74,H266,FALSE)</f>
        <v>IC1883</v>
      </c>
      <c r="N266" s="1" t="str">
        <f t="shared" si="32"/>
        <v>153</v>
      </c>
      <c r="O266" s="1">
        <f t="shared" si="33"/>
        <v>200264</v>
      </c>
    </row>
    <row r="267" spans="1:15" x14ac:dyDescent="0.15">
      <c r="A267" s="1">
        <v>265</v>
      </c>
      <c r="B267" s="1">
        <f t="shared" si="30"/>
        <v>302041500</v>
      </c>
      <c r="C267" s="1" t="str">
        <f t="shared" ca="1" si="29"/>
        <v>宗师精钢项链</v>
      </c>
      <c r="D267" s="1" t="s">
        <v>426</v>
      </c>
      <c r="E267" s="1">
        <v>2</v>
      </c>
      <c r="F267" s="1">
        <f t="shared" ref="F267:F330" si="34">F132</f>
        <v>3</v>
      </c>
      <c r="G267" s="8">
        <f t="shared" si="31"/>
        <v>15</v>
      </c>
      <c r="H267" s="8" t="str">
        <f t="shared" ref="H267:H330" si="35">H132</f>
        <v>项链</v>
      </c>
      <c r="I267" s="8" t="e">
        <f ca="1">"["&amp;INT(getMinDes(B267))&amp;"-"&amp;INT(getMaxDes(B267))&amp;"]"&amp;getDesName(B267)&amp;" "&amp;getRandomNatureDes(K267)&amp;getSuitDes(B267)</f>
        <v>#VALUE!</v>
      </c>
      <c r="J267" s="1">
        <v>0</v>
      </c>
      <c r="K267" s="1">
        <v>2</v>
      </c>
      <c r="L267" s="1">
        <f t="shared" ref="L267:L330" si="36">L132</f>
        <v>4</v>
      </c>
      <c r="M267" s="1" t="str">
        <f ca="1">mVlookup(E267&amp;L267,装备名称!J$43:Z$74,H267,FALSE)</f>
        <v>IC1886</v>
      </c>
      <c r="N267" s="1" t="str">
        <f t="shared" si="32"/>
        <v>154</v>
      </c>
      <c r="O267" s="1">
        <f t="shared" si="33"/>
        <v>200265</v>
      </c>
    </row>
    <row r="268" spans="1:15" x14ac:dyDescent="0.15">
      <c r="A268" s="1">
        <v>266</v>
      </c>
      <c r="B268" s="1">
        <f t="shared" si="30"/>
        <v>302051500</v>
      </c>
      <c r="C268" s="1" t="str">
        <f t="shared" ca="1" si="29"/>
        <v>显赫白银项链</v>
      </c>
      <c r="D268" s="1" t="s">
        <v>426</v>
      </c>
      <c r="E268" s="1">
        <v>2</v>
      </c>
      <c r="F268" s="1">
        <f t="shared" si="34"/>
        <v>3</v>
      </c>
      <c r="G268" s="8">
        <f t="shared" si="31"/>
        <v>15</v>
      </c>
      <c r="H268" s="8" t="str">
        <f t="shared" si="35"/>
        <v>项链</v>
      </c>
      <c r="I268" s="8" t="e">
        <f ca="1">"["&amp;INT(getMinDes(B268))&amp;"-"&amp;INT(getMaxDes(B268))&amp;"]"&amp;getDesName(B268)&amp;" "&amp;getRandomNatureDes(K268)&amp;getSuitDes(B268)</f>
        <v>#VALUE!</v>
      </c>
      <c r="J268" s="1">
        <v>0</v>
      </c>
      <c r="K268" s="1">
        <v>2</v>
      </c>
      <c r="L268" s="1">
        <f t="shared" si="36"/>
        <v>5</v>
      </c>
      <c r="M268" s="1" t="str">
        <f ca="1">mVlookup(E268&amp;L268,装备名称!J$43:Z$74,H268,FALSE)</f>
        <v>IC1889</v>
      </c>
      <c r="N268" s="1" t="str">
        <f t="shared" si="32"/>
        <v>155</v>
      </c>
      <c r="O268" s="1">
        <f t="shared" si="33"/>
        <v>200266</v>
      </c>
    </row>
    <row r="269" spans="1:15" x14ac:dyDescent="0.15">
      <c r="A269" s="1">
        <v>267</v>
      </c>
      <c r="B269" s="1">
        <f t="shared" si="30"/>
        <v>302061500</v>
      </c>
      <c r="C269" s="1" t="str">
        <f t="shared" ca="1" si="29"/>
        <v>尊荣虚幻项链</v>
      </c>
      <c r="D269" s="1" t="s">
        <v>426</v>
      </c>
      <c r="E269" s="1">
        <v>2</v>
      </c>
      <c r="F269" s="1">
        <f t="shared" si="34"/>
        <v>3</v>
      </c>
      <c r="G269" s="8">
        <f t="shared" si="31"/>
        <v>15</v>
      </c>
      <c r="H269" s="8" t="str">
        <f t="shared" si="35"/>
        <v>项链</v>
      </c>
      <c r="I269" s="8" t="e">
        <f ca="1">"["&amp;INT(getMinDes(B269))&amp;"-"&amp;INT(getMaxDes(B269))&amp;"]"&amp;getDesName(B269)&amp;" "&amp;getRandomNatureDes(K269)&amp;getSuitDes(B269)</f>
        <v>#VALUE!</v>
      </c>
      <c r="J269" s="1">
        <v>0</v>
      </c>
      <c r="K269" s="1">
        <v>2</v>
      </c>
      <c r="L269" s="1">
        <f t="shared" si="36"/>
        <v>6</v>
      </c>
      <c r="M269" s="1" t="str">
        <f ca="1">mVlookup(E269&amp;L269,装备名称!J$43:Z$74,H269,FALSE)</f>
        <v>IC1886</v>
      </c>
      <c r="N269" s="1" t="str">
        <f t="shared" si="32"/>
        <v>156</v>
      </c>
      <c r="O269" s="1">
        <f t="shared" si="33"/>
        <v>200267</v>
      </c>
    </row>
    <row r="270" spans="1:15" x14ac:dyDescent="0.15">
      <c r="A270" s="1">
        <v>268</v>
      </c>
      <c r="B270" s="1">
        <f t="shared" si="30"/>
        <v>302071500</v>
      </c>
      <c r="C270" s="1" t="str">
        <f t="shared" ca="1" si="29"/>
        <v>至尊歌德项链</v>
      </c>
      <c r="D270" s="1" t="s">
        <v>426</v>
      </c>
      <c r="E270" s="1">
        <v>2</v>
      </c>
      <c r="F270" s="1">
        <f t="shared" si="34"/>
        <v>3</v>
      </c>
      <c r="G270" s="8">
        <f t="shared" si="31"/>
        <v>15</v>
      </c>
      <c r="H270" s="8" t="str">
        <f t="shared" si="35"/>
        <v>项链</v>
      </c>
      <c r="I270" s="8" t="e">
        <f ca="1">"["&amp;INT(getMinDes(B270))&amp;"-"&amp;INT(getMaxDes(B270))&amp;"]"&amp;getDesName(B270)&amp;" "&amp;getRandomNatureDes(K270)&amp;getSuitDes(B270)</f>
        <v>#VALUE!</v>
      </c>
      <c r="J270" s="1">
        <v>0</v>
      </c>
      <c r="K270" s="1">
        <v>2</v>
      </c>
      <c r="L270" s="1">
        <f t="shared" si="36"/>
        <v>7</v>
      </c>
      <c r="M270" s="1" t="str">
        <f ca="1">mVlookup(E270&amp;L270,装备名称!J$43:Z$74,H270,FALSE)</f>
        <v>IC1889</v>
      </c>
      <c r="N270" s="1" t="str">
        <f t="shared" si="32"/>
        <v>157</v>
      </c>
      <c r="O270" s="1">
        <f t="shared" si="33"/>
        <v>200268</v>
      </c>
    </row>
    <row r="271" spans="1:15" x14ac:dyDescent="0.15">
      <c r="A271" s="1">
        <v>269</v>
      </c>
      <c r="B271" s="1">
        <f t="shared" si="30"/>
        <v>302081500</v>
      </c>
      <c r="C271" s="1" t="str">
        <f t="shared" ca="1" si="29"/>
        <v>绝旨空灵项链</v>
      </c>
      <c r="D271" s="1" t="s">
        <v>426</v>
      </c>
      <c r="E271" s="1">
        <v>2</v>
      </c>
      <c r="F271" s="1">
        <f t="shared" si="34"/>
        <v>3</v>
      </c>
      <c r="G271" s="8">
        <f t="shared" si="31"/>
        <v>15</v>
      </c>
      <c r="H271" s="8" t="str">
        <f t="shared" si="35"/>
        <v>项链</v>
      </c>
      <c r="I271" s="8" t="e">
        <f ca="1">"["&amp;INT(getMinDes(B271))&amp;"-"&amp;INT(getMaxDes(B271))&amp;"]"&amp;getDesName(B271)&amp;" "&amp;getRandomNatureDes(K271)&amp;getSuitDes(B271)</f>
        <v>#VALUE!</v>
      </c>
      <c r="J271" s="1">
        <v>0</v>
      </c>
      <c r="K271" s="1">
        <v>2</v>
      </c>
      <c r="L271" s="1">
        <f t="shared" si="36"/>
        <v>8</v>
      </c>
      <c r="M271" s="1" t="str">
        <f ca="1">mVlookup(E271&amp;L271,装备名称!J$43:Z$74,H271,FALSE)</f>
        <v>IC1883</v>
      </c>
      <c r="N271" s="1" t="str">
        <f t="shared" si="32"/>
        <v>158</v>
      </c>
      <c r="O271" s="1">
        <f t="shared" si="33"/>
        <v>200269</v>
      </c>
    </row>
    <row r="272" spans="1:15" x14ac:dyDescent="0.15">
      <c r="A272" s="1">
        <v>270</v>
      </c>
      <c r="B272" s="1">
        <f t="shared" si="30"/>
        <v>302091500</v>
      </c>
      <c r="C272" s="1" t="str">
        <f t="shared" ca="1" si="29"/>
        <v>天工混乱项链</v>
      </c>
      <c r="D272" s="1" t="s">
        <v>426</v>
      </c>
      <c r="E272" s="1">
        <v>2</v>
      </c>
      <c r="F272" s="1">
        <f t="shared" si="34"/>
        <v>3</v>
      </c>
      <c r="G272" s="8">
        <f t="shared" si="31"/>
        <v>15</v>
      </c>
      <c r="H272" s="8" t="str">
        <f t="shared" si="35"/>
        <v>项链</v>
      </c>
      <c r="I272" s="8" t="e">
        <f ca="1">"["&amp;INT(getMinDes(B272))&amp;"-"&amp;INT(getMaxDes(B272))&amp;"]"&amp;getDesName(B272)&amp;" "&amp;getRandomNatureDes(K272)&amp;getSuitDes(B272)</f>
        <v>#VALUE!</v>
      </c>
      <c r="J272" s="1">
        <v>0</v>
      </c>
      <c r="K272" s="1">
        <v>2</v>
      </c>
      <c r="L272" s="1">
        <f t="shared" si="36"/>
        <v>9</v>
      </c>
      <c r="M272" s="1" t="str">
        <f ca="1">mVlookup(E272&amp;L272,装备名称!J$43:Z$74,H272,FALSE)</f>
        <v>IC1880</v>
      </c>
      <c r="N272" s="1" t="str">
        <f t="shared" si="32"/>
        <v>159</v>
      </c>
      <c r="O272" s="1">
        <f t="shared" si="33"/>
        <v>200270</v>
      </c>
    </row>
    <row r="273" spans="1:15" x14ac:dyDescent="0.15">
      <c r="A273" s="1">
        <v>271</v>
      </c>
      <c r="B273" s="1">
        <f t="shared" si="30"/>
        <v>103010100</v>
      </c>
      <c r="C273" s="1" t="str">
        <f t="shared" ref="C273:C336" ca="1" si="37">mVlookup(L273,INDIRECT(D273),H273,FALSE)</f>
        <v>奥丁之锤</v>
      </c>
      <c r="D273" s="1" t="s">
        <v>427</v>
      </c>
      <c r="E273" s="1">
        <v>3</v>
      </c>
      <c r="F273" s="1">
        <f t="shared" si="34"/>
        <v>1</v>
      </c>
      <c r="G273" s="8">
        <f t="shared" si="31"/>
        <v>1</v>
      </c>
      <c r="H273" s="8" t="str">
        <f t="shared" si="35"/>
        <v>锤</v>
      </c>
      <c r="I273" s="8" t="e">
        <f ca="1">"["&amp;INT(getMinDes(B273))&amp;"-"&amp;INT(getMaxDes(B273))&amp;"]"&amp;getDesName(B273)&amp;" "&amp;getRandomNatureDes(K273)&amp;getSuitDes(B273)</f>
        <v>#VALUE!</v>
      </c>
      <c r="J273" s="1">
        <v>0</v>
      </c>
      <c r="K273" s="1">
        <v>4</v>
      </c>
      <c r="L273" s="1">
        <f t="shared" si="36"/>
        <v>1</v>
      </c>
      <c r="M273" s="1" t="str">
        <f ca="1">mVlookup(E273&amp;L273,装备名称!J$43:Z$74,H273,FALSE)</f>
        <v>IC1016</v>
      </c>
      <c r="N273" s="1" t="str">
        <f t="shared" si="32"/>
        <v>11</v>
      </c>
      <c r="O273" s="1">
        <f t="shared" si="33"/>
        <v>200271</v>
      </c>
    </row>
    <row r="274" spans="1:15" x14ac:dyDescent="0.15">
      <c r="A274" s="1">
        <v>272</v>
      </c>
      <c r="B274" s="1">
        <f t="shared" si="30"/>
        <v>103020100</v>
      </c>
      <c r="C274" s="1" t="str">
        <f t="shared" ca="1" si="37"/>
        <v>卢卡之锤</v>
      </c>
      <c r="D274" s="1" t="s">
        <v>427</v>
      </c>
      <c r="E274" s="1">
        <v>3</v>
      </c>
      <c r="F274" s="1">
        <f t="shared" si="34"/>
        <v>1</v>
      </c>
      <c r="G274" s="8">
        <f t="shared" si="31"/>
        <v>1</v>
      </c>
      <c r="H274" s="8" t="str">
        <f t="shared" si="35"/>
        <v>锤</v>
      </c>
      <c r="I274" s="8" t="e">
        <f ca="1">"["&amp;INT(getMinDes(B274))&amp;"-"&amp;INT(getMaxDes(B274))&amp;"]"&amp;getDesName(B274)&amp;" "&amp;getRandomNatureDes(K274)&amp;getSuitDes(B274)</f>
        <v>#VALUE!</v>
      </c>
      <c r="J274" s="1">
        <v>0</v>
      </c>
      <c r="K274" s="1">
        <v>4</v>
      </c>
      <c r="L274" s="1">
        <f t="shared" si="36"/>
        <v>2</v>
      </c>
      <c r="M274" s="1" t="str">
        <f ca="1">mVlookup(E274&amp;L274,装备名称!J$43:Z$74,H274,FALSE)</f>
        <v>IC1022</v>
      </c>
      <c r="N274" s="1" t="str">
        <f t="shared" si="32"/>
        <v>12</v>
      </c>
      <c r="O274" s="1">
        <f t="shared" si="33"/>
        <v>200272</v>
      </c>
    </row>
    <row r="275" spans="1:15" x14ac:dyDescent="0.15">
      <c r="A275" s="1">
        <v>273</v>
      </c>
      <c r="B275" s="1">
        <f t="shared" si="30"/>
        <v>103030100</v>
      </c>
      <c r="C275" s="1" t="str">
        <f t="shared" ca="1" si="37"/>
        <v>坎珀之锤</v>
      </c>
      <c r="D275" s="1" t="s">
        <v>427</v>
      </c>
      <c r="E275" s="1">
        <v>3</v>
      </c>
      <c r="F275" s="1">
        <f t="shared" si="34"/>
        <v>1</v>
      </c>
      <c r="G275" s="8">
        <f t="shared" si="31"/>
        <v>1</v>
      </c>
      <c r="H275" s="8" t="str">
        <f t="shared" si="35"/>
        <v>锤</v>
      </c>
      <c r="I275" s="8" t="e">
        <f ca="1">"["&amp;INT(getMinDes(B275))&amp;"-"&amp;INT(getMaxDes(B275))&amp;"]"&amp;getDesName(B275)&amp;" "&amp;getRandomNatureDes(K275)&amp;getSuitDes(B275)</f>
        <v>#VALUE!</v>
      </c>
      <c r="J275" s="1">
        <v>0</v>
      </c>
      <c r="K275" s="1">
        <v>4</v>
      </c>
      <c r="L275" s="1">
        <f t="shared" si="36"/>
        <v>3</v>
      </c>
      <c r="M275" s="1" t="str">
        <f ca="1">mVlookup(E275&amp;L275,装备名称!J$43:Z$74,H275,FALSE)</f>
        <v>IC1028</v>
      </c>
      <c r="N275" s="1" t="str">
        <f t="shared" si="32"/>
        <v>13</v>
      </c>
      <c r="O275" s="1">
        <f t="shared" si="33"/>
        <v>200273</v>
      </c>
    </row>
    <row r="276" spans="1:15" x14ac:dyDescent="0.15">
      <c r="A276" s="1">
        <v>274</v>
      </c>
      <c r="B276" s="1">
        <f t="shared" si="30"/>
        <v>103040100</v>
      </c>
      <c r="C276" s="1" t="str">
        <f t="shared" ca="1" si="37"/>
        <v>费恩魔锤</v>
      </c>
      <c r="D276" s="1" t="s">
        <v>427</v>
      </c>
      <c r="E276" s="1">
        <v>3</v>
      </c>
      <c r="F276" s="1">
        <f t="shared" si="34"/>
        <v>1</v>
      </c>
      <c r="G276" s="8">
        <f t="shared" si="31"/>
        <v>1</v>
      </c>
      <c r="H276" s="8" t="str">
        <f t="shared" si="35"/>
        <v>锤</v>
      </c>
      <c r="I276" s="8" t="e">
        <f ca="1">"["&amp;INT(getMinDes(B276))&amp;"-"&amp;INT(getMaxDes(B276))&amp;"]"&amp;getDesName(B276)&amp;" "&amp;getRandomNatureDes(K276)&amp;getSuitDes(B276)</f>
        <v>#VALUE!</v>
      </c>
      <c r="J276" s="1">
        <v>0</v>
      </c>
      <c r="K276" s="1">
        <v>4</v>
      </c>
      <c r="L276" s="1">
        <f t="shared" si="36"/>
        <v>4</v>
      </c>
      <c r="M276" s="1" t="str">
        <f ca="1">mVlookup(E276&amp;L276,装备名称!J$43:Z$74,H276,FALSE)</f>
        <v>IC1032</v>
      </c>
      <c r="N276" s="1" t="str">
        <f t="shared" si="32"/>
        <v>14</v>
      </c>
      <c r="O276" s="1">
        <f t="shared" si="33"/>
        <v>200274</v>
      </c>
    </row>
    <row r="277" spans="1:15" x14ac:dyDescent="0.15">
      <c r="A277" s="1">
        <v>275</v>
      </c>
      <c r="B277" s="1">
        <f t="shared" si="30"/>
        <v>103050100</v>
      </c>
      <c r="C277" s="1" t="str">
        <f t="shared" ca="1" si="37"/>
        <v>迪马斯之锤</v>
      </c>
      <c r="D277" s="1" t="s">
        <v>427</v>
      </c>
      <c r="E277" s="1">
        <v>3</v>
      </c>
      <c r="F277" s="1">
        <f t="shared" si="34"/>
        <v>1</v>
      </c>
      <c r="G277" s="8">
        <f t="shared" si="31"/>
        <v>1</v>
      </c>
      <c r="H277" s="8" t="str">
        <f t="shared" si="35"/>
        <v>锤</v>
      </c>
      <c r="I277" s="8" t="e">
        <f ca="1">"["&amp;INT(getMinDes(B277))&amp;"-"&amp;INT(getMaxDes(B277))&amp;"]"&amp;getDesName(B277)&amp;" "&amp;getRandomNatureDes(K277)&amp;getSuitDes(B277)</f>
        <v>#VALUE!</v>
      </c>
      <c r="J277" s="1">
        <v>0</v>
      </c>
      <c r="K277" s="1">
        <v>4</v>
      </c>
      <c r="L277" s="1">
        <f t="shared" si="36"/>
        <v>5</v>
      </c>
      <c r="M277" s="1" t="str">
        <f ca="1">mVlookup(E277&amp;L277,装备名称!J$43:Z$74,H277,FALSE)</f>
        <v>IC1033</v>
      </c>
      <c r="N277" s="1" t="str">
        <f t="shared" si="32"/>
        <v>15</v>
      </c>
      <c r="O277" s="1">
        <f t="shared" si="33"/>
        <v>200275</v>
      </c>
    </row>
    <row r="278" spans="1:15" x14ac:dyDescent="0.15">
      <c r="A278" s="1">
        <v>276</v>
      </c>
      <c r="B278" s="1">
        <f t="shared" si="30"/>
        <v>103060100</v>
      </c>
      <c r="C278" s="1" t="str">
        <f t="shared" ca="1" si="37"/>
        <v>酒神之锤</v>
      </c>
      <c r="D278" s="1" t="s">
        <v>427</v>
      </c>
      <c r="E278" s="1">
        <v>3</v>
      </c>
      <c r="F278" s="1">
        <f t="shared" si="34"/>
        <v>1</v>
      </c>
      <c r="G278" s="8">
        <f t="shared" si="31"/>
        <v>1</v>
      </c>
      <c r="H278" s="8" t="str">
        <f t="shared" si="35"/>
        <v>锤</v>
      </c>
      <c r="I278" s="8" t="e">
        <f ca="1">"["&amp;INT(getMinDes(B278))&amp;"-"&amp;INT(getMaxDes(B278))&amp;"]"&amp;getDesName(B278)&amp;" "&amp;getRandomNatureDes(K278)&amp;getSuitDes(B278)</f>
        <v>#VALUE!</v>
      </c>
      <c r="J278" s="1">
        <v>0</v>
      </c>
      <c r="K278" s="1">
        <v>4</v>
      </c>
      <c r="L278" s="1">
        <f t="shared" si="36"/>
        <v>6</v>
      </c>
      <c r="M278" s="1" t="str">
        <f ca="1">mVlookup(E278&amp;L278,装备名称!J$43:Z$74,H278,FALSE)</f>
        <v>IC1034</v>
      </c>
      <c r="N278" s="1" t="str">
        <f t="shared" si="32"/>
        <v>16</v>
      </c>
      <c r="O278" s="1">
        <f t="shared" si="33"/>
        <v>200276</v>
      </c>
    </row>
    <row r="279" spans="1:15" x14ac:dyDescent="0.15">
      <c r="A279" s="1">
        <v>277</v>
      </c>
      <c r="B279" s="1">
        <f t="shared" si="30"/>
        <v>103070100</v>
      </c>
      <c r="C279" s="1" t="str">
        <f t="shared" ca="1" si="37"/>
        <v>缪斯之锤</v>
      </c>
      <c r="D279" s="1" t="s">
        <v>427</v>
      </c>
      <c r="E279" s="1">
        <v>3</v>
      </c>
      <c r="F279" s="1">
        <f t="shared" si="34"/>
        <v>1</v>
      </c>
      <c r="G279" s="8">
        <f t="shared" si="31"/>
        <v>1</v>
      </c>
      <c r="H279" s="8" t="str">
        <f t="shared" si="35"/>
        <v>锤</v>
      </c>
      <c r="I279" s="8" t="e">
        <f ca="1">"["&amp;INT(getMinDes(B279))&amp;"-"&amp;INT(getMaxDes(B279))&amp;"]"&amp;getDesName(B279)&amp;" "&amp;getRandomNatureDes(K279)&amp;getSuitDes(B279)</f>
        <v>#VALUE!</v>
      </c>
      <c r="J279" s="1">
        <v>0</v>
      </c>
      <c r="K279" s="1">
        <v>4</v>
      </c>
      <c r="L279" s="1">
        <f t="shared" si="36"/>
        <v>7</v>
      </c>
      <c r="M279" s="1" t="str">
        <f ca="1">mVlookup(E279&amp;L279,装备名称!J$43:Z$74,H279,FALSE)</f>
        <v>IC1028</v>
      </c>
      <c r="N279" s="1" t="str">
        <f t="shared" si="32"/>
        <v>17</v>
      </c>
      <c r="O279" s="1">
        <f t="shared" si="33"/>
        <v>200277</v>
      </c>
    </row>
    <row r="280" spans="1:15" x14ac:dyDescent="0.15">
      <c r="A280" s="1">
        <v>278</v>
      </c>
      <c r="B280" s="1">
        <f t="shared" si="30"/>
        <v>103080100</v>
      </c>
      <c r="C280" s="1" t="str">
        <f t="shared" ca="1" si="37"/>
        <v>潘多拉之锤</v>
      </c>
      <c r="D280" s="1" t="s">
        <v>427</v>
      </c>
      <c r="E280" s="1">
        <v>3</v>
      </c>
      <c r="F280" s="1">
        <f t="shared" si="34"/>
        <v>1</v>
      </c>
      <c r="G280" s="8">
        <f t="shared" si="31"/>
        <v>1</v>
      </c>
      <c r="H280" s="8" t="str">
        <f t="shared" si="35"/>
        <v>锤</v>
      </c>
      <c r="I280" s="8" t="e">
        <f ca="1">"["&amp;INT(getMinDes(B280))&amp;"-"&amp;INT(getMaxDes(B280))&amp;"]"&amp;getDesName(B280)&amp;" "&amp;getRandomNatureDes(K280)&amp;getSuitDes(B280)</f>
        <v>#VALUE!</v>
      </c>
      <c r="J280" s="1">
        <v>0</v>
      </c>
      <c r="K280" s="1">
        <v>4</v>
      </c>
      <c r="L280" s="1">
        <f t="shared" si="36"/>
        <v>8</v>
      </c>
      <c r="M280" s="1" t="str">
        <f ca="1">mVlookup(E280&amp;L280,装备名称!J$43:Z$74,H280,FALSE)</f>
        <v>IC1036</v>
      </c>
      <c r="N280" s="1" t="str">
        <f t="shared" si="32"/>
        <v>18</v>
      </c>
      <c r="O280" s="1">
        <f t="shared" si="33"/>
        <v>200278</v>
      </c>
    </row>
    <row r="281" spans="1:15" x14ac:dyDescent="0.15">
      <c r="A281" s="1">
        <v>279</v>
      </c>
      <c r="B281" s="1">
        <f t="shared" si="30"/>
        <v>103090100</v>
      </c>
      <c r="C281" s="1" t="str">
        <f t="shared" ca="1" si="37"/>
        <v>盖亚之锤</v>
      </c>
      <c r="D281" s="1" t="s">
        <v>427</v>
      </c>
      <c r="E281" s="1">
        <v>3</v>
      </c>
      <c r="F281" s="1">
        <f t="shared" si="34"/>
        <v>1</v>
      </c>
      <c r="G281" s="8">
        <f t="shared" si="31"/>
        <v>1</v>
      </c>
      <c r="H281" s="8" t="str">
        <f t="shared" si="35"/>
        <v>锤</v>
      </c>
      <c r="I281" s="8" t="e">
        <f ca="1">"["&amp;INT(getMinDes(B281))&amp;"-"&amp;INT(getMaxDes(B281))&amp;"]"&amp;getDesName(B281)&amp;" "&amp;getRandomNatureDes(K281)&amp;getSuitDes(B281)</f>
        <v>#VALUE!</v>
      </c>
      <c r="J281" s="1">
        <v>0</v>
      </c>
      <c r="K281" s="1">
        <v>4</v>
      </c>
      <c r="L281" s="1">
        <f t="shared" si="36"/>
        <v>9</v>
      </c>
      <c r="M281" s="1" t="str">
        <f ca="1">mVlookup(E281&amp;L281,装备名称!J$43:Z$74,H281,FALSE)</f>
        <v>IC1081</v>
      </c>
      <c r="N281" s="1" t="str">
        <f t="shared" si="32"/>
        <v>19</v>
      </c>
      <c r="O281" s="1">
        <f t="shared" si="33"/>
        <v>200279</v>
      </c>
    </row>
    <row r="282" spans="1:15" x14ac:dyDescent="0.15">
      <c r="A282" s="1">
        <v>280</v>
      </c>
      <c r="B282" s="1">
        <f t="shared" si="30"/>
        <v>103010200</v>
      </c>
      <c r="C282" s="1" t="str">
        <f t="shared" ca="1" si="37"/>
        <v>奥丁之刀</v>
      </c>
      <c r="D282" s="1" t="s">
        <v>427</v>
      </c>
      <c r="E282" s="1">
        <v>3</v>
      </c>
      <c r="F282" s="1">
        <f t="shared" si="34"/>
        <v>1</v>
      </c>
      <c r="G282" s="8">
        <f t="shared" si="31"/>
        <v>2</v>
      </c>
      <c r="H282" s="8" t="str">
        <f t="shared" si="35"/>
        <v>刀</v>
      </c>
      <c r="I282" s="8" t="e">
        <f ca="1">"["&amp;INT(getMinDes(B282))&amp;"-"&amp;INT(getMaxDes(B282))&amp;"]"&amp;getDesName(B282)&amp;" "&amp;getRandomNatureDes(K282)&amp;getSuitDes(B282)</f>
        <v>#VALUE!</v>
      </c>
      <c r="J282" s="1">
        <v>0</v>
      </c>
      <c r="K282" s="1">
        <v>4</v>
      </c>
      <c r="L282" s="1">
        <f t="shared" si="36"/>
        <v>1</v>
      </c>
      <c r="M282" s="1" t="str">
        <f ca="1">mVlookup(E282&amp;L282,装备名称!J$43:Z$74,H282,FALSE)</f>
        <v>IC1216</v>
      </c>
      <c r="N282" s="1" t="str">
        <f t="shared" si="32"/>
        <v>21</v>
      </c>
      <c r="O282" s="1">
        <f t="shared" si="33"/>
        <v>200280</v>
      </c>
    </row>
    <row r="283" spans="1:15" x14ac:dyDescent="0.15">
      <c r="A283" s="1">
        <v>281</v>
      </c>
      <c r="B283" s="1">
        <f t="shared" si="30"/>
        <v>103020200</v>
      </c>
      <c r="C283" s="1" t="str">
        <f t="shared" ca="1" si="37"/>
        <v>卢卡之锤</v>
      </c>
      <c r="D283" s="1" t="s">
        <v>427</v>
      </c>
      <c r="E283" s="1">
        <v>3</v>
      </c>
      <c r="F283" s="1">
        <f t="shared" si="34"/>
        <v>1</v>
      </c>
      <c r="G283" s="8">
        <f t="shared" si="31"/>
        <v>2</v>
      </c>
      <c r="H283" s="8" t="str">
        <f t="shared" si="35"/>
        <v>刀</v>
      </c>
      <c r="I283" s="8" t="e">
        <f ca="1">"["&amp;INT(getMinDes(B283))&amp;"-"&amp;INT(getMaxDes(B283))&amp;"]"&amp;getDesName(B283)&amp;" "&amp;getRandomNatureDes(K283)&amp;getSuitDes(B283)</f>
        <v>#VALUE!</v>
      </c>
      <c r="J283" s="1">
        <v>0</v>
      </c>
      <c r="K283" s="1">
        <v>4</v>
      </c>
      <c r="L283" s="1">
        <f t="shared" si="36"/>
        <v>2</v>
      </c>
      <c r="M283" s="1" t="str">
        <f ca="1">mVlookup(E283&amp;L283,装备名称!J$43:Z$74,H283,FALSE)</f>
        <v>IC1220</v>
      </c>
      <c r="N283" s="1" t="str">
        <f t="shared" si="32"/>
        <v>22</v>
      </c>
      <c r="O283" s="1">
        <f t="shared" si="33"/>
        <v>200281</v>
      </c>
    </row>
    <row r="284" spans="1:15" x14ac:dyDescent="0.15">
      <c r="A284" s="1">
        <v>282</v>
      </c>
      <c r="B284" s="1">
        <f t="shared" si="30"/>
        <v>103030200</v>
      </c>
      <c r="C284" s="1" t="str">
        <f t="shared" ca="1" si="37"/>
        <v>坎珀之刃</v>
      </c>
      <c r="D284" s="1" t="s">
        <v>427</v>
      </c>
      <c r="E284" s="1">
        <v>3</v>
      </c>
      <c r="F284" s="1">
        <f t="shared" si="34"/>
        <v>1</v>
      </c>
      <c r="G284" s="8">
        <f t="shared" si="31"/>
        <v>2</v>
      </c>
      <c r="H284" s="8" t="str">
        <f t="shared" si="35"/>
        <v>刀</v>
      </c>
      <c r="I284" s="8" t="e">
        <f ca="1">"["&amp;INT(getMinDes(B284))&amp;"-"&amp;INT(getMaxDes(B284))&amp;"]"&amp;getDesName(B284)&amp;" "&amp;getRandomNatureDes(K284)&amp;getSuitDes(B284)</f>
        <v>#VALUE!</v>
      </c>
      <c r="J284" s="1">
        <v>0</v>
      </c>
      <c r="K284" s="1">
        <v>4</v>
      </c>
      <c r="L284" s="1">
        <f t="shared" si="36"/>
        <v>3</v>
      </c>
      <c r="M284" s="1" t="str">
        <f ca="1">mVlookup(E284&amp;L284,装备名称!J$43:Z$74,H284,FALSE)</f>
        <v>IC1222</v>
      </c>
      <c r="N284" s="1" t="str">
        <f t="shared" si="32"/>
        <v>23</v>
      </c>
      <c r="O284" s="1">
        <f t="shared" si="33"/>
        <v>200282</v>
      </c>
    </row>
    <row r="285" spans="1:15" x14ac:dyDescent="0.15">
      <c r="A285" s="1">
        <v>283</v>
      </c>
      <c r="B285" s="1">
        <f t="shared" si="30"/>
        <v>103040200</v>
      </c>
      <c r="C285" s="1" t="str">
        <f t="shared" ca="1" si="37"/>
        <v>费恩利刃</v>
      </c>
      <c r="D285" s="1" t="s">
        <v>427</v>
      </c>
      <c r="E285" s="1">
        <v>3</v>
      </c>
      <c r="F285" s="1">
        <f t="shared" si="34"/>
        <v>1</v>
      </c>
      <c r="G285" s="8">
        <f t="shared" si="31"/>
        <v>2</v>
      </c>
      <c r="H285" s="8" t="str">
        <f t="shared" si="35"/>
        <v>刀</v>
      </c>
      <c r="I285" s="8" t="e">
        <f ca="1">"["&amp;INT(getMinDes(B285))&amp;"-"&amp;INT(getMaxDes(B285))&amp;"]"&amp;getDesName(B285)&amp;" "&amp;getRandomNatureDes(K285)&amp;getSuitDes(B285)</f>
        <v>#VALUE!</v>
      </c>
      <c r="J285" s="1">
        <v>0</v>
      </c>
      <c r="K285" s="1">
        <v>4</v>
      </c>
      <c r="L285" s="1">
        <f t="shared" si="36"/>
        <v>4</v>
      </c>
      <c r="M285" s="1" t="str">
        <f ca="1">mVlookup(E285&amp;L285,装备名称!J$43:Z$74,H285,FALSE)</f>
        <v>IC1228</v>
      </c>
      <c r="N285" s="1" t="str">
        <f t="shared" si="32"/>
        <v>24</v>
      </c>
      <c r="O285" s="1">
        <f t="shared" si="33"/>
        <v>200283</v>
      </c>
    </row>
    <row r="286" spans="1:15" x14ac:dyDescent="0.15">
      <c r="A286" s="1">
        <v>284</v>
      </c>
      <c r="B286" s="1">
        <f t="shared" si="30"/>
        <v>103050200</v>
      </c>
      <c r="C286" s="1" t="str">
        <f t="shared" ca="1" si="37"/>
        <v>迪马斯之刀</v>
      </c>
      <c r="D286" s="1" t="s">
        <v>427</v>
      </c>
      <c r="E286" s="1">
        <v>3</v>
      </c>
      <c r="F286" s="1">
        <f t="shared" si="34"/>
        <v>1</v>
      </c>
      <c r="G286" s="8">
        <f t="shared" si="31"/>
        <v>2</v>
      </c>
      <c r="H286" s="8" t="str">
        <f t="shared" si="35"/>
        <v>刀</v>
      </c>
      <c r="I286" s="8" t="e">
        <f ca="1">"["&amp;INT(getMinDes(B286))&amp;"-"&amp;INT(getMaxDes(B286))&amp;"]"&amp;getDesName(B286)&amp;" "&amp;getRandomNatureDes(K286)&amp;getSuitDes(B286)</f>
        <v>#VALUE!</v>
      </c>
      <c r="J286" s="1">
        <v>0</v>
      </c>
      <c r="K286" s="1">
        <v>4</v>
      </c>
      <c r="L286" s="1">
        <f t="shared" si="36"/>
        <v>5</v>
      </c>
      <c r="M286" s="1" t="str">
        <f ca="1">mVlookup(E286&amp;L286,装备名称!J$43:Z$74,H286,FALSE)</f>
        <v>IC1235</v>
      </c>
      <c r="N286" s="1" t="str">
        <f t="shared" si="32"/>
        <v>25</v>
      </c>
      <c r="O286" s="1">
        <f t="shared" si="33"/>
        <v>200284</v>
      </c>
    </row>
    <row r="287" spans="1:15" x14ac:dyDescent="0.15">
      <c r="A287" s="1">
        <v>285</v>
      </c>
      <c r="B287" s="1">
        <f t="shared" si="30"/>
        <v>103060200</v>
      </c>
      <c r="C287" s="1" t="str">
        <f t="shared" ca="1" si="37"/>
        <v>酒神之刀</v>
      </c>
      <c r="D287" s="1" t="s">
        <v>427</v>
      </c>
      <c r="E287" s="1">
        <v>3</v>
      </c>
      <c r="F287" s="1">
        <f t="shared" si="34"/>
        <v>1</v>
      </c>
      <c r="G287" s="8">
        <f t="shared" si="31"/>
        <v>2</v>
      </c>
      <c r="H287" s="8" t="str">
        <f t="shared" si="35"/>
        <v>刀</v>
      </c>
      <c r="I287" s="8" t="e">
        <f ca="1">"["&amp;INT(getMinDes(B287))&amp;"-"&amp;INT(getMaxDes(B287))&amp;"]"&amp;getDesName(B287)&amp;" "&amp;getRandomNatureDes(K287)&amp;getSuitDes(B287)</f>
        <v>#VALUE!</v>
      </c>
      <c r="J287" s="1">
        <v>0</v>
      </c>
      <c r="K287" s="1">
        <v>4</v>
      </c>
      <c r="L287" s="1">
        <f t="shared" si="36"/>
        <v>6</v>
      </c>
      <c r="M287" s="1" t="str">
        <f ca="1">mVlookup(E287&amp;L287,装备名称!J$43:Z$74,H287,FALSE)</f>
        <v>IC1278</v>
      </c>
      <c r="N287" s="1" t="str">
        <f t="shared" si="32"/>
        <v>26</v>
      </c>
      <c r="O287" s="1">
        <f t="shared" si="33"/>
        <v>200285</v>
      </c>
    </row>
    <row r="288" spans="1:15" x14ac:dyDescent="0.15">
      <c r="A288" s="1">
        <v>286</v>
      </c>
      <c r="B288" s="1">
        <f t="shared" si="30"/>
        <v>103070200</v>
      </c>
      <c r="C288" s="1" t="str">
        <f t="shared" ca="1" si="37"/>
        <v>缪斯之刀</v>
      </c>
      <c r="D288" s="1" t="s">
        <v>427</v>
      </c>
      <c r="E288" s="1">
        <v>3</v>
      </c>
      <c r="F288" s="1">
        <f t="shared" si="34"/>
        <v>1</v>
      </c>
      <c r="G288" s="8">
        <f t="shared" si="31"/>
        <v>2</v>
      </c>
      <c r="H288" s="8" t="str">
        <f t="shared" si="35"/>
        <v>刀</v>
      </c>
      <c r="I288" s="8" t="e">
        <f ca="1">"["&amp;INT(getMinDes(B288))&amp;"-"&amp;INT(getMaxDes(B288))&amp;"]"&amp;getDesName(B288)&amp;" "&amp;getRandomNatureDes(K288)&amp;getSuitDes(B288)</f>
        <v>#VALUE!</v>
      </c>
      <c r="J288" s="1">
        <v>0</v>
      </c>
      <c r="K288" s="1">
        <v>4</v>
      </c>
      <c r="L288" s="1">
        <f t="shared" si="36"/>
        <v>7</v>
      </c>
      <c r="M288" s="1" t="str">
        <f ca="1">mVlookup(E288&amp;L288,装备名称!J$43:Z$74,H288,FALSE)</f>
        <v>IC1222</v>
      </c>
      <c r="N288" s="1" t="str">
        <f t="shared" si="32"/>
        <v>27</v>
      </c>
      <c r="O288" s="1">
        <f t="shared" si="33"/>
        <v>200286</v>
      </c>
    </row>
    <row r="289" spans="1:15" x14ac:dyDescent="0.15">
      <c r="A289" s="1">
        <v>287</v>
      </c>
      <c r="B289" s="1">
        <f t="shared" si="30"/>
        <v>103080200</v>
      </c>
      <c r="C289" s="1" t="str">
        <f t="shared" ca="1" si="37"/>
        <v>潘多拉之刀</v>
      </c>
      <c r="D289" s="1" t="s">
        <v>427</v>
      </c>
      <c r="E289" s="1">
        <v>3</v>
      </c>
      <c r="F289" s="1">
        <f t="shared" si="34"/>
        <v>1</v>
      </c>
      <c r="G289" s="8">
        <f t="shared" si="31"/>
        <v>2</v>
      </c>
      <c r="H289" s="8" t="str">
        <f t="shared" si="35"/>
        <v>刀</v>
      </c>
      <c r="I289" s="8" t="e">
        <f ca="1">"["&amp;INT(getMinDes(B289))&amp;"-"&amp;INT(getMaxDes(B289))&amp;"]"&amp;getDesName(B289)&amp;" "&amp;getRandomNatureDes(K289)&amp;getSuitDes(B289)</f>
        <v>#VALUE!</v>
      </c>
      <c r="J289" s="1">
        <v>0</v>
      </c>
      <c r="K289" s="1">
        <v>4</v>
      </c>
      <c r="L289" s="1">
        <f t="shared" si="36"/>
        <v>8</v>
      </c>
      <c r="M289" s="1" t="str">
        <f ca="1">mVlookup(E289&amp;L289,装备名称!J$43:Z$74,H289,FALSE)</f>
        <v>IC1228</v>
      </c>
      <c r="N289" s="1" t="str">
        <f t="shared" si="32"/>
        <v>28</v>
      </c>
      <c r="O289" s="1">
        <f t="shared" si="33"/>
        <v>200287</v>
      </c>
    </row>
    <row r="290" spans="1:15" x14ac:dyDescent="0.15">
      <c r="A290" s="1">
        <v>288</v>
      </c>
      <c r="B290" s="1">
        <f t="shared" si="30"/>
        <v>103090200</v>
      </c>
      <c r="C290" s="1" t="str">
        <f t="shared" ca="1" si="37"/>
        <v>宙斯之刃</v>
      </c>
      <c r="D290" s="1" t="s">
        <v>427</v>
      </c>
      <c r="E290" s="1">
        <v>3</v>
      </c>
      <c r="F290" s="1">
        <f t="shared" si="34"/>
        <v>1</v>
      </c>
      <c r="G290" s="8">
        <f t="shared" si="31"/>
        <v>2</v>
      </c>
      <c r="H290" s="8" t="str">
        <f t="shared" si="35"/>
        <v>刀</v>
      </c>
      <c r="I290" s="8" t="e">
        <f ca="1">"["&amp;INT(getMinDes(B290))&amp;"-"&amp;INT(getMaxDes(B290))&amp;"]"&amp;getDesName(B290)&amp;" "&amp;getRandomNatureDes(K290)&amp;getSuitDes(B290)</f>
        <v>#VALUE!</v>
      </c>
      <c r="J290" s="1">
        <v>0</v>
      </c>
      <c r="K290" s="1">
        <v>4</v>
      </c>
      <c r="L290" s="1">
        <f t="shared" si="36"/>
        <v>9</v>
      </c>
      <c r="M290" s="1" t="str">
        <f ca="1">mVlookup(E290&amp;L290,装备名称!J$43:Z$74,H290,FALSE)</f>
        <v>IC1235</v>
      </c>
      <c r="N290" s="1" t="str">
        <f t="shared" si="32"/>
        <v>29</v>
      </c>
      <c r="O290" s="1">
        <f t="shared" si="33"/>
        <v>200288</v>
      </c>
    </row>
    <row r="291" spans="1:15" x14ac:dyDescent="0.15">
      <c r="A291" s="1">
        <v>289</v>
      </c>
      <c r="B291" s="1">
        <f t="shared" si="30"/>
        <v>103010300</v>
      </c>
      <c r="C291" s="1" t="str">
        <f t="shared" ca="1" si="37"/>
        <v>奥丁拳套</v>
      </c>
      <c r="D291" s="1" t="s">
        <v>427</v>
      </c>
      <c r="E291" s="1">
        <v>3</v>
      </c>
      <c r="F291" s="1">
        <f t="shared" si="34"/>
        <v>1</v>
      </c>
      <c r="G291" s="8">
        <f t="shared" si="31"/>
        <v>3</v>
      </c>
      <c r="H291" s="8" t="str">
        <f t="shared" si="35"/>
        <v>拳套</v>
      </c>
      <c r="I291" s="8" t="e">
        <f ca="1">"["&amp;INT(getMinDes(B291))&amp;"-"&amp;INT(getMaxDes(B291))&amp;"]"&amp;getDesName(B291)&amp;" "&amp;getRandomNatureDes(K291)&amp;getSuitDes(B291)</f>
        <v>#VALUE!</v>
      </c>
      <c r="J291" s="1">
        <v>0</v>
      </c>
      <c r="K291" s="1">
        <v>4</v>
      </c>
      <c r="L291" s="1">
        <f t="shared" si="36"/>
        <v>1</v>
      </c>
      <c r="M291" s="1" t="str">
        <f ca="1">mVlookup(E291&amp;L291,装备名称!J$43:Z$74,H291,FALSE)</f>
        <v>IC1513</v>
      </c>
      <c r="N291" s="1" t="str">
        <f t="shared" si="32"/>
        <v>31</v>
      </c>
      <c r="O291" s="1">
        <f t="shared" si="33"/>
        <v>200289</v>
      </c>
    </row>
    <row r="292" spans="1:15" x14ac:dyDescent="0.15">
      <c r="A292" s="1">
        <v>290</v>
      </c>
      <c r="B292" s="1">
        <f t="shared" si="30"/>
        <v>103020300</v>
      </c>
      <c r="C292" s="1" t="str">
        <f t="shared" ca="1" si="37"/>
        <v>卢卡拳套</v>
      </c>
      <c r="D292" s="1" t="s">
        <v>427</v>
      </c>
      <c r="E292" s="1">
        <v>3</v>
      </c>
      <c r="F292" s="1">
        <f t="shared" si="34"/>
        <v>1</v>
      </c>
      <c r="G292" s="8">
        <f t="shared" si="31"/>
        <v>3</v>
      </c>
      <c r="H292" s="8" t="str">
        <f t="shared" si="35"/>
        <v>拳套</v>
      </c>
      <c r="I292" s="8" t="e">
        <f ca="1">"["&amp;INT(getMinDes(B292))&amp;"-"&amp;INT(getMaxDes(B292))&amp;"]"&amp;getDesName(B292)&amp;" "&amp;getRandomNatureDes(K292)&amp;getSuitDes(B292)</f>
        <v>#VALUE!</v>
      </c>
      <c r="J292" s="1">
        <v>0</v>
      </c>
      <c r="K292" s="1">
        <v>4</v>
      </c>
      <c r="L292" s="1">
        <f t="shared" si="36"/>
        <v>2</v>
      </c>
      <c r="M292" s="1" t="str">
        <f ca="1">mVlookup(E292&amp;L292,装备名称!J$43:Z$74,H292,FALSE)</f>
        <v>IC1516</v>
      </c>
      <c r="N292" s="1" t="str">
        <f t="shared" si="32"/>
        <v>32</v>
      </c>
      <c r="O292" s="1">
        <f t="shared" si="33"/>
        <v>200290</v>
      </c>
    </row>
    <row r="293" spans="1:15" x14ac:dyDescent="0.15">
      <c r="A293" s="1">
        <v>291</v>
      </c>
      <c r="B293" s="1">
        <f t="shared" si="30"/>
        <v>103030300</v>
      </c>
      <c r="C293" s="1" t="str">
        <f t="shared" ca="1" si="37"/>
        <v>坎珀拳套</v>
      </c>
      <c r="D293" s="1" t="s">
        <v>427</v>
      </c>
      <c r="E293" s="1">
        <v>3</v>
      </c>
      <c r="F293" s="1">
        <f t="shared" si="34"/>
        <v>1</v>
      </c>
      <c r="G293" s="8">
        <f t="shared" si="31"/>
        <v>3</v>
      </c>
      <c r="H293" s="8" t="str">
        <f t="shared" si="35"/>
        <v>拳套</v>
      </c>
      <c r="I293" s="8" t="e">
        <f ca="1">"["&amp;INT(getMinDes(B293))&amp;"-"&amp;INT(getMaxDes(B293))&amp;"]"&amp;getDesName(B293)&amp;" "&amp;getRandomNatureDes(K293)&amp;getSuitDes(B293)</f>
        <v>#VALUE!</v>
      </c>
      <c r="J293" s="1">
        <v>0</v>
      </c>
      <c r="K293" s="1">
        <v>4</v>
      </c>
      <c r="L293" s="1">
        <f t="shared" si="36"/>
        <v>3</v>
      </c>
      <c r="M293" s="1" t="str">
        <f ca="1">mVlookup(E293&amp;L293,装备名称!J$43:Z$74,H293,FALSE)</f>
        <v>IC1518</v>
      </c>
      <c r="N293" s="1" t="str">
        <f t="shared" si="32"/>
        <v>33</v>
      </c>
      <c r="O293" s="1">
        <f t="shared" si="33"/>
        <v>200291</v>
      </c>
    </row>
    <row r="294" spans="1:15" x14ac:dyDescent="0.15">
      <c r="A294" s="1">
        <v>292</v>
      </c>
      <c r="B294" s="1">
        <f t="shared" si="30"/>
        <v>103040300</v>
      </c>
      <c r="C294" s="1" t="str">
        <f t="shared" ca="1" si="37"/>
        <v>费恩拳套</v>
      </c>
      <c r="D294" s="1" t="s">
        <v>427</v>
      </c>
      <c r="E294" s="1">
        <v>3</v>
      </c>
      <c r="F294" s="1">
        <f t="shared" si="34"/>
        <v>1</v>
      </c>
      <c r="G294" s="8">
        <f t="shared" si="31"/>
        <v>3</v>
      </c>
      <c r="H294" s="8" t="str">
        <f t="shared" si="35"/>
        <v>拳套</v>
      </c>
      <c r="I294" s="8" t="e">
        <f ca="1">"["&amp;INT(getMinDes(B294))&amp;"-"&amp;INT(getMaxDes(B294))&amp;"]"&amp;getDesName(B294)&amp;" "&amp;getRandomNatureDes(K294)&amp;getSuitDes(B294)</f>
        <v>#VALUE!</v>
      </c>
      <c r="J294" s="1">
        <v>0</v>
      </c>
      <c r="K294" s="1">
        <v>4</v>
      </c>
      <c r="L294" s="1">
        <f t="shared" si="36"/>
        <v>4</v>
      </c>
      <c r="M294" s="1" t="str">
        <f ca="1">mVlookup(E294&amp;L294,装备名称!J$43:Z$74,H294,FALSE)</f>
        <v>IC1520</v>
      </c>
      <c r="N294" s="1" t="str">
        <f t="shared" si="32"/>
        <v>34</v>
      </c>
      <c r="O294" s="1">
        <f t="shared" si="33"/>
        <v>200292</v>
      </c>
    </row>
    <row r="295" spans="1:15" x14ac:dyDescent="0.15">
      <c r="A295" s="1">
        <v>293</v>
      </c>
      <c r="B295" s="1">
        <f t="shared" si="30"/>
        <v>103050300</v>
      </c>
      <c r="C295" s="1" t="str">
        <f t="shared" ca="1" si="37"/>
        <v>迪马斯拳套</v>
      </c>
      <c r="D295" s="1" t="s">
        <v>427</v>
      </c>
      <c r="E295" s="1">
        <v>3</v>
      </c>
      <c r="F295" s="1">
        <f t="shared" si="34"/>
        <v>1</v>
      </c>
      <c r="G295" s="8">
        <f t="shared" si="31"/>
        <v>3</v>
      </c>
      <c r="H295" s="8" t="str">
        <f t="shared" si="35"/>
        <v>拳套</v>
      </c>
      <c r="I295" s="8" t="e">
        <f ca="1">"["&amp;INT(getMinDes(B295))&amp;"-"&amp;INT(getMaxDes(B295))&amp;"]"&amp;getDesName(B295)&amp;" "&amp;getRandomNatureDes(K295)&amp;getSuitDes(B295)</f>
        <v>#VALUE!</v>
      </c>
      <c r="J295" s="1">
        <v>0</v>
      </c>
      <c r="K295" s="1">
        <v>4</v>
      </c>
      <c r="L295" s="1">
        <f t="shared" si="36"/>
        <v>5</v>
      </c>
      <c r="M295" s="1" t="str">
        <f ca="1">mVlookup(E295&amp;L295,装备名称!J$43:Z$74,H295,FALSE)</f>
        <v>IC1521</v>
      </c>
      <c r="N295" s="1" t="str">
        <f t="shared" si="32"/>
        <v>35</v>
      </c>
      <c r="O295" s="1">
        <f t="shared" si="33"/>
        <v>200293</v>
      </c>
    </row>
    <row r="296" spans="1:15" x14ac:dyDescent="0.15">
      <c r="A296" s="1">
        <v>294</v>
      </c>
      <c r="B296" s="1">
        <f t="shared" si="30"/>
        <v>103060300</v>
      </c>
      <c r="C296" s="1" t="str">
        <f t="shared" ca="1" si="37"/>
        <v>酒神拳套</v>
      </c>
      <c r="D296" s="1" t="s">
        <v>427</v>
      </c>
      <c r="E296" s="1">
        <v>3</v>
      </c>
      <c r="F296" s="1">
        <f t="shared" si="34"/>
        <v>1</v>
      </c>
      <c r="G296" s="8">
        <f t="shared" si="31"/>
        <v>3</v>
      </c>
      <c r="H296" s="8" t="str">
        <f t="shared" si="35"/>
        <v>拳套</v>
      </c>
      <c r="I296" s="8" t="e">
        <f ca="1">"["&amp;INT(getMinDes(B296))&amp;"-"&amp;INT(getMaxDes(B296))&amp;"]"&amp;getDesName(B296)&amp;" "&amp;getRandomNatureDes(K296)&amp;getSuitDes(B296)</f>
        <v>#VALUE!</v>
      </c>
      <c r="J296" s="1">
        <v>0</v>
      </c>
      <c r="K296" s="1">
        <v>4</v>
      </c>
      <c r="L296" s="1">
        <f t="shared" si="36"/>
        <v>6</v>
      </c>
      <c r="M296" s="1" t="str">
        <f ca="1">mVlookup(E296&amp;L296,装备名称!J$43:Z$74,H296,FALSE)</f>
        <v>IC1523</v>
      </c>
      <c r="N296" s="1" t="str">
        <f t="shared" si="32"/>
        <v>36</v>
      </c>
      <c r="O296" s="1">
        <f t="shared" si="33"/>
        <v>200294</v>
      </c>
    </row>
    <row r="297" spans="1:15" x14ac:dyDescent="0.15">
      <c r="A297" s="1">
        <v>295</v>
      </c>
      <c r="B297" s="1">
        <f t="shared" si="30"/>
        <v>103070300</v>
      </c>
      <c r="C297" s="1" t="str">
        <f t="shared" ca="1" si="37"/>
        <v>缪斯之拳</v>
      </c>
      <c r="D297" s="1" t="s">
        <v>427</v>
      </c>
      <c r="E297" s="1">
        <v>3</v>
      </c>
      <c r="F297" s="1">
        <f t="shared" si="34"/>
        <v>1</v>
      </c>
      <c r="G297" s="8">
        <f t="shared" si="31"/>
        <v>3</v>
      </c>
      <c r="H297" s="8" t="str">
        <f t="shared" si="35"/>
        <v>拳套</v>
      </c>
      <c r="I297" s="8" t="e">
        <f ca="1">"["&amp;INT(getMinDes(B297))&amp;"-"&amp;INT(getMaxDes(B297))&amp;"]"&amp;getDesName(B297)&amp;" "&amp;getRandomNatureDes(K297)&amp;getSuitDes(B297)</f>
        <v>#VALUE!</v>
      </c>
      <c r="J297" s="1">
        <v>0</v>
      </c>
      <c r="K297" s="1">
        <v>4</v>
      </c>
      <c r="L297" s="1">
        <f t="shared" si="36"/>
        <v>7</v>
      </c>
      <c r="M297" s="1" t="str">
        <f ca="1">mVlookup(E297&amp;L297,装备名称!J$43:Z$74,H297,FALSE)</f>
        <v>IC1524</v>
      </c>
      <c r="N297" s="1" t="str">
        <f t="shared" si="32"/>
        <v>37</v>
      </c>
      <c r="O297" s="1">
        <f t="shared" si="33"/>
        <v>200295</v>
      </c>
    </row>
    <row r="298" spans="1:15" x14ac:dyDescent="0.15">
      <c r="A298" s="1">
        <v>296</v>
      </c>
      <c r="B298" s="1">
        <f t="shared" si="30"/>
        <v>103080300</v>
      </c>
      <c r="C298" s="1" t="str">
        <f t="shared" ca="1" si="37"/>
        <v>潘多拉拳套</v>
      </c>
      <c r="D298" s="1" t="s">
        <v>427</v>
      </c>
      <c r="E298" s="1">
        <v>3</v>
      </c>
      <c r="F298" s="1">
        <f t="shared" si="34"/>
        <v>1</v>
      </c>
      <c r="G298" s="8">
        <f t="shared" si="31"/>
        <v>3</v>
      </c>
      <c r="H298" s="8" t="str">
        <f t="shared" si="35"/>
        <v>拳套</v>
      </c>
      <c r="I298" s="8" t="e">
        <f ca="1">"["&amp;INT(getMinDes(B298))&amp;"-"&amp;INT(getMaxDes(B298))&amp;"]"&amp;getDesName(B298)&amp;" "&amp;getRandomNatureDes(K298)&amp;getSuitDes(B298)</f>
        <v>#VALUE!</v>
      </c>
      <c r="J298" s="1">
        <v>0</v>
      </c>
      <c r="K298" s="1">
        <v>4</v>
      </c>
      <c r="L298" s="1">
        <f t="shared" si="36"/>
        <v>8</v>
      </c>
      <c r="M298" s="1" t="str">
        <f ca="1">mVlookup(E298&amp;L298,装备名称!J$43:Z$74,H298,FALSE)</f>
        <v>IC1525</v>
      </c>
      <c r="N298" s="1" t="str">
        <f t="shared" si="32"/>
        <v>38</v>
      </c>
      <c r="O298" s="1">
        <f t="shared" si="33"/>
        <v>200296</v>
      </c>
    </row>
    <row r="299" spans="1:15" x14ac:dyDescent="0.15">
      <c r="A299" s="1">
        <v>297</v>
      </c>
      <c r="B299" s="1">
        <f t="shared" si="30"/>
        <v>103090300</v>
      </c>
      <c r="C299" s="1" t="str">
        <f t="shared" ca="1" si="37"/>
        <v>卡德摩斯拳套</v>
      </c>
      <c r="D299" s="1" t="s">
        <v>427</v>
      </c>
      <c r="E299" s="1">
        <v>3</v>
      </c>
      <c r="F299" s="1">
        <f t="shared" si="34"/>
        <v>1</v>
      </c>
      <c r="G299" s="8">
        <f t="shared" si="31"/>
        <v>3</v>
      </c>
      <c r="H299" s="8" t="str">
        <f t="shared" si="35"/>
        <v>拳套</v>
      </c>
      <c r="I299" s="8" t="e">
        <f ca="1">"["&amp;INT(getMinDes(B299))&amp;"-"&amp;INT(getMaxDes(B299))&amp;"]"&amp;getDesName(B299)&amp;" "&amp;getRandomNatureDes(K299)&amp;getSuitDes(B299)</f>
        <v>#VALUE!</v>
      </c>
      <c r="J299" s="1">
        <v>0</v>
      </c>
      <c r="K299" s="1">
        <v>4</v>
      </c>
      <c r="L299" s="1">
        <f t="shared" si="36"/>
        <v>9</v>
      </c>
      <c r="M299" s="1" t="str">
        <f ca="1">mVlookup(E299&amp;L299,装备名称!J$43:Z$74,H299,FALSE)</f>
        <v>IC1527</v>
      </c>
      <c r="N299" s="1" t="str">
        <f t="shared" si="32"/>
        <v>39</v>
      </c>
      <c r="O299" s="1">
        <f t="shared" si="33"/>
        <v>200297</v>
      </c>
    </row>
    <row r="300" spans="1:15" x14ac:dyDescent="0.15">
      <c r="A300" s="1">
        <v>298</v>
      </c>
      <c r="B300" s="1">
        <f t="shared" si="30"/>
        <v>103010400</v>
      </c>
      <c r="C300" s="1" t="str">
        <f t="shared" ca="1" si="37"/>
        <v>奥丁之枪</v>
      </c>
      <c r="D300" s="1" t="s">
        <v>427</v>
      </c>
      <c r="E300" s="1">
        <v>3</v>
      </c>
      <c r="F300" s="1">
        <f t="shared" si="34"/>
        <v>1</v>
      </c>
      <c r="G300" s="8">
        <f t="shared" si="31"/>
        <v>4</v>
      </c>
      <c r="H300" s="8" t="str">
        <f t="shared" si="35"/>
        <v>枪</v>
      </c>
      <c r="I300" s="8" t="e">
        <f ca="1">"["&amp;INT(getMinDes(B300))&amp;"-"&amp;INT(getMaxDes(B300))&amp;"]"&amp;getDesName(B300)&amp;" "&amp;getRandomNatureDes(K300)&amp;getSuitDes(B300)</f>
        <v>#VALUE!</v>
      </c>
      <c r="J300" s="1">
        <v>0</v>
      </c>
      <c r="K300" s="1">
        <v>4</v>
      </c>
      <c r="L300" s="1">
        <f t="shared" si="36"/>
        <v>1</v>
      </c>
      <c r="M300" s="1" t="str">
        <f ca="1">mVlookup(E300&amp;L300,装备名称!J$43:Z$74,H300,FALSE)</f>
        <v>IC1654</v>
      </c>
      <c r="N300" s="1" t="str">
        <f t="shared" si="32"/>
        <v>41</v>
      </c>
      <c r="O300" s="1">
        <f t="shared" si="33"/>
        <v>200298</v>
      </c>
    </row>
    <row r="301" spans="1:15" x14ac:dyDescent="0.15">
      <c r="A301" s="1">
        <v>299</v>
      </c>
      <c r="B301" s="1">
        <f t="shared" si="30"/>
        <v>103020400</v>
      </c>
      <c r="C301" s="1" t="str">
        <f t="shared" ca="1" si="37"/>
        <v>卢卡之枪</v>
      </c>
      <c r="D301" s="1" t="s">
        <v>427</v>
      </c>
      <c r="E301" s="1">
        <v>3</v>
      </c>
      <c r="F301" s="1">
        <f t="shared" si="34"/>
        <v>1</v>
      </c>
      <c r="G301" s="8">
        <f t="shared" si="31"/>
        <v>4</v>
      </c>
      <c r="H301" s="8" t="str">
        <f t="shared" si="35"/>
        <v>枪</v>
      </c>
      <c r="I301" s="8" t="e">
        <f ca="1">"["&amp;INT(getMinDes(B301))&amp;"-"&amp;INT(getMaxDes(B301))&amp;"]"&amp;getDesName(B301)&amp;" "&amp;getRandomNatureDes(K301)&amp;getSuitDes(B301)</f>
        <v>#VALUE!</v>
      </c>
      <c r="J301" s="1">
        <v>0</v>
      </c>
      <c r="K301" s="1">
        <v>4</v>
      </c>
      <c r="L301" s="1">
        <f t="shared" si="36"/>
        <v>2</v>
      </c>
      <c r="M301" s="1" t="str">
        <f ca="1">mVlookup(E301&amp;L301,装备名称!J$43:Z$74,H301,FALSE)</f>
        <v>IC1657</v>
      </c>
      <c r="N301" s="1" t="str">
        <f t="shared" si="32"/>
        <v>42</v>
      </c>
      <c r="O301" s="1">
        <f t="shared" si="33"/>
        <v>200299</v>
      </c>
    </row>
    <row r="302" spans="1:15" x14ac:dyDescent="0.15">
      <c r="A302" s="1">
        <v>300</v>
      </c>
      <c r="B302" s="1">
        <f t="shared" si="30"/>
        <v>103030400</v>
      </c>
      <c r="C302" s="1" t="str">
        <f t="shared" ca="1" si="37"/>
        <v>坎珀尖枪</v>
      </c>
      <c r="D302" s="1" t="s">
        <v>427</v>
      </c>
      <c r="E302" s="1">
        <v>3</v>
      </c>
      <c r="F302" s="1">
        <f t="shared" si="34"/>
        <v>1</v>
      </c>
      <c r="G302" s="8">
        <f t="shared" si="31"/>
        <v>4</v>
      </c>
      <c r="H302" s="8" t="str">
        <f t="shared" si="35"/>
        <v>枪</v>
      </c>
      <c r="I302" s="8" t="e">
        <f ca="1">"["&amp;INT(getMinDes(B302))&amp;"-"&amp;INT(getMaxDes(B302))&amp;"]"&amp;getDesName(B302)&amp;" "&amp;getRandomNatureDes(K302)&amp;getSuitDes(B302)</f>
        <v>#VALUE!</v>
      </c>
      <c r="J302" s="1">
        <v>0</v>
      </c>
      <c r="K302" s="1">
        <v>4</v>
      </c>
      <c r="L302" s="1">
        <f t="shared" si="36"/>
        <v>3</v>
      </c>
      <c r="M302" s="1" t="str">
        <f ca="1">mVlookup(E302&amp;L302,装备名称!J$43:Z$74,H302,FALSE)</f>
        <v>IC1660</v>
      </c>
      <c r="N302" s="1" t="str">
        <f t="shared" si="32"/>
        <v>43</v>
      </c>
      <c r="O302" s="1">
        <f t="shared" si="33"/>
        <v>200300</v>
      </c>
    </row>
    <row r="303" spans="1:15" x14ac:dyDescent="0.15">
      <c r="A303" s="1">
        <v>301</v>
      </c>
      <c r="B303" s="1">
        <f t="shared" si="30"/>
        <v>103040400</v>
      </c>
      <c r="C303" s="1" t="str">
        <f t="shared" ca="1" si="37"/>
        <v>费恩尖枪</v>
      </c>
      <c r="D303" s="1" t="s">
        <v>427</v>
      </c>
      <c r="E303" s="1">
        <v>3</v>
      </c>
      <c r="F303" s="1">
        <f t="shared" si="34"/>
        <v>1</v>
      </c>
      <c r="G303" s="8">
        <f t="shared" si="31"/>
        <v>4</v>
      </c>
      <c r="H303" s="8" t="str">
        <f t="shared" si="35"/>
        <v>枪</v>
      </c>
      <c r="I303" s="8" t="e">
        <f ca="1">"["&amp;INT(getMinDes(B303))&amp;"-"&amp;INT(getMaxDes(B303))&amp;"]"&amp;getDesName(B303)&amp;" "&amp;getRandomNatureDes(K303)&amp;getSuitDes(B303)</f>
        <v>#VALUE!</v>
      </c>
      <c r="J303" s="1">
        <v>0</v>
      </c>
      <c r="K303" s="1">
        <v>4</v>
      </c>
      <c r="L303" s="1">
        <f t="shared" si="36"/>
        <v>4</v>
      </c>
      <c r="M303" s="1" t="str">
        <f ca="1">mVlookup(E303&amp;L303,装备名称!J$43:Z$74,H303,FALSE)</f>
        <v>IC1666</v>
      </c>
      <c r="N303" s="1" t="str">
        <f t="shared" si="32"/>
        <v>44</v>
      </c>
      <c r="O303" s="1">
        <f t="shared" si="33"/>
        <v>200301</v>
      </c>
    </row>
    <row r="304" spans="1:15" x14ac:dyDescent="0.15">
      <c r="A304" s="1">
        <v>302</v>
      </c>
      <c r="B304" s="1">
        <f t="shared" si="30"/>
        <v>103050400</v>
      </c>
      <c r="C304" s="1" t="str">
        <f t="shared" ca="1" si="37"/>
        <v>迪马斯尖枪</v>
      </c>
      <c r="D304" s="1" t="s">
        <v>427</v>
      </c>
      <c r="E304" s="1">
        <v>3</v>
      </c>
      <c r="F304" s="1">
        <f t="shared" si="34"/>
        <v>1</v>
      </c>
      <c r="G304" s="8">
        <f t="shared" si="31"/>
        <v>4</v>
      </c>
      <c r="H304" s="8" t="str">
        <f t="shared" si="35"/>
        <v>枪</v>
      </c>
      <c r="I304" s="8" t="e">
        <f ca="1">"["&amp;INT(getMinDes(B304))&amp;"-"&amp;INT(getMaxDes(B304))&amp;"]"&amp;getDesName(B304)&amp;" "&amp;getRandomNatureDes(K304)&amp;getSuitDes(B304)</f>
        <v>#VALUE!</v>
      </c>
      <c r="J304" s="1">
        <v>0</v>
      </c>
      <c r="K304" s="1">
        <v>4</v>
      </c>
      <c r="L304" s="1">
        <f t="shared" si="36"/>
        <v>5</v>
      </c>
      <c r="M304" s="1" t="str">
        <f ca="1">mVlookup(E304&amp;L304,装备名称!J$43:Z$74,H304,FALSE)</f>
        <v>IC1671</v>
      </c>
      <c r="N304" s="1" t="str">
        <f t="shared" si="32"/>
        <v>45</v>
      </c>
      <c r="O304" s="1">
        <f t="shared" si="33"/>
        <v>200302</v>
      </c>
    </row>
    <row r="305" spans="1:15" x14ac:dyDescent="0.15">
      <c r="A305" s="1">
        <v>303</v>
      </c>
      <c r="B305" s="1">
        <f t="shared" si="30"/>
        <v>103060400</v>
      </c>
      <c r="C305" s="1" t="str">
        <f t="shared" ca="1" si="37"/>
        <v>酒神之枪</v>
      </c>
      <c r="D305" s="1" t="s">
        <v>427</v>
      </c>
      <c r="E305" s="1">
        <v>3</v>
      </c>
      <c r="F305" s="1">
        <f t="shared" si="34"/>
        <v>1</v>
      </c>
      <c r="G305" s="8">
        <f t="shared" si="31"/>
        <v>4</v>
      </c>
      <c r="H305" s="8" t="str">
        <f t="shared" si="35"/>
        <v>枪</v>
      </c>
      <c r="I305" s="8" t="e">
        <f ca="1">"["&amp;INT(getMinDes(B305))&amp;"-"&amp;INT(getMaxDes(B305))&amp;"]"&amp;getDesName(B305)&amp;" "&amp;getRandomNatureDes(K305)&amp;getSuitDes(B305)</f>
        <v>#VALUE!</v>
      </c>
      <c r="J305" s="1">
        <v>0</v>
      </c>
      <c r="K305" s="1">
        <v>4</v>
      </c>
      <c r="L305" s="1">
        <f t="shared" si="36"/>
        <v>6</v>
      </c>
      <c r="M305" s="1" t="str">
        <f ca="1">mVlookup(E305&amp;L305,装备名称!J$43:Z$74,H305,FALSE)</f>
        <v>IC1672</v>
      </c>
      <c r="N305" s="1" t="str">
        <f t="shared" si="32"/>
        <v>46</v>
      </c>
      <c r="O305" s="1">
        <f t="shared" si="33"/>
        <v>200303</v>
      </c>
    </row>
    <row r="306" spans="1:15" x14ac:dyDescent="0.15">
      <c r="A306" s="1">
        <v>304</v>
      </c>
      <c r="B306" s="1">
        <f t="shared" si="30"/>
        <v>103070400</v>
      </c>
      <c r="C306" s="1" t="str">
        <f t="shared" ca="1" si="37"/>
        <v>缪斯之枪</v>
      </c>
      <c r="D306" s="1" t="s">
        <v>427</v>
      </c>
      <c r="E306" s="1">
        <v>3</v>
      </c>
      <c r="F306" s="1">
        <f t="shared" si="34"/>
        <v>1</v>
      </c>
      <c r="G306" s="8">
        <f t="shared" si="31"/>
        <v>4</v>
      </c>
      <c r="H306" s="8" t="str">
        <f t="shared" si="35"/>
        <v>枪</v>
      </c>
      <c r="I306" s="8" t="e">
        <f ca="1">"["&amp;INT(getMinDes(B306))&amp;"-"&amp;INT(getMaxDes(B306))&amp;"]"&amp;getDesName(B306)&amp;" "&amp;getRandomNatureDes(K306)&amp;getSuitDes(B306)</f>
        <v>#VALUE!</v>
      </c>
      <c r="J306" s="1">
        <v>0</v>
      </c>
      <c r="K306" s="1">
        <v>4</v>
      </c>
      <c r="L306" s="1">
        <f t="shared" si="36"/>
        <v>7</v>
      </c>
      <c r="M306" s="1" t="str">
        <f ca="1">mVlookup(E306&amp;L306,装备名称!J$43:Z$74,H306,FALSE)</f>
        <v>IC1673</v>
      </c>
      <c r="N306" s="1" t="str">
        <f t="shared" si="32"/>
        <v>47</v>
      </c>
      <c r="O306" s="1">
        <f t="shared" si="33"/>
        <v>200304</v>
      </c>
    </row>
    <row r="307" spans="1:15" x14ac:dyDescent="0.15">
      <c r="A307" s="1">
        <v>305</v>
      </c>
      <c r="B307" s="1">
        <f t="shared" si="30"/>
        <v>103080400</v>
      </c>
      <c r="C307" s="1" t="str">
        <f t="shared" ca="1" si="37"/>
        <v>潘多拉之枪</v>
      </c>
      <c r="D307" s="1" t="s">
        <v>427</v>
      </c>
      <c r="E307" s="1">
        <v>3</v>
      </c>
      <c r="F307" s="1">
        <f t="shared" si="34"/>
        <v>1</v>
      </c>
      <c r="G307" s="8">
        <f t="shared" si="31"/>
        <v>4</v>
      </c>
      <c r="H307" s="8" t="str">
        <f t="shared" si="35"/>
        <v>枪</v>
      </c>
      <c r="I307" s="8" t="e">
        <f ca="1">"["&amp;INT(getMinDes(B307))&amp;"-"&amp;INT(getMaxDes(B307))&amp;"]"&amp;getDesName(B307)&amp;" "&amp;getRandomNatureDes(K307)&amp;getSuitDes(B307)</f>
        <v>#VALUE!</v>
      </c>
      <c r="J307" s="1">
        <v>0</v>
      </c>
      <c r="K307" s="1">
        <v>4</v>
      </c>
      <c r="L307" s="1">
        <f t="shared" si="36"/>
        <v>8</v>
      </c>
      <c r="M307" s="1" t="str">
        <f ca="1">mVlookup(E307&amp;L307,装备名称!J$43:Z$74,H307,FALSE)</f>
        <v>IC1654</v>
      </c>
      <c r="N307" s="1" t="str">
        <f t="shared" si="32"/>
        <v>48</v>
      </c>
      <c r="O307" s="1">
        <f t="shared" si="33"/>
        <v>200305</v>
      </c>
    </row>
    <row r="308" spans="1:15" x14ac:dyDescent="0.15">
      <c r="A308" s="1">
        <v>306</v>
      </c>
      <c r="B308" s="1">
        <f t="shared" si="30"/>
        <v>103090400</v>
      </c>
      <c r="C308" s="1" t="str">
        <f t="shared" ca="1" si="37"/>
        <v>衣卒尔之枪</v>
      </c>
      <c r="D308" s="1" t="s">
        <v>427</v>
      </c>
      <c r="E308" s="1">
        <v>3</v>
      </c>
      <c r="F308" s="1">
        <f t="shared" si="34"/>
        <v>1</v>
      </c>
      <c r="G308" s="8">
        <f t="shared" si="31"/>
        <v>4</v>
      </c>
      <c r="H308" s="8" t="str">
        <f t="shared" si="35"/>
        <v>枪</v>
      </c>
      <c r="I308" s="8" t="e">
        <f ca="1">"["&amp;INT(getMinDes(B308))&amp;"-"&amp;INT(getMaxDes(B308))&amp;"]"&amp;getDesName(B308)&amp;" "&amp;getRandomNatureDes(K308)&amp;getSuitDes(B308)</f>
        <v>#VALUE!</v>
      </c>
      <c r="J308" s="1">
        <v>0</v>
      </c>
      <c r="K308" s="1">
        <v>4</v>
      </c>
      <c r="L308" s="1">
        <f t="shared" si="36"/>
        <v>9</v>
      </c>
      <c r="M308" s="1" t="str">
        <f ca="1">mVlookup(E308&amp;L308,装备名称!J$43:Z$74,H308,FALSE)</f>
        <v>IC1657</v>
      </c>
      <c r="N308" s="1" t="str">
        <f t="shared" si="32"/>
        <v>49</v>
      </c>
      <c r="O308" s="1">
        <f t="shared" si="33"/>
        <v>200306</v>
      </c>
    </row>
    <row r="309" spans="1:15" x14ac:dyDescent="0.15">
      <c r="A309" s="1">
        <v>307</v>
      </c>
      <c r="B309" s="1">
        <f t="shared" si="30"/>
        <v>103010500</v>
      </c>
      <c r="C309" s="1" t="str">
        <f t="shared" ca="1" si="37"/>
        <v>奥丁镰刀</v>
      </c>
      <c r="D309" s="1" t="s">
        <v>427</v>
      </c>
      <c r="E309" s="1">
        <v>3</v>
      </c>
      <c r="F309" s="1">
        <f t="shared" si="34"/>
        <v>1</v>
      </c>
      <c r="G309" s="8">
        <f t="shared" si="31"/>
        <v>5</v>
      </c>
      <c r="H309" s="8" t="str">
        <f t="shared" si="35"/>
        <v>镰刀</v>
      </c>
      <c r="I309" s="8" t="e">
        <f ca="1">"["&amp;INT(getMinDes(B309))&amp;"-"&amp;INT(getMaxDes(B309))&amp;"]"&amp;getDesName(B309)&amp;" "&amp;getRandomNatureDes(K309)&amp;getSuitDes(B309)</f>
        <v>#VALUE!</v>
      </c>
      <c r="J309" s="1">
        <v>0</v>
      </c>
      <c r="K309" s="1">
        <v>4</v>
      </c>
      <c r="L309" s="1">
        <f t="shared" si="36"/>
        <v>1</v>
      </c>
      <c r="M309" s="1" t="str">
        <f ca="1">mVlookup(E309&amp;L309,装备名称!J$43:Z$74,H309,FALSE)</f>
        <v>IC1701</v>
      </c>
      <c r="N309" s="1" t="str">
        <f t="shared" si="32"/>
        <v>51</v>
      </c>
      <c r="O309" s="1">
        <f t="shared" si="33"/>
        <v>200307</v>
      </c>
    </row>
    <row r="310" spans="1:15" x14ac:dyDescent="0.15">
      <c r="A310" s="1">
        <v>308</v>
      </c>
      <c r="B310" s="1">
        <f t="shared" si="30"/>
        <v>103020500</v>
      </c>
      <c r="C310" s="1" t="str">
        <f t="shared" ca="1" si="37"/>
        <v>卢卡镰刀</v>
      </c>
      <c r="D310" s="1" t="s">
        <v>427</v>
      </c>
      <c r="E310" s="1">
        <v>3</v>
      </c>
      <c r="F310" s="1">
        <f t="shared" si="34"/>
        <v>1</v>
      </c>
      <c r="G310" s="8">
        <f t="shared" si="31"/>
        <v>5</v>
      </c>
      <c r="H310" s="8" t="str">
        <f t="shared" si="35"/>
        <v>镰刀</v>
      </c>
      <c r="I310" s="8" t="e">
        <f ca="1">"["&amp;INT(getMinDes(B310))&amp;"-"&amp;INT(getMaxDes(B310))&amp;"]"&amp;getDesName(B310)&amp;" "&amp;getRandomNatureDes(K310)&amp;getSuitDes(B310)</f>
        <v>#VALUE!</v>
      </c>
      <c r="J310" s="1">
        <v>0</v>
      </c>
      <c r="K310" s="1">
        <v>4</v>
      </c>
      <c r="L310" s="1">
        <f t="shared" si="36"/>
        <v>2</v>
      </c>
      <c r="M310" s="1" t="str">
        <f ca="1">mVlookup(E310&amp;L310,装备名称!J$43:Z$74,H310,FALSE)</f>
        <v>IC1715</v>
      </c>
      <c r="N310" s="1" t="str">
        <f t="shared" si="32"/>
        <v>52</v>
      </c>
      <c r="O310" s="1">
        <f t="shared" si="33"/>
        <v>200308</v>
      </c>
    </row>
    <row r="311" spans="1:15" x14ac:dyDescent="0.15">
      <c r="A311" s="1">
        <v>309</v>
      </c>
      <c r="B311" s="1">
        <f t="shared" si="30"/>
        <v>103030500</v>
      </c>
      <c r="C311" s="1" t="str">
        <f t="shared" ca="1" si="37"/>
        <v>坎珀镰刀</v>
      </c>
      <c r="D311" s="1" t="s">
        <v>427</v>
      </c>
      <c r="E311" s="1">
        <v>3</v>
      </c>
      <c r="F311" s="1">
        <f t="shared" si="34"/>
        <v>1</v>
      </c>
      <c r="G311" s="8">
        <f t="shared" si="31"/>
        <v>5</v>
      </c>
      <c r="H311" s="8" t="str">
        <f t="shared" si="35"/>
        <v>镰刀</v>
      </c>
      <c r="I311" s="8" t="e">
        <f ca="1">"["&amp;INT(getMinDes(B311))&amp;"-"&amp;INT(getMaxDes(B311))&amp;"]"&amp;getDesName(B311)&amp;" "&amp;getRandomNatureDes(K311)&amp;getSuitDes(B311)</f>
        <v>#VALUE!</v>
      </c>
      <c r="J311" s="1">
        <v>0</v>
      </c>
      <c r="K311" s="1">
        <v>4</v>
      </c>
      <c r="L311" s="1">
        <f t="shared" si="36"/>
        <v>3</v>
      </c>
      <c r="M311" s="1" t="str">
        <f ca="1">mVlookup(E311&amp;L311,装备名称!J$43:Z$74,H311,FALSE)</f>
        <v>IC1716</v>
      </c>
      <c r="N311" s="1" t="str">
        <f t="shared" si="32"/>
        <v>53</v>
      </c>
      <c r="O311" s="1">
        <f t="shared" si="33"/>
        <v>200309</v>
      </c>
    </row>
    <row r="312" spans="1:15" x14ac:dyDescent="0.15">
      <c r="A312" s="1">
        <v>310</v>
      </c>
      <c r="B312" s="1">
        <f t="shared" si="30"/>
        <v>103040500</v>
      </c>
      <c r="C312" s="1" t="str">
        <f t="shared" ca="1" si="37"/>
        <v>费恩镰刀</v>
      </c>
      <c r="D312" s="1" t="s">
        <v>427</v>
      </c>
      <c r="E312" s="1">
        <v>3</v>
      </c>
      <c r="F312" s="1">
        <f t="shared" si="34"/>
        <v>1</v>
      </c>
      <c r="G312" s="8">
        <f t="shared" si="31"/>
        <v>5</v>
      </c>
      <c r="H312" s="8" t="str">
        <f t="shared" si="35"/>
        <v>镰刀</v>
      </c>
      <c r="I312" s="8" t="e">
        <f ca="1">"["&amp;INT(getMinDes(B312))&amp;"-"&amp;INT(getMaxDes(B312))&amp;"]"&amp;getDesName(B312)&amp;" "&amp;getRandomNatureDes(K312)&amp;getSuitDes(B312)</f>
        <v>#VALUE!</v>
      </c>
      <c r="J312" s="1">
        <v>0</v>
      </c>
      <c r="K312" s="1">
        <v>4</v>
      </c>
      <c r="L312" s="1">
        <f t="shared" si="36"/>
        <v>4</v>
      </c>
      <c r="M312" s="1" t="str">
        <f ca="1">mVlookup(E312&amp;L312,装备名称!J$43:Z$74,H312,FALSE)</f>
        <v>IC1717</v>
      </c>
      <c r="N312" s="1" t="str">
        <f t="shared" si="32"/>
        <v>54</v>
      </c>
      <c r="O312" s="1">
        <f t="shared" si="33"/>
        <v>200310</v>
      </c>
    </row>
    <row r="313" spans="1:15" x14ac:dyDescent="0.15">
      <c r="A313" s="1">
        <v>311</v>
      </c>
      <c r="B313" s="1">
        <f t="shared" si="30"/>
        <v>103050500</v>
      </c>
      <c r="C313" s="1" t="str">
        <f t="shared" ca="1" si="37"/>
        <v>迪马斯镰刀</v>
      </c>
      <c r="D313" s="1" t="s">
        <v>427</v>
      </c>
      <c r="E313" s="1">
        <v>3</v>
      </c>
      <c r="F313" s="1">
        <f t="shared" si="34"/>
        <v>1</v>
      </c>
      <c r="G313" s="8">
        <f t="shared" si="31"/>
        <v>5</v>
      </c>
      <c r="H313" s="8" t="str">
        <f t="shared" si="35"/>
        <v>镰刀</v>
      </c>
      <c r="I313" s="8" t="e">
        <f ca="1">"["&amp;INT(getMinDes(B313))&amp;"-"&amp;INT(getMaxDes(B313))&amp;"]"&amp;getDesName(B313)&amp;" "&amp;getRandomNatureDes(K313)&amp;getSuitDes(B313)</f>
        <v>#VALUE!</v>
      </c>
      <c r="J313" s="1">
        <v>0</v>
      </c>
      <c r="K313" s="1">
        <v>4</v>
      </c>
      <c r="L313" s="1">
        <f t="shared" si="36"/>
        <v>5</v>
      </c>
      <c r="M313" s="1" t="str">
        <f ca="1">mVlookup(E313&amp;L313,装备名称!J$43:Z$74,H313,FALSE)</f>
        <v>IC1718</v>
      </c>
      <c r="N313" s="1" t="str">
        <f t="shared" si="32"/>
        <v>55</v>
      </c>
      <c r="O313" s="1">
        <f t="shared" si="33"/>
        <v>200311</v>
      </c>
    </row>
    <row r="314" spans="1:15" x14ac:dyDescent="0.15">
      <c r="A314" s="1">
        <v>312</v>
      </c>
      <c r="B314" s="1">
        <f t="shared" si="30"/>
        <v>103060500</v>
      </c>
      <c r="C314" s="1" t="str">
        <f t="shared" ca="1" si="37"/>
        <v>酒神镰刀</v>
      </c>
      <c r="D314" s="1" t="s">
        <v>427</v>
      </c>
      <c r="E314" s="1">
        <v>3</v>
      </c>
      <c r="F314" s="1">
        <f t="shared" si="34"/>
        <v>1</v>
      </c>
      <c r="G314" s="8">
        <f t="shared" si="31"/>
        <v>5</v>
      </c>
      <c r="H314" s="8" t="str">
        <f t="shared" si="35"/>
        <v>镰刀</v>
      </c>
      <c r="I314" s="8" t="e">
        <f ca="1">"["&amp;INT(getMinDes(B314))&amp;"-"&amp;INT(getMaxDes(B314))&amp;"]"&amp;getDesName(B314)&amp;" "&amp;getRandomNatureDes(K314)&amp;getSuitDes(B314)</f>
        <v>#VALUE!</v>
      </c>
      <c r="J314" s="1">
        <v>0</v>
      </c>
      <c r="K314" s="1">
        <v>4</v>
      </c>
      <c r="L314" s="1">
        <f t="shared" si="36"/>
        <v>6</v>
      </c>
      <c r="M314" s="1" t="str">
        <f ca="1">mVlookup(E314&amp;L314,装备名称!J$43:Z$74,H314,FALSE)</f>
        <v>IC1701</v>
      </c>
      <c r="N314" s="1" t="str">
        <f t="shared" si="32"/>
        <v>56</v>
      </c>
      <c r="O314" s="1">
        <f t="shared" si="33"/>
        <v>200312</v>
      </c>
    </row>
    <row r="315" spans="1:15" x14ac:dyDescent="0.15">
      <c r="A315" s="1">
        <v>313</v>
      </c>
      <c r="B315" s="1">
        <f t="shared" si="30"/>
        <v>103070500</v>
      </c>
      <c r="C315" s="1" t="str">
        <f t="shared" ca="1" si="37"/>
        <v>缪斯镰刀</v>
      </c>
      <c r="D315" s="1" t="s">
        <v>427</v>
      </c>
      <c r="E315" s="1">
        <v>3</v>
      </c>
      <c r="F315" s="1">
        <f t="shared" si="34"/>
        <v>1</v>
      </c>
      <c r="G315" s="8">
        <f t="shared" si="31"/>
        <v>5</v>
      </c>
      <c r="H315" s="8" t="str">
        <f t="shared" si="35"/>
        <v>镰刀</v>
      </c>
      <c r="I315" s="8" t="e">
        <f ca="1">"["&amp;INT(getMinDes(B315))&amp;"-"&amp;INT(getMaxDes(B315))&amp;"]"&amp;getDesName(B315)&amp;" "&amp;getRandomNatureDes(K315)&amp;getSuitDes(B315)</f>
        <v>#VALUE!</v>
      </c>
      <c r="J315" s="1">
        <v>0</v>
      </c>
      <c r="K315" s="1">
        <v>4</v>
      </c>
      <c r="L315" s="1">
        <f t="shared" si="36"/>
        <v>7</v>
      </c>
      <c r="M315" s="1" t="str">
        <f ca="1">mVlookup(E315&amp;L315,装备名称!J$43:Z$74,H315,FALSE)</f>
        <v>IC1715</v>
      </c>
      <c r="N315" s="1" t="str">
        <f t="shared" si="32"/>
        <v>57</v>
      </c>
      <c r="O315" s="1">
        <f t="shared" si="33"/>
        <v>200313</v>
      </c>
    </row>
    <row r="316" spans="1:15" x14ac:dyDescent="0.15">
      <c r="A316" s="1">
        <v>314</v>
      </c>
      <c r="B316" s="1">
        <f t="shared" si="30"/>
        <v>103080500</v>
      </c>
      <c r="C316" s="1" t="str">
        <f t="shared" ca="1" si="37"/>
        <v>潘多拉镰刀</v>
      </c>
      <c r="D316" s="1" t="s">
        <v>427</v>
      </c>
      <c r="E316" s="1">
        <v>3</v>
      </c>
      <c r="F316" s="1">
        <f t="shared" si="34"/>
        <v>1</v>
      </c>
      <c r="G316" s="8">
        <f t="shared" si="31"/>
        <v>5</v>
      </c>
      <c r="H316" s="8" t="str">
        <f t="shared" si="35"/>
        <v>镰刀</v>
      </c>
      <c r="I316" s="8" t="e">
        <f ca="1">"["&amp;INT(getMinDes(B316))&amp;"-"&amp;INT(getMaxDes(B316))&amp;"]"&amp;getDesName(B316)&amp;" "&amp;getRandomNatureDes(K316)&amp;getSuitDes(B316)</f>
        <v>#VALUE!</v>
      </c>
      <c r="J316" s="1">
        <v>0</v>
      </c>
      <c r="K316" s="1">
        <v>4</v>
      </c>
      <c r="L316" s="1">
        <f t="shared" si="36"/>
        <v>8</v>
      </c>
      <c r="M316" s="1" t="str">
        <f ca="1">mVlookup(E316&amp;L316,装备名称!J$43:Z$74,H316,FALSE)</f>
        <v>IC1716</v>
      </c>
      <c r="N316" s="1" t="str">
        <f t="shared" si="32"/>
        <v>58</v>
      </c>
      <c r="O316" s="1">
        <f t="shared" si="33"/>
        <v>200314</v>
      </c>
    </row>
    <row r="317" spans="1:15" x14ac:dyDescent="0.15">
      <c r="A317" s="1">
        <v>315</v>
      </c>
      <c r="B317" s="1">
        <f t="shared" si="30"/>
        <v>103090500</v>
      </c>
      <c r="C317" s="1" t="str">
        <f t="shared" ca="1" si="37"/>
        <v>塔罗斯镰刀</v>
      </c>
      <c r="D317" s="1" t="s">
        <v>427</v>
      </c>
      <c r="E317" s="1">
        <v>3</v>
      </c>
      <c r="F317" s="1">
        <f t="shared" si="34"/>
        <v>1</v>
      </c>
      <c r="G317" s="8">
        <f t="shared" si="31"/>
        <v>5</v>
      </c>
      <c r="H317" s="8" t="str">
        <f t="shared" si="35"/>
        <v>镰刀</v>
      </c>
      <c r="I317" s="8" t="e">
        <f ca="1">"["&amp;INT(getMinDes(B317))&amp;"-"&amp;INT(getMaxDes(B317))&amp;"]"&amp;getDesName(B317)&amp;" "&amp;getRandomNatureDes(K317)&amp;getSuitDes(B317)</f>
        <v>#VALUE!</v>
      </c>
      <c r="J317" s="1">
        <v>0</v>
      </c>
      <c r="K317" s="1">
        <v>4</v>
      </c>
      <c r="L317" s="1">
        <f t="shared" si="36"/>
        <v>9</v>
      </c>
      <c r="M317" s="1" t="str">
        <f ca="1">mVlookup(E317&amp;L317,装备名称!J$43:Z$74,H317,FALSE)</f>
        <v>IC1717</v>
      </c>
      <c r="N317" s="1" t="str">
        <f t="shared" si="32"/>
        <v>59</v>
      </c>
      <c r="O317" s="1">
        <f t="shared" si="33"/>
        <v>200315</v>
      </c>
    </row>
    <row r="318" spans="1:15" x14ac:dyDescent="0.15">
      <c r="A318" s="1">
        <v>316</v>
      </c>
      <c r="B318" s="1">
        <f t="shared" si="30"/>
        <v>103010600</v>
      </c>
      <c r="C318" s="1" t="str">
        <f t="shared" ca="1" si="37"/>
        <v>奥丁法杖</v>
      </c>
      <c r="D318" s="1" t="s">
        <v>427</v>
      </c>
      <c r="E318" s="1">
        <v>3</v>
      </c>
      <c r="F318" s="1">
        <f t="shared" si="34"/>
        <v>1</v>
      </c>
      <c r="G318" s="8">
        <f t="shared" si="31"/>
        <v>6</v>
      </c>
      <c r="H318" s="8" t="str">
        <f t="shared" si="35"/>
        <v>法杖</v>
      </c>
      <c r="I318" s="8" t="e">
        <f ca="1">"["&amp;INT(getMinDes(B318))&amp;"-"&amp;INT(getMaxDes(B318))&amp;"]"&amp;getDesName(B318)&amp;" "&amp;getRandomNatureDes(K318)&amp;getSuitDes(B318)</f>
        <v>#VALUE!</v>
      </c>
      <c r="J318" s="1">
        <v>0</v>
      </c>
      <c r="K318" s="1">
        <v>4</v>
      </c>
      <c r="L318" s="1">
        <f t="shared" si="36"/>
        <v>1</v>
      </c>
      <c r="M318" s="1" t="str">
        <f ca="1">mVlookup(E318&amp;L318,装备名称!J$43:Z$74,H318,FALSE)</f>
        <v>IC1101</v>
      </c>
      <c r="N318" s="1" t="str">
        <f t="shared" si="32"/>
        <v>61</v>
      </c>
      <c r="O318" s="1">
        <f t="shared" si="33"/>
        <v>200316</v>
      </c>
    </row>
    <row r="319" spans="1:15" x14ac:dyDescent="0.15">
      <c r="A319" s="1">
        <v>317</v>
      </c>
      <c r="B319" s="1">
        <f t="shared" si="30"/>
        <v>103020600</v>
      </c>
      <c r="C319" s="1" t="str">
        <f t="shared" ca="1" si="37"/>
        <v>卢卡法杖</v>
      </c>
      <c r="D319" s="1" t="s">
        <v>427</v>
      </c>
      <c r="E319" s="1">
        <v>3</v>
      </c>
      <c r="F319" s="1">
        <f t="shared" si="34"/>
        <v>1</v>
      </c>
      <c r="G319" s="8">
        <f t="shared" si="31"/>
        <v>6</v>
      </c>
      <c r="H319" s="8" t="str">
        <f t="shared" si="35"/>
        <v>法杖</v>
      </c>
      <c r="I319" s="8" t="e">
        <f ca="1">"["&amp;INT(getMinDes(B319))&amp;"-"&amp;INT(getMaxDes(B319))&amp;"]"&amp;getDesName(B319)&amp;" "&amp;getRandomNatureDes(K319)&amp;getSuitDes(B319)</f>
        <v>#VALUE!</v>
      </c>
      <c r="J319" s="1">
        <v>0</v>
      </c>
      <c r="K319" s="1">
        <v>4</v>
      </c>
      <c r="L319" s="1">
        <f t="shared" si="36"/>
        <v>2</v>
      </c>
      <c r="M319" s="1" t="str">
        <f ca="1">mVlookup(E319&amp;L319,装备名称!J$43:Z$74,H319,FALSE)</f>
        <v>IC1103</v>
      </c>
      <c r="N319" s="1" t="str">
        <f t="shared" si="32"/>
        <v>62</v>
      </c>
      <c r="O319" s="1">
        <f t="shared" si="33"/>
        <v>200317</v>
      </c>
    </row>
    <row r="320" spans="1:15" x14ac:dyDescent="0.15">
      <c r="A320" s="1">
        <v>318</v>
      </c>
      <c r="B320" s="1">
        <f t="shared" si="30"/>
        <v>103030600</v>
      </c>
      <c r="C320" s="1" t="str">
        <f t="shared" ca="1" si="37"/>
        <v>坎珀法杖</v>
      </c>
      <c r="D320" s="1" t="s">
        <v>427</v>
      </c>
      <c r="E320" s="1">
        <v>3</v>
      </c>
      <c r="F320" s="1">
        <f t="shared" si="34"/>
        <v>1</v>
      </c>
      <c r="G320" s="8">
        <f t="shared" si="31"/>
        <v>6</v>
      </c>
      <c r="H320" s="8" t="str">
        <f t="shared" si="35"/>
        <v>法杖</v>
      </c>
      <c r="I320" s="8" t="e">
        <f ca="1">"["&amp;INT(getMinDes(B320))&amp;"-"&amp;INT(getMaxDes(B320))&amp;"]"&amp;getDesName(B320)&amp;" "&amp;getRandomNatureDes(K320)&amp;getSuitDes(B320)</f>
        <v>#VALUE!</v>
      </c>
      <c r="J320" s="1">
        <v>0</v>
      </c>
      <c r="K320" s="1">
        <v>4</v>
      </c>
      <c r="L320" s="1">
        <f t="shared" si="36"/>
        <v>3</v>
      </c>
      <c r="M320" s="1" t="str">
        <f ca="1">mVlookup(E320&amp;L320,装备名称!J$43:Z$74,H320,FALSE)</f>
        <v>IC1104</v>
      </c>
      <c r="N320" s="1" t="str">
        <f t="shared" si="32"/>
        <v>63</v>
      </c>
      <c r="O320" s="1">
        <f t="shared" si="33"/>
        <v>200318</v>
      </c>
    </row>
    <row r="321" spans="1:15" x14ac:dyDescent="0.15">
      <c r="A321" s="1">
        <v>319</v>
      </c>
      <c r="B321" s="1">
        <f t="shared" si="30"/>
        <v>103040600</v>
      </c>
      <c r="C321" s="1" t="str">
        <f t="shared" ca="1" si="37"/>
        <v>费恩权杖</v>
      </c>
      <c r="D321" s="1" t="s">
        <v>427</v>
      </c>
      <c r="E321" s="1">
        <v>3</v>
      </c>
      <c r="F321" s="1">
        <f t="shared" si="34"/>
        <v>1</v>
      </c>
      <c r="G321" s="8">
        <f t="shared" si="31"/>
        <v>6</v>
      </c>
      <c r="H321" s="8" t="str">
        <f t="shared" si="35"/>
        <v>法杖</v>
      </c>
      <c r="I321" s="8" t="e">
        <f ca="1">"["&amp;INT(getMinDes(B321))&amp;"-"&amp;INT(getMaxDes(B321))&amp;"]"&amp;getDesName(B321)&amp;" "&amp;getRandomNatureDes(K321)&amp;getSuitDes(B321)</f>
        <v>#VALUE!</v>
      </c>
      <c r="J321" s="1">
        <v>0</v>
      </c>
      <c r="K321" s="1">
        <v>4</v>
      </c>
      <c r="L321" s="1">
        <f t="shared" si="36"/>
        <v>4</v>
      </c>
      <c r="M321" s="1" t="str">
        <f ca="1">mVlookup(E321&amp;L321,装备名称!J$43:Z$74,H321,FALSE)</f>
        <v>IC1106</v>
      </c>
      <c r="N321" s="1" t="str">
        <f t="shared" si="32"/>
        <v>64</v>
      </c>
      <c r="O321" s="1">
        <f t="shared" si="33"/>
        <v>200319</v>
      </c>
    </row>
    <row r="322" spans="1:15" x14ac:dyDescent="0.15">
      <c r="A322" s="1">
        <v>320</v>
      </c>
      <c r="B322" s="1">
        <f t="shared" si="30"/>
        <v>103050600</v>
      </c>
      <c r="C322" s="1" t="str">
        <f t="shared" ca="1" si="37"/>
        <v>迪马斯法杖</v>
      </c>
      <c r="D322" s="1" t="s">
        <v>427</v>
      </c>
      <c r="E322" s="1">
        <v>3</v>
      </c>
      <c r="F322" s="1">
        <f t="shared" si="34"/>
        <v>1</v>
      </c>
      <c r="G322" s="8">
        <f t="shared" si="31"/>
        <v>6</v>
      </c>
      <c r="H322" s="8" t="str">
        <f t="shared" si="35"/>
        <v>法杖</v>
      </c>
      <c r="I322" s="8" t="e">
        <f ca="1">"["&amp;INT(getMinDes(B322))&amp;"-"&amp;INT(getMaxDes(B322))&amp;"]"&amp;getDesName(B322)&amp;" "&amp;getRandomNatureDes(K322)&amp;getSuitDes(B322)</f>
        <v>#VALUE!</v>
      </c>
      <c r="J322" s="1">
        <v>0</v>
      </c>
      <c r="K322" s="1">
        <v>4</v>
      </c>
      <c r="L322" s="1">
        <f t="shared" si="36"/>
        <v>5</v>
      </c>
      <c r="M322" s="1" t="str">
        <f ca="1">mVlookup(E322&amp;L322,装备名称!J$43:Z$74,H322,FALSE)</f>
        <v>IC1113</v>
      </c>
      <c r="N322" s="1" t="str">
        <f t="shared" si="32"/>
        <v>65</v>
      </c>
      <c r="O322" s="1">
        <f t="shared" si="33"/>
        <v>200320</v>
      </c>
    </row>
    <row r="323" spans="1:15" s="40" customFormat="1" x14ac:dyDescent="0.15">
      <c r="A323" s="1">
        <v>321</v>
      </c>
      <c r="B323" s="1">
        <f t="shared" si="30"/>
        <v>103060600</v>
      </c>
      <c r="C323" s="40" t="str">
        <f t="shared" ca="1" si="37"/>
        <v>酒神法杖</v>
      </c>
      <c r="D323" s="40" t="s">
        <v>427</v>
      </c>
      <c r="E323" s="40">
        <v>3</v>
      </c>
      <c r="F323" s="40">
        <f t="shared" si="34"/>
        <v>1</v>
      </c>
      <c r="G323" s="41">
        <f t="shared" si="31"/>
        <v>6</v>
      </c>
      <c r="H323" s="41" t="str">
        <f t="shared" si="35"/>
        <v>法杖</v>
      </c>
      <c r="I323" s="8" t="e">
        <f ca="1">"["&amp;INT(getMinDes(B323))&amp;"-"&amp;INT(getMaxDes(B323))&amp;"]"&amp;getDesName(B323)&amp;" "&amp;getRandomNatureDes(K323)&amp;getSuitDes(B323)</f>
        <v>#VALUE!</v>
      </c>
      <c r="J323" s="40">
        <v>0</v>
      </c>
      <c r="K323" s="40">
        <v>4</v>
      </c>
      <c r="L323" s="40">
        <f t="shared" si="36"/>
        <v>6</v>
      </c>
      <c r="M323" s="1" t="str">
        <f ca="1">mVlookup(E323&amp;L323,装备名称!J$43:Z$74,H323,FALSE)</f>
        <v>IC1118</v>
      </c>
      <c r="N323" s="1" t="str">
        <f t="shared" si="32"/>
        <v>66</v>
      </c>
      <c r="O323" s="1">
        <f t="shared" si="33"/>
        <v>200321</v>
      </c>
    </row>
    <row r="324" spans="1:15" x14ac:dyDescent="0.15">
      <c r="A324" s="1">
        <v>322</v>
      </c>
      <c r="B324" s="1">
        <f t="shared" ref="B324:B387" si="38">F324*100000000+E324*1000000+L324*10000+G324*100+J324</f>
        <v>103070600</v>
      </c>
      <c r="C324" s="1" t="str">
        <f t="shared" ca="1" si="37"/>
        <v>缪斯法杖</v>
      </c>
      <c r="D324" s="1" t="s">
        <v>427</v>
      </c>
      <c r="E324" s="1">
        <v>3</v>
      </c>
      <c r="F324" s="1">
        <f t="shared" si="34"/>
        <v>1</v>
      </c>
      <c r="G324" s="8">
        <f t="shared" ref="G324:G387" si="39">VLOOKUP(H324,S$12:T$26,2,FALSE)</f>
        <v>6</v>
      </c>
      <c r="H324" s="8" t="str">
        <f t="shared" si="35"/>
        <v>法杖</v>
      </c>
      <c r="I324" s="8" t="e">
        <f ca="1">"["&amp;INT(getMinDes(B324))&amp;"-"&amp;INT(getMaxDes(B324))&amp;"]"&amp;getDesName(B324)&amp;" "&amp;getRandomNatureDes(K324)&amp;getSuitDes(B324)</f>
        <v>#VALUE!</v>
      </c>
      <c r="J324" s="1">
        <v>0</v>
      </c>
      <c r="K324" s="1">
        <v>4</v>
      </c>
      <c r="L324" s="1">
        <f t="shared" si="36"/>
        <v>7</v>
      </c>
      <c r="M324" s="1" t="str">
        <f ca="1">mVlookup(E324&amp;L324,装备名称!J$43:Z$74,H324,FALSE)</f>
        <v>IC1129</v>
      </c>
      <c r="N324" s="1" t="str">
        <f t="shared" ref="N324:N387" si="40">G324&amp;L324</f>
        <v>67</v>
      </c>
      <c r="O324" s="1">
        <f t="shared" si="33"/>
        <v>200322</v>
      </c>
    </row>
    <row r="325" spans="1:15" x14ac:dyDescent="0.15">
      <c r="A325" s="1">
        <v>323</v>
      </c>
      <c r="B325" s="1">
        <f t="shared" si="38"/>
        <v>103080600</v>
      </c>
      <c r="C325" s="1" t="str">
        <f t="shared" ca="1" si="37"/>
        <v>潘多拉法杖</v>
      </c>
      <c r="D325" s="1" t="s">
        <v>427</v>
      </c>
      <c r="E325" s="1">
        <v>3</v>
      </c>
      <c r="F325" s="1">
        <f t="shared" si="34"/>
        <v>1</v>
      </c>
      <c r="G325" s="8">
        <f t="shared" si="39"/>
        <v>6</v>
      </c>
      <c r="H325" s="8" t="str">
        <f t="shared" si="35"/>
        <v>法杖</v>
      </c>
      <c r="I325" s="8" t="e">
        <f ca="1">"["&amp;INT(getMinDes(B325))&amp;"-"&amp;INT(getMaxDes(B325))&amp;"]"&amp;getDesName(B325)&amp;" "&amp;getRandomNatureDes(K325)&amp;getSuitDes(B325)</f>
        <v>#VALUE!</v>
      </c>
      <c r="J325" s="1">
        <v>0</v>
      </c>
      <c r="K325" s="1">
        <v>4</v>
      </c>
      <c r="L325" s="1">
        <f t="shared" si="36"/>
        <v>8</v>
      </c>
      <c r="M325" s="1" t="str">
        <f ca="1">mVlookup(E325&amp;L325,装备名称!J$43:Z$74,H325,FALSE)</f>
        <v>IC1134</v>
      </c>
      <c r="N325" s="1" t="str">
        <f t="shared" si="40"/>
        <v>68</v>
      </c>
      <c r="O325" s="1">
        <f t="shared" ref="O325:O388" si="41">O324+1</f>
        <v>200323</v>
      </c>
    </row>
    <row r="326" spans="1:15" x14ac:dyDescent="0.15">
      <c r="A326" s="1">
        <v>324</v>
      </c>
      <c r="B326" s="1">
        <f t="shared" si="38"/>
        <v>103090600</v>
      </c>
      <c r="C326" s="1" t="str">
        <f t="shared" ca="1" si="37"/>
        <v>女神法杖</v>
      </c>
      <c r="D326" s="1" t="s">
        <v>427</v>
      </c>
      <c r="E326" s="1">
        <v>3</v>
      </c>
      <c r="F326" s="1">
        <f t="shared" si="34"/>
        <v>1</v>
      </c>
      <c r="G326" s="8">
        <f t="shared" si="39"/>
        <v>6</v>
      </c>
      <c r="H326" s="8" t="str">
        <f t="shared" si="35"/>
        <v>法杖</v>
      </c>
      <c r="I326" s="8" t="e">
        <f ca="1">"["&amp;INT(getMinDes(B326))&amp;"-"&amp;INT(getMaxDes(B326))&amp;"]"&amp;getDesName(B326)&amp;" "&amp;getRandomNatureDes(K326)&amp;getSuitDes(B326)</f>
        <v>#VALUE!</v>
      </c>
      <c r="J326" s="1">
        <v>0</v>
      </c>
      <c r="K326" s="1">
        <v>4</v>
      </c>
      <c r="L326" s="1">
        <f t="shared" si="36"/>
        <v>9</v>
      </c>
      <c r="M326" s="1" t="str">
        <f ca="1">mVlookup(E326&amp;L326,装备名称!J$43:Z$74,H326,FALSE)</f>
        <v>IC1144</v>
      </c>
      <c r="N326" s="1" t="str">
        <f t="shared" si="40"/>
        <v>69</v>
      </c>
      <c r="O326" s="1">
        <f t="shared" si="41"/>
        <v>200324</v>
      </c>
    </row>
    <row r="327" spans="1:15" x14ac:dyDescent="0.15">
      <c r="A327" s="1">
        <v>325</v>
      </c>
      <c r="B327" s="1">
        <f t="shared" si="38"/>
        <v>103010700</v>
      </c>
      <c r="C327" s="1" t="str">
        <f t="shared" ca="1" si="37"/>
        <v>奥丁之弓</v>
      </c>
      <c r="D327" s="1" t="s">
        <v>427</v>
      </c>
      <c r="E327" s="1">
        <v>3</v>
      </c>
      <c r="F327" s="1">
        <f t="shared" si="34"/>
        <v>1</v>
      </c>
      <c r="G327" s="8">
        <f t="shared" si="39"/>
        <v>7</v>
      </c>
      <c r="H327" s="8" t="str">
        <f t="shared" si="35"/>
        <v>弓</v>
      </c>
      <c r="I327" s="8" t="e">
        <f ca="1">"["&amp;INT(getMinDes(B327))&amp;"-"&amp;INT(getMaxDes(B327))&amp;"]"&amp;getDesName(B327)&amp;" "&amp;getRandomNatureDes(K327)&amp;getSuitDes(B327)</f>
        <v>#VALUE!</v>
      </c>
      <c r="J327" s="1">
        <v>0</v>
      </c>
      <c r="K327" s="1">
        <v>4</v>
      </c>
      <c r="L327" s="1">
        <f t="shared" si="36"/>
        <v>1</v>
      </c>
      <c r="M327" s="1" t="str">
        <f ca="1">mVlookup(E327&amp;L327,装备名称!J$43:Z$74,H327,FALSE)</f>
        <v>IC1301</v>
      </c>
      <c r="N327" s="1" t="str">
        <f t="shared" si="40"/>
        <v>71</v>
      </c>
      <c r="O327" s="1">
        <f t="shared" si="41"/>
        <v>200325</v>
      </c>
    </row>
    <row r="328" spans="1:15" x14ac:dyDescent="0.15">
      <c r="A328" s="1">
        <v>326</v>
      </c>
      <c r="B328" s="1">
        <f t="shared" si="38"/>
        <v>103020700</v>
      </c>
      <c r="C328" s="1" t="str">
        <f t="shared" ca="1" si="37"/>
        <v>卢卡之弓</v>
      </c>
      <c r="D328" s="1" t="s">
        <v>427</v>
      </c>
      <c r="E328" s="1">
        <v>3</v>
      </c>
      <c r="F328" s="1">
        <f t="shared" si="34"/>
        <v>1</v>
      </c>
      <c r="G328" s="8">
        <f t="shared" si="39"/>
        <v>7</v>
      </c>
      <c r="H328" s="8" t="str">
        <f t="shared" si="35"/>
        <v>弓</v>
      </c>
      <c r="I328" s="8" t="e">
        <f ca="1">"["&amp;INT(getMinDes(B328))&amp;"-"&amp;INT(getMaxDes(B328))&amp;"]"&amp;getDesName(B328)&amp;" "&amp;getRandomNatureDes(K328)&amp;getSuitDes(B328)</f>
        <v>#VALUE!</v>
      </c>
      <c r="J328" s="1">
        <v>0</v>
      </c>
      <c r="K328" s="1">
        <v>4</v>
      </c>
      <c r="L328" s="1">
        <f t="shared" si="36"/>
        <v>2</v>
      </c>
      <c r="M328" s="1" t="str">
        <f ca="1">mVlookup(E328&amp;L328,装备名称!J$43:Z$74,H328,FALSE)</f>
        <v>IC1313</v>
      </c>
      <c r="N328" s="1" t="str">
        <f t="shared" si="40"/>
        <v>72</v>
      </c>
      <c r="O328" s="1">
        <f t="shared" si="41"/>
        <v>200326</v>
      </c>
    </row>
    <row r="329" spans="1:15" x14ac:dyDescent="0.15">
      <c r="A329" s="1">
        <v>327</v>
      </c>
      <c r="B329" s="1">
        <f t="shared" si="38"/>
        <v>103030700</v>
      </c>
      <c r="C329" s="1" t="str">
        <f t="shared" ca="1" si="37"/>
        <v>坎珀骨弓</v>
      </c>
      <c r="D329" s="1" t="s">
        <v>427</v>
      </c>
      <c r="E329" s="1">
        <v>3</v>
      </c>
      <c r="F329" s="1">
        <f t="shared" si="34"/>
        <v>1</v>
      </c>
      <c r="G329" s="8">
        <f t="shared" si="39"/>
        <v>7</v>
      </c>
      <c r="H329" s="8" t="str">
        <f t="shared" si="35"/>
        <v>弓</v>
      </c>
      <c r="I329" s="8" t="e">
        <f ca="1">"["&amp;INT(getMinDes(B329))&amp;"-"&amp;INT(getMaxDes(B329))&amp;"]"&amp;getDesName(B329)&amp;" "&amp;getRandomNatureDes(K329)&amp;getSuitDes(B329)</f>
        <v>#VALUE!</v>
      </c>
      <c r="J329" s="1">
        <v>0</v>
      </c>
      <c r="K329" s="1">
        <v>4</v>
      </c>
      <c r="L329" s="1">
        <f t="shared" si="36"/>
        <v>3</v>
      </c>
      <c r="M329" s="1" t="str">
        <f ca="1">mVlookup(E329&amp;L329,装备名称!J$43:Z$74,H329,FALSE)</f>
        <v>IC1315</v>
      </c>
      <c r="N329" s="1" t="str">
        <f t="shared" si="40"/>
        <v>73</v>
      </c>
      <c r="O329" s="1">
        <f t="shared" si="41"/>
        <v>200327</v>
      </c>
    </row>
    <row r="330" spans="1:15" x14ac:dyDescent="0.15">
      <c r="A330" s="1">
        <v>328</v>
      </c>
      <c r="B330" s="1">
        <f t="shared" si="38"/>
        <v>103040700</v>
      </c>
      <c r="C330" s="1" t="str">
        <f t="shared" ca="1" si="37"/>
        <v>费恩骨弓</v>
      </c>
      <c r="D330" s="1" t="s">
        <v>427</v>
      </c>
      <c r="E330" s="1">
        <v>3</v>
      </c>
      <c r="F330" s="1">
        <f t="shared" si="34"/>
        <v>1</v>
      </c>
      <c r="G330" s="8">
        <f t="shared" si="39"/>
        <v>7</v>
      </c>
      <c r="H330" s="8" t="str">
        <f t="shared" si="35"/>
        <v>弓</v>
      </c>
      <c r="I330" s="8" t="e">
        <f ca="1">"["&amp;INT(getMinDes(B330))&amp;"-"&amp;INT(getMaxDes(B330))&amp;"]"&amp;getDesName(B330)&amp;" "&amp;getRandomNatureDes(K330)&amp;getSuitDes(B330)</f>
        <v>#VALUE!</v>
      </c>
      <c r="J330" s="1">
        <v>0</v>
      </c>
      <c r="K330" s="1">
        <v>4</v>
      </c>
      <c r="L330" s="1">
        <f t="shared" si="36"/>
        <v>4</v>
      </c>
      <c r="M330" s="1" t="str">
        <f ca="1">mVlookup(E330&amp;L330,装备名称!J$43:Z$74,H330,FALSE)</f>
        <v>IC1322</v>
      </c>
      <c r="N330" s="1" t="str">
        <f t="shared" si="40"/>
        <v>74</v>
      </c>
      <c r="O330" s="1">
        <f t="shared" si="41"/>
        <v>200328</v>
      </c>
    </row>
    <row r="331" spans="1:15" x14ac:dyDescent="0.15">
      <c r="A331" s="1">
        <v>329</v>
      </c>
      <c r="B331" s="1">
        <f t="shared" si="38"/>
        <v>103050700</v>
      </c>
      <c r="C331" s="1" t="str">
        <f t="shared" ca="1" si="37"/>
        <v>迪马斯硬弓</v>
      </c>
      <c r="D331" s="1" t="s">
        <v>427</v>
      </c>
      <c r="E331" s="1">
        <v>3</v>
      </c>
      <c r="F331" s="1">
        <f t="shared" ref="F331:H394" si="42">F196</f>
        <v>1</v>
      </c>
      <c r="G331" s="8">
        <f t="shared" si="39"/>
        <v>7</v>
      </c>
      <c r="H331" s="8" t="str">
        <f t="shared" si="42"/>
        <v>弓</v>
      </c>
      <c r="I331" s="8" t="e">
        <f ca="1">"["&amp;INT(getMinDes(B331))&amp;"-"&amp;INT(getMaxDes(B331))&amp;"]"&amp;getDesName(B331)&amp;" "&amp;getRandomNatureDes(K331)&amp;getSuitDes(B331)</f>
        <v>#VALUE!</v>
      </c>
      <c r="J331" s="1">
        <v>0</v>
      </c>
      <c r="K331" s="1">
        <v>4</v>
      </c>
      <c r="L331" s="1">
        <f t="shared" ref="L331:L394" si="43">L196</f>
        <v>5</v>
      </c>
      <c r="M331" s="1" t="str">
        <f ca="1">mVlookup(E331&amp;L331,装备名称!J$43:Z$74,H331,FALSE)</f>
        <v>IC1325</v>
      </c>
      <c r="N331" s="1" t="str">
        <f t="shared" si="40"/>
        <v>75</v>
      </c>
      <c r="O331" s="1">
        <f t="shared" si="41"/>
        <v>200329</v>
      </c>
    </row>
    <row r="332" spans="1:15" x14ac:dyDescent="0.15">
      <c r="A332" s="1">
        <v>330</v>
      </c>
      <c r="B332" s="1">
        <f t="shared" si="38"/>
        <v>103060700</v>
      </c>
      <c r="C332" s="1" t="str">
        <f t="shared" ca="1" si="37"/>
        <v>酒神之弓</v>
      </c>
      <c r="D332" s="1" t="s">
        <v>427</v>
      </c>
      <c r="E332" s="1">
        <v>3</v>
      </c>
      <c r="F332" s="1">
        <f t="shared" si="42"/>
        <v>1</v>
      </c>
      <c r="G332" s="8">
        <f t="shared" si="39"/>
        <v>7</v>
      </c>
      <c r="H332" s="8" t="str">
        <f t="shared" si="42"/>
        <v>弓</v>
      </c>
      <c r="I332" s="8" t="e">
        <f ca="1">"["&amp;INT(getMinDes(B332))&amp;"-"&amp;INT(getMaxDes(B332))&amp;"]"&amp;getDesName(B332)&amp;" "&amp;getRandomNatureDes(K332)&amp;getSuitDes(B332)</f>
        <v>#VALUE!</v>
      </c>
      <c r="J332" s="1">
        <v>0</v>
      </c>
      <c r="K332" s="1">
        <v>4</v>
      </c>
      <c r="L332" s="1">
        <f t="shared" si="43"/>
        <v>6</v>
      </c>
      <c r="M332" s="1" t="str">
        <f ca="1">mVlookup(E332&amp;L332,装备名称!J$43:Z$74,H332,FALSE)</f>
        <v>IC1328</v>
      </c>
      <c r="N332" s="1" t="str">
        <f t="shared" si="40"/>
        <v>76</v>
      </c>
      <c r="O332" s="1">
        <f t="shared" si="41"/>
        <v>200330</v>
      </c>
    </row>
    <row r="333" spans="1:15" x14ac:dyDescent="0.15">
      <c r="A333" s="1">
        <v>331</v>
      </c>
      <c r="B333" s="1">
        <f t="shared" si="38"/>
        <v>103070700</v>
      </c>
      <c r="C333" s="1" t="str">
        <f t="shared" ca="1" si="37"/>
        <v>缪斯弓</v>
      </c>
      <c r="D333" s="1" t="s">
        <v>427</v>
      </c>
      <c r="E333" s="1">
        <v>3</v>
      </c>
      <c r="F333" s="1">
        <f t="shared" si="42"/>
        <v>1</v>
      </c>
      <c r="G333" s="8">
        <f t="shared" si="39"/>
        <v>7</v>
      </c>
      <c r="H333" s="8" t="str">
        <f t="shared" si="42"/>
        <v>弓</v>
      </c>
      <c r="I333" s="8" t="e">
        <f ca="1">"["&amp;INT(getMinDes(B333))&amp;"-"&amp;INT(getMaxDes(B333))&amp;"]"&amp;getDesName(B333)&amp;" "&amp;getRandomNatureDes(K333)&amp;getSuitDes(B333)</f>
        <v>#VALUE!</v>
      </c>
      <c r="J333" s="1">
        <v>0</v>
      </c>
      <c r="K333" s="1">
        <v>4</v>
      </c>
      <c r="L333" s="1">
        <f t="shared" si="43"/>
        <v>7</v>
      </c>
      <c r="M333" s="1" t="str">
        <f ca="1">mVlookup(E333&amp;L333,装备名称!J$43:Z$74,H333,FALSE)</f>
        <v>IC1344</v>
      </c>
      <c r="N333" s="1" t="str">
        <f t="shared" si="40"/>
        <v>77</v>
      </c>
      <c r="O333" s="1">
        <f t="shared" si="41"/>
        <v>200331</v>
      </c>
    </row>
    <row r="334" spans="1:15" x14ac:dyDescent="0.15">
      <c r="A334" s="1">
        <v>332</v>
      </c>
      <c r="B334" s="1">
        <f t="shared" si="38"/>
        <v>103080700</v>
      </c>
      <c r="C334" s="1" t="str">
        <f t="shared" ca="1" si="37"/>
        <v>潘多拉玉弓</v>
      </c>
      <c r="D334" s="1" t="s">
        <v>427</v>
      </c>
      <c r="E334" s="1">
        <v>3</v>
      </c>
      <c r="F334" s="1">
        <f t="shared" si="42"/>
        <v>1</v>
      </c>
      <c r="G334" s="8">
        <f t="shared" si="39"/>
        <v>7</v>
      </c>
      <c r="H334" s="8" t="str">
        <f t="shared" si="42"/>
        <v>弓</v>
      </c>
      <c r="I334" s="8" t="e">
        <f ca="1">"["&amp;INT(getMinDes(B334))&amp;"-"&amp;INT(getMaxDes(B334))&amp;"]"&amp;getDesName(B334)&amp;" "&amp;getRandomNatureDes(K334)&amp;getSuitDes(B334)</f>
        <v>#VALUE!</v>
      </c>
      <c r="J334" s="1">
        <v>0</v>
      </c>
      <c r="K334" s="1">
        <v>4</v>
      </c>
      <c r="L334" s="1">
        <f t="shared" si="43"/>
        <v>8</v>
      </c>
      <c r="M334" s="1" t="str">
        <f ca="1">mVlookup(E334&amp;L334,装备名称!J$43:Z$74,H334,FALSE)</f>
        <v>IC1355</v>
      </c>
      <c r="N334" s="1" t="str">
        <f t="shared" si="40"/>
        <v>78</v>
      </c>
      <c r="O334" s="1">
        <f t="shared" si="41"/>
        <v>200332</v>
      </c>
    </row>
    <row r="335" spans="1:15" x14ac:dyDescent="0.15">
      <c r="A335" s="1">
        <v>333</v>
      </c>
      <c r="B335" s="1">
        <f t="shared" si="38"/>
        <v>103090700</v>
      </c>
      <c r="C335" s="1" t="str">
        <f t="shared" ca="1" si="37"/>
        <v>泰丽儿神弓</v>
      </c>
      <c r="D335" s="1" t="s">
        <v>427</v>
      </c>
      <c r="E335" s="1">
        <v>3</v>
      </c>
      <c r="F335" s="1">
        <f t="shared" si="42"/>
        <v>1</v>
      </c>
      <c r="G335" s="8">
        <f t="shared" si="39"/>
        <v>7</v>
      </c>
      <c r="H335" s="8" t="str">
        <f t="shared" si="42"/>
        <v>弓</v>
      </c>
      <c r="I335" s="8" t="e">
        <f ca="1">"["&amp;INT(getMinDes(B335))&amp;"-"&amp;INT(getMaxDes(B335))&amp;"]"&amp;getDesName(B335)&amp;" "&amp;getRandomNatureDes(K335)&amp;getSuitDes(B335)</f>
        <v>#VALUE!</v>
      </c>
      <c r="J335" s="1">
        <v>0</v>
      </c>
      <c r="K335" s="1">
        <v>4</v>
      </c>
      <c r="L335" s="1">
        <f t="shared" si="43"/>
        <v>9</v>
      </c>
      <c r="M335" s="1" t="str">
        <f ca="1">mVlookup(E335&amp;L335,装备名称!J$43:Z$74,H335,FALSE)</f>
        <v>IC1315</v>
      </c>
      <c r="N335" s="1" t="str">
        <f t="shared" si="40"/>
        <v>79</v>
      </c>
      <c r="O335" s="1">
        <f t="shared" si="41"/>
        <v>200333</v>
      </c>
    </row>
    <row r="336" spans="1:15" x14ac:dyDescent="0.15">
      <c r="A336" s="1">
        <v>334</v>
      </c>
      <c r="B336" s="1">
        <f t="shared" si="38"/>
        <v>103010800</v>
      </c>
      <c r="C336" s="1" t="str">
        <f t="shared" ca="1" si="37"/>
        <v>奥丁烟斗</v>
      </c>
      <c r="D336" s="1" t="s">
        <v>427</v>
      </c>
      <c r="E336" s="1">
        <v>3</v>
      </c>
      <c r="F336" s="1">
        <f t="shared" si="42"/>
        <v>1</v>
      </c>
      <c r="G336" s="8">
        <f t="shared" si="39"/>
        <v>8</v>
      </c>
      <c r="H336" s="8" t="str">
        <f t="shared" si="42"/>
        <v>烟斗</v>
      </c>
      <c r="I336" s="8" t="e">
        <f ca="1">"["&amp;INT(getMinDes(B336))&amp;"-"&amp;INT(getMaxDes(B336))&amp;"]"&amp;getDesName(B336)&amp;" "&amp;getRandomNatureDes(K336)&amp;getSuitDes(B336)</f>
        <v>#VALUE!</v>
      </c>
      <c r="J336" s="1">
        <v>0</v>
      </c>
      <c r="K336" s="1">
        <v>4</v>
      </c>
      <c r="L336" s="1">
        <f t="shared" si="43"/>
        <v>1</v>
      </c>
      <c r="M336" s="1" t="str">
        <f ca="1">mVlookup(E336&amp;L336,装备名称!J$43:Z$74,H336,FALSE)</f>
        <v>IC1113</v>
      </c>
      <c r="N336" s="1" t="str">
        <f t="shared" si="40"/>
        <v>81</v>
      </c>
      <c r="O336" s="1">
        <f t="shared" si="41"/>
        <v>200334</v>
      </c>
    </row>
    <row r="337" spans="1:15" x14ac:dyDescent="0.15">
      <c r="A337" s="1">
        <v>335</v>
      </c>
      <c r="B337" s="1">
        <f t="shared" si="38"/>
        <v>103020800</v>
      </c>
      <c r="C337" s="1" t="str">
        <f t="shared" ref="C337:C400" ca="1" si="44">mVlookup(L337,INDIRECT(D337),H337,FALSE)</f>
        <v>卢卡烟斗</v>
      </c>
      <c r="D337" s="1" t="s">
        <v>427</v>
      </c>
      <c r="E337" s="1">
        <v>3</v>
      </c>
      <c r="F337" s="1">
        <f t="shared" si="42"/>
        <v>1</v>
      </c>
      <c r="G337" s="8">
        <f t="shared" si="39"/>
        <v>8</v>
      </c>
      <c r="H337" s="8" t="str">
        <f t="shared" si="42"/>
        <v>烟斗</v>
      </c>
      <c r="I337" s="8" t="e">
        <f ca="1">"["&amp;INT(getMinDes(B337))&amp;"-"&amp;INT(getMaxDes(B337))&amp;"]"&amp;getDesName(B337)&amp;" "&amp;getRandomNatureDes(K337)&amp;getSuitDes(B337)</f>
        <v>#VALUE!</v>
      </c>
      <c r="J337" s="1">
        <v>0</v>
      </c>
      <c r="K337" s="1">
        <v>4</v>
      </c>
      <c r="L337" s="1">
        <f t="shared" si="43"/>
        <v>2</v>
      </c>
      <c r="M337" s="1" t="str">
        <f ca="1">mVlookup(E337&amp;L337,装备名称!J$43:Z$74,H337,FALSE)</f>
        <v>IC1118</v>
      </c>
      <c r="N337" s="1" t="str">
        <f t="shared" si="40"/>
        <v>82</v>
      </c>
      <c r="O337" s="1">
        <f t="shared" si="41"/>
        <v>200335</v>
      </c>
    </row>
    <row r="338" spans="1:15" x14ac:dyDescent="0.15">
      <c r="A338" s="1">
        <v>336</v>
      </c>
      <c r="B338" s="1">
        <f t="shared" si="38"/>
        <v>103030800</v>
      </c>
      <c r="C338" s="1" t="str">
        <f t="shared" ca="1" si="44"/>
        <v>坎珀烟斗</v>
      </c>
      <c r="D338" s="1" t="s">
        <v>427</v>
      </c>
      <c r="E338" s="1">
        <v>3</v>
      </c>
      <c r="F338" s="1">
        <f t="shared" si="42"/>
        <v>1</v>
      </c>
      <c r="G338" s="8">
        <f t="shared" si="39"/>
        <v>8</v>
      </c>
      <c r="H338" s="8" t="str">
        <f t="shared" si="42"/>
        <v>烟斗</v>
      </c>
      <c r="I338" s="8" t="e">
        <f ca="1">"["&amp;INT(getMinDes(B338))&amp;"-"&amp;INT(getMaxDes(B338))&amp;"]"&amp;getDesName(B338)&amp;" "&amp;getRandomNatureDes(K338)&amp;getSuitDes(B338)</f>
        <v>#VALUE!</v>
      </c>
      <c r="J338" s="1">
        <v>0</v>
      </c>
      <c r="K338" s="1">
        <v>4</v>
      </c>
      <c r="L338" s="1">
        <f t="shared" si="43"/>
        <v>3</v>
      </c>
      <c r="M338" s="1" t="str">
        <f ca="1">mVlookup(E338&amp;L338,装备名称!J$43:Z$74,H338,FALSE)</f>
        <v>IC1155</v>
      </c>
      <c r="N338" s="1" t="str">
        <f t="shared" si="40"/>
        <v>83</v>
      </c>
      <c r="O338" s="1">
        <f t="shared" si="41"/>
        <v>200336</v>
      </c>
    </row>
    <row r="339" spans="1:15" x14ac:dyDescent="0.15">
      <c r="A339" s="1">
        <v>337</v>
      </c>
      <c r="B339" s="1">
        <f t="shared" si="38"/>
        <v>103040800</v>
      </c>
      <c r="C339" s="1" t="str">
        <f t="shared" ca="1" si="44"/>
        <v>费恩烟斗</v>
      </c>
      <c r="D339" s="1" t="s">
        <v>427</v>
      </c>
      <c r="E339" s="1">
        <v>3</v>
      </c>
      <c r="F339" s="1">
        <f t="shared" si="42"/>
        <v>1</v>
      </c>
      <c r="G339" s="8">
        <f t="shared" si="39"/>
        <v>8</v>
      </c>
      <c r="H339" s="8" t="str">
        <f t="shared" si="42"/>
        <v>烟斗</v>
      </c>
      <c r="I339" s="8" t="e">
        <f ca="1">"["&amp;INT(getMinDes(B339))&amp;"-"&amp;INT(getMaxDes(B339))&amp;"]"&amp;getDesName(B339)&amp;" "&amp;getRandomNatureDes(K339)&amp;getSuitDes(B339)</f>
        <v>#VALUE!</v>
      </c>
      <c r="J339" s="1">
        <v>0</v>
      </c>
      <c r="K339" s="1">
        <v>4</v>
      </c>
      <c r="L339" s="1">
        <f t="shared" si="43"/>
        <v>4</v>
      </c>
      <c r="M339" s="1" t="str">
        <f ca="1">mVlookup(E339&amp;L339,装备名称!J$43:Z$74,H339,FALSE)</f>
        <v>IC1118</v>
      </c>
      <c r="N339" s="1" t="str">
        <f t="shared" si="40"/>
        <v>84</v>
      </c>
      <c r="O339" s="1">
        <f t="shared" si="41"/>
        <v>200337</v>
      </c>
    </row>
    <row r="340" spans="1:15" x14ac:dyDescent="0.15">
      <c r="A340" s="1">
        <v>338</v>
      </c>
      <c r="B340" s="1">
        <f t="shared" si="38"/>
        <v>103050800</v>
      </c>
      <c r="C340" s="1" t="str">
        <f t="shared" ca="1" si="44"/>
        <v>迪马斯烟斗</v>
      </c>
      <c r="D340" s="1" t="s">
        <v>427</v>
      </c>
      <c r="E340" s="1">
        <v>3</v>
      </c>
      <c r="F340" s="1">
        <f t="shared" si="42"/>
        <v>1</v>
      </c>
      <c r="G340" s="8">
        <f t="shared" si="39"/>
        <v>8</v>
      </c>
      <c r="H340" s="8" t="str">
        <f t="shared" si="42"/>
        <v>烟斗</v>
      </c>
      <c r="I340" s="8" t="e">
        <f ca="1">"["&amp;INT(getMinDes(B340))&amp;"-"&amp;INT(getMaxDes(B340))&amp;"]"&amp;getDesName(B340)&amp;" "&amp;getRandomNatureDes(K340)&amp;getSuitDes(B340)</f>
        <v>#VALUE!</v>
      </c>
      <c r="J340" s="1">
        <v>0</v>
      </c>
      <c r="K340" s="1">
        <v>4</v>
      </c>
      <c r="L340" s="1">
        <f t="shared" si="43"/>
        <v>5</v>
      </c>
      <c r="M340" s="1" t="str">
        <f ca="1">mVlookup(E340&amp;L340,装备名称!J$43:Z$74,H340,FALSE)</f>
        <v>IC1155</v>
      </c>
      <c r="N340" s="1" t="str">
        <f t="shared" si="40"/>
        <v>85</v>
      </c>
      <c r="O340" s="1">
        <f t="shared" si="41"/>
        <v>200338</v>
      </c>
    </row>
    <row r="341" spans="1:15" x14ac:dyDescent="0.15">
      <c r="A341" s="1">
        <v>339</v>
      </c>
      <c r="B341" s="1">
        <f t="shared" si="38"/>
        <v>103060800</v>
      </c>
      <c r="C341" s="1" t="str">
        <f t="shared" ca="1" si="44"/>
        <v>酒神烟斗</v>
      </c>
      <c r="D341" s="1" t="s">
        <v>427</v>
      </c>
      <c r="E341" s="1">
        <v>3</v>
      </c>
      <c r="F341" s="1">
        <f t="shared" si="42"/>
        <v>1</v>
      </c>
      <c r="G341" s="8">
        <f t="shared" si="39"/>
        <v>8</v>
      </c>
      <c r="H341" s="8" t="str">
        <f t="shared" si="42"/>
        <v>烟斗</v>
      </c>
      <c r="I341" s="8" t="e">
        <f ca="1">"["&amp;INT(getMinDes(B341))&amp;"-"&amp;INT(getMaxDes(B341))&amp;"]"&amp;getDesName(B341)&amp;" "&amp;getRandomNatureDes(K341)&amp;getSuitDes(B341)</f>
        <v>#VALUE!</v>
      </c>
      <c r="J341" s="1">
        <v>0</v>
      </c>
      <c r="K341" s="1">
        <v>4</v>
      </c>
      <c r="L341" s="1">
        <f t="shared" si="43"/>
        <v>6</v>
      </c>
      <c r="M341" s="1" t="str">
        <f ca="1">mVlookup(E341&amp;L341,装备名称!J$43:Z$74,H341,FALSE)</f>
        <v>IC1143</v>
      </c>
      <c r="N341" s="1" t="str">
        <f t="shared" si="40"/>
        <v>86</v>
      </c>
      <c r="O341" s="1">
        <f t="shared" si="41"/>
        <v>200339</v>
      </c>
    </row>
    <row r="342" spans="1:15" x14ac:dyDescent="0.15">
      <c r="A342" s="1">
        <v>340</v>
      </c>
      <c r="B342" s="1">
        <f t="shared" si="38"/>
        <v>103070800</v>
      </c>
      <c r="C342" s="1" t="str">
        <f t="shared" ca="1" si="44"/>
        <v>缪斯烟斗</v>
      </c>
      <c r="D342" s="1" t="s">
        <v>427</v>
      </c>
      <c r="E342" s="1">
        <v>3</v>
      </c>
      <c r="F342" s="1">
        <f t="shared" si="42"/>
        <v>1</v>
      </c>
      <c r="G342" s="8">
        <f t="shared" si="39"/>
        <v>8</v>
      </c>
      <c r="H342" s="8" t="str">
        <f t="shared" si="42"/>
        <v>烟斗</v>
      </c>
      <c r="I342" s="8" t="e">
        <f ca="1">"["&amp;INT(getMinDes(B342))&amp;"-"&amp;INT(getMaxDes(B342))&amp;"]"&amp;getDesName(B342)&amp;" "&amp;getRandomNatureDes(K342)&amp;getSuitDes(B342)</f>
        <v>#VALUE!</v>
      </c>
      <c r="J342" s="1">
        <v>0</v>
      </c>
      <c r="K342" s="1">
        <v>4</v>
      </c>
      <c r="L342" s="1">
        <f t="shared" si="43"/>
        <v>7</v>
      </c>
      <c r="M342" s="1" t="str">
        <f ca="1">mVlookup(E342&amp;L342,装备名称!J$43:Z$74,H342,FALSE)</f>
        <v>IC1101</v>
      </c>
      <c r="N342" s="1" t="str">
        <f t="shared" si="40"/>
        <v>87</v>
      </c>
      <c r="O342" s="1">
        <f t="shared" si="41"/>
        <v>200340</v>
      </c>
    </row>
    <row r="343" spans="1:15" x14ac:dyDescent="0.15">
      <c r="A343" s="1">
        <v>341</v>
      </c>
      <c r="B343" s="1">
        <f t="shared" si="38"/>
        <v>103080800</v>
      </c>
      <c r="C343" s="1" t="str">
        <f t="shared" ca="1" si="44"/>
        <v>潘多拉烟斗</v>
      </c>
      <c r="D343" s="1" t="s">
        <v>427</v>
      </c>
      <c r="E343" s="1">
        <v>3</v>
      </c>
      <c r="F343" s="1">
        <f t="shared" si="42"/>
        <v>1</v>
      </c>
      <c r="G343" s="8">
        <f t="shared" si="39"/>
        <v>8</v>
      </c>
      <c r="H343" s="8" t="str">
        <f t="shared" si="42"/>
        <v>烟斗</v>
      </c>
      <c r="I343" s="8" t="e">
        <f ca="1">"["&amp;INT(getMinDes(B343))&amp;"-"&amp;INT(getMaxDes(B343))&amp;"]"&amp;getDesName(B343)&amp;" "&amp;getRandomNatureDes(K343)&amp;getSuitDes(B343)</f>
        <v>#VALUE!</v>
      </c>
      <c r="J343" s="1">
        <v>0</v>
      </c>
      <c r="K343" s="1">
        <v>4</v>
      </c>
      <c r="L343" s="1">
        <f t="shared" si="43"/>
        <v>8</v>
      </c>
      <c r="M343" s="1" t="str">
        <f ca="1">mVlookup(E343&amp;L343,装备名称!J$43:Z$74,H343,FALSE)</f>
        <v>IC1106</v>
      </c>
      <c r="N343" s="1" t="str">
        <f t="shared" si="40"/>
        <v>88</v>
      </c>
      <c r="O343" s="1">
        <f t="shared" si="41"/>
        <v>200341</v>
      </c>
    </row>
    <row r="344" spans="1:15" x14ac:dyDescent="0.15">
      <c r="A344" s="1">
        <v>342</v>
      </c>
      <c r="B344" s="1">
        <f t="shared" si="38"/>
        <v>103090800</v>
      </c>
      <c r="C344" s="1" t="str">
        <f t="shared" ca="1" si="44"/>
        <v>梅西烟斗</v>
      </c>
      <c r="D344" s="1" t="s">
        <v>427</v>
      </c>
      <c r="E344" s="1">
        <v>3</v>
      </c>
      <c r="F344" s="1">
        <f t="shared" si="42"/>
        <v>1</v>
      </c>
      <c r="G344" s="8">
        <f t="shared" si="39"/>
        <v>8</v>
      </c>
      <c r="H344" s="8" t="str">
        <f t="shared" si="42"/>
        <v>烟斗</v>
      </c>
      <c r="I344" s="8" t="e">
        <f ca="1">"["&amp;INT(getMinDes(B344))&amp;"-"&amp;INT(getMaxDes(B344))&amp;"]"&amp;getDesName(B344)&amp;" "&amp;getRandomNatureDes(K344)&amp;getSuitDes(B344)</f>
        <v>#VALUE!</v>
      </c>
      <c r="J344" s="1">
        <v>0</v>
      </c>
      <c r="K344" s="1">
        <v>4</v>
      </c>
      <c r="L344" s="1">
        <f t="shared" si="43"/>
        <v>9</v>
      </c>
      <c r="M344" s="1" t="str">
        <f ca="1">mVlookup(E344&amp;L344,装备名称!J$43:Z$74,H344,FALSE)</f>
        <v>IC1104</v>
      </c>
      <c r="N344" s="1" t="str">
        <f t="shared" si="40"/>
        <v>89</v>
      </c>
      <c r="O344" s="1">
        <f t="shared" si="41"/>
        <v>200342</v>
      </c>
    </row>
    <row r="345" spans="1:15" x14ac:dyDescent="0.15">
      <c r="A345" s="1">
        <v>343</v>
      </c>
      <c r="B345" s="1">
        <f t="shared" si="38"/>
        <v>103010900</v>
      </c>
      <c r="C345" s="1" t="str">
        <f t="shared" ca="1" si="44"/>
        <v>奥丁扇子</v>
      </c>
      <c r="D345" s="1" t="s">
        <v>427</v>
      </c>
      <c r="E345" s="1">
        <v>3</v>
      </c>
      <c r="F345" s="1">
        <f t="shared" si="42"/>
        <v>1</v>
      </c>
      <c r="G345" s="8">
        <f t="shared" si="39"/>
        <v>9</v>
      </c>
      <c r="H345" s="8" t="str">
        <f t="shared" si="42"/>
        <v>扇子</v>
      </c>
      <c r="I345" s="8" t="e">
        <f ca="1">"["&amp;INT(getMinDes(B345))&amp;"-"&amp;INT(getMaxDes(B345))&amp;"]"&amp;getDesName(B345)&amp;" "&amp;getRandomNatureDes(K345)&amp;getSuitDes(B345)</f>
        <v>#VALUE!</v>
      </c>
      <c r="J345" s="1">
        <v>0</v>
      </c>
      <c r="K345" s="1">
        <v>4</v>
      </c>
      <c r="L345" s="1">
        <f t="shared" si="43"/>
        <v>1</v>
      </c>
      <c r="M345" s="1" t="str">
        <f ca="1">mVlookup(E345&amp;L345,装备名称!J$43:Z$74,H345,FALSE)</f>
        <v>IC1838</v>
      </c>
      <c r="N345" s="1" t="str">
        <f t="shared" si="40"/>
        <v>91</v>
      </c>
      <c r="O345" s="1">
        <f t="shared" si="41"/>
        <v>200343</v>
      </c>
    </row>
    <row r="346" spans="1:15" x14ac:dyDescent="0.15">
      <c r="A346" s="1">
        <v>344</v>
      </c>
      <c r="B346" s="1">
        <f t="shared" si="38"/>
        <v>103020900</v>
      </c>
      <c r="C346" s="1" t="str">
        <f t="shared" ca="1" si="44"/>
        <v>卢卡扇子</v>
      </c>
      <c r="D346" s="1" t="s">
        <v>427</v>
      </c>
      <c r="E346" s="1">
        <v>3</v>
      </c>
      <c r="F346" s="1">
        <f t="shared" si="42"/>
        <v>1</v>
      </c>
      <c r="G346" s="8">
        <f t="shared" si="39"/>
        <v>9</v>
      </c>
      <c r="H346" s="8" t="str">
        <f t="shared" si="42"/>
        <v>扇子</v>
      </c>
      <c r="I346" s="8" t="e">
        <f ca="1">"["&amp;INT(getMinDes(B346))&amp;"-"&amp;INT(getMaxDes(B346))&amp;"]"&amp;getDesName(B346)&amp;" "&amp;getRandomNatureDes(K346)&amp;getSuitDes(B346)</f>
        <v>#VALUE!</v>
      </c>
      <c r="J346" s="1">
        <v>0</v>
      </c>
      <c r="K346" s="1">
        <v>4</v>
      </c>
      <c r="L346" s="1">
        <f t="shared" si="43"/>
        <v>2</v>
      </c>
      <c r="M346" s="1" t="str">
        <f ca="1">mVlookup(E346&amp;L346,装备名称!J$43:Z$74,H346,FALSE)</f>
        <v>IC1839</v>
      </c>
      <c r="N346" s="1" t="str">
        <f t="shared" si="40"/>
        <v>92</v>
      </c>
      <c r="O346" s="1">
        <f t="shared" si="41"/>
        <v>200344</v>
      </c>
    </row>
    <row r="347" spans="1:15" x14ac:dyDescent="0.15">
      <c r="A347" s="1">
        <v>345</v>
      </c>
      <c r="B347" s="1">
        <f t="shared" si="38"/>
        <v>103030900</v>
      </c>
      <c r="C347" s="1" t="str">
        <f t="shared" ca="1" si="44"/>
        <v>坎珀扇子</v>
      </c>
      <c r="D347" s="1" t="s">
        <v>427</v>
      </c>
      <c r="E347" s="1">
        <v>3</v>
      </c>
      <c r="F347" s="1">
        <f t="shared" si="42"/>
        <v>1</v>
      </c>
      <c r="G347" s="8">
        <f t="shared" si="39"/>
        <v>9</v>
      </c>
      <c r="H347" s="8" t="str">
        <f t="shared" si="42"/>
        <v>扇子</v>
      </c>
      <c r="I347" s="8" t="e">
        <f ca="1">"["&amp;INT(getMinDes(B347))&amp;"-"&amp;INT(getMaxDes(B347))&amp;"]"&amp;getDesName(B347)&amp;" "&amp;getRandomNatureDes(K347)&amp;getSuitDes(B347)</f>
        <v>#VALUE!</v>
      </c>
      <c r="J347" s="1">
        <v>0</v>
      </c>
      <c r="K347" s="1">
        <v>4</v>
      </c>
      <c r="L347" s="1">
        <f t="shared" si="43"/>
        <v>3</v>
      </c>
      <c r="M347" s="1" t="str">
        <f ca="1">mVlookup(E347&amp;L347,装备名称!J$43:Z$74,H347,FALSE)</f>
        <v>IC1840</v>
      </c>
      <c r="N347" s="1" t="str">
        <f t="shared" si="40"/>
        <v>93</v>
      </c>
      <c r="O347" s="1">
        <f t="shared" si="41"/>
        <v>200345</v>
      </c>
    </row>
    <row r="348" spans="1:15" x14ac:dyDescent="0.15">
      <c r="A348" s="1">
        <v>346</v>
      </c>
      <c r="B348" s="1">
        <f t="shared" si="38"/>
        <v>103040900</v>
      </c>
      <c r="C348" s="1" t="str">
        <f t="shared" ca="1" si="44"/>
        <v>费恩扇子</v>
      </c>
      <c r="D348" s="1" t="s">
        <v>427</v>
      </c>
      <c r="E348" s="1">
        <v>3</v>
      </c>
      <c r="F348" s="1">
        <f t="shared" si="42"/>
        <v>1</v>
      </c>
      <c r="G348" s="8">
        <f t="shared" si="39"/>
        <v>9</v>
      </c>
      <c r="H348" s="8" t="str">
        <f t="shared" si="42"/>
        <v>扇子</v>
      </c>
      <c r="I348" s="8" t="e">
        <f ca="1">"["&amp;INT(getMinDes(B348))&amp;"-"&amp;INT(getMaxDes(B348))&amp;"]"&amp;getDesName(B348)&amp;" "&amp;getRandomNatureDes(K348)&amp;getSuitDes(B348)</f>
        <v>#VALUE!</v>
      </c>
      <c r="J348" s="1">
        <v>0</v>
      </c>
      <c r="K348" s="1">
        <v>4</v>
      </c>
      <c r="L348" s="1">
        <f t="shared" si="43"/>
        <v>4</v>
      </c>
      <c r="M348" s="1" t="str">
        <f ca="1">mVlookup(E348&amp;L348,装备名称!J$43:Z$74,H348,FALSE)</f>
        <v>IC1838</v>
      </c>
      <c r="N348" s="1" t="str">
        <f t="shared" si="40"/>
        <v>94</v>
      </c>
      <c r="O348" s="1">
        <f t="shared" si="41"/>
        <v>200346</v>
      </c>
    </row>
    <row r="349" spans="1:15" x14ac:dyDescent="0.15">
      <c r="A349" s="1">
        <v>347</v>
      </c>
      <c r="B349" s="1">
        <f t="shared" si="38"/>
        <v>103050900</v>
      </c>
      <c r="C349" s="1" t="str">
        <f t="shared" ca="1" si="44"/>
        <v>迪马斯扇子</v>
      </c>
      <c r="D349" s="1" t="s">
        <v>427</v>
      </c>
      <c r="E349" s="1">
        <v>3</v>
      </c>
      <c r="F349" s="1">
        <f t="shared" si="42"/>
        <v>1</v>
      </c>
      <c r="G349" s="8">
        <f t="shared" si="39"/>
        <v>9</v>
      </c>
      <c r="H349" s="8" t="str">
        <f t="shared" si="42"/>
        <v>扇子</v>
      </c>
      <c r="I349" s="8" t="e">
        <f ca="1">"["&amp;INT(getMinDes(B349))&amp;"-"&amp;INT(getMaxDes(B349))&amp;"]"&amp;getDesName(B349)&amp;" "&amp;getRandomNatureDes(K349)&amp;getSuitDes(B349)</f>
        <v>#VALUE!</v>
      </c>
      <c r="J349" s="1">
        <v>0</v>
      </c>
      <c r="K349" s="1">
        <v>4</v>
      </c>
      <c r="L349" s="1">
        <f t="shared" si="43"/>
        <v>5</v>
      </c>
      <c r="M349" s="1" t="str">
        <f ca="1">mVlookup(E349&amp;L349,装备名称!J$43:Z$74,H349,FALSE)</f>
        <v>IC1839</v>
      </c>
      <c r="N349" s="1" t="str">
        <f t="shared" si="40"/>
        <v>95</v>
      </c>
      <c r="O349" s="1">
        <f t="shared" si="41"/>
        <v>200347</v>
      </c>
    </row>
    <row r="350" spans="1:15" x14ac:dyDescent="0.15">
      <c r="A350" s="1">
        <v>348</v>
      </c>
      <c r="B350" s="1">
        <f t="shared" si="38"/>
        <v>103060900</v>
      </c>
      <c r="C350" s="1" t="str">
        <f t="shared" ca="1" si="44"/>
        <v>酒神扇子</v>
      </c>
      <c r="D350" s="1" t="s">
        <v>427</v>
      </c>
      <c r="E350" s="1">
        <v>3</v>
      </c>
      <c r="F350" s="1">
        <f t="shared" si="42"/>
        <v>1</v>
      </c>
      <c r="G350" s="8">
        <f t="shared" si="39"/>
        <v>9</v>
      </c>
      <c r="H350" s="8" t="str">
        <f t="shared" si="42"/>
        <v>扇子</v>
      </c>
      <c r="I350" s="8" t="e">
        <f ca="1">"["&amp;INT(getMinDes(B350))&amp;"-"&amp;INT(getMaxDes(B350))&amp;"]"&amp;getDesName(B350)&amp;" "&amp;getRandomNatureDes(K350)&amp;getSuitDes(B350)</f>
        <v>#VALUE!</v>
      </c>
      <c r="J350" s="1">
        <v>0</v>
      </c>
      <c r="K350" s="1">
        <v>4</v>
      </c>
      <c r="L350" s="1">
        <f t="shared" si="43"/>
        <v>6</v>
      </c>
      <c r="M350" s="1" t="str">
        <f ca="1">mVlookup(E350&amp;L350,装备名称!J$43:Z$74,H350,FALSE)</f>
        <v>IC1838</v>
      </c>
      <c r="N350" s="1" t="str">
        <f t="shared" si="40"/>
        <v>96</v>
      </c>
      <c r="O350" s="1">
        <f t="shared" si="41"/>
        <v>200348</v>
      </c>
    </row>
    <row r="351" spans="1:15" x14ac:dyDescent="0.15">
      <c r="A351" s="1">
        <v>349</v>
      </c>
      <c r="B351" s="1">
        <f t="shared" si="38"/>
        <v>103070900</v>
      </c>
      <c r="C351" s="1" t="str">
        <f t="shared" ca="1" si="44"/>
        <v>缪斯扇子</v>
      </c>
      <c r="D351" s="1" t="s">
        <v>427</v>
      </c>
      <c r="E351" s="1">
        <v>3</v>
      </c>
      <c r="F351" s="1">
        <f t="shared" si="42"/>
        <v>1</v>
      </c>
      <c r="G351" s="8">
        <f t="shared" si="39"/>
        <v>9</v>
      </c>
      <c r="H351" s="8" t="str">
        <f t="shared" si="42"/>
        <v>扇子</v>
      </c>
      <c r="I351" s="8" t="e">
        <f ca="1">"["&amp;INT(getMinDes(B351))&amp;"-"&amp;INT(getMaxDes(B351))&amp;"]"&amp;getDesName(B351)&amp;" "&amp;getRandomNatureDes(K351)&amp;getSuitDes(B351)</f>
        <v>#VALUE!</v>
      </c>
      <c r="J351" s="1">
        <v>0</v>
      </c>
      <c r="K351" s="1">
        <v>4</v>
      </c>
      <c r="L351" s="1">
        <f t="shared" si="43"/>
        <v>7</v>
      </c>
      <c r="M351" s="1" t="str">
        <f ca="1">mVlookup(E351&amp;L351,装备名称!J$43:Z$74,H351,FALSE)</f>
        <v>IC1836</v>
      </c>
      <c r="N351" s="1" t="str">
        <f t="shared" si="40"/>
        <v>97</v>
      </c>
      <c r="O351" s="1">
        <f t="shared" si="41"/>
        <v>200349</v>
      </c>
    </row>
    <row r="352" spans="1:15" x14ac:dyDescent="0.15">
      <c r="A352" s="1">
        <v>350</v>
      </c>
      <c r="B352" s="1">
        <f t="shared" si="38"/>
        <v>103080900</v>
      </c>
      <c r="C352" s="1" t="str">
        <f t="shared" ca="1" si="44"/>
        <v>潘多拉扇子</v>
      </c>
      <c r="D352" s="1" t="s">
        <v>427</v>
      </c>
      <c r="E352" s="1">
        <v>3</v>
      </c>
      <c r="F352" s="1">
        <f t="shared" si="42"/>
        <v>1</v>
      </c>
      <c r="G352" s="8">
        <f t="shared" si="39"/>
        <v>9</v>
      </c>
      <c r="H352" s="8" t="str">
        <f t="shared" si="42"/>
        <v>扇子</v>
      </c>
      <c r="I352" s="8" t="e">
        <f ca="1">"["&amp;INT(getMinDes(B352))&amp;"-"&amp;INT(getMaxDes(B352))&amp;"]"&amp;getDesName(B352)&amp;" "&amp;getRandomNatureDes(K352)&amp;getSuitDes(B352)</f>
        <v>#VALUE!</v>
      </c>
      <c r="J352" s="1">
        <v>0</v>
      </c>
      <c r="K352" s="1">
        <v>4</v>
      </c>
      <c r="L352" s="1">
        <f t="shared" si="43"/>
        <v>8</v>
      </c>
      <c r="M352" s="1" t="str">
        <f ca="1">mVlookup(E352&amp;L352,装备名称!J$43:Z$74,H352,FALSE)</f>
        <v>IC1838</v>
      </c>
      <c r="N352" s="1" t="str">
        <f t="shared" si="40"/>
        <v>98</v>
      </c>
      <c r="O352" s="1">
        <f t="shared" si="41"/>
        <v>200350</v>
      </c>
    </row>
    <row r="353" spans="1:15" x14ac:dyDescent="0.15">
      <c r="A353" s="1">
        <v>351</v>
      </c>
      <c r="B353" s="1">
        <f t="shared" si="38"/>
        <v>103090900</v>
      </c>
      <c r="C353" s="1" t="str">
        <f t="shared" ca="1" si="44"/>
        <v>赫拉之扇</v>
      </c>
      <c r="D353" s="1" t="s">
        <v>427</v>
      </c>
      <c r="E353" s="1">
        <v>3</v>
      </c>
      <c r="F353" s="1">
        <f t="shared" si="42"/>
        <v>1</v>
      </c>
      <c r="G353" s="8">
        <f t="shared" si="39"/>
        <v>9</v>
      </c>
      <c r="H353" s="8" t="str">
        <f t="shared" si="42"/>
        <v>扇子</v>
      </c>
      <c r="I353" s="8" t="e">
        <f ca="1">"["&amp;INT(getMinDes(B353))&amp;"-"&amp;INT(getMaxDes(B353))&amp;"]"&amp;getDesName(B353)&amp;" "&amp;getRandomNatureDes(K353)&amp;getSuitDes(B353)</f>
        <v>#VALUE!</v>
      </c>
      <c r="J353" s="1">
        <v>0</v>
      </c>
      <c r="K353" s="1">
        <v>4</v>
      </c>
      <c r="L353" s="1">
        <f t="shared" si="43"/>
        <v>9</v>
      </c>
      <c r="M353" s="1" t="str">
        <f ca="1">mVlookup(E353&amp;L353,装备名称!J$43:Z$74,H353,FALSE)</f>
        <v>IC1839</v>
      </c>
      <c r="N353" s="1" t="str">
        <f t="shared" si="40"/>
        <v>99</v>
      </c>
      <c r="O353" s="1">
        <f t="shared" si="41"/>
        <v>200351</v>
      </c>
    </row>
    <row r="354" spans="1:15" x14ac:dyDescent="0.15">
      <c r="A354" s="1">
        <v>352</v>
      </c>
      <c r="B354" s="1">
        <f t="shared" si="38"/>
        <v>103011000</v>
      </c>
      <c r="C354" s="1" t="str">
        <f t="shared" ca="1" si="44"/>
        <v>奥丁牙齿</v>
      </c>
      <c r="D354" s="1" t="s">
        <v>427</v>
      </c>
      <c r="E354" s="1">
        <v>3</v>
      </c>
      <c r="F354" s="1">
        <f t="shared" si="42"/>
        <v>1</v>
      </c>
      <c r="G354" s="8">
        <f t="shared" si="39"/>
        <v>10</v>
      </c>
      <c r="H354" s="8" t="str">
        <f t="shared" si="42"/>
        <v>牙齿</v>
      </c>
      <c r="I354" s="8" t="e">
        <f ca="1">"["&amp;INT(getMinDes(B354))&amp;"-"&amp;INT(getMaxDes(B354))&amp;"]"&amp;getDesName(B354)&amp;" "&amp;getRandomNatureDes(K354)&amp;getSuitDes(B354)</f>
        <v>#VALUE!</v>
      </c>
      <c r="J354" s="1">
        <v>0</v>
      </c>
      <c r="K354" s="1">
        <v>4</v>
      </c>
      <c r="L354" s="1">
        <f t="shared" si="43"/>
        <v>1</v>
      </c>
      <c r="M354" s="1" t="str">
        <f ca="1">mVlookup(E354&amp;L354,装备名称!J$43:Z$74,H354,FALSE)</f>
        <v>IC1551</v>
      </c>
      <c r="N354" s="1" t="str">
        <f t="shared" si="40"/>
        <v>101</v>
      </c>
      <c r="O354" s="1">
        <f t="shared" si="41"/>
        <v>200352</v>
      </c>
    </row>
    <row r="355" spans="1:15" x14ac:dyDescent="0.15">
      <c r="A355" s="1">
        <v>353</v>
      </c>
      <c r="B355" s="1">
        <f t="shared" si="38"/>
        <v>103021000</v>
      </c>
      <c r="C355" s="1" t="str">
        <f t="shared" ca="1" si="44"/>
        <v>卢卡牙齿</v>
      </c>
      <c r="D355" s="1" t="s">
        <v>427</v>
      </c>
      <c r="E355" s="1">
        <v>3</v>
      </c>
      <c r="F355" s="1">
        <f t="shared" si="42"/>
        <v>1</v>
      </c>
      <c r="G355" s="8">
        <f t="shared" si="39"/>
        <v>10</v>
      </c>
      <c r="H355" s="8" t="str">
        <f t="shared" si="42"/>
        <v>牙齿</v>
      </c>
      <c r="I355" s="8" t="e">
        <f ca="1">"["&amp;INT(getMinDes(B355))&amp;"-"&amp;INT(getMaxDes(B355))&amp;"]"&amp;getDesName(B355)&amp;" "&amp;getRandomNatureDes(K355)&amp;getSuitDes(B355)</f>
        <v>#VALUE!</v>
      </c>
      <c r="J355" s="1">
        <v>0</v>
      </c>
      <c r="K355" s="1">
        <v>4</v>
      </c>
      <c r="L355" s="1">
        <f t="shared" si="43"/>
        <v>2</v>
      </c>
      <c r="M355" s="1" t="str">
        <f ca="1">mVlookup(E355&amp;L355,装备名称!J$43:Z$74,H355,FALSE)</f>
        <v>IC1552</v>
      </c>
      <c r="N355" s="1" t="str">
        <f t="shared" si="40"/>
        <v>102</v>
      </c>
      <c r="O355" s="1">
        <f t="shared" si="41"/>
        <v>200353</v>
      </c>
    </row>
    <row r="356" spans="1:15" x14ac:dyDescent="0.15">
      <c r="A356" s="1">
        <v>354</v>
      </c>
      <c r="B356" s="1">
        <f t="shared" si="38"/>
        <v>103031000</v>
      </c>
      <c r="C356" s="1" t="str">
        <f t="shared" ca="1" si="44"/>
        <v>坎珀牙齿</v>
      </c>
      <c r="D356" s="1" t="s">
        <v>427</v>
      </c>
      <c r="E356" s="1">
        <v>3</v>
      </c>
      <c r="F356" s="1">
        <f t="shared" si="42"/>
        <v>1</v>
      </c>
      <c r="G356" s="8">
        <f t="shared" si="39"/>
        <v>10</v>
      </c>
      <c r="H356" s="8" t="str">
        <f t="shared" si="42"/>
        <v>牙齿</v>
      </c>
      <c r="I356" s="8" t="e">
        <f ca="1">"["&amp;INT(getMinDes(B356))&amp;"-"&amp;INT(getMaxDes(B356))&amp;"]"&amp;getDesName(B356)&amp;" "&amp;getRandomNatureDes(K356)&amp;getSuitDes(B356)</f>
        <v>#VALUE!</v>
      </c>
      <c r="J356" s="1">
        <v>0</v>
      </c>
      <c r="K356" s="1">
        <v>4</v>
      </c>
      <c r="L356" s="1">
        <f t="shared" si="43"/>
        <v>3</v>
      </c>
      <c r="M356" s="1" t="str">
        <f ca="1">mVlookup(E356&amp;L356,装备名称!J$43:Z$74,H356,FALSE)</f>
        <v>IC1558</v>
      </c>
      <c r="N356" s="1" t="str">
        <f t="shared" si="40"/>
        <v>103</v>
      </c>
      <c r="O356" s="1">
        <f t="shared" si="41"/>
        <v>200354</v>
      </c>
    </row>
    <row r="357" spans="1:15" x14ac:dyDescent="0.15">
      <c r="A357" s="1">
        <v>355</v>
      </c>
      <c r="B357" s="1">
        <f t="shared" si="38"/>
        <v>103041000</v>
      </c>
      <c r="C357" s="1" t="str">
        <f t="shared" ca="1" si="44"/>
        <v>费恩牙齿</v>
      </c>
      <c r="D357" s="1" t="s">
        <v>427</v>
      </c>
      <c r="E357" s="1">
        <v>3</v>
      </c>
      <c r="F357" s="1">
        <f t="shared" si="42"/>
        <v>1</v>
      </c>
      <c r="G357" s="8">
        <f t="shared" si="39"/>
        <v>10</v>
      </c>
      <c r="H357" s="8" t="str">
        <f t="shared" si="42"/>
        <v>牙齿</v>
      </c>
      <c r="I357" s="8" t="e">
        <f ca="1">"["&amp;INT(getMinDes(B357))&amp;"-"&amp;INT(getMaxDes(B357))&amp;"]"&amp;getDesName(B357)&amp;" "&amp;getRandomNatureDes(K357)&amp;getSuitDes(B357)</f>
        <v>#VALUE!</v>
      </c>
      <c r="J357" s="1">
        <v>0</v>
      </c>
      <c r="K357" s="1">
        <v>4</v>
      </c>
      <c r="L357" s="1">
        <f t="shared" si="43"/>
        <v>4</v>
      </c>
      <c r="M357" s="1" t="str">
        <f ca="1">mVlookup(E357&amp;L357,装备名称!J$43:Z$74,H357,FALSE)</f>
        <v>IC1559</v>
      </c>
      <c r="N357" s="1" t="str">
        <f t="shared" si="40"/>
        <v>104</v>
      </c>
      <c r="O357" s="1">
        <f t="shared" si="41"/>
        <v>200355</v>
      </c>
    </row>
    <row r="358" spans="1:15" x14ac:dyDescent="0.15">
      <c r="A358" s="1">
        <v>356</v>
      </c>
      <c r="B358" s="1">
        <f t="shared" si="38"/>
        <v>103051000</v>
      </c>
      <c r="C358" s="1" t="str">
        <f t="shared" ca="1" si="44"/>
        <v>迪马斯牙齿</v>
      </c>
      <c r="D358" s="1" t="s">
        <v>427</v>
      </c>
      <c r="E358" s="1">
        <v>3</v>
      </c>
      <c r="F358" s="1">
        <f t="shared" si="42"/>
        <v>1</v>
      </c>
      <c r="G358" s="8">
        <f t="shared" si="39"/>
        <v>10</v>
      </c>
      <c r="H358" s="8" t="str">
        <f t="shared" si="42"/>
        <v>牙齿</v>
      </c>
      <c r="I358" s="8" t="e">
        <f ca="1">"["&amp;INT(getMinDes(B358))&amp;"-"&amp;INT(getMaxDes(B358))&amp;"]"&amp;getDesName(B358)&amp;" "&amp;getRandomNatureDes(K358)&amp;getSuitDes(B358)</f>
        <v>#VALUE!</v>
      </c>
      <c r="J358" s="1">
        <v>0</v>
      </c>
      <c r="K358" s="1">
        <v>4</v>
      </c>
      <c r="L358" s="1">
        <f t="shared" si="43"/>
        <v>5</v>
      </c>
      <c r="M358" s="1" t="str">
        <f ca="1">mVlookup(E358&amp;L358,装备名称!J$43:Z$74,H358,FALSE)</f>
        <v>IC1560</v>
      </c>
      <c r="N358" s="1" t="str">
        <f t="shared" si="40"/>
        <v>105</v>
      </c>
      <c r="O358" s="1">
        <f t="shared" si="41"/>
        <v>200356</v>
      </c>
    </row>
    <row r="359" spans="1:15" x14ac:dyDescent="0.15">
      <c r="A359" s="1">
        <v>357</v>
      </c>
      <c r="B359" s="1">
        <f t="shared" si="38"/>
        <v>103061000</v>
      </c>
      <c r="C359" s="1" t="str">
        <f t="shared" ca="1" si="44"/>
        <v>酒神牙齿</v>
      </c>
      <c r="D359" s="1" t="s">
        <v>427</v>
      </c>
      <c r="E359" s="1">
        <v>3</v>
      </c>
      <c r="F359" s="1">
        <f t="shared" si="42"/>
        <v>1</v>
      </c>
      <c r="G359" s="8">
        <f t="shared" si="39"/>
        <v>10</v>
      </c>
      <c r="H359" s="8" t="str">
        <f t="shared" si="42"/>
        <v>牙齿</v>
      </c>
      <c r="I359" s="8" t="e">
        <f ca="1">"["&amp;INT(getMinDes(B359))&amp;"-"&amp;INT(getMaxDes(B359))&amp;"]"&amp;getDesName(B359)&amp;" "&amp;getRandomNatureDes(K359)&amp;getSuitDes(B359)</f>
        <v>#VALUE!</v>
      </c>
      <c r="J359" s="1">
        <v>0</v>
      </c>
      <c r="K359" s="1">
        <v>4</v>
      </c>
      <c r="L359" s="1">
        <f t="shared" si="43"/>
        <v>6</v>
      </c>
      <c r="M359" s="1" t="str">
        <f ca="1">mVlookup(E359&amp;L359,装备名称!J$43:Z$74,H359,FALSE)</f>
        <v>IC1562</v>
      </c>
      <c r="N359" s="1" t="str">
        <f t="shared" si="40"/>
        <v>106</v>
      </c>
      <c r="O359" s="1">
        <f t="shared" si="41"/>
        <v>200357</v>
      </c>
    </row>
    <row r="360" spans="1:15" x14ac:dyDescent="0.15">
      <c r="A360" s="1">
        <v>358</v>
      </c>
      <c r="B360" s="1">
        <f t="shared" si="38"/>
        <v>103071000</v>
      </c>
      <c r="C360" s="1" t="str">
        <f t="shared" ca="1" si="44"/>
        <v>缪斯牙齿</v>
      </c>
      <c r="D360" s="1" t="s">
        <v>427</v>
      </c>
      <c r="E360" s="1">
        <v>3</v>
      </c>
      <c r="F360" s="1">
        <f t="shared" si="42"/>
        <v>1</v>
      </c>
      <c r="G360" s="8">
        <f t="shared" si="39"/>
        <v>10</v>
      </c>
      <c r="H360" s="8" t="str">
        <f t="shared" si="42"/>
        <v>牙齿</v>
      </c>
      <c r="I360" s="8" t="e">
        <f ca="1">"["&amp;INT(getMinDes(B360))&amp;"-"&amp;INT(getMaxDes(B360))&amp;"]"&amp;getDesName(B360)&amp;" "&amp;getRandomNatureDes(K360)&amp;getSuitDes(B360)</f>
        <v>#VALUE!</v>
      </c>
      <c r="J360" s="1">
        <v>0</v>
      </c>
      <c r="K360" s="1">
        <v>4</v>
      </c>
      <c r="L360" s="1">
        <f t="shared" si="43"/>
        <v>7</v>
      </c>
      <c r="M360" s="1" t="str">
        <f ca="1">mVlookup(E360&amp;L360,装备名称!J$43:Z$74,H360,FALSE)</f>
        <v>IC1563</v>
      </c>
      <c r="N360" s="1" t="str">
        <f t="shared" si="40"/>
        <v>107</v>
      </c>
      <c r="O360" s="1">
        <f t="shared" si="41"/>
        <v>200358</v>
      </c>
    </row>
    <row r="361" spans="1:15" x14ac:dyDescent="0.15">
      <c r="A361" s="1">
        <v>359</v>
      </c>
      <c r="B361" s="1">
        <f t="shared" si="38"/>
        <v>103081000</v>
      </c>
      <c r="C361" s="1" t="str">
        <f t="shared" ca="1" si="44"/>
        <v>潘多拉牙齿</v>
      </c>
      <c r="D361" s="1" t="s">
        <v>427</v>
      </c>
      <c r="E361" s="1">
        <v>3</v>
      </c>
      <c r="F361" s="1">
        <f t="shared" si="42"/>
        <v>1</v>
      </c>
      <c r="G361" s="8">
        <f t="shared" si="39"/>
        <v>10</v>
      </c>
      <c r="H361" s="8" t="str">
        <f t="shared" si="42"/>
        <v>牙齿</v>
      </c>
      <c r="I361" s="8" t="e">
        <f ca="1">"["&amp;INT(getMinDes(B361))&amp;"-"&amp;INT(getMaxDes(B361))&amp;"]"&amp;getDesName(B361)&amp;" "&amp;getRandomNatureDes(K361)&amp;getSuitDes(B361)</f>
        <v>#VALUE!</v>
      </c>
      <c r="J361" s="1">
        <v>0</v>
      </c>
      <c r="K361" s="1">
        <v>4</v>
      </c>
      <c r="L361" s="1">
        <f t="shared" si="43"/>
        <v>8</v>
      </c>
      <c r="M361" s="1" t="str">
        <f ca="1">mVlookup(E361&amp;L361,装备名称!J$43:Z$74,H361,FALSE)</f>
        <v>IC1564</v>
      </c>
      <c r="N361" s="1" t="str">
        <f t="shared" si="40"/>
        <v>108</v>
      </c>
      <c r="O361" s="1">
        <f t="shared" si="41"/>
        <v>200359</v>
      </c>
    </row>
    <row r="362" spans="1:15" x14ac:dyDescent="0.15">
      <c r="A362" s="1">
        <v>360</v>
      </c>
      <c r="B362" s="1">
        <f t="shared" si="38"/>
        <v>103091000</v>
      </c>
      <c r="C362" s="1" t="str">
        <f t="shared" ca="1" si="44"/>
        <v>涅琉斯牙齿</v>
      </c>
      <c r="D362" s="1" t="s">
        <v>427</v>
      </c>
      <c r="E362" s="1">
        <v>3</v>
      </c>
      <c r="F362" s="1">
        <f t="shared" si="42"/>
        <v>1</v>
      </c>
      <c r="G362" s="8">
        <f t="shared" si="39"/>
        <v>10</v>
      </c>
      <c r="H362" s="8" t="str">
        <f t="shared" si="42"/>
        <v>牙齿</v>
      </c>
      <c r="I362" s="8" t="e">
        <f ca="1">"["&amp;INT(getMinDes(B362))&amp;"-"&amp;INT(getMaxDes(B362))&amp;"]"&amp;getDesName(B362)&amp;" "&amp;getRandomNatureDes(K362)&amp;getSuitDes(B362)</f>
        <v>#VALUE!</v>
      </c>
      <c r="J362" s="1">
        <v>0</v>
      </c>
      <c r="K362" s="1">
        <v>4</v>
      </c>
      <c r="L362" s="1">
        <f t="shared" si="43"/>
        <v>9</v>
      </c>
      <c r="M362" s="1" t="str">
        <f ca="1">mVlookup(E362&amp;L362,装备名称!J$43:Z$74,H362,FALSE)</f>
        <v>IC1565</v>
      </c>
      <c r="N362" s="1" t="str">
        <f t="shared" si="40"/>
        <v>109</v>
      </c>
      <c r="O362" s="1">
        <f t="shared" si="41"/>
        <v>200360</v>
      </c>
    </row>
    <row r="363" spans="1:15" x14ac:dyDescent="0.15">
      <c r="A363" s="1">
        <v>361</v>
      </c>
      <c r="B363" s="1">
        <f t="shared" si="38"/>
        <v>103011100</v>
      </c>
      <c r="C363" s="1" t="str">
        <f t="shared" ca="1" si="44"/>
        <v>奥丁之球</v>
      </c>
      <c r="D363" s="1" t="s">
        <v>427</v>
      </c>
      <c r="E363" s="1">
        <v>3</v>
      </c>
      <c r="F363" s="1">
        <f t="shared" si="42"/>
        <v>1</v>
      </c>
      <c r="G363" s="8">
        <f t="shared" si="39"/>
        <v>11</v>
      </c>
      <c r="H363" s="8" t="str">
        <f t="shared" si="42"/>
        <v>球</v>
      </c>
      <c r="I363" s="8" t="e">
        <f ca="1">"["&amp;INT(getMinDes(B363))&amp;"-"&amp;INT(getMaxDes(B363))&amp;"]"&amp;getDesName(B363)&amp;" "&amp;getRandomNatureDes(K363)&amp;getSuitDes(B363)</f>
        <v>#VALUE!</v>
      </c>
      <c r="J363" s="1">
        <v>0</v>
      </c>
      <c r="K363" s="1">
        <v>4</v>
      </c>
      <c r="L363" s="1">
        <f t="shared" si="43"/>
        <v>1</v>
      </c>
      <c r="M363" s="1" t="str">
        <f ca="1">mVlookup(E363&amp;L363,装备名称!J$43:Z$74,H363,FALSE)</f>
        <v>IC1401</v>
      </c>
      <c r="N363" s="1" t="str">
        <f t="shared" si="40"/>
        <v>111</v>
      </c>
      <c r="O363" s="1">
        <f t="shared" si="41"/>
        <v>200361</v>
      </c>
    </row>
    <row r="364" spans="1:15" x14ac:dyDescent="0.15">
      <c r="A364" s="1">
        <v>362</v>
      </c>
      <c r="B364" s="1">
        <f t="shared" si="38"/>
        <v>103021100</v>
      </c>
      <c r="C364" s="1" t="str">
        <f t="shared" ca="1" si="44"/>
        <v>卢卡之球</v>
      </c>
      <c r="D364" s="1" t="s">
        <v>427</v>
      </c>
      <c r="E364" s="1">
        <v>3</v>
      </c>
      <c r="F364" s="1">
        <f t="shared" si="42"/>
        <v>1</v>
      </c>
      <c r="G364" s="8">
        <f t="shared" si="39"/>
        <v>11</v>
      </c>
      <c r="H364" s="8" t="str">
        <f t="shared" si="42"/>
        <v>球</v>
      </c>
      <c r="I364" s="8" t="e">
        <f ca="1">"["&amp;INT(getMinDes(B364))&amp;"-"&amp;INT(getMaxDes(B364))&amp;"]"&amp;getDesName(B364)&amp;" "&amp;getRandomNatureDes(K364)&amp;getSuitDes(B364)</f>
        <v>#VALUE!</v>
      </c>
      <c r="J364" s="1">
        <v>0</v>
      </c>
      <c r="K364" s="1">
        <v>4</v>
      </c>
      <c r="L364" s="1">
        <f t="shared" si="43"/>
        <v>2</v>
      </c>
      <c r="M364" s="1" t="str">
        <f ca="1">mVlookup(E364&amp;L364,装备名称!J$43:Z$74,H364,FALSE)</f>
        <v>IC1407</v>
      </c>
      <c r="N364" s="1" t="str">
        <f t="shared" si="40"/>
        <v>112</v>
      </c>
      <c r="O364" s="1">
        <f t="shared" si="41"/>
        <v>200362</v>
      </c>
    </row>
    <row r="365" spans="1:15" x14ac:dyDescent="0.15">
      <c r="A365" s="1">
        <v>363</v>
      </c>
      <c r="B365" s="1">
        <f t="shared" si="38"/>
        <v>103031100</v>
      </c>
      <c r="C365" s="1" t="str">
        <f t="shared" ca="1" si="44"/>
        <v>坎珀之球</v>
      </c>
      <c r="D365" s="1" t="s">
        <v>427</v>
      </c>
      <c r="E365" s="1">
        <v>3</v>
      </c>
      <c r="F365" s="1">
        <f t="shared" si="42"/>
        <v>1</v>
      </c>
      <c r="G365" s="8">
        <f t="shared" si="39"/>
        <v>11</v>
      </c>
      <c r="H365" s="8" t="str">
        <f t="shared" si="42"/>
        <v>球</v>
      </c>
      <c r="I365" s="8" t="e">
        <f ca="1">"["&amp;INT(getMinDes(B365))&amp;"-"&amp;INT(getMaxDes(B365))&amp;"]"&amp;getDesName(B365)&amp;" "&amp;getRandomNatureDes(K365)&amp;getSuitDes(B365)</f>
        <v>#VALUE!</v>
      </c>
      <c r="J365" s="1">
        <v>0</v>
      </c>
      <c r="K365" s="1">
        <v>4</v>
      </c>
      <c r="L365" s="1">
        <f t="shared" si="43"/>
        <v>3</v>
      </c>
      <c r="M365" s="1" t="str">
        <f ca="1">mVlookup(E365&amp;L365,装备名称!J$43:Z$74,H365,FALSE)</f>
        <v>IC1412</v>
      </c>
      <c r="N365" s="1" t="str">
        <f t="shared" si="40"/>
        <v>113</v>
      </c>
      <c r="O365" s="1">
        <f t="shared" si="41"/>
        <v>200363</v>
      </c>
    </row>
    <row r="366" spans="1:15" x14ac:dyDescent="0.15">
      <c r="A366" s="1">
        <v>364</v>
      </c>
      <c r="B366" s="1">
        <f t="shared" si="38"/>
        <v>103041100</v>
      </c>
      <c r="C366" s="1" t="str">
        <f t="shared" ca="1" si="44"/>
        <v>费恩之球</v>
      </c>
      <c r="D366" s="1" t="s">
        <v>427</v>
      </c>
      <c r="E366" s="1">
        <v>3</v>
      </c>
      <c r="F366" s="1">
        <f t="shared" si="42"/>
        <v>1</v>
      </c>
      <c r="G366" s="8">
        <f t="shared" si="39"/>
        <v>11</v>
      </c>
      <c r="H366" s="8" t="str">
        <f t="shared" si="42"/>
        <v>球</v>
      </c>
      <c r="I366" s="8" t="e">
        <f ca="1">"["&amp;INT(getMinDes(B366))&amp;"-"&amp;INT(getMaxDes(B366))&amp;"]"&amp;getDesName(B366)&amp;" "&amp;getRandomNatureDes(K366)&amp;getSuitDes(B366)</f>
        <v>#VALUE!</v>
      </c>
      <c r="J366" s="1">
        <v>0</v>
      </c>
      <c r="K366" s="1">
        <v>4</v>
      </c>
      <c r="L366" s="1">
        <f t="shared" si="43"/>
        <v>4</v>
      </c>
      <c r="M366" s="1" t="str">
        <f ca="1">mVlookup(E366&amp;L366,装备名称!J$43:Z$74,H366,FALSE)</f>
        <v>IC1413</v>
      </c>
      <c r="N366" s="1" t="str">
        <f t="shared" si="40"/>
        <v>114</v>
      </c>
      <c r="O366" s="1">
        <f t="shared" si="41"/>
        <v>200364</v>
      </c>
    </row>
    <row r="367" spans="1:15" x14ac:dyDescent="0.15">
      <c r="A367" s="1">
        <v>365</v>
      </c>
      <c r="B367" s="1">
        <f t="shared" si="38"/>
        <v>103051100</v>
      </c>
      <c r="C367" s="1" t="str">
        <f t="shared" ca="1" si="44"/>
        <v>迪马斯之球</v>
      </c>
      <c r="D367" s="1" t="s">
        <v>427</v>
      </c>
      <c r="E367" s="1">
        <v>3</v>
      </c>
      <c r="F367" s="1">
        <f t="shared" si="42"/>
        <v>1</v>
      </c>
      <c r="G367" s="8">
        <f t="shared" si="39"/>
        <v>11</v>
      </c>
      <c r="H367" s="8" t="str">
        <f t="shared" si="42"/>
        <v>球</v>
      </c>
      <c r="I367" s="8" t="e">
        <f ca="1">"["&amp;INT(getMinDes(B367))&amp;"-"&amp;INT(getMaxDes(B367))&amp;"]"&amp;getDesName(B367)&amp;" "&amp;getRandomNatureDes(K367)&amp;getSuitDes(B367)</f>
        <v>#VALUE!</v>
      </c>
      <c r="J367" s="1">
        <v>0</v>
      </c>
      <c r="K367" s="1">
        <v>4</v>
      </c>
      <c r="L367" s="1">
        <f t="shared" si="43"/>
        <v>5</v>
      </c>
      <c r="M367" s="1" t="str">
        <f ca="1">mVlookup(E367&amp;L367,装备名称!J$43:Z$74,H367,FALSE)</f>
        <v>IC1416</v>
      </c>
      <c r="N367" s="1" t="str">
        <f t="shared" si="40"/>
        <v>115</v>
      </c>
      <c r="O367" s="1">
        <f t="shared" si="41"/>
        <v>200365</v>
      </c>
    </row>
    <row r="368" spans="1:15" x14ac:dyDescent="0.15">
      <c r="A368" s="1">
        <v>366</v>
      </c>
      <c r="B368" s="1">
        <f t="shared" si="38"/>
        <v>103061100</v>
      </c>
      <c r="C368" s="1" t="str">
        <f t="shared" ca="1" si="44"/>
        <v>酒神之球</v>
      </c>
      <c r="D368" s="1" t="s">
        <v>427</v>
      </c>
      <c r="E368" s="1">
        <v>3</v>
      </c>
      <c r="F368" s="1">
        <f t="shared" si="42"/>
        <v>1</v>
      </c>
      <c r="G368" s="8">
        <f t="shared" si="39"/>
        <v>11</v>
      </c>
      <c r="H368" s="8" t="str">
        <f t="shared" si="42"/>
        <v>球</v>
      </c>
      <c r="I368" s="8" t="e">
        <f ca="1">"["&amp;INT(getMinDes(B368))&amp;"-"&amp;INT(getMaxDes(B368))&amp;"]"&amp;getDesName(B368)&amp;" "&amp;getRandomNatureDes(K368)&amp;getSuitDes(B368)</f>
        <v>#VALUE!</v>
      </c>
      <c r="J368" s="1">
        <v>0</v>
      </c>
      <c r="K368" s="1">
        <v>4</v>
      </c>
      <c r="L368" s="1">
        <f t="shared" si="43"/>
        <v>6</v>
      </c>
      <c r="M368" s="1" t="str">
        <f ca="1">mVlookup(E368&amp;L368,装备名称!J$43:Z$74,H368,FALSE)</f>
        <v>IC1417</v>
      </c>
      <c r="N368" s="1" t="str">
        <f t="shared" si="40"/>
        <v>116</v>
      </c>
      <c r="O368" s="1">
        <f t="shared" si="41"/>
        <v>200366</v>
      </c>
    </row>
    <row r="369" spans="1:15" x14ac:dyDescent="0.15">
      <c r="A369" s="1">
        <v>367</v>
      </c>
      <c r="B369" s="1">
        <f t="shared" si="38"/>
        <v>103071100</v>
      </c>
      <c r="C369" s="1" t="str">
        <f t="shared" ca="1" si="44"/>
        <v>缪斯之球</v>
      </c>
      <c r="D369" s="1" t="s">
        <v>427</v>
      </c>
      <c r="E369" s="1">
        <v>3</v>
      </c>
      <c r="F369" s="1">
        <f t="shared" si="42"/>
        <v>1</v>
      </c>
      <c r="G369" s="8">
        <f t="shared" si="39"/>
        <v>11</v>
      </c>
      <c r="H369" s="8" t="str">
        <f t="shared" si="42"/>
        <v>球</v>
      </c>
      <c r="I369" s="8" t="e">
        <f ca="1">"["&amp;INT(getMinDes(B369))&amp;"-"&amp;INT(getMaxDes(B369))&amp;"]"&amp;getDesName(B369)&amp;" "&amp;getRandomNatureDes(K369)&amp;getSuitDes(B369)</f>
        <v>#VALUE!</v>
      </c>
      <c r="J369" s="1">
        <v>0</v>
      </c>
      <c r="K369" s="1">
        <v>4</v>
      </c>
      <c r="L369" s="1">
        <f t="shared" si="43"/>
        <v>7</v>
      </c>
      <c r="M369" s="1" t="str">
        <f ca="1">mVlookup(E369&amp;L369,装备名称!J$43:Z$74,H369,FALSE)</f>
        <v>IC1419</v>
      </c>
      <c r="N369" s="1" t="str">
        <f t="shared" si="40"/>
        <v>117</v>
      </c>
      <c r="O369" s="1">
        <f t="shared" si="41"/>
        <v>200367</v>
      </c>
    </row>
    <row r="370" spans="1:15" x14ac:dyDescent="0.15">
      <c r="A370" s="1">
        <v>368</v>
      </c>
      <c r="B370" s="1">
        <f t="shared" si="38"/>
        <v>103081100</v>
      </c>
      <c r="C370" s="1" t="str">
        <f t="shared" ca="1" si="44"/>
        <v>潘多拉之球</v>
      </c>
      <c r="D370" s="1" t="s">
        <v>427</v>
      </c>
      <c r="E370" s="1">
        <v>3</v>
      </c>
      <c r="F370" s="1">
        <f t="shared" si="42"/>
        <v>1</v>
      </c>
      <c r="G370" s="8">
        <f t="shared" si="39"/>
        <v>11</v>
      </c>
      <c r="H370" s="8" t="str">
        <f t="shared" si="42"/>
        <v>球</v>
      </c>
      <c r="I370" s="8" t="e">
        <f ca="1">"["&amp;INT(getMinDes(B370))&amp;"-"&amp;INT(getMaxDes(B370))&amp;"]"&amp;getDesName(B370)&amp;" "&amp;getRandomNatureDes(K370)&amp;getSuitDes(B370)</f>
        <v>#VALUE!</v>
      </c>
      <c r="J370" s="1">
        <v>0</v>
      </c>
      <c r="K370" s="1">
        <v>4</v>
      </c>
      <c r="L370" s="1">
        <f t="shared" si="43"/>
        <v>8</v>
      </c>
      <c r="M370" s="1" t="str">
        <f ca="1">mVlookup(E370&amp;L370,装备名称!J$43:Z$74,H370,FALSE)</f>
        <v>IC1416</v>
      </c>
      <c r="N370" s="1" t="str">
        <f t="shared" si="40"/>
        <v>118</v>
      </c>
      <c r="O370" s="1">
        <f t="shared" si="41"/>
        <v>200368</v>
      </c>
    </row>
    <row r="371" spans="1:15" x14ac:dyDescent="0.15">
      <c r="A371" s="1">
        <v>369</v>
      </c>
      <c r="B371" s="1">
        <f t="shared" si="38"/>
        <v>103091100</v>
      </c>
      <c r="C371" s="1" t="str">
        <f t="shared" ca="1" si="44"/>
        <v>欧罗巴之球</v>
      </c>
      <c r="D371" s="1" t="s">
        <v>427</v>
      </c>
      <c r="E371" s="1">
        <v>3</v>
      </c>
      <c r="F371" s="1">
        <f t="shared" si="42"/>
        <v>1</v>
      </c>
      <c r="G371" s="8">
        <f t="shared" si="39"/>
        <v>11</v>
      </c>
      <c r="H371" s="8" t="str">
        <f t="shared" si="42"/>
        <v>球</v>
      </c>
      <c r="I371" s="8" t="e">
        <f ca="1">"["&amp;INT(getMinDes(B371))&amp;"-"&amp;INT(getMaxDes(B371))&amp;"]"&amp;getDesName(B371)&amp;" "&amp;getRandomNatureDes(K371)&amp;getSuitDes(B371)</f>
        <v>#VALUE!</v>
      </c>
      <c r="J371" s="1">
        <v>0</v>
      </c>
      <c r="K371" s="1">
        <v>4</v>
      </c>
      <c r="L371" s="1">
        <f t="shared" si="43"/>
        <v>9</v>
      </c>
      <c r="M371" s="1" t="str">
        <f ca="1">mVlookup(E371&amp;L371,装备名称!J$43:Z$74,H371,FALSE)</f>
        <v>IC1412</v>
      </c>
      <c r="N371" s="1" t="str">
        <f t="shared" si="40"/>
        <v>119</v>
      </c>
      <c r="O371" s="1">
        <f t="shared" si="41"/>
        <v>200369</v>
      </c>
    </row>
    <row r="372" spans="1:15" x14ac:dyDescent="0.15">
      <c r="A372" s="1">
        <v>370</v>
      </c>
      <c r="B372" s="1">
        <f t="shared" si="38"/>
        <v>103011200</v>
      </c>
      <c r="C372" s="1" t="str">
        <f t="shared" ca="1" si="44"/>
        <v>奥丁之爪</v>
      </c>
      <c r="D372" s="1" t="s">
        <v>427</v>
      </c>
      <c r="E372" s="1">
        <v>3</v>
      </c>
      <c r="F372" s="1">
        <f t="shared" si="42"/>
        <v>1</v>
      </c>
      <c r="G372" s="8">
        <f t="shared" si="39"/>
        <v>12</v>
      </c>
      <c r="H372" s="8" t="str">
        <f t="shared" si="42"/>
        <v>爪</v>
      </c>
      <c r="I372" s="8" t="e">
        <f ca="1">"["&amp;INT(getMinDes(B372))&amp;"-"&amp;INT(getMaxDes(B372))&amp;"]"&amp;getDesName(B372)&amp;" "&amp;getRandomNatureDes(K372)&amp;getSuitDes(B372)</f>
        <v>#VALUE!</v>
      </c>
      <c r="J372" s="1">
        <v>0</v>
      </c>
      <c r="K372" s="1">
        <v>4</v>
      </c>
      <c r="L372" s="1">
        <f t="shared" si="43"/>
        <v>1</v>
      </c>
      <c r="M372" s="1" t="str">
        <f ca="1">mVlookup(E372&amp;L372,装备名称!J$43:Z$74,H372,FALSE)</f>
        <v>IC1751</v>
      </c>
      <c r="N372" s="1" t="str">
        <f t="shared" si="40"/>
        <v>121</v>
      </c>
      <c r="O372" s="1">
        <f t="shared" si="41"/>
        <v>200370</v>
      </c>
    </row>
    <row r="373" spans="1:15" x14ac:dyDescent="0.15">
      <c r="A373" s="1">
        <v>371</v>
      </c>
      <c r="B373" s="1">
        <f t="shared" si="38"/>
        <v>103021200</v>
      </c>
      <c r="C373" s="1" t="str">
        <f t="shared" ca="1" si="44"/>
        <v>卢卡之爪</v>
      </c>
      <c r="D373" s="1" t="s">
        <v>427</v>
      </c>
      <c r="E373" s="1">
        <v>3</v>
      </c>
      <c r="F373" s="1">
        <f t="shared" si="42"/>
        <v>1</v>
      </c>
      <c r="G373" s="8">
        <f t="shared" si="39"/>
        <v>12</v>
      </c>
      <c r="H373" s="8" t="str">
        <f t="shared" si="42"/>
        <v>爪</v>
      </c>
      <c r="I373" s="8" t="e">
        <f ca="1">"["&amp;INT(getMinDes(B373))&amp;"-"&amp;INT(getMaxDes(B373))&amp;"]"&amp;getDesName(B373)&amp;" "&amp;getRandomNatureDes(K373)&amp;getSuitDes(B373)</f>
        <v>#VALUE!</v>
      </c>
      <c r="J373" s="1">
        <v>0</v>
      </c>
      <c r="K373" s="1">
        <v>4</v>
      </c>
      <c r="L373" s="1">
        <f t="shared" si="43"/>
        <v>2</v>
      </c>
      <c r="M373" s="1" t="str">
        <f ca="1">mVlookup(E373&amp;L373,装备名称!J$43:Z$74,H373,FALSE)</f>
        <v>IC1758</v>
      </c>
      <c r="N373" s="1" t="str">
        <f t="shared" si="40"/>
        <v>122</v>
      </c>
      <c r="O373" s="1">
        <f t="shared" si="41"/>
        <v>200371</v>
      </c>
    </row>
    <row r="374" spans="1:15" x14ac:dyDescent="0.15">
      <c r="A374" s="1">
        <v>372</v>
      </c>
      <c r="B374" s="1">
        <f t="shared" si="38"/>
        <v>103031200</v>
      </c>
      <c r="C374" s="1" t="str">
        <f t="shared" ca="1" si="44"/>
        <v>坎珀之爪</v>
      </c>
      <c r="D374" s="1" t="s">
        <v>427</v>
      </c>
      <c r="E374" s="1">
        <v>3</v>
      </c>
      <c r="F374" s="1">
        <f t="shared" si="42"/>
        <v>1</v>
      </c>
      <c r="G374" s="8">
        <f t="shared" si="39"/>
        <v>12</v>
      </c>
      <c r="H374" s="8" t="str">
        <f t="shared" si="42"/>
        <v>爪</v>
      </c>
      <c r="I374" s="8" t="e">
        <f ca="1">"["&amp;INT(getMinDes(B374))&amp;"-"&amp;INT(getMaxDes(B374))&amp;"]"&amp;getDesName(B374)&amp;" "&amp;getRandomNatureDes(K374)&amp;getSuitDes(B374)</f>
        <v>#VALUE!</v>
      </c>
      <c r="J374" s="1">
        <v>0</v>
      </c>
      <c r="K374" s="1">
        <v>4</v>
      </c>
      <c r="L374" s="1">
        <f t="shared" si="43"/>
        <v>3</v>
      </c>
      <c r="M374" s="1" t="str">
        <f ca="1">mVlookup(E374&amp;L374,装备名称!J$43:Z$74,H374,FALSE)</f>
        <v>IC1763</v>
      </c>
      <c r="N374" s="1" t="str">
        <f t="shared" si="40"/>
        <v>123</v>
      </c>
      <c r="O374" s="1">
        <f t="shared" si="41"/>
        <v>200372</v>
      </c>
    </row>
    <row r="375" spans="1:15" x14ac:dyDescent="0.15">
      <c r="A375" s="1">
        <v>373</v>
      </c>
      <c r="B375" s="1">
        <f t="shared" si="38"/>
        <v>103041200</v>
      </c>
      <c r="C375" s="1" t="str">
        <f t="shared" ca="1" si="44"/>
        <v>费恩之爪</v>
      </c>
      <c r="D375" s="1" t="s">
        <v>427</v>
      </c>
      <c r="E375" s="1">
        <v>3</v>
      </c>
      <c r="F375" s="1">
        <f t="shared" si="42"/>
        <v>1</v>
      </c>
      <c r="G375" s="8">
        <f t="shared" si="39"/>
        <v>12</v>
      </c>
      <c r="H375" s="8" t="str">
        <f t="shared" si="42"/>
        <v>爪</v>
      </c>
      <c r="I375" s="8" t="e">
        <f ca="1">"["&amp;INT(getMinDes(B375))&amp;"-"&amp;INT(getMaxDes(B375))&amp;"]"&amp;getDesName(B375)&amp;" "&amp;getRandomNatureDes(K375)&amp;getSuitDes(B375)</f>
        <v>#VALUE!</v>
      </c>
      <c r="J375" s="1">
        <v>0</v>
      </c>
      <c r="K375" s="1">
        <v>4</v>
      </c>
      <c r="L375" s="1">
        <f t="shared" si="43"/>
        <v>4</v>
      </c>
      <c r="M375" s="1" t="str">
        <f ca="1">mVlookup(E375&amp;L375,装备名称!J$43:Z$74,H375,FALSE)</f>
        <v>IC1765</v>
      </c>
      <c r="N375" s="1" t="str">
        <f t="shared" si="40"/>
        <v>124</v>
      </c>
      <c r="O375" s="1">
        <f t="shared" si="41"/>
        <v>200373</v>
      </c>
    </row>
    <row r="376" spans="1:15" x14ac:dyDescent="0.15">
      <c r="A376" s="1">
        <v>374</v>
      </c>
      <c r="B376" s="1">
        <f t="shared" si="38"/>
        <v>103051200</v>
      </c>
      <c r="C376" s="1" t="str">
        <f t="shared" ca="1" si="44"/>
        <v>迪马斯之爪</v>
      </c>
      <c r="D376" s="1" t="s">
        <v>427</v>
      </c>
      <c r="E376" s="1">
        <v>3</v>
      </c>
      <c r="F376" s="1">
        <f t="shared" si="42"/>
        <v>1</v>
      </c>
      <c r="G376" s="8">
        <f t="shared" si="39"/>
        <v>12</v>
      </c>
      <c r="H376" s="8" t="str">
        <f t="shared" si="42"/>
        <v>爪</v>
      </c>
      <c r="I376" s="8" t="e">
        <f ca="1">"["&amp;INT(getMinDes(B376))&amp;"-"&amp;INT(getMaxDes(B376))&amp;"]"&amp;getDesName(B376)&amp;" "&amp;getRandomNatureDes(K376)&amp;getSuitDes(B376)</f>
        <v>#VALUE!</v>
      </c>
      <c r="J376" s="1">
        <v>0</v>
      </c>
      <c r="K376" s="1">
        <v>4</v>
      </c>
      <c r="L376" s="1">
        <f t="shared" si="43"/>
        <v>5</v>
      </c>
      <c r="M376" s="1" t="str">
        <f ca="1">mVlookup(E376&amp;L376,装备名称!J$43:Z$74,H376,FALSE)</f>
        <v>IC1767</v>
      </c>
      <c r="N376" s="1" t="str">
        <f t="shared" si="40"/>
        <v>125</v>
      </c>
      <c r="O376" s="1">
        <f t="shared" si="41"/>
        <v>200374</v>
      </c>
    </row>
    <row r="377" spans="1:15" x14ac:dyDescent="0.15">
      <c r="A377" s="1">
        <v>375</v>
      </c>
      <c r="B377" s="1">
        <f t="shared" si="38"/>
        <v>103061200</v>
      </c>
      <c r="C377" s="1" t="str">
        <f t="shared" ca="1" si="44"/>
        <v>酒神之爪</v>
      </c>
      <c r="D377" s="1" t="s">
        <v>427</v>
      </c>
      <c r="E377" s="1">
        <v>3</v>
      </c>
      <c r="F377" s="1">
        <f t="shared" si="42"/>
        <v>1</v>
      </c>
      <c r="G377" s="8">
        <f t="shared" si="39"/>
        <v>12</v>
      </c>
      <c r="H377" s="8" t="str">
        <f t="shared" si="42"/>
        <v>爪</v>
      </c>
      <c r="I377" s="8" t="e">
        <f ca="1">"["&amp;INT(getMinDes(B377))&amp;"-"&amp;INT(getMaxDes(B377))&amp;"]"&amp;getDesName(B377)&amp;" "&amp;getRandomNatureDes(K377)&amp;getSuitDes(B377)</f>
        <v>#VALUE!</v>
      </c>
      <c r="J377" s="1">
        <v>0</v>
      </c>
      <c r="K377" s="1">
        <v>4</v>
      </c>
      <c r="L377" s="1">
        <f t="shared" si="43"/>
        <v>6</v>
      </c>
      <c r="M377" s="1" t="str">
        <f ca="1">mVlookup(E377&amp;L377,装备名称!J$43:Z$74,H377,FALSE)</f>
        <v>IC1768</v>
      </c>
      <c r="N377" s="1" t="str">
        <f t="shared" si="40"/>
        <v>126</v>
      </c>
      <c r="O377" s="1">
        <f t="shared" si="41"/>
        <v>200375</v>
      </c>
    </row>
    <row r="378" spans="1:15" x14ac:dyDescent="0.15">
      <c r="A378" s="1">
        <v>376</v>
      </c>
      <c r="B378" s="1">
        <f t="shared" si="38"/>
        <v>103071200</v>
      </c>
      <c r="C378" s="1" t="str">
        <f t="shared" ca="1" si="44"/>
        <v>缪斯之爪</v>
      </c>
      <c r="D378" s="1" t="s">
        <v>427</v>
      </c>
      <c r="E378" s="1">
        <v>3</v>
      </c>
      <c r="F378" s="1">
        <f t="shared" si="42"/>
        <v>1</v>
      </c>
      <c r="G378" s="8">
        <f t="shared" si="39"/>
        <v>12</v>
      </c>
      <c r="H378" s="8" t="str">
        <f t="shared" si="42"/>
        <v>爪</v>
      </c>
      <c r="I378" s="8" t="e">
        <f ca="1">"["&amp;INT(getMinDes(B378))&amp;"-"&amp;INT(getMaxDes(B378))&amp;"]"&amp;getDesName(B378)&amp;" "&amp;getRandomNatureDes(K378)&amp;getSuitDes(B378)</f>
        <v>#VALUE!</v>
      </c>
      <c r="J378" s="1">
        <v>0</v>
      </c>
      <c r="K378" s="1">
        <v>4</v>
      </c>
      <c r="L378" s="1">
        <f t="shared" si="43"/>
        <v>7</v>
      </c>
      <c r="M378" s="1" t="str">
        <f ca="1">mVlookup(E378&amp;L378,装备名称!J$43:Z$74,H378,FALSE)</f>
        <v>IC1770</v>
      </c>
      <c r="N378" s="1" t="str">
        <f t="shared" si="40"/>
        <v>127</v>
      </c>
      <c r="O378" s="1">
        <f t="shared" si="41"/>
        <v>200376</v>
      </c>
    </row>
    <row r="379" spans="1:15" x14ac:dyDescent="0.15">
      <c r="A379" s="1">
        <v>377</v>
      </c>
      <c r="B379" s="1">
        <f t="shared" si="38"/>
        <v>103081200</v>
      </c>
      <c r="C379" s="1" t="str">
        <f t="shared" ca="1" si="44"/>
        <v>潘多拉之爪</v>
      </c>
      <c r="D379" s="1" t="s">
        <v>427</v>
      </c>
      <c r="E379" s="1">
        <v>3</v>
      </c>
      <c r="F379" s="1">
        <f t="shared" si="42"/>
        <v>1</v>
      </c>
      <c r="G379" s="8">
        <f t="shared" si="39"/>
        <v>12</v>
      </c>
      <c r="H379" s="8" t="str">
        <f t="shared" si="42"/>
        <v>爪</v>
      </c>
      <c r="I379" s="8" t="e">
        <f ca="1">"["&amp;INT(getMinDes(B379))&amp;"-"&amp;INT(getMaxDes(B379))&amp;"]"&amp;getDesName(B379)&amp;" "&amp;getRandomNatureDes(K379)&amp;getSuitDes(B379)</f>
        <v>#VALUE!</v>
      </c>
      <c r="J379" s="1">
        <v>0</v>
      </c>
      <c r="K379" s="1">
        <v>4</v>
      </c>
      <c r="L379" s="1">
        <f t="shared" si="43"/>
        <v>8</v>
      </c>
      <c r="M379" s="1" t="str">
        <f ca="1">mVlookup(E379&amp;L379,装备名称!J$43:Z$74,H379,FALSE)</f>
        <v>IC1771</v>
      </c>
      <c r="N379" s="1" t="str">
        <f t="shared" si="40"/>
        <v>128</v>
      </c>
      <c r="O379" s="1">
        <f t="shared" si="41"/>
        <v>200377</v>
      </c>
    </row>
    <row r="380" spans="1:15" x14ac:dyDescent="0.15">
      <c r="A380" s="1">
        <v>378</v>
      </c>
      <c r="B380" s="1">
        <f t="shared" si="38"/>
        <v>103091200</v>
      </c>
      <c r="C380" s="1" t="str">
        <f t="shared" ca="1" si="44"/>
        <v>卡帕纽斯之爪</v>
      </c>
      <c r="D380" s="1" t="s">
        <v>427</v>
      </c>
      <c r="E380" s="1">
        <v>3</v>
      </c>
      <c r="F380" s="1">
        <f t="shared" si="42"/>
        <v>1</v>
      </c>
      <c r="G380" s="8">
        <f t="shared" si="39"/>
        <v>12</v>
      </c>
      <c r="H380" s="8" t="str">
        <f t="shared" si="42"/>
        <v>爪</v>
      </c>
      <c r="I380" s="8" t="e">
        <f ca="1">"["&amp;INT(getMinDes(B380))&amp;"-"&amp;INT(getMaxDes(B380))&amp;"]"&amp;getDesName(B380)&amp;" "&amp;getRandomNatureDes(K380)&amp;getSuitDes(B380)</f>
        <v>#VALUE!</v>
      </c>
      <c r="J380" s="1">
        <v>0</v>
      </c>
      <c r="K380" s="1">
        <v>4</v>
      </c>
      <c r="L380" s="1">
        <f t="shared" si="43"/>
        <v>9</v>
      </c>
      <c r="M380" s="1" t="str">
        <f ca="1">mVlookup(E380&amp;L380,装备名称!J$43:Z$74,H380,FALSE)</f>
        <v>IC1772</v>
      </c>
      <c r="N380" s="1" t="str">
        <f t="shared" si="40"/>
        <v>129</v>
      </c>
      <c r="O380" s="1">
        <f t="shared" si="41"/>
        <v>200378</v>
      </c>
    </row>
    <row r="381" spans="1:15" x14ac:dyDescent="0.15">
      <c r="A381" s="1">
        <v>379</v>
      </c>
      <c r="B381" s="1">
        <f t="shared" si="38"/>
        <v>103011300</v>
      </c>
      <c r="C381" s="1" t="str">
        <f t="shared" ca="1" si="44"/>
        <v>奥丁之剑</v>
      </c>
      <c r="D381" s="1" t="s">
        <v>427</v>
      </c>
      <c r="E381" s="1">
        <v>3</v>
      </c>
      <c r="F381" s="1">
        <f t="shared" si="42"/>
        <v>1</v>
      </c>
      <c r="G381" s="8">
        <f t="shared" si="39"/>
        <v>13</v>
      </c>
      <c r="H381" s="8" t="str">
        <f t="shared" si="42"/>
        <v>剑</v>
      </c>
      <c r="I381" s="8" t="e">
        <f ca="1">"["&amp;INT(getMinDes(B381))&amp;"-"&amp;INT(getMaxDes(B381))&amp;"]"&amp;getDesName(B381)&amp;" "&amp;getRandomNatureDes(K381)&amp;getSuitDes(B381)</f>
        <v>#VALUE!</v>
      </c>
      <c r="J381" s="1">
        <v>0</v>
      </c>
      <c r="K381" s="1">
        <v>4</v>
      </c>
      <c r="L381" s="1">
        <f t="shared" si="43"/>
        <v>1</v>
      </c>
      <c r="M381" s="1" t="str">
        <f ca="1">mVlookup(E381&amp;L381,装备名称!J$43:Z$74,H381,FALSE)</f>
        <v>IC1213</v>
      </c>
      <c r="N381" s="1" t="str">
        <f t="shared" si="40"/>
        <v>131</v>
      </c>
      <c r="O381" s="1">
        <f t="shared" si="41"/>
        <v>200379</v>
      </c>
    </row>
    <row r="382" spans="1:15" x14ac:dyDescent="0.15">
      <c r="A382" s="1">
        <v>380</v>
      </c>
      <c r="B382" s="1">
        <f t="shared" si="38"/>
        <v>103021300</v>
      </c>
      <c r="C382" s="1" t="str">
        <f t="shared" ca="1" si="44"/>
        <v>卢卡之剑</v>
      </c>
      <c r="D382" s="1" t="s">
        <v>427</v>
      </c>
      <c r="E382" s="1">
        <v>3</v>
      </c>
      <c r="F382" s="1">
        <f t="shared" si="42"/>
        <v>1</v>
      </c>
      <c r="G382" s="8">
        <f t="shared" si="39"/>
        <v>13</v>
      </c>
      <c r="H382" s="8" t="str">
        <f t="shared" si="42"/>
        <v>剑</v>
      </c>
      <c r="I382" s="8" t="e">
        <f ca="1">"["&amp;INT(getMinDes(B382))&amp;"-"&amp;INT(getMaxDes(B382))&amp;"]"&amp;getDesName(B382)&amp;" "&amp;getRandomNatureDes(K382)&amp;getSuitDes(B382)</f>
        <v>#VALUE!</v>
      </c>
      <c r="J382" s="1">
        <v>0</v>
      </c>
      <c r="K382" s="1">
        <v>4</v>
      </c>
      <c r="L382" s="1">
        <f t="shared" si="43"/>
        <v>2</v>
      </c>
      <c r="M382" s="1" t="str">
        <f ca="1">mVlookup(E382&amp;L382,装备名称!J$43:Z$74,H382,FALSE)</f>
        <v>IC1216</v>
      </c>
      <c r="N382" s="1" t="str">
        <f t="shared" si="40"/>
        <v>132</v>
      </c>
      <c r="O382" s="1">
        <f t="shared" si="41"/>
        <v>200380</v>
      </c>
    </row>
    <row r="383" spans="1:15" x14ac:dyDescent="0.15">
      <c r="A383" s="1">
        <v>381</v>
      </c>
      <c r="B383" s="1">
        <f t="shared" si="38"/>
        <v>103031300</v>
      </c>
      <c r="C383" s="1" t="str">
        <f t="shared" ca="1" si="44"/>
        <v>坎珀之剑</v>
      </c>
      <c r="D383" s="1" t="s">
        <v>427</v>
      </c>
      <c r="E383" s="1">
        <v>3</v>
      </c>
      <c r="F383" s="1">
        <f t="shared" si="42"/>
        <v>1</v>
      </c>
      <c r="G383" s="8">
        <f t="shared" si="39"/>
        <v>13</v>
      </c>
      <c r="H383" s="8" t="str">
        <f t="shared" si="42"/>
        <v>剑</v>
      </c>
      <c r="I383" s="8" t="e">
        <f ca="1">"["&amp;INT(getMinDes(B383))&amp;"-"&amp;INT(getMaxDes(B383))&amp;"]"&amp;getDesName(B383)&amp;" "&amp;getRandomNatureDes(K383)&amp;getSuitDes(B383)</f>
        <v>#VALUE!</v>
      </c>
      <c r="J383" s="1">
        <v>0</v>
      </c>
      <c r="K383" s="1">
        <v>4</v>
      </c>
      <c r="L383" s="1">
        <f t="shared" si="43"/>
        <v>3</v>
      </c>
      <c r="M383" s="1" t="str">
        <f ca="1">mVlookup(E383&amp;L383,装备名称!J$43:Z$74,H383,FALSE)</f>
        <v>IC1220</v>
      </c>
      <c r="N383" s="1" t="str">
        <f t="shared" si="40"/>
        <v>133</v>
      </c>
      <c r="O383" s="1">
        <f t="shared" si="41"/>
        <v>200381</v>
      </c>
    </row>
    <row r="384" spans="1:15" x14ac:dyDescent="0.15">
      <c r="A384" s="1">
        <v>382</v>
      </c>
      <c r="B384" s="1">
        <f t="shared" si="38"/>
        <v>103041300</v>
      </c>
      <c r="C384" s="1" t="str">
        <f t="shared" ca="1" si="44"/>
        <v>费恩之剑</v>
      </c>
      <c r="D384" s="1" t="s">
        <v>427</v>
      </c>
      <c r="E384" s="1">
        <v>3</v>
      </c>
      <c r="F384" s="1">
        <f t="shared" si="42"/>
        <v>1</v>
      </c>
      <c r="G384" s="8">
        <f t="shared" si="39"/>
        <v>13</v>
      </c>
      <c r="H384" s="8" t="str">
        <f t="shared" si="42"/>
        <v>剑</v>
      </c>
      <c r="I384" s="8" t="e">
        <f ca="1">"["&amp;INT(getMinDes(B384))&amp;"-"&amp;INT(getMaxDes(B384))&amp;"]"&amp;getDesName(B384)&amp;" "&amp;getRandomNatureDes(K384)&amp;getSuitDes(B384)</f>
        <v>#VALUE!</v>
      </c>
      <c r="J384" s="1">
        <v>0</v>
      </c>
      <c r="K384" s="1">
        <v>4</v>
      </c>
      <c r="L384" s="1">
        <f t="shared" si="43"/>
        <v>4</v>
      </c>
      <c r="M384" s="1" t="str">
        <f ca="1">mVlookup(E384&amp;L384,装备名称!J$43:Z$74,H384,FALSE)</f>
        <v>IC1222</v>
      </c>
      <c r="N384" s="1" t="str">
        <f t="shared" si="40"/>
        <v>134</v>
      </c>
      <c r="O384" s="1">
        <f t="shared" si="41"/>
        <v>200382</v>
      </c>
    </row>
    <row r="385" spans="1:15" x14ac:dyDescent="0.15">
      <c r="A385" s="1">
        <v>383</v>
      </c>
      <c r="B385" s="1">
        <f t="shared" si="38"/>
        <v>103051300</v>
      </c>
      <c r="C385" s="1" t="str">
        <f t="shared" ca="1" si="44"/>
        <v>迪马斯之剑</v>
      </c>
      <c r="D385" s="1" t="s">
        <v>427</v>
      </c>
      <c r="E385" s="1">
        <v>3</v>
      </c>
      <c r="F385" s="1">
        <f t="shared" si="42"/>
        <v>1</v>
      </c>
      <c r="G385" s="8">
        <f t="shared" si="39"/>
        <v>13</v>
      </c>
      <c r="H385" s="8" t="str">
        <f t="shared" si="42"/>
        <v>剑</v>
      </c>
      <c r="I385" s="8" t="e">
        <f ca="1">"["&amp;INT(getMinDes(B385))&amp;"-"&amp;INT(getMaxDes(B385))&amp;"]"&amp;getDesName(B385)&amp;" "&amp;getRandomNatureDes(K385)&amp;getSuitDes(B385)</f>
        <v>#VALUE!</v>
      </c>
      <c r="J385" s="1">
        <v>0</v>
      </c>
      <c r="K385" s="1">
        <v>4</v>
      </c>
      <c r="L385" s="1">
        <f t="shared" si="43"/>
        <v>5</v>
      </c>
      <c r="M385" s="1" t="str">
        <f ca="1">mVlookup(E385&amp;L385,装备名称!J$43:Z$74,H385,FALSE)</f>
        <v>IC1228</v>
      </c>
      <c r="N385" s="1" t="str">
        <f t="shared" si="40"/>
        <v>135</v>
      </c>
      <c r="O385" s="1">
        <f t="shared" si="41"/>
        <v>200383</v>
      </c>
    </row>
    <row r="386" spans="1:15" x14ac:dyDescent="0.15">
      <c r="A386" s="1">
        <v>384</v>
      </c>
      <c r="B386" s="1">
        <f t="shared" si="38"/>
        <v>103061300</v>
      </c>
      <c r="C386" s="1" t="str">
        <f t="shared" ca="1" si="44"/>
        <v>酒神之剑</v>
      </c>
      <c r="D386" s="1" t="s">
        <v>427</v>
      </c>
      <c r="E386" s="1">
        <v>3</v>
      </c>
      <c r="F386" s="1">
        <f t="shared" si="42"/>
        <v>1</v>
      </c>
      <c r="G386" s="8">
        <f t="shared" si="39"/>
        <v>13</v>
      </c>
      <c r="H386" s="8" t="str">
        <f t="shared" si="42"/>
        <v>剑</v>
      </c>
      <c r="I386" s="8" t="e">
        <f ca="1">"["&amp;INT(getMinDes(B386))&amp;"-"&amp;INT(getMaxDes(B386))&amp;"]"&amp;getDesName(B386)&amp;" "&amp;getRandomNatureDes(K386)&amp;getSuitDes(B386)</f>
        <v>#VALUE!</v>
      </c>
      <c r="J386" s="1">
        <v>0</v>
      </c>
      <c r="K386" s="1">
        <v>4</v>
      </c>
      <c r="L386" s="1">
        <f t="shared" si="43"/>
        <v>6</v>
      </c>
      <c r="M386" s="1" t="str">
        <f ca="1">mVlookup(E386&amp;L386,装备名称!J$43:Z$74,H386,FALSE)</f>
        <v>IC1235</v>
      </c>
      <c r="N386" s="1" t="str">
        <f t="shared" si="40"/>
        <v>136</v>
      </c>
      <c r="O386" s="1">
        <f t="shared" si="41"/>
        <v>200384</v>
      </c>
    </row>
    <row r="387" spans="1:15" x14ac:dyDescent="0.15">
      <c r="A387" s="1">
        <v>385</v>
      </c>
      <c r="B387" s="1">
        <f t="shared" si="38"/>
        <v>103071300</v>
      </c>
      <c r="C387" s="1" t="str">
        <f t="shared" ca="1" si="44"/>
        <v>缪斯之剑</v>
      </c>
      <c r="D387" s="1" t="s">
        <v>427</v>
      </c>
      <c r="E387" s="1">
        <v>3</v>
      </c>
      <c r="F387" s="1">
        <f t="shared" si="42"/>
        <v>1</v>
      </c>
      <c r="G387" s="8">
        <f t="shared" si="39"/>
        <v>13</v>
      </c>
      <c r="H387" s="8" t="str">
        <f t="shared" si="42"/>
        <v>剑</v>
      </c>
      <c r="I387" s="8" t="e">
        <f ca="1">"["&amp;INT(getMinDes(B387))&amp;"-"&amp;INT(getMaxDes(B387))&amp;"]"&amp;getDesName(B387)&amp;" "&amp;getRandomNatureDes(K387)&amp;getSuitDes(B387)</f>
        <v>#VALUE!</v>
      </c>
      <c r="J387" s="1">
        <v>0</v>
      </c>
      <c r="K387" s="1">
        <v>4</v>
      </c>
      <c r="L387" s="1">
        <f t="shared" si="43"/>
        <v>7</v>
      </c>
      <c r="M387" s="1" t="str">
        <f ca="1">mVlookup(E387&amp;L387,装备名称!J$43:Z$74,H387,FALSE)</f>
        <v>IC1236</v>
      </c>
      <c r="N387" s="1" t="str">
        <f t="shared" si="40"/>
        <v>137</v>
      </c>
      <c r="O387" s="1">
        <f t="shared" si="41"/>
        <v>200385</v>
      </c>
    </row>
    <row r="388" spans="1:15" x14ac:dyDescent="0.15">
      <c r="A388" s="1">
        <v>386</v>
      </c>
      <c r="B388" s="1">
        <f t="shared" ref="B388:B446" si="45">F388*100000000+E388*1000000+L388*10000+G388*100+J388</f>
        <v>103081300</v>
      </c>
      <c r="C388" s="1" t="str">
        <f t="shared" ca="1" si="44"/>
        <v>潘多拉之剑</v>
      </c>
      <c r="D388" s="1" t="s">
        <v>427</v>
      </c>
      <c r="E388" s="1">
        <v>3</v>
      </c>
      <c r="F388" s="1">
        <f t="shared" si="42"/>
        <v>1</v>
      </c>
      <c r="G388" s="8">
        <f t="shared" ref="G388:G446" si="46">VLOOKUP(H388,S$12:T$26,2,FALSE)</f>
        <v>13</v>
      </c>
      <c r="H388" s="8" t="str">
        <f t="shared" si="42"/>
        <v>剑</v>
      </c>
      <c r="I388" s="8" t="e">
        <f ca="1">"["&amp;INT(getMinDes(B388))&amp;"-"&amp;INT(getMaxDes(B388))&amp;"]"&amp;getDesName(B388)&amp;" "&amp;getRandomNatureDes(K388)&amp;getSuitDes(B388)</f>
        <v>#VALUE!</v>
      </c>
      <c r="J388" s="1">
        <v>0</v>
      </c>
      <c r="K388" s="1">
        <v>4</v>
      </c>
      <c r="L388" s="1">
        <f t="shared" si="43"/>
        <v>8</v>
      </c>
      <c r="M388" s="1" t="str">
        <f ca="1">mVlookup(E388&amp;L388,装备名称!J$43:Z$74,H388,FALSE)</f>
        <v>IC1237</v>
      </c>
      <c r="N388" s="1" t="str">
        <f t="shared" ref="N388:N446" si="47">G388&amp;L388</f>
        <v>138</v>
      </c>
      <c r="O388" s="1">
        <f t="shared" si="41"/>
        <v>200386</v>
      </c>
    </row>
    <row r="389" spans="1:15" x14ac:dyDescent="0.15">
      <c r="A389" s="1">
        <v>387</v>
      </c>
      <c r="B389" s="1">
        <f t="shared" si="45"/>
        <v>103091300</v>
      </c>
      <c r="C389" s="1" t="str">
        <f t="shared" ca="1" si="44"/>
        <v>海格力斯</v>
      </c>
      <c r="D389" s="1" t="s">
        <v>427</v>
      </c>
      <c r="E389" s="1">
        <v>3</v>
      </c>
      <c r="F389" s="1">
        <f t="shared" si="42"/>
        <v>1</v>
      </c>
      <c r="G389" s="8">
        <f t="shared" si="46"/>
        <v>13</v>
      </c>
      <c r="H389" s="8" t="str">
        <f t="shared" si="42"/>
        <v>剑</v>
      </c>
      <c r="I389" s="8" t="e">
        <f ca="1">"["&amp;INT(getMinDes(B389))&amp;"-"&amp;INT(getMaxDes(B389))&amp;"]"&amp;getDesName(B389)&amp;" "&amp;getRandomNatureDes(K389)&amp;getSuitDes(B389)</f>
        <v>#VALUE!</v>
      </c>
      <c r="J389" s="1">
        <v>0</v>
      </c>
      <c r="K389" s="1">
        <v>4</v>
      </c>
      <c r="L389" s="1">
        <f t="shared" si="43"/>
        <v>9</v>
      </c>
      <c r="M389" s="1" t="str">
        <f ca="1">mVlookup(E389&amp;L389,装备名称!J$43:Z$74,H389,FALSE)</f>
        <v>IC1238</v>
      </c>
      <c r="N389" s="1" t="str">
        <f t="shared" si="47"/>
        <v>139</v>
      </c>
      <c r="O389" s="1">
        <f t="shared" ref="O389:O446" si="48">O388+1</f>
        <v>200387</v>
      </c>
    </row>
    <row r="390" spans="1:15" x14ac:dyDescent="0.15">
      <c r="A390" s="1">
        <v>388</v>
      </c>
      <c r="B390" s="1">
        <f t="shared" si="45"/>
        <v>203011400</v>
      </c>
      <c r="C390" s="1" t="str">
        <f t="shared" ca="1" si="44"/>
        <v>希尔戒指</v>
      </c>
      <c r="D390" s="1" t="s">
        <v>427</v>
      </c>
      <c r="E390" s="1">
        <v>3</v>
      </c>
      <c r="F390" s="1">
        <f t="shared" si="42"/>
        <v>2</v>
      </c>
      <c r="G390" s="8">
        <f t="shared" si="46"/>
        <v>14</v>
      </c>
      <c r="H390" s="8" t="str">
        <f t="shared" si="42"/>
        <v>戒指</v>
      </c>
      <c r="I390" s="8" t="e">
        <f ca="1">"["&amp;INT(getMinDes(B390))&amp;"-"&amp;INT(getMaxDes(B390))&amp;"]"&amp;getDesName(B390)&amp;" "&amp;getRandomNatureDes(K390)&amp;getSuitDes(B390)</f>
        <v>#VALUE!</v>
      </c>
      <c r="J390" s="1">
        <v>0</v>
      </c>
      <c r="K390" s="1">
        <v>4</v>
      </c>
      <c r="L390" s="1">
        <f t="shared" si="43"/>
        <v>1</v>
      </c>
      <c r="M390" s="1" t="str">
        <f ca="1">mVlookup(E390&amp;L390,装备名称!J$43:Z$74,H390,FALSE)</f>
        <v>IC1743</v>
      </c>
      <c r="N390" s="1" t="str">
        <f t="shared" si="47"/>
        <v>141</v>
      </c>
      <c r="O390" s="1">
        <f t="shared" si="48"/>
        <v>200388</v>
      </c>
    </row>
    <row r="391" spans="1:15" x14ac:dyDescent="0.15">
      <c r="A391" s="1">
        <v>389</v>
      </c>
      <c r="B391" s="1">
        <f t="shared" si="45"/>
        <v>203021400</v>
      </c>
      <c r="C391" s="1" t="str">
        <f t="shared" ca="1" si="44"/>
        <v>阿蒙之星</v>
      </c>
      <c r="D391" s="1" t="s">
        <v>427</v>
      </c>
      <c r="E391" s="1">
        <v>3</v>
      </c>
      <c r="F391" s="1">
        <f t="shared" si="42"/>
        <v>2</v>
      </c>
      <c r="G391" s="8">
        <f t="shared" si="46"/>
        <v>14</v>
      </c>
      <c r="H391" s="8" t="str">
        <f t="shared" si="42"/>
        <v>戒指</v>
      </c>
      <c r="I391" s="8" t="e">
        <f ca="1">"["&amp;INT(getMinDes(B391))&amp;"-"&amp;INT(getMaxDes(B391))&amp;"]"&amp;getDesName(B391)&amp;" "&amp;getRandomNatureDes(K391)&amp;getSuitDes(B391)</f>
        <v>#VALUE!</v>
      </c>
      <c r="J391" s="1">
        <v>0</v>
      </c>
      <c r="K391" s="1">
        <v>4</v>
      </c>
      <c r="L391" s="1">
        <f t="shared" si="43"/>
        <v>2</v>
      </c>
      <c r="M391" s="1" t="str">
        <f ca="1">mVlookup(E391&amp;L391,装备名称!J$43:Z$74,H391,FALSE)</f>
        <v>IC1744</v>
      </c>
      <c r="N391" s="1" t="str">
        <f t="shared" si="47"/>
        <v>142</v>
      </c>
      <c r="O391" s="1">
        <f t="shared" si="48"/>
        <v>200389</v>
      </c>
    </row>
    <row r="392" spans="1:15" x14ac:dyDescent="0.15">
      <c r="A392" s="1">
        <v>390</v>
      </c>
      <c r="B392" s="1">
        <f t="shared" si="45"/>
        <v>203031400</v>
      </c>
      <c r="C392" s="1" t="str">
        <f t="shared" ca="1" si="44"/>
        <v>阿尔泰亚</v>
      </c>
      <c r="D392" s="1" t="s">
        <v>427</v>
      </c>
      <c r="E392" s="1">
        <v>3</v>
      </c>
      <c r="F392" s="1">
        <f t="shared" si="42"/>
        <v>2</v>
      </c>
      <c r="G392" s="8">
        <f t="shared" si="46"/>
        <v>14</v>
      </c>
      <c r="H392" s="8" t="str">
        <f t="shared" si="42"/>
        <v>戒指</v>
      </c>
      <c r="I392" s="8" t="e">
        <f ca="1">"["&amp;INT(getMinDes(B392))&amp;"-"&amp;INT(getMaxDes(B392))&amp;"]"&amp;getDesName(B392)&amp;" "&amp;getRandomNatureDes(K392)&amp;getSuitDes(B392)</f>
        <v>#VALUE!</v>
      </c>
      <c r="J392" s="1">
        <v>0</v>
      </c>
      <c r="K392" s="1">
        <v>4</v>
      </c>
      <c r="L392" s="1">
        <f t="shared" si="43"/>
        <v>3</v>
      </c>
      <c r="M392" s="1" t="str">
        <f ca="1">mVlookup(E392&amp;L392,装备名称!J$43:Z$74,H392,FALSE)</f>
        <v>IC1745</v>
      </c>
      <c r="N392" s="1" t="str">
        <f t="shared" si="47"/>
        <v>143</v>
      </c>
      <c r="O392" s="1">
        <f t="shared" si="48"/>
        <v>200390</v>
      </c>
    </row>
    <row r="393" spans="1:15" x14ac:dyDescent="0.15">
      <c r="A393" s="1">
        <v>391</v>
      </c>
      <c r="B393" s="1">
        <f t="shared" si="45"/>
        <v>203041400</v>
      </c>
      <c r="C393" s="1" t="str">
        <f t="shared" ca="1" si="44"/>
        <v>卡尔卡斯</v>
      </c>
      <c r="D393" s="1" t="s">
        <v>427</v>
      </c>
      <c r="E393" s="1">
        <v>3</v>
      </c>
      <c r="F393" s="1">
        <f t="shared" si="42"/>
        <v>2</v>
      </c>
      <c r="G393" s="8">
        <f t="shared" si="46"/>
        <v>14</v>
      </c>
      <c r="H393" s="8" t="str">
        <f t="shared" si="42"/>
        <v>戒指</v>
      </c>
      <c r="I393" s="8" t="e">
        <f ca="1">"["&amp;INT(getMinDes(B393))&amp;"-"&amp;INT(getMaxDes(B393))&amp;"]"&amp;getDesName(B393)&amp;" "&amp;getRandomNatureDes(K393)&amp;getSuitDes(B393)</f>
        <v>#VALUE!</v>
      </c>
      <c r="J393" s="1">
        <v>0</v>
      </c>
      <c r="K393" s="1">
        <v>4</v>
      </c>
      <c r="L393" s="1">
        <f t="shared" si="43"/>
        <v>4</v>
      </c>
      <c r="M393" s="1" t="str">
        <f ca="1">mVlookup(E393&amp;L393,装备名称!J$43:Z$74,H393,FALSE)</f>
        <v>IC1778</v>
      </c>
      <c r="N393" s="1" t="str">
        <f t="shared" si="47"/>
        <v>144</v>
      </c>
      <c r="O393" s="1">
        <f t="shared" si="48"/>
        <v>200391</v>
      </c>
    </row>
    <row r="394" spans="1:15" x14ac:dyDescent="0.15">
      <c r="A394" s="1">
        <v>392</v>
      </c>
      <c r="B394" s="1">
        <f t="shared" si="45"/>
        <v>203051400</v>
      </c>
      <c r="C394" s="1" t="str">
        <f t="shared" ca="1" si="44"/>
        <v>拉米亚之戒</v>
      </c>
      <c r="D394" s="1" t="s">
        <v>427</v>
      </c>
      <c r="E394" s="1">
        <v>3</v>
      </c>
      <c r="F394" s="1">
        <f t="shared" si="42"/>
        <v>2</v>
      </c>
      <c r="G394" s="8">
        <f t="shared" si="46"/>
        <v>14</v>
      </c>
      <c r="H394" s="8" t="str">
        <f t="shared" si="42"/>
        <v>戒指</v>
      </c>
      <c r="I394" s="8" t="e">
        <f ca="1">"["&amp;INT(getMinDes(B394))&amp;"-"&amp;INT(getMaxDes(B394))&amp;"]"&amp;getDesName(B394)&amp;" "&amp;getRandomNatureDes(K394)&amp;getSuitDes(B394)</f>
        <v>#VALUE!</v>
      </c>
      <c r="J394" s="1">
        <v>0</v>
      </c>
      <c r="K394" s="1">
        <v>4</v>
      </c>
      <c r="L394" s="1">
        <f t="shared" si="43"/>
        <v>5</v>
      </c>
      <c r="M394" s="1" t="str">
        <f ca="1">mVlookup(E394&amp;L394,装备名称!J$43:Z$74,H394,FALSE)</f>
        <v>IC1779</v>
      </c>
      <c r="N394" s="1" t="str">
        <f t="shared" si="47"/>
        <v>145</v>
      </c>
      <c r="O394" s="1">
        <f t="shared" si="48"/>
        <v>200392</v>
      </c>
    </row>
    <row r="395" spans="1:15" x14ac:dyDescent="0.15">
      <c r="A395" s="1">
        <v>393</v>
      </c>
      <c r="B395" s="1">
        <f t="shared" si="45"/>
        <v>203061400</v>
      </c>
      <c r="C395" s="1" t="str">
        <f t="shared" ca="1" si="44"/>
        <v>西农</v>
      </c>
      <c r="D395" s="1" t="s">
        <v>427</v>
      </c>
      <c r="E395" s="1">
        <v>3</v>
      </c>
      <c r="F395" s="1">
        <f t="shared" ref="F395:H407" si="49">F260</f>
        <v>2</v>
      </c>
      <c r="G395" s="8">
        <f t="shared" si="46"/>
        <v>14</v>
      </c>
      <c r="H395" s="8" t="str">
        <f t="shared" si="49"/>
        <v>戒指</v>
      </c>
      <c r="I395" s="8" t="e">
        <f ca="1">"["&amp;INT(getMinDes(B395))&amp;"-"&amp;INT(getMaxDes(B395))&amp;"]"&amp;getDesName(B395)&amp;" "&amp;getRandomNatureDes(K395)&amp;getSuitDes(B395)</f>
        <v>#VALUE!</v>
      </c>
      <c r="J395" s="1">
        <v>0</v>
      </c>
      <c r="K395" s="1">
        <v>4</v>
      </c>
      <c r="L395" s="1">
        <f t="shared" ref="L395:L407" si="50">L260</f>
        <v>6</v>
      </c>
      <c r="M395" s="1" t="str">
        <f ca="1">mVlookup(E395&amp;L395,装备名称!J$43:Z$74,H395,FALSE)</f>
        <v>IC1795</v>
      </c>
      <c r="N395" s="1" t="str">
        <f t="shared" si="47"/>
        <v>146</v>
      </c>
      <c r="O395" s="1">
        <f t="shared" si="48"/>
        <v>200393</v>
      </c>
    </row>
    <row r="396" spans="1:15" x14ac:dyDescent="0.15">
      <c r="A396" s="1">
        <v>394</v>
      </c>
      <c r="B396" s="1">
        <f t="shared" si="45"/>
        <v>203071400</v>
      </c>
      <c r="C396" s="1" t="str">
        <f t="shared" ca="1" si="44"/>
        <v>血魔之戒</v>
      </c>
      <c r="D396" s="1" t="s">
        <v>427</v>
      </c>
      <c r="E396" s="1">
        <v>3</v>
      </c>
      <c r="F396" s="1">
        <f t="shared" si="49"/>
        <v>2</v>
      </c>
      <c r="G396" s="8">
        <f t="shared" si="46"/>
        <v>14</v>
      </c>
      <c r="H396" s="8" t="str">
        <f t="shared" si="49"/>
        <v>戒指</v>
      </c>
      <c r="I396" s="8" t="e">
        <f ca="1">"["&amp;INT(getMinDes(B396))&amp;"-"&amp;INT(getMaxDes(B396))&amp;"]"&amp;getDesName(B396)&amp;" "&amp;getRandomNatureDes(K396)&amp;getSuitDes(B396)</f>
        <v>#VALUE!</v>
      </c>
      <c r="J396" s="1">
        <v>0</v>
      </c>
      <c r="K396" s="1">
        <v>4</v>
      </c>
      <c r="L396" s="1">
        <f t="shared" si="50"/>
        <v>7</v>
      </c>
      <c r="M396" s="1" t="str">
        <f ca="1">mVlookup(E396&amp;L396,装备名称!J$43:Z$74,H396,FALSE)</f>
        <v>IC1743</v>
      </c>
      <c r="N396" s="1" t="str">
        <f t="shared" si="47"/>
        <v>147</v>
      </c>
      <c r="O396" s="1">
        <f t="shared" si="48"/>
        <v>200394</v>
      </c>
    </row>
    <row r="397" spans="1:15" x14ac:dyDescent="0.15">
      <c r="A397" s="1">
        <v>395</v>
      </c>
      <c r="B397" s="1">
        <f t="shared" si="45"/>
        <v>203081400</v>
      </c>
      <c r="C397" s="1" t="str">
        <f t="shared" ca="1" si="44"/>
        <v>多隆之眼</v>
      </c>
      <c r="D397" s="1" t="s">
        <v>427</v>
      </c>
      <c r="E397" s="1">
        <v>3</v>
      </c>
      <c r="F397" s="1">
        <f t="shared" si="49"/>
        <v>2</v>
      </c>
      <c r="G397" s="8">
        <f t="shared" si="46"/>
        <v>14</v>
      </c>
      <c r="H397" s="8" t="str">
        <f t="shared" si="49"/>
        <v>戒指</v>
      </c>
      <c r="I397" s="8" t="e">
        <f ca="1">"["&amp;INT(getMinDes(B397))&amp;"-"&amp;INT(getMaxDes(B397))&amp;"]"&amp;getDesName(B397)&amp;" "&amp;getRandomNatureDes(K397)&amp;getSuitDes(B397)</f>
        <v>#VALUE!</v>
      </c>
      <c r="J397" s="1">
        <v>0</v>
      </c>
      <c r="K397" s="1">
        <v>4</v>
      </c>
      <c r="L397" s="1">
        <f t="shared" si="50"/>
        <v>8</v>
      </c>
      <c r="M397" s="1" t="str">
        <f ca="1">mVlookup(E397&amp;L397,装备名称!J$43:Z$74,H397,FALSE)</f>
        <v>IC1744</v>
      </c>
      <c r="N397" s="1" t="str">
        <f t="shared" si="47"/>
        <v>148</v>
      </c>
      <c r="O397" s="1">
        <f t="shared" si="48"/>
        <v>200395</v>
      </c>
    </row>
    <row r="398" spans="1:15" x14ac:dyDescent="0.15">
      <c r="A398" s="1">
        <v>396</v>
      </c>
      <c r="B398" s="1">
        <f t="shared" si="45"/>
        <v>203091400</v>
      </c>
      <c r="C398" s="1" t="str">
        <f t="shared" ca="1" si="44"/>
        <v>迅战戒指</v>
      </c>
      <c r="D398" s="1" t="s">
        <v>427</v>
      </c>
      <c r="E398" s="1">
        <v>3</v>
      </c>
      <c r="F398" s="1">
        <f t="shared" si="49"/>
        <v>2</v>
      </c>
      <c r="G398" s="8">
        <f t="shared" si="46"/>
        <v>14</v>
      </c>
      <c r="H398" s="8" t="str">
        <f t="shared" si="49"/>
        <v>戒指</v>
      </c>
      <c r="I398" s="8" t="e">
        <f ca="1">"["&amp;INT(getMinDes(B398))&amp;"-"&amp;INT(getMaxDes(B398))&amp;"]"&amp;getDesName(B398)&amp;" "&amp;getRandomNatureDes(K398)&amp;getSuitDes(B398)</f>
        <v>#VALUE!</v>
      </c>
      <c r="J398" s="1">
        <v>0</v>
      </c>
      <c r="K398" s="1">
        <v>4</v>
      </c>
      <c r="L398" s="1">
        <f t="shared" si="50"/>
        <v>9</v>
      </c>
      <c r="M398" s="1" t="str">
        <f ca="1">mVlookup(E398&amp;L398,装备名称!J$43:Z$74,H398,FALSE)</f>
        <v>IC1745</v>
      </c>
      <c r="N398" s="1" t="str">
        <f t="shared" si="47"/>
        <v>149</v>
      </c>
      <c r="O398" s="1">
        <f t="shared" si="48"/>
        <v>200396</v>
      </c>
    </row>
    <row r="399" spans="1:15" x14ac:dyDescent="0.15">
      <c r="A399" s="1">
        <v>397</v>
      </c>
      <c r="B399" s="1">
        <f t="shared" si="45"/>
        <v>303011500</v>
      </c>
      <c r="C399" s="1" t="str">
        <f t="shared" ca="1" si="44"/>
        <v>卡尔斯项链</v>
      </c>
      <c r="D399" s="1" t="s">
        <v>427</v>
      </c>
      <c r="E399" s="1">
        <v>3</v>
      </c>
      <c r="F399" s="1">
        <f t="shared" si="49"/>
        <v>3</v>
      </c>
      <c r="G399" s="8">
        <f t="shared" si="46"/>
        <v>15</v>
      </c>
      <c r="H399" s="8" t="str">
        <f t="shared" si="49"/>
        <v>项链</v>
      </c>
      <c r="I399" s="8" t="e">
        <f ca="1">"["&amp;INT(getMinDes(B399))&amp;"-"&amp;INT(getMaxDes(B399))&amp;"]"&amp;getDesName(B399)&amp;" "&amp;getRandomNatureDes(K399)&amp;getSuitDes(B399)</f>
        <v>#VALUE!</v>
      </c>
      <c r="J399" s="1">
        <v>0</v>
      </c>
      <c r="K399" s="1">
        <v>4</v>
      </c>
      <c r="L399" s="1">
        <f t="shared" si="50"/>
        <v>1</v>
      </c>
      <c r="M399" s="1" t="str">
        <f ca="1">mVlookup(E399&amp;L399,装备名称!J$43:Z$74,H399,FALSE)</f>
        <v>IC1742</v>
      </c>
      <c r="N399" s="1" t="str">
        <f t="shared" si="47"/>
        <v>151</v>
      </c>
      <c r="O399" s="1">
        <f t="shared" si="48"/>
        <v>200397</v>
      </c>
    </row>
    <row r="400" spans="1:15" x14ac:dyDescent="0.15">
      <c r="A400" s="1">
        <v>398</v>
      </c>
      <c r="B400" s="1">
        <f t="shared" si="45"/>
        <v>303021500</v>
      </c>
      <c r="C400" s="1" t="str">
        <f t="shared" ca="1" si="44"/>
        <v>亚马逊人</v>
      </c>
      <c r="D400" s="1" t="s">
        <v>427</v>
      </c>
      <c r="E400" s="1">
        <v>3</v>
      </c>
      <c r="F400" s="1">
        <f t="shared" si="49"/>
        <v>3</v>
      </c>
      <c r="G400" s="8">
        <f t="shared" si="46"/>
        <v>15</v>
      </c>
      <c r="H400" s="8" t="str">
        <f t="shared" si="49"/>
        <v>项链</v>
      </c>
      <c r="I400" s="8" t="e">
        <f ca="1">"["&amp;INT(getMinDes(B400))&amp;"-"&amp;INT(getMaxDes(B400))&amp;"]"&amp;getDesName(B400)&amp;" "&amp;getRandomNatureDes(K400)&amp;getSuitDes(B400)</f>
        <v>#VALUE!</v>
      </c>
      <c r="J400" s="1">
        <v>0</v>
      </c>
      <c r="K400" s="1">
        <v>4</v>
      </c>
      <c r="L400" s="1">
        <f t="shared" si="50"/>
        <v>2</v>
      </c>
      <c r="M400" s="1" t="str">
        <f ca="1">mVlookup(E400&amp;L400,装备名称!J$43:Z$74,H400,FALSE)</f>
        <v>IC1895</v>
      </c>
      <c r="N400" s="1" t="str">
        <f t="shared" si="47"/>
        <v>152</v>
      </c>
      <c r="O400" s="1">
        <f t="shared" si="48"/>
        <v>200398</v>
      </c>
    </row>
    <row r="401" spans="1:16" x14ac:dyDescent="0.15">
      <c r="A401" s="1">
        <v>399</v>
      </c>
      <c r="B401" s="1">
        <f t="shared" si="45"/>
        <v>303031500</v>
      </c>
      <c r="C401" s="1" t="str">
        <f t="shared" ref="C401:C407" ca="1" si="51">mVlookup(L401,INDIRECT(D401),H401,FALSE)</f>
        <v>比奥斯</v>
      </c>
      <c r="D401" s="1" t="s">
        <v>427</v>
      </c>
      <c r="E401" s="1">
        <v>3</v>
      </c>
      <c r="F401" s="1">
        <f t="shared" si="49"/>
        <v>3</v>
      </c>
      <c r="G401" s="8">
        <f t="shared" si="46"/>
        <v>15</v>
      </c>
      <c r="H401" s="8" t="str">
        <f t="shared" si="49"/>
        <v>项链</v>
      </c>
      <c r="I401" s="8" t="e">
        <f ca="1">"["&amp;INT(getMinDes(B401))&amp;"-"&amp;INT(getMaxDes(B401))&amp;"]"&amp;getDesName(B401)&amp;" "&amp;getRandomNatureDes(K401)&amp;getSuitDes(B401)</f>
        <v>#VALUE!</v>
      </c>
      <c r="J401" s="1">
        <v>0</v>
      </c>
      <c r="K401" s="1">
        <v>4</v>
      </c>
      <c r="L401" s="1">
        <f t="shared" si="50"/>
        <v>3</v>
      </c>
      <c r="M401" s="1" t="str">
        <f ca="1">mVlookup(E401&amp;L401,装备名称!J$43:Z$74,H401,FALSE)</f>
        <v>IC1898</v>
      </c>
      <c r="N401" s="1" t="str">
        <f t="shared" si="47"/>
        <v>153</v>
      </c>
      <c r="O401" s="1">
        <f t="shared" si="48"/>
        <v>200399</v>
      </c>
    </row>
    <row r="402" spans="1:16" x14ac:dyDescent="0.15">
      <c r="A402" s="1">
        <v>400</v>
      </c>
      <c r="B402" s="1">
        <f t="shared" si="45"/>
        <v>303041500</v>
      </c>
      <c r="C402" s="1" t="str">
        <f t="shared" ca="1" si="51"/>
        <v>卢比项链</v>
      </c>
      <c r="D402" s="1" t="s">
        <v>427</v>
      </c>
      <c r="E402" s="1">
        <v>3</v>
      </c>
      <c r="F402" s="1">
        <f t="shared" si="49"/>
        <v>3</v>
      </c>
      <c r="G402" s="8">
        <f t="shared" si="46"/>
        <v>15</v>
      </c>
      <c r="H402" s="8" t="str">
        <f t="shared" si="49"/>
        <v>项链</v>
      </c>
      <c r="I402" s="8" t="e">
        <f ca="1">"["&amp;INT(getMinDes(B402))&amp;"-"&amp;INT(getMaxDes(B402))&amp;"]"&amp;getDesName(B402)&amp;" "&amp;getRandomNatureDes(K402)&amp;getSuitDes(B402)</f>
        <v>#VALUE!</v>
      </c>
      <c r="J402" s="1">
        <v>0</v>
      </c>
      <c r="K402" s="1">
        <v>4</v>
      </c>
      <c r="L402" s="1">
        <f t="shared" si="50"/>
        <v>4</v>
      </c>
      <c r="M402" s="1" t="str">
        <f ca="1">mVlookup(E402&amp;L402,装备名称!J$43:Z$74,H402,FALSE)</f>
        <v>IC1900</v>
      </c>
      <c r="N402" s="1" t="str">
        <f t="shared" si="47"/>
        <v>154</v>
      </c>
      <c r="O402" s="1">
        <f t="shared" si="48"/>
        <v>200400</v>
      </c>
    </row>
    <row r="403" spans="1:16" x14ac:dyDescent="0.15">
      <c r="A403" s="1">
        <v>401</v>
      </c>
      <c r="B403" s="1">
        <f t="shared" si="45"/>
        <v>303051500</v>
      </c>
      <c r="C403" s="1" t="str">
        <f t="shared" ca="1" si="51"/>
        <v>萨耳珀冬</v>
      </c>
      <c r="D403" s="1" t="s">
        <v>427</v>
      </c>
      <c r="E403" s="1">
        <v>3</v>
      </c>
      <c r="F403" s="1">
        <f t="shared" si="49"/>
        <v>3</v>
      </c>
      <c r="G403" s="8">
        <f t="shared" si="46"/>
        <v>15</v>
      </c>
      <c r="H403" s="8" t="str">
        <f t="shared" si="49"/>
        <v>项链</v>
      </c>
      <c r="I403" s="8" t="e">
        <f ca="1">"["&amp;INT(getMinDes(B403))&amp;"-"&amp;INT(getMaxDes(B403))&amp;"]"&amp;getDesName(B403)&amp;" "&amp;getRandomNatureDes(K403)&amp;getSuitDes(B403)</f>
        <v>#VALUE!</v>
      </c>
      <c r="J403" s="1">
        <v>0</v>
      </c>
      <c r="K403" s="1">
        <v>4</v>
      </c>
      <c r="L403" s="1">
        <f t="shared" si="50"/>
        <v>5</v>
      </c>
      <c r="M403" s="1" t="str">
        <f ca="1">mVlookup(E403&amp;L403,装备名称!J$43:Z$74,H403,FALSE)</f>
        <v>IC1924</v>
      </c>
      <c r="N403" s="1" t="str">
        <f t="shared" si="47"/>
        <v>155</v>
      </c>
      <c r="O403" s="1">
        <f t="shared" si="48"/>
        <v>200401</v>
      </c>
    </row>
    <row r="404" spans="1:16" x14ac:dyDescent="0.15">
      <c r="A404" s="1">
        <v>402</v>
      </c>
      <c r="B404" s="1">
        <f t="shared" si="45"/>
        <v>303061500</v>
      </c>
      <c r="C404" s="1" t="str">
        <f t="shared" ca="1" si="51"/>
        <v>乌拉尼亚</v>
      </c>
      <c r="D404" s="1" t="s">
        <v>427</v>
      </c>
      <c r="E404" s="1">
        <v>3</v>
      </c>
      <c r="F404" s="1">
        <f t="shared" si="49"/>
        <v>3</v>
      </c>
      <c r="G404" s="8">
        <f t="shared" si="46"/>
        <v>15</v>
      </c>
      <c r="H404" s="8" t="str">
        <f t="shared" si="49"/>
        <v>项链</v>
      </c>
      <c r="I404" s="8" t="e">
        <f ca="1">"["&amp;INT(getMinDes(B404))&amp;"-"&amp;INT(getMaxDes(B404))&amp;"]"&amp;getDesName(B404)&amp;" "&amp;getRandomNatureDes(K404)&amp;getSuitDes(B404)</f>
        <v>#VALUE!</v>
      </c>
      <c r="J404" s="1">
        <v>0</v>
      </c>
      <c r="K404" s="1">
        <v>4</v>
      </c>
      <c r="L404" s="1">
        <f t="shared" si="50"/>
        <v>6</v>
      </c>
      <c r="M404" s="1" t="str">
        <f ca="1">mVlookup(E404&amp;L404,装备名称!J$43:Z$74,H404,FALSE)</f>
        <v>IC1742</v>
      </c>
      <c r="N404" s="1" t="str">
        <f t="shared" si="47"/>
        <v>156</v>
      </c>
      <c r="O404" s="1">
        <f t="shared" si="48"/>
        <v>200402</v>
      </c>
    </row>
    <row r="405" spans="1:16" x14ac:dyDescent="0.15">
      <c r="A405" s="1">
        <v>403</v>
      </c>
      <c r="B405" s="1">
        <f t="shared" si="45"/>
        <v>303071500</v>
      </c>
      <c r="C405" s="1" t="str">
        <f t="shared" ca="1" si="51"/>
        <v>斯库卡吊坠</v>
      </c>
      <c r="D405" s="1" t="s">
        <v>427</v>
      </c>
      <c r="E405" s="1">
        <v>3</v>
      </c>
      <c r="F405" s="1">
        <f t="shared" si="49"/>
        <v>3</v>
      </c>
      <c r="G405" s="8">
        <f t="shared" si="46"/>
        <v>15</v>
      </c>
      <c r="H405" s="8" t="str">
        <f t="shared" si="49"/>
        <v>项链</v>
      </c>
      <c r="I405" s="8" t="e">
        <f ca="1">"["&amp;INT(getMinDes(B405))&amp;"-"&amp;INT(getMaxDes(B405))&amp;"]"&amp;getDesName(B405)&amp;" "&amp;getRandomNatureDes(K405)&amp;getSuitDes(B405)</f>
        <v>#VALUE!</v>
      </c>
      <c r="J405" s="1">
        <v>0</v>
      </c>
      <c r="K405" s="1">
        <v>4</v>
      </c>
      <c r="L405" s="1">
        <f t="shared" si="50"/>
        <v>7</v>
      </c>
      <c r="M405" s="1" t="str">
        <f ca="1">mVlookup(E405&amp;L405,装备名称!J$43:Z$74,H405,FALSE)</f>
        <v>IC1895</v>
      </c>
      <c r="N405" s="1" t="str">
        <f t="shared" si="47"/>
        <v>157</v>
      </c>
      <c r="O405" s="1">
        <f t="shared" si="48"/>
        <v>200403</v>
      </c>
    </row>
    <row r="406" spans="1:16" x14ac:dyDescent="0.15">
      <c r="A406" s="1">
        <v>404</v>
      </c>
      <c r="B406" s="1">
        <f t="shared" si="45"/>
        <v>303081500</v>
      </c>
      <c r="C406" s="1" t="str">
        <f t="shared" ca="1" si="51"/>
        <v>欧罗巴项链</v>
      </c>
      <c r="D406" s="1" t="s">
        <v>427</v>
      </c>
      <c r="E406" s="1">
        <v>3</v>
      </c>
      <c r="F406" s="1">
        <f t="shared" si="49"/>
        <v>3</v>
      </c>
      <c r="G406" s="8">
        <f t="shared" si="46"/>
        <v>15</v>
      </c>
      <c r="H406" s="8" t="str">
        <f t="shared" si="49"/>
        <v>项链</v>
      </c>
      <c r="I406" s="8" t="e">
        <f ca="1">"["&amp;INT(getMinDes(B406))&amp;"-"&amp;INT(getMaxDes(B406))&amp;"]"&amp;getDesName(B406)&amp;" "&amp;getRandomNatureDes(K406)&amp;getSuitDes(B406)</f>
        <v>#VALUE!</v>
      </c>
      <c r="J406" s="1">
        <v>0</v>
      </c>
      <c r="K406" s="1">
        <v>4</v>
      </c>
      <c r="L406" s="1">
        <f t="shared" si="50"/>
        <v>8</v>
      </c>
      <c r="M406" s="1" t="str">
        <f ca="1">mVlookup(E406&amp;L406,装备名称!J$43:Z$74,H406,FALSE)</f>
        <v>IC1898</v>
      </c>
      <c r="N406" s="1" t="str">
        <f t="shared" si="47"/>
        <v>158</v>
      </c>
      <c r="O406" s="1">
        <f t="shared" si="48"/>
        <v>200404</v>
      </c>
    </row>
    <row r="407" spans="1:16" x14ac:dyDescent="0.15">
      <c r="A407" s="1">
        <v>405</v>
      </c>
      <c r="B407" s="1">
        <f t="shared" si="45"/>
        <v>303091500</v>
      </c>
      <c r="C407" s="1" t="str">
        <f t="shared" ca="1" si="51"/>
        <v>海伦之心</v>
      </c>
      <c r="D407" s="1" t="s">
        <v>427</v>
      </c>
      <c r="E407" s="1">
        <v>3</v>
      </c>
      <c r="F407" s="1">
        <f t="shared" si="49"/>
        <v>3</v>
      </c>
      <c r="G407" s="8">
        <f t="shared" si="46"/>
        <v>15</v>
      </c>
      <c r="H407" s="8" t="str">
        <f t="shared" si="49"/>
        <v>项链</v>
      </c>
      <c r="I407" s="8" t="e">
        <f ca="1">"["&amp;INT(getMinDes(B407))&amp;"-"&amp;INT(getMaxDes(B407))&amp;"]"&amp;getDesName(B407)&amp;" "&amp;getRandomNatureDes(K407)&amp;getSuitDes(B407)</f>
        <v>#VALUE!</v>
      </c>
      <c r="J407" s="1">
        <v>0</v>
      </c>
      <c r="K407" s="1">
        <v>4</v>
      </c>
      <c r="L407" s="1">
        <f t="shared" si="50"/>
        <v>9</v>
      </c>
      <c r="M407" s="1" t="str">
        <f ca="1">mVlookup(E407&amp;L407,装备名称!J$43:Z$74,H407,FALSE)</f>
        <v>IC1900</v>
      </c>
      <c r="N407" s="1" t="str">
        <f t="shared" si="47"/>
        <v>159</v>
      </c>
      <c r="O407" s="1">
        <f t="shared" si="48"/>
        <v>200405</v>
      </c>
    </row>
    <row r="408" spans="1:16" x14ac:dyDescent="0.15">
      <c r="A408" s="1">
        <v>406</v>
      </c>
      <c r="B408" s="1">
        <f t="shared" si="45"/>
        <v>104090101</v>
      </c>
      <c r="C408" s="14" t="str">
        <f ca="1">VLOOKUP(J408,INDIRECT(D408),3+F408,FALSE)</f>
        <v>泰坦的力量</v>
      </c>
      <c r="D408" s="1" t="s">
        <v>511</v>
      </c>
      <c r="E408" s="1">
        <v>4</v>
      </c>
      <c r="F408" s="1">
        <v>1</v>
      </c>
      <c r="G408" s="8">
        <f t="shared" si="46"/>
        <v>1</v>
      </c>
      <c r="H408" s="8" t="s">
        <v>512</v>
      </c>
      <c r="I408" s="8" t="e">
        <f ca="1">"["&amp;INT(getMinDes(B408))&amp;"-"&amp;INT(getMaxDes(B408))&amp;"]"&amp;getDesName(B408)&amp;" "&amp;getRandomNatureDes(K408)&amp;getSuitDes(B408)</f>
        <v>#VALUE!</v>
      </c>
      <c r="J408" s="1">
        <v>1</v>
      </c>
      <c r="K408" s="1">
        <v>5</v>
      </c>
      <c r="L408" s="1">
        <v>9</v>
      </c>
      <c r="M408" s="1" t="str">
        <f ca="1">mVlookup(E408&amp;L408,装备名称!J$43:Z$74,H408,FALSE)</f>
        <v>IC1038</v>
      </c>
      <c r="N408" s="1" t="str">
        <f t="shared" si="47"/>
        <v>19</v>
      </c>
      <c r="O408" s="1">
        <f t="shared" si="48"/>
        <v>200406</v>
      </c>
    </row>
    <row r="409" spans="1:16" x14ac:dyDescent="0.15">
      <c r="A409" s="1">
        <v>407</v>
      </c>
      <c r="B409" s="1">
        <f t="shared" si="45"/>
        <v>204091401</v>
      </c>
      <c r="C409" s="14" t="str">
        <f t="shared" ref="C409:C446" ca="1" si="52">VLOOKUP(J409,INDIRECT(D409),3+F409,FALSE)</f>
        <v>泰坦的荣耀</v>
      </c>
      <c r="D409" s="1" t="s">
        <v>511</v>
      </c>
      <c r="E409" s="1">
        <v>4</v>
      </c>
      <c r="F409" s="1">
        <v>2</v>
      </c>
      <c r="G409" s="8">
        <f t="shared" si="46"/>
        <v>14</v>
      </c>
      <c r="H409" s="8" t="s">
        <v>509</v>
      </c>
      <c r="I409" s="8" t="e">
        <f ca="1">"["&amp;INT(getMinDes(B409))&amp;"-"&amp;INT(getMaxDes(B409))&amp;"]"&amp;getDesName(B409)&amp;" "&amp;getRandomNatureDes(K409)&amp;getSuitDes(B409)</f>
        <v>#VALUE!</v>
      </c>
      <c r="J409" s="1">
        <v>1</v>
      </c>
      <c r="K409" s="1">
        <v>5</v>
      </c>
      <c r="L409" s="1">
        <v>9</v>
      </c>
      <c r="M409" s="1" t="str">
        <f ca="1">mVlookup(E409&amp;L409,装备名称!J$43:Z$74,H409,FALSE)</f>
        <v>IC1936</v>
      </c>
      <c r="N409" s="1" t="str">
        <f t="shared" si="47"/>
        <v>149</v>
      </c>
      <c r="O409" s="1">
        <f t="shared" si="48"/>
        <v>200407</v>
      </c>
      <c r="P409" s="14"/>
    </row>
    <row r="410" spans="1:16" x14ac:dyDescent="0.15">
      <c r="A410" s="1">
        <v>408</v>
      </c>
      <c r="B410" s="1">
        <f t="shared" si="45"/>
        <v>304091501</v>
      </c>
      <c r="C410" s="14" t="str">
        <f t="shared" ca="1" si="52"/>
        <v>泰坦的光辉</v>
      </c>
      <c r="D410" s="1" t="s">
        <v>511</v>
      </c>
      <c r="E410" s="1">
        <v>4</v>
      </c>
      <c r="F410" s="1">
        <v>3</v>
      </c>
      <c r="G410" s="8">
        <f t="shared" si="46"/>
        <v>15</v>
      </c>
      <c r="H410" s="8" t="s">
        <v>510</v>
      </c>
      <c r="I410" s="8" t="e">
        <f ca="1">"["&amp;INT(getMinDes(B410))&amp;"-"&amp;INT(getMaxDes(B410))&amp;"]"&amp;getDesName(B410)&amp;" "&amp;getRandomNatureDes(K410)&amp;getSuitDes(B410)</f>
        <v>#VALUE!</v>
      </c>
      <c r="J410" s="1">
        <v>1</v>
      </c>
      <c r="K410" s="1">
        <v>5</v>
      </c>
      <c r="L410" s="1">
        <v>9</v>
      </c>
      <c r="M410" s="1" t="str">
        <f ca="1">mVlookup(E410&amp;L410,装备名称!J$43:Z$74,H410,FALSE)</f>
        <v>IC1877</v>
      </c>
      <c r="N410" s="1" t="str">
        <f t="shared" si="47"/>
        <v>159</v>
      </c>
      <c r="O410" s="1">
        <f t="shared" si="48"/>
        <v>200408</v>
      </c>
      <c r="P410" s="14"/>
    </row>
    <row r="411" spans="1:16" x14ac:dyDescent="0.15">
      <c r="A411" s="1">
        <v>409</v>
      </c>
      <c r="B411" s="1">
        <f t="shared" si="45"/>
        <v>104090202</v>
      </c>
      <c r="C411" s="14" t="str">
        <f t="shared" ca="1" si="52"/>
        <v>阿波罗的利刃</v>
      </c>
      <c r="D411" s="1" t="s">
        <v>511</v>
      </c>
      <c r="E411" s="1">
        <v>4</v>
      </c>
      <c r="F411" s="1">
        <f>F408</f>
        <v>1</v>
      </c>
      <c r="G411" s="8">
        <f t="shared" si="46"/>
        <v>2</v>
      </c>
      <c r="H411" s="8" t="s">
        <v>513</v>
      </c>
      <c r="I411" s="8" t="e">
        <f ca="1">"["&amp;INT(getMinDes(B411))&amp;"-"&amp;INT(getMaxDes(B411))&amp;"]"&amp;getDesName(B411)&amp;" "&amp;getRandomNatureDes(K411)&amp;getSuitDes(B411)</f>
        <v>#VALUE!</v>
      </c>
      <c r="J411" s="1">
        <f>J408+1</f>
        <v>2</v>
      </c>
      <c r="K411" s="1">
        <v>5</v>
      </c>
      <c r="L411" s="1">
        <v>9</v>
      </c>
      <c r="M411" s="1" t="str">
        <f ca="1">mVlookup(E411&amp;L411,装备名称!J$43:Z$74,H411,FALSE)</f>
        <v>IC1220</v>
      </c>
      <c r="N411" s="1" t="str">
        <f t="shared" si="47"/>
        <v>29</v>
      </c>
      <c r="O411" s="1">
        <f t="shared" si="48"/>
        <v>200409</v>
      </c>
      <c r="P411" s="14"/>
    </row>
    <row r="412" spans="1:16" x14ac:dyDescent="0.15">
      <c r="A412" s="1">
        <v>410</v>
      </c>
      <c r="B412" s="1">
        <f t="shared" si="45"/>
        <v>204091402</v>
      </c>
      <c r="C412" s="14" t="str">
        <f t="shared" ca="1" si="52"/>
        <v>阿波罗的眼眸</v>
      </c>
      <c r="D412" s="1" t="s">
        <v>511</v>
      </c>
      <c r="E412" s="1">
        <v>4</v>
      </c>
      <c r="F412" s="1">
        <f t="shared" ref="F412:F446" si="53">F409</f>
        <v>2</v>
      </c>
      <c r="G412" s="8">
        <f t="shared" si="46"/>
        <v>14</v>
      </c>
      <c r="H412" s="8" t="s">
        <v>514</v>
      </c>
      <c r="I412" s="8" t="e">
        <f ca="1">"["&amp;INT(getMinDes(B412))&amp;"-"&amp;INT(getMaxDes(B412))&amp;"]"&amp;getDesName(B412)&amp;" "&amp;getRandomNatureDes(K412)&amp;getSuitDes(B412)</f>
        <v>#VALUE!</v>
      </c>
      <c r="J412" s="1">
        <f t="shared" ref="J412:J446" si="54">J409+1</f>
        <v>2</v>
      </c>
      <c r="K412" s="1">
        <v>5</v>
      </c>
      <c r="L412" s="1">
        <v>9</v>
      </c>
      <c r="M412" s="1" t="str">
        <f ca="1">mVlookup(E412&amp;L412,装备名称!J$43:Z$74,H412,FALSE)</f>
        <v>IC1936</v>
      </c>
      <c r="N412" s="1" t="str">
        <f t="shared" si="47"/>
        <v>149</v>
      </c>
      <c r="O412" s="1">
        <f t="shared" si="48"/>
        <v>200410</v>
      </c>
      <c r="P412" s="14"/>
    </row>
    <row r="413" spans="1:16" x14ac:dyDescent="0.15">
      <c r="A413" s="1">
        <v>411</v>
      </c>
      <c r="B413" s="1">
        <f t="shared" si="45"/>
        <v>304091502</v>
      </c>
      <c r="C413" s="14" t="str">
        <f t="shared" ca="1" si="52"/>
        <v>阿波罗的惩戒</v>
      </c>
      <c r="D413" s="1" t="s">
        <v>511</v>
      </c>
      <c r="E413" s="1">
        <v>4</v>
      </c>
      <c r="F413" s="1">
        <f t="shared" si="53"/>
        <v>3</v>
      </c>
      <c r="G413" s="8">
        <f t="shared" si="46"/>
        <v>15</v>
      </c>
      <c r="H413" s="8" t="s">
        <v>515</v>
      </c>
      <c r="I413" s="8" t="e">
        <f ca="1">"["&amp;INT(getMinDes(B413))&amp;"-"&amp;INT(getMaxDes(B413))&amp;"]"&amp;getDesName(B413)&amp;" "&amp;getRandomNatureDes(K413)&amp;getSuitDes(B413)</f>
        <v>#VALUE!</v>
      </c>
      <c r="J413" s="1">
        <f t="shared" si="54"/>
        <v>2</v>
      </c>
      <c r="K413" s="1">
        <v>5</v>
      </c>
      <c r="L413" s="1">
        <v>9</v>
      </c>
      <c r="M413" s="1" t="str">
        <f ca="1">mVlookup(E413&amp;L413,装备名称!J$43:Z$74,H413,FALSE)</f>
        <v>IC1877</v>
      </c>
      <c r="N413" s="1" t="str">
        <f t="shared" si="47"/>
        <v>159</v>
      </c>
      <c r="O413" s="1">
        <f t="shared" si="48"/>
        <v>200411</v>
      </c>
      <c r="P413" s="14"/>
    </row>
    <row r="414" spans="1:16" x14ac:dyDescent="0.15">
      <c r="A414" s="1">
        <v>412</v>
      </c>
      <c r="B414" s="1">
        <f t="shared" si="45"/>
        <v>104090303</v>
      </c>
      <c r="C414" s="14" t="str">
        <f t="shared" ca="1" si="52"/>
        <v>阿瑞斯之拳</v>
      </c>
      <c r="D414" s="1" t="s">
        <v>511</v>
      </c>
      <c r="E414" s="1">
        <v>4</v>
      </c>
      <c r="F414" s="1">
        <f t="shared" si="53"/>
        <v>1</v>
      </c>
      <c r="G414" s="8">
        <f t="shared" si="46"/>
        <v>3</v>
      </c>
      <c r="H414" s="8" t="s">
        <v>516</v>
      </c>
      <c r="I414" s="8" t="e">
        <f ca="1">"["&amp;INT(getMinDes(B414))&amp;"-"&amp;INT(getMaxDes(B414))&amp;"]"&amp;getDesName(B414)&amp;" "&amp;getRandomNatureDes(K414)&amp;getSuitDes(B414)</f>
        <v>#VALUE!</v>
      </c>
      <c r="J414" s="1">
        <f t="shared" si="54"/>
        <v>3</v>
      </c>
      <c r="K414" s="1">
        <v>5</v>
      </c>
      <c r="L414" s="1">
        <v>9</v>
      </c>
      <c r="M414" s="1" t="str">
        <f ca="1">mVlookup(E414&amp;L414,装备名称!J$43:Z$74,H414,FALSE)</f>
        <v>IC1525</v>
      </c>
      <c r="N414" s="1" t="str">
        <f t="shared" si="47"/>
        <v>39</v>
      </c>
      <c r="O414" s="1">
        <f t="shared" si="48"/>
        <v>200412</v>
      </c>
      <c r="P414" s="14"/>
    </row>
    <row r="415" spans="1:16" x14ac:dyDescent="0.15">
      <c r="A415" s="1">
        <v>413</v>
      </c>
      <c r="B415" s="1">
        <f t="shared" si="45"/>
        <v>204091403</v>
      </c>
      <c r="C415" s="14" t="str">
        <f t="shared" ca="1" si="52"/>
        <v>阿瑞斯之戒</v>
      </c>
      <c r="D415" s="1" t="s">
        <v>511</v>
      </c>
      <c r="E415" s="1">
        <v>4</v>
      </c>
      <c r="F415" s="1">
        <f t="shared" si="53"/>
        <v>2</v>
      </c>
      <c r="G415" s="8">
        <f t="shared" si="46"/>
        <v>14</v>
      </c>
      <c r="H415" s="8" t="s">
        <v>509</v>
      </c>
      <c r="I415" s="8" t="e">
        <f ca="1">"["&amp;INT(getMinDes(B415))&amp;"-"&amp;INT(getMaxDes(B415))&amp;"]"&amp;getDesName(B415)&amp;" "&amp;getRandomNatureDes(K415)&amp;getSuitDes(B415)</f>
        <v>#VALUE!</v>
      </c>
      <c r="J415" s="1">
        <f t="shared" si="54"/>
        <v>3</v>
      </c>
      <c r="K415" s="1">
        <v>5</v>
      </c>
      <c r="L415" s="1">
        <v>9</v>
      </c>
      <c r="M415" s="1" t="str">
        <f ca="1">mVlookup(E415&amp;L415,装备名称!J$43:Z$74,H415,FALSE)</f>
        <v>IC1936</v>
      </c>
      <c r="N415" s="1" t="str">
        <f t="shared" si="47"/>
        <v>149</v>
      </c>
      <c r="O415" s="1">
        <f t="shared" si="48"/>
        <v>200413</v>
      </c>
      <c r="P415" s="14"/>
    </row>
    <row r="416" spans="1:16" x14ac:dyDescent="0.15">
      <c r="A416" s="1">
        <v>414</v>
      </c>
      <c r="B416" s="1">
        <f t="shared" si="45"/>
        <v>304091503</v>
      </c>
      <c r="C416" s="14" t="str">
        <f t="shared" ca="1" si="52"/>
        <v>阿瑞斯之魂</v>
      </c>
      <c r="D416" s="1" t="s">
        <v>511</v>
      </c>
      <c r="E416" s="1">
        <v>4</v>
      </c>
      <c r="F416" s="1">
        <f t="shared" si="53"/>
        <v>3</v>
      </c>
      <c r="G416" s="8">
        <f t="shared" si="46"/>
        <v>15</v>
      </c>
      <c r="H416" s="8" t="s">
        <v>517</v>
      </c>
      <c r="I416" s="8" t="e">
        <f ca="1">"["&amp;INT(getMinDes(B416))&amp;"-"&amp;INT(getMaxDes(B416))&amp;"]"&amp;getDesName(B416)&amp;" "&amp;getRandomNatureDes(K416)&amp;getSuitDes(B416)</f>
        <v>#VALUE!</v>
      </c>
      <c r="J416" s="1">
        <f t="shared" si="54"/>
        <v>3</v>
      </c>
      <c r="K416" s="1">
        <v>5</v>
      </c>
      <c r="L416" s="1">
        <v>9</v>
      </c>
      <c r="M416" s="1" t="str">
        <f ca="1">mVlookup(E416&amp;L416,装备名称!J$43:Z$74,H416,FALSE)</f>
        <v>IC1877</v>
      </c>
      <c r="N416" s="1" t="str">
        <f t="shared" si="47"/>
        <v>159</v>
      </c>
      <c r="O416" s="1">
        <f t="shared" si="48"/>
        <v>200414</v>
      </c>
      <c r="P416" s="14"/>
    </row>
    <row r="417" spans="1:16" x14ac:dyDescent="0.15">
      <c r="A417" s="1">
        <v>415</v>
      </c>
      <c r="B417" s="1">
        <f t="shared" si="45"/>
        <v>104090404</v>
      </c>
      <c r="C417" s="14" t="str">
        <f t="shared" ca="1" si="52"/>
        <v>阿努比斯的矛</v>
      </c>
      <c r="D417" s="1" t="s">
        <v>511</v>
      </c>
      <c r="E417" s="1">
        <v>4</v>
      </c>
      <c r="F417" s="1">
        <f t="shared" si="53"/>
        <v>1</v>
      </c>
      <c r="G417" s="8">
        <f t="shared" si="46"/>
        <v>4</v>
      </c>
      <c r="H417" s="8" t="s">
        <v>518</v>
      </c>
      <c r="I417" s="8" t="e">
        <f ca="1">"["&amp;INT(getMinDes(B417))&amp;"-"&amp;INT(getMaxDes(B417))&amp;"]"&amp;getDesName(B417)&amp;" "&amp;getRandomNatureDes(K417)&amp;getSuitDes(B417)</f>
        <v>#VALUE!</v>
      </c>
      <c r="J417" s="1">
        <f t="shared" si="54"/>
        <v>4</v>
      </c>
      <c r="K417" s="1">
        <v>5</v>
      </c>
      <c r="L417" s="1">
        <v>9</v>
      </c>
      <c r="M417" s="1" t="str">
        <f ca="1">mVlookup(E417&amp;L417,装备名称!J$43:Z$74,H417,FALSE)</f>
        <v>IC1669</v>
      </c>
      <c r="N417" s="1" t="str">
        <f t="shared" si="47"/>
        <v>49</v>
      </c>
      <c r="O417" s="1">
        <f t="shared" si="48"/>
        <v>200415</v>
      </c>
      <c r="P417" s="14"/>
    </row>
    <row r="418" spans="1:16" x14ac:dyDescent="0.15">
      <c r="A418" s="1">
        <v>416</v>
      </c>
      <c r="B418" s="1">
        <f t="shared" si="45"/>
        <v>204091404</v>
      </c>
      <c r="C418" s="14" t="str">
        <f t="shared" ca="1" si="52"/>
        <v>阿努比斯的灵魂</v>
      </c>
      <c r="D418" s="1" t="s">
        <v>511</v>
      </c>
      <c r="E418" s="1">
        <v>4</v>
      </c>
      <c r="F418" s="1">
        <f t="shared" si="53"/>
        <v>2</v>
      </c>
      <c r="G418" s="8">
        <f t="shared" si="46"/>
        <v>14</v>
      </c>
      <c r="H418" s="8" t="s">
        <v>509</v>
      </c>
      <c r="I418" s="8" t="e">
        <f ca="1">"["&amp;INT(getMinDes(B418))&amp;"-"&amp;INT(getMaxDes(B418))&amp;"]"&amp;getDesName(B418)&amp;" "&amp;getRandomNatureDes(K418)&amp;getSuitDes(B418)</f>
        <v>#VALUE!</v>
      </c>
      <c r="J418" s="1">
        <f t="shared" si="54"/>
        <v>4</v>
      </c>
      <c r="K418" s="1">
        <v>5</v>
      </c>
      <c r="L418" s="1">
        <v>9</v>
      </c>
      <c r="M418" s="1" t="str">
        <f ca="1">mVlookup(E418&amp;L418,装备名称!J$43:Z$74,H418,FALSE)</f>
        <v>IC1936</v>
      </c>
      <c r="N418" s="1" t="str">
        <f t="shared" si="47"/>
        <v>149</v>
      </c>
      <c r="O418" s="1">
        <f t="shared" si="48"/>
        <v>200416</v>
      </c>
      <c r="P418" s="14"/>
    </row>
    <row r="419" spans="1:16" x14ac:dyDescent="0.15">
      <c r="A419" s="1">
        <v>417</v>
      </c>
      <c r="B419" s="1">
        <f t="shared" si="45"/>
        <v>304091504</v>
      </c>
      <c r="C419" s="14" t="str">
        <f t="shared" ca="1" si="52"/>
        <v>阿努比斯的守护</v>
      </c>
      <c r="D419" s="1" t="s">
        <v>511</v>
      </c>
      <c r="E419" s="1">
        <v>4</v>
      </c>
      <c r="F419" s="1">
        <f t="shared" si="53"/>
        <v>3</v>
      </c>
      <c r="G419" s="8">
        <f t="shared" si="46"/>
        <v>15</v>
      </c>
      <c r="H419" s="8" t="s">
        <v>510</v>
      </c>
      <c r="I419" s="8" t="e">
        <f ca="1">"["&amp;INT(getMinDes(B419))&amp;"-"&amp;INT(getMaxDes(B419))&amp;"]"&amp;getDesName(B419)&amp;" "&amp;getRandomNatureDes(K419)&amp;getSuitDes(B419)</f>
        <v>#VALUE!</v>
      </c>
      <c r="J419" s="1">
        <f t="shared" si="54"/>
        <v>4</v>
      </c>
      <c r="K419" s="1">
        <v>5</v>
      </c>
      <c r="L419" s="1">
        <v>9</v>
      </c>
      <c r="M419" s="1" t="str">
        <f ca="1">mVlookup(E419&amp;L419,装备名称!J$43:Z$74,H419,FALSE)</f>
        <v>IC1877</v>
      </c>
      <c r="N419" s="1" t="str">
        <f t="shared" si="47"/>
        <v>159</v>
      </c>
      <c r="O419" s="1">
        <f t="shared" si="48"/>
        <v>200417</v>
      </c>
      <c r="P419" s="14"/>
    </row>
    <row r="420" spans="1:16" x14ac:dyDescent="0.15">
      <c r="A420" s="1">
        <v>418</v>
      </c>
      <c r="B420" s="1">
        <f t="shared" si="45"/>
        <v>104090505</v>
      </c>
      <c r="C420" s="14" t="str">
        <f t="shared" ca="1" si="52"/>
        <v>赫卡忒的黑暗</v>
      </c>
      <c r="D420" s="1" t="s">
        <v>511</v>
      </c>
      <c r="E420" s="1">
        <v>4</v>
      </c>
      <c r="F420" s="1">
        <f t="shared" si="53"/>
        <v>1</v>
      </c>
      <c r="G420" s="8">
        <f t="shared" si="46"/>
        <v>5</v>
      </c>
      <c r="H420" s="8" t="s">
        <v>519</v>
      </c>
      <c r="I420" s="8" t="e">
        <f ca="1">"["&amp;INT(getMinDes(B420))&amp;"-"&amp;INT(getMaxDes(B420))&amp;"]"&amp;getDesName(B420)&amp;" "&amp;getRandomNatureDes(K420)&amp;getSuitDes(B420)</f>
        <v>#VALUE!</v>
      </c>
      <c r="J420" s="1">
        <f t="shared" si="54"/>
        <v>5</v>
      </c>
      <c r="K420" s="1">
        <v>5</v>
      </c>
      <c r="L420" s="1">
        <v>9</v>
      </c>
      <c r="M420" s="1" t="str">
        <f ca="1">mVlookup(E420&amp;L420,装备名称!J$43:Z$74,H420,FALSE)</f>
        <v>IC1715</v>
      </c>
      <c r="N420" s="1" t="str">
        <f t="shared" si="47"/>
        <v>59</v>
      </c>
      <c r="O420" s="1">
        <f t="shared" si="48"/>
        <v>200418</v>
      </c>
      <c r="P420" s="14"/>
    </row>
    <row r="421" spans="1:16" x14ac:dyDescent="0.15">
      <c r="A421" s="1">
        <v>419</v>
      </c>
      <c r="B421" s="1">
        <f t="shared" si="45"/>
        <v>204091405</v>
      </c>
      <c r="C421" s="14" t="str">
        <f t="shared" ca="1" si="52"/>
        <v>赫卡忒的魔能</v>
      </c>
      <c r="D421" s="1" t="s">
        <v>511</v>
      </c>
      <c r="E421" s="1">
        <v>4</v>
      </c>
      <c r="F421" s="1">
        <f t="shared" si="53"/>
        <v>2</v>
      </c>
      <c r="G421" s="8">
        <f t="shared" si="46"/>
        <v>14</v>
      </c>
      <c r="H421" s="8" t="s">
        <v>509</v>
      </c>
      <c r="I421" s="8" t="e">
        <f ca="1">"["&amp;INT(getMinDes(B421))&amp;"-"&amp;INT(getMaxDes(B421))&amp;"]"&amp;getDesName(B421)&amp;" "&amp;getRandomNatureDes(K421)&amp;getSuitDes(B421)</f>
        <v>#VALUE!</v>
      </c>
      <c r="J421" s="1">
        <f t="shared" si="54"/>
        <v>5</v>
      </c>
      <c r="K421" s="1">
        <v>5</v>
      </c>
      <c r="L421" s="1">
        <v>9</v>
      </c>
      <c r="M421" s="1" t="str">
        <f ca="1">mVlookup(E421&amp;L421,装备名称!J$43:Z$74,H421,FALSE)</f>
        <v>IC1936</v>
      </c>
      <c r="N421" s="1" t="str">
        <f t="shared" si="47"/>
        <v>149</v>
      </c>
      <c r="O421" s="1">
        <f t="shared" si="48"/>
        <v>200419</v>
      </c>
      <c r="P421" s="14"/>
    </row>
    <row r="422" spans="1:16" x14ac:dyDescent="0.15">
      <c r="A422" s="1">
        <v>420</v>
      </c>
      <c r="B422" s="1">
        <f t="shared" si="45"/>
        <v>304091505</v>
      </c>
      <c r="C422" s="14" t="str">
        <f t="shared" ca="1" si="52"/>
        <v>赫卡忒的项链</v>
      </c>
      <c r="D422" s="1" t="s">
        <v>511</v>
      </c>
      <c r="E422" s="1">
        <v>4</v>
      </c>
      <c r="F422" s="1">
        <f t="shared" si="53"/>
        <v>3</v>
      </c>
      <c r="G422" s="8">
        <f t="shared" si="46"/>
        <v>15</v>
      </c>
      <c r="H422" s="8" t="s">
        <v>520</v>
      </c>
      <c r="I422" s="8" t="e">
        <f ca="1">"["&amp;INT(getMinDes(B422))&amp;"-"&amp;INT(getMaxDes(B422))&amp;"]"&amp;getDesName(B422)&amp;" "&amp;getRandomNatureDes(K422)&amp;getSuitDes(B422)</f>
        <v>#VALUE!</v>
      </c>
      <c r="J422" s="1">
        <f t="shared" si="54"/>
        <v>5</v>
      </c>
      <c r="K422" s="1">
        <v>5</v>
      </c>
      <c r="L422" s="1">
        <v>9</v>
      </c>
      <c r="M422" s="1" t="str">
        <f ca="1">mVlookup(E422&amp;L422,装备名称!J$43:Z$74,H422,FALSE)</f>
        <v>IC1877</v>
      </c>
      <c r="N422" s="1" t="str">
        <f t="shared" si="47"/>
        <v>159</v>
      </c>
      <c r="O422" s="1">
        <f t="shared" si="48"/>
        <v>200420</v>
      </c>
      <c r="P422" s="8"/>
    </row>
    <row r="423" spans="1:16" x14ac:dyDescent="0.15">
      <c r="A423" s="1">
        <v>421</v>
      </c>
      <c r="B423" s="1">
        <f t="shared" si="45"/>
        <v>104090606</v>
      </c>
      <c r="C423" s="14" t="str">
        <f t="shared" ca="1" si="52"/>
        <v>雅典娜的惊叹</v>
      </c>
      <c r="D423" s="1" t="s">
        <v>511</v>
      </c>
      <c r="E423" s="1">
        <v>4</v>
      </c>
      <c r="F423" s="1">
        <f t="shared" si="53"/>
        <v>1</v>
      </c>
      <c r="G423" s="8">
        <f t="shared" si="46"/>
        <v>6</v>
      </c>
      <c r="H423" s="8" t="s">
        <v>521</v>
      </c>
      <c r="I423" s="8" t="e">
        <f ca="1">"["&amp;INT(getMinDes(B423))&amp;"-"&amp;INT(getMaxDes(B423))&amp;"]"&amp;getDesName(B423)&amp;" "&amp;getRandomNatureDes(K423)&amp;getSuitDes(B423)</f>
        <v>#VALUE!</v>
      </c>
      <c r="J423" s="1">
        <f t="shared" si="54"/>
        <v>6</v>
      </c>
      <c r="K423" s="1">
        <v>5</v>
      </c>
      <c r="L423" s="1">
        <v>9</v>
      </c>
      <c r="M423" s="1" t="str">
        <f ca="1">mVlookup(E423&amp;L423,装备名称!J$43:Z$74,H423,FALSE)</f>
        <v>IC1114</v>
      </c>
      <c r="N423" s="1" t="str">
        <f t="shared" si="47"/>
        <v>69</v>
      </c>
      <c r="O423" s="1">
        <f t="shared" si="48"/>
        <v>200421</v>
      </c>
      <c r="P423" s="8"/>
    </row>
    <row r="424" spans="1:16" x14ac:dyDescent="0.15">
      <c r="A424" s="1">
        <v>422</v>
      </c>
      <c r="B424" s="1">
        <f t="shared" si="45"/>
        <v>204091406</v>
      </c>
      <c r="C424" s="14" t="str">
        <f t="shared" ca="1" si="52"/>
        <v>雅典娜的智慧</v>
      </c>
      <c r="D424" s="1" t="s">
        <v>511</v>
      </c>
      <c r="E424" s="1">
        <v>4</v>
      </c>
      <c r="F424" s="1">
        <f t="shared" si="53"/>
        <v>2</v>
      </c>
      <c r="G424" s="8">
        <f t="shared" si="46"/>
        <v>14</v>
      </c>
      <c r="H424" s="8" t="s">
        <v>522</v>
      </c>
      <c r="I424" s="8" t="e">
        <f ca="1">"["&amp;INT(getMinDes(B424))&amp;"-"&amp;INT(getMaxDes(B424))&amp;"]"&amp;getDesName(B424)&amp;" "&amp;getRandomNatureDes(K424)&amp;getSuitDes(B424)</f>
        <v>#VALUE!</v>
      </c>
      <c r="J424" s="1">
        <f t="shared" si="54"/>
        <v>6</v>
      </c>
      <c r="K424" s="1">
        <v>5</v>
      </c>
      <c r="L424" s="1">
        <v>9</v>
      </c>
      <c r="M424" s="1" t="str">
        <f ca="1">mVlookup(E424&amp;L424,装备名称!J$43:Z$74,H424,FALSE)</f>
        <v>IC1936</v>
      </c>
      <c r="N424" s="1" t="str">
        <f t="shared" si="47"/>
        <v>149</v>
      </c>
      <c r="O424" s="1">
        <f t="shared" si="48"/>
        <v>200422</v>
      </c>
    </row>
    <row r="425" spans="1:16" x14ac:dyDescent="0.15">
      <c r="A425" s="1">
        <v>423</v>
      </c>
      <c r="B425" s="1">
        <f t="shared" si="45"/>
        <v>304091506</v>
      </c>
      <c r="C425" s="14" t="str">
        <f t="shared" ca="1" si="52"/>
        <v>雅典娜的项链</v>
      </c>
      <c r="D425" s="1" t="s">
        <v>511</v>
      </c>
      <c r="E425" s="1">
        <v>4</v>
      </c>
      <c r="F425" s="1">
        <f t="shared" si="53"/>
        <v>3</v>
      </c>
      <c r="G425" s="8">
        <f t="shared" si="46"/>
        <v>15</v>
      </c>
      <c r="H425" s="8" t="s">
        <v>510</v>
      </c>
      <c r="I425" s="8" t="e">
        <f ca="1">"["&amp;INT(getMinDes(B425))&amp;"-"&amp;INT(getMaxDes(B425))&amp;"]"&amp;getDesName(B425)&amp;" "&amp;getRandomNatureDes(K425)&amp;getSuitDes(B425)</f>
        <v>#VALUE!</v>
      </c>
      <c r="J425" s="1">
        <f t="shared" si="54"/>
        <v>6</v>
      </c>
      <c r="K425" s="1">
        <v>5</v>
      </c>
      <c r="L425" s="1">
        <v>9</v>
      </c>
      <c r="M425" s="1" t="str">
        <f ca="1">mVlookup(E425&amp;L425,装备名称!J$43:Z$74,H425,FALSE)</f>
        <v>IC1877</v>
      </c>
      <c r="N425" s="1" t="str">
        <f t="shared" si="47"/>
        <v>159</v>
      </c>
      <c r="O425" s="1">
        <f t="shared" si="48"/>
        <v>200423</v>
      </c>
    </row>
    <row r="426" spans="1:16" x14ac:dyDescent="0.15">
      <c r="A426" s="1">
        <v>424</v>
      </c>
      <c r="B426" s="1">
        <f t="shared" si="45"/>
        <v>104090707</v>
      </c>
      <c r="C426" s="14" t="str">
        <f t="shared" ca="1" si="52"/>
        <v>丘比特之弓</v>
      </c>
      <c r="D426" s="1" t="s">
        <v>511</v>
      </c>
      <c r="E426" s="1">
        <v>4</v>
      </c>
      <c r="F426" s="1">
        <f t="shared" si="53"/>
        <v>1</v>
      </c>
      <c r="G426" s="8">
        <f t="shared" si="46"/>
        <v>7</v>
      </c>
      <c r="H426" s="8" t="s">
        <v>523</v>
      </c>
      <c r="I426" s="8" t="e">
        <f ca="1">"["&amp;INT(getMinDes(B426))&amp;"-"&amp;INT(getMaxDes(B426))&amp;"]"&amp;getDesName(B426)&amp;" "&amp;getRandomNatureDes(K426)&amp;getSuitDes(B426)</f>
        <v>#VALUE!</v>
      </c>
      <c r="J426" s="1">
        <f t="shared" si="54"/>
        <v>7</v>
      </c>
      <c r="K426" s="1">
        <v>5</v>
      </c>
      <c r="L426" s="1">
        <v>9</v>
      </c>
      <c r="M426" s="1" t="str">
        <f ca="1">mVlookup(E426&amp;L426,装备名称!J$43:Z$74,H426,FALSE)</f>
        <v>IC1343</v>
      </c>
      <c r="N426" s="1" t="str">
        <f t="shared" si="47"/>
        <v>79</v>
      </c>
      <c r="O426" s="1">
        <f t="shared" si="48"/>
        <v>200424</v>
      </c>
    </row>
    <row r="427" spans="1:16" x14ac:dyDescent="0.15">
      <c r="A427" s="1">
        <v>425</v>
      </c>
      <c r="B427" s="1">
        <f t="shared" si="45"/>
        <v>204091407</v>
      </c>
      <c r="C427" s="14" t="str">
        <f t="shared" ca="1" si="52"/>
        <v>丘比特的爱</v>
      </c>
      <c r="D427" s="1" t="s">
        <v>511</v>
      </c>
      <c r="E427" s="1">
        <v>4</v>
      </c>
      <c r="F427" s="1">
        <f t="shared" si="53"/>
        <v>2</v>
      </c>
      <c r="G427" s="8">
        <f t="shared" si="46"/>
        <v>14</v>
      </c>
      <c r="H427" s="8" t="s">
        <v>524</v>
      </c>
      <c r="I427" s="8" t="e">
        <f ca="1">"["&amp;INT(getMinDes(B427))&amp;"-"&amp;INT(getMaxDes(B427))&amp;"]"&amp;getDesName(B427)&amp;" "&amp;getRandomNatureDes(K427)&amp;getSuitDes(B427)</f>
        <v>#VALUE!</v>
      </c>
      <c r="J427" s="1">
        <f t="shared" si="54"/>
        <v>7</v>
      </c>
      <c r="K427" s="1">
        <v>5</v>
      </c>
      <c r="L427" s="1">
        <v>9</v>
      </c>
      <c r="M427" s="1" t="str">
        <f ca="1">mVlookup(E427&amp;L427,装备名称!J$43:Z$74,H427,FALSE)</f>
        <v>IC1936</v>
      </c>
      <c r="N427" s="1" t="str">
        <f t="shared" si="47"/>
        <v>149</v>
      </c>
      <c r="O427" s="1">
        <f t="shared" si="48"/>
        <v>200425</v>
      </c>
    </row>
    <row r="428" spans="1:16" x14ac:dyDescent="0.15">
      <c r="A428" s="1">
        <v>426</v>
      </c>
      <c r="B428" s="1">
        <f t="shared" si="45"/>
        <v>304091507</v>
      </c>
      <c r="C428" s="14" t="str">
        <f t="shared" ca="1" si="52"/>
        <v>丘比特的永恒</v>
      </c>
      <c r="D428" s="1" t="s">
        <v>511</v>
      </c>
      <c r="E428" s="1">
        <v>4</v>
      </c>
      <c r="F428" s="1">
        <f t="shared" si="53"/>
        <v>3</v>
      </c>
      <c r="G428" s="8">
        <f t="shared" si="46"/>
        <v>15</v>
      </c>
      <c r="H428" s="8" t="s">
        <v>525</v>
      </c>
      <c r="I428" s="8" t="e">
        <f ca="1">"["&amp;INT(getMinDes(B428))&amp;"-"&amp;INT(getMaxDes(B428))&amp;"]"&amp;getDesName(B428)&amp;" "&amp;getRandomNatureDes(K428)&amp;getSuitDes(B428)</f>
        <v>#VALUE!</v>
      </c>
      <c r="J428" s="1">
        <f t="shared" si="54"/>
        <v>7</v>
      </c>
      <c r="K428" s="1">
        <v>5</v>
      </c>
      <c r="L428" s="1">
        <v>9</v>
      </c>
      <c r="M428" s="1" t="str">
        <f ca="1">mVlookup(E428&amp;L428,装备名称!J$43:Z$74,H428,FALSE)</f>
        <v>IC1877</v>
      </c>
      <c r="N428" s="1" t="str">
        <f t="shared" si="47"/>
        <v>159</v>
      </c>
      <c r="O428" s="1">
        <f t="shared" si="48"/>
        <v>200426</v>
      </c>
    </row>
    <row r="429" spans="1:16" x14ac:dyDescent="0.15">
      <c r="A429" s="1">
        <v>427</v>
      </c>
      <c r="B429" s="1">
        <f t="shared" si="45"/>
        <v>104090808</v>
      </c>
      <c r="C429" s="14" t="str">
        <f t="shared" ca="1" si="52"/>
        <v>波塞冬的烟斗</v>
      </c>
      <c r="D429" s="1" t="s">
        <v>511</v>
      </c>
      <c r="E429" s="1">
        <v>4</v>
      </c>
      <c r="F429" s="1">
        <f t="shared" si="53"/>
        <v>1</v>
      </c>
      <c r="G429" s="8">
        <f t="shared" si="46"/>
        <v>8</v>
      </c>
      <c r="H429" s="8" t="s">
        <v>526</v>
      </c>
      <c r="I429" s="8" t="e">
        <f ca="1">"["&amp;INT(getMinDes(B429))&amp;"-"&amp;INT(getMaxDes(B429))&amp;"]"&amp;getDesName(B429)&amp;" "&amp;getRandomNatureDes(K429)&amp;getSuitDes(B429)</f>
        <v>#VALUE!</v>
      </c>
      <c r="J429" s="1">
        <f t="shared" si="54"/>
        <v>8</v>
      </c>
      <c r="K429" s="1">
        <v>5</v>
      </c>
      <c r="L429" s="1">
        <v>9</v>
      </c>
      <c r="M429" s="1" t="str">
        <f ca="1">mVlookup(E429&amp;L429,装备名称!J$43:Z$74,H429,FALSE)</f>
        <v>IC1113</v>
      </c>
      <c r="N429" s="1" t="str">
        <f t="shared" si="47"/>
        <v>89</v>
      </c>
      <c r="O429" s="1">
        <f t="shared" si="48"/>
        <v>200427</v>
      </c>
    </row>
    <row r="430" spans="1:16" x14ac:dyDescent="0.15">
      <c r="A430" s="1">
        <v>428</v>
      </c>
      <c r="B430" s="1">
        <f t="shared" si="45"/>
        <v>204091408</v>
      </c>
      <c r="C430" s="14" t="str">
        <f t="shared" ca="1" si="52"/>
        <v>波塞冬的风暴</v>
      </c>
      <c r="D430" s="1" t="s">
        <v>511</v>
      </c>
      <c r="E430" s="1">
        <v>4</v>
      </c>
      <c r="F430" s="1">
        <f t="shared" si="53"/>
        <v>2</v>
      </c>
      <c r="G430" s="8">
        <f t="shared" si="46"/>
        <v>14</v>
      </c>
      <c r="H430" s="8" t="s">
        <v>509</v>
      </c>
      <c r="I430" s="8" t="e">
        <f ca="1">"["&amp;INT(getMinDes(B430))&amp;"-"&amp;INT(getMaxDes(B430))&amp;"]"&amp;getDesName(B430)&amp;" "&amp;getRandomNatureDes(K430)&amp;getSuitDes(B430)</f>
        <v>#VALUE!</v>
      </c>
      <c r="J430" s="1">
        <f t="shared" si="54"/>
        <v>8</v>
      </c>
      <c r="K430" s="1">
        <v>5</v>
      </c>
      <c r="L430" s="1">
        <v>9</v>
      </c>
      <c r="M430" s="1" t="str">
        <f ca="1">mVlookup(E430&amp;L430,装备名称!J$43:Z$74,H430,FALSE)</f>
        <v>IC1936</v>
      </c>
      <c r="N430" s="1" t="str">
        <f t="shared" si="47"/>
        <v>149</v>
      </c>
      <c r="O430" s="1">
        <f t="shared" si="48"/>
        <v>200428</v>
      </c>
    </row>
    <row r="431" spans="1:16" x14ac:dyDescent="0.15">
      <c r="A431" s="1">
        <v>429</v>
      </c>
      <c r="B431" s="1">
        <f t="shared" si="45"/>
        <v>304091508</v>
      </c>
      <c r="C431" s="14" t="str">
        <f t="shared" ca="1" si="52"/>
        <v>波塞冬的洪荒</v>
      </c>
      <c r="D431" s="1" t="s">
        <v>511</v>
      </c>
      <c r="E431" s="1">
        <v>4</v>
      </c>
      <c r="F431" s="1">
        <f t="shared" si="53"/>
        <v>3</v>
      </c>
      <c r="G431" s="8">
        <f t="shared" si="46"/>
        <v>15</v>
      </c>
      <c r="H431" s="8" t="s">
        <v>510</v>
      </c>
      <c r="I431" s="8" t="e">
        <f ca="1">"["&amp;INT(getMinDes(B431))&amp;"-"&amp;INT(getMaxDes(B431))&amp;"]"&amp;getDesName(B431)&amp;" "&amp;getRandomNatureDes(K431)&amp;getSuitDes(B431)</f>
        <v>#VALUE!</v>
      </c>
      <c r="J431" s="1">
        <f t="shared" si="54"/>
        <v>8</v>
      </c>
      <c r="K431" s="1">
        <v>5</v>
      </c>
      <c r="L431" s="1">
        <v>9</v>
      </c>
      <c r="M431" s="1" t="str">
        <f ca="1">mVlookup(E431&amp;L431,装备名称!J$43:Z$74,H431,FALSE)</f>
        <v>IC1877</v>
      </c>
      <c r="N431" s="1" t="str">
        <f t="shared" si="47"/>
        <v>159</v>
      </c>
      <c r="O431" s="1">
        <f t="shared" si="48"/>
        <v>200429</v>
      </c>
    </row>
    <row r="432" spans="1:16" x14ac:dyDescent="0.15">
      <c r="A432" s="1">
        <v>430</v>
      </c>
      <c r="B432" s="1">
        <f t="shared" si="45"/>
        <v>104090909</v>
      </c>
      <c r="C432" s="14" t="str">
        <f t="shared" ca="1" si="52"/>
        <v>赫柏的扇子</v>
      </c>
      <c r="D432" s="1" t="s">
        <v>511</v>
      </c>
      <c r="E432" s="1">
        <v>4</v>
      </c>
      <c r="F432" s="1">
        <f t="shared" si="53"/>
        <v>1</v>
      </c>
      <c r="G432" s="8">
        <f t="shared" si="46"/>
        <v>9</v>
      </c>
      <c r="H432" s="8" t="s">
        <v>527</v>
      </c>
      <c r="I432" s="8" t="e">
        <f ca="1">"["&amp;INT(getMinDes(B432))&amp;"-"&amp;INT(getMaxDes(B432))&amp;"]"&amp;getDesName(B432)&amp;" "&amp;getRandomNatureDes(K432)&amp;getSuitDes(B432)</f>
        <v>#VALUE!</v>
      </c>
      <c r="J432" s="1">
        <f t="shared" si="54"/>
        <v>9</v>
      </c>
      <c r="K432" s="1">
        <v>5</v>
      </c>
      <c r="L432" s="1">
        <v>9</v>
      </c>
      <c r="M432" s="1" t="str">
        <f ca="1">mVlookup(E432&amp;L432,装备名称!J$43:Z$74,H432,FALSE)</f>
        <v>IC1837</v>
      </c>
      <c r="N432" s="1" t="str">
        <f t="shared" si="47"/>
        <v>99</v>
      </c>
      <c r="O432" s="1">
        <f t="shared" si="48"/>
        <v>200430</v>
      </c>
    </row>
    <row r="433" spans="1:15" x14ac:dyDescent="0.15">
      <c r="A433" s="1">
        <v>431</v>
      </c>
      <c r="B433" s="1">
        <f t="shared" si="45"/>
        <v>204091409</v>
      </c>
      <c r="C433" s="14" t="str">
        <f t="shared" ca="1" si="52"/>
        <v>赫柏的青春</v>
      </c>
      <c r="D433" s="1" t="s">
        <v>511</v>
      </c>
      <c r="E433" s="1">
        <v>4</v>
      </c>
      <c r="F433" s="1">
        <f t="shared" si="53"/>
        <v>2</v>
      </c>
      <c r="G433" s="8">
        <f t="shared" si="46"/>
        <v>14</v>
      </c>
      <c r="H433" s="8" t="s">
        <v>509</v>
      </c>
      <c r="I433" s="8" t="e">
        <f ca="1">"["&amp;INT(getMinDes(B433))&amp;"-"&amp;INT(getMaxDes(B433))&amp;"]"&amp;getDesName(B433)&amp;" "&amp;getRandomNatureDes(K433)&amp;getSuitDes(B433)</f>
        <v>#VALUE!</v>
      </c>
      <c r="J433" s="1">
        <f t="shared" si="54"/>
        <v>9</v>
      </c>
      <c r="K433" s="1">
        <v>5</v>
      </c>
      <c r="L433" s="1">
        <v>9</v>
      </c>
      <c r="M433" s="1" t="str">
        <f ca="1">mVlookup(E433&amp;L433,装备名称!J$43:Z$74,H433,FALSE)</f>
        <v>IC1936</v>
      </c>
      <c r="N433" s="1" t="str">
        <f t="shared" si="47"/>
        <v>149</v>
      </c>
      <c r="O433" s="1">
        <f t="shared" si="48"/>
        <v>200431</v>
      </c>
    </row>
    <row r="434" spans="1:15" x14ac:dyDescent="0.15">
      <c r="A434" s="1">
        <v>432</v>
      </c>
      <c r="B434" s="1">
        <f t="shared" si="45"/>
        <v>304091509</v>
      </c>
      <c r="C434" s="14" t="str">
        <f t="shared" ca="1" si="52"/>
        <v>赫柏的吊坠</v>
      </c>
      <c r="D434" s="1" t="s">
        <v>511</v>
      </c>
      <c r="E434" s="1">
        <v>4</v>
      </c>
      <c r="F434" s="1">
        <f t="shared" si="53"/>
        <v>3</v>
      </c>
      <c r="G434" s="8">
        <f t="shared" si="46"/>
        <v>15</v>
      </c>
      <c r="H434" s="8" t="s">
        <v>510</v>
      </c>
      <c r="I434" s="8" t="e">
        <f ca="1">"["&amp;INT(getMinDes(B434))&amp;"-"&amp;INT(getMaxDes(B434))&amp;"]"&amp;getDesName(B434)&amp;" "&amp;getRandomNatureDes(K434)&amp;getSuitDes(B434)</f>
        <v>#VALUE!</v>
      </c>
      <c r="J434" s="1">
        <f t="shared" si="54"/>
        <v>9</v>
      </c>
      <c r="K434" s="1">
        <v>5</v>
      </c>
      <c r="L434" s="1">
        <v>9</v>
      </c>
      <c r="M434" s="1" t="str">
        <f ca="1">mVlookup(E434&amp;L434,装备名称!J$43:Z$74,H434,FALSE)</f>
        <v>IC1877</v>
      </c>
      <c r="N434" s="1" t="str">
        <f t="shared" si="47"/>
        <v>159</v>
      </c>
      <c r="O434" s="1">
        <f t="shared" si="48"/>
        <v>200432</v>
      </c>
    </row>
    <row r="435" spans="1:15" x14ac:dyDescent="0.15">
      <c r="A435" s="1">
        <v>433</v>
      </c>
      <c r="B435" s="1">
        <f t="shared" si="45"/>
        <v>104091010</v>
      </c>
      <c r="C435" s="14" t="str">
        <f t="shared" ca="1" si="52"/>
        <v>彼列的谎言</v>
      </c>
      <c r="D435" s="1" t="s">
        <v>511</v>
      </c>
      <c r="E435" s="1">
        <v>4</v>
      </c>
      <c r="F435" s="1">
        <f t="shared" si="53"/>
        <v>1</v>
      </c>
      <c r="G435" s="8">
        <f t="shared" si="46"/>
        <v>10</v>
      </c>
      <c r="H435" s="8" t="s">
        <v>528</v>
      </c>
      <c r="I435" s="8" t="e">
        <f ca="1">"["&amp;INT(getMinDes(B435))&amp;"-"&amp;INT(getMaxDes(B435))&amp;"]"&amp;getDesName(B435)&amp;" "&amp;getRandomNatureDes(K435)&amp;getSuitDes(B435)</f>
        <v>#VALUE!</v>
      </c>
      <c r="J435" s="1">
        <f t="shared" si="54"/>
        <v>10</v>
      </c>
      <c r="K435" s="1">
        <v>5</v>
      </c>
      <c r="L435" s="1">
        <v>9</v>
      </c>
      <c r="M435" s="1" t="str">
        <f ca="1">mVlookup(E435&amp;L435,装备名称!J$43:Z$74,H435,FALSE)</f>
        <v>IC1566</v>
      </c>
      <c r="N435" s="1" t="str">
        <f t="shared" si="47"/>
        <v>109</v>
      </c>
      <c r="O435" s="1">
        <f t="shared" si="48"/>
        <v>200433</v>
      </c>
    </row>
    <row r="436" spans="1:15" x14ac:dyDescent="0.15">
      <c r="A436" s="1">
        <v>434</v>
      </c>
      <c r="B436" s="1">
        <f t="shared" si="45"/>
        <v>204091410</v>
      </c>
      <c r="C436" s="14" t="str">
        <f t="shared" ca="1" si="52"/>
        <v>彼列的幻象</v>
      </c>
      <c r="D436" s="1" t="s">
        <v>511</v>
      </c>
      <c r="E436" s="1">
        <v>4</v>
      </c>
      <c r="F436" s="1">
        <f t="shared" si="53"/>
        <v>2</v>
      </c>
      <c r="G436" s="8">
        <f t="shared" si="46"/>
        <v>14</v>
      </c>
      <c r="H436" s="8" t="s">
        <v>509</v>
      </c>
      <c r="I436" s="8" t="e">
        <f ca="1">"["&amp;INT(getMinDes(B436))&amp;"-"&amp;INT(getMaxDes(B436))&amp;"]"&amp;getDesName(B436)&amp;" "&amp;getRandomNatureDes(K436)&amp;getSuitDes(B436)</f>
        <v>#VALUE!</v>
      </c>
      <c r="J436" s="1">
        <f t="shared" si="54"/>
        <v>10</v>
      </c>
      <c r="K436" s="1">
        <v>5</v>
      </c>
      <c r="L436" s="1">
        <v>9</v>
      </c>
      <c r="M436" s="1" t="str">
        <f ca="1">mVlookup(E436&amp;L436,装备名称!J$43:Z$74,H436,FALSE)</f>
        <v>IC1936</v>
      </c>
      <c r="N436" s="1" t="str">
        <f t="shared" si="47"/>
        <v>149</v>
      </c>
      <c r="O436" s="1">
        <f t="shared" si="48"/>
        <v>200434</v>
      </c>
    </row>
    <row r="437" spans="1:15" x14ac:dyDescent="0.15">
      <c r="A437" s="1">
        <v>435</v>
      </c>
      <c r="B437" s="1">
        <f t="shared" si="45"/>
        <v>304091510</v>
      </c>
      <c r="C437" s="14" t="str">
        <f t="shared" ca="1" si="52"/>
        <v>彼列的面目</v>
      </c>
      <c r="D437" s="1" t="s">
        <v>511</v>
      </c>
      <c r="E437" s="1">
        <v>4</v>
      </c>
      <c r="F437" s="1">
        <f t="shared" si="53"/>
        <v>3</v>
      </c>
      <c r="G437" s="8">
        <f t="shared" si="46"/>
        <v>15</v>
      </c>
      <c r="H437" s="8" t="s">
        <v>510</v>
      </c>
      <c r="I437" s="8" t="e">
        <f ca="1">"["&amp;INT(getMinDes(B437))&amp;"-"&amp;INT(getMaxDes(B437))&amp;"]"&amp;getDesName(B437)&amp;" "&amp;getRandomNatureDes(K437)&amp;getSuitDes(B437)</f>
        <v>#VALUE!</v>
      </c>
      <c r="J437" s="1">
        <f t="shared" si="54"/>
        <v>10</v>
      </c>
      <c r="K437" s="1">
        <v>5</v>
      </c>
      <c r="L437" s="1">
        <v>9</v>
      </c>
      <c r="M437" s="1" t="str">
        <f ca="1">mVlookup(E437&amp;L437,装备名称!J$43:Z$74,H437,FALSE)</f>
        <v>IC1877</v>
      </c>
      <c r="N437" s="1" t="str">
        <f t="shared" si="47"/>
        <v>159</v>
      </c>
      <c r="O437" s="1">
        <f t="shared" si="48"/>
        <v>200435</v>
      </c>
    </row>
    <row r="438" spans="1:15" x14ac:dyDescent="0.15">
      <c r="A438" s="1">
        <v>436</v>
      </c>
      <c r="B438" s="1">
        <f t="shared" si="45"/>
        <v>104091111</v>
      </c>
      <c r="C438" s="14" t="str">
        <f t="shared" ca="1" si="52"/>
        <v>勒托之球</v>
      </c>
      <c r="D438" s="1" t="s">
        <v>511</v>
      </c>
      <c r="E438" s="1">
        <v>4</v>
      </c>
      <c r="F438" s="1">
        <f t="shared" si="53"/>
        <v>1</v>
      </c>
      <c r="G438" s="8">
        <f t="shared" si="46"/>
        <v>11</v>
      </c>
      <c r="H438" s="8" t="s">
        <v>529</v>
      </c>
      <c r="I438" s="8" t="e">
        <f ca="1">"["&amp;INT(getMinDes(B438))&amp;"-"&amp;INT(getMaxDes(B438))&amp;"]"&amp;getDesName(B438)&amp;" "&amp;getRandomNatureDes(K438)&amp;getSuitDes(B438)</f>
        <v>#VALUE!</v>
      </c>
      <c r="J438" s="1">
        <f t="shared" si="54"/>
        <v>11</v>
      </c>
      <c r="K438" s="1">
        <v>5</v>
      </c>
      <c r="L438" s="1">
        <v>9</v>
      </c>
      <c r="M438" s="1" t="str">
        <f ca="1">mVlookup(E438&amp;L438,装备名称!J$43:Z$74,H438,FALSE)</f>
        <v>IC1431</v>
      </c>
      <c r="N438" s="1" t="str">
        <f t="shared" si="47"/>
        <v>119</v>
      </c>
      <c r="O438" s="1">
        <f t="shared" si="48"/>
        <v>200436</v>
      </c>
    </row>
    <row r="439" spans="1:15" x14ac:dyDescent="0.15">
      <c r="A439" s="1">
        <v>437</v>
      </c>
      <c r="B439" s="1">
        <f t="shared" si="45"/>
        <v>204091411</v>
      </c>
      <c r="C439" s="14" t="str">
        <f t="shared" ca="1" si="52"/>
        <v>勒托之戒</v>
      </c>
      <c r="D439" s="1" t="s">
        <v>511</v>
      </c>
      <c r="E439" s="1">
        <v>4</v>
      </c>
      <c r="F439" s="1">
        <f t="shared" si="53"/>
        <v>2</v>
      </c>
      <c r="G439" s="8">
        <f t="shared" si="46"/>
        <v>14</v>
      </c>
      <c r="H439" s="8" t="s">
        <v>509</v>
      </c>
      <c r="I439" s="8" t="e">
        <f ca="1">"["&amp;INT(getMinDes(B439))&amp;"-"&amp;INT(getMaxDes(B439))&amp;"]"&amp;getDesName(B439)&amp;" "&amp;getRandomNatureDes(K439)&amp;getSuitDes(B439)</f>
        <v>#VALUE!</v>
      </c>
      <c r="J439" s="1">
        <f t="shared" si="54"/>
        <v>11</v>
      </c>
      <c r="K439" s="1">
        <v>5</v>
      </c>
      <c r="L439" s="1">
        <v>9</v>
      </c>
      <c r="M439" s="1" t="str">
        <f ca="1">mVlookup(E439&amp;L439,装备名称!J$43:Z$74,H439,FALSE)</f>
        <v>IC1936</v>
      </c>
      <c r="N439" s="1" t="str">
        <f t="shared" si="47"/>
        <v>149</v>
      </c>
      <c r="O439" s="1">
        <f t="shared" si="48"/>
        <v>200437</v>
      </c>
    </row>
    <row r="440" spans="1:15" x14ac:dyDescent="0.15">
      <c r="A440" s="1">
        <v>438</v>
      </c>
      <c r="B440" s="1">
        <f t="shared" si="45"/>
        <v>304091511</v>
      </c>
      <c r="C440" s="14" t="str">
        <f t="shared" ca="1" si="52"/>
        <v>勒托之眼</v>
      </c>
      <c r="D440" s="1" t="s">
        <v>511</v>
      </c>
      <c r="E440" s="1">
        <v>4</v>
      </c>
      <c r="F440" s="1">
        <f t="shared" si="53"/>
        <v>3</v>
      </c>
      <c r="G440" s="8">
        <f t="shared" si="46"/>
        <v>15</v>
      </c>
      <c r="H440" s="8" t="s">
        <v>520</v>
      </c>
      <c r="I440" s="8" t="e">
        <f ca="1">"["&amp;INT(getMinDes(B440))&amp;"-"&amp;INT(getMaxDes(B440))&amp;"]"&amp;getDesName(B440)&amp;" "&amp;getRandomNatureDes(K440)&amp;getSuitDes(B440)</f>
        <v>#VALUE!</v>
      </c>
      <c r="J440" s="1">
        <f t="shared" si="54"/>
        <v>11</v>
      </c>
      <c r="K440" s="1">
        <v>5</v>
      </c>
      <c r="L440" s="1">
        <v>9</v>
      </c>
      <c r="M440" s="1" t="str">
        <f ca="1">mVlookup(E440&amp;L440,装备名称!J$43:Z$74,H440,FALSE)</f>
        <v>IC1877</v>
      </c>
      <c r="N440" s="1" t="str">
        <f t="shared" si="47"/>
        <v>159</v>
      </c>
      <c r="O440" s="1">
        <f t="shared" si="48"/>
        <v>200438</v>
      </c>
    </row>
    <row r="441" spans="1:15" x14ac:dyDescent="0.15">
      <c r="A441" s="1">
        <v>439</v>
      </c>
      <c r="B441" s="1">
        <f t="shared" si="45"/>
        <v>104091212</v>
      </c>
      <c r="C441" s="14" t="str">
        <f t="shared" ca="1" si="52"/>
        <v>九尾狐的爪子</v>
      </c>
      <c r="D441" s="1" t="s">
        <v>511</v>
      </c>
      <c r="E441" s="1">
        <v>4</v>
      </c>
      <c r="F441" s="1">
        <f t="shared" si="53"/>
        <v>1</v>
      </c>
      <c r="G441" s="8">
        <f t="shared" si="46"/>
        <v>12</v>
      </c>
      <c r="H441" s="8" t="s">
        <v>530</v>
      </c>
      <c r="I441" s="8" t="e">
        <f ca="1">"["&amp;INT(getMinDes(B441))&amp;"-"&amp;INT(getMaxDes(B441))&amp;"]"&amp;getDesName(B441)&amp;" "&amp;getRandomNatureDes(K441)&amp;getSuitDes(B441)</f>
        <v>#VALUE!</v>
      </c>
      <c r="J441" s="1">
        <f t="shared" si="54"/>
        <v>12</v>
      </c>
      <c r="K441" s="1">
        <v>5</v>
      </c>
      <c r="L441" s="1">
        <v>9</v>
      </c>
      <c r="M441" s="1" t="str">
        <f ca="1">mVlookup(E441&amp;L441,装备名称!J$43:Z$74,H441,FALSE)</f>
        <v>IC1766</v>
      </c>
      <c r="N441" s="1" t="str">
        <f t="shared" si="47"/>
        <v>129</v>
      </c>
      <c r="O441" s="1">
        <f t="shared" si="48"/>
        <v>200439</v>
      </c>
    </row>
    <row r="442" spans="1:15" x14ac:dyDescent="0.15">
      <c r="A442" s="1">
        <v>440</v>
      </c>
      <c r="B442" s="1">
        <f t="shared" si="45"/>
        <v>204091412</v>
      </c>
      <c r="C442" s="14" t="str">
        <f t="shared" ca="1" si="52"/>
        <v>九尾狐的指环</v>
      </c>
      <c r="D442" s="1" t="s">
        <v>511</v>
      </c>
      <c r="E442" s="1">
        <v>4</v>
      </c>
      <c r="F442" s="1">
        <f t="shared" si="53"/>
        <v>2</v>
      </c>
      <c r="G442" s="8">
        <f t="shared" si="46"/>
        <v>14</v>
      </c>
      <c r="H442" s="8" t="s">
        <v>509</v>
      </c>
      <c r="I442" s="8" t="e">
        <f ca="1">"["&amp;INT(getMinDes(B442))&amp;"-"&amp;INT(getMaxDes(B442))&amp;"]"&amp;getDesName(B442)&amp;" "&amp;getRandomNatureDes(K442)&amp;getSuitDes(B442)</f>
        <v>#VALUE!</v>
      </c>
      <c r="J442" s="1">
        <f t="shared" si="54"/>
        <v>12</v>
      </c>
      <c r="K442" s="1">
        <v>5</v>
      </c>
      <c r="L442" s="1">
        <v>9</v>
      </c>
      <c r="M442" s="1" t="str">
        <f ca="1">mVlookup(E442&amp;L442,装备名称!J$43:Z$74,H442,FALSE)</f>
        <v>IC1936</v>
      </c>
      <c r="N442" s="1" t="str">
        <f t="shared" si="47"/>
        <v>149</v>
      </c>
      <c r="O442" s="1">
        <f t="shared" si="48"/>
        <v>200440</v>
      </c>
    </row>
    <row r="443" spans="1:15" x14ac:dyDescent="0.15">
      <c r="A443" s="1">
        <v>441</v>
      </c>
      <c r="B443" s="1">
        <f t="shared" si="45"/>
        <v>304091512</v>
      </c>
      <c r="C443" s="14" t="str">
        <f t="shared" ca="1" si="52"/>
        <v>九尾狐的颈圈</v>
      </c>
      <c r="D443" s="1" t="s">
        <v>511</v>
      </c>
      <c r="E443" s="1">
        <v>4</v>
      </c>
      <c r="F443" s="1">
        <f t="shared" si="53"/>
        <v>3</v>
      </c>
      <c r="G443" s="8">
        <f t="shared" si="46"/>
        <v>15</v>
      </c>
      <c r="H443" s="8" t="s">
        <v>510</v>
      </c>
      <c r="I443" s="8" t="e">
        <f ca="1">"["&amp;INT(getMinDes(B443))&amp;"-"&amp;INT(getMaxDes(B443))&amp;"]"&amp;getDesName(B443)&amp;" "&amp;getRandomNatureDes(K443)&amp;getSuitDes(B443)</f>
        <v>#VALUE!</v>
      </c>
      <c r="J443" s="1">
        <f t="shared" si="54"/>
        <v>12</v>
      </c>
      <c r="K443" s="1">
        <v>5</v>
      </c>
      <c r="L443" s="1">
        <v>9</v>
      </c>
      <c r="M443" s="1" t="str">
        <f ca="1">mVlookup(E443&amp;L443,装备名称!J$43:Z$74,H443,FALSE)</f>
        <v>IC1877</v>
      </c>
      <c r="N443" s="1" t="str">
        <f t="shared" si="47"/>
        <v>159</v>
      </c>
      <c r="O443" s="1">
        <f t="shared" si="48"/>
        <v>200441</v>
      </c>
    </row>
    <row r="444" spans="1:15" x14ac:dyDescent="0.15">
      <c r="A444" s="1">
        <v>442</v>
      </c>
      <c r="B444" s="1">
        <f t="shared" si="45"/>
        <v>104091313</v>
      </c>
      <c r="C444" s="14" t="str">
        <f t="shared" ca="1" si="52"/>
        <v>泰瑞尔之剑</v>
      </c>
      <c r="D444" s="1" t="s">
        <v>511</v>
      </c>
      <c r="E444" s="1">
        <v>4</v>
      </c>
      <c r="F444" s="1">
        <f t="shared" si="53"/>
        <v>1</v>
      </c>
      <c r="G444" s="8">
        <f t="shared" si="46"/>
        <v>13</v>
      </c>
      <c r="H444" s="8" t="s">
        <v>531</v>
      </c>
      <c r="I444" s="8" t="e">
        <f ca="1">"["&amp;INT(getMinDes(B444))&amp;"-"&amp;INT(getMaxDes(B444))&amp;"]"&amp;getDesName(B444)&amp;" "&amp;getRandomNatureDes(K444)&amp;getSuitDes(B444)</f>
        <v>#VALUE!</v>
      </c>
      <c r="J444" s="1">
        <f t="shared" si="54"/>
        <v>13</v>
      </c>
      <c r="K444" s="1">
        <v>5</v>
      </c>
      <c r="L444" s="1">
        <v>9</v>
      </c>
      <c r="M444" s="1" t="str">
        <f ca="1">mVlookup(E444&amp;L444,装备名称!J$43:Z$74,H444,FALSE)</f>
        <v>IC1203</v>
      </c>
      <c r="N444" s="1" t="str">
        <f t="shared" si="47"/>
        <v>139</v>
      </c>
      <c r="O444" s="1">
        <f t="shared" si="48"/>
        <v>200442</v>
      </c>
    </row>
    <row r="445" spans="1:15" x14ac:dyDescent="0.15">
      <c r="A445" s="1">
        <v>443</v>
      </c>
      <c r="B445" s="1">
        <f t="shared" si="45"/>
        <v>204091413</v>
      </c>
      <c r="C445" s="14" t="str">
        <f t="shared" ca="1" si="52"/>
        <v>泰瑞尔之力</v>
      </c>
      <c r="D445" s="1" t="s">
        <v>511</v>
      </c>
      <c r="E445" s="1">
        <v>4</v>
      </c>
      <c r="F445" s="1">
        <f t="shared" si="53"/>
        <v>2</v>
      </c>
      <c r="G445" s="8">
        <f t="shared" si="46"/>
        <v>14</v>
      </c>
      <c r="H445" s="8" t="s">
        <v>509</v>
      </c>
      <c r="I445" s="8" t="e">
        <f ca="1">"["&amp;INT(getMinDes(B445))&amp;"-"&amp;INT(getMaxDes(B445))&amp;"]"&amp;getDesName(B445)&amp;" "&amp;getRandomNatureDes(K445)&amp;getSuitDes(B445)</f>
        <v>#VALUE!</v>
      </c>
      <c r="J445" s="1">
        <f t="shared" si="54"/>
        <v>13</v>
      </c>
      <c r="K445" s="1">
        <v>5</v>
      </c>
      <c r="L445" s="1">
        <v>9</v>
      </c>
      <c r="M445" s="1" t="str">
        <f ca="1">mVlookup(E445&amp;L445,装备名称!J$43:Z$74,H445,FALSE)</f>
        <v>IC1936</v>
      </c>
      <c r="N445" s="1" t="str">
        <f t="shared" si="47"/>
        <v>149</v>
      </c>
      <c r="O445" s="1">
        <f t="shared" si="48"/>
        <v>200443</v>
      </c>
    </row>
    <row r="446" spans="1:15" x14ac:dyDescent="0.15">
      <c r="A446" s="1">
        <v>444</v>
      </c>
      <c r="B446" s="1">
        <f t="shared" si="45"/>
        <v>304091513</v>
      </c>
      <c r="C446" s="14" t="str">
        <f t="shared" ca="1" si="52"/>
        <v>泰瑞尔之威严</v>
      </c>
      <c r="D446" s="1" t="s">
        <v>511</v>
      </c>
      <c r="E446" s="1">
        <v>4</v>
      </c>
      <c r="F446" s="1">
        <f t="shared" si="53"/>
        <v>3</v>
      </c>
      <c r="G446" s="8">
        <f t="shared" si="46"/>
        <v>15</v>
      </c>
      <c r="H446" s="8" t="s">
        <v>510</v>
      </c>
      <c r="I446" s="8" t="e">
        <f ca="1">"["&amp;INT(getMinDes(B446))&amp;"-"&amp;INT(getMaxDes(B446))&amp;"]"&amp;getDesName(B446)&amp;" "&amp;getRandomNatureDes(K446)&amp;getSuitDes(B446)</f>
        <v>#VALUE!</v>
      </c>
      <c r="J446" s="1">
        <f t="shared" si="54"/>
        <v>13</v>
      </c>
      <c r="K446" s="1">
        <v>5</v>
      </c>
      <c r="L446" s="1">
        <v>9</v>
      </c>
      <c r="M446" s="1" t="str">
        <f ca="1">mVlookup(E446&amp;L446,装备名称!J$43:Z$74,H446,FALSE)</f>
        <v>IC1877</v>
      </c>
      <c r="N446" s="1" t="str">
        <f t="shared" si="47"/>
        <v>159</v>
      </c>
      <c r="O446" s="1">
        <f t="shared" si="48"/>
        <v>200444</v>
      </c>
    </row>
    <row r="447" spans="1:15" x14ac:dyDescent="0.15">
      <c r="G447" s="8"/>
      <c r="H447" s="8"/>
      <c r="I447" s="8"/>
    </row>
    <row r="448" spans="1:15" x14ac:dyDescent="0.15">
      <c r="G448" s="8"/>
      <c r="H448" s="8"/>
      <c r="I448" s="8"/>
    </row>
    <row r="449" spans="7:9" x14ac:dyDescent="0.15">
      <c r="G449" s="8"/>
      <c r="H449" s="8"/>
      <c r="I449" s="8"/>
    </row>
    <row r="450" spans="7:9" x14ac:dyDescent="0.15">
      <c r="G450" s="8"/>
      <c r="H450" s="8"/>
      <c r="I450" s="8"/>
    </row>
    <row r="451" spans="7:9" x14ac:dyDescent="0.15">
      <c r="G451" s="8"/>
      <c r="H451" s="8"/>
      <c r="I451" s="8"/>
    </row>
    <row r="452" spans="7:9" x14ac:dyDescent="0.15">
      <c r="G452" s="8"/>
      <c r="H452" s="8"/>
      <c r="I452" s="8"/>
    </row>
    <row r="453" spans="7:9" x14ac:dyDescent="0.15">
      <c r="G453" s="8"/>
      <c r="H453" s="8"/>
      <c r="I453" s="8"/>
    </row>
    <row r="454" spans="7:9" x14ac:dyDescent="0.15">
      <c r="G454" s="8"/>
      <c r="H454" s="8"/>
      <c r="I454" s="8"/>
    </row>
    <row r="455" spans="7:9" x14ac:dyDescent="0.15">
      <c r="G455" s="8"/>
      <c r="H455" s="8"/>
      <c r="I455" s="8"/>
    </row>
    <row r="456" spans="7:9" x14ac:dyDescent="0.15">
      <c r="G456" s="8"/>
      <c r="H456" s="8"/>
      <c r="I456" s="8"/>
    </row>
    <row r="457" spans="7:9" x14ac:dyDescent="0.15">
      <c r="G457" s="8"/>
      <c r="H457" s="8"/>
      <c r="I457" s="8"/>
    </row>
    <row r="458" spans="7:9" s="40" customFormat="1" x14ac:dyDescent="0.15">
      <c r="G458" s="41"/>
      <c r="H458" s="41"/>
      <c r="I458" s="41"/>
    </row>
    <row r="459" spans="7:9" x14ac:dyDescent="0.15">
      <c r="G459" s="8"/>
      <c r="H459" s="8"/>
      <c r="I459" s="8"/>
    </row>
    <row r="460" spans="7:9" x14ac:dyDescent="0.15">
      <c r="G460" s="8"/>
      <c r="H460" s="8"/>
      <c r="I460" s="8"/>
    </row>
    <row r="461" spans="7:9" x14ac:dyDescent="0.15">
      <c r="G461" s="8"/>
      <c r="H461" s="8"/>
      <c r="I461" s="8"/>
    </row>
    <row r="462" spans="7:9" x14ac:dyDescent="0.15">
      <c r="G462" s="8"/>
      <c r="H462" s="8"/>
      <c r="I462" s="8"/>
    </row>
    <row r="463" spans="7:9" x14ac:dyDescent="0.15">
      <c r="G463" s="8"/>
      <c r="H463" s="8"/>
      <c r="I463" s="8"/>
    </row>
    <row r="464" spans="7:9" x14ac:dyDescent="0.15">
      <c r="G464" s="8"/>
      <c r="H464" s="8"/>
      <c r="I464" s="8"/>
    </row>
    <row r="465" spans="7:9" x14ac:dyDescent="0.15">
      <c r="G465" s="8"/>
      <c r="H465" s="8"/>
      <c r="I465" s="8"/>
    </row>
    <row r="466" spans="7:9" x14ac:dyDescent="0.15">
      <c r="G466" s="8"/>
      <c r="H466" s="8"/>
      <c r="I466" s="8"/>
    </row>
    <row r="467" spans="7:9" x14ac:dyDescent="0.15">
      <c r="G467" s="8"/>
      <c r="H467" s="8"/>
      <c r="I467" s="8"/>
    </row>
    <row r="468" spans="7:9" x14ac:dyDescent="0.15">
      <c r="G468" s="8"/>
      <c r="H468" s="8"/>
      <c r="I468" s="8"/>
    </row>
    <row r="469" spans="7:9" x14ac:dyDescent="0.15">
      <c r="G469" s="8"/>
      <c r="H469" s="8"/>
      <c r="I469" s="8"/>
    </row>
    <row r="470" spans="7:9" x14ac:dyDescent="0.15">
      <c r="G470" s="8"/>
      <c r="H470" s="8"/>
      <c r="I470" s="8"/>
    </row>
    <row r="471" spans="7:9" x14ac:dyDescent="0.15">
      <c r="G471" s="8"/>
      <c r="H471" s="8"/>
      <c r="I471" s="8"/>
    </row>
    <row r="472" spans="7:9" x14ac:dyDescent="0.15">
      <c r="G472" s="8"/>
      <c r="H472" s="8"/>
      <c r="I472" s="8"/>
    </row>
    <row r="473" spans="7:9" x14ac:dyDescent="0.15">
      <c r="G473" s="8"/>
      <c r="H473" s="8"/>
      <c r="I473" s="8"/>
    </row>
    <row r="474" spans="7:9" x14ac:dyDescent="0.15">
      <c r="G474" s="8"/>
      <c r="H474" s="8"/>
      <c r="I474" s="8"/>
    </row>
    <row r="475" spans="7:9" x14ac:dyDescent="0.15">
      <c r="G475" s="8"/>
      <c r="H475" s="8"/>
      <c r="I475" s="8"/>
    </row>
    <row r="476" spans="7:9" x14ac:dyDescent="0.15">
      <c r="G476" s="8"/>
      <c r="H476" s="8"/>
      <c r="I476" s="8"/>
    </row>
    <row r="477" spans="7:9" x14ac:dyDescent="0.15">
      <c r="G477" s="8"/>
      <c r="H477" s="8"/>
      <c r="I477" s="8"/>
    </row>
    <row r="478" spans="7:9" x14ac:dyDescent="0.15">
      <c r="G478" s="8"/>
      <c r="H478" s="8"/>
      <c r="I478" s="8"/>
    </row>
    <row r="479" spans="7:9" x14ac:dyDescent="0.15">
      <c r="G479" s="8"/>
      <c r="H479" s="8"/>
      <c r="I479" s="8"/>
    </row>
    <row r="480" spans="7:9" x14ac:dyDescent="0.15">
      <c r="G480" s="8"/>
      <c r="H480" s="8"/>
      <c r="I480" s="8"/>
    </row>
    <row r="481" spans="7:9" x14ac:dyDescent="0.15">
      <c r="G481" s="8"/>
      <c r="H481" s="8"/>
      <c r="I481" s="8"/>
    </row>
    <row r="482" spans="7:9" x14ac:dyDescent="0.15">
      <c r="G482" s="8"/>
      <c r="H482" s="8"/>
      <c r="I482" s="8"/>
    </row>
    <row r="483" spans="7:9" x14ac:dyDescent="0.15">
      <c r="G483" s="8"/>
      <c r="H483" s="8"/>
      <c r="I483" s="8"/>
    </row>
    <row r="484" spans="7:9" x14ac:dyDescent="0.15">
      <c r="G484" s="8"/>
      <c r="H484" s="8"/>
      <c r="I484" s="8"/>
    </row>
    <row r="485" spans="7:9" x14ac:dyDescent="0.15">
      <c r="G485" s="8"/>
      <c r="H485" s="8"/>
      <c r="I485" s="8"/>
    </row>
    <row r="486" spans="7:9" x14ac:dyDescent="0.15">
      <c r="G486" s="8"/>
      <c r="H486" s="8"/>
      <c r="I486" s="8"/>
    </row>
    <row r="487" spans="7:9" x14ac:dyDescent="0.15">
      <c r="G487" s="8"/>
      <c r="H487" s="8"/>
      <c r="I487" s="8"/>
    </row>
    <row r="488" spans="7:9" x14ac:dyDescent="0.15">
      <c r="G488" s="8"/>
      <c r="H488" s="8"/>
      <c r="I488" s="8"/>
    </row>
    <row r="489" spans="7:9" x14ac:dyDescent="0.15">
      <c r="G489" s="8"/>
      <c r="H489" s="8"/>
      <c r="I489" s="8"/>
    </row>
    <row r="490" spans="7:9" x14ac:dyDescent="0.15">
      <c r="G490" s="8"/>
      <c r="H490" s="8"/>
      <c r="I490" s="8"/>
    </row>
    <row r="491" spans="7:9" x14ac:dyDescent="0.15">
      <c r="G491" s="8"/>
      <c r="H491" s="8"/>
      <c r="I491" s="8"/>
    </row>
    <row r="492" spans="7:9" x14ac:dyDescent="0.15">
      <c r="G492" s="8"/>
      <c r="H492" s="8"/>
      <c r="I492" s="8"/>
    </row>
    <row r="493" spans="7:9" x14ac:dyDescent="0.15">
      <c r="G493" s="8"/>
      <c r="H493" s="8"/>
      <c r="I493" s="8"/>
    </row>
    <row r="494" spans="7:9" x14ac:dyDescent="0.15">
      <c r="G494" s="8"/>
      <c r="H494" s="8"/>
      <c r="I494" s="8"/>
    </row>
    <row r="495" spans="7:9" x14ac:dyDescent="0.15">
      <c r="G495" s="8"/>
      <c r="H495" s="8"/>
      <c r="I495" s="8"/>
    </row>
    <row r="496" spans="7:9" x14ac:dyDescent="0.15">
      <c r="G496" s="8"/>
      <c r="H496" s="8"/>
      <c r="I496" s="8"/>
    </row>
    <row r="497" spans="7:9" x14ac:dyDescent="0.15">
      <c r="G497" s="8"/>
      <c r="H497" s="8"/>
      <c r="I497" s="8"/>
    </row>
    <row r="498" spans="7:9" x14ac:dyDescent="0.15">
      <c r="G498" s="8"/>
      <c r="H498" s="8"/>
      <c r="I498" s="8"/>
    </row>
    <row r="499" spans="7:9" x14ac:dyDescent="0.15">
      <c r="G499" s="8"/>
      <c r="H499" s="8"/>
      <c r="I499" s="8"/>
    </row>
    <row r="500" spans="7:9" x14ac:dyDescent="0.15">
      <c r="G500" s="8"/>
      <c r="H500" s="8"/>
      <c r="I500" s="8"/>
    </row>
    <row r="501" spans="7:9" x14ac:dyDescent="0.15">
      <c r="G501" s="8"/>
      <c r="H501" s="8"/>
      <c r="I501" s="8"/>
    </row>
    <row r="502" spans="7:9" x14ac:dyDescent="0.15">
      <c r="G502" s="8"/>
      <c r="H502" s="8"/>
      <c r="I502" s="8"/>
    </row>
    <row r="503" spans="7:9" x14ac:dyDescent="0.15">
      <c r="G503" s="8"/>
      <c r="H503" s="8"/>
      <c r="I503" s="8"/>
    </row>
    <row r="504" spans="7:9" x14ac:dyDescent="0.15">
      <c r="G504" s="8"/>
      <c r="H504" s="8"/>
      <c r="I504" s="8"/>
    </row>
    <row r="505" spans="7:9" x14ac:dyDescent="0.15">
      <c r="G505" s="8"/>
      <c r="H505" s="8"/>
      <c r="I505" s="8"/>
    </row>
    <row r="506" spans="7:9" x14ac:dyDescent="0.15">
      <c r="G506" s="8"/>
      <c r="H506" s="8"/>
      <c r="I506" s="8"/>
    </row>
    <row r="507" spans="7:9" x14ac:dyDescent="0.15">
      <c r="G507" s="8"/>
      <c r="H507" s="8"/>
      <c r="I507" s="8"/>
    </row>
    <row r="508" spans="7:9" x14ac:dyDescent="0.15">
      <c r="G508" s="8"/>
      <c r="H508" s="8"/>
      <c r="I508" s="8"/>
    </row>
    <row r="509" spans="7:9" x14ac:dyDescent="0.15">
      <c r="G509" s="8"/>
      <c r="H509" s="8"/>
      <c r="I509" s="8"/>
    </row>
    <row r="510" spans="7:9" x14ac:dyDescent="0.15">
      <c r="G510" s="8"/>
      <c r="H510" s="8"/>
      <c r="I510" s="8"/>
    </row>
    <row r="511" spans="7:9" x14ac:dyDescent="0.15">
      <c r="G511" s="8"/>
      <c r="H511" s="8"/>
      <c r="I511" s="8"/>
    </row>
    <row r="512" spans="7:9" x14ac:dyDescent="0.15">
      <c r="G512" s="8"/>
      <c r="H512" s="8"/>
      <c r="I512" s="8"/>
    </row>
    <row r="513" spans="7:9" x14ac:dyDescent="0.15">
      <c r="G513" s="8"/>
      <c r="H513" s="8"/>
      <c r="I513" s="8"/>
    </row>
    <row r="514" spans="7:9" x14ac:dyDescent="0.15">
      <c r="G514" s="8"/>
      <c r="H514" s="8"/>
      <c r="I514" s="8"/>
    </row>
    <row r="515" spans="7:9" x14ac:dyDescent="0.15">
      <c r="G515" s="8"/>
      <c r="H515" s="8"/>
      <c r="I515" s="8"/>
    </row>
    <row r="516" spans="7:9" x14ac:dyDescent="0.15">
      <c r="G516" s="8"/>
      <c r="H516" s="8"/>
      <c r="I516" s="8"/>
    </row>
    <row r="517" spans="7:9" x14ac:dyDescent="0.15">
      <c r="G517" s="8"/>
      <c r="H517" s="8"/>
      <c r="I517" s="8"/>
    </row>
    <row r="518" spans="7:9" x14ac:dyDescent="0.15">
      <c r="G518" s="8"/>
      <c r="H518" s="8"/>
      <c r="I518" s="8"/>
    </row>
    <row r="519" spans="7:9" x14ac:dyDescent="0.15">
      <c r="G519" s="8"/>
      <c r="H519" s="8"/>
      <c r="I519" s="8"/>
    </row>
    <row r="520" spans="7:9" x14ac:dyDescent="0.15">
      <c r="G520" s="8"/>
      <c r="H520" s="8"/>
      <c r="I520" s="8"/>
    </row>
    <row r="521" spans="7:9" x14ac:dyDescent="0.15">
      <c r="G521" s="8"/>
      <c r="H521" s="8"/>
      <c r="I521" s="8"/>
    </row>
    <row r="522" spans="7:9" x14ac:dyDescent="0.15">
      <c r="G522" s="8"/>
      <c r="H522" s="8"/>
      <c r="I522" s="8"/>
    </row>
    <row r="523" spans="7:9" x14ac:dyDescent="0.15">
      <c r="G523" s="8"/>
      <c r="H523" s="8"/>
      <c r="I523" s="8"/>
    </row>
    <row r="524" spans="7:9" x14ac:dyDescent="0.15">
      <c r="G524" s="8"/>
      <c r="H524" s="8"/>
      <c r="I524" s="8"/>
    </row>
    <row r="525" spans="7:9" x14ac:dyDescent="0.15">
      <c r="G525" s="8"/>
      <c r="H525" s="8"/>
      <c r="I525" s="8"/>
    </row>
    <row r="526" spans="7:9" x14ac:dyDescent="0.15">
      <c r="G526" s="8"/>
      <c r="H526" s="8"/>
      <c r="I526" s="8"/>
    </row>
    <row r="527" spans="7:9" x14ac:dyDescent="0.15">
      <c r="G527" s="8"/>
      <c r="H527" s="8"/>
      <c r="I527" s="8"/>
    </row>
    <row r="528" spans="7:9" x14ac:dyDescent="0.15">
      <c r="G528" s="8"/>
      <c r="H528" s="8"/>
      <c r="I528" s="8"/>
    </row>
    <row r="529" spans="7:9" x14ac:dyDescent="0.15">
      <c r="G529" s="8"/>
      <c r="H529" s="8"/>
      <c r="I529" s="8"/>
    </row>
    <row r="530" spans="7:9" x14ac:dyDescent="0.15">
      <c r="G530" s="8"/>
      <c r="H530" s="8"/>
      <c r="I530" s="8"/>
    </row>
    <row r="531" spans="7:9" x14ac:dyDescent="0.15">
      <c r="G531" s="8"/>
      <c r="H531" s="8"/>
      <c r="I531" s="8"/>
    </row>
    <row r="532" spans="7:9" x14ac:dyDescent="0.15">
      <c r="G532" s="8"/>
      <c r="H532" s="8"/>
      <c r="I532" s="8"/>
    </row>
    <row r="533" spans="7:9" x14ac:dyDescent="0.15">
      <c r="G533" s="8"/>
      <c r="H533" s="8"/>
      <c r="I533" s="8"/>
    </row>
    <row r="534" spans="7:9" x14ac:dyDescent="0.15">
      <c r="G534" s="8"/>
      <c r="H534" s="8"/>
      <c r="I534" s="8"/>
    </row>
    <row r="535" spans="7:9" x14ac:dyDescent="0.15">
      <c r="G535" s="8"/>
      <c r="H535" s="8"/>
      <c r="I535" s="8"/>
    </row>
    <row r="536" spans="7:9" x14ac:dyDescent="0.15">
      <c r="G536" s="8"/>
      <c r="H536" s="8"/>
      <c r="I536" s="8"/>
    </row>
    <row r="537" spans="7:9" x14ac:dyDescent="0.15">
      <c r="G537" s="8"/>
      <c r="H537" s="8"/>
      <c r="I537" s="8"/>
    </row>
    <row r="538" spans="7:9" x14ac:dyDescent="0.15">
      <c r="G538" s="8"/>
      <c r="H538" s="8"/>
      <c r="I538" s="8"/>
    </row>
    <row r="539" spans="7:9" x14ac:dyDescent="0.15">
      <c r="G539" s="8"/>
      <c r="H539" s="8"/>
      <c r="I539" s="8"/>
    </row>
    <row r="540" spans="7:9" x14ac:dyDescent="0.15">
      <c r="G540" s="8"/>
      <c r="H540" s="8"/>
      <c r="I540" s="8"/>
    </row>
    <row r="541" spans="7:9" x14ac:dyDescent="0.15">
      <c r="G541" s="8"/>
      <c r="H541" s="8"/>
      <c r="I541" s="8"/>
    </row>
    <row r="542" spans="7:9" x14ac:dyDescent="0.15">
      <c r="G542" s="8"/>
      <c r="H542" s="8"/>
      <c r="I54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J15" sqref="J15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18</vt:i4>
      </vt:variant>
    </vt:vector>
  </HeadingPairs>
  <TitlesOfParts>
    <vt:vector size="28" baseType="lpstr">
      <vt:lpstr>公式</vt:lpstr>
      <vt:lpstr>伤害减免</vt:lpstr>
      <vt:lpstr>职业闪避</vt:lpstr>
      <vt:lpstr>平衡</vt:lpstr>
      <vt:lpstr>职业基础</vt:lpstr>
      <vt:lpstr>职业</vt:lpstr>
      <vt:lpstr>装备</vt:lpstr>
      <vt:lpstr>装备名称</vt:lpstr>
      <vt:lpstr>装备明细</vt:lpstr>
      <vt:lpstr>Sheet2</vt:lpstr>
      <vt:lpstr>baseBalance</vt:lpstr>
      <vt:lpstr>baseBalance2</vt:lpstr>
      <vt:lpstr>circlePer</vt:lpstr>
      <vt:lpstr>circleValue</vt:lpstr>
      <vt:lpstr>damageLessBase</vt:lpstr>
      <vt:lpstr>equipmentDistribution</vt:lpstr>
      <vt:lpstr>equipmentPower</vt:lpstr>
      <vt:lpstr>equipmentQuality</vt:lpstr>
      <vt:lpstr>monsterDamage</vt:lpstr>
      <vt:lpstr>nameBad</vt:lpstr>
      <vt:lpstr>nameLegend</vt:lpstr>
      <vt:lpstr>nameMagic</vt:lpstr>
      <vt:lpstr>nameSuit</vt:lpstr>
      <vt:lpstr>otherDamage</vt:lpstr>
      <vt:lpstr>powerDistribution</vt:lpstr>
      <vt:lpstr>suitPower</vt:lpstr>
      <vt:lpstr>weaponCO</vt:lpstr>
      <vt:lpstr>weaponM_P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Windows User</cp:lastModifiedBy>
  <dcterms:created xsi:type="dcterms:W3CDTF">2006-09-16T00:00:00Z</dcterms:created>
  <dcterms:modified xsi:type="dcterms:W3CDTF">2014-07-08T14:43:51Z</dcterms:modified>
</cp:coreProperties>
</file>